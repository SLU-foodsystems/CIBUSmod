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29" i="1" l="1"/>
  <c r="N428" i="1"/>
  <c r="N407" i="1"/>
  <c r="N408" i="1"/>
  <c r="N406" i="1"/>
  <c r="N390" i="1"/>
  <c r="N391" i="1"/>
  <c r="N392" i="1"/>
  <c r="N393" i="1"/>
  <c r="N394" i="1"/>
  <c r="N395" i="1"/>
  <c r="N396" i="1"/>
  <c r="N397" i="1"/>
  <c r="N398" i="1"/>
  <c r="N399" i="1"/>
  <c r="N400" i="1"/>
  <c r="N389" i="1"/>
  <c r="N328" i="1"/>
  <c r="N329" i="1"/>
  <c r="N330" i="1"/>
  <c r="N331" i="1"/>
  <c r="N332" i="1"/>
  <c r="N333" i="1"/>
  <c r="N334" i="1"/>
  <c r="N320" i="1"/>
  <c r="N321" i="1"/>
  <c r="N322" i="1"/>
  <c r="N323" i="1"/>
  <c r="N324" i="1"/>
  <c r="N325" i="1"/>
  <c r="N326" i="1"/>
  <c r="N327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78" i="1"/>
  <c r="N279" i="1"/>
  <c r="N280" i="1"/>
  <c r="N281" i="1"/>
  <c r="N282" i="1"/>
  <c r="N283" i="1"/>
  <c r="N284" i="1"/>
  <c r="N270" i="1"/>
  <c r="N271" i="1"/>
  <c r="N272" i="1"/>
  <c r="N273" i="1"/>
  <c r="N274" i="1"/>
  <c r="N275" i="1"/>
  <c r="N276" i="1"/>
  <c r="N277" i="1"/>
  <c r="N269" i="1"/>
  <c r="N262" i="1"/>
  <c r="N263" i="1"/>
  <c r="N264" i="1"/>
  <c r="N265" i="1"/>
  <c r="N266" i="1"/>
  <c r="N267" i="1"/>
  <c r="N268" i="1"/>
  <c r="N261" i="1"/>
  <c r="N504" i="1" l="1"/>
  <c r="N502" i="1" l="1"/>
  <c r="N503" i="1"/>
  <c r="N501" i="1"/>
  <c r="N468" i="1"/>
  <c r="N467" i="1"/>
  <c r="N466" i="1"/>
  <c r="N154" i="1" l="1"/>
  <c r="N153" i="1"/>
  <c r="N142" i="1"/>
  <c r="N141" i="1"/>
  <c r="N161" i="1"/>
  <c r="Q150" i="1" l="1"/>
  <c r="P150" i="1"/>
  <c r="N150" i="1"/>
  <c r="P120" i="1"/>
  <c r="P73" i="1" l="1"/>
  <c r="P76" i="1" s="1"/>
  <c r="P79" i="1" s="1"/>
  <c r="N75" i="1"/>
  <c r="N78" i="1" s="1"/>
  <c r="N81" i="1" s="1"/>
  <c r="N74" i="1"/>
  <c r="N77" i="1" s="1"/>
  <c r="N80" i="1" s="1"/>
  <c r="N73" i="1"/>
  <c r="N76" i="1" s="1"/>
  <c r="N79" i="1" s="1"/>
  <c r="P88" i="1" l="1"/>
  <c r="N90" i="1"/>
  <c r="N89" i="1"/>
  <c r="N88" i="1"/>
  <c r="P67" i="1"/>
  <c r="N69" i="1"/>
  <c r="N68" i="1"/>
  <c r="N67" i="1"/>
  <c r="N66" i="1"/>
  <c r="N65" i="1"/>
  <c r="P64" i="1"/>
  <c r="N64" i="1"/>
  <c r="P41" i="1"/>
  <c r="N43" i="1"/>
  <c r="N42" i="1"/>
  <c r="N41" i="1"/>
  <c r="P49" i="1"/>
  <c r="P101" i="1" s="1"/>
  <c r="N51" i="1"/>
  <c r="N106" i="1" s="1"/>
  <c r="N50" i="1"/>
  <c r="N102" i="1" s="1"/>
  <c r="N49" i="1"/>
  <c r="N93" i="1" s="1"/>
  <c r="P99" i="1"/>
  <c r="P91" i="1"/>
  <c r="P29" i="1"/>
  <c r="N30" i="1"/>
  <c r="N31" i="1"/>
  <c r="N32" i="1"/>
  <c r="N29" i="1"/>
  <c r="P93" i="1" l="1"/>
  <c r="N97" i="1"/>
  <c r="N98" i="1"/>
  <c r="P104" i="1"/>
  <c r="N95" i="1"/>
  <c r="P96" i="1"/>
  <c r="N105" i="1"/>
  <c r="N103" i="1"/>
  <c r="N101" i="1"/>
  <c r="N94" i="1"/>
  <c r="N104" i="1"/>
  <c r="N96" i="1"/>
  <c r="N152" i="1"/>
  <c r="N151" i="1"/>
  <c r="N121" i="1"/>
  <c r="N122" i="1"/>
  <c r="N120" i="1"/>
  <c r="N194" i="1"/>
  <c r="N193" i="1"/>
  <c r="N92" i="1"/>
  <c r="N91" i="1"/>
  <c r="N100" i="1"/>
  <c r="N99" i="1"/>
</calcChain>
</file>

<file path=xl/sharedStrings.xml><?xml version="1.0" encoding="utf-8"?>
<sst xmlns="http://schemas.openxmlformats.org/spreadsheetml/2006/main" count="1740" uniqueCount="233">
  <si>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</si>
  <si>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</si>
  <si>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</si>
  <si>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</si>
  <si>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</si>
  <si>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</si>
  <si>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</si>
  <si>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</si>
  <si>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</si>
  <si>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</si>
  <si>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</si>
  <si>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</si>
  <si>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</si>
  <si>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</si>
  <si>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</si>
  <si>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</si>
  <si>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</si>
  <si>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</si>
  <si>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</si>
  <si>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</si>
  <si>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</si>
  <si>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</si>
  <si>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</si>
  <si>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</si>
  <si>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</si>
  <si>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</si>
  <si>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</si>
  <si>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</si>
  <si>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</si>
  <si>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</si>
  <si>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</si>
  <si>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</si>
  <si>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</si>
  <si>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</si>
  <si>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</si>
  <si>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</si>
  <si>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</si>
  <si>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</si>
  <si>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</si>
  <si>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</si>
  <si>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</si>
  <si>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</si>
  <si>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</si>
  <si>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</si>
  <si>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</si>
  <si>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</si>
  <si>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</si>
  <si>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</si>
  <si>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</si>
  <si>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</si>
  <si>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</si>
  <si>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</si>
  <si>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</si>
  <si>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</si>
  <si>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</si>
  <si>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</si>
  <si>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</si>
  <si>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</si>
  <si>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</si>
  <si>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</si>
  <si>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</si>
  <si>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</si>
  <si>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</si>
  <si>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</si>
  <si>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</si>
  <si>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</si>
  <si>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</si>
  <si>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</si>
  <si>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</si>
  <si>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</si>
  <si>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</si>
  <si>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</si>
  <si>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</si>
  <si>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</si>
  <si>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</si>
  <si>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</si>
  <si>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</si>
  <si>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</si>
  <si>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</si>
  <si>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</si>
  <si>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</si>
  <si>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</si>
  <si>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</si>
  <si>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</si>
  <si>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</si>
  <si>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</si>
  <si>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</si>
  <si>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</si>
  <si>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</si>
  <si>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</si>
  <si>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</si>
  <si>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</si>
  <si>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</si>
  <si>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</si>
  <si>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</si>
  <si>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</si>
  <si>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</si>
  <si>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</si>
  <si>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</si>
  <si>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</si>
  <si>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</si>
  <si>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</si>
  <si>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</si>
  <si>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</si>
  <si>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</si>
  <si>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</si>
  <si>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</si>
  <si>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</si>
  <si>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</si>
  <si>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</si>
  <si>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</si>
  <si>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</si>
  <si>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</si>
  <si>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</si>
  <si>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</si>
  <si>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</si>
  <si>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</si>
  <si>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</si>
  <si>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</si>
  <si>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</si>
  <si>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</si>
  <si>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</si>
  <si>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</si>
  <si>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</si>
  <si>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</si>
  <si>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</si>
  <si>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</si>
  <si>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</si>
  <si>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</si>
  <si>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</si>
  <si>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</si>
  <si>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Swedish IIR 2023. Table 5-24</t>
  </si>
  <si>
    <t>Swedish IIR 2023. Table 5-25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</si>
  <si>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</si>
  <si>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</si>
  <si>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</si>
  <si>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</si>
  <si>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</si>
  <si>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</si>
  <si>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</si>
  <si>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</si>
  <si>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</si>
  <si>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</si>
  <si>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</si>
  <si>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</si>
  <si>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</si>
  <si>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</si>
  <si>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</si>
  <si>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</si>
  <si>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</si>
  <si>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</si>
  <si>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</si>
  <si>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</si>
  <si>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</si>
  <si>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</si>
  <si>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</si>
  <si>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</si>
  <si>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</si>
  <si>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</si>
  <si>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</si>
  <si>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</si>
  <si>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</si>
  <si>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</si>
  <si>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</si>
  <si>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</si>
  <si>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</si>
  <si>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</si>
  <si>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</si>
  <si>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</si>
  <si>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</si>
  <si>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</si>
  <si>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</si>
  <si>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</si>
  <si>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</si>
  <si>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</si>
  <si>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</si>
  <si>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</si>
  <si>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</si>
  <si>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</si>
  <si>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</si>
  <si>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</si>
  <si>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</si>
  <si>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</si>
  <si>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</si>
  <si>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</si>
  <si>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</si>
  <si>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</si>
  <si>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</si>
  <si>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</si>
  <si>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</si>
  <si>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</si>
  <si>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</si>
  <si>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</si>
  <si>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</si>
  <si>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</si>
  <si>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</si>
  <si>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</si>
  <si>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</si>
  <si>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</si>
  <si>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</si>
  <si>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</si>
  <si>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</si>
  <si>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</si>
  <si>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</si>
  <si>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NITROGEN REQUIREMENTS</t>
  </si>
  <si>
    <t>PHOSPHOROUS REQUIREMENTS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</si>
  <si>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</si>
  <si>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</si>
  <si>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TAN recommendation</t>
  </si>
  <si>
    <t>Final TAN requirements are calculated by adjusting the recommended application rate with 'N_adj' which is calculated</t>
  </si>
  <si>
    <t xml:space="preserve">from the share of ley in a given region and production system with the equation: N_adj = N_ley_a*PL + N_ley_m </t>
  </si>
  <si>
    <t>TAN application adjustment factor as a function of ley in region</t>
  </si>
  <si>
    <t>P_rec_a</t>
  </si>
  <si>
    <t>P_rec_m</t>
  </si>
  <si>
    <t>f_P_class</t>
  </si>
  <si>
    <t xml:space="preserve">Phosphorous requirements per hectare are calculated from recommendations as a function of yield in tonnes with the </t>
  </si>
  <si>
    <t>equation: P_req = max( P_rec_a*Y + Prec_m, 0 ). Different functions are defined for soils with different P classes ("PAL-klass")</t>
  </si>
  <si>
    <t>Assume same as ley with 0% legumes here!!!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</si>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</sst>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  <xf numFmtId="0" fontId="0" fillId="3" borderId="0" xfId="0" applyFill="1"/>
    <xf numFmtId="0" fontId="9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10" fillId="0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41"/>
  <sheetViews>
    <sheetView tabSelected="1" zoomScale="80" zoomScaleNormal="80" workbookViewId="0">
      <pane ySplit="1" topLeftCell="A380" activePane="bottomLeft" state="frozen"/>
      <selection pane="bottomLeft" activeCell="P410" sqref="P410"/>
    </sheetView>
  </sheetViews>
  <sheetFormatPr defaultRowHeight="15" x14ac:dyDescent="0.25"/>
  <cols>
    <col min="1" max="2" width="21" customWidth="1"/>
    <col min="3" max="3" width="31.28515625" bestFit="1" customWidth="1"/>
    <col min="4" max="4" width="14.5703125" bestFit="1" customWidth="1"/>
    <col min="5" max="5" width="6" bestFit="1" customWidth="1"/>
    <col min="6" max="6" width="28.42578125" bestFit="1" customWidth="1"/>
    <col min="7" max="11" width="11.140625" customWidth="1"/>
    <col min="12" max="12" width="12.140625" bestFit="1" customWidth="1"/>
    <col min="13" max="13" width="23.7109375" customWidth="1"/>
    <col min="14" max="14" width="11" customWidth="1"/>
    <col min="15" max="15" width="9.5703125" bestFit="1" customWidth="1"/>
    <col min="16" max="16" width="35.42578125" customWidth="1"/>
    <col min="17" max="17" width="27.42578125" customWidth="1"/>
  </cols>
  <sheetData>
    <row r="1" spans="1:17" x14ac:dyDescent="0.25">
      <c r="A1" s="1" t="s">
        <v>0</v>
      </c>
      <c r="B1" s="1" t="s">
        <v>193</v>
      </c>
      <c r="C1" s="1" t="s">
        <v>187</v>
      </c>
      <c r="D1" s="1" t="s">
        <v>90</v>
      </c>
      <c r="E1" s="1" t="s">
        <v>8</v>
      </c>
      <c r="F1" s="1" t="s">
        <v>158</v>
      </c>
      <c r="G1" s="1" t="s">
        <v>134</v>
      </c>
      <c r="H1" s="1" t="s">
        <v>135</v>
      </c>
      <c r="I1" s="1" t="s">
        <v>136</v>
      </c>
      <c r="J1" s="1" t="s">
        <v>137</v>
      </c>
      <c r="K1" s="1" t="s">
        <v>214</v>
      </c>
      <c r="L1" s="1" t="s">
        <v>128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</row>
    <row r="3" spans="1:17" x14ac:dyDescent="0.25">
      <c r="A3" s="2" t="s">
        <v>121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5">
      <c r="D4" t="s">
        <v>113</v>
      </c>
      <c r="M4" t="s">
        <v>118</v>
      </c>
      <c r="N4">
        <v>91</v>
      </c>
      <c r="O4" t="s">
        <v>112</v>
      </c>
      <c r="P4" t="s">
        <v>119</v>
      </c>
      <c r="Q4" t="s">
        <v>120</v>
      </c>
    </row>
    <row r="5" spans="1:17" x14ac:dyDescent="0.25">
      <c r="M5" t="s">
        <v>115</v>
      </c>
      <c r="N5">
        <v>22</v>
      </c>
      <c r="O5" t="s">
        <v>114</v>
      </c>
      <c r="P5" t="s">
        <v>117</v>
      </c>
      <c r="Q5" t="s">
        <v>116</v>
      </c>
    </row>
    <row r="7" spans="1:17" x14ac:dyDescent="0.25">
      <c r="A7" s="2" t="s">
        <v>161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D8" t="s">
        <v>113</v>
      </c>
      <c r="M8" t="s">
        <v>157</v>
      </c>
      <c r="N8">
        <v>0</v>
      </c>
      <c r="O8" t="s">
        <v>125</v>
      </c>
      <c r="P8" s="5" t="s">
        <v>162</v>
      </c>
    </row>
    <row r="9" spans="1:17" x14ac:dyDescent="0.25">
      <c r="D9" t="s">
        <v>160</v>
      </c>
      <c r="F9" t="s">
        <v>123</v>
      </c>
      <c r="M9" t="s">
        <v>157</v>
      </c>
      <c r="N9">
        <v>59</v>
      </c>
      <c r="O9" t="s">
        <v>125</v>
      </c>
      <c r="P9" s="7" t="s">
        <v>127</v>
      </c>
      <c r="Q9" t="s">
        <v>126</v>
      </c>
    </row>
    <row r="10" spans="1:17" x14ac:dyDescent="0.25">
      <c r="D10" t="s">
        <v>160</v>
      </c>
      <c r="F10" t="s">
        <v>124</v>
      </c>
      <c r="M10" t="s">
        <v>157</v>
      </c>
      <c r="N10">
        <v>7</v>
      </c>
      <c r="O10" t="s">
        <v>125</v>
      </c>
      <c r="Q10" t="s">
        <v>131</v>
      </c>
    </row>
    <row r="11" spans="1:17" x14ac:dyDescent="0.25">
      <c r="D11" t="s">
        <v>160</v>
      </c>
      <c r="F11" t="s">
        <v>122</v>
      </c>
      <c r="M11" t="s">
        <v>157</v>
      </c>
      <c r="N11">
        <v>34</v>
      </c>
      <c r="O11" t="s">
        <v>125</v>
      </c>
      <c r="Q11" t="s">
        <v>132</v>
      </c>
    </row>
    <row r="14" spans="1:17" ht="21.75" customHeight="1" x14ac:dyDescent="0.25">
      <c r="A14" s="16" t="s">
        <v>204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</row>
    <row r="15" spans="1:17" x14ac:dyDescent="0.25">
      <c r="A15" s="2" t="s">
        <v>208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3"/>
      <c r="Q15" s="3"/>
    </row>
    <row r="16" spans="1:17" x14ac:dyDescent="0.25">
      <c r="A16" s="19" t="s">
        <v>206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8"/>
      <c r="Q16" s="18"/>
    </row>
    <row r="17" spans="1:17" x14ac:dyDescent="0.25">
      <c r="A17" s="19" t="s">
        <v>207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8"/>
      <c r="Q17" s="18"/>
    </row>
    <row r="18" spans="1:17" x14ac:dyDescent="0.25">
      <c r="M18" s="6" t="s">
        <v>10</v>
      </c>
      <c r="N18" s="6">
        <v>0</v>
      </c>
      <c r="O18" s="6"/>
      <c r="P18" s="6" t="s">
        <v>15</v>
      </c>
    </row>
    <row r="19" spans="1:17" x14ac:dyDescent="0.25">
      <c r="M19" s="6" t="s">
        <v>11</v>
      </c>
      <c r="N19" s="6">
        <v>0</v>
      </c>
      <c r="O19" s="6"/>
      <c r="P19" s="6" t="s">
        <v>15</v>
      </c>
    </row>
    <row r="20" spans="1:17" x14ac:dyDescent="0.25">
      <c r="M20" s="6" t="s">
        <v>12</v>
      </c>
      <c r="N20" s="6">
        <v>0</v>
      </c>
      <c r="O20" s="6"/>
      <c r="P20" s="6" t="s">
        <v>15</v>
      </c>
    </row>
    <row r="21" spans="1:17" x14ac:dyDescent="0.25">
      <c r="A21" t="s">
        <v>7</v>
      </c>
      <c r="M21" t="s">
        <v>10</v>
      </c>
      <c r="N21">
        <v>-0.80359999999999998</v>
      </c>
      <c r="P21" t="s">
        <v>101</v>
      </c>
    </row>
    <row r="22" spans="1:17" x14ac:dyDescent="0.25">
      <c r="A22" t="s">
        <v>7</v>
      </c>
      <c r="M22" t="s">
        <v>11</v>
      </c>
      <c r="N22">
        <v>24.088999999999999</v>
      </c>
    </row>
    <row r="23" spans="1:17" x14ac:dyDescent="0.25">
      <c r="A23" t="s">
        <v>7</v>
      </c>
      <c r="M23" t="s">
        <v>12</v>
      </c>
      <c r="N23">
        <v>50.213999999999999</v>
      </c>
    </row>
    <row r="24" spans="1:17" x14ac:dyDescent="0.25">
      <c r="A24" t="s">
        <v>7</v>
      </c>
      <c r="E24" t="s">
        <v>9</v>
      </c>
      <c r="M24" t="s">
        <v>12</v>
      </c>
      <c r="N24">
        <v>55.213999999999999</v>
      </c>
    </row>
    <row r="25" spans="1:17" x14ac:dyDescent="0.25">
      <c r="A25" t="s">
        <v>7</v>
      </c>
      <c r="C25" t="s">
        <v>96</v>
      </c>
      <c r="M25" t="s">
        <v>10</v>
      </c>
      <c r="N25">
        <v>-0.71430000000000005</v>
      </c>
      <c r="P25" t="s">
        <v>100</v>
      </c>
    </row>
    <row r="26" spans="1:17" x14ac:dyDescent="0.25">
      <c r="A26" t="s">
        <v>7</v>
      </c>
      <c r="C26" t="s">
        <v>96</v>
      </c>
      <c r="M26" t="s">
        <v>11</v>
      </c>
      <c r="N26">
        <v>23.143000000000001</v>
      </c>
    </row>
    <row r="27" spans="1:17" x14ac:dyDescent="0.25">
      <c r="A27" t="s">
        <v>7</v>
      </c>
      <c r="C27" t="s">
        <v>96</v>
      </c>
      <c r="M27" t="s">
        <v>12</v>
      </c>
      <c r="N27">
        <v>42.570999999999998</v>
      </c>
    </row>
    <row r="28" spans="1:17" x14ac:dyDescent="0.25">
      <c r="A28" t="s">
        <v>7</v>
      </c>
      <c r="C28" t="s">
        <v>96</v>
      </c>
      <c r="E28" t="s">
        <v>9</v>
      </c>
      <c r="M28" t="s">
        <v>12</v>
      </c>
      <c r="N28">
        <v>47.570999999999998</v>
      </c>
    </row>
    <row r="29" spans="1:17" x14ac:dyDescent="0.25">
      <c r="A29" t="s">
        <v>7</v>
      </c>
      <c r="C29" t="s">
        <v>95</v>
      </c>
      <c r="M29" t="s">
        <v>10</v>
      </c>
      <c r="N29" s="9">
        <f>N25</f>
        <v>-0.71430000000000005</v>
      </c>
      <c r="P29" s="9" t="str">
        <f>P25</f>
        <v>Höstvete foder/bröd, södra götaland</v>
      </c>
    </row>
    <row r="30" spans="1:17" x14ac:dyDescent="0.25">
      <c r="A30" t="s">
        <v>7</v>
      </c>
      <c r="C30" t="s">
        <v>95</v>
      </c>
      <c r="M30" t="s">
        <v>11</v>
      </c>
      <c r="N30" s="9">
        <f t="shared" ref="N30:N32" si="0">N26</f>
        <v>23.143000000000001</v>
      </c>
    </row>
    <row r="31" spans="1:17" x14ac:dyDescent="0.25">
      <c r="A31" t="s">
        <v>7</v>
      </c>
      <c r="C31" t="s">
        <v>95</v>
      </c>
      <c r="M31" t="s">
        <v>12</v>
      </c>
      <c r="N31" s="9">
        <f t="shared" si="0"/>
        <v>42.570999999999998</v>
      </c>
    </row>
    <row r="32" spans="1:17" x14ac:dyDescent="0.25">
      <c r="A32" t="s">
        <v>7</v>
      </c>
      <c r="C32" t="s">
        <v>95</v>
      </c>
      <c r="E32" t="s">
        <v>9</v>
      </c>
      <c r="M32" t="s">
        <v>12</v>
      </c>
      <c r="N32" s="9">
        <f t="shared" si="0"/>
        <v>47.570999999999998</v>
      </c>
    </row>
    <row r="33" spans="1:16" x14ac:dyDescent="0.25">
      <c r="A33" t="s">
        <v>16</v>
      </c>
      <c r="M33" t="s">
        <v>11</v>
      </c>
      <c r="N33">
        <v>20</v>
      </c>
    </row>
    <row r="34" spans="1:16" x14ac:dyDescent="0.25">
      <c r="A34" t="s">
        <v>16</v>
      </c>
      <c r="M34" t="s">
        <v>12</v>
      </c>
      <c r="N34">
        <v>70</v>
      </c>
    </row>
    <row r="35" spans="1:16" x14ac:dyDescent="0.25">
      <c r="A35" t="s">
        <v>27</v>
      </c>
      <c r="M35" t="s">
        <v>10</v>
      </c>
      <c r="N35">
        <v>-1.7857000000000001</v>
      </c>
      <c r="P35" t="s">
        <v>26</v>
      </c>
    </row>
    <row r="36" spans="1:16" x14ac:dyDescent="0.25">
      <c r="A36" t="s">
        <v>27</v>
      </c>
      <c r="M36" t="s">
        <v>11</v>
      </c>
      <c r="N36">
        <v>30.786000000000001</v>
      </c>
    </row>
    <row r="37" spans="1:16" x14ac:dyDescent="0.25">
      <c r="A37" t="s">
        <v>27</v>
      </c>
      <c r="M37" t="s">
        <v>12</v>
      </c>
      <c r="N37">
        <v>25</v>
      </c>
    </row>
    <row r="38" spans="1:16" x14ac:dyDescent="0.25">
      <c r="A38" t="s">
        <v>27</v>
      </c>
      <c r="C38" t="s">
        <v>96</v>
      </c>
      <c r="M38" t="s">
        <v>10</v>
      </c>
      <c r="N38">
        <v>-1.25</v>
      </c>
      <c r="P38" t="s">
        <v>103</v>
      </c>
    </row>
    <row r="39" spans="1:16" x14ac:dyDescent="0.25">
      <c r="A39" t="s">
        <v>27</v>
      </c>
      <c r="C39" t="s">
        <v>96</v>
      </c>
      <c r="M39" t="s">
        <v>11</v>
      </c>
      <c r="N39">
        <v>27.75</v>
      </c>
    </row>
    <row r="40" spans="1:16" x14ac:dyDescent="0.25">
      <c r="A40" t="s">
        <v>27</v>
      </c>
      <c r="C40" t="s">
        <v>96</v>
      </c>
      <c r="M40" t="s">
        <v>12</v>
      </c>
      <c r="N40">
        <v>18.25</v>
      </c>
    </row>
    <row r="41" spans="1:16" x14ac:dyDescent="0.25">
      <c r="A41" t="s">
        <v>27</v>
      </c>
      <c r="C41" t="s">
        <v>95</v>
      </c>
      <c r="M41" t="s">
        <v>10</v>
      </c>
      <c r="N41" s="9">
        <f>N38</f>
        <v>-1.25</v>
      </c>
      <c r="O41" s="9"/>
      <c r="P41" s="9" t="str">
        <f>P38</f>
        <v>Råg, södra götaland</v>
      </c>
    </row>
    <row r="42" spans="1:16" x14ac:dyDescent="0.25">
      <c r="A42" t="s">
        <v>27</v>
      </c>
      <c r="C42" t="s">
        <v>95</v>
      </c>
      <c r="M42" t="s">
        <v>11</v>
      </c>
      <c r="N42" s="9">
        <f>N39</f>
        <v>27.75</v>
      </c>
      <c r="O42" s="9"/>
      <c r="P42" s="9"/>
    </row>
    <row r="43" spans="1:16" x14ac:dyDescent="0.25">
      <c r="A43" t="s">
        <v>27</v>
      </c>
      <c r="C43" t="s">
        <v>95</v>
      </c>
      <c r="M43" t="s">
        <v>12</v>
      </c>
      <c r="N43" s="9">
        <f>N40</f>
        <v>18.25</v>
      </c>
      <c r="O43" s="9"/>
      <c r="P43" s="9"/>
    </row>
    <row r="44" spans="1:16" x14ac:dyDescent="0.25">
      <c r="A44" t="s">
        <v>23</v>
      </c>
      <c r="M44" t="s">
        <v>11</v>
      </c>
      <c r="N44">
        <v>16.856999999999999</v>
      </c>
      <c r="P44" t="s">
        <v>22</v>
      </c>
    </row>
    <row r="45" spans="1:16" x14ac:dyDescent="0.25">
      <c r="A45" t="s">
        <v>23</v>
      </c>
      <c r="M45" t="s">
        <v>12</v>
      </c>
      <c r="N45">
        <v>59.143000000000001</v>
      </c>
    </row>
    <row r="46" spans="1:16" x14ac:dyDescent="0.25">
      <c r="A46" t="s">
        <v>23</v>
      </c>
      <c r="C46" t="s">
        <v>96</v>
      </c>
      <c r="M46" t="s">
        <v>10</v>
      </c>
      <c r="N46">
        <v>-0.71430000000000005</v>
      </c>
      <c r="P46" t="s">
        <v>102</v>
      </c>
    </row>
    <row r="47" spans="1:16" x14ac:dyDescent="0.25">
      <c r="A47" t="s">
        <v>23</v>
      </c>
      <c r="C47" t="s">
        <v>96</v>
      </c>
      <c r="M47" t="s">
        <v>11</v>
      </c>
      <c r="N47">
        <v>23.143000000000001</v>
      </c>
    </row>
    <row r="48" spans="1:16" x14ac:dyDescent="0.25">
      <c r="A48" t="s">
        <v>23</v>
      </c>
      <c r="C48" t="s">
        <v>96</v>
      </c>
      <c r="M48" t="s">
        <v>12</v>
      </c>
      <c r="N48">
        <v>37.570999999999998</v>
      </c>
    </row>
    <row r="49" spans="1:16" x14ac:dyDescent="0.25">
      <c r="A49" t="s">
        <v>23</v>
      </c>
      <c r="C49" t="s">
        <v>95</v>
      </c>
      <c r="M49" t="s">
        <v>10</v>
      </c>
      <c r="N49" s="9">
        <f>N46</f>
        <v>-0.71430000000000005</v>
      </c>
      <c r="P49" s="9" t="str">
        <f>P46</f>
        <v>Rågvete/höstkorn, södra götaland</v>
      </c>
    </row>
    <row r="50" spans="1:16" x14ac:dyDescent="0.25">
      <c r="A50" t="s">
        <v>23</v>
      </c>
      <c r="C50" t="s">
        <v>95</v>
      </c>
      <c r="M50" t="s">
        <v>11</v>
      </c>
      <c r="N50" s="9">
        <f>N47</f>
        <v>23.143000000000001</v>
      </c>
    </row>
    <row r="51" spans="1:16" x14ac:dyDescent="0.25">
      <c r="A51" t="s">
        <v>23</v>
      </c>
      <c r="C51" t="s">
        <v>95</v>
      </c>
      <c r="M51" t="s">
        <v>12</v>
      </c>
      <c r="N51" s="9">
        <f>N48</f>
        <v>37.570999999999998</v>
      </c>
    </row>
    <row r="52" spans="1:16" x14ac:dyDescent="0.25">
      <c r="A52" t="s">
        <v>17</v>
      </c>
      <c r="M52" t="s">
        <v>10</v>
      </c>
      <c r="N52">
        <v>-1.0713999999999999</v>
      </c>
      <c r="P52" t="s">
        <v>18</v>
      </c>
    </row>
    <row r="53" spans="1:16" x14ac:dyDescent="0.25">
      <c r="A53" t="s">
        <v>17</v>
      </c>
      <c r="M53" t="s">
        <v>11</v>
      </c>
      <c r="N53">
        <v>23.928999999999998</v>
      </c>
    </row>
    <row r="54" spans="1:16" x14ac:dyDescent="0.25">
      <c r="A54" t="s">
        <v>17</v>
      </c>
      <c r="M54" t="s">
        <v>12</v>
      </c>
      <c r="N54">
        <v>32</v>
      </c>
    </row>
    <row r="55" spans="1:16" x14ac:dyDescent="0.25">
      <c r="A55" t="s">
        <v>17</v>
      </c>
      <c r="E55" t="s">
        <v>9</v>
      </c>
      <c r="M55" t="s">
        <v>10</v>
      </c>
      <c r="N55" s="8">
        <v>1E-13</v>
      </c>
      <c r="P55" t="s">
        <v>19</v>
      </c>
    </row>
    <row r="56" spans="1:16" x14ac:dyDescent="0.25">
      <c r="A56" t="s">
        <v>17</v>
      </c>
      <c r="E56" t="s">
        <v>9</v>
      </c>
      <c r="M56" t="s">
        <v>11</v>
      </c>
      <c r="N56">
        <v>15</v>
      </c>
    </row>
    <row r="57" spans="1:16" x14ac:dyDescent="0.25">
      <c r="A57" t="s">
        <v>17</v>
      </c>
      <c r="E57" t="s">
        <v>9</v>
      </c>
      <c r="M57" t="s">
        <v>12</v>
      </c>
      <c r="N57">
        <v>45</v>
      </c>
    </row>
    <row r="58" spans="1:16" x14ac:dyDescent="0.25">
      <c r="A58" t="s">
        <v>17</v>
      </c>
      <c r="C58" t="s">
        <v>96</v>
      </c>
      <c r="M58" t="s">
        <v>10</v>
      </c>
      <c r="N58">
        <v>-1.25</v>
      </c>
      <c r="P58" t="s">
        <v>104</v>
      </c>
    </row>
    <row r="59" spans="1:16" x14ac:dyDescent="0.25">
      <c r="A59" t="s">
        <v>17</v>
      </c>
      <c r="C59" t="s">
        <v>96</v>
      </c>
      <c r="M59" t="s">
        <v>11</v>
      </c>
      <c r="N59">
        <v>25.25</v>
      </c>
    </row>
    <row r="60" spans="1:16" x14ac:dyDescent="0.25">
      <c r="A60" t="s">
        <v>17</v>
      </c>
      <c r="C60" t="s">
        <v>96</v>
      </c>
      <c r="M60" t="s">
        <v>12</v>
      </c>
      <c r="N60">
        <v>19.75</v>
      </c>
    </row>
    <row r="61" spans="1:16" x14ac:dyDescent="0.25">
      <c r="A61" t="s">
        <v>17</v>
      </c>
      <c r="C61" t="s">
        <v>96</v>
      </c>
      <c r="E61" t="s">
        <v>9</v>
      </c>
      <c r="M61" t="s">
        <v>10</v>
      </c>
      <c r="N61" s="8">
        <v>-2E-12</v>
      </c>
      <c r="P61" t="s">
        <v>105</v>
      </c>
    </row>
    <row r="62" spans="1:16" x14ac:dyDescent="0.25">
      <c r="A62" t="s">
        <v>17</v>
      </c>
      <c r="C62" t="s">
        <v>96</v>
      </c>
      <c r="E62" t="s">
        <v>9</v>
      </c>
      <c r="M62" t="s">
        <v>11</v>
      </c>
      <c r="N62">
        <v>15</v>
      </c>
    </row>
    <row r="63" spans="1:16" x14ac:dyDescent="0.25">
      <c r="A63" t="s">
        <v>17</v>
      </c>
      <c r="C63" t="s">
        <v>96</v>
      </c>
      <c r="E63" t="s">
        <v>9</v>
      </c>
      <c r="M63" t="s">
        <v>12</v>
      </c>
      <c r="N63">
        <v>45</v>
      </c>
    </row>
    <row r="64" spans="1:16" x14ac:dyDescent="0.25">
      <c r="A64" t="s">
        <v>17</v>
      </c>
      <c r="C64" t="s">
        <v>95</v>
      </c>
      <c r="M64" t="s">
        <v>10</v>
      </c>
      <c r="N64" s="9">
        <f t="shared" ref="N64:N69" si="1">N58</f>
        <v>-1.25</v>
      </c>
      <c r="P64" s="9" t="str">
        <f>P58</f>
        <v>Korn foder, södra götaland</v>
      </c>
    </row>
    <row r="65" spans="1:16" x14ac:dyDescent="0.25">
      <c r="A65" t="s">
        <v>17</v>
      </c>
      <c r="C65" t="s">
        <v>95</v>
      </c>
      <c r="M65" t="s">
        <v>11</v>
      </c>
      <c r="N65" s="9">
        <f t="shared" si="1"/>
        <v>25.25</v>
      </c>
    </row>
    <row r="66" spans="1:16" x14ac:dyDescent="0.25">
      <c r="A66" t="s">
        <v>17</v>
      </c>
      <c r="C66" t="s">
        <v>95</v>
      </c>
      <c r="M66" t="s">
        <v>12</v>
      </c>
      <c r="N66" s="9">
        <f t="shared" si="1"/>
        <v>19.75</v>
      </c>
    </row>
    <row r="67" spans="1:16" x14ac:dyDescent="0.25">
      <c r="A67" t="s">
        <v>17</v>
      </c>
      <c r="C67" t="s">
        <v>95</v>
      </c>
      <c r="E67" t="s">
        <v>9</v>
      </c>
      <c r="M67" t="s">
        <v>10</v>
      </c>
      <c r="N67" s="9">
        <f t="shared" si="1"/>
        <v>-2E-12</v>
      </c>
      <c r="P67" s="9" t="str">
        <f>P61</f>
        <v>Korn, malt södra götaland</v>
      </c>
    </row>
    <row r="68" spans="1:16" x14ac:dyDescent="0.25">
      <c r="A68" t="s">
        <v>17</v>
      </c>
      <c r="C68" t="s">
        <v>95</v>
      </c>
      <c r="E68" t="s">
        <v>9</v>
      </c>
      <c r="M68" t="s">
        <v>11</v>
      </c>
      <c r="N68" s="9">
        <f t="shared" si="1"/>
        <v>15</v>
      </c>
    </row>
    <row r="69" spans="1:16" x14ac:dyDescent="0.25">
      <c r="A69" t="s">
        <v>17</v>
      </c>
      <c r="C69" t="s">
        <v>95</v>
      </c>
      <c r="E69" t="s">
        <v>9</v>
      </c>
      <c r="M69" t="s">
        <v>12</v>
      </c>
      <c r="N69" s="9">
        <f t="shared" si="1"/>
        <v>45</v>
      </c>
    </row>
    <row r="70" spans="1:16" x14ac:dyDescent="0.25">
      <c r="A70" t="s">
        <v>17</v>
      </c>
      <c r="C70" t="s">
        <v>97</v>
      </c>
      <c r="M70" t="s">
        <v>10</v>
      </c>
      <c r="N70" s="5">
        <v>0</v>
      </c>
      <c r="P70" t="s">
        <v>107</v>
      </c>
    </row>
    <row r="71" spans="1:16" x14ac:dyDescent="0.25">
      <c r="A71" t="s">
        <v>17</v>
      </c>
      <c r="C71" t="s">
        <v>97</v>
      </c>
      <c r="M71" t="s">
        <v>11</v>
      </c>
      <c r="N71" s="5">
        <v>20</v>
      </c>
    </row>
    <row r="72" spans="1:16" x14ac:dyDescent="0.25">
      <c r="A72" t="s">
        <v>17</v>
      </c>
      <c r="C72" t="s">
        <v>97</v>
      </c>
      <c r="M72" t="s">
        <v>12</v>
      </c>
      <c r="N72" s="5">
        <v>35</v>
      </c>
    </row>
    <row r="73" spans="1:16" x14ac:dyDescent="0.25">
      <c r="A73" t="s">
        <v>17</v>
      </c>
      <c r="C73" t="s">
        <v>97</v>
      </c>
      <c r="E73" t="s">
        <v>9</v>
      </c>
      <c r="M73" t="s">
        <v>10</v>
      </c>
      <c r="N73" s="9">
        <f t="shared" ref="N73:N81" si="2">N70</f>
        <v>0</v>
      </c>
      <c r="P73" s="9" t="str">
        <f>P70</f>
        <v>Korn, norrland</v>
      </c>
    </row>
    <row r="74" spans="1:16" x14ac:dyDescent="0.25">
      <c r="A74" t="s">
        <v>17</v>
      </c>
      <c r="C74" t="s">
        <v>97</v>
      </c>
      <c r="E74" t="s">
        <v>9</v>
      </c>
      <c r="M74" t="s">
        <v>11</v>
      </c>
      <c r="N74" s="9">
        <f t="shared" si="2"/>
        <v>20</v>
      </c>
    </row>
    <row r="75" spans="1:16" x14ac:dyDescent="0.25">
      <c r="A75" t="s">
        <v>17</v>
      </c>
      <c r="C75" t="s">
        <v>97</v>
      </c>
      <c r="E75" t="s">
        <v>9</v>
      </c>
      <c r="M75" t="s">
        <v>12</v>
      </c>
      <c r="N75" s="9">
        <f t="shared" si="2"/>
        <v>35</v>
      </c>
    </row>
    <row r="76" spans="1:16" x14ac:dyDescent="0.25">
      <c r="A76" t="s">
        <v>17</v>
      </c>
      <c r="C76" t="s">
        <v>98</v>
      </c>
      <c r="M76" t="s">
        <v>10</v>
      </c>
      <c r="N76" s="9">
        <f t="shared" si="2"/>
        <v>0</v>
      </c>
      <c r="P76" s="9" t="str">
        <f>P73</f>
        <v>Korn, norrland</v>
      </c>
    </row>
    <row r="77" spans="1:16" x14ac:dyDescent="0.25">
      <c r="A77" t="s">
        <v>17</v>
      </c>
      <c r="C77" t="s">
        <v>98</v>
      </c>
      <c r="M77" t="s">
        <v>11</v>
      </c>
      <c r="N77" s="9">
        <f t="shared" si="2"/>
        <v>20</v>
      </c>
    </row>
    <row r="78" spans="1:16" x14ac:dyDescent="0.25">
      <c r="A78" t="s">
        <v>17</v>
      </c>
      <c r="C78" t="s">
        <v>98</v>
      </c>
      <c r="M78" t="s">
        <v>12</v>
      </c>
      <c r="N78" s="9">
        <f t="shared" si="2"/>
        <v>35</v>
      </c>
    </row>
    <row r="79" spans="1:16" x14ac:dyDescent="0.25">
      <c r="A79" t="s">
        <v>17</v>
      </c>
      <c r="C79" t="s">
        <v>98</v>
      </c>
      <c r="E79" t="s">
        <v>9</v>
      </c>
      <c r="M79" t="s">
        <v>10</v>
      </c>
      <c r="N79" s="9">
        <f t="shared" si="2"/>
        <v>0</v>
      </c>
      <c r="P79" s="9" t="str">
        <f>P76</f>
        <v>Korn, norrland</v>
      </c>
    </row>
    <row r="80" spans="1:16" x14ac:dyDescent="0.25">
      <c r="A80" t="s">
        <v>17</v>
      </c>
      <c r="C80" t="s">
        <v>98</v>
      </c>
      <c r="E80" t="s">
        <v>9</v>
      </c>
      <c r="M80" t="s">
        <v>11</v>
      </c>
      <c r="N80" s="9">
        <f t="shared" si="2"/>
        <v>20</v>
      </c>
    </row>
    <row r="81" spans="1:16" x14ac:dyDescent="0.25">
      <c r="A81" t="s">
        <v>17</v>
      </c>
      <c r="C81" t="s">
        <v>98</v>
      </c>
      <c r="E81" t="s">
        <v>9</v>
      </c>
      <c r="M81" t="s">
        <v>12</v>
      </c>
      <c r="N81" s="9">
        <f t="shared" si="2"/>
        <v>35</v>
      </c>
    </row>
    <row r="82" spans="1:16" x14ac:dyDescent="0.25">
      <c r="A82" t="s">
        <v>21</v>
      </c>
      <c r="M82" t="s">
        <v>10</v>
      </c>
      <c r="N82">
        <v>-1.0713999999999999</v>
      </c>
      <c r="P82" t="s">
        <v>20</v>
      </c>
    </row>
    <row r="83" spans="1:16" x14ac:dyDescent="0.25">
      <c r="A83" t="s">
        <v>21</v>
      </c>
      <c r="M83" t="s">
        <v>11</v>
      </c>
      <c r="N83">
        <v>23.928999999999998</v>
      </c>
    </row>
    <row r="84" spans="1:16" x14ac:dyDescent="0.25">
      <c r="A84" t="s">
        <v>21</v>
      </c>
      <c r="M84" t="s">
        <v>12</v>
      </c>
      <c r="N84">
        <v>22</v>
      </c>
    </row>
    <row r="85" spans="1:16" x14ac:dyDescent="0.25">
      <c r="A85" t="s">
        <v>21</v>
      </c>
      <c r="C85" t="s">
        <v>96</v>
      </c>
      <c r="M85" t="s">
        <v>10</v>
      </c>
      <c r="N85">
        <v>-1.25</v>
      </c>
      <c r="P85" t="s">
        <v>106</v>
      </c>
    </row>
    <row r="86" spans="1:16" x14ac:dyDescent="0.25">
      <c r="A86" t="s">
        <v>21</v>
      </c>
      <c r="C86" t="s">
        <v>96</v>
      </c>
      <c r="M86" t="s">
        <v>11</v>
      </c>
      <c r="N86">
        <v>25.25</v>
      </c>
    </row>
    <row r="87" spans="1:16" x14ac:dyDescent="0.25">
      <c r="A87" t="s">
        <v>21</v>
      </c>
      <c r="C87" t="s">
        <v>96</v>
      </c>
      <c r="M87" t="s">
        <v>12</v>
      </c>
      <c r="N87">
        <v>9.75</v>
      </c>
    </row>
    <row r="88" spans="1:16" x14ac:dyDescent="0.25">
      <c r="A88" t="s">
        <v>21</v>
      </c>
      <c r="C88" t="s">
        <v>95</v>
      </c>
      <c r="M88" t="s">
        <v>10</v>
      </c>
      <c r="N88" s="9">
        <f>N85</f>
        <v>-1.25</v>
      </c>
      <c r="P88" s="9" t="str">
        <f>P85</f>
        <v>Havre södra götaland</v>
      </c>
    </row>
    <row r="89" spans="1:16" x14ac:dyDescent="0.25">
      <c r="A89" t="s">
        <v>21</v>
      </c>
      <c r="C89" t="s">
        <v>95</v>
      </c>
      <c r="M89" t="s">
        <v>11</v>
      </c>
      <c r="N89" s="9">
        <f>N86</f>
        <v>25.25</v>
      </c>
    </row>
    <row r="90" spans="1:16" x14ac:dyDescent="0.25">
      <c r="A90" t="s">
        <v>21</v>
      </c>
      <c r="C90" t="s">
        <v>95</v>
      </c>
      <c r="M90" t="s">
        <v>12</v>
      </c>
      <c r="N90" s="9">
        <f>N87</f>
        <v>9.75</v>
      </c>
    </row>
    <row r="91" spans="1:16" x14ac:dyDescent="0.25">
      <c r="A91" t="s">
        <v>25</v>
      </c>
      <c r="M91" t="s">
        <v>11</v>
      </c>
      <c r="N91" s="9">
        <f>N44</f>
        <v>16.856999999999999</v>
      </c>
      <c r="P91" s="9" t="str">
        <f>P44</f>
        <v>Rågvete/höstkorn, norra  götaland och svealand</v>
      </c>
    </row>
    <row r="92" spans="1:16" x14ac:dyDescent="0.25">
      <c r="A92" t="s">
        <v>25</v>
      </c>
      <c r="M92" t="s">
        <v>12</v>
      </c>
      <c r="N92" s="9">
        <f>N45</f>
        <v>59.143000000000001</v>
      </c>
    </row>
    <row r="93" spans="1:16" x14ac:dyDescent="0.25">
      <c r="A93" t="s">
        <v>25</v>
      </c>
      <c r="C93" t="s">
        <v>96</v>
      </c>
      <c r="M93" t="s">
        <v>10</v>
      </c>
      <c r="N93" s="9">
        <f>N49</f>
        <v>-0.71430000000000005</v>
      </c>
      <c r="P93" s="9" t="str">
        <f>P49</f>
        <v>Rågvete/höstkorn, södra götaland</v>
      </c>
    </row>
    <row r="94" spans="1:16" x14ac:dyDescent="0.25">
      <c r="A94" t="s">
        <v>25</v>
      </c>
      <c r="C94" t="s">
        <v>96</v>
      </c>
      <c r="M94" t="s">
        <v>11</v>
      </c>
      <c r="N94" s="9">
        <f>N50</f>
        <v>23.143000000000001</v>
      </c>
    </row>
    <row r="95" spans="1:16" x14ac:dyDescent="0.25">
      <c r="A95" t="s">
        <v>25</v>
      </c>
      <c r="C95" t="s">
        <v>96</v>
      </c>
      <c r="M95" t="s">
        <v>12</v>
      </c>
      <c r="N95" s="9">
        <f>N51</f>
        <v>37.570999999999998</v>
      </c>
    </row>
    <row r="96" spans="1:16" x14ac:dyDescent="0.25">
      <c r="A96" t="s">
        <v>25</v>
      </c>
      <c r="C96" t="s">
        <v>95</v>
      </c>
      <c r="M96" t="s">
        <v>10</v>
      </c>
      <c r="N96" s="9">
        <f>N49</f>
        <v>-0.71430000000000005</v>
      </c>
      <c r="P96" s="9" t="str">
        <f>P49</f>
        <v>Rågvete/höstkorn, södra götaland</v>
      </c>
    </row>
    <row r="97" spans="1:16" x14ac:dyDescent="0.25">
      <c r="A97" t="s">
        <v>25</v>
      </c>
      <c r="C97" t="s">
        <v>95</v>
      </c>
      <c r="M97" t="s">
        <v>11</v>
      </c>
      <c r="N97" s="9">
        <f>N50</f>
        <v>23.143000000000001</v>
      </c>
    </row>
    <row r="98" spans="1:16" x14ac:dyDescent="0.25">
      <c r="A98" t="s">
        <v>25</v>
      </c>
      <c r="C98" t="s">
        <v>95</v>
      </c>
      <c r="M98" t="s">
        <v>12</v>
      </c>
      <c r="N98" s="9">
        <f>N51</f>
        <v>37.570999999999998</v>
      </c>
    </row>
    <row r="99" spans="1:16" x14ac:dyDescent="0.25">
      <c r="A99" t="s">
        <v>24</v>
      </c>
      <c r="M99" t="s">
        <v>11</v>
      </c>
      <c r="N99" s="9">
        <f>N44</f>
        <v>16.856999999999999</v>
      </c>
      <c r="P99" s="9" t="str">
        <f>P44</f>
        <v>Rågvete/höstkorn, norra  götaland och svealand</v>
      </c>
    </row>
    <row r="100" spans="1:16" x14ac:dyDescent="0.25">
      <c r="A100" t="s">
        <v>24</v>
      </c>
      <c r="M100" t="s">
        <v>12</v>
      </c>
      <c r="N100" s="9">
        <f>N45</f>
        <v>59.143000000000001</v>
      </c>
      <c r="P100" s="9"/>
    </row>
    <row r="101" spans="1:16" x14ac:dyDescent="0.25">
      <c r="A101" t="s">
        <v>24</v>
      </c>
      <c r="C101" t="s">
        <v>96</v>
      </c>
      <c r="M101" t="s">
        <v>10</v>
      </c>
      <c r="N101" s="9">
        <f>N49</f>
        <v>-0.71430000000000005</v>
      </c>
      <c r="P101" s="9" t="str">
        <f>P49</f>
        <v>Rågvete/höstkorn, södra götaland</v>
      </c>
    </row>
    <row r="102" spans="1:16" x14ac:dyDescent="0.25">
      <c r="A102" t="s">
        <v>24</v>
      </c>
      <c r="C102" t="s">
        <v>96</v>
      </c>
      <c r="M102" t="s">
        <v>11</v>
      </c>
      <c r="N102" s="9">
        <f>N50</f>
        <v>23.143000000000001</v>
      </c>
      <c r="P102" s="9"/>
    </row>
    <row r="103" spans="1:16" x14ac:dyDescent="0.25">
      <c r="A103" t="s">
        <v>24</v>
      </c>
      <c r="C103" t="s">
        <v>96</v>
      </c>
      <c r="M103" t="s">
        <v>12</v>
      </c>
      <c r="N103" s="9">
        <f>N51</f>
        <v>37.570999999999998</v>
      </c>
      <c r="P103" s="9"/>
    </row>
    <row r="104" spans="1:16" x14ac:dyDescent="0.25">
      <c r="A104" t="s">
        <v>24</v>
      </c>
      <c r="C104" t="s">
        <v>95</v>
      </c>
      <c r="M104" t="s">
        <v>10</v>
      </c>
      <c r="N104" s="9">
        <f>N49</f>
        <v>-0.71430000000000005</v>
      </c>
      <c r="P104" s="9" t="str">
        <f>P49</f>
        <v>Rågvete/höstkorn, södra götaland</v>
      </c>
    </row>
    <row r="105" spans="1:16" x14ac:dyDescent="0.25">
      <c r="A105" t="s">
        <v>24</v>
      </c>
      <c r="C105" t="s">
        <v>95</v>
      </c>
      <c r="M105" t="s">
        <v>11</v>
      </c>
      <c r="N105" s="9">
        <f>N50</f>
        <v>23.143000000000001</v>
      </c>
      <c r="P105" s="9"/>
    </row>
    <row r="106" spans="1:16" x14ac:dyDescent="0.25">
      <c r="A106" t="s">
        <v>24</v>
      </c>
      <c r="C106" t="s">
        <v>95</v>
      </c>
      <c r="M106" t="s">
        <v>12</v>
      </c>
      <c r="N106" s="9">
        <f>N51</f>
        <v>37.570999999999998</v>
      </c>
      <c r="P106" s="9"/>
    </row>
    <row r="107" spans="1:16" x14ac:dyDescent="0.25">
      <c r="A107" s="7" t="s">
        <v>29</v>
      </c>
      <c r="B107" s="7"/>
      <c r="F107" s="7"/>
      <c r="G107" s="7"/>
      <c r="H107" s="7"/>
      <c r="I107" s="7"/>
      <c r="J107" s="7"/>
      <c r="K107" s="7"/>
      <c r="L107" s="7"/>
      <c r="M107" s="7"/>
      <c r="N107" s="7"/>
      <c r="P107" s="7"/>
    </row>
    <row r="108" spans="1:16" x14ac:dyDescent="0.25">
      <c r="A108" t="s">
        <v>28</v>
      </c>
      <c r="M108" t="s">
        <v>12</v>
      </c>
      <c r="N108">
        <v>50</v>
      </c>
      <c r="P108" t="s">
        <v>76</v>
      </c>
    </row>
    <row r="109" spans="1:16" x14ac:dyDescent="0.25">
      <c r="A109" t="s">
        <v>30</v>
      </c>
      <c r="M109" t="s">
        <v>12</v>
      </c>
      <c r="N109">
        <v>0</v>
      </c>
      <c r="P109" t="s">
        <v>75</v>
      </c>
    </row>
    <row r="110" spans="1:16" x14ac:dyDescent="0.25">
      <c r="A110" t="s">
        <v>31</v>
      </c>
      <c r="M110" t="s">
        <v>12</v>
      </c>
      <c r="N110">
        <v>0</v>
      </c>
      <c r="P110" t="s">
        <v>75</v>
      </c>
    </row>
    <row r="111" spans="1:16" x14ac:dyDescent="0.25">
      <c r="A111" t="s">
        <v>32</v>
      </c>
      <c r="M111" t="s">
        <v>12</v>
      </c>
      <c r="N111">
        <v>0</v>
      </c>
      <c r="P111" t="s">
        <v>75</v>
      </c>
    </row>
    <row r="112" spans="1:16" x14ac:dyDescent="0.25">
      <c r="A112" t="s">
        <v>33</v>
      </c>
      <c r="M112" t="s">
        <v>12</v>
      </c>
      <c r="N112">
        <v>30</v>
      </c>
      <c r="P112" t="s">
        <v>77</v>
      </c>
    </row>
    <row r="113" spans="1:16" x14ac:dyDescent="0.25">
      <c r="A113" t="s">
        <v>34</v>
      </c>
      <c r="M113" t="s">
        <v>11</v>
      </c>
      <c r="N113">
        <v>20</v>
      </c>
    </row>
    <row r="114" spans="1:16" x14ac:dyDescent="0.25">
      <c r="A114" t="s">
        <v>34</v>
      </c>
      <c r="M114" t="s">
        <v>12</v>
      </c>
      <c r="N114">
        <v>65</v>
      </c>
    </row>
    <row r="115" spans="1:16" x14ac:dyDescent="0.25">
      <c r="A115" t="s">
        <v>35</v>
      </c>
      <c r="M115" t="s">
        <v>11</v>
      </c>
      <c r="N115">
        <v>20</v>
      </c>
    </row>
    <row r="116" spans="1:16" x14ac:dyDescent="0.25">
      <c r="A116" t="s">
        <v>35</v>
      </c>
      <c r="M116" t="s">
        <v>12</v>
      </c>
      <c r="N116">
        <v>70</v>
      </c>
    </row>
    <row r="117" spans="1:16" x14ac:dyDescent="0.25">
      <c r="A117" t="s">
        <v>36</v>
      </c>
      <c r="M117" t="s">
        <v>10</v>
      </c>
      <c r="N117">
        <v>-2.5000000000000001E-2</v>
      </c>
      <c r="P117" t="s">
        <v>108</v>
      </c>
    </row>
    <row r="118" spans="1:16" x14ac:dyDescent="0.25">
      <c r="A118" t="s">
        <v>36</v>
      </c>
      <c r="M118" t="s">
        <v>11</v>
      </c>
      <c r="N118">
        <v>4.95</v>
      </c>
    </row>
    <row r="119" spans="1:16" x14ac:dyDescent="0.25">
      <c r="A119" t="s">
        <v>36</v>
      </c>
      <c r="M119" t="s">
        <v>12</v>
      </c>
      <c r="N119">
        <v>-31.5</v>
      </c>
    </row>
    <row r="120" spans="1:16" x14ac:dyDescent="0.25">
      <c r="A120" t="s">
        <v>37</v>
      </c>
      <c r="M120" t="s">
        <v>10</v>
      </c>
      <c r="N120" s="9">
        <f>N117</f>
        <v>-2.5000000000000001E-2</v>
      </c>
      <c r="P120" s="9" t="str">
        <f>P117</f>
        <v>Potatis</v>
      </c>
    </row>
    <row r="121" spans="1:16" x14ac:dyDescent="0.25">
      <c r="A121" t="s">
        <v>37</v>
      </c>
      <c r="M121" t="s">
        <v>11</v>
      </c>
      <c r="N121" s="9">
        <f t="shared" ref="N121:N122" si="3">N118</f>
        <v>4.95</v>
      </c>
    </row>
    <row r="122" spans="1:16" x14ac:dyDescent="0.25">
      <c r="A122" t="s">
        <v>37</v>
      </c>
      <c r="M122" t="s">
        <v>12</v>
      </c>
      <c r="N122" s="9">
        <f t="shared" si="3"/>
        <v>-31.5</v>
      </c>
    </row>
    <row r="123" spans="1:16" x14ac:dyDescent="0.25">
      <c r="A123" t="s">
        <v>38</v>
      </c>
      <c r="M123" t="s">
        <v>12</v>
      </c>
      <c r="N123">
        <v>110</v>
      </c>
      <c r="P123" t="s">
        <v>80</v>
      </c>
    </row>
    <row r="124" spans="1:16" x14ac:dyDescent="0.25">
      <c r="A124" s="7" t="s">
        <v>39</v>
      </c>
      <c r="B124" s="7"/>
      <c r="F124" s="7"/>
      <c r="G124" s="7"/>
      <c r="H124" s="7"/>
      <c r="I124" s="7"/>
      <c r="J124" s="7"/>
      <c r="K124" s="7"/>
      <c r="L124" s="7"/>
    </row>
    <row r="125" spans="1:16" x14ac:dyDescent="0.25">
      <c r="A125" s="10" t="s">
        <v>40</v>
      </c>
      <c r="B125" s="10"/>
      <c r="F125" s="10"/>
      <c r="G125" s="10"/>
      <c r="H125" s="10"/>
      <c r="I125" s="10"/>
      <c r="J125" s="10"/>
      <c r="K125" s="10"/>
      <c r="L125" s="10"/>
      <c r="M125" t="s">
        <v>10</v>
      </c>
      <c r="N125">
        <v>-1.4286000000000001</v>
      </c>
      <c r="P125" t="s">
        <v>81</v>
      </c>
    </row>
    <row r="126" spans="1:16" x14ac:dyDescent="0.25">
      <c r="A126" s="10" t="s">
        <v>40</v>
      </c>
      <c r="B126" s="10"/>
      <c r="F126" s="10"/>
      <c r="G126" s="10"/>
      <c r="H126" s="10"/>
      <c r="I126" s="10"/>
      <c r="J126" s="10"/>
      <c r="K126" s="10"/>
      <c r="L126" s="10"/>
      <c r="M126" t="s">
        <v>11</v>
      </c>
      <c r="N126">
        <v>40.713999999999999</v>
      </c>
    </row>
    <row r="127" spans="1:16" x14ac:dyDescent="0.25">
      <c r="A127" s="10" t="s">
        <v>40</v>
      </c>
      <c r="B127" s="10"/>
      <c r="F127" s="10"/>
      <c r="G127" s="10"/>
      <c r="H127" s="10"/>
      <c r="I127" s="10"/>
      <c r="J127" s="10"/>
      <c r="K127" s="10"/>
      <c r="L127" s="10"/>
      <c r="M127" t="s">
        <v>12</v>
      </c>
      <c r="N127">
        <v>-74.856999999999999</v>
      </c>
    </row>
    <row r="128" spans="1:16" x14ac:dyDescent="0.25">
      <c r="A128" s="10" t="s">
        <v>41</v>
      </c>
      <c r="B128" s="11"/>
      <c r="F128" s="11"/>
      <c r="G128" s="11"/>
      <c r="H128" s="11"/>
      <c r="I128" s="11"/>
      <c r="J128" s="11"/>
      <c r="K128" s="11"/>
      <c r="L128" s="11"/>
      <c r="M128" t="s">
        <v>12</v>
      </c>
      <c r="N128" s="5">
        <v>11</v>
      </c>
      <c r="O128" s="5"/>
      <c r="P128" s="5" t="s">
        <v>198</v>
      </c>
    </row>
    <row r="129" spans="1:17" x14ac:dyDescent="0.25">
      <c r="A129" s="5" t="s">
        <v>73</v>
      </c>
      <c r="B129" s="5"/>
      <c r="F129" s="5"/>
      <c r="G129" s="5"/>
      <c r="H129" s="5"/>
      <c r="I129" s="5"/>
      <c r="J129" s="5"/>
      <c r="K129" s="5"/>
      <c r="L129" s="5"/>
      <c r="M129" t="s">
        <v>12</v>
      </c>
      <c r="N129">
        <v>0</v>
      </c>
      <c r="P129" t="s">
        <v>74</v>
      </c>
    </row>
    <row r="130" spans="1:17" x14ac:dyDescent="0.25">
      <c r="A130" s="5" t="s">
        <v>42</v>
      </c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 t="s">
        <v>10</v>
      </c>
      <c r="N130" s="5">
        <v>-1.7857000000000001</v>
      </c>
      <c r="P130" s="7"/>
    </row>
    <row r="131" spans="1:17" x14ac:dyDescent="0.25">
      <c r="A131" s="5" t="s">
        <v>42</v>
      </c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 t="s">
        <v>11</v>
      </c>
      <c r="N131" s="5">
        <v>43.570999999999998</v>
      </c>
      <c r="P131" s="7"/>
    </row>
    <row r="132" spans="1:17" x14ac:dyDescent="0.25">
      <c r="A132" s="5" t="s">
        <v>42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 t="s">
        <v>12</v>
      </c>
      <c r="N132" s="5">
        <v>-112.5</v>
      </c>
      <c r="P132" s="7"/>
    </row>
    <row r="133" spans="1:17" x14ac:dyDescent="0.25">
      <c r="A133" s="11" t="s">
        <v>43</v>
      </c>
      <c r="B133" s="11"/>
      <c r="F133" s="11"/>
      <c r="G133" s="11"/>
      <c r="H133" s="11"/>
      <c r="I133" s="11"/>
      <c r="J133" s="11"/>
      <c r="K133" s="11"/>
      <c r="L133" s="11"/>
    </row>
    <row r="134" spans="1:17" x14ac:dyDescent="0.25">
      <c r="A134" s="11" t="s">
        <v>44</v>
      </c>
      <c r="B134" s="11"/>
      <c r="F134" s="11"/>
      <c r="G134" s="11"/>
      <c r="H134" s="11"/>
      <c r="I134" s="11"/>
      <c r="J134" s="11"/>
      <c r="K134" s="11"/>
      <c r="L134" s="11"/>
    </row>
    <row r="135" spans="1:17" x14ac:dyDescent="0.25">
      <c r="A135" s="10" t="s">
        <v>45</v>
      </c>
      <c r="B135" s="10"/>
      <c r="F135" s="10"/>
      <c r="G135" s="10"/>
      <c r="H135" s="10"/>
      <c r="I135" s="10"/>
      <c r="J135" s="10"/>
      <c r="K135" s="10"/>
      <c r="L135" s="10"/>
      <c r="M135" t="s">
        <v>12</v>
      </c>
      <c r="N135">
        <v>0</v>
      </c>
      <c r="P135" t="s">
        <v>74</v>
      </c>
    </row>
    <row r="136" spans="1:17" x14ac:dyDescent="0.25">
      <c r="A136" s="10" t="s">
        <v>46</v>
      </c>
      <c r="B136" s="10"/>
      <c r="F136" s="10"/>
      <c r="G136" s="10"/>
      <c r="H136" s="10"/>
      <c r="I136" s="10"/>
      <c r="J136" s="10"/>
      <c r="K136" s="10"/>
      <c r="L136" s="10"/>
      <c r="M136" t="s">
        <v>12</v>
      </c>
      <c r="N136">
        <v>0</v>
      </c>
      <c r="P136" t="s">
        <v>74</v>
      </c>
    </row>
    <row r="137" spans="1:17" x14ac:dyDescent="0.25">
      <c r="A137" t="s">
        <v>47</v>
      </c>
      <c r="M137" t="s">
        <v>11</v>
      </c>
      <c r="N137">
        <v>2.5</v>
      </c>
      <c r="P137" t="s">
        <v>85</v>
      </c>
      <c r="Q137" t="s">
        <v>86</v>
      </c>
    </row>
    <row r="138" spans="1:17" x14ac:dyDescent="0.25">
      <c r="A138" t="s">
        <v>47</v>
      </c>
      <c r="M138" t="s">
        <v>12</v>
      </c>
      <c r="N138">
        <v>25</v>
      </c>
    </row>
    <row r="139" spans="1:17" x14ac:dyDescent="0.25">
      <c r="A139" t="s">
        <v>48</v>
      </c>
      <c r="M139" t="s">
        <v>11</v>
      </c>
      <c r="N139">
        <v>1.3846000000000001</v>
      </c>
      <c r="P139" t="s">
        <v>85</v>
      </c>
      <c r="Q139" t="s">
        <v>86</v>
      </c>
    </row>
    <row r="140" spans="1:17" x14ac:dyDescent="0.25">
      <c r="A140" t="s">
        <v>48</v>
      </c>
      <c r="M140" t="s">
        <v>12</v>
      </c>
      <c r="N140">
        <v>11.538</v>
      </c>
    </row>
    <row r="141" spans="1:17" x14ac:dyDescent="0.25">
      <c r="A141" s="5" t="s">
        <v>49</v>
      </c>
      <c r="B141" s="5"/>
      <c r="F141" s="5"/>
      <c r="G141" s="5"/>
      <c r="H141" s="5"/>
      <c r="I141" s="5"/>
      <c r="J141" s="5"/>
      <c r="K141" s="5"/>
      <c r="L141" s="5"/>
      <c r="M141" t="s">
        <v>11</v>
      </c>
      <c r="N141" s="9">
        <f>N139</f>
        <v>1.3846000000000001</v>
      </c>
      <c r="P141" s="7" t="s">
        <v>110</v>
      </c>
    </row>
    <row r="142" spans="1:17" x14ac:dyDescent="0.25">
      <c r="A142" s="5" t="s">
        <v>49</v>
      </c>
      <c r="B142" s="5"/>
      <c r="F142" s="5"/>
      <c r="G142" s="5"/>
      <c r="H142" s="5"/>
      <c r="I142" s="5"/>
      <c r="J142" s="5"/>
      <c r="K142" s="5"/>
      <c r="L142" s="5"/>
      <c r="M142" t="s">
        <v>12</v>
      </c>
      <c r="N142" s="9">
        <f>N140</f>
        <v>11.538</v>
      </c>
    </row>
    <row r="143" spans="1:17" x14ac:dyDescent="0.25">
      <c r="A143" s="5" t="s">
        <v>50</v>
      </c>
      <c r="B143" s="5"/>
      <c r="F143" s="5"/>
      <c r="G143" s="5"/>
      <c r="H143" s="5"/>
      <c r="I143" s="5"/>
      <c r="J143" s="5"/>
      <c r="K143" s="5"/>
      <c r="L143" s="5"/>
      <c r="M143" t="s">
        <v>11</v>
      </c>
      <c r="N143">
        <v>3.3332999999999999</v>
      </c>
      <c r="P143" t="s">
        <v>87</v>
      </c>
      <c r="Q143" t="s">
        <v>86</v>
      </c>
    </row>
    <row r="144" spans="1:17" x14ac:dyDescent="0.25">
      <c r="A144" s="5" t="s">
        <v>50</v>
      </c>
      <c r="B144" s="5"/>
      <c r="F144" s="5"/>
      <c r="G144" s="5"/>
      <c r="H144" s="5"/>
      <c r="I144" s="5"/>
      <c r="J144" s="5"/>
      <c r="K144" s="5"/>
      <c r="L144" s="5"/>
      <c r="M144" t="s">
        <v>12</v>
      </c>
      <c r="N144">
        <v>33.332999999999998</v>
      </c>
    </row>
    <row r="145" spans="1:17" x14ac:dyDescent="0.25">
      <c r="A145" s="5" t="s">
        <v>51</v>
      </c>
      <c r="B145" s="5"/>
      <c r="F145" s="5"/>
      <c r="G145" s="5"/>
      <c r="H145" s="5"/>
      <c r="I145" s="5"/>
      <c r="J145" s="5"/>
      <c r="K145" s="5"/>
      <c r="L145" s="5"/>
      <c r="M145" t="s">
        <v>11</v>
      </c>
      <c r="N145">
        <v>3</v>
      </c>
      <c r="P145" t="s">
        <v>88</v>
      </c>
      <c r="Q145" t="s">
        <v>86</v>
      </c>
    </row>
    <row r="146" spans="1:17" x14ac:dyDescent="0.25">
      <c r="A146" s="5" t="s">
        <v>51</v>
      </c>
      <c r="B146" s="5"/>
      <c r="F146" s="5"/>
      <c r="G146" s="5"/>
      <c r="H146" s="5"/>
      <c r="I146" s="5"/>
      <c r="J146" s="5"/>
      <c r="K146" s="5"/>
      <c r="L146" s="5"/>
      <c r="M146" t="s">
        <v>12</v>
      </c>
      <c r="N146">
        <v>90</v>
      </c>
    </row>
    <row r="147" spans="1:17" x14ac:dyDescent="0.25">
      <c r="A147" s="5" t="s">
        <v>52</v>
      </c>
      <c r="B147" s="5"/>
      <c r="F147" s="5"/>
      <c r="G147" s="5"/>
      <c r="H147" s="5"/>
      <c r="I147" s="5"/>
      <c r="J147" s="5"/>
      <c r="K147" s="5"/>
      <c r="L147" s="5"/>
      <c r="M147" s="5" t="s">
        <v>10</v>
      </c>
      <c r="N147">
        <v>1.7999999999999999E-2</v>
      </c>
      <c r="P147" t="s">
        <v>89</v>
      </c>
      <c r="Q147" t="s">
        <v>86</v>
      </c>
    </row>
    <row r="148" spans="1:17" x14ac:dyDescent="0.25">
      <c r="A148" s="5" t="s">
        <v>52</v>
      </c>
      <c r="B148" s="5"/>
      <c r="F148" s="5"/>
      <c r="G148" s="5"/>
      <c r="H148" s="5"/>
      <c r="I148" s="5"/>
      <c r="J148" s="5"/>
      <c r="K148" s="5"/>
      <c r="L148" s="5"/>
      <c r="M148" t="s">
        <v>11</v>
      </c>
      <c r="N148">
        <v>1.2583</v>
      </c>
    </row>
    <row r="149" spans="1:17" x14ac:dyDescent="0.25">
      <c r="A149" s="5" t="s">
        <v>52</v>
      </c>
      <c r="B149" s="5"/>
      <c r="F149" s="5"/>
      <c r="G149" s="5"/>
      <c r="H149" s="5"/>
      <c r="I149" s="5"/>
      <c r="J149" s="5"/>
      <c r="K149" s="5"/>
      <c r="L149" s="5"/>
      <c r="M149" t="s">
        <v>12</v>
      </c>
      <c r="N149">
        <v>0</v>
      </c>
    </row>
    <row r="150" spans="1:17" x14ac:dyDescent="0.25">
      <c r="A150" s="5" t="s">
        <v>53</v>
      </c>
      <c r="B150" s="5"/>
      <c r="F150" s="5"/>
      <c r="G150" s="5"/>
      <c r="H150" s="5"/>
      <c r="I150" s="5"/>
      <c r="J150" s="5"/>
      <c r="K150" s="5"/>
      <c r="L150" s="5"/>
      <c r="M150" s="5" t="s">
        <v>10</v>
      </c>
      <c r="N150" s="9">
        <f>N147</f>
        <v>1.7999999999999999E-2</v>
      </c>
      <c r="P150" s="9" t="str">
        <f>P147</f>
        <v xml:space="preserve">yield in fresh weight 5% DM </v>
      </c>
      <c r="Q150" s="9" t="str">
        <f>Q147</f>
        <v>Yara (2018)</v>
      </c>
    </row>
    <row r="151" spans="1:17" x14ac:dyDescent="0.25">
      <c r="A151" s="5" t="s">
        <v>53</v>
      </c>
      <c r="B151" s="5"/>
      <c r="F151" s="5"/>
      <c r="G151" s="5"/>
      <c r="H151" s="5"/>
      <c r="I151" s="5"/>
      <c r="J151" s="5"/>
      <c r="K151" s="5"/>
      <c r="L151" s="5"/>
      <c r="M151" t="s">
        <v>11</v>
      </c>
      <c r="N151" s="9">
        <f>N148</f>
        <v>1.2583</v>
      </c>
      <c r="O151" s="9"/>
      <c r="P151" s="9"/>
      <c r="Q151" s="9"/>
    </row>
    <row r="152" spans="1:17" x14ac:dyDescent="0.25">
      <c r="A152" s="5" t="s">
        <v>53</v>
      </c>
      <c r="B152" s="5"/>
      <c r="F152" s="5"/>
      <c r="G152" s="5"/>
      <c r="H152" s="5"/>
      <c r="I152" s="5"/>
      <c r="J152" s="5"/>
      <c r="K152" s="5"/>
      <c r="L152" s="5"/>
      <c r="M152" t="s">
        <v>12</v>
      </c>
      <c r="N152" s="9">
        <f>N149</f>
        <v>0</v>
      </c>
      <c r="O152" s="9"/>
      <c r="P152" s="9"/>
      <c r="Q152" s="9"/>
    </row>
    <row r="153" spans="1:17" x14ac:dyDescent="0.25">
      <c r="A153" s="5" t="s">
        <v>54</v>
      </c>
      <c r="B153" s="5"/>
      <c r="F153" s="5"/>
      <c r="G153" s="5"/>
      <c r="H153" s="5"/>
      <c r="I153" s="5"/>
      <c r="J153" s="5"/>
      <c r="K153" s="5"/>
      <c r="L153" s="5"/>
      <c r="M153" t="s">
        <v>11</v>
      </c>
      <c r="N153" s="9">
        <f>N143</f>
        <v>3.3332999999999999</v>
      </c>
      <c r="P153" s="7" t="s">
        <v>111</v>
      </c>
    </row>
    <row r="154" spans="1:17" x14ac:dyDescent="0.25">
      <c r="A154" s="5" t="s">
        <v>54</v>
      </c>
      <c r="B154" s="5"/>
      <c r="F154" s="5"/>
      <c r="G154" s="5"/>
      <c r="H154" s="5"/>
      <c r="I154" s="5"/>
      <c r="J154" s="5"/>
      <c r="K154" s="5"/>
      <c r="L154" s="5"/>
      <c r="M154" t="s">
        <v>12</v>
      </c>
      <c r="N154" s="9">
        <f>N144</f>
        <v>33.332999999999998</v>
      </c>
    </row>
    <row r="155" spans="1:17" x14ac:dyDescent="0.25">
      <c r="A155" s="7" t="s">
        <v>55</v>
      </c>
      <c r="B155" s="7"/>
      <c r="F155" s="7"/>
      <c r="G155" s="7"/>
      <c r="H155" s="7"/>
      <c r="I155" s="7"/>
      <c r="J155" s="7"/>
      <c r="K155" s="7"/>
      <c r="L155" s="7"/>
    </row>
    <row r="156" spans="1:17" x14ac:dyDescent="0.25">
      <c r="A156" s="5" t="s">
        <v>56</v>
      </c>
      <c r="B156" s="5"/>
      <c r="F156" s="5"/>
      <c r="G156" s="5"/>
      <c r="H156" s="5"/>
      <c r="I156" s="5"/>
      <c r="J156" s="5"/>
      <c r="K156" s="5"/>
      <c r="L156" s="5"/>
      <c r="M156" t="s">
        <v>12</v>
      </c>
      <c r="N156">
        <v>65</v>
      </c>
      <c r="P156" t="s">
        <v>82</v>
      </c>
    </row>
    <row r="157" spans="1:17" x14ac:dyDescent="0.25">
      <c r="A157" s="7" t="s">
        <v>57</v>
      </c>
      <c r="B157" s="7"/>
      <c r="F157" s="7"/>
      <c r="G157" s="7"/>
      <c r="H157" s="7"/>
      <c r="I157" s="7"/>
      <c r="J157" s="7"/>
      <c r="K157" s="7"/>
      <c r="L157" s="7"/>
    </row>
    <row r="158" spans="1:17" x14ac:dyDescent="0.25">
      <c r="A158" s="5" t="s">
        <v>58</v>
      </c>
      <c r="B158" s="5"/>
      <c r="F158" s="5"/>
      <c r="G158" s="5"/>
      <c r="H158" s="5"/>
      <c r="I158" s="5"/>
      <c r="J158" s="5"/>
      <c r="K158" s="5"/>
      <c r="L158" s="5"/>
      <c r="M158" t="s">
        <v>12</v>
      </c>
      <c r="N158">
        <v>65</v>
      </c>
      <c r="P158" t="s">
        <v>83</v>
      </c>
    </row>
    <row r="159" spans="1:17" x14ac:dyDescent="0.25">
      <c r="A159" s="5" t="s">
        <v>59</v>
      </c>
      <c r="B159" s="5"/>
      <c r="F159" s="5"/>
      <c r="G159" s="5"/>
      <c r="H159" s="5"/>
      <c r="I159" s="5"/>
      <c r="J159" s="5"/>
      <c r="K159" s="5"/>
      <c r="L159" s="5"/>
      <c r="M159" t="s">
        <v>12</v>
      </c>
      <c r="N159">
        <v>100</v>
      </c>
      <c r="P159" t="s">
        <v>84</v>
      </c>
    </row>
    <row r="160" spans="1:17" x14ac:dyDescent="0.25">
      <c r="A160" s="5" t="s">
        <v>60</v>
      </c>
      <c r="B160" s="5"/>
      <c r="F160" s="5"/>
      <c r="G160" s="5"/>
      <c r="H160" s="5"/>
      <c r="I160" s="5"/>
      <c r="J160" s="5"/>
      <c r="K160" s="5"/>
      <c r="L160" s="5"/>
      <c r="M160" t="s">
        <v>12</v>
      </c>
      <c r="N160">
        <v>110</v>
      </c>
    </row>
    <row r="161" spans="1:17" x14ac:dyDescent="0.25">
      <c r="A161" s="5" t="s">
        <v>61</v>
      </c>
      <c r="B161" s="5"/>
      <c r="F161" s="5"/>
      <c r="G161" s="5"/>
      <c r="H161" s="5"/>
      <c r="I161" s="5"/>
      <c r="J161" s="5"/>
      <c r="K161" s="5"/>
      <c r="L161" s="5"/>
      <c r="M161" t="s">
        <v>12</v>
      </c>
      <c r="N161" s="9">
        <f>N159</f>
        <v>100</v>
      </c>
      <c r="P161" s="7" t="s">
        <v>109</v>
      </c>
    </row>
    <row r="162" spans="1:17" x14ac:dyDescent="0.25">
      <c r="A162" s="7" t="s">
        <v>62</v>
      </c>
      <c r="B162" s="7"/>
      <c r="F162" s="7"/>
      <c r="G162" s="7"/>
      <c r="H162" s="7"/>
      <c r="I162" s="7"/>
      <c r="J162" s="7"/>
      <c r="K162" s="7"/>
      <c r="L162" s="7"/>
    </row>
    <row r="163" spans="1:17" x14ac:dyDescent="0.25">
      <c r="A163" s="7" t="s">
        <v>63</v>
      </c>
      <c r="B163" s="7"/>
      <c r="F163" s="7"/>
      <c r="G163" s="7"/>
      <c r="H163" s="7"/>
      <c r="I163" s="7"/>
      <c r="J163" s="7"/>
      <c r="K163" s="7"/>
      <c r="L163" s="7"/>
    </row>
    <row r="164" spans="1:17" x14ac:dyDescent="0.25">
      <c r="A164" s="7" t="s">
        <v>64</v>
      </c>
      <c r="B164" s="7"/>
      <c r="F164" s="7"/>
      <c r="G164" s="7"/>
      <c r="H164" s="7"/>
      <c r="I164" s="7"/>
      <c r="J164" s="7"/>
      <c r="K164" s="7"/>
      <c r="L164" s="7"/>
    </row>
    <row r="165" spans="1:17" x14ac:dyDescent="0.25">
      <c r="A165" s="7" t="s">
        <v>65</v>
      </c>
      <c r="B165" s="7"/>
      <c r="F165" s="7"/>
      <c r="G165" s="7"/>
      <c r="H165" s="7"/>
      <c r="I165" s="7"/>
      <c r="J165" s="7"/>
      <c r="K165" s="7"/>
      <c r="L165" s="7"/>
    </row>
    <row r="166" spans="1:17" x14ac:dyDescent="0.25">
      <c r="A166" s="7" t="s">
        <v>66</v>
      </c>
      <c r="B166" s="7"/>
      <c r="F166" s="7"/>
      <c r="G166" s="7"/>
      <c r="H166" s="7"/>
      <c r="I166" s="7"/>
      <c r="J166" s="7"/>
      <c r="K166" s="7"/>
      <c r="L166" s="7"/>
    </row>
    <row r="167" spans="1:17" x14ac:dyDescent="0.25">
      <c r="A167" s="7" t="s">
        <v>67</v>
      </c>
      <c r="B167" s="7"/>
      <c r="F167" s="7"/>
      <c r="G167" s="7"/>
      <c r="H167" s="7"/>
      <c r="I167" s="7"/>
      <c r="J167" s="7"/>
      <c r="K167" s="7"/>
      <c r="L167" s="7"/>
    </row>
    <row r="168" spans="1:17" x14ac:dyDescent="0.25">
      <c r="A168" s="7" t="s">
        <v>68</v>
      </c>
      <c r="B168" s="7"/>
      <c r="F168" s="7"/>
      <c r="G168" s="7"/>
      <c r="H168" s="7"/>
      <c r="I168" s="7"/>
      <c r="J168" s="7"/>
      <c r="K168" s="7"/>
      <c r="L168" s="7"/>
    </row>
    <row r="169" spans="1:17" x14ac:dyDescent="0.25">
      <c r="A169" s="5" t="s">
        <v>69</v>
      </c>
      <c r="B169" s="5"/>
      <c r="F169" s="5"/>
      <c r="G169" s="5"/>
      <c r="H169" s="5"/>
      <c r="I169" s="5"/>
      <c r="J169" s="5"/>
      <c r="K169" s="5"/>
      <c r="L169" s="5"/>
      <c r="M169" t="s">
        <v>12</v>
      </c>
      <c r="N169">
        <v>0</v>
      </c>
      <c r="P169" t="s">
        <v>74</v>
      </c>
    </row>
    <row r="170" spans="1:17" x14ac:dyDescent="0.25">
      <c r="A170" s="7" t="s">
        <v>70</v>
      </c>
      <c r="B170" s="7"/>
      <c r="F170" s="7"/>
      <c r="G170" s="7"/>
      <c r="H170" s="7"/>
      <c r="I170" s="7"/>
      <c r="J170" s="7"/>
      <c r="K170" s="7"/>
      <c r="L170" s="7"/>
      <c r="P170" s="7" t="s">
        <v>217</v>
      </c>
    </row>
    <row r="171" spans="1:17" x14ac:dyDescent="0.25">
      <c r="A171" s="7" t="s">
        <v>70</v>
      </c>
      <c r="B171" s="7"/>
      <c r="F171" s="7"/>
      <c r="G171" s="7"/>
      <c r="H171" s="7"/>
      <c r="I171" s="7"/>
      <c r="J171" s="7"/>
      <c r="K171" s="7"/>
      <c r="L171" s="7"/>
    </row>
    <row r="172" spans="1:17" x14ac:dyDescent="0.25">
      <c r="A172" s="7" t="s">
        <v>70</v>
      </c>
      <c r="B172" s="7"/>
      <c r="F172" s="7"/>
      <c r="G172" s="7"/>
      <c r="H172" s="7"/>
      <c r="I172" s="7"/>
      <c r="J172" s="7"/>
      <c r="K172" s="7"/>
      <c r="L172" s="7"/>
    </row>
    <row r="173" spans="1:17" x14ac:dyDescent="0.25">
      <c r="A173" s="7" t="s">
        <v>71</v>
      </c>
      <c r="B173" s="7"/>
      <c r="F173" s="7"/>
      <c r="G173" s="7"/>
      <c r="H173" s="7"/>
      <c r="I173" s="7"/>
      <c r="J173" s="7"/>
      <c r="K173" s="7"/>
      <c r="L173" s="7"/>
    </row>
    <row r="174" spans="1:17" x14ac:dyDescent="0.25">
      <c r="A174" s="5" t="s">
        <v>72</v>
      </c>
      <c r="B174" s="5"/>
      <c r="F174" s="5"/>
      <c r="G174" s="5"/>
      <c r="H174" s="5"/>
      <c r="I174" s="5"/>
      <c r="J174" s="5"/>
      <c r="K174" s="5"/>
      <c r="L174" s="5"/>
      <c r="M174" t="s">
        <v>12</v>
      </c>
      <c r="N174">
        <v>0</v>
      </c>
      <c r="P174" t="s">
        <v>74</v>
      </c>
    </row>
    <row r="176" spans="1:17" x14ac:dyDescent="0.25">
      <c r="A176" s="2" t="s">
        <v>211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"/>
      <c r="Q176" s="3"/>
    </row>
    <row r="177" spans="1:16" s="18" customFormat="1" x14ac:dyDescent="0.25">
      <c r="A177" s="19" t="s">
        <v>209</v>
      </c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spans="1:16" s="18" customFormat="1" x14ac:dyDescent="0.25">
      <c r="A178" s="19" t="s">
        <v>210</v>
      </c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spans="1:16" x14ac:dyDescent="0.25">
      <c r="M179" s="6" t="s">
        <v>13</v>
      </c>
      <c r="N179" s="6">
        <v>0</v>
      </c>
      <c r="O179" s="6"/>
      <c r="P179" s="6" t="s">
        <v>15</v>
      </c>
    </row>
    <row r="180" spans="1:16" x14ac:dyDescent="0.25">
      <c r="M180" s="6" t="s">
        <v>14</v>
      </c>
      <c r="N180" s="6">
        <v>1</v>
      </c>
      <c r="O180" s="6"/>
      <c r="P180" s="6" t="s">
        <v>15</v>
      </c>
    </row>
    <row r="181" spans="1:16" x14ac:dyDescent="0.25">
      <c r="A181" t="s">
        <v>7</v>
      </c>
      <c r="M181" t="s">
        <v>13</v>
      </c>
      <c r="N181">
        <v>-0.32340000000000002</v>
      </c>
    </row>
    <row r="182" spans="1:16" x14ac:dyDescent="0.25">
      <c r="A182" t="s">
        <v>7</v>
      </c>
      <c r="M182" t="s">
        <v>14</v>
      </c>
      <c r="N182">
        <v>0.97240000000000004</v>
      </c>
    </row>
    <row r="183" spans="1:16" x14ac:dyDescent="0.25">
      <c r="A183" t="s">
        <v>16</v>
      </c>
      <c r="M183" t="s">
        <v>13</v>
      </c>
      <c r="N183">
        <v>-0.32500000000000001</v>
      </c>
    </row>
    <row r="184" spans="1:16" x14ac:dyDescent="0.25">
      <c r="A184" t="s">
        <v>16</v>
      </c>
      <c r="M184" t="s">
        <v>14</v>
      </c>
      <c r="N184">
        <v>0.81369999999999998</v>
      </c>
    </row>
    <row r="185" spans="1:16" x14ac:dyDescent="0.25">
      <c r="A185" t="s">
        <v>27</v>
      </c>
      <c r="M185" t="s">
        <v>13</v>
      </c>
      <c r="N185">
        <v>-0.58699999999999997</v>
      </c>
    </row>
    <row r="186" spans="1:16" x14ac:dyDescent="0.25">
      <c r="A186" t="s">
        <v>27</v>
      </c>
      <c r="M186" t="s">
        <v>14</v>
      </c>
      <c r="N186">
        <v>0.82350000000000001</v>
      </c>
    </row>
    <row r="187" spans="1:16" x14ac:dyDescent="0.25">
      <c r="A187" t="s">
        <v>23</v>
      </c>
      <c r="M187" t="s">
        <v>13</v>
      </c>
      <c r="N187">
        <v>-0.35070000000000001</v>
      </c>
    </row>
    <row r="188" spans="1:16" x14ac:dyDescent="0.25">
      <c r="A188" t="s">
        <v>23</v>
      </c>
      <c r="M188" t="s">
        <v>14</v>
      </c>
      <c r="N188">
        <v>0.9234</v>
      </c>
    </row>
    <row r="189" spans="1:16" x14ac:dyDescent="0.25">
      <c r="A189" t="s">
        <v>17</v>
      </c>
      <c r="M189" t="s">
        <v>13</v>
      </c>
      <c r="N189">
        <v>-0.41710000000000003</v>
      </c>
    </row>
    <row r="190" spans="1:16" x14ac:dyDescent="0.25">
      <c r="A190" t="s">
        <v>17</v>
      </c>
      <c r="M190" t="s">
        <v>14</v>
      </c>
      <c r="N190">
        <v>0.91610000000000003</v>
      </c>
    </row>
    <row r="191" spans="1:16" x14ac:dyDescent="0.25">
      <c r="A191" t="s">
        <v>21</v>
      </c>
      <c r="M191" t="s">
        <v>13</v>
      </c>
      <c r="N191">
        <v>-0.74150000000000005</v>
      </c>
    </row>
    <row r="192" spans="1:16" x14ac:dyDescent="0.25">
      <c r="A192" t="s">
        <v>21</v>
      </c>
      <c r="M192" t="s">
        <v>14</v>
      </c>
      <c r="N192">
        <v>0.96550000000000002</v>
      </c>
    </row>
    <row r="193" spans="1:16" x14ac:dyDescent="0.25">
      <c r="A193" t="s">
        <v>25</v>
      </c>
      <c r="M193" t="s">
        <v>13</v>
      </c>
      <c r="N193" s="9">
        <f>N195</f>
        <v>-0.58699999999999997</v>
      </c>
    </row>
    <row r="194" spans="1:16" x14ac:dyDescent="0.25">
      <c r="A194" t="s">
        <v>25</v>
      </c>
      <c r="M194" t="s">
        <v>14</v>
      </c>
      <c r="N194" s="9">
        <f>N196</f>
        <v>0.82350000000000001</v>
      </c>
    </row>
    <row r="195" spans="1:16" x14ac:dyDescent="0.25">
      <c r="A195" t="s">
        <v>24</v>
      </c>
      <c r="M195" t="s">
        <v>13</v>
      </c>
      <c r="N195">
        <v>-0.58699999999999997</v>
      </c>
    </row>
    <row r="196" spans="1:16" x14ac:dyDescent="0.25">
      <c r="A196" t="s">
        <v>24</v>
      </c>
      <c r="M196" t="s">
        <v>14</v>
      </c>
      <c r="N196">
        <v>0.82350000000000001</v>
      </c>
    </row>
    <row r="197" spans="1:16" x14ac:dyDescent="0.25">
      <c r="A197" s="7" t="s">
        <v>29</v>
      </c>
      <c r="B197" s="7"/>
      <c r="F197" s="7"/>
      <c r="G197" s="7"/>
      <c r="H197" s="7"/>
      <c r="I197" s="7"/>
      <c r="J197" s="7"/>
      <c r="K197" s="7"/>
      <c r="L197" s="7"/>
      <c r="N197" s="9"/>
      <c r="P197" s="7"/>
    </row>
    <row r="198" spans="1:16" x14ac:dyDescent="0.25">
      <c r="A198" s="5" t="s">
        <v>28</v>
      </c>
      <c r="B198" s="5"/>
      <c r="F198" s="5"/>
      <c r="G198" s="5"/>
      <c r="H198" s="5"/>
      <c r="I198" s="5"/>
      <c r="J198" s="5"/>
      <c r="K198" s="5"/>
      <c r="L198" s="5"/>
      <c r="M198" t="s">
        <v>14</v>
      </c>
      <c r="N198" s="5">
        <v>1</v>
      </c>
      <c r="O198" s="5"/>
      <c r="P198" s="5" t="s">
        <v>78</v>
      </c>
    </row>
    <row r="199" spans="1:16" x14ac:dyDescent="0.25">
      <c r="A199" t="s">
        <v>30</v>
      </c>
      <c r="M199" t="s">
        <v>14</v>
      </c>
      <c r="N199">
        <v>1</v>
      </c>
      <c r="P199" s="5" t="s">
        <v>78</v>
      </c>
    </row>
    <row r="200" spans="1:16" x14ac:dyDescent="0.25">
      <c r="A200" t="s">
        <v>31</v>
      </c>
      <c r="M200" t="s">
        <v>14</v>
      </c>
      <c r="N200">
        <v>1</v>
      </c>
      <c r="P200" s="5" t="s">
        <v>78</v>
      </c>
    </row>
    <row r="201" spans="1:16" x14ac:dyDescent="0.25">
      <c r="A201" t="s">
        <v>32</v>
      </c>
      <c r="M201" t="s">
        <v>14</v>
      </c>
      <c r="N201">
        <v>1</v>
      </c>
      <c r="P201" s="5" t="s">
        <v>78</v>
      </c>
    </row>
    <row r="202" spans="1:16" x14ac:dyDescent="0.25">
      <c r="A202" t="s">
        <v>33</v>
      </c>
      <c r="M202" t="s">
        <v>14</v>
      </c>
      <c r="N202">
        <v>1</v>
      </c>
      <c r="P202" s="5" t="s">
        <v>78</v>
      </c>
    </row>
    <row r="203" spans="1:16" x14ac:dyDescent="0.25">
      <c r="A203" t="s">
        <v>34</v>
      </c>
      <c r="M203" t="s">
        <v>13</v>
      </c>
      <c r="N203">
        <v>-9.2499999999999999E-2</v>
      </c>
    </row>
    <row r="204" spans="1:16" x14ac:dyDescent="0.25">
      <c r="A204" t="s">
        <v>34</v>
      </c>
      <c r="M204" t="s">
        <v>14</v>
      </c>
      <c r="N204">
        <v>1.2939000000000001</v>
      </c>
    </row>
    <row r="205" spans="1:16" x14ac:dyDescent="0.25">
      <c r="A205" t="s">
        <v>35</v>
      </c>
      <c r="M205" t="s">
        <v>14</v>
      </c>
      <c r="N205">
        <v>0.94</v>
      </c>
      <c r="P205" s="5" t="s">
        <v>79</v>
      </c>
    </row>
    <row r="206" spans="1:16" x14ac:dyDescent="0.25">
      <c r="A206" t="s">
        <v>36</v>
      </c>
      <c r="M206" t="s">
        <v>14</v>
      </c>
      <c r="N206">
        <v>1</v>
      </c>
      <c r="P206" s="5" t="s">
        <v>78</v>
      </c>
    </row>
    <row r="207" spans="1:16" x14ac:dyDescent="0.25">
      <c r="A207" t="s">
        <v>37</v>
      </c>
      <c r="M207" t="s">
        <v>14</v>
      </c>
      <c r="N207">
        <v>1</v>
      </c>
      <c r="P207" s="5" t="s">
        <v>78</v>
      </c>
    </row>
    <row r="208" spans="1:16" x14ac:dyDescent="0.25">
      <c r="A208" t="s">
        <v>38</v>
      </c>
      <c r="M208" t="s">
        <v>14</v>
      </c>
      <c r="N208">
        <v>1</v>
      </c>
      <c r="P208" s="5" t="s">
        <v>78</v>
      </c>
    </row>
    <row r="209" spans="1:20" x14ac:dyDescent="0.25">
      <c r="A209" s="7" t="s">
        <v>39</v>
      </c>
      <c r="B209" s="7"/>
      <c r="F209" s="7"/>
      <c r="G209" s="7"/>
      <c r="H209" s="7"/>
      <c r="I209" s="7"/>
      <c r="J209" s="7"/>
      <c r="K209" s="7"/>
      <c r="L209" s="7"/>
      <c r="T209" s="4"/>
    </row>
    <row r="210" spans="1:20" x14ac:dyDescent="0.25">
      <c r="A210" s="10" t="s">
        <v>40</v>
      </c>
      <c r="B210" s="10"/>
      <c r="F210" s="10"/>
      <c r="G210" s="10"/>
      <c r="H210" s="10"/>
      <c r="I210" s="10"/>
      <c r="J210" s="10"/>
      <c r="K210" s="10"/>
      <c r="L210" s="10"/>
      <c r="M210" t="s">
        <v>13</v>
      </c>
      <c r="N210">
        <v>-8.2500000000000004E-2</v>
      </c>
    </row>
    <row r="211" spans="1:20" x14ac:dyDescent="0.25">
      <c r="A211" s="10" t="s">
        <v>40</v>
      </c>
      <c r="B211" s="10"/>
      <c r="F211" s="10"/>
      <c r="G211" s="10"/>
      <c r="H211" s="10"/>
      <c r="I211" s="10"/>
      <c r="J211" s="10"/>
      <c r="K211" s="10"/>
      <c r="L211" s="10"/>
      <c r="M211" t="s">
        <v>14</v>
      </c>
      <c r="N211">
        <v>0.72799999999999998</v>
      </c>
    </row>
    <row r="212" spans="1:20" x14ac:dyDescent="0.25">
      <c r="A212" s="10" t="s">
        <v>41</v>
      </c>
      <c r="B212" s="11"/>
      <c r="F212" s="11"/>
      <c r="G212" s="11"/>
      <c r="H212" s="11"/>
      <c r="I212" s="11"/>
      <c r="J212" s="11"/>
      <c r="K212" s="11"/>
      <c r="L212" s="11"/>
      <c r="M212" t="s">
        <v>14</v>
      </c>
      <c r="N212">
        <v>1</v>
      </c>
      <c r="P212" s="5" t="s">
        <v>78</v>
      </c>
    </row>
    <row r="213" spans="1:20" x14ac:dyDescent="0.25">
      <c r="A213" s="5" t="s">
        <v>73</v>
      </c>
      <c r="B213" s="5"/>
      <c r="F213" s="5"/>
      <c r="G213" s="5"/>
      <c r="H213" s="5"/>
      <c r="I213" s="5"/>
      <c r="J213" s="5"/>
      <c r="K213" s="5"/>
      <c r="L213" s="5"/>
      <c r="M213" t="s">
        <v>14</v>
      </c>
      <c r="N213">
        <v>1</v>
      </c>
      <c r="P213" s="5" t="s">
        <v>78</v>
      </c>
    </row>
    <row r="214" spans="1:20" x14ac:dyDescent="0.25">
      <c r="A214" s="10" t="s">
        <v>42</v>
      </c>
      <c r="B214" s="10"/>
      <c r="F214" s="10"/>
      <c r="G214" s="10"/>
      <c r="H214" s="10"/>
      <c r="I214" s="10"/>
      <c r="J214" s="10"/>
      <c r="K214" s="10"/>
      <c r="L214" s="10"/>
      <c r="M214" t="s">
        <v>13</v>
      </c>
      <c r="N214">
        <v>-3.2399999999999998E-2</v>
      </c>
      <c r="P214" s="7"/>
    </row>
    <row r="215" spans="1:20" x14ac:dyDescent="0.25">
      <c r="A215" s="10" t="s">
        <v>42</v>
      </c>
      <c r="B215" s="10"/>
      <c r="F215" s="10"/>
      <c r="G215" s="10"/>
      <c r="H215" s="10"/>
      <c r="I215" s="10"/>
      <c r="J215" s="10"/>
      <c r="K215" s="10"/>
      <c r="L215" s="10"/>
      <c r="M215" t="s">
        <v>14</v>
      </c>
      <c r="N215">
        <v>0.82120000000000004</v>
      </c>
      <c r="P215" s="7"/>
    </row>
    <row r="216" spans="1:20" x14ac:dyDescent="0.25">
      <c r="A216" s="11" t="s">
        <v>43</v>
      </c>
      <c r="B216" s="11"/>
      <c r="F216" s="11"/>
      <c r="G216" s="11"/>
      <c r="H216" s="11"/>
      <c r="I216" s="11"/>
      <c r="J216" s="11"/>
      <c r="K216" s="11"/>
      <c r="L216" s="11"/>
    </row>
    <row r="217" spans="1:20" x14ac:dyDescent="0.25">
      <c r="A217" s="11" t="s">
        <v>44</v>
      </c>
      <c r="B217" s="11"/>
      <c r="F217" s="11"/>
      <c r="G217" s="11"/>
      <c r="H217" s="11"/>
      <c r="I217" s="11"/>
      <c r="J217" s="11"/>
      <c r="K217" s="11"/>
      <c r="L217" s="11"/>
    </row>
    <row r="218" spans="1:20" x14ac:dyDescent="0.25">
      <c r="A218" s="10" t="s">
        <v>45</v>
      </c>
      <c r="B218" s="10"/>
      <c r="F218" s="10"/>
      <c r="G218" s="10"/>
      <c r="H218" s="10"/>
      <c r="I218" s="10"/>
      <c r="J218" s="10"/>
      <c r="K218" s="10"/>
      <c r="L218" s="10"/>
      <c r="M218" t="s">
        <v>14</v>
      </c>
      <c r="N218">
        <v>1</v>
      </c>
      <c r="P218" s="5" t="s">
        <v>78</v>
      </c>
    </row>
    <row r="219" spans="1:20" x14ac:dyDescent="0.25">
      <c r="A219" s="10" t="s">
        <v>46</v>
      </c>
      <c r="B219" s="10"/>
      <c r="F219" s="10"/>
      <c r="G219" s="10"/>
      <c r="H219" s="10"/>
      <c r="I219" s="10"/>
      <c r="J219" s="10"/>
      <c r="K219" s="10"/>
      <c r="L219" s="10"/>
      <c r="M219" t="s">
        <v>14</v>
      </c>
      <c r="N219">
        <v>1</v>
      </c>
      <c r="P219" s="5" t="s">
        <v>78</v>
      </c>
    </row>
    <row r="220" spans="1:20" x14ac:dyDescent="0.25">
      <c r="A220" t="s">
        <v>47</v>
      </c>
      <c r="M220" t="s">
        <v>14</v>
      </c>
      <c r="N220">
        <v>1</v>
      </c>
      <c r="P220" s="5" t="s">
        <v>78</v>
      </c>
    </row>
    <row r="221" spans="1:20" x14ac:dyDescent="0.25">
      <c r="A221" t="s">
        <v>48</v>
      </c>
      <c r="M221" t="s">
        <v>14</v>
      </c>
      <c r="N221">
        <v>1</v>
      </c>
      <c r="P221" s="5" t="s">
        <v>78</v>
      </c>
    </row>
    <row r="222" spans="1:20" x14ac:dyDescent="0.25">
      <c r="A222" s="5" t="s">
        <v>49</v>
      </c>
      <c r="B222" s="5"/>
      <c r="F222" s="5"/>
      <c r="G222" s="5"/>
      <c r="H222" s="5"/>
      <c r="I222" s="5"/>
      <c r="J222" s="5"/>
      <c r="K222" s="5"/>
      <c r="L222" s="5"/>
      <c r="M222" t="s">
        <v>14</v>
      </c>
      <c r="N222">
        <v>1</v>
      </c>
      <c r="P222" s="5" t="s">
        <v>78</v>
      </c>
    </row>
    <row r="223" spans="1:20" x14ac:dyDescent="0.25">
      <c r="A223" s="5" t="s">
        <v>50</v>
      </c>
      <c r="B223" s="5"/>
      <c r="F223" s="5"/>
      <c r="G223" s="5"/>
      <c r="H223" s="5"/>
      <c r="I223" s="5"/>
      <c r="J223" s="5"/>
      <c r="K223" s="5"/>
      <c r="L223" s="5"/>
      <c r="M223" t="s">
        <v>14</v>
      </c>
      <c r="N223">
        <v>1</v>
      </c>
      <c r="P223" s="5" t="s">
        <v>78</v>
      </c>
    </row>
    <row r="224" spans="1:20" x14ac:dyDescent="0.25">
      <c r="A224" s="5" t="s">
        <v>51</v>
      </c>
      <c r="B224" s="5"/>
      <c r="F224" s="5"/>
      <c r="G224" s="5"/>
      <c r="H224" s="5"/>
      <c r="I224" s="5"/>
      <c r="J224" s="5"/>
      <c r="K224" s="5"/>
      <c r="L224" s="5"/>
      <c r="M224" t="s">
        <v>14</v>
      </c>
      <c r="N224">
        <v>1</v>
      </c>
      <c r="P224" s="5" t="s">
        <v>78</v>
      </c>
    </row>
    <row r="225" spans="1:16" x14ac:dyDescent="0.25">
      <c r="A225" s="5" t="s">
        <v>52</v>
      </c>
      <c r="B225" s="5"/>
      <c r="F225" s="5"/>
      <c r="G225" s="5"/>
      <c r="H225" s="5"/>
      <c r="I225" s="5"/>
      <c r="J225" s="5"/>
      <c r="K225" s="5"/>
      <c r="L225" s="5"/>
      <c r="M225" t="s">
        <v>14</v>
      </c>
      <c r="N225">
        <v>1</v>
      </c>
      <c r="P225" s="5" t="s">
        <v>78</v>
      </c>
    </row>
    <row r="226" spans="1:16" x14ac:dyDescent="0.25">
      <c r="A226" s="5" t="s">
        <v>53</v>
      </c>
      <c r="B226" s="5"/>
      <c r="F226" s="5"/>
      <c r="G226" s="5"/>
      <c r="H226" s="5"/>
      <c r="I226" s="5"/>
      <c r="J226" s="5"/>
      <c r="K226" s="5"/>
      <c r="L226" s="5"/>
      <c r="M226" t="s">
        <v>14</v>
      </c>
      <c r="N226">
        <v>1</v>
      </c>
      <c r="P226" s="5" t="s">
        <v>78</v>
      </c>
    </row>
    <row r="227" spans="1:16" x14ac:dyDescent="0.25">
      <c r="A227" s="5" t="s">
        <v>54</v>
      </c>
      <c r="B227" s="5"/>
      <c r="F227" s="5"/>
      <c r="G227" s="5"/>
      <c r="H227" s="5"/>
      <c r="I227" s="5"/>
      <c r="J227" s="5"/>
      <c r="K227" s="5"/>
      <c r="L227" s="5"/>
      <c r="M227" t="s">
        <v>14</v>
      </c>
      <c r="N227">
        <v>1</v>
      </c>
      <c r="P227" s="5" t="s">
        <v>78</v>
      </c>
    </row>
    <row r="228" spans="1:16" x14ac:dyDescent="0.25">
      <c r="A228" s="5" t="s">
        <v>55</v>
      </c>
      <c r="B228" s="5"/>
      <c r="F228" s="5"/>
      <c r="G228" s="5"/>
      <c r="H228" s="5"/>
      <c r="I228" s="5"/>
      <c r="J228" s="5"/>
      <c r="K228" s="5"/>
      <c r="L228" s="5"/>
      <c r="M228" t="s">
        <v>14</v>
      </c>
      <c r="N228">
        <v>1</v>
      </c>
      <c r="P228" s="5" t="s">
        <v>78</v>
      </c>
    </row>
    <row r="229" spans="1:16" x14ac:dyDescent="0.25">
      <c r="A229" s="5" t="s">
        <v>56</v>
      </c>
      <c r="B229" s="5"/>
      <c r="F229" s="5"/>
      <c r="G229" s="5"/>
      <c r="H229" s="5"/>
      <c r="I229" s="5"/>
      <c r="J229" s="5"/>
      <c r="K229" s="5"/>
      <c r="L229" s="5"/>
      <c r="M229" t="s">
        <v>14</v>
      </c>
      <c r="N229">
        <v>1</v>
      </c>
      <c r="P229" s="5" t="s">
        <v>78</v>
      </c>
    </row>
    <row r="230" spans="1:16" x14ac:dyDescent="0.25">
      <c r="A230" s="5" t="s">
        <v>57</v>
      </c>
      <c r="B230" s="5"/>
      <c r="F230" s="5"/>
      <c r="G230" s="5"/>
      <c r="H230" s="5"/>
      <c r="I230" s="5"/>
      <c r="J230" s="5"/>
      <c r="K230" s="5"/>
      <c r="L230" s="5"/>
      <c r="M230" t="s">
        <v>14</v>
      </c>
      <c r="N230">
        <v>1</v>
      </c>
      <c r="P230" s="5" t="s">
        <v>78</v>
      </c>
    </row>
    <row r="231" spans="1:16" x14ac:dyDescent="0.25">
      <c r="A231" s="5" t="s">
        <v>58</v>
      </c>
      <c r="B231" s="5"/>
      <c r="F231" s="5"/>
      <c r="G231" s="5"/>
      <c r="H231" s="5"/>
      <c r="I231" s="5"/>
      <c r="J231" s="5"/>
      <c r="K231" s="5"/>
      <c r="L231" s="5"/>
      <c r="M231" t="s">
        <v>14</v>
      </c>
      <c r="N231">
        <v>1</v>
      </c>
      <c r="P231" s="5" t="s">
        <v>78</v>
      </c>
    </row>
    <row r="232" spans="1:16" x14ac:dyDescent="0.25">
      <c r="A232" s="5" t="s">
        <v>59</v>
      </c>
      <c r="B232" s="5"/>
      <c r="F232" s="5"/>
      <c r="G232" s="5"/>
      <c r="H232" s="5"/>
      <c r="I232" s="5"/>
      <c r="J232" s="5"/>
      <c r="K232" s="5"/>
      <c r="L232" s="5"/>
      <c r="M232" t="s">
        <v>14</v>
      </c>
      <c r="N232">
        <v>1</v>
      </c>
      <c r="P232" s="5" t="s">
        <v>78</v>
      </c>
    </row>
    <row r="233" spans="1:16" x14ac:dyDescent="0.25">
      <c r="A233" s="5" t="s">
        <v>60</v>
      </c>
      <c r="B233" s="5"/>
      <c r="F233" s="5"/>
      <c r="G233" s="5"/>
      <c r="H233" s="5"/>
      <c r="I233" s="5"/>
      <c r="J233" s="5"/>
      <c r="K233" s="5"/>
      <c r="L233" s="5"/>
      <c r="M233" t="s">
        <v>14</v>
      </c>
      <c r="N233">
        <v>1</v>
      </c>
      <c r="P233" s="5" t="s">
        <v>78</v>
      </c>
    </row>
    <row r="234" spans="1:16" x14ac:dyDescent="0.25">
      <c r="A234" s="5" t="s">
        <v>61</v>
      </c>
      <c r="B234" s="5"/>
      <c r="F234" s="5"/>
      <c r="G234" s="5"/>
      <c r="H234" s="5"/>
      <c r="I234" s="5"/>
      <c r="J234" s="5"/>
      <c r="K234" s="5"/>
      <c r="L234" s="5"/>
      <c r="M234" t="s">
        <v>14</v>
      </c>
      <c r="N234">
        <v>1</v>
      </c>
      <c r="P234" s="5" t="s">
        <v>78</v>
      </c>
    </row>
    <row r="235" spans="1:16" x14ac:dyDescent="0.25">
      <c r="A235" s="5" t="s">
        <v>62</v>
      </c>
      <c r="B235" s="5"/>
      <c r="F235" s="5"/>
      <c r="G235" s="5"/>
      <c r="H235" s="5"/>
      <c r="I235" s="5"/>
      <c r="J235" s="5"/>
      <c r="K235" s="5"/>
      <c r="L235" s="5"/>
      <c r="M235" t="s">
        <v>14</v>
      </c>
      <c r="N235">
        <v>1</v>
      </c>
      <c r="P235" s="5" t="s">
        <v>78</v>
      </c>
    </row>
    <row r="236" spans="1:16" x14ac:dyDescent="0.25">
      <c r="A236" s="5" t="s">
        <v>63</v>
      </c>
      <c r="B236" s="5"/>
      <c r="F236" s="5"/>
      <c r="G236" s="5"/>
      <c r="H236" s="5"/>
      <c r="I236" s="5"/>
      <c r="J236" s="5"/>
      <c r="K236" s="5"/>
      <c r="L236" s="5"/>
      <c r="M236" t="s">
        <v>14</v>
      </c>
      <c r="N236">
        <v>1</v>
      </c>
      <c r="P236" s="5" t="s">
        <v>78</v>
      </c>
    </row>
    <row r="237" spans="1:16" x14ac:dyDescent="0.25">
      <c r="A237" s="5" t="s">
        <v>64</v>
      </c>
      <c r="B237" s="5"/>
      <c r="F237" s="5"/>
      <c r="G237" s="5"/>
      <c r="H237" s="5"/>
      <c r="I237" s="5"/>
      <c r="J237" s="5"/>
      <c r="K237" s="5"/>
      <c r="L237" s="5"/>
      <c r="M237" t="s">
        <v>14</v>
      </c>
      <c r="N237">
        <v>1</v>
      </c>
      <c r="P237" s="5" t="s">
        <v>78</v>
      </c>
    </row>
    <row r="238" spans="1:16" x14ac:dyDescent="0.25">
      <c r="A238" s="5" t="s">
        <v>65</v>
      </c>
      <c r="B238" s="5"/>
      <c r="F238" s="5"/>
      <c r="G238" s="5"/>
      <c r="H238" s="5"/>
      <c r="I238" s="5"/>
      <c r="J238" s="5"/>
      <c r="K238" s="5"/>
      <c r="L238" s="5"/>
      <c r="M238" t="s">
        <v>14</v>
      </c>
      <c r="N238">
        <v>1</v>
      </c>
      <c r="P238" s="5" t="s">
        <v>78</v>
      </c>
    </row>
    <row r="239" spans="1:16" x14ac:dyDescent="0.25">
      <c r="A239" s="5" t="s">
        <v>66</v>
      </c>
      <c r="B239" s="5"/>
      <c r="F239" s="5"/>
      <c r="G239" s="5"/>
      <c r="H239" s="5"/>
      <c r="I239" s="5"/>
      <c r="J239" s="5"/>
      <c r="K239" s="5"/>
      <c r="L239" s="5"/>
      <c r="M239" t="s">
        <v>14</v>
      </c>
      <c r="N239">
        <v>1</v>
      </c>
      <c r="P239" s="5" t="s">
        <v>78</v>
      </c>
    </row>
    <row r="240" spans="1:16" x14ac:dyDescent="0.25">
      <c r="A240" s="5" t="s">
        <v>67</v>
      </c>
      <c r="B240" s="5"/>
      <c r="F240" s="5"/>
      <c r="G240" s="5"/>
      <c r="H240" s="5"/>
      <c r="I240" s="5"/>
      <c r="J240" s="5"/>
      <c r="K240" s="5"/>
      <c r="L240" s="5"/>
      <c r="M240" t="s">
        <v>14</v>
      </c>
      <c r="N240">
        <v>1</v>
      </c>
      <c r="P240" s="5" t="s">
        <v>78</v>
      </c>
    </row>
    <row r="241" spans="1:17" x14ac:dyDescent="0.25">
      <c r="A241" s="5" t="s">
        <v>68</v>
      </c>
      <c r="B241" s="5"/>
      <c r="F241" s="5"/>
      <c r="G241" s="5"/>
      <c r="H241" s="5"/>
      <c r="I241" s="5"/>
      <c r="J241" s="5"/>
      <c r="K241" s="5"/>
      <c r="L241" s="5"/>
      <c r="M241" t="s">
        <v>14</v>
      </c>
      <c r="N241">
        <v>1</v>
      </c>
      <c r="P241" s="5" t="s">
        <v>78</v>
      </c>
    </row>
    <row r="242" spans="1:17" x14ac:dyDescent="0.25">
      <c r="A242" s="5" t="s">
        <v>69</v>
      </c>
      <c r="B242" s="5"/>
      <c r="F242" s="5"/>
      <c r="G242" s="5"/>
      <c r="H242" s="5"/>
      <c r="I242" s="5"/>
      <c r="J242" s="5"/>
      <c r="K242" s="5"/>
      <c r="L242" s="5"/>
      <c r="M242" t="s">
        <v>14</v>
      </c>
      <c r="N242">
        <v>1</v>
      </c>
      <c r="P242" s="5" t="s">
        <v>78</v>
      </c>
    </row>
    <row r="243" spans="1:17" x14ac:dyDescent="0.25">
      <c r="A243" s="5" t="s">
        <v>70</v>
      </c>
      <c r="B243" s="5"/>
      <c r="F243" s="5"/>
      <c r="G243" s="5"/>
      <c r="H243" s="5"/>
      <c r="I243" s="5"/>
      <c r="J243" s="5"/>
      <c r="K243" s="5"/>
      <c r="L243" s="5"/>
      <c r="M243" t="s">
        <v>14</v>
      </c>
      <c r="N243">
        <v>1</v>
      </c>
      <c r="P243" s="5" t="s">
        <v>78</v>
      </c>
    </row>
    <row r="244" spans="1:17" x14ac:dyDescent="0.25">
      <c r="A244" s="5" t="s">
        <v>71</v>
      </c>
      <c r="B244" s="5"/>
      <c r="F244" s="5"/>
      <c r="G244" s="5"/>
      <c r="H244" s="5"/>
      <c r="I244" s="5"/>
      <c r="J244" s="5"/>
      <c r="K244" s="5"/>
      <c r="L244" s="5"/>
      <c r="M244" t="s">
        <v>14</v>
      </c>
      <c r="N244">
        <v>1</v>
      </c>
      <c r="P244" s="5" t="s">
        <v>78</v>
      </c>
    </row>
    <row r="245" spans="1:17" x14ac:dyDescent="0.25">
      <c r="A245" s="5" t="s">
        <v>72</v>
      </c>
      <c r="B245" s="5"/>
      <c r="F245" s="5"/>
      <c r="G245" s="5"/>
      <c r="H245" s="5"/>
      <c r="I245" s="5"/>
      <c r="J245" s="5"/>
      <c r="K245" s="5"/>
      <c r="L245" s="5"/>
      <c r="M245" t="s">
        <v>14</v>
      </c>
      <c r="N245">
        <v>1</v>
      </c>
      <c r="P245" s="5" t="s">
        <v>78</v>
      </c>
    </row>
    <row r="246" spans="1:17" x14ac:dyDescent="0.25">
      <c r="A246" s="5"/>
      <c r="B246" s="5"/>
      <c r="F246" s="5"/>
      <c r="G246" s="5"/>
      <c r="H246" s="5"/>
      <c r="I246" s="5"/>
      <c r="J246" s="5"/>
      <c r="K246" s="5"/>
      <c r="L246" s="5"/>
      <c r="P246" s="5"/>
    </row>
    <row r="247" spans="1:17" ht="19.5" customHeight="1" x14ac:dyDescent="0.25">
      <c r="A247" s="16" t="s">
        <v>205</v>
      </c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</row>
    <row r="248" spans="1:17" x14ac:dyDescent="0.25">
      <c r="A248" s="20" t="s">
        <v>215</v>
      </c>
    </row>
    <row r="249" spans="1:17" x14ac:dyDescent="0.25">
      <c r="A249" s="20" t="s">
        <v>216</v>
      </c>
    </row>
    <row r="250" spans="1:17" x14ac:dyDescent="0.25">
      <c r="M250" s="6" t="s">
        <v>212</v>
      </c>
      <c r="N250" s="6">
        <v>0</v>
      </c>
      <c r="O250" s="6"/>
      <c r="P250" s="6" t="s">
        <v>163</v>
      </c>
    </row>
    <row r="251" spans="1:17" x14ac:dyDescent="0.25">
      <c r="M251" s="6" t="s">
        <v>213</v>
      </c>
      <c r="N251" s="6">
        <v>0</v>
      </c>
      <c r="O251" s="6"/>
      <c r="P251" s="6" t="s">
        <v>163</v>
      </c>
    </row>
    <row r="252" spans="1:17" x14ac:dyDescent="0.25">
      <c r="A252" s="22" t="s">
        <v>223</v>
      </c>
      <c r="M252" s="6"/>
      <c r="N252" s="6"/>
      <c r="O252" s="6"/>
      <c r="P252" s="6"/>
    </row>
    <row r="253" spans="1:17" x14ac:dyDescent="0.25">
      <c r="A253" t="s">
        <v>7</v>
      </c>
      <c r="K253" t="s">
        <v>218</v>
      </c>
      <c r="M253" t="s">
        <v>212</v>
      </c>
      <c r="N253">
        <v>3</v>
      </c>
    </row>
    <row r="254" spans="1:17" x14ac:dyDescent="0.25">
      <c r="A254" t="s">
        <v>7</v>
      </c>
      <c r="K254" t="s">
        <v>219</v>
      </c>
      <c r="M254" t="s">
        <v>212</v>
      </c>
      <c r="N254">
        <v>3</v>
      </c>
    </row>
    <row r="255" spans="1:17" x14ac:dyDescent="0.25">
      <c r="A255" t="s">
        <v>7</v>
      </c>
      <c r="K255" t="s">
        <v>220</v>
      </c>
      <c r="M255" t="s">
        <v>212</v>
      </c>
      <c r="N255">
        <v>3</v>
      </c>
    </row>
    <row r="256" spans="1:17" x14ac:dyDescent="0.25">
      <c r="A256" t="s">
        <v>7</v>
      </c>
      <c r="K256" t="s">
        <v>221</v>
      </c>
      <c r="M256" t="s">
        <v>212</v>
      </c>
      <c r="N256">
        <v>3</v>
      </c>
    </row>
    <row r="257" spans="1:14" x14ac:dyDescent="0.25">
      <c r="A257" t="s">
        <v>7</v>
      </c>
      <c r="K257" t="s">
        <v>218</v>
      </c>
      <c r="M257" t="s">
        <v>213</v>
      </c>
      <c r="N257">
        <v>9</v>
      </c>
    </row>
    <row r="258" spans="1:14" x14ac:dyDescent="0.25">
      <c r="A258" t="s">
        <v>7</v>
      </c>
      <c r="K258" t="s">
        <v>219</v>
      </c>
      <c r="M258" t="s">
        <v>213</v>
      </c>
      <c r="N258">
        <v>4</v>
      </c>
    </row>
    <row r="259" spans="1:14" x14ac:dyDescent="0.25">
      <c r="A259" t="s">
        <v>7</v>
      </c>
      <c r="K259" t="s">
        <v>220</v>
      </c>
      <c r="M259" t="s">
        <v>213</v>
      </c>
      <c r="N259">
        <v>-6</v>
      </c>
    </row>
    <row r="260" spans="1:14" x14ac:dyDescent="0.25">
      <c r="A260" t="s">
        <v>7</v>
      </c>
      <c r="K260" t="s">
        <v>221</v>
      </c>
      <c r="M260" t="s">
        <v>213</v>
      </c>
      <c r="N260">
        <v>-16</v>
      </c>
    </row>
    <row r="261" spans="1:14" x14ac:dyDescent="0.25">
      <c r="A261" t="s">
        <v>27</v>
      </c>
      <c r="K261" t="s">
        <v>218</v>
      </c>
      <c r="M261" t="s">
        <v>212</v>
      </c>
      <c r="N261" s="21">
        <f>N253</f>
        <v>3</v>
      </c>
    </row>
    <row r="262" spans="1:14" x14ac:dyDescent="0.25">
      <c r="A262" t="s">
        <v>27</v>
      </c>
      <c r="K262" t="s">
        <v>219</v>
      </c>
      <c r="M262" t="s">
        <v>212</v>
      </c>
      <c r="N262" s="21">
        <f t="shared" ref="N262:N268" si="4">N254</f>
        <v>3</v>
      </c>
    </row>
    <row r="263" spans="1:14" x14ac:dyDescent="0.25">
      <c r="A263" t="s">
        <v>27</v>
      </c>
      <c r="K263" t="s">
        <v>220</v>
      </c>
      <c r="M263" t="s">
        <v>212</v>
      </c>
      <c r="N263" s="21">
        <f t="shared" si="4"/>
        <v>3</v>
      </c>
    </row>
    <row r="264" spans="1:14" x14ac:dyDescent="0.25">
      <c r="A264" t="s">
        <v>27</v>
      </c>
      <c r="K264" t="s">
        <v>221</v>
      </c>
      <c r="M264" t="s">
        <v>212</v>
      </c>
      <c r="N264" s="21">
        <f t="shared" si="4"/>
        <v>3</v>
      </c>
    </row>
    <row r="265" spans="1:14" x14ac:dyDescent="0.25">
      <c r="A265" t="s">
        <v>27</v>
      </c>
      <c r="K265" t="s">
        <v>218</v>
      </c>
      <c r="M265" t="s">
        <v>213</v>
      </c>
      <c r="N265" s="21">
        <f t="shared" si="4"/>
        <v>9</v>
      </c>
    </row>
    <row r="266" spans="1:14" x14ac:dyDescent="0.25">
      <c r="A266" t="s">
        <v>27</v>
      </c>
      <c r="K266" t="s">
        <v>219</v>
      </c>
      <c r="M266" t="s">
        <v>213</v>
      </c>
      <c r="N266" s="21">
        <f t="shared" si="4"/>
        <v>4</v>
      </c>
    </row>
    <row r="267" spans="1:14" x14ac:dyDescent="0.25">
      <c r="A267" t="s">
        <v>27</v>
      </c>
      <c r="K267" t="s">
        <v>220</v>
      </c>
      <c r="M267" t="s">
        <v>213</v>
      </c>
      <c r="N267" s="21">
        <f t="shared" si="4"/>
        <v>-6</v>
      </c>
    </row>
    <row r="268" spans="1:14" x14ac:dyDescent="0.25">
      <c r="A268" t="s">
        <v>27</v>
      </c>
      <c r="K268" t="s">
        <v>221</v>
      </c>
      <c r="M268" t="s">
        <v>213</v>
      </c>
      <c r="N268" s="21">
        <f t="shared" si="4"/>
        <v>-16</v>
      </c>
    </row>
    <row r="269" spans="1:14" x14ac:dyDescent="0.25">
      <c r="A269" t="s">
        <v>23</v>
      </c>
      <c r="K269" t="s">
        <v>218</v>
      </c>
      <c r="M269" t="s">
        <v>212</v>
      </c>
      <c r="N269" s="21">
        <f>N253</f>
        <v>3</v>
      </c>
    </row>
    <row r="270" spans="1:14" x14ac:dyDescent="0.25">
      <c r="A270" t="s">
        <v>23</v>
      </c>
      <c r="K270" t="s">
        <v>219</v>
      </c>
      <c r="M270" t="s">
        <v>212</v>
      </c>
      <c r="N270" s="21">
        <f t="shared" ref="N270:N276" si="5">N254</f>
        <v>3</v>
      </c>
    </row>
    <row r="271" spans="1:14" x14ac:dyDescent="0.25">
      <c r="A271" t="s">
        <v>23</v>
      </c>
      <c r="K271" t="s">
        <v>220</v>
      </c>
      <c r="M271" t="s">
        <v>212</v>
      </c>
      <c r="N271" s="21">
        <f t="shared" si="5"/>
        <v>3</v>
      </c>
    </row>
    <row r="272" spans="1:14" x14ac:dyDescent="0.25">
      <c r="A272" t="s">
        <v>23</v>
      </c>
      <c r="K272" t="s">
        <v>221</v>
      </c>
      <c r="M272" t="s">
        <v>212</v>
      </c>
      <c r="N272" s="21">
        <f t="shared" si="5"/>
        <v>3</v>
      </c>
    </row>
    <row r="273" spans="1:14" x14ac:dyDescent="0.25">
      <c r="A273" t="s">
        <v>23</v>
      </c>
      <c r="K273" t="s">
        <v>218</v>
      </c>
      <c r="M273" t="s">
        <v>213</v>
      </c>
      <c r="N273" s="21">
        <f t="shared" si="5"/>
        <v>9</v>
      </c>
    </row>
    <row r="274" spans="1:14" x14ac:dyDescent="0.25">
      <c r="A274" t="s">
        <v>23</v>
      </c>
      <c r="K274" t="s">
        <v>219</v>
      </c>
      <c r="M274" t="s">
        <v>213</v>
      </c>
      <c r="N274" s="21">
        <f t="shared" si="5"/>
        <v>4</v>
      </c>
    </row>
    <row r="275" spans="1:14" x14ac:dyDescent="0.25">
      <c r="A275" t="s">
        <v>23</v>
      </c>
      <c r="K275" t="s">
        <v>220</v>
      </c>
      <c r="M275" t="s">
        <v>213</v>
      </c>
      <c r="N275" s="21">
        <f t="shared" si="5"/>
        <v>-6</v>
      </c>
    </row>
    <row r="276" spans="1:14" x14ac:dyDescent="0.25">
      <c r="A276" t="s">
        <v>23</v>
      </c>
      <c r="K276" t="s">
        <v>221</v>
      </c>
      <c r="M276" t="s">
        <v>213</v>
      </c>
      <c r="N276" s="21">
        <f t="shared" si="5"/>
        <v>-16</v>
      </c>
    </row>
    <row r="277" spans="1:14" x14ac:dyDescent="0.25">
      <c r="A277" t="s">
        <v>25</v>
      </c>
      <c r="K277" t="s">
        <v>218</v>
      </c>
      <c r="M277" t="s">
        <v>212</v>
      </c>
      <c r="N277" s="21">
        <f>N253</f>
        <v>3</v>
      </c>
    </row>
    <row r="278" spans="1:14" x14ac:dyDescent="0.25">
      <c r="A278" t="s">
        <v>25</v>
      </c>
      <c r="K278" t="s">
        <v>219</v>
      </c>
      <c r="M278" t="s">
        <v>212</v>
      </c>
      <c r="N278" s="21">
        <f t="shared" ref="N278:N284" si="6">N254</f>
        <v>3</v>
      </c>
    </row>
    <row r="279" spans="1:14" x14ac:dyDescent="0.25">
      <c r="A279" t="s">
        <v>25</v>
      </c>
      <c r="K279" t="s">
        <v>220</v>
      </c>
      <c r="M279" t="s">
        <v>212</v>
      </c>
      <c r="N279" s="21">
        <f t="shared" si="6"/>
        <v>3</v>
      </c>
    </row>
    <row r="280" spans="1:14" x14ac:dyDescent="0.25">
      <c r="A280" t="s">
        <v>25</v>
      </c>
      <c r="K280" t="s">
        <v>221</v>
      </c>
      <c r="M280" t="s">
        <v>212</v>
      </c>
      <c r="N280" s="21">
        <f t="shared" si="6"/>
        <v>3</v>
      </c>
    </row>
    <row r="281" spans="1:14" x14ac:dyDescent="0.25">
      <c r="A281" t="s">
        <v>25</v>
      </c>
      <c r="K281" t="s">
        <v>218</v>
      </c>
      <c r="M281" t="s">
        <v>213</v>
      </c>
      <c r="N281" s="21">
        <f t="shared" si="6"/>
        <v>9</v>
      </c>
    </row>
    <row r="282" spans="1:14" x14ac:dyDescent="0.25">
      <c r="A282" t="s">
        <v>25</v>
      </c>
      <c r="K282" t="s">
        <v>219</v>
      </c>
      <c r="M282" t="s">
        <v>213</v>
      </c>
      <c r="N282" s="21">
        <f t="shared" si="6"/>
        <v>4</v>
      </c>
    </row>
    <row r="283" spans="1:14" x14ac:dyDescent="0.25">
      <c r="A283" t="s">
        <v>25</v>
      </c>
      <c r="K283" t="s">
        <v>220</v>
      </c>
      <c r="M283" t="s">
        <v>213</v>
      </c>
      <c r="N283" s="21">
        <f t="shared" si="6"/>
        <v>-6</v>
      </c>
    </row>
    <row r="284" spans="1:14" x14ac:dyDescent="0.25">
      <c r="A284" t="s">
        <v>25</v>
      </c>
      <c r="K284" t="s">
        <v>221</v>
      </c>
      <c r="M284" t="s">
        <v>213</v>
      </c>
      <c r="N284" s="21">
        <f t="shared" si="6"/>
        <v>-16</v>
      </c>
    </row>
    <row r="286" spans="1:14" x14ac:dyDescent="0.25">
      <c r="A286" s="22" t="s">
        <v>224</v>
      </c>
    </row>
    <row r="287" spans="1:14" x14ac:dyDescent="0.25">
      <c r="A287" t="s">
        <v>16</v>
      </c>
      <c r="K287" t="s">
        <v>218</v>
      </c>
      <c r="M287" t="s">
        <v>212</v>
      </c>
      <c r="N287">
        <v>3</v>
      </c>
    </row>
    <row r="288" spans="1:14" x14ac:dyDescent="0.25">
      <c r="A288" t="s">
        <v>16</v>
      </c>
      <c r="K288" t="s">
        <v>219</v>
      </c>
      <c r="M288" t="s">
        <v>212</v>
      </c>
      <c r="N288">
        <v>3</v>
      </c>
    </row>
    <row r="289" spans="1:14" x14ac:dyDescent="0.25">
      <c r="A289" t="s">
        <v>16</v>
      </c>
      <c r="K289" t="s">
        <v>220</v>
      </c>
      <c r="M289" t="s">
        <v>212</v>
      </c>
      <c r="N289">
        <v>3</v>
      </c>
    </row>
    <row r="290" spans="1:14" x14ac:dyDescent="0.25">
      <c r="A290" t="s">
        <v>16</v>
      </c>
      <c r="K290" t="s">
        <v>221</v>
      </c>
      <c r="M290" t="s">
        <v>212</v>
      </c>
      <c r="N290">
        <v>3</v>
      </c>
    </row>
    <row r="291" spans="1:14" x14ac:dyDescent="0.25">
      <c r="A291" t="s">
        <v>16</v>
      </c>
      <c r="K291" t="s">
        <v>218</v>
      </c>
      <c r="M291" t="s">
        <v>213</v>
      </c>
      <c r="N291">
        <v>10</v>
      </c>
    </row>
    <row r="292" spans="1:14" x14ac:dyDescent="0.25">
      <c r="A292" t="s">
        <v>16</v>
      </c>
      <c r="K292" t="s">
        <v>219</v>
      </c>
      <c r="M292" t="s">
        <v>213</v>
      </c>
      <c r="N292">
        <v>5</v>
      </c>
    </row>
    <row r="293" spans="1:14" x14ac:dyDescent="0.25">
      <c r="A293" t="s">
        <v>16</v>
      </c>
      <c r="K293" t="s">
        <v>220</v>
      </c>
      <c r="M293" t="s">
        <v>213</v>
      </c>
      <c r="N293">
        <v>0</v>
      </c>
    </row>
    <row r="294" spans="1:14" x14ac:dyDescent="0.25">
      <c r="A294" t="s">
        <v>16</v>
      </c>
      <c r="K294" t="s">
        <v>221</v>
      </c>
      <c r="M294" t="s">
        <v>213</v>
      </c>
      <c r="N294">
        <v>-10</v>
      </c>
    </row>
    <row r="295" spans="1:14" x14ac:dyDescent="0.25">
      <c r="A295" t="s">
        <v>17</v>
      </c>
      <c r="K295" t="s">
        <v>218</v>
      </c>
      <c r="M295" t="s">
        <v>212</v>
      </c>
      <c r="N295" s="21">
        <f>N287</f>
        <v>3</v>
      </c>
    </row>
    <row r="296" spans="1:14" x14ac:dyDescent="0.25">
      <c r="A296" t="s">
        <v>17</v>
      </c>
      <c r="K296" t="s">
        <v>219</v>
      </c>
      <c r="M296" t="s">
        <v>212</v>
      </c>
      <c r="N296" s="21">
        <f t="shared" ref="N296:N302" si="7">N288</f>
        <v>3</v>
      </c>
    </row>
    <row r="297" spans="1:14" x14ac:dyDescent="0.25">
      <c r="A297" t="s">
        <v>17</v>
      </c>
      <c r="K297" t="s">
        <v>220</v>
      </c>
      <c r="M297" t="s">
        <v>212</v>
      </c>
      <c r="N297" s="21">
        <f t="shared" si="7"/>
        <v>3</v>
      </c>
    </row>
    <row r="298" spans="1:14" x14ac:dyDescent="0.25">
      <c r="A298" t="s">
        <v>17</v>
      </c>
      <c r="K298" t="s">
        <v>221</v>
      </c>
      <c r="M298" t="s">
        <v>212</v>
      </c>
      <c r="N298" s="21">
        <f t="shared" si="7"/>
        <v>3</v>
      </c>
    </row>
    <row r="299" spans="1:14" x14ac:dyDescent="0.25">
      <c r="A299" t="s">
        <v>17</v>
      </c>
      <c r="K299" t="s">
        <v>218</v>
      </c>
      <c r="M299" t="s">
        <v>213</v>
      </c>
      <c r="N299" s="21">
        <f t="shared" si="7"/>
        <v>10</v>
      </c>
    </row>
    <row r="300" spans="1:14" x14ac:dyDescent="0.25">
      <c r="A300" t="s">
        <v>17</v>
      </c>
      <c r="K300" t="s">
        <v>219</v>
      </c>
      <c r="M300" t="s">
        <v>213</v>
      </c>
      <c r="N300" s="21">
        <f t="shared" si="7"/>
        <v>5</v>
      </c>
    </row>
    <row r="301" spans="1:14" x14ac:dyDescent="0.25">
      <c r="A301" t="s">
        <v>17</v>
      </c>
      <c r="K301" t="s">
        <v>220</v>
      </c>
      <c r="M301" t="s">
        <v>213</v>
      </c>
      <c r="N301" s="21">
        <f t="shared" si="7"/>
        <v>0</v>
      </c>
    </row>
    <row r="302" spans="1:14" x14ac:dyDescent="0.25">
      <c r="A302" t="s">
        <v>17</v>
      </c>
      <c r="K302" t="s">
        <v>221</v>
      </c>
      <c r="M302" t="s">
        <v>213</v>
      </c>
      <c r="N302" s="21">
        <f t="shared" si="7"/>
        <v>-10</v>
      </c>
    </row>
    <row r="303" spans="1:14" x14ac:dyDescent="0.25">
      <c r="A303" t="s">
        <v>21</v>
      </c>
      <c r="K303" t="s">
        <v>218</v>
      </c>
      <c r="M303" t="s">
        <v>212</v>
      </c>
      <c r="N303" s="21">
        <f>N287</f>
        <v>3</v>
      </c>
    </row>
    <row r="304" spans="1:14" x14ac:dyDescent="0.25">
      <c r="A304" t="s">
        <v>21</v>
      </c>
      <c r="K304" t="s">
        <v>219</v>
      </c>
      <c r="M304" t="s">
        <v>212</v>
      </c>
      <c r="N304" s="21">
        <f t="shared" ref="N304:N310" si="8">N288</f>
        <v>3</v>
      </c>
    </row>
    <row r="305" spans="1:14" x14ac:dyDescent="0.25">
      <c r="A305" t="s">
        <v>21</v>
      </c>
      <c r="K305" t="s">
        <v>220</v>
      </c>
      <c r="M305" t="s">
        <v>212</v>
      </c>
      <c r="N305" s="21">
        <f t="shared" si="8"/>
        <v>3</v>
      </c>
    </row>
    <row r="306" spans="1:14" x14ac:dyDescent="0.25">
      <c r="A306" t="s">
        <v>21</v>
      </c>
      <c r="K306" t="s">
        <v>221</v>
      </c>
      <c r="M306" t="s">
        <v>212</v>
      </c>
      <c r="N306" s="21">
        <f t="shared" si="8"/>
        <v>3</v>
      </c>
    </row>
    <row r="307" spans="1:14" x14ac:dyDescent="0.25">
      <c r="A307" t="s">
        <v>21</v>
      </c>
      <c r="K307" t="s">
        <v>218</v>
      </c>
      <c r="M307" t="s">
        <v>213</v>
      </c>
      <c r="N307" s="21">
        <f t="shared" si="8"/>
        <v>10</v>
      </c>
    </row>
    <row r="308" spans="1:14" x14ac:dyDescent="0.25">
      <c r="A308" t="s">
        <v>21</v>
      </c>
      <c r="K308" t="s">
        <v>219</v>
      </c>
      <c r="M308" t="s">
        <v>213</v>
      </c>
      <c r="N308" s="21">
        <f t="shared" si="8"/>
        <v>5</v>
      </c>
    </row>
    <row r="309" spans="1:14" x14ac:dyDescent="0.25">
      <c r="A309" t="s">
        <v>21</v>
      </c>
      <c r="K309" t="s">
        <v>220</v>
      </c>
      <c r="M309" t="s">
        <v>213</v>
      </c>
      <c r="N309" s="21">
        <f t="shared" si="8"/>
        <v>0</v>
      </c>
    </row>
    <row r="310" spans="1:14" x14ac:dyDescent="0.25">
      <c r="A310" t="s">
        <v>21</v>
      </c>
      <c r="K310" t="s">
        <v>221</v>
      </c>
      <c r="M310" t="s">
        <v>213</v>
      </c>
      <c r="N310" s="21">
        <f t="shared" si="8"/>
        <v>-10</v>
      </c>
    </row>
    <row r="311" spans="1:14" x14ac:dyDescent="0.25">
      <c r="A311" t="s">
        <v>24</v>
      </c>
      <c r="K311" t="s">
        <v>218</v>
      </c>
      <c r="M311" t="s">
        <v>212</v>
      </c>
      <c r="N311" s="21">
        <f>N287</f>
        <v>3</v>
      </c>
    </row>
    <row r="312" spans="1:14" x14ac:dyDescent="0.25">
      <c r="A312" t="s">
        <v>24</v>
      </c>
      <c r="K312" t="s">
        <v>219</v>
      </c>
      <c r="M312" t="s">
        <v>212</v>
      </c>
      <c r="N312" s="21">
        <f t="shared" ref="N312:N318" si="9">N288</f>
        <v>3</v>
      </c>
    </row>
    <row r="313" spans="1:14" x14ac:dyDescent="0.25">
      <c r="A313" t="s">
        <v>24</v>
      </c>
      <c r="K313" t="s">
        <v>220</v>
      </c>
      <c r="M313" t="s">
        <v>212</v>
      </c>
      <c r="N313" s="21">
        <f t="shared" si="9"/>
        <v>3</v>
      </c>
    </row>
    <row r="314" spans="1:14" x14ac:dyDescent="0.25">
      <c r="A314" t="s">
        <v>24</v>
      </c>
      <c r="K314" t="s">
        <v>221</v>
      </c>
      <c r="M314" t="s">
        <v>212</v>
      </c>
      <c r="N314" s="21">
        <f t="shared" si="9"/>
        <v>3</v>
      </c>
    </row>
    <row r="315" spans="1:14" x14ac:dyDescent="0.25">
      <c r="A315" t="s">
        <v>24</v>
      </c>
      <c r="K315" t="s">
        <v>218</v>
      </c>
      <c r="M315" t="s">
        <v>213</v>
      </c>
      <c r="N315" s="21">
        <f t="shared" si="9"/>
        <v>10</v>
      </c>
    </row>
    <row r="316" spans="1:14" x14ac:dyDescent="0.25">
      <c r="A316" t="s">
        <v>24</v>
      </c>
      <c r="K316" t="s">
        <v>219</v>
      </c>
      <c r="M316" t="s">
        <v>213</v>
      </c>
      <c r="N316" s="21">
        <f t="shared" si="9"/>
        <v>5</v>
      </c>
    </row>
    <row r="317" spans="1:14" x14ac:dyDescent="0.25">
      <c r="A317" t="s">
        <v>24</v>
      </c>
      <c r="K317" t="s">
        <v>220</v>
      </c>
      <c r="M317" t="s">
        <v>213</v>
      </c>
      <c r="N317" s="21">
        <f t="shared" si="9"/>
        <v>0</v>
      </c>
    </row>
    <row r="318" spans="1:14" x14ac:dyDescent="0.25">
      <c r="A318" t="s">
        <v>24</v>
      </c>
      <c r="K318" t="s">
        <v>221</v>
      </c>
      <c r="M318" t="s">
        <v>213</v>
      </c>
      <c r="N318" s="21">
        <f t="shared" si="9"/>
        <v>-10</v>
      </c>
    </row>
    <row r="319" spans="1:14" x14ac:dyDescent="0.25">
      <c r="A319" t="s">
        <v>29</v>
      </c>
      <c r="K319" t="s">
        <v>218</v>
      </c>
      <c r="M319" t="s">
        <v>212</v>
      </c>
      <c r="N319" s="21">
        <f>N287</f>
        <v>3</v>
      </c>
    </row>
    <row r="320" spans="1:14" x14ac:dyDescent="0.25">
      <c r="A320" t="s">
        <v>29</v>
      </c>
      <c r="K320" t="s">
        <v>219</v>
      </c>
      <c r="M320" t="s">
        <v>212</v>
      </c>
      <c r="N320" s="21">
        <f t="shared" ref="N320:N326" si="10">N288</f>
        <v>3</v>
      </c>
    </row>
    <row r="321" spans="1:14" x14ac:dyDescent="0.25">
      <c r="A321" t="s">
        <v>29</v>
      </c>
      <c r="K321" t="s">
        <v>220</v>
      </c>
      <c r="M321" t="s">
        <v>212</v>
      </c>
      <c r="N321" s="21">
        <f t="shared" si="10"/>
        <v>3</v>
      </c>
    </row>
    <row r="322" spans="1:14" x14ac:dyDescent="0.25">
      <c r="A322" t="s">
        <v>29</v>
      </c>
      <c r="K322" t="s">
        <v>221</v>
      </c>
      <c r="M322" t="s">
        <v>212</v>
      </c>
      <c r="N322" s="21">
        <f t="shared" si="10"/>
        <v>3</v>
      </c>
    </row>
    <row r="323" spans="1:14" x14ac:dyDescent="0.25">
      <c r="A323" t="s">
        <v>29</v>
      </c>
      <c r="K323" t="s">
        <v>218</v>
      </c>
      <c r="M323" t="s">
        <v>213</v>
      </c>
      <c r="N323" s="21">
        <f t="shared" si="10"/>
        <v>10</v>
      </c>
    </row>
    <row r="324" spans="1:14" x14ac:dyDescent="0.25">
      <c r="A324" t="s">
        <v>29</v>
      </c>
      <c r="K324" t="s">
        <v>219</v>
      </c>
      <c r="M324" t="s">
        <v>213</v>
      </c>
      <c r="N324" s="21">
        <f t="shared" si="10"/>
        <v>5</v>
      </c>
    </row>
    <row r="325" spans="1:14" x14ac:dyDescent="0.25">
      <c r="A325" t="s">
        <v>29</v>
      </c>
      <c r="K325" t="s">
        <v>220</v>
      </c>
      <c r="M325" t="s">
        <v>213</v>
      </c>
      <c r="N325" s="21">
        <f t="shared" si="10"/>
        <v>0</v>
      </c>
    </row>
    <row r="326" spans="1:14" x14ac:dyDescent="0.25">
      <c r="A326" t="s">
        <v>29</v>
      </c>
      <c r="K326" t="s">
        <v>221</v>
      </c>
      <c r="M326" t="s">
        <v>213</v>
      </c>
      <c r="N326" s="21">
        <f t="shared" si="10"/>
        <v>-10</v>
      </c>
    </row>
    <row r="327" spans="1:14" x14ac:dyDescent="0.25">
      <c r="A327" t="s">
        <v>28</v>
      </c>
      <c r="K327" t="s">
        <v>218</v>
      </c>
      <c r="M327" t="s">
        <v>212</v>
      </c>
      <c r="N327" s="21">
        <f>N287</f>
        <v>3</v>
      </c>
    </row>
    <row r="328" spans="1:14" x14ac:dyDescent="0.25">
      <c r="A328" t="s">
        <v>28</v>
      </c>
      <c r="K328" t="s">
        <v>219</v>
      </c>
      <c r="M328" t="s">
        <v>212</v>
      </c>
      <c r="N328" s="21">
        <f t="shared" ref="N328:N334" si="11">N288</f>
        <v>3</v>
      </c>
    </row>
    <row r="329" spans="1:14" x14ac:dyDescent="0.25">
      <c r="A329" t="s">
        <v>28</v>
      </c>
      <c r="K329" t="s">
        <v>220</v>
      </c>
      <c r="M329" t="s">
        <v>212</v>
      </c>
      <c r="N329" s="21">
        <f t="shared" si="11"/>
        <v>3</v>
      </c>
    </row>
    <row r="330" spans="1:14" x14ac:dyDescent="0.25">
      <c r="A330" t="s">
        <v>28</v>
      </c>
      <c r="K330" t="s">
        <v>221</v>
      </c>
      <c r="M330" t="s">
        <v>212</v>
      </c>
      <c r="N330" s="21">
        <f t="shared" si="11"/>
        <v>3</v>
      </c>
    </row>
    <row r="331" spans="1:14" x14ac:dyDescent="0.25">
      <c r="A331" t="s">
        <v>28</v>
      </c>
      <c r="K331" t="s">
        <v>218</v>
      </c>
      <c r="M331" t="s">
        <v>213</v>
      </c>
      <c r="N331" s="21">
        <f t="shared" si="11"/>
        <v>10</v>
      </c>
    </row>
    <row r="332" spans="1:14" x14ac:dyDescent="0.25">
      <c r="A332" t="s">
        <v>28</v>
      </c>
      <c r="K332" t="s">
        <v>219</v>
      </c>
      <c r="M332" t="s">
        <v>213</v>
      </c>
      <c r="N332" s="21">
        <f t="shared" si="11"/>
        <v>5</v>
      </c>
    </row>
    <row r="333" spans="1:14" x14ac:dyDescent="0.25">
      <c r="A333" t="s">
        <v>28</v>
      </c>
      <c r="K333" t="s">
        <v>220</v>
      </c>
      <c r="M333" t="s">
        <v>213</v>
      </c>
      <c r="N333" s="21">
        <f t="shared" si="11"/>
        <v>0</v>
      </c>
    </row>
    <row r="334" spans="1:14" x14ac:dyDescent="0.25">
      <c r="A334" t="s">
        <v>28</v>
      </c>
      <c r="K334" t="s">
        <v>221</v>
      </c>
      <c r="M334" t="s">
        <v>213</v>
      </c>
      <c r="N334" s="21">
        <f t="shared" si="11"/>
        <v>-10</v>
      </c>
    </row>
    <row r="336" spans="1:14" x14ac:dyDescent="0.25">
      <c r="A336" s="22" t="s">
        <v>226</v>
      </c>
    </row>
    <row r="337" spans="1:14" x14ac:dyDescent="0.25">
      <c r="A337" t="s">
        <v>34</v>
      </c>
      <c r="K337" t="s">
        <v>218</v>
      </c>
      <c r="M337" t="s">
        <v>212</v>
      </c>
      <c r="N337">
        <v>7</v>
      </c>
    </row>
    <row r="338" spans="1:14" x14ac:dyDescent="0.25">
      <c r="A338" t="s">
        <v>34</v>
      </c>
      <c r="K338" t="s">
        <v>219</v>
      </c>
      <c r="M338" t="s">
        <v>212</v>
      </c>
      <c r="N338">
        <v>7</v>
      </c>
    </row>
    <row r="339" spans="1:14" x14ac:dyDescent="0.25">
      <c r="A339" t="s">
        <v>34</v>
      </c>
      <c r="K339" t="s">
        <v>220</v>
      </c>
      <c r="M339" t="s">
        <v>212</v>
      </c>
      <c r="N339">
        <v>7</v>
      </c>
    </row>
    <row r="340" spans="1:14" x14ac:dyDescent="0.25">
      <c r="A340" t="s">
        <v>34</v>
      </c>
      <c r="K340" t="s">
        <v>221</v>
      </c>
      <c r="M340" t="s">
        <v>212</v>
      </c>
      <c r="N340">
        <v>7</v>
      </c>
    </row>
    <row r="341" spans="1:14" x14ac:dyDescent="0.25">
      <c r="A341" t="s">
        <v>34</v>
      </c>
      <c r="K341" t="s">
        <v>218</v>
      </c>
      <c r="M341" t="s">
        <v>213</v>
      </c>
      <c r="N341">
        <v>15.5</v>
      </c>
    </row>
    <row r="342" spans="1:14" x14ac:dyDescent="0.25">
      <c r="A342" t="s">
        <v>34</v>
      </c>
      <c r="K342" t="s">
        <v>219</v>
      </c>
      <c r="M342" t="s">
        <v>213</v>
      </c>
      <c r="N342">
        <v>10.5</v>
      </c>
    </row>
    <row r="343" spans="1:14" x14ac:dyDescent="0.25">
      <c r="A343" t="s">
        <v>34</v>
      </c>
      <c r="K343" t="s">
        <v>220</v>
      </c>
      <c r="M343" t="s">
        <v>213</v>
      </c>
      <c r="N343">
        <v>0.5</v>
      </c>
    </row>
    <row r="344" spans="1:14" x14ac:dyDescent="0.25">
      <c r="A344" t="s">
        <v>34</v>
      </c>
      <c r="K344" t="s">
        <v>221</v>
      </c>
      <c r="M344" t="s">
        <v>213</v>
      </c>
      <c r="N344">
        <v>-9.5</v>
      </c>
    </row>
    <row r="345" spans="1:14" x14ac:dyDescent="0.25">
      <c r="A345" t="s">
        <v>35</v>
      </c>
      <c r="K345" t="s">
        <v>218</v>
      </c>
      <c r="M345" t="s">
        <v>212</v>
      </c>
      <c r="N345">
        <v>7</v>
      </c>
    </row>
    <row r="346" spans="1:14" x14ac:dyDescent="0.25">
      <c r="A346" t="s">
        <v>35</v>
      </c>
      <c r="K346" t="s">
        <v>219</v>
      </c>
      <c r="M346" t="s">
        <v>212</v>
      </c>
      <c r="N346">
        <v>7</v>
      </c>
    </row>
    <row r="347" spans="1:14" x14ac:dyDescent="0.25">
      <c r="A347" t="s">
        <v>35</v>
      </c>
      <c r="K347" t="s">
        <v>220</v>
      </c>
      <c r="M347" t="s">
        <v>212</v>
      </c>
      <c r="N347">
        <v>7</v>
      </c>
    </row>
    <row r="348" spans="1:14" x14ac:dyDescent="0.25">
      <c r="A348" t="s">
        <v>35</v>
      </c>
      <c r="K348" t="s">
        <v>221</v>
      </c>
      <c r="M348" t="s">
        <v>212</v>
      </c>
      <c r="N348">
        <v>7</v>
      </c>
    </row>
    <row r="349" spans="1:14" x14ac:dyDescent="0.25">
      <c r="A349" t="s">
        <v>35</v>
      </c>
      <c r="K349" t="s">
        <v>218</v>
      </c>
      <c r="M349" t="s">
        <v>213</v>
      </c>
      <c r="N349">
        <v>16</v>
      </c>
    </row>
    <row r="350" spans="1:14" x14ac:dyDescent="0.25">
      <c r="A350" t="s">
        <v>35</v>
      </c>
      <c r="K350" t="s">
        <v>219</v>
      </c>
      <c r="M350" t="s">
        <v>213</v>
      </c>
      <c r="N350">
        <v>11</v>
      </c>
    </row>
    <row r="351" spans="1:14" x14ac:dyDescent="0.25">
      <c r="A351" t="s">
        <v>35</v>
      </c>
      <c r="K351" t="s">
        <v>220</v>
      </c>
      <c r="M351" t="s">
        <v>213</v>
      </c>
      <c r="N351">
        <v>1</v>
      </c>
    </row>
    <row r="352" spans="1:14" x14ac:dyDescent="0.25">
      <c r="A352" t="s">
        <v>35</v>
      </c>
      <c r="K352" t="s">
        <v>221</v>
      </c>
      <c r="M352" t="s">
        <v>213</v>
      </c>
      <c r="N352">
        <v>-4</v>
      </c>
    </row>
    <row r="354" spans="1:14" x14ac:dyDescent="0.25">
      <c r="A354" s="22" t="s">
        <v>40</v>
      </c>
    </row>
    <row r="355" spans="1:14" x14ac:dyDescent="0.25">
      <c r="A355" t="s">
        <v>40</v>
      </c>
      <c r="K355" t="s">
        <v>218</v>
      </c>
      <c r="M355" t="s">
        <v>212</v>
      </c>
      <c r="N355">
        <v>3</v>
      </c>
    </row>
    <row r="356" spans="1:14" x14ac:dyDescent="0.25">
      <c r="A356" t="s">
        <v>40</v>
      </c>
      <c r="K356" t="s">
        <v>219</v>
      </c>
      <c r="M356" t="s">
        <v>212</v>
      </c>
      <c r="N356">
        <v>3</v>
      </c>
    </row>
    <row r="357" spans="1:14" x14ac:dyDescent="0.25">
      <c r="A357" t="s">
        <v>40</v>
      </c>
      <c r="K357" t="s">
        <v>220</v>
      </c>
      <c r="M357" t="s">
        <v>212</v>
      </c>
      <c r="N357">
        <v>3</v>
      </c>
    </row>
    <row r="358" spans="1:14" x14ac:dyDescent="0.25">
      <c r="A358" t="s">
        <v>40</v>
      </c>
      <c r="K358" t="s">
        <v>218</v>
      </c>
      <c r="M358" t="s">
        <v>213</v>
      </c>
      <c r="N358">
        <v>7</v>
      </c>
    </row>
    <row r="359" spans="1:14" x14ac:dyDescent="0.25">
      <c r="A359" t="s">
        <v>40</v>
      </c>
      <c r="K359" t="s">
        <v>219</v>
      </c>
      <c r="M359" t="s">
        <v>213</v>
      </c>
      <c r="N359">
        <v>-3</v>
      </c>
    </row>
    <row r="360" spans="1:14" x14ac:dyDescent="0.25">
      <c r="A360" t="s">
        <v>40</v>
      </c>
      <c r="K360" t="s">
        <v>220</v>
      </c>
      <c r="M360" t="s">
        <v>213</v>
      </c>
      <c r="N360">
        <v>-8</v>
      </c>
    </row>
    <row r="362" spans="1:14" x14ac:dyDescent="0.25">
      <c r="A362" s="22" t="s">
        <v>227</v>
      </c>
    </row>
    <row r="363" spans="1:14" x14ac:dyDescent="0.25">
      <c r="A363" t="s">
        <v>42</v>
      </c>
      <c r="K363" t="s">
        <v>218</v>
      </c>
      <c r="M363" t="s">
        <v>212</v>
      </c>
      <c r="N363">
        <v>3</v>
      </c>
    </row>
    <row r="364" spans="1:14" x14ac:dyDescent="0.25">
      <c r="A364" t="s">
        <v>42</v>
      </c>
      <c r="K364" t="s">
        <v>219</v>
      </c>
      <c r="M364" t="s">
        <v>212</v>
      </c>
      <c r="N364">
        <v>3</v>
      </c>
    </row>
    <row r="365" spans="1:14" x14ac:dyDescent="0.25">
      <c r="A365" t="s">
        <v>42</v>
      </c>
      <c r="K365" t="s">
        <v>220</v>
      </c>
      <c r="M365" t="s">
        <v>212</v>
      </c>
      <c r="N365">
        <v>3</v>
      </c>
    </row>
    <row r="366" spans="1:14" x14ac:dyDescent="0.25">
      <c r="A366" t="s">
        <v>42</v>
      </c>
      <c r="K366" t="s">
        <v>221</v>
      </c>
      <c r="M366" t="s">
        <v>212</v>
      </c>
      <c r="N366">
        <v>3</v>
      </c>
    </row>
    <row r="367" spans="1:14" x14ac:dyDescent="0.25">
      <c r="A367" t="s">
        <v>42</v>
      </c>
      <c r="K367" t="s">
        <v>222</v>
      </c>
      <c r="M367" t="s">
        <v>212</v>
      </c>
      <c r="N367">
        <v>3</v>
      </c>
    </row>
    <row r="368" spans="1:14" x14ac:dyDescent="0.25">
      <c r="A368" t="s">
        <v>42</v>
      </c>
      <c r="K368" t="s">
        <v>225</v>
      </c>
      <c r="M368" t="s">
        <v>212</v>
      </c>
      <c r="N368">
        <v>3</v>
      </c>
    </row>
    <row r="369" spans="1:14" x14ac:dyDescent="0.25">
      <c r="A369" t="s">
        <v>42</v>
      </c>
      <c r="K369" t="s">
        <v>218</v>
      </c>
      <c r="M369" t="s">
        <v>213</v>
      </c>
      <c r="N369">
        <v>5</v>
      </c>
    </row>
    <row r="370" spans="1:14" x14ac:dyDescent="0.25">
      <c r="A370" t="s">
        <v>42</v>
      </c>
      <c r="K370" t="s">
        <v>219</v>
      </c>
      <c r="M370" t="s">
        <v>213</v>
      </c>
      <c r="N370">
        <v>0</v>
      </c>
    </row>
    <row r="371" spans="1:14" x14ac:dyDescent="0.25">
      <c r="A371" t="s">
        <v>42</v>
      </c>
      <c r="K371" t="s">
        <v>220</v>
      </c>
      <c r="M371" t="s">
        <v>213</v>
      </c>
      <c r="N371">
        <v>-5</v>
      </c>
    </row>
    <row r="372" spans="1:14" x14ac:dyDescent="0.25">
      <c r="A372" t="s">
        <v>42</v>
      </c>
      <c r="K372" t="s">
        <v>221</v>
      </c>
      <c r="M372" t="s">
        <v>213</v>
      </c>
      <c r="N372">
        <v>-10</v>
      </c>
    </row>
    <row r="373" spans="1:14" x14ac:dyDescent="0.25">
      <c r="A373" t="s">
        <v>42</v>
      </c>
      <c r="K373" t="s">
        <v>222</v>
      </c>
      <c r="M373" t="s">
        <v>213</v>
      </c>
      <c r="N373">
        <v>-15</v>
      </c>
    </row>
    <row r="374" spans="1:14" x14ac:dyDescent="0.25">
      <c r="A374" t="s">
        <v>42</v>
      </c>
      <c r="K374" t="s">
        <v>225</v>
      </c>
      <c r="M374" t="s">
        <v>213</v>
      </c>
      <c r="N374">
        <v>-20</v>
      </c>
    </row>
    <row r="376" spans="1:14" x14ac:dyDescent="0.25">
      <c r="A376" s="22" t="s">
        <v>228</v>
      </c>
    </row>
    <row r="377" spans="1:14" x14ac:dyDescent="0.25">
      <c r="A377" t="s">
        <v>36</v>
      </c>
      <c r="K377" t="s">
        <v>218</v>
      </c>
      <c r="M377" t="s">
        <v>212</v>
      </c>
      <c r="N377">
        <v>0.5</v>
      </c>
    </row>
    <row r="378" spans="1:14" x14ac:dyDescent="0.25">
      <c r="A378" t="s">
        <v>36</v>
      </c>
      <c r="K378" t="s">
        <v>219</v>
      </c>
      <c r="M378" t="s">
        <v>212</v>
      </c>
      <c r="N378">
        <v>0.5</v>
      </c>
    </row>
    <row r="379" spans="1:14" x14ac:dyDescent="0.25">
      <c r="A379" t="s">
        <v>36</v>
      </c>
      <c r="K379" t="s">
        <v>220</v>
      </c>
      <c r="M379" t="s">
        <v>212</v>
      </c>
      <c r="N379">
        <v>0.5</v>
      </c>
    </row>
    <row r="380" spans="1:14" x14ac:dyDescent="0.25">
      <c r="A380" t="s">
        <v>36</v>
      </c>
      <c r="K380" t="s">
        <v>221</v>
      </c>
      <c r="M380" t="s">
        <v>212</v>
      </c>
      <c r="N380">
        <v>0.5</v>
      </c>
    </row>
    <row r="381" spans="1:14" x14ac:dyDescent="0.25">
      <c r="A381" t="s">
        <v>36</v>
      </c>
      <c r="K381" t="s">
        <v>222</v>
      </c>
      <c r="M381" t="s">
        <v>212</v>
      </c>
      <c r="N381">
        <v>0.5</v>
      </c>
    </row>
    <row r="382" spans="1:14" x14ac:dyDescent="0.25">
      <c r="A382" t="s">
        <v>36</v>
      </c>
      <c r="K382" t="s">
        <v>225</v>
      </c>
      <c r="M382" t="s">
        <v>212</v>
      </c>
      <c r="N382">
        <v>0.5</v>
      </c>
    </row>
    <row r="383" spans="1:14" x14ac:dyDescent="0.25">
      <c r="A383" t="s">
        <v>36</v>
      </c>
      <c r="K383" t="s">
        <v>218</v>
      </c>
      <c r="M383" t="s">
        <v>213</v>
      </c>
      <c r="N383">
        <v>55</v>
      </c>
    </row>
    <row r="384" spans="1:14" x14ac:dyDescent="0.25">
      <c r="A384" t="s">
        <v>36</v>
      </c>
      <c r="K384" t="s">
        <v>219</v>
      </c>
      <c r="M384" t="s">
        <v>213</v>
      </c>
      <c r="N384">
        <v>35</v>
      </c>
    </row>
    <row r="385" spans="1:14" x14ac:dyDescent="0.25">
      <c r="A385" t="s">
        <v>36</v>
      </c>
      <c r="K385" t="s">
        <v>220</v>
      </c>
      <c r="M385" t="s">
        <v>213</v>
      </c>
      <c r="N385">
        <v>25</v>
      </c>
    </row>
    <row r="386" spans="1:14" x14ac:dyDescent="0.25">
      <c r="A386" t="s">
        <v>36</v>
      </c>
      <c r="K386" t="s">
        <v>221</v>
      </c>
      <c r="M386" t="s">
        <v>213</v>
      </c>
      <c r="N386">
        <v>15</v>
      </c>
    </row>
    <row r="387" spans="1:14" x14ac:dyDescent="0.25">
      <c r="A387" t="s">
        <v>36</v>
      </c>
      <c r="K387" t="s">
        <v>222</v>
      </c>
      <c r="M387" t="s">
        <v>213</v>
      </c>
      <c r="N387">
        <v>0</v>
      </c>
    </row>
    <row r="388" spans="1:14" x14ac:dyDescent="0.25">
      <c r="A388" t="s">
        <v>36</v>
      </c>
      <c r="K388" t="s">
        <v>225</v>
      </c>
      <c r="M388" t="s">
        <v>213</v>
      </c>
      <c r="N388">
        <v>-5</v>
      </c>
    </row>
    <row r="389" spans="1:14" x14ac:dyDescent="0.25">
      <c r="A389" t="s">
        <v>37</v>
      </c>
      <c r="K389" t="s">
        <v>218</v>
      </c>
      <c r="M389" t="s">
        <v>212</v>
      </c>
      <c r="N389" s="21">
        <f>N377</f>
        <v>0.5</v>
      </c>
    </row>
    <row r="390" spans="1:14" x14ac:dyDescent="0.25">
      <c r="A390" t="s">
        <v>37</v>
      </c>
      <c r="K390" t="s">
        <v>219</v>
      </c>
      <c r="M390" t="s">
        <v>212</v>
      </c>
      <c r="N390" s="21">
        <f t="shared" ref="N390:N400" si="12">N378</f>
        <v>0.5</v>
      </c>
    </row>
    <row r="391" spans="1:14" x14ac:dyDescent="0.25">
      <c r="A391" t="s">
        <v>37</v>
      </c>
      <c r="K391" t="s">
        <v>220</v>
      </c>
      <c r="M391" t="s">
        <v>212</v>
      </c>
      <c r="N391" s="21">
        <f t="shared" si="12"/>
        <v>0.5</v>
      </c>
    </row>
    <row r="392" spans="1:14" x14ac:dyDescent="0.25">
      <c r="A392" t="s">
        <v>37</v>
      </c>
      <c r="K392" t="s">
        <v>221</v>
      </c>
      <c r="M392" t="s">
        <v>212</v>
      </c>
      <c r="N392" s="21">
        <f t="shared" si="12"/>
        <v>0.5</v>
      </c>
    </row>
    <row r="393" spans="1:14" x14ac:dyDescent="0.25">
      <c r="A393" t="s">
        <v>37</v>
      </c>
      <c r="K393" t="s">
        <v>222</v>
      </c>
      <c r="M393" t="s">
        <v>212</v>
      </c>
      <c r="N393" s="21">
        <f t="shared" si="12"/>
        <v>0.5</v>
      </c>
    </row>
    <row r="394" spans="1:14" x14ac:dyDescent="0.25">
      <c r="A394" t="s">
        <v>37</v>
      </c>
      <c r="K394" t="s">
        <v>225</v>
      </c>
      <c r="M394" t="s">
        <v>212</v>
      </c>
      <c r="N394" s="21">
        <f t="shared" si="12"/>
        <v>0.5</v>
      </c>
    </row>
    <row r="395" spans="1:14" x14ac:dyDescent="0.25">
      <c r="A395" t="s">
        <v>37</v>
      </c>
      <c r="K395" t="s">
        <v>218</v>
      </c>
      <c r="M395" t="s">
        <v>213</v>
      </c>
      <c r="N395" s="21">
        <f t="shared" si="12"/>
        <v>55</v>
      </c>
    </row>
    <row r="396" spans="1:14" x14ac:dyDescent="0.25">
      <c r="A396" t="s">
        <v>37</v>
      </c>
      <c r="K396" t="s">
        <v>219</v>
      </c>
      <c r="M396" t="s">
        <v>213</v>
      </c>
      <c r="N396" s="21">
        <f t="shared" si="12"/>
        <v>35</v>
      </c>
    </row>
    <row r="397" spans="1:14" x14ac:dyDescent="0.25">
      <c r="A397" t="s">
        <v>37</v>
      </c>
      <c r="K397" t="s">
        <v>220</v>
      </c>
      <c r="M397" t="s">
        <v>213</v>
      </c>
      <c r="N397" s="21">
        <f t="shared" si="12"/>
        <v>25</v>
      </c>
    </row>
    <row r="398" spans="1:14" x14ac:dyDescent="0.25">
      <c r="A398" t="s">
        <v>37</v>
      </c>
      <c r="K398" t="s">
        <v>221</v>
      </c>
      <c r="M398" t="s">
        <v>213</v>
      </c>
      <c r="N398" s="21">
        <f t="shared" si="12"/>
        <v>15</v>
      </c>
    </row>
    <row r="399" spans="1:14" x14ac:dyDescent="0.25">
      <c r="A399" t="s">
        <v>37</v>
      </c>
      <c r="K399" t="s">
        <v>222</v>
      </c>
      <c r="M399" t="s">
        <v>213</v>
      </c>
      <c r="N399" s="21">
        <f t="shared" si="12"/>
        <v>0</v>
      </c>
    </row>
    <row r="400" spans="1:14" x14ac:dyDescent="0.25">
      <c r="A400" t="s">
        <v>37</v>
      </c>
      <c r="K400" t="s">
        <v>225</v>
      </c>
      <c r="M400" t="s">
        <v>213</v>
      </c>
      <c r="N400" s="21">
        <f t="shared" si="12"/>
        <v>-5</v>
      </c>
    </row>
    <row r="402" spans="1:14" x14ac:dyDescent="0.25">
      <c r="A402" s="22" t="s">
        <v>229</v>
      </c>
    </row>
    <row r="403" spans="1:14" x14ac:dyDescent="0.25">
      <c r="A403" t="s">
        <v>30</v>
      </c>
      <c r="K403" t="s">
        <v>218</v>
      </c>
      <c r="M403" t="s">
        <v>213</v>
      </c>
      <c r="N403">
        <v>20</v>
      </c>
    </row>
    <row r="404" spans="1:14" x14ac:dyDescent="0.25">
      <c r="A404" t="s">
        <v>30</v>
      </c>
      <c r="K404" t="s">
        <v>219</v>
      </c>
      <c r="M404" t="s">
        <v>213</v>
      </c>
      <c r="N404">
        <v>15</v>
      </c>
    </row>
    <row r="405" spans="1:14" x14ac:dyDescent="0.25">
      <c r="A405" t="s">
        <v>30</v>
      </c>
      <c r="K405" t="s">
        <v>220</v>
      </c>
      <c r="M405" t="s">
        <v>213</v>
      </c>
      <c r="N405">
        <v>10</v>
      </c>
    </row>
    <row r="406" spans="1:14" x14ac:dyDescent="0.25">
      <c r="A406" t="s">
        <v>32</v>
      </c>
      <c r="K406" t="s">
        <v>218</v>
      </c>
      <c r="M406" t="s">
        <v>213</v>
      </c>
      <c r="N406" s="21">
        <f>N403</f>
        <v>20</v>
      </c>
    </row>
    <row r="407" spans="1:14" x14ac:dyDescent="0.25">
      <c r="A407" t="s">
        <v>32</v>
      </c>
      <c r="K407" t="s">
        <v>219</v>
      </c>
      <c r="M407" t="s">
        <v>213</v>
      </c>
      <c r="N407" s="21">
        <f t="shared" ref="N407:N408" si="13">N404</f>
        <v>15</v>
      </c>
    </row>
    <row r="408" spans="1:14" x14ac:dyDescent="0.25">
      <c r="A408" t="s">
        <v>32</v>
      </c>
      <c r="K408" t="s">
        <v>220</v>
      </c>
      <c r="M408" t="s">
        <v>213</v>
      </c>
      <c r="N408" s="21">
        <f t="shared" si="13"/>
        <v>10</v>
      </c>
    </row>
    <row r="409" spans="1:14" x14ac:dyDescent="0.25">
      <c r="A409" t="s">
        <v>38</v>
      </c>
      <c r="K409" t="s">
        <v>218</v>
      </c>
      <c r="M409" t="s">
        <v>213</v>
      </c>
      <c r="N409">
        <v>60</v>
      </c>
    </row>
    <row r="410" spans="1:14" x14ac:dyDescent="0.25">
      <c r="A410" t="s">
        <v>38</v>
      </c>
      <c r="K410" t="s">
        <v>219</v>
      </c>
      <c r="M410" t="s">
        <v>213</v>
      </c>
      <c r="N410">
        <v>45</v>
      </c>
    </row>
    <row r="411" spans="1:14" x14ac:dyDescent="0.25">
      <c r="A411" t="s">
        <v>38</v>
      </c>
      <c r="K411" t="s">
        <v>220</v>
      </c>
      <c r="M411" t="s">
        <v>213</v>
      </c>
      <c r="N411">
        <v>35</v>
      </c>
    </row>
    <row r="412" spans="1:14" x14ac:dyDescent="0.25">
      <c r="A412" t="s">
        <v>38</v>
      </c>
      <c r="K412" t="s">
        <v>221</v>
      </c>
      <c r="M412" t="s">
        <v>213</v>
      </c>
      <c r="N412">
        <v>25</v>
      </c>
    </row>
    <row r="413" spans="1:14" x14ac:dyDescent="0.25">
      <c r="A413" t="s">
        <v>38</v>
      </c>
      <c r="K413" t="s">
        <v>222</v>
      </c>
      <c r="M413" t="s">
        <v>213</v>
      </c>
      <c r="N413">
        <v>10</v>
      </c>
    </row>
    <row r="414" spans="1:14" x14ac:dyDescent="0.25">
      <c r="A414" t="s">
        <v>41</v>
      </c>
      <c r="K414" t="s">
        <v>218</v>
      </c>
      <c r="M414" t="s">
        <v>213</v>
      </c>
      <c r="N414">
        <v>15</v>
      </c>
    </row>
    <row r="415" spans="1:14" x14ac:dyDescent="0.25">
      <c r="A415" t="s">
        <v>41</v>
      </c>
      <c r="K415" t="s">
        <v>219</v>
      </c>
      <c r="M415" t="s">
        <v>213</v>
      </c>
      <c r="N415">
        <v>5</v>
      </c>
    </row>
    <row r="417" spans="1:16" x14ac:dyDescent="0.25">
      <c r="A417" s="22" t="s">
        <v>230</v>
      </c>
    </row>
    <row r="418" spans="1:16" x14ac:dyDescent="0.25">
      <c r="A418" t="s">
        <v>48</v>
      </c>
      <c r="M418" t="s">
        <v>212</v>
      </c>
      <c r="N418">
        <v>0.46200000000000002</v>
      </c>
    </row>
    <row r="419" spans="1:16" x14ac:dyDescent="0.25">
      <c r="A419" t="s">
        <v>48</v>
      </c>
      <c r="M419" t="s">
        <v>213</v>
      </c>
      <c r="N419">
        <v>13.85</v>
      </c>
    </row>
    <row r="420" spans="1:16" x14ac:dyDescent="0.25">
      <c r="A420" t="s">
        <v>47</v>
      </c>
      <c r="M420" t="s">
        <v>212</v>
      </c>
      <c r="N420">
        <v>2.5</v>
      </c>
    </row>
    <row r="421" spans="1:16" x14ac:dyDescent="0.25">
      <c r="A421" t="s">
        <v>47</v>
      </c>
      <c r="M421" t="s">
        <v>213</v>
      </c>
      <c r="N421">
        <v>-45</v>
      </c>
    </row>
    <row r="422" spans="1:16" x14ac:dyDescent="0.25">
      <c r="A422" t="s">
        <v>50</v>
      </c>
      <c r="M422" t="s">
        <v>212</v>
      </c>
      <c r="N422">
        <v>2.6669999999999998</v>
      </c>
      <c r="P422" t="s">
        <v>231</v>
      </c>
    </row>
    <row r="423" spans="1:16" x14ac:dyDescent="0.25">
      <c r="A423" t="s">
        <v>50</v>
      </c>
      <c r="M423" t="s">
        <v>213</v>
      </c>
      <c r="N423">
        <v>-33.33</v>
      </c>
    </row>
    <row r="424" spans="1:16" x14ac:dyDescent="0.25">
      <c r="A424" t="s">
        <v>51</v>
      </c>
      <c r="M424" t="s">
        <v>212</v>
      </c>
      <c r="N424">
        <v>0.5</v>
      </c>
    </row>
    <row r="425" spans="1:16" x14ac:dyDescent="0.25">
      <c r="A425" t="s">
        <v>51</v>
      </c>
      <c r="M425" t="s">
        <v>213</v>
      </c>
      <c r="N425">
        <v>15</v>
      </c>
    </row>
    <row r="426" spans="1:16" x14ac:dyDescent="0.25">
      <c r="A426" t="s">
        <v>52</v>
      </c>
      <c r="M426" t="s">
        <v>212</v>
      </c>
      <c r="N426">
        <v>0.66700000000000004</v>
      </c>
    </row>
    <row r="427" spans="1:16" x14ac:dyDescent="0.25">
      <c r="A427" t="s">
        <v>52</v>
      </c>
      <c r="M427" t="s">
        <v>213</v>
      </c>
      <c r="N427">
        <v>-3.33</v>
      </c>
    </row>
    <row r="428" spans="1:16" x14ac:dyDescent="0.25">
      <c r="A428" t="s">
        <v>53</v>
      </c>
      <c r="M428" t="s">
        <v>212</v>
      </c>
      <c r="N428" s="21">
        <f>N426</f>
        <v>0.66700000000000004</v>
      </c>
    </row>
    <row r="429" spans="1:16" x14ac:dyDescent="0.25">
      <c r="A429" t="s">
        <v>53</v>
      </c>
      <c r="M429" t="s">
        <v>213</v>
      </c>
      <c r="N429" s="21">
        <f>N427</f>
        <v>-3.33</v>
      </c>
    </row>
    <row r="431" spans="1:16" x14ac:dyDescent="0.25">
      <c r="A431" t="s">
        <v>69</v>
      </c>
      <c r="M431" t="s">
        <v>213</v>
      </c>
      <c r="N431">
        <v>0</v>
      </c>
      <c r="P431" t="s">
        <v>232</v>
      </c>
    </row>
    <row r="432" spans="1:16" x14ac:dyDescent="0.25">
      <c r="A432" t="s">
        <v>72</v>
      </c>
      <c r="M432" t="s">
        <v>213</v>
      </c>
      <c r="N432">
        <v>0</v>
      </c>
    </row>
    <row r="433" spans="1:14" x14ac:dyDescent="0.25">
      <c r="A433" t="s">
        <v>73</v>
      </c>
      <c r="M433" t="s">
        <v>213</v>
      </c>
      <c r="N433">
        <v>0</v>
      </c>
    </row>
    <row r="434" spans="1:14" x14ac:dyDescent="0.25">
      <c r="A434" t="s">
        <v>45</v>
      </c>
      <c r="M434" t="s">
        <v>213</v>
      </c>
      <c r="N434">
        <v>0</v>
      </c>
    </row>
    <row r="435" spans="1:14" x14ac:dyDescent="0.25">
      <c r="A435" t="s">
        <v>46</v>
      </c>
      <c r="M435" t="s">
        <v>213</v>
      </c>
      <c r="N435">
        <v>0</v>
      </c>
    </row>
    <row r="439" spans="1:14" x14ac:dyDescent="0.25">
      <c r="A439" s="7" t="s">
        <v>31</v>
      </c>
    </row>
    <row r="440" spans="1:14" x14ac:dyDescent="0.25">
      <c r="A440" s="7" t="s">
        <v>33</v>
      </c>
    </row>
    <row r="441" spans="1:14" x14ac:dyDescent="0.25">
      <c r="A441" s="7" t="s">
        <v>39</v>
      </c>
    </row>
    <row r="442" spans="1:14" x14ac:dyDescent="0.25">
      <c r="A442" s="7" t="s">
        <v>70</v>
      </c>
    </row>
    <row r="443" spans="1:14" x14ac:dyDescent="0.25">
      <c r="A443" s="7" t="s">
        <v>71</v>
      </c>
    </row>
    <row r="444" spans="1:14" x14ac:dyDescent="0.25">
      <c r="A444" s="7" t="s">
        <v>43</v>
      </c>
    </row>
    <row r="445" spans="1:14" x14ac:dyDescent="0.25">
      <c r="A445" s="7" t="s">
        <v>44</v>
      </c>
    </row>
    <row r="446" spans="1:14" x14ac:dyDescent="0.25">
      <c r="A446" s="7" t="s">
        <v>49</v>
      </c>
    </row>
    <row r="447" spans="1:14" x14ac:dyDescent="0.25">
      <c r="A447" s="7" t="s">
        <v>54</v>
      </c>
    </row>
    <row r="448" spans="1:14" x14ac:dyDescent="0.25">
      <c r="A448" s="7" t="s">
        <v>55</v>
      </c>
    </row>
    <row r="449" spans="1:17" x14ac:dyDescent="0.25">
      <c r="A449" s="7" t="s">
        <v>56</v>
      </c>
    </row>
    <row r="450" spans="1:17" x14ac:dyDescent="0.25">
      <c r="A450" s="7" t="s">
        <v>57</v>
      </c>
    </row>
    <row r="451" spans="1:17" x14ac:dyDescent="0.25">
      <c r="A451" s="7" t="s">
        <v>58</v>
      </c>
    </row>
    <row r="452" spans="1:17" x14ac:dyDescent="0.25">
      <c r="A452" s="7" t="s">
        <v>59</v>
      </c>
    </row>
    <row r="453" spans="1:17" x14ac:dyDescent="0.25">
      <c r="A453" s="7" t="s">
        <v>60</v>
      </c>
    </row>
    <row r="454" spans="1:17" x14ac:dyDescent="0.25">
      <c r="A454" s="7" t="s">
        <v>61</v>
      </c>
    </row>
    <row r="455" spans="1:17" x14ac:dyDescent="0.25">
      <c r="A455" s="7" t="s">
        <v>62</v>
      </c>
    </row>
    <row r="456" spans="1:17" x14ac:dyDescent="0.25">
      <c r="A456" s="7" t="s">
        <v>63</v>
      </c>
    </row>
    <row r="457" spans="1:17" x14ac:dyDescent="0.25">
      <c r="A457" s="7" t="s">
        <v>64</v>
      </c>
    </row>
    <row r="458" spans="1:17" x14ac:dyDescent="0.25">
      <c r="A458" s="7" t="s">
        <v>65</v>
      </c>
    </row>
    <row r="459" spans="1:17" x14ac:dyDescent="0.25">
      <c r="A459" s="7" t="s">
        <v>66</v>
      </c>
    </row>
    <row r="460" spans="1:17" x14ac:dyDescent="0.25">
      <c r="A460" s="7" t="s">
        <v>67</v>
      </c>
    </row>
    <row r="461" spans="1:17" x14ac:dyDescent="0.25">
      <c r="A461" s="7" t="s">
        <v>68</v>
      </c>
    </row>
    <row r="463" spans="1:17" x14ac:dyDescent="0.25">
      <c r="A463" s="2" t="s">
        <v>176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x14ac:dyDescent="0.25">
      <c r="L464" s="6" t="s">
        <v>129</v>
      </c>
      <c r="M464" s="6" t="s">
        <v>159</v>
      </c>
      <c r="N464" s="14">
        <v>0</v>
      </c>
      <c r="O464" s="6" t="s">
        <v>130</v>
      </c>
      <c r="P464" s="6" t="s">
        <v>163</v>
      </c>
    </row>
    <row r="465" spans="1:17" x14ac:dyDescent="0.25">
      <c r="A465" s="1" t="s">
        <v>164</v>
      </c>
      <c r="B465" s="1"/>
      <c r="L465" s="6"/>
      <c r="M465" s="6"/>
      <c r="N465" s="14"/>
      <c r="O465" s="6"/>
      <c r="P465" s="6"/>
    </row>
    <row r="466" spans="1:17" x14ac:dyDescent="0.25">
      <c r="F466" t="s">
        <v>123</v>
      </c>
      <c r="L466" t="s">
        <v>129</v>
      </c>
      <c r="M466" t="s">
        <v>159</v>
      </c>
      <c r="N466" s="12">
        <f>8/1000*(14/(1*14+3*2))*100</f>
        <v>0.55999999999999994</v>
      </c>
      <c r="O466" t="s">
        <v>130</v>
      </c>
      <c r="P466" s="5" t="s">
        <v>133</v>
      </c>
      <c r="Q466" t="s">
        <v>126</v>
      </c>
    </row>
    <row r="467" spans="1:17" x14ac:dyDescent="0.25">
      <c r="F467" t="s">
        <v>124</v>
      </c>
      <c r="L467" t="s">
        <v>129</v>
      </c>
      <c r="M467" t="s">
        <v>159</v>
      </c>
      <c r="N467" s="12">
        <f>15/1000*(14/(1*14+3*2))*100</f>
        <v>1.0499999999999998</v>
      </c>
      <c r="O467" t="s">
        <v>130</v>
      </c>
      <c r="Q467" t="s">
        <v>126</v>
      </c>
    </row>
    <row r="468" spans="1:17" x14ac:dyDescent="0.25">
      <c r="F468" t="s">
        <v>122</v>
      </c>
      <c r="L468" t="s">
        <v>129</v>
      </c>
      <c r="M468" t="s">
        <v>159</v>
      </c>
      <c r="N468" s="12">
        <f>50/1000*(14/(1*14+3*2))*100</f>
        <v>3.4999999999999996</v>
      </c>
      <c r="O468" t="s">
        <v>130</v>
      </c>
      <c r="Q468" t="s">
        <v>126</v>
      </c>
    </row>
    <row r="469" spans="1:17" x14ac:dyDescent="0.25">
      <c r="A469" s="1" t="s">
        <v>165</v>
      </c>
      <c r="B469" s="1"/>
      <c r="C469" s="7" t="s">
        <v>184</v>
      </c>
    </row>
    <row r="470" spans="1:17" x14ac:dyDescent="0.25">
      <c r="G470" t="s">
        <v>138</v>
      </c>
      <c r="H470" t="s">
        <v>139</v>
      </c>
      <c r="I470" t="s">
        <v>140</v>
      </c>
      <c r="J470" t="s">
        <v>150</v>
      </c>
      <c r="L470" t="s">
        <v>129</v>
      </c>
      <c r="M470" t="s">
        <v>159</v>
      </c>
      <c r="N470">
        <v>33</v>
      </c>
      <c r="O470" t="s">
        <v>130</v>
      </c>
      <c r="Q470" t="s">
        <v>166</v>
      </c>
    </row>
    <row r="471" spans="1:17" x14ac:dyDescent="0.25">
      <c r="G471" t="s">
        <v>138</v>
      </c>
      <c r="H471" t="s">
        <v>139</v>
      </c>
      <c r="I471" t="s">
        <v>140</v>
      </c>
      <c r="J471" t="s">
        <v>151</v>
      </c>
      <c r="L471" t="s">
        <v>129</v>
      </c>
      <c r="M471" t="s">
        <v>159</v>
      </c>
      <c r="N471">
        <v>38</v>
      </c>
      <c r="O471" t="s">
        <v>130</v>
      </c>
      <c r="Q471" t="s">
        <v>166</v>
      </c>
    </row>
    <row r="472" spans="1:17" x14ac:dyDescent="0.25">
      <c r="G472" t="s">
        <v>138</v>
      </c>
      <c r="H472" t="s">
        <v>139</v>
      </c>
      <c r="I472" t="s">
        <v>140</v>
      </c>
      <c r="J472" t="s">
        <v>152</v>
      </c>
      <c r="L472" t="s">
        <v>129</v>
      </c>
      <c r="M472" t="s">
        <v>159</v>
      </c>
      <c r="N472">
        <v>41</v>
      </c>
      <c r="O472" t="s">
        <v>130</v>
      </c>
      <c r="Q472" t="s">
        <v>166</v>
      </c>
    </row>
    <row r="473" spans="1:17" x14ac:dyDescent="0.25">
      <c r="G473" t="s">
        <v>138</v>
      </c>
      <c r="H473" t="s">
        <v>139</v>
      </c>
      <c r="I473" t="s">
        <v>140</v>
      </c>
      <c r="J473" t="s">
        <v>199</v>
      </c>
      <c r="L473" t="s">
        <v>129</v>
      </c>
      <c r="M473" t="s">
        <v>159</v>
      </c>
      <c r="N473">
        <v>33</v>
      </c>
      <c r="O473" t="s">
        <v>130</v>
      </c>
      <c r="Q473" t="s">
        <v>166</v>
      </c>
    </row>
    <row r="474" spans="1:17" x14ac:dyDescent="0.25">
      <c r="G474" t="s">
        <v>138</v>
      </c>
      <c r="H474" t="s">
        <v>141</v>
      </c>
      <c r="I474" t="s">
        <v>140</v>
      </c>
      <c r="J474" t="s">
        <v>150</v>
      </c>
      <c r="L474" t="s">
        <v>129</v>
      </c>
      <c r="M474" t="s">
        <v>159</v>
      </c>
      <c r="N474">
        <v>32</v>
      </c>
      <c r="O474" t="s">
        <v>130</v>
      </c>
      <c r="Q474" t="s">
        <v>166</v>
      </c>
    </row>
    <row r="475" spans="1:17" x14ac:dyDescent="0.25">
      <c r="G475" t="s">
        <v>138</v>
      </c>
      <c r="H475" t="s">
        <v>141</v>
      </c>
      <c r="I475" t="s">
        <v>140</v>
      </c>
      <c r="J475" t="s">
        <v>151</v>
      </c>
      <c r="L475" t="s">
        <v>129</v>
      </c>
      <c r="M475" t="s">
        <v>159</v>
      </c>
      <c r="N475">
        <v>39</v>
      </c>
      <c r="O475" t="s">
        <v>130</v>
      </c>
      <c r="Q475" t="s">
        <v>166</v>
      </c>
    </row>
    <row r="476" spans="1:17" x14ac:dyDescent="0.25">
      <c r="G476" t="s">
        <v>138</v>
      </c>
      <c r="H476" t="s">
        <v>141</v>
      </c>
      <c r="I476" t="s">
        <v>140</v>
      </c>
      <c r="J476" t="s">
        <v>152</v>
      </c>
      <c r="L476" t="s">
        <v>129</v>
      </c>
      <c r="M476" t="s">
        <v>159</v>
      </c>
      <c r="N476">
        <v>46</v>
      </c>
      <c r="O476" t="s">
        <v>130</v>
      </c>
      <c r="Q476" t="s">
        <v>166</v>
      </c>
    </row>
    <row r="477" spans="1:17" x14ac:dyDescent="0.25">
      <c r="G477" t="s">
        <v>138</v>
      </c>
      <c r="H477" t="s">
        <v>141</v>
      </c>
      <c r="I477" t="s">
        <v>140</v>
      </c>
      <c r="J477" t="s">
        <v>199</v>
      </c>
      <c r="L477" t="s">
        <v>129</v>
      </c>
      <c r="M477" t="s">
        <v>159</v>
      </c>
      <c r="N477">
        <v>32</v>
      </c>
      <c r="O477" t="s">
        <v>130</v>
      </c>
      <c r="Q477" t="s">
        <v>166</v>
      </c>
    </row>
    <row r="478" spans="1:17" x14ac:dyDescent="0.25">
      <c r="G478" t="s">
        <v>138</v>
      </c>
      <c r="I478" t="s">
        <v>142</v>
      </c>
      <c r="J478" t="s">
        <v>150</v>
      </c>
      <c r="L478" t="s">
        <v>129</v>
      </c>
      <c r="M478" t="s">
        <v>159</v>
      </c>
      <c r="N478">
        <v>32</v>
      </c>
      <c r="O478" t="s">
        <v>130</v>
      </c>
      <c r="Q478" t="s">
        <v>166</v>
      </c>
    </row>
    <row r="479" spans="1:17" x14ac:dyDescent="0.25">
      <c r="G479" t="s">
        <v>138</v>
      </c>
      <c r="I479" t="s">
        <v>142</v>
      </c>
      <c r="J479" t="s">
        <v>151</v>
      </c>
      <c r="L479" t="s">
        <v>129</v>
      </c>
      <c r="M479" t="s">
        <v>159</v>
      </c>
      <c r="N479">
        <v>38</v>
      </c>
      <c r="O479" t="s">
        <v>130</v>
      </c>
      <c r="Q479" t="s">
        <v>166</v>
      </c>
    </row>
    <row r="480" spans="1:17" x14ac:dyDescent="0.25">
      <c r="G480" t="s">
        <v>138</v>
      </c>
      <c r="I480" t="s">
        <v>142</v>
      </c>
      <c r="J480" t="s">
        <v>152</v>
      </c>
      <c r="L480" t="s">
        <v>129</v>
      </c>
      <c r="M480" t="s">
        <v>159</v>
      </c>
      <c r="N480">
        <v>47</v>
      </c>
      <c r="O480" t="s">
        <v>130</v>
      </c>
      <c r="Q480" t="s">
        <v>166</v>
      </c>
    </row>
    <row r="481" spans="7:17" x14ac:dyDescent="0.25">
      <c r="G481" t="s">
        <v>138</v>
      </c>
      <c r="I481" t="s">
        <v>142</v>
      </c>
      <c r="J481" t="s">
        <v>199</v>
      </c>
      <c r="L481" t="s">
        <v>129</v>
      </c>
      <c r="M481" t="s">
        <v>159</v>
      </c>
      <c r="N481">
        <v>32</v>
      </c>
      <c r="O481" t="s">
        <v>130</v>
      </c>
      <c r="Q481" t="s">
        <v>166</v>
      </c>
    </row>
    <row r="482" spans="7:17" x14ac:dyDescent="0.25">
      <c r="G482" t="s">
        <v>138</v>
      </c>
      <c r="I482" t="s">
        <v>143</v>
      </c>
      <c r="J482" t="s">
        <v>150</v>
      </c>
      <c r="L482" t="s">
        <v>129</v>
      </c>
      <c r="M482" t="s">
        <v>159</v>
      </c>
      <c r="N482">
        <v>33</v>
      </c>
      <c r="O482" t="s">
        <v>130</v>
      </c>
      <c r="Q482" t="s">
        <v>166</v>
      </c>
    </row>
    <row r="483" spans="7:17" x14ac:dyDescent="0.25">
      <c r="G483" t="s">
        <v>138</v>
      </c>
      <c r="I483" t="s">
        <v>143</v>
      </c>
      <c r="J483" t="s">
        <v>151</v>
      </c>
      <c r="L483" t="s">
        <v>129</v>
      </c>
      <c r="M483" t="s">
        <v>159</v>
      </c>
      <c r="N483">
        <v>39</v>
      </c>
      <c r="O483" t="s">
        <v>130</v>
      </c>
      <c r="Q483" t="s">
        <v>166</v>
      </c>
    </row>
    <row r="484" spans="7:17" x14ac:dyDescent="0.25">
      <c r="G484" t="s">
        <v>138</v>
      </c>
      <c r="I484" t="s">
        <v>143</v>
      </c>
      <c r="J484" t="s">
        <v>152</v>
      </c>
      <c r="L484" t="s">
        <v>129</v>
      </c>
      <c r="M484" t="s">
        <v>159</v>
      </c>
      <c r="N484">
        <v>47</v>
      </c>
      <c r="O484" t="s">
        <v>130</v>
      </c>
      <c r="Q484" t="s">
        <v>166</v>
      </c>
    </row>
    <row r="485" spans="7:17" x14ac:dyDescent="0.25">
      <c r="G485" t="s">
        <v>138</v>
      </c>
      <c r="I485" t="s">
        <v>143</v>
      </c>
      <c r="J485" t="s">
        <v>199</v>
      </c>
      <c r="L485" t="s">
        <v>129</v>
      </c>
      <c r="M485" t="s">
        <v>159</v>
      </c>
      <c r="N485">
        <v>33</v>
      </c>
      <c r="O485" t="s">
        <v>130</v>
      </c>
      <c r="Q485" t="s">
        <v>166</v>
      </c>
    </row>
    <row r="486" spans="7:17" x14ac:dyDescent="0.25">
      <c r="G486" t="s">
        <v>138</v>
      </c>
      <c r="J486" t="s">
        <v>150</v>
      </c>
      <c r="L486" t="s">
        <v>129</v>
      </c>
      <c r="M486" t="s">
        <v>159</v>
      </c>
      <c r="N486">
        <v>32</v>
      </c>
      <c r="O486" t="s">
        <v>130</v>
      </c>
      <c r="P486" t="s">
        <v>153</v>
      </c>
      <c r="Q486" t="s">
        <v>166</v>
      </c>
    </row>
    <row r="487" spans="7:17" x14ac:dyDescent="0.25">
      <c r="G487" t="s">
        <v>138</v>
      </c>
      <c r="J487" t="s">
        <v>151</v>
      </c>
      <c r="L487" t="s">
        <v>129</v>
      </c>
      <c r="M487" t="s">
        <v>159</v>
      </c>
      <c r="N487">
        <v>39</v>
      </c>
      <c r="O487" t="s">
        <v>130</v>
      </c>
      <c r="P487" t="s">
        <v>153</v>
      </c>
      <c r="Q487" t="s">
        <v>166</v>
      </c>
    </row>
    <row r="488" spans="7:17" x14ac:dyDescent="0.25">
      <c r="G488" t="s">
        <v>138</v>
      </c>
      <c r="J488" t="s">
        <v>152</v>
      </c>
      <c r="L488" t="s">
        <v>129</v>
      </c>
      <c r="M488" t="s">
        <v>159</v>
      </c>
      <c r="N488">
        <v>46</v>
      </c>
      <c r="O488" t="s">
        <v>130</v>
      </c>
      <c r="P488" t="s">
        <v>153</v>
      </c>
      <c r="Q488" t="s">
        <v>166</v>
      </c>
    </row>
    <row r="489" spans="7:17" x14ac:dyDescent="0.25">
      <c r="G489" t="s">
        <v>138</v>
      </c>
      <c r="J489" t="s">
        <v>199</v>
      </c>
      <c r="L489" t="s">
        <v>129</v>
      </c>
      <c r="M489" t="s">
        <v>159</v>
      </c>
      <c r="N489">
        <v>32</v>
      </c>
      <c r="O489" t="s">
        <v>130</v>
      </c>
      <c r="P489" t="s">
        <v>153</v>
      </c>
      <c r="Q489" t="s">
        <v>166</v>
      </c>
    </row>
    <row r="490" spans="7:17" x14ac:dyDescent="0.25">
      <c r="G490" t="s">
        <v>138</v>
      </c>
      <c r="J490" t="s">
        <v>168</v>
      </c>
      <c r="L490" t="s">
        <v>129</v>
      </c>
      <c r="M490" t="s">
        <v>159</v>
      </c>
      <c r="N490">
        <v>14</v>
      </c>
      <c r="O490" t="s">
        <v>130</v>
      </c>
      <c r="Q490" t="s">
        <v>183</v>
      </c>
    </row>
    <row r="491" spans="7:17" x14ac:dyDescent="0.25">
      <c r="G491" t="s">
        <v>156</v>
      </c>
      <c r="J491" t="s">
        <v>151</v>
      </c>
      <c r="L491" t="s">
        <v>129</v>
      </c>
      <c r="M491" t="s">
        <v>159</v>
      </c>
      <c r="N491">
        <v>43</v>
      </c>
      <c r="O491" t="s">
        <v>130</v>
      </c>
      <c r="Q491" t="s">
        <v>166</v>
      </c>
    </row>
    <row r="492" spans="7:17" x14ac:dyDescent="0.25">
      <c r="G492" t="s">
        <v>156</v>
      </c>
      <c r="J492" t="s">
        <v>152</v>
      </c>
      <c r="L492" t="s">
        <v>129</v>
      </c>
      <c r="M492" t="s">
        <v>159</v>
      </c>
      <c r="N492">
        <v>47</v>
      </c>
      <c r="O492" t="s">
        <v>130</v>
      </c>
      <c r="Q492" t="s">
        <v>166</v>
      </c>
    </row>
    <row r="493" spans="7:17" x14ac:dyDescent="0.25">
      <c r="G493" t="s">
        <v>156</v>
      </c>
      <c r="J493" t="s">
        <v>200</v>
      </c>
      <c r="L493" t="s">
        <v>129</v>
      </c>
      <c r="M493" t="s">
        <v>159</v>
      </c>
      <c r="N493">
        <v>43</v>
      </c>
      <c r="O493" t="s">
        <v>130</v>
      </c>
      <c r="Q493" t="s">
        <v>166</v>
      </c>
    </row>
    <row r="494" spans="7:17" x14ac:dyDescent="0.25">
      <c r="G494" t="s">
        <v>156</v>
      </c>
      <c r="J494" t="s">
        <v>168</v>
      </c>
      <c r="L494" t="s">
        <v>129</v>
      </c>
      <c r="M494" t="s">
        <v>159</v>
      </c>
      <c r="N494">
        <v>35</v>
      </c>
      <c r="O494" t="s">
        <v>130</v>
      </c>
      <c r="Q494" t="s">
        <v>183</v>
      </c>
    </row>
    <row r="495" spans="7:17" x14ac:dyDescent="0.25">
      <c r="G495" t="s">
        <v>201</v>
      </c>
      <c r="J495" t="s">
        <v>151</v>
      </c>
      <c r="L495" t="s">
        <v>129</v>
      </c>
      <c r="M495" t="s">
        <v>159</v>
      </c>
      <c r="N495">
        <v>43</v>
      </c>
      <c r="O495" t="s">
        <v>130</v>
      </c>
      <c r="Q495" t="s">
        <v>166</v>
      </c>
    </row>
    <row r="496" spans="7:17" x14ac:dyDescent="0.25">
      <c r="G496" t="s">
        <v>201</v>
      </c>
      <c r="J496" t="s">
        <v>168</v>
      </c>
      <c r="L496" t="s">
        <v>129</v>
      </c>
      <c r="M496" t="s">
        <v>159</v>
      </c>
      <c r="N496">
        <v>9</v>
      </c>
      <c r="O496" t="s">
        <v>130</v>
      </c>
      <c r="Q496" t="s">
        <v>183</v>
      </c>
    </row>
    <row r="497" spans="7:17" x14ac:dyDescent="0.25">
      <c r="G497" t="s">
        <v>144</v>
      </c>
      <c r="I497" t="s">
        <v>145</v>
      </c>
      <c r="J497" t="s">
        <v>150</v>
      </c>
      <c r="L497" t="s">
        <v>129</v>
      </c>
      <c r="M497" t="s">
        <v>159</v>
      </c>
      <c r="N497">
        <v>30</v>
      </c>
      <c r="O497" t="s">
        <v>130</v>
      </c>
      <c r="Q497" t="s">
        <v>166</v>
      </c>
    </row>
    <row r="498" spans="7:17" x14ac:dyDescent="0.25">
      <c r="G498" t="s">
        <v>144</v>
      </c>
      <c r="I498" t="s">
        <v>145</v>
      </c>
      <c r="J498" t="s">
        <v>151</v>
      </c>
      <c r="L498" t="s">
        <v>129</v>
      </c>
      <c r="M498" t="s">
        <v>159</v>
      </c>
      <c r="N498">
        <v>35</v>
      </c>
      <c r="O498" t="s">
        <v>130</v>
      </c>
      <c r="Q498" t="s">
        <v>166</v>
      </c>
    </row>
    <row r="499" spans="7:17" x14ac:dyDescent="0.25">
      <c r="G499" t="s">
        <v>144</v>
      </c>
      <c r="I499" t="s">
        <v>145</v>
      </c>
      <c r="J499" t="s">
        <v>152</v>
      </c>
      <c r="L499" t="s">
        <v>129</v>
      </c>
      <c r="M499" t="s">
        <v>159</v>
      </c>
      <c r="N499">
        <v>48</v>
      </c>
      <c r="O499" t="s">
        <v>130</v>
      </c>
      <c r="Q499" t="s">
        <v>166</v>
      </c>
    </row>
    <row r="500" spans="7:17" x14ac:dyDescent="0.25">
      <c r="G500" t="s">
        <v>144</v>
      </c>
      <c r="I500" t="s">
        <v>145</v>
      </c>
      <c r="J500" t="s">
        <v>199</v>
      </c>
      <c r="L500" t="s">
        <v>129</v>
      </c>
      <c r="M500" t="s">
        <v>159</v>
      </c>
      <c r="N500">
        <v>30</v>
      </c>
      <c r="O500" t="s">
        <v>130</v>
      </c>
      <c r="Q500" t="s">
        <v>166</v>
      </c>
    </row>
    <row r="501" spans="7:17" x14ac:dyDescent="0.25">
      <c r="G501" t="s">
        <v>144</v>
      </c>
      <c r="I501" t="s">
        <v>148</v>
      </c>
      <c r="J501" t="s">
        <v>150</v>
      </c>
      <c r="L501" t="s">
        <v>129</v>
      </c>
      <c r="M501" t="s">
        <v>159</v>
      </c>
      <c r="N501" s="13">
        <f>N497</f>
        <v>30</v>
      </c>
      <c r="O501" t="s">
        <v>130</v>
      </c>
      <c r="P501" t="s">
        <v>155</v>
      </c>
    </row>
    <row r="502" spans="7:17" x14ac:dyDescent="0.25">
      <c r="G502" t="s">
        <v>144</v>
      </c>
      <c r="I502" t="s">
        <v>148</v>
      </c>
      <c r="J502" t="s">
        <v>151</v>
      </c>
      <c r="L502" t="s">
        <v>129</v>
      </c>
      <c r="M502" t="s">
        <v>159</v>
      </c>
      <c r="N502" s="13">
        <f>N498</f>
        <v>35</v>
      </c>
      <c r="O502" t="s">
        <v>130</v>
      </c>
      <c r="P502" t="s">
        <v>155</v>
      </c>
    </row>
    <row r="503" spans="7:17" x14ac:dyDescent="0.25">
      <c r="G503" t="s">
        <v>144</v>
      </c>
      <c r="I503" t="s">
        <v>148</v>
      </c>
      <c r="J503" t="s">
        <v>152</v>
      </c>
      <c r="L503" t="s">
        <v>129</v>
      </c>
      <c r="M503" t="s">
        <v>159</v>
      </c>
      <c r="N503" s="13">
        <f>N499</f>
        <v>48</v>
      </c>
      <c r="O503" t="s">
        <v>130</v>
      </c>
      <c r="P503" t="s">
        <v>155</v>
      </c>
    </row>
    <row r="504" spans="7:17" x14ac:dyDescent="0.25">
      <c r="G504" t="s">
        <v>144</v>
      </c>
      <c r="I504" t="s">
        <v>148</v>
      </c>
      <c r="J504" t="s">
        <v>199</v>
      </c>
      <c r="L504" t="s">
        <v>129</v>
      </c>
      <c r="M504" t="s">
        <v>159</v>
      </c>
      <c r="N504" s="13">
        <f>N500</f>
        <v>30</v>
      </c>
      <c r="O504" t="s">
        <v>130</v>
      </c>
      <c r="P504" t="s">
        <v>155</v>
      </c>
    </row>
    <row r="505" spans="7:17" x14ac:dyDescent="0.25">
      <c r="G505" t="s">
        <v>144</v>
      </c>
      <c r="I505" t="s">
        <v>146</v>
      </c>
      <c r="J505" t="s">
        <v>150</v>
      </c>
      <c r="L505" t="s">
        <v>129</v>
      </c>
      <c r="M505" t="s">
        <v>159</v>
      </c>
      <c r="N505">
        <v>29</v>
      </c>
      <c r="O505" t="s">
        <v>130</v>
      </c>
      <c r="Q505" t="s">
        <v>166</v>
      </c>
    </row>
    <row r="506" spans="7:17" x14ac:dyDescent="0.25">
      <c r="G506" t="s">
        <v>144</v>
      </c>
      <c r="I506" t="s">
        <v>146</v>
      </c>
      <c r="J506" t="s">
        <v>151</v>
      </c>
      <c r="L506" t="s">
        <v>129</v>
      </c>
      <c r="M506" t="s">
        <v>159</v>
      </c>
      <c r="N506">
        <v>34</v>
      </c>
      <c r="O506" t="s">
        <v>130</v>
      </c>
      <c r="Q506" t="s">
        <v>166</v>
      </c>
    </row>
    <row r="507" spans="7:17" x14ac:dyDescent="0.25">
      <c r="G507" t="s">
        <v>144</v>
      </c>
      <c r="I507" t="s">
        <v>146</v>
      </c>
      <c r="J507" t="s">
        <v>152</v>
      </c>
      <c r="L507" t="s">
        <v>129</v>
      </c>
      <c r="M507" t="s">
        <v>159</v>
      </c>
      <c r="N507">
        <v>46</v>
      </c>
      <c r="O507" t="s">
        <v>130</v>
      </c>
      <c r="Q507" t="s">
        <v>166</v>
      </c>
    </row>
    <row r="508" spans="7:17" x14ac:dyDescent="0.25">
      <c r="G508" t="s">
        <v>144</v>
      </c>
      <c r="I508" t="s">
        <v>146</v>
      </c>
      <c r="J508" t="s">
        <v>199</v>
      </c>
      <c r="L508" t="s">
        <v>129</v>
      </c>
      <c r="M508" t="s">
        <v>159</v>
      </c>
      <c r="N508">
        <v>29</v>
      </c>
      <c r="O508" t="s">
        <v>130</v>
      </c>
      <c r="Q508" t="s">
        <v>166</v>
      </c>
    </row>
    <row r="509" spans="7:17" x14ac:dyDescent="0.25">
      <c r="G509" t="s">
        <v>144</v>
      </c>
      <c r="I509" t="s">
        <v>147</v>
      </c>
      <c r="J509" t="s">
        <v>150</v>
      </c>
      <c r="L509" t="s">
        <v>129</v>
      </c>
      <c r="M509" t="s">
        <v>159</v>
      </c>
      <c r="N509">
        <v>29</v>
      </c>
      <c r="O509" t="s">
        <v>130</v>
      </c>
      <c r="Q509" t="s">
        <v>166</v>
      </c>
    </row>
    <row r="510" spans="7:17" x14ac:dyDescent="0.25">
      <c r="G510" t="s">
        <v>144</v>
      </c>
      <c r="I510" t="s">
        <v>147</v>
      </c>
      <c r="J510" t="s">
        <v>151</v>
      </c>
      <c r="L510" t="s">
        <v>129</v>
      </c>
      <c r="M510" t="s">
        <v>159</v>
      </c>
      <c r="N510">
        <v>35</v>
      </c>
      <c r="O510" t="s">
        <v>130</v>
      </c>
      <c r="Q510" t="s">
        <v>166</v>
      </c>
    </row>
    <row r="511" spans="7:17" x14ac:dyDescent="0.25">
      <c r="G511" t="s">
        <v>144</v>
      </c>
      <c r="I511" t="s">
        <v>147</v>
      </c>
      <c r="J511" t="s">
        <v>152</v>
      </c>
      <c r="L511" t="s">
        <v>129</v>
      </c>
      <c r="M511" t="s">
        <v>159</v>
      </c>
      <c r="N511">
        <v>48</v>
      </c>
      <c r="O511" t="s">
        <v>130</v>
      </c>
      <c r="Q511" t="s">
        <v>166</v>
      </c>
    </row>
    <row r="512" spans="7:17" x14ac:dyDescent="0.25">
      <c r="G512" t="s">
        <v>144</v>
      </c>
      <c r="I512" t="s">
        <v>147</v>
      </c>
      <c r="J512" t="s">
        <v>199</v>
      </c>
      <c r="L512" t="s">
        <v>129</v>
      </c>
      <c r="M512" t="s">
        <v>159</v>
      </c>
      <c r="N512">
        <v>29</v>
      </c>
      <c r="O512" t="s">
        <v>130</v>
      </c>
      <c r="Q512" t="s">
        <v>166</v>
      </c>
    </row>
    <row r="513" spans="1:17" x14ac:dyDescent="0.25">
      <c r="G513" t="s">
        <v>144</v>
      </c>
      <c r="J513" t="s">
        <v>150</v>
      </c>
      <c r="L513" t="s">
        <v>129</v>
      </c>
      <c r="M513" t="s">
        <v>159</v>
      </c>
      <c r="N513">
        <v>29</v>
      </c>
      <c r="O513" t="s">
        <v>130</v>
      </c>
      <c r="P513" t="s">
        <v>154</v>
      </c>
      <c r="Q513" t="s">
        <v>166</v>
      </c>
    </row>
    <row r="514" spans="1:17" x14ac:dyDescent="0.25">
      <c r="G514" t="s">
        <v>144</v>
      </c>
      <c r="J514" t="s">
        <v>151</v>
      </c>
      <c r="L514" t="s">
        <v>129</v>
      </c>
      <c r="M514" t="s">
        <v>159</v>
      </c>
      <c r="N514">
        <v>35</v>
      </c>
      <c r="O514" t="s">
        <v>130</v>
      </c>
      <c r="P514" t="s">
        <v>154</v>
      </c>
      <c r="Q514" t="s">
        <v>166</v>
      </c>
    </row>
    <row r="515" spans="1:17" x14ac:dyDescent="0.25">
      <c r="G515" t="s">
        <v>144</v>
      </c>
      <c r="J515" t="s">
        <v>152</v>
      </c>
      <c r="L515" t="s">
        <v>129</v>
      </c>
      <c r="M515" t="s">
        <v>159</v>
      </c>
      <c r="N515">
        <v>44</v>
      </c>
      <c r="O515" t="s">
        <v>130</v>
      </c>
      <c r="P515" t="s">
        <v>154</v>
      </c>
      <c r="Q515" t="s">
        <v>166</v>
      </c>
    </row>
    <row r="516" spans="1:17" x14ac:dyDescent="0.25">
      <c r="G516" t="s">
        <v>144</v>
      </c>
      <c r="J516" t="s">
        <v>199</v>
      </c>
      <c r="L516" t="s">
        <v>129</v>
      </c>
      <c r="M516" t="s">
        <v>159</v>
      </c>
      <c r="N516">
        <v>29</v>
      </c>
      <c r="O516" t="s">
        <v>130</v>
      </c>
      <c r="P516" t="s">
        <v>154</v>
      </c>
      <c r="Q516" t="s">
        <v>166</v>
      </c>
    </row>
    <row r="517" spans="1:17" x14ac:dyDescent="0.25">
      <c r="G517" t="s">
        <v>149</v>
      </c>
      <c r="J517" t="s">
        <v>150</v>
      </c>
      <c r="L517" t="s">
        <v>129</v>
      </c>
      <c r="M517" t="s">
        <v>159</v>
      </c>
      <c r="N517">
        <v>29</v>
      </c>
      <c r="O517" t="s">
        <v>130</v>
      </c>
      <c r="Q517" t="s">
        <v>166</v>
      </c>
    </row>
    <row r="518" spans="1:17" x14ac:dyDescent="0.25">
      <c r="G518" t="s">
        <v>149</v>
      </c>
      <c r="J518" t="s">
        <v>151</v>
      </c>
      <c r="L518" t="s">
        <v>129</v>
      </c>
      <c r="M518" t="s">
        <v>159</v>
      </c>
      <c r="N518">
        <v>40</v>
      </c>
      <c r="O518" t="s">
        <v>130</v>
      </c>
      <c r="Q518" t="s">
        <v>166</v>
      </c>
    </row>
    <row r="519" spans="1:17" x14ac:dyDescent="0.25">
      <c r="G519" t="s">
        <v>149</v>
      </c>
      <c r="J519" t="s">
        <v>152</v>
      </c>
      <c r="L519" t="s">
        <v>129</v>
      </c>
      <c r="M519" t="s">
        <v>159</v>
      </c>
      <c r="N519">
        <v>56</v>
      </c>
      <c r="O519" t="s">
        <v>130</v>
      </c>
      <c r="Q519" t="s">
        <v>166</v>
      </c>
    </row>
    <row r="520" spans="1:17" x14ac:dyDescent="0.25">
      <c r="G520" t="s">
        <v>149</v>
      </c>
      <c r="I520" t="s">
        <v>202</v>
      </c>
      <c r="J520" t="s">
        <v>150</v>
      </c>
      <c r="L520" t="s">
        <v>129</v>
      </c>
      <c r="M520" t="s">
        <v>159</v>
      </c>
      <c r="N520">
        <v>30</v>
      </c>
      <c r="O520" t="s">
        <v>130</v>
      </c>
      <c r="Q520" t="s">
        <v>166</v>
      </c>
    </row>
    <row r="521" spans="1:17" x14ac:dyDescent="0.25">
      <c r="G521" t="s">
        <v>149</v>
      </c>
      <c r="I521" t="s">
        <v>202</v>
      </c>
      <c r="J521" t="s">
        <v>151</v>
      </c>
      <c r="L521" t="s">
        <v>129</v>
      </c>
      <c r="M521" t="s">
        <v>159</v>
      </c>
      <c r="N521">
        <v>41</v>
      </c>
      <c r="O521" t="s">
        <v>130</v>
      </c>
      <c r="Q521" t="s">
        <v>166</v>
      </c>
    </row>
    <row r="522" spans="1:17" x14ac:dyDescent="0.25">
      <c r="G522" t="s">
        <v>149</v>
      </c>
      <c r="I522" t="s">
        <v>202</v>
      </c>
      <c r="J522" t="s">
        <v>152</v>
      </c>
      <c r="L522" t="s">
        <v>129</v>
      </c>
      <c r="M522" t="s">
        <v>159</v>
      </c>
      <c r="N522">
        <v>56</v>
      </c>
      <c r="O522" t="s">
        <v>130</v>
      </c>
      <c r="Q522" t="s">
        <v>166</v>
      </c>
    </row>
    <row r="523" spans="1:17" x14ac:dyDescent="0.25">
      <c r="G523" t="s">
        <v>149</v>
      </c>
      <c r="I523" t="s">
        <v>203</v>
      </c>
      <c r="J523" t="s">
        <v>151</v>
      </c>
      <c r="L523" t="s">
        <v>129</v>
      </c>
      <c r="M523" t="s">
        <v>159</v>
      </c>
      <c r="N523">
        <v>41</v>
      </c>
      <c r="O523" t="s">
        <v>130</v>
      </c>
      <c r="Q523" t="s">
        <v>166</v>
      </c>
    </row>
    <row r="524" spans="1:17" x14ac:dyDescent="0.25">
      <c r="G524" t="s">
        <v>149</v>
      </c>
      <c r="I524" t="s">
        <v>203</v>
      </c>
      <c r="J524" t="s">
        <v>152</v>
      </c>
      <c r="L524" t="s">
        <v>129</v>
      </c>
      <c r="M524" t="s">
        <v>159</v>
      </c>
      <c r="N524">
        <v>41</v>
      </c>
      <c r="O524" t="s">
        <v>130</v>
      </c>
      <c r="Q524" t="s">
        <v>166</v>
      </c>
    </row>
    <row r="526" spans="1:17" x14ac:dyDescent="0.25">
      <c r="A526" s="2" t="s">
        <v>177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8" spans="1:17" x14ac:dyDescent="0.25">
      <c r="L528" t="s">
        <v>167</v>
      </c>
      <c r="M528" t="s">
        <v>178</v>
      </c>
      <c r="N528">
        <v>1</v>
      </c>
      <c r="O528" t="s">
        <v>125</v>
      </c>
      <c r="P528" t="s">
        <v>174</v>
      </c>
      <c r="Q528" t="s">
        <v>170</v>
      </c>
    </row>
    <row r="529" spans="1:17" x14ac:dyDescent="0.25">
      <c r="L529" t="s">
        <v>167</v>
      </c>
      <c r="M529" t="s">
        <v>180</v>
      </c>
      <c r="N529">
        <v>1</v>
      </c>
      <c r="O529" t="s">
        <v>125</v>
      </c>
      <c r="P529" t="s">
        <v>175</v>
      </c>
      <c r="Q529" t="s">
        <v>170</v>
      </c>
    </row>
    <row r="530" spans="1:17" x14ac:dyDescent="0.25">
      <c r="G530" t="s">
        <v>138</v>
      </c>
      <c r="J530" t="s">
        <v>168</v>
      </c>
      <c r="L530" t="s">
        <v>167</v>
      </c>
      <c r="M530" t="s">
        <v>180</v>
      </c>
      <c r="N530">
        <v>2</v>
      </c>
      <c r="O530" t="s">
        <v>125</v>
      </c>
      <c r="P530" t="s">
        <v>171</v>
      </c>
      <c r="Q530" t="s">
        <v>169</v>
      </c>
    </row>
    <row r="531" spans="1:17" x14ac:dyDescent="0.25">
      <c r="J531" t="s">
        <v>168</v>
      </c>
      <c r="L531" t="s">
        <v>167</v>
      </c>
      <c r="M531" t="s">
        <v>180</v>
      </c>
      <c r="N531">
        <v>1</v>
      </c>
      <c r="O531" t="s">
        <v>125</v>
      </c>
      <c r="P531" t="s">
        <v>172</v>
      </c>
      <c r="Q531" t="s">
        <v>169</v>
      </c>
    </row>
    <row r="532" spans="1:17" x14ac:dyDescent="0.25">
      <c r="L532" t="s">
        <v>167</v>
      </c>
      <c r="M532" t="s">
        <v>179</v>
      </c>
      <c r="N532">
        <v>1</v>
      </c>
      <c r="O532" t="s">
        <v>125</v>
      </c>
      <c r="P532" t="s">
        <v>182</v>
      </c>
      <c r="Q532" t="s">
        <v>170</v>
      </c>
    </row>
    <row r="533" spans="1:17" x14ac:dyDescent="0.25">
      <c r="L533" t="s">
        <v>167</v>
      </c>
      <c r="M533" t="s">
        <v>181</v>
      </c>
      <c r="N533">
        <v>1</v>
      </c>
      <c r="O533" t="s">
        <v>125</v>
      </c>
      <c r="P533" t="s">
        <v>173</v>
      </c>
      <c r="Q533" t="s">
        <v>170</v>
      </c>
    </row>
    <row r="535" spans="1:17" x14ac:dyDescent="0.25">
      <c r="L535" t="s">
        <v>167</v>
      </c>
      <c r="M535" t="s">
        <v>185</v>
      </c>
      <c r="N535">
        <v>13</v>
      </c>
      <c r="O535" t="s">
        <v>186</v>
      </c>
    </row>
    <row r="537" spans="1:17" x14ac:dyDescent="0.25">
      <c r="A537" s="2" t="s">
        <v>188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9" spans="1:17" x14ac:dyDescent="0.25">
      <c r="B539" t="s">
        <v>194</v>
      </c>
      <c r="L539" t="s">
        <v>192</v>
      </c>
      <c r="M539" t="s">
        <v>189</v>
      </c>
      <c r="N539">
        <v>0.24</v>
      </c>
      <c r="O539" t="s">
        <v>191</v>
      </c>
      <c r="Q539" t="s">
        <v>190</v>
      </c>
    </row>
    <row r="540" spans="1:17" x14ac:dyDescent="0.25">
      <c r="B540" t="s">
        <v>195</v>
      </c>
      <c r="L540" t="s">
        <v>192</v>
      </c>
      <c r="M540" t="s">
        <v>189</v>
      </c>
      <c r="N540">
        <v>0.24</v>
      </c>
      <c r="O540" t="s">
        <v>191</v>
      </c>
      <c r="Q540" t="s">
        <v>190</v>
      </c>
    </row>
    <row r="541" spans="1:17" x14ac:dyDescent="0.25">
      <c r="B541" t="s">
        <v>196</v>
      </c>
      <c r="L541" t="s">
        <v>192</v>
      </c>
      <c r="M541" t="s">
        <v>189</v>
      </c>
      <c r="N541">
        <v>0</v>
      </c>
      <c r="O541" t="s">
        <v>191</v>
      </c>
      <c r="P541" t="s">
        <v>197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2023-11-24T15:45:46Z</dcterms:modified>
</cp:coreProperties>
</file>