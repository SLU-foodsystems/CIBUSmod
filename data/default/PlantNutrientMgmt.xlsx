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240" windowHeight="10650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29" i="1" l="1"/>
  <c r="S816" i="1" l="1"/>
  <c r="S818" i="1" l="1"/>
  <c r="S819" i="1"/>
  <c r="S823" i="1" l="1"/>
  <c r="S831" i="1"/>
  <c r="S830" i="1"/>
  <c r="S836" i="1" l="1"/>
  <c r="S835" i="1"/>
  <c r="S810" i="1" l="1"/>
  <c r="S809" i="1"/>
  <c r="S833" i="1"/>
  <c r="S817" i="1"/>
  <c r="S821" i="1"/>
  <c r="S820" i="1"/>
  <c r="S825" i="1"/>
  <c r="S822" i="1"/>
  <c r="S815" i="1" s="1"/>
  <c r="S713" i="1" l="1"/>
  <c r="S712" i="1"/>
  <c r="S711" i="1"/>
  <c r="S710" i="1"/>
  <c r="S709" i="1"/>
  <c r="S489" i="1"/>
  <c r="S488" i="1"/>
  <c r="S487" i="1"/>
  <c r="S486" i="1"/>
  <c r="S485" i="1"/>
  <c r="S202" i="1"/>
  <c r="S201" i="1"/>
  <c r="S200" i="1"/>
  <c r="S199" i="1"/>
  <c r="S198" i="1"/>
  <c r="S615" i="1"/>
  <c r="S616" i="1"/>
  <c r="S617" i="1"/>
  <c r="S618" i="1"/>
  <c r="S619" i="1"/>
  <c r="S620" i="1"/>
  <c r="S621" i="1"/>
  <c r="S614" i="1"/>
  <c r="S189" i="1"/>
  <c r="S188" i="1"/>
  <c r="S346" i="1"/>
  <c r="S380" i="1"/>
  <c r="S381" i="1"/>
  <c r="S382" i="1"/>
  <c r="S383" i="1"/>
  <c r="S384" i="1"/>
  <c r="S379" i="1"/>
  <c r="S705" i="1" l="1"/>
  <c r="S481" i="1"/>
  <c r="S480" i="1"/>
  <c r="S704" i="1"/>
  <c r="S689" i="1" l="1"/>
  <c r="S688" i="1"/>
  <c r="S681" i="1"/>
  <c r="S683" i="1" s="1"/>
  <c r="S680" i="1"/>
  <c r="S682" i="1" s="1"/>
  <c r="S675" i="1"/>
  <c r="S674" i="1"/>
  <c r="S660" i="1"/>
  <c r="S659" i="1"/>
  <c r="S658" i="1"/>
  <c r="S657" i="1"/>
  <c r="S656" i="1"/>
  <c r="S655" i="1"/>
  <c r="S649" i="1"/>
  <c r="S648" i="1"/>
  <c r="S647" i="1"/>
  <c r="S646" i="1"/>
  <c r="S645" i="1"/>
  <c r="S644" i="1"/>
  <c r="S643" i="1"/>
  <c r="S642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431" i="1" l="1"/>
  <c r="S432" i="1"/>
  <c r="S430" i="1"/>
  <c r="S307" i="1"/>
  <c r="S308" i="1"/>
  <c r="S309" i="1"/>
  <c r="S310" i="1"/>
  <c r="S311" i="1"/>
  <c r="S312" i="1"/>
  <c r="S313" i="1"/>
  <c r="S306" i="1"/>
  <c r="S114" i="1"/>
  <c r="S113" i="1"/>
  <c r="U112" i="1"/>
  <c r="S112" i="1"/>
  <c r="S347" i="1" l="1"/>
  <c r="S348" i="1"/>
  <c r="S349" i="1"/>
  <c r="S350" i="1"/>
  <c r="S351" i="1"/>
  <c r="S352" i="1"/>
  <c r="S353" i="1"/>
  <c r="S338" i="1"/>
  <c r="S339" i="1"/>
  <c r="S340" i="1"/>
  <c r="S341" i="1"/>
  <c r="S342" i="1"/>
  <c r="S343" i="1"/>
  <c r="S344" i="1"/>
  <c r="S345" i="1"/>
  <c r="S290" i="1"/>
  <c r="U165" i="1"/>
  <c r="S167" i="1"/>
  <c r="S166" i="1"/>
  <c r="S165" i="1"/>
  <c r="S162" i="1"/>
  <c r="U162" i="1"/>
  <c r="S163" i="1"/>
  <c r="S164" i="1"/>
  <c r="S457" i="1" l="1"/>
  <c r="S459" i="1" s="1"/>
  <c r="S456" i="1"/>
  <c r="S458" i="1" s="1"/>
  <c r="S451" i="1"/>
  <c r="S450" i="1"/>
  <c r="S465" i="1" l="1"/>
  <c r="S464" i="1"/>
  <c r="S434" i="1"/>
  <c r="S435" i="1"/>
  <c r="S433" i="1"/>
  <c r="S414" i="1"/>
  <c r="S415" i="1"/>
  <c r="S416" i="1"/>
  <c r="S417" i="1"/>
  <c r="S418" i="1"/>
  <c r="S419" i="1"/>
  <c r="S420" i="1"/>
  <c r="S421" i="1"/>
  <c r="S422" i="1"/>
  <c r="S423" i="1"/>
  <c r="S424" i="1"/>
  <c r="S413" i="1"/>
  <c r="S331" i="1"/>
  <c r="S332" i="1"/>
  <c r="S333" i="1"/>
  <c r="S334" i="1"/>
  <c r="S335" i="1"/>
  <c r="S336" i="1"/>
  <c r="S337" i="1"/>
  <c r="S323" i="1"/>
  <c r="S324" i="1"/>
  <c r="S325" i="1"/>
  <c r="S326" i="1"/>
  <c r="S327" i="1"/>
  <c r="S328" i="1"/>
  <c r="S329" i="1"/>
  <c r="S330" i="1"/>
  <c r="S322" i="1"/>
  <c r="S321" i="1"/>
  <c r="S320" i="1"/>
  <c r="S319" i="1"/>
  <c r="S318" i="1"/>
  <c r="S317" i="1"/>
  <c r="S316" i="1"/>
  <c r="S315" i="1"/>
  <c r="S314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73" i="1"/>
  <c r="S274" i="1"/>
  <c r="S275" i="1"/>
  <c r="S276" i="1"/>
  <c r="S277" i="1"/>
  <c r="S278" i="1"/>
  <c r="S279" i="1"/>
  <c r="S265" i="1"/>
  <c r="S266" i="1"/>
  <c r="S267" i="1"/>
  <c r="S268" i="1"/>
  <c r="S269" i="1"/>
  <c r="S270" i="1"/>
  <c r="S271" i="1"/>
  <c r="S272" i="1"/>
  <c r="S264" i="1"/>
  <c r="S257" i="1"/>
  <c r="S258" i="1"/>
  <c r="S259" i="1"/>
  <c r="S260" i="1"/>
  <c r="S261" i="1"/>
  <c r="S262" i="1"/>
  <c r="S263" i="1"/>
  <c r="S256" i="1"/>
  <c r="S764" i="1" l="1"/>
  <c r="S762" i="1" l="1"/>
  <c r="S763" i="1"/>
  <c r="S761" i="1"/>
  <c r="S724" i="1"/>
  <c r="S723" i="1"/>
  <c r="S722" i="1"/>
  <c r="S187" i="1" l="1"/>
  <c r="S186" i="1"/>
  <c r="S175" i="1"/>
  <c r="S174" i="1"/>
  <c r="S195" i="1"/>
  <c r="S183" i="1" l="1"/>
  <c r="U148" i="1"/>
  <c r="U88" i="1" l="1"/>
  <c r="U91" i="1" s="1"/>
  <c r="U94" i="1" s="1"/>
  <c r="S90" i="1"/>
  <c r="S93" i="1" s="1"/>
  <c r="S96" i="1" s="1"/>
  <c r="S89" i="1"/>
  <c r="S92" i="1" s="1"/>
  <c r="S95" i="1" s="1"/>
  <c r="S88" i="1"/>
  <c r="S91" i="1" s="1"/>
  <c r="S94" i="1" s="1"/>
  <c r="U103" i="1" l="1"/>
  <c r="S105" i="1"/>
  <c r="S104" i="1"/>
  <c r="S103" i="1"/>
  <c r="U82" i="1"/>
  <c r="S84" i="1"/>
  <c r="S83" i="1"/>
  <c r="S82" i="1"/>
  <c r="S81" i="1"/>
  <c r="S80" i="1"/>
  <c r="U79" i="1"/>
  <c r="S79" i="1"/>
  <c r="U56" i="1"/>
  <c r="S58" i="1"/>
  <c r="S57" i="1"/>
  <c r="S56" i="1"/>
  <c r="U64" i="1"/>
  <c r="U125" i="1" s="1"/>
  <c r="S66" i="1"/>
  <c r="S130" i="1" s="1"/>
  <c r="S65" i="1"/>
  <c r="S126" i="1" s="1"/>
  <c r="S64" i="1"/>
  <c r="S117" i="1" s="1"/>
  <c r="U123" i="1"/>
  <c r="U115" i="1"/>
  <c r="U44" i="1"/>
  <c r="S45" i="1"/>
  <c r="S46" i="1"/>
  <c r="S47" i="1"/>
  <c r="S44" i="1"/>
  <c r="U117" i="1" l="1"/>
  <c r="S121" i="1"/>
  <c r="S122" i="1"/>
  <c r="U128" i="1"/>
  <c r="S119" i="1"/>
  <c r="U120" i="1"/>
  <c r="S129" i="1"/>
  <c r="S127" i="1"/>
  <c r="S125" i="1"/>
  <c r="S118" i="1"/>
  <c r="S128" i="1"/>
  <c r="S120" i="1"/>
  <c r="S185" i="1"/>
  <c r="S184" i="1"/>
  <c r="S149" i="1"/>
  <c r="S150" i="1"/>
  <c r="S148" i="1"/>
  <c r="S116" i="1"/>
  <c r="S115" i="1"/>
  <c r="S124" i="1"/>
  <c r="S123" i="1"/>
</calcChain>
</file>

<file path=xl/sharedStrings.xml><?xml version="1.0" encoding="utf-8"?>
<sst xmlns="http://schemas.openxmlformats.org/spreadsheetml/2006/main" count="2502" uniqueCount="354">
  <si>
    <t>f_crop</t>
  </si>
  <si>
    <t>parameter</t>
  </si>
  <si>
    <t>value</t>
  </si>
  <si>
    <t>unit</t>
  </si>
  <si>
    <t>description</t>
  </si>
  <si>
    <t>source</t>
  </si>
  <si>
    <t>Wheat, winter</t>
  </si>
  <si>
    <t>f_use</t>
  </si>
  <si>
    <t>food</t>
  </si>
  <si>
    <t>N_rec_a</t>
  </si>
  <si>
    <t>N_rec_b</t>
  </si>
  <si>
    <t>N_rec_m</t>
  </si>
  <si>
    <t>Fallback</t>
  </si>
  <si>
    <t>Wheat, spring</t>
  </si>
  <si>
    <t>Barley, spring</t>
  </si>
  <si>
    <t>Korn, foder, norra götaland och svealand</t>
  </si>
  <si>
    <t>Korn, malt norra götaland och svealand</t>
  </si>
  <si>
    <t>Havre, norra götaland och svealand</t>
  </si>
  <si>
    <t>Oats</t>
  </si>
  <si>
    <t>Rågvete/höstkorn, norra  götaland och svealand</t>
  </si>
  <si>
    <t>Barley, winter</t>
  </si>
  <si>
    <t>Triticale, spring</t>
  </si>
  <si>
    <t>Triticale, winter</t>
  </si>
  <si>
    <t>Råg, norra götaland och Svealand</t>
  </si>
  <si>
    <t>Rye</t>
  </si>
  <si>
    <t>Mixed cereals</t>
  </si>
  <si>
    <t>Maize (corn)</t>
  </si>
  <si>
    <t>Peas, dry</t>
  </si>
  <si>
    <t>Peas, green</t>
  </si>
  <si>
    <t>Broad beans and horse beans, dry</t>
  </si>
  <si>
    <t>Beans, dry</t>
  </si>
  <si>
    <t>Rapeseed, winter</t>
  </si>
  <si>
    <t>Rapeseed, spring</t>
  </si>
  <si>
    <t>Potatoes, table</t>
  </si>
  <si>
    <t>Potatoes, starch</t>
  </si>
  <si>
    <t>Sugar beet</t>
  </si>
  <si>
    <t>Ley for seed</t>
  </si>
  <si>
    <t>Ley for fodder</t>
  </si>
  <si>
    <t>Ley for grazing</t>
  </si>
  <si>
    <t>Maize for forage and silage</t>
  </si>
  <si>
    <t>Cereals for fodder</t>
  </si>
  <si>
    <t>Other crops for fodder</t>
  </si>
  <si>
    <t>Semi-natural pastures</t>
  </si>
  <si>
    <t>Semi-natural meadows</t>
  </si>
  <si>
    <t>Onions</t>
  </si>
  <si>
    <t>Carrots</t>
  </si>
  <si>
    <t>Other root vegetables</t>
  </si>
  <si>
    <t>Lettuce and spinach</t>
  </si>
  <si>
    <t>Cabbages, cauliflowers and broccoli</t>
  </si>
  <si>
    <t>Cucumbers</t>
  </si>
  <si>
    <t>Pumpkins and squash</t>
  </si>
  <si>
    <t>Herbs</t>
  </si>
  <si>
    <t>Other vegetables</t>
  </si>
  <si>
    <t>Strawberries</t>
  </si>
  <si>
    <t>Currants</t>
  </si>
  <si>
    <t>Other berries</t>
  </si>
  <si>
    <t>Apples</t>
  </si>
  <si>
    <t>Pears</t>
  </si>
  <si>
    <t>Other fruit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</si>
  <si>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</si>
  <si>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</si>
  <si>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</si>
  <si>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</si>
  <si>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</si>
  <si>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</si>
  <si>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</si>
  <si>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Fallow</t>
  </si>
  <si>
    <t>Energy grass</t>
  </si>
  <si>
    <t>Short rotation coppice</t>
  </si>
  <si>
    <t>Green manure</t>
  </si>
  <si>
    <t>Ley not harvested</t>
  </si>
  <si>
    <t>No N fertilisation assumed</t>
  </si>
  <si>
    <t>No N fertilisation assumed. Very low in statistics from 2016 (below 3 kgN/ha) and not fertilized with N in Tidåker et al 2021</t>
  </si>
  <si>
    <t>medel riket statistik växttillgängligt</t>
  </si>
  <si>
    <t>Tidåker et al 2021</t>
  </si>
  <si>
    <t>recommended nitrogen rate is 110 kg N/ha, which is followed more or less according to statistics (applied N rates (plant available N) were 98-105% of recommended rate in 2016)</t>
  </si>
  <si>
    <t>Yara: (https://www.yara.se/vaxtnaring/jordgubbar/)</t>
  </si>
  <si>
    <t>Yara (https://www.yara.se/vaxtnaring/applen-paron/tabeller/) med underväst av gräs, ökar N behovet med 30-50 kg/ha</t>
  </si>
  <si>
    <t xml:space="preserve">yield in fresh weight (DM 10.7%). </t>
  </si>
  <si>
    <t>Yara (2018)</t>
  </si>
  <si>
    <t xml:space="preserve">isberg, friland. yield in fresh weight, 4% DM </t>
  </si>
  <si>
    <t xml:space="preserve">yield in fresh weight, 9% DM </t>
  </si>
  <si>
    <t xml:space="preserve">yield in fresh weight 5% DM </t>
  </si>
  <si>
    <t>f_prod_system</t>
  </si>
  <si>
    <t>2 Götalands mellanbygder</t>
  </si>
  <si>
    <t>1 Götalands södra slättbygder</t>
  </si>
  <si>
    <t>7 Nedre Norrland</t>
  </si>
  <si>
    <t>8 Övre Norrland</t>
  </si>
  <si>
    <t>Höstvete foder/bröd, södra götaland</t>
  </si>
  <si>
    <t>Höstevete foder/bröd norra götaland och svealand</t>
  </si>
  <si>
    <t>Rågvete/höstkorn, södra götaland</t>
  </si>
  <si>
    <t>Råg, södra götaland</t>
  </si>
  <si>
    <t>Korn foder, södra götaland</t>
  </si>
  <si>
    <t>Korn, malt södra götaland</t>
  </si>
  <si>
    <t>Havre södra götaland</t>
  </si>
  <si>
    <t>Korn, norrland</t>
  </si>
  <si>
    <t>Potatis</t>
  </si>
  <si>
    <t>%</t>
  </si>
  <si>
    <t>organic</t>
  </si>
  <si>
    <t>kg P/ha</t>
  </si>
  <si>
    <t>manure_P_max</t>
  </si>
  <si>
    <t>Chapter 2.2.4.1 in Rekommendationer för gödsling och kalkning 2023</t>
  </si>
  <si>
    <t>max P allowed on cropland on regional level</t>
  </si>
  <si>
    <t>manure_TAN_max</t>
  </si>
  <si>
    <t>Share of TAN requirements covered by manure. Based on 20,000 tonnes N from manure (incl. digested) of 22,000 tonnes N in total applied on organic areas.</t>
  </si>
  <si>
    <t>Specialbearbetning av stallgödselundersökningen till Einarsson et al 2022. The nitrogen footprint of Swedish food consumption.</t>
  </si>
  <si>
    <t>Manure distribution parameters</t>
  </si>
  <si>
    <t>Calcium ammonium nitrate</t>
  </si>
  <si>
    <t>Ammonium nitrate</t>
  </si>
  <si>
    <t>% of N</t>
  </si>
  <si>
    <t>Swedish IIR 2023. Table 5-23</t>
  </si>
  <si>
    <t>Only three largest included for now</t>
  </si>
  <si>
    <t>f_compound</t>
  </si>
  <si>
    <t>NH3-N</t>
  </si>
  <si>
    <t>% of TAN</t>
  </si>
  <si>
    <t>Recalculated from gNH3/kgN</t>
  </si>
  <si>
    <t>f_species</t>
  </si>
  <si>
    <t>f_breed</t>
  </si>
  <si>
    <t>f_animal</t>
  </si>
  <si>
    <t>f_MMS</t>
  </si>
  <si>
    <t>cattle</t>
  </si>
  <si>
    <t>dairy</t>
  </si>
  <si>
    <t>cows</t>
  </si>
  <si>
    <t>beef</t>
  </si>
  <si>
    <t>heifers</t>
  </si>
  <si>
    <t>calves</t>
  </si>
  <si>
    <t>pigs</t>
  </si>
  <si>
    <t>sows</t>
  </si>
  <si>
    <t>boars</t>
  </si>
  <si>
    <t>piglets</t>
  </si>
  <si>
    <t>gilts</t>
  </si>
  <si>
    <t>poultry</t>
  </si>
  <si>
    <t>liquid</t>
  </si>
  <si>
    <t>solid</t>
  </si>
  <si>
    <t>deep litter</t>
  </si>
  <si>
    <t>bulls, steers and breeding bulls</t>
  </si>
  <si>
    <t>growing and finishing pigs</t>
  </si>
  <si>
    <t>same as sows</t>
  </si>
  <si>
    <t>horses</t>
  </si>
  <si>
    <t>mineral_N_fertiliser_share</t>
  </si>
  <si>
    <t>f_fertiliser_type</t>
  </si>
  <si>
    <t>application_losses</t>
  </si>
  <si>
    <t>conventional</t>
  </si>
  <si>
    <t>Mineral fertiliser shares</t>
  </si>
  <si>
    <t>No mineral N for organic</t>
  </si>
  <si>
    <t>fallback</t>
  </si>
  <si>
    <t>Manure</t>
  </si>
  <si>
    <t>Swedish IIR 2023. Table 5-13</t>
  </si>
  <si>
    <t>N2O-N</t>
  </si>
  <si>
    <t>grazing</t>
  </si>
  <si>
    <t>Swedish NIR 2021. Table 5.18</t>
  </si>
  <si>
    <t>Swedish NIR 2021. Table 5.20</t>
  </si>
  <si>
    <t>manure on pasture (cattle)</t>
  </si>
  <si>
    <t>manure on pasture (other)</t>
  </si>
  <si>
    <t>crop residues</t>
  </si>
  <si>
    <t>mineral N fertiliser</t>
  </si>
  <si>
    <t>applied manure</t>
  </si>
  <si>
    <t>Application losses</t>
  </si>
  <si>
    <t>Soil losses</t>
  </si>
  <si>
    <t>soil_losses_mineral</t>
  </si>
  <si>
    <t>soil_losses_organic</t>
  </si>
  <si>
    <t>soil_losses_manure</t>
  </si>
  <si>
    <t>soil_losses_crop_residues</t>
  </si>
  <si>
    <t>organic fertilisers (other than manure)</t>
  </si>
  <si>
    <t>Table 3.9. EMEP/EEA air pollutant emission inventory Guidebook 2019</t>
  </si>
  <si>
    <t>emission factors are available for different spreading techniques and timings. Use these!!!</t>
  </si>
  <si>
    <t>soil_losses_organic_soils</t>
  </si>
  <si>
    <t>kg N2O-N/ha</t>
  </si>
  <si>
    <t>f_po8:region</t>
  </si>
  <si>
    <t>Leaching</t>
  </si>
  <si>
    <t>N_leaching_frac</t>
  </si>
  <si>
    <t>IPCC Guidelines 2019</t>
  </si>
  <si>
    <t>kg N leached/kg N added</t>
  </si>
  <si>
    <t>NO3-N</t>
  </si>
  <si>
    <t>f_land_use</t>
  </si>
  <si>
    <t>cropland</t>
  </si>
  <si>
    <t>semi-natural grasslands</t>
  </si>
  <si>
    <t>greenhouse</t>
  </si>
  <si>
    <t>No leaching from greenhouses?</t>
  </si>
  <si>
    <t>Avg. from statistics 2018/2019 &amp; 2021/2022</t>
  </si>
  <si>
    <t>anaerobic digestion</t>
  </si>
  <si>
    <t>composting</t>
  </si>
  <si>
    <t>sheep</t>
  </si>
  <si>
    <t>laying chicks</t>
  </si>
  <si>
    <t>broilers</t>
  </si>
  <si>
    <t>Recommended total plant available nitrogen (TAN) addition per hectare (kg TAN/ha) is calculated as a function of the yeild</t>
  </si>
  <si>
    <t>expressed in tonnes with the equation: N_rec = N_rec_a*Y^2 + N_rec_b*Y + N_rec_m</t>
  </si>
  <si>
    <t>P_rec_a</t>
  </si>
  <si>
    <t>P_rec_m</t>
  </si>
  <si>
    <t>f_P_class</t>
  </si>
  <si>
    <t>I</t>
  </si>
  <si>
    <t>II</t>
  </si>
  <si>
    <t>III</t>
  </si>
  <si>
    <t>IVA</t>
  </si>
  <si>
    <t>IVB</t>
  </si>
  <si>
    <t>Winter cereals</t>
  </si>
  <si>
    <t>Spring cereals</t>
  </si>
  <si>
    <t>V</t>
  </si>
  <si>
    <t>Oilseeds</t>
  </si>
  <si>
    <t>Maize for fodder</t>
  </si>
  <si>
    <t>Potatose (assume same for table and starch)</t>
  </si>
  <si>
    <t>Crops with fixed rec. per P-class</t>
  </si>
  <si>
    <t>Crops with rec. independent of P-class</t>
  </si>
  <si>
    <t>Iceberg lettuce</t>
  </si>
  <si>
    <t>No fertilisation for these crops</t>
  </si>
  <si>
    <t>K_rec_a</t>
  </si>
  <si>
    <t>K_rec_m</t>
  </si>
  <si>
    <t>Jordbruksverket. Statistikrapport 2020:04. Försäljning av mineralgödsel 2018/19</t>
  </si>
  <si>
    <t>Compound fertiliser-N</t>
  </si>
  <si>
    <t>Compound fertiliser-P</t>
  </si>
  <si>
    <t>% of P</t>
  </si>
  <si>
    <t>mineral_P_fertiliser_share</t>
  </si>
  <si>
    <t>mineral_K_fertiliser_share</t>
  </si>
  <si>
    <t>% of K</t>
  </si>
  <si>
    <t>Compound fertiliser-K</t>
  </si>
  <si>
    <t>P recommendation</t>
  </si>
  <si>
    <t>P adjustment</t>
  </si>
  <si>
    <t>Final P requirements are calculated by adjusting the recommended application rate with 'P_adj' to account</t>
  </si>
  <si>
    <t>for overapplication, P-class distribution within regions and suboptimal distribution of manure.</t>
  </si>
  <si>
    <t>P_adj</t>
  </si>
  <si>
    <t xml:space="preserve">Phosphorous recommendations per hectare are calculated from recommendations as a function of yield in tonnes with the </t>
  </si>
  <si>
    <t>equation: P_rec = max( P_rec_a*Y + P_rec_m, 0 ). Different functions are defined for soils with different P classes ("PAL-klass")</t>
  </si>
  <si>
    <t>P_req = P_rec * P_adj</t>
  </si>
  <si>
    <t>f_crop_group2:crop</t>
  </si>
  <si>
    <t>Other arable</t>
  </si>
  <si>
    <t>Set to match P/ha according to national statistics</t>
  </si>
  <si>
    <t>Cereals</t>
  </si>
  <si>
    <t>K_adj</t>
  </si>
  <si>
    <t>kg P/kg</t>
  </si>
  <si>
    <t>kg K/kg</t>
  </si>
  <si>
    <t>kg K/ha</t>
  </si>
  <si>
    <t>Vegetables, berries and fruit</t>
  </si>
  <si>
    <t>assumed same as carrots</t>
  </si>
  <si>
    <t>assumed same as lettuce</t>
  </si>
  <si>
    <t>kg N/ha</t>
  </si>
  <si>
    <t>Foderärt</t>
  </si>
  <si>
    <t>Åkerbönor</t>
  </si>
  <si>
    <t>Blandvall: 40, Gräsvall: 5</t>
  </si>
  <si>
    <t>REKOMMENDATIONER FÖR GÖDSLING OCH KALKNING 2024, Tabell 30</t>
  </si>
  <si>
    <t>Assumed same as "Foderärt"</t>
  </si>
  <si>
    <t>Assumed same as "Åkerbönor"</t>
  </si>
  <si>
    <t>Höstraps</t>
  </si>
  <si>
    <t>Våroljeväxter</t>
  </si>
  <si>
    <t>N_resid_crop</t>
  </si>
  <si>
    <t>N_resid_manure</t>
  </si>
  <si>
    <t>% of (N - TAN)</t>
  </si>
  <si>
    <t>Residual N from crops</t>
  </si>
  <si>
    <t>Avg. clover and grass seeds</t>
  </si>
  <si>
    <t>Bidragskalkyler 2023 Konventionell produktion, Länsstyrelsen Västra Götaland, Landsbygdsavdelningen</t>
  </si>
  <si>
    <t>Assumed same as apples</t>
  </si>
  <si>
    <t>Gutser, R., Ebertseder, T., Weber, A., Schraml, M. and Schmidhalter, U. (2005), Short-term and residual availability of nitrogen after long-term application of organic fertilizers on arable land. Z. Pflanzenernähr. Bodenk., 168: 439-446. https://doi.org/10.1002/jpln.200520510</t>
  </si>
  <si>
    <t>Residual N from manure and other organic fertilisers</t>
  </si>
  <si>
    <t>N_resid_organic</t>
  </si>
  <si>
    <t>Assumed same as for manure</t>
  </si>
  <si>
    <t>Non-manure organic fertilisers</t>
  </si>
  <si>
    <t>f_treatment</t>
  </si>
  <si>
    <t>Swedish IIR 2023. Table 5-22</t>
  </si>
  <si>
    <t>Approximated from values for anaerobically digested manure</t>
  </si>
  <si>
    <t>Quinoa</t>
  </si>
  <si>
    <t>Grey pea</t>
  </si>
  <si>
    <t>Assumed same as Peas, dry</t>
  </si>
  <si>
    <t>Lentils, dry</t>
  </si>
  <si>
    <t>assumed to be the same as beans, dry</t>
  </si>
  <si>
    <t>Sweet lupin</t>
  </si>
  <si>
    <t>Sunflower seeds</t>
  </si>
  <si>
    <t>från Hushållningss.</t>
  </si>
  <si>
    <t>same as pea</t>
  </si>
  <si>
    <t>Lentils</t>
  </si>
  <si>
    <t>assumed to be the same as "åkerbönor"</t>
  </si>
  <si>
    <t>assumed same as peas, dry</t>
  </si>
  <si>
    <t xml:space="preserve">Potassium recommendations per hectare are calculated from recommendations as a function of yield in tonnes with the </t>
  </si>
  <si>
    <t>equation: K_rec = max( K_rec_a*Y + K_rec_m, 0 ). Different functions are defined for soils with different K classes ("KAL-klass")</t>
  </si>
  <si>
    <t>f_K_class</t>
  </si>
  <si>
    <t>K adjustment</t>
  </si>
  <si>
    <t>IV</t>
  </si>
  <si>
    <t>Crops with fixed rec. per K-class</t>
  </si>
  <si>
    <t>assume same as apples</t>
  </si>
  <si>
    <t>https://www.yara.se/vaxtnaring/applen-paron/tabeller/</t>
  </si>
  <si>
    <t>Tidåker et al (2021)</t>
  </si>
  <si>
    <t>Nilsson (2011)</t>
  </si>
  <si>
    <t>raspberries</t>
  </si>
  <si>
    <t>Nilsson (2011) Gödsling av hallon</t>
  </si>
  <si>
    <t>Raspberries</t>
  </si>
  <si>
    <t>Assumed same as lettuce</t>
  </si>
  <si>
    <t>Assumed same as carrots</t>
  </si>
  <si>
    <t>assumed same as cucumbers</t>
  </si>
  <si>
    <t>N/P/K REQUREMENTS</t>
  </si>
  <si>
    <t>Plant available N recommendation</t>
  </si>
  <si>
    <t>Nitrogen</t>
  </si>
  <si>
    <t>Phosphorous</t>
  </si>
  <si>
    <t>Potassium</t>
  </si>
  <si>
    <t>K recommendation</t>
  </si>
  <si>
    <t>If nothing else is stated, equations are derived from recommendations in</t>
  </si>
  <si>
    <t>"Jordbruksverket (2023) Rekommendationer för gödsling och kalkning 2023"</t>
  </si>
  <si>
    <t>grass ley and three harvest</t>
  </si>
  <si>
    <t>assumed same as ley for fodder</t>
  </si>
  <si>
    <t>assumed same as spring cereals</t>
  </si>
  <si>
    <t>assume avg. of tomato and cucumber for remaining greenhouse crops for now…</t>
  </si>
  <si>
    <t xml:space="preserve">Davis, J., Wallman, M., Sund, V., Emanuelsson, A., Cederberg, C. &amp; Sonesson, U. (2011). Emissions of greenhouse gases from production of horticultural products: Analysis of 17 products cultivated in Sweden. (SR 828 ).  </t>
  </si>
  <si>
    <t>Calculated from national fertiliser statistics avg. 2015/2016, 2018/2019 and 2021/2022</t>
  </si>
  <si>
    <t>SCB stat. database</t>
  </si>
  <si>
    <t>min_share_manure_N_where_applied</t>
  </si>
  <si>
    <t>Minimum share of total N from manure on area where manure is applied</t>
  </si>
  <si>
    <t>grass clover ley (10% clover) and three harvest</t>
  </si>
  <si>
    <t>Set to match K/ha in stat.</t>
  </si>
  <si>
    <t>zero for all non-cropland</t>
  </si>
  <si>
    <t>Liming</t>
  </si>
  <si>
    <t>lime_effect_crops</t>
  </si>
  <si>
    <t>lime_effect_crop_resids</t>
  </si>
  <si>
    <t>lime_effect_manure</t>
  </si>
  <si>
    <t>kg CaO/kg DM</t>
  </si>
  <si>
    <t>kg CaO/kg N</t>
  </si>
  <si>
    <t>f_crop_resid</t>
  </si>
  <si>
    <t>straw</t>
  </si>
  <si>
    <t>Persson, J. 2003. Kväveförluster och kvävehushållning. Förbättringsmöjligheter i praktiskt jordbruk. Institutionen för markvetenskap, Avdelningen för växtnäringslära, Sveriges lantbruksuniversitet. Rapport nr 207.</t>
  </si>
  <si>
    <t>"3 kg CaO per tonne manure" + assume 5 kg N per tonne manure</t>
  </si>
  <si>
    <t>lime_effect_fertiliser_N</t>
  </si>
  <si>
    <t>lime_effect_fertiliser_K</t>
  </si>
  <si>
    <t>lime_effect_fertiliser_P</t>
  </si>
  <si>
    <t>kg CaO/kg K</t>
  </si>
  <si>
    <t>REKOMMENDATIONER FÖR GÖDSLING OCH KALKNING 2024, Tabell 41</t>
  </si>
  <si>
    <t>Assume same as grass</t>
  </si>
  <si>
    <t>Assume same as ammonium nitrate</t>
  </si>
  <si>
    <t>Assume same as cereals</t>
  </si>
  <si>
    <t>liming_agent_share</t>
  </si>
  <si>
    <t>Swedish NIR 2024. Table 5.33</t>
  </si>
  <si>
    <t>Limestone</t>
  </si>
  <si>
    <t>liming_agent_CaO_value</t>
  </si>
  <si>
    <t>REKOMMENDATIONER FÖR GÖDSLING OCH KALKNING 2024, s. 109</t>
  </si>
  <si>
    <t>Mineral fertilisers and lime</t>
  </si>
  <si>
    <t>CO2</t>
  </si>
  <si>
    <t>kg CO2/kg applied liming agent</t>
  </si>
  <si>
    <t>liming_emissions</t>
  </si>
  <si>
    <t>f_crop_group:crop</t>
  </si>
  <si>
    <t>-0.4 kg CaO/kg P2O5</t>
  </si>
  <si>
    <t>+0.6 kg CaO/kg K2O</t>
  </si>
  <si>
    <t xml:space="preserve">Sluijsmans, C.M.J. (1966) effect of fertilizers on the lime requirement of the soil. AGRI Digest No 8, 1966. https://edepot.wur.nl/218629 </t>
  </si>
  <si>
    <t>Grain legumes</t>
  </si>
  <si>
    <t>Slattery, W.J., Ridley, A.M. &amp; Windsor, S.M. (1991) Ash alkalinity of animal and plant products. Australian Journal of Experimental Agriculture, 1991, 31, 321-4. https://doi.org/10.1071/EA9910321</t>
  </si>
  <si>
    <t>Based on Lupin: 20 kg CaCO3/t grain</t>
  </si>
  <si>
    <t>Dolomite</t>
  </si>
  <si>
    <t>assmue 10% clover</t>
  </si>
  <si>
    <t>assume 40% clover</t>
  </si>
  <si>
    <t>Rödklöver, alsikeklöver, höstplöjning</t>
  </si>
  <si>
    <t>SJVFS 2009:82, bilaga 11</t>
  </si>
  <si>
    <t>Potassium sulfate</t>
  </si>
  <si>
    <t>Phosphate rock</t>
  </si>
  <si>
    <t>Allowed in organic farming</t>
  </si>
  <si>
    <t>towards meeting N requirements are calculated as TAN + (N-TAN)*(N_resid_*/100)</t>
  </si>
  <si>
    <t>that becomes plant available in the long term for manure and other organic fertilisers, respectively. Thus, contribution</t>
  </si>
  <si>
    <t>The parameters 'N_resid_manure' and 'N_resid_organic' specify the share of non-plant available N (PAN approximated with TAN)</t>
  </si>
  <si>
    <t>~40% for "cattle slurry" and "solid manure"</t>
  </si>
  <si>
    <t>Assume that some 'Fallow' is used as green manure</t>
  </si>
  <si>
    <t>grass clover ley (avg. 20/40% clover) and three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</si>
</sst>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E+00"/>
    <numFmt numFmtId="165" formatCode="0.0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1" fillId="0" borderId="0" xfId="0" applyFont="1"/>
    <xf numFmtId="164" fontId="4" fillId="0" borderId="0" xfId="0" applyNumberFormat="1" applyFont="1"/>
    <xf numFmtId="0" fontId="6" fillId="0" borderId="0" xfId="0" applyFont="1"/>
    <xf numFmtId="0" fontId="4" fillId="0" borderId="0" xfId="0" applyFont="1" applyFill="1" applyBorder="1"/>
    <xf numFmtId="0" fontId="1" fillId="0" borderId="0" xfId="0" applyFont="1" applyFill="1" applyBorder="1"/>
    <xf numFmtId="165" fontId="0" fillId="0" borderId="0" xfId="0" applyNumberFormat="1"/>
    <xf numFmtId="0" fontId="7" fillId="0" borderId="0" xfId="0" applyFont="1"/>
    <xf numFmtId="165" fontId="5" fillId="0" borderId="0" xfId="0" applyNumberFormat="1" applyFont="1"/>
    <xf numFmtId="0" fontId="0" fillId="3" borderId="0" xfId="0" applyFill="1"/>
    <xf numFmtId="0" fontId="8" fillId="3" borderId="0" xfId="0" applyFont="1" applyFill="1" applyAlignment="1">
      <alignment vertical="center"/>
    </xf>
    <xf numFmtId="0" fontId="3" fillId="0" borderId="0" xfId="0" applyFont="1" applyFill="1"/>
    <xf numFmtId="0" fontId="0" fillId="0" borderId="0" xfId="0" applyFill="1"/>
    <xf numFmtId="0" fontId="9" fillId="0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2" fontId="4" fillId="0" borderId="0" xfId="0" applyNumberFormat="1" applyFont="1"/>
    <xf numFmtId="2" fontId="5" fillId="0" borderId="0" xfId="0" applyNumberFormat="1" applyFont="1"/>
    <xf numFmtId="0" fontId="12" fillId="0" borderId="0" xfId="0" applyFont="1"/>
    <xf numFmtId="0" fontId="13" fillId="0" borderId="0" xfId="1"/>
    <xf numFmtId="165" fontId="4" fillId="0" borderId="0" xfId="0" applyNumberFormat="1" applyFont="1"/>
    <xf numFmtId="0" fontId="3" fillId="4" borderId="0" xfId="0" applyFont="1" applyFill="1"/>
    <xf numFmtId="0" fontId="0" fillId="4" borderId="0" xfId="0" applyFill="1"/>
    <xf numFmtId="166" fontId="0" fillId="0" borderId="0" xfId="0" applyNumberFormat="1"/>
    <xf numFmtId="166" fontId="1" fillId="0" borderId="0" xfId="0" applyNumberFormat="1" applyFont="1"/>
    <xf numFmtId="2" fontId="0" fillId="0" borderId="0" xfId="0" applyNumberFormat="1"/>
    <xf numFmtId="0" fontId="0" fillId="0" borderId="0" xfId="0" quotePrefix="1"/>
    <xf numFmtId="166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ara.se/vaxtnaring/applen-paron/tabeller/" TargetMode="External"/><Relationship Id="rId1" Type="http://schemas.openxmlformats.org/officeDocument/2006/relationships/hyperlink" Target="https://www.yara.se/vaxtnaring/applen-paron/tabell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7"/>
  <sheetViews>
    <sheetView tabSelected="1" zoomScale="80" zoomScaleNormal="80" workbookViewId="0">
      <pane ySplit="1" topLeftCell="A203" activePane="bottomLeft" state="frozen"/>
      <selection pane="bottomLeft" activeCell="J218" sqref="J218"/>
    </sheetView>
  </sheetViews>
  <sheetFormatPr defaultRowHeight="15" x14ac:dyDescent="0.25"/>
  <cols>
    <col min="1" max="3" width="21" customWidth="1"/>
    <col min="4" max="4" width="13.85546875" customWidth="1"/>
    <col min="5" max="5" width="21" customWidth="1"/>
    <col min="6" max="6" width="31.28515625" bestFit="1" customWidth="1"/>
    <col min="7" max="7" width="14.5703125" bestFit="1" customWidth="1"/>
    <col min="8" max="8" width="6" bestFit="1" customWidth="1"/>
    <col min="9" max="9" width="28.42578125" bestFit="1" customWidth="1"/>
    <col min="10" max="10" width="28.42578125" customWidth="1"/>
    <col min="11" max="16" width="11.140625" customWidth="1"/>
    <col min="17" max="17" width="12.140625" bestFit="1" customWidth="1"/>
    <col min="18" max="18" width="25.28515625" customWidth="1"/>
    <col min="19" max="19" width="11" customWidth="1"/>
    <col min="20" max="20" width="16.5703125" customWidth="1"/>
    <col min="21" max="21" width="35.42578125" customWidth="1"/>
    <col min="22" max="22" width="27.42578125" customWidth="1"/>
  </cols>
  <sheetData>
    <row r="1" spans="1:22" x14ac:dyDescent="0.25">
      <c r="A1" s="1" t="s">
        <v>0</v>
      </c>
      <c r="B1" s="1" t="s">
        <v>333</v>
      </c>
      <c r="C1" s="1" t="s">
        <v>223</v>
      </c>
      <c r="D1" s="1" t="s">
        <v>312</v>
      </c>
      <c r="E1" s="1" t="s">
        <v>174</v>
      </c>
      <c r="F1" s="1" t="s">
        <v>168</v>
      </c>
      <c r="G1" s="1" t="s">
        <v>83</v>
      </c>
      <c r="H1" s="1" t="s">
        <v>7</v>
      </c>
      <c r="I1" s="1" t="s">
        <v>140</v>
      </c>
      <c r="J1" s="1" t="s">
        <v>255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189</v>
      </c>
      <c r="P1" s="1" t="s">
        <v>272</v>
      </c>
      <c r="Q1" s="1" t="s">
        <v>112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</row>
    <row r="3" spans="1:22" x14ac:dyDescent="0.25">
      <c r="A3" s="2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G4" t="s">
        <v>98</v>
      </c>
      <c r="R4" t="s">
        <v>103</v>
      </c>
      <c r="S4">
        <v>91</v>
      </c>
      <c r="T4" t="s">
        <v>97</v>
      </c>
      <c r="U4" t="s">
        <v>104</v>
      </c>
      <c r="V4" t="s">
        <v>105</v>
      </c>
    </row>
    <row r="5" spans="1:22" x14ac:dyDescent="0.25">
      <c r="R5" t="s">
        <v>100</v>
      </c>
      <c r="S5">
        <v>22</v>
      </c>
      <c r="T5" t="s">
        <v>99</v>
      </c>
      <c r="U5" t="s">
        <v>102</v>
      </c>
      <c r="V5" t="s">
        <v>101</v>
      </c>
    </row>
    <row r="7" spans="1:22" x14ac:dyDescent="0.25">
      <c r="A7" s="2" t="s">
        <v>143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R8" s="5" t="s">
        <v>139</v>
      </c>
      <c r="S8" s="5">
        <v>0</v>
      </c>
      <c r="T8" s="5" t="s">
        <v>109</v>
      </c>
      <c r="U8" s="5" t="s">
        <v>12</v>
      </c>
    </row>
    <row r="9" spans="1:22" x14ac:dyDescent="0.25">
      <c r="G9" t="s">
        <v>98</v>
      </c>
      <c r="R9" s="4" t="s">
        <v>139</v>
      </c>
      <c r="S9" s="4">
        <v>0</v>
      </c>
      <c r="T9" s="4" t="s">
        <v>109</v>
      </c>
      <c r="U9" s="4" t="s">
        <v>144</v>
      </c>
    </row>
    <row r="10" spans="1:22" x14ac:dyDescent="0.25">
      <c r="G10" t="s">
        <v>142</v>
      </c>
      <c r="I10" t="s">
        <v>107</v>
      </c>
      <c r="R10" t="s">
        <v>139</v>
      </c>
      <c r="S10">
        <v>59</v>
      </c>
      <c r="T10" t="s">
        <v>109</v>
      </c>
      <c r="U10" s="6" t="s">
        <v>111</v>
      </c>
      <c r="V10" t="s">
        <v>110</v>
      </c>
    </row>
    <row r="11" spans="1:22" x14ac:dyDescent="0.25">
      <c r="G11" t="s">
        <v>142</v>
      </c>
      <c r="I11" t="s">
        <v>108</v>
      </c>
      <c r="R11" t="s">
        <v>139</v>
      </c>
      <c r="S11">
        <v>7</v>
      </c>
      <c r="T11" t="s">
        <v>109</v>
      </c>
      <c r="V11" t="s">
        <v>110</v>
      </c>
    </row>
    <row r="12" spans="1:22" x14ac:dyDescent="0.25">
      <c r="G12" t="s">
        <v>142</v>
      </c>
      <c r="I12" t="s">
        <v>208</v>
      </c>
      <c r="R12" t="s">
        <v>139</v>
      </c>
      <c r="S12">
        <v>34</v>
      </c>
      <c r="T12" t="s">
        <v>109</v>
      </c>
      <c r="V12" t="s">
        <v>110</v>
      </c>
    </row>
    <row r="14" spans="1:22" x14ac:dyDescent="0.25">
      <c r="R14" s="5" t="s">
        <v>211</v>
      </c>
      <c r="S14" s="5">
        <v>0</v>
      </c>
      <c r="T14" s="5" t="s">
        <v>210</v>
      </c>
      <c r="U14" s="5" t="s">
        <v>12</v>
      </c>
    </row>
    <row r="15" spans="1:22" x14ac:dyDescent="0.25">
      <c r="G15" t="s">
        <v>98</v>
      </c>
      <c r="I15" t="s">
        <v>346</v>
      </c>
      <c r="R15" s="4" t="s">
        <v>211</v>
      </c>
      <c r="S15" s="4">
        <v>100</v>
      </c>
      <c r="T15" s="4" t="s">
        <v>210</v>
      </c>
      <c r="U15" t="s">
        <v>347</v>
      </c>
    </row>
    <row r="16" spans="1:22" x14ac:dyDescent="0.25">
      <c r="G16" t="s">
        <v>142</v>
      </c>
      <c r="I16" t="s">
        <v>209</v>
      </c>
      <c r="R16" t="s">
        <v>211</v>
      </c>
      <c r="S16">
        <v>100</v>
      </c>
      <c r="T16" t="s">
        <v>210</v>
      </c>
      <c r="V16" t="s">
        <v>207</v>
      </c>
    </row>
    <row r="18" spans="1:22" x14ac:dyDescent="0.25">
      <c r="R18" s="5" t="s">
        <v>212</v>
      </c>
      <c r="S18" s="5">
        <v>0</v>
      </c>
      <c r="T18" s="5" t="s">
        <v>213</v>
      </c>
      <c r="U18" s="5" t="s">
        <v>12</v>
      </c>
    </row>
    <row r="19" spans="1:22" x14ac:dyDescent="0.25">
      <c r="G19" t="s">
        <v>98</v>
      </c>
      <c r="I19" t="s">
        <v>345</v>
      </c>
      <c r="R19" s="4" t="s">
        <v>212</v>
      </c>
      <c r="S19" s="4">
        <v>100</v>
      </c>
      <c r="T19" s="4" t="s">
        <v>213</v>
      </c>
      <c r="U19" t="s">
        <v>347</v>
      </c>
    </row>
    <row r="20" spans="1:22" x14ac:dyDescent="0.25">
      <c r="G20" t="s">
        <v>142</v>
      </c>
      <c r="I20" t="s">
        <v>214</v>
      </c>
      <c r="R20" s="4" t="s">
        <v>212</v>
      </c>
      <c r="S20" s="4">
        <v>100</v>
      </c>
      <c r="T20" s="4" t="s">
        <v>213</v>
      </c>
    </row>
    <row r="21" spans="1:22" x14ac:dyDescent="0.25">
      <c r="R21" s="6"/>
      <c r="S21" s="6"/>
      <c r="T21" s="6"/>
    </row>
    <row r="22" spans="1:22" x14ac:dyDescent="0.25">
      <c r="A22" s="2" t="s">
        <v>302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4" spans="1:22" x14ac:dyDescent="0.25">
      <c r="R24" t="s">
        <v>301</v>
      </c>
      <c r="S24">
        <v>66</v>
      </c>
      <c r="T24" t="s">
        <v>97</v>
      </c>
      <c r="U24" t="s">
        <v>299</v>
      </c>
      <c r="V24" t="s">
        <v>300</v>
      </c>
    </row>
    <row r="26" spans="1:22" ht="21.75" customHeight="1" x14ac:dyDescent="0.25">
      <c r="A26" s="15" t="s">
        <v>286</v>
      </c>
      <c r="B26" s="15"/>
      <c r="C26" s="15"/>
      <c r="D26" s="15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5">
      <c r="A27" s="18" t="s">
        <v>292</v>
      </c>
      <c r="B27" s="18"/>
      <c r="C27" s="18"/>
      <c r="D27" s="1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/>
      <c r="V27" s="17"/>
    </row>
    <row r="28" spans="1:22" x14ac:dyDescent="0.25">
      <c r="A28" s="18" t="s">
        <v>293</v>
      </c>
      <c r="B28" s="18"/>
      <c r="C28" s="18"/>
      <c r="D28" s="1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  <c r="V28" s="17"/>
    </row>
    <row r="29" spans="1:22" ht="17.25" customHeight="1" x14ac:dyDescent="0.25">
      <c r="A29" s="15" t="s">
        <v>288</v>
      </c>
      <c r="B29" s="15"/>
      <c r="C29" s="15"/>
      <c r="D29" s="1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5">
      <c r="A30" s="2" t="s">
        <v>287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3"/>
      <c r="V30" s="3"/>
    </row>
    <row r="31" spans="1:22" x14ac:dyDescent="0.25">
      <c r="A31" s="18" t="s">
        <v>185</v>
      </c>
      <c r="B31" s="18"/>
      <c r="C31" s="18"/>
      <c r="D31" s="1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7"/>
      <c r="V31" s="17"/>
    </row>
    <row r="32" spans="1:22" x14ac:dyDescent="0.25">
      <c r="A32" s="18" t="s">
        <v>186</v>
      </c>
      <c r="B32" s="18"/>
      <c r="C32" s="18"/>
      <c r="D32" s="1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7"/>
      <c r="V32" s="17"/>
    </row>
    <row r="33" spans="1:21" x14ac:dyDescent="0.25">
      <c r="R33" s="5" t="s">
        <v>9</v>
      </c>
      <c r="S33" s="5">
        <v>0</v>
      </c>
      <c r="T33" s="5"/>
      <c r="U33" s="5" t="s">
        <v>12</v>
      </c>
    </row>
    <row r="34" spans="1:21" x14ac:dyDescent="0.25">
      <c r="R34" s="5" t="s">
        <v>10</v>
      </c>
      <c r="S34" s="5">
        <v>0</v>
      </c>
      <c r="T34" s="5"/>
      <c r="U34" s="5" t="s">
        <v>12</v>
      </c>
    </row>
    <row r="35" spans="1:21" x14ac:dyDescent="0.25">
      <c r="R35" s="5" t="s">
        <v>11</v>
      </c>
      <c r="S35" s="5">
        <v>0</v>
      </c>
      <c r="T35" s="5"/>
      <c r="U35" s="5" t="s">
        <v>12</v>
      </c>
    </row>
    <row r="36" spans="1:21" x14ac:dyDescent="0.25">
      <c r="A36" t="s">
        <v>6</v>
      </c>
      <c r="R36" t="s">
        <v>9</v>
      </c>
      <c r="S36">
        <v>-0.80359999999999998</v>
      </c>
      <c r="U36" t="s">
        <v>89</v>
      </c>
    </row>
    <row r="37" spans="1:21" x14ac:dyDescent="0.25">
      <c r="A37" t="s">
        <v>6</v>
      </c>
      <c r="R37" t="s">
        <v>10</v>
      </c>
      <c r="S37">
        <v>24.088999999999999</v>
      </c>
    </row>
    <row r="38" spans="1:21" x14ac:dyDescent="0.25">
      <c r="A38" t="s">
        <v>6</v>
      </c>
      <c r="R38" t="s">
        <v>11</v>
      </c>
      <c r="S38">
        <v>50.213999999999999</v>
      </c>
    </row>
    <row r="39" spans="1:21" x14ac:dyDescent="0.25">
      <c r="A39" t="s">
        <v>6</v>
      </c>
      <c r="H39" t="s">
        <v>8</v>
      </c>
      <c r="R39" t="s">
        <v>11</v>
      </c>
      <c r="S39">
        <v>55.213999999999999</v>
      </c>
    </row>
    <row r="40" spans="1:21" x14ac:dyDescent="0.25">
      <c r="A40" t="s">
        <v>6</v>
      </c>
      <c r="F40" t="s">
        <v>85</v>
      </c>
      <c r="R40" t="s">
        <v>9</v>
      </c>
      <c r="S40">
        <v>-0.71430000000000005</v>
      </c>
      <c r="U40" t="s">
        <v>88</v>
      </c>
    </row>
    <row r="41" spans="1:21" x14ac:dyDescent="0.25">
      <c r="A41" t="s">
        <v>6</v>
      </c>
      <c r="F41" t="s">
        <v>85</v>
      </c>
      <c r="R41" t="s">
        <v>10</v>
      </c>
      <c r="S41">
        <v>23.143000000000001</v>
      </c>
    </row>
    <row r="42" spans="1:21" x14ac:dyDescent="0.25">
      <c r="A42" t="s">
        <v>6</v>
      </c>
      <c r="F42" t="s">
        <v>85</v>
      </c>
      <c r="R42" t="s">
        <v>11</v>
      </c>
      <c r="S42">
        <v>42.570999999999998</v>
      </c>
    </row>
    <row r="43" spans="1:21" x14ac:dyDescent="0.25">
      <c r="A43" t="s">
        <v>6</v>
      </c>
      <c r="F43" t="s">
        <v>85</v>
      </c>
      <c r="H43" t="s">
        <v>8</v>
      </c>
      <c r="R43" t="s">
        <v>11</v>
      </c>
      <c r="S43">
        <v>47.570999999999998</v>
      </c>
    </row>
    <row r="44" spans="1:21" x14ac:dyDescent="0.25">
      <c r="A44" t="s">
        <v>6</v>
      </c>
      <c r="F44" t="s">
        <v>84</v>
      </c>
      <c r="R44" t="s">
        <v>9</v>
      </c>
      <c r="S44" s="8">
        <f>S40</f>
        <v>-0.71430000000000005</v>
      </c>
      <c r="U44" s="8" t="str">
        <f>U40</f>
        <v>Höstvete foder/bröd, södra götaland</v>
      </c>
    </row>
    <row r="45" spans="1:21" x14ac:dyDescent="0.25">
      <c r="A45" t="s">
        <v>6</v>
      </c>
      <c r="F45" t="s">
        <v>84</v>
      </c>
      <c r="R45" t="s">
        <v>10</v>
      </c>
      <c r="S45" s="8">
        <f t="shared" ref="S45:S47" si="0">S41</f>
        <v>23.143000000000001</v>
      </c>
    </row>
    <row r="46" spans="1:21" x14ac:dyDescent="0.25">
      <c r="A46" t="s">
        <v>6</v>
      </c>
      <c r="F46" t="s">
        <v>84</v>
      </c>
      <c r="R46" t="s">
        <v>11</v>
      </c>
      <c r="S46" s="8">
        <f t="shared" si="0"/>
        <v>42.570999999999998</v>
      </c>
    </row>
    <row r="47" spans="1:21" x14ac:dyDescent="0.25">
      <c r="A47" t="s">
        <v>6</v>
      </c>
      <c r="F47" t="s">
        <v>84</v>
      </c>
      <c r="H47" t="s">
        <v>8</v>
      </c>
      <c r="R47" t="s">
        <v>11</v>
      </c>
      <c r="S47" s="8">
        <f t="shared" si="0"/>
        <v>47.570999999999998</v>
      </c>
    </row>
    <row r="48" spans="1:21" x14ac:dyDescent="0.25">
      <c r="A48" t="s">
        <v>13</v>
      </c>
      <c r="R48" t="s">
        <v>10</v>
      </c>
      <c r="S48">
        <v>20</v>
      </c>
    </row>
    <row r="49" spans="1:21" x14ac:dyDescent="0.25">
      <c r="A49" t="s">
        <v>13</v>
      </c>
      <c r="R49" t="s">
        <v>11</v>
      </c>
      <c r="S49">
        <v>70</v>
      </c>
    </row>
    <row r="50" spans="1:21" x14ac:dyDescent="0.25">
      <c r="A50" t="s">
        <v>24</v>
      </c>
      <c r="R50" t="s">
        <v>9</v>
      </c>
      <c r="S50">
        <v>-1.7857000000000001</v>
      </c>
      <c r="U50" t="s">
        <v>23</v>
      </c>
    </row>
    <row r="51" spans="1:21" x14ac:dyDescent="0.25">
      <c r="A51" t="s">
        <v>24</v>
      </c>
      <c r="R51" t="s">
        <v>10</v>
      </c>
      <c r="S51">
        <v>30.786000000000001</v>
      </c>
    </row>
    <row r="52" spans="1:21" x14ac:dyDescent="0.25">
      <c r="A52" t="s">
        <v>24</v>
      </c>
      <c r="R52" t="s">
        <v>11</v>
      </c>
      <c r="S52">
        <v>25</v>
      </c>
    </row>
    <row r="53" spans="1:21" x14ac:dyDescent="0.25">
      <c r="A53" t="s">
        <v>24</v>
      </c>
      <c r="F53" t="s">
        <v>85</v>
      </c>
      <c r="R53" t="s">
        <v>9</v>
      </c>
      <c r="S53">
        <v>-1.25</v>
      </c>
      <c r="U53" t="s">
        <v>91</v>
      </c>
    </row>
    <row r="54" spans="1:21" x14ac:dyDescent="0.25">
      <c r="A54" t="s">
        <v>24</v>
      </c>
      <c r="F54" t="s">
        <v>85</v>
      </c>
      <c r="R54" t="s">
        <v>10</v>
      </c>
      <c r="S54">
        <v>27.75</v>
      </c>
    </row>
    <row r="55" spans="1:21" x14ac:dyDescent="0.25">
      <c r="A55" t="s">
        <v>24</v>
      </c>
      <c r="F55" t="s">
        <v>85</v>
      </c>
      <c r="R55" t="s">
        <v>11</v>
      </c>
      <c r="S55">
        <v>18.25</v>
      </c>
    </row>
    <row r="56" spans="1:21" x14ac:dyDescent="0.25">
      <c r="A56" t="s">
        <v>24</v>
      </c>
      <c r="F56" t="s">
        <v>84</v>
      </c>
      <c r="R56" t="s">
        <v>9</v>
      </c>
      <c r="S56" s="8">
        <f>S53</f>
        <v>-1.25</v>
      </c>
      <c r="T56" s="8"/>
      <c r="U56" s="8" t="str">
        <f>U53</f>
        <v>Råg, södra götaland</v>
      </c>
    </row>
    <row r="57" spans="1:21" x14ac:dyDescent="0.25">
      <c r="A57" t="s">
        <v>24</v>
      </c>
      <c r="F57" t="s">
        <v>84</v>
      </c>
      <c r="R57" t="s">
        <v>10</v>
      </c>
      <c r="S57" s="8">
        <f>S54</f>
        <v>27.75</v>
      </c>
      <c r="T57" s="8"/>
      <c r="U57" s="8"/>
    </row>
    <row r="58" spans="1:21" x14ac:dyDescent="0.25">
      <c r="A58" t="s">
        <v>24</v>
      </c>
      <c r="F58" t="s">
        <v>84</v>
      </c>
      <c r="R58" t="s">
        <v>11</v>
      </c>
      <c r="S58" s="8">
        <f>S55</f>
        <v>18.25</v>
      </c>
      <c r="T58" s="8"/>
      <c r="U58" s="8"/>
    </row>
    <row r="59" spans="1:21" x14ac:dyDescent="0.25">
      <c r="A59" t="s">
        <v>20</v>
      </c>
      <c r="R59" t="s">
        <v>10</v>
      </c>
      <c r="S59">
        <v>16.856999999999999</v>
      </c>
      <c r="U59" t="s">
        <v>19</v>
      </c>
    </row>
    <row r="60" spans="1:21" x14ac:dyDescent="0.25">
      <c r="A60" t="s">
        <v>20</v>
      </c>
      <c r="R60" t="s">
        <v>11</v>
      </c>
      <c r="S60">
        <v>59.143000000000001</v>
      </c>
    </row>
    <row r="61" spans="1:21" x14ac:dyDescent="0.25">
      <c r="A61" t="s">
        <v>20</v>
      </c>
      <c r="F61" t="s">
        <v>85</v>
      </c>
      <c r="R61" t="s">
        <v>9</v>
      </c>
      <c r="S61">
        <v>-0.71430000000000005</v>
      </c>
      <c r="U61" t="s">
        <v>90</v>
      </c>
    </row>
    <row r="62" spans="1:21" x14ac:dyDescent="0.25">
      <c r="A62" t="s">
        <v>20</v>
      </c>
      <c r="F62" t="s">
        <v>85</v>
      </c>
      <c r="R62" t="s">
        <v>10</v>
      </c>
      <c r="S62">
        <v>23.143000000000001</v>
      </c>
    </row>
    <row r="63" spans="1:21" x14ac:dyDescent="0.25">
      <c r="A63" t="s">
        <v>20</v>
      </c>
      <c r="F63" t="s">
        <v>85</v>
      </c>
      <c r="R63" t="s">
        <v>11</v>
      </c>
      <c r="S63">
        <v>37.570999999999998</v>
      </c>
    </row>
    <row r="64" spans="1:21" x14ac:dyDescent="0.25">
      <c r="A64" t="s">
        <v>20</v>
      </c>
      <c r="F64" t="s">
        <v>84</v>
      </c>
      <c r="R64" t="s">
        <v>9</v>
      </c>
      <c r="S64" s="8">
        <f>S61</f>
        <v>-0.71430000000000005</v>
      </c>
      <c r="U64" s="8" t="str">
        <f>U61</f>
        <v>Rågvete/höstkorn, södra götaland</v>
      </c>
    </row>
    <row r="65" spans="1:21" x14ac:dyDescent="0.25">
      <c r="A65" t="s">
        <v>20</v>
      </c>
      <c r="F65" t="s">
        <v>84</v>
      </c>
      <c r="R65" t="s">
        <v>10</v>
      </c>
      <c r="S65" s="8">
        <f>S62</f>
        <v>23.143000000000001</v>
      </c>
    </row>
    <row r="66" spans="1:21" x14ac:dyDescent="0.25">
      <c r="A66" t="s">
        <v>20</v>
      </c>
      <c r="F66" t="s">
        <v>84</v>
      </c>
      <c r="R66" t="s">
        <v>11</v>
      </c>
      <c r="S66" s="8">
        <f>S63</f>
        <v>37.570999999999998</v>
      </c>
    </row>
    <row r="67" spans="1:21" x14ac:dyDescent="0.25">
      <c r="A67" t="s">
        <v>14</v>
      </c>
      <c r="R67" t="s">
        <v>9</v>
      </c>
      <c r="S67">
        <v>-1.0713999999999999</v>
      </c>
      <c r="U67" t="s">
        <v>15</v>
      </c>
    </row>
    <row r="68" spans="1:21" x14ac:dyDescent="0.25">
      <c r="A68" t="s">
        <v>14</v>
      </c>
      <c r="R68" t="s">
        <v>10</v>
      </c>
      <c r="S68">
        <v>23.928999999999998</v>
      </c>
    </row>
    <row r="69" spans="1:21" x14ac:dyDescent="0.25">
      <c r="A69" t="s">
        <v>14</v>
      </c>
      <c r="R69" t="s">
        <v>11</v>
      </c>
      <c r="S69">
        <v>32</v>
      </c>
    </row>
    <row r="70" spans="1:21" x14ac:dyDescent="0.25">
      <c r="A70" t="s">
        <v>14</v>
      </c>
      <c r="H70" t="s">
        <v>8</v>
      </c>
      <c r="R70" t="s">
        <v>9</v>
      </c>
      <c r="S70" s="7">
        <v>1E-13</v>
      </c>
      <c r="U70" t="s">
        <v>16</v>
      </c>
    </row>
    <row r="71" spans="1:21" x14ac:dyDescent="0.25">
      <c r="A71" t="s">
        <v>14</v>
      </c>
      <c r="H71" t="s">
        <v>8</v>
      </c>
      <c r="R71" t="s">
        <v>10</v>
      </c>
      <c r="S71">
        <v>15</v>
      </c>
    </row>
    <row r="72" spans="1:21" x14ac:dyDescent="0.25">
      <c r="A72" t="s">
        <v>14</v>
      </c>
      <c r="H72" t="s">
        <v>8</v>
      </c>
      <c r="R72" t="s">
        <v>11</v>
      </c>
      <c r="S72">
        <v>45</v>
      </c>
    </row>
    <row r="73" spans="1:21" x14ac:dyDescent="0.25">
      <c r="A73" t="s">
        <v>14</v>
      </c>
      <c r="F73" t="s">
        <v>85</v>
      </c>
      <c r="R73" t="s">
        <v>9</v>
      </c>
      <c r="S73">
        <v>-1.25</v>
      </c>
      <c r="U73" t="s">
        <v>92</v>
      </c>
    </row>
    <row r="74" spans="1:21" x14ac:dyDescent="0.25">
      <c r="A74" t="s">
        <v>14</v>
      </c>
      <c r="F74" t="s">
        <v>85</v>
      </c>
      <c r="R74" t="s">
        <v>10</v>
      </c>
      <c r="S74">
        <v>25.25</v>
      </c>
    </row>
    <row r="75" spans="1:21" x14ac:dyDescent="0.25">
      <c r="A75" t="s">
        <v>14</v>
      </c>
      <c r="F75" t="s">
        <v>85</v>
      </c>
      <c r="R75" t="s">
        <v>11</v>
      </c>
      <c r="S75">
        <v>19.75</v>
      </c>
    </row>
    <row r="76" spans="1:21" x14ac:dyDescent="0.25">
      <c r="A76" t="s">
        <v>14</v>
      </c>
      <c r="F76" t="s">
        <v>85</v>
      </c>
      <c r="H76" t="s">
        <v>8</v>
      </c>
      <c r="R76" t="s">
        <v>9</v>
      </c>
      <c r="S76" s="7">
        <v>-2E-12</v>
      </c>
      <c r="U76" t="s">
        <v>93</v>
      </c>
    </row>
    <row r="77" spans="1:21" x14ac:dyDescent="0.25">
      <c r="A77" t="s">
        <v>14</v>
      </c>
      <c r="F77" t="s">
        <v>85</v>
      </c>
      <c r="H77" t="s">
        <v>8</v>
      </c>
      <c r="R77" t="s">
        <v>10</v>
      </c>
      <c r="S77">
        <v>15</v>
      </c>
    </row>
    <row r="78" spans="1:21" x14ac:dyDescent="0.25">
      <c r="A78" t="s">
        <v>14</v>
      </c>
      <c r="F78" t="s">
        <v>85</v>
      </c>
      <c r="H78" t="s">
        <v>8</v>
      </c>
      <c r="R78" t="s">
        <v>11</v>
      </c>
      <c r="S78">
        <v>45</v>
      </c>
    </row>
    <row r="79" spans="1:21" x14ac:dyDescent="0.25">
      <c r="A79" t="s">
        <v>14</v>
      </c>
      <c r="F79" t="s">
        <v>84</v>
      </c>
      <c r="R79" t="s">
        <v>9</v>
      </c>
      <c r="S79" s="8">
        <f t="shared" ref="S79:S84" si="1">S73</f>
        <v>-1.25</v>
      </c>
      <c r="U79" s="8" t="str">
        <f>U73</f>
        <v>Korn foder, södra götaland</v>
      </c>
    </row>
    <row r="80" spans="1:21" x14ac:dyDescent="0.25">
      <c r="A80" t="s">
        <v>14</v>
      </c>
      <c r="F80" t="s">
        <v>84</v>
      </c>
      <c r="R80" t="s">
        <v>10</v>
      </c>
      <c r="S80" s="8">
        <f t="shared" si="1"/>
        <v>25.25</v>
      </c>
    </row>
    <row r="81" spans="1:21" x14ac:dyDescent="0.25">
      <c r="A81" t="s">
        <v>14</v>
      </c>
      <c r="F81" t="s">
        <v>84</v>
      </c>
      <c r="R81" t="s">
        <v>11</v>
      </c>
      <c r="S81" s="8">
        <f t="shared" si="1"/>
        <v>19.75</v>
      </c>
    </row>
    <row r="82" spans="1:21" x14ac:dyDescent="0.25">
      <c r="A82" t="s">
        <v>14</v>
      </c>
      <c r="F82" t="s">
        <v>84</v>
      </c>
      <c r="H82" t="s">
        <v>8</v>
      </c>
      <c r="R82" t="s">
        <v>9</v>
      </c>
      <c r="S82" s="8">
        <f t="shared" si="1"/>
        <v>-2E-12</v>
      </c>
      <c r="U82" s="8" t="str">
        <f>U76</f>
        <v>Korn, malt södra götaland</v>
      </c>
    </row>
    <row r="83" spans="1:21" x14ac:dyDescent="0.25">
      <c r="A83" t="s">
        <v>14</v>
      </c>
      <c r="F83" t="s">
        <v>84</v>
      </c>
      <c r="H83" t="s">
        <v>8</v>
      </c>
      <c r="R83" t="s">
        <v>10</v>
      </c>
      <c r="S83" s="8">
        <f t="shared" si="1"/>
        <v>15</v>
      </c>
    </row>
    <row r="84" spans="1:21" x14ac:dyDescent="0.25">
      <c r="A84" t="s">
        <v>14</v>
      </c>
      <c r="F84" t="s">
        <v>84</v>
      </c>
      <c r="H84" t="s">
        <v>8</v>
      </c>
      <c r="R84" t="s">
        <v>11</v>
      </c>
      <c r="S84" s="8">
        <f t="shared" si="1"/>
        <v>45</v>
      </c>
    </row>
    <row r="85" spans="1:21" x14ac:dyDescent="0.25">
      <c r="A85" t="s">
        <v>14</v>
      </c>
      <c r="F85" t="s">
        <v>86</v>
      </c>
      <c r="R85" t="s">
        <v>9</v>
      </c>
      <c r="S85" s="4">
        <v>0</v>
      </c>
      <c r="U85" t="s">
        <v>95</v>
      </c>
    </row>
    <row r="86" spans="1:21" x14ac:dyDescent="0.25">
      <c r="A86" t="s">
        <v>14</v>
      </c>
      <c r="F86" t="s">
        <v>86</v>
      </c>
      <c r="R86" t="s">
        <v>10</v>
      </c>
      <c r="S86" s="4">
        <v>20</v>
      </c>
    </row>
    <row r="87" spans="1:21" x14ac:dyDescent="0.25">
      <c r="A87" t="s">
        <v>14</v>
      </c>
      <c r="F87" t="s">
        <v>86</v>
      </c>
      <c r="R87" t="s">
        <v>11</v>
      </c>
      <c r="S87" s="4">
        <v>35</v>
      </c>
    </row>
    <row r="88" spans="1:21" x14ac:dyDescent="0.25">
      <c r="A88" t="s">
        <v>14</v>
      </c>
      <c r="F88" t="s">
        <v>86</v>
      </c>
      <c r="H88" t="s">
        <v>8</v>
      </c>
      <c r="R88" t="s">
        <v>9</v>
      </c>
      <c r="S88" s="8">
        <f t="shared" ref="S88:S96" si="2">S85</f>
        <v>0</v>
      </c>
      <c r="U88" s="8" t="str">
        <f>U85</f>
        <v>Korn, norrland</v>
      </c>
    </row>
    <row r="89" spans="1:21" x14ac:dyDescent="0.25">
      <c r="A89" t="s">
        <v>14</v>
      </c>
      <c r="F89" t="s">
        <v>86</v>
      </c>
      <c r="H89" t="s">
        <v>8</v>
      </c>
      <c r="R89" t="s">
        <v>10</v>
      </c>
      <c r="S89" s="8">
        <f t="shared" si="2"/>
        <v>20</v>
      </c>
    </row>
    <row r="90" spans="1:21" x14ac:dyDescent="0.25">
      <c r="A90" t="s">
        <v>14</v>
      </c>
      <c r="F90" t="s">
        <v>86</v>
      </c>
      <c r="H90" t="s">
        <v>8</v>
      </c>
      <c r="R90" t="s">
        <v>11</v>
      </c>
      <c r="S90" s="8">
        <f t="shared" si="2"/>
        <v>35</v>
      </c>
    </row>
    <row r="91" spans="1:21" x14ac:dyDescent="0.25">
      <c r="A91" t="s">
        <v>14</v>
      </c>
      <c r="F91" t="s">
        <v>87</v>
      </c>
      <c r="R91" t="s">
        <v>9</v>
      </c>
      <c r="S91" s="8">
        <f t="shared" si="2"/>
        <v>0</v>
      </c>
      <c r="U91" s="8" t="str">
        <f>U88</f>
        <v>Korn, norrland</v>
      </c>
    </row>
    <row r="92" spans="1:21" x14ac:dyDescent="0.25">
      <c r="A92" t="s">
        <v>14</v>
      </c>
      <c r="F92" t="s">
        <v>87</v>
      </c>
      <c r="R92" t="s">
        <v>10</v>
      </c>
      <c r="S92" s="8">
        <f t="shared" si="2"/>
        <v>20</v>
      </c>
    </row>
    <row r="93" spans="1:21" x14ac:dyDescent="0.25">
      <c r="A93" t="s">
        <v>14</v>
      </c>
      <c r="F93" t="s">
        <v>87</v>
      </c>
      <c r="R93" t="s">
        <v>11</v>
      </c>
      <c r="S93" s="8">
        <f t="shared" si="2"/>
        <v>35</v>
      </c>
    </row>
    <row r="94" spans="1:21" x14ac:dyDescent="0.25">
      <c r="A94" t="s">
        <v>14</v>
      </c>
      <c r="F94" t="s">
        <v>87</v>
      </c>
      <c r="H94" t="s">
        <v>8</v>
      </c>
      <c r="R94" t="s">
        <v>9</v>
      </c>
      <c r="S94" s="8">
        <f t="shared" si="2"/>
        <v>0</v>
      </c>
      <c r="U94" s="8" t="str">
        <f>U91</f>
        <v>Korn, norrland</v>
      </c>
    </row>
    <row r="95" spans="1:21" x14ac:dyDescent="0.25">
      <c r="A95" t="s">
        <v>14</v>
      </c>
      <c r="F95" t="s">
        <v>87</v>
      </c>
      <c r="H95" t="s">
        <v>8</v>
      </c>
      <c r="R95" t="s">
        <v>10</v>
      </c>
      <c r="S95" s="8">
        <f t="shared" si="2"/>
        <v>20</v>
      </c>
    </row>
    <row r="96" spans="1:21" x14ac:dyDescent="0.25">
      <c r="A96" t="s">
        <v>14</v>
      </c>
      <c r="F96" t="s">
        <v>87</v>
      </c>
      <c r="H96" t="s">
        <v>8</v>
      </c>
      <c r="R96" t="s">
        <v>11</v>
      </c>
      <c r="S96" s="8">
        <f t="shared" si="2"/>
        <v>35</v>
      </c>
    </row>
    <row r="97" spans="1:21" x14ac:dyDescent="0.25">
      <c r="A97" t="s">
        <v>18</v>
      </c>
      <c r="R97" t="s">
        <v>9</v>
      </c>
      <c r="S97">
        <v>-1.0713999999999999</v>
      </c>
      <c r="U97" t="s">
        <v>17</v>
      </c>
    </row>
    <row r="98" spans="1:21" x14ac:dyDescent="0.25">
      <c r="A98" t="s">
        <v>18</v>
      </c>
      <c r="R98" t="s">
        <v>10</v>
      </c>
      <c r="S98">
        <v>23.928999999999998</v>
      </c>
    </row>
    <row r="99" spans="1:21" x14ac:dyDescent="0.25">
      <c r="A99" t="s">
        <v>18</v>
      </c>
      <c r="R99" t="s">
        <v>11</v>
      </c>
      <c r="S99">
        <v>22</v>
      </c>
    </row>
    <row r="100" spans="1:21" x14ac:dyDescent="0.25">
      <c r="A100" t="s">
        <v>18</v>
      </c>
      <c r="F100" t="s">
        <v>85</v>
      </c>
      <c r="R100" t="s">
        <v>9</v>
      </c>
      <c r="S100">
        <v>-1.25</v>
      </c>
      <c r="U100" t="s">
        <v>94</v>
      </c>
    </row>
    <row r="101" spans="1:21" x14ac:dyDescent="0.25">
      <c r="A101" t="s">
        <v>18</v>
      </c>
      <c r="F101" t="s">
        <v>85</v>
      </c>
      <c r="R101" t="s">
        <v>10</v>
      </c>
      <c r="S101">
        <v>25.25</v>
      </c>
    </row>
    <row r="102" spans="1:21" x14ac:dyDescent="0.25">
      <c r="A102" t="s">
        <v>18</v>
      </c>
      <c r="F102" t="s">
        <v>85</v>
      </c>
      <c r="R102" t="s">
        <v>11</v>
      </c>
      <c r="S102">
        <v>9.75</v>
      </c>
    </row>
    <row r="103" spans="1:21" x14ac:dyDescent="0.25">
      <c r="A103" t="s">
        <v>18</v>
      </c>
      <c r="F103" t="s">
        <v>84</v>
      </c>
      <c r="R103" t="s">
        <v>9</v>
      </c>
      <c r="S103" s="8">
        <f>S100</f>
        <v>-1.25</v>
      </c>
      <c r="U103" s="8" t="str">
        <f>U100</f>
        <v>Havre södra götaland</v>
      </c>
    </row>
    <row r="104" spans="1:21" x14ac:dyDescent="0.25">
      <c r="A104" t="s">
        <v>18</v>
      </c>
      <c r="F104" t="s">
        <v>84</v>
      </c>
      <c r="R104" t="s">
        <v>10</v>
      </c>
      <c r="S104" s="8">
        <f>S101</f>
        <v>25.25</v>
      </c>
    </row>
    <row r="105" spans="1:21" x14ac:dyDescent="0.25">
      <c r="A105" t="s">
        <v>18</v>
      </c>
      <c r="F105" t="s">
        <v>84</v>
      </c>
      <c r="R105" t="s">
        <v>11</v>
      </c>
      <c r="S105" s="8">
        <f>S102</f>
        <v>9.75</v>
      </c>
    </row>
    <row r="106" spans="1:21" s="4" customFormat="1" x14ac:dyDescent="0.25">
      <c r="A106" s="4" t="s">
        <v>258</v>
      </c>
      <c r="R106" s="4" t="s">
        <v>9</v>
      </c>
      <c r="S106" s="4">
        <v>-1.0713999999999999</v>
      </c>
      <c r="U106" s="4" t="s">
        <v>17</v>
      </c>
    </row>
    <row r="107" spans="1:21" s="4" customFormat="1" x14ac:dyDescent="0.25">
      <c r="A107" s="4" t="s">
        <v>258</v>
      </c>
      <c r="R107" s="4" t="s">
        <v>10</v>
      </c>
      <c r="S107" s="4">
        <v>23.928999999999998</v>
      </c>
    </row>
    <row r="108" spans="1:21" s="4" customFormat="1" x14ac:dyDescent="0.25">
      <c r="A108" s="4" t="s">
        <v>258</v>
      </c>
      <c r="R108" s="4" t="s">
        <v>11</v>
      </c>
      <c r="S108" s="4">
        <v>22</v>
      </c>
    </row>
    <row r="109" spans="1:21" s="4" customFormat="1" x14ac:dyDescent="0.25">
      <c r="A109" s="4" t="s">
        <v>258</v>
      </c>
      <c r="F109" s="4" t="s">
        <v>85</v>
      </c>
      <c r="R109" s="4" t="s">
        <v>9</v>
      </c>
      <c r="S109" s="4">
        <v>-1.25</v>
      </c>
      <c r="U109" s="4" t="s">
        <v>94</v>
      </c>
    </row>
    <row r="110" spans="1:21" s="4" customFormat="1" x14ac:dyDescent="0.25">
      <c r="A110" s="4" t="s">
        <v>258</v>
      </c>
      <c r="F110" s="4" t="s">
        <v>85</v>
      </c>
      <c r="R110" s="4" t="s">
        <v>10</v>
      </c>
      <c r="S110" s="4">
        <v>25.25</v>
      </c>
    </row>
    <row r="111" spans="1:21" s="4" customFormat="1" x14ac:dyDescent="0.25">
      <c r="A111" s="4" t="s">
        <v>258</v>
      </c>
      <c r="F111" s="4" t="s">
        <v>85</v>
      </c>
      <c r="R111" s="4" t="s">
        <v>11</v>
      </c>
      <c r="S111" s="4">
        <v>9.75</v>
      </c>
    </row>
    <row r="112" spans="1:21" s="4" customFormat="1" x14ac:dyDescent="0.25">
      <c r="A112" s="4" t="s">
        <v>258</v>
      </c>
      <c r="F112" s="4" t="s">
        <v>84</v>
      </c>
      <c r="R112" s="4" t="s">
        <v>9</v>
      </c>
      <c r="S112" s="4">
        <f>S109</f>
        <v>-1.25</v>
      </c>
      <c r="U112" s="4" t="str">
        <f>U109</f>
        <v>Havre södra götaland</v>
      </c>
    </row>
    <row r="113" spans="1:21" s="4" customFormat="1" x14ac:dyDescent="0.25">
      <c r="A113" s="4" t="s">
        <v>258</v>
      </c>
      <c r="F113" s="4" t="s">
        <v>84</v>
      </c>
      <c r="R113" s="4" t="s">
        <v>10</v>
      </c>
      <c r="S113" s="4">
        <f>S110</f>
        <v>25.25</v>
      </c>
    </row>
    <row r="114" spans="1:21" s="4" customFormat="1" x14ac:dyDescent="0.25">
      <c r="A114" s="4" t="s">
        <v>258</v>
      </c>
      <c r="F114" s="4" t="s">
        <v>84</v>
      </c>
      <c r="R114" s="4" t="s">
        <v>11</v>
      </c>
      <c r="S114" s="4">
        <f>S111</f>
        <v>9.75</v>
      </c>
    </row>
    <row r="115" spans="1:21" x14ac:dyDescent="0.25">
      <c r="A115" t="s">
        <v>22</v>
      </c>
      <c r="R115" t="s">
        <v>10</v>
      </c>
      <c r="S115" s="8">
        <f>S59</f>
        <v>16.856999999999999</v>
      </c>
      <c r="U115" s="8" t="str">
        <f>U59</f>
        <v>Rågvete/höstkorn, norra  götaland och svealand</v>
      </c>
    </row>
    <row r="116" spans="1:21" x14ac:dyDescent="0.25">
      <c r="A116" t="s">
        <v>22</v>
      </c>
      <c r="R116" t="s">
        <v>11</v>
      </c>
      <c r="S116" s="8">
        <f>S60</f>
        <v>59.143000000000001</v>
      </c>
    </row>
    <row r="117" spans="1:21" x14ac:dyDescent="0.25">
      <c r="A117" t="s">
        <v>22</v>
      </c>
      <c r="F117" t="s">
        <v>85</v>
      </c>
      <c r="R117" t="s">
        <v>9</v>
      </c>
      <c r="S117" s="8">
        <f>S64</f>
        <v>-0.71430000000000005</v>
      </c>
      <c r="U117" s="8" t="str">
        <f>U64</f>
        <v>Rågvete/höstkorn, södra götaland</v>
      </c>
    </row>
    <row r="118" spans="1:21" x14ac:dyDescent="0.25">
      <c r="A118" t="s">
        <v>22</v>
      </c>
      <c r="F118" t="s">
        <v>85</v>
      </c>
      <c r="R118" t="s">
        <v>10</v>
      </c>
      <c r="S118" s="8">
        <f>S65</f>
        <v>23.143000000000001</v>
      </c>
    </row>
    <row r="119" spans="1:21" x14ac:dyDescent="0.25">
      <c r="A119" t="s">
        <v>22</v>
      </c>
      <c r="F119" t="s">
        <v>85</v>
      </c>
      <c r="R119" t="s">
        <v>11</v>
      </c>
      <c r="S119" s="8">
        <f>S66</f>
        <v>37.570999999999998</v>
      </c>
    </row>
    <row r="120" spans="1:21" x14ac:dyDescent="0.25">
      <c r="A120" t="s">
        <v>22</v>
      </c>
      <c r="F120" t="s">
        <v>84</v>
      </c>
      <c r="R120" t="s">
        <v>9</v>
      </c>
      <c r="S120" s="8">
        <f>S64</f>
        <v>-0.71430000000000005</v>
      </c>
      <c r="U120" s="8" t="str">
        <f>U64</f>
        <v>Rågvete/höstkorn, södra götaland</v>
      </c>
    </row>
    <row r="121" spans="1:21" x14ac:dyDescent="0.25">
      <c r="A121" t="s">
        <v>22</v>
      </c>
      <c r="F121" t="s">
        <v>84</v>
      </c>
      <c r="R121" t="s">
        <v>10</v>
      </c>
      <c r="S121" s="8">
        <f>S65</f>
        <v>23.143000000000001</v>
      </c>
    </row>
    <row r="122" spans="1:21" x14ac:dyDescent="0.25">
      <c r="A122" t="s">
        <v>22</v>
      </c>
      <c r="F122" t="s">
        <v>84</v>
      </c>
      <c r="R122" t="s">
        <v>11</v>
      </c>
      <c r="S122" s="8">
        <f>S66</f>
        <v>37.570999999999998</v>
      </c>
    </row>
    <row r="123" spans="1:21" x14ac:dyDescent="0.25">
      <c r="A123" t="s">
        <v>21</v>
      </c>
      <c r="R123" t="s">
        <v>10</v>
      </c>
      <c r="S123" s="8">
        <f>S59</f>
        <v>16.856999999999999</v>
      </c>
      <c r="U123" s="8" t="str">
        <f>U59</f>
        <v>Rågvete/höstkorn, norra  götaland och svealand</v>
      </c>
    </row>
    <row r="124" spans="1:21" x14ac:dyDescent="0.25">
      <c r="A124" t="s">
        <v>21</v>
      </c>
      <c r="R124" t="s">
        <v>11</v>
      </c>
      <c r="S124" s="8">
        <f>S60</f>
        <v>59.143000000000001</v>
      </c>
      <c r="U124" s="8"/>
    </row>
    <row r="125" spans="1:21" x14ac:dyDescent="0.25">
      <c r="A125" t="s">
        <v>21</v>
      </c>
      <c r="F125" t="s">
        <v>85</v>
      </c>
      <c r="R125" t="s">
        <v>9</v>
      </c>
      <c r="S125" s="8">
        <f>S64</f>
        <v>-0.71430000000000005</v>
      </c>
      <c r="U125" s="8" t="str">
        <f>U64</f>
        <v>Rågvete/höstkorn, södra götaland</v>
      </c>
    </row>
    <row r="126" spans="1:21" x14ac:dyDescent="0.25">
      <c r="A126" t="s">
        <v>21</v>
      </c>
      <c r="F126" t="s">
        <v>85</v>
      </c>
      <c r="R126" t="s">
        <v>10</v>
      </c>
      <c r="S126" s="8">
        <f>S65</f>
        <v>23.143000000000001</v>
      </c>
      <c r="U126" s="8"/>
    </row>
    <row r="127" spans="1:21" x14ac:dyDescent="0.25">
      <c r="A127" t="s">
        <v>21</v>
      </c>
      <c r="F127" t="s">
        <v>85</v>
      </c>
      <c r="R127" t="s">
        <v>11</v>
      </c>
      <c r="S127" s="8">
        <f>S66</f>
        <v>37.570999999999998</v>
      </c>
      <c r="U127" s="8"/>
    </row>
    <row r="128" spans="1:21" x14ac:dyDescent="0.25">
      <c r="A128" t="s">
        <v>21</v>
      </c>
      <c r="F128" t="s">
        <v>84</v>
      </c>
      <c r="R128" t="s">
        <v>9</v>
      </c>
      <c r="S128" s="8">
        <f>S64</f>
        <v>-0.71430000000000005</v>
      </c>
      <c r="U128" s="8" t="str">
        <f>U64</f>
        <v>Rågvete/höstkorn, södra götaland</v>
      </c>
    </row>
    <row r="129" spans="1:22" x14ac:dyDescent="0.25">
      <c r="A129" t="s">
        <v>21</v>
      </c>
      <c r="F129" t="s">
        <v>84</v>
      </c>
      <c r="R129" t="s">
        <v>10</v>
      </c>
      <c r="S129" s="8">
        <f>S65</f>
        <v>23.143000000000001</v>
      </c>
      <c r="U129" s="8"/>
    </row>
    <row r="130" spans="1:22" x14ac:dyDescent="0.25">
      <c r="A130" t="s">
        <v>21</v>
      </c>
      <c r="F130" t="s">
        <v>84</v>
      </c>
      <c r="R130" t="s">
        <v>11</v>
      </c>
      <c r="S130" s="8">
        <f>S66</f>
        <v>37.570999999999998</v>
      </c>
      <c r="U130" s="8"/>
    </row>
    <row r="131" spans="1:22" x14ac:dyDescent="0.25">
      <c r="A131" s="6" t="s">
        <v>26</v>
      </c>
      <c r="B131" s="6"/>
      <c r="C131" s="6"/>
      <c r="D131" s="6"/>
      <c r="E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U131" s="6"/>
    </row>
    <row r="132" spans="1:22" x14ac:dyDescent="0.25">
      <c r="A132" t="s">
        <v>25</v>
      </c>
      <c r="R132" t="s">
        <v>11</v>
      </c>
      <c r="S132">
        <v>50</v>
      </c>
      <c r="U132" t="s">
        <v>73</v>
      </c>
    </row>
    <row r="133" spans="1:22" x14ac:dyDescent="0.25">
      <c r="A133" t="s">
        <v>27</v>
      </c>
      <c r="R133" t="s">
        <v>11</v>
      </c>
      <c r="S133">
        <v>0</v>
      </c>
      <c r="U133" t="s">
        <v>72</v>
      </c>
    </row>
    <row r="134" spans="1:22" x14ac:dyDescent="0.25">
      <c r="A134" t="s">
        <v>28</v>
      </c>
      <c r="R134" t="s">
        <v>11</v>
      </c>
      <c r="S134">
        <v>0</v>
      </c>
      <c r="U134" t="s">
        <v>72</v>
      </c>
    </row>
    <row r="135" spans="1:22" s="4" customFormat="1" x14ac:dyDescent="0.25">
      <c r="A135" s="4" t="s">
        <v>259</v>
      </c>
      <c r="R135" s="4" t="s">
        <v>11</v>
      </c>
      <c r="S135" s="4">
        <v>0</v>
      </c>
      <c r="U135" s="4" t="s">
        <v>260</v>
      </c>
    </row>
    <row r="136" spans="1:22" x14ac:dyDescent="0.25">
      <c r="A136" t="s">
        <v>29</v>
      </c>
      <c r="R136" t="s">
        <v>11</v>
      </c>
      <c r="S136">
        <v>0</v>
      </c>
      <c r="U136" t="s">
        <v>72</v>
      </c>
    </row>
    <row r="137" spans="1:22" x14ac:dyDescent="0.25">
      <c r="A137" t="s">
        <v>30</v>
      </c>
      <c r="R137" t="s">
        <v>11</v>
      </c>
      <c r="S137">
        <v>30</v>
      </c>
      <c r="V137" t="s">
        <v>74</v>
      </c>
    </row>
    <row r="138" spans="1:22" s="4" customFormat="1" x14ac:dyDescent="0.25">
      <c r="A138" s="4" t="s">
        <v>261</v>
      </c>
      <c r="R138" s="4" t="s">
        <v>11</v>
      </c>
      <c r="S138" s="4">
        <v>30</v>
      </c>
      <c r="U138" s="4" t="s">
        <v>262</v>
      </c>
    </row>
    <row r="139" spans="1:22" s="4" customFormat="1" x14ac:dyDescent="0.25">
      <c r="A139" s="4" t="s">
        <v>263</v>
      </c>
      <c r="R139" s="4" t="s">
        <v>11</v>
      </c>
      <c r="S139" s="4">
        <v>30</v>
      </c>
      <c r="U139" s="4" t="s">
        <v>262</v>
      </c>
    </row>
    <row r="140" spans="1:22" s="4" customFormat="1" x14ac:dyDescent="0.25">
      <c r="A140" s="4" t="s">
        <v>264</v>
      </c>
      <c r="R140" s="4" t="s">
        <v>11</v>
      </c>
      <c r="S140" s="4">
        <v>75</v>
      </c>
      <c r="V140" s="4" t="s">
        <v>265</v>
      </c>
    </row>
    <row r="141" spans="1:22" x14ac:dyDescent="0.25">
      <c r="A141" t="s">
        <v>31</v>
      </c>
      <c r="R141" t="s">
        <v>10</v>
      </c>
      <c r="S141">
        <v>20</v>
      </c>
    </row>
    <row r="142" spans="1:22" x14ac:dyDescent="0.25">
      <c r="A142" t="s">
        <v>31</v>
      </c>
      <c r="R142" t="s">
        <v>11</v>
      </c>
      <c r="S142">
        <v>65</v>
      </c>
    </row>
    <row r="143" spans="1:22" x14ac:dyDescent="0.25">
      <c r="A143" t="s">
        <v>32</v>
      </c>
      <c r="R143" t="s">
        <v>10</v>
      </c>
      <c r="S143">
        <v>20</v>
      </c>
    </row>
    <row r="144" spans="1:22" x14ac:dyDescent="0.25">
      <c r="A144" t="s">
        <v>32</v>
      </c>
      <c r="R144" t="s">
        <v>11</v>
      </c>
      <c r="S144">
        <v>70</v>
      </c>
    </row>
    <row r="145" spans="1:22" x14ac:dyDescent="0.25">
      <c r="A145" t="s">
        <v>33</v>
      </c>
      <c r="R145" t="s">
        <v>9</v>
      </c>
      <c r="S145">
        <v>-2.5000000000000001E-2</v>
      </c>
      <c r="U145" t="s">
        <v>96</v>
      </c>
    </row>
    <row r="146" spans="1:22" x14ac:dyDescent="0.25">
      <c r="A146" t="s">
        <v>33</v>
      </c>
      <c r="R146" t="s">
        <v>10</v>
      </c>
      <c r="S146">
        <v>4.95</v>
      </c>
    </row>
    <row r="147" spans="1:22" x14ac:dyDescent="0.25">
      <c r="A147" t="s">
        <v>33</v>
      </c>
      <c r="R147" t="s">
        <v>11</v>
      </c>
      <c r="S147">
        <v>-31.5</v>
      </c>
    </row>
    <row r="148" spans="1:22" x14ac:dyDescent="0.25">
      <c r="A148" t="s">
        <v>34</v>
      </c>
      <c r="R148" t="s">
        <v>9</v>
      </c>
      <c r="S148" s="8">
        <f>S145</f>
        <v>-2.5000000000000001E-2</v>
      </c>
      <c r="U148" s="8" t="str">
        <f>U145</f>
        <v>Potatis</v>
      </c>
    </row>
    <row r="149" spans="1:22" x14ac:dyDescent="0.25">
      <c r="A149" t="s">
        <v>34</v>
      </c>
      <c r="R149" t="s">
        <v>10</v>
      </c>
      <c r="S149" s="8">
        <f t="shared" ref="S149:S150" si="3">S146</f>
        <v>4.95</v>
      </c>
    </row>
    <row r="150" spans="1:22" x14ac:dyDescent="0.25">
      <c r="A150" t="s">
        <v>34</v>
      </c>
      <c r="R150" t="s">
        <v>11</v>
      </c>
      <c r="S150" s="8">
        <f t="shared" si="3"/>
        <v>-31.5</v>
      </c>
    </row>
    <row r="151" spans="1:22" x14ac:dyDescent="0.25">
      <c r="A151" t="s">
        <v>35</v>
      </c>
      <c r="R151" t="s">
        <v>11</v>
      </c>
      <c r="S151">
        <v>110</v>
      </c>
      <c r="U151" t="s">
        <v>75</v>
      </c>
    </row>
    <row r="152" spans="1:22" x14ac:dyDescent="0.25">
      <c r="A152" s="4" t="s">
        <v>36</v>
      </c>
      <c r="B152" s="4"/>
      <c r="C152" s="6"/>
      <c r="D152" s="6"/>
      <c r="E152" s="6"/>
      <c r="I152" s="6"/>
      <c r="J152" s="6"/>
      <c r="K152" s="6"/>
      <c r="L152" s="6"/>
      <c r="M152" s="6"/>
      <c r="N152" s="6"/>
      <c r="O152" s="6"/>
      <c r="P152" s="6"/>
      <c r="Q152" s="6"/>
      <c r="R152" t="s">
        <v>11</v>
      </c>
      <c r="S152">
        <v>75</v>
      </c>
      <c r="U152" t="s">
        <v>247</v>
      </c>
      <c r="V152" t="s">
        <v>248</v>
      </c>
    </row>
    <row r="153" spans="1:22" x14ac:dyDescent="0.25">
      <c r="A153" s="9" t="s">
        <v>37</v>
      </c>
      <c r="B153" s="9"/>
      <c r="C153" s="9"/>
      <c r="D153" s="9"/>
      <c r="E153" s="9"/>
      <c r="G153" t="s">
        <v>142</v>
      </c>
      <c r="I153" s="9"/>
      <c r="J153" s="9"/>
      <c r="K153" s="9"/>
      <c r="L153" s="9"/>
      <c r="M153" s="9"/>
      <c r="N153" s="9"/>
      <c r="O153" s="9"/>
      <c r="P153" s="9"/>
      <c r="Q153" s="9"/>
      <c r="R153" t="s">
        <v>10</v>
      </c>
      <c r="S153">
        <v>18.5</v>
      </c>
      <c r="U153" t="s">
        <v>303</v>
      </c>
    </row>
    <row r="154" spans="1:22" x14ac:dyDescent="0.25">
      <c r="A154" s="9" t="s">
        <v>37</v>
      </c>
      <c r="B154" s="9"/>
      <c r="C154" s="9"/>
      <c r="D154" s="9"/>
      <c r="E154" s="9"/>
      <c r="G154" t="s">
        <v>142</v>
      </c>
      <c r="I154" s="9"/>
      <c r="J154" s="9"/>
      <c r="K154" s="9"/>
      <c r="L154" s="9"/>
      <c r="M154" s="9"/>
      <c r="N154" s="9"/>
      <c r="O154" s="9"/>
      <c r="P154" s="9"/>
      <c r="Q154" s="9"/>
      <c r="R154" t="s">
        <v>11</v>
      </c>
      <c r="S154">
        <v>20.5</v>
      </c>
    </row>
    <row r="155" spans="1:22" x14ac:dyDescent="0.25">
      <c r="A155" s="9" t="s">
        <v>37</v>
      </c>
      <c r="B155" s="9"/>
      <c r="C155" s="9"/>
      <c r="D155" s="9"/>
      <c r="E155" s="9"/>
      <c r="G155" t="s">
        <v>98</v>
      </c>
      <c r="I155" s="9"/>
      <c r="J155" s="9"/>
      <c r="K155" s="9"/>
      <c r="L155" s="9"/>
      <c r="M155" s="9"/>
      <c r="N155" s="9"/>
      <c r="O155" s="9"/>
      <c r="P155" s="9"/>
      <c r="Q155" s="9"/>
      <c r="R155" t="s">
        <v>10</v>
      </c>
      <c r="S155">
        <v>12</v>
      </c>
      <c r="U155" t="s">
        <v>353</v>
      </c>
    </row>
    <row r="156" spans="1:22" x14ac:dyDescent="0.25">
      <c r="A156" s="9" t="s">
        <v>37</v>
      </c>
      <c r="B156" s="9"/>
      <c r="C156" s="9"/>
      <c r="D156" s="9"/>
      <c r="E156" s="9"/>
      <c r="G156" t="s">
        <v>98</v>
      </c>
      <c r="I156" s="9"/>
      <c r="J156" s="9"/>
      <c r="K156" s="9"/>
      <c r="L156" s="9"/>
      <c r="M156" s="9"/>
      <c r="N156" s="9"/>
      <c r="O156" s="9"/>
      <c r="P156" s="9"/>
      <c r="Q156" s="9"/>
      <c r="R156" t="s">
        <v>11</v>
      </c>
      <c r="S156">
        <v>16.5</v>
      </c>
    </row>
    <row r="157" spans="1:22" x14ac:dyDescent="0.25">
      <c r="A157" s="9" t="s">
        <v>38</v>
      </c>
      <c r="B157" s="9"/>
      <c r="C157" s="9"/>
      <c r="D157" s="9"/>
      <c r="E157" s="10"/>
      <c r="I157" s="10"/>
      <c r="J157" s="10"/>
      <c r="K157" s="10"/>
      <c r="L157" s="10"/>
      <c r="M157" s="10"/>
      <c r="N157" s="10"/>
      <c r="O157" s="10"/>
      <c r="P157" s="10"/>
      <c r="Q157" s="10"/>
      <c r="R157" t="s">
        <v>11</v>
      </c>
      <c r="S157" s="4">
        <v>11</v>
      </c>
      <c r="T157" s="4"/>
      <c r="U157" s="4" t="s">
        <v>179</v>
      </c>
    </row>
    <row r="158" spans="1:22" x14ac:dyDescent="0.25">
      <c r="A158" s="4" t="s">
        <v>70</v>
      </c>
      <c r="B158" s="4"/>
      <c r="C158" s="4"/>
      <c r="D158" s="4"/>
      <c r="E158" s="4"/>
      <c r="I158" s="4"/>
      <c r="J158" s="4"/>
      <c r="K158" s="4"/>
      <c r="L158" s="4"/>
      <c r="M158" s="4"/>
      <c r="N158" s="4"/>
      <c r="O158" s="4"/>
      <c r="P158" s="4"/>
      <c r="Q158" s="4"/>
      <c r="R158" t="s">
        <v>11</v>
      </c>
      <c r="S158">
        <v>0</v>
      </c>
      <c r="U158" t="s">
        <v>71</v>
      </c>
    </row>
    <row r="159" spans="1:22" x14ac:dyDescent="0.25">
      <c r="A159" s="4" t="s">
        <v>39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 t="s">
        <v>9</v>
      </c>
      <c r="S159" s="4">
        <v>-1.7857000000000001</v>
      </c>
      <c r="U159" s="6"/>
    </row>
    <row r="160" spans="1:22" x14ac:dyDescent="0.25">
      <c r="A160" s="4" t="s">
        <v>39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 t="s">
        <v>10</v>
      </c>
      <c r="S160" s="4">
        <v>43.570999999999998</v>
      </c>
      <c r="U160" s="6"/>
    </row>
    <row r="161" spans="1:22" x14ac:dyDescent="0.25">
      <c r="A161" s="4" t="s">
        <v>39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 t="s">
        <v>11</v>
      </c>
      <c r="S161" s="4">
        <v>-112.5</v>
      </c>
      <c r="U161" s="6"/>
    </row>
    <row r="162" spans="1:22" x14ac:dyDescent="0.25">
      <c r="A162" s="9" t="s">
        <v>40</v>
      </c>
      <c r="B162" s="9"/>
      <c r="C162" s="10"/>
      <c r="D162" s="10"/>
      <c r="E162" s="10"/>
      <c r="I162" s="10"/>
      <c r="J162" s="10"/>
      <c r="K162" s="10"/>
      <c r="L162" s="10"/>
      <c r="M162" s="10"/>
      <c r="N162" s="10"/>
      <c r="O162" s="10"/>
      <c r="P162" s="10"/>
      <c r="Q162" s="10"/>
      <c r="R162" t="s">
        <v>9</v>
      </c>
      <c r="S162" s="24">
        <f>S67</f>
        <v>-1.0713999999999999</v>
      </c>
      <c r="T162" s="24"/>
      <c r="U162" s="24" t="str">
        <f>U67</f>
        <v>Korn, foder, norra götaland och svealand</v>
      </c>
    </row>
    <row r="163" spans="1:22" x14ac:dyDescent="0.25">
      <c r="A163" s="9" t="s">
        <v>40</v>
      </c>
      <c r="B163" s="9"/>
      <c r="C163" s="10"/>
      <c r="D163" s="10"/>
      <c r="E163" s="10"/>
      <c r="I163" s="10"/>
      <c r="J163" s="10"/>
      <c r="K163" s="10"/>
      <c r="L163" s="10"/>
      <c r="M163" s="10"/>
      <c r="N163" s="10"/>
      <c r="O163" s="10"/>
      <c r="P163" s="10"/>
      <c r="Q163" s="10"/>
      <c r="R163" t="s">
        <v>10</v>
      </c>
      <c r="S163" s="24">
        <f>S68</f>
        <v>23.928999999999998</v>
      </c>
      <c r="T163" s="24"/>
      <c r="U163" s="24"/>
    </row>
    <row r="164" spans="1:22" x14ac:dyDescent="0.25">
      <c r="A164" s="9" t="s">
        <v>40</v>
      </c>
      <c r="B164" s="9"/>
      <c r="C164" s="10"/>
      <c r="D164" s="10"/>
      <c r="E164" s="10"/>
      <c r="I164" s="10"/>
      <c r="J164" s="10"/>
      <c r="K164" s="10"/>
      <c r="L164" s="10"/>
      <c r="M164" s="10"/>
      <c r="N164" s="10"/>
      <c r="O164" s="10"/>
      <c r="P164" s="10"/>
      <c r="Q164" s="10"/>
      <c r="R164" t="s">
        <v>11</v>
      </c>
      <c r="S164" s="24">
        <f>S69</f>
        <v>32</v>
      </c>
      <c r="T164" s="24"/>
      <c r="U164" s="24"/>
    </row>
    <row r="165" spans="1:22" x14ac:dyDescent="0.25">
      <c r="A165" s="9" t="s">
        <v>41</v>
      </c>
      <c r="B165" s="9"/>
      <c r="C165" s="10"/>
      <c r="D165" s="10"/>
      <c r="E165" s="10"/>
      <c r="I165" s="10"/>
      <c r="J165" s="10"/>
      <c r="K165" s="10"/>
      <c r="L165" s="10"/>
      <c r="M165" s="10"/>
      <c r="N165" s="10"/>
      <c r="O165" s="10"/>
      <c r="P165" s="10"/>
      <c r="Q165" s="10"/>
      <c r="R165" t="s">
        <v>9</v>
      </c>
      <c r="S165" s="24">
        <f>S67</f>
        <v>-1.0713999999999999</v>
      </c>
      <c r="T165" s="24"/>
      <c r="U165" s="24" t="str">
        <f>U67</f>
        <v>Korn, foder, norra götaland och svealand</v>
      </c>
    </row>
    <row r="166" spans="1:22" x14ac:dyDescent="0.25">
      <c r="A166" s="9" t="s">
        <v>41</v>
      </c>
      <c r="B166" s="9"/>
      <c r="C166" s="10"/>
      <c r="D166" s="10"/>
      <c r="E166" s="10"/>
      <c r="I166" s="10"/>
      <c r="J166" s="10"/>
      <c r="K166" s="10"/>
      <c r="L166" s="10"/>
      <c r="M166" s="10"/>
      <c r="N166" s="10"/>
      <c r="O166" s="10"/>
      <c r="P166" s="10"/>
      <c r="Q166" s="10"/>
      <c r="R166" t="s">
        <v>10</v>
      </c>
      <c r="S166" s="24">
        <f>S68</f>
        <v>23.928999999999998</v>
      </c>
      <c r="T166" s="24"/>
      <c r="U166" s="24"/>
    </row>
    <row r="167" spans="1:22" x14ac:dyDescent="0.25">
      <c r="A167" s="9" t="s">
        <v>41</v>
      </c>
      <c r="B167" s="9"/>
      <c r="C167" s="10"/>
      <c r="D167" s="10"/>
      <c r="E167" s="10"/>
      <c r="I167" s="10"/>
      <c r="J167" s="10"/>
      <c r="K167" s="10"/>
      <c r="L167" s="10"/>
      <c r="M167" s="10"/>
      <c r="N167" s="10"/>
      <c r="O167" s="10"/>
      <c r="P167" s="10"/>
      <c r="Q167" s="10"/>
      <c r="R167" t="s">
        <v>11</v>
      </c>
      <c r="S167" s="24">
        <f>S69</f>
        <v>32</v>
      </c>
      <c r="T167" s="24"/>
      <c r="U167" s="24"/>
    </row>
    <row r="168" spans="1:22" x14ac:dyDescent="0.25">
      <c r="A168" s="9" t="s">
        <v>42</v>
      </c>
      <c r="B168" s="9"/>
      <c r="C168" s="9"/>
      <c r="D168" s="9"/>
      <c r="E168" s="9"/>
      <c r="I168" s="9"/>
      <c r="J168" s="9"/>
      <c r="K168" s="9"/>
      <c r="L168" s="9"/>
      <c r="M168" s="9"/>
      <c r="N168" s="9"/>
      <c r="O168" s="9"/>
      <c r="P168" s="9"/>
      <c r="Q168" s="9"/>
      <c r="R168" t="s">
        <v>11</v>
      </c>
      <c r="S168">
        <v>0</v>
      </c>
      <c r="U168" t="s">
        <v>71</v>
      </c>
    </row>
    <row r="169" spans="1:22" x14ac:dyDescent="0.25">
      <c r="A169" s="9" t="s">
        <v>43</v>
      </c>
      <c r="B169" s="9"/>
      <c r="C169" s="9"/>
      <c r="D169" s="9"/>
      <c r="E169" s="9"/>
      <c r="I169" s="9"/>
      <c r="J169" s="9"/>
      <c r="K169" s="9"/>
      <c r="L169" s="9"/>
      <c r="M169" s="9"/>
      <c r="N169" s="9"/>
      <c r="O169" s="9"/>
      <c r="P169" s="9"/>
      <c r="Q169" s="9"/>
      <c r="R169" t="s">
        <v>11</v>
      </c>
      <c r="S169">
        <v>0</v>
      </c>
      <c r="U169" t="s">
        <v>71</v>
      </c>
    </row>
    <row r="170" spans="1:22" x14ac:dyDescent="0.25">
      <c r="A170" t="s">
        <v>44</v>
      </c>
      <c r="R170" t="s">
        <v>10</v>
      </c>
      <c r="S170">
        <v>2.5</v>
      </c>
      <c r="U170" t="s">
        <v>78</v>
      </c>
      <c r="V170" t="s">
        <v>79</v>
      </c>
    </row>
    <row r="171" spans="1:22" x14ac:dyDescent="0.25">
      <c r="A171" t="s">
        <v>44</v>
      </c>
      <c r="R171" t="s">
        <v>11</v>
      </c>
      <c r="S171">
        <v>25</v>
      </c>
    </row>
    <row r="172" spans="1:22" x14ac:dyDescent="0.25">
      <c r="A172" t="s">
        <v>45</v>
      </c>
      <c r="R172" t="s">
        <v>10</v>
      </c>
      <c r="S172">
        <v>1.3846000000000001</v>
      </c>
      <c r="U172" t="s">
        <v>78</v>
      </c>
      <c r="V172" t="s">
        <v>79</v>
      </c>
    </row>
    <row r="173" spans="1:22" x14ac:dyDescent="0.25">
      <c r="A173" t="s">
        <v>45</v>
      </c>
      <c r="R173" t="s">
        <v>11</v>
      </c>
      <c r="S173">
        <v>11.538</v>
      </c>
    </row>
    <row r="174" spans="1:22" x14ac:dyDescent="0.25">
      <c r="A174" s="4" t="s">
        <v>46</v>
      </c>
      <c r="B174" s="4"/>
      <c r="C174" s="4"/>
      <c r="D174" s="4"/>
      <c r="E174" s="4"/>
      <c r="I174" s="4"/>
      <c r="J174" s="4"/>
      <c r="K174" s="4"/>
      <c r="L174" s="4"/>
      <c r="M174" s="4"/>
      <c r="N174" s="4"/>
      <c r="O174" s="4"/>
      <c r="P174" s="4"/>
      <c r="Q174" s="4"/>
      <c r="R174" t="s">
        <v>10</v>
      </c>
      <c r="S174" s="8">
        <f>S172</f>
        <v>1.3846000000000001</v>
      </c>
      <c r="U174" s="4" t="s">
        <v>284</v>
      </c>
    </row>
    <row r="175" spans="1:22" x14ac:dyDescent="0.25">
      <c r="A175" s="4" t="s">
        <v>46</v>
      </c>
      <c r="B175" s="4"/>
      <c r="C175" s="4"/>
      <c r="D175" s="4"/>
      <c r="E175" s="4"/>
      <c r="I175" s="4"/>
      <c r="J175" s="4"/>
      <c r="K175" s="4"/>
      <c r="L175" s="4"/>
      <c r="M175" s="4"/>
      <c r="N175" s="4"/>
      <c r="O175" s="4"/>
      <c r="P175" s="4"/>
      <c r="Q175" s="4"/>
      <c r="R175" t="s">
        <v>11</v>
      </c>
      <c r="S175" s="8">
        <f>S173</f>
        <v>11.538</v>
      </c>
    </row>
    <row r="176" spans="1:22" x14ac:dyDescent="0.25">
      <c r="A176" s="4" t="s">
        <v>47</v>
      </c>
      <c r="B176" s="4"/>
      <c r="C176" s="4"/>
      <c r="D176" s="4"/>
      <c r="E176" s="4"/>
      <c r="I176" s="4"/>
      <c r="J176" s="4"/>
      <c r="K176" s="4"/>
      <c r="L176" s="4"/>
      <c r="M176" s="4"/>
      <c r="N176" s="4"/>
      <c r="O176" s="4"/>
      <c r="P176" s="4"/>
      <c r="Q176" s="4"/>
      <c r="R176" t="s">
        <v>10</v>
      </c>
      <c r="S176">
        <v>3.3332999999999999</v>
      </c>
      <c r="U176" t="s">
        <v>80</v>
      </c>
      <c r="V176" t="s">
        <v>79</v>
      </c>
    </row>
    <row r="177" spans="1:22" x14ac:dyDescent="0.25">
      <c r="A177" s="4" t="s">
        <v>47</v>
      </c>
      <c r="B177" s="4"/>
      <c r="C177" s="4"/>
      <c r="D177" s="4"/>
      <c r="E177" s="4"/>
      <c r="I177" s="4"/>
      <c r="J177" s="4"/>
      <c r="K177" s="4"/>
      <c r="L177" s="4"/>
      <c r="M177" s="4"/>
      <c r="N177" s="4"/>
      <c r="O177" s="4"/>
      <c r="P177" s="4"/>
      <c r="Q177" s="4"/>
      <c r="R177" t="s">
        <v>11</v>
      </c>
      <c r="S177">
        <v>33.332999999999998</v>
      </c>
    </row>
    <row r="178" spans="1:22" x14ac:dyDescent="0.25">
      <c r="A178" s="4" t="s">
        <v>48</v>
      </c>
      <c r="B178" s="4"/>
      <c r="C178" s="4"/>
      <c r="D178" s="4"/>
      <c r="E178" s="4"/>
      <c r="I178" s="4"/>
      <c r="J178" s="4"/>
      <c r="K178" s="4"/>
      <c r="L178" s="4"/>
      <c r="M178" s="4"/>
      <c r="N178" s="4"/>
      <c r="O178" s="4"/>
      <c r="P178" s="4"/>
      <c r="Q178" s="4"/>
      <c r="R178" t="s">
        <v>10</v>
      </c>
      <c r="S178">
        <v>3</v>
      </c>
      <c r="U178" t="s">
        <v>81</v>
      </c>
      <c r="V178" t="s">
        <v>79</v>
      </c>
    </row>
    <row r="179" spans="1:22" x14ac:dyDescent="0.25">
      <c r="A179" s="4" t="s">
        <v>48</v>
      </c>
      <c r="B179" s="4"/>
      <c r="C179" s="4"/>
      <c r="D179" s="4"/>
      <c r="E179" s="4"/>
      <c r="I179" s="4"/>
      <c r="J179" s="4"/>
      <c r="K179" s="4"/>
      <c r="L179" s="4"/>
      <c r="M179" s="4"/>
      <c r="N179" s="4"/>
      <c r="O179" s="4"/>
      <c r="P179" s="4"/>
      <c r="Q179" s="4"/>
      <c r="R179" t="s">
        <v>11</v>
      </c>
      <c r="S179">
        <v>90</v>
      </c>
    </row>
    <row r="180" spans="1:22" x14ac:dyDescent="0.25">
      <c r="A180" s="4" t="s">
        <v>49</v>
      </c>
      <c r="B180" s="4"/>
      <c r="C180" s="4"/>
      <c r="D180" s="4"/>
      <c r="E180" s="4"/>
      <c r="I180" s="4"/>
      <c r="J180" s="4"/>
      <c r="K180" s="4"/>
      <c r="L180" s="4"/>
      <c r="M180" s="4"/>
      <c r="N180" s="4"/>
      <c r="O180" s="4"/>
      <c r="P180" s="4"/>
      <c r="Q180" s="4"/>
      <c r="R180" s="4" t="s">
        <v>9</v>
      </c>
      <c r="S180">
        <v>1.7999999999999999E-2</v>
      </c>
      <c r="U180" t="s">
        <v>82</v>
      </c>
      <c r="V180" t="s">
        <v>79</v>
      </c>
    </row>
    <row r="181" spans="1:22" x14ac:dyDescent="0.25">
      <c r="A181" s="4" t="s">
        <v>49</v>
      </c>
      <c r="B181" s="4"/>
      <c r="C181" s="4"/>
      <c r="D181" s="4"/>
      <c r="E181" s="4"/>
      <c r="I181" s="4"/>
      <c r="J181" s="4"/>
      <c r="K181" s="4"/>
      <c r="L181" s="4"/>
      <c r="M181" s="4"/>
      <c r="N181" s="4"/>
      <c r="O181" s="4"/>
      <c r="P181" s="4"/>
      <c r="Q181" s="4"/>
      <c r="R181" t="s">
        <v>10</v>
      </c>
      <c r="S181">
        <v>1.2583</v>
      </c>
    </row>
    <row r="182" spans="1:22" x14ac:dyDescent="0.25">
      <c r="A182" s="4" t="s">
        <v>49</v>
      </c>
      <c r="B182" s="4"/>
      <c r="C182" s="4"/>
      <c r="D182" s="4"/>
      <c r="E182" s="4"/>
      <c r="I182" s="4"/>
      <c r="J182" s="4"/>
      <c r="K182" s="4"/>
      <c r="L182" s="4"/>
      <c r="M182" s="4"/>
      <c r="N182" s="4"/>
      <c r="O182" s="4"/>
      <c r="P182" s="4"/>
      <c r="Q182" s="4"/>
      <c r="R182" t="s">
        <v>11</v>
      </c>
      <c r="S182">
        <v>0</v>
      </c>
    </row>
    <row r="183" spans="1:22" x14ac:dyDescent="0.25">
      <c r="A183" s="4" t="s">
        <v>50</v>
      </c>
      <c r="B183" s="4"/>
      <c r="C183" s="4"/>
      <c r="D183" s="4"/>
      <c r="E183" s="4"/>
      <c r="I183" s="4"/>
      <c r="J183" s="4"/>
      <c r="K183" s="4"/>
      <c r="L183" s="4"/>
      <c r="M183" s="4"/>
      <c r="N183" s="4"/>
      <c r="O183" s="4"/>
      <c r="P183" s="4"/>
      <c r="Q183" s="4"/>
      <c r="R183" s="4" t="s">
        <v>9</v>
      </c>
      <c r="S183" s="8">
        <f>S180</f>
        <v>1.7999999999999999E-2</v>
      </c>
      <c r="U183" s="4" t="s">
        <v>285</v>
      </c>
      <c r="V183" s="8"/>
    </row>
    <row r="184" spans="1:22" x14ac:dyDescent="0.25">
      <c r="A184" s="4" t="s">
        <v>50</v>
      </c>
      <c r="B184" s="4"/>
      <c r="C184" s="4"/>
      <c r="D184" s="4"/>
      <c r="E184" s="4"/>
      <c r="I184" s="4"/>
      <c r="J184" s="4"/>
      <c r="K184" s="4"/>
      <c r="L184" s="4"/>
      <c r="M184" s="4"/>
      <c r="N184" s="4"/>
      <c r="O184" s="4"/>
      <c r="P184" s="4"/>
      <c r="Q184" s="4"/>
      <c r="R184" t="s">
        <v>10</v>
      </c>
      <c r="S184" s="8">
        <f>S181</f>
        <v>1.2583</v>
      </c>
      <c r="T184" s="8"/>
      <c r="U184" s="8"/>
      <c r="V184" s="8"/>
    </row>
    <row r="185" spans="1:22" x14ac:dyDescent="0.25">
      <c r="A185" s="4" t="s">
        <v>50</v>
      </c>
      <c r="B185" s="4"/>
      <c r="C185" s="4"/>
      <c r="D185" s="4"/>
      <c r="E185" s="4"/>
      <c r="I185" s="4"/>
      <c r="J185" s="4"/>
      <c r="K185" s="4"/>
      <c r="L185" s="4"/>
      <c r="M185" s="4"/>
      <c r="N185" s="4"/>
      <c r="O185" s="4"/>
      <c r="P185" s="4"/>
      <c r="Q185" s="4"/>
      <c r="R185" t="s">
        <v>11</v>
      </c>
      <c r="S185" s="8">
        <f>S182</f>
        <v>0</v>
      </c>
      <c r="T185" s="8"/>
      <c r="U185" s="8"/>
      <c r="V185" s="8"/>
    </row>
    <row r="186" spans="1:22" x14ac:dyDescent="0.25">
      <c r="A186" s="4" t="s">
        <v>51</v>
      </c>
      <c r="B186" s="4"/>
      <c r="C186" s="4"/>
      <c r="D186" s="4"/>
      <c r="E186" s="4"/>
      <c r="I186" s="4"/>
      <c r="J186" s="4"/>
      <c r="K186" s="4"/>
      <c r="L186" s="4"/>
      <c r="M186" s="4"/>
      <c r="N186" s="4"/>
      <c r="O186" s="4"/>
      <c r="P186" s="4"/>
      <c r="Q186" s="4"/>
      <c r="R186" t="s">
        <v>10</v>
      </c>
      <c r="S186" s="8">
        <f>S176</f>
        <v>3.3332999999999999</v>
      </c>
      <c r="U186" s="4" t="s">
        <v>283</v>
      </c>
    </row>
    <row r="187" spans="1:22" x14ac:dyDescent="0.25">
      <c r="A187" s="4" t="s">
        <v>51</v>
      </c>
      <c r="B187" s="4"/>
      <c r="C187" s="4"/>
      <c r="D187" s="4"/>
      <c r="E187" s="4"/>
      <c r="I187" s="4"/>
      <c r="J187" s="4"/>
      <c r="K187" s="4"/>
      <c r="L187" s="4"/>
      <c r="M187" s="4"/>
      <c r="N187" s="4"/>
      <c r="O187" s="4"/>
      <c r="P187" s="4"/>
      <c r="Q187" s="4"/>
      <c r="R187" t="s">
        <v>11</v>
      </c>
      <c r="S187" s="8">
        <f>S177</f>
        <v>33.332999999999998</v>
      </c>
    </row>
    <row r="188" spans="1:22" x14ac:dyDescent="0.25">
      <c r="A188" s="4" t="s">
        <v>52</v>
      </c>
      <c r="B188" s="4"/>
      <c r="C188" s="6"/>
      <c r="D188" s="6"/>
      <c r="E188" s="6"/>
      <c r="I188" s="6"/>
      <c r="J188" s="6"/>
      <c r="K188" s="6"/>
      <c r="L188" s="6"/>
      <c r="M188" s="6"/>
      <c r="N188" s="6"/>
      <c r="O188" s="6"/>
      <c r="P188" s="6"/>
      <c r="Q188" s="6"/>
      <c r="R188" t="s">
        <v>10</v>
      </c>
      <c r="S188" s="8">
        <f>S176</f>
        <v>3.3332999999999999</v>
      </c>
      <c r="U188" s="4" t="s">
        <v>283</v>
      </c>
    </row>
    <row r="189" spans="1:22" x14ac:dyDescent="0.25">
      <c r="A189" s="4" t="s">
        <v>52</v>
      </c>
      <c r="B189" s="4"/>
      <c r="C189" s="6"/>
      <c r="D189" s="6"/>
      <c r="E189" s="6"/>
      <c r="I189" s="6"/>
      <c r="J189" s="6"/>
      <c r="K189" s="6"/>
      <c r="L189" s="6"/>
      <c r="M189" s="6"/>
      <c r="N189" s="6"/>
      <c r="O189" s="6"/>
      <c r="P189" s="6"/>
      <c r="Q189" s="6"/>
      <c r="R189" t="s">
        <v>11</v>
      </c>
      <c r="S189" s="8">
        <f>S177</f>
        <v>33.332999999999998</v>
      </c>
    </row>
    <row r="190" spans="1:22" x14ac:dyDescent="0.25">
      <c r="A190" s="4" t="s">
        <v>53</v>
      </c>
      <c r="B190" s="4"/>
      <c r="C190" s="4"/>
      <c r="D190" s="4"/>
      <c r="E190" s="4"/>
      <c r="I190" s="4"/>
      <c r="J190" s="4"/>
      <c r="K190" s="4"/>
      <c r="L190" s="4"/>
      <c r="M190" s="4"/>
      <c r="N190" s="4"/>
      <c r="O190" s="4"/>
      <c r="P190" s="4"/>
      <c r="Q190" s="4"/>
      <c r="R190" t="s">
        <v>11</v>
      </c>
      <c r="S190">
        <v>65</v>
      </c>
      <c r="V190" t="s">
        <v>76</v>
      </c>
    </row>
    <row r="191" spans="1:22" x14ac:dyDescent="0.25">
      <c r="A191" s="6" t="s">
        <v>54</v>
      </c>
      <c r="B191" s="6"/>
      <c r="C191" s="6"/>
      <c r="D191" s="6"/>
      <c r="E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22" x14ac:dyDescent="0.25">
      <c r="A192" s="4" t="s">
        <v>55</v>
      </c>
      <c r="B192" s="4"/>
      <c r="C192" s="4"/>
      <c r="D192" s="4"/>
      <c r="E192" s="4"/>
      <c r="I192" s="4"/>
      <c r="J192" s="4"/>
      <c r="K192" s="4"/>
      <c r="L192" s="4"/>
      <c r="M192" s="4"/>
      <c r="N192" s="4"/>
      <c r="O192" s="4"/>
      <c r="P192" s="4"/>
      <c r="Q192" s="4"/>
      <c r="R192" t="s">
        <v>11</v>
      </c>
      <c r="S192">
        <v>65</v>
      </c>
      <c r="U192" t="s">
        <v>282</v>
      </c>
      <c r="V192" t="s">
        <v>281</v>
      </c>
    </row>
    <row r="193" spans="1:22" x14ac:dyDescent="0.25">
      <c r="A193" s="4" t="s">
        <v>56</v>
      </c>
      <c r="B193" s="4"/>
      <c r="C193" s="4"/>
      <c r="D193" s="4"/>
      <c r="E193" s="4"/>
      <c r="I193" s="4"/>
      <c r="J193" s="4"/>
      <c r="K193" s="4"/>
      <c r="L193" s="4"/>
      <c r="M193" s="4"/>
      <c r="N193" s="4"/>
      <c r="O193" s="4"/>
      <c r="P193" s="4"/>
      <c r="Q193" s="4"/>
      <c r="R193" t="s">
        <v>11</v>
      </c>
      <c r="S193">
        <v>100</v>
      </c>
      <c r="V193" t="s">
        <v>77</v>
      </c>
    </row>
    <row r="194" spans="1:22" x14ac:dyDescent="0.25">
      <c r="A194" s="4" t="s">
        <v>57</v>
      </c>
      <c r="B194" s="4"/>
      <c r="C194" s="4"/>
      <c r="D194" s="4"/>
      <c r="E194" s="4"/>
      <c r="I194" s="4"/>
      <c r="J194" s="4"/>
      <c r="K194" s="4"/>
      <c r="L194" s="4"/>
      <c r="M194" s="4"/>
      <c r="N194" s="4"/>
      <c r="O194" s="4"/>
      <c r="P194" s="4"/>
      <c r="Q194" s="4"/>
      <c r="R194" t="s">
        <v>11</v>
      </c>
      <c r="S194">
        <v>110</v>
      </c>
    </row>
    <row r="195" spans="1:22" x14ac:dyDescent="0.25">
      <c r="A195" s="4" t="s">
        <v>58</v>
      </c>
      <c r="B195" s="4"/>
      <c r="C195" s="4"/>
      <c r="D195" s="4"/>
      <c r="E195" s="4"/>
      <c r="I195" s="4"/>
      <c r="J195" s="4"/>
      <c r="K195" s="4"/>
      <c r="L195" s="4"/>
      <c r="M195" s="4"/>
      <c r="N195" s="4"/>
      <c r="O195" s="4"/>
      <c r="P195" s="4"/>
      <c r="Q195" s="4"/>
      <c r="R195" t="s">
        <v>11</v>
      </c>
      <c r="S195" s="8">
        <f>S193</f>
        <v>100</v>
      </c>
      <c r="U195" s="4" t="s">
        <v>249</v>
      </c>
    </row>
    <row r="196" spans="1:22" x14ac:dyDescent="0.25">
      <c r="A196" s="4" t="s">
        <v>59</v>
      </c>
      <c r="B196" s="4"/>
      <c r="C196" s="6"/>
      <c r="D196" s="6"/>
      <c r="E196" s="6"/>
      <c r="I196" s="6"/>
      <c r="J196" s="6"/>
      <c r="K196" s="6"/>
      <c r="L196" s="6"/>
      <c r="M196" s="6"/>
      <c r="N196" s="6"/>
      <c r="O196" s="6"/>
      <c r="P196" s="6"/>
      <c r="Q196" s="6"/>
      <c r="R196" t="s">
        <v>10</v>
      </c>
      <c r="S196">
        <v>4.2</v>
      </c>
      <c r="V196" t="s">
        <v>298</v>
      </c>
    </row>
    <row r="197" spans="1:22" x14ac:dyDescent="0.25">
      <c r="A197" s="4" t="s">
        <v>60</v>
      </c>
      <c r="B197" s="4"/>
      <c r="C197" s="6"/>
      <c r="D197" s="6"/>
      <c r="E197" s="6"/>
      <c r="I197" s="6"/>
      <c r="J197" s="6"/>
      <c r="K197" s="6"/>
      <c r="L197" s="6"/>
      <c r="M197" s="6"/>
      <c r="N197" s="6"/>
      <c r="O197" s="6"/>
      <c r="P197" s="6"/>
      <c r="Q197" s="6"/>
      <c r="R197" t="s">
        <v>10</v>
      </c>
      <c r="S197" s="4">
        <v>3.3</v>
      </c>
      <c r="V197" t="s">
        <v>298</v>
      </c>
    </row>
    <row r="198" spans="1:22" x14ac:dyDescent="0.25">
      <c r="A198" s="4" t="s">
        <v>61</v>
      </c>
      <c r="B198" s="4"/>
      <c r="C198" s="6"/>
      <c r="D198" s="6"/>
      <c r="E198" s="6"/>
      <c r="I198" s="6"/>
      <c r="J198" s="6"/>
      <c r="K198" s="6"/>
      <c r="L198" s="6"/>
      <c r="M198" s="6"/>
      <c r="N198" s="6"/>
      <c r="O198" s="6"/>
      <c r="P198" s="6"/>
      <c r="Q198" s="6"/>
      <c r="R198" t="s">
        <v>10</v>
      </c>
      <c r="S198" s="24">
        <f>AVERAGE(S196:S197)</f>
        <v>3.75</v>
      </c>
      <c r="U198" s="6" t="s">
        <v>297</v>
      </c>
    </row>
    <row r="199" spans="1:22" x14ac:dyDescent="0.25">
      <c r="A199" s="4" t="s">
        <v>62</v>
      </c>
      <c r="B199" s="4"/>
      <c r="C199" s="6"/>
      <c r="D199" s="6"/>
      <c r="E199" s="6"/>
      <c r="I199" s="6"/>
      <c r="J199" s="6"/>
      <c r="K199" s="6"/>
      <c r="L199" s="6"/>
      <c r="M199" s="6"/>
      <c r="N199" s="6"/>
      <c r="O199" s="6"/>
      <c r="P199" s="6"/>
      <c r="Q199" s="6"/>
      <c r="R199" t="s">
        <v>10</v>
      </c>
      <c r="S199" s="24">
        <f>AVERAGE(S196:S197)</f>
        <v>3.75</v>
      </c>
    </row>
    <row r="200" spans="1:22" x14ac:dyDescent="0.25">
      <c r="A200" s="4" t="s">
        <v>63</v>
      </c>
      <c r="B200" s="4"/>
      <c r="C200" s="6"/>
      <c r="D200" s="6"/>
      <c r="E200" s="6"/>
      <c r="I200" s="6"/>
      <c r="J200" s="6"/>
      <c r="K200" s="6"/>
      <c r="L200" s="6"/>
      <c r="M200" s="6"/>
      <c r="N200" s="6"/>
      <c r="O200" s="6"/>
      <c r="P200" s="6"/>
      <c r="Q200" s="6"/>
      <c r="R200" t="s">
        <v>10</v>
      </c>
      <c r="S200" s="24">
        <f>AVERAGE(S196:S197)</f>
        <v>3.75</v>
      </c>
    </row>
    <row r="201" spans="1:22" x14ac:dyDescent="0.25">
      <c r="A201" s="4" t="s">
        <v>64</v>
      </c>
      <c r="B201" s="4"/>
      <c r="C201" s="6"/>
      <c r="D201" s="6"/>
      <c r="E201" s="6"/>
      <c r="I201" s="6"/>
      <c r="J201" s="6"/>
      <c r="K201" s="6"/>
      <c r="L201" s="6"/>
      <c r="M201" s="6"/>
      <c r="N201" s="6"/>
      <c r="O201" s="6"/>
      <c r="P201" s="6"/>
      <c r="Q201" s="6"/>
      <c r="R201" t="s">
        <v>10</v>
      </c>
      <c r="S201" s="24">
        <f>AVERAGE(S196:S197)</f>
        <v>3.75</v>
      </c>
    </row>
    <row r="202" spans="1:22" x14ac:dyDescent="0.25">
      <c r="A202" s="4" t="s">
        <v>65</v>
      </c>
      <c r="B202" s="4"/>
      <c r="C202" s="6"/>
      <c r="D202" s="6"/>
      <c r="E202" s="6"/>
      <c r="I202" s="6"/>
      <c r="J202" s="6"/>
      <c r="K202" s="6"/>
      <c r="L202" s="6"/>
      <c r="M202" s="6"/>
      <c r="N202" s="6"/>
      <c r="O202" s="6"/>
      <c r="P202" s="6"/>
      <c r="Q202" s="6"/>
      <c r="R202" t="s">
        <v>10</v>
      </c>
      <c r="S202" s="24">
        <f>AVERAGE(S196:S197)</f>
        <v>3.75</v>
      </c>
    </row>
    <row r="203" spans="1:22" x14ac:dyDescent="0.25">
      <c r="A203" s="4" t="s">
        <v>66</v>
      </c>
      <c r="B203" s="4"/>
      <c r="C203" s="4"/>
      <c r="D203" s="4"/>
      <c r="E203" s="4"/>
      <c r="I203" s="4"/>
      <c r="J203" s="4"/>
      <c r="K203" s="4"/>
      <c r="L203" s="4"/>
      <c r="M203" s="4"/>
      <c r="N203" s="4"/>
      <c r="O203" s="4"/>
      <c r="P203" s="4"/>
      <c r="Q203" s="4"/>
      <c r="R203" t="s">
        <v>11</v>
      </c>
      <c r="S203">
        <v>0</v>
      </c>
      <c r="U203" t="s">
        <v>71</v>
      </c>
    </row>
    <row r="204" spans="1:22" x14ac:dyDescent="0.25">
      <c r="A204" s="4" t="s">
        <v>67</v>
      </c>
      <c r="B204" s="4"/>
      <c r="C204" s="6"/>
      <c r="D204" s="6"/>
      <c r="E204" s="6"/>
      <c r="I204" s="6"/>
      <c r="J204" s="6"/>
      <c r="K204" s="6"/>
      <c r="L204" s="6"/>
      <c r="M204" s="6"/>
      <c r="N204" s="6"/>
      <c r="O204" s="6"/>
      <c r="P204" s="6"/>
      <c r="Q204" s="6"/>
      <c r="R204" t="s">
        <v>10</v>
      </c>
      <c r="S204">
        <v>20</v>
      </c>
      <c r="U204" t="s">
        <v>294</v>
      </c>
    </row>
    <row r="205" spans="1:22" x14ac:dyDescent="0.25">
      <c r="A205" s="4" t="s">
        <v>67</v>
      </c>
      <c r="B205" s="4"/>
      <c r="C205" s="6"/>
      <c r="D205" s="6"/>
      <c r="E205" s="6"/>
      <c r="I205" s="6"/>
      <c r="J205" s="6"/>
      <c r="K205" s="6"/>
      <c r="L205" s="6"/>
      <c r="M205" s="6"/>
      <c r="N205" s="6"/>
      <c r="O205" s="6"/>
      <c r="P205" s="6"/>
      <c r="Q205" s="6"/>
      <c r="R205" t="s">
        <v>11</v>
      </c>
      <c r="S205">
        <v>30</v>
      </c>
    </row>
    <row r="206" spans="1:22" x14ac:dyDescent="0.25">
      <c r="A206" s="6" t="s">
        <v>68</v>
      </c>
      <c r="B206" s="6"/>
      <c r="C206" s="6"/>
      <c r="D206" s="6"/>
      <c r="E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22" x14ac:dyDescent="0.25">
      <c r="A207" s="4" t="s">
        <v>69</v>
      </c>
      <c r="B207" s="4"/>
      <c r="C207" s="4"/>
      <c r="D207" s="4"/>
      <c r="E207" s="4"/>
      <c r="I207" s="4"/>
      <c r="J207" s="4"/>
      <c r="K207" s="4"/>
      <c r="L207" s="4"/>
      <c r="M207" s="4"/>
      <c r="N207" s="4"/>
      <c r="O207" s="4"/>
      <c r="P207" s="4"/>
      <c r="Q207" s="4"/>
      <c r="R207" t="s">
        <v>11</v>
      </c>
      <c r="S207">
        <v>0</v>
      </c>
      <c r="U207" t="s">
        <v>71</v>
      </c>
    </row>
    <row r="208" spans="1:22" x14ac:dyDescent="0.25">
      <c r="A208" s="4"/>
      <c r="B208" s="4"/>
      <c r="C208" s="4"/>
      <c r="D208" s="4"/>
      <c r="E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22" x14ac:dyDescent="0.25">
      <c r="A209" s="2" t="s">
        <v>246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3"/>
      <c r="V209" s="3"/>
    </row>
    <row r="210" spans="1:22" x14ac:dyDescent="0.25">
      <c r="A210" s="4"/>
      <c r="B210" s="4"/>
      <c r="C210" s="4"/>
      <c r="D210" s="4"/>
      <c r="E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2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 t="s">
        <v>243</v>
      </c>
      <c r="S211" s="5">
        <v>0</v>
      </c>
      <c r="T211" s="5" t="s">
        <v>234</v>
      </c>
      <c r="U211" s="5" t="s">
        <v>12</v>
      </c>
    </row>
    <row r="212" spans="1:22" x14ac:dyDescent="0.25">
      <c r="A212" t="s">
        <v>27</v>
      </c>
      <c r="E212" s="4"/>
      <c r="I212" s="4"/>
      <c r="J212" s="4"/>
      <c r="K212" s="4"/>
      <c r="L212" s="4"/>
      <c r="M212" s="4"/>
      <c r="N212" s="4"/>
      <c r="O212" s="4"/>
      <c r="P212" s="4"/>
      <c r="Q212" s="4"/>
      <c r="R212" t="s">
        <v>243</v>
      </c>
      <c r="S212">
        <v>35</v>
      </c>
      <c r="U212" t="s">
        <v>235</v>
      </c>
      <c r="V212" t="s">
        <v>238</v>
      </c>
    </row>
    <row r="213" spans="1:22" x14ac:dyDescent="0.25">
      <c r="A213" t="s">
        <v>28</v>
      </c>
      <c r="E213" s="4"/>
      <c r="I213" s="4"/>
      <c r="J213" s="4"/>
      <c r="K213" s="4"/>
      <c r="L213" s="4"/>
      <c r="M213" s="4"/>
      <c r="N213" s="4"/>
      <c r="O213" s="4"/>
      <c r="P213" s="4"/>
      <c r="Q213" s="4"/>
      <c r="R213" t="s">
        <v>243</v>
      </c>
      <c r="S213">
        <v>35</v>
      </c>
      <c r="U213" t="s">
        <v>239</v>
      </c>
      <c r="V213" t="s">
        <v>238</v>
      </c>
    </row>
    <row r="214" spans="1:22" x14ac:dyDescent="0.25">
      <c r="A214" t="s">
        <v>29</v>
      </c>
      <c r="C214" s="4"/>
      <c r="D214" s="4"/>
      <c r="E214" s="4"/>
      <c r="I214" s="4"/>
      <c r="J214" s="4"/>
      <c r="K214" s="4"/>
      <c r="L214" s="4"/>
      <c r="M214" s="4"/>
      <c r="N214" s="4"/>
      <c r="O214" s="4"/>
      <c r="P214" s="4"/>
      <c r="Q214" s="4"/>
      <c r="R214" t="s">
        <v>243</v>
      </c>
      <c r="S214">
        <v>25</v>
      </c>
      <c r="U214" t="s">
        <v>236</v>
      </c>
      <c r="V214" t="s">
        <v>238</v>
      </c>
    </row>
    <row r="215" spans="1:22" x14ac:dyDescent="0.25">
      <c r="A215" t="s">
        <v>30</v>
      </c>
      <c r="C215" s="4"/>
      <c r="D215" s="4"/>
      <c r="E215" s="4"/>
      <c r="I215" s="4"/>
      <c r="J215" s="4"/>
      <c r="K215" s="4"/>
      <c r="L215" s="4"/>
      <c r="M215" s="4"/>
      <c r="N215" s="4"/>
      <c r="O215" s="4"/>
      <c r="P215" s="4"/>
      <c r="Q215" s="4"/>
      <c r="R215" t="s">
        <v>243</v>
      </c>
      <c r="S215">
        <v>25</v>
      </c>
      <c r="U215" t="s">
        <v>240</v>
      </c>
      <c r="V215" t="s">
        <v>238</v>
      </c>
    </row>
    <row r="216" spans="1:22" x14ac:dyDescent="0.25">
      <c r="A216" t="s">
        <v>31</v>
      </c>
      <c r="C216" s="4"/>
      <c r="D216" s="4"/>
      <c r="E216" s="4"/>
      <c r="I216" s="4"/>
      <c r="J216" s="4"/>
      <c r="K216" s="4"/>
      <c r="L216" s="4"/>
      <c r="M216" s="4"/>
      <c r="N216" s="4"/>
      <c r="O216" s="4"/>
      <c r="P216" s="4"/>
      <c r="Q216" s="4"/>
      <c r="R216" t="s">
        <v>243</v>
      </c>
      <c r="S216">
        <v>40</v>
      </c>
      <c r="U216" t="s">
        <v>241</v>
      </c>
      <c r="V216" t="s">
        <v>238</v>
      </c>
    </row>
    <row r="217" spans="1:22" x14ac:dyDescent="0.25">
      <c r="A217" t="s">
        <v>32</v>
      </c>
      <c r="C217" s="4"/>
      <c r="D217" s="4"/>
      <c r="E217" s="4"/>
      <c r="I217" s="4"/>
      <c r="J217" s="4"/>
      <c r="K217" s="4"/>
      <c r="L217" s="4"/>
      <c r="M217" s="4"/>
      <c r="N217" s="4"/>
      <c r="O217" s="4"/>
      <c r="P217" s="4"/>
      <c r="Q217" s="4"/>
      <c r="R217" t="s">
        <v>243</v>
      </c>
      <c r="S217">
        <v>20</v>
      </c>
      <c r="U217" t="s">
        <v>242</v>
      </c>
      <c r="V217" t="s">
        <v>238</v>
      </c>
    </row>
    <row r="218" spans="1:22" x14ac:dyDescent="0.25">
      <c r="A218" t="s">
        <v>33</v>
      </c>
      <c r="C218" s="4"/>
      <c r="D218" s="4"/>
      <c r="E218" s="4"/>
      <c r="I218" s="4"/>
      <c r="J218" s="4"/>
      <c r="K218" s="4"/>
      <c r="L218" s="4"/>
      <c r="M218" s="4"/>
      <c r="N218" s="4"/>
      <c r="O218" s="4"/>
      <c r="P218" s="4"/>
      <c r="Q218" s="4"/>
      <c r="R218" t="s">
        <v>243</v>
      </c>
      <c r="S218">
        <v>10</v>
      </c>
      <c r="U218" t="s">
        <v>96</v>
      </c>
      <c r="V218" t="s">
        <v>238</v>
      </c>
    </row>
    <row r="219" spans="1:22" x14ac:dyDescent="0.25">
      <c r="A219" t="s">
        <v>34</v>
      </c>
      <c r="C219" s="4"/>
      <c r="D219" s="4"/>
      <c r="E219" s="4"/>
      <c r="I219" s="4"/>
      <c r="J219" s="4"/>
      <c r="K219" s="4"/>
      <c r="L219" s="4"/>
      <c r="M219" s="4"/>
      <c r="N219" s="4"/>
      <c r="O219" s="4"/>
      <c r="P219" s="4"/>
      <c r="Q219" s="4"/>
      <c r="R219" t="s">
        <v>243</v>
      </c>
      <c r="S219">
        <v>10</v>
      </c>
      <c r="U219" t="s">
        <v>96</v>
      </c>
      <c r="V219" t="s">
        <v>238</v>
      </c>
    </row>
    <row r="220" spans="1:22" x14ac:dyDescent="0.25">
      <c r="A220" t="s">
        <v>35</v>
      </c>
      <c r="C220" s="4"/>
      <c r="D220" s="4"/>
      <c r="E220" s="4"/>
      <c r="I220" s="4"/>
      <c r="J220" s="4"/>
      <c r="K220" s="4"/>
      <c r="L220" s="4"/>
      <c r="M220" s="4"/>
      <c r="N220" s="4"/>
      <c r="O220" s="4"/>
      <c r="P220" s="4"/>
      <c r="Q220" s="4"/>
      <c r="R220" t="s">
        <v>243</v>
      </c>
      <c r="S220">
        <v>25</v>
      </c>
      <c r="V220" t="s">
        <v>238</v>
      </c>
    </row>
    <row r="221" spans="1:22" x14ac:dyDescent="0.25">
      <c r="A221" s="4" t="s">
        <v>36</v>
      </c>
      <c r="B221" s="4"/>
      <c r="C221" s="4"/>
      <c r="D221" s="4"/>
      <c r="E221" s="4"/>
      <c r="I221" s="4"/>
      <c r="J221" s="4"/>
      <c r="K221" s="4"/>
      <c r="L221" s="4"/>
      <c r="M221" s="4"/>
      <c r="N221" s="4"/>
      <c r="O221" s="4"/>
      <c r="P221" s="4"/>
      <c r="Q221" s="4"/>
      <c r="R221" t="s">
        <v>243</v>
      </c>
    </row>
    <row r="222" spans="1:22" x14ac:dyDescent="0.25">
      <c r="A222" s="9" t="s">
        <v>37</v>
      </c>
      <c r="B222" s="9"/>
      <c r="C222" s="4"/>
      <c r="D222" s="4"/>
      <c r="E222" s="4"/>
      <c r="G222" t="s">
        <v>142</v>
      </c>
      <c r="I222" s="4"/>
      <c r="J222" s="4"/>
      <c r="K222" s="4"/>
      <c r="L222" s="4"/>
      <c r="M222" s="4"/>
      <c r="N222" s="4"/>
      <c r="O222" s="4"/>
      <c r="P222" s="4"/>
      <c r="Q222" s="4"/>
      <c r="R222" t="s">
        <v>243</v>
      </c>
      <c r="S222" s="6">
        <v>10</v>
      </c>
      <c r="U222" t="s">
        <v>237</v>
      </c>
      <c r="V222" t="s">
        <v>238</v>
      </c>
    </row>
    <row r="223" spans="1:22" x14ac:dyDescent="0.25">
      <c r="A223" s="9" t="s">
        <v>37</v>
      </c>
      <c r="B223" s="9"/>
      <c r="C223" s="4"/>
      <c r="D223" s="4"/>
      <c r="E223" s="4"/>
      <c r="G223" t="s">
        <v>98</v>
      </c>
      <c r="I223" s="4"/>
      <c r="J223" s="4"/>
      <c r="K223" s="4"/>
      <c r="L223" s="4"/>
      <c r="M223" s="4"/>
      <c r="N223" s="4"/>
      <c r="O223" s="4"/>
      <c r="P223" s="4"/>
      <c r="Q223" s="4"/>
      <c r="R223" t="s">
        <v>243</v>
      </c>
      <c r="S223" s="6">
        <v>40</v>
      </c>
    </row>
    <row r="224" spans="1:22" x14ac:dyDescent="0.25">
      <c r="A224" s="9" t="s">
        <v>38</v>
      </c>
      <c r="B224" s="9"/>
      <c r="C224" s="4"/>
      <c r="D224" s="4"/>
      <c r="E224" s="4"/>
      <c r="G224" t="s">
        <v>142</v>
      </c>
      <c r="I224" s="4"/>
      <c r="J224" s="4"/>
      <c r="K224" s="4"/>
      <c r="L224" s="4"/>
      <c r="M224" s="4"/>
      <c r="N224" s="4"/>
      <c r="O224" s="4"/>
      <c r="P224" s="4"/>
      <c r="Q224" s="4"/>
      <c r="R224" t="s">
        <v>243</v>
      </c>
      <c r="S224" s="6">
        <v>10</v>
      </c>
    </row>
    <row r="225" spans="1:22" x14ac:dyDescent="0.25">
      <c r="A225" s="9" t="s">
        <v>38</v>
      </c>
      <c r="B225" s="9"/>
      <c r="C225" s="4"/>
      <c r="D225" s="4"/>
      <c r="E225" s="4"/>
      <c r="G225" t="s">
        <v>98</v>
      </c>
      <c r="I225" s="4"/>
      <c r="J225" s="4"/>
      <c r="K225" s="4"/>
      <c r="L225" s="4"/>
      <c r="M225" s="4"/>
      <c r="N225" s="4"/>
      <c r="O225" s="4"/>
      <c r="P225" s="4"/>
      <c r="Q225" s="4"/>
      <c r="R225" t="s">
        <v>243</v>
      </c>
      <c r="S225" s="6">
        <v>40</v>
      </c>
    </row>
    <row r="226" spans="1:22" x14ac:dyDescent="0.25">
      <c r="A226" s="4" t="s">
        <v>70</v>
      </c>
      <c r="B226" s="4"/>
      <c r="G226" t="s">
        <v>142</v>
      </c>
      <c r="R226" t="s">
        <v>243</v>
      </c>
      <c r="S226" s="6">
        <v>10</v>
      </c>
    </row>
    <row r="227" spans="1:22" x14ac:dyDescent="0.25">
      <c r="A227" s="4" t="s">
        <v>70</v>
      </c>
      <c r="B227" s="4"/>
      <c r="G227" t="s">
        <v>98</v>
      </c>
      <c r="R227" t="s">
        <v>243</v>
      </c>
      <c r="S227" s="6">
        <v>40</v>
      </c>
    </row>
    <row r="228" spans="1:22" x14ac:dyDescent="0.25">
      <c r="A228" s="4" t="s">
        <v>69</v>
      </c>
      <c r="B228" s="4"/>
      <c r="R228" t="s">
        <v>243</v>
      </c>
      <c r="S228" s="4">
        <v>60</v>
      </c>
      <c r="U228" t="s">
        <v>343</v>
      </c>
      <c r="V228" t="s">
        <v>344</v>
      </c>
    </row>
    <row r="229" spans="1:22" x14ac:dyDescent="0.25">
      <c r="A229" s="4" t="s">
        <v>66</v>
      </c>
      <c r="B229" s="4"/>
      <c r="G229" t="s">
        <v>98</v>
      </c>
      <c r="R229" t="s">
        <v>243</v>
      </c>
      <c r="S229" s="4">
        <f>60*0.5</f>
        <v>30</v>
      </c>
      <c r="U229" t="s">
        <v>352</v>
      </c>
    </row>
    <row r="230" spans="1:22" s="4" customFormat="1" x14ac:dyDescent="0.25">
      <c r="A230" s="4" t="s">
        <v>259</v>
      </c>
      <c r="R230" t="s">
        <v>243</v>
      </c>
      <c r="S230" s="4">
        <v>35</v>
      </c>
      <c r="U230" s="4" t="s">
        <v>266</v>
      </c>
    </row>
    <row r="231" spans="1:22" s="4" customFormat="1" x14ac:dyDescent="0.25">
      <c r="A231" s="4" t="s">
        <v>267</v>
      </c>
      <c r="R231" s="4" t="s">
        <v>243</v>
      </c>
      <c r="S231" s="4">
        <v>25</v>
      </c>
      <c r="U231" s="4" t="s">
        <v>268</v>
      </c>
    </row>
    <row r="232" spans="1:22" s="4" customFormat="1" x14ac:dyDescent="0.25">
      <c r="A232" s="4" t="s">
        <v>263</v>
      </c>
      <c r="R232" s="4" t="s">
        <v>243</v>
      </c>
      <c r="S232" s="4">
        <v>25</v>
      </c>
      <c r="U232" s="4" t="s">
        <v>268</v>
      </c>
    </row>
    <row r="233" spans="1:22" x14ac:dyDescent="0.25">
      <c r="A233" s="4"/>
      <c r="B233" s="4"/>
      <c r="S233" s="6"/>
    </row>
    <row r="234" spans="1:22" x14ac:dyDescent="0.25">
      <c r="A234" s="2" t="s">
        <v>251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3"/>
      <c r="V234" s="3"/>
    </row>
    <row r="235" spans="1:22" x14ac:dyDescent="0.25">
      <c r="A235" s="19" t="s">
        <v>350</v>
      </c>
      <c r="B235" s="4"/>
    </row>
    <row r="236" spans="1:22" x14ac:dyDescent="0.25">
      <c r="A236" s="19" t="s">
        <v>349</v>
      </c>
      <c r="B236" s="4"/>
    </row>
    <row r="237" spans="1:22" x14ac:dyDescent="0.25">
      <c r="A237" s="19" t="s">
        <v>348</v>
      </c>
      <c r="B237" s="4"/>
    </row>
    <row r="238" spans="1:22" x14ac:dyDescent="0.25">
      <c r="A238" s="4"/>
      <c r="B238" s="4"/>
      <c r="R238" t="s">
        <v>244</v>
      </c>
      <c r="S238" s="6">
        <v>40</v>
      </c>
      <c r="T238" t="s">
        <v>245</v>
      </c>
      <c r="U238" t="s">
        <v>351</v>
      </c>
      <c r="V238" t="s">
        <v>250</v>
      </c>
    </row>
    <row r="239" spans="1:22" x14ac:dyDescent="0.25">
      <c r="A239" s="4"/>
      <c r="B239" s="4"/>
      <c r="R239" t="s">
        <v>252</v>
      </c>
      <c r="S239" s="6">
        <v>40</v>
      </c>
      <c r="T239" t="s">
        <v>245</v>
      </c>
      <c r="U239" t="s">
        <v>253</v>
      </c>
    </row>
    <row r="240" spans="1:22" x14ac:dyDescent="0.25">
      <c r="A240" s="4"/>
      <c r="B240" s="4"/>
    </row>
    <row r="241" spans="1:22" ht="19.5" customHeight="1" x14ac:dyDescent="0.25">
      <c r="A241" s="15" t="s">
        <v>289</v>
      </c>
      <c r="B241" s="15"/>
      <c r="C241" s="15"/>
      <c r="D241" s="15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</row>
    <row r="242" spans="1:22" x14ac:dyDescent="0.25">
      <c r="A242" s="2" t="s">
        <v>215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3"/>
      <c r="V242" s="3"/>
    </row>
    <row r="243" spans="1:22" x14ac:dyDescent="0.25">
      <c r="A243" s="19" t="s">
        <v>220</v>
      </c>
      <c r="B243" s="19"/>
      <c r="C243" s="19"/>
      <c r="D243" s="19"/>
    </row>
    <row r="244" spans="1:22" x14ac:dyDescent="0.25">
      <c r="A244" s="19" t="s">
        <v>221</v>
      </c>
      <c r="B244" s="19"/>
      <c r="C244" s="19"/>
      <c r="D244" s="19"/>
    </row>
    <row r="245" spans="1:22" x14ac:dyDescent="0.25">
      <c r="R245" s="5" t="s">
        <v>187</v>
      </c>
      <c r="S245" s="5">
        <v>0</v>
      </c>
      <c r="T245" s="5" t="s">
        <v>228</v>
      </c>
      <c r="U245" s="5" t="s">
        <v>145</v>
      </c>
    </row>
    <row r="246" spans="1:22" x14ac:dyDescent="0.25">
      <c r="R246" s="5" t="s">
        <v>188</v>
      </c>
      <c r="S246" s="5">
        <v>0</v>
      </c>
      <c r="T246" s="5" t="s">
        <v>99</v>
      </c>
      <c r="U246" s="5" t="s">
        <v>145</v>
      </c>
    </row>
    <row r="247" spans="1:22" x14ac:dyDescent="0.25">
      <c r="A247" s="21" t="s">
        <v>195</v>
      </c>
      <c r="B247" s="21"/>
      <c r="C247" s="21"/>
      <c r="D247" s="21"/>
      <c r="R247" s="5"/>
      <c r="S247" s="5"/>
      <c r="T247" s="5"/>
      <c r="U247" s="5"/>
    </row>
    <row r="248" spans="1:22" x14ac:dyDescent="0.25">
      <c r="A248" t="s">
        <v>6</v>
      </c>
      <c r="O248" t="s">
        <v>190</v>
      </c>
      <c r="R248" t="s">
        <v>187</v>
      </c>
      <c r="S248">
        <v>3</v>
      </c>
    </row>
    <row r="249" spans="1:22" x14ac:dyDescent="0.25">
      <c r="A249" t="s">
        <v>6</v>
      </c>
      <c r="O249" t="s">
        <v>191</v>
      </c>
      <c r="R249" t="s">
        <v>187</v>
      </c>
      <c r="S249">
        <v>3</v>
      </c>
    </row>
    <row r="250" spans="1:22" x14ac:dyDescent="0.25">
      <c r="A250" t="s">
        <v>6</v>
      </c>
      <c r="O250" t="s">
        <v>192</v>
      </c>
      <c r="R250" t="s">
        <v>187</v>
      </c>
      <c r="S250">
        <v>3</v>
      </c>
    </row>
    <row r="251" spans="1:22" x14ac:dyDescent="0.25">
      <c r="A251" t="s">
        <v>6</v>
      </c>
      <c r="O251" t="s">
        <v>193</v>
      </c>
      <c r="R251" t="s">
        <v>187</v>
      </c>
      <c r="S251">
        <v>3</v>
      </c>
    </row>
    <row r="252" spans="1:22" x14ac:dyDescent="0.25">
      <c r="A252" t="s">
        <v>6</v>
      </c>
      <c r="O252" t="s">
        <v>190</v>
      </c>
      <c r="R252" t="s">
        <v>188</v>
      </c>
      <c r="S252">
        <v>9</v>
      </c>
    </row>
    <row r="253" spans="1:22" x14ac:dyDescent="0.25">
      <c r="A253" t="s">
        <v>6</v>
      </c>
      <c r="O253" t="s">
        <v>191</v>
      </c>
      <c r="R253" t="s">
        <v>188</v>
      </c>
      <c r="S253">
        <v>4</v>
      </c>
    </row>
    <row r="254" spans="1:22" x14ac:dyDescent="0.25">
      <c r="A254" t="s">
        <v>6</v>
      </c>
      <c r="O254" t="s">
        <v>192</v>
      </c>
      <c r="R254" t="s">
        <v>188</v>
      </c>
      <c r="S254">
        <v>-6</v>
      </c>
    </row>
    <row r="255" spans="1:22" x14ac:dyDescent="0.25">
      <c r="A255" t="s">
        <v>6</v>
      </c>
      <c r="O255" t="s">
        <v>193</v>
      </c>
      <c r="R255" t="s">
        <v>188</v>
      </c>
      <c r="S255">
        <v>-16</v>
      </c>
    </row>
    <row r="256" spans="1:22" x14ac:dyDescent="0.25">
      <c r="A256" t="s">
        <v>24</v>
      </c>
      <c r="O256" t="s">
        <v>190</v>
      </c>
      <c r="R256" t="s">
        <v>187</v>
      </c>
      <c r="S256" s="20">
        <f>S248</f>
        <v>3</v>
      </c>
    </row>
    <row r="257" spans="1:19" x14ac:dyDescent="0.25">
      <c r="A257" t="s">
        <v>24</v>
      </c>
      <c r="O257" t="s">
        <v>191</v>
      </c>
      <c r="R257" t="s">
        <v>187</v>
      </c>
      <c r="S257" s="20">
        <f t="shared" ref="S257:S263" si="4">S249</f>
        <v>3</v>
      </c>
    </row>
    <row r="258" spans="1:19" x14ac:dyDescent="0.25">
      <c r="A258" t="s">
        <v>24</v>
      </c>
      <c r="O258" t="s">
        <v>192</v>
      </c>
      <c r="R258" t="s">
        <v>187</v>
      </c>
      <c r="S258" s="20">
        <f t="shared" si="4"/>
        <v>3</v>
      </c>
    </row>
    <row r="259" spans="1:19" x14ac:dyDescent="0.25">
      <c r="A259" t="s">
        <v>24</v>
      </c>
      <c r="O259" t="s">
        <v>193</v>
      </c>
      <c r="R259" t="s">
        <v>187</v>
      </c>
      <c r="S259" s="20">
        <f t="shared" si="4"/>
        <v>3</v>
      </c>
    </row>
    <row r="260" spans="1:19" x14ac:dyDescent="0.25">
      <c r="A260" t="s">
        <v>24</v>
      </c>
      <c r="O260" t="s">
        <v>190</v>
      </c>
      <c r="R260" t="s">
        <v>188</v>
      </c>
      <c r="S260" s="20">
        <f t="shared" si="4"/>
        <v>9</v>
      </c>
    </row>
    <row r="261" spans="1:19" x14ac:dyDescent="0.25">
      <c r="A261" t="s">
        <v>24</v>
      </c>
      <c r="O261" t="s">
        <v>191</v>
      </c>
      <c r="R261" t="s">
        <v>188</v>
      </c>
      <c r="S261" s="20">
        <f t="shared" si="4"/>
        <v>4</v>
      </c>
    </row>
    <row r="262" spans="1:19" x14ac:dyDescent="0.25">
      <c r="A262" t="s">
        <v>24</v>
      </c>
      <c r="O262" t="s">
        <v>192</v>
      </c>
      <c r="R262" t="s">
        <v>188</v>
      </c>
      <c r="S262" s="20">
        <f t="shared" si="4"/>
        <v>-6</v>
      </c>
    </row>
    <row r="263" spans="1:19" x14ac:dyDescent="0.25">
      <c r="A263" t="s">
        <v>24</v>
      </c>
      <c r="O263" t="s">
        <v>193</v>
      </c>
      <c r="R263" t="s">
        <v>188</v>
      </c>
      <c r="S263" s="20">
        <f t="shared" si="4"/>
        <v>-16</v>
      </c>
    </row>
    <row r="264" spans="1:19" x14ac:dyDescent="0.25">
      <c r="A264" t="s">
        <v>20</v>
      </c>
      <c r="O264" t="s">
        <v>190</v>
      </c>
      <c r="R264" t="s">
        <v>187</v>
      </c>
      <c r="S264" s="20">
        <f>S248</f>
        <v>3</v>
      </c>
    </row>
    <row r="265" spans="1:19" x14ac:dyDescent="0.25">
      <c r="A265" t="s">
        <v>20</v>
      </c>
      <c r="O265" t="s">
        <v>191</v>
      </c>
      <c r="R265" t="s">
        <v>187</v>
      </c>
      <c r="S265" s="20">
        <f t="shared" ref="S265:S271" si="5">S249</f>
        <v>3</v>
      </c>
    </row>
    <row r="266" spans="1:19" x14ac:dyDescent="0.25">
      <c r="A266" t="s">
        <v>20</v>
      </c>
      <c r="O266" t="s">
        <v>192</v>
      </c>
      <c r="R266" t="s">
        <v>187</v>
      </c>
      <c r="S266" s="20">
        <f t="shared" si="5"/>
        <v>3</v>
      </c>
    </row>
    <row r="267" spans="1:19" x14ac:dyDescent="0.25">
      <c r="A267" t="s">
        <v>20</v>
      </c>
      <c r="O267" t="s">
        <v>193</v>
      </c>
      <c r="R267" t="s">
        <v>187</v>
      </c>
      <c r="S267" s="20">
        <f t="shared" si="5"/>
        <v>3</v>
      </c>
    </row>
    <row r="268" spans="1:19" x14ac:dyDescent="0.25">
      <c r="A268" t="s">
        <v>20</v>
      </c>
      <c r="O268" t="s">
        <v>190</v>
      </c>
      <c r="R268" t="s">
        <v>188</v>
      </c>
      <c r="S268" s="20">
        <f t="shared" si="5"/>
        <v>9</v>
      </c>
    </row>
    <row r="269" spans="1:19" x14ac:dyDescent="0.25">
      <c r="A269" t="s">
        <v>20</v>
      </c>
      <c r="O269" t="s">
        <v>191</v>
      </c>
      <c r="R269" t="s">
        <v>188</v>
      </c>
      <c r="S269" s="20">
        <f t="shared" si="5"/>
        <v>4</v>
      </c>
    </row>
    <row r="270" spans="1:19" x14ac:dyDescent="0.25">
      <c r="A270" t="s">
        <v>20</v>
      </c>
      <c r="O270" t="s">
        <v>192</v>
      </c>
      <c r="R270" t="s">
        <v>188</v>
      </c>
      <c r="S270" s="20">
        <f t="shared" si="5"/>
        <v>-6</v>
      </c>
    </row>
    <row r="271" spans="1:19" x14ac:dyDescent="0.25">
      <c r="A271" t="s">
        <v>20</v>
      </c>
      <c r="O271" t="s">
        <v>193</v>
      </c>
      <c r="R271" t="s">
        <v>188</v>
      </c>
      <c r="S271" s="20">
        <f t="shared" si="5"/>
        <v>-16</v>
      </c>
    </row>
    <row r="272" spans="1:19" x14ac:dyDescent="0.25">
      <c r="A272" t="s">
        <v>22</v>
      </c>
      <c r="O272" t="s">
        <v>190</v>
      </c>
      <c r="R272" t="s">
        <v>187</v>
      </c>
      <c r="S272" s="20">
        <f>S248</f>
        <v>3</v>
      </c>
    </row>
    <row r="273" spans="1:19" x14ac:dyDescent="0.25">
      <c r="A273" t="s">
        <v>22</v>
      </c>
      <c r="O273" t="s">
        <v>191</v>
      </c>
      <c r="R273" t="s">
        <v>187</v>
      </c>
      <c r="S273" s="20">
        <f t="shared" ref="S273:S279" si="6">S249</f>
        <v>3</v>
      </c>
    </row>
    <row r="274" spans="1:19" x14ac:dyDescent="0.25">
      <c r="A274" t="s">
        <v>22</v>
      </c>
      <c r="O274" t="s">
        <v>192</v>
      </c>
      <c r="R274" t="s">
        <v>187</v>
      </c>
      <c r="S274" s="20">
        <f t="shared" si="6"/>
        <v>3</v>
      </c>
    </row>
    <row r="275" spans="1:19" x14ac:dyDescent="0.25">
      <c r="A275" t="s">
        <v>22</v>
      </c>
      <c r="O275" t="s">
        <v>193</v>
      </c>
      <c r="R275" t="s">
        <v>187</v>
      </c>
      <c r="S275" s="20">
        <f t="shared" si="6"/>
        <v>3</v>
      </c>
    </row>
    <row r="276" spans="1:19" x14ac:dyDescent="0.25">
      <c r="A276" t="s">
        <v>22</v>
      </c>
      <c r="O276" t="s">
        <v>190</v>
      </c>
      <c r="R276" t="s">
        <v>188</v>
      </c>
      <c r="S276" s="20">
        <f t="shared" si="6"/>
        <v>9</v>
      </c>
    </row>
    <row r="277" spans="1:19" x14ac:dyDescent="0.25">
      <c r="A277" t="s">
        <v>22</v>
      </c>
      <c r="O277" t="s">
        <v>191</v>
      </c>
      <c r="R277" t="s">
        <v>188</v>
      </c>
      <c r="S277" s="20">
        <f t="shared" si="6"/>
        <v>4</v>
      </c>
    </row>
    <row r="278" spans="1:19" x14ac:dyDescent="0.25">
      <c r="A278" t="s">
        <v>22</v>
      </c>
      <c r="O278" t="s">
        <v>192</v>
      </c>
      <c r="R278" t="s">
        <v>188</v>
      </c>
      <c r="S278" s="20">
        <f t="shared" si="6"/>
        <v>-6</v>
      </c>
    </row>
    <row r="279" spans="1:19" x14ac:dyDescent="0.25">
      <c r="A279" t="s">
        <v>22</v>
      </c>
      <c r="O279" t="s">
        <v>193</v>
      </c>
      <c r="R279" t="s">
        <v>188</v>
      </c>
      <c r="S279" s="20">
        <f t="shared" si="6"/>
        <v>-16</v>
      </c>
    </row>
    <row r="281" spans="1:19" x14ac:dyDescent="0.25">
      <c r="A281" s="21" t="s">
        <v>196</v>
      </c>
      <c r="B281" s="21"/>
      <c r="C281" s="21"/>
      <c r="D281" s="21"/>
    </row>
    <row r="282" spans="1:19" x14ac:dyDescent="0.25">
      <c r="A282" t="s">
        <v>13</v>
      </c>
      <c r="O282" t="s">
        <v>190</v>
      </c>
      <c r="R282" t="s">
        <v>187</v>
      </c>
      <c r="S282">
        <v>3</v>
      </c>
    </row>
    <row r="283" spans="1:19" x14ac:dyDescent="0.25">
      <c r="A283" t="s">
        <v>13</v>
      </c>
      <c r="O283" t="s">
        <v>191</v>
      </c>
      <c r="R283" t="s">
        <v>187</v>
      </c>
      <c r="S283">
        <v>3</v>
      </c>
    </row>
    <row r="284" spans="1:19" x14ac:dyDescent="0.25">
      <c r="A284" t="s">
        <v>13</v>
      </c>
      <c r="O284" t="s">
        <v>192</v>
      </c>
      <c r="R284" t="s">
        <v>187</v>
      </c>
      <c r="S284">
        <v>3</v>
      </c>
    </row>
    <row r="285" spans="1:19" x14ac:dyDescent="0.25">
      <c r="A285" t="s">
        <v>13</v>
      </c>
      <c r="O285" t="s">
        <v>193</v>
      </c>
      <c r="R285" t="s">
        <v>187</v>
      </c>
      <c r="S285">
        <v>3</v>
      </c>
    </row>
    <row r="286" spans="1:19" x14ac:dyDescent="0.25">
      <c r="A286" t="s">
        <v>13</v>
      </c>
      <c r="O286" t="s">
        <v>190</v>
      </c>
      <c r="R286" t="s">
        <v>188</v>
      </c>
      <c r="S286">
        <v>10</v>
      </c>
    </row>
    <row r="287" spans="1:19" x14ac:dyDescent="0.25">
      <c r="A287" t="s">
        <v>13</v>
      </c>
      <c r="O287" t="s">
        <v>191</v>
      </c>
      <c r="R287" t="s">
        <v>188</v>
      </c>
      <c r="S287">
        <v>5</v>
      </c>
    </row>
    <row r="288" spans="1:19" x14ac:dyDescent="0.25">
      <c r="A288" t="s">
        <v>13</v>
      </c>
      <c r="O288" t="s">
        <v>192</v>
      </c>
      <c r="R288" t="s">
        <v>188</v>
      </c>
      <c r="S288">
        <v>0</v>
      </c>
    </row>
    <row r="289" spans="1:19" x14ac:dyDescent="0.25">
      <c r="A289" t="s">
        <v>13</v>
      </c>
      <c r="O289" t="s">
        <v>193</v>
      </c>
      <c r="R289" t="s">
        <v>188</v>
      </c>
      <c r="S289">
        <v>-10</v>
      </c>
    </row>
    <row r="290" spans="1:19" x14ac:dyDescent="0.25">
      <c r="A290" t="s">
        <v>14</v>
      </c>
      <c r="O290" t="s">
        <v>190</v>
      </c>
      <c r="R290" t="s">
        <v>187</v>
      </c>
      <c r="S290" s="20">
        <f>S282</f>
        <v>3</v>
      </c>
    </row>
    <row r="291" spans="1:19" x14ac:dyDescent="0.25">
      <c r="A291" t="s">
        <v>14</v>
      </c>
      <c r="O291" t="s">
        <v>191</v>
      </c>
      <c r="R291" t="s">
        <v>187</v>
      </c>
      <c r="S291" s="20">
        <f t="shared" ref="S291:S297" si="7">S283</f>
        <v>3</v>
      </c>
    </row>
    <row r="292" spans="1:19" x14ac:dyDescent="0.25">
      <c r="A292" t="s">
        <v>14</v>
      </c>
      <c r="O292" t="s">
        <v>192</v>
      </c>
      <c r="R292" t="s">
        <v>187</v>
      </c>
      <c r="S292" s="20">
        <f t="shared" si="7"/>
        <v>3</v>
      </c>
    </row>
    <row r="293" spans="1:19" x14ac:dyDescent="0.25">
      <c r="A293" t="s">
        <v>14</v>
      </c>
      <c r="O293" t="s">
        <v>193</v>
      </c>
      <c r="R293" t="s">
        <v>187</v>
      </c>
      <c r="S293" s="20">
        <f t="shared" si="7"/>
        <v>3</v>
      </c>
    </row>
    <row r="294" spans="1:19" x14ac:dyDescent="0.25">
      <c r="A294" t="s">
        <v>14</v>
      </c>
      <c r="O294" t="s">
        <v>190</v>
      </c>
      <c r="R294" t="s">
        <v>188</v>
      </c>
      <c r="S294" s="20">
        <f t="shared" si="7"/>
        <v>10</v>
      </c>
    </row>
    <row r="295" spans="1:19" x14ac:dyDescent="0.25">
      <c r="A295" t="s">
        <v>14</v>
      </c>
      <c r="O295" t="s">
        <v>191</v>
      </c>
      <c r="R295" t="s">
        <v>188</v>
      </c>
      <c r="S295" s="20">
        <f t="shared" si="7"/>
        <v>5</v>
      </c>
    </row>
    <row r="296" spans="1:19" x14ac:dyDescent="0.25">
      <c r="A296" t="s">
        <v>14</v>
      </c>
      <c r="O296" t="s">
        <v>192</v>
      </c>
      <c r="R296" t="s">
        <v>188</v>
      </c>
      <c r="S296" s="20">
        <f t="shared" si="7"/>
        <v>0</v>
      </c>
    </row>
    <row r="297" spans="1:19" x14ac:dyDescent="0.25">
      <c r="A297" t="s">
        <v>14</v>
      </c>
      <c r="O297" t="s">
        <v>193</v>
      </c>
      <c r="R297" t="s">
        <v>188</v>
      </c>
      <c r="S297" s="20">
        <f t="shared" si="7"/>
        <v>-10</v>
      </c>
    </row>
    <row r="298" spans="1:19" x14ac:dyDescent="0.25">
      <c r="A298" t="s">
        <v>18</v>
      </c>
      <c r="O298" t="s">
        <v>190</v>
      </c>
      <c r="R298" t="s">
        <v>187</v>
      </c>
      <c r="S298" s="20">
        <f>S282</f>
        <v>3</v>
      </c>
    </row>
    <row r="299" spans="1:19" x14ac:dyDescent="0.25">
      <c r="A299" t="s">
        <v>18</v>
      </c>
      <c r="O299" t="s">
        <v>191</v>
      </c>
      <c r="R299" t="s">
        <v>187</v>
      </c>
      <c r="S299" s="20">
        <f t="shared" ref="S299:S305" si="8">S283</f>
        <v>3</v>
      </c>
    </row>
    <row r="300" spans="1:19" x14ac:dyDescent="0.25">
      <c r="A300" t="s">
        <v>18</v>
      </c>
      <c r="O300" t="s">
        <v>192</v>
      </c>
      <c r="R300" t="s">
        <v>187</v>
      </c>
      <c r="S300" s="20">
        <f t="shared" si="8"/>
        <v>3</v>
      </c>
    </row>
    <row r="301" spans="1:19" x14ac:dyDescent="0.25">
      <c r="A301" t="s">
        <v>18</v>
      </c>
      <c r="O301" t="s">
        <v>193</v>
      </c>
      <c r="R301" t="s">
        <v>187</v>
      </c>
      <c r="S301" s="20">
        <f t="shared" si="8"/>
        <v>3</v>
      </c>
    </row>
    <row r="302" spans="1:19" x14ac:dyDescent="0.25">
      <c r="A302" t="s">
        <v>18</v>
      </c>
      <c r="O302" t="s">
        <v>190</v>
      </c>
      <c r="R302" t="s">
        <v>188</v>
      </c>
      <c r="S302" s="20">
        <f t="shared" si="8"/>
        <v>10</v>
      </c>
    </row>
    <row r="303" spans="1:19" x14ac:dyDescent="0.25">
      <c r="A303" t="s">
        <v>18</v>
      </c>
      <c r="O303" t="s">
        <v>191</v>
      </c>
      <c r="R303" t="s">
        <v>188</v>
      </c>
      <c r="S303" s="20">
        <f t="shared" si="8"/>
        <v>5</v>
      </c>
    </row>
    <row r="304" spans="1:19" x14ac:dyDescent="0.25">
      <c r="A304" t="s">
        <v>18</v>
      </c>
      <c r="O304" t="s">
        <v>192</v>
      </c>
      <c r="R304" t="s">
        <v>188</v>
      </c>
      <c r="S304" s="20">
        <f t="shared" si="8"/>
        <v>0</v>
      </c>
    </row>
    <row r="305" spans="1:19" x14ac:dyDescent="0.25">
      <c r="A305" t="s">
        <v>18</v>
      </c>
      <c r="O305" t="s">
        <v>193</v>
      </c>
      <c r="R305" t="s">
        <v>188</v>
      </c>
      <c r="S305" s="20">
        <f t="shared" si="8"/>
        <v>-10</v>
      </c>
    </row>
    <row r="306" spans="1:19" s="4" customFormat="1" x14ac:dyDescent="0.25">
      <c r="A306" s="4" t="s">
        <v>258</v>
      </c>
      <c r="O306" s="4" t="s">
        <v>190</v>
      </c>
      <c r="R306" s="4" t="s">
        <v>187</v>
      </c>
      <c r="S306" s="20">
        <f>S282</f>
        <v>3</v>
      </c>
    </row>
    <row r="307" spans="1:19" s="4" customFormat="1" x14ac:dyDescent="0.25">
      <c r="A307" s="4" t="s">
        <v>258</v>
      </c>
      <c r="O307" s="4" t="s">
        <v>191</v>
      </c>
      <c r="R307" s="4" t="s">
        <v>187</v>
      </c>
      <c r="S307" s="20">
        <f t="shared" ref="S307:S313" si="9">S283</f>
        <v>3</v>
      </c>
    </row>
    <row r="308" spans="1:19" s="4" customFormat="1" x14ac:dyDescent="0.25">
      <c r="A308" s="4" t="s">
        <v>258</v>
      </c>
      <c r="O308" s="4" t="s">
        <v>192</v>
      </c>
      <c r="R308" s="4" t="s">
        <v>187</v>
      </c>
      <c r="S308" s="20">
        <f t="shared" si="9"/>
        <v>3</v>
      </c>
    </row>
    <row r="309" spans="1:19" s="4" customFormat="1" x14ac:dyDescent="0.25">
      <c r="A309" s="4" t="s">
        <v>258</v>
      </c>
      <c r="O309" s="4" t="s">
        <v>193</v>
      </c>
      <c r="R309" s="4" t="s">
        <v>187</v>
      </c>
      <c r="S309" s="20">
        <f t="shared" si="9"/>
        <v>3</v>
      </c>
    </row>
    <row r="310" spans="1:19" s="4" customFormat="1" x14ac:dyDescent="0.25">
      <c r="A310" s="4" t="s">
        <v>258</v>
      </c>
      <c r="O310" s="4" t="s">
        <v>190</v>
      </c>
      <c r="R310" s="4" t="s">
        <v>188</v>
      </c>
      <c r="S310" s="20">
        <f t="shared" si="9"/>
        <v>10</v>
      </c>
    </row>
    <row r="311" spans="1:19" s="4" customFormat="1" x14ac:dyDescent="0.25">
      <c r="A311" s="4" t="s">
        <v>258</v>
      </c>
      <c r="O311" s="4" t="s">
        <v>191</v>
      </c>
      <c r="R311" s="4" t="s">
        <v>188</v>
      </c>
      <c r="S311" s="20">
        <f t="shared" si="9"/>
        <v>5</v>
      </c>
    </row>
    <row r="312" spans="1:19" s="4" customFormat="1" x14ac:dyDescent="0.25">
      <c r="A312" s="4" t="s">
        <v>258</v>
      </c>
      <c r="O312" s="4" t="s">
        <v>192</v>
      </c>
      <c r="R312" s="4" t="s">
        <v>188</v>
      </c>
      <c r="S312" s="20">
        <f t="shared" si="9"/>
        <v>0</v>
      </c>
    </row>
    <row r="313" spans="1:19" s="4" customFormat="1" x14ac:dyDescent="0.25">
      <c r="A313" s="4" t="s">
        <v>258</v>
      </c>
      <c r="O313" s="4" t="s">
        <v>193</v>
      </c>
      <c r="R313" s="4" t="s">
        <v>188</v>
      </c>
      <c r="S313" s="20">
        <f t="shared" si="9"/>
        <v>-10</v>
      </c>
    </row>
    <row r="314" spans="1:19" x14ac:dyDescent="0.25">
      <c r="A314" t="s">
        <v>21</v>
      </c>
      <c r="O314" t="s">
        <v>190</v>
      </c>
      <c r="R314" t="s">
        <v>187</v>
      </c>
      <c r="S314" s="20">
        <f t="shared" ref="S314:S321" si="10">S282</f>
        <v>3</v>
      </c>
    </row>
    <row r="315" spans="1:19" x14ac:dyDescent="0.25">
      <c r="A315" t="s">
        <v>21</v>
      </c>
      <c r="O315" t="s">
        <v>191</v>
      </c>
      <c r="R315" t="s">
        <v>187</v>
      </c>
      <c r="S315" s="20">
        <f t="shared" si="10"/>
        <v>3</v>
      </c>
    </row>
    <row r="316" spans="1:19" x14ac:dyDescent="0.25">
      <c r="A316" t="s">
        <v>21</v>
      </c>
      <c r="O316" t="s">
        <v>192</v>
      </c>
      <c r="R316" t="s">
        <v>187</v>
      </c>
      <c r="S316" s="20">
        <f t="shared" si="10"/>
        <v>3</v>
      </c>
    </row>
    <row r="317" spans="1:19" x14ac:dyDescent="0.25">
      <c r="A317" t="s">
        <v>21</v>
      </c>
      <c r="O317" t="s">
        <v>193</v>
      </c>
      <c r="R317" t="s">
        <v>187</v>
      </c>
      <c r="S317" s="20">
        <f t="shared" si="10"/>
        <v>3</v>
      </c>
    </row>
    <row r="318" spans="1:19" x14ac:dyDescent="0.25">
      <c r="A318" t="s">
        <v>21</v>
      </c>
      <c r="O318" t="s">
        <v>190</v>
      </c>
      <c r="R318" t="s">
        <v>188</v>
      </c>
      <c r="S318" s="20">
        <f t="shared" si="10"/>
        <v>10</v>
      </c>
    </row>
    <row r="319" spans="1:19" x14ac:dyDescent="0.25">
      <c r="A319" t="s">
        <v>21</v>
      </c>
      <c r="O319" t="s">
        <v>191</v>
      </c>
      <c r="R319" t="s">
        <v>188</v>
      </c>
      <c r="S319" s="20">
        <f t="shared" si="10"/>
        <v>5</v>
      </c>
    </row>
    <row r="320" spans="1:19" x14ac:dyDescent="0.25">
      <c r="A320" t="s">
        <v>21</v>
      </c>
      <c r="O320" t="s">
        <v>192</v>
      </c>
      <c r="R320" t="s">
        <v>188</v>
      </c>
      <c r="S320" s="20">
        <f t="shared" si="10"/>
        <v>0</v>
      </c>
    </row>
    <row r="321" spans="1:19" x14ac:dyDescent="0.25">
      <c r="A321" t="s">
        <v>21</v>
      </c>
      <c r="O321" t="s">
        <v>193</v>
      </c>
      <c r="R321" t="s">
        <v>188</v>
      </c>
      <c r="S321" s="20">
        <f t="shared" si="10"/>
        <v>-10</v>
      </c>
    </row>
    <row r="322" spans="1:19" x14ac:dyDescent="0.25">
      <c r="A322" t="s">
        <v>26</v>
      </c>
      <c r="O322" t="s">
        <v>190</v>
      </c>
      <c r="R322" t="s">
        <v>187</v>
      </c>
      <c r="S322" s="20">
        <f t="shared" ref="S322:S329" si="11">S282</f>
        <v>3</v>
      </c>
    </row>
    <row r="323" spans="1:19" x14ac:dyDescent="0.25">
      <c r="A323" t="s">
        <v>26</v>
      </c>
      <c r="O323" t="s">
        <v>191</v>
      </c>
      <c r="R323" t="s">
        <v>187</v>
      </c>
      <c r="S323" s="20">
        <f t="shared" si="11"/>
        <v>3</v>
      </c>
    </row>
    <row r="324" spans="1:19" x14ac:dyDescent="0.25">
      <c r="A324" t="s">
        <v>26</v>
      </c>
      <c r="O324" t="s">
        <v>192</v>
      </c>
      <c r="R324" t="s">
        <v>187</v>
      </c>
      <c r="S324" s="20">
        <f t="shared" si="11"/>
        <v>3</v>
      </c>
    </row>
    <row r="325" spans="1:19" x14ac:dyDescent="0.25">
      <c r="A325" t="s">
        <v>26</v>
      </c>
      <c r="O325" t="s">
        <v>193</v>
      </c>
      <c r="R325" t="s">
        <v>187</v>
      </c>
      <c r="S325" s="20">
        <f t="shared" si="11"/>
        <v>3</v>
      </c>
    </row>
    <row r="326" spans="1:19" x14ac:dyDescent="0.25">
      <c r="A326" t="s">
        <v>26</v>
      </c>
      <c r="O326" t="s">
        <v>190</v>
      </c>
      <c r="R326" t="s">
        <v>188</v>
      </c>
      <c r="S326" s="20">
        <f t="shared" si="11"/>
        <v>10</v>
      </c>
    </row>
    <row r="327" spans="1:19" x14ac:dyDescent="0.25">
      <c r="A327" t="s">
        <v>26</v>
      </c>
      <c r="O327" t="s">
        <v>191</v>
      </c>
      <c r="R327" t="s">
        <v>188</v>
      </c>
      <c r="S327" s="20">
        <f t="shared" si="11"/>
        <v>5</v>
      </c>
    </row>
    <row r="328" spans="1:19" x14ac:dyDescent="0.25">
      <c r="A328" t="s">
        <v>26</v>
      </c>
      <c r="O328" t="s">
        <v>192</v>
      </c>
      <c r="R328" t="s">
        <v>188</v>
      </c>
      <c r="S328" s="20">
        <f t="shared" si="11"/>
        <v>0</v>
      </c>
    </row>
    <row r="329" spans="1:19" x14ac:dyDescent="0.25">
      <c r="A329" t="s">
        <v>26</v>
      </c>
      <c r="O329" t="s">
        <v>193</v>
      </c>
      <c r="R329" t="s">
        <v>188</v>
      </c>
      <c r="S329" s="20">
        <f t="shared" si="11"/>
        <v>-10</v>
      </c>
    </row>
    <row r="330" spans="1:19" x14ac:dyDescent="0.25">
      <c r="A330" t="s">
        <v>25</v>
      </c>
      <c r="O330" t="s">
        <v>190</v>
      </c>
      <c r="R330" t="s">
        <v>187</v>
      </c>
      <c r="S330" s="20">
        <f t="shared" ref="S330:S337" si="12">S282</f>
        <v>3</v>
      </c>
    </row>
    <row r="331" spans="1:19" x14ac:dyDescent="0.25">
      <c r="A331" t="s">
        <v>25</v>
      </c>
      <c r="O331" t="s">
        <v>191</v>
      </c>
      <c r="R331" t="s">
        <v>187</v>
      </c>
      <c r="S331" s="20">
        <f t="shared" si="12"/>
        <v>3</v>
      </c>
    </row>
    <row r="332" spans="1:19" x14ac:dyDescent="0.25">
      <c r="A332" t="s">
        <v>25</v>
      </c>
      <c r="O332" t="s">
        <v>192</v>
      </c>
      <c r="R332" t="s">
        <v>187</v>
      </c>
      <c r="S332" s="20">
        <f t="shared" si="12"/>
        <v>3</v>
      </c>
    </row>
    <row r="333" spans="1:19" x14ac:dyDescent="0.25">
      <c r="A333" t="s">
        <v>25</v>
      </c>
      <c r="O333" t="s">
        <v>193</v>
      </c>
      <c r="R333" t="s">
        <v>187</v>
      </c>
      <c r="S333" s="20">
        <f t="shared" si="12"/>
        <v>3</v>
      </c>
    </row>
    <row r="334" spans="1:19" x14ac:dyDescent="0.25">
      <c r="A334" t="s">
        <v>25</v>
      </c>
      <c r="O334" t="s">
        <v>190</v>
      </c>
      <c r="R334" t="s">
        <v>188</v>
      </c>
      <c r="S334" s="20">
        <f t="shared" si="12"/>
        <v>10</v>
      </c>
    </row>
    <row r="335" spans="1:19" x14ac:dyDescent="0.25">
      <c r="A335" t="s">
        <v>25</v>
      </c>
      <c r="O335" t="s">
        <v>191</v>
      </c>
      <c r="R335" t="s">
        <v>188</v>
      </c>
      <c r="S335" s="20">
        <f t="shared" si="12"/>
        <v>5</v>
      </c>
    </row>
    <row r="336" spans="1:19" x14ac:dyDescent="0.25">
      <c r="A336" t="s">
        <v>25</v>
      </c>
      <c r="O336" t="s">
        <v>192</v>
      </c>
      <c r="R336" t="s">
        <v>188</v>
      </c>
      <c r="S336" s="20">
        <f t="shared" si="12"/>
        <v>0</v>
      </c>
    </row>
    <row r="337" spans="1:21" x14ac:dyDescent="0.25">
      <c r="A337" t="s">
        <v>25</v>
      </c>
      <c r="O337" t="s">
        <v>193</v>
      </c>
      <c r="R337" t="s">
        <v>188</v>
      </c>
      <c r="S337" s="20">
        <f t="shared" si="12"/>
        <v>-10</v>
      </c>
    </row>
    <row r="338" spans="1:21" x14ac:dyDescent="0.25">
      <c r="A338" s="4" t="s">
        <v>40</v>
      </c>
      <c r="B338" s="4"/>
      <c r="C338" s="6"/>
      <c r="D338" s="6"/>
      <c r="O338" t="s">
        <v>190</v>
      </c>
      <c r="R338" t="s">
        <v>187</v>
      </c>
      <c r="S338" s="20">
        <f t="shared" ref="S338:S345" si="13">S282</f>
        <v>3</v>
      </c>
      <c r="U338" t="s">
        <v>296</v>
      </c>
    </row>
    <row r="339" spans="1:21" x14ac:dyDescent="0.25">
      <c r="A339" s="4" t="s">
        <v>40</v>
      </c>
      <c r="B339" s="4"/>
      <c r="C339" s="6"/>
      <c r="D339" s="6"/>
      <c r="O339" t="s">
        <v>191</v>
      </c>
      <c r="R339" t="s">
        <v>187</v>
      </c>
      <c r="S339" s="20">
        <f t="shared" si="13"/>
        <v>3</v>
      </c>
    </row>
    <row r="340" spans="1:21" x14ac:dyDescent="0.25">
      <c r="A340" s="4" t="s">
        <v>40</v>
      </c>
      <c r="B340" s="4"/>
      <c r="C340" s="6"/>
      <c r="D340" s="6"/>
      <c r="O340" t="s">
        <v>192</v>
      </c>
      <c r="R340" t="s">
        <v>187</v>
      </c>
      <c r="S340" s="20">
        <f t="shared" si="13"/>
        <v>3</v>
      </c>
    </row>
    <row r="341" spans="1:21" x14ac:dyDescent="0.25">
      <c r="A341" s="4" t="s">
        <v>40</v>
      </c>
      <c r="B341" s="4"/>
      <c r="C341" s="6"/>
      <c r="D341" s="6"/>
      <c r="O341" t="s">
        <v>193</v>
      </c>
      <c r="R341" t="s">
        <v>187</v>
      </c>
      <c r="S341" s="20">
        <f t="shared" si="13"/>
        <v>3</v>
      </c>
    </row>
    <row r="342" spans="1:21" x14ac:dyDescent="0.25">
      <c r="A342" s="4" t="s">
        <v>40</v>
      </c>
      <c r="B342" s="4"/>
      <c r="C342" s="6"/>
      <c r="D342" s="6"/>
      <c r="O342" t="s">
        <v>190</v>
      </c>
      <c r="R342" t="s">
        <v>188</v>
      </c>
      <c r="S342" s="20">
        <f t="shared" si="13"/>
        <v>10</v>
      </c>
    </row>
    <row r="343" spans="1:21" x14ac:dyDescent="0.25">
      <c r="A343" s="4" t="s">
        <v>40</v>
      </c>
      <c r="B343" s="4"/>
      <c r="C343" s="6"/>
      <c r="D343" s="6"/>
      <c r="O343" t="s">
        <v>191</v>
      </c>
      <c r="R343" t="s">
        <v>188</v>
      </c>
      <c r="S343" s="20">
        <f t="shared" si="13"/>
        <v>5</v>
      </c>
    </row>
    <row r="344" spans="1:21" x14ac:dyDescent="0.25">
      <c r="A344" s="4" t="s">
        <v>40</v>
      </c>
      <c r="B344" s="4"/>
      <c r="C344" s="6"/>
      <c r="D344" s="6"/>
      <c r="O344" t="s">
        <v>192</v>
      </c>
      <c r="R344" t="s">
        <v>188</v>
      </c>
      <c r="S344" s="20">
        <f t="shared" si="13"/>
        <v>0</v>
      </c>
    </row>
    <row r="345" spans="1:21" x14ac:dyDescent="0.25">
      <c r="A345" s="4" t="s">
        <v>40</v>
      </c>
      <c r="B345" s="4"/>
      <c r="C345" s="6"/>
      <c r="D345" s="6"/>
      <c r="O345" t="s">
        <v>193</v>
      </c>
      <c r="R345" t="s">
        <v>188</v>
      </c>
      <c r="S345" s="20">
        <f t="shared" si="13"/>
        <v>-10</v>
      </c>
    </row>
    <row r="346" spans="1:21" x14ac:dyDescent="0.25">
      <c r="A346" s="4" t="s">
        <v>41</v>
      </c>
      <c r="B346" s="4"/>
      <c r="C346" s="6"/>
      <c r="D346" s="6"/>
      <c r="O346" t="s">
        <v>190</v>
      </c>
      <c r="R346" t="s">
        <v>187</v>
      </c>
      <c r="S346" s="20">
        <f>S282</f>
        <v>3</v>
      </c>
      <c r="U346" t="s">
        <v>296</v>
      </c>
    </row>
    <row r="347" spans="1:21" x14ac:dyDescent="0.25">
      <c r="A347" s="4" t="s">
        <v>41</v>
      </c>
      <c r="B347" s="4"/>
      <c r="C347" s="6"/>
      <c r="D347" s="6"/>
      <c r="O347" t="s">
        <v>191</v>
      </c>
      <c r="R347" t="s">
        <v>187</v>
      </c>
      <c r="S347" s="20">
        <f t="shared" ref="S347:S353" si="14">S283</f>
        <v>3</v>
      </c>
    </row>
    <row r="348" spans="1:21" x14ac:dyDescent="0.25">
      <c r="A348" s="4" t="s">
        <v>41</v>
      </c>
      <c r="B348" s="4"/>
      <c r="C348" s="6"/>
      <c r="D348" s="6"/>
      <c r="O348" t="s">
        <v>192</v>
      </c>
      <c r="R348" t="s">
        <v>187</v>
      </c>
      <c r="S348" s="20">
        <f t="shared" si="14"/>
        <v>3</v>
      </c>
    </row>
    <row r="349" spans="1:21" x14ac:dyDescent="0.25">
      <c r="A349" s="4" t="s">
        <v>41</v>
      </c>
      <c r="B349" s="4"/>
      <c r="C349" s="6"/>
      <c r="D349" s="6"/>
      <c r="O349" t="s">
        <v>193</v>
      </c>
      <c r="R349" t="s">
        <v>187</v>
      </c>
      <c r="S349" s="20">
        <f t="shared" si="14"/>
        <v>3</v>
      </c>
    </row>
    <row r="350" spans="1:21" x14ac:dyDescent="0.25">
      <c r="A350" s="4" t="s">
        <v>41</v>
      </c>
      <c r="B350" s="4"/>
      <c r="C350" s="6"/>
      <c r="D350" s="6"/>
      <c r="O350" t="s">
        <v>190</v>
      </c>
      <c r="R350" t="s">
        <v>188</v>
      </c>
      <c r="S350" s="20">
        <f t="shared" si="14"/>
        <v>10</v>
      </c>
    </row>
    <row r="351" spans="1:21" x14ac:dyDescent="0.25">
      <c r="A351" s="4" t="s">
        <v>41</v>
      </c>
      <c r="B351" s="4"/>
      <c r="C351" s="6"/>
      <c r="D351" s="6"/>
      <c r="O351" t="s">
        <v>191</v>
      </c>
      <c r="R351" t="s">
        <v>188</v>
      </c>
      <c r="S351" s="20">
        <f t="shared" si="14"/>
        <v>5</v>
      </c>
    </row>
    <row r="352" spans="1:21" x14ac:dyDescent="0.25">
      <c r="A352" s="4" t="s">
        <v>41</v>
      </c>
      <c r="B352" s="4"/>
      <c r="O352" t="s">
        <v>192</v>
      </c>
      <c r="R352" t="s">
        <v>188</v>
      </c>
      <c r="S352" s="20">
        <f t="shared" si="14"/>
        <v>0</v>
      </c>
    </row>
    <row r="353" spans="1:19" x14ac:dyDescent="0.25">
      <c r="A353" s="4" t="s">
        <v>41</v>
      </c>
      <c r="B353" s="4"/>
      <c r="O353" t="s">
        <v>193</v>
      </c>
      <c r="R353" t="s">
        <v>188</v>
      </c>
      <c r="S353" s="20">
        <f t="shared" si="14"/>
        <v>-10</v>
      </c>
    </row>
    <row r="354" spans="1:19" x14ac:dyDescent="0.25">
      <c r="A354" s="21" t="s">
        <v>198</v>
      </c>
      <c r="B354" s="21"/>
      <c r="C354" s="21"/>
      <c r="D354" s="21"/>
    </row>
    <row r="355" spans="1:19" x14ac:dyDescent="0.25">
      <c r="A355" t="s">
        <v>31</v>
      </c>
      <c r="O355" t="s">
        <v>190</v>
      </c>
      <c r="R355" t="s">
        <v>187</v>
      </c>
      <c r="S355">
        <v>7</v>
      </c>
    </row>
    <row r="356" spans="1:19" x14ac:dyDescent="0.25">
      <c r="A356" t="s">
        <v>31</v>
      </c>
      <c r="O356" t="s">
        <v>191</v>
      </c>
      <c r="R356" t="s">
        <v>187</v>
      </c>
      <c r="S356">
        <v>7</v>
      </c>
    </row>
    <row r="357" spans="1:19" x14ac:dyDescent="0.25">
      <c r="A357" t="s">
        <v>31</v>
      </c>
      <c r="O357" t="s">
        <v>192</v>
      </c>
      <c r="R357" t="s">
        <v>187</v>
      </c>
      <c r="S357">
        <v>7</v>
      </c>
    </row>
    <row r="358" spans="1:19" x14ac:dyDescent="0.25">
      <c r="A358" t="s">
        <v>31</v>
      </c>
      <c r="O358" t="s">
        <v>193</v>
      </c>
      <c r="R358" t="s">
        <v>187</v>
      </c>
      <c r="S358">
        <v>7</v>
      </c>
    </row>
    <row r="359" spans="1:19" x14ac:dyDescent="0.25">
      <c r="A359" t="s">
        <v>31</v>
      </c>
      <c r="O359" t="s">
        <v>190</v>
      </c>
      <c r="R359" t="s">
        <v>188</v>
      </c>
      <c r="S359">
        <v>15.5</v>
      </c>
    </row>
    <row r="360" spans="1:19" x14ac:dyDescent="0.25">
      <c r="A360" t="s">
        <v>31</v>
      </c>
      <c r="O360" t="s">
        <v>191</v>
      </c>
      <c r="R360" t="s">
        <v>188</v>
      </c>
      <c r="S360">
        <v>10.5</v>
      </c>
    </row>
    <row r="361" spans="1:19" x14ac:dyDescent="0.25">
      <c r="A361" t="s">
        <v>31</v>
      </c>
      <c r="O361" t="s">
        <v>192</v>
      </c>
      <c r="R361" t="s">
        <v>188</v>
      </c>
      <c r="S361">
        <v>0.5</v>
      </c>
    </row>
    <row r="362" spans="1:19" x14ac:dyDescent="0.25">
      <c r="A362" t="s">
        <v>31</v>
      </c>
      <c r="O362" t="s">
        <v>193</v>
      </c>
      <c r="R362" t="s">
        <v>188</v>
      </c>
      <c r="S362">
        <v>-9.5</v>
      </c>
    </row>
    <row r="363" spans="1:19" x14ac:dyDescent="0.25">
      <c r="A363" t="s">
        <v>32</v>
      </c>
      <c r="O363" t="s">
        <v>190</v>
      </c>
      <c r="R363" t="s">
        <v>187</v>
      </c>
      <c r="S363">
        <v>7</v>
      </c>
    </row>
    <row r="364" spans="1:19" x14ac:dyDescent="0.25">
      <c r="A364" t="s">
        <v>32</v>
      </c>
      <c r="O364" t="s">
        <v>191</v>
      </c>
      <c r="R364" t="s">
        <v>187</v>
      </c>
      <c r="S364">
        <v>7</v>
      </c>
    </row>
    <row r="365" spans="1:19" x14ac:dyDescent="0.25">
      <c r="A365" t="s">
        <v>32</v>
      </c>
      <c r="O365" t="s">
        <v>192</v>
      </c>
      <c r="R365" t="s">
        <v>187</v>
      </c>
      <c r="S365">
        <v>7</v>
      </c>
    </row>
    <row r="366" spans="1:19" x14ac:dyDescent="0.25">
      <c r="A366" t="s">
        <v>32</v>
      </c>
      <c r="O366" t="s">
        <v>193</v>
      </c>
      <c r="R366" t="s">
        <v>187</v>
      </c>
      <c r="S366">
        <v>7</v>
      </c>
    </row>
    <row r="367" spans="1:19" x14ac:dyDescent="0.25">
      <c r="A367" t="s">
        <v>32</v>
      </c>
      <c r="O367" t="s">
        <v>190</v>
      </c>
      <c r="R367" t="s">
        <v>188</v>
      </c>
      <c r="S367">
        <v>16</v>
      </c>
    </row>
    <row r="368" spans="1:19" x14ac:dyDescent="0.25">
      <c r="A368" t="s">
        <v>32</v>
      </c>
      <c r="O368" t="s">
        <v>191</v>
      </c>
      <c r="R368" t="s">
        <v>188</v>
      </c>
      <c r="S368">
        <v>11</v>
      </c>
    </row>
    <row r="369" spans="1:21" x14ac:dyDescent="0.25">
      <c r="A369" t="s">
        <v>32</v>
      </c>
      <c r="O369" t="s">
        <v>192</v>
      </c>
      <c r="R369" t="s">
        <v>188</v>
      </c>
      <c r="S369">
        <v>1</v>
      </c>
    </row>
    <row r="370" spans="1:21" x14ac:dyDescent="0.25">
      <c r="A370" t="s">
        <v>32</v>
      </c>
      <c r="O370" t="s">
        <v>193</v>
      </c>
      <c r="R370" t="s">
        <v>188</v>
      </c>
      <c r="S370">
        <v>-4</v>
      </c>
    </row>
    <row r="372" spans="1:21" x14ac:dyDescent="0.25">
      <c r="A372" s="21" t="s">
        <v>37</v>
      </c>
      <c r="B372" s="21"/>
      <c r="C372" s="21"/>
      <c r="D372" s="21"/>
    </row>
    <row r="373" spans="1:21" x14ac:dyDescent="0.25">
      <c r="A373" t="s">
        <v>37</v>
      </c>
      <c r="O373" t="s">
        <v>190</v>
      </c>
      <c r="R373" t="s">
        <v>187</v>
      </c>
      <c r="S373">
        <v>3</v>
      </c>
    </row>
    <row r="374" spans="1:21" x14ac:dyDescent="0.25">
      <c r="A374" t="s">
        <v>37</v>
      </c>
      <c r="O374" t="s">
        <v>191</v>
      </c>
      <c r="R374" t="s">
        <v>187</v>
      </c>
      <c r="S374">
        <v>3</v>
      </c>
    </row>
    <row r="375" spans="1:21" x14ac:dyDescent="0.25">
      <c r="A375" t="s">
        <v>37</v>
      </c>
      <c r="O375" t="s">
        <v>192</v>
      </c>
      <c r="R375" t="s">
        <v>187</v>
      </c>
      <c r="S375">
        <v>3</v>
      </c>
    </row>
    <row r="376" spans="1:21" x14ac:dyDescent="0.25">
      <c r="A376" t="s">
        <v>37</v>
      </c>
      <c r="O376" t="s">
        <v>190</v>
      </c>
      <c r="R376" t="s">
        <v>188</v>
      </c>
      <c r="S376">
        <v>7</v>
      </c>
    </row>
    <row r="377" spans="1:21" x14ac:dyDescent="0.25">
      <c r="A377" t="s">
        <v>37</v>
      </c>
      <c r="O377" t="s">
        <v>191</v>
      </c>
      <c r="R377" t="s">
        <v>188</v>
      </c>
      <c r="S377">
        <v>-3</v>
      </c>
    </row>
    <row r="378" spans="1:21" x14ac:dyDescent="0.25">
      <c r="A378" t="s">
        <v>37</v>
      </c>
      <c r="O378" t="s">
        <v>192</v>
      </c>
      <c r="R378" t="s">
        <v>188</v>
      </c>
      <c r="S378">
        <v>-8</v>
      </c>
    </row>
    <row r="379" spans="1:21" x14ac:dyDescent="0.25">
      <c r="A379" t="s">
        <v>67</v>
      </c>
      <c r="O379" t="s">
        <v>190</v>
      </c>
      <c r="R379" t="s">
        <v>187</v>
      </c>
      <c r="S379" s="24">
        <f>S373</f>
        <v>3</v>
      </c>
      <c r="U379" t="s">
        <v>295</v>
      </c>
    </row>
    <row r="380" spans="1:21" x14ac:dyDescent="0.25">
      <c r="A380" t="s">
        <v>67</v>
      </c>
      <c r="O380" t="s">
        <v>191</v>
      </c>
      <c r="R380" t="s">
        <v>187</v>
      </c>
      <c r="S380" s="24">
        <f t="shared" ref="S380:S384" si="15">S374</f>
        <v>3</v>
      </c>
    </row>
    <row r="381" spans="1:21" x14ac:dyDescent="0.25">
      <c r="A381" t="s">
        <v>67</v>
      </c>
      <c r="O381" t="s">
        <v>192</v>
      </c>
      <c r="R381" t="s">
        <v>187</v>
      </c>
      <c r="S381" s="24">
        <f t="shared" si="15"/>
        <v>3</v>
      </c>
    </row>
    <row r="382" spans="1:21" x14ac:dyDescent="0.25">
      <c r="A382" t="s">
        <v>67</v>
      </c>
      <c r="O382" t="s">
        <v>190</v>
      </c>
      <c r="R382" t="s">
        <v>188</v>
      </c>
      <c r="S382" s="24">
        <f t="shared" si="15"/>
        <v>7</v>
      </c>
    </row>
    <row r="383" spans="1:21" x14ac:dyDescent="0.25">
      <c r="A383" t="s">
        <v>67</v>
      </c>
      <c r="O383" t="s">
        <v>191</v>
      </c>
      <c r="R383" t="s">
        <v>188</v>
      </c>
      <c r="S383" s="24">
        <f t="shared" si="15"/>
        <v>-3</v>
      </c>
    </row>
    <row r="384" spans="1:21" x14ac:dyDescent="0.25">
      <c r="A384" t="s">
        <v>67</v>
      </c>
      <c r="O384" t="s">
        <v>192</v>
      </c>
      <c r="R384" t="s">
        <v>188</v>
      </c>
      <c r="S384" s="24">
        <f t="shared" si="15"/>
        <v>-8</v>
      </c>
    </row>
    <row r="386" spans="1:19" x14ac:dyDescent="0.25">
      <c r="A386" s="21" t="s">
        <v>199</v>
      </c>
      <c r="B386" s="21"/>
      <c r="C386" s="21"/>
      <c r="D386" s="21"/>
    </row>
    <row r="387" spans="1:19" x14ac:dyDescent="0.25">
      <c r="A387" t="s">
        <v>39</v>
      </c>
      <c r="O387" t="s">
        <v>190</v>
      </c>
      <c r="R387" t="s">
        <v>187</v>
      </c>
      <c r="S387">
        <v>3</v>
      </c>
    </row>
    <row r="388" spans="1:19" x14ac:dyDescent="0.25">
      <c r="A388" t="s">
        <v>39</v>
      </c>
      <c r="O388" t="s">
        <v>191</v>
      </c>
      <c r="R388" t="s">
        <v>187</v>
      </c>
      <c r="S388">
        <v>3</v>
      </c>
    </row>
    <row r="389" spans="1:19" x14ac:dyDescent="0.25">
      <c r="A389" t="s">
        <v>39</v>
      </c>
      <c r="O389" t="s">
        <v>192</v>
      </c>
      <c r="R389" t="s">
        <v>187</v>
      </c>
      <c r="S389">
        <v>3</v>
      </c>
    </row>
    <row r="390" spans="1:19" x14ac:dyDescent="0.25">
      <c r="A390" t="s">
        <v>39</v>
      </c>
      <c r="O390" t="s">
        <v>193</v>
      </c>
      <c r="R390" t="s">
        <v>187</v>
      </c>
      <c r="S390">
        <v>3</v>
      </c>
    </row>
    <row r="391" spans="1:19" x14ac:dyDescent="0.25">
      <c r="A391" t="s">
        <v>39</v>
      </c>
      <c r="O391" t="s">
        <v>194</v>
      </c>
      <c r="R391" t="s">
        <v>187</v>
      </c>
      <c r="S391">
        <v>3</v>
      </c>
    </row>
    <row r="392" spans="1:19" x14ac:dyDescent="0.25">
      <c r="A392" t="s">
        <v>39</v>
      </c>
      <c r="O392" t="s">
        <v>197</v>
      </c>
      <c r="R392" t="s">
        <v>187</v>
      </c>
      <c r="S392">
        <v>3</v>
      </c>
    </row>
    <row r="393" spans="1:19" x14ac:dyDescent="0.25">
      <c r="A393" t="s">
        <v>39</v>
      </c>
      <c r="O393" t="s">
        <v>190</v>
      </c>
      <c r="R393" t="s">
        <v>188</v>
      </c>
      <c r="S393">
        <v>5</v>
      </c>
    </row>
    <row r="394" spans="1:19" x14ac:dyDescent="0.25">
      <c r="A394" t="s">
        <v>39</v>
      </c>
      <c r="O394" t="s">
        <v>191</v>
      </c>
      <c r="R394" t="s">
        <v>188</v>
      </c>
      <c r="S394">
        <v>0</v>
      </c>
    </row>
    <row r="395" spans="1:19" x14ac:dyDescent="0.25">
      <c r="A395" t="s">
        <v>39</v>
      </c>
      <c r="O395" t="s">
        <v>192</v>
      </c>
      <c r="R395" t="s">
        <v>188</v>
      </c>
      <c r="S395">
        <v>-5</v>
      </c>
    </row>
    <row r="396" spans="1:19" x14ac:dyDescent="0.25">
      <c r="A396" t="s">
        <v>39</v>
      </c>
      <c r="O396" t="s">
        <v>193</v>
      </c>
      <c r="R396" t="s">
        <v>188</v>
      </c>
      <c r="S396">
        <v>-10</v>
      </c>
    </row>
    <row r="397" spans="1:19" x14ac:dyDescent="0.25">
      <c r="A397" t="s">
        <v>39</v>
      </c>
      <c r="O397" t="s">
        <v>194</v>
      </c>
      <c r="R397" t="s">
        <v>188</v>
      </c>
      <c r="S397">
        <v>-15</v>
      </c>
    </row>
    <row r="398" spans="1:19" x14ac:dyDescent="0.25">
      <c r="A398" t="s">
        <v>39</v>
      </c>
      <c r="O398" t="s">
        <v>197</v>
      </c>
      <c r="R398" t="s">
        <v>188</v>
      </c>
      <c r="S398">
        <v>-20</v>
      </c>
    </row>
    <row r="400" spans="1:19" x14ac:dyDescent="0.25">
      <c r="A400" s="21" t="s">
        <v>200</v>
      </c>
      <c r="B400" s="21"/>
      <c r="C400" s="21"/>
      <c r="D400" s="21"/>
    </row>
    <row r="401" spans="1:19" x14ac:dyDescent="0.25">
      <c r="A401" t="s">
        <v>33</v>
      </c>
      <c r="O401" t="s">
        <v>190</v>
      </c>
      <c r="R401" t="s">
        <v>187</v>
      </c>
      <c r="S401">
        <v>0.5</v>
      </c>
    </row>
    <row r="402" spans="1:19" x14ac:dyDescent="0.25">
      <c r="A402" t="s">
        <v>33</v>
      </c>
      <c r="O402" t="s">
        <v>191</v>
      </c>
      <c r="R402" t="s">
        <v>187</v>
      </c>
      <c r="S402">
        <v>0.5</v>
      </c>
    </row>
    <row r="403" spans="1:19" x14ac:dyDescent="0.25">
      <c r="A403" t="s">
        <v>33</v>
      </c>
      <c r="O403" t="s">
        <v>192</v>
      </c>
      <c r="R403" t="s">
        <v>187</v>
      </c>
      <c r="S403">
        <v>0.5</v>
      </c>
    </row>
    <row r="404" spans="1:19" x14ac:dyDescent="0.25">
      <c r="A404" t="s">
        <v>33</v>
      </c>
      <c r="O404" t="s">
        <v>193</v>
      </c>
      <c r="R404" t="s">
        <v>187</v>
      </c>
      <c r="S404">
        <v>0.5</v>
      </c>
    </row>
    <row r="405" spans="1:19" x14ac:dyDescent="0.25">
      <c r="A405" t="s">
        <v>33</v>
      </c>
      <c r="O405" t="s">
        <v>194</v>
      </c>
      <c r="R405" t="s">
        <v>187</v>
      </c>
      <c r="S405">
        <v>0.5</v>
      </c>
    </row>
    <row r="406" spans="1:19" x14ac:dyDescent="0.25">
      <c r="A406" t="s">
        <v>33</v>
      </c>
      <c r="O406" t="s">
        <v>197</v>
      </c>
      <c r="R406" t="s">
        <v>187</v>
      </c>
      <c r="S406">
        <v>0.5</v>
      </c>
    </row>
    <row r="407" spans="1:19" x14ac:dyDescent="0.25">
      <c r="A407" t="s">
        <v>33</v>
      </c>
      <c r="O407" t="s">
        <v>190</v>
      </c>
      <c r="R407" t="s">
        <v>188</v>
      </c>
      <c r="S407">
        <v>55</v>
      </c>
    </row>
    <row r="408" spans="1:19" x14ac:dyDescent="0.25">
      <c r="A408" t="s">
        <v>33</v>
      </c>
      <c r="O408" t="s">
        <v>191</v>
      </c>
      <c r="R408" t="s">
        <v>188</v>
      </c>
      <c r="S408">
        <v>35</v>
      </c>
    </row>
    <row r="409" spans="1:19" x14ac:dyDescent="0.25">
      <c r="A409" t="s">
        <v>33</v>
      </c>
      <c r="O409" t="s">
        <v>192</v>
      </c>
      <c r="R409" t="s">
        <v>188</v>
      </c>
      <c r="S409">
        <v>25</v>
      </c>
    </row>
    <row r="410" spans="1:19" x14ac:dyDescent="0.25">
      <c r="A410" t="s">
        <v>33</v>
      </c>
      <c r="O410" t="s">
        <v>193</v>
      </c>
      <c r="R410" t="s">
        <v>188</v>
      </c>
      <c r="S410">
        <v>15</v>
      </c>
    </row>
    <row r="411" spans="1:19" x14ac:dyDescent="0.25">
      <c r="A411" t="s">
        <v>33</v>
      </c>
      <c r="O411" t="s">
        <v>194</v>
      </c>
      <c r="R411" t="s">
        <v>188</v>
      </c>
      <c r="S411">
        <v>0</v>
      </c>
    </row>
    <row r="412" spans="1:19" x14ac:dyDescent="0.25">
      <c r="A412" t="s">
        <v>33</v>
      </c>
      <c r="O412" t="s">
        <v>197</v>
      </c>
      <c r="R412" t="s">
        <v>188</v>
      </c>
      <c r="S412">
        <v>-5</v>
      </c>
    </row>
    <row r="413" spans="1:19" x14ac:dyDescent="0.25">
      <c r="A413" t="s">
        <v>34</v>
      </c>
      <c r="O413" t="s">
        <v>190</v>
      </c>
      <c r="R413" t="s">
        <v>187</v>
      </c>
      <c r="S413" s="20">
        <f>S401</f>
        <v>0.5</v>
      </c>
    </row>
    <row r="414" spans="1:19" x14ac:dyDescent="0.25">
      <c r="A414" t="s">
        <v>34</v>
      </c>
      <c r="O414" t="s">
        <v>191</v>
      </c>
      <c r="R414" t="s">
        <v>187</v>
      </c>
      <c r="S414" s="20">
        <f t="shared" ref="S414:S424" si="16">S402</f>
        <v>0.5</v>
      </c>
    </row>
    <row r="415" spans="1:19" x14ac:dyDescent="0.25">
      <c r="A415" t="s">
        <v>34</v>
      </c>
      <c r="O415" t="s">
        <v>192</v>
      </c>
      <c r="R415" t="s">
        <v>187</v>
      </c>
      <c r="S415" s="20">
        <f t="shared" si="16"/>
        <v>0.5</v>
      </c>
    </row>
    <row r="416" spans="1:19" x14ac:dyDescent="0.25">
      <c r="A416" t="s">
        <v>34</v>
      </c>
      <c r="O416" t="s">
        <v>193</v>
      </c>
      <c r="R416" t="s">
        <v>187</v>
      </c>
      <c r="S416" s="20">
        <f t="shared" si="16"/>
        <v>0.5</v>
      </c>
    </row>
    <row r="417" spans="1:21" x14ac:dyDescent="0.25">
      <c r="A417" t="s">
        <v>34</v>
      </c>
      <c r="O417" t="s">
        <v>194</v>
      </c>
      <c r="R417" t="s">
        <v>187</v>
      </c>
      <c r="S417" s="20">
        <f t="shared" si="16"/>
        <v>0.5</v>
      </c>
    </row>
    <row r="418" spans="1:21" x14ac:dyDescent="0.25">
      <c r="A418" t="s">
        <v>34</v>
      </c>
      <c r="O418" t="s">
        <v>197</v>
      </c>
      <c r="R418" t="s">
        <v>187</v>
      </c>
      <c r="S418" s="20">
        <f t="shared" si="16"/>
        <v>0.5</v>
      </c>
    </row>
    <row r="419" spans="1:21" x14ac:dyDescent="0.25">
      <c r="A419" t="s">
        <v>34</v>
      </c>
      <c r="O419" t="s">
        <v>190</v>
      </c>
      <c r="R419" t="s">
        <v>188</v>
      </c>
      <c r="S419" s="20">
        <f t="shared" si="16"/>
        <v>55</v>
      </c>
    </row>
    <row r="420" spans="1:21" x14ac:dyDescent="0.25">
      <c r="A420" t="s">
        <v>34</v>
      </c>
      <c r="O420" t="s">
        <v>191</v>
      </c>
      <c r="R420" t="s">
        <v>188</v>
      </c>
      <c r="S420" s="20">
        <f t="shared" si="16"/>
        <v>35</v>
      </c>
    </row>
    <row r="421" spans="1:21" x14ac:dyDescent="0.25">
      <c r="A421" t="s">
        <v>34</v>
      </c>
      <c r="O421" t="s">
        <v>192</v>
      </c>
      <c r="R421" t="s">
        <v>188</v>
      </c>
      <c r="S421" s="20">
        <f t="shared" si="16"/>
        <v>25</v>
      </c>
    </row>
    <row r="422" spans="1:21" x14ac:dyDescent="0.25">
      <c r="A422" t="s">
        <v>34</v>
      </c>
      <c r="O422" t="s">
        <v>193</v>
      </c>
      <c r="R422" t="s">
        <v>188</v>
      </c>
      <c r="S422" s="20">
        <f t="shared" si="16"/>
        <v>15</v>
      </c>
    </row>
    <row r="423" spans="1:21" x14ac:dyDescent="0.25">
      <c r="A423" t="s">
        <v>34</v>
      </c>
      <c r="O423" t="s">
        <v>194</v>
      </c>
      <c r="R423" t="s">
        <v>188</v>
      </c>
      <c r="S423" s="20">
        <f t="shared" si="16"/>
        <v>0</v>
      </c>
    </row>
    <row r="424" spans="1:21" x14ac:dyDescent="0.25">
      <c r="A424" t="s">
        <v>34</v>
      </c>
      <c r="O424" t="s">
        <v>197</v>
      </c>
      <c r="R424" t="s">
        <v>188</v>
      </c>
      <c r="S424" s="20">
        <f t="shared" si="16"/>
        <v>-5</v>
      </c>
    </row>
    <row r="426" spans="1:21" x14ac:dyDescent="0.25">
      <c r="A426" s="21" t="s">
        <v>201</v>
      </c>
      <c r="B426" s="21"/>
      <c r="C426" s="21"/>
      <c r="D426" s="21"/>
    </row>
    <row r="427" spans="1:21" x14ac:dyDescent="0.25">
      <c r="A427" t="s">
        <v>27</v>
      </c>
      <c r="O427" t="s">
        <v>190</v>
      </c>
      <c r="R427" t="s">
        <v>188</v>
      </c>
      <c r="S427">
        <v>20</v>
      </c>
    </row>
    <row r="428" spans="1:21" x14ac:dyDescent="0.25">
      <c r="A428" t="s">
        <v>27</v>
      </c>
      <c r="O428" t="s">
        <v>191</v>
      </c>
      <c r="R428" t="s">
        <v>188</v>
      </c>
      <c r="S428">
        <v>15</v>
      </c>
    </row>
    <row r="429" spans="1:21" x14ac:dyDescent="0.25">
      <c r="A429" t="s">
        <v>27</v>
      </c>
      <c r="O429" t="s">
        <v>192</v>
      </c>
      <c r="R429" t="s">
        <v>188</v>
      </c>
      <c r="S429">
        <v>10</v>
      </c>
    </row>
    <row r="430" spans="1:21" s="4" customFormat="1" x14ac:dyDescent="0.25">
      <c r="A430" s="4" t="s">
        <v>259</v>
      </c>
      <c r="O430" s="4" t="s">
        <v>190</v>
      </c>
      <c r="R430" s="4" t="s">
        <v>188</v>
      </c>
      <c r="S430" s="20">
        <f>S427</f>
        <v>20</v>
      </c>
      <c r="U430" s="4" t="s">
        <v>269</v>
      </c>
    </row>
    <row r="431" spans="1:21" s="4" customFormat="1" x14ac:dyDescent="0.25">
      <c r="A431" s="4" t="s">
        <v>259</v>
      </c>
      <c r="O431" s="4" t="s">
        <v>191</v>
      </c>
      <c r="R431" s="4" t="s">
        <v>188</v>
      </c>
      <c r="S431" s="20">
        <f t="shared" ref="S431:S432" si="17">S428</f>
        <v>15</v>
      </c>
    </row>
    <row r="432" spans="1:21" s="4" customFormat="1" x14ac:dyDescent="0.25">
      <c r="A432" s="4" t="s">
        <v>259</v>
      </c>
      <c r="O432" s="4" t="s">
        <v>192</v>
      </c>
      <c r="R432" s="4" t="s">
        <v>188</v>
      </c>
      <c r="S432" s="20">
        <f t="shared" si="17"/>
        <v>10</v>
      </c>
    </row>
    <row r="433" spans="1:22" x14ac:dyDescent="0.25">
      <c r="A433" t="s">
        <v>29</v>
      </c>
      <c r="O433" t="s">
        <v>190</v>
      </c>
      <c r="R433" t="s">
        <v>188</v>
      </c>
      <c r="S433" s="20">
        <f>S427</f>
        <v>20</v>
      </c>
    </row>
    <row r="434" spans="1:22" x14ac:dyDescent="0.25">
      <c r="A434" t="s">
        <v>29</v>
      </c>
      <c r="O434" t="s">
        <v>191</v>
      </c>
      <c r="R434" t="s">
        <v>188</v>
      </c>
      <c r="S434" s="20">
        <f t="shared" ref="S434:S435" si="18">S428</f>
        <v>15</v>
      </c>
    </row>
    <row r="435" spans="1:22" x14ac:dyDescent="0.25">
      <c r="A435" t="s">
        <v>29</v>
      </c>
      <c r="O435" t="s">
        <v>192</v>
      </c>
      <c r="R435" t="s">
        <v>188</v>
      </c>
      <c r="S435" s="20">
        <f t="shared" si="18"/>
        <v>10</v>
      </c>
    </row>
    <row r="436" spans="1:22" x14ac:dyDescent="0.25">
      <c r="A436" t="s">
        <v>35</v>
      </c>
      <c r="O436" t="s">
        <v>190</v>
      </c>
      <c r="R436" t="s">
        <v>188</v>
      </c>
      <c r="S436">
        <v>60</v>
      </c>
    </row>
    <row r="437" spans="1:22" x14ac:dyDescent="0.25">
      <c r="A437" t="s">
        <v>35</v>
      </c>
      <c r="O437" t="s">
        <v>191</v>
      </c>
      <c r="R437" t="s">
        <v>188</v>
      </c>
      <c r="S437">
        <v>45</v>
      </c>
    </row>
    <row r="438" spans="1:22" x14ac:dyDescent="0.25">
      <c r="A438" t="s">
        <v>35</v>
      </c>
      <c r="O438" t="s">
        <v>192</v>
      </c>
      <c r="R438" t="s">
        <v>188</v>
      </c>
      <c r="S438">
        <v>35</v>
      </c>
    </row>
    <row r="439" spans="1:22" x14ac:dyDescent="0.25">
      <c r="A439" t="s">
        <v>35</v>
      </c>
      <c r="O439" t="s">
        <v>193</v>
      </c>
      <c r="R439" t="s">
        <v>188</v>
      </c>
      <c r="S439">
        <v>25</v>
      </c>
    </row>
    <row r="440" spans="1:22" x14ac:dyDescent="0.25">
      <c r="A440" t="s">
        <v>35</v>
      </c>
      <c r="O440" t="s">
        <v>194</v>
      </c>
      <c r="R440" t="s">
        <v>188</v>
      </c>
      <c r="S440">
        <v>10</v>
      </c>
    </row>
    <row r="441" spans="1:22" x14ac:dyDescent="0.25">
      <c r="A441" t="s">
        <v>38</v>
      </c>
      <c r="O441" t="s">
        <v>190</v>
      </c>
      <c r="R441" t="s">
        <v>188</v>
      </c>
      <c r="S441">
        <v>15</v>
      </c>
    </row>
    <row r="442" spans="1:22" x14ac:dyDescent="0.25">
      <c r="A442" t="s">
        <v>38</v>
      </c>
      <c r="O442" t="s">
        <v>191</v>
      </c>
      <c r="R442" t="s">
        <v>188</v>
      </c>
      <c r="S442">
        <v>5</v>
      </c>
    </row>
    <row r="443" spans="1:22" x14ac:dyDescent="0.25">
      <c r="A443" s="4" t="s">
        <v>55</v>
      </c>
      <c r="B443" s="4"/>
      <c r="C443" s="6"/>
      <c r="D443" s="6"/>
      <c r="O443" t="s">
        <v>190</v>
      </c>
      <c r="R443" t="s">
        <v>188</v>
      </c>
      <c r="S443">
        <v>25</v>
      </c>
      <c r="U443" t="s">
        <v>280</v>
      </c>
      <c r="V443" t="s">
        <v>279</v>
      </c>
    </row>
    <row r="444" spans="1:22" x14ac:dyDescent="0.25">
      <c r="A444" s="4" t="s">
        <v>55</v>
      </c>
      <c r="B444" s="4"/>
      <c r="C444" s="6"/>
      <c r="D444" s="6"/>
      <c r="O444" t="s">
        <v>191</v>
      </c>
      <c r="R444" t="s">
        <v>188</v>
      </c>
      <c r="S444">
        <v>25</v>
      </c>
    </row>
    <row r="445" spans="1:22" x14ac:dyDescent="0.25">
      <c r="A445" s="4" t="s">
        <v>55</v>
      </c>
      <c r="B445" s="4"/>
      <c r="C445" s="6"/>
      <c r="D445" s="6"/>
      <c r="O445" t="s">
        <v>192</v>
      </c>
      <c r="R445" t="s">
        <v>188</v>
      </c>
      <c r="S445">
        <v>25</v>
      </c>
    </row>
    <row r="447" spans="1:22" x14ac:dyDescent="0.25">
      <c r="A447" s="21" t="s">
        <v>202</v>
      </c>
      <c r="B447" s="21"/>
      <c r="C447" s="21"/>
      <c r="D447" s="21"/>
    </row>
    <row r="448" spans="1:22" x14ac:dyDescent="0.25">
      <c r="A448" t="s">
        <v>45</v>
      </c>
      <c r="R448" t="s">
        <v>187</v>
      </c>
      <c r="S448">
        <v>0.46200000000000002</v>
      </c>
    </row>
    <row r="449" spans="1:21" x14ac:dyDescent="0.25">
      <c r="A449" t="s">
        <v>45</v>
      </c>
      <c r="R449" t="s">
        <v>188</v>
      </c>
      <c r="S449">
        <v>13.85</v>
      </c>
    </row>
    <row r="450" spans="1:21" x14ac:dyDescent="0.25">
      <c r="A450" s="4" t="s">
        <v>46</v>
      </c>
      <c r="B450" s="4"/>
      <c r="C450" s="6"/>
      <c r="D450" s="6"/>
      <c r="R450" t="s">
        <v>187</v>
      </c>
      <c r="S450" s="20">
        <f>S448</f>
        <v>0.46200000000000002</v>
      </c>
      <c r="U450" t="s">
        <v>232</v>
      </c>
    </row>
    <row r="451" spans="1:21" x14ac:dyDescent="0.25">
      <c r="A451" s="4" t="s">
        <v>46</v>
      </c>
      <c r="B451" s="4"/>
      <c r="C451" s="6"/>
      <c r="D451" s="6"/>
      <c r="R451" t="s">
        <v>188</v>
      </c>
      <c r="S451" s="20">
        <f>S449</f>
        <v>13.85</v>
      </c>
    </row>
    <row r="452" spans="1:21" x14ac:dyDescent="0.25">
      <c r="A452" t="s">
        <v>44</v>
      </c>
      <c r="R452" t="s">
        <v>187</v>
      </c>
      <c r="S452">
        <v>2.5</v>
      </c>
    </row>
    <row r="453" spans="1:21" x14ac:dyDescent="0.25">
      <c r="A453" t="s">
        <v>44</v>
      </c>
      <c r="R453" t="s">
        <v>188</v>
      </c>
      <c r="S453">
        <v>-45</v>
      </c>
    </row>
    <row r="454" spans="1:21" x14ac:dyDescent="0.25">
      <c r="A454" t="s">
        <v>47</v>
      </c>
      <c r="R454" t="s">
        <v>187</v>
      </c>
      <c r="S454">
        <v>2.6669999999999998</v>
      </c>
      <c r="U454" t="s">
        <v>203</v>
      </c>
    </row>
    <row r="455" spans="1:21" x14ac:dyDescent="0.25">
      <c r="A455" t="s">
        <v>47</v>
      </c>
      <c r="R455" t="s">
        <v>188</v>
      </c>
      <c r="S455">
        <v>-33.33</v>
      </c>
    </row>
    <row r="456" spans="1:21" x14ac:dyDescent="0.25">
      <c r="A456" s="4" t="s">
        <v>51</v>
      </c>
      <c r="B456" s="4"/>
      <c r="C456" s="6"/>
      <c r="D456" s="6"/>
      <c r="R456" t="s">
        <v>187</v>
      </c>
      <c r="S456" s="20">
        <f>S454</f>
        <v>2.6669999999999998</v>
      </c>
      <c r="U456" t="s">
        <v>233</v>
      </c>
    </row>
    <row r="457" spans="1:21" x14ac:dyDescent="0.25">
      <c r="A457" s="4" t="s">
        <v>51</v>
      </c>
      <c r="B457" s="4"/>
      <c r="C457" s="6"/>
      <c r="D457" s="6"/>
      <c r="R457" t="s">
        <v>188</v>
      </c>
      <c r="S457" s="20">
        <f>S455</f>
        <v>-33.33</v>
      </c>
    </row>
    <row r="458" spans="1:21" x14ac:dyDescent="0.25">
      <c r="A458" s="4" t="s">
        <v>52</v>
      </c>
      <c r="B458" s="4"/>
      <c r="R458" t="s">
        <v>187</v>
      </c>
      <c r="S458" s="20">
        <f>S456</f>
        <v>2.6669999999999998</v>
      </c>
      <c r="U458" t="s">
        <v>233</v>
      </c>
    </row>
    <row r="459" spans="1:21" x14ac:dyDescent="0.25">
      <c r="A459" s="4" t="s">
        <v>52</v>
      </c>
      <c r="B459" s="4"/>
      <c r="R459" t="s">
        <v>188</v>
      </c>
      <c r="S459" s="20">
        <f>S457</f>
        <v>-33.33</v>
      </c>
    </row>
    <row r="460" spans="1:21" x14ac:dyDescent="0.25">
      <c r="A460" t="s">
        <v>48</v>
      </c>
      <c r="R460" t="s">
        <v>187</v>
      </c>
      <c r="S460">
        <v>0.5</v>
      </c>
    </row>
    <row r="461" spans="1:21" x14ac:dyDescent="0.25">
      <c r="A461" t="s">
        <v>48</v>
      </c>
      <c r="R461" t="s">
        <v>188</v>
      </c>
      <c r="S461">
        <v>15</v>
      </c>
    </row>
    <row r="462" spans="1:21" x14ac:dyDescent="0.25">
      <c r="A462" t="s">
        <v>49</v>
      </c>
      <c r="R462" t="s">
        <v>187</v>
      </c>
      <c r="S462">
        <v>0.66700000000000004</v>
      </c>
    </row>
    <row r="463" spans="1:21" x14ac:dyDescent="0.25">
      <c r="A463" t="s">
        <v>49</v>
      </c>
      <c r="R463" t="s">
        <v>188</v>
      </c>
      <c r="S463">
        <v>-3.33</v>
      </c>
    </row>
    <row r="464" spans="1:21" x14ac:dyDescent="0.25">
      <c r="A464" t="s">
        <v>50</v>
      </c>
      <c r="R464" t="s">
        <v>187</v>
      </c>
      <c r="S464" s="20">
        <f>S462</f>
        <v>0.66700000000000004</v>
      </c>
    </row>
    <row r="465" spans="1:22" x14ac:dyDescent="0.25">
      <c r="A465" t="s">
        <v>50</v>
      </c>
      <c r="R465" t="s">
        <v>188</v>
      </c>
      <c r="S465" s="20">
        <f>S463</f>
        <v>-3.33</v>
      </c>
    </row>
    <row r="467" spans="1:22" x14ac:dyDescent="0.25">
      <c r="A467" t="s">
        <v>66</v>
      </c>
      <c r="R467" t="s">
        <v>188</v>
      </c>
      <c r="S467">
        <v>0</v>
      </c>
      <c r="U467" t="s">
        <v>204</v>
      </c>
    </row>
    <row r="468" spans="1:22" x14ac:dyDescent="0.25">
      <c r="A468" t="s">
        <v>69</v>
      </c>
      <c r="R468" t="s">
        <v>188</v>
      </c>
      <c r="S468">
        <v>0</v>
      </c>
    </row>
    <row r="469" spans="1:22" x14ac:dyDescent="0.25">
      <c r="A469" t="s">
        <v>70</v>
      </c>
      <c r="R469" t="s">
        <v>188</v>
      </c>
      <c r="S469">
        <v>0</v>
      </c>
    </row>
    <row r="470" spans="1:22" x14ac:dyDescent="0.25">
      <c r="A470" t="s">
        <v>42</v>
      </c>
      <c r="R470" t="s">
        <v>188</v>
      </c>
      <c r="S470">
        <v>0</v>
      </c>
    </row>
    <row r="471" spans="1:22" x14ac:dyDescent="0.25">
      <c r="A471" t="s">
        <v>43</v>
      </c>
      <c r="R471" t="s">
        <v>188</v>
      </c>
      <c r="S471">
        <v>0</v>
      </c>
    </row>
    <row r="473" spans="1:22" x14ac:dyDescent="0.25">
      <c r="A473" s="6" t="s">
        <v>28</v>
      </c>
      <c r="B473" s="6"/>
      <c r="C473" s="6"/>
      <c r="D473" s="6"/>
    </row>
    <row r="474" spans="1:22" x14ac:dyDescent="0.25">
      <c r="A474" s="4" t="s">
        <v>30</v>
      </c>
      <c r="B474" s="4"/>
      <c r="C474" s="6"/>
      <c r="D474" s="6"/>
      <c r="R474" t="s">
        <v>188</v>
      </c>
      <c r="S474">
        <v>10</v>
      </c>
      <c r="V474" t="s">
        <v>278</v>
      </c>
    </row>
    <row r="475" spans="1:22" x14ac:dyDescent="0.25">
      <c r="A475" s="4" t="s">
        <v>36</v>
      </c>
      <c r="B475" s="4"/>
      <c r="C475" s="6"/>
      <c r="D475" s="6"/>
      <c r="R475" t="s">
        <v>188</v>
      </c>
      <c r="S475">
        <v>15</v>
      </c>
      <c r="U475" t="s">
        <v>247</v>
      </c>
      <c r="V475" t="s">
        <v>248</v>
      </c>
    </row>
    <row r="476" spans="1:22" x14ac:dyDescent="0.25">
      <c r="A476" s="6" t="s">
        <v>68</v>
      </c>
      <c r="B476" s="6"/>
      <c r="C476" s="6"/>
      <c r="D476" s="6"/>
    </row>
    <row r="477" spans="1:22" x14ac:dyDescent="0.25">
      <c r="A477" s="6" t="s">
        <v>53</v>
      </c>
      <c r="B477" s="6"/>
      <c r="C477" s="6"/>
      <c r="D477" s="6"/>
    </row>
    <row r="478" spans="1:22" x14ac:dyDescent="0.25">
      <c r="A478" s="6" t="s">
        <v>54</v>
      </c>
      <c r="B478" s="6"/>
      <c r="C478" s="6"/>
      <c r="D478" s="6"/>
    </row>
    <row r="479" spans="1:22" x14ac:dyDescent="0.25">
      <c r="A479" s="4" t="s">
        <v>56</v>
      </c>
      <c r="B479" s="4"/>
      <c r="C479" s="6"/>
      <c r="D479" s="6"/>
      <c r="R479" t="s">
        <v>188</v>
      </c>
      <c r="S479">
        <v>15</v>
      </c>
      <c r="V479" s="25" t="s">
        <v>277</v>
      </c>
    </row>
    <row r="480" spans="1:22" x14ac:dyDescent="0.25">
      <c r="A480" s="4" t="s">
        <v>57</v>
      </c>
      <c r="B480" s="4"/>
      <c r="C480" s="6"/>
      <c r="D480" s="6"/>
      <c r="R480" t="s">
        <v>188</v>
      </c>
      <c r="S480" s="24">
        <f>S479</f>
        <v>15</v>
      </c>
      <c r="U480" t="s">
        <v>276</v>
      </c>
    </row>
    <row r="481" spans="1:22" x14ac:dyDescent="0.25">
      <c r="A481" s="4" t="s">
        <v>58</v>
      </c>
      <c r="B481" s="4"/>
      <c r="C481" s="6"/>
      <c r="D481" s="6"/>
      <c r="R481" t="s">
        <v>188</v>
      </c>
      <c r="S481" s="24">
        <f>S479</f>
        <v>15</v>
      </c>
      <c r="U481" t="s">
        <v>276</v>
      </c>
    </row>
    <row r="482" spans="1:22" x14ac:dyDescent="0.25">
      <c r="A482" s="6"/>
      <c r="B482" s="6"/>
      <c r="C482" s="6"/>
      <c r="D482" s="6"/>
    </row>
    <row r="483" spans="1:22" x14ac:dyDescent="0.25">
      <c r="A483" s="4" t="s">
        <v>59</v>
      </c>
      <c r="B483" s="4"/>
      <c r="C483" s="6"/>
      <c r="D483" s="6"/>
      <c r="R483" t="s">
        <v>187</v>
      </c>
      <c r="S483">
        <v>0.6</v>
      </c>
      <c r="V483" t="s">
        <v>298</v>
      </c>
    </row>
    <row r="484" spans="1:22" x14ac:dyDescent="0.25">
      <c r="A484" s="4" t="s">
        <v>60</v>
      </c>
      <c r="B484" s="4"/>
      <c r="C484" s="6"/>
      <c r="D484" s="6"/>
      <c r="R484" t="s">
        <v>187</v>
      </c>
      <c r="S484" s="4">
        <v>1.6</v>
      </c>
      <c r="V484" t="s">
        <v>298</v>
      </c>
    </row>
    <row r="485" spans="1:22" x14ac:dyDescent="0.25">
      <c r="A485" s="4" t="s">
        <v>61</v>
      </c>
      <c r="B485" s="4"/>
      <c r="C485" s="6"/>
      <c r="D485" s="6"/>
      <c r="R485" t="s">
        <v>187</v>
      </c>
      <c r="S485" s="24">
        <f>AVERAGE(S483:S484)</f>
        <v>1.1000000000000001</v>
      </c>
      <c r="U485" s="6" t="s">
        <v>297</v>
      </c>
    </row>
    <row r="486" spans="1:22" x14ac:dyDescent="0.25">
      <c r="A486" s="4" t="s">
        <v>62</v>
      </c>
      <c r="B486" s="4"/>
      <c r="C486" s="6"/>
      <c r="D486" s="6"/>
      <c r="R486" t="s">
        <v>187</v>
      </c>
      <c r="S486" s="24">
        <f>AVERAGE(S483:S484)</f>
        <v>1.1000000000000001</v>
      </c>
    </row>
    <row r="487" spans="1:22" x14ac:dyDescent="0.25">
      <c r="A487" s="4" t="s">
        <v>63</v>
      </c>
      <c r="B487" s="4"/>
      <c r="C487" s="6"/>
      <c r="D487" s="6"/>
      <c r="R487" t="s">
        <v>187</v>
      </c>
      <c r="S487" s="24">
        <f>AVERAGE(S483:S484)</f>
        <v>1.1000000000000001</v>
      </c>
    </row>
    <row r="488" spans="1:22" x14ac:dyDescent="0.25">
      <c r="A488" s="4" t="s">
        <v>64</v>
      </c>
      <c r="B488" s="4"/>
      <c r="C488" s="6"/>
      <c r="D488" s="6"/>
      <c r="R488" t="s">
        <v>187</v>
      </c>
      <c r="S488" s="24">
        <f>AVERAGE(S483:S484)</f>
        <v>1.1000000000000001</v>
      </c>
    </row>
    <row r="489" spans="1:22" x14ac:dyDescent="0.25">
      <c r="A489" s="4" t="s">
        <v>65</v>
      </c>
      <c r="B489" s="4"/>
      <c r="C489" s="6"/>
      <c r="D489" s="6"/>
      <c r="R489" t="s">
        <v>187</v>
      </c>
      <c r="S489" s="24">
        <f>AVERAGE(S483:S484)</f>
        <v>1.1000000000000001</v>
      </c>
    </row>
    <row r="491" spans="1:22" x14ac:dyDescent="0.25">
      <c r="A491" s="2" t="s">
        <v>216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3"/>
      <c r="V491" s="3"/>
    </row>
    <row r="492" spans="1:22" x14ac:dyDescent="0.25">
      <c r="A492" s="18" t="s">
        <v>217</v>
      </c>
      <c r="B492" s="18"/>
      <c r="C492" s="18"/>
      <c r="D492" s="18"/>
    </row>
    <row r="493" spans="1:22" x14ac:dyDescent="0.25">
      <c r="A493" s="18" t="s">
        <v>218</v>
      </c>
      <c r="B493" s="18"/>
      <c r="C493" s="18"/>
      <c r="D493" s="18"/>
    </row>
    <row r="494" spans="1:22" x14ac:dyDescent="0.25">
      <c r="A494" s="18" t="s">
        <v>222</v>
      </c>
      <c r="B494" s="18"/>
      <c r="C494" s="18"/>
      <c r="D494" s="18"/>
    </row>
    <row r="495" spans="1:22" x14ac:dyDescent="0.25">
      <c r="R495" s="5" t="s">
        <v>219</v>
      </c>
      <c r="S495" s="23">
        <v>1</v>
      </c>
      <c r="T495" s="5"/>
      <c r="U495" s="5" t="s">
        <v>145</v>
      </c>
    </row>
    <row r="496" spans="1:22" x14ac:dyDescent="0.25">
      <c r="C496" s="4" t="s">
        <v>224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 t="s">
        <v>219</v>
      </c>
      <c r="S496" s="22">
        <v>1.4</v>
      </c>
      <c r="T496" s="4"/>
      <c r="U496" s="4" t="s">
        <v>225</v>
      </c>
      <c r="V496" s="4"/>
    </row>
    <row r="497" spans="1:22" x14ac:dyDescent="0.25">
      <c r="C497" s="4" t="s">
        <v>231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 t="s">
        <v>219</v>
      </c>
      <c r="S497" s="22">
        <v>1.4</v>
      </c>
      <c r="T497" s="4"/>
      <c r="U497" s="4" t="s">
        <v>225</v>
      </c>
      <c r="V497" s="4"/>
    </row>
    <row r="498" spans="1:22" x14ac:dyDescent="0.25">
      <c r="C498" t="s">
        <v>226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 t="s">
        <v>219</v>
      </c>
      <c r="S498" s="22">
        <v>1.2</v>
      </c>
      <c r="T498" s="4"/>
      <c r="U498" s="4" t="s">
        <v>225</v>
      </c>
      <c r="V498" s="4"/>
    </row>
    <row r="499" spans="1:22" x14ac:dyDescent="0.25">
      <c r="A499" t="s">
        <v>37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 t="s">
        <v>219</v>
      </c>
      <c r="S499" s="22">
        <v>1.25</v>
      </c>
      <c r="T499" s="4"/>
      <c r="U499" s="4" t="s">
        <v>225</v>
      </c>
      <c r="V499" s="4"/>
    </row>
    <row r="500" spans="1:22" x14ac:dyDescent="0.25">
      <c r="A500" s="6"/>
      <c r="B500" s="6"/>
      <c r="C500" s="6"/>
      <c r="D500" s="6"/>
    </row>
    <row r="501" spans="1:22" ht="19.5" customHeight="1" x14ac:dyDescent="0.25">
      <c r="A501" s="15" t="s">
        <v>290</v>
      </c>
      <c r="B501" s="15"/>
      <c r="C501" s="15"/>
      <c r="D501" s="15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</row>
    <row r="502" spans="1:22" x14ac:dyDescent="0.25">
      <c r="A502" s="2" t="s">
        <v>291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3"/>
      <c r="V502" s="3"/>
    </row>
    <row r="503" spans="1:22" x14ac:dyDescent="0.25">
      <c r="A503" s="19" t="s">
        <v>270</v>
      </c>
      <c r="B503" s="19"/>
      <c r="C503" s="19"/>
      <c r="D503" s="19"/>
    </row>
    <row r="504" spans="1:22" x14ac:dyDescent="0.25">
      <c r="A504" s="19" t="s">
        <v>271</v>
      </c>
      <c r="B504" s="19"/>
      <c r="C504" s="19"/>
      <c r="D504" s="19"/>
    </row>
    <row r="505" spans="1:22" x14ac:dyDescent="0.25">
      <c r="R505" s="5" t="s">
        <v>205</v>
      </c>
      <c r="S505" s="5">
        <v>0</v>
      </c>
      <c r="T505" s="5" t="s">
        <v>229</v>
      </c>
      <c r="U505" s="5" t="s">
        <v>145</v>
      </c>
    </row>
    <row r="506" spans="1:22" x14ac:dyDescent="0.25">
      <c r="R506" s="5" t="s">
        <v>206</v>
      </c>
      <c r="S506" s="5">
        <v>0</v>
      </c>
      <c r="T506" s="5" t="s">
        <v>230</v>
      </c>
      <c r="U506" s="5" t="s">
        <v>145</v>
      </c>
    </row>
    <row r="507" spans="1:22" x14ac:dyDescent="0.25">
      <c r="R507" s="5"/>
      <c r="S507" s="5"/>
      <c r="T507" s="5"/>
      <c r="U507" s="5"/>
    </row>
    <row r="508" spans="1:22" x14ac:dyDescent="0.25">
      <c r="A508" s="21" t="s">
        <v>195</v>
      </c>
      <c r="B508" s="21"/>
      <c r="C508" s="21"/>
      <c r="D508" s="21"/>
      <c r="R508" s="5"/>
      <c r="S508" s="5"/>
      <c r="T508" s="5"/>
      <c r="U508" s="5"/>
    </row>
    <row r="509" spans="1:22" x14ac:dyDescent="0.25">
      <c r="A509" t="s">
        <v>6</v>
      </c>
      <c r="P509" t="s">
        <v>190</v>
      </c>
      <c r="R509" t="s">
        <v>205</v>
      </c>
      <c r="S509">
        <v>5</v>
      </c>
    </row>
    <row r="510" spans="1:22" x14ac:dyDescent="0.25">
      <c r="A510" t="s">
        <v>6</v>
      </c>
      <c r="P510" t="s">
        <v>191</v>
      </c>
      <c r="R510" t="s">
        <v>205</v>
      </c>
      <c r="S510" s="4">
        <v>5</v>
      </c>
    </row>
    <row r="511" spans="1:22" x14ac:dyDescent="0.25">
      <c r="A511" t="s">
        <v>6</v>
      </c>
      <c r="P511" t="s">
        <v>192</v>
      </c>
      <c r="R511" t="s">
        <v>205</v>
      </c>
      <c r="S511" s="4">
        <v>5</v>
      </c>
    </row>
    <row r="512" spans="1:22" x14ac:dyDescent="0.25">
      <c r="A512" t="s">
        <v>6</v>
      </c>
      <c r="P512" t="s">
        <v>190</v>
      </c>
      <c r="R512" t="s">
        <v>206</v>
      </c>
      <c r="S512" s="4">
        <v>15</v>
      </c>
    </row>
    <row r="513" spans="1:19" x14ac:dyDescent="0.25">
      <c r="A513" t="s">
        <v>6</v>
      </c>
      <c r="P513" t="s">
        <v>191</v>
      </c>
      <c r="R513" t="s">
        <v>206</v>
      </c>
      <c r="S513" s="4">
        <v>5</v>
      </c>
    </row>
    <row r="514" spans="1:19" x14ac:dyDescent="0.25">
      <c r="A514" t="s">
        <v>6</v>
      </c>
      <c r="P514" t="s">
        <v>192</v>
      </c>
      <c r="R514" t="s">
        <v>206</v>
      </c>
      <c r="S514" s="4">
        <v>-15</v>
      </c>
    </row>
    <row r="515" spans="1:19" x14ac:dyDescent="0.25">
      <c r="A515" t="s">
        <v>24</v>
      </c>
      <c r="P515" t="s">
        <v>190</v>
      </c>
      <c r="R515" t="s">
        <v>205</v>
      </c>
      <c r="S515" s="20">
        <f t="shared" ref="S515:S520" si="19">S509</f>
        <v>5</v>
      </c>
    </row>
    <row r="516" spans="1:19" x14ac:dyDescent="0.25">
      <c r="A516" t="s">
        <v>24</v>
      </c>
      <c r="P516" t="s">
        <v>191</v>
      </c>
      <c r="R516" t="s">
        <v>205</v>
      </c>
      <c r="S516" s="20">
        <f t="shared" si="19"/>
        <v>5</v>
      </c>
    </row>
    <row r="517" spans="1:19" x14ac:dyDescent="0.25">
      <c r="A517" t="s">
        <v>24</v>
      </c>
      <c r="P517" t="s">
        <v>192</v>
      </c>
      <c r="R517" t="s">
        <v>205</v>
      </c>
      <c r="S517" s="20">
        <f t="shared" si="19"/>
        <v>5</v>
      </c>
    </row>
    <row r="518" spans="1:19" x14ac:dyDescent="0.25">
      <c r="A518" t="s">
        <v>24</v>
      </c>
      <c r="P518" t="s">
        <v>190</v>
      </c>
      <c r="R518" t="s">
        <v>206</v>
      </c>
      <c r="S518" s="20">
        <f t="shared" si="19"/>
        <v>15</v>
      </c>
    </row>
    <row r="519" spans="1:19" x14ac:dyDescent="0.25">
      <c r="A519" t="s">
        <v>24</v>
      </c>
      <c r="P519" t="s">
        <v>191</v>
      </c>
      <c r="R519" t="s">
        <v>206</v>
      </c>
      <c r="S519" s="20">
        <f t="shared" si="19"/>
        <v>5</v>
      </c>
    </row>
    <row r="520" spans="1:19" x14ac:dyDescent="0.25">
      <c r="A520" t="s">
        <v>24</v>
      </c>
      <c r="P520" t="s">
        <v>192</v>
      </c>
      <c r="R520" t="s">
        <v>206</v>
      </c>
      <c r="S520" s="20">
        <f t="shared" si="19"/>
        <v>-15</v>
      </c>
    </row>
    <row r="521" spans="1:19" x14ac:dyDescent="0.25">
      <c r="A521" t="s">
        <v>20</v>
      </c>
      <c r="P521" t="s">
        <v>190</v>
      </c>
      <c r="R521" t="s">
        <v>205</v>
      </c>
      <c r="S521" s="20">
        <f t="shared" ref="S521:S526" si="20">S509</f>
        <v>5</v>
      </c>
    </row>
    <row r="522" spans="1:19" x14ac:dyDescent="0.25">
      <c r="A522" t="s">
        <v>20</v>
      </c>
      <c r="P522" t="s">
        <v>191</v>
      </c>
      <c r="R522" t="s">
        <v>205</v>
      </c>
      <c r="S522" s="20">
        <f t="shared" si="20"/>
        <v>5</v>
      </c>
    </row>
    <row r="523" spans="1:19" x14ac:dyDescent="0.25">
      <c r="A523" t="s">
        <v>20</v>
      </c>
      <c r="P523" t="s">
        <v>192</v>
      </c>
      <c r="R523" t="s">
        <v>205</v>
      </c>
      <c r="S523" s="20">
        <f t="shared" si="20"/>
        <v>5</v>
      </c>
    </row>
    <row r="524" spans="1:19" x14ac:dyDescent="0.25">
      <c r="A524" t="s">
        <v>20</v>
      </c>
      <c r="P524" t="s">
        <v>190</v>
      </c>
      <c r="R524" t="s">
        <v>206</v>
      </c>
      <c r="S524" s="20">
        <f t="shared" si="20"/>
        <v>15</v>
      </c>
    </row>
    <row r="525" spans="1:19" x14ac:dyDescent="0.25">
      <c r="A525" t="s">
        <v>20</v>
      </c>
      <c r="P525" t="s">
        <v>191</v>
      </c>
      <c r="R525" t="s">
        <v>206</v>
      </c>
      <c r="S525" s="20">
        <f t="shared" si="20"/>
        <v>5</v>
      </c>
    </row>
    <row r="526" spans="1:19" x14ac:dyDescent="0.25">
      <c r="A526" t="s">
        <v>20</v>
      </c>
      <c r="P526" t="s">
        <v>192</v>
      </c>
      <c r="R526" t="s">
        <v>206</v>
      </c>
      <c r="S526" s="20">
        <f t="shared" si="20"/>
        <v>-15</v>
      </c>
    </row>
    <row r="527" spans="1:19" x14ac:dyDescent="0.25">
      <c r="A527" t="s">
        <v>22</v>
      </c>
      <c r="P527" t="s">
        <v>190</v>
      </c>
      <c r="R527" t="s">
        <v>205</v>
      </c>
      <c r="S527" s="20">
        <f t="shared" ref="S527:S532" si="21">S509</f>
        <v>5</v>
      </c>
    </row>
    <row r="528" spans="1:19" x14ac:dyDescent="0.25">
      <c r="A528" t="s">
        <v>22</v>
      </c>
      <c r="P528" t="s">
        <v>191</v>
      </c>
      <c r="R528" t="s">
        <v>205</v>
      </c>
      <c r="S528" s="20">
        <f t="shared" si="21"/>
        <v>5</v>
      </c>
    </row>
    <row r="529" spans="1:19" x14ac:dyDescent="0.25">
      <c r="A529" t="s">
        <v>22</v>
      </c>
      <c r="P529" t="s">
        <v>192</v>
      </c>
      <c r="R529" t="s">
        <v>205</v>
      </c>
      <c r="S529" s="20">
        <f t="shared" si="21"/>
        <v>5</v>
      </c>
    </row>
    <row r="530" spans="1:19" x14ac:dyDescent="0.25">
      <c r="A530" t="s">
        <v>22</v>
      </c>
      <c r="P530" t="s">
        <v>190</v>
      </c>
      <c r="R530" t="s">
        <v>206</v>
      </c>
      <c r="S530" s="20">
        <f t="shared" si="21"/>
        <v>15</v>
      </c>
    </row>
    <row r="531" spans="1:19" x14ac:dyDescent="0.25">
      <c r="A531" t="s">
        <v>22</v>
      </c>
      <c r="P531" t="s">
        <v>191</v>
      </c>
      <c r="R531" t="s">
        <v>206</v>
      </c>
      <c r="S531" s="20">
        <f t="shared" si="21"/>
        <v>5</v>
      </c>
    </row>
    <row r="532" spans="1:19" x14ac:dyDescent="0.25">
      <c r="A532" t="s">
        <v>22</v>
      </c>
      <c r="P532" t="s">
        <v>192</v>
      </c>
      <c r="R532" t="s">
        <v>206</v>
      </c>
      <c r="S532" s="20">
        <f t="shared" si="21"/>
        <v>-15</v>
      </c>
    </row>
    <row r="534" spans="1:19" x14ac:dyDescent="0.25">
      <c r="A534" s="21" t="s">
        <v>196</v>
      </c>
      <c r="B534" s="21"/>
      <c r="C534" s="21"/>
      <c r="D534" s="21"/>
    </row>
    <row r="535" spans="1:19" x14ac:dyDescent="0.25">
      <c r="A535" t="s">
        <v>13</v>
      </c>
      <c r="P535" t="s">
        <v>190</v>
      </c>
      <c r="R535" t="s">
        <v>205</v>
      </c>
      <c r="S535">
        <v>5</v>
      </c>
    </row>
    <row r="536" spans="1:19" x14ac:dyDescent="0.25">
      <c r="A536" t="s">
        <v>13</v>
      </c>
      <c r="P536" t="s">
        <v>191</v>
      </c>
      <c r="R536" t="s">
        <v>205</v>
      </c>
      <c r="S536">
        <v>5</v>
      </c>
    </row>
    <row r="537" spans="1:19" x14ac:dyDescent="0.25">
      <c r="A537" t="s">
        <v>13</v>
      </c>
      <c r="P537" t="s">
        <v>192</v>
      </c>
      <c r="R537" t="s">
        <v>205</v>
      </c>
      <c r="S537">
        <v>5</v>
      </c>
    </row>
    <row r="538" spans="1:19" x14ac:dyDescent="0.25">
      <c r="A538" t="s">
        <v>13</v>
      </c>
      <c r="P538" t="s">
        <v>190</v>
      </c>
      <c r="R538" t="s">
        <v>206</v>
      </c>
      <c r="S538">
        <v>15</v>
      </c>
    </row>
    <row r="539" spans="1:19" x14ac:dyDescent="0.25">
      <c r="A539" t="s">
        <v>13</v>
      </c>
      <c r="P539" t="s">
        <v>191</v>
      </c>
      <c r="R539" t="s">
        <v>206</v>
      </c>
      <c r="S539">
        <v>5</v>
      </c>
    </row>
    <row r="540" spans="1:19" x14ac:dyDescent="0.25">
      <c r="A540" t="s">
        <v>13</v>
      </c>
      <c r="P540" t="s">
        <v>192</v>
      </c>
      <c r="R540" t="s">
        <v>206</v>
      </c>
      <c r="S540">
        <v>-15</v>
      </c>
    </row>
    <row r="541" spans="1:19" x14ac:dyDescent="0.25">
      <c r="A541" t="s">
        <v>14</v>
      </c>
      <c r="P541" t="s">
        <v>190</v>
      </c>
      <c r="R541" t="s">
        <v>205</v>
      </c>
      <c r="S541" s="20">
        <f t="shared" ref="S541:S546" si="22">S535</f>
        <v>5</v>
      </c>
    </row>
    <row r="542" spans="1:19" x14ac:dyDescent="0.25">
      <c r="A542" t="s">
        <v>14</v>
      </c>
      <c r="P542" t="s">
        <v>191</v>
      </c>
      <c r="R542" t="s">
        <v>205</v>
      </c>
      <c r="S542" s="20">
        <f t="shared" si="22"/>
        <v>5</v>
      </c>
    </row>
    <row r="543" spans="1:19" x14ac:dyDescent="0.25">
      <c r="A543" t="s">
        <v>14</v>
      </c>
      <c r="P543" t="s">
        <v>192</v>
      </c>
      <c r="R543" t="s">
        <v>205</v>
      </c>
      <c r="S543" s="20">
        <f t="shared" si="22"/>
        <v>5</v>
      </c>
    </row>
    <row r="544" spans="1:19" x14ac:dyDescent="0.25">
      <c r="A544" t="s">
        <v>14</v>
      </c>
      <c r="P544" t="s">
        <v>190</v>
      </c>
      <c r="R544" t="s">
        <v>206</v>
      </c>
      <c r="S544" s="20">
        <f t="shared" si="22"/>
        <v>15</v>
      </c>
    </row>
    <row r="545" spans="1:19" x14ac:dyDescent="0.25">
      <c r="A545" t="s">
        <v>14</v>
      </c>
      <c r="P545" t="s">
        <v>191</v>
      </c>
      <c r="R545" t="s">
        <v>206</v>
      </c>
      <c r="S545" s="20">
        <f t="shared" si="22"/>
        <v>5</v>
      </c>
    </row>
    <row r="546" spans="1:19" x14ac:dyDescent="0.25">
      <c r="A546" t="s">
        <v>14</v>
      </c>
      <c r="P546" t="s">
        <v>192</v>
      </c>
      <c r="R546" t="s">
        <v>206</v>
      </c>
      <c r="S546" s="20">
        <f t="shared" si="22"/>
        <v>-15</v>
      </c>
    </row>
    <row r="547" spans="1:19" x14ac:dyDescent="0.25">
      <c r="A547" t="s">
        <v>18</v>
      </c>
      <c r="P547" t="s">
        <v>190</v>
      </c>
      <c r="R547" t="s">
        <v>205</v>
      </c>
      <c r="S547" s="20">
        <f t="shared" ref="S547:S552" si="23">S535</f>
        <v>5</v>
      </c>
    </row>
    <row r="548" spans="1:19" x14ac:dyDescent="0.25">
      <c r="A548" t="s">
        <v>18</v>
      </c>
      <c r="P548" t="s">
        <v>191</v>
      </c>
      <c r="R548" t="s">
        <v>205</v>
      </c>
      <c r="S548" s="20">
        <f t="shared" si="23"/>
        <v>5</v>
      </c>
    </row>
    <row r="549" spans="1:19" x14ac:dyDescent="0.25">
      <c r="A549" t="s">
        <v>18</v>
      </c>
      <c r="P549" t="s">
        <v>192</v>
      </c>
      <c r="R549" t="s">
        <v>205</v>
      </c>
      <c r="S549" s="20">
        <f t="shared" si="23"/>
        <v>5</v>
      </c>
    </row>
    <row r="550" spans="1:19" x14ac:dyDescent="0.25">
      <c r="A550" t="s">
        <v>18</v>
      </c>
      <c r="P550" t="s">
        <v>190</v>
      </c>
      <c r="R550" t="s">
        <v>206</v>
      </c>
      <c r="S550" s="20">
        <f t="shared" si="23"/>
        <v>15</v>
      </c>
    </row>
    <row r="551" spans="1:19" x14ac:dyDescent="0.25">
      <c r="A551" t="s">
        <v>18</v>
      </c>
      <c r="P551" t="s">
        <v>191</v>
      </c>
      <c r="R551" t="s">
        <v>206</v>
      </c>
      <c r="S551" s="20">
        <f t="shared" si="23"/>
        <v>5</v>
      </c>
    </row>
    <row r="552" spans="1:19" x14ac:dyDescent="0.25">
      <c r="A552" t="s">
        <v>18</v>
      </c>
      <c r="P552" t="s">
        <v>192</v>
      </c>
      <c r="R552" t="s">
        <v>206</v>
      </c>
      <c r="S552" s="20">
        <f t="shared" si="23"/>
        <v>-15</v>
      </c>
    </row>
    <row r="553" spans="1:19" s="4" customFormat="1" x14ac:dyDescent="0.25">
      <c r="A553" s="4" t="s">
        <v>258</v>
      </c>
      <c r="P553" t="s">
        <v>190</v>
      </c>
      <c r="R553" s="4" t="s">
        <v>205</v>
      </c>
      <c r="S553" s="20">
        <f t="shared" ref="S553:S558" si="24">S535</f>
        <v>5</v>
      </c>
    </row>
    <row r="554" spans="1:19" s="4" customFormat="1" x14ac:dyDescent="0.25">
      <c r="A554" s="4" t="s">
        <v>258</v>
      </c>
      <c r="P554" t="s">
        <v>191</v>
      </c>
      <c r="R554" s="4" t="s">
        <v>205</v>
      </c>
      <c r="S554" s="20">
        <f t="shared" si="24"/>
        <v>5</v>
      </c>
    </row>
    <row r="555" spans="1:19" s="4" customFormat="1" x14ac:dyDescent="0.25">
      <c r="A555" s="4" t="s">
        <v>258</v>
      </c>
      <c r="P555" t="s">
        <v>192</v>
      </c>
      <c r="R555" s="4" t="s">
        <v>205</v>
      </c>
      <c r="S555" s="20">
        <f t="shared" si="24"/>
        <v>5</v>
      </c>
    </row>
    <row r="556" spans="1:19" s="4" customFormat="1" x14ac:dyDescent="0.25">
      <c r="A556" s="4" t="s">
        <v>258</v>
      </c>
      <c r="P556" t="s">
        <v>190</v>
      </c>
      <c r="R556" s="4" t="s">
        <v>206</v>
      </c>
      <c r="S556" s="20">
        <f t="shared" si="24"/>
        <v>15</v>
      </c>
    </row>
    <row r="557" spans="1:19" s="4" customFormat="1" x14ac:dyDescent="0.25">
      <c r="A557" s="4" t="s">
        <v>258</v>
      </c>
      <c r="P557" t="s">
        <v>191</v>
      </c>
      <c r="R557" s="4" t="s">
        <v>206</v>
      </c>
      <c r="S557" s="20">
        <f t="shared" si="24"/>
        <v>5</v>
      </c>
    </row>
    <row r="558" spans="1:19" s="4" customFormat="1" x14ac:dyDescent="0.25">
      <c r="A558" s="4" t="s">
        <v>258</v>
      </c>
      <c r="P558" t="s">
        <v>192</v>
      </c>
      <c r="R558" s="4" t="s">
        <v>206</v>
      </c>
      <c r="S558" s="20">
        <f t="shared" si="24"/>
        <v>-15</v>
      </c>
    </row>
    <row r="559" spans="1:19" x14ac:dyDescent="0.25">
      <c r="A559" t="s">
        <v>21</v>
      </c>
      <c r="P559" t="s">
        <v>190</v>
      </c>
      <c r="R559" t="s">
        <v>205</v>
      </c>
      <c r="S559" s="20">
        <f t="shared" ref="S559:S564" si="25">S535</f>
        <v>5</v>
      </c>
    </row>
    <row r="560" spans="1:19" x14ac:dyDescent="0.25">
      <c r="A560" t="s">
        <v>21</v>
      </c>
      <c r="P560" t="s">
        <v>191</v>
      </c>
      <c r="R560" t="s">
        <v>205</v>
      </c>
      <c r="S560" s="20">
        <f t="shared" si="25"/>
        <v>5</v>
      </c>
    </row>
    <row r="561" spans="1:19" x14ac:dyDescent="0.25">
      <c r="A561" t="s">
        <v>21</v>
      </c>
      <c r="P561" t="s">
        <v>192</v>
      </c>
      <c r="R561" t="s">
        <v>205</v>
      </c>
      <c r="S561" s="20">
        <f t="shared" si="25"/>
        <v>5</v>
      </c>
    </row>
    <row r="562" spans="1:19" x14ac:dyDescent="0.25">
      <c r="A562" t="s">
        <v>21</v>
      </c>
      <c r="P562" t="s">
        <v>190</v>
      </c>
      <c r="R562" t="s">
        <v>206</v>
      </c>
      <c r="S562" s="20">
        <f t="shared" si="25"/>
        <v>15</v>
      </c>
    </row>
    <row r="563" spans="1:19" x14ac:dyDescent="0.25">
      <c r="A563" t="s">
        <v>21</v>
      </c>
      <c r="P563" t="s">
        <v>191</v>
      </c>
      <c r="R563" t="s">
        <v>206</v>
      </c>
      <c r="S563" s="20">
        <f t="shared" si="25"/>
        <v>5</v>
      </c>
    </row>
    <row r="564" spans="1:19" x14ac:dyDescent="0.25">
      <c r="A564" t="s">
        <v>21</v>
      </c>
      <c r="P564" t="s">
        <v>192</v>
      </c>
      <c r="R564" t="s">
        <v>206</v>
      </c>
      <c r="S564" s="20">
        <f t="shared" si="25"/>
        <v>-15</v>
      </c>
    </row>
    <row r="565" spans="1:19" x14ac:dyDescent="0.25">
      <c r="A565" t="s">
        <v>26</v>
      </c>
      <c r="P565" t="s">
        <v>190</v>
      </c>
      <c r="R565" t="s">
        <v>205</v>
      </c>
      <c r="S565" s="20">
        <f t="shared" ref="S565:S570" si="26">S535</f>
        <v>5</v>
      </c>
    </row>
    <row r="566" spans="1:19" x14ac:dyDescent="0.25">
      <c r="A566" t="s">
        <v>26</v>
      </c>
      <c r="P566" t="s">
        <v>191</v>
      </c>
      <c r="R566" t="s">
        <v>205</v>
      </c>
      <c r="S566" s="20">
        <f t="shared" si="26"/>
        <v>5</v>
      </c>
    </row>
    <row r="567" spans="1:19" x14ac:dyDescent="0.25">
      <c r="A567" t="s">
        <v>26</v>
      </c>
      <c r="P567" t="s">
        <v>192</v>
      </c>
      <c r="R567" t="s">
        <v>205</v>
      </c>
      <c r="S567" s="20">
        <f t="shared" si="26"/>
        <v>5</v>
      </c>
    </row>
    <row r="568" spans="1:19" x14ac:dyDescent="0.25">
      <c r="A568" t="s">
        <v>26</v>
      </c>
      <c r="P568" t="s">
        <v>190</v>
      </c>
      <c r="R568" t="s">
        <v>206</v>
      </c>
      <c r="S568" s="20">
        <f t="shared" si="26"/>
        <v>15</v>
      </c>
    </row>
    <row r="569" spans="1:19" x14ac:dyDescent="0.25">
      <c r="A569" t="s">
        <v>26</v>
      </c>
      <c r="P569" t="s">
        <v>191</v>
      </c>
      <c r="R569" t="s">
        <v>206</v>
      </c>
      <c r="S569" s="20">
        <f t="shared" si="26"/>
        <v>5</v>
      </c>
    </row>
    <row r="570" spans="1:19" x14ac:dyDescent="0.25">
      <c r="A570" t="s">
        <v>26</v>
      </c>
      <c r="P570" t="s">
        <v>192</v>
      </c>
      <c r="R570" t="s">
        <v>206</v>
      </c>
      <c r="S570" s="20">
        <f t="shared" si="26"/>
        <v>-15</v>
      </c>
    </row>
    <row r="571" spans="1:19" x14ac:dyDescent="0.25">
      <c r="A571" t="s">
        <v>25</v>
      </c>
      <c r="P571" t="s">
        <v>190</v>
      </c>
      <c r="R571" t="s">
        <v>205</v>
      </c>
      <c r="S571" s="20">
        <f t="shared" ref="S571:S576" si="27">S535</f>
        <v>5</v>
      </c>
    </row>
    <row r="572" spans="1:19" x14ac:dyDescent="0.25">
      <c r="A572" t="s">
        <v>25</v>
      </c>
      <c r="P572" t="s">
        <v>191</v>
      </c>
      <c r="R572" t="s">
        <v>205</v>
      </c>
      <c r="S572" s="20">
        <f t="shared" si="27"/>
        <v>5</v>
      </c>
    </row>
    <row r="573" spans="1:19" x14ac:dyDescent="0.25">
      <c r="A573" t="s">
        <v>25</v>
      </c>
      <c r="P573" t="s">
        <v>192</v>
      </c>
      <c r="R573" t="s">
        <v>205</v>
      </c>
      <c r="S573" s="20">
        <f t="shared" si="27"/>
        <v>5</v>
      </c>
    </row>
    <row r="574" spans="1:19" x14ac:dyDescent="0.25">
      <c r="A574" t="s">
        <v>25</v>
      </c>
      <c r="P574" t="s">
        <v>190</v>
      </c>
      <c r="R574" t="s">
        <v>206</v>
      </c>
      <c r="S574" s="20">
        <f t="shared" si="27"/>
        <v>15</v>
      </c>
    </row>
    <row r="575" spans="1:19" x14ac:dyDescent="0.25">
      <c r="A575" t="s">
        <v>25</v>
      </c>
      <c r="P575" t="s">
        <v>191</v>
      </c>
      <c r="R575" t="s">
        <v>206</v>
      </c>
      <c r="S575" s="20">
        <f t="shared" si="27"/>
        <v>5</v>
      </c>
    </row>
    <row r="576" spans="1:19" x14ac:dyDescent="0.25">
      <c r="A576" t="s">
        <v>25</v>
      </c>
      <c r="P576" t="s">
        <v>192</v>
      </c>
      <c r="R576" t="s">
        <v>206</v>
      </c>
      <c r="S576" s="20">
        <f t="shared" si="27"/>
        <v>-15</v>
      </c>
    </row>
    <row r="577" spans="1:21" x14ac:dyDescent="0.25">
      <c r="A577" s="4" t="s">
        <v>40</v>
      </c>
      <c r="B577" s="4"/>
      <c r="C577" s="6"/>
      <c r="D577" s="6"/>
      <c r="P577" t="s">
        <v>190</v>
      </c>
      <c r="R577" t="s">
        <v>205</v>
      </c>
      <c r="S577" s="20">
        <f t="shared" ref="S577:S582" si="28">S535</f>
        <v>5</v>
      </c>
      <c r="U577" t="s">
        <v>296</v>
      </c>
    </row>
    <row r="578" spans="1:21" x14ac:dyDescent="0.25">
      <c r="A578" s="4" t="s">
        <v>40</v>
      </c>
      <c r="B578" s="4"/>
      <c r="C578" s="6"/>
      <c r="D578" s="6"/>
      <c r="P578" t="s">
        <v>191</v>
      </c>
      <c r="R578" t="s">
        <v>205</v>
      </c>
      <c r="S578" s="20">
        <f t="shared" si="28"/>
        <v>5</v>
      </c>
    </row>
    <row r="579" spans="1:21" x14ac:dyDescent="0.25">
      <c r="A579" s="4" t="s">
        <v>40</v>
      </c>
      <c r="B579" s="4"/>
      <c r="C579" s="6"/>
      <c r="D579" s="6"/>
      <c r="P579" t="s">
        <v>192</v>
      </c>
      <c r="R579" t="s">
        <v>205</v>
      </c>
      <c r="S579" s="20">
        <f t="shared" si="28"/>
        <v>5</v>
      </c>
    </row>
    <row r="580" spans="1:21" x14ac:dyDescent="0.25">
      <c r="A580" s="4" t="s">
        <v>40</v>
      </c>
      <c r="B580" s="4"/>
      <c r="C580" s="6"/>
      <c r="D580" s="6"/>
      <c r="P580" t="s">
        <v>190</v>
      </c>
      <c r="R580" t="s">
        <v>206</v>
      </c>
      <c r="S580" s="20">
        <f t="shared" si="28"/>
        <v>15</v>
      </c>
    </row>
    <row r="581" spans="1:21" x14ac:dyDescent="0.25">
      <c r="A581" s="4" t="s">
        <v>40</v>
      </c>
      <c r="B581" s="4"/>
      <c r="C581" s="6"/>
      <c r="D581" s="6"/>
      <c r="P581" t="s">
        <v>191</v>
      </c>
      <c r="R581" t="s">
        <v>206</v>
      </c>
      <c r="S581" s="20">
        <f t="shared" si="28"/>
        <v>5</v>
      </c>
    </row>
    <row r="582" spans="1:21" x14ac:dyDescent="0.25">
      <c r="A582" s="4" t="s">
        <v>40</v>
      </c>
      <c r="B582" s="4"/>
      <c r="C582" s="6"/>
      <c r="D582" s="6"/>
      <c r="P582" t="s">
        <v>192</v>
      </c>
      <c r="R582" t="s">
        <v>206</v>
      </c>
      <c r="S582" s="20">
        <f t="shared" si="28"/>
        <v>-15</v>
      </c>
    </row>
    <row r="583" spans="1:21" x14ac:dyDescent="0.25">
      <c r="A583" s="4" t="s">
        <v>41</v>
      </c>
      <c r="B583" s="4"/>
      <c r="C583" s="6"/>
      <c r="D583" s="6"/>
      <c r="P583" t="s">
        <v>190</v>
      </c>
      <c r="R583" t="s">
        <v>205</v>
      </c>
      <c r="S583" s="20">
        <f t="shared" ref="S583:S588" si="29">S535</f>
        <v>5</v>
      </c>
      <c r="U583" t="s">
        <v>296</v>
      </c>
    </row>
    <row r="584" spans="1:21" x14ac:dyDescent="0.25">
      <c r="A584" s="4" t="s">
        <v>41</v>
      </c>
      <c r="B584" s="4"/>
      <c r="C584" s="6"/>
      <c r="D584" s="6"/>
      <c r="P584" t="s">
        <v>191</v>
      </c>
      <c r="R584" t="s">
        <v>205</v>
      </c>
      <c r="S584" s="20">
        <f t="shared" si="29"/>
        <v>5</v>
      </c>
    </row>
    <row r="585" spans="1:21" x14ac:dyDescent="0.25">
      <c r="A585" s="4" t="s">
        <v>41</v>
      </c>
      <c r="B585" s="4"/>
      <c r="C585" s="6"/>
      <c r="D585" s="6"/>
      <c r="P585" t="s">
        <v>192</v>
      </c>
      <c r="R585" t="s">
        <v>205</v>
      </c>
      <c r="S585" s="20">
        <f t="shared" si="29"/>
        <v>5</v>
      </c>
    </row>
    <row r="586" spans="1:21" x14ac:dyDescent="0.25">
      <c r="A586" s="4" t="s">
        <v>41</v>
      </c>
      <c r="B586" s="4"/>
      <c r="C586" s="6"/>
      <c r="D586" s="6"/>
      <c r="P586" t="s">
        <v>190</v>
      </c>
      <c r="R586" t="s">
        <v>206</v>
      </c>
      <c r="S586" s="20">
        <f t="shared" si="29"/>
        <v>15</v>
      </c>
    </row>
    <row r="587" spans="1:21" x14ac:dyDescent="0.25">
      <c r="A587" s="4" t="s">
        <v>41</v>
      </c>
      <c r="B587" s="4"/>
      <c r="C587" s="6"/>
      <c r="D587" s="6"/>
      <c r="P587" t="s">
        <v>191</v>
      </c>
      <c r="R587" t="s">
        <v>206</v>
      </c>
      <c r="S587" s="20">
        <f t="shared" si="29"/>
        <v>5</v>
      </c>
    </row>
    <row r="588" spans="1:21" x14ac:dyDescent="0.25">
      <c r="A588" s="4" t="s">
        <v>41</v>
      </c>
      <c r="B588" s="4"/>
      <c r="P588" t="s">
        <v>192</v>
      </c>
      <c r="R588" t="s">
        <v>206</v>
      </c>
      <c r="S588" s="20">
        <f t="shared" si="29"/>
        <v>-15</v>
      </c>
    </row>
    <row r="589" spans="1:21" x14ac:dyDescent="0.25">
      <c r="A589" s="21" t="s">
        <v>198</v>
      </c>
      <c r="B589" s="21"/>
      <c r="C589" s="21"/>
      <c r="D589" s="21"/>
    </row>
    <row r="590" spans="1:21" x14ac:dyDescent="0.25">
      <c r="A590" t="s">
        <v>31</v>
      </c>
      <c r="P590" t="s">
        <v>190</v>
      </c>
      <c r="R590" t="s">
        <v>205</v>
      </c>
      <c r="S590">
        <v>10</v>
      </c>
    </row>
    <row r="591" spans="1:21" x14ac:dyDescent="0.25">
      <c r="A591" t="s">
        <v>31</v>
      </c>
      <c r="P591" t="s">
        <v>191</v>
      </c>
      <c r="R591" t="s">
        <v>205</v>
      </c>
      <c r="S591">
        <v>10</v>
      </c>
    </row>
    <row r="592" spans="1:21" x14ac:dyDescent="0.25">
      <c r="A592" t="s">
        <v>31</v>
      </c>
      <c r="P592" t="s">
        <v>192</v>
      </c>
      <c r="R592" t="s">
        <v>205</v>
      </c>
      <c r="S592">
        <v>10</v>
      </c>
    </row>
    <row r="593" spans="1:19" x14ac:dyDescent="0.25">
      <c r="A593" t="s">
        <v>31</v>
      </c>
      <c r="P593" t="s">
        <v>193</v>
      </c>
      <c r="R593" t="s">
        <v>205</v>
      </c>
      <c r="S593">
        <v>10</v>
      </c>
    </row>
    <row r="594" spans="1:19" x14ac:dyDescent="0.25">
      <c r="A594" t="s">
        <v>31</v>
      </c>
      <c r="P594" t="s">
        <v>190</v>
      </c>
      <c r="R594" t="s">
        <v>206</v>
      </c>
      <c r="S594">
        <v>20</v>
      </c>
    </row>
    <row r="595" spans="1:19" x14ac:dyDescent="0.25">
      <c r="A595" t="s">
        <v>31</v>
      </c>
      <c r="P595" t="s">
        <v>191</v>
      </c>
      <c r="R595" t="s">
        <v>206</v>
      </c>
      <c r="S595">
        <v>10</v>
      </c>
    </row>
    <row r="596" spans="1:19" x14ac:dyDescent="0.25">
      <c r="A596" t="s">
        <v>31</v>
      </c>
      <c r="P596" t="s">
        <v>192</v>
      </c>
      <c r="R596" t="s">
        <v>206</v>
      </c>
      <c r="S596">
        <v>-10</v>
      </c>
    </row>
    <row r="597" spans="1:19" x14ac:dyDescent="0.25">
      <c r="A597" t="s">
        <v>31</v>
      </c>
      <c r="P597" t="s">
        <v>193</v>
      </c>
      <c r="R597" t="s">
        <v>206</v>
      </c>
      <c r="S597">
        <v>-25</v>
      </c>
    </row>
    <row r="598" spans="1:19" x14ac:dyDescent="0.25">
      <c r="A598" t="s">
        <v>32</v>
      </c>
      <c r="P598" t="s">
        <v>190</v>
      </c>
      <c r="R598" t="s">
        <v>205</v>
      </c>
      <c r="S598">
        <v>10</v>
      </c>
    </row>
    <row r="599" spans="1:19" x14ac:dyDescent="0.25">
      <c r="A599" t="s">
        <v>32</v>
      </c>
      <c r="P599" t="s">
        <v>191</v>
      </c>
      <c r="R599" t="s">
        <v>205</v>
      </c>
      <c r="S599">
        <v>10</v>
      </c>
    </row>
    <row r="600" spans="1:19" x14ac:dyDescent="0.25">
      <c r="A600" t="s">
        <v>32</v>
      </c>
      <c r="P600" t="s">
        <v>192</v>
      </c>
      <c r="R600" t="s">
        <v>205</v>
      </c>
      <c r="S600">
        <v>10</v>
      </c>
    </row>
    <row r="601" spans="1:19" x14ac:dyDescent="0.25">
      <c r="A601" t="s">
        <v>32</v>
      </c>
      <c r="P601" t="s">
        <v>190</v>
      </c>
      <c r="R601" t="s">
        <v>206</v>
      </c>
      <c r="S601">
        <v>20</v>
      </c>
    </row>
    <row r="602" spans="1:19" x14ac:dyDescent="0.25">
      <c r="A602" t="s">
        <v>32</v>
      </c>
      <c r="P602" t="s">
        <v>191</v>
      </c>
      <c r="R602" t="s">
        <v>206</v>
      </c>
      <c r="S602">
        <v>10</v>
      </c>
    </row>
    <row r="603" spans="1:19" x14ac:dyDescent="0.25">
      <c r="A603" t="s">
        <v>32</v>
      </c>
      <c r="P603" t="s">
        <v>192</v>
      </c>
      <c r="R603" t="s">
        <v>206</v>
      </c>
      <c r="S603">
        <v>-10</v>
      </c>
    </row>
    <row r="605" spans="1:19" x14ac:dyDescent="0.25">
      <c r="A605" s="21" t="s">
        <v>37</v>
      </c>
      <c r="B605" s="21"/>
      <c r="C605" s="21"/>
      <c r="D605" s="21"/>
    </row>
    <row r="606" spans="1:19" x14ac:dyDescent="0.25">
      <c r="A606" t="s">
        <v>37</v>
      </c>
      <c r="P606" t="s">
        <v>190</v>
      </c>
      <c r="R606" t="s">
        <v>205</v>
      </c>
      <c r="S606">
        <v>10</v>
      </c>
    </row>
    <row r="607" spans="1:19" x14ac:dyDescent="0.25">
      <c r="A607" t="s">
        <v>37</v>
      </c>
      <c r="P607" t="s">
        <v>191</v>
      </c>
      <c r="R607" t="s">
        <v>205</v>
      </c>
      <c r="S607">
        <v>10</v>
      </c>
    </row>
    <row r="608" spans="1:19" x14ac:dyDescent="0.25">
      <c r="A608" t="s">
        <v>37</v>
      </c>
      <c r="P608" t="s">
        <v>192</v>
      </c>
      <c r="R608" t="s">
        <v>205</v>
      </c>
      <c r="S608">
        <v>10</v>
      </c>
    </row>
    <row r="609" spans="1:21" x14ac:dyDescent="0.25">
      <c r="A609" t="s">
        <v>37</v>
      </c>
      <c r="P609" t="s">
        <v>274</v>
      </c>
      <c r="R609" t="s">
        <v>205</v>
      </c>
      <c r="S609">
        <v>10</v>
      </c>
    </row>
    <row r="610" spans="1:21" x14ac:dyDescent="0.25">
      <c r="A610" t="s">
        <v>37</v>
      </c>
      <c r="P610" t="s">
        <v>190</v>
      </c>
      <c r="R610" t="s">
        <v>206</v>
      </c>
      <c r="S610">
        <v>86.7</v>
      </c>
    </row>
    <row r="611" spans="1:21" x14ac:dyDescent="0.25">
      <c r="A611" t="s">
        <v>37</v>
      </c>
      <c r="P611" t="s">
        <v>191</v>
      </c>
      <c r="R611" t="s">
        <v>206</v>
      </c>
      <c r="S611">
        <v>46.7</v>
      </c>
    </row>
    <row r="612" spans="1:21" x14ac:dyDescent="0.25">
      <c r="A612" t="s">
        <v>37</v>
      </c>
      <c r="P612" t="s">
        <v>192</v>
      </c>
      <c r="R612" t="s">
        <v>206</v>
      </c>
      <c r="S612">
        <v>6.7</v>
      </c>
    </row>
    <row r="613" spans="1:21" x14ac:dyDescent="0.25">
      <c r="A613" t="s">
        <v>37</v>
      </c>
      <c r="P613" t="s">
        <v>274</v>
      </c>
      <c r="R613" t="s">
        <v>206</v>
      </c>
      <c r="S613">
        <v>-26.7</v>
      </c>
    </row>
    <row r="614" spans="1:21" x14ac:dyDescent="0.25">
      <c r="A614" t="s">
        <v>67</v>
      </c>
      <c r="P614" t="s">
        <v>190</v>
      </c>
      <c r="R614" t="s">
        <v>205</v>
      </c>
      <c r="S614" s="24">
        <f>S606</f>
        <v>10</v>
      </c>
      <c r="U614" t="s">
        <v>295</v>
      </c>
    </row>
    <row r="615" spans="1:21" x14ac:dyDescent="0.25">
      <c r="A615" t="s">
        <v>67</v>
      </c>
      <c r="P615" t="s">
        <v>191</v>
      </c>
      <c r="R615" t="s">
        <v>205</v>
      </c>
      <c r="S615" s="24">
        <f t="shared" ref="S615:S621" si="30">S607</f>
        <v>10</v>
      </c>
    </row>
    <row r="616" spans="1:21" x14ac:dyDescent="0.25">
      <c r="A616" t="s">
        <v>67</v>
      </c>
      <c r="P616" t="s">
        <v>192</v>
      </c>
      <c r="R616" t="s">
        <v>205</v>
      </c>
      <c r="S616" s="24">
        <f t="shared" si="30"/>
        <v>10</v>
      </c>
    </row>
    <row r="617" spans="1:21" x14ac:dyDescent="0.25">
      <c r="A617" t="s">
        <v>67</v>
      </c>
      <c r="P617" t="s">
        <v>274</v>
      </c>
      <c r="R617" t="s">
        <v>205</v>
      </c>
      <c r="S617" s="24">
        <f t="shared" si="30"/>
        <v>10</v>
      </c>
    </row>
    <row r="618" spans="1:21" x14ac:dyDescent="0.25">
      <c r="A618" t="s">
        <v>67</v>
      </c>
      <c r="P618" t="s">
        <v>190</v>
      </c>
      <c r="R618" t="s">
        <v>206</v>
      </c>
      <c r="S618" s="24">
        <f t="shared" si="30"/>
        <v>86.7</v>
      </c>
    </row>
    <row r="619" spans="1:21" x14ac:dyDescent="0.25">
      <c r="A619" t="s">
        <v>67</v>
      </c>
      <c r="P619" t="s">
        <v>191</v>
      </c>
      <c r="R619" t="s">
        <v>206</v>
      </c>
      <c r="S619" s="24">
        <f t="shared" si="30"/>
        <v>46.7</v>
      </c>
    </row>
    <row r="620" spans="1:21" x14ac:dyDescent="0.25">
      <c r="A620" t="s">
        <v>67</v>
      </c>
      <c r="P620" t="s">
        <v>192</v>
      </c>
      <c r="R620" t="s">
        <v>206</v>
      </c>
      <c r="S620" s="24">
        <f t="shared" si="30"/>
        <v>6.7</v>
      </c>
    </row>
    <row r="621" spans="1:21" x14ac:dyDescent="0.25">
      <c r="A621" t="s">
        <v>67</v>
      </c>
      <c r="P621" t="s">
        <v>274</v>
      </c>
      <c r="R621" t="s">
        <v>206</v>
      </c>
      <c r="S621" s="24">
        <f t="shared" si="30"/>
        <v>-26.7</v>
      </c>
    </row>
    <row r="623" spans="1:21" x14ac:dyDescent="0.25">
      <c r="A623" s="21" t="s">
        <v>199</v>
      </c>
      <c r="B623" s="21"/>
      <c r="C623" s="21"/>
      <c r="D623" s="21"/>
    </row>
    <row r="624" spans="1:21" x14ac:dyDescent="0.25">
      <c r="A624" t="s">
        <v>39</v>
      </c>
      <c r="P624" t="s">
        <v>190</v>
      </c>
      <c r="R624" t="s">
        <v>205</v>
      </c>
      <c r="S624">
        <v>6.9</v>
      </c>
    </row>
    <row r="625" spans="1:19" x14ac:dyDescent="0.25">
      <c r="A625" t="s">
        <v>39</v>
      </c>
      <c r="P625" t="s">
        <v>191</v>
      </c>
      <c r="R625" t="s">
        <v>205</v>
      </c>
      <c r="S625">
        <v>9.6</v>
      </c>
    </row>
    <row r="626" spans="1:19" x14ac:dyDescent="0.25">
      <c r="A626" t="s">
        <v>39</v>
      </c>
      <c r="P626" t="s">
        <v>192</v>
      </c>
      <c r="R626" t="s">
        <v>205</v>
      </c>
      <c r="S626">
        <v>10</v>
      </c>
    </row>
    <row r="627" spans="1:19" x14ac:dyDescent="0.25">
      <c r="A627" t="s">
        <v>39</v>
      </c>
      <c r="P627" t="s">
        <v>274</v>
      </c>
      <c r="R627" t="s">
        <v>205</v>
      </c>
      <c r="S627">
        <v>10</v>
      </c>
    </row>
    <row r="628" spans="1:19" x14ac:dyDescent="0.25">
      <c r="A628" t="s">
        <v>39</v>
      </c>
      <c r="P628" t="s">
        <v>190</v>
      </c>
      <c r="R628" t="s">
        <v>206</v>
      </c>
      <c r="S628">
        <v>68.400000000000006</v>
      </c>
    </row>
    <row r="629" spans="1:19" x14ac:dyDescent="0.25">
      <c r="A629" t="s">
        <v>39</v>
      </c>
      <c r="P629" t="s">
        <v>191</v>
      </c>
      <c r="R629" t="s">
        <v>206</v>
      </c>
      <c r="S629">
        <v>22.4</v>
      </c>
    </row>
    <row r="630" spans="1:19" x14ac:dyDescent="0.25">
      <c r="A630" t="s">
        <v>39</v>
      </c>
      <c r="P630" t="s">
        <v>192</v>
      </c>
      <c r="R630" t="s">
        <v>206</v>
      </c>
      <c r="S630">
        <v>-20</v>
      </c>
    </row>
    <row r="631" spans="1:19" x14ac:dyDescent="0.25">
      <c r="A631" t="s">
        <v>39</v>
      </c>
      <c r="P631" t="s">
        <v>274</v>
      </c>
      <c r="R631" t="s">
        <v>206</v>
      </c>
      <c r="S631">
        <v>-50</v>
      </c>
    </row>
    <row r="633" spans="1:19" x14ac:dyDescent="0.25">
      <c r="A633" s="21" t="s">
        <v>200</v>
      </c>
      <c r="B633" s="21"/>
      <c r="C633" s="21"/>
      <c r="D633" s="21"/>
    </row>
    <row r="634" spans="1:19" x14ac:dyDescent="0.25">
      <c r="A634" t="s">
        <v>33</v>
      </c>
      <c r="P634" t="s">
        <v>190</v>
      </c>
      <c r="R634" t="s">
        <v>205</v>
      </c>
      <c r="S634">
        <v>4</v>
      </c>
    </row>
    <row r="635" spans="1:19" x14ac:dyDescent="0.25">
      <c r="A635" t="s">
        <v>33</v>
      </c>
      <c r="P635" t="s">
        <v>191</v>
      </c>
      <c r="R635" t="s">
        <v>205</v>
      </c>
      <c r="S635">
        <v>4</v>
      </c>
    </row>
    <row r="636" spans="1:19" x14ac:dyDescent="0.25">
      <c r="A636" t="s">
        <v>33</v>
      </c>
      <c r="P636" t="s">
        <v>192</v>
      </c>
      <c r="R636" t="s">
        <v>205</v>
      </c>
      <c r="S636">
        <v>4</v>
      </c>
    </row>
    <row r="637" spans="1:19" x14ac:dyDescent="0.25">
      <c r="A637" t="s">
        <v>33</v>
      </c>
      <c r="P637" t="s">
        <v>274</v>
      </c>
      <c r="R637" t="s">
        <v>205</v>
      </c>
      <c r="S637">
        <v>4</v>
      </c>
    </row>
    <row r="638" spans="1:19" x14ac:dyDescent="0.25">
      <c r="A638" t="s">
        <v>33</v>
      </c>
      <c r="P638" t="s">
        <v>190</v>
      </c>
      <c r="R638" t="s">
        <v>206</v>
      </c>
      <c r="S638">
        <v>140</v>
      </c>
    </row>
    <row r="639" spans="1:19" x14ac:dyDescent="0.25">
      <c r="A639" t="s">
        <v>33</v>
      </c>
      <c r="P639" t="s">
        <v>191</v>
      </c>
      <c r="R639" t="s">
        <v>206</v>
      </c>
      <c r="S639">
        <v>90</v>
      </c>
    </row>
    <row r="640" spans="1:19" x14ac:dyDescent="0.25">
      <c r="A640" t="s">
        <v>33</v>
      </c>
      <c r="P640" t="s">
        <v>192</v>
      </c>
      <c r="R640" t="s">
        <v>206</v>
      </c>
      <c r="S640">
        <v>40</v>
      </c>
    </row>
    <row r="641" spans="1:21" x14ac:dyDescent="0.25">
      <c r="A641" t="s">
        <v>33</v>
      </c>
      <c r="P641" t="s">
        <v>274</v>
      </c>
      <c r="R641" t="s">
        <v>206</v>
      </c>
      <c r="S641">
        <v>-10</v>
      </c>
    </row>
    <row r="642" spans="1:21" x14ac:dyDescent="0.25">
      <c r="A642" t="s">
        <v>34</v>
      </c>
      <c r="P642" t="s">
        <v>190</v>
      </c>
      <c r="R642" t="s">
        <v>205</v>
      </c>
      <c r="S642" s="20">
        <f t="shared" ref="S642:S649" si="31">S634</f>
        <v>4</v>
      </c>
    </row>
    <row r="643" spans="1:21" x14ac:dyDescent="0.25">
      <c r="A643" t="s">
        <v>34</v>
      </c>
      <c r="P643" t="s">
        <v>191</v>
      </c>
      <c r="R643" t="s">
        <v>205</v>
      </c>
      <c r="S643" s="20">
        <f t="shared" si="31"/>
        <v>4</v>
      </c>
    </row>
    <row r="644" spans="1:21" x14ac:dyDescent="0.25">
      <c r="A644" t="s">
        <v>34</v>
      </c>
      <c r="P644" t="s">
        <v>192</v>
      </c>
      <c r="R644" t="s">
        <v>205</v>
      </c>
      <c r="S644" s="20">
        <f t="shared" si="31"/>
        <v>4</v>
      </c>
    </row>
    <row r="645" spans="1:21" x14ac:dyDescent="0.25">
      <c r="A645" t="s">
        <v>34</v>
      </c>
      <c r="P645" t="s">
        <v>274</v>
      </c>
      <c r="R645" t="s">
        <v>205</v>
      </c>
      <c r="S645" s="20">
        <f t="shared" si="31"/>
        <v>4</v>
      </c>
    </row>
    <row r="646" spans="1:21" x14ac:dyDescent="0.25">
      <c r="A646" t="s">
        <v>34</v>
      </c>
      <c r="P646" t="s">
        <v>190</v>
      </c>
      <c r="R646" t="s">
        <v>206</v>
      </c>
      <c r="S646" s="20">
        <f t="shared" si="31"/>
        <v>140</v>
      </c>
    </row>
    <row r="647" spans="1:21" x14ac:dyDescent="0.25">
      <c r="A647" t="s">
        <v>34</v>
      </c>
      <c r="P647" t="s">
        <v>191</v>
      </c>
      <c r="R647" t="s">
        <v>206</v>
      </c>
      <c r="S647" s="20">
        <f t="shared" si="31"/>
        <v>90</v>
      </c>
    </row>
    <row r="648" spans="1:21" x14ac:dyDescent="0.25">
      <c r="A648" t="s">
        <v>34</v>
      </c>
      <c r="P648" t="s">
        <v>192</v>
      </c>
      <c r="R648" t="s">
        <v>206</v>
      </c>
      <c r="S648" s="20">
        <f t="shared" si="31"/>
        <v>40</v>
      </c>
    </row>
    <row r="649" spans="1:21" x14ac:dyDescent="0.25">
      <c r="A649" t="s">
        <v>34</v>
      </c>
      <c r="P649" t="s">
        <v>274</v>
      </c>
      <c r="R649" t="s">
        <v>206</v>
      </c>
      <c r="S649" s="20">
        <f t="shared" si="31"/>
        <v>-10</v>
      </c>
    </row>
    <row r="651" spans="1:21" x14ac:dyDescent="0.25">
      <c r="A651" s="21" t="s">
        <v>275</v>
      </c>
      <c r="B651" s="21"/>
      <c r="C651" s="21"/>
      <c r="D651" s="21"/>
    </row>
    <row r="652" spans="1:21" x14ac:dyDescent="0.25">
      <c r="A652" t="s">
        <v>27</v>
      </c>
      <c r="P652" t="s">
        <v>190</v>
      </c>
      <c r="R652" t="s">
        <v>206</v>
      </c>
      <c r="S652">
        <v>50</v>
      </c>
    </row>
    <row r="653" spans="1:21" x14ac:dyDescent="0.25">
      <c r="A653" t="s">
        <v>27</v>
      </c>
      <c r="P653" t="s">
        <v>191</v>
      </c>
      <c r="R653" t="s">
        <v>206</v>
      </c>
      <c r="S653">
        <v>40</v>
      </c>
    </row>
    <row r="654" spans="1:21" x14ac:dyDescent="0.25">
      <c r="A654" t="s">
        <v>27</v>
      </c>
      <c r="P654" t="s">
        <v>192</v>
      </c>
      <c r="R654" t="s">
        <v>206</v>
      </c>
      <c r="S654">
        <v>20</v>
      </c>
    </row>
    <row r="655" spans="1:21" s="4" customFormat="1" x14ac:dyDescent="0.25">
      <c r="A655" s="4" t="s">
        <v>259</v>
      </c>
      <c r="P655" s="4" t="s">
        <v>190</v>
      </c>
      <c r="R655" s="4" t="s">
        <v>206</v>
      </c>
      <c r="S655" s="20">
        <f>S652</f>
        <v>50</v>
      </c>
      <c r="U655" s="4" t="s">
        <v>269</v>
      </c>
    </row>
    <row r="656" spans="1:21" s="4" customFormat="1" x14ac:dyDescent="0.25">
      <c r="A656" s="4" t="s">
        <v>259</v>
      </c>
      <c r="P656" s="4" t="s">
        <v>191</v>
      </c>
      <c r="R656" s="4" t="s">
        <v>206</v>
      </c>
      <c r="S656" s="20">
        <f t="shared" ref="S656:S657" si="32">S653</f>
        <v>40</v>
      </c>
    </row>
    <row r="657" spans="1:22" s="4" customFormat="1" x14ac:dyDescent="0.25">
      <c r="A657" s="4" t="s">
        <v>259</v>
      </c>
      <c r="P657" s="4" t="s">
        <v>192</v>
      </c>
      <c r="R657" s="4" t="s">
        <v>206</v>
      </c>
      <c r="S657" s="20">
        <f t="shared" si="32"/>
        <v>20</v>
      </c>
    </row>
    <row r="658" spans="1:22" x14ac:dyDescent="0.25">
      <c r="A658" t="s">
        <v>29</v>
      </c>
      <c r="P658" t="s">
        <v>190</v>
      </c>
      <c r="R658" t="s">
        <v>206</v>
      </c>
      <c r="S658" s="20">
        <f>S652</f>
        <v>50</v>
      </c>
    </row>
    <row r="659" spans="1:22" x14ac:dyDescent="0.25">
      <c r="A659" t="s">
        <v>29</v>
      </c>
      <c r="P659" t="s">
        <v>191</v>
      </c>
      <c r="R659" t="s">
        <v>206</v>
      </c>
      <c r="S659" s="20">
        <f t="shared" ref="S659:S660" si="33">S653</f>
        <v>40</v>
      </c>
    </row>
    <row r="660" spans="1:22" x14ac:dyDescent="0.25">
      <c r="A660" t="s">
        <v>29</v>
      </c>
      <c r="P660" t="s">
        <v>192</v>
      </c>
      <c r="R660" t="s">
        <v>206</v>
      </c>
      <c r="S660" s="20">
        <f t="shared" si="33"/>
        <v>20</v>
      </c>
    </row>
    <row r="661" spans="1:22" x14ac:dyDescent="0.25">
      <c r="A661" t="s">
        <v>35</v>
      </c>
      <c r="P661" t="s">
        <v>190</v>
      </c>
      <c r="R661" t="s">
        <v>206</v>
      </c>
      <c r="S661">
        <v>120</v>
      </c>
    </row>
    <row r="662" spans="1:22" x14ac:dyDescent="0.25">
      <c r="A662" t="s">
        <v>35</v>
      </c>
      <c r="P662" t="s">
        <v>191</v>
      </c>
      <c r="R662" t="s">
        <v>206</v>
      </c>
      <c r="S662">
        <v>90</v>
      </c>
    </row>
    <row r="663" spans="1:22" x14ac:dyDescent="0.25">
      <c r="A663" t="s">
        <v>35</v>
      </c>
      <c r="P663" t="s">
        <v>192</v>
      </c>
      <c r="R663" t="s">
        <v>206</v>
      </c>
      <c r="S663">
        <v>50</v>
      </c>
    </row>
    <row r="664" spans="1:22" x14ac:dyDescent="0.25">
      <c r="A664" t="s">
        <v>35</v>
      </c>
      <c r="P664" t="s">
        <v>274</v>
      </c>
      <c r="R664" t="s">
        <v>206</v>
      </c>
      <c r="S664">
        <v>30</v>
      </c>
    </row>
    <row r="665" spans="1:22" x14ac:dyDescent="0.25">
      <c r="A665" t="s">
        <v>38</v>
      </c>
      <c r="P665" t="s">
        <v>190</v>
      </c>
      <c r="R665" t="s">
        <v>206</v>
      </c>
      <c r="S665">
        <v>40</v>
      </c>
    </row>
    <row r="666" spans="1:22" x14ac:dyDescent="0.25">
      <c r="A666" t="s">
        <v>38</v>
      </c>
      <c r="P666" t="s">
        <v>191</v>
      </c>
      <c r="R666" t="s">
        <v>206</v>
      </c>
      <c r="S666">
        <v>20</v>
      </c>
    </row>
    <row r="667" spans="1:22" x14ac:dyDescent="0.25">
      <c r="A667" s="4" t="s">
        <v>55</v>
      </c>
      <c r="B667" s="4"/>
      <c r="C667" s="6"/>
      <c r="D667" s="6"/>
      <c r="P667" t="s">
        <v>190</v>
      </c>
      <c r="R667" t="s">
        <v>206</v>
      </c>
      <c r="S667">
        <v>155</v>
      </c>
      <c r="U667" t="s">
        <v>280</v>
      </c>
      <c r="V667" t="s">
        <v>279</v>
      </c>
    </row>
    <row r="668" spans="1:22" x14ac:dyDescent="0.25">
      <c r="A668" s="4" t="s">
        <v>55</v>
      </c>
      <c r="B668" s="4"/>
      <c r="C668" s="6"/>
      <c r="D668" s="6"/>
      <c r="P668" t="s">
        <v>191</v>
      </c>
      <c r="R668" t="s">
        <v>206</v>
      </c>
      <c r="S668">
        <v>155</v>
      </c>
    </row>
    <row r="669" spans="1:22" x14ac:dyDescent="0.25">
      <c r="A669" s="4" t="s">
        <v>55</v>
      </c>
      <c r="B669" s="4"/>
      <c r="C669" s="6"/>
      <c r="D669" s="6"/>
      <c r="P669" t="s">
        <v>192</v>
      </c>
      <c r="R669" t="s">
        <v>206</v>
      </c>
      <c r="S669">
        <v>155</v>
      </c>
    </row>
    <row r="671" spans="1:22" x14ac:dyDescent="0.25">
      <c r="A671" s="21" t="s">
        <v>202</v>
      </c>
      <c r="B671" s="21"/>
      <c r="C671" s="21"/>
      <c r="D671" s="21"/>
    </row>
    <row r="672" spans="1:22" x14ac:dyDescent="0.25">
      <c r="A672" t="s">
        <v>45</v>
      </c>
      <c r="R672" t="s">
        <v>205</v>
      </c>
      <c r="S672">
        <v>3.4</v>
      </c>
    </row>
    <row r="673" spans="1:21" x14ac:dyDescent="0.25">
      <c r="A673" t="s">
        <v>45</v>
      </c>
      <c r="R673" t="s">
        <v>206</v>
      </c>
      <c r="S673">
        <v>62</v>
      </c>
    </row>
    <row r="674" spans="1:21" x14ac:dyDescent="0.25">
      <c r="A674" s="4" t="s">
        <v>46</v>
      </c>
      <c r="B674" s="4"/>
      <c r="C674" s="6"/>
      <c r="D674" s="6"/>
      <c r="R674" t="s">
        <v>205</v>
      </c>
      <c r="S674" s="20">
        <f>S672</f>
        <v>3.4</v>
      </c>
      <c r="U674" t="s">
        <v>232</v>
      </c>
    </row>
    <row r="675" spans="1:21" x14ac:dyDescent="0.25">
      <c r="A675" s="4" t="s">
        <v>46</v>
      </c>
      <c r="B675" s="4"/>
      <c r="C675" s="6"/>
      <c r="D675" s="6"/>
      <c r="R675" t="s">
        <v>206</v>
      </c>
      <c r="S675" s="20">
        <f>S673</f>
        <v>62</v>
      </c>
    </row>
    <row r="676" spans="1:21" x14ac:dyDescent="0.25">
      <c r="A676" t="s">
        <v>44</v>
      </c>
      <c r="R676" t="s">
        <v>205</v>
      </c>
      <c r="S676">
        <v>0.31</v>
      </c>
    </row>
    <row r="677" spans="1:21" x14ac:dyDescent="0.25">
      <c r="A677" t="s">
        <v>44</v>
      </c>
      <c r="R677" t="s">
        <v>206</v>
      </c>
      <c r="S677">
        <v>129</v>
      </c>
    </row>
    <row r="678" spans="1:21" x14ac:dyDescent="0.25">
      <c r="A678" t="s">
        <v>47</v>
      </c>
      <c r="R678" t="s">
        <v>205</v>
      </c>
      <c r="S678">
        <v>0.62</v>
      </c>
      <c r="U678" t="s">
        <v>203</v>
      </c>
    </row>
    <row r="679" spans="1:21" x14ac:dyDescent="0.25">
      <c r="A679" t="s">
        <v>47</v>
      </c>
      <c r="R679" t="s">
        <v>206</v>
      </c>
      <c r="S679">
        <v>98</v>
      </c>
    </row>
    <row r="680" spans="1:21" x14ac:dyDescent="0.25">
      <c r="A680" s="4" t="s">
        <v>51</v>
      </c>
      <c r="B680" s="4"/>
      <c r="C680" s="6"/>
      <c r="D680" s="6"/>
      <c r="R680" t="s">
        <v>205</v>
      </c>
      <c r="S680" s="20">
        <f>S678</f>
        <v>0.62</v>
      </c>
      <c r="U680" t="s">
        <v>233</v>
      </c>
    </row>
    <row r="681" spans="1:21" x14ac:dyDescent="0.25">
      <c r="A681" s="4" t="s">
        <v>51</v>
      </c>
      <c r="B681" s="4"/>
      <c r="C681" s="6"/>
      <c r="D681" s="6"/>
      <c r="R681" t="s">
        <v>206</v>
      </c>
      <c r="S681" s="20">
        <f>S679</f>
        <v>98</v>
      </c>
    </row>
    <row r="682" spans="1:21" x14ac:dyDescent="0.25">
      <c r="A682" s="4" t="s">
        <v>52</v>
      </c>
      <c r="B682" s="4"/>
      <c r="R682" t="s">
        <v>205</v>
      </c>
      <c r="S682" s="20">
        <f>S680</f>
        <v>0.62</v>
      </c>
      <c r="U682" t="s">
        <v>233</v>
      </c>
    </row>
    <row r="683" spans="1:21" x14ac:dyDescent="0.25">
      <c r="A683" s="4" t="s">
        <v>52</v>
      </c>
      <c r="B683" s="4"/>
      <c r="R683" t="s">
        <v>206</v>
      </c>
      <c r="S683" s="20">
        <f>S681</f>
        <v>98</v>
      </c>
    </row>
    <row r="684" spans="1:21" x14ac:dyDescent="0.25">
      <c r="A684" t="s">
        <v>48</v>
      </c>
      <c r="R684" t="s">
        <v>205</v>
      </c>
      <c r="S684">
        <v>2</v>
      </c>
    </row>
    <row r="685" spans="1:21" x14ac:dyDescent="0.25">
      <c r="A685" t="s">
        <v>48</v>
      </c>
      <c r="R685" t="s">
        <v>206</v>
      </c>
      <c r="S685">
        <v>120</v>
      </c>
    </row>
    <row r="686" spans="1:21" x14ac:dyDescent="0.25">
      <c r="A686" s="6" t="s">
        <v>49</v>
      </c>
      <c r="B686" s="6"/>
      <c r="R686" t="s">
        <v>205</v>
      </c>
    </row>
    <row r="687" spans="1:21" x14ac:dyDescent="0.25">
      <c r="A687" s="6" t="s">
        <v>49</v>
      </c>
      <c r="B687" s="6"/>
      <c r="R687" t="s">
        <v>206</v>
      </c>
    </row>
    <row r="688" spans="1:21" x14ac:dyDescent="0.25">
      <c r="A688" t="s">
        <v>50</v>
      </c>
      <c r="R688" t="s">
        <v>205</v>
      </c>
      <c r="S688" s="20">
        <f>S686</f>
        <v>0</v>
      </c>
    </row>
    <row r="689" spans="1:22" x14ac:dyDescent="0.25">
      <c r="A689" t="s">
        <v>50</v>
      </c>
      <c r="R689" t="s">
        <v>206</v>
      </c>
      <c r="S689" s="20">
        <f>S687</f>
        <v>0</v>
      </c>
    </row>
    <row r="691" spans="1:22" x14ac:dyDescent="0.25">
      <c r="A691" t="s">
        <v>66</v>
      </c>
      <c r="R691" t="s">
        <v>206</v>
      </c>
      <c r="S691">
        <v>0</v>
      </c>
      <c r="U691" t="s">
        <v>204</v>
      </c>
    </row>
    <row r="692" spans="1:22" x14ac:dyDescent="0.25">
      <c r="A692" t="s">
        <v>69</v>
      </c>
      <c r="R692" t="s">
        <v>206</v>
      </c>
      <c r="S692">
        <v>0</v>
      </c>
    </row>
    <row r="693" spans="1:22" x14ac:dyDescent="0.25">
      <c r="A693" t="s">
        <v>70</v>
      </c>
      <c r="R693" t="s">
        <v>206</v>
      </c>
      <c r="S693">
        <v>0</v>
      </c>
    </row>
    <row r="694" spans="1:22" x14ac:dyDescent="0.25">
      <c r="A694" t="s">
        <v>42</v>
      </c>
      <c r="R694" t="s">
        <v>206</v>
      </c>
      <c r="S694">
        <v>0</v>
      </c>
    </row>
    <row r="695" spans="1:22" x14ac:dyDescent="0.25">
      <c r="A695" t="s">
        <v>43</v>
      </c>
      <c r="R695" t="s">
        <v>206</v>
      </c>
      <c r="S695">
        <v>0</v>
      </c>
    </row>
    <row r="697" spans="1:22" x14ac:dyDescent="0.25">
      <c r="A697" s="6" t="s">
        <v>28</v>
      </c>
      <c r="B697" s="6"/>
      <c r="C697" s="6"/>
      <c r="D697" s="6"/>
    </row>
    <row r="698" spans="1:22" x14ac:dyDescent="0.25">
      <c r="A698" s="4" t="s">
        <v>30</v>
      </c>
      <c r="B698" s="4"/>
      <c r="C698" s="6"/>
      <c r="D698" s="6"/>
      <c r="R698" t="s">
        <v>206</v>
      </c>
      <c r="S698">
        <v>20</v>
      </c>
      <c r="V698" t="s">
        <v>278</v>
      </c>
    </row>
    <row r="699" spans="1:22" x14ac:dyDescent="0.25">
      <c r="A699" s="4" t="s">
        <v>36</v>
      </c>
      <c r="B699" s="4"/>
      <c r="C699" s="6"/>
      <c r="D699" s="6"/>
      <c r="R699" t="s">
        <v>206</v>
      </c>
      <c r="S699">
        <v>22.5</v>
      </c>
      <c r="U699" t="s">
        <v>247</v>
      </c>
      <c r="V699" t="s">
        <v>248</v>
      </c>
    </row>
    <row r="700" spans="1:22" x14ac:dyDescent="0.25">
      <c r="A700" s="6" t="s">
        <v>68</v>
      </c>
      <c r="B700" s="6"/>
      <c r="C700" s="6"/>
      <c r="D700" s="6"/>
    </row>
    <row r="701" spans="1:22" x14ac:dyDescent="0.25">
      <c r="A701" s="6" t="s">
        <v>53</v>
      </c>
      <c r="B701" s="6"/>
      <c r="C701" s="6"/>
      <c r="D701" s="6"/>
    </row>
    <row r="702" spans="1:22" x14ac:dyDescent="0.25">
      <c r="A702" s="6" t="s">
        <v>54</v>
      </c>
      <c r="B702" s="6"/>
      <c r="C702" s="6"/>
      <c r="D702" s="6"/>
    </row>
    <row r="703" spans="1:22" x14ac:dyDescent="0.25">
      <c r="A703" s="4" t="s">
        <v>56</v>
      </c>
      <c r="B703" s="4"/>
      <c r="C703" s="6"/>
      <c r="D703" s="6"/>
      <c r="R703" t="s">
        <v>206</v>
      </c>
      <c r="S703">
        <v>105</v>
      </c>
      <c r="V703" s="25" t="s">
        <v>277</v>
      </c>
    </row>
    <row r="704" spans="1:22" x14ac:dyDescent="0.25">
      <c r="A704" s="4" t="s">
        <v>57</v>
      </c>
      <c r="B704" s="4"/>
      <c r="C704" s="6"/>
      <c r="D704" s="6"/>
      <c r="R704" t="s">
        <v>206</v>
      </c>
      <c r="S704" s="24">
        <f>S703</f>
        <v>105</v>
      </c>
      <c r="U704" t="s">
        <v>276</v>
      </c>
    </row>
    <row r="705" spans="1:22" x14ac:dyDescent="0.25">
      <c r="A705" s="4" t="s">
        <v>58</v>
      </c>
      <c r="B705" s="4"/>
      <c r="C705" s="6"/>
      <c r="D705" s="6"/>
      <c r="R705" t="s">
        <v>206</v>
      </c>
      <c r="S705" s="24">
        <f>S703</f>
        <v>105</v>
      </c>
      <c r="U705" t="s">
        <v>276</v>
      </c>
    </row>
    <row r="706" spans="1:22" x14ac:dyDescent="0.25">
      <c r="A706" s="6"/>
      <c r="B706" s="6"/>
      <c r="C706" s="6"/>
      <c r="D706" s="6"/>
    </row>
    <row r="707" spans="1:22" x14ac:dyDescent="0.25">
      <c r="A707" s="4" t="s">
        <v>59</v>
      </c>
      <c r="B707" s="4"/>
      <c r="C707" s="6"/>
      <c r="D707" s="6"/>
      <c r="R707" t="s">
        <v>205</v>
      </c>
      <c r="S707">
        <v>5.6</v>
      </c>
      <c r="V707" t="s">
        <v>298</v>
      </c>
    </row>
    <row r="708" spans="1:22" x14ac:dyDescent="0.25">
      <c r="A708" s="4" t="s">
        <v>60</v>
      </c>
      <c r="B708" s="4"/>
      <c r="C708" s="6"/>
      <c r="D708" s="6"/>
      <c r="R708" t="s">
        <v>205</v>
      </c>
      <c r="S708" s="26">
        <v>3</v>
      </c>
      <c r="V708" t="s">
        <v>298</v>
      </c>
    </row>
    <row r="709" spans="1:22" x14ac:dyDescent="0.25">
      <c r="A709" s="4" t="s">
        <v>61</v>
      </c>
      <c r="B709" s="4"/>
      <c r="C709" s="6"/>
      <c r="D709" s="6"/>
      <c r="R709" t="s">
        <v>205</v>
      </c>
      <c r="S709" s="24">
        <f>AVERAGE(S707:S708)</f>
        <v>4.3</v>
      </c>
      <c r="U709" s="6" t="s">
        <v>297</v>
      </c>
    </row>
    <row r="710" spans="1:22" x14ac:dyDescent="0.25">
      <c r="A710" s="4" t="s">
        <v>62</v>
      </c>
      <c r="B710" s="4"/>
      <c r="C710" s="6"/>
      <c r="D710" s="6"/>
      <c r="R710" t="s">
        <v>205</v>
      </c>
      <c r="S710" s="24">
        <f>AVERAGE(S707:S708)</f>
        <v>4.3</v>
      </c>
    </row>
    <row r="711" spans="1:22" x14ac:dyDescent="0.25">
      <c r="A711" s="4" t="s">
        <v>63</v>
      </c>
      <c r="B711" s="4"/>
      <c r="C711" s="6"/>
      <c r="D711" s="6"/>
      <c r="R711" t="s">
        <v>205</v>
      </c>
      <c r="S711" s="24">
        <f>AVERAGE(S707:S708)</f>
        <v>4.3</v>
      </c>
    </row>
    <row r="712" spans="1:22" x14ac:dyDescent="0.25">
      <c r="A712" s="4" t="s">
        <v>64</v>
      </c>
      <c r="B712" s="4"/>
      <c r="C712" s="6"/>
      <c r="D712" s="6"/>
      <c r="R712" t="s">
        <v>205</v>
      </c>
      <c r="S712" s="24">
        <f>AVERAGE(S707:S708)</f>
        <v>4.3</v>
      </c>
    </row>
    <row r="713" spans="1:22" x14ac:dyDescent="0.25">
      <c r="A713" s="4" t="s">
        <v>65</v>
      </c>
      <c r="B713" s="4"/>
      <c r="C713" s="6"/>
      <c r="D713" s="6"/>
      <c r="R713" t="s">
        <v>205</v>
      </c>
      <c r="S713" s="24">
        <f>AVERAGE(S707:S708)</f>
        <v>4.3</v>
      </c>
    </row>
    <row r="714" spans="1:22" x14ac:dyDescent="0.25">
      <c r="A714" s="6"/>
      <c r="B714" s="6"/>
      <c r="C714" s="6"/>
      <c r="D714" s="6"/>
    </row>
    <row r="715" spans="1:22" x14ac:dyDescent="0.25">
      <c r="A715" s="2" t="s">
        <v>273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3"/>
      <c r="V715" s="3"/>
    </row>
    <row r="717" spans="1:22" x14ac:dyDescent="0.25">
      <c r="R717" s="5" t="s">
        <v>227</v>
      </c>
      <c r="S717" s="23">
        <v>1.2</v>
      </c>
      <c r="T717" s="5"/>
      <c r="U717" s="5" t="s">
        <v>304</v>
      </c>
    </row>
    <row r="719" spans="1:22" x14ac:dyDescent="0.25">
      <c r="A719" s="2" t="s">
        <v>157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x14ac:dyDescent="0.25">
      <c r="Q720" s="5" t="s">
        <v>113</v>
      </c>
      <c r="R720" s="5" t="s">
        <v>141</v>
      </c>
      <c r="S720" s="13">
        <v>0</v>
      </c>
      <c r="T720" s="5" t="s">
        <v>114</v>
      </c>
      <c r="U720" s="5" t="s">
        <v>145</v>
      </c>
    </row>
    <row r="721" spans="1:22" x14ac:dyDescent="0.25">
      <c r="A721" s="1" t="s">
        <v>329</v>
      </c>
      <c r="B721" s="1"/>
      <c r="C721" s="1"/>
      <c r="D721" s="1"/>
      <c r="E721" s="1"/>
      <c r="Q721" s="5"/>
      <c r="R721" s="5"/>
      <c r="S721" s="13"/>
      <c r="T721" s="5"/>
      <c r="U721" s="5"/>
    </row>
    <row r="722" spans="1:22" x14ac:dyDescent="0.25">
      <c r="I722" t="s">
        <v>107</v>
      </c>
      <c r="Q722" t="s">
        <v>113</v>
      </c>
      <c r="R722" t="s">
        <v>141</v>
      </c>
      <c r="S722" s="11">
        <f>8/1000*(14/(1*14+3*2))*100</f>
        <v>0.55999999999999994</v>
      </c>
      <c r="T722" t="s">
        <v>109</v>
      </c>
      <c r="U722" s="4" t="s">
        <v>115</v>
      </c>
      <c r="V722" t="s">
        <v>256</v>
      </c>
    </row>
    <row r="723" spans="1:22" x14ac:dyDescent="0.25">
      <c r="I723" t="s">
        <v>108</v>
      </c>
      <c r="Q723" t="s">
        <v>113</v>
      </c>
      <c r="R723" t="s">
        <v>141</v>
      </c>
      <c r="S723" s="11">
        <f>15/1000*(14/(1*14+3*2))*100</f>
        <v>1.0499999999999998</v>
      </c>
      <c r="T723" t="s">
        <v>109</v>
      </c>
      <c r="V723" t="s">
        <v>256</v>
      </c>
    </row>
    <row r="724" spans="1:22" x14ac:dyDescent="0.25">
      <c r="I724" t="s">
        <v>208</v>
      </c>
      <c r="Q724" t="s">
        <v>113</v>
      </c>
      <c r="R724" t="s">
        <v>141</v>
      </c>
      <c r="S724" s="11">
        <f>50/1000*(14/(1*14+3*2))*100</f>
        <v>3.4999999999999996</v>
      </c>
      <c r="T724" t="s">
        <v>109</v>
      </c>
      <c r="V724" t="s">
        <v>256</v>
      </c>
    </row>
    <row r="725" spans="1:22" x14ac:dyDescent="0.25">
      <c r="S725" s="11"/>
    </row>
    <row r="729" spans="1:22" x14ac:dyDescent="0.25">
      <c r="A729" s="1" t="s">
        <v>146</v>
      </c>
      <c r="B729" s="1"/>
      <c r="C729" s="1"/>
      <c r="D729" s="1"/>
      <c r="E729" s="1"/>
      <c r="F729" s="6" t="s">
        <v>165</v>
      </c>
    </row>
    <row r="730" spans="1:22" x14ac:dyDescent="0.25">
      <c r="K730" t="s">
        <v>120</v>
      </c>
      <c r="L730" t="s">
        <v>121</v>
      </c>
      <c r="M730" t="s">
        <v>122</v>
      </c>
      <c r="N730" t="s">
        <v>132</v>
      </c>
      <c r="Q730" t="s">
        <v>113</v>
      </c>
      <c r="R730" t="s">
        <v>141</v>
      </c>
      <c r="S730">
        <v>33</v>
      </c>
      <c r="T730" t="s">
        <v>114</v>
      </c>
      <c r="V730" t="s">
        <v>147</v>
      </c>
    </row>
    <row r="731" spans="1:22" x14ac:dyDescent="0.25">
      <c r="K731" t="s">
        <v>120</v>
      </c>
      <c r="L731" t="s">
        <v>121</v>
      </c>
      <c r="M731" t="s">
        <v>122</v>
      </c>
      <c r="N731" t="s">
        <v>133</v>
      </c>
      <c r="Q731" t="s">
        <v>113</v>
      </c>
      <c r="R731" t="s">
        <v>141</v>
      </c>
      <c r="S731">
        <v>38</v>
      </c>
      <c r="T731" t="s">
        <v>114</v>
      </c>
      <c r="V731" t="s">
        <v>147</v>
      </c>
    </row>
    <row r="732" spans="1:22" x14ac:dyDescent="0.25">
      <c r="K732" t="s">
        <v>120</v>
      </c>
      <c r="L732" t="s">
        <v>121</v>
      </c>
      <c r="M732" t="s">
        <v>122</v>
      </c>
      <c r="N732" t="s">
        <v>134</v>
      </c>
      <c r="Q732" t="s">
        <v>113</v>
      </c>
      <c r="R732" t="s">
        <v>141</v>
      </c>
      <c r="S732">
        <v>41</v>
      </c>
      <c r="T732" t="s">
        <v>114</v>
      </c>
      <c r="V732" t="s">
        <v>147</v>
      </c>
    </row>
    <row r="733" spans="1:22" x14ac:dyDescent="0.25">
      <c r="K733" t="s">
        <v>120</v>
      </c>
      <c r="L733" t="s">
        <v>121</v>
      </c>
      <c r="M733" t="s">
        <v>122</v>
      </c>
      <c r="N733" t="s">
        <v>180</v>
      </c>
      <c r="Q733" t="s">
        <v>113</v>
      </c>
      <c r="R733" t="s">
        <v>141</v>
      </c>
      <c r="S733">
        <v>33</v>
      </c>
      <c r="T733" t="s">
        <v>114</v>
      </c>
      <c r="V733" t="s">
        <v>147</v>
      </c>
    </row>
    <row r="734" spans="1:22" x14ac:dyDescent="0.25">
      <c r="K734" t="s">
        <v>120</v>
      </c>
      <c r="L734" t="s">
        <v>123</v>
      </c>
      <c r="M734" t="s">
        <v>122</v>
      </c>
      <c r="N734" t="s">
        <v>132</v>
      </c>
      <c r="Q734" t="s">
        <v>113</v>
      </c>
      <c r="R734" t="s">
        <v>141</v>
      </c>
      <c r="S734">
        <v>32</v>
      </c>
      <c r="T734" t="s">
        <v>114</v>
      </c>
      <c r="V734" t="s">
        <v>147</v>
      </c>
    </row>
    <row r="735" spans="1:22" x14ac:dyDescent="0.25">
      <c r="K735" t="s">
        <v>120</v>
      </c>
      <c r="L735" t="s">
        <v>123</v>
      </c>
      <c r="M735" t="s">
        <v>122</v>
      </c>
      <c r="N735" t="s">
        <v>133</v>
      </c>
      <c r="Q735" t="s">
        <v>113</v>
      </c>
      <c r="R735" t="s">
        <v>141</v>
      </c>
      <c r="S735">
        <v>39</v>
      </c>
      <c r="T735" t="s">
        <v>114</v>
      </c>
      <c r="V735" t="s">
        <v>147</v>
      </c>
    </row>
    <row r="736" spans="1:22" x14ac:dyDescent="0.25">
      <c r="K736" t="s">
        <v>120</v>
      </c>
      <c r="L736" t="s">
        <v>123</v>
      </c>
      <c r="M736" t="s">
        <v>122</v>
      </c>
      <c r="N736" t="s">
        <v>134</v>
      </c>
      <c r="Q736" t="s">
        <v>113</v>
      </c>
      <c r="R736" t="s">
        <v>141</v>
      </c>
      <c r="S736">
        <v>46</v>
      </c>
      <c r="T736" t="s">
        <v>114</v>
      </c>
      <c r="V736" t="s">
        <v>147</v>
      </c>
    </row>
    <row r="737" spans="11:22" x14ac:dyDescent="0.25">
      <c r="K737" t="s">
        <v>120</v>
      </c>
      <c r="L737" t="s">
        <v>123</v>
      </c>
      <c r="M737" t="s">
        <v>122</v>
      </c>
      <c r="N737" t="s">
        <v>180</v>
      </c>
      <c r="Q737" t="s">
        <v>113</v>
      </c>
      <c r="R737" t="s">
        <v>141</v>
      </c>
      <c r="S737">
        <v>32</v>
      </c>
      <c r="T737" t="s">
        <v>114</v>
      </c>
      <c r="V737" t="s">
        <v>147</v>
      </c>
    </row>
    <row r="738" spans="11:22" x14ac:dyDescent="0.25">
      <c r="K738" t="s">
        <v>120</v>
      </c>
      <c r="M738" t="s">
        <v>124</v>
      </c>
      <c r="N738" t="s">
        <v>132</v>
      </c>
      <c r="Q738" t="s">
        <v>113</v>
      </c>
      <c r="R738" t="s">
        <v>141</v>
      </c>
      <c r="S738">
        <v>32</v>
      </c>
      <c r="T738" t="s">
        <v>114</v>
      </c>
      <c r="V738" t="s">
        <v>147</v>
      </c>
    </row>
    <row r="739" spans="11:22" x14ac:dyDescent="0.25">
      <c r="K739" t="s">
        <v>120</v>
      </c>
      <c r="M739" t="s">
        <v>124</v>
      </c>
      <c r="N739" t="s">
        <v>133</v>
      </c>
      <c r="Q739" t="s">
        <v>113</v>
      </c>
      <c r="R739" t="s">
        <v>141</v>
      </c>
      <c r="S739">
        <v>38</v>
      </c>
      <c r="T739" t="s">
        <v>114</v>
      </c>
      <c r="V739" t="s">
        <v>147</v>
      </c>
    </row>
    <row r="740" spans="11:22" x14ac:dyDescent="0.25">
      <c r="K740" t="s">
        <v>120</v>
      </c>
      <c r="M740" t="s">
        <v>124</v>
      </c>
      <c r="N740" t="s">
        <v>134</v>
      </c>
      <c r="Q740" t="s">
        <v>113</v>
      </c>
      <c r="R740" t="s">
        <v>141</v>
      </c>
      <c r="S740">
        <v>47</v>
      </c>
      <c r="T740" t="s">
        <v>114</v>
      </c>
      <c r="V740" t="s">
        <v>147</v>
      </c>
    </row>
    <row r="741" spans="11:22" x14ac:dyDescent="0.25">
      <c r="K741" t="s">
        <v>120</v>
      </c>
      <c r="M741" t="s">
        <v>124</v>
      </c>
      <c r="N741" t="s">
        <v>180</v>
      </c>
      <c r="Q741" t="s">
        <v>113</v>
      </c>
      <c r="R741" t="s">
        <v>141</v>
      </c>
      <c r="S741">
        <v>32</v>
      </c>
      <c r="T741" t="s">
        <v>114</v>
      </c>
      <c r="V741" t="s">
        <v>147</v>
      </c>
    </row>
    <row r="742" spans="11:22" x14ac:dyDescent="0.25">
      <c r="K742" t="s">
        <v>120</v>
      </c>
      <c r="M742" t="s">
        <v>125</v>
      </c>
      <c r="N742" t="s">
        <v>132</v>
      </c>
      <c r="Q742" t="s">
        <v>113</v>
      </c>
      <c r="R742" t="s">
        <v>141</v>
      </c>
      <c r="S742">
        <v>33</v>
      </c>
      <c r="T742" t="s">
        <v>114</v>
      </c>
      <c r="V742" t="s">
        <v>147</v>
      </c>
    </row>
    <row r="743" spans="11:22" x14ac:dyDescent="0.25">
      <c r="K743" t="s">
        <v>120</v>
      </c>
      <c r="M743" t="s">
        <v>125</v>
      </c>
      <c r="N743" t="s">
        <v>133</v>
      </c>
      <c r="Q743" t="s">
        <v>113</v>
      </c>
      <c r="R743" t="s">
        <v>141</v>
      </c>
      <c r="S743">
        <v>39</v>
      </c>
      <c r="T743" t="s">
        <v>114</v>
      </c>
      <c r="V743" t="s">
        <v>147</v>
      </c>
    </row>
    <row r="744" spans="11:22" x14ac:dyDescent="0.25">
      <c r="K744" t="s">
        <v>120</v>
      </c>
      <c r="M744" t="s">
        <v>125</v>
      </c>
      <c r="N744" t="s">
        <v>134</v>
      </c>
      <c r="Q744" t="s">
        <v>113</v>
      </c>
      <c r="R744" t="s">
        <v>141</v>
      </c>
      <c r="S744">
        <v>47</v>
      </c>
      <c r="T744" t="s">
        <v>114</v>
      </c>
      <c r="V744" t="s">
        <v>147</v>
      </c>
    </row>
    <row r="745" spans="11:22" x14ac:dyDescent="0.25">
      <c r="K745" t="s">
        <v>120</v>
      </c>
      <c r="M745" t="s">
        <v>125</v>
      </c>
      <c r="N745" t="s">
        <v>180</v>
      </c>
      <c r="Q745" t="s">
        <v>113</v>
      </c>
      <c r="R745" t="s">
        <v>141</v>
      </c>
      <c r="S745">
        <v>33</v>
      </c>
      <c r="T745" t="s">
        <v>114</v>
      </c>
      <c r="V745" t="s">
        <v>147</v>
      </c>
    </row>
    <row r="746" spans="11:22" x14ac:dyDescent="0.25">
      <c r="K746" t="s">
        <v>120</v>
      </c>
      <c r="N746" t="s">
        <v>132</v>
      </c>
      <c r="Q746" t="s">
        <v>113</v>
      </c>
      <c r="R746" t="s">
        <v>141</v>
      </c>
      <c r="S746">
        <v>32</v>
      </c>
      <c r="T746" t="s">
        <v>114</v>
      </c>
      <c r="U746" t="s">
        <v>135</v>
      </c>
      <c r="V746" t="s">
        <v>147</v>
      </c>
    </row>
    <row r="747" spans="11:22" x14ac:dyDescent="0.25">
      <c r="K747" t="s">
        <v>120</v>
      </c>
      <c r="N747" t="s">
        <v>133</v>
      </c>
      <c r="Q747" t="s">
        <v>113</v>
      </c>
      <c r="R747" t="s">
        <v>141</v>
      </c>
      <c r="S747">
        <v>39</v>
      </c>
      <c r="T747" t="s">
        <v>114</v>
      </c>
      <c r="U747" t="s">
        <v>135</v>
      </c>
      <c r="V747" t="s">
        <v>147</v>
      </c>
    </row>
    <row r="748" spans="11:22" x14ac:dyDescent="0.25">
      <c r="K748" t="s">
        <v>120</v>
      </c>
      <c r="N748" t="s">
        <v>134</v>
      </c>
      <c r="Q748" t="s">
        <v>113</v>
      </c>
      <c r="R748" t="s">
        <v>141</v>
      </c>
      <c r="S748">
        <v>46</v>
      </c>
      <c r="T748" t="s">
        <v>114</v>
      </c>
      <c r="U748" t="s">
        <v>135</v>
      </c>
      <c r="V748" t="s">
        <v>147</v>
      </c>
    </row>
    <row r="749" spans="11:22" x14ac:dyDescent="0.25">
      <c r="K749" t="s">
        <v>120</v>
      </c>
      <c r="N749" t="s">
        <v>180</v>
      </c>
      <c r="Q749" t="s">
        <v>113</v>
      </c>
      <c r="R749" t="s">
        <v>141</v>
      </c>
      <c r="S749">
        <v>32</v>
      </c>
      <c r="T749" t="s">
        <v>114</v>
      </c>
      <c r="U749" t="s">
        <v>135</v>
      </c>
      <c r="V749" t="s">
        <v>147</v>
      </c>
    </row>
    <row r="750" spans="11:22" x14ac:dyDescent="0.25">
      <c r="K750" t="s">
        <v>120</v>
      </c>
      <c r="N750" t="s">
        <v>149</v>
      </c>
      <c r="Q750" t="s">
        <v>113</v>
      </c>
      <c r="R750" t="s">
        <v>141</v>
      </c>
      <c r="S750">
        <v>14</v>
      </c>
      <c r="T750" t="s">
        <v>114</v>
      </c>
      <c r="V750" t="s">
        <v>164</v>
      </c>
    </row>
    <row r="751" spans="11:22" x14ac:dyDescent="0.25">
      <c r="K751" t="s">
        <v>138</v>
      </c>
      <c r="N751" t="s">
        <v>133</v>
      </c>
      <c r="Q751" t="s">
        <v>113</v>
      </c>
      <c r="R751" t="s">
        <v>141</v>
      </c>
      <c r="S751">
        <v>43</v>
      </c>
      <c r="T751" t="s">
        <v>114</v>
      </c>
      <c r="V751" t="s">
        <v>147</v>
      </c>
    </row>
    <row r="752" spans="11:22" x14ac:dyDescent="0.25">
      <c r="K752" t="s">
        <v>138</v>
      </c>
      <c r="N752" t="s">
        <v>134</v>
      </c>
      <c r="Q752" t="s">
        <v>113</v>
      </c>
      <c r="R752" t="s">
        <v>141</v>
      </c>
      <c r="S752">
        <v>47</v>
      </c>
      <c r="T752" t="s">
        <v>114</v>
      </c>
      <c r="V752" t="s">
        <v>147</v>
      </c>
    </row>
    <row r="753" spans="11:22" x14ac:dyDescent="0.25">
      <c r="K753" t="s">
        <v>138</v>
      </c>
      <c r="N753" t="s">
        <v>181</v>
      </c>
      <c r="Q753" t="s">
        <v>113</v>
      </c>
      <c r="R753" t="s">
        <v>141</v>
      </c>
      <c r="S753">
        <v>43</v>
      </c>
      <c r="T753" t="s">
        <v>114</v>
      </c>
      <c r="V753" t="s">
        <v>147</v>
      </c>
    </row>
    <row r="754" spans="11:22" x14ac:dyDescent="0.25">
      <c r="K754" t="s">
        <v>138</v>
      </c>
      <c r="N754" t="s">
        <v>149</v>
      </c>
      <c r="Q754" t="s">
        <v>113</v>
      </c>
      <c r="R754" t="s">
        <v>141</v>
      </c>
      <c r="S754">
        <v>35</v>
      </c>
      <c r="T754" t="s">
        <v>114</v>
      </c>
      <c r="V754" t="s">
        <v>164</v>
      </c>
    </row>
    <row r="755" spans="11:22" x14ac:dyDescent="0.25">
      <c r="K755" t="s">
        <v>182</v>
      </c>
      <c r="N755" t="s">
        <v>133</v>
      </c>
      <c r="Q755" t="s">
        <v>113</v>
      </c>
      <c r="R755" t="s">
        <v>141</v>
      </c>
      <c r="S755">
        <v>43</v>
      </c>
      <c r="T755" t="s">
        <v>114</v>
      </c>
      <c r="V755" t="s">
        <v>147</v>
      </c>
    </row>
    <row r="756" spans="11:22" x14ac:dyDescent="0.25">
      <c r="K756" t="s">
        <v>182</v>
      </c>
      <c r="N756" t="s">
        <v>149</v>
      </c>
      <c r="Q756" t="s">
        <v>113</v>
      </c>
      <c r="R756" t="s">
        <v>141</v>
      </c>
      <c r="S756">
        <v>9</v>
      </c>
      <c r="T756" t="s">
        <v>114</v>
      </c>
      <c r="V756" t="s">
        <v>164</v>
      </c>
    </row>
    <row r="757" spans="11:22" x14ac:dyDescent="0.25">
      <c r="K757" t="s">
        <v>126</v>
      </c>
      <c r="M757" t="s">
        <v>127</v>
      </c>
      <c r="N757" t="s">
        <v>132</v>
      </c>
      <c r="Q757" t="s">
        <v>113</v>
      </c>
      <c r="R757" t="s">
        <v>141</v>
      </c>
      <c r="S757">
        <v>30</v>
      </c>
      <c r="T757" t="s">
        <v>114</v>
      </c>
      <c r="V757" t="s">
        <v>147</v>
      </c>
    </row>
    <row r="758" spans="11:22" x14ac:dyDescent="0.25">
      <c r="K758" t="s">
        <v>126</v>
      </c>
      <c r="M758" t="s">
        <v>127</v>
      </c>
      <c r="N758" t="s">
        <v>133</v>
      </c>
      <c r="Q758" t="s">
        <v>113</v>
      </c>
      <c r="R758" t="s">
        <v>141</v>
      </c>
      <c r="S758">
        <v>35</v>
      </c>
      <c r="T758" t="s">
        <v>114</v>
      </c>
      <c r="V758" t="s">
        <v>147</v>
      </c>
    </row>
    <row r="759" spans="11:22" x14ac:dyDescent="0.25">
      <c r="K759" t="s">
        <v>126</v>
      </c>
      <c r="M759" t="s">
        <v>127</v>
      </c>
      <c r="N759" t="s">
        <v>134</v>
      </c>
      <c r="Q759" t="s">
        <v>113</v>
      </c>
      <c r="R759" t="s">
        <v>141</v>
      </c>
      <c r="S759">
        <v>48</v>
      </c>
      <c r="T759" t="s">
        <v>114</v>
      </c>
      <c r="V759" t="s">
        <v>147</v>
      </c>
    </row>
    <row r="760" spans="11:22" x14ac:dyDescent="0.25">
      <c r="K760" t="s">
        <v>126</v>
      </c>
      <c r="M760" t="s">
        <v>127</v>
      </c>
      <c r="N760" t="s">
        <v>180</v>
      </c>
      <c r="Q760" t="s">
        <v>113</v>
      </c>
      <c r="R760" t="s">
        <v>141</v>
      </c>
      <c r="S760">
        <v>30</v>
      </c>
      <c r="T760" t="s">
        <v>114</v>
      </c>
      <c r="V760" t="s">
        <v>147</v>
      </c>
    </row>
    <row r="761" spans="11:22" x14ac:dyDescent="0.25">
      <c r="K761" t="s">
        <v>126</v>
      </c>
      <c r="M761" t="s">
        <v>130</v>
      </c>
      <c r="N761" t="s">
        <v>132</v>
      </c>
      <c r="Q761" t="s">
        <v>113</v>
      </c>
      <c r="R761" t="s">
        <v>141</v>
      </c>
      <c r="S761" s="12">
        <f>S757</f>
        <v>30</v>
      </c>
      <c r="T761" t="s">
        <v>114</v>
      </c>
      <c r="U761" t="s">
        <v>137</v>
      </c>
    </row>
    <row r="762" spans="11:22" x14ac:dyDescent="0.25">
      <c r="K762" t="s">
        <v>126</v>
      </c>
      <c r="M762" t="s">
        <v>130</v>
      </c>
      <c r="N762" t="s">
        <v>133</v>
      </c>
      <c r="Q762" t="s">
        <v>113</v>
      </c>
      <c r="R762" t="s">
        <v>141</v>
      </c>
      <c r="S762" s="12">
        <f>S758</f>
        <v>35</v>
      </c>
      <c r="T762" t="s">
        <v>114</v>
      </c>
      <c r="U762" t="s">
        <v>137</v>
      </c>
    </row>
    <row r="763" spans="11:22" x14ac:dyDescent="0.25">
      <c r="K763" t="s">
        <v>126</v>
      </c>
      <c r="M763" t="s">
        <v>130</v>
      </c>
      <c r="N763" t="s">
        <v>134</v>
      </c>
      <c r="Q763" t="s">
        <v>113</v>
      </c>
      <c r="R763" t="s">
        <v>141</v>
      </c>
      <c r="S763" s="12">
        <f>S759</f>
        <v>48</v>
      </c>
      <c r="T763" t="s">
        <v>114</v>
      </c>
      <c r="U763" t="s">
        <v>137</v>
      </c>
    </row>
    <row r="764" spans="11:22" x14ac:dyDescent="0.25">
      <c r="K764" t="s">
        <v>126</v>
      </c>
      <c r="M764" t="s">
        <v>130</v>
      </c>
      <c r="N764" t="s">
        <v>180</v>
      </c>
      <c r="Q764" t="s">
        <v>113</v>
      </c>
      <c r="R764" t="s">
        <v>141</v>
      </c>
      <c r="S764" s="12">
        <f>S760</f>
        <v>30</v>
      </c>
      <c r="T764" t="s">
        <v>114</v>
      </c>
      <c r="U764" t="s">
        <v>137</v>
      </c>
    </row>
    <row r="765" spans="11:22" x14ac:dyDescent="0.25">
      <c r="K765" t="s">
        <v>126</v>
      </c>
      <c r="M765" t="s">
        <v>128</v>
      </c>
      <c r="N765" t="s">
        <v>132</v>
      </c>
      <c r="Q765" t="s">
        <v>113</v>
      </c>
      <c r="R765" t="s">
        <v>141</v>
      </c>
      <c r="S765">
        <v>29</v>
      </c>
      <c r="T765" t="s">
        <v>114</v>
      </c>
      <c r="V765" t="s">
        <v>147</v>
      </c>
    </row>
    <row r="766" spans="11:22" x14ac:dyDescent="0.25">
      <c r="K766" t="s">
        <v>126</v>
      </c>
      <c r="M766" t="s">
        <v>128</v>
      </c>
      <c r="N766" t="s">
        <v>133</v>
      </c>
      <c r="Q766" t="s">
        <v>113</v>
      </c>
      <c r="R766" t="s">
        <v>141</v>
      </c>
      <c r="S766">
        <v>34</v>
      </c>
      <c r="T766" t="s">
        <v>114</v>
      </c>
      <c r="V766" t="s">
        <v>147</v>
      </c>
    </row>
    <row r="767" spans="11:22" x14ac:dyDescent="0.25">
      <c r="K767" t="s">
        <v>126</v>
      </c>
      <c r="M767" t="s">
        <v>128</v>
      </c>
      <c r="N767" t="s">
        <v>134</v>
      </c>
      <c r="Q767" t="s">
        <v>113</v>
      </c>
      <c r="R767" t="s">
        <v>141</v>
      </c>
      <c r="S767">
        <v>46</v>
      </c>
      <c r="T767" t="s">
        <v>114</v>
      </c>
      <c r="V767" t="s">
        <v>147</v>
      </c>
    </row>
    <row r="768" spans="11:22" x14ac:dyDescent="0.25">
      <c r="K768" t="s">
        <v>126</v>
      </c>
      <c r="M768" t="s">
        <v>128</v>
      </c>
      <c r="N768" t="s">
        <v>180</v>
      </c>
      <c r="Q768" t="s">
        <v>113</v>
      </c>
      <c r="R768" t="s">
        <v>141</v>
      </c>
      <c r="S768">
        <v>29</v>
      </c>
      <c r="T768" t="s">
        <v>114</v>
      </c>
      <c r="V768" t="s">
        <v>147</v>
      </c>
    </row>
    <row r="769" spans="11:22" x14ac:dyDescent="0.25">
      <c r="K769" t="s">
        <v>126</v>
      </c>
      <c r="M769" t="s">
        <v>129</v>
      </c>
      <c r="N769" t="s">
        <v>132</v>
      </c>
      <c r="Q769" t="s">
        <v>113</v>
      </c>
      <c r="R769" t="s">
        <v>141</v>
      </c>
      <c r="S769">
        <v>29</v>
      </c>
      <c r="T769" t="s">
        <v>114</v>
      </c>
      <c r="V769" t="s">
        <v>147</v>
      </c>
    </row>
    <row r="770" spans="11:22" x14ac:dyDescent="0.25">
      <c r="K770" t="s">
        <v>126</v>
      </c>
      <c r="M770" t="s">
        <v>129</v>
      </c>
      <c r="N770" t="s">
        <v>133</v>
      </c>
      <c r="Q770" t="s">
        <v>113</v>
      </c>
      <c r="R770" t="s">
        <v>141</v>
      </c>
      <c r="S770">
        <v>35</v>
      </c>
      <c r="T770" t="s">
        <v>114</v>
      </c>
      <c r="V770" t="s">
        <v>147</v>
      </c>
    </row>
    <row r="771" spans="11:22" x14ac:dyDescent="0.25">
      <c r="K771" t="s">
        <v>126</v>
      </c>
      <c r="M771" t="s">
        <v>129</v>
      </c>
      <c r="N771" t="s">
        <v>134</v>
      </c>
      <c r="Q771" t="s">
        <v>113</v>
      </c>
      <c r="R771" t="s">
        <v>141</v>
      </c>
      <c r="S771">
        <v>48</v>
      </c>
      <c r="T771" t="s">
        <v>114</v>
      </c>
      <c r="V771" t="s">
        <v>147</v>
      </c>
    </row>
    <row r="772" spans="11:22" x14ac:dyDescent="0.25">
      <c r="K772" t="s">
        <v>126</v>
      </c>
      <c r="M772" t="s">
        <v>129</v>
      </c>
      <c r="N772" t="s">
        <v>180</v>
      </c>
      <c r="Q772" t="s">
        <v>113</v>
      </c>
      <c r="R772" t="s">
        <v>141</v>
      </c>
      <c r="S772">
        <v>29</v>
      </c>
      <c r="T772" t="s">
        <v>114</v>
      </c>
      <c r="V772" t="s">
        <v>147</v>
      </c>
    </row>
    <row r="773" spans="11:22" x14ac:dyDescent="0.25">
      <c r="K773" t="s">
        <v>126</v>
      </c>
      <c r="N773" t="s">
        <v>132</v>
      </c>
      <c r="Q773" t="s">
        <v>113</v>
      </c>
      <c r="R773" t="s">
        <v>141</v>
      </c>
      <c r="S773">
        <v>29</v>
      </c>
      <c r="T773" t="s">
        <v>114</v>
      </c>
      <c r="U773" t="s">
        <v>136</v>
      </c>
      <c r="V773" t="s">
        <v>147</v>
      </c>
    </row>
    <row r="774" spans="11:22" x14ac:dyDescent="0.25">
      <c r="K774" t="s">
        <v>126</v>
      </c>
      <c r="N774" t="s">
        <v>133</v>
      </c>
      <c r="Q774" t="s">
        <v>113</v>
      </c>
      <c r="R774" t="s">
        <v>141</v>
      </c>
      <c r="S774">
        <v>35</v>
      </c>
      <c r="T774" t="s">
        <v>114</v>
      </c>
      <c r="U774" t="s">
        <v>136</v>
      </c>
      <c r="V774" t="s">
        <v>147</v>
      </c>
    </row>
    <row r="775" spans="11:22" x14ac:dyDescent="0.25">
      <c r="K775" t="s">
        <v>126</v>
      </c>
      <c r="N775" t="s">
        <v>134</v>
      </c>
      <c r="Q775" t="s">
        <v>113</v>
      </c>
      <c r="R775" t="s">
        <v>141</v>
      </c>
      <c r="S775">
        <v>44</v>
      </c>
      <c r="T775" t="s">
        <v>114</v>
      </c>
      <c r="U775" t="s">
        <v>136</v>
      </c>
      <c r="V775" t="s">
        <v>147</v>
      </c>
    </row>
    <row r="776" spans="11:22" x14ac:dyDescent="0.25">
      <c r="K776" t="s">
        <v>126</v>
      </c>
      <c r="N776" t="s">
        <v>180</v>
      </c>
      <c r="Q776" t="s">
        <v>113</v>
      </c>
      <c r="R776" t="s">
        <v>141</v>
      </c>
      <c r="S776">
        <v>29</v>
      </c>
      <c r="T776" t="s">
        <v>114</v>
      </c>
      <c r="U776" t="s">
        <v>136</v>
      </c>
      <c r="V776" t="s">
        <v>147</v>
      </c>
    </row>
    <row r="777" spans="11:22" x14ac:dyDescent="0.25">
      <c r="K777" t="s">
        <v>131</v>
      </c>
      <c r="N777" t="s">
        <v>132</v>
      </c>
      <c r="Q777" t="s">
        <v>113</v>
      </c>
      <c r="R777" t="s">
        <v>141</v>
      </c>
      <c r="S777">
        <v>29</v>
      </c>
      <c r="T777" t="s">
        <v>114</v>
      </c>
      <c r="V777" t="s">
        <v>147</v>
      </c>
    </row>
    <row r="778" spans="11:22" x14ac:dyDescent="0.25">
      <c r="K778" t="s">
        <v>131</v>
      </c>
      <c r="N778" t="s">
        <v>133</v>
      </c>
      <c r="Q778" t="s">
        <v>113</v>
      </c>
      <c r="R778" t="s">
        <v>141</v>
      </c>
      <c r="S778">
        <v>40</v>
      </c>
      <c r="T778" t="s">
        <v>114</v>
      </c>
      <c r="V778" t="s">
        <v>147</v>
      </c>
    </row>
    <row r="779" spans="11:22" x14ac:dyDescent="0.25">
      <c r="K779" t="s">
        <v>131</v>
      </c>
      <c r="N779" t="s">
        <v>134</v>
      </c>
      <c r="Q779" t="s">
        <v>113</v>
      </c>
      <c r="R779" t="s">
        <v>141</v>
      </c>
      <c r="S779">
        <v>56</v>
      </c>
      <c r="T779" t="s">
        <v>114</v>
      </c>
      <c r="V779" t="s">
        <v>147</v>
      </c>
    </row>
    <row r="780" spans="11:22" x14ac:dyDescent="0.25">
      <c r="K780" t="s">
        <v>131</v>
      </c>
      <c r="M780" t="s">
        <v>183</v>
      </c>
      <c r="N780" t="s">
        <v>132</v>
      </c>
      <c r="Q780" t="s">
        <v>113</v>
      </c>
      <c r="R780" t="s">
        <v>141</v>
      </c>
      <c r="S780">
        <v>30</v>
      </c>
      <c r="T780" t="s">
        <v>114</v>
      </c>
      <c r="V780" t="s">
        <v>147</v>
      </c>
    </row>
    <row r="781" spans="11:22" x14ac:dyDescent="0.25">
      <c r="K781" t="s">
        <v>131</v>
      </c>
      <c r="M781" t="s">
        <v>183</v>
      </c>
      <c r="N781" t="s">
        <v>133</v>
      </c>
      <c r="Q781" t="s">
        <v>113</v>
      </c>
      <c r="R781" t="s">
        <v>141</v>
      </c>
      <c r="S781">
        <v>41</v>
      </c>
      <c r="T781" t="s">
        <v>114</v>
      </c>
      <c r="V781" t="s">
        <v>147</v>
      </c>
    </row>
    <row r="782" spans="11:22" x14ac:dyDescent="0.25">
      <c r="K782" t="s">
        <v>131</v>
      </c>
      <c r="M782" t="s">
        <v>183</v>
      </c>
      <c r="N782" t="s">
        <v>134</v>
      </c>
      <c r="Q782" t="s">
        <v>113</v>
      </c>
      <c r="R782" t="s">
        <v>141</v>
      </c>
      <c r="S782">
        <v>56</v>
      </c>
      <c r="T782" t="s">
        <v>114</v>
      </c>
      <c r="V782" t="s">
        <v>147</v>
      </c>
    </row>
    <row r="783" spans="11:22" x14ac:dyDescent="0.25">
      <c r="K783" t="s">
        <v>131</v>
      </c>
      <c r="M783" t="s">
        <v>184</v>
      </c>
      <c r="N783" t="s">
        <v>133</v>
      </c>
      <c r="Q783" t="s">
        <v>113</v>
      </c>
      <c r="R783" t="s">
        <v>141</v>
      </c>
      <c r="S783">
        <v>41</v>
      </c>
      <c r="T783" t="s">
        <v>114</v>
      </c>
      <c r="V783" t="s">
        <v>147</v>
      </c>
    </row>
    <row r="784" spans="11:22" x14ac:dyDescent="0.25">
      <c r="K784" t="s">
        <v>131</v>
      </c>
      <c r="M784" t="s">
        <v>184</v>
      </c>
      <c r="N784" t="s">
        <v>134</v>
      </c>
      <c r="Q784" t="s">
        <v>113</v>
      </c>
      <c r="R784" t="s">
        <v>141</v>
      </c>
      <c r="S784">
        <v>41</v>
      </c>
      <c r="T784" t="s">
        <v>114</v>
      </c>
      <c r="V784" t="s">
        <v>147</v>
      </c>
    </row>
    <row r="786" spans="1:22" x14ac:dyDescent="0.25">
      <c r="A786" s="1" t="s">
        <v>254</v>
      </c>
      <c r="B786" s="1"/>
    </row>
    <row r="787" spans="1:22" x14ac:dyDescent="0.25">
      <c r="J787" t="s">
        <v>180</v>
      </c>
      <c r="Q787" t="s">
        <v>113</v>
      </c>
      <c r="R787" t="s">
        <v>141</v>
      </c>
      <c r="S787" s="6">
        <v>30</v>
      </c>
      <c r="T787" t="s">
        <v>114</v>
      </c>
      <c r="U787" s="6" t="s">
        <v>257</v>
      </c>
    </row>
    <row r="789" spans="1:22" x14ac:dyDescent="0.25">
      <c r="A789" s="2" t="s">
        <v>158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1" spans="1:22" x14ac:dyDescent="0.25">
      <c r="Q791" t="s">
        <v>148</v>
      </c>
      <c r="R791" t="s">
        <v>159</v>
      </c>
      <c r="S791">
        <v>1</v>
      </c>
      <c r="T791" t="s">
        <v>109</v>
      </c>
      <c r="U791" t="s">
        <v>155</v>
      </c>
      <c r="V791" t="s">
        <v>151</v>
      </c>
    </row>
    <row r="792" spans="1:22" x14ac:dyDescent="0.25">
      <c r="Q792" t="s">
        <v>148</v>
      </c>
      <c r="R792" t="s">
        <v>161</v>
      </c>
      <c r="S792">
        <v>1</v>
      </c>
      <c r="T792" t="s">
        <v>109</v>
      </c>
      <c r="U792" t="s">
        <v>156</v>
      </c>
      <c r="V792" t="s">
        <v>151</v>
      </c>
    </row>
    <row r="793" spans="1:22" x14ac:dyDescent="0.25">
      <c r="K793" t="s">
        <v>120</v>
      </c>
      <c r="N793" t="s">
        <v>149</v>
      </c>
      <c r="Q793" t="s">
        <v>148</v>
      </c>
      <c r="R793" t="s">
        <v>161</v>
      </c>
      <c r="S793">
        <v>2</v>
      </c>
      <c r="T793" t="s">
        <v>109</v>
      </c>
      <c r="U793" t="s">
        <v>152</v>
      </c>
      <c r="V793" t="s">
        <v>150</v>
      </c>
    </row>
    <row r="794" spans="1:22" x14ac:dyDescent="0.25">
      <c r="N794" t="s">
        <v>149</v>
      </c>
      <c r="Q794" t="s">
        <v>148</v>
      </c>
      <c r="R794" t="s">
        <v>161</v>
      </c>
      <c r="S794">
        <v>1</v>
      </c>
      <c r="T794" t="s">
        <v>109</v>
      </c>
      <c r="U794" t="s">
        <v>153</v>
      </c>
      <c r="V794" t="s">
        <v>150</v>
      </c>
    </row>
    <row r="795" spans="1:22" x14ac:dyDescent="0.25">
      <c r="Q795" t="s">
        <v>148</v>
      </c>
      <c r="R795" t="s">
        <v>160</v>
      </c>
      <c r="S795">
        <v>1</v>
      </c>
      <c r="T795" t="s">
        <v>109</v>
      </c>
      <c r="U795" t="s">
        <v>163</v>
      </c>
      <c r="V795" t="s">
        <v>151</v>
      </c>
    </row>
    <row r="796" spans="1:22" x14ac:dyDescent="0.25">
      <c r="Q796" t="s">
        <v>148</v>
      </c>
      <c r="R796" t="s">
        <v>162</v>
      </c>
      <c r="S796">
        <v>1</v>
      </c>
      <c r="T796" t="s">
        <v>109</v>
      </c>
      <c r="U796" t="s">
        <v>154</v>
      </c>
      <c r="V796" t="s">
        <v>151</v>
      </c>
    </row>
    <row r="798" spans="1:22" x14ac:dyDescent="0.25">
      <c r="Q798" t="s">
        <v>148</v>
      </c>
      <c r="R798" t="s">
        <v>166</v>
      </c>
      <c r="S798">
        <v>0</v>
      </c>
      <c r="T798" t="s">
        <v>167</v>
      </c>
      <c r="U798" t="s">
        <v>305</v>
      </c>
    </row>
    <row r="799" spans="1:22" x14ac:dyDescent="0.25">
      <c r="E799" t="s">
        <v>175</v>
      </c>
      <c r="Q799" t="s">
        <v>148</v>
      </c>
      <c r="R799" t="s">
        <v>166</v>
      </c>
      <c r="S799">
        <v>13</v>
      </c>
      <c r="T799" t="s">
        <v>167</v>
      </c>
      <c r="V799" t="s">
        <v>151</v>
      </c>
    </row>
    <row r="801" spans="1:22" x14ac:dyDescent="0.25">
      <c r="A801" s="2" t="s">
        <v>169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3" spans="1:22" x14ac:dyDescent="0.25">
      <c r="E803" t="s">
        <v>175</v>
      </c>
      <c r="Q803" t="s">
        <v>173</v>
      </c>
      <c r="R803" t="s">
        <v>170</v>
      </c>
      <c r="S803">
        <v>0.24</v>
      </c>
      <c r="T803" t="s">
        <v>172</v>
      </c>
      <c r="V803" t="s">
        <v>171</v>
      </c>
    </row>
    <row r="804" spans="1:22" x14ac:dyDescent="0.25">
      <c r="E804" t="s">
        <v>176</v>
      </c>
      <c r="Q804" t="s">
        <v>173</v>
      </c>
      <c r="R804" t="s">
        <v>170</v>
      </c>
      <c r="S804">
        <v>0.24</v>
      </c>
      <c r="T804" t="s">
        <v>172</v>
      </c>
      <c r="V804" t="s">
        <v>171</v>
      </c>
    </row>
    <row r="805" spans="1:22" x14ac:dyDescent="0.25">
      <c r="E805" t="s">
        <v>177</v>
      </c>
      <c r="Q805" t="s">
        <v>173</v>
      </c>
      <c r="R805" t="s">
        <v>170</v>
      </c>
      <c r="S805">
        <v>0</v>
      </c>
      <c r="T805" t="s">
        <v>172</v>
      </c>
      <c r="U805" t="s">
        <v>178</v>
      </c>
    </row>
    <row r="807" spans="1:22" x14ac:dyDescent="0.25">
      <c r="A807" s="27" t="s">
        <v>306</v>
      </c>
      <c r="B807" s="27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9" spans="1:22" x14ac:dyDescent="0.25">
      <c r="I809" t="s">
        <v>326</v>
      </c>
      <c r="R809" t="s">
        <v>324</v>
      </c>
      <c r="S809" s="11">
        <f>213/(213 + 60)*100</f>
        <v>78.021978021978029</v>
      </c>
      <c r="T809" t="s">
        <v>97</v>
      </c>
      <c r="V809" t="s">
        <v>325</v>
      </c>
    </row>
    <row r="810" spans="1:22" x14ac:dyDescent="0.25">
      <c r="I810" t="s">
        <v>340</v>
      </c>
      <c r="R810" t="s">
        <v>324</v>
      </c>
      <c r="S810" s="11">
        <f>60/(213 + 60)*100</f>
        <v>21.978021978021978</v>
      </c>
      <c r="T810" t="s">
        <v>97</v>
      </c>
      <c r="V810" t="s">
        <v>325</v>
      </c>
    </row>
    <row r="812" spans="1:22" x14ac:dyDescent="0.25">
      <c r="I812" t="s">
        <v>326</v>
      </c>
      <c r="R812" t="s">
        <v>327</v>
      </c>
      <c r="S812">
        <v>45</v>
      </c>
      <c r="T812" t="s">
        <v>97</v>
      </c>
      <c r="V812" t="s">
        <v>328</v>
      </c>
    </row>
    <row r="813" spans="1:22" x14ac:dyDescent="0.25">
      <c r="I813" t="s">
        <v>340</v>
      </c>
      <c r="R813" t="s">
        <v>327</v>
      </c>
      <c r="S813">
        <v>48</v>
      </c>
      <c r="T813" t="s">
        <v>97</v>
      </c>
      <c r="V813" t="s">
        <v>328</v>
      </c>
    </row>
    <row r="815" spans="1:22" x14ac:dyDescent="0.25">
      <c r="R815" t="s">
        <v>307</v>
      </c>
      <c r="S815" s="30">
        <f>S822</f>
        <v>-5.9999999999999995E-4</v>
      </c>
      <c r="T815" t="s">
        <v>310</v>
      </c>
      <c r="U815" t="s">
        <v>323</v>
      </c>
      <c r="V815" t="s">
        <v>314</v>
      </c>
    </row>
    <row r="816" spans="1:22" x14ac:dyDescent="0.25">
      <c r="A816" t="s">
        <v>37</v>
      </c>
      <c r="G816" t="s">
        <v>142</v>
      </c>
      <c r="R816" t="s">
        <v>307</v>
      </c>
      <c r="S816" s="29">
        <f>-(45.5*0.1+10.7*0.9)/1000</f>
        <v>-1.418E-2</v>
      </c>
      <c r="T816" t="s">
        <v>310</v>
      </c>
      <c r="U816" t="s">
        <v>341</v>
      </c>
      <c r="V816" t="s">
        <v>314</v>
      </c>
    </row>
    <row r="817" spans="1:22" x14ac:dyDescent="0.25">
      <c r="A817" t="s">
        <v>38</v>
      </c>
      <c r="G817" t="s">
        <v>142</v>
      </c>
      <c r="R817" t="s">
        <v>307</v>
      </c>
      <c r="S817" s="33">
        <f>S816</f>
        <v>-1.418E-2</v>
      </c>
      <c r="T817" t="s">
        <v>310</v>
      </c>
    </row>
    <row r="818" spans="1:22" x14ac:dyDescent="0.25">
      <c r="A818" t="s">
        <v>37</v>
      </c>
      <c r="G818" t="s">
        <v>98</v>
      </c>
      <c r="R818" t="s">
        <v>307</v>
      </c>
      <c r="S818" s="29">
        <f>-(45.5*0.4+10.7*0.6)/1000</f>
        <v>-2.4619999999999996E-2</v>
      </c>
      <c r="T818" t="s">
        <v>310</v>
      </c>
      <c r="U818" t="s">
        <v>342</v>
      </c>
      <c r="V818" t="s">
        <v>314</v>
      </c>
    </row>
    <row r="819" spans="1:22" x14ac:dyDescent="0.25">
      <c r="A819" t="s">
        <v>38</v>
      </c>
      <c r="G819" t="s">
        <v>98</v>
      </c>
      <c r="R819" t="s">
        <v>307</v>
      </c>
      <c r="S819" s="33">
        <f>S818</f>
        <v>-2.4619999999999996E-2</v>
      </c>
      <c r="T819" t="s">
        <v>310</v>
      </c>
    </row>
    <row r="820" spans="1:22" x14ac:dyDescent="0.25">
      <c r="A820" s="4" t="s">
        <v>40</v>
      </c>
      <c r="B820" s="4"/>
      <c r="R820" t="s">
        <v>307</v>
      </c>
      <c r="S820" s="4">
        <f>-10.7/1000</f>
        <v>-1.0699999999999999E-2</v>
      </c>
      <c r="T820" t="s">
        <v>310</v>
      </c>
      <c r="U820" t="s">
        <v>321</v>
      </c>
      <c r="V820" t="s">
        <v>314</v>
      </c>
    </row>
    <row r="821" spans="1:22" x14ac:dyDescent="0.25">
      <c r="A821" s="4" t="s">
        <v>41</v>
      </c>
      <c r="B821" s="4"/>
      <c r="R821" t="s">
        <v>307</v>
      </c>
      <c r="S821" s="4">
        <f>-10.7/1000</f>
        <v>-1.0699999999999999E-2</v>
      </c>
      <c r="T821" t="s">
        <v>310</v>
      </c>
      <c r="U821" t="s">
        <v>321</v>
      </c>
      <c r="V821" t="s">
        <v>314</v>
      </c>
    </row>
    <row r="822" spans="1:22" x14ac:dyDescent="0.25">
      <c r="C822" t="s">
        <v>226</v>
      </c>
      <c r="R822" t="s">
        <v>307</v>
      </c>
      <c r="S822">
        <f>-0.6/1000</f>
        <v>-5.9999999999999995E-4</v>
      </c>
      <c r="T822" t="s">
        <v>310</v>
      </c>
      <c r="V822" t="s">
        <v>314</v>
      </c>
    </row>
    <row r="823" spans="1:22" x14ac:dyDescent="0.25">
      <c r="B823" t="s">
        <v>337</v>
      </c>
      <c r="R823" t="s">
        <v>307</v>
      </c>
      <c r="S823" s="29">
        <f>-20*0.45/0.85/1000</f>
        <v>-1.0588235294117647E-2</v>
      </c>
      <c r="T823" t="s">
        <v>310</v>
      </c>
      <c r="U823" t="s">
        <v>339</v>
      </c>
      <c r="V823" t="s">
        <v>338</v>
      </c>
    </row>
    <row r="825" spans="1:22" x14ac:dyDescent="0.25">
      <c r="D825" t="s">
        <v>313</v>
      </c>
      <c r="R825" t="s">
        <v>308</v>
      </c>
      <c r="S825">
        <f>-9.2/1000</f>
        <v>-9.1999999999999998E-3</v>
      </c>
      <c r="T825" t="s">
        <v>310</v>
      </c>
      <c r="V825" t="s">
        <v>314</v>
      </c>
    </row>
    <row r="827" spans="1:22" x14ac:dyDescent="0.25">
      <c r="I827" t="s">
        <v>107</v>
      </c>
      <c r="R827" t="s">
        <v>316</v>
      </c>
      <c r="S827" s="31">
        <v>-0.5</v>
      </c>
      <c r="T827" t="s">
        <v>311</v>
      </c>
      <c r="V827" t="s">
        <v>320</v>
      </c>
    </row>
    <row r="828" spans="1:22" x14ac:dyDescent="0.25">
      <c r="I828" t="s">
        <v>108</v>
      </c>
      <c r="R828" t="s">
        <v>316</v>
      </c>
      <c r="S828" s="31">
        <v>-1</v>
      </c>
      <c r="T828" t="s">
        <v>311</v>
      </c>
      <c r="V828" t="s">
        <v>320</v>
      </c>
    </row>
    <row r="829" spans="1:22" x14ac:dyDescent="0.25">
      <c r="I829" t="s">
        <v>208</v>
      </c>
      <c r="R829" t="s">
        <v>316</v>
      </c>
      <c r="S829" s="22">
        <v>-1</v>
      </c>
      <c r="T829" t="s">
        <v>311</v>
      </c>
      <c r="U829" t="s">
        <v>322</v>
      </c>
    </row>
    <row r="830" spans="1:22" x14ac:dyDescent="0.25">
      <c r="R830" t="s">
        <v>318</v>
      </c>
      <c r="S830" s="22">
        <f>-0.4 / ( (2*30.97) / (2*30.97 + 5*16) )</f>
        <v>-0.91662899580238943</v>
      </c>
      <c r="T830" t="s">
        <v>319</v>
      </c>
      <c r="U830" s="32" t="s">
        <v>334</v>
      </c>
      <c r="V830" t="s">
        <v>336</v>
      </c>
    </row>
    <row r="831" spans="1:22" x14ac:dyDescent="0.25">
      <c r="R831" t="s">
        <v>317</v>
      </c>
      <c r="S831" s="22">
        <f>0.6 / ( (2*39.1) / (2*39.1 + 16) )</f>
        <v>0.72276214833759589</v>
      </c>
      <c r="T831" t="s">
        <v>319</v>
      </c>
      <c r="U831" s="32" t="s">
        <v>335</v>
      </c>
      <c r="V831" t="s">
        <v>336</v>
      </c>
    </row>
    <row r="833" spans="9:22" x14ac:dyDescent="0.25">
      <c r="R833" t="s">
        <v>309</v>
      </c>
      <c r="S833" s="31">
        <f>3/5</f>
        <v>0.6</v>
      </c>
      <c r="T833" t="s">
        <v>311</v>
      </c>
      <c r="U833" t="s">
        <v>315</v>
      </c>
      <c r="V833" t="s">
        <v>314</v>
      </c>
    </row>
    <row r="835" spans="9:22" x14ac:dyDescent="0.25">
      <c r="I835" t="s">
        <v>326</v>
      </c>
      <c r="Q835" t="s">
        <v>330</v>
      </c>
      <c r="R835" t="s">
        <v>332</v>
      </c>
      <c r="S835" s="31">
        <f>0.12*(44/12)</f>
        <v>0.43999999999999995</v>
      </c>
      <c r="T835" t="s">
        <v>331</v>
      </c>
    </row>
    <row r="836" spans="9:22" x14ac:dyDescent="0.25">
      <c r="I836" t="s">
        <v>340</v>
      </c>
      <c r="Q836" t="s">
        <v>330</v>
      </c>
      <c r="R836" t="s">
        <v>332</v>
      </c>
      <c r="S836" s="31">
        <f>0.13*(44/12)</f>
        <v>0.47666666666666668</v>
      </c>
      <c r="T836" t="s">
        <v>331</v>
      </c>
    </row>
    <row r="837" spans="9:22" x14ac:dyDescent="0.25">
      <c r="S837" s="11"/>
    </row>
  </sheetData>
  <hyperlinks>
    <hyperlink ref="V479" r:id="rId1"/>
    <hyperlink ref="V70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2024-12-10T11:17:11Z</dcterms:modified>
</cp:coreProperties>
</file>