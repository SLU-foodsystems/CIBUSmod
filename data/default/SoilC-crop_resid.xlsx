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nka0003\Git repos\CIBUSmod\data\default\"/>
    </mc:Choice>
  </mc:AlternateContent>
  <xr:revisionPtr revIDLastSave="0" documentId="13_ncr:1_{4742B5F9-86CF-4B1F-87DF-F3428393CDE6}" xr6:coauthVersionLast="47" xr6:coauthVersionMax="47" xr10:uidLastSave="{00000000-0000-0000-0000-000000000000}"/>
  <bookViews>
    <workbookView xWindow="-28920" yWindow="1725" windowWidth="29040" windowHeight="15720" xr2:uid="{00000000-000D-0000-FFFF-FFFF00000000}"/>
  </bookViews>
  <sheets>
    <sheet name="data" sheetId="1" r:id="rId1"/>
    <sheet name="referen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2" i="1"/>
  <c r="V20" i="1"/>
  <c r="H20" i="1" s="1"/>
  <c r="G20" i="1"/>
  <c r="F20" i="1"/>
  <c r="E20" i="1"/>
  <c r="V19" i="1"/>
  <c r="H19" i="1" s="1"/>
  <c r="G19" i="1"/>
  <c r="F19" i="1"/>
  <c r="E19" i="1"/>
  <c r="H18" i="1"/>
  <c r="G18" i="1"/>
  <c r="F18" i="1"/>
  <c r="E18" i="1"/>
  <c r="V18" i="1"/>
  <c r="L53" i="1"/>
  <c r="K53" i="1"/>
  <c r="J53" i="1"/>
  <c r="I53" i="1"/>
  <c r="H53" i="1"/>
  <c r="G53" i="1"/>
  <c r="F53" i="1"/>
  <c r="E53" i="1"/>
  <c r="L52" i="1"/>
  <c r="K52" i="1"/>
  <c r="J52" i="1"/>
  <c r="I52" i="1"/>
  <c r="H52" i="1"/>
  <c r="G52" i="1"/>
  <c r="F52" i="1"/>
  <c r="E52" i="1"/>
  <c r="E43" i="1"/>
  <c r="F43" i="1"/>
  <c r="G43" i="1"/>
  <c r="H43" i="1"/>
  <c r="I43" i="1"/>
  <c r="J43" i="1"/>
  <c r="K43" i="1"/>
  <c r="L43" i="1"/>
  <c r="E44" i="1"/>
  <c r="F44" i="1"/>
  <c r="G44" i="1"/>
  <c r="H44" i="1"/>
  <c r="I44" i="1"/>
  <c r="J44" i="1"/>
  <c r="K44" i="1"/>
  <c r="L44" i="1"/>
  <c r="E45" i="1"/>
  <c r="F45" i="1"/>
  <c r="G45" i="1"/>
  <c r="H45" i="1"/>
  <c r="I45" i="1"/>
  <c r="J45" i="1"/>
  <c r="K45" i="1"/>
  <c r="L45" i="1"/>
  <c r="E46" i="1"/>
  <c r="F46" i="1"/>
  <c r="G46" i="1"/>
  <c r="H46" i="1"/>
  <c r="I46" i="1"/>
  <c r="J46" i="1"/>
  <c r="K46" i="1"/>
  <c r="L46" i="1"/>
  <c r="F42" i="1"/>
  <c r="G42" i="1"/>
  <c r="H42" i="1"/>
  <c r="I42" i="1"/>
  <c r="J42" i="1"/>
  <c r="K42" i="1"/>
  <c r="L42" i="1"/>
  <c r="E42" i="1"/>
  <c r="L24" i="1"/>
  <c r="K24" i="1"/>
  <c r="J24" i="1"/>
  <c r="I24" i="1"/>
  <c r="H24" i="1"/>
  <c r="G24" i="1"/>
  <c r="F24" i="1"/>
  <c r="E24" i="1"/>
  <c r="F54" i="1"/>
  <c r="F47" i="1"/>
  <c r="K41" i="1"/>
  <c r="J41" i="1"/>
  <c r="I31" i="1" l="1"/>
  <c r="I30" i="1"/>
  <c r="I29" i="1"/>
  <c r="I26" i="1"/>
  <c r="I25" i="1"/>
  <c r="N70" i="1"/>
  <c r="G70" i="1" s="1"/>
  <c r="N69" i="1"/>
  <c r="E69" i="1" s="1"/>
  <c r="N58" i="1"/>
  <c r="F69" i="1"/>
  <c r="G69" i="1"/>
  <c r="H69" i="1"/>
  <c r="E70" i="1"/>
  <c r="F70" i="1"/>
  <c r="H70" i="1"/>
  <c r="E61" i="1"/>
  <c r="F61" i="1"/>
  <c r="G61" i="1"/>
  <c r="H61" i="1"/>
  <c r="E62" i="1"/>
  <c r="F62" i="1"/>
  <c r="G62" i="1"/>
  <c r="H62" i="1"/>
  <c r="E63" i="1"/>
  <c r="F63" i="1"/>
  <c r="G63" i="1"/>
  <c r="H63" i="1"/>
  <c r="E64" i="1"/>
  <c r="F64" i="1"/>
  <c r="G64" i="1"/>
  <c r="H64" i="1"/>
  <c r="E65" i="1"/>
  <c r="F65" i="1"/>
  <c r="G65" i="1"/>
  <c r="H65" i="1"/>
  <c r="E66" i="1"/>
  <c r="F66" i="1"/>
  <c r="G66" i="1"/>
  <c r="H66" i="1"/>
  <c r="E67" i="1"/>
  <c r="F67" i="1"/>
  <c r="G67" i="1"/>
  <c r="H67" i="1"/>
  <c r="K31" i="1"/>
  <c r="K30" i="1"/>
  <c r="K29" i="1"/>
  <c r="K28" i="1"/>
  <c r="K27" i="1"/>
  <c r="K26" i="1"/>
  <c r="K25" i="1"/>
  <c r="K23" i="1"/>
  <c r="I28" i="1"/>
  <c r="I27" i="1"/>
  <c r="K22" i="1"/>
  <c r="I22" i="1"/>
  <c r="I23" i="1"/>
  <c r="F4" i="1"/>
  <c r="E60" i="1" s="1"/>
  <c r="F3" i="1"/>
  <c r="G59" i="1" s="1"/>
  <c r="F2" i="1"/>
  <c r="G58" i="1" s="1"/>
  <c r="F21" i="1"/>
  <c r="F17" i="1"/>
  <c r="F16" i="1"/>
  <c r="E59" i="1" l="1"/>
  <c r="F59" i="1"/>
  <c r="H58" i="1"/>
  <c r="H60" i="1"/>
  <c r="E58" i="1"/>
  <c r="F58" i="1"/>
  <c r="G60" i="1"/>
  <c r="F60" i="1"/>
  <c r="H59" i="1"/>
  <c r="F51" i="1"/>
  <c r="F49" i="1"/>
  <c r="F48" i="1"/>
  <c r="F15" i="1"/>
  <c r="F14" i="1"/>
  <c r="F13" i="1"/>
  <c r="F12" i="1"/>
</calcChain>
</file>

<file path=xl/sharedStrings.xml><?xml version="1.0" encoding="utf-8"?>
<sst xmlns="http://schemas.openxmlformats.org/spreadsheetml/2006/main" count="172" uniqueCount="125">
  <si>
    <t>f_crop</t>
  </si>
  <si>
    <t>C_frac</t>
  </si>
  <si>
    <t>R_P</t>
  </si>
  <si>
    <t>R_S</t>
  </si>
  <si>
    <t>R_R</t>
  </si>
  <si>
    <t>R_E</t>
  </si>
  <si>
    <t>S_P</t>
  </si>
  <si>
    <t>S_S</t>
  </si>
  <si>
    <t>S_R</t>
  </si>
  <si>
    <t>S_E</t>
  </si>
  <si>
    <t>Wheat, winter</t>
  </si>
  <si>
    <t>Wheat, spring</t>
  </si>
  <si>
    <t>Rye</t>
  </si>
  <si>
    <t>Barley, winter</t>
  </si>
  <si>
    <t>Barley, spring</t>
  </si>
  <si>
    <t>Oats</t>
  </si>
  <si>
    <t>Triticale, winter</t>
  </si>
  <si>
    <t>Triticale, spring</t>
  </si>
  <si>
    <t>Maize (corn)</t>
  </si>
  <si>
    <t>Mixed cereals</t>
  </si>
  <si>
    <t>Peas, dry</t>
  </si>
  <si>
    <t>Peas, green</t>
  </si>
  <si>
    <t>Broad beans and horse beans, dry</t>
  </si>
  <si>
    <t>Beans, dry</t>
  </si>
  <si>
    <t>Rapeseed, winter</t>
  </si>
  <si>
    <t>Rapeseed, spring</t>
  </si>
  <si>
    <t>Potatoes, table</t>
  </si>
  <si>
    <t>Potatoes, starch</t>
  </si>
  <si>
    <t>Sugar beet</t>
  </si>
  <si>
    <t>Ley for seed</t>
  </si>
  <si>
    <t>Fallow</t>
  </si>
  <si>
    <t>Energy grass</t>
  </si>
  <si>
    <t>Short rotation coppice</t>
  </si>
  <si>
    <t>Green manure</t>
  </si>
  <si>
    <t>Ley for fodder</t>
  </si>
  <si>
    <t>Ley for grazing</t>
  </si>
  <si>
    <t>Ley not harvested</t>
  </si>
  <si>
    <t>Maize for forage and silage</t>
  </si>
  <si>
    <t>Cereals for fodder</t>
  </si>
  <si>
    <t>Other crops for fodder</t>
  </si>
  <si>
    <t>Onions</t>
  </si>
  <si>
    <t>Carrots</t>
  </si>
  <si>
    <t>Other root vegetables</t>
  </si>
  <si>
    <t>Lettuce and spinach</t>
  </si>
  <si>
    <t>Cabbages, cauliflowers and broccoli</t>
  </si>
  <si>
    <t>Cucumbers</t>
  </si>
  <si>
    <t>Pumpkins and squash</t>
  </si>
  <si>
    <t>Herbs</t>
  </si>
  <si>
    <t>Other vegetables</t>
  </si>
  <si>
    <t>Strawberries</t>
  </si>
  <si>
    <t>Currants</t>
  </si>
  <si>
    <t>Other berries</t>
  </si>
  <si>
    <t>Apples</t>
  </si>
  <si>
    <t>Pears</t>
  </si>
  <si>
    <t>Other fruit</t>
  </si>
  <si>
    <t>Quinoa</t>
  </si>
  <si>
    <t>Sweet lupin</t>
  </si>
  <si>
    <t>Grey pea</t>
  </si>
  <si>
    <t>Sunflower seeds</t>
  </si>
  <si>
    <t>Lentils, dry</t>
  </si>
  <si>
    <t>Hazelnuts</t>
  </si>
  <si>
    <t>Walnuts</t>
  </si>
  <si>
    <t>Buckwheat</t>
  </si>
  <si>
    <t>Jacobs et al 2020: Fodder and vegetable legumes (grains)</t>
  </si>
  <si>
    <t>Jacobs et al 2020: Grassland/pasture</t>
  </si>
  <si>
    <t>Jacobs et al 2020: Oilseed rape</t>
  </si>
  <si>
    <t>Jacobs et al 2020: Clover (seeds)</t>
  </si>
  <si>
    <t>yield_to_biomass</t>
  </si>
  <si>
    <t>Bolinder et al 2007: Silage-corn</t>
  </si>
  <si>
    <t>Jacobs et al 2020: Winter wheat</t>
  </si>
  <si>
    <t>Jacobs et al 2020: Other spring cereals</t>
  </si>
  <si>
    <t>Jacobs et al 2020: Winter rye</t>
  </si>
  <si>
    <t>years to break</t>
  </si>
  <si>
    <t>Jacobs et al 2020: Perennial forages</t>
  </si>
  <si>
    <t>Jacobs et al 2020: Grass species</t>
  </si>
  <si>
    <t>Jacobs et al 2020: Legume species</t>
  </si>
  <si>
    <t>f_prod_system</t>
  </si>
  <si>
    <t>organic</t>
  </si>
  <si>
    <t>root:shoot factor</t>
  </si>
  <si>
    <t>Title</t>
  </si>
  <si>
    <t>DOI/URL</t>
  </si>
  <si>
    <t>Author (year)</t>
  </si>
  <si>
    <t>Enhanced root carbon allocation through organic farming is restricted to topsoils</t>
  </si>
  <si>
    <t>https://doi.org/10.1016/j.scitotenv.2020.143551</t>
  </si>
  <si>
    <t>Hirte et al (2021)</t>
  </si>
  <si>
    <t>https://doi.org/10.1007/s10705-020-10087-5</t>
  </si>
  <si>
    <t>Jacobs et al (2020)</t>
  </si>
  <si>
    <t>Exports and inputs of organic carbon on agricultural soils in Germany</t>
  </si>
  <si>
    <t>An approach for estimating net primary productivity and annual carbon inputs to soil for common agricultural crops in Canada</t>
  </si>
  <si>
    <t>https://doi.org/10.1016/j.agee.2006.05.013</t>
  </si>
  <si>
    <t>Bolinder et al (2007)</t>
  </si>
  <si>
    <t>Meurer et al (2019)</t>
  </si>
  <si>
    <t>Shoot and root production in mixed grass ley under daily fertilization and irrigation: validating the N productivity concept under field conditions</t>
  </si>
  <si>
    <t>https://doi.org/10.1007/s10705-019-10006-3</t>
  </si>
  <si>
    <t>Meurer et al (2019), Table 1</t>
  </si>
  <si>
    <t>Based on difference between root:shoot in conventional vs organic</t>
  </si>
  <si>
    <t>Hirte et al (2021), Fig. 1</t>
  </si>
  <si>
    <t>Accounting for different root:shoot in organic vs conventional agriculture</t>
  </si>
  <si>
    <t>Assuming that half root:shoot difference observed</t>
  </si>
  <si>
    <t>is representative for organic vs conventional farming</t>
  </si>
  <si>
    <t>winter wheat fields in northern Switzerland on 24 commercial farms</t>
  </si>
  <si>
    <t>between fertilised (C1) and unfertilised (C0) treatments</t>
  </si>
  <si>
    <t>Assumes three year rotation</t>
  </si>
  <si>
    <t>Jacobs et al 2020: Onion</t>
  </si>
  <si>
    <t>Jacobs et al 2020: Carrot</t>
  </si>
  <si>
    <t>Jacobs et al 2020: Beetroot</t>
  </si>
  <si>
    <t>Jacobs et al 2020: Salad</t>
  </si>
  <si>
    <t>Jacobs et al 2020: White cabbage &amp; ‘other vegetables’</t>
  </si>
  <si>
    <t>Jacobs et al 2020: Cucumber</t>
  </si>
  <si>
    <t>Jacobs et al 2020: Pumpkin</t>
  </si>
  <si>
    <t>Jacobs et al 2020: Herbs</t>
  </si>
  <si>
    <t>Jacobs et al 2020: Strawberries</t>
  </si>
  <si>
    <t>Same as Fallow for now just to have something</t>
  </si>
  <si>
    <t>Jacobs et al 2020: Sunflower &amp; ‘other’ oil crops</t>
  </si>
  <si>
    <t>Same as Strawberries for now just to have something</t>
  </si>
  <si>
    <t>Net primary productivity and below-ground crop residue inputs for root crops: Potato (Solanum tuberosum L.) and sugar beet (Beta vulgaris L.)</t>
  </si>
  <si>
    <t>https://doi.org/10.4141/cjss-2014-091</t>
  </si>
  <si>
    <t>Bolinder et al (2015)</t>
  </si>
  <si>
    <t>Bolinder et al (2015); R_E=R_R*0.65</t>
  </si>
  <si>
    <t>rhizodep</t>
  </si>
  <si>
    <t>Jacobs et al 2020: Winter barley</t>
  </si>
  <si>
    <t>Jacobs et al 2020: Spring barley</t>
  </si>
  <si>
    <t>Jacobs et al 2020: Oat</t>
  </si>
  <si>
    <t>Jacobs et al 2020: Winter triticale</t>
  </si>
  <si>
    <t>Jacobs et al 2020: Corn, sweet 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</si>
</sst>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4"/>
      <name val="Calibri"/>
      <family val="2"/>
      <scheme val="minor"/>
    </font>
    <font>
      <b/>
      <u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5" fillId="0" borderId="0" xfId="0" applyFont="1"/>
    <xf numFmtId="0" fontId="3" fillId="0" borderId="0" xfId="0" applyFont="1"/>
    <xf numFmtId="2" fontId="0" fillId="0" borderId="0" xfId="0" applyNumberFormat="1"/>
    <xf numFmtId="0" fontId="5" fillId="0" borderId="0" xfId="0" applyFont="1" applyAlignment="1">
      <alignment horizontal="center"/>
    </xf>
    <xf numFmtId="0" fontId="6" fillId="0" borderId="0" xfId="1"/>
    <xf numFmtId="0" fontId="7" fillId="0" borderId="0" xfId="0" applyFont="1"/>
    <xf numFmtId="0" fontId="8" fillId="2" borderId="0" xfId="0" applyFont="1" applyFill="1"/>
    <xf numFmtId="0" fontId="2" fillId="2" borderId="0" xfId="0" applyFont="1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2" borderId="0" xfId="0" applyFill="1"/>
    <xf numFmtId="2" fontId="0" fillId="2" borderId="0" xfId="0" applyNumberFormat="1" applyFill="1"/>
    <xf numFmtId="0" fontId="2" fillId="0" borderId="0" xfId="0" applyFont="1" applyAlignment="1">
      <alignment horizontal="center"/>
    </xf>
    <xf numFmtId="0" fontId="4" fillId="0" borderId="0" xfId="0" applyFont="1"/>
    <xf numFmtId="0" fontId="9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0" xfId="0" applyNumberFormat="1" applyFont="1"/>
    <xf numFmtId="164" fontId="4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agee.2006.05.013" TargetMode="External"/><Relationship Id="rId2" Type="http://schemas.openxmlformats.org/officeDocument/2006/relationships/hyperlink" Target="https://doi.org/10.1007/s10705-020-10087-5" TargetMode="External"/><Relationship Id="rId1" Type="http://schemas.openxmlformats.org/officeDocument/2006/relationships/hyperlink" Target="https://doi.org/10.1016/j.scitotenv.2020.143551" TargetMode="External"/><Relationship Id="rId5" Type="http://schemas.openxmlformats.org/officeDocument/2006/relationships/hyperlink" Target="https://doi.org/10.4141/cjss-2014-091" TargetMode="External"/><Relationship Id="rId4" Type="http://schemas.openxmlformats.org/officeDocument/2006/relationships/hyperlink" Target="https://doi.org/10.1007/s10705-019-10006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7"/>
  <sheetViews>
    <sheetView tabSelected="1" workbookViewId="0">
      <selection activeCell="D26" sqref="D26"/>
    </sheetView>
  </sheetViews>
  <sheetFormatPr defaultRowHeight="15" x14ac:dyDescent="0.25"/>
  <cols>
    <col min="1" max="1" width="33.140625" bestFit="1" customWidth="1"/>
    <col min="2" max="2" width="16.140625" customWidth="1"/>
    <col min="3" max="3" width="9.140625" style="2"/>
    <col min="4" max="4" width="11.42578125" style="2" customWidth="1"/>
    <col min="5" max="12" width="9.140625" style="2"/>
  </cols>
  <sheetData>
    <row r="1" spans="1:24" x14ac:dyDescent="0.25">
      <c r="A1" t="s">
        <v>0</v>
      </c>
      <c r="B1" t="s">
        <v>76</v>
      </c>
      <c r="C1" s="2" t="s">
        <v>1</v>
      </c>
      <c r="D1" s="2" t="s">
        <v>67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N1" s="2"/>
      <c r="T1" s="12"/>
      <c r="X1" s="30" t="s">
        <v>119</v>
      </c>
    </row>
    <row r="2" spans="1:24" x14ac:dyDescent="0.25">
      <c r="A2" t="s">
        <v>10</v>
      </c>
      <c r="C2" s="2">
        <v>0.45</v>
      </c>
      <c r="D2" s="2">
        <v>1</v>
      </c>
      <c r="E2" s="3">
        <v>0.41699999999999998</v>
      </c>
      <c r="F2" s="3">
        <f>0.284+0.05</f>
        <v>0.33399999999999996</v>
      </c>
      <c r="G2" s="3">
        <v>0.19</v>
      </c>
      <c r="H2" s="3">
        <v>5.8999999999999997E-2</v>
      </c>
      <c r="I2" s="4">
        <v>0</v>
      </c>
      <c r="J2" s="4">
        <v>1</v>
      </c>
      <c r="K2" s="4">
        <v>1</v>
      </c>
      <c r="L2" s="4">
        <v>1</v>
      </c>
      <c r="N2" t="s">
        <v>69</v>
      </c>
      <c r="T2" s="13"/>
      <c r="X2" s="31">
        <f>H2/G2</f>
        <v>0.31052631578947365</v>
      </c>
    </row>
    <row r="3" spans="1:24" x14ac:dyDescent="0.25">
      <c r="A3" t="s">
        <v>11</v>
      </c>
      <c r="C3" s="2">
        <v>0.45</v>
      </c>
      <c r="D3" s="2">
        <v>1</v>
      </c>
      <c r="E3" s="3">
        <v>0.42199999999999999</v>
      </c>
      <c r="F3" s="3">
        <f>0.268+0.047</f>
        <v>0.315</v>
      </c>
      <c r="G3" s="3">
        <v>0.2</v>
      </c>
      <c r="H3" s="3">
        <v>6.2E-2</v>
      </c>
      <c r="I3" s="4">
        <v>0</v>
      </c>
      <c r="J3" s="4">
        <v>1</v>
      </c>
      <c r="K3" s="4">
        <v>1</v>
      </c>
      <c r="L3" s="4">
        <v>1</v>
      </c>
      <c r="N3" t="s">
        <v>70</v>
      </c>
      <c r="T3" s="13"/>
      <c r="X3" s="31">
        <f t="shared" ref="X3:X54" si="0">H3/G3</f>
        <v>0.31</v>
      </c>
    </row>
    <row r="4" spans="1:24" x14ac:dyDescent="0.25">
      <c r="A4" t="s">
        <v>12</v>
      </c>
      <c r="C4" s="2">
        <v>0.45</v>
      </c>
      <c r="D4" s="2">
        <v>1</v>
      </c>
      <c r="E4" s="3">
        <v>0.40400000000000003</v>
      </c>
      <c r="F4" s="3">
        <f>0.308+0.054</f>
        <v>0.36199999999999999</v>
      </c>
      <c r="G4" s="3">
        <v>0.17799999999999999</v>
      </c>
      <c r="H4" s="3">
        <v>5.5E-2</v>
      </c>
      <c r="I4" s="4">
        <v>0</v>
      </c>
      <c r="J4" s="4">
        <v>1</v>
      </c>
      <c r="K4" s="4">
        <v>1</v>
      </c>
      <c r="L4" s="4">
        <v>1</v>
      </c>
      <c r="N4" t="s">
        <v>71</v>
      </c>
      <c r="T4" s="13"/>
      <c r="X4" s="31">
        <f t="shared" si="0"/>
        <v>0.30898876404494385</v>
      </c>
    </row>
    <row r="5" spans="1:24" x14ac:dyDescent="0.25">
      <c r="A5" t="s">
        <v>13</v>
      </c>
      <c r="C5" s="2">
        <v>0.45</v>
      </c>
      <c r="D5" s="2">
        <v>1</v>
      </c>
      <c r="E5" s="3">
        <v>0.44400000000000001</v>
      </c>
      <c r="F5" s="3">
        <v>0.32800000000000001</v>
      </c>
      <c r="G5" s="3">
        <v>0.17399999999999999</v>
      </c>
      <c r="H5" s="3">
        <v>5.3999999999999999E-2</v>
      </c>
      <c r="I5" s="4">
        <v>0</v>
      </c>
      <c r="J5" s="4">
        <v>1</v>
      </c>
      <c r="K5" s="4">
        <v>1</v>
      </c>
      <c r="L5" s="4">
        <v>1</v>
      </c>
      <c r="N5" t="s">
        <v>120</v>
      </c>
      <c r="T5" s="13"/>
      <c r="X5" s="31">
        <f t="shared" si="0"/>
        <v>0.31034482758620691</v>
      </c>
    </row>
    <row r="6" spans="1:24" x14ac:dyDescent="0.25">
      <c r="A6" t="s">
        <v>14</v>
      </c>
      <c r="C6" s="2">
        <v>0.45</v>
      </c>
      <c r="D6" s="2">
        <v>1</v>
      </c>
      <c r="E6" s="3">
        <v>0.42199999999999999</v>
      </c>
      <c r="F6" s="3">
        <v>0.315</v>
      </c>
      <c r="G6" s="3">
        <v>0.2</v>
      </c>
      <c r="H6" s="3">
        <v>6.2E-2</v>
      </c>
      <c r="I6" s="4">
        <v>0</v>
      </c>
      <c r="J6" s="4">
        <v>1</v>
      </c>
      <c r="K6" s="4">
        <v>1</v>
      </c>
      <c r="L6" s="4">
        <v>1</v>
      </c>
      <c r="N6" t="s">
        <v>121</v>
      </c>
      <c r="T6" s="13"/>
      <c r="X6" s="31">
        <f t="shared" si="0"/>
        <v>0.31</v>
      </c>
    </row>
    <row r="7" spans="1:24" x14ac:dyDescent="0.25">
      <c r="A7" t="s">
        <v>15</v>
      </c>
      <c r="C7" s="2">
        <v>0.45</v>
      </c>
      <c r="D7" s="2">
        <v>1</v>
      </c>
      <c r="E7" s="3">
        <v>0.312</v>
      </c>
      <c r="F7" s="3">
        <v>0.33899999999999997</v>
      </c>
      <c r="G7" s="3">
        <v>0.26700000000000002</v>
      </c>
      <c r="H7" s="3">
        <v>8.3000000000000004E-2</v>
      </c>
      <c r="I7" s="4">
        <v>0</v>
      </c>
      <c r="J7" s="4">
        <v>1</v>
      </c>
      <c r="K7" s="4">
        <v>1</v>
      </c>
      <c r="L7" s="4">
        <v>1</v>
      </c>
      <c r="N7" t="s">
        <v>122</v>
      </c>
      <c r="T7" s="13"/>
      <c r="X7" s="31">
        <f t="shared" si="0"/>
        <v>0.31086142322097376</v>
      </c>
    </row>
    <row r="8" spans="1:24" x14ac:dyDescent="0.25">
      <c r="A8" t="s">
        <v>16</v>
      </c>
      <c r="C8" s="2">
        <v>0.45</v>
      </c>
      <c r="D8" s="2">
        <v>1</v>
      </c>
      <c r="E8" s="3">
        <v>0.42099999999999999</v>
      </c>
      <c r="F8" s="3">
        <v>0.38400000000000001</v>
      </c>
      <c r="G8" s="3">
        <v>0.14899999999999999</v>
      </c>
      <c r="H8" s="3">
        <v>4.5999999999999999E-2</v>
      </c>
      <c r="I8" s="4">
        <v>0</v>
      </c>
      <c r="J8" s="4">
        <v>1</v>
      </c>
      <c r="K8" s="4">
        <v>1</v>
      </c>
      <c r="L8" s="4">
        <v>1</v>
      </c>
      <c r="N8" t="s">
        <v>123</v>
      </c>
      <c r="T8" s="13"/>
      <c r="X8" s="31">
        <f t="shared" si="0"/>
        <v>0.3087248322147651</v>
      </c>
    </row>
    <row r="9" spans="1:24" x14ac:dyDescent="0.25">
      <c r="A9" t="s">
        <v>17</v>
      </c>
      <c r="C9" s="2">
        <v>0.45</v>
      </c>
      <c r="D9" s="2">
        <v>1</v>
      </c>
      <c r="E9" s="3">
        <v>0.42199999999999999</v>
      </c>
      <c r="F9" s="3">
        <v>0.315</v>
      </c>
      <c r="G9" s="3">
        <v>0.2</v>
      </c>
      <c r="H9" s="3">
        <v>6.2E-2</v>
      </c>
      <c r="I9" s="4">
        <v>0</v>
      </c>
      <c r="J9" s="4">
        <v>1</v>
      </c>
      <c r="K9" s="4">
        <v>1</v>
      </c>
      <c r="L9" s="4">
        <v>1</v>
      </c>
      <c r="N9" t="s">
        <v>70</v>
      </c>
      <c r="T9" s="13"/>
      <c r="X9" s="31">
        <f t="shared" si="0"/>
        <v>0.31</v>
      </c>
    </row>
    <row r="10" spans="1:24" x14ac:dyDescent="0.25">
      <c r="A10" t="s">
        <v>18</v>
      </c>
      <c r="C10" s="2">
        <v>0.45</v>
      </c>
      <c r="D10" s="2">
        <v>1</v>
      </c>
      <c r="E10" s="3">
        <v>0.39600000000000002</v>
      </c>
      <c r="F10" s="3">
        <v>0.35</v>
      </c>
      <c r="G10" s="3">
        <v>0.19400000000000001</v>
      </c>
      <c r="H10" s="3">
        <v>0.06</v>
      </c>
      <c r="I10" s="4">
        <v>0</v>
      </c>
      <c r="J10" s="4">
        <v>1</v>
      </c>
      <c r="K10" s="4">
        <v>1</v>
      </c>
      <c r="L10" s="4">
        <v>1</v>
      </c>
      <c r="N10" t="s">
        <v>124</v>
      </c>
      <c r="T10" s="13"/>
      <c r="X10" s="31">
        <f t="shared" si="0"/>
        <v>0.30927835051546387</v>
      </c>
    </row>
    <row r="11" spans="1:24" x14ac:dyDescent="0.25">
      <c r="A11" t="s">
        <v>19</v>
      </c>
      <c r="C11" s="2">
        <v>0.45</v>
      </c>
      <c r="D11" s="2">
        <v>1</v>
      </c>
      <c r="E11" s="3">
        <v>0.42199999999999999</v>
      </c>
      <c r="F11" s="3">
        <v>0.315</v>
      </c>
      <c r="G11" s="3">
        <v>0.2</v>
      </c>
      <c r="H11" s="3">
        <v>6.2E-2</v>
      </c>
      <c r="I11" s="4">
        <v>0</v>
      </c>
      <c r="J11" s="4">
        <v>1</v>
      </c>
      <c r="K11" s="4">
        <v>1</v>
      </c>
      <c r="L11" s="4">
        <v>1</v>
      </c>
      <c r="N11" t="s">
        <v>70</v>
      </c>
      <c r="T11" s="13"/>
      <c r="X11" s="31">
        <f t="shared" si="0"/>
        <v>0.31</v>
      </c>
    </row>
    <row r="12" spans="1:24" x14ac:dyDescent="0.25">
      <c r="A12" t="s">
        <v>20</v>
      </c>
      <c r="C12" s="2">
        <v>0.45</v>
      </c>
      <c r="D12" s="2">
        <v>1</v>
      </c>
      <c r="E12" s="3">
        <v>0.38</v>
      </c>
      <c r="F12" s="3">
        <f>0.321+0.04</f>
        <v>0.36099999999999999</v>
      </c>
      <c r="G12" s="3">
        <v>0.16600000000000001</v>
      </c>
      <c r="H12" s="3">
        <v>5.1999999999999998E-2</v>
      </c>
      <c r="I12" s="4">
        <v>0</v>
      </c>
      <c r="J12" s="4">
        <v>1</v>
      </c>
      <c r="K12" s="4">
        <v>1</v>
      </c>
      <c r="L12" s="4">
        <v>1</v>
      </c>
      <c r="N12" t="s">
        <v>63</v>
      </c>
      <c r="T12" s="13"/>
      <c r="X12" s="31">
        <f t="shared" si="0"/>
        <v>0.31325301204819272</v>
      </c>
    </row>
    <row r="13" spans="1:24" x14ac:dyDescent="0.25">
      <c r="A13" t="s">
        <v>21</v>
      </c>
      <c r="C13" s="2">
        <v>0.45</v>
      </c>
      <c r="D13" s="2">
        <v>1</v>
      </c>
      <c r="E13" s="3">
        <v>0.38</v>
      </c>
      <c r="F13" s="3">
        <f>0.321+0.04</f>
        <v>0.36099999999999999</v>
      </c>
      <c r="G13" s="3">
        <v>0.16600000000000001</v>
      </c>
      <c r="H13" s="3">
        <v>5.1999999999999998E-2</v>
      </c>
      <c r="I13" s="4">
        <v>0</v>
      </c>
      <c r="J13" s="4">
        <v>1</v>
      </c>
      <c r="K13" s="4">
        <v>1</v>
      </c>
      <c r="L13" s="4">
        <v>1</v>
      </c>
      <c r="N13" t="s">
        <v>63</v>
      </c>
      <c r="T13" s="13"/>
      <c r="X13" s="31">
        <f t="shared" si="0"/>
        <v>0.31325301204819272</v>
      </c>
    </row>
    <row r="14" spans="1:24" x14ac:dyDescent="0.25">
      <c r="A14" t="s">
        <v>22</v>
      </c>
      <c r="C14" s="2">
        <v>0.45</v>
      </c>
      <c r="D14" s="2">
        <v>1</v>
      </c>
      <c r="E14" s="3">
        <v>0.38</v>
      </c>
      <c r="F14" s="3">
        <f>0.321+0.04</f>
        <v>0.36099999999999999</v>
      </c>
      <c r="G14" s="3">
        <v>0.16600000000000001</v>
      </c>
      <c r="H14" s="3">
        <v>5.1999999999999998E-2</v>
      </c>
      <c r="I14" s="4">
        <v>0</v>
      </c>
      <c r="J14" s="4">
        <v>1</v>
      </c>
      <c r="K14" s="4">
        <v>1</v>
      </c>
      <c r="L14" s="4">
        <v>1</v>
      </c>
      <c r="N14" t="s">
        <v>63</v>
      </c>
      <c r="T14" s="13"/>
      <c r="X14" s="31">
        <f t="shared" si="0"/>
        <v>0.31325301204819272</v>
      </c>
    </row>
    <row r="15" spans="1:24" x14ac:dyDescent="0.25">
      <c r="A15" t="s">
        <v>23</v>
      </c>
      <c r="C15" s="2">
        <v>0.45</v>
      </c>
      <c r="D15" s="2">
        <v>1</v>
      </c>
      <c r="E15" s="3">
        <v>0.38</v>
      </c>
      <c r="F15" s="3">
        <f>0.321+0.04</f>
        <v>0.36099999999999999</v>
      </c>
      <c r="G15" s="3">
        <v>0.16600000000000001</v>
      </c>
      <c r="H15" s="3">
        <v>5.1999999999999998E-2</v>
      </c>
      <c r="I15" s="4">
        <v>0</v>
      </c>
      <c r="J15" s="4">
        <v>1</v>
      </c>
      <c r="K15" s="4">
        <v>1</v>
      </c>
      <c r="L15" s="4">
        <v>1</v>
      </c>
      <c r="N15" t="s">
        <v>63</v>
      </c>
      <c r="T15" s="13"/>
      <c r="X15" s="31">
        <f t="shared" si="0"/>
        <v>0.31325301204819272</v>
      </c>
    </row>
    <row r="16" spans="1:24" x14ac:dyDescent="0.25">
      <c r="A16" t="s">
        <v>24</v>
      </c>
      <c r="C16" s="2">
        <v>0.45</v>
      </c>
      <c r="D16" s="2">
        <v>1</v>
      </c>
      <c r="E16" s="3">
        <v>0.32</v>
      </c>
      <c r="F16" s="3">
        <f>0.332+0.059</f>
        <v>0.39100000000000001</v>
      </c>
      <c r="G16" s="3">
        <v>0.222</v>
      </c>
      <c r="H16" s="3">
        <v>6.9000000000000006E-2</v>
      </c>
      <c r="I16" s="4">
        <v>0</v>
      </c>
      <c r="J16" s="4">
        <v>1</v>
      </c>
      <c r="K16" s="4">
        <v>1</v>
      </c>
      <c r="L16" s="4">
        <v>1</v>
      </c>
      <c r="N16" t="s">
        <v>65</v>
      </c>
      <c r="T16" s="13"/>
      <c r="X16" s="31">
        <f t="shared" si="0"/>
        <v>0.31081081081081086</v>
      </c>
    </row>
    <row r="17" spans="1:26" x14ac:dyDescent="0.25">
      <c r="A17" t="s">
        <v>25</v>
      </c>
      <c r="C17" s="2">
        <v>0.45</v>
      </c>
      <c r="D17" s="2">
        <v>1</v>
      </c>
      <c r="E17" s="3">
        <v>0.32</v>
      </c>
      <c r="F17" s="3">
        <f>0.332+0.059</f>
        <v>0.39100000000000001</v>
      </c>
      <c r="G17" s="3">
        <v>0.222</v>
      </c>
      <c r="H17" s="3">
        <v>6.9000000000000006E-2</v>
      </c>
      <c r="I17" s="4">
        <v>0</v>
      </c>
      <c r="J17" s="4">
        <v>1</v>
      </c>
      <c r="K17" s="4">
        <v>1</v>
      </c>
      <c r="L17" s="4">
        <v>1</v>
      </c>
      <c r="N17" t="s">
        <v>65</v>
      </c>
      <c r="T17" s="13"/>
      <c r="X17" s="31">
        <f t="shared" si="0"/>
        <v>0.31081081081081086</v>
      </c>
    </row>
    <row r="18" spans="1:26" x14ac:dyDescent="0.25">
      <c r="A18" t="s">
        <v>26</v>
      </c>
      <c r="C18" s="2">
        <v>0.45</v>
      </c>
      <c r="D18" s="2">
        <v>1</v>
      </c>
      <c r="E18" s="29">
        <f t="shared" ref="E18:H20" si="1">S18/SUM($S18:$V18)</f>
        <v>0.72718327183271825</v>
      </c>
      <c r="F18" s="29">
        <f t="shared" si="1"/>
        <v>0.2322263222632226</v>
      </c>
      <c r="G18" s="29">
        <f t="shared" si="1"/>
        <v>2.4600246002460024E-2</v>
      </c>
      <c r="H18" s="29">
        <f t="shared" si="1"/>
        <v>1.5990159901599015E-2</v>
      </c>
      <c r="I18" s="4">
        <v>0</v>
      </c>
      <c r="J18" s="4">
        <v>1</v>
      </c>
      <c r="K18" s="4">
        <v>1</v>
      </c>
      <c r="L18" s="4">
        <v>1</v>
      </c>
      <c r="N18" t="s">
        <v>118</v>
      </c>
      <c r="S18" s="25">
        <v>0.73899999999999999</v>
      </c>
      <c r="T18" s="28">
        <v>0.23599999999999999</v>
      </c>
      <c r="U18" s="25">
        <v>2.5000000000000001E-2</v>
      </c>
      <c r="V18" s="28">
        <f>U18*0.65</f>
        <v>1.6250000000000001E-2</v>
      </c>
      <c r="X18" s="31">
        <f t="shared" si="0"/>
        <v>0.64999999999999991</v>
      </c>
    </row>
    <row r="19" spans="1:26" x14ac:dyDescent="0.25">
      <c r="A19" t="s">
        <v>27</v>
      </c>
      <c r="C19" s="2">
        <v>0.45</v>
      </c>
      <c r="D19" s="2">
        <v>1</v>
      </c>
      <c r="E19" s="29">
        <f t="shared" si="1"/>
        <v>0.72718327183271825</v>
      </c>
      <c r="F19" s="29">
        <f t="shared" si="1"/>
        <v>0.2322263222632226</v>
      </c>
      <c r="G19" s="29">
        <f t="shared" si="1"/>
        <v>2.4600246002460024E-2</v>
      </c>
      <c r="H19" s="29">
        <f t="shared" si="1"/>
        <v>1.5990159901599015E-2</v>
      </c>
      <c r="I19" s="4">
        <v>0</v>
      </c>
      <c r="J19" s="4">
        <v>1</v>
      </c>
      <c r="K19" s="4">
        <v>1</v>
      </c>
      <c r="L19" s="4">
        <v>1</v>
      </c>
      <c r="N19" t="s">
        <v>118</v>
      </c>
      <c r="S19" s="25">
        <v>0.73899999999999999</v>
      </c>
      <c r="T19" s="28">
        <v>0.23599999999999999</v>
      </c>
      <c r="U19" s="25">
        <v>2.5000000000000001E-2</v>
      </c>
      <c r="V19" s="28">
        <f>U19*0.65</f>
        <v>1.6250000000000001E-2</v>
      </c>
      <c r="X19" s="31">
        <f t="shared" si="0"/>
        <v>0.64999999999999991</v>
      </c>
    </row>
    <row r="20" spans="1:26" x14ac:dyDescent="0.25">
      <c r="A20" t="s">
        <v>28</v>
      </c>
      <c r="C20" s="2">
        <v>0.45</v>
      </c>
      <c r="D20" s="2">
        <v>1</v>
      </c>
      <c r="E20" s="29">
        <f t="shared" si="1"/>
        <v>0.61915830077642053</v>
      </c>
      <c r="F20" s="29">
        <f t="shared" si="1"/>
        <v>0.35309826418080215</v>
      </c>
      <c r="G20" s="29">
        <f t="shared" si="1"/>
        <v>1.6814203056228674E-2</v>
      </c>
      <c r="H20" s="29">
        <f t="shared" si="1"/>
        <v>1.0929231986548639E-2</v>
      </c>
      <c r="I20" s="4">
        <v>0</v>
      </c>
      <c r="J20" s="4">
        <v>1</v>
      </c>
      <c r="K20" s="4">
        <v>1</v>
      </c>
      <c r="L20" s="4">
        <v>1</v>
      </c>
      <c r="N20" t="s">
        <v>118</v>
      </c>
      <c r="S20" s="25">
        <v>0.626</v>
      </c>
      <c r="T20" s="28">
        <v>0.35699999999999998</v>
      </c>
      <c r="U20" s="25">
        <v>1.7000000000000001E-2</v>
      </c>
      <c r="V20" s="28">
        <f>U20*0.65</f>
        <v>1.1050000000000001E-2</v>
      </c>
      <c r="X20" s="31">
        <f t="shared" si="0"/>
        <v>0.65</v>
      </c>
    </row>
    <row r="21" spans="1:26" x14ac:dyDescent="0.25">
      <c r="A21" t="s">
        <v>29</v>
      </c>
      <c r="C21" s="2">
        <v>0.45</v>
      </c>
      <c r="D21" s="2">
        <v>1</v>
      </c>
      <c r="E21" s="3">
        <v>6.3E-2</v>
      </c>
      <c r="F21" s="3">
        <f>0.43+0.076</f>
        <v>0.50600000000000001</v>
      </c>
      <c r="G21" s="3">
        <v>0.32900000000000001</v>
      </c>
      <c r="H21" s="3">
        <v>0.10199999999999999</v>
      </c>
      <c r="I21" s="4">
        <v>0</v>
      </c>
      <c r="J21" s="4">
        <v>1</v>
      </c>
      <c r="K21" s="4">
        <v>1</v>
      </c>
      <c r="L21" s="4">
        <v>1</v>
      </c>
      <c r="N21" t="s">
        <v>66</v>
      </c>
      <c r="R21" s="26" t="s">
        <v>72</v>
      </c>
      <c r="T21" s="13"/>
      <c r="X21" s="31">
        <f t="shared" si="0"/>
        <v>0.3100303951367781</v>
      </c>
    </row>
    <row r="22" spans="1:26" x14ac:dyDescent="0.25">
      <c r="A22" t="s">
        <v>30</v>
      </c>
      <c r="C22" s="2">
        <v>0.45</v>
      </c>
      <c r="D22" s="8">
        <v>1.1499999999999999</v>
      </c>
      <c r="E22" s="3">
        <v>0.23300000000000001</v>
      </c>
      <c r="F22" s="3">
        <v>0</v>
      </c>
      <c r="G22" s="3">
        <v>0.46500000000000002</v>
      </c>
      <c r="H22" s="3">
        <v>0.30199999999999999</v>
      </c>
      <c r="I22" s="9">
        <f>1*(1/R22)</f>
        <v>0.1</v>
      </c>
      <c r="J22" s="10">
        <v>1</v>
      </c>
      <c r="K22" s="9">
        <f>1/R22</f>
        <v>0.1</v>
      </c>
      <c r="L22" s="4">
        <v>1</v>
      </c>
      <c r="N22" t="s">
        <v>64</v>
      </c>
      <c r="R22" s="8">
        <v>10</v>
      </c>
      <c r="T22" s="13"/>
      <c r="X22" s="31">
        <f t="shared" si="0"/>
        <v>0.64946236559139781</v>
      </c>
      <c r="Z22" s="5"/>
    </row>
    <row r="23" spans="1:26" x14ac:dyDescent="0.25">
      <c r="A23" t="s">
        <v>31</v>
      </c>
      <c r="C23" s="2">
        <v>0.45</v>
      </c>
      <c r="D23" s="8">
        <v>1.1499999999999999</v>
      </c>
      <c r="E23" s="3">
        <v>0.441</v>
      </c>
      <c r="F23" s="3">
        <v>0</v>
      </c>
      <c r="G23" s="3">
        <v>0.33900000000000002</v>
      </c>
      <c r="H23" s="3">
        <v>0.22</v>
      </c>
      <c r="I23" s="9">
        <f>0.25*(1/R23)</f>
        <v>0.25</v>
      </c>
      <c r="J23" s="10">
        <v>1</v>
      </c>
      <c r="K23" s="9">
        <f>1/R23</f>
        <v>1</v>
      </c>
      <c r="L23" s="4">
        <v>1</v>
      </c>
      <c r="N23" t="s">
        <v>74</v>
      </c>
      <c r="R23" s="8">
        <v>1</v>
      </c>
      <c r="T23" s="13"/>
      <c r="X23" s="31">
        <f t="shared" si="0"/>
        <v>0.64896755162241881</v>
      </c>
    </row>
    <row r="24" spans="1:26" x14ac:dyDescent="0.25">
      <c r="A24" t="s">
        <v>32</v>
      </c>
      <c r="C24" s="2">
        <v>0.45</v>
      </c>
      <c r="D24" s="24">
        <v>1</v>
      </c>
      <c r="E24" s="6">
        <f>E$22</f>
        <v>0.23300000000000001</v>
      </c>
      <c r="F24" s="6">
        <f t="shared" ref="F24:L24" si="2">F$22</f>
        <v>0</v>
      </c>
      <c r="G24" s="6">
        <f t="shared" si="2"/>
        <v>0.46500000000000002</v>
      </c>
      <c r="H24" s="6">
        <f t="shared" si="2"/>
        <v>0.30199999999999999</v>
      </c>
      <c r="I24" s="6">
        <f t="shared" si="2"/>
        <v>0.1</v>
      </c>
      <c r="J24" s="6">
        <f t="shared" si="2"/>
        <v>1</v>
      </c>
      <c r="K24" s="6">
        <f t="shared" si="2"/>
        <v>0.1</v>
      </c>
      <c r="L24" s="6">
        <f t="shared" si="2"/>
        <v>1</v>
      </c>
      <c r="N24" s="5" t="s">
        <v>112</v>
      </c>
      <c r="R24" s="7"/>
      <c r="T24" s="13"/>
      <c r="X24" s="31">
        <f t="shared" si="0"/>
        <v>0.64946236559139781</v>
      </c>
    </row>
    <row r="25" spans="1:26" x14ac:dyDescent="0.25">
      <c r="A25" t="s">
        <v>33</v>
      </c>
      <c r="C25" s="2">
        <v>0.45</v>
      </c>
      <c r="D25" s="8">
        <v>1.1499999999999999</v>
      </c>
      <c r="E25" s="3">
        <v>0.57099999999999995</v>
      </c>
      <c r="F25" s="3">
        <v>0</v>
      </c>
      <c r="G25" s="3">
        <v>0.26</v>
      </c>
      <c r="H25" s="3">
        <v>0.16900000000000001</v>
      </c>
      <c r="I25" s="9">
        <f>1*(1/R25)</f>
        <v>1</v>
      </c>
      <c r="J25" s="10">
        <v>1</v>
      </c>
      <c r="K25" s="9">
        <f t="shared" ref="K25:K31" si="3">1/R25</f>
        <v>1</v>
      </c>
      <c r="L25" s="4">
        <v>1</v>
      </c>
      <c r="N25" t="s">
        <v>75</v>
      </c>
      <c r="R25" s="8">
        <v>1</v>
      </c>
      <c r="T25" s="13"/>
      <c r="X25" s="31">
        <f t="shared" si="0"/>
        <v>0.65</v>
      </c>
    </row>
    <row r="26" spans="1:26" x14ac:dyDescent="0.25">
      <c r="A26" t="s">
        <v>34</v>
      </c>
      <c r="C26" s="2">
        <v>0.45</v>
      </c>
      <c r="D26" s="8">
        <v>1.1499999999999999</v>
      </c>
      <c r="E26" s="3">
        <v>0.49199999999999999</v>
      </c>
      <c r="F26" s="3">
        <v>0</v>
      </c>
      <c r="G26" s="3">
        <v>0.308</v>
      </c>
      <c r="H26" s="3">
        <v>0.2</v>
      </c>
      <c r="I26" s="9">
        <f>0.15*(1/R26)</f>
        <v>0.03</v>
      </c>
      <c r="J26" s="10">
        <v>1</v>
      </c>
      <c r="K26" s="9">
        <f t="shared" si="3"/>
        <v>0.2</v>
      </c>
      <c r="L26" s="4">
        <v>1</v>
      </c>
      <c r="N26" t="s">
        <v>73</v>
      </c>
      <c r="R26" s="8">
        <v>5</v>
      </c>
      <c r="T26" s="13"/>
      <c r="X26" s="31">
        <f t="shared" si="0"/>
        <v>0.64935064935064934</v>
      </c>
    </row>
    <row r="27" spans="1:26" x14ac:dyDescent="0.25">
      <c r="A27" t="s">
        <v>35</v>
      </c>
      <c r="C27" s="2">
        <v>0.45</v>
      </c>
      <c r="D27" s="8">
        <v>1.1499999999999999</v>
      </c>
      <c r="E27" s="3">
        <v>0.49199999999999999</v>
      </c>
      <c r="F27" s="3">
        <v>0</v>
      </c>
      <c r="G27" s="3">
        <v>0.308</v>
      </c>
      <c r="H27" s="3">
        <v>0.2</v>
      </c>
      <c r="I27" s="9">
        <f>(1-0.625)*(1/R27)</f>
        <v>5.3571428571428568E-2</v>
      </c>
      <c r="J27" s="10">
        <v>1</v>
      </c>
      <c r="K27" s="9">
        <f t="shared" si="3"/>
        <v>0.14285714285714285</v>
      </c>
      <c r="L27" s="4">
        <v>1</v>
      </c>
      <c r="N27" t="s">
        <v>73</v>
      </c>
      <c r="R27" s="8">
        <v>7</v>
      </c>
      <c r="T27" s="13"/>
      <c r="X27" s="31">
        <f t="shared" si="0"/>
        <v>0.64935064935064934</v>
      </c>
      <c r="Z27" s="5"/>
    </row>
    <row r="28" spans="1:26" x14ac:dyDescent="0.25">
      <c r="A28" t="s">
        <v>36</v>
      </c>
      <c r="C28" s="2">
        <v>0.45</v>
      </c>
      <c r="D28" s="8">
        <v>1.1499999999999999</v>
      </c>
      <c r="E28" s="3">
        <v>0.23300000000000001</v>
      </c>
      <c r="F28" s="3">
        <v>0</v>
      </c>
      <c r="G28" s="3">
        <v>0.46500000000000002</v>
      </c>
      <c r="H28" s="3">
        <v>0.30199999999999999</v>
      </c>
      <c r="I28" s="9">
        <f>1*(1/R28)</f>
        <v>0.14285714285714285</v>
      </c>
      <c r="J28" s="10">
        <v>1</v>
      </c>
      <c r="K28" s="9">
        <f t="shared" si="3"/>
        <v>0.14285714285714285</v>
      </c>
      <c r="L28" s="4">
        <v>1</v>
      </c>
      <c r="N28" t="s">
        <v>64</v>
      </c>
      <c r="R28" s="8">
        <v>7</v>
      </c>
      <c r="T28" s="13"/>
      <c r="X28" s="31">
        <f t="shared" si="0"/>
        <v>0.64946236559139781</v>
      </c>
      <c r="Z28" s="5"/>
    </row>
    <row r="29" spans="1:26" x14ac:dyDescent="0.25">
      <c r="A29" t="s">
        <v>37</v>
      </c>
      <c r="C29" s="2">
        <v>0.45</v>
      </c>
      <c r="D29" s="8">
        <v>1.1499999999999999</v>
      </c>
      <c r="E29" s="3">
        <v>0.77200000000000002</v>
      </c>
      <c r="F29" s="3">
        <v>0</v>
      </c>
      <c r="G29" s="3">
        <v>0.13800000000000001</v>
      </c>
      <c r="H29" s="3">
        <v>0.09</v>
      </c>
      <c r="I29" s="9">
        <f>0.15*(1/R29)</f>
        <v>0.15</v>
      </c>
      <c r="J29" s="10">
        <v>1</v>
      </c>
      <c r="K29" s="9">
        <f t="shared" si="3"/>
        <v>1</v>
      </c>
      <c r="L29" s="4">
        <v>1</v>
      </c>
      <c r="N29" t="s">
        <v>68</v>
      </c>
      <c r="R29" s="8">
        <v>1</v>
      </c>
      <c r="T29" s="13"/>
      <c r="X29" s="31">
        <f t="shared" si="0"/>
        <v>0.65217391304347816</v>
      </c>
    </row>
    <row r="30" spans="1:26" x14ac:dyDescent="0.25">
      <c r="A30" t="s">
        <v>38</v>
      </c>
      <c r="C30" s="2">
        <v>0.45</v>
      </c>
      <c r="D30" s="8">
        <v>1.1499999999999999</v>
      </c>
      <c r="E30" s="3">
        <v>0.77200000000000002</v>
      </c>
      <c r="F30" s="3">
        <v>0</v>
      </c>
      <c r="G30" s="3">
        <v>0.13800000000000001</v>
      </c>
      <c r="H30" s="3">
        <v>0.09</v>
      </c>
      <c r="I30" s="9">
        <f>0.15*(1/R30)</f>
        <v>0.15</v>
      </c>
      <c r="J30" s="10">
        <v>1</v>
      </c>
      <c r="K30" s="9">
        <f t="shared" si="3"/>
        <v>1</v>
      </c>
      <c r="L30" s="4">
        <v>1</v>
      </c>
      <c r="N30" t="s">
        <v>68</v>
      </c>
      <c r="R30" s="8">
        <v>1</v>
      </c>
      <c r="T30" s="13"/>
      <c r="X30" s="31">
        <f t="shared" si="0"/>
        <v>0.65217391304347816</v>
      </c>
    </row>
    <row r="31" spans="1:26" x14ac:dyDescent="0.25">
      <c r="A31" t="s">
        <v>39</v>
      </c>
      <c r="C31" s="2">
        <v>0.45</v>
      </c>
      <c r="D31" s="8">
        <v>1.1499999999999999</v>
      </c>
      <c r="E31" s="3">
        <v>0.77200000000000002</v>
      </c>
      <c r="F31" s="3">
        <v>0</v>
      </c>
      <c r="G31" s="3">
        <v>0.13800000000000001</v>
      </c>
      <c r="H31" s="3">
        <v>0.09</v>
      </c>
      <c r="I31" s="9">
        <f>0.15*(1/R31)</f>
        <v>0.15</v>
      </c>
      <c r="J31" s="10">
        <v>1</v>
      </c>
      <c r="K31" s="9">
        <f t="shared" si="3"/>
        <v>1</v>
      </c>
      <c r="L31" s="4">
        <v>1</v>
      </c>
      <c r="N31" t="s">
        <v>68</v>
      </c>
      <c r="R31" s="8">
        <v>1</v>
      </c>
      <c r="T31" s="13"/>
      <c r="X31" s="31">
        <f t="shared" si="0"/>
        <v>0.65217391304347816</v>
      </c>
    </row>
    <row r="32" spans="1:26" x14ac:dyDescent="0.25">
      <c r="A32" t="s">
        <v>40</v>
      </c>
      <c r="C32" s="2">
        <v>0.45</v>
      </c>
      <c r="D32" s="2">
        <v>1</v>
      </c>
      <c r="E32" s="3">
        <v>0.78900000000000003</v>
      </c>
      <c r="F32" s="3">
        <v>0.16800000000000001</v>
      </c>
      <c r="G32" s="3">
        <v>3.3000000000000002E-2</v>
      </c>
      <c r="H32" s="3">
        <v>0.01</v>
      </c>
      <c r="I32" s="4">
        <v>0</v>
      </c>
      <c r="J32" s="4">
        <v>1</v>
      </c>
      <c r="K32" s="4">
        <v>1</v>
      </c>
      <c r="L32" s="4">
        <v>1</v>
      </c>
      <c r="N32" t="s">
        <v>103</v>
      </c>
      <c r="T32" s="13"/>
      <c r="X32" s="31">
        <f t="shared" si="0"/>
        <v>0.30303030303030304</v>
      </c>
    </row>
    <row r="33" spans="1:24" x14ac:dyDescent="0.25">
      <c r="A33" t="s">
        <v>41</v>
      </c>
      <c r="C33" s="2">
        <v>0.45</v>
      </c>
      <c r="D33" s="2">
        <v>1</v>
      </c>
      <c r="E33" s="3">
        <v>0.84199999999999997</v>
      </c>
      <c r="F33" s="3">
        <v>0.115</v>
      </c>
      <c r="G33" s="3">
        <v>3.3000000000000002E-2</v>
      </c>
      <c r="H33" s="3">
        <v>0.01</v>
      </c>
      <c r="I33" s="4">
        <v>0</v>
      </c>
      <c r="J33" s="4">
        <v>1</v>
      </c>
      <c r="K33" s="4">
        <v>1</v>
      </c>
      <c r="L33" s="4">
        <v>1</v>
      </c>
      <c r="N33" t="s">
        <v>104</v>
      </c>
      <c r="T33" s="13"/>
      <c r="X33" s="31">
        <f t="shared" si="0"/>
        <v>0.30303030303030304</v>
      </c>
    </row>
    <row r="34" spans="1:24" x14ac:dyDescent="0.25">
      <c r="A34" t="s">
        <v>42</v>
      </c>
      <c r="C34" s="2">
        <v>0.45</v>
      </c>
      <c r="D34" s="2">
        <v>1</v>
      </c>
      <c r="E34" s="3">
        <v>0.76900000000000002</v>
      </c>
      <c r="F34" s="3">
        <v>0.188</v>
      </c>
      <c r="G34" s="3">
        <v>3.3000000000000002E-2</v>
      </c>
      <c r="H34" s="3">
        <v>0.01</v>
      </c>
      <c r="I34" s="4">
        <v>0</v>
      </c>
      <c r="J34" s="4">
        <v>1</v>
      </c>
      <c r="K34" s="4">
        <v>1</v>
      </c>
      <c r="L34" s="4">
        <v>1</v>
      </c>
      <c r="N34" t="s">
        <v>105</v>
      </c>
      <c r="T34" s="13"/>
      <c r="X34" s="31">
        <f t="shared" si="0"/>
        <v>0.30303030303030304</v>
      </c>
    </row>
    <row r="35" spans="1:24" x14ac:dyDescent="0.25">
      <c r="A35" t="s">
        <v>43</v>
      </c>
      <c r="C35" s="2">
        <v>0.45</v>
      </c>
      <c r="D35" s="2">
        <v>1</v>
      </c>
      <c r="E35" s="3">
        <v>0.58499999999999996</v>
      </c>
      <c r="F35" s="3">
        <v>0.111</v>
      </c>
      <c r="G35" s="3">
        <v>0.23200000000000001</v>
      </c>
      <c r="H35" s="3">
        <v>7.1999999999999995E-2</v>
      </c>
      <c r="I35" s="4">
        <v>0</v>
      </c>
      <c r="J35" s="4">
        <v>1</v>
      </c>
      <c r="K35" s="4">
        <v>1</v>
      </c>
      <c r="L35" s="4">
        <v>1</v>
      </c>
      <c r="N35" t="s">
        <v>106</v>
      </c>
      <c r="T35" s="13"/>
      <c r="X35" s="31">
        <f t="shared" si="0"/>
        <v>0.31034482758620685</v>
      </c>
    </row>
    <row r="36" spans="1:24" x14ac:dyDescent="0.25">
      <c r="A36" t="s">
        <v>44</v>
      </c>
      <c r="C36" s="2">
        <v>0.45</v>
      </c>
      <c r="D36" s="2">
        <v>1</v>
      </c>
      <c r="E36" s="3">
        <v>0.45</v>
      </c>
      <c r="F36" s="3">
        <v>0.246</v>
      </c>
      <c r="G36" s="3">
        <v>0.23200000000000001</v>
      </c>
      <c r="H36" s="3">
        <v>7.1999999999999995E-2</v>
      </c>
      <c r="I36" s="4">
        <v>0</v>
      </c>
      <c r="J36" s="4">
        <v>1</v>
      </c>
      <c r="K36" s="4">
        <v>1</v>
      </c>
      <c r="L36" s="4">
        <v>1</v>
      </c>
      <c r="N36" t="s">
        <v>107</v>
      </c>
      <c r="T36" s="13"/>
      <c r="X36" s="31">
        <f t="shared" si="0"/>
        <v>0.31034482758620685</v>
      </c>
    </row>
    <row r="37" spans="1:24" x14ac:dyDescent="0.25">
      <c r="A37" t="s">
        <v>45</v>
      </c>
      <c r="C37" s="2">
        <v>0.45</v>
      </c>
      <c r="D37" s="2">
        <v>1</v>
      </c>
      <c r="E37" s="3">
        <v>0.52200000000000002</v>
      </c>
      <c r="F37" s="3">
        <v>0.17399999999999999</v>
      </c>
      <c r="G37" s="3">
        <v>0.23200000000000001</v>
      </c>
      <c r="H37" s="3">
        <v>7.1999999999999995E-2</v>
      </c>
      <c r="I37" s="4">
        <v>0</v>
      </c>
      <c r="J37" s="4">
        <v>1</v>
      </c>
      <c r="K37" s="4">
        <v>1</v>
      </c>
      <c r="L37" s="4">
        <v>1</v>
      </c>
      <c r="N37" t="s">
        <v>108</v>
      </c>
      <c r="T37" s="13"/>
      <c r="X37" s="31">
        <f t="shared" si="0"/>
        <v>0.31034482758620685</v>
      </c>
    </row>
    <row r="38" spans="1:24" x14ac:dyDescent="0.25">
      <c r="A38" t="s">
        <v>46</v>
      </c>
      <c r="C38" s="2">
        <v>0.45</v>
      </c>
      <c r="D38" s="2">
        <v>1</v>
      </c>
      <c r="E38" s="3">
        <v>0.49</v>
      </c>
      <c r="F38" s="3">
        <v>0.20599999999999999</v>
      </c>
      <c r="G38" s="3">
        <v>0.23200000000000001</v>
      </c>
      <c r="H38" s="3">
        <v>7.1999999999999995E-2</v>
      </c>
      <c r="I38" s="4">
        <v>0</v>
      </c>
      <c r="J38" s="4">
        <v>1</v>
      </c>
      <c r="K38" s="4">
        <v>1</v>
      </c>
      <c r="L38" s="4">
        <v>1</v>
      </c>
      <c r="N38" t="s">
        <v>109</v>
      </c>
      <c r="T38" s="13"/>
      <c r="X38" s="31">
        <f t="shared" si="0"/>
        <v>0.31034482758620685</v>
      </c>
    </row>
    <row r="39" spans="1:24" x14ac:dyDescent="0.25">
      <c r="A39" t="s">
        <v>47</v>
      </c>
      <c r="C39" s="2">
        <v>0.45</v>
      </c>
      <c r="D39" s="2">
        <v>1</v>
      </c>
      <c r="E39" s="3">
        <v>0.48299999999999998</v>
      </c>
      <c r="F39" s="3">
        <v>0.121</v>
      </c>
      <c r="G39" s="3">
        <v>0.30199999999999999</v>
      </c>
      <c r="H39" s="3">
        <v>9.4E-2</v>
      </c>
      <c r="I39" s="4">
        <v>0</v>
      </c>
      <c r="J39" s="4">
        <v>1</v>
      </c>
      <c r="K39" s="4">
        <v>1</v>
      </c>
      <c r="L39" s="4">
        <v>1</v>
      </c>
      <c r="N39" t="s">
        <v>110</v>
      </c>
      <c r="T39" s="13"/>
      <c r="X39" s="31">
        <f t="shared" si="0"/>
        <v>0.3112582781456954</v>
      </c>
    </row>
    <row r="40" spans="1:24" x14ac:dyDescent="0.25">
      <c r="A40" t="s">
        <v>48</v>
      </c>
      <c r="C40" s="2">
        <v>0.45</v>
      </c>
      <c r="D40" s="2">
        <v>1</v>
      </c>
      <c r="E40" s="3">
        <v>0.45</v>
      </c>
      <c r="F40" s="3">
        <v>0.246</v>
      </c>
      <c r="G40" s="3">
        <v>0.23200000000000001</v>
      </c>
      <c r="H40" s="3">
        <v>7.1999999999999995E-2</v>
      </c>
      <c r="I40" s="4">
        <v>0</v>
      </c>
      <c r="J40" s="4">
        <v>1</v>
      </c>
      <c r="K40" s="4">
        <v>1</v>
      </c>
      <c r="L40" s="4">
        <v>1</v>
      </c>
      <c r="N40" t="s">
        <v>107</v>
      </c>
      <c r="T40" s="13"/>
      <c r="X40" s="31">
        <f t="shared" si="0"/>
        <v>0.31034482758620685</v>
      </c>
    </row>
    <row r="41" spans="1:24" x14ac:dyDescent="0.25">
      <c r="A41" t="s">
        <v>49</v>
      </c>
      <c r="C41" s="2">
        <v>0.45</v>
      </c>
      <c r="D41" s="2">
        <v>1</v>
      </c>
      <c r="E41" s="3">
        <v>0.30199999999999999</v>
      </c>
      <c r="F41" s="3">
        <v>0.30199999999999999</v>
      </c>
      <c r="G41" s="3">
        <v>0.30199999999999999</v>
      </c>
      <c r="H41" s="3">
        <v>9.4E-2</v>
      </c>
      <c r="I41" s="4">
        <v>0</v>
      </c>
      <c r="J41" s="10">
        <f>1/3</f>
        <v>0.33333333333333331</v>
      </c>
      <c r="K41" s="10">
        <f>1/3</f>
        <v>0.33333333333333331</v>
      </c>
      <c r="L41" s="4">
        <v>1</v>
      </c>
      <c r="N41" t="s">
        <v>111</v>
      </c>
      <c r="R41" s="25" t="s">
        <v>102</v>
      </c>
      <c r="T41" s="13"/>
      <c r="X41" s="31">
        <f t="shared" si="0"/>
        <v>0.3112582781456954</v>
      </c>
    </row>
    <row r="42" spans="1:24" x14ac:dyDescent="0.25">
      <c r="A42" t="s">
        <v>50</v>
      </c>
      <c r="C42" s="2">
        <v>0.45</v>
      </c>
      <c r="D42" s="2">
        <v>1</v>
      </c>
      <c r="E42" s="6">
        <f>E$41</f>
        <v>0.30199999999999999</v>
      </c>
      <c r="F42" s="6">
        <f t="shared" ref="F42:L46" si="4">F$41</f>
        <v>0.30199999999999999</v>
      </c>
      <c r="G42" s="6">
        <f t="shared" si="4"/>
        <v>0.30199999999999999</v>
      </c>
      <c r="H42" s="6">
        <f t="shared" si="4"/>
        <v>9.4E-2</v>
      </c>
      <c r="I42" s="6">
        <f t="shared" si="4"/>
        <v>0</v>
      </c>
      <c r="J42" s="6">
        <f t="shared" si="4"/>
        <v>0.33333333333333331</v>
      </c>
      <c r="K42" s="6">
        <f t="shared" si="4"/>
        <v>0.33333333333333331</v>
      </c>
      <c r="L42" s="6">
        <f t="shared" si="4"/>
        <v>1</v>
      </c>
      <c r="N42" s="5" t="s">
        <v>114</v>
      </c>
      <c r="T42" s="13"/>
      <c r="X42" s="31">
        <f t="shared" si="0"/>
        <v>0.3112582781456954</v>
      </c>
    </row>
    <row r="43" spans="1:24" x14ac:dyDescent="0.25">
      <c r="A43" t="s">
        <v>51</v>
      </c>
      <c r="C43" s="2">
        <v>0.45</v>
      </c>
      <c r="D43" s="2">
        <v>1</v>
      </c>
      <c r="E43" s="6">
        <f t="shared" ref="E43:E46" si="5">E$41</f>
        <v>0.30199999999999999</v>
      </c>
      <c r="F43" s="6">
        <f t="shared" si="4"/>
        <v>0.30199999999999999</v>
      </c>
      <c r="G43" s="6">
        <f t="shared" si="4"/>
        <v>0.30199999999999999</v>
      </c>
      <c r="H43" s="6">
        <f t="shared" si="4"/>
        <v>9.4E-2</v>
      </c>
      <c r="I43" s="6">
        <f t="shared" si="4"/>
        <v>0</v>
      </c>
      <c r="J43" s="6">
        <f t="shared" si="4"/>
        <v>0.33333333333333331</v>
      </c>
      <c r="K43" s="6">
        <f t="shared" si="4"/>
        <v>0.33333333333333331</v>
      </c>
      <c r="L43" s="6">
        <f t="shared" si="4"/>
        <v>1</v>
      </c>
      <c r="N43" s="5" t="s">
        <v>114</v>
      </c>
      <c r="T43" s="13"/>
      <c r="X43" s="31">
        <f t="shared" si="0"/>
        <v>0.3112582781456954</v>
      </c>
    </row>
    <row r="44" spans="1:24" x14ac:dyDescent="0.25">
      <c r="A44" t="s">
        <v>52</v>
      </c>
      <c r="C44" s="2">
        <v>0.45</v>
      </c>
      <c r="D44" s="2">
        <v>1</v>
      </c>
      <c r="E44" s="6">
        <f t="shared" si="5"/>
        <v>0.30199999999999999</v>
      </c>
      <c r="F44" s="6">
        <f t="shared" si="4"/>
        <v>0.30199999999999999</v>
      </c>
      <c r="G44" s="6">
        <f t="shared" si="4"/>
        <v>0.30199999999999999</v>
      </c>
      <c r="H44" s="6">
        <f t="shared" si="4"/>
        <v>9.4E-2</v>
      </c>
      <c r="I44" s="6">
        <f t="shared" si="4"/>
        <v>0</v>
      </c>
      <c r="J44" s="6">
        <f t="shared" si="4"/>
        <v>0.33333333333333331</v>
      </c>
      <c r="K44" s="6">
        <f t="shared" si="4"/>
        <v>0.33333333333333331</v>
      </c>
      <c r="L44" s="6">
        <f t="shared" si="4"/>
        <v>1</v>
      </c>
      <c r="N44" s="5" t="s">
        <v>114</v>
      </c>
      <c r="T44" s="13"/>
      <c r="X44" s="31">
        <f t="shared" si="0"/>
        <v>0.3112582781456954</v>
      </c>
    </row>
    <row r="45" spans="1:24" x14ac:dyDescent="0.25">
      <c r="A45" t="s">
        <v>53</v>
      </c>
      <c r="C45" s="2">
        <v>0.45</v>
      </c>
      <c r="D45" s="2">
        <v>1</v>
      </c>
      <c r="E45" s="6">
        <f t="shared" si="5"/>
        <v>0.30199999999999999</v>
      </c>
      <c r="F45" s="6">
        <f t="shared" si="4"/>
        <v>0.30199999999999999</v>
      </c>
      <c r="G45" s="6">
        <f t="shared" si="4"/>
        <v>0.30199999999999999</v>
      </c>
      <c r="H45" s="6">
        <f t="shared" si="4"/>
        <v>9.4E-2</v>
      </c>
      <c r="I45" s="6">
        <f t="shared" si="4"/>
        <v>0</v>
      </c>
      <c r="J45" s="6">
        <f t="shared" si="4"/>
        <v>0.33333333333333331</v>
      </c>
      <c r="K45" s="6">
        <f t="shared" si="4"/>
        <v>0.33333333333333331</v>
      </c>
      <c r="L45" s="6">
        <f t="shared" si="4"/>
        <v>1</v>
      </c>
      <c r="N45" s="5" t="s">
        <v>114</v>
      </c>
      <c r="T45" s="13"/>
      <c r="X45" s="31">
        <f t="shared" si="0"/>
        <v>0.3112582781456954</v>
      </c>
    </row>
    <row r="46" spans="1:24" x14ac:dyDescent="0.25">
      <c r="A46" t="s">
        <v>54</v>
      </c>
      <c r="C46" s="2">
        <v>0.45</v>
      </c>
      <c r="D46" s="2">
        <v>1</v>
      </c>
      <c r="E46" s="6">
        <f t="shared" si="5"/>
        <v>0.30199999999999999</v>
      </c>
      <c r="F46" s="6">
        <f t="shared" si="4"/>
        <v>0.30199999999999999</v>
      </c>
      <c r="G46" s="6">
        <f t="shared" si="4"/>
        <v>0.30199999999999999</v>
      </c>
      <c r="H46" s="6">
        <f t="shared" si="4"/>
        <v>9.4E-2</v>
      </c>
      <c r="I46" s="6">
        <f t="shared" si="4"/>
        <v>0</v>
      </c>
      <c r="J46" s="6">
        <f t="shared" si="4"/>
        <v>0.33333333333333331</v>
      </c>
      <c r="K46" s="6">
        <f t="shared" si="4"/>
        <v>0.33333333333333331</v>
      </c>
      <c r="L46" s="6">
        <f t="shared" si="4"/>
        <v>1</v>
      </c>
      <c r="N46" s="5" t="s">
        <v>114</v>
      </c>
      <c r="T46" s="13"/>
      <c r="X46" s="31">
        <f t="shared" si="0"/>
        <v>0.3112582781456954</v>
      </c>
    </row>
    <row r="47" spans="1:24" x14ac:dyDescent="0.25">
      <c r="A47" s="1" t="s">
        <v>55</v>
      </c>
      <c r="B47" s="1"/>
      <c r="C47" s="2">
        <v>0.45</v>
      </c>
      <c r="D47" s="2">
        <v>1</v>
      </c>
      <c r="E47" s="3">
        <v>0.42199999999999999</v>
      </c>
      <c r="F47" s="3">
        <f>0.268+0.047</f>
        <v>0.315</v>
      </c>
      <c r="G47" s="3">
        <v>0.2</v>
      </c>
      <c r="H47" s="3">
        <v>6.2E-2</v>
      </c>
      <c r="I47" s="4">
        <v>0</v>
      </c>
      <c r="J47" s="4">
        <v>1</v>
      </c>
      <c r="K47" s="4">
        <v>1</v>
      </c>
      <c r="L47" s="4">
        <v>1</v>
      </c>
      <c r="N47" t="s">
        <v>70</v>
      </c>
      <c r="T47" s="13"/>
      <c r="X47" s="31">
        <f t="shared" si="0"/>
        <v>0.31</v>
      </c>
    </row>
    <row r="48" spans="1:24" x14ac:dyDescent="0.25">
      <c r="A48" s="1" t="s">
        <v>56</v>
      </c>
      <c r="B48" s="1"/>
      <c r="C48" s="2">
        <v>0.45</v>
      </c>
      <c r="D48" s="2">
        <v>1</v>
      </c>
      <c r="E48" s="3">
        <v>0.38</v>
      </c>
      <c r="F48" s="3">
        <f>0.321+0.04</f>
        <v>0.36099999999999999</v>
      </c>
      <c r="G48" s="3">
        <v>0.16600000000000001</v>
      </c>
      <c r="H48" s="3">
        <v>5.1999999999999998E-2</v>
      </c>
      <c r="I48" s="4">
        <v>0</v>
      </c>
      <c r="J48" s="4">
        <v>1</v>
      </c>
      <c r="K48" s="4">
        <v>1</v>
      </c>
      <c r="L48" s="4">
        <v>1</v>
      </c>
      <c r="N48" t="s">
        <v>63</v>
      </c>
      <c r="T48" s="13"/>
      <c r="X48" s="31">
        <f t="shared" si="0"/>
        <v>0.31325301204819272</v>
      </c>
    </row>
    <row r="49" spans="1:24" x14ac:dyDescent="0.25">
      <c r="A49" s="1" t="s">
        <v>57</v>
      </c>
      <c r="B49" s="1"/>
      <c r="C49" s="2">
        <v>0.45</v>
      </c>
      <c r="D49" s="2">
        <v>1</v>
      </c>
      <c r="E49" s="3">
        <v>0.38</v>
      </c>
      <c r="F49" s="3">
        <f>0.321+0.04</f>
        <v>0.36099999999999999</v>
      </c>
      <c r="G49" s="3">
        <v>0.16600000000000001</v>
      </c>
      <c r="H49" s="3">
        <v>5.1999999999999998E-2</v>
      </c>
      <c r="I49" s="4">
        <v>0</v>
      </c>
      <c r="J49" s="4">
        <v>1</v>
      </c>
      <c r="K49" s="4">
        <v>1</v>
      </c>
      <c r="L49" s="4">
        <v>1</v>
      </c>
      <c r="N49" t="s">
        <v>63</v>
      </c>
      <c r="T49" s="13"/>
      <c r="X49" s="31">
        <f t="shared" si="0"/>
        <v>0.31325301204819272</v>
      </c>
    </row>
    <row r="50" spans="1:24" x14ac:dyDescent="0.25">
      <c r="A50" s="1" t="s">
        <v>58</v>
      </c>
      <c r="B50" s="1"/>
      <c r="C50" s="2">
        <v>0.45</v>
      </c>
      <c r="D50" s="2">
        <v>1</v>
      </c>
      <c r="E50" s="27">
        <v>0.26400000000000001</v>
      </c>
      <c r="F50" s="27">
        <v>0.44600000000000001</v>
      </c>
      <c r="G50" s="27">
        <v>0.222</v>
      </c>
      <c r="H50" s="27">
        <v>6.9000000000000006E-2</v>
      </c>
      <c r="I50" s="4">
        <v>0</v>
      </c>
      <c r="J50" s="4">
        <v>1</v>
      </c>
      <c r="K50" s="4">
        <v>1</v>
      </c>
      <c r="L50" s="4">
        <v>1</v>
      </c>
      <c r="N50" t="s">
        <v>113</v>
      </c>
      <c r="T50" s="13"/>
      <c r="X50" s="31">
        <f t="shared" si="0"/>
        <v>0.31081081081081086</v>
      </c>
    </row>
    <row r="51" spans="1:24" x14ac:dyDescent="0.25">
      <c r="A51" s="1" t="s">
        <v>59</v>
      </c>
      <c r="B51" s="1"/>
      <c r="C51" s="2">
        <v>0.45</v>
      </c>
      <c r="D51" s="2">
        <v>1</v>
      </c>
      <c r="E51" s="3">
        <v>0.38</v>
      </c>
      <c r="F51" s="3">
        <f>0.321+0.04</f>
        <v>0.36099999999999999</v>
      </c>
      <c r="G51" s="3">
        <v>0.16600000000000001</v>
      </c>
      <c r="H51" s="3">
        <v>5.1999999999999998E-2</v>
      </c>
      <c r="I51" s="4">
        <v>0</v>
      </c>
      <c r="J51" s="4">
        <v>1</v>
      </c>
      <c r="K51" s="4">
        <v>1</v>
      </c>
      <c r="L51" s="4">
        <v>1</v>
      </c>
      <c r="N51" t="s">
        <v>63</v>
      </c>
      <c r="T51" s="13"/>
      <c r="X51" s="31">
        <f t="shared" si="0"/>
        <v>0.31325301204819272</v>
      </c>
    </row>
    <row r="52" spans="1:24" x14ac:dyDescent="0.25">
      <c r="A52" s="1" t="s">
        <v>60</v>
      </c>
      <c r="B52" s="1"/>
      <c r="C52" s="2">
        <v>0.45</v>
      </c>
      <c r="D52" s="2">
        <v>1</v>
      </c>
      <c r="E52" s="6">
        <f t="shared" ref="E52:L53" si="6">E$41</f>
        <v>0.30199999999999999</v>
      </c>
      <c r="F52" s="6">
        <f t="shared" si="6"/>
        <v>0.30199999999999999</v>
      </c>
      <c r="G52" s="6">
        <f t="shared" si="6"/>
        <v>0.30199999999999999</v>
      </c>
      <c r="H52" s="6">
        <f t="shared" si="6"/>
        <v>9.4E-2</v>
      </c>
      <c r="I52" s="6">
        <f t="shared" si="6"/>
        <v>0</v>
      </c>
      <c r="J52" s="6">
        <f t="shared" si="6"/>
        <v>0.33333333333333331</v>
      </c>
      <c r="K52" s="6">
        <f t="shared" si="6"/>
        <v>0.33333333333333331</v>
      </c>
      <c r="L52" s="6">
        <f t="shared" si="6"/>
        <v>1</v>
      </c>
      <c r="N52" s="5" t="s">
        <v>114</v>
      </c>
      <c r="T52" s="13"/>
      <c r="X52" s="31">
        <f t="shared" si="0"/>
        <v>0.3112582781456954</v>
      </c>
    </row>
    <row r="53" spans="1:24" x14ac:dyDescent="0.25">
      <c r="A53" s="1" t="s">
        <v>61</v>
      </c>
      <c r="B53" s="1"/>
      <c r="C53" s="2">
        <v>0.45</v>
      </c>
      <c r="D53" s="2">
        <v>1</v>
      </c>
      <c r="E53" s="6">
        <f t="shared" si="6"/>
        <v>0.30199999999999999</v>
      </c>
      <c r="F53" s="6">
        <f t="shared" si="6"/>
        <v>0.30199999999999999</v>
      </c>
      <c r="G53" s="6">
        <f t="shared" si="6"/>
        <v>0.30199999999999999</v>
      </c>
      <c r="H53" s="6">
        <f t="shared" si="6"/>
        <v>9.4E-2</v>
      </c>
      <c r="I53" s="6">
        <f t="shared" si="6"/>
        <v>0</v>
      </c>
      <c r="J53" s="6">
        <f t="shared" si="6"/>
        <v>0.33333333333333331</v>
      </c>
      <c r="K53" s="6">
        <f t="shared" si="6"/>
        <v>0.33333333333333331</v>
      </c>
      <c r="L53" s="6">
        <f t="shared" si="6"/>
        <v>1</v>
      </c>
      <c r="N53" s="5" t="s">
        <v>114</v>
      </c>
      <c r="T53" s="13"/>
      <c r="X53" s="31">
        <f t="shared" si="0"/>
        <v>0.3112582781456954</v>
      </c>
    </row>
    <row r="54" spans="1:24" x14ac:dyDescent="0.25">
      <c r="A54" s="1" t="s">
        <v>62</v>
      </c>
      <c r="B54" s="1"/>
      <c r="C54" s="2">
        <v>0.45</v>
      </c>
      <c r="D54" s="2">
        <v>1</v>
      </c>
      <c r="E54" s="3">
        <v>0.42199999999999999</v>
      </c>
      <c r="F54" s="3">
        <f>0.268+0.047</f>
        <v>0.315</v>
      </c>
      <c r="G54" s="3">
        <v>0.2</v>
      </c>
      <c r="H54" s="3">
        <v>6.2E-2</v>
      </c>
      <c r="I54" s="4">
        <v>0</v>
      </c>
      <c r="J54" s="4">
        <v>1</v>
      </c>
      <c r="K54" s="4">
        <v>1</v>
      </c>
      <c r="L54" s="4">
        <v>1</v>
      </c>
      <c r="N54" t="s">
        <v>70</v>
      </c>
      <c r="T54" s="13"/>
      <c r="X54" s="31">
        <f t="shared" si="0"/>
        <v>0.31</v>
      </c>
    </row>
    <row r="55" spans="1:24" x14ac:dyDescent="0.25">
      <c r="A55" s="1"/>
      <c r="B55" s="1"/>
      <c r="E55" s="6"/>
      <c r="F55" s="6"/>
      <c r="G55" s="6"/>
      <c r="H55" s="6"/>
      <c r="I55" s="4"/>
      <c r="J55" s="4"/>
      <c r="K55" s="4"/>
      <c r="L55" s="4"/>
      <c r="T55" s="13"/>
    </row>
    <row r="56" spans="1:24" x14ac:dyDescent="0.25">
      <c r="A56" s="17" t="s">
        <v>97</v>
      </c>
      <c r="B56" s="18"/>
      <c r="C56" s="19"/>
      <c r="D56" s="19"/>
      <c r="E56" s="20"/>
      <c r="F56" s="20"/>
      <c r="G56" s="20"/>
      <c r="H56" s="20"/>
      <c r="I56" s="21"/>
      <c r="J56" s="21"/>
      <c r="K56" s="21"/>
      <c r="L56" s="21"/>
      <c r="M56" s="22"/>
      <c r="N56" s="22"/>
      <c r="O56" s="22"/>
      <c r="P56" s="22"/>
      <c r="Q56" s="22"/>
      <c r="R56" s="22"/>
      <c r="S56" s="22"/>
      <c r="T56" s="23"/>
      <c r="U56" s="22"/>
    </row>
    <row r="57" spans="1:24" x14ac:dyDescent="0.25">
      <c r="I57" s="4"/>
      <c r="J57" s="4"/>
      <c r="K57" s="4"/>
      <c r="L57" s="4"/>
      <c r="N57" s="14" t="s">
        <v>78</v>
      </c>
      <c r="T57" s="13"/>
    </row>
    <row r="58" spans="1:24" x14ac:dyDescent="0.25">
      <c r="A58" t="s">
        <v>10</v>
      </c>
      <c r="B58" t="s">
        <v>77</v>
      </c>
      <c r="E58" s="3">
        <f t="shared" ref="E58:F67" si="7">E2 / SUM($E2,$F2,$G2*$N58,$H2*$N58)</f>
        <v>0.37083148065807031</v>
      </c>
      <c r="F58" s="3">
        <f t="shared" si="7"/>
        <v>0.29702089817696753</v>
      </c>
      <c r="G58" s="3">
        <f t="shared" ref="G58:H67" si="8">G2*$N58 / SUM($E2,$F2,$G2*$N58,$H2*$N58)</f>
        <v>0.25344597598932861</v>
      </c>
      <c r="H58" s="3">
        <f t="shared" si="8"/>
        <v>7.8701645175633606E-2</v>
      </c>
      <c r="N58" s="2">
        <f>0.15/0.1</f>
        <v>1.4999999999999998</v>
      </c>
      <c r="P58" t="s">
        <v>96</v>
      </c>
      <c r="T58" s="13"/>
    </row>
    <row r="59" spans="1:24" x14ac:dyDescent="0.25">
      <c r="A59" t="s">
        <v>11</v>
      </c>
      <c r="B59" t="s">
        <v>77</v>
      </c>
      <c r="E59" s="3">
        <f t="shared" si="7"/>
        <v>0.37345132743362836</v>
      </c>
      <c r="F59" s="3">
        <f t="shared" si="7"/>
        <v>0.2787610619469027</v>
      </c>
      <c r="G59" s="3">
        <f t="shared" si="8"/>
        <v>0.26548672566371689</v>
      </c>
      <c r="H59" s="3">
        <f t="shared" si="8"/>
        <v>8.2300884955752218E-2</v>
      </c>
      <c r="N59" s="2">
        <v>1.5</v>
      </c>
      <c r="P59" s="16" t="s">
        <v>95</v>
      </c>
      <c r="T59" s="13"/>
    </row>
    <row r="60" spans="1:24" x14ac:dyDescent="0.25">
      <c r="A60" t="s">
        <v>12</v>
      </c>
      <c r="B60" t="s">
        <v>77</v>
      </c>
      <c r="E60" s="3">
        <f t="shared" si="7"/>
        <v>0.3621694307485433</v>
      </c>
      <c r="F60" s="3">
        <f t="shared" si="7"/>
        <v>0.3245181532944868</v>
      </c>
      <c r="G60" s="3">
        <f t="shared" si="8"/>
        <v>0.23935454952935906</v>
      </c>
      <c r="H60" s="3">
        <f t="shared" si="8"/>
        <v>7.3957866427610944E-2</v>
      </c>
      <c r="N60" s="2">
        <v>1.5</v>
      </c>
      <c r="P60" s="16" t="s">
        <v>100</v>
      </c>
      <c r="T60" s="13"/>
    </row>
    <row r="61" spans="1:24" x14ac:dyDescent="0.25">
      <c r="A61" t="s">
        <v>13</v>
      </c>
      <c r="B61" t="s">
        <v>77</v>
      </c>
      <c r="E61" s="3">
        <f t="shared" si="7"/>
        <v>0.39856373429084385</v>
      </c>
      <c r="F61" s="3">
        <f t="shared" si="7"/>
        <v>0.29443447037701981</v>
      </c>
      <c r="G61" s="3">
        <f t="shared" si="8"/>
        <v>0.23429084380610415</v>
      </c>
      <c r="H61" s="3">
        <f t="shared" si="8"/>
        <v>7.2710951526032325E-2</v>
      </c>
      <c r="N61" s="2">
        <v>1.5</v>
      </c>
      <c r="T61" s="13"/>
    </row>
    <row r="62" spans="1:24" x14ac:dyDescent="0.25">
      <c r="A62" t="s">
        <v>14</v>
      </c>
      <c r="B62" t="s">
        <v>77</v>
      </c>
      <c r="E62" s="3">
        <f t="shared" si="7"/>
        <v>0.37345132743362836</v>
      </c>
      <c r="F62" s="3">
        <f t="shared" si="7"/>
        <v>0.2787610619469027</v>
      </c>
      <c r="G62" s="3">
        <f t="shared" si="8"/>
        <v>0.26548672566371689</v>
      </c>
      <c r="H62" s="3">
        <f t="shared" si="8"/>
        <v>8.2300884955752218E-2</v>
      </c>
      <c r="N62" s="2">
        <v>1.5</v>
      </c>
      <c r="T62" s="13"/>
    </row>
    <row r="63" spans="1:24" x14ac:dyDescent="0.25">
      <c r="A63" t="s">
        <v>15</v>
      </c>
      <c r="B63" t="s">
        <v>77</v>
      </c>
      <c r="E63" s="3">
        <f t="shared" si="7"/>
        <v>0.26530612244897955</v>
      </c>
      <c r="F63" s="3">
        <f t="shared" si="7"/>
        <v>0.28826530612244894</v>
      </c>
      <c r="G63" s="3">
        <f t="shared" si="8"/>
        <v>0.34056122448979587</v>
      </c>
      <c r="H63" s="3">
        <f t="shared" si="8"/>
        <v>0.10586734693877549</v>
      </c>
      <c r="N63" s="2">
        <v>1.5</v>
      </c>
      <c r="T63" s="13"/>
    </row>
    <row r="64" spans="1:24" x14ac:dyDescent="0.25">
      <c r="A64" t="s">
        <v>16</v>
      </c>
      <c r="B64" t="s">
        <v>77</v>
      </c>
      <c r="E64" s="3">
        <f t="shared" si="7"/>
        <v>0.38359908883826882</v>
      </c>
      <c r="F64" s="3">
        <f t="shared" si="7"/>
        <v>0.34988610478359911</v>
      </c>
      <c r="G64" s="3">
        <f t="shared" si="8"/>
        <v>0.20364464692482914</v>
      </c>
      <c r="H64" s="3">
        <f t="shared" si="8"/>
        <v>6.2870159453302973E-2</v>
      </c>
      <c r="N64" s="2">
        <v>1.5</v>
      </c>
      <c r="T64" s="13"/>
    </row>
    <row r="65" spans="1:20" x14ac:dyDescent="0.25">
      <c r="A65" t="s">
        <v>17</v>
      </c>
      <c r="B65" t="s">
        <v>77</v>
      </c>
      <c r="E65" s="3">
        <f t="shared" si="7"/>
        <v>0.37345132743362836</v>
      </c>
      <c r="F65" s="3">
        <f t="shared" si="7"/>
        <v>0.2787610619469027</v>
      </c>
      <c r="G65" s="3">
        <f t="shared" si="8"/>
        <v>0.26548672566371689</v>
      </c>
      <c r="H65" s="3">
        <f t="shared" si="8"/>
        <v>8.2300884955752218E-2</v>
      </c>
      <c r="N65" s="2">
        <v>1.5</v>
      </c>
      <c r="T65" s="13"/>
    </row>
    <row r="66" spans="1:20" x14ac:dyDescent="0.25">
      <c r="A66" t="s">
        <v>18</v>
      </c>
      <c r="B66" t="s">
        <v>77</v>
      </c>
      <c r="E66" s="3">
        <f t="shared" si="7"/>
        <v>0.35137533274179239</v>
      </c>
      <c r="F66" s="3">
        <f t="shared" si="7"/>
        <v>0.3105590062111801</v>
      </c>
      <c r="G66" s="3">
        <f t="shared" si="8"/>
        <v>0.25820763087843834</v>
      </c>
      <c r="H66" s="3">
        <f t="shared" si="8"/>
        <v>7.9858030168589167E-2</v>
      </c>
      <c r="N66" s="2">
        <v>1.5</v>
      </c>
      <c r="T66" s="13"/>
    </row>
    <row r="67" spans="1:20" x14ac:dyDescent="0.25">
      <c r="A67" t="s">
        <v>19</v>
      </c>
      <c r="B67" t="s">
        <v>77</v>
      </c>
      <c r="E67" s="3">
        <f t="shared" si="7"/>
        <v>0.37345132743362836</v>
      </c>
      <c r="F67" s="3">
        <f t="shared" si="7"/>
        <v>0.2787610619469027</v>
      </c>
      <c r="G67" s="3">
        <f t="shared" si="8"/>
        <v>0.26548672566371689</v>
      </c>
      <c r="H67" s="3">
        <f t="shared" si="8"/>
        <v>8.2300884955752218E-2</v>
      </c>
      <c r="N67" s="2">
        <v>1.5</v>
      </c>
      <c r="T67" s="13"/>
    </row>
    <row r="68" spans="1:20" x14ac:dyDescent="0.25">
      <c r="E68" s="3"/>
      <c r="F68" s="3"/>
      <c r="G68" s="3"/>
      <c r="H68" s="3"/>
      <c r="N68" s="2"/>
      <c r="T68" s="13"/>
    </row>
    <row r="69" spans="1:20" x14ac:dyDescent="0.25">
      <c r="A69" t="s">
        <v>34</v>
      </c>
      <c r="B69" t="s">
        <v>77</v>
      </c>
      <c r="E69" s="3">
        <f>E26 / SUM($E26,$F26,$G26*$N69,$H26*$N69)</f>
        <v>0.42499702132729655</v>
      </c>
      <c r="F69" s="3">
        <f>F26 / SUM($E26,$F26,$G26*$N69,$H26*$N69)</f>
        <v>0</v>
      </c>
      <c r="G69" s="3">
        <f>G26*$N69 / SUM($E26,$F26,$G26*$N69,$H26*$N69)</f>
        <v>0.34862385321100919</v>
      </c>
      <c r="H69" s="3">
        <f>H26*$N69 / SUM($E26,$F26,$G26*$N69,$H26*$N69)</f>
        <v>0.22637912546169428</v>
      </c>
      <c r="N69" s="4">
        <f>(1/0.58)/(1/1.52)*0.5</f>
        <v>1.3103448275862069</v>
      </c>
      <c r="P69" t="s">
        <v>94</v>
      </c>
      <c r="T69" s="13"/>
    </row>
    <row r="70" spans="1:20" x14ac:dyDescent="0.25">
      <c r="A70" t="s">
        <v>35</v>
      </c>
      <c r="B70" t="s">
        <v>77</v>
      </c>
      <c r="E70" s="3">
        <f>E27 / SUM($E27,$F27,$G27*$N70,$H27*$N70)</f>
        <v>0.42499702132729655</v>
      </c>
      <c r="F70" s="3">
        <f>F27 / SUM($E27,$F27,$G27*$N70,$H27*$N70)</f>
        <v>0</v>
      </c>
      <c r="G70" s="3">
        <f>G27*$N70 / SUM($E27,$F27,$G27*$N70,$H27*$N70)</f>
        <v>0.34862385321100919</v>
      </c>
      <c r="H70" s="3">
        <f>H27*$N70 / SUM($E27,$F27,$G27*$N70,$H27*$N70)</f>
        <v>0.22637912546169428</v>
      </c>
      <c r="N70" s="4">
        <f>(1/0.58)/(1/1.52)*0.5</f>
        <v>1.3103448275862069</v>
      </c>
      <c r="P70" s="16" t="s">
        <v>98</v>
      </c>
      <c r="T70" s="13"/>
    </row>
    <row r="71" spans="1:20" x14ac:dyDescent="0.25">
      <c r="E71" s="3"/>
      <c r="F71" s="3"/>
      <c r="G71" s="3"/>
      <c r="H71" s="3"/>
      <c r="P71" s="16" t="s">
        <v>101</v>
      </c>
    </row>
    <row r="72" spans="1:20" x14ac:dyDescent="0.25">
      <c r="E72" s="3"/>
      <c r="F72" s="3"/>
      <c r="G72" s="3"/>
      <c r="H72" s="3"/>
      <c r="P72" s="16" t="s">
        <v>99</v>
      </c>
    </row>
    <row r="73" spans="1:20" x14ac:dyDescent="0.25">
      <c r="E73" s="3"/>
      <c r="F73" s="3"/>
      <c r="G73" s="3"/>
      <c r="H73" s="3"/>
    </row>
    <row r="74" spans="1:20" x14ac:dyDescent="0.25">
      <c r="E74" s="3"/>
      <c r="F74" s="3"/>
      <c r="G74" s="3"/>
      <c r="H74" s="3"/>
    </row>
    <row r="75" spans="1:20" x14ac:dyDescent="0.25">
      <c r="E75" s="3"/>
      <c r="F75" s="3"/>
      <c r="G75" s="3"/>
      <c r="H75" s="3"/>
    </row>
    <row r="76" spans="1:20" x14ac:dyDescent="0.25">
      <c r="E76" s="3"/>
      <c r="F76" s="3"/>
      <c r="G76" s="3"/>
      <c r="H76" s="3"/>
    </row>
    <row r="77" spans="1:20" x14ac:dyDescent="0.25">
      <c r="E77" s="3"/>
      <c r="F77" s="3"/>
      <c r="G77" s="3"/>
      <c r="H77" s="3"/>
    </row>
    <row r="78" spans="1:20" x14ac:dyDescent="0.25">
      <c r="E78" s="3"/>
      <c r="F78" s="3"/>
      <c r="G78" s="3"/>
      <c r="H78" s="3"/>
    </row>
    <row r="79" spans="1:20" x14ac:dyDescent="0.25">
      <c r="E79" s="3"/>
      <c r="F79" s="3"/>
      <c r="G79" s="3"/>
      <c r="H79" s="3"/>
    </row>
    <row r="80" spans="1:20" x14ac:dyDescent="0.25">
      <c r="E80" s="3"/>
      <c r="F80" s="3"/>
      <c r="G80" s="3"/>
      <c r="H80" s="3"/>
    </row>
    <row r="81" spans="5:8" x14ac:dyDescent="0.25">
      <c r="E81" s="3"/>
      <c r="F81" s="3"/>
      <c r="G81" s="3"/>
      <c r="H81" s="3"/>
    </row>
    <row r="84" spans="5:8" x14ac:dyDescent="0.25">
      <c r="E84" s="3"/>
      <c r="F84" s="3"/>
      <c r="G84" s="3"/>
      <c r="H84" s="3"/>
    </row>
    <row r="85" spans="5:8" x14ac:dyDescent="0.25">
      <c r="E85" s="3"/>
      <c r="F85" s="3"/>
      <c r="G85" s="3"/>
      <c r="H85" s="3"/>
    </row>
    <row r="86" spans="5:8" x14ac:dyDescent="0.25">
      <c r="E86" s="3"/>
      <c r="F86" s="3"/>
      <c r="G86" s="3"/>
      <c r="H86" s="3"/>
    </row>
    <row r="87" spans="5:8" x14ac:dyDescent="0.25">
      <c r="E87" s="3"/>
      <c r="F87" s="3"/>
      <c r="G87" s="3"/>
      <c r="H8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73D0-B486-42BC-A4BF-F243D149D98D}">
  <dimension ref="A1:C6"/>
  <sheetViews>
    <sheetView workbookViewId="0">
      <selection activeCell="A7" sqref="A7"/>
    </sheetView>
  </sheetViews>
  <sheetFormatPr defaultRowHeight="15" x14ac:dyDescent="0.25"/>
  <cols>
    <col min="1" max="1" width="33.85546875" customWidth="1"/>
    <col min="2" max="2" width="71.7109375" customWidth="1"/>
    <col min="3" max="3" width="43.85546875" customWidth="1"/>
  </cols>
  <sheetData>
    <row r="1" spans="1:3" x14ac:dyDescent="0.25">
      <c r="A1" s="11" t="s">
        <v>81</v>
      </c>
      <c r="B1" s="11" t="s">
        <v>79</v>
      </c>
      <c r="C1" s="11" t="s">
        <v>80</v>
      </c>
    </row>
    <row r="2" spans="1:3" x14ac:dyDescent="0.25">
      <c r="A2" t="s">
        <v>84</v>
      </c>
      <c r="B2" t="s">
        <v>82</v>
      </c>
      <c r="C2" s="15" t="s">
        <v>83</v>
      </c>
    </row>
    <row r="3" spans="1:3" x14ac:dyDescent="0.25">
      <c r="A3" t="s">
        <v>86</v>
      </c>
      <c r="B3" t="s">
        <v>87</v>
      </c>
      <c r="C3" s="15" t="s">
        <v>85</v>
      </c>
    </row>
    <row r="4" spans="1:3" x14ac:dyDescent="0.25">
      <c r="A4" t="s">
        <v>90</v>
      </c>
      <c r="B4" t="s">
        <v>88</v>
      </c>
      <c r="C4" s="15" t="s">
        <v>89</v>
      </c>
    </row>
    <row r="5" spans="1:3" x14ac:dyDescent="0.25">
      <c r="A5" t="s">
        <v>91</v>
      </c>
      <c r="B5" t="s">
        <v>92</v>
      </c>
      <c r="C5" s="15" t="s">
        <v>93</v>
      </c>
    </row>
    <row r="6" spans="1:3" x14ac:dyDescent="0.25">
      <c r="A6" t="s">
        <v>117</v>
      </c>
      <c r="B6" t="s">
        <v>115</v>
      </c>
      <c r="C6" s="15" t="s">
        <v>116</v>
      </c>
    </row>
  </sheetData>
  <hyperlinks>
    <hyperlink ref="C2" r:id="rId1" xr:uid="{5FF5DD4F-E5B9-4FAC-A06E-A19548673424}"/>
    <hyperlink ref="C3" r:id="rId2" xr:uid="{0EA7DA71-4310-4F21-8C03-6BB56C175491}"/>
    <hyperlink ref="C4" r:id="rId3" xr:uid="{47B930F4-765A-4E76-AE11-48B9DAEFFCE4}"/>
    <hyperlink ref="C5" r:id="rId4" xr:uid="{8F5E3C95-76D5-466C-96CD-FD87EC47CB32}"/>
    <hyperlink ref="C6" r:id="rId5" xr:uid="{7A81234E-B461-44B2-B0A3-2797A159E6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2015-06-05T18:17:20Z</dcterms:created>
  <dcterms:modified xsi:type="dcterms:W3CDTF">2026-03-26T20:30:13Z</dcterms:modified>
</cp:coreProperties>
</file>