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nka0003\Documents\#1 Projekt\MISTRA Food Futures WP5\CIBUSmod Food Systems Model\CIBUSmod\data\default\"/>
    </mc:Choice>
  </mc:AlternateContent>
  <bookViews>
    <workbookView xWindow="0" yWindow="0" windowWidth="19020" windowHeight="6705" activeTab="1"/>
  </bookViews>
  <sheets>
    <sheet name="references" sheetId="2" r:id="rId1"/>
    <sheet name="default" sheetId="1" r:id="rId2"/>
    <sheet name="MMS" sheetId="3" r:id="rId3"/>
  </sheets>
  <calcPr calcId="162913"/>
</workbook>
</file>

<file path=xl/calcChain.xml><?xml version="1.0" encoding="utf-8"?>
<calcChain xmlns="http://schemas.openxmlformats.org/spreadsheetml/2006/main">
  <c r="K149" i="1" l="1"/>
  <c r="K148" i="1"/>
  <c r="F13" i="3" l="1"/>
  <c r="I9" i="3"/>
  <c r="I10" i="3"/>
  <c r="I11" i="3"/>
  <c r="I14" i="3" s="1"/>
  <c r="I12" i="3"/>
  <c r="Y12" i="3" s="1"/>
  <c r="I13" i="3"/>
  <c r="I8" i="3"/>
  <c r="Y10" i="3"/>
  <c r="Y8" i="3"/>
  <c r="K9" i="1"/>
  <c r="K5" i="1"/>
  <c r="T8" i="3"/>
  <c r="U8" i="3"/>
  <c r="V8" i="3"/>
  <c r="W8" i="3"/>
  <c r="X8" i="3"/>
  <c r="Z8" i="3"/>
  <c r="AA8" i="3"/>
  <c r="AB8" i="3"/>
  <c r="AC8" i="3"/>
  <c r="AD8" i="3"/>
  <c r="K66" i="1" s="1"/>
  <c r="AE8" i="3"/>
  <c r="AF8" i="3"/>
  <c r="S8" i="3"/>
  <c r="T14" i="3"/>
  <c r="U14" i="3"/>
  <c r="W14" i="3"/>
  <c r="X14" i="3"/>
  <c r="AA14" i="3"/>
  <c r="AB14" i="3"/>
  <c r="AC14" i="3"/>
  <c r="AE14" i="3"/>
  <c r="AF14" i="3"/>
  <c r="S14" i="3"/>
  <c r="N9" i="3"/>
  <c r="F9" i="3"/>
  <c r="F10" i="3"/>
  <c r="F11" i="3"/>
  <c r="F12" i="3"/>
  <c r="F8" i="3"/>
  <c r="T9" i="3"/>
  <c r="U9" i="3"/>
  <c r="V9" i="3"/>
  <c r="V14" i="3" s="1"/>
  <c r="W9" i="3"/>
  <c r="X9" i="3"/>
  <c r="Z9" i="3"/>
  <c r="Z14" i="3" s="1"/>
  <c r="AA9" i="3"/>
  <c r="AB9" i="3"/>
  <c r="AC9" i="3"/>
  <c r="AE9" i="3"/>
  <c r="AF9" i="3"/>
  <c r="T10" i="3"/>
  <c r="U10" i="3"/>
  <c r="V10" i="3"/>
  <c r="W10" i="3"/>
  <c r="X10" i="3"/>
  <c r="Z10" i="3"/>
  <c r="AA10" i="3"/>
  <c r="AB10" i="3"/>
  <c r="AC10" i="3"/>
  <c r="AE10" i="3"/>
  <c r="AF10" i="3"/>
  <c r="T11" i="3"/>
  <c r="U11" i="3"/>
  <c r="V11" i="3"/>
  <c r="W11" i="3"/>
  <c r="X11" i="3"/>
  <c r="Z11" i="3"/>
  <c r="AA11" i="3"/>
  <c r="AB11" i="3"/>
  <c r="AC11" i="3"/>
  <c r="AE11" i="3"/>
  <c r="AF11" i="3"/>
  <c r="T12" i="3"/>
  <c r="U12" i="3"/>
  <c r="V12" i="3"/>
  <c r="W12" i="3"/>
  <c r="X12" i="3"/>
  <c r="Z12" i="3"/>
  <c r="AA12" i="3"/>
  <c r="AB12" i="3"/>
  <c r="AC12" i="3"/>
  <c r="AE12" i="3"/>
  <c r="AF12" i="3"/>
  <c r="T13" i="3"/>
  <c r="U13" i="3"/>
  <c r="V13" i="3"/>
  <c r="W13" i="3"/>
  <c r="X13" i="3"/>
  <c r="Z13" i="3"/>
  <c r="AA13" i="3"/>
  <c r="AB13" i="3"/>
  <c r="AC13" i="3"/>
  <c r="AE13" i="3"/>
  <c r="AF13" i="3"/>
  <c r="S10" i="3"/>
  <c r="S11" i="3"/>
  <c r="S12" i="3"/>
  <c r="S13" i="3"/>
  <c r="S9" i="3"/>
  <c r="P11" i="3"/>
  <c r="P10" i="3"/>
  <c r="P9" i="3"/>
  <c r="O11" i="3"/>
  <c r="O10" i="3"/>
  <c r="O9" i="3"/>
  <c r="N10" i="3"/>
  <c r="N11" i="3"/>
  <c r="N12" i="3"/>
  <c r="N14" i="3" s="1"/>
  <c r="M10" i="3"/>
  <c r="M9" i="3"/>
  <c r="M12" i="3"/>
  <c r="M11" i="3"/>
  <c r="L12" i="3"/>
  <c r="L11" i="3"/>
  <c r="L10" i="3"/>
  <c r="L9" i="3"/>
  <c r="K11" i="3"/>
  <c r="K10" i="3"/>
  <c r="K9" i="3"/>
  <c r="K14" i="3" s="1"/>
  <c r="K8" i="3"/>
  <c r="J13" i="3"/>
  <c r="J14" i="3"/>
  <c r="J11" i="3"/>
  <c r="J10" i="3"/>
  <c r="J9" i="3"/>
  <c r="J8" i="3"/>
  <c r="H14" i="3"/>
  <c r="L14" i="3"/>
  <c r="P14" i="3"/>
  <c r="H8" i="3"/>
  <c r="H9" i="3"/>
  <c r="H10" i="3"/>
  <c r="G14" i="3" s="1"/>
  <c r="H11" i="3"/>
  <c r="H12" i="3"/>
  <c r="G8" i="3"/>
  <c r="G9" i="3"/>
  <c r="G10" i="3"/>
  <c r="G11" i="3"/>
  <c r="G12" i="3"/>
  <c r="E10" i="3"/>
  <c r="E11" i="3"/>
  <c r="E12" i="3"/>
  <c r="E9" i="3"/>
  <c r="E8" i="3"/>
  <c r="D14" i="3"/>
  <c r="E14" i="3"/>
  <c r="D12" i="3"/>
  <c r="D11" i="3"/>
  <c r="D10" i="3"/>
  <c r="D9" i="3"/>
  <c r="D8" i="3"/>
  <c r="C9" i="3"/>
  <c r="C12" i="3"/>
  <c r="C11" i="3"/>
  <c r="C8" i="3"/>
  <c r="C10" i="3"/>
  <c r="K94" i="3"/>
  <c r="J94" i="3"/>
  <c r="I94" i="3"/>
  <c r="H94" i="3"/>
  <c r="G94" i="3"/>
  <c r="F94" i="3"/>
  <c r="E94" i="3"/>
  <c r="D94" i="3"/>
  <c r="C94" i="3"/>
  <c r="L80" i="3"/>
  <c r="K80" i="3"/>
  <c r="J80" i="3"/>
  <c r="I80" i="3"/>
  <c r="H80" i="3"/>
  <c r="G80" i="3"/>
  <c r="F80" i="3"/>
  <c r="E80" i="3"/>
  <c r="D80" i="3"/>
  <c r="C80" i="3"/>
  <c r="M66" i="3"/>
  <c r="L66" i="3"/>
  <c r="K66" i="3"/>
  <c r="J66" i="3"/>
  <c r="I66" i="3"/>
  <c r="H66" i="3"/>
  <c r="G66" i="3"/>
  <c r="F66" i="3"/>
  <c r="E66" i="3"/>
  <c r="D66" i="3"/>
  <c r="C66" i="3"/>
  <c r="M53" i="3"/>
  <c r="N53" i="3"/>
  <c r="O53" i="3"/>
  <c r="L53" i="3"/>
  <c r="K53" i="3"/>
  <c r="J53" i="3"/>
  <c r="I53" i="3"/>
  <c r="H53" i="3"/>
  <c r="G53" i="3"/>
  <c r="F53" i="3"/>
  <c r="E53" i="3"/>
  <c r="D53" i="3"/>
  <c r="C53" i="3"/>
  <c r="L40" i="3"/>
  <c r="H40" i="3"/>
  <c r="K40" i="3"/>
  <c r="J40" i="3"/>
  <c r="I40" i="3"/>
  <c r="G40" i="3"/>
  <c r="F40" i="3"/>
  <c r="E40" i="3"/>
  <c r="D40" i="3"/>
  <c r="C40" i="3"/>
  <c r="D27" i="3"/>
  <c r="E27" i="3"/>
  <c r="F27" i="3"/>
  <c r="G27" i="3"/>
  <c r="I27" i="3"/>
  <c r="J27" i="3"/>
  <c r="K27" i="3"/>
  <c r="C27" i="3"/>
  <c r="K34" i="1" l="1"/>
  <c r="Y11" i="3"/>
  <c r="Y9" i="3"/>
  <c r="Y13" i="3"/>
  <c r="K37" i="1" s="1"/>
  <c r="AD12" i="3"/>
  <c r="AD10" i="3"/>
  <c r="K25" i="1"/>
  <c r="AD13" i="3"/>
  <c r="AD11" i="3"/>
  <c r="AD9" i="3"/>
  <c r="K70" i="1"/>
  <c r="K62" i="1"/>
  <c r="K58" i="1"/>
  <c r="K54" i="1"/>
  <c r="K50" i="1"/>
  <c r="K46" i="1"/>
  <c r="K42" i="1"/>
  <c r="K38" i="1"/>
  <c r="K29" i="1"/>
  <c r="K21" i="1"/>
  <c r="K17" i="1"/>
  <c r="K13" i="1"/>
  <c r="K4" i="1"/>
  <c r="K69" i="1"/>
  <c r="K65" i="1"/>
  <c r="K61" i="1"/>
  <c r="K57" i="1"/>
  <c r="K53" i="1"/>
  <c r="K49" i="1"/>
  <c r="K45" i="1"/>
  <c r="K41" i="1"/>
  <c r="K32" i="1"/>
  <c r="K28" i="1"/>
  <c r="K24" i="1"/>
  <c r="K20" i="1"/>
  <c r="K16" i="1"/>
  <c r="K12" i="1"/>
  <c r="K8" i="1"/>
  <c r="K35" i="1"/>
  <c r="K3" i="1"/>
  <c r="K72" i="1"/>
  <c r="K68" i="1"/>
  <c r="K64" i="1"/>
  <c r="K60" i="1"/>
  <c r="K56" i="1"/>
  <c r="K52" i="1"/>
  <c r="K48" i="1"/>
  <c r="K44" i="1"/>
  <c r="K40" i="1"/>
  <c r="K31" i="1"/>
  <c r="K27" i="1"/>
  <c r="K23" i="1"/>
  <c r="K19" i="1"/>
  <c r="K15" i="1"/>
  <c r="K11" i="1"/>
  <c r="K7" i="1"/>
  <c r="K36" i="1"/>
  <c r="K6" i="1"/>
  <c r="K71" i="1"/>
  <c r="K67" i="1"/>
  <c r="K63" i="1"/>
  <c r="K59" i="1"/>
  <c r="K55" i="1"/>
  <c r="K51" i="1"/>
  <c r="K47" i="1"/>
  <c r="K43" i="1"/>
  <c r="K39" i="1"/>
  <c r="K30" i="1"/>
  <c r="K26" i="1"/>
  <c r="K22" i="1"/>
  <c r="K18" i="1"/>
  <c r="K14" i="1"/>
  <c r="K10" i="1"/>
  <c r="K33" i="1"/>
  <c r="F14" i="3"/>
  <c r="O14" i="3"/>
  <c r="M14" i="3"/>
  <c r="C14" i="3"/>
  <c r="Y14" i="3" l="1"/>
  <c r="AD14" i="3"/>
  <c r="K96" i="1" l="1"/>
  <c r="K92" i="1"/>
  <c r="K90" i="1"/>
  <c r="K88" i="1"/>
  <c r="K83" i="1"/>
  <c r="K86" i="1" s="1"/>
  <c r="K82" i="1"/>
  <c r="K81" i="1"/>
  <c r="K80" i="1"/>
  <c r="K97" i="1"/>
  <c r="K84" i="1" l="1"/>
  <c r="K85" i="1"/>
  <c r="K94" i="1"/>
  <c r="K217" i="1"/>
  <c r="K216" i="1"/>
  <c r="K215" i="1"/>
  <c r="K146" i="1"/>
  <c r="K145" i="1"/>
  <c r="K155" i="1"/>
  <c r="K154" i="1"/>
  <c r="K158" i="1"/>
  <c r="K157" i="1"/>
  <c r="K161" i="1"/>
  <c r="K160" i="1"/>
  <c r="K169" i="1" l="1"/>
</calcChain>
</file>

<file path=xl/sharedStrings.xml><?xml version="1.0" encoding="utf-8"?>
<sst xmlns="http://schemas.openxmlformats.org/spreadsheetml/2006/main" count="1681" uniqueCount="196">
  <si>
    <t>value</t>
  </si>
  <si>
    <t>cattle</t>
  </si>
  <si>
    <t>dairy</t>
  </si>
  <si>
    <t>cows</t>
  </si>
  <si>
    <t>NIR 2022 Table 5.15</t>
  </si>
  <si>
    <t>manure_excr_N</t>
  </si>
  <si>
    <t>kg N/head/year</t>
  </si>
  <si>
    <t>beef</t>
  </si>
  <si>
    <t>NIR 2022 Table 5.17</t>
  </si>
  <si>
    <t>heifers</t>
  </si>
  <si>
    <t>calves</t>
  </si>
  <si>
    <t>steers</t>
  </si>
  <si>
    <t>bulls</t>
  </si>
  <si>
    <t>breeding bulls</t>
  </si>
  <si>
    <t>Assume same as bulls</t>
  </si>
  <si>
    <t>grazing</t>
  </si>
  <si>
    <t>mms_share</t>
  </si>
  <si>
    <t>%</t>
  </si>
  <si>
    <t>liquid</t>
  </si>
  <si>
    <t>solid</t>
  </si>
  <si>
    <t>deep litter</t>
  </si>
  <si>
    <t>NH3-N</t>
  </si>
  <si>
    <t>loss_stable</t>
  </si>
  <si>
    <t>loss_storage</t>
  </si>
  <si>
    <t>NOx-N</t>
  </si>
  <si>
    <t>N2O-N</t>
  </si>
  <si>
    <t>N2</t>
  </si>
  <si>
    <t>TAN_share</t>
  </si>
  <si>
    <t>f_species</t>
  </si>
  <si>
    <t>f_breed</t>
  </si>
  <si>
    <t>f_animal</t>
  </si>
  <si>
    <t>f_MMS</t>
  </si>
  <si>
    <t>f_compound</t>
  </si>
  <si>
    <t>parameter</t>
  </si>
  <si>
    <t>unit</t>
  </si>
  <si>
    <t>description</t>
  </si>
  <si>
    <t>source</t>
  </si>
  <si>
    <t>pigs</t>
  </si>
  <si>
    <t>growing pigs</t>
  </si>
  <si>
    <t>finishing pigs</t>
  </si>
  <si>
    <t>Nitrogen</t>
  </si>
  <si>
    <t>Volatile solids (VS)</t>
  </si>
  <si>
    <t>sows</t>
  </si>
  <si>
    <t>boars</t>
  </si>
  <si>
    <t>piglets</t>
  </si>
  <si>
    <t>gilts</t>
  </si>
  <si>
    <t>Assume same as 'pigs for meat production'</t>
  </si>
  <si>
    <t>pigs for meat production</t>
  </si>
  <si>
    <t>Definition mismatch? 20kg vs 30kg</t>
  </si>
  <si>
    <t>f_prod_system</t>
  </si>
  <si>
    <t>f_element</t>
  </si>
  <si>
    <t>fallback OK?</t>
  </si>
  <si>
    <t>poultry</t>
  </si>
  <si>
    <t>broiler</t>
  </si>
  <si>
    <t>broilers</t>
  </si>
  <si>
    <t>Assume same as laying hens for the parent animals</t>
  </si>
  <si>
    <t>horses</t>
  </si>
  <si>
    <t>% of total N</t>
  </si>
  <si>
    <t>% of TAN</t>
  </si>
  <si>
    <t>methane_B0</t>
  </si>
  <si>
    <t>m3 CH4/kg VS</t>
  </si>
  <si>
    <t>Fallback</t>
  </si>
  <si>
    <t>sheep</t>
  </si>
  <si>
    <t>layer</t>
  </si>
  <si>
    <t>methane_MCF</t>
  </si>
  <si>
    <t>% of B0</t>
  </si>
  <si>
    <t>NIR 2022 Table 5.18</t>
  </si>
  <si>
    <t>Swedish IIR 2023 Table 5-5</t>
  </si>
  <si>
    <t>Swedish IIR 2023 Table 5-6</t>
  </si>
  <si>
    <t>Swedish IIR 2023 Table 5-7</t>
  </si>
  <si>
    <t>UE_of_GE</t>
  </si>
  <si>
    <t>IPCC 2006 Vol. 4 Eq. 10.24</t>
  </si>
  <si>
    <t>MJ UE/MJ GE</t>
  </si>
  <si>
    <t>Urinary energy expressed as fraction of GE</t>
  </si>
  <si>
    <t>IPCC 2006 Vol.4 Table 10A-9</t>
  </si>
  <si>
    <t>manure_VS_C</t>
  </si>
  <si>
    <t>Rundgren 2021</t>
  </si>
  <si>
    <t>C_loss</t>
  </si>
  <si>
    <t>Fraction of carbon in excreted manure volatile solids</t>
  </si>
  <si>
    <t>Fraction of carbon in excreted manure lost before application to soil</t>
  </si>
  <si>
    <t>N_in_LW</t>
  </si>
  <si>
    <t>Statistics Netherlands (2012). Standardised calculation methods for animal manure and nutrients - Standard data 1990–2008. The Hague, Netherlands.  https://www.cbs.nl/-/media/imported/documents/2012/26/2012-c173-pub.pdf</t>
  </si>
  <si>
    <t>Excretion</t>
  </si>
  <si>
    <t>Losses</t>
  </si>
  <si>
    <t>P_in_LW</t>
  </si>
  <si>
    <t>K_in_LW</t>
  </si>
  <si>
    <t>g N/kg live weight</t>
  </si>
  <si>
    <t>g P/kg live weight</t>
  </si>
  <si>
    <t>g K/kg live weight</t>
  </si>
  <si>
    <t>dairy and suckler</t>
  </si>
  <si>
    <t>26 months</t>
  </si>
  <si>
    <t>fattening calves 8 months</t>
  </si>
  <si>
    <t>stud bulls &gt;24 months</t>
  </si>
  <si>
    <t>Beef bulls, finishing weight</t>
  </si>
  <si>
    <t>lambs</t>
  </si>
  <si>
    <t>Breeding sows</t>
  </si>
  <si>
    <t>Gilts</t>
  </si>
  <si>
    <t>Stud boars</t>
  </si>
  <si>
    <t>Piglet losses, 1-75 days</t>
  </si>
  <si>
    <t>Fattening pig, ca. 26 weeks</t>
  </si>
  <si>
    <t>fallback</t>
  </si>
  <si>
    <t>Horses and ponies, adult animal</t>
  </si>
  <si>
    <t>Statistics Netherlands 2012, Table 3.8</t>
  </si>
  <si>
    <t>Sheep, ewes</t>
  </si>
  <si>
    <t>Sheep, slaughter lambs</t>
  </si>
  <si>
    <t>manure_excr_P</t>
  </si>
  <si>
    <t>manure_excr_K</t>
  </si>
  <si>
    <t>Statistics Netherlands 2012, Table 5.4</t>
  </si>
  <si>
    <t>kg P/head/year</t>
  </si>
  <si>
    <t>kg K/head/year</t>
  </si>
  <si>
    <t>N excr. * P:N ratio</t>
  </si>
  <si>
    <t>N excr. * K:N ratio</t>
  </si>
  <si>
    <t>Statistics Netherlands 2012, Table 5.6</t>
  </si>
  <si>
    <t>Statistics Netherlands 2012, Table 5.8</t>
  </si>
  <si>
    <t>Statistics Netherlands 2012, Table 3.43</t>
  </si>
  <si>
    <t>N_in_prod</t>
  </si>
  <si>
    <t>g N/kg product</t>
  </si>
  <si>
    <t>g P/kg product</t>
  </si>
  <si>
    <t>g K/kg product</t>
  </si>
  <si>
    <t>f_animal_prod</t>
  </si>
  <si>
    <t>P_in_prod</t>
  </si>
  <si>
    <t>K_in_prod</t>
  </si>
  <si>
    <t>1.035 kg/L</t>
  </si>
  <si>
    <t>Statistics Netherlands 2012, Table 3.9</t>
  </si>
  <si>
    <t>milk</t>
  </si>
  <si>
    <t>Manure management systems shares</t>
  </si>
  <si>
    <t>Bedding material use</t>
  </si>
  <si>
    <t>bedding_material_use</t>
  </si>
  <si>
    <t>kg DM/head/stable day</t>
  </si>
  <si>
    <t>f_feed</t>
  </si>
  <si>
    <t>straw</t>
  </si>
  <si>
    <t>assume same as pigs</t>
  </si>
  <si>
    <t>ewes</t>
  </si>
  <si>
    <t>includes lambs</t>
  </si>
  <si>
    <t>Nilsson &amp; Bernesson (2009). Straw as fuel - Part 1: Available resources and harvest times. SLU</t>
  </si>
  <si>
    <t>Nilsson &amp; Bernesson (2009) Tabell 34</t>
  </si>
  <si>
    <t>assumed included in sows</t>
  </si>
  <si>
    <t>share_feed_on_pasture</t>
  </si>
  <si>
    <t>Share of feed (excl. grazing) fed to the animals while on pasture</t>
  </si>
  <si>
    <t>N losses</t>
  </si>
  <si>
    <t>Table 5-5. Liquid waste management systems (percent).</t>
  </si>
  <si>
    <t>Year</t>
  </si>
  <si>
    <t>Dairy cattle</t>
  </si>
  <si>
    <t>Suckler cows</t>
  </si>
  <si>
    <t>Heifers</t>
  </si>
  <si>
    <t>Bulls and steers</t>
  </si>
  <si>
    <t>Calves</t>
  </si>
  <si>
    <t>Pigs for meat production</t>
  </si>
  <si>
    <t>Other swine</t>
  </si>
  <si>
    <t>Sheep, goats, horses, reindeer and fur-bearing</t>
  </si>
  <si>
    <t>Laying Hens, Chickens</t>
  </si>
  <si>
    <t>Slaughter Chickens, Tur- keys</t>
  </si>
  <si>
    <t>Table 5-4. Livestock grazing periods (percent).</t>
  </si>
  <si>
    <t>Swine</t>
  </si>
  <si>
    <t>Sheep, Goats</t>
  </si>
  <si>
    <t>Reindeer</t>
  </si>
  <si>
    <t>Horses</t>
  </si>
  <si>
    <t>Poultry</t>
  </si>
  <si>
    <t>NO</t>
  </si>
  <si>
    <t>Source: Informative Inventory Report Sweden 2023. Submitted under the Convention on Long-Range Transboundary Air Pollution</t>
  </si>
  <si>
    <t>Table 5-8. On-farm anaerobic digestion treatment and composting systems (percent). Affects only cattle, swine and horses.</t>
  </si>
  <si>
    <t>Anaerobic digestion in on-farm digesters</t>
  </si>
  <si>
    <t>Composting</t>
  </si>
  <si>
    <t>Non-Dairy cattle</t>
  </si>
  <si>
    <t>Table 5-9. Anaerobic digestion treatment in co-digesters (percent). These fractions of the manure are for storage accounted in the waste sector.</t>
  </si>
  <si>
    <t>Anaerobic digestion in co-digesters</t>
  </si>
  <si>
    <t>Pigs for meat pro- duction</t>
  </si>
  <si>
    <t>Table 5-6. Solid waste management systems (percent).</t>
  </si>
  <si>
    <t>Sheep, goats</t>
  </si>
  <si>
    <t>Fur-bearing animals</t>
  </si>
  <si>
    <t>Slaughter Chickens, Turkeys</t>
  </si>
  <si>
    <t>Table 5-7. Deep litter waste management systems (percent).</t>
  </si>
  <si>
    <t>Sheep, goats, reindeer, Fur- bearing animals</t>
  </si>
  <si>
    <t>Avg.</t>
  </si>
  <si>
    <t>species</t>
  </si>
  <si>
    <t>breed</t>
  </si>
  <si>
    <t>animal</t>
  </si>
  <si>
    <t>composting</t>
  </si>
  <si>
    <t>total</t>
  </si>
  <si>
    <t>Excluding grazing</t>
  </si>
  <si>
    <t>Swedish IIR 2023 Table 5-8 and 5-9</t>
  </si>
  <si>
    <t>Swedish IIR 2023 Table 5-8</t>
  </si>
  <si>
    <t>Swedish IIR 2023 Table 5-11</t>
  </si>
  <si>
    <t>Swedish IIR 2023 Table 5-12</t>
  </si>
  <si>
    <t>id</t>
  </si>
  <si>
    <t>anaerobic digestion</t>
  </si>
  <si>
    <t>laying chicks</t>
  </si>
  <si>
    <t>IMPORTANT: Make sure that all MMS occuring for an animal has values here!</t>
  </si>
  <si>
    <t>EMEP/EEA Guidebook 2023, 3B, Table 3-10</t>
  </si>
  <si>
    <t>slurry</t>
  </si>
  <si>
    <t>NIR 2022, Table 5.18</t>
  </si>
  <si>
    <t>Swedish IIR 2023, Page 221</t>
  </si>
  <si>
    <t>EMEP/EEA Guidebook 2023, 3B, Table 3-9</t>
  </si>
  <si>
    <t>Swedish IIR 2023, Table 5-10</t>
  </si>
  <si>
    <t>Included in grown animals</t>
  </si>
  <si>
    <t>Statistics Netherlands 2012, Table 3.40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</si>
</sst>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name val="Times New Roman"/>
      <family val="1"/>
      <charset val="204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b/>
      <sz val="9"/>
      <color indexed="8"/>
      <name val="Calibri"/>
      <family val="2"/>
    </font>
    <font>
      <sz val="9"/>
      <color indexed="8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7">
    <xf numFmtId="0" fontId="0" fillId="0" borderId="0" xfId="0"/>
    <xf numFmtId="0" fontId="14" fillId="0" borderId="0" xfId="0" applyFont="1"/>
    <xf numFmtId="0" fontId="18" fillId="33" borderId="0" xfId="0" applyFont="1" applyFill="1"/>
    <xf numFmtId="0" fontId="0" fillId="33" borderId="0" xfId="0" applyFill="1"/>
    <xf numFmtId="0" fontId="16" fillId="0" borderId="0" xfId="0" applyFont="1"/>
    <xf numFmtId="0" fontId="19" fillId="0" borderId="0" xfId="0" applyFont="1"/>
    <xf numFmtId="0" fontId="20" fillId="0" borderId="0" xfId="0" applyFont="1"/>
    <xf numFmtId="164" fontId="0" fillId="0" borderId="0" xfId="0" applyNumberFormat="1"/>
    <xf numFmtId="0" fontId="0" fillId="34" borderId="0" xfId="0" applyFill="1"/>
    <xf numFmtId="0" fontId="14" fillId="34" borderId="0" xfId="0" applyFont="1" applyFill="1"/>
    <xf numFmtId="0" fontId="0" fillId="0" borderId="0" xfId="0" applyFill="1"/>
    <xf numFmtId="0" fontId="16" fillId="0" borderId="0" xfId="0" applyFont="1" applyFill="1"/>
    <xf numFmtId="0" fontId="16" fillId="35" borderId="0" xfId="0" applyFont="1" applyFill="1"/>
    <xf numFmtId="0" fontId="0" fillId="35" borderId="0" xfId="0" applyFill="1"/>
    <xf numFmtId="0" fontId="19" fillId="35" borderId="0" xfId="0" applyFont="1" applyFill="1"/>
    <xf numFmtId="165" fontId="0" fillId="0" borderId="0" xfId="0" applyNumberFormat="1"/>
    <xf numFmtId="0" fontId="20" fillId="0" borderId="0" xfId="0" applyFont="1" applyFill="1"/>
    <xf numFmtId="2" fontId="0" fillId="0" borderId="0" xfId="0" applyNumberFormat="1"/>
    <xf numFmtId="1" fontId="20" fillId="0" borderId="0" xfId="0" applyNumberFormat="1" applyFont="1"/>
    <xf numFmtId="0" fontId="0" fillId="33" borderId="0" xfId="0" applyFont="1" applyFill="1"/>
    <xf numFmtId="2" fontId="14" fillId="0" borderId="0" xfId="0" applyNumberFormat="1" applyFont="1"/>
    <xf numFmtId="2" fontId="21" fillId="0" borderId="0" xfId="0" applyNumberFormat="1" applyFont="1"/>
    <xf numFmtId="0" fontId="25" fillId="36" borderId="10" xfId="0" applyFont="1" applyFill="1" applyBorder="1" applyAlignment="1">
      <alignment horizontal="left" vertical="center" wrapText="1"/>
    </xf>
    <xf numFmtId="0" fontId="25" fillId="36" borderId="10" xfId="0" applyFont="1" applyFill="1" applyBorder="1" applyAlignment="1">
      <alignment horizontal="left" textRotation="90" wrapText="1"/>
    </xf>
    <xf numFmtId="0" fontId="22" fillId="0" borderId="0" xfId="0" applyFont="1" applyAlignment="1">
      <alignment horizontal="left" vertical="top" wrapText="1"/>
    </xf>
    <xf numFmtId="1" fontId="23" fillId="0" borderId="10" xfId="0" applyNumberFormat="1" applyFont="1" applyBorder="1" applyAlignment="1">
      <alignment horizontal="left" vertical="top" shrinkToFit="1"/>
    </xf>
    <xf numFmtId="165" fontId="23" fillId="0" borderId="10" xfId="0" applyNumberFormat="1" applyFont="1" applyBorder="1" applyAlignment="1">
      <alignment horizontal="right" vertical="top" shrinkToFit="1"/>
    </xf>
    <xf numFmtId="0" fontId="22" fillId="0" borderId="0" xfId="0" applyFont="1" applyAlignment="1">
      <alignment horizontal="left" wrapText="1"/>
    </xf>
    <xf numFmtId="0" fontId="24" fillId="36" borderId="11" xfId="0" applyFont="1" applyFill="1" applyBorder="1" applyAlignment="1">
      <alignment horizontal="center" vertical="center" wrapText="1"/>
    </xf>
    <xf numFmtId="0" fontId="24" fillId="36" borderId="11" xfId="0" applyFont="1" applyFill="1" applyBorder="1" applyAlignment="1">
      <alignment horizontal="left" textRotation="90" wrapText="1"/>
    </xf>
    <xf numFmtId="1" fontId="23" fillId="0" borderId="10" xfId="0" applyNumberFormat="1" applyFont="1" applyBorder="1" applyAlignment="1">
      <alignment horizontal="center" vertical="top" shrinkToFit="1"/>
    </xf>
    <xf numFmtId="0" fontId="23" fillId="0" borderId="10" xfId="0" applyFont="1" applyBorder="1" applyAlignment="1">
      <alignment horizontal="right" vertical="top" wrapText="1"/>
    </xf>
    <xf numFmtId="1" fontId="23" fillId="0" borderId="10" xfId="0" applyNumberFormat="1" applyFont="1" applyBorder="1" applyAlignment="1">
      <alignment horizontal="right" vertical="top" shrinkToFit="1"/>
    </xf>
    <xf numFmtId="0" fontId="25" fillId="36" borderId="11" xfId="0" applyFont="1" applyFill="1" applyBorder="1" applyAlignment="1">
      <alignment horizontal="left" vertical="top" wrapText="1"/>
    </xf>
    <xf numFmtId="0" fontId="22" fillId="0" borderId="0" xfId="0" applyFont="1" applyAlignment="1">
      <alignment horizontal="left" vertical="center" wrapText="1"/>
    </xf>
    <xf numFmtId="0" fontId="26" fillId="36" borderId="10" xfId="0" applyFont="1" applyFill="1" applyBorder="1" applyAlignment="1">
      <alignment horizontal="left" textRotation="90" wrapText="1"/>
    </xf>
    <xf numFmtId="0" fontId="24" fillId="36" borderId="10" xfId="0" applyFont="1" applyFill="1" applyBorder="1" applyAlignment="1">
      <alignment horizontal="left" textRotation="90" wrapText="1"/>
    </xf>
    <xf numFmtId="0" fontId="23" fillId="36" borderId="10" xfId="0" applyFont="1" applyFill="1" applyBorder="1" applyAlignment="1">
      <alignment horizontal="left" textRotation="90" wrapText="1"/>
    </xf>
    <xf numFmtId="0" fontId="25" fillId="36" borderId="11" xfId="0" applyFont="1" applyFill="1" applyBorder="1" applyAlignment="1">
      <alignment horizontal="left" vertical="center" wrapText="1"/>
    </xf>
    <xf numFmtId="0" fontId="25" fillId="36" borderId="11" xfId="0" applyFont="1" applyFill="1" applyBorder="1" applyAlignment="1">
      <alignment horizontal="left" textRotation="90" wrapText="1"/>
    </xf>
    <xf numFmtId="165" fontId="23" fillId="0" borderId="10" xfId="0" applyNumberFormat="1" applyFont="1" applyBorder="1" applyAlignment="1">
      <alignment horizontal="center" vertical="top" shrinkToFit="1"/>
    </xf>
    <xf numFmtId="0" fontId="25" fillId="36" borderId="11" xfId="0" applyFont="1" applyFill="1" applyBorder="1" applyAlignment="1">
      <alignment horizontal="center" vertical="center" wrapText="1"/>
    </xf>
    <xf numFmtId="1" fontId="23" fillId="37" borderId="10" xfId="0" applyNumberFormat="1" applyFont="1" applyFill="1" applyBorder="1" applyAlignment="1">
      <alignment horizontal="center" vertical="top" shrinkToFit="1"/>
    </xf>
    <xf numFmtId="165" fontId="23" fillId="37" borderId="10" xfId="0" applyNumberFormat="1" applyFont="1" applyFill="1" applyBorder="1" applyAlignment="1">
      <alignment horizontal="right" vertical="top" shrinkToFit="1"/>
    </xf>
    <xf numFmtId="0" fontId="0" fillId="0" borderId="0" xfId="0" applyFont="1"/>
    <xf numFmtId="1" fontId="0" fillId="0" borderId="0" xfId="0" applyNumberFormat="1"/>
    <xf numFmtId="1" fontId="21" fillId="0" borderId="0" xfId="0" applyNumberFormat="1" applyFont="1"/>
    <xf numFmtId="0" fontId="16" fillId="38" borderId="0" xfId="0" applyFont="1" applyFill="1"/>
    <xf numFmtId="0" fontId="0" fillId="38" borderId="0" xfId="0" applyFill="1"/>
    <xf numFmtId="0" fontId="0" fillId="38" borderId="0" xfId="0" applyFont="1" applyFill="1"/>
    <xf numFmtId="1" fontId="16" fillId="0" borderId="0" xfId="0" applyNumberFormat="1" applyFont="1"/>
    <xf numFmtId="0" fontId="21" fillId="0" borderId="0" xfId="0" applyFont="1"/>
    <xf numFmtId="0" fontId="19" fillId="0" borderId="0" xfId="0" applyFont="1" applyFill="1"/>
    <xf numFmtId="0" fontId="0" fillId="0" borderId="0" xfId="0" applyFont="1" applyFill="1"/>
    <xf numFmtId="0" fontId="18" fillId="0" borderId="0" xfId="0" applyFont="1"/>
    <xf numFmtId="0" fontId="24" fillId="0" borderId="0" xfId="0" applyFont="1" applyAlignment="1">
      <alignment horizontal="left" vertical="center" wrapText="1"/>
    </xf>
    <xf numFmtId="0" fontId="25" fillId="36" borderId="12" xfId="0" applyFont="1" applyFill="1" applyBorder="1" applyAlignment="1">
      <alignment horizontal="left" wrapText="1"/>
    </xf>
    <xf numFmtId="0" fontId="25" fillId="36" borderId="11" xfId="0" applyFont="1" applyFill="1" applyBorder="1" applyAlignment="1">
      <alignment horizontal="left" wrapText="1"/>
    </xf>
    <xf numFmtId="0" fontId="25" fillId="36" borderId="13" xfId="0" applyFont="1" applyFill="1" applyBorder="1" applyAlignment="1">
      <alignment horizontal="left" vertical="top" wrapText="1" indent="9"/>
    </xf>
    <xf numFmtId="0" fontId="25" fillId="36" borderId="15" xfId="0" applyFont="1" applyFill="1" applyBorder="1" applyAlignment="1">
      <alignment horizontal="left" vertical="top" wrapText="1" indent="9"/>
    </xf>
    <xf numFmtId="0" fontId="25" fillId="36" borderId="14" xfId="0" applyFont="1" applyFill="1" applyBorder="1" applyAlignment="1">
      <alignment horizontal="left" vertical="top" wrapText="1" indent="9"/>
    </xf>
    <xf numFmtId="0" fontId="24" fillId="0" borderId="0" xfId="0" applyFont="1" applyAlignment="1">
      <alignment horizontal="left" wrapText="1"/>
    </xf>
    <xf numFmtId="0" fontId="22" fillId="36" borderId="12" xfId="0" applyFont="1" applyFill="1" applyBorder="1" applyAlignment="1">
      <alignment horizontal="left" wrapText="1"/>
    </xf>
    <xf numFmtId="0" fontId="22" fillId="36" borderId="11" xfId="0" applyFont="1" applyFill="1" applyBorder="1" applyAlignment="1">
      <alignment horizontal="left" wrapText="1"/>
    </xf>
    <xf numFmtId="0" fontId="24" fillId="36" borderId="13" xfId="0" applyFont="1" applyFill="1" applyBorder="1" applyAlignment="1">
      <alignment horizontal="left" vertical="top" wrapText="1" indent="10"/>
    </xf>
    <xf numFmtId="0" fontId="24" fillId="36" borderId="15" xfId="0" applyFont="1" applyFill="1" applyBorder="1" applyAlignment="1">
      <alignment horizontal="left" vertical="top" wrapText="1" indent="10"/>
    </xf>
    <xf numFmtId="0" fontId="24" fillId="36" borderId="14" xfId="0" applyFont="1" applyFill="1" applyBorder="1" applyAlignment="1">
      <alignment horizontal="left" vertical="top" wrapText="1" indent="1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81</v>
      </c>
    </row>
    <row r="2" spans="1:1" x14ac:dyDescent="0.25">
      <c r="A2" t="s">
        <v>134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4"/>
  <sheetViews>
    <sheetView tabSelected="1" zoomScale="80" zoomScaleNormal="80" workbookViewId="0">
      <pane ySplit="1" topLeftCell="A128" activePane="bottomLeft" state="frozen"/>
      <selection pane="bottomLeft" activeCell="N150" sqref="N150"/>
    </sheetView>
  </sheetViews>
  <sheetFormatPr defaultRowHeight="15" x14ac:dyDescent="0.25"/>
  <cols>
    <col min="2" max="2" width="14.28515625" bestFit="1" customWidth="1"/>
    <col min="4" max="4" width="13.85546875" bestFit="1" customWidth="1"/>
    <col min="5" max="5" width="13.85546875" customWidth="1"/>
    <col min="6" max="6" width="10.42578125" bestFit="1" customWidth="1"/>
    <col min="7" max="7" width="10.42578125" customWidth="1"/>
    <col min="8" max="9" width="12.140625" customWidth="1"/>
    <col min="10" max="10" width="23.85546875" bestFit="1" customWidth="1"/>
    <col min="12" max="12" width="18.7109375" customWidth="1"/>
    <col min="13" max="13" width="63.140625" customWidth="1"/>
    <col min="14" max="14" width="68.140625" bestFit="1" customWidth="1"/>
  </cols>
  <sheetData>
    <row r="1" spans="1:14" x14ac:dyDescent="0.25">
      <c r="A1" s="4" t="s">
        <v>28</v>
      </c>
      <c r="B1" s="4" t="s">
        <v>49</v>
      </c>
      <c r="C1" s="4" t="s">
        <v>29</v>
      </c>
      <c r="D1" s="4" t="s">
        <v>30</v>
      </c>
      <c r="E1" s="4" t="s">
        <v>119</v>
      </c>
      <c r="F1" s="4" t="s">
        <v>31</v>
      </c>
      <c r="G1" s="4" t="s">
        <v>50</v>
      </c>
      <c r="H1" s="4" t="s">
        <v>32</v>
      </c>
      <c r="I1" s="4" t="s">
        <v>129</v>
      </c>
      <c r="J1" s="4" t="s">
        <v>33</v>
      </c>
      <c r="K1" s="4" t="s">
        <v>0</v>
      </c>
      <c r="L1" s="4" t="s">
        <v>34</v>
      </c>
      <c r="M1" s="4" t="s">
        <v>35</v>
      </c>
      <c r="N1" s="4" t="s">
        <v>36</v>
      </c>
    </row>
    <row r="2" spans="1:14" x14ac:dyDescent="0.25">
      <c r="A2" s="2" t="s">
        <v>125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t="s">
        <v>1</v>
      </c>
      <c r="C3" t="s">
        <v>2</v>
      </c>
      <c r="D3" t="s">
        <v>3</v>
      </c>
      <c r="F3" t="s">
        <v>18</v>
      </c>
      <c r="J3" t="s">
        <v>16</v>
      </c>
      <c r="K3" s="45">
        <f>INDEX(MMS!$S$9:$AF$13,MATCH(F3,MMS!$R$9:$R$13,0),MATCH(A3&amp;C3&amp;D3,MMS!$S$8:$AF$8,0))</f>
        <v>83.800623052959494</v>
      </c>
      <c r="L3" t="s">
        <v>17</v>
      </c>
      <c r="N3" t="s">
        <v>67</v>
      </c>
    </row>
    <row r="4" spans="1:14" x14ac:dyDescent="0.25">
      <c r="A4" t="s">
        <v>1</v>
      </c>
      <c r="C4" t="s">
        <v>2</v>
      </c>
      <c r="D4" t="s">
        <v>3</v>
      </c>
      <c r="F4" t="s">
        <v>19</v>
      </c>
      <c r="J4" t="s">
        <v>16</v>
      </c>
      <c r="K4" s="45">
        <f>INDEX(MMS!$S$9:$AF$13,MATCH(F4,MMS!$R$9:$R$13,0),MATCH(A4&amp;C4&amp;D4,MMS!$S$8:$AF$8,0))</f>
        <v>9.3457943925233611</v>
      </c>
      <c r="L4" t="s">
        <v>17</v>
      </c>
      <c r="N4" t="s">
        <v>68</v>
      </c>
    </row>
    <row r="5" spans="1:14" x14ac:dyDescent="0.25">
      <c r="A5" t="s">
        <v>1</v>
      </c>
      <c r="C5" t="s">
        <v>2</v>
      </c>
      <c r="D5" t="s">
        <v>3</v>
      </c>
      <c r="F5" t="s">
        <v>20</v>
      </c>
      <c r="J5" t="s">
        <v>16</v>
      </c>
      <c r="K5" s="45">
        <f>INDEX(MMS!$S$9:$AF$13,MATCH(F5,MMS!$R$9:$R$13,0),MATCH(A5&amp;C5&amp;D5,MMS!$S$8:$AF$8,0))</f>
        <v>1.2906097018246547</v>
      </c>
      <c r="L5" t="s">
        <v>17</v>
      </c>
      <c r="N5" t="s">
        <v>69</v>
      </c>
    </row>
    <row r="6" spans="1:14" x14ac:dyDescent="0.25">
      <c r="A6" t="s">
        <v>1</v>
      </c>
      <c r="C6" t="s">
        <v>2</v>
      </c>
      <c r="D6" t="s">
        <v>3</v>
      </c>
      <c r="F6" t="s">
        <v>185</v>
      </c>
      <c r="J6" t="s">
        <v>16</v>
      </c>
      <c r="K6" s="45">
        <f>INDEX(MMS!$S$9:$AF$13,MATCH(F6,MMS!$R$9:$R$13,0),MATCH(A6&amp;C6&amp;D6,MMS!$S$8:$AF$8,0))</f>
        <v>5.562972852692476</v>
      </c>
      <c r="L6" t="s">
        <v>17</v>
      </c>
      <c r="N6" t="s">
        <v>180</v>
      </c>
    </row>
    <row r="7" spans="1:14" x14ac:dyDescent="0.25">
      <c r="A7" t="s">
        <v>1</v>
      </c>
      <c r="C7" t="s">
        <v>2</v>
      </c>
      <c r="D7" t="s">
        <v>3</v>
      </c>
      <c r="F7" t="s">
        <v>177</v>
      </c>
      <c r="J7" t="s">
        <v>16</v>
      </c>
      <c r="K7" s="45">
        <f>INDEX(MMS!$S$9:$AF$13,MATCH(F7,MMS!$R$9:$R$13,0),MATCH(A7&amp;C7&amp;D7,MMS!$S$8:$AF$8,0))</f>
        <v>0</v>
      </c>
      <c r="L7" t="s">
        <v>17</v>
      </c>
      <c r="N7" t="s">
        <v>181</v>
      </c>
    </row>
    <row r="8" spans="1:14" x14ac:dyDescent="0.25">
      <c r="A8" t="s">
        <v>1</v>
      </c>
      <c r="C8" t="s">
        <v>7</v>
      </c>
      <c r="D8" t="s">
        <v>3</v>
      </c>
      <c r="F8" t="s">
        <v>18</v>
      </c>
      <c r="J8" t="s">
        <v>16</v>
      </c>
      <c r="K8" s="45">
        <f>INDEX(MMS!$S$9:$AF$13,MATCH(F8,MMS!$R$9:$R$13,0),MATCH(A8&amp;C8&amp;D8,MMS!$S$8:$AF$8,0))</f>
        <v>22.222222222222225</v>
      </c>
      <c r="L8" t="s">
        <v>17</v>
      </c>
      <c r="N8" t="s">
        <v>67</v>
      </c>
    </row>
    <row r="9" spans="1:14" x14ac:dyDescent="0.25">
      <c r="A9" t="s">
        <v>1</v>
      </c>
      <c r="C9" t="s">
        <v>7</v>
      </c>
      <c r="D9" t="s">
        <v>3</v>
      </c>
      <c r="F9" t="s">
        <v>19</v>
      </c>
      <c r="J9" t="s">
        <v>16</v>
      </c>
      <c r="K9" s="45">
        <f>INDEX(MMS!$S$9:$AF$13,MATCH(F9,MMS!$R$9:$R$13,0),MATCH(A9&amp;C9&amp;D9,MMS!$S$8:$AF$8,0))</f>
        <v>30.405405405405407</v>
      </c>
      <c r="L9" t="s">
        <v>17</v>
      </c>
      <c r="N9" t="s">
        <v>68</v>
      </c>
    </row>
    <row r="10" spans="1:14" x14ac:dyDescent="0.25">
      <c r="A10" t="s">
        <v>1</v>
      </c>
      <c r="C10" t="s">
        <v>7</v>
      </c>
      <c r="D10" t="s">
        <v>3</v>
      </c>
      <c r="F10" t="s">
        <v>20</v>
      </c>
      <c r="J10" t="s">
        <v>16</v>
      </c>
      <c r="K10" s="45">
        <f>INDEX(MMS!$S$9:$AF$13,MATCH(F10,MMS!$R$9:$R$13,0),MATCH(A10&amp;C10&amp;D10,MMS!$S$8:$AF$8,0))</f>
        <v>44.819819819819827</v>
      </c>
      <c r="L10" t="s">
        <v>17</v>
      </c>
      <c r="N10" t="s">
        <v>69</v>
      </c>
    </row>
    <row r="11" spans="1:14" x14ac:dyDescent="0.25">
      <c r="A11" t="s">
        <v>1</v>
      </c>
      <c r="C11" t="s">
        <v>7</v>
      </c>
      <c r="D11" t="s">
        <v>3</v>
      </c>
      <c r="F11" t="s">
        <v>185</v>
      </c>
      <c r="J11" t="s">
        <v>16</v>
      </c>
      <c r="K11" s="45">
        <f>INDEX(MMS!$S$9:$AF$13,MATCH(F11,MMS!$R$9:$R$13,0),MATCH(A11&amp;C11&amp;D11,MMS!$S$8:$AF$8,0))</f>
        <v>2.5525525525525525</v>
      </c>
      <c r="L11" t="s">
        <v>17</v>
      </c>
      <c r="N11" t="s">
        <v>180</v>
      </c>
    </row>
    <row r="12" spans="1:14" x14ac:dyDescent="0.25">
      <c r="A12" t="s">
        <v>1</v>
      </c>
      <c r="C12" t="s">
        <v>7</v>
      </c>
      <c r="D12" t="s">
        <v>3</v>
      </c>
      <c r="F12" t="s">
        <v>177</v>
      </c>
      <c r="J12" t="s">
        <v>16</v>
      </c>
      <c r="K12" s="45">
        <f>INDEX(MMS!$S$9:$AF$13,MATCH(F12,MMS!$R$9:$R$13,0),MATCH(A12&amp;C12&amp;D12,MMS!$S$8:$AF$8,0))</f>
        <v>0</v>
      </c>
      <c r="L12" t="s">
        <v>17</v>
      </c>
      <c r="N12" t="s">
        <v>181</v>
      </c>
    </row>
    <row r="13" spans="1:14" x14ac:dyDescent="0.25">
      <c r="A13" t="s">
        <v>1</v>
      </c>
      <c r="D13" t="s">
        <v>9</v>
      </c>
      <c r="F13" t="s">
        <v>18</v>
      </c>
      <c r="J13" t="s">
        <v>16</v>
      </c>
      <c r="K13" s="45">
        <f>INDEX(MMS!$S$9:$AF$13,MATCH(F13,MMS!$R$9:$R$13,0),MATCH(A13&amp;C13&amp;D13,MMS!$S$8:$AF$8,0))</f>
        <v>50.379048931771194</v>
      </c>
      <c r="L13" t="s">
        <v>17</v>
      </c>
      <c r="N13" t="s">
        <v>67</v>
      </c>
    </row>
    <row r="14" spans="1:14" x14ac:dyDescent="0.25">
      <c r="A14" t="s">
        <v>1</v>
      </c>
      <c r="D14" t="s">
        <v>9</v>
      </c>
      <c r="F14" t="s">
        <v>19</v>
      </c>
      <c r="J14" t="s">
        <v>16</v>
      </c>
      <c r="K14" s="45">
        <f>INDEX(MMS!$S$9:$AF$13,MATCH(F14,MMS!$R$9:$R$13,0),MATCH(A14&amp;C14&amp;D14,MMS!$S$8:$AF$8,0))</f>
        <v>19.090282563749142</v>
      </c>
      <c r="L14" t="s">
        <v>17</v>
      </c>
      <c r="N14" t="s">
        <v>68</v>
      </c>
    </row>
    <row r="15" spans="1:14" x14ac:dyDescent="0.25">
      <c r="A15" t="s">
        <v>1</v>
      </c>
      <c r="D15" t="s">
        <v>9</v>
      </c>
      <c r="F15" t="s">
        <v>20</v>
      </c>
      <c r="J15" t="s">
        <v>16</v>
      </c>
      <c r="K15" s="45">
        <f>INDEX(MMS!$S$9:$AF$13,MATCH(F15,MMS!$R$9:$R$13,0),MATCH(A15&amp;C15&amp;D15,MMS!$S$8:$AF$8,0))</f>
        <v>26.533425223983464</v>
      </c>
      <c r="L15" t="s">
        <v>17</v>
      </c>
      <c r="N15" t="s">
        <v>69</v>
      </c>
    </row>
    <row r="16" spans="1:14" x14ac:dyDescent="0.25">
      <c r="A16" t="s">
        <v>1</v>
      </c>
      <c r="D16" t="s">
        <v>9</v>
      </c>
      <c r="F16" t="s">
        <v>185</v>
      </c>
      <c r="J16" t="s">
        <v>16</v>
      </c>
      <c r="K16" s="45">
        <f>INDEX(MMS!$S$9:$AF$13,MATCH(F16,MMS!$R$9:$R$13,0),MATCH(A16&amp;C16&amp;D16,MMS!$S$8:$AF$8,0))</f>
        <v>3.9972432804962108</v>
      </c>
      <c r="L16" t="s">
        <v>17</v>
      </c>
      <c r="N16" t="s">
        <v>180</v>
      </c>
    </row>
    <row r="17" spans="1:14" x14ac:dyDescent="0.25">
      <c r="A17" t="s">
        <v>1</v>
      </c>
      <c r="D17" t="s">
        <v>9</v>
      </c>
      <c r="F17" t="s">
        <v>177</v>
      </c>
      <c r="J17" t="s">
        <v>16</v>
      </c>
      <c r="K17" s="45">
        <f>INDEX(MMS!$S$9:$AF$13,MATCH(F17,MMS!$R$9:$R$13,0),MATCH(A17&amp;C17&amp;D17,MMS!$S$8:$AF$8,0))</f>
        <v>0</v>
      </c>
      <c r="L17" t="s">
        <v>17</v>
      </c>
      <c r="N17" t="s">
        <v>181</v>
      </c>
    </row>
    <row r="18" spans="1:14" x14ac:dyDescent="0.25">
      <c r="A18" t="s">
        <v>1</v>
      </c>
      <c r="D18" t="s">
        <v>11</v>
      </c>
      <c r="F18" t="s">
        <v>18</v>
      </c>
      <c r="J18" t="s">
        <v>16</v>
      </c>
      <c r="K18" s="45">
        <f>INDEX(MMS!$S$9:$AF$13,MATCH(F18,MMS!$R$9:$R$13,0),MATCH(A18&amp;C18&amp;D18,MMS!$S$8:$AF$8,0))</f>
        <v>50.379048931771194</v>
      </c>
      <c r="L18" t="s">
        <v>17</v>
      </c>
      <c r="N18" t="s">
        <v>67</v>
      </c>
    </row>
    <row r="19" spans="1:14" x14ac:dyDescent="0.25">
      <c r="A19" t="s">
        <v>1</v>
      </c>
      <c r="D19" t="s">
        <v>11</v>
      </c>
      <c r="F19" t="s">
        <v>19</v>
      </c>
      <c r="J19" t="s">
        <v>16</v>
      </c>
      <c r="K19" s="45">
        <f>INDEX(MMS!$S$9:$AF$13,MATCH(F19,MMS!$R$9:$R$13,0),MATCH(A19&amp;C19&amp;D19,MMS!$S$8:$AF$8,0))</f>
        <v>19.090282563749142</v>
      </c>
      <c r="L19" t="s">
        <v>17</v>
      </c>
      <c r="N19" t="s">
        <v>68</v>
      </c>
    </row>
    <row r="20" spans="1:14" x14ac:dyDescent="0.25">
      <c r="A20" t="s">
        <v>1</v>
      </c>
      <c r="D20" t="s">
        <v>11</v>
      </c>
      <c r="F20" t="s">
        <v>20</v>
      </c>
      <c r="J20" t="s">
        <v>16</v>
      </c>
      <c r="K20" s="45">
        <f>INDEX(MMS!$S$9:$AF$13,MATCH(F20,MMS!$R$9:$R$13,0),MATCH(A20&amp;C20&amp;D20,MMS!$S$8:$AF$8,0))</f>
        <v>26.533425223983464</v>
      </c>
      <c r="L20" t="s">
        <v>17</v>
      </c>
      <c r="N20" t="s">
        <v>69</v>
      </c>
    </row>
    <row r="21" spans="1:14" x14ac:dyDescent="0.25">
      <c r="A21" t="s">
        <v>1</v>
      </c>
      <c r="D21" t="s">
        <v>11</v>
      </c>
      <c r="F21" t="s">
        <v>185</v>
      </c>
      <c r="J21" t="s">
        <v>16</v>
      </c>
      <c r="K21" s="45">
        <f>INDEX(MMS!$S$9:$AF$13,MATCH(F21,MMS!$R$9:$R$13,0),MATCH(A21&amp;C21&amp;D21,MMS!$S$8:$AF$8,0))</f>
        <v>3.9972432804962108</v>
      </c>
      <c r="L21" t="s">
        <v>17</v>
      </c>
      <c r="N21" t="s">
        <v>180</v>
      </c>
    </row>
    <row r="22" spans="1:14" x14ac:dyDescent="0.25">
      <c r="A22" t="s">
        <v>1</v>
      </c>
      <c r="D22" t="s">
        <v>11</v>
      </c>
      <c r="F22" t="s">
        <v>177</v>
      </c>
      <c r="J22" t="s">
        <v>16</v>
      </c>
      <c r="K22" s="45">
        <f>INDEX(MMS!$S$9:$AF$13,MATCH(F22,MMS!$R$9:$R$13,0),MATCH(A22&amp;C22&amp;D22,MMS!$S$8:$AF$8,0))</f>
        <v>0</v>
      </c>
      <c r="L22" t="s">
        <v>17</v>
      </c>
      <c r="N22" t="s">
        <v>181</v>
      </c>
    </row>
    <row r="23" spans="1:14" x14ac:dyDescent="0.25">
      <c r="A23" t="s">
        <v>1</v>
      </c>
      <c r="D23" t="s">
        <v>12</v>
      </c>
      <c r="F23" t="s">
        <v>18</v>
      </c>
      <c r="J23" t="s">
        <v>16</v>
      </c>
      <c r="K23" s="45">
        <f>INDEX(MMS!$S$9:$AF$13,MATCH(F23,MMS!$R$9:$R$13,0),MATCH(A23&amp;C23&amp;D23,MMS!$S$8:$AF$8,0))</f>
        <v>44.83940042826552</v>
      </c>
      <c r="L23" t="s">
        <v>17</v>
      </c>
      <c r="N23" t="s">
        <v>67</v>
      </c>
    </row>
    <row r="24" spans="1:14" x14ac:dyDescent="0.25">
      <c r="A24" t="s">
        <v>1</v>
      </c>
      <c r="D24" t="s">
        <v>12</v>
      </c>
      <c r="F24" t="s">
        <v>19</v>
      </c>
      <c r="J24" t="s">
        <v>16</v>
      </c>
      <c r="K24" s="45">
        <f>INDEX(MMS!$S$9:$AF$13,MATCH(F24,MMS!$R$9:$R$13,0),MATCH(A24&amp;C24&amp;D24,MMS!$S$8:$AF$8,0))</f>
        <v>19.914346895074946</v>
      </c>
      <c r="L24" t="s">
        <v>17</v>
      </c>
      <c r="N24" t="s">
        <v>68</v>
      </c>
    </row>
    <row r="25" spans="1:14" x14ac:dyDescent="0.25">
      <c r="A25" t="s">
        <v>1</v>
      </c>
      <c r="D25" t="s">
        <v>12</v>
      </c>
      <c r="F25" t="s">
        <v>20</v>
      </c>
      <c r="J25" t="s">
        <v>16</v>
      </c>
      <c r="K25" s="45">
        <f>INDEX(MMS!$S$9:$AF$13,MATCH(F25,MMS!$R$9:$R$13,0),MATCH(A25&amp;C25&amp;D25,MMS!$S$8:$AF$8,0))</f>
        <v>31.520342612419693</v>
      </c>
      <c r="L25" t="s">
        <v>17</v>
      </c>
      <c r="N25" t="s">
        <v>69</v>
      </c>
    </row>
    <row r="26" spans="1:14" x14ac:dyDescent="0.25">
      <c r="A26" t="s">
        <v>1</v>
      </c>
      <c r="D26" t="s">
        <v>12</v>
      </c>
      <c r="F26" t="s">
        <v>185</v>
      </c>
      <c r="J26" t="s">
        <v>16</v>
      </c>
      <c r="K26" s="45">
        <f>INDEX(MMS!$S$9:$AF$13,MATCH(F26,MMS!$R$9:$R$13,0),MATCH(A26&amp;C26&amp;D26,MMS!$S$8:$AF$8,0))</f>
        <v>3.7259100642398284</v>
      </c>
      <c r="L26" t="s">
        <v>17</v>
      </c>
      <c r="N26" t="s">
        <v>180</v>
      </c>
    </row>
    <row r="27" spans="1:14" x14ac:dyDescent="0.25">
      <c r="A27" t="s">
        <v>1</v>
      </c>
      <c r="D27" t="s">
        <v>12</v>
      </c>
      <c r="F27" t="s">
        <v>177</v>
      </c>
      <c r="J27" t="s">
        <v>16</v>
      </c>
      <c r="K27" s="45">
        <f>INDEX(MMS!$S$9:$AF$13,MATCH(F27,MMS!$R$9:$R$13,0),MATCH(A27&amp;C27&amp;D27,MMS!$S$8:$AF$8,0))</f>
        <v>0</v>
      </c>
      <c r="L27" t="s">
        <v>17</v>
      </c>
      <c r="N27" t="s">
        <v>181</v>
      </c>
    </row>
    <row r="28" spans="1:14" x14ac:dyDescent="0.25">
      <c r="A28" t="s">
        <v>1</v>
      </c>
      <c r="D28" t="s">
        <v>10</v>
      </c>
      <c r="F28" t="s">
        <v>18</v>
      </c>
      <c r="J28" t="s">
        <v>16</v>
      </c>
      <c r="K28" s="45">
        <f>INDEX(MMS!$S$9:$AF$13,MATCH(F28,MMS!$R$9:$R$13,0),MATCH(A28&amp;C28&amp;D28,MMS!$S$8:$AF$8,0))</f>
        <v>25.355691056910569</v>
      </c>
      <c r="L28" t="s">
        <v>17</v>
      </c>
      <c r="N28" t="s">
        <v>67</v>
      </c>
    </row>
    <row r="29" spans="1:14" x14ac:dyDescent="0.25">
      <c r="A29" t="s">
        <v>1</v>
      </c>
      <c r="D29" t="s">
        <v>10</v>
      </c>
      <c r="F29" t="s">
        <v>19</v>
      </c>
      <c r="J29" t="s">
        <v>16</v>
      </c>
      <c r="K29" s="45">
        <f>INDEX(MMS!$S$9:$AF$13,MATCH(F29,MMS!$R$9:$R$13,0),MATCH(A29&amp;C29&amp;D29,MMS!$S$8:$AF$8,0))</f>
        <v>20.325203252032519</v>
      </c>
      <c r="L29" t="s">
        <v>17</v>
      </c>
      <c r="N29" t="s">
        <v>68</v>
      </c>
    </row>
    <row r="30" spans="1:14" x14ac:dyDescent="0.25">
      <c r="A30" t="s">
        <v>1</v>
      </c>
      <c r="D30" t="s">
        <v>10</v>
      </c>
      <c r="F30" t="s">
        <v>20</v>
      </c>
      <c r="J30" t="s">
        <v>16</v>
      </c>
      <c r="K30" s="45">
        <f>INDEX(MMS!$S$9:$AF$13,MATCH(F30,MMS!$R$9:$R$13,0),MATCH(A30&amp;C30&amp;D30,MMS!$S$8:$AF$8,0))</f>
        <v>51.575203252032523</v>
      </c>
      <c r="L30" t="s">
        <v>17</v>
      </c>
      <c r="N30" t="s">
        <v>69</v>
      </c>
    </row>
    <row r="31" spans="1:14" x14ac:dyDescent="0.25">
      <c r="A31" t="s">
        <v>1</v>
      </c>
      <c r="D31" t="s">
        <v>10</v>
      </c>
      <c r="F31" t="s">
        <v>185</v>
      </c>
      <c r="J31" t="s">
        <v>16</v>
      </c>
      <c r="K31" s="45">
        <f>INDEX(MMS!$S$9:$AF$13,MATCH(F31,MMS!$R$9:$R$13,0),MATCH(A31&amp;C31&amp;D31,MMS!$S$8:$AF$8,0))</f>
        <v>2.7439024390243896</v>
      </c>
      <c r="L31" t="s">
        <v>17</v>
      </c>
      <c r="N31" t="s">
        <v>180</v>
      </c>
    </row>
    <row r="32" spans="1:14" x14ac:dyDescent="0.25">
      <c r="A32" t="s">
        <v>1</v>
      </c>
      <c r="D32" t="s">
        <v>10</v>
      </c>
      <c r="F32" t="s">
        <v>177</v>
      </c>
      <c r="J32" t="s">
        <v>16</v>
      </c>
      <c r="K32" s="45">
        <f>INDEX(MMS!$S$9:$AF$13,MATCH(F32,MMS!$R$9:$R$13,0),MATCH(A32&amp;C32&amp;D32,MMS!$S$8:$AF$8,0))</f>
        <v>0</v>
      </c>
      <c r="L32" t="s">
        <v>17</v>
      </c>
      <c r="N32" t="s">
        <v>181</v>
      </c>
    </row>
    <row r="33" spans="1:14" x14ac:dyDescent="0.25">
      <c r="A33" t="s">
        <v>1</v>
      </c>
      <c r="D33" t="s">
        <v>13</v>
      </c>
      <c r="F33" t="s">
        <v>18</v>
      </c>
      <c r="J33" t="s">
        <v>16</v>
      </c>
      <c r="K33" s="45">
        <f>INDEX(MMS!$S$9:$AF$13,MATCH(F33,MMS!$R$9:$R$13,0),MATCH(A33&amp;C33&amp;D33,MMS!$S$8:$AF$8,0))</f>
        <v>44.83940042826552</v>
      </c>
      <c r="L33" t="s">
        <v>17</v>
      </c>
      <c r="N33" t="s">
        <v>67</v>
      </c>
    </row>
    <row r="34" spans="1:14" x14ac:dyDescent="0.25">
      <c r="A34" t="s">
        <v>1</v>
      </c>
      <c r="D34" t="s">
        <v>13</v>
      </c>
      <c r="F34" t="s">
        <v>19</v>
      </c>
      <c r="J34" t="s">
        <v>16</v>
      </c>
      <c r="K34" s="45">
        <f>INDEX(MMS!$S$9:$AF$13,MATCH(F34,MMS!$R$9:$R$13,0),MATCH(A34&amp;C34&amp;D34,MMS!$S$8:$AF$8,0))</f>
        <v>19.914346895074946</v>
      </c>
      <c r="L34" t="s">
        <v>17</v>
      </c>
      <c r="N34" t="s">
        <v>68</v>
      </c>
    </row>
    <row r="35" spans="1:14" x14ac:dyDescent="0.25">
      <c r="A35" t="s">
        <v>1</v>
      </c>
      <c r="D35" t="s">
        <v>13</v>
      </c>
      <c r="F35" t="s">
        <v>20</v>
      </c>
      <c r="J35" t="s">
        <v>16</v>
      </c>
      <c r="K35" s="45">
        <f>INDEX(MMS!$S$9:$AF$13,MATCH(F35,MMS!$R$9:$R$13,0),MATCH(A35&amp;C35&amp;D35,MMS!$S$8:$AF$8,0))</f>
        <v>31.520342612419693</v>
      </c>
      <c r="L35" t="s">
        <v>17</v>
      </c>
      <c r="N35" t="s">
        <v>69</v>
      </c>
    </row>
    <row r="36" spans="1:14" x14ac:dyDescent="0.25">
      <c r="A36" t="s">
        <v>1</v>
      </c>
      <c r="D36" t="s">
        <v>13</v>
      </c>
      <c r="F36" t="s">
        <v>185</v>
      </c>
      <c r="J36" t="s">
        <v>16</v>
      </c>
      <c r="K36" s="45">
        <f>INDEX(MMS!$S$9:$AF$13,MATCH(F36,MMS!$R$9:$R$13,0),MATCH(A36&amp;C36&amp;D36,MMS!$S$8:$AF$8,0))</f>
        <v>3.7259100642398284</v>
      </c>
      <c r="L36" t="s">
        <v>17</v>
      </c>
      <c r="N36" t="s">
        <v>180</v>
      </c>
    </row>
    <row r="37" spans="1:14" x14ac:dyDescent="0.25">
      <c r="A37" t="s">
        <v>1</v>
      </c>
      <c r="D37" t="s">
        <v>13</v>
      </c>
      <c r="F37" t="s">
        <v>177</v>
      </c>
      <c r="J37" t="s">
        <v>16</v>
      </c>
      <c r="K37" s="45">
        <f>INDEX(MMS!$S$9:$AF$13,MATCH(F37,MMS!$R$9:$R$13,0),MATCH(A37&amp;C37&amp;D37,MMS!$S$8:$AF$8,0))</f>
        <v>0</v>
      </c>
      <c r="L37" t="s">
        <v>17</v>
      </c>
      <c r="N37" t="s">
        <v>181</v>
      </c>
    </row>
    <row r="38" spans="1:14" x14ac:dyDescent="0.25">
      <c r="A38" t="s">
        <v>56</v>
      </c>
      <c r="F38" t="s">
        <v>18</v>
      </c>
      <c r="J38" t="s">
        <v>16</v>
      </c>
      <c r="K38" s="45">
        <f>INDEX(MMS!$S$9:$AF$13,MATCH(F38,MMS!$R$9:$R$13,0),MATCH(A38&amp;C38&amp;D38,MMS!$S$8:$AF$8,0))</f>
        <v>0</v>
      </c>
      <c r="L38" t="s">
        <v>17</v>
      </c>
      <c r="N38" t="s">
        <v>67</v>
      </c>
    </row>
    <row r="39" spans="1:14" x14ac:dyDescent="0.25">
      <c r="A39" t="s">
        <v>56</v>
      </c>
      <c r="F39" t="s">
        <v>19</v>
      </c>
      <c r="J39" t="s">
        <v>16</v>
      </c>
      <c r="K39" s="45">
        <f>INDEX(MMS!$S$9:$AF$13,MATCH(F39,MMS!$R$9:$R$13,0),MATCH(A39&amp;C39&amp;D39,MMS!$S$8:$AF$8,0))</f>
        <v>66</v>
      </c>
      <c r="L39" t="s">
        <v>17</v>
      </c>
      <c r="N39" t="s">
        <v>68</v>
      </c>
    </row>
    <row r="40" spans="1:14" x14ac:dyDescent="0.25">
      <c r="A40" t="s">
        <v>56</v>
      </c>
      <c r="F40" t="s">
        <v>20</v>
      </c>
      <c r="J40" t="s">
        <v>16</v>
      </c>
      <c r="K40" s="45">
        <f>INDEX(MMS!$S$9:$AF$13,MATCH(F40,MMS!$R$9:$R$13,0),MATCH(A40&amp;C40&amp;D40,MMS!$S$8:$AF$8,0))</f>
        <v>4</v>
      </c>
      <c r="L40" t="s">
        <v>17</v>
      </c>
      <c r="N40" t="s">
        <v>69</v>
      </c>
    </row>
    <row r="41" spans="1:14" x14ac:dyDescent="0.25">
      <c r="A41" t="s">
        <v>56</v>
      </c>
      <c r="F41" t="s">
        <v>185</v>
      </c>
      <c r="J41" t="s">
        <v>16</v>
      </c>
      <c r="K41" s="45">
        <f>INDEX(MMS!$S$9:$AF$13,MATCH(F41,MMS!$R$9:$R$13,0),MATCH(A41&amp;C41&amp;D41,MMS!$S$8:$AF$8,0))</f>
        <v>0</v>
      </c>
      <c r="L41" t="s">
        <v>17</v>
      </c>
      <c r="N41" t="s">
        <v>180</v>
      </c>
    </row>
    <row r="42" spans="1:14" x14ac:dyDescent="0.25">
      <c r="A42" t="s">
        <v>56</v>
      </c>
      <c r="F42" t="s">
        <v>177</v>
      </c>
      <c r="J42" t="s">
        <v>16</v>
      </c>
      <c r="K42" s="45">
        <f>INDEX(MMS!$S$9:$AF$13,MATCH(F42,MMS!$R$9:$R$13,0),MATCH(A42&amp;C42&amp;D42,MMS!$S$8:$AF$8,0))</f>
        <v>30</v>
      </c>
      <c r="L42" t="s">
        <v>17</v>
      </c>
      <c r="N42" t="s">
        <v>181</v>
      </c>
    </row>
    <row r="43" spans="1:14" x14ac:dyDescent="0.25">
      <c r="A43" t="s">
        <v>62</v>
      </c>
      <c r="F43" t="s">
        <v>18</v>
      </c>
      <c r="J43" t="s">
        <v>16</v>
      </c>
      <c r="K43" s="45">
        <f>INDEX(MMS!$S$9:$AF$13,MATCH(F43,MMS!$R$9:$R$13,0),MATCH(A43&amp;C43&amp;D43,MMS!$S$8:$AF$8,0))</f>
        <v>0</v>
      </c>
      <c r="L43" t="s">
        <v>17</v>
      </c>
      <c r="N43" t="s">
        <v>67</v>
      </c>
    </row>
    <row r="44" spans="1:14" x14ac:dyDescent="0.25">
      <c r="A44" t="s">
        <v>62</v>
      </c>
      <c r="F44" t="s">
        <v>19</v>
      </c>
      <c r="J44" t="s">
        <v>16</v>
      </c>
      <c r="K44" s="45">
        <f>INDEX(MMS!$S$9:$AF$13,MATCH(F44,MMS!$R$9:$R$13,0),MATCH(A44&amp;C44&amp;D44,MMS!$S$8:$AF$8,0))</f>
        <v>100</v>
      </c>
      <c r="L44" t="s">
        <v>17</v>
      </c>
      <c r="N44" t="s">
        <v>68</v>
      </c>
    </row>
    <row r="45" spans="1:14" x14ac:dyDescent="0.25">
      <c r="A45" t="s">
        <v>62</v>
      </c>
      <c r="F45" t="s">
        <v>20</v>
      </c>
      <c r="J45" t="s">
        <v>16</v>
      </c>
      <c r="K45" s="45">
        <f>INDEX(MMS!$S$9:$AF$13,MATCH(F45,MMS!$R$9:$R$13,0),MATCH(A45&amp;C45&amp;D45,MMS!$S$8:$AF$8,0))</f>
        <v>0</v>
      </c>
      <c r="L45" t="s">
        <v>17</v>
      </c>
      <c r="N45" t="s">
        <v>69</v>
      </c>
    </row>
    <row r="46" spans="1:14" x14ac:dyDescent="0.25">
      <c r="A46" t="s">
        <v>62</v>
      </c>
      <c r="F46" t="s">
        <v>185</v>
      </c>
      <c r="J46" t="s">
        <v>16</v>
      </c>
      <c r="K46" s="45">
        <f>INDEX(MMS!$S$9:$AF$13,MATCH(F46,MMS!$R$9:$R$13,0),MATCH(A46&amp;C46&amp;D46,MMS!$S$8:$AF$8,0))</f>
        <v>0</v>
      </c>
      <c r="L46" t="s">
        <v>17</v>
      </c>
      <c r="N46" t="s">
        <v>180</v>
      </c>
    </row>
    <row r="47" spans="1:14" x14ac:dyDescent="0.25">
      <c r="A47" t="s">
        <v>62</v>
      </c>
      <c r="F47" t="s">
        <v>177</v>
      </c>
      <c r="J47" t="s">
        <v>16</v>
      </c>
      <c r="K47" s="45">
        <f>INDEX(MMS!$S$9:$AF$13,MATCH(F47,MMS!$R$9:$R$13,0),MATCH(A47&amp;C47&amp;D47,MMS!$S$8:$AF$8,0))</f>
        <v>0</v>
      </c>
      <c r="L47" t="s">
        <v>17</v>
      </c>
      <c r="N47" t="s">
        <v>181</v>
      </c>
    </row>
    <row r="48" spans="1:14" x14ac:dyDescent="0.25">
      <c r="A48" t="s">
        <v>37</v>
      </c>
      <c r="F48" t="s">
        <v>18</v>
      </c>
      <c r="J48" t="s">
        <v>16</v>
      </c>
      <c r="K48" s="45">
        <f>INDEX(MMS!$S$9:$AF$13,MATCH(F48,MMS!$R$9:$R$13,0),MATCH(A48&amp;C48&amp;D48,MMS!$S$8:$AF$8,0))</f>
        <v>47.115705235078359</v>
      </c>
      <c r="L48" t="s">
        <v>17</v>
      </c>
      <c r="N48" t="s">
        <v>67</v>
      </c>
    </row>
    <row r="49" spans="1:14" x14ac:dyDescent="0.25">
      <c r="A49" t="s">
        <v>37</v>
      </c>
      <c r="F49" t="s">
        <v>19</v>
      </c>
      <c r="J49" t="s">
        <v>16</v>
      </c>
      <c r="K49" s="45">
        <f>INDEX(MMS!$S$9:$AF$13,MATCH(F49,MMS!$R$9:$R$13,0),MATCH(A49&amp;C49&amp;D49,MMS!$S$8:$AF$8,0))</f>
        <v>27.875958652884293</v>
      </c>
      <c r="L49" t="s">
        <v>17</v>
      </c>
      <c r="N49" t="s">
        <v>68</v>
      </c>
    </row>
    <row r="50" spans="1:14" x14ac:dyDescent="0.25">
      <c r="A50" t="s">
        <v>37</v>
      </c>
      <c r="F50" t="s">
        <v>20</v>
      </c>
      <c r="J50" t="s">
        <v>16</v>
      </c>
      <c r="K50" s="45">
        <f>INDEX(MMS!$S$9:$AF$13,MATCH(F50,MMS!$R$9:$R$13,0),MATCH(A50&amp;C50&amp;D50,MMS!$S$8:$AF$8,0))</f>
        <v>15.205068356118707</v>
      </c>
      <c r="L50" t="s">
        <v>17</v>
      </c>
      <c r="N50" t="s">
        <v>69</v>
      </c>
    </row>
    <row r="51" spans="1:14" x14ac:dyDescent="0.25">
      <c r="A51" t="s">
        <v>37</v>
      </c>
      <c r="F51" t="s">
        <v>185</v>
      </c>
      <c r="J51" t="s">
        <v>16</v>
      </c>
      <c r="K51" s="45">
        <f>INDEX(MMS!$S$9:$AF$13,MATCH(F51,MMS!$R$9:$R$13,0),MATCH(A51&amp;C51&amp;D51,MMS!$S$8:$AF$8,0))</f>
        <v>9.8032677559186379</v>
      </c>
      <c r="L51" t="s">
        <v>17</v>
      </c>
      <c r="N51" t="s">
        <v>180</v>
      </c>
    </row>
    <row r="52" spans="1:14" x14ac:dyDescent="0.25">
      <c r="A52" t="s">
        <v>37</v>
      </c>
      <c r="F52" t="s">
        <v>177</v>
      </c>
      <c r="J52" t="s">
        <v>16</v>
      </c>
      <c r="K52" s="45">
        <f>INDEX(MMS!$S$9:$AF$13,MATCH(F52,MMS!$R$9:$R$13,0),MATCH(A52&amp;C52&amp;D52,MMS!$S$8:$AF$8,0))</f>
        <v>0</v>
      </c>
      <c r="L52" t="s">
        <v>17</v>
      </c>
      <c r="N52" t="s">
        <v>181</v>
      </c>
    </row>
    <row r="53" spans="1:14" x14ac:dyDescent="0.25">
      <c r="A53" t="s">
        <v>37</v>
      </c>
      <c r="D53" t="s">
        <v>38</v>
      </c>
      <c r="F53" t="s">
        <v>18</v>
      </c>
      <c r="J53" t="s">
        <v>16</v>
      </c>
      <c r="K53" s="45">
        <f>INDEX(MMS!$S$9:$AF$13,MATCH(F53,MMS!$R$9:$R$13,0),MATCH(A53&amp;C53&amp;D53,MMS!$S$8:$AF$8,0))</f>
        <v>79.533333333333317</v>
      </c>
      <c r="L53" t="s">
        <v>17</v>
      </c>
      <c r="N53" t="s">
        <v>67</v>
      </c>
    </row>
    <row r="54" spans="1:14" x14ac:dyDescent="0.25">
      <c r="A54" t="s">
        <v>37</v>
      </c>
      <c r="D54" t="s">
        <v>38</v>
      </c>
      <c r="F54" t="s">
        <v>19</v>
      </c>
      <c r="J54" t="s">
        <v>16</v>
      </c>
      <c r="K54" s="45">
        <f>INDEX(MMS!$S$9:$AF$13,MATCH(F54,MMS!$R$9:$R$13,0),MATCH(A54&amp;C54&amp;D54,MMS!$S$8:$AF$8,0))</f>
        <v>2.6666666666666656</v>
      </c>
      <c r="L54" t="s">
        <v>17</v>
      </c>
      <c r="N54" t="s">
        <v>68</v>
      </c>
    </row>
    <row r="55" spans="1:14" x14ac:dyDescent="0.25">
      <c r="A55" t="s">
        <v>37</v>
      </c>
      <c r="D55" t="s">
        <v>38</v>
      </c>
      <c r="F55" t="s">
        <v>20</v>
      </c>
      <c r="J55" t="s">
        <v>16</v>
      </c>
      <c r="K55" s="45">
        <f>INDEX(MMS!$S$9:$AF$13,MATCH(F55,MMS!$R$9:$R$13,0),MATCH(A55&amp;C55&amp;D55,MMS!$S$8:$AF$8,0))</f>
        <v>1.1666666666666663</v>
      </c>
      <c r="L55" t="s">
        <v>17</v>
      </c>
      <c r="N55" t="s">
        <v>69</v>
      </c>
    </row>
    <row r="56" spans="1:14" x14ac:dyDescent="0.25">
      <c r="A56" t="s">
        <v>37</v>
      </c>
      <c r="D56" t="s">
        <v>38</v>
      </c>
      <c r="F56" t="s">
        <v>185</v>
      </c>
      <c r="J56" t="s">
        <v>16</v>
      </c>
      <c r="K56" s="45">
        <f>INDEX(MMS!$S$9:$AF$13,MATCH(F56,MMS!$R$9:$R$13,0),MATCH(A56&amp;C56&amp;D56,MMS!$S$8:$AF$8,0))</f>
        <v>16.633333333333329</v>
      </c>
      <c r="L56" t="s">
        <v>17</v>
      </c>
      <c r="N56" t="s">
        <v>180</v>
      </c>
    </row>
    <row r="57" spans="1:14" x14ac:dyDescent="0.25">
      <c r="A57" t="s">
        <v>37</v>
      </c>
      <c r="D57" t="s">
        <v>38</v>
      </c>
      <c r="F57" t="s">
        <v>177</v>
      </c>
      <c r="J57" t="s">
        <v>16</v>
      </c>
      <c r="K57" s="45">
        <f>INDEX(MMS!$S$9:$AF$13,MATCH(F57,MMS!$R$9:$R$13,0),MATCH(A57&amp;C57&amp;D57,MMS!$S$8:$AF$8,0))</f>
        <v>0</v>
      </c>
      <c r="L57" t="s">
        <v>17</v>
      </c>
      <c r="N57" t="s">
        <v>181</v>
      </c>
    </row>
    <row r="58" spans="1:14" x14ac:dyDescent="0.25">
      <c r="A58" t="s">
        <v>37</v>
      </c>
      <c r="D58" t="s">
        <v>39</v>
      </c>
      <c r="F58" t="s">
        <v>18</v>
      </c>
      <c r="J58" t="s">
        <v>16</v>
      </c>
      <c r="K58" s="45">
        <f>INDEX(MMS!$S$9:$AF$13,MATCH(F58,MMS!$R$9:$R$13,0),MATCH(A58&amp;C58&amp;D58,MMS!$S$8:$AF$8,0))</f>
        <v>79.533333333333317</v>
      </c>
      <c r="L58" t="s">
        <v>17</v>
      </c>
      <c r="N58" t="s">
        <v>67</v>
      </c>
    </row>
    <row r="59" spans="1:14" x14ac:dyDescent="0.25">
      <c r="A59" t="s">
        <v>37</v>
      </c>
      <c r="D59" t="s">
        <v>39</v>
      </c>
      <c r="F59" t="s">
        <v>19</v>
      </c>
      <c r="J59" t="s">
        <v>16</v>
      </c>
      <c r="K59" s="45">
        <f>INDEX(MMS!$S$9:$AF$13,MATCH(F59,MMS!$R$9:$R$13,0),MATCH(A59&amp;C59&amp;D59,MMS!$S$8:$AF$8,0))</f>
        <v>2.6666666666666656</v>
      </c>
      <c r="L59" t="s">
        <v>17</v>
      </c>
      <c r="N59" t="s">
        <v>68</v>
      </c>
    </row>
    <row r="60" spans="1:14" x14ac:dyDescent="0.25">
      <c r="A60" t="s">
        <v>37</v>
      </c>
      <c r="D60" t="s">
        <v>39</v>
      </c>
      <c r="F60" t="s">
        <v>20</v>
      </c>
      <c r="J60" t="s">
        <v>16</v>
      </c>
      <c r="K60" s="45">
        <f>INDEX(MMS!$S$9:$AF$13,MATCH(F60,MMS!$R$9:$R$13,0),MATCH(A60&amp;C60&amp;D60,MMS!$S$8:$AF$8,0))</f>
        <v>1.1666666666666663</v>
      </c>
      <c r="L60" t="s">
        <v>17</v>
      </c>
      <c r="N60" t="s">
        <v>69</v>
      </c>
    </row>
    <row r="61" spans="1:14" x14ac:dyDescent="0.25">
      <c r="A61" t="s">
        <v>37</v>
      </c>
      <c r="D61" t="s">
        <v>39</v>
      </c>
      <c r="F61" t="s">
        <v>185</v>
      </c>
      <c r="J61" t="s">
        <v>16</v>
      </c>
      <c r="K61" s="45">
        <f>INDEX(MMS!$S$9:$AF$13,MATCH(F61,MMS!$R$9:$R$13,0),MATCH(A61&amp;C61&amp;D61,MMS!$S$8:$AF$8,0))</f>
        <v>16.633333333333329</v>
      </c>
      <c r="L61" t="s">
        <v>17</v>
      </c>
      <c r="N61" t="s">
        <v>180</v>
      </c>
    </row>
    <row r="62" spans="1:14" x14ac:dyDescent="0.25">
      <c r="A62" t="s">
        <v>37</v>
      </c>
      <c r="D62" t="s">
        <v>39</v>
      </c>
      <c r="F62" t="s">
        <v>177</v>
      </c>
      <c r="J62" t="s">
        <v>16</v>
      </c>
      <c r="K62" s="45">
        <f>INDEX(MMS!$S$9:$AF$13,MATCH(F62,MMS!$R$9:$R$13,0),MATCH(A62&amp;C62&amp;D62,MMS!$S$8:$AF$8,0))</f>
        <v>0</v>
      </c>
      <c r="L62" t="s">
        <v>17</v>
      </c>
      <c r="N62" t="s">
        <v>181</v>
      </c>
    </row>
    <row r="63" spans="1:14" x14ac:dyDescent="0.25">
      <c r="A63" t="s">
        <v>52</v>
      </c>
      <c r="F63" t="s">
        <v>18</v>
      </c>
      <c r="J63" t="s">
        <v>16</v>
      </c>
      <c r="K63" s="45">
        <f>INDEX(MMS!$S$9:$AF$13,MATCH(F63,MMS!$R$9:$R$13,0),MATCH(A63&amp;C63&amp;D63,MMS!$S$8:$AF$8,0))</f>
        <v>7.7000000000000011</v>
      </c>
      <c r="L63" t="s">
        <v>17</v>
      </c>
      <c r="N63" t="s">
        <v>67</v>
      </c>
    </row>
    <row r="64" spans="1:14" x14ac:dyDescent="0.25">
      <c r="A64" t="s">
        <v>52</v>
      </c>
      <c r="F64" t="s">
        <v>19</v>
      </c>
      <c r="J64" t="s">
        <v>16</v>
      </c>
      <c r="K64" s="45">
        <f>INDEX(MMS!$S$9:$AF$13,MATCH(F64,MMS!$R$9:$R$13,0),MATCH(A64&amp;C64&amp;D64,MMS!$S$8:$AF$8,0))</f>
        <v>85.966666666666669</v>
      </c>
      <c r="L64" t="s">
        <v>17</v>
      </c>
      <c r="N64" t="s">
        <v>68</v>
      </c>
    </row>
    <row r="65" spans="1:14" x14ac:dyDescent="0.25">
      <c r="A65" t="s">
        <v>52</v>
      </c>
      <c r="F65" t="s">
        <v>20</v>
      </c>
      <c r="J65" t="s">
        <v>16</v>
      </c>
      <c r="K65" s="45">
        <f>INDEX(MMS!$S$9:$AF$13,MATCH(F65,MMS!$R$9:$R$13,0),MATCH(A65&amp;C65&amp;D65,MMS!$S$8:$AF$8,0))</f>
        <v>6.3333333333333339</v>
      </c>
      <c r="L65" t="s">
        <v>17</v>
      </c>
      <c r="N65" t="s">
        <v>69</v>
      </c>
    </row>
    <row r="66" spans="1:14" x14ac:dyDescent="0.25">
      <c r="A66" t="s">
        <v>52</v>
      </c>
      <c r="F66" t="s">
        <v>185</v>
      </c>
      <c r="J66" t="s">
        <v>16</v>
      </c>
      <c r="K66" s="45">
        <f>INDEX(MMS!$S$9:$AF$13,MATCH(F66,MMS!$R$9:$R$13,0),MATCH(A66&amp;C66&amp;D66,MMS!$S$8:$AF$8,0))</f>
        <v>0</v>
      </c>
      <c r="L66" t="s">
        <v>17</v>
      </c>
      <c r="N66" t="s">
        <v>180</v>
      </c>
    </row>
    <row r="67" spans="1:14" x14ac:dyDescent="0.25">
      <c r="A67" t="s">
        <v>52</v>
      </c>
      <c r="F67" t="s">
        <v>177</v>
      </c>
      <c r="J67" t="s">
        <v>16</v>
      </c>
      <c r="K67" s="45">
        <f>INDEX(MMS!$S$9:$AF$13,MATCH(F67,MMS!$R$9:$R$13,0),MATCH(A67&amp;C67&amp;D67,MMS!$S$8:$AF$8,0))</f>
        <v>0</v>
      </c>
      <c r="L67" t="s">
        <v>17</v>
      </c>
      <c r="N67" t="s">
        <v>181</v>
      </c>
    </row>
    <row r="68" spans="1:14" x14ac:dyDescent="0.25">
      <c r="A68" t="s">
        <v>52</v>
      </c>
      <c r="C68" t="s">
        <v>53</v>
      </c>
      <c r="D68" t="s">
        <v>54</v>
      </c>
      <c r="F68" t="s">
        <v>18</v>
      </c>
      <c r="J68" t="s">
        <v>16</v>
      </c>
      <c r="K68" s="45">
        <f>INDEX(MMS!$S$9:$AF$13,MATCH(F68,MMS!$R$9:$R$13,0),MATCH(A68&amp;C68&amp;D68,MMS!$S$8:$AF$8,0))</f>
        <v>0</v>
      </c>
      <c r="L68" t="s">
        <v>17</v>
      </c>
      <c r="N68" t="s">
        <v>67</v>
      </c>
    </row>
    <row r="69" spans="1:14" x14ac:dyDescent="0.25">
      <c r="A69" t="s">
        <v>52</v>
      </c>
      <c r="C69" t="s">
        <v>53</v>
      </c>
      <c r="D69" t="s">
        <v>54</v>
      </c>
      <c r="F69" t="s">
        <v>19</v>
      </c>
      <c r="J69" t="s">
        <v>16</v>
      </c>
      <c r="K69" s="45">
        <f>INDEX(MMS!$S$9:$AF$13,MATCH(F69,MMS!$R$9:$R$13,0),MATCH(A69&amp;C69&amp;D69,MMS!$S$8:$AF$8,0))</f>
        <v>0</v>
      </c>
      <c r="L69" t="s">
        <v>17</v>
      </c>
      <c r="N69" t="s">
        <v>68</v>
      </c>
    </row>
    <row r="70" spans="1:14" x14ac:dyDescent="0.25">
      <c r="A70" t="s">
        <v>52</v>
      </c>
      <c r="C70" t="s">
        <v>53</v>
      </c>
      <c r="D70" t="s">
        <v>54</v>
      </c>
      <c r="F70" t="s">
        <v>20</v>
      </c>
      <c r="J70" t="s">
        <v>16</v>
      </c>
      <c r="K70" s="45">
        <f>INDEX(MMS!$S$9:$AF$13,MATCH(F70,MMS!$R$9:$R$13,0),MATCH(A70&amp;C70&amp;D70,MMS!$S$8:$AF$8,0))</f>
        <v>100</v>
      </c>
      <c r="L70" t="s">
        <v>17</v>
      </c>
      <c r="N70" t="s">
        <v>69</v>
      </c>
    </row>
    <row r="71" spans="1:14" x14ac:dyDescent="0.25">
      <c r="A71" t="s">
        <v>52</v>
      </c>
      <c r="C71" t="s">
        <v>53</v>
      </c>
      <c r="D71" t="s">
        <v>54</v>
      </c>
      <c r="F71" t="s">
        <v>185</v>
      </c>
      <c r="J71" t="s">
        <v>16</v>
      </c>
      <c r="K71" s="45">
        <f>INDEX(MMS!$S$9:$AF$13,MATCH(F71,MMS!$R$9:$R$13,0),MATCH(A71&amp;C71&amp;D71,MMS!$S$8:$AF$8,0))</f>
        <v>0</v>
      </c>
      <c r="L71" t="s">
        <v>17</v>
      </c>
      <c r="N71" t="s">
        <v>180</v>
      </c>
    </row>
    <row r="72" spans="1:14" x14ac:dyDescent="0.25">
      <c r="A72" t="s">
        <v>52</v>
      </c>
      <c r="C72" t="s">
        <v>53</v>
      </c>
      <c r="D72" t="s">
        <v>54</v>
      </c>
      <c r="F72" t="s">
        <v>177</v>
      </c>
      <c r="J72" t="s">
        <v>16</v>
      </c>
      <c r="K72" s="45">
        <f>INDEX(MMS!$S$9:$AF$13,MATCH(F72,MMS!$R$9:$R$13,0),MATCH(A72&amp;C72&amp;D72,MMS!$S$8:$AF$8,0))</f>
        <v>0</v>
      </c>
      <c r="L72" t="s">
        <v>17</v>
      </c>
      <c r="N72" t="s">
        <v>181</v>
      </c>
    </row>
    <row r="74" spans="1:14" x14ac:dyDescent="0.25">
      <c r="J74" s="1" t="s">
        <v>137</v>
      </c>
      <c r="K74" s="1">
        <v>0</v>
      </c>
      <c r="L74" s="1" t="s">
        <v>17</v>
      </c>
      <c r="M74" s="1" t="s">
        <v>138</v>
      </c>
    </row>
    <row r="76" spans="1:14" x14ac:dyDescent="0.25">
      <c r="A76" s="2" t="s">
        <v>126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19" t="s">
        <v>128</v>
      </c>
      <c r="M76" s="2"/>
      <c r="N76" s="2"/>
    </row>
    <row r="78" spans="1:14" x14ac:dyDescent="0.25">
      <c r="J78" t="s">
        <v>127</v>
      </c>
      <c r="K78">
        <v>0</v>
      </c>
      <c r="M78" t="s">
        <v>100</v>
      </c>
    </row>
    <row r="80" spans="1:14" x14ac:dyDescent="0.25">
      <c r="A80" t="s">
        <v>1</v>
      </c>
      <c r="C80" t="s">
        <v>2</v>
      </c>
      <c r="D80" t="s">
        <v>3</v>
      </c>
      <c r="I80" t="s">
        <v>130</v>
      </c>
      <c r="J80" t="s">
        <v>127</v>
      </c>
      <c r="K80" s="17">
        <f>1.5*0.85</f>
        <v>1.2749999999999999</v>
      </c>
      <c r="N80" t="s">
        <v>135</v>
      </c>
    </row>
    <row r="81" spans="1:14" x14ac:dyDescent="0.25">
      <c r="A81" t="s">
        <v>1</v>
      </c>
      <c r="C81" t="s">
        <v>7</v>
      </c>
      <c r="D81" t="s">
        <v>3</v>
      </c>
      <c r="I81" t="s">
        <v>130</v>
      </c>
      <c r="J81" t="s">
        <v>127</v>
      </c>
      <c r="K81" s="17">
        <f>5.5*0.85</f>
        <v>4.6749999999999998</v>
      </c>
      <c r="N81" t="s">
        <v>135</v>
      </c>
    </row>
    <row r="82" spans="1:14" x14ac:dyDescent="0.25">
      <c r="A82" t="s">
        <v>1</v>
      </c>
      <c r="D82" t="s">
        <v>10</v>
      </c>
      <c r="I82" t="s">
        <v>130</v>
      </c>
      <c r="J82" t="s">
        <v>127</v>
      </c>
      <c r="K82" s="17">
        <f>5*0.85</f>
        <v>4.25</v>
      </c>
      <c r="N82" t="s">
        <v>135</v>
      </c>
    </row>
    <row r="83" spans="1:14" x14ac:dyDescent="0.25">
      <c r="A83" t="s">
        <v>1</v>
      </c>
      <c r="D83" t="s">
        <v>9</v>
      </c>
      <c r="I83" t="s">
        <v>130</v>
      </c>
      <c r="J83" t="s">
        <v>127</v>
      </c>
      <c r="K83" s="17">
        <f>3.5*0.85</f>
        <v>2.9750000000000001</v>
      </c>
      <c r="N83" t="s">
        <v>135</v>
      </c>
    </row>
    <row r="84" spans="1:14" x14ac:dyDescent="0.25">
      <c r="A84" t="s">
        <v>1</v>
      </c>
      <c r="D84" t="s">
        <v>11</v>
      </c>
      <c r="I84" t="s">
        <v>130</v>
      </c>
      <c r="J84" t="s">
        <v>127</v>
      </c>
      <c r="K84" s="17">
        <f>K83</f>
        <v>2.9750000000000001</v>
      </c>
      <c r="N84" t="s">
        <v>135</v>
      </c>
    </row>
    <row r="85" spans="1:14" x14ac:dyDescent="0.25">
      <c r="A85" t="s">
        <v>1</v>
      </c>
      <c r="D85" t="s">
        <v>12</v>
      </c>
      <c r="I85" t="s">
        <v>130</v>
      </c>
      <c r="J85" t="s">
        <v>127</v>
      </c>
      <c r="K85" s="17">
        <f>K83</f>
        <v>2.9750000000000001</v>
      </c>
      <c r="N85" t="s">
        <v>135</v>
      </c>
    </row>
    <row r="86" spans="1:14" x14ac:dyDescent="0.25">
      <c r="A86" t="s">
        <v>1</v>
      </c>
      <c r="D86" t="s">
        <v>13</v>
      </c>
      <c r="I86" t="s">
        <v>130</v>
      </c>
      <c r="J86" t="s">
        <v>127</v>
      </c>
      <c r="K86" s="17">
        <f>K83</f>
        <v>2.9750000000000001</v>
      </c>
      <c r="N86" t="s">
        <v>135</v>
      </c>
    </row>
    <row r="87" spans="1:14" x14ac:dyDescent="0.25">
      <c r="K87" s="17"/>
    </row>
    <row r="88" spans="1:14" x14ac:dyDescent="0.25">
      <c r="A88" t="s">
        <v>56</v>
      </c>
      <c r="I88" t="s">
        <v>130</v>
      </c>
      <c r="J88" t="s">
        <v>127</v>
      </c>
      <c r="K88" s="17">
        <f>6*0.85</f>
        <v>5.0999999999999996</v>
      </c>
      <c r="N88" t="s">
        <v>135</v>
      </c>
    </row>
    <row r="89" spans="1:14" x14ac:dyDescent="0.25">
      <c r="K89" s="17"/>
    </row>
    <row r="90" spans="1:14" x14ac:dyDescent="0.25">
      <c r="A90" t="s">
        <v>62</v>
      </c>
      <c r="D90" t="s">
        <v>132</v>
      </c>
      <c r="I90" t="s">
        <v>130</v>
      </c>
      <c r="J90" t="s">
        <v>127</v>
      </c>
      <c r="K90" s="17">
        <f>100/(365.25/2)*0.85</f>
        <v>0.4654346338124572</v>
      </c>
      <c r="M90" t="s">
        <v>133</v>
      </c>
      <c r="N90" t="s">
        <v>135</v>
      </c>
    </row>
    <row r="91" spans="1:14" x14ac:dyDescent="0.25">
      <c r="K91" s="17"/>
    </row>
    <row r="92" spans="1:14" x14ac:dyDescent="0.25">
      <c r="A92" t="s">
        <v>37</v>
      </c>
      <c r="D92" t="s">
        <v>42</v>
      </c>
      <c r="I92" t="s">
        <v>130</v>
      </c>
      <c r="J92" t="s">
        <v>127</v>
      </c>
      <c r="K92" s="17">
        <f>1.5*0.85</f>
        <v>1.2749999999999999</v>
      </c>
      <c r="N92" t="s">
        <v>135</v>
      </c>
    </row>
    <row r="93" spans="1:14" x14ac:dyDescent="0.25">
      <c r="A93" t="s">
        <v>37</v>
      </c>
      <c r="D93" t="s">
        <v>43</v>
      </c>
      <c r="I93" t="s">
        <v>130</v>
      </c>
      <c r="J93" t="s">
        <v>127</v>
      </c>
      <c r="K93" s="20">
        <v>0</v>
      </c>
    </row>
    <row r="94" spans="1:14" x14ac:dyDescent="0.25">
      <c r="A94" t="s">
        <v>37</v>
      </c>
      <c r="D94" t="s">
        <v>45</v>
      </c>
      <c r="I94" t="s">
        <v>130</v>
      </c>
      <c r="J94" t="s">
        <v>127</v>
      </c>
      <c r="K94" s="21">
        <f>K96</f>
        <v>5.9500000000000004E-2</v>
      </c>
      <c r="M94" t="s">
        <v>131</v>
      </c>
    </row>
    <row r="95" spans="1:14" x14ac:dyDescent="0.25">
      <c r="A95" t="s">
        <v>37</v>
      </c>
      <c r="D95" t="s">
        <v>44</v>
      </c>
      <c r="I95" t="s">
        <v>130</v>
      </c>
      <c r="J95" t="s">
        <v>127</v>
      </c>
      <c r="K95" s="17">
        <v>0</v>
      </c>
      <c r="M95" t="s">
        <v>136</v>
      </c>
      <c r="N95" t="s">
        <v>135</v>
      </c>
    </row>
    <row r="96" spans="1:14" x14ac:dyDescent="0.25">
      <c r="A96" t="s">
        <v>37</v>
      </c>
      <c r="D96" t="s">
        <v>38</v>
      </c>
      <c r="I96" t="s">
        <v>130</v>
      </c>
      <c r="J96" t="s">
        <v>127</v>
      </c>
      <c r="K96" s="17">
        <f>0.07*0.85</f>
        <v>5.9500000000000004E-2</v>
      </c>
      <c r="N96" t="s">
        <v>135</v>
      </c>
    </row>
    <row r="97" spans="1:14" x14ac:dyDescent="0.25">
      <c r="A97" t="s">
        <v>37</v>
      </c>
      <c r="D97" t="s">
        <v>39</v>
      </c>
      <c r="I97" t="s">
        <v>130</v>
      </c>
      <c r="J97" t="s">
        <v>127</v>
      </c>
      <c r="K97" s="21">
        <f>K96</f>
        <v>5.9500000000000004E-2</v>
      </c>
    </row>
    <row r="98" spans="1:14" x14ac:dyDescent="0.25">
      <c r="K98" s="21"/>
    </row>
    <row r="99" spans="1:14" x14ac:dyDescent="0.25">
      <c r="A99" t="s">
        <v>52</v>
      </c>
      <c r="C99" t="s">
        <v>63</v>
      </c>
      <c r="K99" s="21"/>
    </row>
    <row r="100" spans="1:14" x14ac:dyDescent="0.25">
      <c r="K100" s="21"/>
    </row>
    <row r="101" spans="1:14" x14ac:dyDescent="0.25">
      <c r="A101" t="s">
        <v>52</v>
      </c>
      <c r="C101" t="s">
        <v>53</v>
      </c>
    </row>
    <row r="102" spans="1:14" x14ac:dyDescent="0.25">
      <c r="J102" s="1"/>
      <c r="K102" s="1"/>
      <c r="L102" s="1"/>
      <c r="M102" s="1"/>
    </row>
    <row r="103" spans="1:14" x14ac:dyDescent="0.25">
      <c r="A103" s="2" t="s">
        <v>41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1:14" x14ac:dyDescent="0.25">
      <c r="A104" s="12" t="s">
        <v>82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</row>
    <row r="105" spans="1:14" x14ac:dyDescent="0.25">
      <c r="J105" s="5" t="s">
        <v>70</v>
      </c>
      <c r="K105" s="5">
        <v>0.04</v>
      </c>
      <c r="L105" s="5" t="s">
        <v>72</v>
      </c>
      <c r="M105" s="5" t="s">
        <v>73</v>
      </c>
      <c r="N105" s="5" t="s">
        <v>71</v>
      </c>
    </row>
    <row r="106" spans="1:14" x14ac:dyDescent="0.25">
      <c r="A106" s="5" t="s">
        <v>37</v>
      </c>
      <c r="J106" s="5" t="s">
        <v>70</v>
      </c>
      <c r="K106" s="5">
        <v>0.02</v>
      </c>
      <c r="L106" s="5" t="s">
        <v>72</v>
      </c>
      <c r="N106" s="5" t="s">
        <v>71</v>
      </c>
    </row>
    <row r="107" spans="1:14" x14ac:dyDescent="0.25">
      <c r="A107" s="5"/>
      <c r="J107" s="5"/>
      <c r="K107" s="5"/>
      <c r="L107" s="5"/>
      <c r="N107" s="5"/>
    </row>
    <row r="108" spans="1:14" x14ac:dyDescent="0.25">
      <c r="A108" s="12" t="s">
        <v>83</v>
      </c>
      <c r="B108" s="13"/>
      <c r="C108" s="13"/>
      <c r="D108" s="13"/>
      <c r="E108" s="13"/>
      <c r="F108" s="14"/>
      <c r="G108" s="13"/>
      <c r="H108" s="13"/>
      <c r="I108" s="13"/>
      <c r="J108" s="13"/>
      <c r="K108" s="13"/>
      <c r="L108" s="13"/>
      <c r="M108" s="13"/>
      <c r="N108" s="13"/>
    </row>
    <row r="109" spans="1:14" x14ac:dyDescent="0.25">
      <c r="J109" s="6" t="s">
        <v>59</v>
      </c>
      <c r="K109" s="6">
        <v>0</v>
      </c>
      <c r="L109" s="6" t="s">
        <v>60</v>
      </c>
      <c r="M109" s="6" t="s">
        <v>61</v>
      </c>
    </row>
    <row r="110" spans="1:14" x14ac:dyDescent="0.25">
      <c r="A110" t="s">
        <v>1</v>
      </c>
      <c r="C110" t="s">
        <v>2</v>
      </c>
      <c r="D110" t="s">
        <v>3</v>
      </c>
      <c r="J110" t="s">
        <v>59</v>
      </c>
      <c r="K110">
        <v>0.24</v>
      </c>
      <c r="L110" t="s">
        <v>60</v>
      </c>
      <c r="N110" t="s">
        <v>66</v>
      </c>
    </row>
    <row r="111" spans="1:14" x14ac:dyDescent="0.25">
      <c r="A111" t="s">
        <v>1</v>
      </c>
      <c r="J111" t="s">
        <v>59</v>
      </c>
      <c r="K111">
        <v>0.18</v>
      </c>
      <c r="L111" t="s">
        <v>60</v>
      </c>
      <c r="N111" t="s">
        <v>66</v>
      </c>
    </row>
    <row r="112" spans="1:14" x14ac:dyDescent="0.25">
      <c r="A112" t="s">
        <v>62</v>
      </c>
      <c r="J112" t="s">
        <v>59</v>
      </c>
      <c r="K112">
        <v>0.19</v>
      </c>
      <c r="L112" t="s">
        <v>60</v>
      </c>
      <c r="N112" t="s">
        <v>74</v>
      </c>
    </row>
    <row r="113" spans="1:14" x14ac:dyDescent="0.25">
      <c r="A113" t="s">
        <v>56</v>
      </c>
      <c r="J113" t="s">
        <v>59</v>
      </c>
      <c r="K113">
        <v>0.3</v>
      </c>
      <c r="L113" t="s">
        <v>60</v>
      </c>
      <c r="N113" t="s">
        <v>74</v>
      </c>
    </row>
    <row r="114" spans="1:14" x14ac:dyDescent="0.25">
      <c r="A114" t="s">
        <v>37</v>
      </c>
      <c r="J114" t="s">
        <v>59</v>
      </c>
      <c r="K114">
        <v>0.45</v>
      </c>
      <c r="L114" t="s">
        <v>60</v>
      </c>
      <c r="N114" t="s">
        <v>66</v>
      </c>
    </row>
    <row r="115" spans="1:14" x14ac:dyDescent="0.25">
      <c r="A115" t="s">
        <v>52</v>
      </c>
      <c r="C115" t="s">
        <v>53</v>
      </c>
      <c r="J115" t="s">
        <v>59</v>
      </c>
      <c r="K115">
        <v>0.36</v>
      </c>
      <c r="L115" t="s">
        <v>60</v>
      </c>
      <c r="N115" t="s">
        <v>74</v>
      </c>
    </row>
    <row r="116" spans="1:14" x14ac:dyDescent="0.25">
      <c r="A116" t="s">
        <v>52</v>
      </c>
      <c r="C116" t="s">
        <v>63</v>
      </c>
      <c r="J116" t="s">
        <v>59</v>
      </c>
      <c r="K116">
        <v>0.39</v>
      </c>
      <c r="L116" t="s">
        <v>60</v>
      </c>
      <c r="N116" t="s">
        <v>74</v>
      </c>
    </row>
    <row r="118" spans="1:14" x14ac:dyDescent="0.25">
      <c r="F118" s="5" t="s">
        <v>15</v>
      </c>
      <c r="J118" t="s">
        <v>64</v>
      </c>
      <c r="K118">
        <v>1</v>
      </c>
      <c r="L118" t="s">
        <v>65</v>
      </c>
      <c r="N118" t="s">
        <v>66</v>
      </c>
    </row>
    <row r="119" spans="1:14" x14ac:dyDescent="0.25">
      <c r="F119" s="5" t="s">
        <v>18</v>
      </c>
      <c r="J119" t="s">
        <v>64</v>
      </c>
      <c r="K119">
        <v>3.5</v>
      </c>
      <c r="L119" t="s">
        <v>65</v>
      </c>
      <c r="N119" t="s">
        <v>66</v>
      </c>
    </row>
    <row r="120" spans="1:14" x14ac:dyDescent="0.25">
      <c r="F120" s="5" t="s">
        <v>19</v>
      </c>
      <c r="J120" t="s">
        <v>64</v>
      </c>
      <c r="K120">
        <v>2</v>
      </c>
      <c r="L120" t="s">
        <v>65</v>
      </c>
      <c r="N120" t="s">
        <v>66</v>
      </c>
    </row>
    <row r="121" spans="1:14" x14ac:dyDescent="0.25">
      <c r="F121" s="5" t="s">
        <v>20</v>
      </c>
      <c r="J121" t="s">
        <v>64</v>
      </c>
      <c r="K121">
        <v>17</v>
      </c>
      <c r="L121" t="s">
        <v>65</v>
      </c>
      <c r="N121" t="s">
        <v>66</v>
      </c>
    </row>
    <row r="122" spans="1:14" x14ac:dyDescent="0.25">
      <c r="F122" s="5" t="s">
        <v>177</v>
      </c>
      <c r="J122" t="s">
        <v>64</v>
      </c>
      <c r="K122">
        <v>0.5</v>
      </c>
      <c r="L122" t="s">
        <v>65</v>
      </c>
      <c r="N122" t="s">
        <v>66</v>
      </c>
    </row>
    <row r="123" spans="1:14" x14ac:dyDescent="0.25">
      <c r="F123" s="5" t="s">
        <v>185</v>
      </c>
      <c r="J123" t="s">
        <v>64</v>
      </c>
      <c r="K123">
        <v>10.7</v>
      </c>
      <c r="L123" t="s">
        <v>65</v>
      </c>
      <c r="N123" t="s">
        <v>66</v>
      </c>
    </row>
    <row r="124" spans="1:14" x14ac:dyDescent="0.25">
      <c r="F124" s="5"/>
    </row>
    <row r="125" spans="1:14" x14ac:dyDescent="0.25">
      <c r="J125" t="s">
        <v>75</v>
      </c>
      <c r="K125">
        <v>55</v>
      </c>
      <c r="L125" t="s">
        <v>17</v>
      </c>
      <c r="M125" t="s">
        <v>78</v>
      </c>
      <c r="N125" t="s">
        <v>76</v>
      </c>
    </row>
    <row r="126" spans="1:14" x14ac:dyDescent="0.25">
      <c r="F126" s="5"/>
      <c r="J126" t="s">
        <v>77</v>
      </c>
      <c r="K126">
        <v>10</v>
      </c>
      <c r="L126" t="s">
        <v>17</v>
      </c>
      <c r="M126" t="s">
        <v>79</v>
      </c>
      <c r="N126" t="s">
        <v>76</v>
      </c>
    </row>
    <row r="127" spans="1:14" x14ac:dyDescent="0.25">
      <c r="F127" s="5" t="s">
        <v>15</v>
      </c>
      <c r="J127" t="s">
        <v>77</v>
      </c>
      <c r="K127">
        <v>0</v>
      </c>
      <c r="L127" t="s">
        <v>17</v>
      </c>
    </row>
    <row r="129" spans="1:14" x14ac:dyDescent="0.25">
      <c r="A129" s="2" t="s">
        <v>40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1:14" s="10" customFormat="1" x14ac:dyDescent="0.25">
      <c r="A130" s="12" t="s">
        <v>82</v>
      </c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</row>
    <row r="131" spans="1:14" x14ac:dyDescent="0.25">
      <c r="A131" s="8" t="s">
        <v>1</v>
      </c>
      <c r="B131" s="8"/>
      <c r="C131" s="8" t="s">
        <v>2</v>
      </c>
      <c r="D131" s="8" t="s">
        <v>3</v>
      </c>
      <c r="E131" s="8"/>
      <c r="F131" s="8"/>
      <c r="G131" s="8"/>
      <c r="H131" s="8"/>
      <c r="I131" s="8"/>
      <c r="J131" s="8" t="s">
        <v>5</v>
      </c>
      <c r="K131" s="8">
        <v>137</v>
      </c>
      <c r="L131" s="8" t="s">
        <v>6</v>
      </c>
      <c r="M131" s="8"/>
      <c r="N131" s="8" t="s">
        <v>4</v>
      </c>
    </row>
    <row r="132" spans="1:14" x14ac:dyDescent="0.25">
      <c r="A132" s="8" t="s">
        <v>1</v>
      </c>
      <c r="B132" s="8"/>
      <c r="C132" s="8" t="s">
        <v>7</v>
      </c>
      <c r="D132" s="8" t="s">
        <v>3</v>
      </c>
      <c r="E132" s="8"/>
      <c r="F132" s="8"/>
      <c r="G132" s="8"/>
      <c r="H132" s="8"/>
      <c r="I132" s="8"/>
      <c r="J132" s="8" t="s">
        <v>5</v>
      </c>
      <c r="K132" s="8">
        <v>63</v>
      </c>
      <c r="L132" s="8" t="s">
        <v>6</v>
      </c>
      <c r="M132" s="8"/>
      <c r="N132" s="8" t="s">
        <v>8</v>
      </c>
    </row>
    <row r="133" spans="1:14" x14ac:dyDescent="0.25">
      <c r="A133" s="8" t="s">
        <v>1</v>
      </c>
      <c r="B133" s="8"/>
      <c r="C133" s="8"/>
      <c r="D133" s="8" t="s">
        <v>9</v>
      </c>
      <c r="E133" s="8"/>
      <c r="F133" s="8"/>
      <c r="G133" s="8"/>
      <c r="H133" s="8"/>
      <c r="I133" s="8"/>
      <c r="J133" s="8" t="s">
        <v>5</v>
      </c>
      <c r="K133" s="8">
        <v>47</v>
      </c>
      <c r="L133" s="8" t="s">
        <v>6</v>
      </c>
      <c r="M133" s="8"/>
      <c r="N133" s="8" t="s">
        <v>8</v>
      </c>
    </row>
    <row r="134" spans="1:14" x14ac:dyDescent="0.25">
      <c r="A134" s="8" t="s">
        <v>1</v>
      </c>
      <c r="B134" s="8"/>
      <c r="C134" s="8"/>
      <c r="D134" s="8" t="s">
        <v>10</v>
      </c>
      <c r="E134" s="8"/>
      <c r="F134" s="8"/>
      <c r="G134" s="8"/>
      <c r="H134" s="8"/>
      <c r="I134" s="8"/>
      <c r="J134" s="8" t="s">
        <v>5</v>
      </c>
      <c r="K134" s="8">
        <v>28</v>
      </c>
      <c r="L134" s="8" t="s">
        <v>6</v>
      </c>
      <c r="M134" s="8"/>
      <c r="N134" s="8" t="s">
        <v>8</v>
      </c>
    </row>
    <row r="135" spans="1:14" x14ac:dyDescent="0.25">
      <c r="A135" s="8" t="s">
        <v>1</v>
      </c>
      <c r="B135" s="8"/>
      <c r="C135" s="8"/>
      <c r="D135" s="8" t="s">
        <v>11</v>
      </c>
      <c r="E135" s="8"/>
      <c r="F135" s="8"/>
      <c r="G135" s="8"/>
      <c r="H135" s="8"/>
      <c r="I135" s="8"/>
      <c r="J135" s="8" t="s">
        <v>5</v>
      </c>
      <c r="K135" s="8">
        <v>47</v>
      </c>
      <c r="L135" s="8" t="s">
        <v>6</v>
      </c>
      <c r="M135" s="8"/>
      <c r="N135" s="8" t="s">
        <v>8</v>
      </c>
    </row>
    <row r="136" spans="1:14" x14ac:dyDescent="0.25">
      <c r="A136" s="8" t="s">
        <v>1</v>
      </c>
      <c r="B136" s="8"/>
      <c r="C136" s="8"/>
      <c r="D136" s="8" t="s">
        <v>12</v>
      </c>
      <c r="E136" s="8"/>
      <c r="F136" s="8"/>
      <c r="G136" s="8"/>
      <c r="H136" s="8"/>
      <c r="I136" s="8"/>
      <c r="J136" s="8" t="s">
        <v>5</v>
      </c>
      <c r="K136" s="8">
        <v>47</v>
      </c>
      <c r="L136" s="8" t="s">
        <v>6</v>
      </c>
      <c r="M136" s="8"/>
      <c r="N136" s="8" t="s">
        <v>8</v>
      </c>
    </row>
    <row r="137" spans="1:14" x14ac:dyDescent="0.25">
      <c r="A137" s="8" t="s">
        <v>1</v>
      </c>
      <c r="B137" s="8"/>
      <c r="C137" s="8"/>
      <c r="D137" s="8" t="s">
        <v>13</v>
      </c>
      <c r="E137" s="8"/>
      <c r="F137" s="8"/>
      <c r="G137" s="8"/>
      <c r="H137" s="8"/>
      <c r="I137" s="8"/>
      <c r="J137" s="8" t="s">
        <v>5</v>
      </c>
      <c r="K137" s="8">
        <v>47</v>
      </c>
      <c r="L137" s="8" t="s">
        <v>6</v>
      </c>
      <c r="M137" s="8" t="s">
        <v>14</v>
      </c>
      <c r="N137" s="8" t="s">
        <v>8</v>
      </c>
    </row>
    <row r="138" spans="1:14" x14ac:dyDescent="0.25">
      <c r="A138" s="8" t="s">
        <v>37</v>
      </c>
      <c r="B138" s="8"/>
      <c r="C138" s="8"/>
      <c r="D138" s="8" t="s">
        <v>42</v>
      </c>
      <c r="E138" s="8"/>
      <c r="F138" s="8"/>
      <c r="G138" s="8"/>
      <c r="H138" s="8"/>
      <c r="I138" s="8"/>
      <c r="J138" s="8" t="s">
        <v>5</v>
      </c>
      <c r="K138" s="8">
        <v>22.5</v>
      </c>
      <c r="L138" s="8" t="s">
        <v>6</v>
      </c>
      <c r="M138" s="8"/>
      <c r="N138" s="8" t="s">
        <v>8</v>
      </c>
    </row>
    <row r="139" spans="1:14" x14ac:dyDescent="0.25">
      <c r="A139" s="8" t="s">
        <v>37</v>
      </c>
      <c r="B139" s="8"/>
      <c r="C139" s="8"/>
      <c r="D139" s="8" t="s">
        <v>43</v>
      </c>
      <c r="E139" s="8"/>
      <c r="F139" s="8"/>
      <c r="G139" s="8"/>
      <c r="H139" s="8"/>
      <c r="I139" s="8"/>
      <c r="J139" s="8" t="s">
        <v>5</v>
      </c>
      <c r="K139" s="8">
        <v>13</v>
      </c>
      <c r="L139" s="8" t="s">
        <v>6</v>
      </c>
      <c r="M139" s="8"/>
      <c r="N139" s="8" t="s">
        <v>8</v>
      </c>
    </row>
    <row r="140" spans="1:14" x14ac:dyDescent="0.25">
      <c r="A140" s="8" t="s">
        <v>37</v>
      </c>
      <c r="B140" s="8"/>
      <c r="C140" s="8"/>
      <c r="D140" s="8" t="s">
        <v>44</v>
      </c>
      <c r="E140" s="8"/>
      <c r="F140" s="8"/>
      <c r="G140" s="8"/>
      <c r="H140" s="8"/>
      <c r="I140" s="8"/>
      <c r="J140" s="8" t="s">
        <v>5</v>
      </c>
      <c r="K140" s="8">
        <v>1.2</v>
      </c>
      <c r="L140" s="8" t="s">
        <v>6</v>
      </c>
      <c r="M140" s="9" t="s">
        <v>48</v>
      </c>
      <c r="N140" s="8" t="s">
        <v>8</v>
      </c>
    </row>
    <row r="141" spans="1:14" x14ac:dyDescent="0.25">
      <c r="A141" s="8" t="s">
        <v>37</v>
      </c>
      <c r="B141" s="8"/>
      <c r="C141" s="8"/>
      <c r="D141" s="8" t="s">
        <v>45</v>
      </c>
      <c r="E141" s="8"/>
      <c r="F141" s="8"/>
      <c r="G141" s="8"/>
      <c r="H141" s="8"/>
      <c r="I141" s="8"/>
      <c r="J141" s="8" t="s">
        <v>5</v>
      </c>
      <c r="K141" s="8">
        <v>9.5</v>
      </c>
      <c r="L141" s="8" t="s">
        <v>6</v>
      </c>
      <c r="M141" s="8" t="s">
        <v>46</v>
      </c>
      <c r="N141" s="8" t="s">
        <v>8</v>
      </c>
    </row>
    <row r="142" spans="1:14" x14ac:dyDescent="0.25">
      <c r="A142" s="8" t="s">
        <v>37</v>
      </c>
      <c r="B142" s="8"/>
      <c r="C142" s="8"/>
      <c r="D142" s="8" t="s">
        <v>38</v>
      </c>
      <c r="E142" s="8"/>
      <c r="F142" s="8"/>
      <c r="G142" s="8"/>
      <c r="H142" s="8"/>
      <c r="I142" s="8"/>
      <c r="J142" s="8" t="s">
        <v>5</v>
      </c>
      <c r="K142" s="8">
        <v>9.5</v>
      </c>
      <c r="L142" s="8" t="s">
        <v>6</v>
      </c>
      <c r="M142" s="8" t="s">
        <v>47</v>
      </c>
      <c r="N142" s="8" t="s">
        <v>8</v>
      </c>
    </row>
    <row r="143" spans="1:14" x14ac:dyDescent="0.25">
      <c r="A143" s="8" t="s">
        <v>37</v>
      </c>
      <c r="B143" s="8"/>
      <c r="C143" s="8"/>
      <c r="D143" s="8" t="s">
        <v>39</v>
      </c>
      <c r="E143" s="8"/>
      <c r="F143" s="8"/>
      <c r="G143" s="8"/>
      <c r="H143" s="8"/>
      <c r="I143" s="8"/>
      <c r="J143" s="8" t="s">
        <v>5</v>
      </c>
      <c r="K143" s="8">
        <v>9.5</v>
      </c>
      <c r="L143" s="8" t="s">
        <v>6</v>
      </c>
      <c r="M143" s="8" t="s">
        <v>47</v>
      </c>
      <c r="N143" s="8" t="s">
        <v>8</v>
      </c>
    </row>
    <row r="144" spans="1:14" x14ac:dyDescent="0.25">
      <c r="A144" t="s">
        <v>56</v>
      </c>
      <c r="J144" t="s">
        <v>5</v>
      </c>
      <c r="K144">
        <v>48</v>
      </c>
      <c r="L144" t="s">
        <v>6</v>
      </c>
      <c r="N144" t="s">
        <v>8</v>
      </c>
    </row>
    <row r="145" spans="1:14" x14ac:dyDescent="0.25">
      <c r="A145" t="s">
        <v>56</v>
      </c>
      <c r="J145" t="s">
        <v>105</v>
      </c>
      <c r="K145" s="15">
        <f>K144 * (6.4/2.29)/16</f>
        <v>8.3842794759825345</v>
      </c>
      <c r="L145" t="s">
        <v>108</v>
      </c>
      <c r="M145" t="s">
        <v>110</v>
      </c>
      <c r="N145" t="s">
        <v>114</v>
      </c>
    </row>
    <row r="146" spans="1:14" x14ac:dyDescent="0.25">
      <c r="A146" t="s">
        <v>56</v>
      </c>
      <c r="J146" t="s">
        <v>106</v>
      </c>
      <c r="K146" s="15">
        <f>K144 * (15.9/(47/39))/16</f>
        <v>39.58085106382979</v>
      </c>
      <c r="L146" t="s">
        <v>109</v>
      </c>
      <c r="M146" t="s">
        <v>111</v>
      </c>
      <c r="N146" t="s">
        <v>114</v>
      </c>
    </row>
    <row r="147" spans="1:14" x14ac:dyDescent="0.25">
      <c r="A147" t="s">
        <v>62</v>
      </c>
      <c r="J147" t="s">
        <v>5</v>
      </c>
      <c r="K147" s="15">
        <v>14</v>
      </c>
      <c r="L147" t="s">
        <v>6</v>
      </c>
      <c r="N147" t="s">
        <v>8</v>
      </c>
    </row>
    <row r="148" spans="1:14" x14ac:dyDescent="0.25">
      <c r="A148" t="s">
        <v>62</v>
      </c>
      <c r="J148" t="s">
        <v>105</v>
      </c>
      <c r="K148" s="15">
        <f>K147 * (4.8/2.29)/14.4</f>
        <v>2.0378457059679769</v>
      </c>
      <c r="L148" t="s">
        <v>108</v>
      </c>
      <c r="N148" t="s">
        <v>195</v>
      </c>
    </row>
    <row r="149" spans="1:14" x14ac:dyDescent="0.25">
      <c r="A149" t="s">
        <v>62</v>
      </c>
      <c r="J149" t="s">
        <v>106</v>
      </c>
      <c r="K149" s="15">
        <f>K147 * (25.2/(47/39))/14.4</f>
        <v>20.329787234042556</v>
      </c>
      <c r="L149" t="s">
        <v>109</v>
      </c>
      <c r="N149" t="s">
        <v>195</v>
      </c>
    </row>
    <row r="150" spans="1:14" x14ac:dyDescent="0.25">
      <c r="A150" t="s">
        <v>62</v>
      </c>
      <c r="D150" t="s">
        <v>94</v>
      </c>
      <c r="J150" t="s">
        <v>5</v>
      </c>
      <c r="K150" s="15">
        <v>0</v>
      </c>
      <c r="L150" t="s">
        <v>6</v>
      </c>
      <c r="M150" t="s">
        <v>194</v>
      </c>
      <c r="N150" t="s">
        <v>8</v>
      </c>
    </row>
    <row r="151" spans="1:14" x14ac:dyDescent="0.25">
      <c r="A151" t="s">
        <v>62</v>
      </c>
      <c r="D151" t="s">
        <v>94</v>
      </c>
      <c r="J151" t="s">
        <v>105</v>
      </c>
      <c r="K151" s="15">
        <v>0</v>
      </c>
      <c r="L151" t="s">
        <v>108</v>
      </c>
    </row>
    <row r="152" spans="1:14" x14ac:dyDescent="0.25">
      <c r="A152" t="s">
        <v>62</v>
      </c>
      <c r="D152" t="s">
        <v>94</v>
      </c>
      <c r="J152" t="s">
        <v>106</v>
      </c>
      <c r="K152" s="15">
        <v>0</v>
      </c>
      <c r="L152" t="s">
        <v>109</v>
      </c>
    </row>
    <row r="153" spans="1:14" x14ac:dyDescent="0.25">
      <c r="A153" t="s">
        <v>52</v>
      </c>
      <c r="C153" t="s">
        <v>63</v>
      </c>
      <c r="J153" t="s">
        <v>5</v>
      </c>
      <c r="K153" s="17">
        <v>0.6</v>
      </c>
      <c r="L153" t="s">
        <v>6</v>
      </c>
      <c r="N153" t="s">
        <v>8</v>
      </c>
    </row>
    <row r="154" spans="1:14" x14ac:dyDescent="0.25">
      <c r="A154" t="s">
        <v>52</v>
      </c>
      <c r="C154" t="s">
        <v>63</v>
      </c>
      <c r="J154" t="s">
        <v>105</v>
      </c>
      <c r="K154" s="17">
        <f>K153 * (0.39/2.29)/0.75</f>
        <v>0.13624454148471615</v>
      </c>
      <c r="L154" t="s">
        <v>108</v>
      </c>
      <c r="M154" t="s">
        <v>110</v>
      </c>
      <c r="N154" t="s">
        <v>113</v>
      </c>
    </row>
    <row r="155" spans="1:14" x14ac:dyDescent="0.25">
      <c r="A155" t="s">
        <v>52</v>
      </c>
      <c r="C155" t="s">
        <v>63</v>
      </c>
      <c r="J155" t="s">
        <v>106</v>
      </c>
      <c r="K155" s="17">
        <f>K153 * (0.33/(47/39))/0.75</f>
        <v>0.21906382978723404</v>
      </c>
      <c r="L155" t="s">
        <v>109</v>
      </c>
      <c r="M155" t="s">
        <v>111</v>
      </c>
      <c r="N155" t="s">
        <v>113</v>
      </c>
    </row>
    <row r="156" spans="1:14" x14ac:dyDescent="0.25">
      <c r="A156" t="s">
        <v>52</v>
      </c>
      <c r="C156" t="s">
        <v>53</v>
      </c>
      <c r="D156" t="s">
        <v>54</v>
      </c>
      <c r="J156" t="s">
        <v>5</v>
      </c>
      <c r="K156">
        <v>0.28999999999999998</v>
      </c>
      <c r="L156" t="s">
        <v>6</v>
      </c>
      <c r="N156" t="s">
        <v>8</v>
      </c>
    </row>
    <row r="157" spans="1:14" x14ac:dyDescent="0.25">
      <c r="A157" t="s">
        <v>52</v>
      </c>
      <c r="C157" t="s">
        <v>53</v>
      </c>
      <c r="D157" t="s">
        <v>54</v>
      </c>
      <c r="J157" t="s">
        <v>105</v>
      </c>
      <c r="K157" s="17">
        <f>K156 * (0.19/2.29)/0.53</f>
        <v>4.5398368624866105E-2</v>
      </c>
      <c r="L157" t="s">
        <v>108</v>
      </c>
      <c r="M157" t="s">
        <v>110</v>
      </c>
      <c r="N157" t="s">
        <v>107</v>
      </c>
    </row>
    <row r="158" spans="1:14" x14ac:dyDescent="0.25">
      <c r="A158" t="s">
        <v>52</v>
      </c>
      <c r="C158" t="s">
        <v>53</v>
      </c>
      <c r="D158" t="s">
        <v>54</v>
      </c>
      <c r="J158" t="s">
        <v>106</v>
      </c>
      <c r="K158" s="17">
        <f>K156 * (0.26/(47/39))/0.53</f>
        <v>0.11804897631473303</v>
      </c>
      <c r="L158" t="s">
        <v>109</v>
      </c>
      <c r="M158" t="s">
        <v>111</v>
      </c>
      <c r="N158" t="s">
        <v>107</v>
      </c>
    </row>
    <row r="159" spans="1:14" x14ac:dyDescent="0.25">
      <c r="A159" t="s">
        <v>52</v>
      </c>
      <c r="C159" t="s">
        <v>53</v>
      </c>
      <c r="J159" t="s">
        <v>5</v>
      </c>
      <c r="K159" s="17">
        <v>0.6</v>
      </c>
      <c r="L159" t="s">
        <v>6</v>
      </c>
      <c r="M159" t="s">
        <v>55</v>
      </c>
      <c r="N159" t="s">
        <v>8</v>
      </c>
    </row>
    <row r="160" spans="1:14" x14ac:dyDescent="0.25">
      <c r="A160" t="s">
        <v>52</v>
      </c>
      <c r="C160" t="s">
        <v>53</v>
      </c>
      <c r="J160" t="s">
        <v>105</v>
      </c>
      <c r="K160" s="17">
        <f>K159 * (0.55/2.29)/1.12</f>
        <v>0.12866500311915158</v>
      </c>
      <c r="L160" t="s">
        <v>108</v>
      </c>
      <c r="M160" t="s">
        <v>110</v>
      </c>
      <c r="N160" t="s">
        <v>112</v>
      </c>
    </row>
    <row r="161" spans="1:14" x14ac:dyDescent="0.25">
      <c r="A161" t="s">
        <v>52</v>
      </c>
      <c r="C161" t="s">
        <v>53</v>
      </c>
      <c r="J161" t="s">
        <v>106</v>
      </c>
      <c r="K161" s="17">
        <f>K159 * (0.44/(47/39))/1.12</f>
        <v>0.19559270516717325</v>
      </c>
      <c r="L161" t="s">
        <v>109</v>
      </c>
      <c r="M161" t="s">
        <v>111</v>
      </c>
      <c r="N161" t="s">
        <v>112</v>
      </c>
    </row>
    <row r="162" spans="1:14" x14ac:dyDescent="0.25">
      <c r="F162" s="5"/>
    </row>
    <row r="163" spans="1:14" s="10" customFormat="1" x14ac:dyDescent="0.25">
      <c r="A163" s="11"/>
      <c r="J163" s="6" t="s">
        <v>80</v>
      </c>
      <c r="K163" s="16">
        <v>0</v>
      </c>
      <c r="L163" s="16"/>
      <c r="M163" s="16" t="s">
        <v>100</v>
      </c>
    </row>
    <row r="164" spans="1:14" s="10" customFormat="1" x14ac:dyDescent="0.25">
      <c r="A164" s="11"/>
      <c r="J164" s="6" t="s">
        <v>84</v>
      </c>
      <c r="K164" s="16">
        <v>0</v>
      </c>
      <c r="L164" s="16"/>
      <c r="M164" s="16" t="s">
        <v>100</v>
      </c>
    </row>
    <row r="165" spans="1:14" s="10" customFormat="1" x14ac:dyDescent="0.25">
      <c r="A165" s="11"/>
      <c r="J165" s="6" t="s">
        <v>85</v>
      </c>
      <c r="K165" s="16">
        <v>0</v>
      </c>
      <c r="L165" s="16"/>
      <c r="M165" s="16" t="s">
        <v>100</v>
      </c>
    </row>
    <row r="166" spans="1:14" x14ac:dyDescent="0.25">
      <c r="A166" t="s">
        <v>1</v>
      </c>
      <c r="D166" t="s">
        <v>3</v>
      </c>
      <c r="F166" s="5"/>
      <c r="J166" t="s">
        <v>80</v>
      </c>
      <c r="K166">
        <v>22.5</v>
      </c>
      <c r="L166" t="s">
        <v>86</v>
      </c>
      <c r="M166" t="s">
        <v>89</v>
      </c>
      <c r="N166" t="s">
        <v>102</v>
      </c>
    </row>
    <row r="167" spans="1:14" x14ac:dyDescent="0.25">
      <c r="A167" t="s">
        <v>1</v>
      </c>
      <c r="D167" t="s">
        <v>3</v>
      </c>
      <c r="F167" s="5"/>
      <c r="J167" t="s">
        <v>84</v>
      </c>
      <c r="K167">
        <v>7.4</v>
      </c>
      <c r="L167" t="s">
        <v>87</v>
      </c>
      <c r="N167" t="s">
        <v>102</v>
      </c>
    </row>
    <row r="168" spans="1:14" x14ac:dyDescent="0.25">
      <c r="A168" t="s">
        <v>1</v>
      </c>
      <c r="D168" t="s">
        <v>3</v>
      </c>
      <c r="F168" s="5"/>
      <c r="J168" t="s">
        <v>85</v>
      </c>
      <c r="K168" s="15">
        <v>2</v>
      </c>
      <c r="L168" t="s">
        <v>88</v>
      </c>
      <c r="N168" t="s">
        <v>102</v>
      </c>
    </row>
    <row r="169" spans="1:14" x14ac:dyDescent="0.25">
      <c r="A169" t="s">
        <v>1</v>
      </c>
      <c r="D169" t="s">
        <v>9</v>
      </c>
      <c r="F169" s="5"/>
      <c r="J169" t="s">
        <v>80</v>
      </c>
      <c r="K169">
        <f>23.1</f>
        <v>23.1</v>
      </c>
      <c r="L169" t="s">
        <v>86</v>
      </c>
      <c r="M169" t="s">
        <v>90</v>
      </c>
      <c r="N169" t="s">
        <v>102</v>
      </c>
    </row>
    <row r="170" spans="1:14" x14ac:dyDescent="0.25">
      <c r="A170" t="s">
        <v>1</v>
      </c>
      <c r="D170" t="s">
        <v>9</v>
      </c>
      <c r="F170" s="5"/>
      <c r="J170" t="s">
        <v>84</v>
      </c>
      <c r="K170">
        <v>7.4</v>
      </c>
      <c r="L170" t="s">
        <v>87</v>
      </c>
      <c r="N170" t="s">
        <v>102</v>
      </c>
    </row>
    <row r="171" spans="1:14" x14ac:dyDescent="0.25">
      <c r="A171" t="s">
        <v>1</v>
      </c>
      <c r="D171" t="s">
        <v>9</v>
      </c>
      <c r="F171" s="5"/>
      <c r="J171" t="s">
        <v>85</v>
      </c>
      <c r="K171" s="15">
        <v>2</v>
      </c>
      <c r="L171" t="s">
        <v>88</v>
      </c>
      <c r="N171" t="s">
        <v>102</v>
      </c>
    </row>
    <row r="172" spans="1:14" x14ac:dyDescent="0.25">
      <c r="A172" t="s">
        <v>1</v>
      </c>
      <c r="D172" t="s">
        <v>10</v>
      </c>
      <c r="F172" s="5"/>
      <c r="J172" t="s">
        <v>80</v>
      </c>
      <c r="K172">
        <v>26.4</v>
      </c>
      <c r="L172" t="s">
        <v>86</v>
      </c>
      <c r="M172" t="s">
        <v>91</v>
      </c>
      <c r="N172" t="s">
        <v>102</v>
      </c>
    </row>
    <row r="173" spans="1:14" x14ac:dyDescent="0.25">
      <c r="A173" t="s">
        <v>1</v>
      </c>
      <c r="D173" t="s">
        <v>10</v>
      </c>
      <c r="F173" s="5"/>
      <c r="J173" t="s">
        <v>84</v>
      </c>
      <c r="K173">
        <v>6.85</v>
      </c>
      <c r="L173" t="s">
        <v>87</v>
      </c>
      <c r="N173" t="s">
        <v>102</v>
      </c>
    </row>
    <row r="174" spans="1:14" x14ac:dyDescent="0.25">
      <c r="A174" t="s">
        <v>1</v>
      </c>
      <c r="D174" t="s">
        <v>10</v>
      </c>
      <c r="F174" s="5"/>
      <c r="J174" t="s">
        <v>85</v>
      </c>
      <c r="K174">
        <v>1.69</v>
      </c>
      <c r="L174" t="s">
        <v>88</v>
      </c>
      <c r="N174" t="s">
        <v>102</v>
      </c>
    </row>
    <row r="175" spans="1:14" x14ac:dyDescent="0.25">
      <c r="A175" t="s">
        <v>1</v>
      </c>
      <c r="D175" t="s">
        <v>11</v>
      </c>
      <c r="F175" s="5"/>
      <c r="J175" t="s">
        <v>80</v>
      </c>
      <c r="K175">
        <v>27.04</v>
      </c>
      <c r="L175" t="s">
        <v>86</v>
      </c>
      <c r="M175" t="s">
        <v>93</v>
      </c>
      <c r="N175" t="s">
        <v>102</v>
      </c>
    </row>
    <row r="176" spans="1:14" x14ac:dyDescent="0.25">
      <c r="A176" t="s">
        <v>1</v>
      </c>
      <c r="D176" t="s">
        <v>11</v>
      </c>
      <c r="F176" s="5"/>
      <c r="J176" t="s">
        <v>84</v>
      </c>
      <c r="K176">
        <v>7.4</v>
      </c>
      <c r="L176" t="s">
        <v>87</v>
      </c>
      <c r="N176" t="s">
        <v>102</v>
      </c>
    </row>
    <row r="177" spans="1:14" x14ac:dyDescent="0.25">
      <c r="A177" t="s">
        <v>1</v>
      </c>
      <c r="D177" t="s">
        <v>11</v>
      </c>
      <c r="F177" s="5"/>
      <c r="J177" t="s">
        <v>85</v>
      </c>
      <c r="K177">
        <v>1.91</v>
      </c>
      <c r="L177" t="s">
        <v>88</v>
      </c>
      <c r="N177" t="s">
        <v>102</v>
      </c>
    </row>
    <row r="178" spans="1:14" x14ac:dyDescent="0.25">
      <c r="A178" t="s">
        <v>1</v>
      </c>
      <c r="D178" t="s">
        <v>12</v>
      </c>
      <c r="F178" s="5"/>
      <c r="J178" t="s">
        <v>80</v>
      </c>
      <c r="K178">
        <v>27.04</v>
      </c>
      <c r="L178" t="s">
        <v>86</v>
      </c>
      <c r="M178" t="s">
        <v>93</v>
      </c>
      <c r="N178" t="s">
        <v>102</v>
      </c>
    </row>
    <row r="179" spans="1:14" x14ac:dyDescent="0.25">
      <c r="A179" t="s">
        <v>1</v>
      </c>
      <c r="D179" t="s">
        <v>12</v>
      </c>
      <c r="F179" s="5"/>
      <c r="J179" t="s">
        <v>84</v>
      </c>
      <c r="K179">
        <v>7.4</v>
      </c>
      <c r="L179" t="s">
        <v>87</v>
      </c>
      <c r="N179" t="s">
        <v>102</v>
      </c>
    </row>
    <row r="180" spans="1:14" x14ac:dyDescent="0.25">
      <c r="A180" t="s">
        <v>1</v>
      </c>
      <c r="D180" t="s">
        <v>12</v>
      </c>
      <c r="F180" s="5"/>
      <c r="J180" t="s">
        <v>85</v>
      </c>
      <c r="K180">
        <v>1.91</v>
      </c>
      <c r="L180" t="s">
        <v>88</v>
      </c>
      <c r="N180" t="s">
        <v>102</v>
      </c>
    </row>
    <row r="181" spans="1:14" x14ac:dyDescent="0.25">
      <c r="A181" t="s">
        <v>1</v>
      </c>
      <c r="D181" t="s">
        <v>13</v>
      </c>
      <c r="F181" s="5"/>
      <c r="J181" t="s">
        <v>80</v>
      </c>
      <c r="K181">
        <v>25.28</v>
      </c>
      <c r="L181" t="s">
        <v>86</v>
      </c>
      <c r="M181" t="s">
        <v>92</v>
      </c>
      <c r="N181" t="s">
        <v>102</v>
      </c>
    </row>
    <row r="182" spans="1:14" x14ac:dyDescent="0.25">
      <c r="A182" t="s">
        <v>1</v>
      </c>
      <c r="D182" t="s">
        <v>13</v>
      </c>
      <c r="F182" s="5"/>
      <c r="J182" t="s">
        <v>84</v>
      </c>
      <c r="K182">
        <v>7.4</v>
      </c>
      <c r="L182" t="s">
        <v>87</v>
      </c>
      <c r="N182" t="s">
        <v>102</v>
      </c>
    </row>
    <row r="183" spans="1:14" x14ac:dyDescent="0.25">
      <c r="A183" t="s">
        <v>1</v>
      </c>
      <c r="D183" t="s">
        <v>13</v>
      </c>
      <c r="F183" s="5"/>
      <c r="J183" t="s">
        <v>85</v>
      </c>
      <c r="K183" s="15">
        <v>2</v>
      </c>
      <c r="L183" t="s">
        <v>88</v>
      </c>
      <c r="N183" t="s">
        <v>102</v>
      </c>
    </row>
    <row r="184" spans="1:14" x14ac:dyDescent="0.25">
      <c r="F184" s="5"/>
    </row>
    <row r="185" spans="1:14" x14ac:dyDescent="0.25">
      <c r="A185" t="s">
        <v>62</v>
      </c>
      <c r="F185" s="5"/>
      <c r="J185" t="s">
        <v>80</v>
      </c>
      <c r="K185" s="5">
        <v>25</v>
      </c>
      <c r="L185" t="s">
        <v>86</v>
      </c>
      <c r="M185" t="s">
        <v>103</v>
      </c>
      <c r="N185" t="s">
        <v>102</v>
      </c>
    </row>
    <row r="186" spans="1:14" x14ac:dyDescent="0.25">
      <c r="A186" t="s">
        <v>62</v>
      </c>
      <c r="F186" s="5"/>
      <c r="J186" t="s">
        <v>84</v>
      </c>
      <c r="K186" s="5">
        <v>7.8</v>
      </c>
      <c r="L186" t="s">
        <v>87</v>
      </c>
      <c r="N186" t="s">
        <v>102</v>
      </c>
    </row>
    <row r="187" spans="1:14" x14ac:dyDescent="0.25">
      <c r="A187" t="s">
        <v>62</v>
      </c>
      <c r="F187" s="5"/>
      <c r="J187" t="s">
        <v>85</v>
      </c>
      <c r="K187" s="5">
        <v>1.7</v>
      </c>
      <c r="L187" t="s">
        <v>88</v>
      </c>
      <c r="N187" t="s">
        <v>102</v>
      </c>
    </row>
    <row r="188" spans="1:14" x14ac:dyDescent="0.25">
      <c r="A188" t="s">
        <v>62</v>
      </c>
      <c r="D188" t="s">
        <v>94</v>
      </c>
      <c r="F188" s="5"/>
      <c r="J188" t="s">
        <v>80</v>
      </c>
      <c r="K188" s="5">
        <v>26.2</v>
      </c>
      <c r="L188" t="s">
        <v>86</v>
      </c>
      <c r="M188" t="s">
        <v>104</v>
      </c>
      <c r="N188" t="s">
        <v>102</v>
      </c>
    </row>
    <row r="189" spans="1:14" x14ac:dyDescent="0.25">
      <c r="A189" t="s">
        <v>62</v>
      </c>
      <c r="D189" t="s">
        <v>94</v>
      </c>
      <c r="F189" s="5"/>
      <c r="J189" t="s">
        <v>84</v>
      </c>
      <c r="K189" s="5">
        <v>5.2</v>
      </c>
      <c r="L189" t="s">
        <v>87</v>
      </c>
      <c r="N189" t="s">
        <v>102</v>
      </c>
    </row>
    <row r="190" spans="1:14" x14ac:dyDescent="0.25">
      <c r="A190" t="s">
        <v>62</v>
      </c>
      <c r="D190" t="s">
        <v>94</v>
      </c>
      <c r="F190" s="5"/>
      <c r="J190" t="s">
        <v>85</v>
      </c>
      <c r="K190" s="5">
        <v>1.7</v>
      </c>
      <c r="L190" t="s">
        <v>88</v>
      </c>
      <c r="N190" t="s">
        <v>102</v>
      </c>
    </row>
    <row r="191" spans="1:14" x14ac:dyDescent="0.25">
      <c r="F191" s="5"/>
      <c r="K191" s="5"/>
    </row>
    <row r="192" spans="1:14" x14ac:dyDescent="0.25">
      <c r="A192" t="s">
        <v>56</v>
      </c>
      <c r="F192" s="5"/>
      <c r="J192" t="s">
        <v>80</v>
      </c>
      <c r="K192" s="5">
        <v>29.9</v>
      </c>
      <c r="L192" t="s">
        <v>86</v>
      </c>
      <c r="M192" t="s">
        <v>101</v>
      </c>
      <c r="N192" t="s">
        <v>102</v>
      </c>
    </row>
    <row r="193" spans="1:14" x14ac:dyDescent="0.25">
      <c r="A193" t="s">
        <v>56</v>
      </c>
      <c r="F193" s="5"/>
      <c r="J193" t="s">
        <v>84</v>
      </c>
      <c r="K193" s="5">
        <v>7.5</v>
      </c>
      <c r="L193" t="s">
        <v>87</v>
      </c>
      <c r="N193" t="s">
        <v>102</v>
      </c>
    </row>
    <row r="194" spans="1:14" x14ac:dyDescent="0.25">
      <c r="A194" t="s">
        <v>56</v>
      </c>
      <c r="F194" s="5"/>
      <c r="J194" t="s">
        <v>85</v>
      </c>
      <c r="K194" s="5">
        <v>2</v>
      </c>
      <c r="L194" t="s">
        <v>88</v>
      </c>
      <c r="N194" t="s">
        <v>102</v>
      </c>
    </row>
    <row r="195" spans="1:14" x14ac:dyDescent="0.25">
      <c r="F195" s="5"/>
      <c r="K195" s="15"/>
    </row>
    <row r="196" spans="1:14" x14ac:dyDescent="0.25">
      <c r="A196" t="s">
        <v>37</v>
      </c>
      <c r="D196" t="s">
        <v>42</v>
      </c>
      <c r="F196" s="5"/>
      <c r="J196" t="s">
        <v>80</v>
      </c>
      <c r="K196">
        <v>25</v>
      </c>
      <c r="L196" t="s">
        <v>86</v>
      </c>
      <c r="M196" t="s">
        <v>95</v>
      </c>
      <c r="N196" t="s">
        <v>102</v>
      </c>
    </row>
    <row r="197" spans="1:14" x14ac:dyDescent="0.25">
      <c r="A197" t="s">
        <v>37</v>
      </c>
      <c r="D197" t="s">
        <v>42</v>
      </c>
      <c r="F197" s="5"/>
      <c r="J197" t="s">
        <v>84</v>
      </c>
      <c r="K197">
        <v>5.35</v>
      </c>
      <c r="L197" t="s">
        <v>87</v>
      </c>
      <c r="N197" t="s">
        <v>102</v>
      </c>
    </row>
    <row r="198" spans="1:14" x14ac:dyDescent="0.25">
      <c r="A198" t="s">
        <v>37</v>
      </c>
      <c r="D198" t="s">
        <v>42</v>
      </c>
      <c r="F198" s="5"/>
      <c r="J198" t="s">
        <v>85</v>
      </c>
      <c r="K198" s="15">
        <v>2.08</v>
      </c>
      <c r="L198" t="s">
        <v>88</v>
      </c>
      <c r="N198" t="s">
        <v>102</v>
      </c>
    </row>
    <row r="199" spans="1:14" x14ac:dyDescent="0.25">
      <c r="A199" t="s">
        <v>37</v>
      </c>
      <c r="D199" t="s">
        <v>45</v>
      </c>
      <c r="J199" t="s">
        <v>80</v>
      </c>
      <c r="K199" s="15">
        <v>24.9</v>
      </c>
      <c r="L199" t="s">
        <v>86</v>
      </c>
      <c r="M199" t="s">
        <v>96</v>
      </c>
      <c r="N199" t="s">
        <v>102</v>
      </c>
    </row>
    <row r="200" spans="1:14" x14ac:dyDescent="0.25">
      <c r="A200" t="s">
        <v>37</v>
      </c>
      <c r="D200" t="s">
        <v>45</v>
      </c>
      <c r="J200" t="s">
        <v>84</v>
      </c>
      <c r="K200" s="15">
        <v>5.35</v>
      </c>
      <c r="L200" t="s">
        <v>87</v>
      </c>
      <c r="N200" t="s">
        <v>102</v>
      </c>
    </row>
    <row r="201" spans="1:14" x14ac:dyDescent="0.25">
      <c r="A201" t="s">
        <v>37</v>
      </c>
      <c r="D201" t="s">
        <v>45</v>
      </c>
      <c r="J201" t="s">
        <v>85</v>
      </c>
      <c r="K201" s="15">
        <v>2.25</v>
      </c>
      <c r="L201" t="s">
        <v>88</v>
      </c>
      <c r="N201" t="s">
        <v>102</v>
      </c>
    </row>
    <row r="202" spans="1:14" x14ac:dyDescent="0.25">
      <c r="A202" t="s">
        <v>37</v>
      </c>
      <c r="D202" t="s">
        <v>43</v>
      </c>
      <c r="J202" t="s">
        <v>80</v>
      </c>
      <c r="K202" s="15">
        <v>25</v>
      </c>
      <c r="L202" t="s">
        <v>86</v>
      </c>
      <c r="M202" t="s">
        <v>97</v>
      </c>
      <c r="N202" t="s">
        <v>102</v>
      </c>
    </row>
    <row r="203" spans="1:14" x14ac:dyDescent="0.25">
      <c r="A203" t="s">
        <v>37</v>
      </c>
      <c r="D203" t="s">
        <v>43</v>
      </c>
      <c r="J203" t="s">
        <v>84</v>
      </c>
      <c r="K203" s="15">
        <v>5.35</v>
      </c>
      <c r="L203" t="s">
        <v>87</v>
      </c>
      <c r="N203" t="s">
        <v>102</v>
      </c>
    </row>
    <row r="204" spans="1:14" x14ac:dyDescent="0.25">
      <c r="A204" t="s">
        <v>37</v>
      </c>
      <c r="D204" t="s">
        <v>43</v>
      </c>
      <c r="J204" t="s">
        <v>85</v>
      </c>
      <c r="K204" s="15">
        <v>2.04</v>
      </c>
      <c r="L204" t="s">
        <v>88</v>
      </c>
      <c r="N204" t="s">
        <v>102</v>
      </c>
    </row>
    <row r="205" spans="1:14" x14ac:dyDescent="0.25">
      <c r="A205" t="s">
        <v>37</v>
      </c>
      <c r="D205" t="s">
        <v>44</v>
      </c>
      <c r="F205" s="5"/>
      <c r="J205" t="s">
        <v>80</v>
      </c>
      <c r="K205" s="15">
        <v>23.1</v>
      </c>
      <c r="L205" t="s">
        <v>86</v>
      </c>
      <c r="M205" t="s">
        <v>98</v>
      </c>
      <c r="N205" t="s">
        <v>102</v>
      </c>
    </row>
    <row r="206" spans="1:14" x14ac:dyDescent="0.25">
      <c r="A206" t="s">
        <v>37</v>
      </c>
      <c r="D206" t="s">
        <v>44</v>
      </c>
      <c r="F206" s="5"/>
      <c r="J206" t="s">
        <v>84</v>
      </c>
      <c r="K206" s="15">
        <v>5.36</v>
      </c>
      <c r="L206" t="s">
        <v>87</v>
      </c>
      <c r="N206" t="s">
        <v>102</v>
      </c>
    </row>
    <row r="207" spans="1:14" x14ac:dyDescent="0.25">
      <c r="A207" t="s">
        <v>37</v>
      </c>
      <c r="D207" t="s">
        <v>44</v>
      </c>
      <c r="F207" s="5"/>
      <c r="J207" t="s">
        <v>85</v>
      </c>
      <c r="K207" s="15">
        <v>2.64</v>
      </c>
      <c r="L207" t="s">
        <v>88</v>
      </c>
      <c r="N207" t="s">
        <v>102</v>
      </c>
    </row>
    <row r="208" spans="1:14" x14ac:dyDescent="0.25">
      <c r="A208" t="s">
        <v>37</v>
      </c>
      <c r="F208" s="5"/>
      <c r="J208" t="s">
        <v>80</v>
      </c>
      <c r="K208" s="15">
        <v>25</v>
      </c>
      <c r="L208" t="s">
        <v>86</v>
      </c>
      <c r="M208" t="s">
        <v>99</v>
      </c>
      <c r="N208" t="s">
        <v>102</v>
      </c>
    </row>
    <row r="209" spans="1:14" x14ac:dyDescent="0.25">
      <c r="A209" t="s">
        <v>37</v>
      </c>
      <c r="F209" s="5"/>
      <c r="J209" t="s">
        <v>84</v>
      </c>
      <c r="K209" s="15">
        <v>5.36</v>
      </c>
      <c r="L209" t="s">
        <v>87</v>
      </c>
      <c r="N209" t="s">
        <v>102</v>
      </c>
    </row>
    <row r="210" spans="1:14" x14ac:dyDescent="0.25">
      <c r="A210" t="s">
        <v>37</v>
      </c>
      <c r="F210" s="5"/>
      <c r="J210" t="s">
        <v>85</v>
      </c>
      <c r="K210" s="15">
        <v>2.2799999999999998</v>
      </c>
      <c r="L210" t="s">
        <v>88</v>
      </c>
      <c r="N210" t="s">
        <v>102</v>
      </c>
    </row>
    <row r="211" spans="1:14" x14ac:dyDescent="0.25">
      <c r="F211" s="5"/>
      <c r="K211" s="15"/>
    </row>
    <row r="212" spans="1:14" x14ac:dyDescent="0.25">
      <c r="F212" s="5"/>
      <c r="J212" s="6" t="s">
        <v>115</v>
      </c>
      <c r="K212" s="18">
        <v>0</v>
      </c>
      <c r="L212" s="6" t="s">
        <v>100</v>
      </c>
    </row>
    <row r="213" spans="1:14" x14ac:dyDescent="0.25">
      <c r="F213" s="5"/>
      <c r="J213" s="6" t="s">
        <v>120</v>
      </c>
      <c r="K213" s="18">
        <v>0</v>
      </c>
      <c r="L213" s="6" t="s">
        <v>100</v>
      </c>
    </row>
    <row r="214" spans="1:14" x14ac:dyDescent="0.25">
      <c r="F214" s="5"/>
      <c r="J214" s="6" t="s">
        <v>121</v>
      </c>
      <c r="K214" s="18">
        <v>0</v>
      </c>
      <c r="L214" s="6" t="s">
        <v>100</v>
      </c>
    </row>
    <row r="215" spans="1:14" x14ac:dyDescent="0.25">
      <c r="E215" t="s">
        <v>124</v>
      </c>
      <c r="F215" s="5"/>
      <c r="J215" t="s">
        <v>115</v>
      </c>
      <c r="K215" s="17">
        <f>5.49/1.035</f>
        <v>5.304347826086957</v>
      </c>
      <c r="L215" t="s">
        <v>116</v>
      </c>
      <c r="M215" t="s">
        <v>122</v>
      </c>
      <c r="N215" t="s">
        <v>123</v>
      </c>
    </row>
    <row r="216" spans="1:14" x14ac:dyDescent="0.25">
      <c r="E216" t="s">
        <v>124</v>
      </c>
      <c r="F216" s="5"/>
      <c r="J216" t="s">
        <v>120</v>
      </c>
      <c r="K216" s="17">
        <f>0.97/1.035</f>
        <v>0.9371980676328503</v>
      </c>
      <c r="L216" t="s">
        <v>117</v>
      </c>
      <c r="N216" t="s">
        <v>123</v>
      </c>
    </row>
    <row r="217" spans="1:14" x14ac:dyDescent="0.25">
      <c r="E217" t="s">
        <v>124</v>
      </c>
      <c r="F217" s="5"/>
      <c r="J217" t="s">
        <v>121</v>
      </c>
      <c r="K217" s="17">
        <f>1.6/1.035</f>
        <v>1.5458937198067635</v>
      </c>
      <c r="L217" t="s">
        <v>118</v>
      </c>
      <c r="N217" t="s">
        <v>123</v>
      </c>
    </row>
    <row r="218" spans="1:14" x14ac:dyDescent="0.25">
      <c r="F218" s="5"/>
    </row>
    <row r="219" spans="1:14" x14ac:dyDescent="0.25">
      <c r="A219" s="12" t="s">
        <v>139</v>
      </c>
      <c r="B219" s="13"/>
      <c r="C219" s="13"/>
      <c r="D219" s="13"/>
      <c r="E219" s="13"/>
      <c r="F219" s="14"/>
      <c r="G219" s="13"/>
      <c r="H219" s="13"/>
      <c r="I219" s="13"/>
      <c r="J219" s="13"/>
      <c r="K219" s="13"/>
      <c r="L219" s="13"/>
      <c r="M219" s="13"/>
      <c r="N219" s="13"/>
    </row>
    <row r="220" spans="1:14" s="10" customFormat="1" x14ac:dyDescent="0.25">
      <c r="A220" s="53" t="s">
        <v>187</v>
      </c>
      <c r="F220" s="52"/>
    </row>
    <row r="221" spans="1:14" x14ac:dyDescent="0.25">
      <c r="J221" s="1" t="s">
        <v>22</v>
      </c>
      <c r="K221" s="1">
        <v>0</v>
      </c>
      <c r="L221" s="1"/>
      <c r="M221" s="1" t="s">
        <v>51</v>
      </c>
    </row>
    <row r="222" spans="1:14" x14ac:dyDescent="0.25">
      <c r="J222" s="1" t="s">
        <v>23</v>
      </c>
      <c r="K222" s="1">
        <v>0</v>
      </c>
      <c r="L222" s="1"/>
      <c r="M222" s="1" t="s">
        <v>51</v>
      </c>
    </row>
    <row r="223" spans="1:14" x14ac:dyDescent="0.25">
      <c r="J223" s="1" t="s">
        <v>27</v>
      </c>
      <c r="K223" s="1">
        <v>0</v>
      </c>
      <c r="L223" s="1"/>
      <c r="M223" s="1" t="s">
        <v>51</v>
      </c>
    </row>
    <row r="224" spans="1:14" x14ac:dyDescent="0.25">
      <c r="A224" s="54"/>
      <c r="J224" s="1"/>
      <c r="K224" s="1"/>
      <c r="L224" s="1"/>
      <c r="M224" s="1"/>
    </row>
    <row r="225" spans="1:14" x14ac:dyDescent="0.25">
      <c r="A225" t="s">
        <v>1</v>
      </c>
      <c r="F225" t="s">
        <v>18</v>
      </c>
      <c r="H225" t="s">
        <v>21</v>
      </c>
      <c r="J225" t="s">
        <v>22</v>
      </c>
      <c r="K225">
        <v>4</v>
      </c>
      <c r="L225" t="s">
        <v>57</v>
      </c>
      <c r="N225" t="s">
        <v>182</v>
      </c>
    </row>
    <row r="226" spans="1:14" x14ac:dyDescent="0.25">
      <c r="A226" t="s">
        <v>1</v>
      </c>
      <c r="F226" t="s">
        <v>19</v>
      </c>
      <c r="H226" t="s">
        <v>21</v>
      </c>
      <c r="J226" t="s">
        <v>22</v>
      </c>
      <c r="K226">
        <v>4</v>
      </c>
      <c r="L226" t="s">
        <v>57</v>
      </c>
      <c r="N226" t="s">
        <v>182</v>
      </c>
    </row>
    <row r="227" spans="1:14" x14ac:dyDescent="0.25">
      <c r="A227" t="s">
        <v>1</v>
      </c>
      <c r="F227" t="s">
        <v>20</v>
      </c>
      <c r="H227" t="s">
        <v>21</v>
      </c>
      <c r="J227" t="s">
        <v>22</v>
      </c>
      <c r="K227">
        <v>20</v>
      </c>
      <c r="L227" t="s">
        <v>57</v>
      </c>
      <c r="N227" t="s">
        <v>182</v>
      </c>
    </row>
    <row r="228" spans="1:14" x14ac:dyDescent="0.25">
      <c r="A228" t="s">
        <v>1</v>
      </c>
      <c r="F228" t="s">
        <v>185</v>
      </c>
      <c r="H228" t="s">
        <v>21</v>
      </c>
      <c r="J228" t="s">
        <v>22</v>
      </c>
      <c r="K228">
        <v>4</v>
      </c>
      <c r="L228" t="s">
        <v>57</v>
      </c>
      <c r="N228" t="s">
        <v>182</v>
      </c>
    </row>
    <row r="229" spans="1:14" x14ac:dyDescent="0.25">
      <c r="A229" s="44" t="s">
        <v>56</v>
      </c>
      <c r="B229" s="44"/>
      <c r="C229" s="44"/>
      <c r="D229" s="44"/>
      <c r="E229" s="44"/>
      <c r="F229" s="44" t="s">
        <v>19</v>
      </c>
      <c r="G229" s="44"/>
      <c r="H229" s="44" t="s">
        <v>21</v>
      </c>
      <c r="I229" s="44"/>
      <c r="J229" s="44" t="s">
        <v>22</v>
      </c>
      <c r="K229" s="44">
        <v>4</v>
      </c>
      <c r="L229" s="44" t="s">
        <v>57</v>
      </c>
      <c r="M229" s="1"/>
      <c r="N229" t="s">
        <v>182</v>
      </c>
    </row>
    <row r="230" spans="1:14" x14ac:dyDescent="0.25">
      <c r="A230" s="44" t="s">
        <v>56</v>
      </c>
      <c r="B230" s="44"/>
      <c r="C230" s="44"/>
      <c r="D230" s="44"/>
      <c r="E230" s="44"/>
      <c r="F230" s="44" t="s">
        <v>20</v>
      </c>
      <c r="G230" s="44"/>
      <c r="H230" s="44" t="s">
        <v>21</v>
      </c>
      <c r="I230" s="44"/>
      <c r="J230" s="44" t="s">
        <v>22</v>
      </c>
      <c r="K230" s="44">
        <v>15</v>
      </c>
      <c r="L230" s="44" t="s">
        <v>57</v>
      </c>
      <c r="M230" s="1"/>
      <c r="N230" t="s">
        <v>182</v>
      </c>
    </row>
    <row r="231" spans="1:14" x14ac:dyDescent="0.25">
      <c r="A231" s="44" t="s">
        <v>56</v>
      </c>
      <c r="B231" s="44"/>
      <c r="C231" s="44"/>
      <c r="D231" s="44"/>
      <c r="E231" s="44"/>
      <c r="F231" s="44" t="s">
        <v>177</v>
      </c>
      <c r="G231" s="44"/>
      <c r="H231" s="44" t="s">
        <v>21</v>
      </c>
      <c r="I231" s="44"/>
      <c r="J231" s="44" t="s">
        <v>22</v>
      </c>
      <c r="K231" s="44">
        <v>4</v>
      </c>
      <c r="L231" s="44" t="s">
        <v>57</v>
      </c>
      <c r="M231" s="1"/>
      <c r="N231" t="s">
        <v>182</v>
      </c>
    </row>
    <row r="232" spans="1:14" x14ac:dyDescent="0.25">
      <c r="A232" s="44" t="s">
        <v>62</v>
      </c>
      <c r="B232" s="44"/>
      <c r="C232" s="44"/>
      <c r="D232" s="44"/>
      <c r="E232" s="44"/>
      <c r="F232" t="s">
        <v>19</v>
      </c>
      <c r="G232" s="44"/>
      <c r="H232" s="44" t="s">
        <v>21</v>
      </c>
      <c r="I232" s="44"/>
      <c r="J232" s="44" t="s">
        <v>22</v>
      </c>
      <c r="K232" s="44">
        <v>4</v>
      </c>
      <c r="L232" s="44" t="s">
        <v>57</v>
      </c>
      <c r="M232" s="1"/>
      <c r="N232" t="s">
        <v>182</v>
      </c>
    </row>
    <row r="233" spans="1:14" x14ac:dyDescent="0.25">
      <c r="A233" s="44" t="s">
        <v>62</v>
      </c>
      <c r="B233" s="44"/>
      <c r="C233" s="44"/>
      <c r="D233" s="44"/>
      <c r="E233" s="44"/>
      <c r="F233" t="s">
        <v>20</v>
      </c>
      <c r="G233" s="44"/>
      <c r="H233" s="44" t="s">
        <v>21</v>
      </c>
      <c r="I233" s="44"/>
      <c r="J233" s="44" t="s">
        <v>22</v>
      </c>
      <c r="K233" s="44">
        <v>15</v>
      </c>
      <c r="L233" s="44" t="s">
        <v>57</v>
      </c>
      <c r="M233" s="1"/>
      <c r="N233" t="s">
        <v>182</v>
      </c>
    </row>
    <row r="234" spans="1:14" x14ac:dyDescent="0.25">
      <c r="A234" t="s">
        <v>37</v>
      </c>
      <c r="F234" t="s">
        <v>18</v>
      </c>
      <c r="H234" t="s">
        <v>21</v>
      </c>
      <c r="J234" t="s">
        <v>22</v>
      </c>
      <c r="K234">
        <v>14</v>
      </c>
      <c r="L234" t="s">
        <v>57</v>
      </c>
      <c r="N234" t="s">
        <v>182</v>
      </c>
    </row>
    <row r="235" spans="1:14" x14ac:dyDescent="0.25">
      <c r="A235" t="s">
        <v>37</v>
      </c>
      <c r="F235" t="s">
        <v>19</v>
      </c>
      <c r="H235" t="s">
        <v>21</v>
      </c>
      <c r="J235" t="s">
        <v>22</v>
      </c>
      <c r="K235">
        <v>10</v>
      </c>
      <c r="L235" t="s">
        <v>57</v>
      </c>
      <c r="N235" t="s">
        <v>182</v>
      </c>
    </row>
    <row r="236" spans="1:14" x14ac:dyDescent="0.25">
      <c r="A236" t="s">
        <v>37</v>
      </c>
      <c r="F236" t="s">
        <v>20</v>
      </c>
      <c r="H236" t="s">
        <v>21</v>
      </c>
      <c r="J236" t="s">
        <v>22</v>
      </c>
      <c r="K236">
        <v>25</v>
      </c>
      <c r="L236" t="s">
        <v>57</v>
      </c>
      <c r="N236" t="s">
        <v>182</v>
      </c>
    </row>
    <row r="237" spans="1:14" x14ac:dyDescent="0.25">
      <c r="A237" t="s">
        <v>37</v>
      </c>
      <c r="F237" t="s">
        <v>185</v>
      </c>
      <c r="H237" t="s">
        <v>21</v>
      </c>
      <c r="J237" t="s">
        <v>22</v>
      </c>
      <c r="K237">
        <v>14</v>
      </c>
      <c r="L237" t="s">
        <v>57</v>
      </c>
      <c r="N237" t="s">
        <v>182</v>
      </c>
    </row>
    <row r="238" spans="1:14" x14ac:dyDescent="0.25">
      <c r="A238" t="s">
        <v>52</v>
      </c>
      <c r="F238" t="s">
        <v>18</v>
      </c>
      <c r="H238" t="s">
        <v>21</v>
      </c>
      <c r="J238" t="s">
        <v>22</v>
      </c>
      <c r="K238">
        <v>10</v>
      </c>
      <c r="L238" t="s">
        <v>57</v>
      </c>
      <c r="N238" t="s">
        <v>182</v>
      </c>
    </row>
    <row r="239" spans="1:14" x14ac:dyDescent="0.25">
      <c r="A239" t="s">
        <v>52</v>
      </c>
      <c r="F239" t="s">
        <v>19</v>
      </c>
      <c r="H239" t="s">
        <v>21</v>
      </c>
      <c r="J239" t="s">
        <v>22</v>
      </c>
      <c r="K239">
        <v>10</v>
      </c>
      <c r="L239" t="s">
        <v>57</v>
      </c>
      <c r="N239" t="s">
        <v>182</v>
      </c>
    </row>
    <row r="240" spans="1:14" x14ac:dyDescent="0.25">
      <c r="A240" t="s">
        <v>52</v>
      </c>
      <c r="F240" t="s">
        <v>20</v>
      </c>
      <c r="H240" t="s">
        <v>21</v>
      </c>
      <c r="J240" t="s">
        <v>22</v>
      </c>
      <c r="K240">
        <v>35</v>
      </c>
      <c r="L240" t="s">
        <v>57</v>
      </c>
      <c r="N240" t="s">
        <v>182</v>
      </c>
    </row>
    <row r="241" spans="1:14" x14ac:dyDescent="0.25">
      <c r="A241" t="s">
        <v>52</v>
      </c>
      <c r="C241" t="s">
        <v>63</v>
      </c>
      <c r="D241" t="s">
        <v>186</v>
      </c>
      <c r="F241" t="s">
        <v>20</v>
      </c>
      <c r="H241" t="s">
        <v>21</v>
      </c>
      <c r="J241" t="s">
        <v>22</v>
      </c>
      <c r="K241">
        <v>20</v>
      </c>
      <c r="L241" t="s">
        <v>57</v>
      </c>
      <c r="N241" t="s">
        <v>182</v>
      </c>
    </row>
    <row r="242" spans="1:14" x14ac:dyDescent="0.25">
      <c r="A242" t="s">
        <v>52</v>
      </c>
      <c r="C242" t="s">
        <v>53</v>
      </c>
      <c r="D242" t="s">
        <v>54</v>
      </c>
      <c r="F242" t="s">
        <v>20</v>
      </c>
      <c r="H242" t="s">
        <v>21</v>
      </c>
      <c r="J242" t="s">
        <v>22</v>
      </c>
      <c r="K242">
        <v>10</v>
      </c>
      <c r="L242" t="s">
        <v>57</v>
      </c>
      <c r="N242" t="s">
        <v>182</v>
      </c>
    </row>
    <row r="243" spans="1:1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4" x14ac:dyDescent="0.25">
      <c r="A244" t="s">
        <v>1</v>
      </c>
      <c r="F244" t="s">
        <v>18</v>
      </c>
      <c r="H244" t="s">
        <v>21</v>
      </c>
      <c r="J244" t="s">
        <v>23</v>
      </c>
      <c r="K244">
        <v>3</v>
      </c>
      <c r="L244" t="s">
        <v>57</v>
      </c>
      <c r="N244" t="s">
        <v>183</v>
      </c>
    </row>
    <row r="245" spans="1:14" x14ac:dyDescent="0.25">
      <c r="A245" t="s">
        <v>1</v>
      </c>
      <c r="C245" t="s">
        <v>2</v>
      </c>
      <c r="D245" t="s">
        <v>3</v>
      </c>
      <c r="F245" t="s">
        <v>19</v>
      </c>
      <c r="H245" t="s">
        <v>21</v>
      </c>
      <c r="J245" t="s">
        <v>23</v>
      </c>
      <c r="K245">
        <v>18</v>
      </c>
      <c r="L245" t="s">
        <v>57</v>
      </c>
      <c r="N245" t="s">
        <v>183</v>
      </c>
    </row>
    <row r="246" spans="1:14" x14ac:dyDescent="0.25">
      <c r="A246" t="s">
        <v>1</v>
      </c>
      <c r="C246" t="s">
        <v>7</v>
      </c>
      <c r="D246" t="s">
        <v>3</v>
      </c>
      <c r="F246" t="s">
        <v>19</v>
      </c>
      <c r="H246" t="s">
        <v>21</v>
      </c>
      <c r="J246" t="s">
        <v>23</v>
      </c>
      <c r="K246">
        <v>17</v>
      </c>
      <c r="L246" t="s">
        <v>57</v>
      </c>
      <c r="N246" t="s">
        <v>183</v>
      </c>
    </row>
    <row r="247" spans="1:14" x14ac:dyDescent="0.25">
      <c r="A247" t="s">
        <v>1</v>
      </c>
      <c r="D247" t="s">
        <v>9</v>
      </c>
      <c r="F247" t="s">
        <v>19</v>
      </c>
      <c r="H247" t="s">
        <v>21</v>
      </c>
      <c r="J247" t="s">
        <v>23</v>
      </c>
      <c r="K247">
        <v>18</v>
      </c>
      <c r="L247" t="s">
        <v>57</v>
      </c>
      <c r="N247" t="s">
        <v>183</v>
      </c>
    </row>
    <row r="248" spans="1:14" x14ac:dyDescent="0.25">
      <c r="A248" t="s">
        <v>1</v>
      </c>
      <c r="D248" t="s">
        <v>10</v>
      </c>
      <c r="F248" t="s">
        <v>19</v>
      </c>
      <c r="H248" t="s">
        <v>21</v>
      </c>
      <c r="J248" t="s">
        <v>23</v>
      </c>
      <c r="K248">
        <v>18</v>
      </c>
      <c r="L248" t="s">
        <v>57</v>
      </c>
      <c r="N248" t="s">
        <v>183</v>
      </c>
    </row>
    <row r="249" spans="1:14" x14ac:dyDescent="0.25">
      <c r="A249" t="s">
        <v>1</v>
      </c>
      <c r="D249" t="s">
        <v>11</v>
      </c>
      <c r="F249" t="s">
        <v>19</v>
      </c>
      <c r="H249" t="s">
        <v>21</v>
      </c>
      <c r="J249" t="s">
        <v>23</v>
      </c>
      <c r="K249">
        <v>17</v>
      </c>
      <c r="L249" t="s">
        <v>57</v>
      </c>
      <c r="N249" t="s">
        <v>183</v>
      </c>
    </row>
    <row r="250" spans="1:14" x14ac:dyDescent="0.25">
      <c r="A250" t="s">
        <v>1</v>
      </c>
      <c r="D250" t="s">
        <v>12</v>
      </c>
      <c r="F250" t="s">
        <v>19</v>
      </c>
      <c r="H250" t="s">
        <v>21</v>
      </c>
      <c r="J250" t="s">
        <v>23</v>
      </c>
      <c r="K250">
        <v>17</v>
      </c>
      <c r="L250" t="s">
        <v>57</v>
      </c>
      <c r="N250" t="s">
        <v>183</v>
      </c>
    </row>
    <row r="251" spans="1:14" x14ac:dyDescent="0.25">
      <c r="A251" t="s">
        <v>1</v>
      </c>
      <c r="D251" t="s">
        <v>13</v>
      </c>
      <c r="F251" t="s">
        <v>19</v>
      </c>
      <c r="H251" t="s">
        <v>21</v>
      </c>
      <c r="J251" t="s">
        <v>23</v>
      </c>
      <c r="K251">
        <v>17</v>
      </c>
      <c r="L251" t="s">
        <v>57</v>
      </c>
      <c r="M251" t="s">
        <v>14</v>
      </c>
      <c r="N251" t="s">
        <v>183</v>
      </c>
    </row>
    <row r="252" spans="1:14" x14ac:dyDescent="0.25">
      <c r="A252" t="s">
        <v>1</v>
      </c>
      <c r="F252" t="s">
        <v>20</v>
      </c>
      <c r="H252" t="s">
        <v>21</v>
      </c>
      <c r="J252" t="s">
        <v>23</v>
      </c>
      <c r="K252">
        <v>30</v>
      </c>
      <c r="L252" t="s">
        <v>57</v>
      </c>
      <c r="N252" t="s">
        <v>183</v>
      </c>
    </row>
    <row r="253" spans="1:14" x14ac:dyDescent="0.25">
      <c r="A253" t="s">
        <v>1</v>
      </c>
      <c r="F253" t="s">
        <v>185</v>
      </c>
      <c r="H253" t="s">
        <v>21</v>
      </c>
      <c r="J253" t="s">
        <v>23</v>
      </c>
      <c r="K253">
        <v>2.75</v>
      </c>
      <c r="L253" t="s">
        <v>57</v>
      </c>
      <c r="N253" t="s">
        <v>183</v>
      </c>
    </row>
    <row r="254" spans="1:14" x14ac:dyDescent="0.25">
      <c r="A254" s="44" t="s">
        <v>56</v>
      </c>
      <c r="B254" s="44"/>
      <c r="C254" s="44"/>
      <c r="D254" s="44"/>
      <c r="E254" s="44"/>
      <c r="F254" s="44" t="s">
        <v>19</v>
      </c>
      <c r="G254" s="44"/>
      <c r="H254" s="44" t="s">
        <v>21</v>
      </c>
      <c r="I254" s="44"/>
      <c r="J254" s="44" t="s">
        <v>23</v>
      </c>
      <c r="K254" s="44">
        <v>25</v>
      </c>
      <c r="L254" s="44" t="s">
        <v>57</v>
      </c>
      <c r="M254" s="1"/>
      <c r="N254" t="s">
        <v>183</v>
      </c>
    </row>
    <row r="255" spans="1:14" x14ac:dyDescent="0.25">
      <c r="A255" s="44" t="s">
        <v>56</v>
      </c>
      <c r="B255" s="44"/>
      <c r="C255" s="44"/>
      <c r="D255" s="44"/>
      <c r="E255" s="44"/>
      <c r="F255" s="44" t="s">
        <v>20</v>
      </c>
      <c r="G255" s="44"/>
      <c r="H255" s="44" t="s">
        <v>21</v>
      </c>
      <c r="I255" s="44"/>
      <c r="J255" s="44" t="s">
        <v>23</v>
      </c>
      <c r="K255" s="44">
        <v>33</v>
      </c>
      <c r="L255" s="44" t="s">
        <v>57</v>
      </c>
      <c r="M255" s="1"/>
      <c r="N255" t="s">
        <v>183</v>
      </c>
    </row>
    <row r="256" spans="1:14" x14ac:dyDescent="0.25">
      <c r="A256" s="44" t="s">
        <v>56</v>
      </c>
      <c r="B256" s="44"/>
      <c r="C256" s="44"/>
      <c r="D256" s="44"/>
      <c r="E256" s="44"/>
      <c r="F256" s="44" t="s">
        <v>177</v>
      </c>
      <c r="G256" s="44"/>
      <c r="H256" s="44" t="s">
        <v>21</v>
      </c>
      <c r="I256" s="44"/>
      <c r="J256" s="44" t="s">
        <v>23</v>
      </c>
      <c r="K256" s="44">
        <v>0.25</v>
      </c>
      <c r="L256" s="44" t="s">
        <v>57</v>
      </c>
      <c r="M256" s="1"/>
      <c r="N256" t="s">
        <v>183</v>
      </c>
    </row>
    <row r="257" spans="1:14" x14ac:dyDescent="0.25">
      <c r="A257" t="s">
        <v>37</v>
      </c>
      <c r="F257" t="s">
        <v>18</v>
      </c>
      <c r="H257" t="s">
        <v>21</v>
      </c>
      <c r="J257" t="s">
        <v>23</v>
      </c>
      <c r="K257">
        <v>4</v>
      </c>
      <c r="L257" t="s">
        <v>57</v>
      </c>
      <c r="N257" t="s">
        <v>183</v>
      </c>
    </row>
    <row r="258" spans="1:14" x14ac:dyDescent="0.25">
      <c r="A258" t="s">
        <v>37</v>
      </c>
      <c r="F258" t="s">
        <v>19</v>
      </c>
      <c r="H258" t="s">
        <v>21</v>
      </c>
      <c r="J258" t="s">
        <v>23</v>
      </c>
      <c r="K258">
        <v>18</v>
      </c>
      <c r="L258" t="s">
        <v>57</v>
      </c>
      <c r="N258" t="s">
        <v>183</v>
      </c>
    </row>
    <row r="259" spans="1:14" x14ac:dyDescent="0.25">
      <c r="A259" t="s">
        <v>37</v>
      </c>
      <c r="F259" t="s">
        <v>20</v>
      </c>
      <c r="H259" t="s">
        <v>21</v>
      </c>
      <c r="J259" t="s">
        <v>23</v>
      </c>
      <c r="K259">
        <v>30</v>
      </c>
      <c r="L259" t="s">
        <v>57</v>
      </c>
      <c r="N259" t="s">
        <v>183</v>
      </c>
    </row>
    <row r="260" spans="1:14" x14ac:dyDescent="0.25">
      <c r="A260" t="s">
        <v>37</v>
      </c>
      <c r="F260" t="s">
        <v>185</v>
      </c>
      <c r="H260" t="s">
        <v>21</v>
      </c>
      <c r="J260" t="s">
        <v>23</v>
      </c>
      <c r="K260">
        <v>2.75</v>
      </c>
      <c r="L260" t="s">
        <v>57</v>
      </c>
      <c r="N260" t="s">
        <v>183</v>
      </c>
    </row>
    <row r="261" spans="1:14" x14ac:dyDescent="0.25">
      <c r="A261" t="s">
        <v>52</v>
      </c>
      <c r="F261" t="s">
        <v>18</v>
      </c>
      <c r="H261" t="s">
        <v>21</v>
      </c>
      <c r="J261" t="s">
        <v>23</v>
      </c>
      <c r="K261">
        <v>4</v>
      </c>
      <c r="L261" t="s">
        <v>57</v>
      </c>
      <c r="N261" t="s">
        <v>183</v>
      </c>
    </row>
    <row r="262" spans="1:14" x14ac:dyDescent="0.25">
      <c r="A262" t="s">
        <v>52</v>
      </c>
      <c r="F262" t="s">
        <v>19</v>
      </c>
      <c r="H262" t="s">
        <v>21</v>
      </c>
      <c r="J262" t="s">
        <v>23</v>
      </c>
      <c r="K262">
        <v>12</v>
      </c>
      <c r="L262" t="s">
        <v>57</v>
      </c>
      <c r="N262" t="s">
        <v>183</v>
      </c>
    </row>
    <row r="263" spans="1:14" x14ac:dyDescent="0.25">
      <c r="A263" t="s">
        <v>52</v>
      </c>
      <c r="F263" t="s">
        <v>20</v>
      </c>
      <c r="H263" t="s">
        <v>21</v>
      </c>
      <c r="J263" t="s">
        <v>23</v>
      </c>
      <c r="K263">
        <v>20</v>
      </c>
      <c r="L263" t="s">
        <v>57</v>
      </c>
      <c r="N263" t="s">
        <v>183</v>
      </c>
    </row>
    <row r="264" spans="1:14" x14ac:dyDescent="0.25">
      <c r="A264" t="s">
        <v>52</v>
      </c>
      <c r="C264" t="s">
        <v>53</v>
      </c>
      <c r="D264" t="s">
        <v>54</v>
      </c>
      <c r="F264" t="s">
        <v>19</v>
      </c>
      <c r="H264" t="s">
        <v>21</v>
      </c>
      <c r="J264" t="s">
        <v>23</v>
      </c>
      <c r="K264">
        <v>5</v>
      </c>
      <c r="L264" t="s">
        <v>57</v>
      </c>
      <c r="N264" t="s">
        <v>183</v>
      </c>
    </row>
    <row r="265" spans="1:14" x14ac:dyDescent="0.25">
      <c r="A265" t="s">
        <v>52</v>
      </c>
      <c r="C265" t="s">
        <v>53</v>
      </c>
      <c r="D265" t="s">
        <v>54</v>
      </c>
      <c r="F265" t="s">
        <v>20</v>
      </c>
      <c r="H265" t="s">
        <v>21</v>
      </c>
      <c r="J265" t="s">
        <v>23</v>
      </c>
      <c r="K265">
        <v>5</v>
      </c>
      <c r="L265" t="s">
        <v>57</v>
      </c>
      <c r="N265" t="s">
        <v>183</v>
      </c>
    </row>
    <row r="267" spans="1:14" x14ac:dyDescent="0.25">
      <c r="F267" t="s">
        <v>18</v>
      </c>
      <c r="H267" t="s">
        <v>24</v>
      </c>
      <c r="J267" t="s">
        <v>23</v>
      </c>
      <c r="K267">
        <v>0.01</v>
      </c>
      <c r="L267" t="s">
        <v>58</v>
      </c>
      <c r="N267" t="s">
        <v>191</v>
      </c>
    </row>
    <row r="268" spans="1:14" x14ac:dyDescent="0.25">
      <c r="F268" t="s">
        <v>19</v>
      </c>
      <c r="H268" t="s">
        <v>24</v>
      </c>
      <c r="J268" t="s">
        <v>23</v>
      </c>
      <c r="K268">
        <v>1</v>
      </c>
      <c r="L268" t="s">
        <v>58</v>
      </c>
      <c r="N268" t="s">
        <v>191</v>
      </c>
    </row>
    <row r="269" spans="1:14" x14ac:dyDescent="0.25">
      <c r="F269" t="s">
        <v>20</v>
      </c>
      <c r="H269" t="s">
        <v>24</v>
      </c>
      <c r="J269" t="s">
        <v>23</v>
      </c>
      <c r="K269">
        <v>1</v>
      </c>
      <c r="L269" t="s">
        <v>58</v>
      </c>
      <c r="N269" t="s">
        <v>191</v>
      </c>
    </row>
    <row r="270" spans="1:14" x14ac:dyDescent="0.25">
      <c r="F270" t="s">
        <v>177</v>
      </c>
      <c r="H270" t="s">
        <v>24</v>
      </c>
      <c r="J270" t="s">
        <v>23</v>
      </c>
      <c r="K270">
        <v>1</v>
      </c>
      <c r="L270" t="s">
        <v>58</v>
      </c>
      <c r="N270" t="s">
        <v>191</v>
      </c>
    </row>
    <row r="272" spans="1:14" x14ac:dyDescent="0.25">
      <c r="F272" t="s">
        <v>18</v>
      </c>
      <c r="H272" t="s">
        <v>25</v>
      </c>
      <c r="J272" t="s">
        <v>23</v>
      </c>
      <c r="K272">
        <v>0.5</v>
      </c>
      <c r="L272" t="s">
        <v>57</v>
      </c>
      <c r="N272" t="s">
        <v>190</v>
      </c>
    </row>
    <row r="273" spans="1:14" x14ac:dyDescent="0.25">
      <c r="F273" t="s">
        <v>19</v>
      </c>
      <c r="H273" t="s">
        <v>25</v>
      </c>
      <c r="J273" t="s">
        <v>23</v>
      </c>
      <c r="K273">
        <v>0.5</v>
      </c>
      <c r="L273" t="s">
        <v>57</v>
      </c>
      <c r="N273" t="s">
        <v>190</v>
      </c>
    </row>
    <row r="274" spans="1:14" x14ac:dyDescent="0.25">
      <c r="F274" t="s">
        <v>20</v>
      </c>
      <c r="H274" t="s">
        <v>25</v>
      </c>
      <c r="J274" t="s">
        <v>23</v>
      </c>
      <c r="K274">
        <v>1</v>
      </c>
      <c r="L274" t="s">
        <v>57</v>
      </c>
      <c r="N274" t="s">
        <v>190</v>
      </c>
    </row>
    <row r="275" spans="1:14" x14ac:dyDescent="0.25">
      <c r="F275" t="s">
        <v>185</v>
      </c>
      <c r="H275" t="s">
        <v>25</v>
      </c>
      <c r="J275" t="s">
        <v>23</v>
      </c>
      <c r="K275">
        <v>0</v>
      </c>
      <c r="L275" t="s">
        <v>57</v>
      </c>
      <c r="N275" t="s">
        <v>190</v>
      </c>
    </row>
    <row r="276" spans="1:14" x14ac:dyDescent="0.25">
      <c r="F276" s="44" t="s">
        <v>177</v>
      </c>
      <c r="H276" t="s">
        <v>25</v>
      </c>
      <c r="J276" t="s">
        <v>23</v>
      </c>
      <c r="K276">
        <v>1</v>
      </c>
      <c r="L276" t="s">
        <v>57</v>
      </c>
      <c r="N276" t="s">
        <v>190</v>
      </c>
    </row>
    <row r="278" spans="1:14" x14ac:dyDescent="0.25">
      <c r="F278" t="s">
        <v>18</v>
      </c>
      <c r="H278" t="s">
        <v>26</v>
      </c>
      <c r="J278" t="s">
        <v>23</v>
      </c>
      <c r="K278">
        <v>0.31</v>
      </c>
      <c r="L278" t="s">
        <v>58</v>
      </c>
      <c r="M278" t="s">
        <v>189</v>
      </c>
      <c r="N278" t="s">
        <v>188</v>
      </c>
    </row>
    <row r="279" spans="1:14" x14ac:dyDescent="0.25">
      <c r="F279" t="s">
        <v>19</v>
      </c>
      <c r="H279" t="s">
        <v>26</v>
      </c>
      <c r="J279" t="s">
        <v>23</v>
      </c>
      <c r="K279">
        <v>31</v>
      </c>
      <c r="L279" t="s">
        <v>58</v>
      </c>
      <c r="M279" t="s">
        <v>19</v>
      </c>
      <c r="N279" t="s">
        <v>188</v>
      </c>
    </row>
    <row r="280" spans="1:14" x14ac:dyDescent="0.25">
      <c r="F280" t="s">
        <v>20</v>
      </c>
      <c r="H280" t="s">
        <v>26</v>
      </c>
      <c r="J280" t="s">
        <v>23</v>
      </c>
      <c r="K280">
        <v>31</v>
      </c>
      <c r="L280" t="s">
        <v>58</v>
      </c>
      <c r="M280" t="s">
        <v>19</v>
      </c>
      <c r="N280" t="s">
        <v>188</v>
      </c>
    </row>
    <row r="281" spans="1:14" x14ac:dyDescent="0.25">
      <c r="F281" t="s">
        <v>177</v>
      </c>
      <c r="H281" t="s">
        <v>26</v>
      </c>
      <c r="J281" t="s">
        <v>23</v>
      </c>
      <c r="K281">
        <v>31</v>
      </c>
      <c r="L281" t="s">
        <v>58</v>
      </c>
      <c r="M281" t="s">
        <v>19</v>
      </c>
      <c r="N281" t="s">
        <v>188</v>
      </c>
    </row>
    <row r="283" spans="1:14" x14ac:dyDescent="0.25">
      <c r="A283" t="s">
        <v>1</v>
      </c>
      <c r="F283" t="s">
        <v>18</v>
      </c>
      <c r="J283" t="s">
        <v>27</v>
      </c>
      <c r="K283">
        <v>60</v>
      </c>
      <c r="L283" t="s">
        <v>57</v>
      </c>
      <c r="N283" t="s">
        <v>193</v>
      </c>
    </row>
    <row r="284" spans="1:14" x14ac:dyDescent="0.25">
      <c r="A284" t="s">
        <v>1</v>
      </c>
      <c r="C284" t="s">
        <v>2</v>
      </c>
      <c r="D284" t="s">
        <v>3</v>
      </c>
      <c r="F284" t="s">
        <v>19</v>
      </c>
      <c r="J284" t="s">
        <v>27</v>
      </c>
      <c r="K284">
        <v>51</v>
      </c>
      <c r="L284" t="s">
        <v>57</v>
      </c>
      <c r="N284" t="s">
        <v>193</v>
      </c>
    </row>
    <row r="285" spans="1:14" x14ac:dyDescent="0.25">
      <c r="A285" t="s">
        <v>1</v>
      </c>
      <c r="C285" t="s">
        <v>7</v>
      </c>
      <c r="D285" t="s">
        <v>3</v>
      </c>
      <c r="F285" t="s">
        <v>19</v>
      </c>
      <c r="J285" t="s">
        <v>27</v>
      </c>
      <c r="K285">
        <v>52</v>
      </c>
      <c r="L285" t="s">
        <v>57</v>
      </c>
      <c r="N285" t="s">
        <v>193</v>
      </c>
    </row>
    <row r="286" spans="1:14" x14ac:dyDescent="0.25">
      <c r="A286" t="s">
        <v>1</v>
      </c>
      <c r="D286" t="s">
        <v>9</v>
      </c>
      <c r="F286" t="s">
        <v>19</v>
      </c>
      <c r="J286" t="s">
        <v>27</v>
      </c>
      <c r="K286">
        <v>51</v>
      </c>
      <c r="L286" t="s">
        <v>57</v>
      </c>
      <c r="N286" t="s">
        <v>193</v>
      </c>
    </row>
    <row r="287" spans="1:14" x14ac:dyDescent="0.25">
      <c r="A287" t="s">
        <v>1</v>
      </c>
      <c r="D287" t="s">
        <v>10</v>
      </c>
      <c r="F287" t="s">
        <v>19</v>
      </c>
      <c r="J287" t="s">
        <v>27</v>
      </c>
      <c r="K287">
        <v>51</v>
      </c>
      <c r="L287" t="s">
        <v>57</v>
      </c>
      <c r="N287" t="s">
        <v>193</v>
      </c>
    </row>
    <row r="288" spans="1:14" x14ac:dyDescent="0.25">
      <c r="A288" t="s">
        <v>1</v>
      </c>
      <c r="D288" t="s">
        <v>11</v>
      </c>
      <c r="F288" t="s">
        <v>19</v>
      </c>
      <c r="J288" t="s">
        <v>27</v>
      </c>
      <c r="K288">
        <v>52</v>
      </c>
      <c r="L288" t="s">
        <v>57</v>
      </c>
      <c r="N288" t="s">
        <v>193</v>
      </c>
    </row>
    <row r="289" spans="1:14" x14ac:dyDescent="0.25">
      <c r="A289" t="s">
        <v>1</v>
      </c>
      <c r="D289" t="s">
        <v>12</v>
      </c>
      <c r="F289" t="s">
        <v>19</v>
      </c>
      <c r="J289" t="s">
        <v>27</v>
      </c>
      <c r="K289">
        <v>52</v>
      </c>
      <c r="L289" t="s">
        <v>57</v>
      </c>
      <c r="N289" t="s">
        <v>193</v>
      </c>
    </row>
    <row r="290" spans="1:14" x14ac:dyDescent="0.25">
      <c r="A290" t="s">
        <v>1</v>
      </c>
      <c r="D290" t="s">
        <v>13</v>
      </c>
      <c r="F290" t="s">
        <v>19</v>
      </c>
      <c r="J290" t="s">
        <v>27</v>
      </c>
      <c r="K290">
        <v>52</v>
      </c>
      <c r="L290" t="s">
        <v>57</v>
      </c>
      <c r="M290" t="s">
        <v>14</v>
      </c>
    </row>
    <row r="291" spans="1:14" x14ac:dyDescent="0.25">
      <c r="A291" t="s">
        <v>1</v>
      </c>
      <c r="F291" t="s">
        <v>20</v>
      </c>
      <c r="J291" t="s">
        <v>27</v>
      </c>
      <c r="K291">
        <v>10</v>
      </c>
      <c r="L291" t="s">
        <v>57</v>
      </c>
      <c r="N291" t="s">
        <v>193</v>
      </c>
    </row>
    <row r="292" spans="1:14" x14ac:dyDescent="0.25">
      <c r="A292" t="s">
        <v>1</v>
      </c>
      <c r="F292" t="s">
        <v>185</v>
      </c>
      <c r="J292" t="s">
        <v>27</v>
      </c>
      <c r="K292">
        <v>60</v>
      </c>
      <c r="L292" t="s">
        <v>57</v>
      </c>
      <c r="N292" t="s">
        <v>193</v>
      </c>
    </row>
    <row r="293" spans="1:14" x14ac:dyDescent="0.25">
      <c r="A293" s="44" t="s">
        <v>1</v>
      </c>
      <c r="F293" s="5" t="s">
        <v>15</v>
      </c>
      <c r="G293" s="5"/>
      <c r="H293" s="5"/>
      <c r="I293" s="5"/>
      <c r="J293" s="5" t="s">
        <v>27</v>
      </c>
      <c r="K293" s="5">
        <v>60</v>
      </c>
      <c r="L293" s="5" t="s">
        <v>57</v>
      </c>
      <c r="M293" s="1"/>
      <c r="N293" t="s">
        <v>192</v>
      </c>
    </row>
    <row r="294" spans="1:14" x14ac:dyDescent="0.25">
      <c r="A294" s="5" t="s">
        <v>56</v>
      </c>
      <c r="B294" s="5"/>
      <c r="C294" s="5"/>
      <c r="D294" s="5"/>
      <c r="E294" s="5"/>
      <c r="F294" s="5" t="s">
        <v>18</v>
      </c>
      <c r="G294" s="5"/>
      <c r="H294" s="5"/>
      <c r="I294" s="5"/>
      <c r="J294" s="5" t="s">
        <v>27</v>
      </c>
      <c r="K294" s="5">
        <v>24</v>
      </c>
      <c r="L294" t="s">
        <v>57</v>
      </c>
      <c r="M294" s="1"/>
      <c r="N294" t="s">
        <v>193</v>
      </c>
    </row>
    <row r="295" spans="1:14" x14ac:dyDescent="0.25">
      <c r="A295" s="5" t="s">
        <v>56</v>
      </c>
      <c r="B295" s="5"/>
      <c r="C295" s="5"/>
      <c r="D295" s="5"/>
      <c r="E295" s="5"/>
      <c r="F295" s="5" t="s">
        <v>19</v>
      </c>
      <c r="G295" s="5"/>
      <c r="H295" s="5"/>
      <c r="I295" s="5"/>
      <c r="J295" s="5" t="s">
        <v>27</v>
      </c>
      <c r="K295" s="5">
        <v>25</v>
      </c>
      <c r="L295" t="s">
        <v>57</v>
      </c>
      <c r="M295" s="1"/>
      <c r="N295" t="s">
        <v>193</v>
      </c>
    </row>
    <row r="296" spans="1:14" x14ac:dyDescent="0.25">
      <c r="A296" s="5" t="s">
        <v>56</v>
      </c>
      <c r="B296" s="5"/>
      <c r="C296" s="5"/>
      <c r="D296" s="5"/>
      <c r="E296" s="5"/>
      <c r="F296" s="5" t="s">
        <v>20</v>
      </c>
      <c r="G296" s="5"/>
      <c r="H296" s="5"/>
      <c r="I296" s="5"/>
      <c r="J296" s="5" t="s">
        <v>27</v>
      </c>
      <c r="K296" s="5">
        <v>10</v>
      </c>
      <c r="L296" t="s">
        <v>57</v>
      </c>
      <c r="M296" s="1"/>
      <c r="N296" t="s">
        <v>193</v>
      </c>
    </row>
    <row r="297" spans="1:14" x14ac:dyDescent="0.25">
      <c r="A297" s="5" t="s">
        <v>56</v>
      </c>
      <c r="B297" s="5"/>
      <c r="C297" s="5"/>
      <c r="D297" s="5"/>
      <c r="E297" s="5"/>
      <c r="F297" s="5" t="s">
        <v>177</v>
      </c>
      <c r="G297" s="5"/>
      <c r="H297" s="5"/>
      <c r="I297" s="5"/>
      <c r="J297" s="5" t="s">
        <v>27</v>
      </c>
      <c r="K297" s="5">
        <v>25</v>
      </c>
      <c r="L297" t="s">
        <v>57</v>
      </c>
      <c r="M297" s="1"/>
      <c r="N297" t="s">
        <v>193</v>
      </c>
    </row>
    <row r="298" spans="1:14" x14ac:dyDescent="0.25">
      <c r="A298" s="5" t="s">
        <v>56</v>
      </c>
      <c r="B298" s="5"/>
      <c r="C298" s="5"/>
      <c r="D298" s="5"/>
      <c r="E298" s="5"/>
      <c r="F298" s="5" t="s">
        <v>15</v>
      </c>
      <c r="G298" s="5"/>
      <c r="H298" s="5"/>
      <c r="I298" s="5"/>
      <c r="J298" s="5" t="s">
        <v>27</v>
      </c>
      <c r="K298" s="5">
        <v>60</v>
      </c>
      <c r="L298" s="5" t="s">
        <v>57</v>
      </c>
      <c r="M298" s="1"/>
      <c r="N298" t="s">
        <v>192</v>
      </c>
    </row>
    <row r="299" spans="1:14" x14ac:dyDescent="0.25">
      <c r="A299" s="5" t="s">
        <v>62</v>
      </c>
      <c r="B299" s="5"/>
      <c r="C299" s="5"/>
      <c r="D299" s="5"/>
      <c r="E299" s="5"/>
      <c r="F299" s="5" t="s">
        <v>18</v>
      </c>
      <c r="G299" s="5"/>
      <c r="H299" s="5"/>
      <c r="I299" s="5"/>
      <c r="J299" s="5" t="s">
        <v>27</v>
      </c>
      <c r="K299" s="5">
        <v>25</v>
      </c>
      <c r="L299" s="5" t="s">
        <v>57</v>
      </c>
      <c r="M299" s="1"/>
      <c r="N299" t="s">
        <v>193</v>
      </c>
    </row>
    <row r="300" spans="1:14" x14ac:dyDescent="0.25">
      <c r="A300" s="5" t="s">
        <v>62</v>
      </c>
      <c r="B300" s="5"/>
      <c r="C300" s="5"/>
      <c r="D300" s="5"/>
      <c r="E300" s="5"/>
      <c r="F300" s="5" t="s">
        <v>19</v>
      </c>
      <c r="G300" s="5"/>
      <c r="H300" s="5"/>
      <c r="I300" s="5"/>
      <c r="J300" s="5" t="s">
        <v>27</v>
      </c>
      <c r="K300" s="5">
        <v>25</v>
      </c>
      <c r="L300" s="5" t="s">
        <v>57</v>
      </c>
      <c r="M300" s="1"/>
      <c r="N300" t="s">
        <v>193</v>
      </c>
    </row>
    <row r="301" spans="1:14" x14ac:dyDescent="0.25">
      <c r="A301" s="5" t="s">
        <v>62</v>
      </c>
      <c r="B301" s="5"/>
      <c r="C301" s="5"/>
      <c r="D301" s="5"/>
      <c r="E301" s="5"/>
      <c r="F301" s="5" t="s">
        <v>15</v>
      </c>
      <c r="G301" s="5"/>
      <c r="H301" s="5"/>
      <c r="I301" s="5"/>
      <c r="J301" s="5" t="s">
        <v>27</v>
      </c>
      <c r="K301" s="5">
        <v>50</v>
      </c>
      <c r="L301" s="5" t="s">
        <v>57</v>
      </c>
      <c r="M301" s="1"/>
      <c r="N301" t="s">
        <v>192</v>
      </c>
    </row>
    <row r="302" spans="1:14" x14ac:dyDescent="0.25">
      <c r="A302" t="s">
        <v>37</v>
      </c>
      <c r="F302" t="s">
        <v>18</v>
      </c>
      <c r="J302" t="s">
        <v>27</v>
      </c>
      <c r="K302">
        <v>70</v>
      </c>
      <c r="L302" t="s">
        <v>57</v>
      </c>
      <c r="N302" t="s">
        <v>193</v>
      </c>
    </row>
    <row r="303" spans="1:14" x14ac:dyDescent="0.25">
      <c r="A303" t="s">
        <v>37</v>
      </c>
      <c r="F303" t="s">
        <v>19</v>
      </c>
      <c r="J303" t="s">
        <v>27</v>
      </c>
      <c r="K303">
        <v>51</v>
      </c>
      <c r="L303" t="s">
        <v>57</v>
      </c>
      <c r="N303" t="s">
        <v>193</v>
      </c>
    </row>
    <row r="304" spans="1:14" x14ac:dyDescent="0.25">
      <c r="A304" t="s">
        <v>37</v>
      </c>
      <c r="F304" t="s">
        <v>20</v>
      </c>
      <c r="J304" t="s">
        <v>27</v>
      </c>
      <c r="K304">
        <v>10</v>
      </c>
      <c r="L304" t="s">
        <v>57</v>
      </c>
      <c r="N304" t="s">
        <v>193</v>
      </c>
    </row>
    <row r="305" spans="1:14" x14ac:dyDescent="0.25">
      <c r="A305" t="s">
        <v>37</v>
      </c>
      <c r="F305" t="s">
        <v>185</v>
      </c>
      <c r="J305" t="s">
        <v>27</v>
      </c>
      <c r="K305">
        <v>70</v>
      </c>
      <c r="L305" t="s">
        <v>57</v>
      </c>
      <c r="N305" t="s">
        <v>193</v>
      </c>
    </row>
    <row r="306" spans="1:14" x14ac:dyDescent="0.25">
      <c r="A306" s="5" t="s">
        <v>52</v>
      </c>
      <c r="B306" s="5"/>
      <c r="C306" s="5"/>
      <c r="D306" s="5"/>
      <c r="E306" s="5"/>
      <c r="F306" s="5" t="s">
        <v>18</v>
      </c>
      <c r="G306" s="5"/>
      <c r="H306" s="5"/>
      <c r="I306" s="5"/>
      <c r="J306" s="5" t="s">
        <v>27</v>
      </c>
      <c r="K306" s="5">
        <v>75</v>
      </c>
      <c r="L306" s="5" t="s">
        <v>57</v>
      </c>
      <c r="M306" s="1"/>
      <c r="N306" t="s">
        <v>193</v>
      </c>
    </row>
    <row r="307" spans="1:14" x14ac:dyDescent="0.25">
      <c r="A307" s="5" t="s">
        <v>52</v>
      </c>
      <c r="B307" s="5"/>
      <c r="C307" s="5"/>
      <c r="D307" s="5"/>
      <c r="E307" s="5"/>
      <c r="F307" s="5" t="s">
        <v>19</v>
      </c>
      <c r="G307" s="5"/>
      <c r="H307" s="5"/>
      <c r="I307" s="5"/>
      <c r="J307" s="5" t="s">
        <v>27</v>
      </c>
      <c r="K307" s="5">
        <v>60</v>
      </c>
      <c r="L307" s="5" t="s">
        <v>57</v>
      </c>
      <c r="M307" s="1"/>
      <c r="N307" t="s">
        <v>193</v>
      </c>
    </row>
    <row r="308" spans="1:14" x14ac:dyDescent="0.25">
      <c r="A308" s="5" t="s">
        <v>52</v>
      </c>
      <c r="B308" s="5"/>
      <c r="C308" s="5"/>
      <c r="D308" s="5"/>
      <c r="E308" s="5"/>
      <c r="F308" s="5" t="s">
        <v>20</v>
      </c>
      <c r="G308" s="5"/>
      <c r="H308" s="5"/>
      <c r="I308" s="5"/>
      <c r="J308" s="5" t="s">
        <v>27</v>
      </c>
      <c r="K308" s="5">
        <v>40</v>
      </c>
      <c r="L308" s="5" t="s">
        <v>57</v>
      </c>
      <c r="M308" s="1"/>
      <c r="N308" t="s">
        <v>193</v>
      </c>
    </row>
    <row r="309" spans="1:14" x14ac:dyDescent="0.25">
      <c r="A309" t="s">
        <v>52</v>
      </c>
      <c r="C309" t="s">
        <v>53</v>
      </c>
      <c r="D309" t="s">
        <v>54</v>
      </c>
      <c r="F309" s="5" t="s">
        <v>18</v>
      </c>
      <c r="J309" s="5" t="s">
        <v>27</v>
      </c>
      <c r="K309">
        <v>40</v>
      </c>
      <c r="L309" s="5" t="s">
        <v>57</v>
      </c>
      <c r="N309" t="s">
        <v>193</v>
      </c>
    </row>
    <row r="310" spans="1:14" x14ac:dyDescent="0.25">
      <c r="A310" t="s">
        <v>52</v>
      </c>
      <c r="C310" t="s">
        <v>53</v>
      </c>
      <c r="D310" t="s">
        <v>54</v>
      </c>
      <c r="F310" s="5" t="s">
        <v>19</v>
      </c>
      <c r="J310" s="5" t="s">
        <v>27</v>
      </c>
      <c r="K310" s="5">
        <v>40</v>
      </c>
      <c r="L310" s="5" t="s">
        <v>57</v>
      </c>
      <c r="N310" t="s">
        <v>193</v>
      </c>
    </row>
    <row r="311" spans="1:14" x14ac:dyDescent="0.25">
      <c r="A311" t="s">
        <v>52</v>
      </c>
      <c r="C311" t="s">
        <v>53</v>
      </c>
      <c r="D311" t="s">
        <v>54</v>
      </c>
      <c r="F311" s="5" t="s">
        <v>20</v>
      </c>
      <c r="J311" s="5" t="s">
        <v>27</v>
      </c>
      <c r="K311" s="5">
        <v>40</v>
      </c>
      <c r="L311" s="5" t="s">
        <v>57</v>
      </c>
      <c r="N311" t="s">
        <v>193</v>
      </c>
    </row>
    <row r="314" spans="1:14" x14ac:dyDescent="0.25">
      <c r="K314" s="7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F94"/>
  <sheetViews>
    <sheetView workbookViewId="0">
      <selection activeCell="S12" sqref="S12"/>
    </sheetView>
  </sheetViews>
  <sheetFormatPr defaultRowHeight="15" x14ac:dyDescent="0.25"/>
  <sheetData>
    <row r="2" spans="2:32" x14ac:dyDescent="0.25">
      <c r="B2" s="4" t="s">
        <v>159</v>
      </c>
    </row>
    <row r="4" spans="2:32" x14ac:dyDescent="0.25">
      <c r="R4" s="4" t="s">
        <v>179</v>
      </c>
    </row>
    <row r="5" spans="2:32" x14ac:dyDescent="0.25">
      <c r="B5" s="47" t="s">
        <v>174</v>
      </c>
      <c r="C5" s="48" t="s">
        <v>1</v>
      </c>
      <c r="D5" s="48" t="s">
        <v>1</v>
      </c>
      <c r="E5" s="48" t="s">
        <v>1</v>
      </c>
      <c r="F5" s="48" t="s">
        <v>1</v>
      </c>
      <c r="G5" s="48" t="s">
        <v>1</v>
      </c>
      <c r="H5" s="48" t="s">
        <v>1</v>
      </c>
      <c r="I5" s="48" t="s">
        <v>1</v>
      </c>
      <c r="J5" s="48" t="s">
        <v>56</v>
      </c>
      <c r="K5" s="48" t="s">
        <v>62</v>
      </c>
      <c r="L5" s="48" t="s">
        <v>37</v>
      </c>
      <c r="M5" s="48" t="s">
        <v>37</v>
      </c>
      <c r="N5" s="48" t="s">
        <v>37</v>
      </c>
      <c r="O5" s="48" t="s">
        <v>52</v>
      </c>
      <c r="P5" s="48" t="s">
        <v>52</v>
      </c>
      <c r="R5" s="47" t="s">
        <v>174</v>
      </c>
      <c r="S5" s="48" t="s">
        <v>1</v>
      </c>
      <c r="T5" s="48" t="s">
        <v>1</v>
      </c>
      <c r="U5" s="48" t="s">
        <v>1</v>
      </c>
      <c r="V5" s="48" t="s">
        <v>1</v>
      </c>
      <c r="W5" s="48" t="s">
        <v>1</v>
      </c>
      <c r="X5" s="48" t="s">
        <v>1</v>
      </c>
      <c r="Y5" s="48" t="s">
        <v>1</v>
      </c>
      <c r="Z5" s="48" t="s">
        <v>56</v>
      </c>
      <c r="AA5" s="48" t="s">
        <v>62</v>
      </c>
      <c r="AB5" s="48" t="s">
        <v>37</v>
      </c>
      <c r="AC5" s="48" t="s">
        <v>37</v>
      </c>
      <c r="AD5" s="48" t="s">
        <v>37</v>
      </c>
      <c r="AE5" s="48" t="s">
        <v>52</v>
      </c>
      <c r="AF5" s="48" t="s">
        <v>52</v>
      </c>
    </row>
    <row r="6" spans="2:32" x14ac:dyDescent="0.25">
      <c r="B6" s="47" t="s">
        <v>175</v>
      </c>
      <c r="C6" s="48" t="s">
        <v>2</v>
      </c>
      <c r="D6" s="48" t="s">
        <v>7</v>
      </c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 t="s">
        <v>53</v>
      </c>
      <c r="R6" s="47" t="s">
        <v>175</v>
      </c>
      <c r="S6" s="48" t="s">
        <v>2</v>
      </c>
      <c r="T6" s="48" t="s">
        <v>7</v>
      </c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 t="s">
        <v>53</v>
      </c>
    </row>
    <row r="7" spans="2:32" x14ac:dyDescent="0.25">
      <c r="B7" s="47" t="s">
        <v>176</v>
      </c>
      <c r="C7" s="48" t="s">
        <v>3</v>
      </c>
      <c r="D7" s="48" t="s">
        <v>3</v>
      </c>
      <c r="E7" s="48" t="s">
        <v>9</v>
      </c>
      <c r="F7" s="48" t="s">
        <v>11</v>
      </c>
      <c r="G7" s="48" t="s">
        <v>12</v>
      </c>
      <c r="H7" s="48" t="s">
        <v>10</v>
      </c>
      <c r="I7" s="48" t="s">
        <v>13</v>
      </c>
      <c r="J7" s="48"/>
      <c r="K7" s="48"/>
      <c r="L7" s="48"/>
      <c r="M7" s="48" t="s">
        <v>38</v>
      </c>
      <c r="N7" s="48" t="s">
        <v>39</v>
      </c>
      <c r="O7" s="48"/>
      <c r="P7" s="48" t="s">
        <v>54</v>
      </c>
      <c r="R7" s="47" t="s">
        <v>176</v>
      </c>
      <c r="S7" s="48" t="s">
        <v>3</v>
      </c>
      <c r="T7" s="48" t="s">
        <v>3</v>
      </c>
      <c r="U7" s="48" t="s">
        <v>9</v>
      </c>
      <c r="V7" s="48" t="s">
        <v>11</v>
      </c>
      <c r="W7" s="48" t="s">
        <v>12</v>
      </c>
      <c r="X7" s="48" t="s">
        <v>10</v>
      </c>
      <c r="Y7" s="48" t="s">
        <v>13</v>
      </c>
      <c r="Z7" s="48"/>
      <c r="AA7" s="48"/>
      <c r="AB7" s="48"/>
      <c r="AC7" s="48" t="s">
        <v>38</v>
      </c>
      <c r="AD7" s="48" t="s">
        <v>39</v>
      </c>
      <c r="AE7" s="48"/>
      <c r="AF7" s="48" t="s">
        <v>54</v>
      </c>
    </row>
    <row r="8" spans="2:32" x14ac:dyDescent="0.25">
      <c r="B8" s="49" t="s">
        <v>15</v>
      </c>
      <c r="C8" s="45">
        <f>C27</f>
        <v>25.033333333333331</v>
      </c>
      <c r="D8" s="45">
        <f>D27</f>
        <v>55.633333333333333</v>
      </c>
      <c r="E8" s="45">
        <f>E27</f>
        <v>51.70000000000001</v>
      </c>
      <c r="F8" s="46">
        <f>E8</f>
        <v>51.70000000000001</v>
      </c>
      <c r="G8" s="45">
        <f>F27</f>
        <v>22.133333333333336</v>
      </c>
      <c r="H8" s="45">
        <f>G27</f>
        <v>34.366666666666667</v>
      </c>
      <c r="I8" s="46">
        <f>G8</f>
        <v>22.133333333333336</v>
      </c>
      <c r="J8" s="45">
        <f>K27</f>
        <v>50</v>
      </c>
      <c r="K8" s="45">
        <f>I27</f>
        <v>50</v>
      </c>
      <c r="L8" s="45">
        <v>0</v>
      </c>
      <c r="M8" s="45">
        <v>0</v>
      </c>
      <c r="N8" s="45">
        <v>0</v>
      </c>
      <c r="O8" s="45">
        <v>0</v>
      </c>
      <c r="P8" s="45">
        <v>0</v>
      </c>
      <c r="R8" s="47" t="s">
        <v>184</v>
      </c>
      <c r="S8" s="51" t="str">
        <f>S5&amp;S6&amp;S7</f>
        <v>cattledairycows</v>
      </c>
      <c r="T8" s="51" t="str">
        <f t="shared" ref="T8:Y8" si="0">T5&amp;T6&amp;T7</f>
        <v>cattlebeefcows</v>
      </c>
      <c r="U8" s="51" t="str">
        <f t="shared" si="0"/>
        <v>cattleheifers</v>
      </c>
      <c r="V8" s="51" t="str">
        <f t="shared" si="0"/>
        <v>cattlesteers</v>
      </c>
      <c r="W8" s="51" t="str">
        <f t="shared" si="0"/>
        <v>cattlebulls</v>
      </c>
      <c r="X8" s="51" t="str">
        <f t="shared" si="0"/>
        <v>cattlecalves</v>
      </c>
      <c r="Y8" s="51" t="str">
        <f t="shared" si="0"/>
        <v>cattlebreeding bulls</v>
      </c>
      <c r="Z8" s="51" t="str">
        <f t="shared" ref="Z8:AF8" si="1">Z5&amp;Z6&amp;Z7</f>
        <v>horses</v>
      </c>
      <c r="AA8" s="51" t="str">
        <f t="shared" si="1"/>
        <v>sheep</v>
      </c>
      <c r="AB8" s="51" t="str">
        <f t="shared" si="1"/>
        <v>pigs</v>
      </c>
      <c r="AC8" s="51" t="str">
        <f t="shared" si="1"/>
        <v>pigsgrowing pigs</v>
      </c>
      <c r="AD8" s="51" t="str">
        <f t="shared" si="1"/>
        <v>pigsfinishing pigs</v>
      </c>
      <c r="AE8" s="51" t="str">
        <f t="shared" si="1"/>
        <v>poultry</v>
      </c>
      <c r="AF8" s="51" t="str">
        <f t="shared" si="1"/>
        <v>poultrybroilerbroilers</v>
      </c>
    </row>
    <row r="9" spans="2:32" x14ac:dyDescent="0.25">
      <c r="B9" s="48" t="s">
        <v>18</v>
      </c>
      <c r="C9" s="45">
        <f>C40</f>
        <v>62.766666666666673</v>
      </c>
      <c r="D9" s="45">
        <f>D40</f>
        <v>9.8666666666666671</v>
      </c>
      <c r="E9" s="45">
        <f>E40</f>
        <v>24.366666666666664</v>
      </c>
      <c r="F9" s="46">
        <f t="shared" ref="F9:F13" si="2">E9</f>
        <v>24.366666666666664</v>
      </c>
      <c r="G9" s="45">
        <f>F40</f>
        <v>34.9</v>
      </c>
      <c r="H9" s="45">
        <f>G40</f>
        <v>16.633333333333333</v>
      </c>
      <c r="I9" s="46">
        <f t="shared" ref="I9:I13" si="3">G9</f>
        <v>34.9</v>
      </c>
      <c r="J9" s="45">
        <f>J40</f>
        <v>0</v>
      </c>
      <c r="K9" s="45">
        <f>J40</f>
        <v>0</v>
      </c>
      <c r="L9" s="45">
        <f>I40</f>
        <v>47.1</v>
      </c>
      <c r="M9" s="45">
        <f>H40</f>
        <v>79.533333333333346</v>
      </c>
      <c r="N9" s="46">
        <f>M9</f>
        <v>79.533333333333346</v>
      </c>
      <c r="O9" s="45">
        <f>K40</f>
        <v>7.7</v>
      </c>
      <c r="P9" s="45">
        <f>L40</f>
        <v>0</v>
      </c>
      <c r="R9" s="48" t="s">
        <v>18</v>
      </c>
      <c r="S9" s="45">
        <f t="shared" ref="S9:AF13" si="4">C9/SUM(C$9:C$13)*100</f>
        <v>83.800623052959494</v>
      </c>
      <c r="T9" s="45">
        <f t="shared" si="4"/>
        <v>22.222222222222225</v>
      </c>
      <c r="U9" s="45">
        <f t="shared" si="4"/>
        <v>50.379048931771194</v>
      </c>
      <c r="V9" s="45">
        <f t="shared" si="4"/>
        <v>50.379048931771194</v>
      </c>
      <c r="W9" s="45">
        <f t="shared" si="4"/>
        <v>44.83940042826552</v>
      </c>
      <c r="X9" s="45">
        <f t="shared" si="4"/>
        <v>25.355691056910569</v>
      </c>
      <c r="Y9" s="45">
        <f t="shared" si="4"/>
        <v>44.83940042826552</v>
      </c>
      <c r="Z9" s="45">
        <f t="shared" si="4"/>
        <v>0</v>
      </c>
      <c r="AA9" s="45">
        <f t="shared" si="4"/>
        <v>0</v>
      </c>
      <c r="AB9" s="45">
        <f t="shared" si="4"/>
        <v>47.115705235078359</v>
      </c>
      <c r="AC9" s="45">
        <f t="shared" si="4"/>
        <v>79.533333333333317</v>
      </c>
      <c r="AD9" s="45">
        <f t="shared" si="4"/>
        <v>79.533333333333317</v>
      </c>
      <c r="AE9" s="45">
        <f t="shared" si="4"/>
        <v>7.7000000000000011</v>
      </c>
      <c r="AF9" s="45">
        <f t="shared" si="4"/>
        <v>0</v>
      </c>
    </row>
    <row r="10" spans="2:32" x14ac:dyDescent="0.25">
      <c r="B10" s="48" t="s">
        <v>19</v>
      </c>
      <c r="C10" s="45">
        <f>C53</f>
        <v>7</v>
      </c>
      <c r="D10" s="45">
        <f>D53</f>
        <v>13.5</v>
      </c>
      <c r="E10" s="45">
        <f>E53</f>
        <v>9.2333333333333343</v>
      </c>
      <c r="F10" s="46">
        <f t="shared" si="2"/>
        <v>9.2333333333333343</v>
      </c>
      <c r="G10" s="45">
        <f>F53</f>
        <v>15.5</v>
      </c>
      <c r="H10" s="45">
        <f>G53</f>
        <v>13.333333333333334</v>
      </c>
      <c r="I10" s="46">
        <f t="shared" si="3"/>
        <v>15.5</v>
      </c>
      <c r="J10" s="45">
        <f>M53</f>
        <v>33</v>
      </c>
      <c r="K10" s="45">
        <f>J53</f>
        <v>50</v>
      </c>
      <c r="L10" s="45">
        <f>I53</f>
        <v>27.866666666666664</v>
      </c>
      <c r="M10" s="45">
        <f>H53</f>
        <v>2.6666666666666665</v>
      </c>
      <c r="N10" s="46">
        <f t="shared" ref="N10:N12" si="5">M10</f>
        <v>2.6666666666666665</v>
      </c>
      <c r="O10" s="45">
        <f>N53</f>
        <v>85.966666666666654</v>
      </c>
      <c r="P10" s="45">
        <f>O53</f>
        <v>0</v>
      </c>
      <c r="R10" s="48" t="s">
        <v>19</v>
      </c>
      <c r="S10" s="45">
        <f t="shared" si="4"/>
        <v>9.3457943925233611</v>
      </c>
      <c r="T10" s="45">
        <f t="shared" si="4"/>
        <v>30.405405405405407</v>
      </c>
      <c r="U10" s="45">
        <f t="shared" si="4"/>
        <v>19.090282563749142</v>
      </c>
      <c r="V10" s="45">
        <f t="shared" si="4"/>
        <v>19.090282563749142</v>
      </c>
      <c r="W10" s="45">
        <f t="shared" si="4"/>
        <v>19.914346895074946</v>
      </c>
      <c r="X10" s="45">
        <f t="shared" si="4"/>
        <v>20.325203252032519</v>
      </c>
      <c r="Y10" s="45">
        <f t="shared" si="4"/>
        <v>19.914346895074946</v>
      </c>
      <c r="Z10" s="45">
        <f t="shared" si="4"/>
        <v>66</v>
      </c>
      <c r="AA10" s="45">
        <f t="shared" si="4"/>
        <v>100</v>
      </c>
      <c r="AB10" s="45">
        <f t="shared" si="4"/>
        <v>27.875958652884293</v>
      </c>
      <c r="AC10" s="45">
        <f t="shared" si="4"/>
        <v>2.6666666666666656</v>
      </c>
      <c r="AD10" s="45">
        <f t="shared" si="4"/>
        <v>2.6666666666666656</v>
      </c>
      <c r="AE10" s="45">
        <f t="shared" si="4"/>
        <v>85.966666666666669</v>
      </c>
      <c r="AF10" s="45">
        <f t="shared" si="4"/>
        <v>0</v>
      </c>
    </row>
    <row r="11" spans="2:32" x14ac:dyDescent="0.25">
      <c r="B11" s="48" t="s">
        <v>20</v>
      </c>
      <c r="C11" s="45">
        <f>C66</f>
        <v>0.96666666666666667</v>
      </c>
      <c r="D11" s="45">
        <f>D66</f>
        <v>19.900000000000002</v>
      </c>
      <c r="E11" s="45">
        <f>E66</f>
        <v>12.833333333333334</v>
      </c>
      <c r="F11" s="46">
        <f t="shared" si="2"/>
        <v>12.833333333333334</v>
      </c>
      <c r="G11" s="45">
        <f>F66</f>
        <v>24.533333333333331</v>
      </c>
      <c r="H11" s="45">
        <f>G66</f>
        <v>33.833333333333336</v>
      </c>
      <c r="I11" s="46">
        <f t="shared" si="3"/>
        <v>24.533333333333331</v>
      </c>
      <c r="J11" s="45">
        <f>K66</f>
        <v>2</v>
      </c>
      <c r="K11" s="45">
        <f>J66</f>
        <v>0</v>
      </c>
      <c r="L11" s="45">
        <f>I66</f>
        <v>15.200000000000001</v>
      </c>
      <c r="M11" s="45">
        <f>H66</f>
        <v>1.1666666666666667</v>
      </c>
      <c r="N11" s="46">
        <f t="shared" si="5"/>
        <v>1.1666666666666667</v>
      </c>
      <c r="O11" s="45">
        <f>L66</f>
        <v>6.333333333333333</v>
      </c>
      <c r="P11" s="45">
        <f>M66</f>
        <v>100</v>
      </c>
      <c r="R11" s="48" t="s">
        <v>20</v>
      </c>
      <c r="S11" s="45">
        <f t="shared" si="4"/>
        <v>1.2906097018246547</v>
      </c>
      <c r="T11" s="45">
        <f t="shared" si="4"/>
        <v>44.819819819819827</v>
      </c>
      <c r="U11" s="45">
        <f t="shared" si="4"/>
        <v>26.533425223983464</v>
      </c>
      <c r="V11" s="45">
        <f t="shared" si="4"/>
        <v>26.533425223983464</v>
      </c>
      <c r="W11" s="45">
        <f t="shared" si="4"/>
        <v>31.520342612419693</v>
      </c>
      <c r="X11" s="45">
        <f t="shared" si="4"/>
        <v>51.575203252032523</v>
      </c>
      <c r="Y11" s="45">
        <f t="shared" si="4"/>
        <v>31.520342612419693</v>
      </c>
      <c r="Z11" s="45">
        <f t="shared" si="4"/>
        <v>4</v>
      </c>
      <c r="AA11" s="45">
        <f t="shared" si="4"/>
        <v>0</v>
      </c>
      <c r="AB11" s="45">
        <f t="shared" si="4"/>
        <v>15.205068356118707</v>
      </c>
      <c r="AC11" s="45">
        <f t="shared" si="4"/>
        <v>1.1666666666666663</v>
      </c>
      <c r="AD11" s="45">
        <f t="shared" si="4"/>
        <v>1.1666666666666663</v>
      </c>
      <c r="AE11" s="45">
        <f t="shared" si="4"/>
        <v>6.3333333333333339</v>
      </c>
      <c r="AF11" s="45">
        <f t="shared" si="4"/>
        <v>100</v>
      </c>
    </row>
    <row r="12" spans="2:32" x14ac:dyDescent="0.25">
      <c r="B12" s="48" t="s">
        <v>185</v>
      </c>
      <c r="C12" s="45">
        <f>C80+C94</f>
        <v>4.1666666666666661</v>
      </c>
      <c r="D12" s="45">
        <f>D80+D94</f>
        <v>1.1333333333333333</v>
      </c>
      <c r="E12" s="45">
        <f>E80+E94</f>
        <v>1.9333333333333336</v>
      </c>
      <c r="F12" s="46">
        <f t="shared" si="2"/>
        <v>1.9333333333333336</v>
      </c>
      <c r="G12" s="45">
        <f>F80+F94</f>
        <v>2.9000000000000004</v>
      </c>
      <c r="H12" s="45">
        <f>G80+G94</f>
        <v>1.7999999999999998</v>
      </c>
      <c r="I12" s="46">
        <f t="shared" si="3"/>
        <v>2.9000000000000004</v>
      </c>
      <c r="J12" s="45">
        <v>0</v>
      </c>
      <c r="K12" s="45">
        <v>0</v>
      </c>
      <c r="L12" s="45">
        <f>J80+J94</f>
        <v>9.7999999999999989</v>
      </c>
      <c r="M12" s="45">
        <f>I80+I94</f>
        <v>16.633333333333333</v>
      </c>
      <c r="N12" s="46">
        <f t="shared" si="5"/>
        <v>16.633333333333333</v>
      </c>
      <c r="O12" s="45">
        <v>0</v>
      </c>
      <c r="P12" s="45">
        <v>0</v>
      </c>
      <c r="R12" s="48" t="s">
        <v>185</v>
      </c>
      <c r="S12" s="45">
        <f t="shared" si="4"/>
        <v>5.562972852692476</v>
      </c>
      <c r="T12" s="45">
        <f t="shared" si="4"/>
        <v>2.5525525525525525</v>
      </c>
      <c r="U12" s="45">
        <f t="shared" si="4"/>
        <v>3.9972432804962108</v>
      </c>
      <c r="V12" s="45">
        <f t="shared" si="4"/>
        <v>3.9972432804962108</v>
      </c>
      <c r="W12" s="45">
        <f t="shared" si="4"/>
        <v>3.7259100642398284</v>
      </c>
      <c r="X12" s="45">
        <f t="shared" si="4"/>
        <v>2.7439024390243896</v>
      </c>
      <c r="Y12" s="45">
        <f t="shared" si="4"/>
        <v>3.7259100642398284</v>
      </c>
      <c r="Z12" s="45">
        <f t="shared" si="4"/>
        <v>0</v>
      </c>
      <c r="AA12" s="45">
        <f t="shared" si="4"/>
        <v>0</v>
      </c>
      <c r="AB12" s="45">
        <f t="shared" si="4"/>
        <v>9.8032677559186379</v>
      </c>
      <c r="AC12" s="45">
        <f t="shared" si="4"/>
        <v>16.633333333333329</v>
      </c>
      <c r="AD12" s="45">
        <f t="shared" si="4"/>
        <v>16.633333333333329</v>
      </c>
      <c r="AE12" s="45">
        <f t="shared" si="4"/>
        <v>0</v>
      </c>
      <c r="AF12" s="45">
        <f t="shared" si="4"/>
        <v>0</v>
      </c>
    </row>
    <row r="13" spans="2:32" x14ac:dyDescent="0.25">
      <c r="B13" s="48" t="s">
        <v>177</v>
      </c>
      <c r="C13" s="45">
        <v>0</v>
      </c>
      <c r="D13" s="45">
        <v>0</v>
      </c>
      <c r="E13" s="45">
        <v>0</v>
      </c>
      <c r="F13" s="46">
        <f t="shared" si="2"/>
        <v>0</v>
      </c>
      <c r="G13" s="45">
        <v>0</v>
      </c>
      <c r="H13" s="45">
        <v>0</v>
      </c>
      <c r="I13" s="46">
        <f t="shared" si="3"/>
        <v>0</v>
      </c>
      <c r="J13" s="45">
        <f>L80</f>
        <v>15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R13" s="48" t="s">
        <v>177</v>
      </c>
      <c r="S13" s="45">
        <f t="shared" si="4"/>
        <v>0</v>
      </c>
      <c r="T13" s="45">
        <f t="shared" si="4"/>
        <v>0</v>
      </c>
      <c r="U13" s="45">
        <f t="shared" si="4"/>
        <v>0</v>
      </c>
      <c r="V13" s="45">
        <f t="shared" si="4"/>
        <v>0</v>
      </c>
      <c r="W13" s="45">
        <f t="shared" si="4"/>
        <v>0</v>
      </c>
      <c r="X13" s="45">
        <f t="shared" si="4"/>
        <v>0</v>
      </c>
      <c r="Y13" s="45">
        <f t="shared" si="4"/>
        <v>0</v>
      </c>
      <c r="Z13" s="45">
        <f t="shared" si="4"/>
        <v>30</v>
      </c>
      <c r="AA13" s="45">
        <f t="shared" si="4"/>
        <v>0</v>
      </c>
      <c r="AB13" s="45">
        <f t="shared" si="4"/>
        <v>0</v>
      </c>
      <c r="AC13" s="45">
        <f t="shared" si="4"/>
        <v>0</v>
      </c>
      <c r="AD13" s="45">
        <f t="shared" si="4"/>
        <v>0</v>
      </c>
      <c r="AE13" s="45">
        <f t="shared" si="4"/>
        <v>0</v>
      </c>
      <c r="AF13" s="45">
        <f t="shared" si="4"/>
        <v>0</v>
      </c>
    </row>
    <row r="14" spans="2:32" x14ac:dyDescent="0.25">
      <c r="B14" s="47" t="s">
        <v>178</v>
      </c>
      <c r="C14" s="50">
        <f>SUM(C8:C13)</f>
        <v>99.933333333333351</v>
      </c>
      <c r="D14" s="50">
        <f t="shared" ref="D14:G14" si="6">SUM(D8:D13)</f>
        <v>100.03333333333335</v>
      </c>
      <c r="E14" s="50">
        <f t="shared" si="6"/>
        <v>100.06666666666668</v>
      </c>
      <c r="F14" s="50">
        <f t="shared" si="6"/>
        <v>100.06666666666668</v>
      </c>
      <c r="G14" s="50">
        <f t="shared" si="6"/>
        <v>99.966666666666669</v>
      </c>
      <c r="H14" s="50">
        <f t="shared" ref="H14:I14" si="7">SUM(H8:H13)</f>
        <v>99.966666666666654</v>
      </c>
      <c r="I14" s="50">
        <f t="shared" si="7"/>
        <v>99.966666666666669</v>
      </c>
      <c r="J14" s="50">
        <f t="shared" ref="J14" si="8">SUM(J8:J13)</f>
        <v>100</v>
      </c>
      <c r="K14" s="50">
        <f t="shared" ref="K14" si="9">SUM(K8:K13)</f>
        <v>100</v>
      </c>
      <c r="L14" s="50">
        <f t="shared" ref="L14" si="10">SUM(L8:L13)</f>
        <v>99.966666666666669</v>
      </c>
      <c r="M14" s="50">
        <f t="shared" ref="M14" si="11">SUM(M8:M13)</f>
        <v>100.00000000000003</v>
      </c>
      <c r="N14" s="50">
        <f t="shared" ref="N14" si="12">SUM(N8:N13)</f>
        <v>100.00000000000003</v>
      </c>
      <c r="O14" s="50">
        <f t="shared" ref="O14" si="13">SUM(O8:O13)</f>
        <v>99.999999999999986</v>
      </c>
      <c r="P14" s="50">
        <f t="shared" ref="P14" si="14">SUM(P8:P13)</f>
        <v>100</v>
      </c>
      <c r="R14" s="47" t="s">
        <v>178</v>
      </c>
      <c r="S14" s="50">
        <f>SUM(S9:S13)</f>
        <v>99.999999999999986</v>
      </c>
      <c r="T14" s="50">
        <f t="shared" ref="T14:Y14" si="15">SUM(T9:T13)</f>
        <v>100.00000000000001</v>
      </c>
      <c r="U14" s="50">
        <f t="shared" si="15"/>
        <v>100</v>
      </c>
      <c r="V14" s="50">
        <f t="shared" si="15"/>
        <v>100</v>
      </c>
      <c r="W14" s="50">
        <f t="shared" si="15"/>
        <v>99.999999999999986</v>
      </c>
      <c r="X14" s="50">
        <f t="shared" si="15"/>
        <v>100</v>
      </c>
      <c r="Y14" s="50">
        <f t="shared" si="15"/>
        <v>99.999999999999986</v>
      </c>
      <c r="Z14" s="50">
        <f t="shared" ref="Z14:AF14" si="16">SUM(Z9:Z13)</f>
        <v>100</v>
      </c>
      <c r="AA14" s="50">
        <f t="shared" si="16"/>
        <v>100</v>
      </c>
      <c r="AB14" s="50">
        <f t="shared" si="16"/>
        <v>100</v>
      </c>
      <c r="AC14" s="50">
        <f t="shared" si="16"/>
        <v>99.999999999999986</v>
      </c>
      <c r="AD14" s="50">
        <f t="shared" si="16"/>
        <v>99.999999999999986</v>
      </c>
      <c r="AE14" s="50">
        <f t="shared" si="16"/>
        <v>100</v>
      </c>
      <c r="AF14" s="50">
        <f t="shared" si="16"/>
        <v>100</v>
      </c>
    </row>
    <row r="16" spans="2:32" x14ac:dyDescent="0.25">
      <c r="B16" s="55" t="s">
        <v>152</v>
      </c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</row>
    <row r="17" spans="2:13" ht="33" x14ac:dyDescent="0.25">
      <c r="B17" s="28" t="s">
        <v>141</v>
      </c>
      <c r="C17" s="29" t="s">
        <v>142</v>
      </c>
      <c r="D17" s="29" t="s">
        <v>143</v>
      </c>
      <c r="E17" s="29" t="s">
        <v>144</v>
      </c>
      <c r="F17" s="29" t="s">
        <v>145</v>
      </c>
      <c r="G17" s="29" t="s">
        <v>146</v>
      </c>
      <c r="H17" s="29" t="s">
        <v>153</v>
      </c>
      <c r="I17" s="29" t="s">
        <v>154</v>
      </c>
      <c r="J17" s="29" t="s">
        <v>155</v>
      </c>
      <c r="K17" s="29" t="s">
        <v>156</v>
      </c>
      <c r="L17" s="29" t="s">
        <v>157</v>
      </c>
      <c r="M17" s="24"/>
    </row>
    <row r="18" spans="2:13" x14ac:dyDescent="0.25">
      <c r="B18" s="30">
        <v>1990</v>
      </c>
      <c r="C18" s="26">
        <v>24.8</v>
      </c>
      <c r="D18" s="26">
        <v>48.3</v>
      </c>
      <c r="E18" s="26">
        <v>45.8</v>
      </c>
      <c r="F18" s="26">
        <v>36.700000000000003</v>
      </c>
      <c r="G18" s="26">
        <v>35</v>
      </c>
      <c r="H18" s="31" t="s">
        <v>158</v>
      </c>
      <c r="I18" s="32">
        <v>50</v>
      </c>
      <c r="J18" s="32">
        <v>100</v>
      </c>
      <c r="K18" s="32">
        <v>50</v>
      </c>
      <c r="L18" s="31" t="s">
        <v>158</v>
      </c>
      <c r="M18" s="27"/>
    </row>
    <row r="19" spans="2:13" x14ac:dyDescent="0.25">
      <c r="B19" s="30">
        <v>1995</v>
      </c>
      <c r="C19" s="26">
        <v>24.8</v>
      </c>
      <c r="D19" s="26">
        <v>48.3</v>
      </c>
      <c r="E19" s="26">
        <v>45.8</v>
      </c>
      <c r="F19" s="26">
        <v>36.700000000000003</v>
      </c>
      <c r="G19" s="26">
        <v>35</v>
      </c>
      <c r="H19" s="31" t="s">
        <v>158</v>
      </c>
      <c r="I19" s="32">
        <v>50</v>
      </c>
      <c r="J19" s="32">
        <v>100</v>
      </c>
      <c r="K19" s="32">
        <v>50</v>
      </c>
      <c r="L19" s="31" t="s">
        <v>158</v>
      </c>
      <c r="M19" s="27"/>
    </row>
    <row r="20" spans="2:13" x14ac:dyDescent="0.25">
      <c r="B20" s="30">
        <v>2000</v>
      </c>
      <c r="C20" s="26">
        <v>24.8</v>
      </c>
      <c r="D20" s="26">
        <v>51.7</v>
      </c>
      <c r="E20" s="26">
        <v>49.2</v>
      </c>
      <c r="F20" s="26">
        <v>36.700000000000003</v>
      </c>
      <c r="G20" s="26">
        <v>36.700000000000003</v>
      </c>
      <c r="H20" s="31" t="s">
        <v>158</v>
      </c>
      <c r="I20" s="32">
        <v>50</v>
      </c>
      <c r="J20" s="32">
        <v>100</v>
      </c>
      <c r="K20" s="32">
        <v>50</v>
      </c>
      <c r="L20" s="31" t="s">
        <v>158</v>
      </c>
      <c r="M20" s="27"/>
    </row>
    <row r="21" spans="2:13" x14ac:dyDescent="0.25">
      <c r="B21" s="30">
        <v>2005</v>
      </c>
      <c r="C21" s="26">
        <v>26.1</v>
      </c>
      <c r="D21" s="26">
        <v>58.9</v>
      </c>
      <c r="E21" s="26">
        <v>53.7</v>
      </c>
      <c r="F21" s="26">
        <v>30.2</v>
      </c>
      <c r="G21" s="26">
        <v>36.6</v>
      </c>
      <c r="H21" s="31" t="s">
        <v>158</v>
      </c>
      <c r="I21" s="32">
        <v>50</v>
      </c>
      <c r="J21" s="32">
        <v>100</v>
      </c>
      <c r="K21" s="32">
        <v>50</v>
      </c>
      <c r="L21" s="31" t="s">
        <v>158</v>
      </c>
      <c r="M21" s="27"/>
    </row>
    <row r="22" spans="2:13" x14ac:dyDescent="0.25">
      <c r="B22" s="30">
        <v>2010</v>
      </c>
      <c r="C22" s="26">
        <v>25</v>
      </c>
      <c r="D22" s="26">
        <v>54.1</v>
      </c>
      <c r="E22" s="26">
        <v>51.7</v>
      </c>
      <c r="F22" s="26">
        <v>26.4</v>
      </c>
      <c r="G22" s="26">
        <v>31.4</v>
      </c>
      <c r="H22" s="31" t="s">
        <v>158</v>
      </c>
      <c r="I22" s="32">
        <v>50</v>
      </c>
      <c r="J22" s="32">
        <v>100</v>
      </c>
      <c r="K22" s="32">
        <v>50</v>
      </c>
      <c r="L22" s="31" t="s">
        <v>158</v>
      </c>
      <c r="M22" s="27"/>
    </row>
    <row r="23" spans="2:13" x14ac:dyDescent="0.25">
      <c r="B23" s="30">
        <v>2015</v>
      </c>
      <c r="C23" s="26">
        <v>24.5</v>
      </c>
      <c r="D23" s="26">
        <v>52.1</v>
      </c>
      <c r="E23" s="26">
        <v>49.7</v>
      </c>
      <c r="F23" s="26">
        <v>18.600000000000001</v>
      </c>
      <c r="G23" s="26">
        <v>31.7</v>
      </c>
      <c r="H23" s="31" t="s">
        <v>158</v>
      </c>
      <c r="I23" s="32">
        <v>50</v>
      </c>
      <c r="J23" s="32">
        <v>100</v>
      </c>
      <c r="K23" s="32">
        <v>50</v>
      </c>
      <c r="L23" s="31" t="s">
        <v>158</v>
      </c>
      <c r="M23" s="27"/>
    </row>
    <row r="24" spans="2:13" x14ac:dyDescent="0.25">
      <c r="B24" s="30">
        <v>2019</v>
      </c>
      <c r="C24" s="26">
        <v>25.3</v>
      </c>
      <c r="D24" s="26">
        <v>57.4</v>
      </c>
      <c r="E24" s="26">
        <v>52.7</v>
      </c>
      <c r="F24" s="26">
        <v>23.9</v>
      </c>
      <c r="G24" s="26">
        <v>35.700000000000003</v>
      </c>
      <c r="H24" s="31" t="s">
        <v>158</v>
      </c>
      <c r="I24" s="32">
        <v>50</v>
      </c>
      <c r="J24" s="32">
        <v>100</v>
      </c>
      <c r="K24" s="32">
        <v>50</v>
      </c>
      <c r="L24" s="31" t="s">
        <v>158</v>
      </c>
      <c r="M24" s="27"/>
    </row>
    <row r="25" spans="2:13" x14ac:dyDescent="0.25">
      <c r="B25" s="30">
        <v>2020</v>
      </c>
      <c r="C25" s="26">
        <v>25.3</v>
      </c>
      <c r="D25" s="26">
        <v>57.4</v>
      </c>
      <c r="E25" s="26">
        <v>52.7</v>
      </c>
      <c r="F25" s="26">
        <v>23.9</v>
      </c>
      <c r="G25" s="26">
        <v>35.700000000000003</v>
      </c>
      <c r="H25" s="31" t="s">
        <v>158</v>
      </c>
      <c r="I25" s="32">
        <v>50</v>
      </c>
      <c r="J25" s="32">
        <v>100</v>
      </c>
      <c r="K25" s="32">
        <v>50</v>
      </c>
      <c r="L25" s="31" t="s">
        <v>158</v>
      </c>
      <c r="M25" s="27"/>
    </row>
    <row r="26" spans="2:13" x14ac:dyDescent="0.25">
      <c r="B26" s="30">
        <v>2021</v>
      </c>
      <c r="C26" s="26">
        <v>25.3</v>
      </c>
      <c r="D26" s="26">
        <v>57.4</v>
      </c>
      <c r="E26" s="26">
        <v>52.7</v>
      </c>
      <c r="F26" s="26">
        <v>23.9</v>
      </c>
      <c r="G26" s="26">
        <v>35.700000000000003</v>
      </c>
      <c r="H26" s="31" t="s">
        <v>158</v>
      </c>
      <c r="I26" s="32">
        <v>50</v>
      </c>
      <c r="J26" s="32">
        <v>100</v>
      </c>
      <c r="K26" s="32">
        <v>50</v>
      </c>
      <c r="L26" s="31" t="s">
        <v>158</v>
      </c>
      <c r="M26" s="27"/>
    </row>
    <row r="27" spans="2:13" x14ac:dyDescent="0.25">
      <c r="B27" s="42" t="s">
        <v>173</v>
      </c>
      <c r="C27" s="43">
        <f>AVERAGE(C23:C25)</f>
        <v>25.033333333333331</v>
      </c>
      <c r="D27" s="43">
        <f t="shared" ref="D27:K27" si="17">AVERAGE(D23:D25)</f>
        <v>55.633333333333333</v>
      </c>
      <c r="E27" s="43">
        <f t="shared" si="17"/>
        <v>51.70000000000001</v>
      </c>
      <c r="F27" s="43">
        <f t="shared" si="17"/>
        <v>22.133333333333336</v>
      </c>
      <c r="G27" s="43">
        <f t="shared" si="17"/>
        <v>34.366666666666667</v>
      </c>
      <c r="H27" s="43"/>
      <c r="I27" s="43">
        <f t="shared" si="17"/>
        <v>50</v>
      </c>
      <c r="J27" s="43">
        <f t="shared" si="17"/>
        <v>100</v>
      </c>
      <c r="K27" s="43">
        <f t="shared" si="17"/>
        <v>50</v>
      </c>
      <c r="L27" s="43"/>
      <c r="M27" s="27"/>
    </row>
    <row r="29" spans="2:13" x14ac:dyDescent="0.25">
      <c r="B29" s="61" t="s">
        <v>140</v>
      </c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</row>
    <row r="30" spans="2:13" ht="66.75" x14ac:dyDescent="0.25">
      <c r="B30" s="22" t="s">
        <v>141</v>
      </c>
      <c r="C30" s="23" t="s">
        <v>142</v>
      </c>
      <c r="D30" s="23" t="s">
        <v>143</v>
      </c>
      <c r="E30" s="23" t="s">
        <v>144</v>
      </c>
      <c r="F30" s="23" t="s">
        <v>145</v>
      </c>
      <c r="G30" s="23" t="s">
        <v>146</v>
      </c>
      <c r="H30" s="23" t="s">
        <v>147</v>
      </c>
      <c r="I30" s="23" t="s">
        <v>148</v>
      </c>
      <c r="J30" s="23" t="s">
        <v>149</v>
      </c>
      <c r="K30" s="23" t="s">
        <v>150</v>
      </c>
      <c r="L30" s="23" t="s">
        <v>151</v>
      </c>
      <c r="M30" s="24"/>
    </row>
    <row r="31" spans="2:13" x14ac:dyDescent="0.25">
      <c r="B31" s="25">
        <v>1990</v>
      </c>
      <c r="C31" s="26">
        <v>22.6</v>
      </c>
      <c r="D31" s="26">
        <v>15.5</v>
      </c>
      <c r="E31" s="26">
        <v>16.3</v>
      </c>
      <c r="F31" s="26">
        <v>19</v>
      </c>
      <c r="G31" s="26">
        <v>19.5</v>
      </c>
      <c r="H31" s="26">
        <v>44</v>
      </c>
      <c r="I31" s="26">
        <v>44</v>
      </c>
      <c r="J31" s="26">
        <v>0</v>
      </c>
      <c r="K31" s="26">
        <v>25</v>
      </c>
      <c r="L31" s="26">
        <v>0</v>
      </c>
      <c r="M31" s="27"/>
    </row>
    <row r="32" spans="2:13" x14ac:dyDescent="0.25">
      <c r="B32" s="25">
        <v>1995</v>
      </c>
      <c r="C32" s="26">
        <v>30.6</v>
      </c>
      <c r="D32" s="26">
        <v>21</v>
      </c>
      <c r="E32" s="26">
        <v>22</v>
      </c>
      <c r="F32" s="26">
        <v>25.8</v>
      </c>
      <c r="G32" s="26">
        <v>26.5</v>
      </c>
      <c r="H32" s="26">
        <v>63</v>
      </c>
      <c r="I32" s="26">
        <v>63</v>
      </c>
      <c r="J32" s="26">
        <v>0</v>
      </c>
      <c r="K32" s="26">
        <v>25</v>
      </c>
      <c r="L32" s="26">
        <v>0</v>
      </c>
      <c r="M32" s="27"/>
    </row>
    <row r="33" spans="2:16" x14ac:dyDescent="0.25">
      <c r="B33" s="25">
        <v>2000</v>
      </c>
      <c r="C33" s="26">
        <v>39</v>
      </c>
      <c r="D33" s="26">
        <v>12.5</v>
      </c>
      <c r="E33" s="26">
        <v>13.2</v>
      </c>
      <c r="F33" s="26">
        <v>16.399999999999999</v>
      </c>
      <c r="G33" s="26">
        <v>16.399999999999999</v>
      </c>
      <c r="H33" s="26">
        <v>80.5</v>
      </c>
      <c r="I33" s="26">
        <v>25.8</v>
      </c>
      <c r="J33" s="26">
        <v>0</v>
      </c>
      <c r="K33" s="26">
        <v>25</v>
      </c>
      <c r="L33" s="26">
        <v>0</v>
      </c>
      <c r="M33" s="27"/>
    </row>
    <row r="34" spans="2:16" x14ac:dyDescent="0.25">
      <c r="B34" s="25">
        <v>2005</v>
      </c>
      <c r="C34" s="26">
        <v>50.8</v>
      </c>
      <c r="D34" s="26">
        <v>5.9</v>
      </c>
      <c r="E34" s="26">
        <v>19.600000000000001</v>
      </c>
      <c r="F34" s="26">
        <v>22.5</v>
      </c>
      <c r="G34" s="26">
        <v>18.899999999999999</v>
      </c>
      <c r="H34" s="26">
        <v>91.3</v>
      </c>
      <c r="I34" s="26">
        <v>31.8</v>
      </c>
      <c r="J34" s="26">
        <v>0</v>
      </c>
      <c r="K34" s="26">
        <v>20.8</v>
      </c>
      <c r="L34" s="26">
        <v>0</v>
      </c>
      <c r="M34" s="27"/>
    </row>
    <row r="35" spans="2:16" x14ac:dyDescent="0.25">
      <c r="B35" s="25">
        <v>2010</v>
      </c>
      <c r="C35" s="26">
        <v>57.1</v>
      </c>
      <c r="D35" s="26">
        <v>11.2</v>
      </c>
      <c r="E35" s="26">
        <v>22.3</v>
      </c>
      <c r="F35" s="26">
        <v>28.6</v>
      </c>
      <c r="G35" s="26">
        <v>16.8</v>
      </c>
      <c r="H35" s="26">
        <v>91.3</v>
      </c>
      <c r="I35" s="26">
        <v>60.4</v>
      </c>
      <c r="J35" s="26">
        <v>0</v>
      </c>
      <c r="K35" s="26">
        <v>12</v>
      </c>
      <c r="L35" s="26">
        <v>0</v>
      </c>
      <c r="M35" s="27"/>
    </row>
    <row r="36" spans="2:16" x14ac:dyDescent="0.25">
      <c r="B36" s="25">
        <v>2015</v>
      </c>
      <c r="C36" s="26">
        <v>60.4</v>
      </c>
      <c r="D36" s="26">
        <v>10</v>
      </c>
      <c r="E36" s="26">
        <v>24.9</v>
      </c>
      <c r="F36" s="26">
        <v>31.4</v>
      </c>
      <c r="G36" s="26">
        <v>16.100000000000001</v>
      </c>
      <c r="H36" s="26">
        <v>81.400000000000006</v>
      </c>
      <c r="I36" s="26">
        <v>49.7</v>
      </c>
      <c r="J36" s="26">
        <v>0</v>
      </c>
      <c r="K36" s="26">
        <v>9.3000000000000007</v>
      </c>
      <c r="L36" s="26">
        <v>0</v>
      </c>
      <c r="M36" s="27"/>
    </row>
    <row r="37" spans="2:16" x14ac:dyDescent="0.25">
      <c r="B37" s="25">
        <v>2019</v>
      </c>
      <c r="C37" s="26">
        <v>64.099999999999994</v>
      </c>
      <c r="D37" s="26">
        <v>9.8000000000000007</v>
      </c>
      <c r="E37" s="26">
        <v>24.2</v>
      </c>
      <c r="F37" s="26">
        <v>36.700000000000003</v>
      </c>
      <c r="G37" s="26">
        <v>16.899999999999999</v>
      </c>
      <c r="H37" s="26">
        <v>78.900000000000006</v>
      </c>
      <c r="I37" s="26">
        <v>46</v>
      </c>
      <c r="J37" s="26">
        <v>0</v>
      </c>
      <c r="K37" s="26">
        <v>6.9</v>
      </c>
      <c r="L37" s="26">
        <v>0</v>
      </c>
      <c r="M37" s="27"/>
    </row>
    <row r="38" spans="2:16" x14ac:dyDescent="0.25">
      <c r="B38" s="25">
        <v>2020</v>
      </c>
      <c r="C38" s="26">
        <v>63.8</v>
      </c>
      <c r="D38" s="26">
        <v>9.8000000000000007</v>
      </c>
      <c r="E38" s="26">
        <v>24</v>
      </c>
      <c r="F38" s="26">
        <v>36.6</v>
      </c>
      <c r="G38" s="26">
        <v>16.899999999999999</v>
      </c>
      <c r="H38" s="26">
        <v>78.3</v>
      </c>
      <c r="I38" s="26">
        <v>45.6</v>
      </c>
      <c r="J38" s="26">
        <v>0</v>
      </c>
      <c r="K38" s="26">
        <v>6.9</v>
      </c>
      <c r="L38" s="26">
        <v>0</v>
      </c>
      <c r="M38" s="27"/>
    </row>
    <row r="39" spans="2:16" x14ac:dyDescent="0.25">
      <c r="B39" s="25">
        <v>2021</v>
      </c>
      <c r="C39" s="26">
        <v>63.7</v>
      </c>
      <c r="D39" s="26">
        <v>9.6999999999999993</v>
      </c>
      <c r="E39" s="26">
        <v>24</v>
      </c>
      <c r="F39" s="26">
        <v>36.5</v>
      </c>
      <c r="G39" s="26">
        <v>16.8</v>
      </c>
      <c r="H39" s="26">
        <v>77.8</v>
      </c>
      <c r="I39" s="26">
        <v>45.4</v>
      </c>
      <c r="J39" s="26">
        <v>0</v>
      </c>
      <c r="K39" s="26">
        <v>6.9</v>
      </c>
      <c r="L39" s="26">
        <v>0</v>
      </c>
      <c r="M39" s="27"/>
    </row>
    <row r="40" spans="2:16" x14ac:dyDescent="0.25">
      <c r="B40" s="42" t="s">
        <v>173</v>
      </c>
      <c r="C40" s="43">
        <f>AVERAGE(C36:C38)</f>
        <v>62.766666666666673</v>
      </c>
      <c r="D40" s="43">
        <f t="shared" ref="D40:L40" si="18">AVERAGE(D36:D38)</f>
        <v>9.8666666666666671</v>
      </c>
      <c r="E40" s="43">
        <f t="shared" si="18"/>
        <v>24.366666666666664</v>
      </c>
      <c r="F40" s="43">
        <f t="shared" si="18"/>
        <v>34.9</v>
      </c>
      <c r="G40" s="43">
        <f t="shared" si="18"/>
        <v>16.633333333333333</v>
      </c>
      <c r="H40" s="43">
        <f t="shared" si="18"/>
        <v>79.533333333333346</v>
      </c>
      <c r="I40" s="43">
        <f t="shared" si="18"/>
        <v>47.1</v>
      </c>
      <c r="J40" s="43">
        <f t="shared" si="18"/>
        <v>0</v>
      </c>
      <c r="K40" s="43">
        <f t="shared" si="18"/>
        <v>7.7</v>
      </c>
      <c r="L40" s="43">
        <f t="shared" si="18"/>
        <v>0</v>
      </c>
      <c r="M40" s="27"/>
    </row>
    <row r="42" spans="2:16" x14ac:dyDescent="0.25">
      <c r="B42" s="55" t="s">
        <v>167</v>
      </c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</row>
    <row r="43" spans="2:16" ht="44.25" x14ac:dyDescent="0.25">
      <c r="B43" s="38" t="s">
        <v>141</v>
      </c>
      <c r="C43" s="39" t="s">
        <v>142</v>
      </c>
      <c r="D43" s="39" t="s">
        <v>143</v>
      </c>
      <c r="E43" s="39" t="s">
        <v>144</v>
      </c>
      <c r="F43" s="39" t="s">
        <v>145</v>
      </c>
      <c r="G43" s="39" t="s">
        <v>146</v>
      </c>
      <c r="H43" s="39" t="s">
        <v>147</v>
      </c>
      <c r="I43" s="39" t="s">
        <v>148</v>
      </c>
      <c r="J43" s="39" t="s">
        <v>168</v>
      </c>
      <c r="K43" s="39" t="s">
        <v>155</v>
      </c>
      <c r="L43" s="39" t="s">
        <v>169</v>
      </c>
      <c r="M43" s="39" t="s">
        <v>156</v>
      </c>
      <c r="N43" s="39" t="s">
        <v>150</v>
      </c>
      <c r="O43" s="39" t="s">
        <v>170</v>
      </c>
      <c r="P43" s="24"/>
    </row>
    <row r="44" spans="2:16" x14ac:dyDescent="0.25">
      <c r="B44" s="25">
        <v>1990</v>
      </c>
      <c r="C44" s="26">
        <v>51.9</v>
      </c>
      <c r="D44" s="26">
        <v>28.9</v>
      </c>
      <c r="E44" s="26">
        <v>30.3</v>
      </c>
      <c r="F44" s="26">
        <v>35.5</v>
      </c>
      <c r="G44" s="26">
        <v>36.4</v>
      </c>
      <c r="H44" s="26">
        <v>54</v>
      </c>
      <c r="I44" s="26">
        <v>45</v>
      </c>
      <c r="J44" s="26">
        <v>50</v>
      </c>
      <c r="K44" s="26">
        <v>0</v>
      </c>
      <c r="L44" s="40">
        <v>100</v>
      </c>
      <c r="M44" s="26">
        <v>33</v>
      </c>
      <c r="N44" s="26">
        <v>55</v>
      </c>
      <c r="O44" s="26">
        <v>0</v>
      </c>
      <c r="P44" s="27"/>
    </row>
    <row r="45" spans="2:16" x14ac:dyDescent="0.25">
      <c r="B45" s="25">
        <v>1995</v>
      </c>
      <c r="C45" s="26">
        <v>43.8</v>
      </c>
      <c r="D45" s="26">
        <v>23.4</v>
      </c>
      <c r="E45" s="26">
        <v>24.5</v>
      </c>
      <c r="F45" s="26">
        <v>28.7</v>
      </c>
      <c r="G45" s="26">
        <v>29.4</v>
      </c>
      <c r="H45" s="26">
        <v>35</v>
      </c>
      <c r="I45" s="26">
        <v>26</v>
      </c>
      <c r="J45" s="26">
        <v>50</v>
      </c>
      <c r="K45" s="26">
        <v>0</v>
      </c>
      <c r="L45" s="40">
        <v>100</v>
      </c>
      <c r="M45" s="26">
        <v>33</v>
      </c>
      <c r="N45" s="26">
        <v>55</v>
      </c>
      <c r="O45" s="26">
        <v>0</v>
      </c>
      <c r="P45" s="27"/>
    </row>
    <row r="46" spans="2:16" x14ac:dyDescent="0.25">
      <c r="B46" s="25">
        <v>2000</v>
      </c>
      <c r="C46" s="26">
        <v>35.299999999999997</v>
      </c>
      <c r="D46" s="26">
        <v>28</v>
      </c>
      <c r="E46" s="26">
        <v>29.5</v>
      </c>
      <c r="F46" s="26">
        <v>36.700000000000003</v>
      </c>
      <c r="G46" s="26">
        <v>36.700000000000003</v>
      </c>
      <c r="H46" s="26">
        <v>18</v>
      </c>
      <c r="I46" s="26">
        <v>67</v>
      </c>
      <c r="J46" s="26">
        <v>50</v>
      </c>
      <c r="K46" s="26">
        <v>0</v>
      </c>
      <c r="L46" s="40">
        <v>100</v>
      </c>
      <c r="M46" s="26">
        <v>33</v>
      </c>
      <c r="N46" s="26">
        <v>55</v>
      </c>
      <c r="O46" s="26">
        <v>0</v>
      </c>
      <c r="P46" s="27"/>
    </row>
    <row r="47" spans="2:16" x14ac:dyDescent="0.25">
      <c r="B47" s="25">
        <v>2005</v>
      </c>
      <c r="C47" s="26">
        <v>22.4</v>
      </c>
      <c r="D47" s="26">
        <v>19</v>
      </c>
      <c r="E47" s="26">
        <v>16.7</v>
      </c>
      <c r="F47" s="26">
        <v>27.2</v>
      </c>
      <c r="G47" s="26">
        <v>22.8</v>
      </c>
      <c r="H47" s="26">
        <v>6.2</v>
      </c>
      <c r="I47" s="26">
        <v>45.6</v>
      </c>
      <c r="J47" s="26">
        <v>50</v>
      </c>
      <c r="K47" s="26">
        <v>0</v>
      </c>
      <c r="L47" s="40">
        <v>100</v>
      </c>
      <c r="M47" s="26">
        <v>33</v>
      </c>
      <c r="N47" s="26">
        <v>72.599999999999994</v>
      </c>
      <c r="O47" s="26">
        <v>0</v>
      </c>
      <c r="P47" s="27"/>
    </row>
    <row r="48" spans="2:16" x14ac:dyDescent="0.25">
      <c r="B48" s="25">
        <v>2010</v>
      </c>
      <c r="C48" s="26">
        <v>16.399999999999999</v>
      </c>
      <c r="D48" s="26">
        <v>20.100000000000001</v>
      </c>
      <c r="E48" s="26">
        <v>15.2</v>
      </c>
      <c r="F48" s="26">
        <v>25.8</v>
      </c>
      <c r="G48" s="26">
        <v>22</v>
      </c>
      <c r="H48" s="26">
        <v>5.2</v>
      </c>
      <c r="I48" s="26">
        <v>30.4</v>
      </c>
      <c r="J48" s="26">
        <v>50</v>
      </c>
      <c r="K48" s="26">
        <v>0</v>
      </c>
      <c r="L48" s="40">
        <v>100</v>
      </c>
      <c r="M48" s="26">
        <v>33</v>
      </c>
      <c r="N48" s="26">
        <v>88</v>
      </c>
      <c r="O48" s="26">
        <v>0</v>
      </c>
      <c r="P48" s="27"/>
    </row>
    <row r="49" spans="2:16" x14ac:dyDescent="0.25">
      <c r="B49" s="25">
        <v>2015</v>
      </c>
      <c r="C49" s="26">
        <v>10.8</v>
      </c>
      <c r="D49" s="26">
        <v>19.899999999999999</v>
      </c>
      <c r="E49" s="26">
        <v>11.9</v>
      </c>
      <c r="F49" s="26">
        <v>25.3</v>
      </c>
      <c r="G49" s="26">
        <v>16.100000000000001</v>
      </c>
      <c r="H49" s="26">
        <v>3.4</v>
      </c>
      <c r="I49" s="26">
        <v>36</v>
      </c>
      <c r="J49" s="26">
        <v>50</v>
      </c>
      <c r="K49" s="26">
        <v>0</v>
      </c>
      <c r="L49" s="40">
        <v>100</v>
      </c>
      <c r="M49" s="26">
        <v>33</v>
      </c>
      <c r="N49" s="26">
        <v>78.099999999999994</v>
      </c>
      <c r="O49" s="26">
        <v>0</v>
      </c>
      <c r="P49" s="27"/>
    </row>
    <row r="50" spans="2:16" x14ac:dyDescent="0.25">
      <c r="B50" s="25">
        <v>2019</v>
      </c>
      <c r="C50" s="26">
        <v>5.0999999999999996</v>
      </c>
      <c r="D50" s="26">
        <v>10.3</v>
      </c>
      <c r="E50" s="26">
        <v>7.9</v>
      </c>
      <c r="F50" s="26">
        <v>10.6</v>
      </c>
      <c r="G50" s="26">
        <v>12</v>
      </c>
      <c r="H50" s="26">
        <v>2.2999999999999998</v>
      </c>
      <c r="I50" s="26">
        <v>23.8</v>
      </c>
      <c r="J50" s="26">
        <v>50</v>
      </c>
      <c r="K50" s="26">
        <v>0</v>
      </c>
      <c r="L50" s="40">
        <v>100</v>
      </c>
      <c r="M50" s="26">
        <v>33</v>
      </c>
      <c r="N50" s="26">
        <v>89.9</v>
      </c>
      <c r="O50" s="26">
        <v>0</v>
      </c>
      <c r="P50" s="27"/>
    </row>
    <row r="51" spans="2:16" x14ac:dyDescent="0.25">
      <c r="B51" s="25">
        <v>2020</v>
      </c>
      <c r="C51" s="26">
        <v>5.0999999999999996</v>
      </c>
      <c r="D51" s="26">
        <v>10.3</v>
      </c>
      <c r="E51" s="26">
        <v>7.9</v>
      </c>
      <c r="F51" s="26">
        <v>10.6</v>
      </c>
      <c r="G51" s="26">
        <v>11.9</v>
      </c>
      <c r="H51" s="26">
        <v>2.2999999999999998</v>
      </c>
      <c r="I51" s="26">
        <v>23.8</v>
      </c>
      <c r="J51" s="26">
        <v>50</v>
      </c>
      <c r="K51" s="26">
        <v>0</v>
      </c>
      <c r="L51" s="40">
        <v>100</v>
      </c>
      <c r="M51" s="26">
        <v>33</v>
      </c>
      <c r="N51" s="26">
        <v>89.9</v>
      </c>
      <c r="O51" s="26">
        <v>0</v>
      </c>
      <c r="P51" s="27"/>
    </row>
    <row r="52" spans="2:16" x14ac:dyDescent="0.25">
      <c r="B52" s="25">
        <v>2021</v>
      </c>
      <c r="C52" s="26">
        <v>5.0999999999999996</v>
      </c>
      <c r="D52" s="26">
        <v>10.3</v>
      </c>
      <c r="E52" s="26">
        <v>7.9</v>
      </c>
      <c r="F52" s="26">
        <v>10.6</v>
      </c>
      <c r="G52" s="26">
        <v>11.9</v>
      </c>
      <c r="H52" s="26">
        <v>2.2999999999999998</v>
      </c>
      <c r="I52" s="26">
        <v>23.8</v>
      </c>
      <c r="J52" s="26">
        <v>50</v>
      </c>
      <c r="K52" s="26">
        <v>0</v>
      </c>
      <c r="L52" s="40">
        <v>100</v>
      </c>
      <c r="M52" s="26">
        <v>33</v>
      </c>
      <c r="N52" s="26">
        <v>89.9</v>
      </c>
      <c r="O52" s="26">
        <v>0</v>
      </c>
      <c r="P52" s="27"/>
    </row>
    <row r="53" spans="2:16" x14ac:dyDescent="0.25">
      <c r="B53" s="42" t="s">
        <v>173</v>
      </c>
      <c r="C53" s="43">
        <f>AVERAGE(C49:C51)</f>
        <v>7</v>
      </c>
      <c r="D53" s="43">
        <f t="shared" ref="D53:O53" si="19">AVERAGE(D49:D51)</f>
        <v>13.5</v>
      </c>
      <c r="E53" s="43">
        <f t="shared" si="19"/>
        <v>9.2333333333333343</v>
      </c>
      <c r="F53" s="43">
        <f t="shared" si="19"/>
        <v>15.5</v>
      </c>
      <c r="G53" s="43">
        <f t="shared" si="19"/>
        <v>13.333333333333334</v>
      </c>
      <c r="H53" s="43">
        <f t="shared" si="19"/>
        <v>2.6666666666666665</v>
      </c>
      <c r="I53" s="43">
        <f t="shared" si="19"/>
        <v>27.866666666666664</v>
      </c>
      <c r="J53" s="43">
        <f t="shared" si="19"/>
        <v>50</v>
      </c>
      <c r="K53" s="43">
        <f t="shared" si="19"/>
        <v>0</v>
      </c>
      <c r="L53" s="43">
        <f t="shared" si="19"/>
        <v>100</v>
      </c>
      <c r="M53" s="43">
        <f t="shared" si="19"/>
        <v>33</v>
      </c>
      <c r="N53" s="43">
        <f t="shared" si="19"/>
        <v>85.966666666666654</v>
      </c>
      <c r="O53" s="43">
        <f t="shared" si="19"/>
        <v>0</v>
      </c>
      <c r="P53" s="27"/>
    </row>
    <row r="55" spans="2:16" x14ac:dyDescent="0.25">
      <c r="B55" s="61" t="s">
        <v>171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</row>
    <row r="56" spans="2:16" ht="66.75" x14ac:dyDescent="0.25">
      <c r="B56" s="41" t="s">
        <v>141</v>
      </c>
      <c r="C56" s="39" t="s">
        <v>142</v>
      </c>
      <c r="D56" s="39" t="s">
        <v>143</v>
      </c>
      <c r="E56" s="39" t="s">
        <v>144</v>
      </c>
      <c r="F56" s="39" t="s">
        <v>145</v>
      </c>
      <c r="G56" s="39" t="s">
        <v>146</v>
      </c>
      <c r="H56" s="39" t="s">
        <v>147</v>
      </c>
      <c r="I56" s="39" t="s">
        <v>148</v>
      </c>
      <c r="J56" s="39" t="s">
        <v>172</v>
      </c>
      <c r="K56" s="39" t="s">
        <v>156</v>
      </c>
      <c r="L56" s="39" t="s">
        <v>150</v>
      </c>
      <c r="M56" s="39" t="s">
        <v>170</v>
      </c>
      <c r="N56" s="24"/>
    </row>
    <row r="57" spans="2:16" x14ac:dyDescent="0.25">
      <c r="B57" s="30">
        <v>1990</v>
      </c>
      <c r="C57" s="26">
        <v>0.8</v>
      </c>
      <c r="D57" s="26">
        <v>7.2</v>
      </c>
      <c r="E57" s="26">
        <v>7.6</v>
      </c>
      <c r="F57" s="26">
        <v>8.9</v>
      </c>
      <c r="G57" s="26">
        <v>9.1</v>
      </c>
      <c r="H57" s="26">
        <v>2</v>
      </c>
      <c r="I57" s="26">
        <v>11</v>
      </c>
      <c r="J57" s="26">
        <v>0</v>
      </c>
      <c r="K57" s="26">
        <v>2</v>
      </c>
      <c r="L57" s="26">
        <v>20</v>
      </c>
      <c r="M57" s="32">
        <v>100</v>
      </c>
      <c r="N57" s="27"/>
    </row>
    <row r="58" spans="2:16" x14ac:dyDescent="0.25">
      <c r="B58" s="30">
        <v>1995</v>
      </c>
      <c r="C58" s="26">
        <v>0.8</v>
      </c>
      <c r="D58" s="26">
        <v>7.2</v>
      </c>
      <c r="E58" s="26">
        <v>7.6</v>
      </c>
      <c r="F58" s="26">
        <v>8.9</v>
      </c>
      <c r="G58" s="26">
        <v>9.1</v>
      </c>
      <c r="H58" s="26">
        <v>2</v>
      </c>
      <c r="I58" s="26">
        <v>11</v>
      </c>
      <c r="J58" s="26">
        <v>0</v>
      </c>
      <c r="K58" s="26">
        <v>2</v>
      </c>
      <c r="L58" s="26">
        <v>20</v>
      </c>
      <c r="M58" s="32">
        <v>100</v>
      </c>
      <c r="N58" s="27"/>
    </row>
    <row r="59" spans="2:16" x14ac:dyDescent="0.25">
      <c r="B59" s="30">
        <v>2000</v>
      </c>
      <c r="C59" s="26">
        <v>0.8</v>
      </c>
      <c r="D59" s="26">
        <v>7.7</v>
      </c>
      <c r="E59" s="26">
        <v>8.1</v>
      </c>
      <c r="F59" s="26">
        <v>10.1</v>
      </c>
      <c r="G59" s="26">
        <v>10.1</v>
      </c>
      <c r="H59" s="26">
        <v>1</v>
      </c>
      <c r="I59" s="26">
        <v>7</v>
      </c>
      <c r="J59" s="26">
        <v>0</v>
      </c>
      <c r="K59" s="26">
        <v>2</v>
      </c>
      <c r="L59" s="26">
        <v>20</v>
      </c>
      <c r="M59" s="32">
        <v>100</v>
      </c>
      <c r="N59" s="27"/>
    </row>
    <row r="60" spans="2:16" x14ac:dyDescent="0.25">
      <c r="B60" s="30">
        <v>2005</v>
      </c>
      <c r="C60" s="26">
        <v>0.4</v>
      </c>
      <c r="D60" s="26">
        <v>16</v>
      </c>
      <c r="E60" s="26">
        <v>9.8000000000000007</v>
      </c>
      <c r="F60" s="26">
        <v>19.899999999999999</v>
      </c>
      <c r="G60" s="26">
        <v>21.6</v>
      </c>
      <c r="H60" s="26">
        <v>1.3</v>
      </c>
      <c r="I60" s="26">
        <v>22.1</v>
      </c>
      <c r="J60" s="26">
        <v>0</v>
      </c>
      <c r="K60" s="26">
        <v>2</v>
      </c>
      <c r="L60" s="26">
        <v>6.6</v>
      </c>
      <c r="M60" s="32">
        <v>100</v>
      </c>
      <c r="N60" s="27"/>
    </row>
    <row r="61" spans="2:16" x14ac:dyDescent="0.25">
      <c r="B61" s="30">
        <v>2010</v>
      </c>
      <c r="C61" s="26">
        <v>0.8</v>
      </c>
      <c r="D61" s="26">
        <v>14.5</v>
      </c>
      <c r="E61" s="26">
        <v>10.5</v>
      </c>
      <c r="F61" s="26">
        <v>18.8</v>
      </c>
      <c r="G61" s="26">
        <v>29.5</v>
      </c>
      <c r="H61" s="26">
        <v>0.9</v>
      </c>
      <c r="I61" s="26">
        <v>7.4</v>
      </c>
      <c r="J61" s="26">
        <v>0</v>
      </c>
      <c r="K61" s="26">
        <v>2</v>
      </c>
      <c r="L61" s="26">
        <v>0</v>
      </c>
      <c r="M61" s="32">
        <v>100</v>
      </c>
      <c r="N61" s="27"/>
    </row>
    <row r="62" spans="2:16" x14ac:dyDescent="0.25">
      <c r="B62" s="30">
        <v>2015</v>
      </c>
      <c r="C62" s="26">
        <v>0.9</v>
      </c>
      <c r="D62" s="26">
        <v>17.100000000000001</v>
      </c>
      <c r="E62" s="26">
        <v>11.9</v>
      </c>
      <c r="F62" s="26">
        <v>22.4</v>
      </c>
      <c r="G62" s="26">
        <v>34.5</v>
      </c>
      <c r="H62" s="26">
        <v>1.5</v>
      </c>
      <c r="I62" s="26">
        <v>6</v>
      </c>
      <c r="J62" s="26">
        <v>0</v>
      </c>
      <c r="K62" s="26">
        <v>2</v>
      </c>
      <c r="L62" s="26">
        <v>12.6</v>
      </c>
      <c r="M62" s="32">
        <v>100</v>
      </c>
      <c r="N62" s="27"/>
    </row>
    <row r="63" spans="2:16" x14ac:dyDescent="0.25">
      <c r="B63" s="30">
        <v>2019</v>
      </c>
      <c r="C63" s="26">
        <v>1</v>
      </c>
      <c r="D63" s="26">
        <v>21.3</v>
      </c>
      <c r="E63" s="26">
        <v>13.3</v>
      </c>
      <c r="F63" s="26">
        <v>25.6</v>
      </c>
      <c r="G63" s="26">
        <v>33.5</v>
      </c>
      <c r="H63" s="26">
        <v>1</v>
      </c>
      <c r="I63" s="26">
        <v>19.8</v>
      </c>
      <c r="J63" s="26">
        <v>0</v>
      </c>
      <c r="K63" s="26">
        <v>2</v>
      </c>
      <c r="L63" s="26">
        <v>3.2</v>
      </c>
      <c r="M63" s="32">
        <v>100</v>
      </c>
      <c r="N63" s="27"/>
    </row>
    <row r="64" spans="2:16" x14ac:dyDescent="0.25">
      <c r="B64" s="30">
        <v>2020</v>
      </c>
      <c r="C64" s="26">
        <v>1</v>
      </c>
      <c r="D64" s="26">
        <v>21.3</v>
      </c>
      <c r="E64" s="26">
        <v>13.3</v>
      </c>
      <c r="F64" s="26">
        <v>25.6</v>
      </c>
      <c r="G64" s="26">
        <v>33.5</v>
      </c>
      <c r="H64" s="26">
        <v>1</v>
      </c>
      <c r="I64" s="26">
        <v>19.8</v>
      </c>
      <c r="J64" s="26">
        <v>0</v>
      </c>
      <c r="K64" s="26">
        <v>2</v>
      </c>
      <c r="L64" s="26">
        <v>3.2</v>
      </c>
      <c r="M64" s="32">
        <v>100</v>
      </c>
      <c r="N64" s="27"/>
    </row>
    <row r="65" spans="2:14" x14ac:dyDescent="0.25">
      <c r="B65" s="30">
        <v>2021</v>
      </c>
      <c r="C65" s="26">
        <v>1</v>
      </c>
      <c r="D65" s="26">
        <v>21.2</v>
      </c>
      <c r="E65" s="26">
        <v>13.3</v>
      </c>
      <c r="F65" s="26">
        <v>25.6</v>
      </c>
      <c r="G65" s="26">
        <v>33.5</v>
      </c>
      <c r="H65" s="26">
        <v>1</v>
      </c>
      <c r="I65" s="26">
        <v>19.8</v>
      </c>
      <c r="J65" s="26">
        <v>0</v>
      </c>
      <c r="K65" s="26">
        <v>2</v>
      </c>
      <c r="L65" s="26">
        <v>3.2</v>
      </c>
      <c r="M65" s="32">
        <v>100</v>
      </c>
      <c r="N65" s="27"/>
    </row>
    <row r="66" spans="2:14" x14ac:dyDescent="0.25">
      <c r="B66" s="42" t="s">
        <v>173</v>
      </c>
      <c r="C66" s="43">
        <f>AVERAGE(C62:C64)</f>
        <v>0.96666666666666667</v>
      </c>
      <c r="D66" s="43">
        <f t="shared" ref="D66:M66" si="20">AVERAGE(D62:D64)</f>
        <v>19.900000000000002</v>
      </c>
      <c r="E66" s="43">
        <f t="shared" si="20"/>
        <v>12.833333333333334</v>
      </c>
      <c r="F66" s="43">
        <f t="shared" si="20"/>
        <v>24.533333333333331</v>
      </c>
      <c r="G66" s="43">
        <f t="shared" si="20"/>
        <v>33.833333333333336</v>
      </c>
      <c r="H66" s="43">
        <f t="shared" si="20"/>
        <v>1.1666666666666667</v>
      </c>
      <c r="I66" s="43">
        <f t="shared" si="20"/>
        <v>15.200000000000001</v>
      </c>
      <c r="J66" s="43">
        <f t="shared" si="20"/>
        <v>0</v>
      </c>
      <c r="K66" s="43">
        <f t="shared" si="20"/>
        <v>2</v>
      </c>
      <c r="L66" s="43">
        <f t="shared" si="20"/>
        <v>6.333333333333333</v>
      </c>
      <c r="M66" s="43">
        <f t="shared" si="20"/>
        <v>100</v>
      </c>
      <c r="N66" s="27"/>
    </row>
    <row r="68" spans="2:14" ht="22.5" customHeight="1" x14ac:dyDescent="0.25">
      <c r="B68" s="55" t="s">
        <v>160</v>
      </c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</row>
    <row r="69" spans="2:14" ht="24" x14ac:dyDescent="0.25">
      <c r="B69" s="56" t="s">
        <v>141</v>
      </c>
      <c r="C69" s="58" t="s">
        <v>161</v>
      </c>
      <c r="D69" s="59"/>
      <c r="E69" s="59"/>
      <c r="F69" s="59"/>
      <c r="G69" s="59"/>
      <c r="H69" s="59"/>
      <c r="I69" s="59"/>
      <c r="J69" s="59"/>
      <c r="K69" s="60"/>
      <c r="L69" s="33" t="s">
        <v>162</v>
      </c>
      <c r="M69" s="34"/>
    </row>
    <row r="70" spans="2:14" ht="49.5" x14ac:dyDescent="0.25">
      <c r="B70" s="57"/>
      <c r="C70" s="23" t="s">
        <v>142</v>
      </c>
      <c r="D70" s="35" t="s">
        <v>143</v>
      </c>
      <c r="E70" s="35" t="s">
        <v>144</v>
      </c>
      <c r="F70" s="35" t="s">
        <v>145</v>
      </c>
      <c r="G70" s="35" t="s">
        <v>146</v>
      </c>
      <c r="H70" s="23" t="s">
        <v>163</v>
      </c>
      <c r="I70" s="35" t="s">
        <v>147</v>
      </c>
      <c r="J70" s="35" t="s">
        <v>148</v>
      </c>
      <c r="K70" s="23" t="s">
        <v>153</v>
      </c>
      <c r="L70" s="23" t="s">
        <v>156</v>
      </c>
      <c r="M70" s="24"/>
    </row>
    <row r="71" spans="2:14" x14ac:dyDescent="0.25">
      <c r="B71" s="30">
        <v>1990</v>
      </c>
      <c r="C71" s="26">
        <v>0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15</v>
      </c>
      <c r="M71" s="27"/>
    </row>
    <row r="72" spans="2:14" x14ac:dyDescent="0.25">
      <c r="B72" s="30">
        <v>1995</v>
      </c>
      <c r="C72" s="26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15</v>
      </c>
      <c r="M72" s="27"/>
    </row>
    <row r="73" spans="2:14" x14ac:dyDescent="0.25">
      <c r="B73" s="30">
        <v>2000</v>
      </c>
      <c r="C73" s="26">
        <v>0</v>
      </c>
      <c r="D73" s="26">
        <v>0</v>
      </c>
      <c r="E73" s="26">
        <v>0</v>
      </c>
      <c r="F73" s="26">
        <v>0</v>
      </c>
      <c r="G73" s="26">
        <v>0</v>
      </c>
      <c r="H73" s="26">
        <v>0</v>
      </c>
      <c r="I73" s="26">
        <v>0.2</v>
      </c>
      <c r="J73" s="26">
        <v>0.1</v>
      </c>
      <c r="K73" s="26">
        <v>0.1</v>
      </c>
      <c r="L73" s="26">
        <v>15</v>
      </c>
      <c r="M73" s="27"/>
    </row>
    <row r="74" spans="2:14" x14ac:dyDescent="0.25">
      <c r="B74" s="30">
        <v>2005</v>
      </c>
      <c r="C74" s="26">
        <v>0.1</v>
      </c>
      <c r="D74" s="26">
        <v>0</v>
      </c>
      <c r="E74" s="26">
        <v>0</v>
      </c>
      <c r="F74" s="26">
        <v>0.1</v>
      </c>
      <c r="G74" s="26">
        <v>0.1</v>
      </c>
      <c r="H74" s="26">
        <v>0</v>
      </c>
      <c r="I74" s="26">
        <v>0.4</v>
      </c>
      <c r="J74" s="26">
        <v>0.1</v>
      </c>
      <c r="K74" s="26">
        <v>0.3</v>
      </c>
      <c r="L74" s="26">
        <v>15</v>
      </c>
      <c r="M74" s="27"/>
    </row>
    <row r="75" spans="2:14" x14ac:dyDescent="0.25">
      <c r="B75" s="30">
        <v>2010</v>
      </c>
      <c r="C75" s="26">
        <v>0.2</v>
      </c>
      <c r="D75" s="26">
        <v>0.1</v>
      </c>
      <c r="E75" s="26">
        <v>0.1</v>
      </c>
      <c r="F75" s="26">
        <v>0.1</v>
      </c>
      <c r="G75" s="26">
        <v>0.1</v>
      </c>
      <c r="H75" s="26">
        <v>0.1</v>
      </c>
      <c r="I75" s="26">
        <v>0.8</v>
      </c>
      <c r="J75" s="26">
        <v>0.6</v>
      </c>
      <c r="K75" s="26">
        <v>0.8</v>
      </c>
      <c r="L75" s="26">
        <v>15</v>
      </c>
      <c r="M75" s="27"/>
    </row>
    <row r="76" spans="2:14" x14ac:dyDescent="0.25">
      <c r="B76" s="30">
        <v>2015</v>
      </c>
      <c r="C76" s="26">
        <v>1.2</v>
      </c>
      <c r="D76" s="26">
        <v>0.3</v>
      </c>
      <c r="E76" s="26">
        <v>0.6</v>
      </c>
      <c r="F76" s="26">
        <v>0.8</v>
      </c>
      <c r="G76" s="26">
        <v>0.5</v>
      </c>
      <c r="H76" s="26">
        <v>0.5</v>
      </c>
      <c r="I76" s="26">
        <v>4.7</v>
      </c>
      <c r="J76" s="26">
        <v>2.9</v>
      </c>
      <c r="K76" s="26">
        <v>4.2</v>
      </c>
      <c r="L76" s="26">
        <v>15</v>
      </c>
      <c r="M76" s="27"/>
    </row>
    <row r="77" spans="2:14" x14ac:dyDescent="0.25">
      <c r="B77" s="30">
        <v>2019</v>
      </c>
      <c r="C77" s="26">
        <v>1.4</v>
      </c>
      <c r="D77" s="26">
        <v>0.4</v>
      </c>
      <c r="E77" s="26">
        <v>0.6</v>
      </c>
      <c r="F77" s="26">
        <v>1</v>
      </c>
      <c r="G77" s="26">
        <v>0.6</v>
      </c>
      <c r="H77" s="26">
        <v>0.6</v>
      </c>
      <c r="I77" s="26">
        <v>5.7</v>
      </c>
      <c r="J77" s="26">
        <v>3.3</v>
      </c>
      <c r="K77" s="26">
        <v>5.0999999999999996</v>
      </c>
      <c r="L77" s="26">
        <v>15</v>
      </c>
      <c r="M77" s="27"/>
    </row>
    <row r="78" spans="2:14" x14ac:dyDescent="0.25">
      <c r="B78" s="30">
        <v>2020</v>
      </c>
      <c r="C78" s="26">
        <v>1.7</v>
      </c>
      <c r="D78" s="26">
        <v>0.5</v>
      </c>
      <c r="E78" s="26">
        <v>0.8</v>
      </c>
      <c r="F78" s="26">
        <v>1.2</v>
      </c>
      <c r="G78" s="26">
        <v>0.7</v>
      </c>
      <c r="H78" s="26">
        <v>0.7</v>
      </c>
      <c r="I78" s="26">
        <v>6.6</v>
      </c>
      <c r="J78" s="26">
        <v>3.8</v>
      </c>
      <c r="K78" s="26">
        <v>5.9</v>
      </c>
      <c r="L78" s="26">
        <v>15</v>
      </c>
      <c r="M78" s="27"/>
    </row>
    <row r="79" spans="2:14" x14ac:dyDescent="0.25">
      <c r="B79" s="30">
        <v>2021</v>
      </c>
      <c r="C79" s="26">
        <v>2</v>
      </c>
      <c r="D79" s="26">
        <v>0.5</v>
      </c>
      <c r="E79" s="26">
        <v>0.9</v>
      </c>
      <c r="F79" s="26">
        <v>1.4</v>
      </c>
      <c r="G79" s="26">
        <v>0.9</v>
      </c>
      <c r="H79" s="26">
        <v>0.9</v>
      </c>
      <c r="I79" s="26">
        <v>7.6</v>
      </c>
      <c r="J79" s="26">
        <v>4.5</v>
      </c>
      <c r="K79" s="26">
        <v>6.8</v>
      </c>
      <c r="L79" s="26">
        <v>15</v>
      </c>
      <c r="M79" s="27"/>
    </row>
    <row r="80" spans="2:14" x14ac:dyDescent="0.25">
      <c r="B80" s="42" t="s">
        <v>173</v>
      </c>
      <c r="C80" s="43">
        <f>AVERAGE(C76:C78)</f>
        <v>1.4333333333333333</v>
      </c>
      <c r="D80" s="43">
        <f t="shared" ref="D80:L80" si="21">AVERAGE(D76:D78)</f>
        <v>0.39999999999999997</v>
      </c>
      <c r="E80" s="43">
        <f t="shared" si="21"/>
        <v>0.66666666666666663</v>
      </c>
      <c r="F80" s="43">
        <f t="shared" si="21"/>
        <v>1</v>
      </c>
      <c r="G80" s="43">
        <f t="shared" si="21"/>
        <v>0.6</v>
      </c>
      <c r="H80" s="43">
        <f t="shared" si="21"/>
        <v>0.6</v>
      </c>
      <c r="I80" s="43">
        <f t="shared" si="21"/>
        <v>5.666666666666667</v>
      </c>
      <c r="J80" s="43">
        <f t="shared" si="21"/>
        <v>3.3333333333333335</v>
      </c>
      <c r="K80" s="43">
        <f t="shared" si="21"/>
        <v>5.0666666666666673</v>
      </c>
      <c r="L80" s="43">
        <f t="shared" si="21"/>
        <v>15</v>
      </c>
      <c r="M80" s="27"/>
    </row>
    <row r="82" spans="2:12" ht="28.5" customHeight="1" x14ac:dyDescent="0.25">
      <c r="B82" s="61" t="s">
        <v>164</v>
      </c>
      <c r="C82" s="61"/>
      <c r="D82" s="61"/>
      <c r="E82" s="61"/>
      <c r="F82" s="61"/>
      <c r="G82" s="61"/>
      <c r="H82" s="61"/>
      <c r="I82" s="61"/>
      <c r="J82" s="61"/>
      <c r="K82" s="61"/>
      <c r="L82" s="61"/>
    </row>
    <row r="83" spans="2:12" x14ac:dyDescent="0.25">
      <c r="B83" s="62"/>
      <c r="C83" s="64" t="s">
        <v>165</v>
      </c>
      <c r="D83" s="65"/>
      <c r="E83" s="65"/>
      <c r="F83" s="65"/>
      <c r="G83" s="65"/>
      <c r="H83" s="65"/>
      <c r="I83" s="65"/>
      <c r="J83" s="65"/>
      <c r="K83" s="66"/>
      <c r="L83" s="27"/>
    </row>
    <row r="84" spans="2:12" ht="42" x14ac:dyDescent="0.25">
      <c r="B84" s="63"/>
      <c r="C84" s="36" t="s">
        <v>142</v>
      </c>
      <c r="D84" s="37" t="s">
        <v>143</v>
      </c>
      <c r="E84" s="37" t="s">
        <v>144</v>
      </c>
      <c r="F84" s="37" t="s">
        <v>145</v>
      </c>
      <c r="G84" s="37" t="s">
        <v>146</v>
      </c>
      <c r="H84" s="36" t="s">
        <v>163</v>
      </c>
      <c r="I84" s="37" t="s">
        <v>166</v>
      </c>
      <c r="J84" s="37" t="s">
        <v>148</v>
      </c>
      <c r="K84" s="36" t="s">
        <v>153</v>
      </c>
      <c r="L84" s="24"/>
    </row>
    <row r="85" spans="2:12" x14ac:dyDescent="0.25">
      <c r="B85" s="30">
        <v>1990</v>
      </c>
      <c r="C85" s="26">
        <v>0</v>
      </c>
      <c r="D85" s="26">
        <v>0</v>
      </c>
      <c r="E85" s="26">
        <v>0</v>
      </c>
      <c r="F85" s="26">
        <v>0</v>
      </c>
      <c r="G85" s="26">
        <v>0</v>
      </c>
      <c r="H85" s="26">
        <v>0</v>
      </c>
      <c r="I85" s="26">
        <v>0</v>
      </c>
      <c r="J85" s="26">
        <v>0</v>
      </c>
      <c r="K85" s="26">
        <v>0</v>
      </c>
      <c r="L85" s="34"/>
    </row>
    <row r="86" spans="2:12" x14ac:dyDescent="0.25">
      <c r="B86" s="30">
        <v>1995</v>
      </c>
      <c r="C86" s="26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7"/>
    </row>
    <row r="87" spans="2:12" x14ac:dyDescent="0.25">
      <c r="B87" s="30">
        <v>2000</v>
      </c>
      <c r="C87" s="26">
        <v>0.1</v>
      </c>
      <c r="D87" s="26">
        <v>0</v>
      </c>
      <c r="E87" s="26">
        <v>0</v>
      </c>
      <c r="F87" s="26">
        <v>0.1</v>
      </c>
      <c r="G87" s="26">
        <v>0.1</v>
      </c>
      <c r="H87" s="26">
        <v>0</v>
      </c>
      <c r="I87" s="26">
        <v>0.4</v>
      </c>
      <c r="J87" s="26">
        <v>0.1</v>
      </c>
      <c r="K87" s="26">
        <v>0.3</v>
      </c>
      <c r="L87" s="34"/>
    </row>
    <row r="88" spans="2:12" x14ac:dyDescent="0.25">
      <c r="B88" s="30">
        <v>2005</v>
      </c>
      <c r="C88" s="26">
        <v>0.2</v>
      </c>
      <c r="D88" s="26">
        <v>0.1</v>
      </c>
      <c r="E88" s="26">
        <v>0.1</v>
      </c>
      <c r="F88" s="26">
        <v>0.1</v>
      </c>
      <c r="G88" s="26">
        <v>0.1</v>
      </c>
      <c r="H88" s="26">
        <v>0.1</v>
      </c>
      <c r="I88" s="26">
        <v>0.9</v>
      </c>
      <c r="J88" s="26">
        <v>0.3</v>
      </c>
      <c r="K88" s="26">
        <v>0.7</v>
      </c>
      <c r="L88" s="27"/>
    </row>
    <row r="89" spans="2:12" x14ac:dyDescent="0.25">
      <c r="B89" s="30">
        <v>2010</v>
      </c>
      <c r="C89" s="26">
        <v>0.5</v>
      </c>
      <c r="D89" s="26">
        <v>0.1</v>
      </c>
      <c r="E89" s="26">
        <v>0.2</v>
      </c>
      <c r="F89" s="26">
        <v>0.3</v>
      </c>
      <c r="G89" s="26">
        <v>0.2</v>
      </c>
      <c r="H89" s="26">
        <v>0.2</v>
      </c>
      <c r="I89" s="26">
        <v>1.8</v>
      </c>
      <c r="J89" s="26">
        <v>1.2</v>
      </c>
      <c r="K89" s="26">
        <v>1.6</v>
      </c>
      <c r="L89" s="34"/>
    </row>
    <row r="90" spans="2:12" x14ac:dyDescent="0.25">
      <c r="B90" s="30">
        <v>2015</v>
      </c>
      <c r="C90" s="26">
        <v>2.2000000000000002</v>
      </c>
      <c r="D90" s="26">
        <v>0.6</v>
      </c>
      <c r="E90" s="26">
        <v>1.1000000000000001</v>
      </c>
      <c r="F90" s="26">
        <v>1.5</v>
      </c>
      <c r="G90" s="26">
        <v>1</v>
      </c>
      <c r="H90" s="26">
        <v>1</v>
      </c>
      <c r="I90" s="26">
        <v>8.9</v>
      </c>
      <c r="J90" s="26">
        <v>5.5</v>
      </c>
      <c r="K90" s="26">
        <v>8</v>
      </c>
      <c r="L90" s="34"/>
    </row>
    <row r="91" spans="2:12" x14ac:dyDescent="0.25">
      <c r="B91" s="30">
        <v>2019</v>
      </c>
      <c r="C91" s="26">
        <v>3</v>
      </c>
      <c r="D91" s="26">
        <v>0.8</v>
      </c>
      <c r="E91" s="26">
        <v>1.3</v>
      </c>
      <c r="F91" s="26">
        <v>2.1</v>
      </c>
      <c r="G91" s="26">
        <v>1.3</v>
      </c>
      <c r="H91" s="26">
        <v>1.3</v>
      </c>
      <c r="I91" s="26">
        <v>12.1</v>
      </c>
      <c r="J91" s="26">
        <v>7</v>
      </c>
      <c r="K91" s="26">
        <v>10.8</v>
      </c>
      <c r="L91" s="27"/>
    </row>
    <row r="92" spans="2:12" x14ac:dyDescent="0.25">
      <c r="B92" s="30">
        <v>2020</v>
      </c>
      <c r="C92" s="26">
        <v>3</v>
      </c>
      <c r="D92" s="26">
        <v>0.8</v>
      </c>
      <c r="E92" s="26">
        <v>1.4</v>
      </c>
      <c r="F92" s="26">
        <v>2.1</v>
      </c>
      <c r="G92" s="26">
        <v>1.3</v>
      </c>
      <c r="H92" s="26">
        <v>1.3</v>
      </c>
      <c r="I92" s="26">
        <v>11.9</v>
      </c>
      <c r="J92" s="26">
        <v>6.9</v>
      </c>
      <c r="K92" s="26">
        <v>10.6</v>
      </c>
      <c r="L92" s="34"/>
    </row>
    <row r="93" spans="2:12" x14ac:dyDescent="0.25">
      <c r="B93" s="30">
        <v>2021</v>
      </c>
      <c r="C93" s="26">
        <v>2.9</v>
      </c>
      <c r="D93" s="26">
        <v>0.8</v>
      </c>
      <c r="E93" s="26">
        <v>1.3</v>
      </c>
      <c r="F93" s="26">
        <v>2</v>
      </c>
      <c r="G93" s="26">
        <v>1.3</v>
      </c>
      <c r="H93" s="26">
        <v>1.3</v>
      </c>
      <c r="I93" s="26">
        <v>11.3</v>
      </c>
      <c r="J93" s="26">
        <v>6.6</v>
      </c>
      <c r="K93" s="26">
        <v>10.1</v>
      </c>
      <c r="L93" s="27"/>
    </row>
    <row r="94" spans="2:12" x14ac:dyDescent="0.25">
      <c r="B94" s="42" t="s">
        <v>173</v>
      </c>
      <c r="C94" s="43">
        <f>AVERAGE(C90:C92)</f>
        <v>2.7333333333333329</v>
      </c>
      <c r="D94" s="43">
        <f t="shared" ref="D94:K94" si="22">AVERAGE(D90:D92)</f>
        <v>0.73333333333333339</v>
      </c>
      <c r="E94" s="43">
        <f t="shared" si="22"/>
        <v>1.2666666666666668</v>
      </c>
      <c r="F94" s="43">
        <f t="shared" si="22"/>
        <v>1.9000000000000001</v>
      </c>
      <c r="G94" s="43">
        <f t="shared" si="22"/>
        <v>1.2</v>
      </c>
      <c r="H94" s="43">
        <f t="shared" si="22"/>
        <v>1.2</v>
      </c>
      <c r="I94" s="43">
        <f t="shared" si="22"/>
        <v>10.966666666666667</v>
      </c>
      <c r="J94" s="43">
        <f t="shared" si="22"/>
        <v>6.4666666666666659</v>
      </c>
      <c r="K94" s="43">
        <f t="shared" si="22"/>
        <v>9.7999999999999989</v>
      </c>
    </row>
  </sheetData>
  <mergeCells count="10">
    <mergeCell ref="B83:B84"/>
    <mergeCell ref="C83:K83"/>
    <mergeCell ref="B42:P42"/>
    <mergeCell ref="B55:N55"/>
    <mergeCell ref="B29:M29"/>
    <mergeCell ref="B16:M16"/>
    <mergeCell ref="B68:M68"/>
    <mergeCell ref="B69:B70"/>
    <mergeCell ref="C69:K69"/>
    <mergeCell ref="B82:L8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references</vt:lpstr>
      <vt:lpstr>default</vt:lpstr>
      <vt:lpstr>MMS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Karlsson</dc:creator>
  <cp:lastModifiedBy>Johan Karlsson</cp:lastModifiedBy>
  <dcterms:created xsi:type="dcterms:W3CDTF">2023-01-11T08:41:16Z</dcterms:created>
  <dcterms:modified xsi:type="dcterms:W3CDTF">2023-11-22T20:35:50Z</dcterms:modified>
</cp:coreProperties>
</file>