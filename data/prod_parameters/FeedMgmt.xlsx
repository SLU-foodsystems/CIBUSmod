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2" i="1" l="1"/>
  <c r="J68" i="1"/>
  <c r="J78" i="1"/>
  <c r="J73" i="1"/>
  <c r="J65" i="1"/>
  <c r="J29" i="1"/>
  <c r="C25" i="2"/>
  <c r="L25" i="2"/>
  <c r="M25" i="2"/>
  <c r="L26" i="2"/>
  <c r="M26" i="2"/>
  <c r="K25" i="2"/>
  <c r="J23" i="1"/>
  <c r="L17" i="2"/>
  <c r="C17" i="2" s="1"/>
  <c r="J14" i="1" s="1"/>
  <c r="C31" i="2"/>
  <c r="K17" i="2"/>
  <c r="M17" i="2" s="1"/>
  <c r="E17" i="2"/>
  <c r="J135" i="1" l="1"/>
  <c r="J34" i="1"/>
  <c r="J9" i="1"/>
  <c r="J8" i="1"/>
  <c r="J5" i="1"/>
  <c r="J6" i="1"/>
  <c r="J7" i="1"/>
  <c r="J4" i="1"/>
  <c r="J56" i="1"/>
  <c r="J57" i="1"/>
  <c r="J58" i="1"/>
  <c r="J59" i="1"/>
  <c r="J55" i="1"/>
  <c r="E23" i="2"/>
  <c r="H23" i="2" s="1"/>
  <c r="J98" i="1" s="1"/>
  <c r="K36" i="2"/>
  <c r="L36" i="2" s="1"/>
  <c r="C36" i="2" s="1"/>
  <c r="F23" i="2" l="1"/>
  <c r="C23" i="2" s="1"/>
  <c r="J20" i="1" s="1"/>
  <c r="G23" i="2"/>
  <c r="J125" i="1" s="1"/>
  <c r="M36" i="2"/>
  <c r="J81" i="1" s="1"/>
  <c r="K39" i="2" l="1"/>
  <c r="M39" i="2" s="1"/>
  <c r="J84" i="1" s="1"/>
  <c r="K14" i="2"/>
  <c r="L14" i="2" s="1"/>
  <c r="K15" i="2"/>
  <c r="L15" i="2" s="1"/>
  <c r="K16" i="2"/>
  <c r="L16" i="2" s="1"/>
  <c r="K18" i="2"/>
  <c r="M18" i="2" s="1"/>
  <c r="J66" i="1" s="1"/>
  <c r="K19" i="2"/>
  <c r="L19" i="2" s="1"/>
  <c r="K21" i="2"/>
  <c r="L21" i="2" s="1"/>
  <c r="K22" i="2"/>
  <c r="L22" i="2" s="1"/>
  <c r="K24" i="2"/>
  <c r="M24" i="2" s="1"/>
  <c r="J71" i="1" s="1"/>
  <c r="K26" i="2"/>
  <c r="K28" i="2"/>
  <c r="L28" i="2" s="1"/>
  <c r="K29" i="2"/>
  <c r="L29" i="2" s="1"/>
  <c r="K30" i="2"/>
  <c r="M30" i="2" s="1"/>
  <c r="J77" i="1" s="1"/>
  <c r="K32" i="2"/>
  <c r="L32" i="2" s="1"/>
  <c r="K34" i="2"/>
  <c r="L34" i="2" s="1"/>
  <c r="K37" i="2"/>
  <c r="L37" i="2" s="1"/>
  <c r="K38" i="2"/>
  <c r="M38" i="2" s="1"/>
  <c r="J83" i="1" s="1"/>
  <c r="K41" i="2"/>
  <c r="L41" i="2" s="1"/>
  <c r="K13" i="2"/>
  <c r="M13" i="2" s="1"/>
  <c r="J61" i="1" s="1"/>
  <c r="E13" i="2"/>
  <c r="L39" i="2" l="1"/>
  <c r="M34" i="2"/>
  <c r="J80" i="1" s="1"/>
  <c r="M28" i="2"/>
  <c r="J75" i="1" s="1"/>
  <c r="M21" i="2"/>
  <c r="J69" i="1" s="1"/>
  <c r="L13" i="2"/>
  <c r="M15" i="2"/>
  <c r="J63" i="1" s="1"/>
  <c r="L38" i="2"/>
  <c r="L30" i="2"/>
  <c r="L24" i="2"/>
  <c r="C24" i="2" s="1"/>
  <c r="J22" i="1" s="1"/>
  <c r="L18" i="2"/>
  <c r="M41" i="2"/>
  <c r="J85" i="1" s="1"/>
  <c r="M37" i="2"/>
  <c r="J82" i="1" s="1"/>
  <c r="M32" i="2"/>
  <c r="J79" i="1" s="1"/>
  <c r="M29" i="2"/>
  <c r="J76" i="1" s="1"/>
  <c r="J74" i="1"/>
  <c r="M22" i="2"/>
  <c r="J70" i="1" s="1"/>
  <c r="M19" i="2"/>
  <c r="J67" i="1" s="1"/>
  <c r="M16" i="2"/>
  <c r="J64" i="1" s="1"/>
  <c r="M14" i="2"/>
  <c r="J62" i="1" s="1"/>
  <c r="E42" i="2"/>
  <c r="H42" i="2" s="1"/>
  <c r="J114" i="1" s="1"/>
  <c r="E14" i="2"/>
  <c r="F14" i="2" s="1"/>
  <c r="C14" i="2" s="1"/>
  <c r="J11" i="1" s="1"/>
  <c r="E15" i="2"/>
  <c r="G15" i="2" s="1"/>
  <c r="J118" i="1" s="1"/>
  <c r="E16" i="2"/>
  <c r="H16" i="2" s="1"/>
  <c r="J92" i="1" s="1"/>
  <c r="E18" i="2"/>
  <c r="F18" i="2" s="1"/>
  <c r="E19" i="2"/>
  <c r="F19" i="2" s="1"/>
  <c r="C19" i="2" s="1"/>
  <c r="J16" i="1" s="1"/>
  <c r="E20" i="2"/>
  <c r="G20" i="2" s="1"/>
  <c r="J122" i="1" s="1"/>
  <c r="E21" i="2"/>
  <c r="H21" i="2" s="1"/>
  <c r="J96" i="1" s="1"/>
  <c r="E22" i="2"/>
  <c r="F22" i="2" s="1"/>
  <c r="C22" i="2" s="1"/>
  <c r="J19" i="1" s="1"/>
  <c r="E26" i="2"/>
  <c r="F26" i="2" s="1"/>
  <c r="C26" i="2" s="1"/>
  <c r="J24" i="1" s="1"/>
  <c r="E27" i="2"/>
  <c r="G27" i="2" s="1"/>
  <c r="J127" i="1" s="1"/>
  <c r="E28" i="2"/>
  <c r="H28" i="2" s="1"/>
  <c r="J101" i="1" s="1"/>
  <c r="E29" i="2"/>
  <c r="F29" i="2" s="1"/>
  <c r="C29" i="2" s="1"/>
  <c r="J27" i="1" s="1"/>
  <c r="E30" i="2"/>
  <c r="F30" i="2" s="1"/>
  <c r="E32" i="2"/>
  <c r="G32" i="2" s="1"/>
  <c r="J131" i="1" s="1"/>
  <c r="E33" i="2"/>
  <c r="H33" i="2" s="1"/>
  <c r="J105" i="1" s="1"/>
  <c r="E34" i="2"/>
  <c r="F34" i="2" s="1"/>
  <c r="C34" i="2" s="1"/>
  <c r="E35" i="2"/>
  <c r="F35" i="2" s="1"/>
  <c r="C35" i="2" s="1"/>
  <c r="E37" i="2"/>
  <c r="G37" i="2" s="1"/>
  <c r="J136" i="1" s="1"/>
  <c r="E38" i="2"/>
  <c r="H38" i="2" s="1"/>
  <c r="J110" i="1" s="1"/>
  <c r="E39" i="2"/>
  <c r="F39" i="2" s="1"/>
  <c r="E40" i="2"/>
  <c r="F40" i="2" s="1"/>
  <c r="C40" i="2" s="1"/>
  <c r="E41" i="2"/>
  <c r="G41" i="2" s="1"/>
  <c r="J140" i="1" s="1"/>
  <c r="G13" i="2"/>
  <c r="J116" i="1" s="1"/>
  <c r="J33" i="1" l="1"/>
  <c r="J32" i="1" s="1"/>
  <c r="C30" i="2"/>
  <c r="J28" i="1" s="1"/>
  <c r="C39" i="2"/>
  <c r="C18" i="2"/>
  <c r="J15" i="1" s="1"/>
  <c r="F41" i="2"/>
  <c r="C41" i="2" s="1"/>
  <c r="J39" i="1" s="1"/>
  <c r="F37" i="2"/>
  <c r="C37" i="2" s="1"/>
  <c r="J35" i="1" s="1"/>
  <c r="F32" i="2"/>
  <c r="C32" i="2" s="1"/>
  <c r="J30" i="1" s="1"/>
  <c r="F27" i="2"/>
  <c r="C27" i="2" s="1"/>
  <c r="J25" i="1" s="1"/>
  <c r="F20" i="2"/>
  <c r="C20" i="2" s="1"/>
  <c r="J17" i="1" s="1"/>
  <c r="F15" i="2"/>
  <c r="C15" i="2" s="1"/>
  <c r="J12" i="1" s="1"/>
  <c r="H40" i="2"/>
  <c r="J112" i="1" s="1"/>
  <c r="H35" i="2"/>
  <c r="J107" i="1" s="1"/>
  <c r="H30" i="2"/>
  <c r="J103" i="1" s="1"/>
  <c r="H26" i="2"/>
  <c r="J99" i="1" s="1"/>
  <c r="H19" i="2"/>
  <c r="J94" i="1" s="1"/>
  <c r="H14" i="2"/>
  <c r="J90" i="1" s="1"/>
  <c r="G42" i="2"/>
  <c r="J141" i="1" s="1"/>
  <c r="H39" i="2"/>
  <c r="J111" i="1" s="1"/>
  <c r="H34" i="2"/>
  <c r="H29" i="2"/>
  <c r="J102" i="1" s="1"/>
  <c r="H22" i="2"/>
  <c r="J97" i="1" s="1"/>
  <c r="H18" i="2"/>
  <c r="J93" i="1" s="1"/>
  <c r="F42" i="2"/>
  <c r="C42" i="2" s="1"/>
  <c r="J40" i="1" s="1"/>
  <c r="G39" i="2"/>
  <c r="J138" i="1" s="1"/>
  <c r="G34" i="2"/>
  <c r="J133" i="1" s="1"/>
  <c r="G29" i="2"/>
  <c r="J129" i="1" s="1"/>
  <c r="G22" i="2"/>
  <c r="J124" i="1" s="1"/>
  <c r="G18" i="2"/>
  <c r="J120" i="1" s="1"/>
  <c r="F13" i="2"/>
  <c r="C13" i="2" s="1"/>
  <c r="J10" i="1" s="1"/>
  <c r="G38" i="2"/>
  <c r="J137" i="1" s="1"/>
  <c r="F38" i="2"/>
  <c r="C38" i="2" s="1"/>
  <c r="J36" i="1" s="1"/>
  <c r="F21" i="2"/>
  <c r="C21" i="2" s="1"/>
  <c r="J18" i="1" s="1"/>
  <c r="G33" i="2"/>
  <c r="J132" i="1" s="1"/>
  <c r="G16" i="2"/>
  <c r="J119" i="1" s="1"/>
  <c r="H13" i="2"/>
  <c r="J89" i="1" s="1"/>
  <c r="F16" i="2"/>
  <c r="C16" i="2" s="1"/>
  <c r="J13" i="1" s="1"/>
  <c r="H41" i="2"/>
  <c r="J113" i="1" s="1"/>
  <c r="G40" i="2"/>
  <c r="J139" i="1" s="1"/>
  <c r="H37" i="2"/>
  <c r="J109" i="1" s="1"/>
  <c r="G35" i="2"/>
  <c r="J134" i="1" s="1"/>
  <c r="H32" i="2"/>
  <c r="J104" i="1" s="1"/>
  <c r="G30" i="2"/>
  <c r="J130" i="1" s="1"/>
  <c r="H27" i="2"/>
  <c r="J100" i="1" s="1"/>
  <c r="G26" i="2"/>
  <c r="J126" i="1" s="1"/>
  <c r="H20" i="2"/>
  <c r="J95" i="1" s="1"/>
  <c r="G19" i="2"/>
  <c r="J121" i="1" s="1"/>
  <c r="H15" i="2"/>
  <c r="J91" i="1" s="1"/>
  <c r="G14" i="2"/>
  <c r="J117" i="1" s="1"/>
  <c r="G28" i="2"/>
  <c r="J128" i="1" s="1"/>
  <c r="G21" i="2"/>
  <c r="J123" i="1" s="1"/>
  <c r="F33" i="2"/>
  <c r="C33" i="2" s="1"/>
  <c r="J31" i="1" s="1"/>
  <c r="F28" i="2"/>
  <c r="C28" i="2" s="1"/>
  <c r="J26" i="1" s="1"/>
  <c r="J106" i="1" l="1"/>
  <c r="H36" i="2"/>
  <c r="J108" i="1" s="1"/>
  <c r="J37" i="1"/>
  <c r="J38" i="1" s="1"/>
</calcChain>
</file>

<file path=xl/sharedStrings.xml><?xml version="1.0" encoding="utf-8"?>
<sst xmlns="http://schemas.openxmlformats.org/spreadsheetml/2006/main" count="848" uniqueCount="325">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</sst>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1"/>
  <sheetViews>
    <sheetView tabSelected="1" zoomScale="80" zoomScaleNormal="80" workbookViewId="0">
      <pane ySplit="1" topLeftCell="A58" activePane="bottomLeft" state="frozen"/>
      <selection pane="bottomLeft" activeCell="L72" sqref="L72"/>
    </sheetView>
  </sheetViews>
  <sheetFormatPr defaultRowHeight="15" x14ac:dyDescent="0.25"/>
  <cols>
    <col min="6" max="6" width="20.28515625" customWidth="1"/>
    <col min="7" max="7" width="19.5703125" bestFit="1" customWidth="1"/>
    <col min="8" max="8" width="20.140625" customWidth="1"/>
    <col min="9" max="9" width="16.42578125" bestFit="1" customWidth="1"/>
    <col min="11" max="11" width="12.7109375" bestFit="1" customWidth="1"/>
    <col min="12" max="12" width="38.140625" customWidth="1"/>
    <col min="13" max="13" width="58" customWidth="1"/>
  </cols>
  <sheetData>
    <row r="1" spans="1:14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1</v>
      </c>
      <c r="H1" s="4" t="s">
        <v>9</v>
      </c>
      <c r="I1" s="4" t="s">
        <v>3</v>
      </c>
      <c r="J1" s="4" t="s">
        <v>4</v>
      </c>
      <c r="K1" s="4" t="s">
        <v>5</v>
      </c>
      <c r="L1" s="4" t="s">
        <v>6</v>
      </c>
      <c r="M1" s="4" t="s">
        <v>7</v>
      </c>
    </row>
    <row r="2" spans="1:14" x14ac:dyDescent="0.25">
      <c r="A2" s="1" t="s">
        <v>8</v>
      </c>
      <c r="B2" s="1"/>
      <c r="C2" s="1"/>
      <c r="D2" s="1"/>
      <c r="E2" s="1"/>
      <c r="F2" s="1"/>
      <c r="G2" s="1"/>
      <c r="H2" s="1"/>
      <c r="I2" s="2"/>
      <c r="J2" s="2"/>
      <c r="K2" s="2" t="s">
        <v>302</v>
      </c>
      <c r="L2" s="24" t="s">
        <v>309</v>
      </c>
      <c r="M2" s="2"/>
      <c r="N2" s="5"/>
    </row>
    <row r="3" spans="1:14" x14ac:dyDescent="0.25">
      <c r="I3" s="10" t="s">
        <v>32</v>
      </c>
      <c r="J3" s="21">
        <v>0</v>
      </c>
      <c r="K3" s="10"/>
      <c r="L3" s="10" t="s">
        <v>34</v>
      </c>
    </row>
    <row r="4" spans="1:14" x14ac:dyDescent="0.25">
      <c r="F4" t="s">
        <v>310</v>
      </c>
      <c r="G4" t="s">
        <v>10</v>
      </c>
      <c r="I4" t="s">
        <v>32</v>
      </c>
      <c r="J4" s="22">
        <f>1/INDEX('feed pars'!C$6:C$42/100,MATCH(F4,'feed pars'!B$6:B$42,0))</f>
        <v>1</v>
      </c>
    </row>
    <row r="5" spans="1:14" x14ac:dyDescent="0.25">
      <c r="F5" t="s">
        <v>311</v>
      </c>
      <c r="G5" t="s">
        <v>10</v>
      </c>
      <c r="I5" t="s">
        <v>32</v>
      </c>
      <c r="J5" s="22">
        <f>1/INDEX('feed pars'!C$6:C$42/100,MATCH(F5,'feed pars'!B$6:B$42,0))</f>
        <v>1</v>
      </c>
    </row>
    <row r="6" spans="1:14" x14ac:dyDescent="0.25">
      <c r="F6" t="s">
        <v>312</v>
      </c>
      <c r="G6" t="s">
        <v>10</v>
      </c>
      <c r="I6" t="s">
        <v>32</v>
      </c>
      <c r="J6" s="22">
        <f>1/INDEX('feed pars'!C$6:C$42/100,MATCH(F6,'feed pars'!B$6:B$42,0))</f>
        <v>1</v>
      </c>
    </row>
    <row r="7" spans="1:14" x14ac:dyDescent="0.25">
      <c r="F7" t="s">
        <v>2</v>
      </c>
      <c r="G7" t="s">
        <v>10</v>
      </c>
      <c r="I7" t="s">
        <v>32</v>
      </c>
      <c r="J7" s="22">
        <f>1/INDEX('feed pars'!C$6:C$42/100,MATCH(F7,'feed pars'!B$6:B$42,0))</f>
        <v>1</v>
      </c>
    </row>
    <row r="8" spans="1:14" x14ac:dyDescent="0.25">
      <c r="F8" t="s">
        <v>12</v>
      </c>
      <c r="G8" t="s">
        <v>11</v>
      </c>
      <c r="I8" t="s">
        <v>32</v>
      </c>
      <c r="J8" s="22">
        <f>1/INDEX('feed pars'!C$6:C$42/100,MATCH(F8,'feed pars'!B$6:B$42,0))</f>
        <v>1</v>
      </c>
    </row>
    <row r="9" spans="1:14" x14ac:dyDescent="0.25">
      <c r="F9" t="s">
        <v>33</v>
      </c>
      <c r="G9" t="s">
        <v>33</v>
      </c>
      <c r="I9" t="s">
        <v>32</v>
      </c>
      <c r="J9" s="22">
        <f>1/INDEX('feed pars'!C$6:C$42/100,MATCH(F9,'feed pars'!B$6:B$42,0))</f>
        <v>1</v>
      </c>
    </row>
    <row r="10" spans="1:14" x14ac:dyDescent="0.25">
      <c r="F10" t="s">
        <v>17</v>
      </c>
      <c r="G10" t="s">
        <v>17</v>
      </c>
      <c r="I10" t="s">
        <v>32</v>
      </c>
      <c r="J10" s="22">
        <f>1/INDEX('feed pars'!C$6:C$42/100,MATCH(F10,'feed pars'!B$6:B$42,0))</f>
        <v>1.1494252873563218</v>
      </c>
    </row>
    <row r="11" spans="1:14" x14ac:dyDescent="0.25">
      <c r="F11" t="s">
        <v>37</v>
      </c>
      <c r="G11" t="s">
        <v>37</v>
      </c>
      <c r="I11" t="s">
        <v>32</v>
      </c>
      <c r="J11" s="22">
        <f>1/INDEX('feed pars'!C$6:C$42/100,MATCH(F11,'feed pars'!B$6:B$42,0))</f>
        <v>1.1494252873563218</v>
      </c>
    </row>
    <row r="12" spans="1:14" x14ac:dyDescent="0.25">
      <c r="F12" t="s">
        <v>38</v>
      </c>
      <c r="G12" t="s">
        <v>38</v>
      </c>
      <c r="I12" t="s">
        <v>32</v>
      </c>
      <c r="J12" s="22">
        <f>1/INDEX('feed pars'!C$6:C$42/100,MATCH(F12,'feed pars'!B$6:B$42,0))</f>
        <v>1.1627906976744187</v>
      </c>
    </row>
    <row r="13" spans="1:14" x14ac:dyDescent="0.25">
      <c r="F13" t="s">
        <v>39</v>
      </c>
      <c r="G13" t="s">
        <v>39</v>
      </c>
      <c r="I13" t="s">
        <v>32</v>
      </c>
      <c r="J13" s="22">
        <f>1/INDEX('feed pars'!C$6:C$42/100,MATCH(F13,'feed pars'!B$6:B$42,0))</f>
        <v>1.1494252873563218</v>
      </c>
    </row>
    <row r="14" spans="1:14" x14ac:dyDescent="0.25">
      <c r="F14" t="s">
        <v>317</v>
      </c>
      <c r="G14" t="s">
        <v>317</v>
      </c>
      <c r="I14" t="s">
        <v>32</v>
      </c>
      <c r="J14" s="22">
        <f>1/INDEX('feed pars'!C$6:C$42/100,MATCH(F14,'feed pars'!B$6:B$42,0))</f>
        <v>1.1494252873563218</v>
      </c>
    </row>
    <row r="15" spans="1:14" x14ac:dyDescent="0.25">
      <c r="F15" t="s">
        <v>40</v>
      </c>
      <c r="G15" t="s">
        <v>40</v>
      </c>
      <c r="I15" t="s">
        <v>32</v>
      </c>
      <c r="J15" s="22">
        <f>1/INDEX('feed pars'!C$6:C$42/100,MATCH(F15,'feed pars'!B$6:B$42,0))</f>
        <v>1.4814814814814814</v>
      </c>
    </row>
    <row r="16" spans="1:14" x14ac:dyDescent="0.25">
      <c r="F16" t="s">
        <v>41</v>
      </c>
      <c r="G16" t="s">
        <v>41</v>
      </c>
      <c r="I16" t="s">
        <v>32</v>
      </c>
      <c r="J16" s="22">
        <f>1/INDEX('feed pars'!C$6:C$42/100,MATCH(F16,'feed pars'!B$6:B$42,0))</f>
        <v>1.1494252873563218</v>
      </c>
    </row>
    <row r="17" spans="6:12" x14ac:dyDescent="0.25">
      <c r="F17" t="s">
        <v>42</v>
      </c>
      <c r="G17" t="s">
        <v>42</v>
      </c>
      <c r="I17" t="s">
        <v>32</v>
      </c>
      <c r="J17" s="22">
        <f>1/INDEX('feed pars'!C$6:C$42/100,MATCH(F17,'feed pars'!B$6:B$42,0))</f>
        <v>1.1520737327188941</v>
      </c>
    </row>
    <row r="18" spans="6:12" x14ac:dyDescent="0.25">
      <c r="F18" t="s">
        <v>35</v>
      </c>
      <c r="G18" t="s">
        <v>35</v>
      </c>
      <c r="I18" t="s">
        <v>32</v>
      </c>
      <c r="J18" s="22">
        <f>1/INDEX('feed pars'!C$6:C$42/100,MATCH(F18,'feed pars'!B$6:B$42,0))</f>
        <v>1.0810810810810809</v>
      </c>
    </row>
    <row r="19" spans="6:12" x14ac:dyDescent="0.25">
      <c r="F19" t="s">
        <v>43</v>
      </c>
      <c r="G19" t="s">
        <v>43</v>
      </c>
      <c r="I19" t="s">
        <v>32</v>
      </c>
      <c r="J19" s="22">
        <f>1/INDEX('feed pars'!C$6:C$42/100,MATCH(F19,'feed pars'!B$6:B$42,0))</f>
        <v>1.0869565217391304</v>
      </c>
    </row>
    <row r="20" spans="6:12" x14ac:dyDescent="0.25">
      <c r="F20" s="3" t="s">
        <v>314</v>
      </c>
      <c r="G20" s="3" t="s">
        <v>35</v>
      </c>
      <c r="H20" s="3"/>
      <c r="I20" s="3" t="s">
        <v>32</v>
      </c>
      <c r="J20" s="20">
        <f>1/INDEX('feed pars'!C$6:C$42/100,MATCH(F20,'feed pars'!B$6:B$42,0))*1/0.38</f>
        <v>2.6315789473684212</v>
      </c>
    </row>
    <row r="21" spans="6:12" x14ac:dyDescent="0.25">
      <c r="F21" s="3" t="s">
        <v>314</v>
      </c>
      <c r="G21" s="3" t="s">
        <v>35</v>
      </c>
      <c r="H21" s="3" t="s">
        <v>36</v>
      </c>
      <c r="I21" s="3" t="s">
        <v>315</v>
      </c>
      <c r="J21" s="22"/>
      <c r="L21" s="3" t="s">
        <v>321</v>
      </c>
    </row>
    <row r="22" spans="6:12" x14ac:dyDescent="0.25">
      <c r="F22" t="s">
        <v>305</v>
      </c>
      <c r="H22" t="s">
        <v>305</v>
      </c>
      <c r="I22" t="s">
        <v>32</v>
      </c>
      <c r="J22" s="22">
        <f>1/INDEX('feed pars'!C$6:C$42/100,MATCH(F22,'feed pars'!B$6:B$42,0))</f>
        <v>1.1764705882352942</v>
      </c>
    </row>
    <row r="23" spans="6:12" x14ac:dyDescent="0.25">
      <c r="F23" t="s">
        <v>318</v>
      </c>
      <c r="H23" t="s">
        <v>318</v>
      </c>
      <c r="I23" t="s">
        <v>32</v>
      </c>
      <c r="J23" s="22">
        <f>1/INDEX('feed pars'!C$6:C$42/100,MATCH(F23,'feed pars'!B$6:B$42,0))</f>
        <v>1.1494252873563218</v>
      </c>
    </row>
    <row r="24" spans="6:12" x14ac:dyDescent="0.25">
      <c r="F24" t="s">
        <v>44</v>
      </c>
      <c r="H24" t="s">
        <v>44</v>
      </c>
      <c r="I24" t="s">
        <v>32</v>
      </c>
      <c r="J24" s="22">
        <f>1/INDEX('feed pars'!C$6:C$42/100,MATCH(F24,'feed pars'!B$6:B$42,0))</f>
        <v>1.1428571428571428</v>
      </c>
    </row>
    <row r="25" spans="6:12" x14ac:dyDescent="0.25">
      <c r="F25" t="s">
        <v>45</v>
      </c>
      <c r="H25" t="s">
        <v>45</v>
      </c>
      <c r="I25" t="s">
        <v>32</v>
      </c>
      <c r="J25" s="22">
        <f>1/INDEX('feed pars'!C$6:C$42/100,MATCH(F25,'feed pars'!B$6:B$42,0))</f>
        <v>1.1494252873563218</v>
      </c>
    </row>
    <row r="26" spans="6:12" x14ac:dyDescent="0.25">
      <c r="F26" t="s">
        <v>36</v>
      </c>
      <c r="H26" t="s">
        <v>36</v>
      </c>
      <c r="I26" t="s">
        <v>32</v>
      </c>
      <c r="J26" s="22">
        <f>1/INDEX('feed pars'!C$6:C$42/100,MATCH(F26,'feed pars'!B$6:B$42,0))</f>
        <v>1.1173184357541899</v>
      </c>
    </row>
    <row r="27" spans="6:12" x14ac:dyDescent="0.25">
      <c r="F27" t="s">
        <v>46</v>
      </c>
      <c r="H27" t="s">
        <v>46</v>
      </c>
      <c r="I27" t="s">
        <v>32</v>
      </c>
      <c r="J27" s="22">
        <f>1/INDEX('feed pars'!C$6:C$42/100,MATCH(F27,'feed pars'!B$6:B$42,0))</f>
        <v>1.0989010989010988</v>
      </c>
    </row>
    <row r="28" spans="6:12" x14ac:dyDescent="0.25">
      <c r="F28" t="s">
        <v>47</v>
      </c>
      <c r="H28" t="s">
        <v>47</v>
      </c>
      <c r="I28" t="s">
        <v>32</v>
      </c>
      <c r="J28" s="22">
        <f>1/INDEX('feed pars'!C$6:C$42/100,MATCH(F28,'feed pars'!B$6:B$42,0))</f>
        <v>1.0989010989010988</v>
      </c>
    </row>
    <row r="29" spans="6:12" x14ac:dyDescent="0.25">
      <c r="F29" t="s">
        <v>319</v>
      </c>
      <c r="H29" t="s">
        <v>319</v>
      </c>
      <c r="I29" t="s">
        <v>32</v>
      </c>
      <c r="J29" s="22">
        <f>1/INDEX('feed pars'!C$6:C$42/100,MATCH(F29,'feed pars'!B$6:B$42,0))</f>
        <v>1.1111111111111112</v>
      </c>
    </row>
    <row r="30" spans="6:12" x14ac:dyDescent="0.25">
      <c r="F30" t="s">
        <v>48</v>
      </c>
      <c r="H30" t="s">
        <v>48</v>
      </c>
      <c r="I30" t="s">
        <v>32</v>
      </c>
      <c r="J30" s="22">
        <f>1/INDEX('feed pars'!C$6:C$42/100,MATCH(F30,'feed pars'!B$6:B$42,0))</f>
        <v>1.1494252873563218</v>
      </c>
    </row>
    <row r="31" spans="6:12" x14ac:dyDescent="0.25">
      <c r="F31" t="s">
        <v>49</v>
      </c>
      <c r="H31" t="s">
        <v>48</v>
      </c>
      <c r="I31" t="s">
        <v>32</v>
      </c>
      <c r="J31" s="22">
        <f>1/INDEX('feed pars'!C$6:C$42/100,MATCH(F31,'feed pars'!B$6:B$42,0))</f>
        <v>1.1363636363636365</v>
      </c>
    </row>
    <row r="32" spans="6:12" x14ac:dyDescent="0.25">
      <c r="F32" t="s">
        <v>50</v>
      </c>
      <c r="H32" t="s">
        <v>301</v>
      </c>
      <c r="I32" t="s">
        <v>32</v>
      </c>
      <c r="J32" s="20">
        <f>J33</f>
        <v>9.0909090909090917</v>
      </c>
    </row>
    <row r="33" spans="1:13" x14ac:dyDescent="0.25">
      <c r="F33" t="s">
        <v>51</v>
      </c>
      <c r="H33" t="s">
        <v>301</v>
      </c>
      <c r="I33" t="s">
        <v>32</v>
      </c>
      <c r="J33" s="22">
        <f>1/INDEX('feed pars'!C$6:C$42/100,MATCH(F33,'feed pars'!B$6:B$42,0))</f>
        <v>9.0909090909090917</v>
      </c>
    </row>
    <row r="34" spans="1:13" x14ac:dyDescent="0.25">
      <c r="F34" t="s">
        <v>313</v>
      </c>
      <c r="H34" t="s">
        <v>313</v>
      </c>
      <c r="I34" t="s">
        <v>32</v>
      </c>
      <c r="J34" s="20">
        <f>1/0.25</f>
        <v>4</v>
      </c>
    </row>
    <row r="35" spans="1:13" x14ac:dyDescent="0.25">
      <c r="F35" t="s">
        <v>52</v>
      </c>
      <c r="H35" t="s">
        <v>52</v>
      </c>
      <c r="I35" t="s">
        <v>32</v>
      </c>
      <c r="J35" s="22">
        <f>1/INDEX('feed pars'!C$6:C$42/100,MATCH(F35,'feed pars'!B$6:B$42,0))</f>
        <v>1.3245033112582782</v>
      </c>
    </row>
    <row r="36" spans="1:13" x14ac:dyDescent="0.25">
      <c r="F36" t="s">
        <v>53</v>
      </c>
      <c r="H36" t="s">
        <v>53</v>
      </c>
      <c r="I36" t="s">
        <v>32</v>
      </c>
      <c r="J36" s="22">
        <f>1/INDEX('feed pars'!C$6:C$42/100,MATCH(F36,'feed pars'!B$6:B$42,0))</f>
        <v>1.1173184357541899</v>
      </c>
    </row>
    <row r="37" spans="1:13" x14ac:dyDescent="0.25">
      <c r="F37" t="s">
        <v>54</v>
      </c>
      <c r="H37" t="s">
        <v>54</v>
      </c>
      <c r="I37" t="s">
        <v>32</v>
      </c>
      <c r="J37" s="22">
        <f>1/INDEX('feed pars'!C$6:C$42/100,MATCH(F37,'feed pars'!B$6:B$42,0))</f>
        <v>16</v>
      </c>
    </row>
    <row r="38" spans="1:13" x14ac:dyDescent="0.25">
      <c r="F38" t="s">
        <v>55</v>
      </c>
      <c r="H38" t="s">
        <v>54</v>
      </c>
      <c r="I38" t="s">
        <v>32</v>
      </c>
      <c r="J38" s="20">
        <f>J37</f>
        <v>16</v>
      </c>
    </row>
    <row r="39" spans="1:13" x14ac:dyDescent="0.25">
      <c r="F39" t="s">
        <v>56</v>
      </c>
      <c r="H39" t="s">
        <v>56</v>
      </c>
      <c r="I39" t="s">
        <v>32</v>
      </c>
      <c r="J39" s="22">
        <f>1/INDEX('feed pars'!C$6:C$42/100,MATCH(F39,'feed pars'!B$6:B$42,0))</f>
        <v>1.0989010989010988</v>
      </c>
    </row>
    <row r="40" spans="1:13" x14ac:dyDescent="0.25">
      <c r="F40" t="s">
        <v>57</v>
      </c>
      <c r="H40" t="s">
        <v>57</v>
      </c>
      <c r="I40" t="s">
        <v>32</v>
      </c>
      <c r="J40" s="22">
        <f>1/INDEX('feed pars'!C$6:C$42/100,MATCH(F40,'feed pars'!B$6:B$42,0))</f>
        <v>1.0869565217391304</v>
      </c>
    </row>
    <row r="41" spans="1:13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I42" s="10" t="s">
        <v>27</v>
      </c>
      <c r="J42" s="10">
        <v>0</v>
      </c>
      <c r="K42" s="10"/>
      <c r="L42" s="10" t="s">
        <v>34</v>
      </c>
    </row>
    <row r="43" spans="1:13" x14ac:dyDescent="0.25">
      <c r="G43" t="s">
        <v>10</v>
      </c>
      <c r="I43" t="s">
        <v>27</v>
      </c>
      <c r="J43" s="3">
        <v>95</v>
      </c>
      <c r="K43" t="s">
        <v>28</v>
      </c>
    </row>
    <row r="44" spans="1:13" x14ac:dyDescent="0.25">
      <c r="G44" t="s">
        <v>11</v>
      </c>
      <c r="I44" t="s">
        <v>27</v>
      </c>
      <c r="J44" s="3">
        <v>95</v>
      </c>
      <c r="K44" t="s">
        <v>28</v>
      </c>
    </row>
    <row r="45" spans="1:13" x14ac:dyDescent="0.25">
      <c r="G45" t="s">
        <v>33</v>
      </c>
      <c r="I45" t="s">
        <v>27</v>
      </c>
      <c r="J45" s="3">
        <v>95</v>
      </c>
      <c r="K45" t="s">
        <v>28</v>
      </c>
    </row>
    <row r="46" spans="1:13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I47" s="10" t="s">
        <v>31</v>
      </c>
      <c r="J47" s="10">
        <v>0</v>
      </c>
      <c r="K47" s="10"/>
      <c r="L47" s="10" t="s">
        <v>34</v>
      </c>
    </row>
    <row r="48" spans="1:13" x14ac:dyDescent="0.25">
      <c r="H48" t="s">
        <v>318</v>
      </c>
      <c r="I48" t="s">
        <v>31</v>
      </c>
      <c r="J48" s="29">
        <v>100</v>
      </c>
      <c r="K48" s="29" t="s">
        <v>28</v>
      </c>
      <c r="L48" s="10"/>
    </row>
    <row r="49" spans="1:13" x14ac:dyDescent="0.25">
      <c r="H49" t="s">
        <v>44</v>
      </c>
      <c r="I49" t="s">
        <v>31</v>
      </c>
      <c r="J49" s="29">
        <v>100</v>
      </c>
      <c r="K49" s="29" t="s">
        <v>28</v>
      </c>
      <c r="L49" s="10"/>
    </row>
    <row r="50" spans="1:13" x14ac:dyDescent="0.25">
      <c r="H50" t="s">
        <v>36</v>
      </c>
      <c r="I50" t="s">
        <v>31</v>
      </c>
      <c r="J50" s="29">
        <v>61</v>
      </c>
      <c r="K50" t="s">
        <v>28</v>
      </c>
    </row>
    <row r="51" spans="1:13" x14ac:dyDescent="0.25">
      <c r="G51" t="s">
        <v>43</v>
      </c>
      <c r="I51" t="s">
        <v>31</v>
      </c>
      <c r="J51" s="3">
        <v>100</v>
      </c>
      <c r="K51" t="s">
        <v>28</v>
      </c>
      <c r="L51" s="3" t="s">
        <v>304</v>
      </c>
    </row>
    <row r="52" spans="1:13" x14ac:dyDescent="0.25">
      <c r="J52" s="3"/>
      <c r="L52" s="3"/>
    </row>
    <row r="53" spans="1:13" x14ac:dyDescent="0.25">
      <c r="A53" s="1" t="s">
        <v>26</v>
      </c>
      <c r="B53" s="1"/>
      <c r="C53" s="1"/>
      <c r="D53" s="1"/>
      <c r="E53" s="2"/>
      <c r="F53" s="2"/>
      <c r="G53" s="2"/>
      <c r="H53" s="2"/>
      <c r="I53" s="2"/>
      <c r="J53" s="2"/>
      <c r="K53" s="2"/>
      <c r="L53" s="2" t="s">
        <v>303</v>
      </c>
      <c r="M53" s="2"/>
    </row>
    <row r="54" spans="1:13" x14ac:dyDescent="0.25">
      <c r="A54" s="7" t="s">
        <v>20</v>
      </c>
      <c r="B54" s="7"/>
      <c r="C54" s="6"/>
      <c r="D54" s="6"/>
      <c r="E54" s="6"/>
      <c r="F54" s="6"/>
      <c r="G54" s="6"/>
      <c r="H54" s="6"/>
      <c r="I54" s="6"/>
      <c r="J54" s="6"/>
      <c r="K54" s="6" t="s">
        <v>19</v>
      </c>
      <c r="L54" s="6"/>
      <c r="M54" s="6"/>
    </row>
    <row r="55" spans="1:13" x14ac:dyDescent="0.25">
      <c r="A55" t="s">
        <v>24</v>
      </c>
      <c r="F55" t="s">
        <v>310</v>
      </c>
      <c r="I55" t="s">
        <v>18</v>
      </c>
      <c r="J55" s="26">
        <f>INDEX('feed pars'!M$6:M$42,MATCH(F55,'feed pars'!B$6:B$42,0))</f>
        <v>11.5</v>
      </c>
      <c r="L55" s="3"/>
    </row>
    <row r="56" spans="1:13" x14ac:dyDescent="0.25">
      <c r="A56" t="s">
        <v>24</v>
      </c>
      <c r="F56" t="s">
        <v>311</v>
      </c>
      <c r="I56" t="s">
        <v>18</v>
      </c>
      <c r="J56" s="26">
        <f>INDEX('feed pars'!M$6:M$42,MATCH(F56,'feed pars'!B$6:B$42,0))</f>
        <v>10.4</v>
      </c>
      <c r="L56" s="3"/>
    </row>
    <row r="57" spans="1:13" x14ac:dyDescent="0.25">
      <c r="A57" t="s">
        <v>24</v>
      </c>
      <c r="F57" t="s">
        <v>312</v>
      </c>
      <c r="I57" t="s">
        <v>18</v>
      </c>
      <c r="J57" s="26">
        <f>INDEX('feed pars'!M$6:M$42,MATCH(F57,'feed pars'!B$6:B$42,0))</f>
        <v>10</v>
      </c>
      <c r="L57" s="3"/>
    </row>
    <row r="58" spans="1:13" x14ac:dyDescent="0.25">
      <c r="A58" t="s">
        <v>24</v>
      </c>
      <c r="F58" t="s">
        <v>12</v>
      </c>
      <c r="I58" t="s">
        <v>18</v>
      </c>
      <c r="J58" s="26">
        <f>INDEX('feed pars'!M$6:M$42,MATCH(F58,'feed pars'!B$6:B$42,0))</f>
        <v>11.3</v>
      </c>
    </row>
    <row r="59" spans="1:13" x14ac:dyDescent="0.25">
      <c r="A59" t="s">
        <v>24</v>
      </c>
      <c r="F59" t="s">
        <v>33</v>
      </c>
      <c r="I59" t="s">
        <v>18</v>
      </c>
      <c r="J59" s="26">
        <f>INDEX('feed pars'!M$6:M$42,MATCH(F59,'feed pars'!B$6:B$42,0))</f>
        <v>10</v>
      </c>
    </row>
    <row r="60" spans="1:13" x14ac:dyDescent="0.25">
      <c r="J60" s="3"/>
    </row>
    <row r="61" spans="1:13" x14ac:dyDescent="0.25">
      <c r="A61" t="s">
        <v>24</v>
      </c>
      <c r="F61" t="s">
        <v>17</v>
      </c>
      <c r="I61" t="s">
        <v>18</v>
      </c>
      <c r="J61" s="26">
        <f>INDEX('feed pars'!M$6:M$42,MATCH(F61,'feed pars'!B$6:B$42,0))</f>
        <v>14.1</v>
      </c>
    </row>
    <row r="62" spans="1:13" x14ac:dyDescent="0.25">
      <c r="A62" t="s">
        <v>24</v>
      </c>
      <c r="F62" t="s">
        <v>37</v>
      </c>
      <c r="I62" t="s">
        <v>18</v>
      </c>
      <c r="J62" s="26">
        <f>INDEX('feed pars'!M$6:M$42,MATCH(F62,'feed pars'!B$6:B$42,0))</f>
        <v>13.2</v>
      </c>
    </row>
    <row r="63" spans="1:13" x14ac:dyDescent="0.25">
      <c r="A63" t="s">
        <v>24</v>
      </c>
      <c r="F63" t="s">
        <v>38</v>
      </c>
      <c r="I63" t="s">
        <v>18</v>
      </c>
      <c r="J63" s="26">
        <f>INDEX('feed pars'!M$6:M$42,MATCH(F63,'feed pars'!B$6:B$42,0))</f>
        <v>11.7</v>
      </c>
    </row>
    <row r="64" spans="1:13" x14ac:dyDescent="0.25">
      <c r="A64" t="s">
        <v>24</v>
      </c>
      <c r="F64" t="s">
        <v>39</v>
      </c>
      <c r="I64" t="s">
        <v>18</v>
      </c>
      <c r="J64" s="26">
        <f>INDEX('feed pars'!M$6:M$42,MATCH(F64,'feed pars'!B$6:B$42,0))</f>
        <v>14</v>
      </c>
    </row>
    <row r="65" spans="1:10" x14ac:dyDescent="0.25">
      <c r="A65" t="s">
        <v>24</v>
      </c>
      <c r="F65" t="s">
        <v>317</v>
      </c>
      <c r="I65" t="s">
        <v>18</v>
      </c>
      <c r="J65" s="26">
        <f>INDEX('feed pars'!M$6:M$42,MATCH(F65,'feed pars'!B$6:B$42,0))</f>
        <v>13.9</v>
      </c>
    </row>
    <row r="66" spans="1:10" x14ac:dyDescent="0.25">
      <c r="A66" t="s">
        <v>24</v>
      </c>
      <c r="F66" t="s">
        <v>40</v>
      </c>
      <c r="I66" t="s">
        <v>18</v>
      </c>
      <c r="J66" s="26">
        <f>INDEX('feed pars'!M$6:M$42,MATCH(F66,'feed pars'!B$6:B$42,0))</f>
        <v>12.8</v>
      </c>
    </row>
    <row r="67" spans="1:10" x14ac:dyDescent="0.25">
      <c r="A67" t="s">
        <v>24</v>
      </c>
      <c r="F67" t="s">
        <v>41</v>
      </c>
      <c r="I67" t="s">
        <v>18</v>
      </c>
      <c r="J67" s="26">
        <f>INDEX('feed pars'!M$6:M$42,MATCH(F67,'feed pars'!B$6:B$42,0))</f>
        <v>13.8</v>
      </c>
    </row>
    <row r="68" spans="1:10" x14ac:dyDescent="0.25">
      <c r="A68" t="s">
        <v>24</v>
      </c>
      <c r="F68" t="s">
        <v>42</v>
      </c>
      <c r="I68" t="s">
        <v>18</v>
      </c>
      <c r="J68" s="26">
        <f>INDEX('feed pars'!M$6:M$42,MATCH(F68,'feed pars'!B$6:B$42,0))</f>
        <v>13.3</v>
      </c>
    </row>
    <row r="69" spans="1:10" x14ac:dyDescent="0.25">
      <c r="A69" t="s">
        <v>24</v>
      </c>
      <c r="F69" t="s">
        <v>35</v>
      </c>
      <c r="I69" t="s">
        <v>18</v>
      </c>
      <c r="J69" s="26">
        <f>INDEX('feed pars'!M$6:M$42,MATCH(F69,'feed pars'!B$6:B$42,0))</f>
        <v>22.1</v>
      </c>
    </row>
    <row r="70" spans="1:10" x14ac:dyDescent="0.25">
      <c r="A70" t="s">
        <v>24</v>
      </c>
      <c r="F70" t="s">
        <v>43</v>
      </c>
      <c r="I70" t="s">
        <v>18</v>
      </c>
      <c r="J70" s="26">
        <f>INDEX('feed pars'!M$6:M$42,MATCH(F70,'feed pars'!B$6:B$42,0))</f>
        <v>20.100000000000001</v>
      </c>
    </row>
    <row r="71" spans="1:10" x14ac:dyDescent="0.25">
      <c r="A71" t="s">
        <v>24</v>
      </c>
      <c r="F71" t="s">
        <v>305</v>
      </c>
      <c r="I71" t="s">
        <v>18</v>
      </c>
      <c r="J71" s="26">
        <f>INDEX('feed pars'!M$6:M$42,MATCH(F71,'feed pars'!B$6:B$42,0))</f>
        <v>6.6</v>
      </c>
    </row>
    <row r="72" spans="1:10" x14ac:dyDescent="0.25">
      <c r="A72" t="s">
        <v>24</v>
      </c>
      <c r="F72" t="s">
        <v>314</v>
      </c>
      <c r="I72" t="s">
        <v>18</v>
      </c>
      <c r="J72" s="26">
        <f>INDEX('feed pars'!M$6:M$42,MATCH(F72,'feed pars'!B$6:B$42,0))</f>
        <v>36.6</v>
      </c>
    </row>
    <row r="73" spans="1:10" x14ac:dyDescent="0.25">
      <c r="A73" t="s">
        <v>24</v>
      </c>
      <c r="F73" t="s">
        <v>318</v>
      </c>
      <c r="I73" t="s">
        <v>18</v>
      </c>
      <c r="J73" s="26">
        <f>INDEX('feed pars'!M$6:M$42,MATCH(F73,'feed pars'!B$6:B$42,0))</f>
        <v>16.399999999999999</v>
      </c>
    </row>
    <row r="74" spans="1:10" x14ac:dyDescent="0.25">
      <c r="A74" t="s">
        <v>24</v>
      </c>
      <c r="F74" t="s">
        <v>44</v>
      </c>
      <c r="I74" t="s">
        <v>18</v>
      </c>
      <c r="J74" s="26">
        <f>INDEX('feed pars'!M$6:M$42,MATCH(F74,'feed pars'!B$6:B$42,0))</f>
        <v>14.6</v>
      </c>
    </row>
    <row r="75" spans="1:10" x14ac:dyDescent="0.25">
      <c r="A75" t="s">
        <v>24</v>
      </c>
      <c r="F75" t="s">
        <v>36</v>
      </c>
      <c r="I75" t="s">
        <v>18</v>
      </c>
      <c r="J75" s="26">
        <f>INDEX('feed pars'!M$6:M$42,MATCH(F75,'feed pars'!B$6:B$42,0))</f>
        <v>12.2</v>
      </c>
    </row>
    <row r="76" spans="1:10" x14ac:dyDescent="0.25">
      <c r="A76" t="s">
        <v>24</v>
      </c>
      <c r="F76" t="s">
        <v>46</v>
      </c>
      <c r="I76" t="s">
        <v>18</v>
      </c>
      <c r="J76" s="26">
        <f>INDEX('feed pars'!M$6:M$42,MATCH(F76,'feed pars'!B$6:B$42,0))</f>
        <v>11.4</v>
      </c>
    </row>
    <row r="77" spans="1:10" x14ac:dyDescent="0.25">
      <c r="A77" t="s">
        <v>24</v>
      </c>
      <c r="F77" t="s">
        <v>47</v>
      </c>
      <c r="I77" t="s">
        <v>18</v>
      </c>
      <c r="J77" s="26">
        <f>INDEX('feed pars'!M$6:M$42,MATCH(F77,'feed pars'!B$6:B$42,0))</f>
        <v>13.4</v>
      </c>
    </row>
    <row r="78" spans="1:10" x14ac:dyDescent="0.25">
      <c r="A78" t="s">
        <v>24</v>
      </c>
      <c r="F78" t="s">
        <v>319</v>
      </c>
      <c r="I78" t="s">
        <v>18</v>
      </c>
      <c r="J78" s="26">
        <f>INDEX('feed pars'!M$6:M$42,MATCH(F78,'feed pars'!B$6:B$42,0))</f>
        <v>8.5</v>
      </c>
    </row>
    <row r="79" spans="1:10" x14ac:dyDescent="0.25">
      <c r="A79" t="s">
        <v>24</v>
      </c>
      <c r="F79" t="s">
        <v>48</v>
      </c>
      <c r="I79" t="s">
        <v>18</v>
      </c>
      <c r="J79" s="26">
        <f>INDEX('feed pars'!M$6:M$42,MATCH(F79,'feed pars'!B$6:B$42,0))</f>
        <v>11</v>
      </c>
    </row>
    <row r="80" spans="1:10" x14ac:dyDescent="0.25">
      <c r="A80" t="s">
        <v>24</v>
      </c>
      <c r="F80" t="s">
        <v>50</v>
      </c>
      <c r="I80" t="s">
        <v>18</v>
      </c>
      <c r="J80" s="26">
        <f>INDEX('feed pars'!M$6:M$42,MATCH(F80,'feed pars'!B$6:B$42,0))</f>
        <v>13.3</v>
      </c>
    </row>
    <row r="81" spans="1:13" x14ac:dyDescent="0.25">
      <c r="A81" t="s">
        <v>24</v>
      </c>
      <c r="F81" t="s">
        <v>313</v>
      </c>
      <c r="I81" t="s">
        <v>18</v>
      </c>
      <c r="J81" s="26">
        <f>INDEX('feed pars'!M$6:M$42,MATCH(F81,'feed pars'!B$6:B$42,0))</f>
        <v>11.6</v>
      </c>
    </row>
    <row r="82" spans="1:13" x14ac:dyDescent="0.25">
      <c r="A82" t="s">
        <v>24</v>
      </c>
      <c r="F82" t="s">
        <v>52</v>
      </c>
      <c r="I82" t="s">
        <v>18</v>
      </c>
      <c r="J82" s="26">
        <f>INDEX('feed pars'!M$6:M$42,MATCH(F82,'feed pars'!B$6:B$42,0))</f>
        <v>12.4</v>
      </c>
    </row>
    <row r="83" spans="1:13" x14ac:dyDescent="0.25">
      <c r="A83" t="s">
        <v>24</v>
      </c>
      <c r="F83" t="s">
        <v>53</v>
      </c>
      <c r="I83" t="s">
        <v>18</v>
      </c>
      <c r="J83" s="26">
        <f>INDEX('feed pars'!M$6:M$42,MATCH(F83,'feed pars'!B$6:B$42,0))</f>
        <v>12.3</v>
      </c>
    </row>
    <row r="84" spans="1:13" x14ac:dyDescent="0.25">
      <c r="A84" t="s">
        <v>24</v>
      </c>
      <c r="F84" t="s">
        <v>54</v>
      </c>
      <c r="I84" t="s">
        <v>18</v>
      </c>
      <c r="J84" s="26">
        <f>INDEX('feed pars'!M$6:M$42,MATCH(F84,'feed pars'!B$6:B$42,0))</f>
        <v>13.6</v>
      </c>
    </row>
    <row r="85" spans="1:13" x14ac:dyDescent="0.25">
      <c r="A85" t="s">
        <v>24</v>
      </c>
      <c r="F85" t="s">
        <v>56</v>
      </c>
      <c r="I85" t="s">
        <v>18</v>
      </c>
      <c r="J85" s="26">
        <f>INDEX('feed pars'!M$6:M$42,MATCH(F85,'feed pars'!B$6:B$42,0))</f>
        <v>15.5</v>
      </c>
    </row>
    <row r="86" spans="1:13" x14ac:dyDescent="0.25">
      <c r="A86" t="s">
        <v>24</v>
      </c>
      <c r="F86" t="s">
        <v>324</v>
      </c>
      <c r="I86" t="s">
        <v>18</v>
      </c>
      <c r="J86" s="3">
        <v>0</v>
      </c>
    </row>
    <row r="87" spans="1:13" x14ac:dyDescent="0.25">
      <c r="J87" s="3"/>
    </row>
    <row r="88" spans="1:13" x14ac:dyDescent="0.25">
      <c r="A88" s="8" t="s">
        <v>21</v>
      </c>
      <c r="B88" s="8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</row>
    <row r="89" spans="1:13" x14ac:dyDescent="0.25">
      <c r="A89" t="s">
        <v>25</v>
      </c>
      <c r="E89" t="s">
        <v>299</v>
      </c>
      <c r="F89" t="s">
        <v>17</v>
      </c>
      <c r="I89" t="s">
        <v>18</v>
      </c>
      <c r="J89" s="26">
        <f>INDEX('feed pars'!H$6:H$42,MATCH(F89,'feed pars'!B$6:B$42,0))</f>
        <v>12.3</v>
      </c>
      <c r="K89" t="s">
        <v>300</v>
      </c>
    </row>
    <row r="90" spans="1:13" x14ac:dyDescent="0.25">
      <c r="A90" t="s">
        <v>25</v>
      </c>
      <c r="E90" t="s">
        <v>299</v>
      </c>
      <c r="F90" t="s">
        <v>37</v>
      </c>
      <c r="I90" t="s">
        <v>18</v>
      </c>
      <c r="J90" s="26">
        <f>INDEX('feed pars'!H$6:H$42,MATCH(F90,'feed pars'!B$6:B$42,0))</f>
        <v>11.2</v>
      </c>
      <c r="K90" t="s">
        <v>300</v>
      </c>
    </row>
    <row r="91" spans="1:13" x14ac:dyDescent="0.25">
      <c r="A91" t="s">
        <v>25</v>
      </c>
      <c r="E91" t="s">
        <v>299</v>
      </c>
      <c r="F91" t="s">
        <v>38</v>
      </c>
      <c r="I91" t="s">
        <v>18</v>
      </c>
      <c r="J91" s="26">
        <f>INDEX('feed pars'!H$6:H$42,MATCH(F91,'feed pars'!B$6:B$42,0))</f>
        <v>9.4</v>
      </c>
      <c r="K91" t="s">
        <v>300</v>
      </c>
    </row>
    <row r="92" spans="1:13" x14ac:dyDescent="0.25">
      <c r="A92" t="s">
        <v>25</v>
      </c>
      <c r="E92" t="s">
        <v>299</v>
      </c>
      <c r="F92" t="s">
        <v>39</v>
      </c>
      <c r="I92" t="s">
        <v>18</v>
      </c>
      <c r="J92" s="26">
        <f>INDEX('feed pars'!H$6:H$42,MATCH(F92,'feed pars'!B$6:B$42,0))</f>
        <v>12</v>
      </c>
      <c r="K92" t="s">
        <v>300</v>
      </c>
    </row>
    <row r="93" spans="1:13" x14ac:dyDescent="0.25">
      <c r="A93" t="s">
        <v>25</v>
      </c>
      <c r="E93" t="s">
        <v>299</v>
      </c>
      <c r="F93" t="s">
        <v>40</v>
      </c>
      <c r="I93" t="s">
        <v>18</v>
      </c>
      <c r="J93" s="26">
        <f>INDEX('feed pars'!H$6:H$42,MATCH(F93,'feed pars'!B$6:B$42,0))</f>
        <v>13.2</v>
      </c>
      <c r="K93" t="s">
        <v>300</v>
      </c>
    </row>
    <row r="94" spans="1:13" x14ac:dyDescent="0.25">
      <c r="A94" t="s">
        <v>25</v>
      </c>
      <c r="E94" t="s">
        <v>299</v>
      </c>
      <c r="F94" t="s">
        <v>41</v>
      </c>
      <c r="I94" t="s">
        <v>18</v>
      </c>
      <c r="J94" s="26">
        <f>INDEX('feed pars'!H$6:H$42,MATCH(F94,'feed pars'!B$6:B$42,0))</f>
        <v>11.5</v>
      </c>
      <c r="K94" t="s">
        <v>300</v>
      </c>
    </row>
    <row r="95" spans="1:13" x14ac:dyDescent="0.25">
      <c r="A95" t="s">
        <v>25</v>
      </c>
      <c r="E95" t="s">
        <v>299</v>
      </c>
      <c r="F95" t="s">
        <v>42</v>
      </c>
      <c r="I95" t="s">
        <v>18</v>
      </c>
      <c r="J95" s="26">
        <f>INDEX('feed pars'!H$6:H$42,MATCH(F95,'feed pars'!B$6:B$42,0))</f>
        <v>10.9</v>
      </c>
      <c r="K95" t="s">
        <v>300</v>
      </c>
    </row>
    <row r="96" spans="1:13" x14ac:dyDescent="0.25">
      <c r="A96" t="s">
        <v>25</v>
      </c>
      <c r="E96" t="s">
        <v>299</v>
      </c>
      <c r="F96" t="s">
        <v>35</v>
      </c>
      <c r="I96" t="s">
        <v>18</v>
      </c>
      <c r="J96" s="26">
        <f>INDEX('feed pars'!H$6:H$42,MATCH(F96,'feed pars'!B$6:B$42,0))</f>
        <v>18.5</v>
      </c>
      <c r="K96" t="s">
        <v>300</v>
      </c>
    </row>
    <row r="97" spans="1:11" x14ac:dyDescent="0.25">
      <c r="A97" t="s">
        <v>25</v>
      </c>
      <c r="E97" t="s">
        <v>299</v>
      </c>
      <c r="F97" t="s">
        <v>43</v>
      </c>
      <c r="I97" t="s">
        <v>18</v>
      </c>
      <c r="J97" s="26">
        <f>INDEX('feed pars'!H$6:H$42,MATCH(F97,'feed pars'!B$6:B$42,0))</f>
        <v>17.5</v>
      </c>
      <c r="K97" t="s">
        <v>300</v>
      </c>
    </row>
    <row r="98" spans="1:11" x14ac:dyDescent="0.25">
      <c r="A98" t="s">
        <v>25</v>
      </c>
      <c r="E98" t="s">
        <v>299</v>
      </c>
      <c r="F98" t="s">
        <v>314</v>
      </c>
      <c r="I98" t="s">
        <v>18</v>
      </c>
      <c r="J98" s="26">
        <f>INDEX('feed pars'!H$6:H$42,MATCH(F98,'feed pars'!B$6:B$42,0))</f>
        <v>29.8</v>
      </c>
      <c r="K98" t="s">
        <v>300</v>
      </c>
    </row>
    <row r="99" spans="1:11" x14ac:dyDescent="0.25">
      <c r="A99" t="s">
        <v>25</v>
      </c>
      <c r="E99" t="s">
        <v>299</v>
      </c>
      <c r="F99" t="s">
        <v>44</v>
      </c>
      <c r="I99" t="s">
        <v>18</v>
      </c>
      <c r="J99" s="26">
        <f>INDEX('feed pars'!H$6:H$42,MATCH(F99,'feed pars'!B$6:B$42,0))</f>
        <v>9.9</v>
      </c>
      <c r="K99" t="s">
        <v>300</v>
      </c>
    </row>
    <row r="100" spans="1:11" x14ac:dyDescent="0.25">
      <c r="A100" t="s">
        <v>25</v>
      </c>
      <c r="E100" t="s">
        <v>299</v>
      </c>
      <c r="F100" t="s">
        <v>45</v>
      </c>
      <c r="I100" t="s">
        <v>18</v>
      </c>
      <c r="J100" s="26">
        <f>INDEX('feed pars'!H$6:H$42,MATCH(F100,'feed pars'!B$6:B$42,0))</f>
        <v>10.3</v>
      </c>
      <c r="K100" t="s">
        <v>300</v>
      </c>
    </row>
    <row r="101" spans="1:11" x14ac:dyDescent="0.25">
      <c r="A101" t="s">
        <v>25</v>
      </c>
      <c r="E101" t="s">
        <v>299</v>
      </c>
      <c r="F101" t="s">
        <v>36</v>
      </c>
      <c r="I101" t="s">
        <v>18</v>
      </c>
      <c r="J101" s="26">
        <f>INDEX('feed pars'!H$6:H$42,MATCH(F101,'feed pars'!B$6:B$42,0))</f>
        <v>7.7</v>
      </c>
      <c r="K101" t="s">
        <v>300</v>
      </c>
    </row>
    <row r="102" spans="1:11" x14ac:dyDescent="0.25">
      <c r="A102" t="s">
        <v>25</v>
      </c>
      <c r="E102" t="s">
        <v>299</v>
      </c>
      <c r="F102" t="s">
        <v>46</v>
      </c>
      <c r="I102" t="s">
        <v>18</v>
      </c>
      <c r="J102" s="26">
        <f>INDEX('feed pars'!H$6:H$42,MATCH(F102,'feed pars'!B$6:B$42,0))</f>
        <v>6.5</v>
      </c>
      <c r="K102" t="s">
        <v>300</v>
      </c>
    </row>
    <row r="103" spans="1:11" x14ac:dyDescent="0.25">
      <c r="A103" t="s">
        <v>25</v>
      </c>
      <c r="E103" t="s">
        <v>299</v>
      </c>
      <c r="F103" t="s">
        <v>47</v>
      </c>
      <c r="I103" t="s">
        <v>18</v>
      </c>
      <c r="J103" s="26">
        <f>INDEX('feed pars'!H$6:H$42,MATCH(F103,'feed pars'!B$6:B$42,0))</f>
        <v>6.2</v>
      </c>
      <c r="K103" t="s">
        <v>300</v>
      </c>
    </row>
    <row r="104" spans="1:11" x14ac:dyDescent="0.25">
      <c r="A104" t="s">
        <v>25</v>
      </c>
      <c r="E104" t="s">
        <v>299</v>
      </c>
      <c r="F104" t="s">
        <v>48</v>
      </c>
      <c r="I104" t="s">
        <v>18</v>
      </c>
      <c r="J104" s="26">
        <f>INDEX('feed pars'!H$6:H$42,MATCH(F104,'feed pars'!B$6:B$42,0))</f>
        <v>7.8</v>
      </c>
      <c r="K104" t="s">
        <v>300</v>
      </c>
    </row>
    <row r="105" spans="1:11" x14ac:dyDescent="0.25">
      <c r="A105" t="s">
        <v>25</v>
      </c>
      <c r="E105" t="s">
        <v>299</v>
      </c>
      <c r="F105" t="s">
        <v>49</v>
      </c>
      <c r="I105" t="s">
        <v>18</v>
      </c>
      <c r="J105" s="26">
        <f>INDEX('feed pars'!H$6:H$42,MATCH(F105,'feed pars'!B$6:B$42,0))</f>
        <v>9.1999999999999993</v>
      </c>
      <c r="K105" t="s">
        <v>300</v>
      </c>
    </row>
    <row r="106" spans="1:11" x14ac:dyDescent="0.25">
      <c r="A106" t="s">
        <v>25</v>
      </c>
      <c r="E106" t="s">
        <v>299</v>
      </c>
      <c r="F106" t="s">
        <v>50</v>
      </c>
      <c r="I106" t="s">
        <v>18</v>
      </c>
      <c r="J106" s="26">
        <f>INDEX('feed pars'!H$6:H$42,MATCH(F106,'feed pars'!B$6:B$42,0))</f>
        <v>8.6999999999999993</v>
      </c>
      <c r="K106" t="s">
        <v>300</v>
      </c>
    </row>
    <row r="107" spans="1:11" x14ac:dyDescent="0.25">
      <c r="A107" t="s">
        <v>25</v>
      </c>
      <c r="E107" t="s">
        <v>299</v>
      </c>
      <c r="F107" t="s">
        <v>51</v>
      </c>
      <c r="I107" t="s">
        <v>18</v>
      </c>
      <c r="J107" s="26">
        <f>INDEX('feed pars'!H$6:H$42,MATCH(F107,'feed pars'!B$6:B$42,0))</f>
        <v>8.9</v>
      </c>
      <c r="K107" t="s">
        <v>300</v>
      </c>
    </row>
    <row r="108" spans="1:11" x14ac:dyDescent="0.25">
      <c r="A108" t="s">
        <v>25</v>
      </c>
      <c r="E108" t="s">
        <v>299</v>
      </c>
      <c r="F108" t="s">
        <v>313</v>
      </c>
      <c r="I108" t="s">
        <v>18</v>
      </c>
      <c r="J108" s="26">
        <f>INDEX('feed pars'!H$6:H$42,MATCH(F108,'feed pars'!B$6:B$42,0))</f>
        <v>7.0888888888888877</v>
      </c>
      <c r="K108" t="s">
        <v>300</v>
      </c>
    </row>
    <row r="109" spans="1:11" x14ac:dyDescent="0.25">
      <c r="A109" t="s">
        <v>25</v>
      </c>
      <c r="E109" t="s">
        <v>299</v>
      </c>
      <c r="F109" t="s">
        <v>52</v>
      </c>
      <c r="I109" t="s">
        <v>18</v>
      </c>
      <c r="J109" s="26">
        <f>INDEX('feed pars'!H$6:H$42,MATCH(F109,'feed pars'!B$6:B$42,0))</f>
        <v>9</v>
      </c>
      <c r="K109" t="s">
        <v>300</v>
      </c>
    </row>
    <row r="110" spans="1:11" x14ac:dyDescent="0.25">
      <c r="A110" t="s">
        <v>25</v>
      </c>
      <c r="E110" t="s">
        <v>299</v>
      </c>
      <c r="F110" t="s">
        <v>53</v>
      </c>
      <c r="I110" t="s">
        <v>18</v>
      </c>
      <c r="J110" s="26">
        <f>INDEX('feed pars'!H$6:H$42,MATCH(F110,'feed pars'!B$6:B$42,0))</f>
        <v>8</v>
      </c>
      <c r="K110" t="s">
        <v>300</v>
      </c>
    </row>
    <row r="111" spans="1:11" x14ac:dyDescent="0.25">
      <c r="A111" t="s">
        <v>25</v>
      </c>
      <c r="E111" t="s">
        <v>299</v>
      </c>
      <c r="F111" t="s">
        <v>54</v>
      </c>
      <c r="I111" t="s">
        <v>18</v>
      </c>
      <c r="J111" s="26">
        <f>INDEX('feed pars'!H$6:H$42,MATCH(F111,'feed pars'!B$6:B$42,0))</f>
        <v>12.2</v>
      </c>
      <c r="K111" t="s">
        <v>300</v>
      </c>
    </row>
    <row r="112" spans="1:11" x14ac:dyDescent="0.25">
      <c r="A112" t="s">
        <v>25</v>
      </c>
      <c r="E112" t="s">
        <v>299</v>
      </c>
      <c r="F112" t="s">
        <v>55</v>
      </c>
      <c r="I112" t="s">
        <v>18</v>
      </c>
      <c r="J112" s="26">
        <f>INDEX('feed pars'!H$6:H$42,MATCH(F112,'feed pars'!B$6:B$42,0))</f>
        <v>12.2</v>
      </c>
      <c r="K112" t="s">
        <v>300</v>
      </c>
    </row>
    <row r="113" spans="1:11" x14ac:dyDescent="0.25">
      <c r="A113" t="s">
        <v>25</v>
      </c>
      <c r="E113" t="s">
        <v>299</v>
      </c>
      <c r="F113" t="s">
        <v>56</v>
      </c>
      <c r="I113" t="s">
        <v>18</v>
      </c>
      <c r="J113" s="26">
        <f>INDEX('feed pars'!H$6:H$42,MATCH(F113,'feed pars'!B$6:B$42,0))</f>
        <v>11.3</v>
      </c>
      <c r="K113" t="s">
        <v>300</v>
      </c>
    </row>
    <row r="114" spans="1:11" x14ac:dyDescent="0.25">
      <c r="A114" t="s">
        <v>25</v>
      </c>
      <c r="E114" t="s">
        <v>299</v>
      </c>
      <c r="F114" t="s">
        <v>57</v>
      </c>
      <c r="I114" t="s">
        <v>18</v>
      </c>
      <c r="J114" s="26">
        <f>INDEX('feed pars'!H$6:H$42,MATCH(F114,'feed pars'!B$6:B$42,0))</f>
        <v>10.8</v>
      </c>
      <c r="K114" t="s">
        <v>300</v>
      </c>
    </row>
    <row r="115" spans="1:11" x14ac:dyDescent="0.25">
      <c r="J115" s="26"/>
    </row>
    <row r="116" spans="1:11" x14ac:dyDescent="0.25">
      <c r="A116" t="s">
        <v>25</v>
      </c>
      <c r="F116" t="s">
        <v>17</v>
      </c>
      <c r="I116" t="s">
        <v>18</v>
      </c>
      <c r="J116" s="26">
        <f>INDEX('feed pars'!G$6:G$42,MATCH(F116,'feed pars'!B$6:B$42,0))</f>
        <v>12.1</v>
      </c>
      <c r="K116" t="s">
        <v>22</v>
      </c>
    </row>
    <row r="117" spans="1:11" x14ac:dyDescent="0.25">
      <c r="A117" t="s">
        <v>25</v>
      </c>
      <c r="F117" t="s">
        <v>37</v>
      </c>
      <c r="I117" t="s">
        <v>18</v>
      </c>
      <c r="J117" s="26">
        <f>INDEX('feed pars'!G$6:G$42,MATCH(F117,'feed pars'!B$6:B$42,0))</f>
        <v>11</v>
      </c>
      <c r="K117" t="s">
        <v>22</v>
      </c>
    </row>
    <row r="118" spans="1:11" x14ac:dyDescent="0.25">
      <c r="A118" t="s">
        <v>25</v>
      </c>
      <c r="F118" t="s">
        <v>38</v>
      </c>
      <c r="I118" t="s">
        <v>18</v>
      </c>
      <c r="J118" s="26">
        <f>INDEX('feed pars'!G$6:G$42,MATCH(F118,'feed pars'!B$6:B$42,0))</f>
        <v>9</v>
      </c>
      <c r="K118" t="s">
        <v>22</v>
      </c>
    </row>
    <row r="119" spans="1:11" x14ac:dyDescent="0.25">
      <c r="A119" t="s">
        <v>25</v>
      </c>
      <c r="F119" t="s">
        <v>39</v>
      </c>
      <c r="I119" t="s">
        <v>18</v>
      </c>
      <c r="J119" s="26">
        <f>INDEX('feed pars'!G$6:G$42,MATCH(F119,'feed pars'!B$6:B$42,0))</f>
        <v>11.9</v>
      </c>
      <c r="K119" t="s">
        <v>22</v>
      </c>
    </row>
    <row r="120" spans="1:11" x14ac:dyDescent="0.25">
      <c r="A120" t="s">
        <v>25</v>
      </c>
      <c r="F120" t="s">
        <v>40</v>
      </c>
      <c r="I120" t="s">
        <v>18</v>
      </c>
      <c r="J120" s="26">
        <f>INDEX('feed pars'!G$6:G$42,MATCH(F120,'feed pars'!B$6:B$42,0))</f>
        <v>12.8</v>
      </c>
      <c r="K120" t="s">
        <v>22</v>
      </c>
    </row>
    <row r="121" spans="1:11" x14ac:dyDescent="0.25">
      <c r="A121" t="s">
        <v>25</v>
      </c>
      <c r="F121" t="s">
        <v>41</v>
      </c>
      <c r="I121" t="s">
        <v>18</v>
      </c>
      <c r="J121" s="26">
        <f>INDEX('feed pars'!G$6:G$42,MATCH(F121,'feed pars'!B$6:B$42,0))</f>
        <v>11.2</v>
      </c>
      <c r="K121" t="s">
        <v>22</v>
      </c>
    </row>
    <row r="122" spans="1:11" x14ac:dyDescent="0.25">
      <c r="A122" t="s">
        <v>25</v>
      </c>
      <c r="F122" t="s">
        <v>42</v>
      </c>
      <c r="I122" t="s">
        <v>18</v>
      </c>
      <c r="J122" s="26">
        <f>INDEX('feed pars'!G$6:G$42,MATCH(F122,'feed pars'!B$6:B$42,0))</f>
        <v>10.7</v>
      </c>
      <c r="K122" t="s">
        <v>22</v>
      </c>
    </row>
    <row r="123" spans="1:11" x14ac:dyDescent="0.25">
      <c r="A123" t="s">
        <v>25</v>
      </c>
      <c r="F123" t="s">
        <v>35</v>
      </c>
      <c r="I123" t="s">
        <v>18</v>
      </c>
      <c r="J123" s="26">
        <f>INDEX('feed pars'!G$6:G$42,MATCH(F123,'feed pars'!B$6:B$42,0))</f>
        <v>18</v>
      </c>
      <c r="K123" t="s">
        <v>22</v>
      </c>
    </row>
    <row r="124" spans="1:11" x14ac:dyDescent="0.25">
      <c r="A124" t="s">
        <v>25</v>
      </c>
      <c r="F124" t="s">
        <v>43</v>
      </c>
      <c r="I124" t="s">
        <v>18</v>
      </c>
      <c r="J124" s="26">
        <f>INDEX('feed pars'!G$6:G$42,MATCH(F124,'feed pars'!B$6:B$42,0))</f>
        <v>17.3</v>
      </c>
      <c r="K124" t="s">
        <v>22</v>
      </c>
    </row>
    <row r="125" spans="1:11" x14ac:dyDescent="0.25">
      <c r="A125" t="s">
        <v>25</v>
      </c>
      <c r="F125" t="s">
        <v>314</v>
      </c>
      <c r="I125" t="s">
        <v>18</v>
      </c>
      <c r="J125" s="26">
        <f>INDEX('feed pars'!G$6:G$42,MATCH(F125,'feed pars'!B$6:B$42,0))</f>
        <v>29.8</v>
      </c>
      <c r="K125" t="s">
        <v>22</v>
      </c>
    </row>
    <row r="126" spans="1:11" x14ac:dyDescent="0.25">
      <c r="A126" t="s">
        <v>25</v>
      </c>
      <c r="F126" t="s">
        <v>44</v>
      </c>
      <c r="I126" t="s">
        <v>18</v>
      </c>
      <c r="J126" s="26">
        <f>INDEX('feed pars'!G$6:G$42,MATCH(F126,'feed pars'!B$6:B$42,0))</f>
        <v>9.3000000000000007</v>
      </c>
      <c r="K126" t="s">
        <v>22</v>
      </c>
    </row>
    <row r="127" spans="1:11" x14ac:dyDescent="0.25">
      <c r="A127" t="s">
        <v>25</v>
      </c>
      <c r="F127" t="s">
        <v>45</v>
      </c>
      <c r="I127" t="s">
        <v>18</v>
      </c>
      <c r="J127" s="26">
        <f>INDEX('feed pars'!G$6:G$42,MATCH(F127,'feed pars'!B$6:B$42,0))</f>
        <v>9.6999999999999993</v>
      </c>
      <c r="K127" t="s">
        <v>22</v>
      </c>
    </row>
    <row r="128" spans="1:11" x14ac:dyDescent="0.25">
      <c r="A128" t="s">
        <v>25</v>
      </c>
      <c r="F128" t="s">
        <v>36</v>
      </c>
      <c r="I128" t="s">
        <v>18</v>
      </c>
      <c r="J128" s="26">
        <f>INDEX('feed pars'!G$6:G$42,MATCH(F128,'feed pars'!B$6:B$42,0))</f>
        <v>7.1</v>
      </c>
      <c r="K128" t="s">
        <v>22</v>
      </c>
    </row>
    <row r="129" spans="1:11" x14ac:dyDescent="0.25">
      <c r="A129" t="s">
        <v>25</v>
      </c>
      <c r="F129" t="s">
        <v>46</v>
      </c>
      <c r="I129" t="s">
        <v>18</v>
      </c>
      <c r="J129" s="26">
        <f>INDEX('feed pars'!G$6:G$42,MATCH(F129,'feed pars'!B$6:B$42,0))</f>
        <v>5.9</v>
      </c>
      <c r="K129" t="s">
        <v>22</v>
      </c>
    </row>
    <row r="130" spans="1:11" x14ac:dyDescent="0.25">
      <c r="A130" t="s">
        <v>25</v>
      </c>
      <c r="F130" t="s">
        <v>47</v>
      </c>
      <c r="I130" t="s">
        <v>18</v>
      </c>
      <c r="J130" s="26">
        <f>INDEX('feed pars'!G$6:G$42,MATCH(F130,'feed pars'!B$6:B$42,0))</f>
        <v>5.4</v>
      </c>
      <c r="K130" t="s">
        <v>22</v>
      </c>
    </row>
    <row r="131" spans="1:11" x14ac:dyDescent="0.25">
      <c r="A131" t="s">
        <v>25</v>
      </c>
      <c r="F131" t="s">
        <v>48</v>
      </c>
      <c r="I131" t="s">
        <v>18</v>
      </c>
      <c r="J131" s="26">
        <f>INDEX('feed pars'!G$6:G$42,MATCH(F131,'feed pars'!B$6:B$42,0))</f>
        <v>7.2</v>
      </c>
      <c r="K131" t="s">
        <v>22</v>
      </c>
    </row>
    <row r="132" spans="1:11" x14ac:dyDescent="0.25">
      <c r="A132" t="s">
        <v>25</v>
      </c>
      <c r="F132" t="s">
        <v>49</v>
      </c>
      <c r="I132" t="s">
        <v>18</v>
      </c>
      <c r="J132" s="26">
        <f>INDEX('feed pars'!G$6:G$42,MATCH(F132,'feed pars'!B$6:B$42,0))</f>
        <v>8.6999999999999993</v>
      </c>
      <c r="K132" t="s">
        <v>22</v>
      </c>
    </row>
    <row r="133" spans="1:11" x14ac:dyDescent="0.25">
      <c r="A133" t="s">
        <v>25</v>
      </c>
      <c r="F133" t="s">
        <v>50</v>
      </c>
      <c r="I133" t="s">
        <v>18</v>
      </c>
      <c r="J133" s="26">
        <f>INDEX('feed pars'!G$6:G$42,MATCH(F133,'feed pars'!B$6:B$42,0))</f>
        <v>8.1</v>
      </c>
      <c r="K133" t="s">
        <v>22</v>
      </c>
    </row>
    <row r="134" spans="1:11" x14ac:dyDescent="0.25">
      <c r="A134" t="s">
        <v>25</v>
      </c>
      <c r="F134" t="s">
        <v>51</v>
      </c>
      <c r="I134" t="s">
        <v>18</v>
      </c>
      <c r="J134" s="26">
        <f>INDEX('feed pars'!G$6:G$42,MATCH(F134,'feed pars'!B$6:B$42,0))</f>
        <v>8.1999999999999993</v>
      </c>
      <c r="K134" t="s">
        <v>22</v>
      </c>
    </row>
    <row r="135" spans="1:11" x14ac:dyDescent="0.25">
      <c r="A135" t="s">
        <v>25</v>
      </c>
      <c r="F135" t="s">
        <v>313</v>
      </c>
      <c r="I135" t="s">
        <v>18</v>
      </c>
      <c r="J135" s="26">
        <f>INDEX('feed pars'!G$6:G$42,MATCH(F135,'feed pars'!B$6:B$42,0))</f>
        <v>6.6</v>
      </c>
      <c r="K135" t="s">
        <v>22</v>
      </c>
    </row>
    <row r="136" spans="1:11" x14ac:dyDescent="0.25">
      <c r="A136" t="s">
        <v>25</v>
      </c>
      <c r="F136" t="s">
        <v>52</v>
      </c>
      <c r="I136" t="s">
        <v>18</v>
      </c>
      <c r="J136" s="26">
        <f>INDEX('feed pars'!G$6:G$42,MATCH(F136,'feed pars'!B$6:B$42,0))</f>
        <v>8.6999999999999993</v>
      </c>
      <c r="K136" t="s">
        <v>22</v>
      </c>
    </row>
    <row r="137" spans="1:11" x14ac:dyDescent="0.25">
      <c r="A137" t="s">
        <v>25</v>
      </c>
      <c r="F137" t="s">
        <v>53</v>
      </c>
      <c r="I137" t="s">
        <v>18</v>
      </c>
      <c r="J137" s="26">
        <f>INDEX('feed pars'!G$6:G$42,MATCH(F137,'feed pars'!B$6:B$42,0))</f>
        <v>6.9</v>
      </c>
      <c r="K137" t="s">
        <v>22</v>
      </c>
    </row>
    <row r="138" spans="1:11" x14ac:dyDescent="0.25">
      <c r="A138" t="s">
        <v>25</v>
      </c>
      <c r="F138" t="s">
        <v>54</v>
      </c>
      <c r="I138" t="s">
        <v>18</v>
      </c>
      <c r="J138" s="26">
        <f>INDEX('feed pars'!G$6:G$42,MATCH(F138,'feed pars'!B$6:B$42,0))</f>
        <v>12.4</v>
      </c>
      <c r="K138" t="s">
        <v>22</v>
      </c>
    </row>
    <row r="139" spans="1:11" x14ac:dyDescent="0.25">
      <c r="A139" t="s">
        <v>25</v>
      </c>
      <c r="F139" t="s">
        <v>55</v>
      </c>
      <c r="I139" t="s">
        <v>18</v>
      </c>
      <c r="J139" s="26">
        <f>INDEX('feed pars'!G$6:G$42,MATCH(F139,'feed pars'!B$6:B$42,0))</f>
        <v>12.4</v>
      </c>
      <c r="K139" t="s">
        <v>22</v>
      </c>
    </row>
    <row r="140" spans="1:11" x14ac:dyDescent="0.25">
      <c r="A140" t="s">
        <v>25</v>
      </c>
      <c r="F140" t="s">
        <v>56</v>
      </c>
      <c r="I140" t="s">
        <v>18</v>
      </c>
      <c r="J140" s="26">
        <f>INDEX('feed pars'!G$6:G$42,MATCH(F140,'feed pars'!B$6:B$42,0))</f>
        <v>11.1</v>
      </c>
      <c r="K140" t="s">
        <v>22</v>
      </c>
    </row>
    <row r="141" spans="1:11" x14ac:dyDescent="0.25">
      <c r="A141" t="s">
        <v>25</v>
      </c>
      <c r="F141" t="s">
        <v>57</v>
      </c>
      <c r="I141" t="s">
        <v>18</v>
      </c>
      <c r="J141" s="26">
        <f>INDEX('feed pars'!G$6:G$42,MATCH(F141,'feed pars'!B$6:B$42,0))</f>
        <v>10.8</v>
      </c>
      <c r="K141" t="s">
        <v>22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42"/>
  <sheetViews>
    <sheetView topLeftCell="A9" workbookViewId="0">
      <selection activeCell="M23" sqref="M23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4" x14ac:dyDescent="0.25">
      <c r="B1" t="s">
        <v>119</v>
      </c>
      <c r="C1" s="11" t="s">
        <v>118</v>
      </c>
      <c r="D1" s="11"/>
      <c r="E1" s="11"/>
    </row>
    <row r="3" spans="2:14" x14ac:dyDescent="0.25">
      <c r="C3" s="4" t="s">
        <v>307</v>
      </c>
      <c r="E3" s="4" t="s">
        <v>25</v>
      </c>
      <c r="K3" s="4" t="s">
        <v>24</v>
      </c>
    </row>
    <row r="4" spans="2:14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/>
      <c r="K4" s="4" t="s">
        <v>297</v>
      </c>
      <c r="L4" s="4">
        <v>1</v>
      </c>
      <c r="M4" s="4">
        <v>2</v>
      </c>
      <c r="N4" s="4"/>
    </row>
    <row r="5" spans="2:14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/>
      <c r="K5" s="4" t="s">
        <v>298</v>
      </c>
      <c r="L5" s="4" t="s">
        <v>59</v>
      </c>
      <c r="M5" s="4" t="s">
        <v>306</v>
      </c>
    </row>
    <row r="6" spans="2:14" x14ac:dyDescent="0.25">
      <c r="B6" t="s">
        <v>310</v>
      </c>
      <c r="C6">
        <v>100</v>
      </c>
      <c r="M6" s="27">
        <v>11.5</v>
      </c>
    </row>
    <row r="7" spans="2:14" x14ac:dyDescent="0.25">
      <c r="B7" t="s">
        <v>311</v>
      </c>
      <c r="C7">
        <v>100</v>
      </c>
      <c r="M7" s="27">
        <v>10.4</v>
      </c>
    </row>
    <row r="8" spans="2:14" x14ac:dyDescent="0.25">
      <c r="B8" t="s">
        <v>312</v>
      </c>
      <c r="C8">
        <v>100</v>
      </c>
      <c r="M8" s="25">
        <v>10</v>
      </c>
    </row>
    <row r="9" spans="2:14" x14ac:dyDescent="0.25">
      <c r="B9" t="s">
        <v>2</v>
      </c>
      <c r="C9">
        <v>100</v>
      </c>
      <c r="M9" s="27">
        <v>9.1</v>
      </c>
    </row>
    <row r="10" spans="2:14" x14ac:dyDescent="0.25">
      <c r="B10" t="s">
        <v>12</v>
      </c>
      <c r="C10">
        <v>100</v>
      </c>
      <c r="K10" s="4"/>
      <c r="M10" s="27">
        <v>11.3</v>
      </c>
    </row>
    <row r="11" spans="2:14" x14ac:dyDescent="0.25">
      <c r="B11" t="s">
        <v>33</v>
      </c>
      <c r="C11">
        <v>100</v>
      </c>
      <c r="M11" s="27">
        <v>10</v>
      </c>
    </row>
    <row r="12" spans="2:14" x14ac:dyDescent="0.25">
      <c r="B12" s="4"/>
      <c r="C12" s="4"/>
      <c r="E12" s="4"/>
      <c r="F12" s="4"/>
      <c r="G12" s="4"/>
      <c r="H12" s="4"/>
      <c r="I12" s="4"/>
      <c r="J12" s="4"/>
      <c r="K12" s="4"/>
      <c r="L12" s="4"/>
      <c r="M12" s="28"/>
    </row>
    <row r="13" spans="2:14" x14ac:dyDescent="0.25">
      <c r="B13" t="s">
        <v>17</v>
      </c>
      <c r="C13" s="23">
        <f>AVERAGE(F13,L13)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K13" s="4">
        <f>MATCH($B13,cattle!$A$3:$A$120,0)</f>
        <v>112</v>
      </c>
      <c r="L13">
        <f>INDEX(cattle!$D$3:$AH$120,$K13,L$4)</f>
        <v>87</v>
      </c>
      <c r="M13" s="27">
        <f>INDEX(cattle!$D$3:$AH$120,$K13,M$4)</f>
        <v>14.1</v>
      </c>
    </row>
    <row r="14" spans="2:14" x14ac:dyDescent="0.25">
      <c r="B14" t="s">
        <v>37</v>
      </c>
      <c r="C14" s="23">
        <f t="shared" ref="C14:C42" si="0">AVERAGE(F14,L14)</f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K14" s="4">
        <f>MATCH($B14,cattle!$A$3:$A$120,0)</f>
        <v>42</v>
      </c>
      <c r="L14">
        <f>INDEX(cattle!$D$3:$AH$120,$K14,L$4)</f>
        <v>87</v>
      </c>
      <c r="M14" s="27">
        <f>INDEX(cattle!$D$3:$AH$120,$K14,M$4)</f>
        <v>13.2</v>
      </c>
    </row>
    <row r="15" spans="2:14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K15" s="4">
        <f>MATCH($B15,cattle!$A$3:$A$120,0)</f>
        <v>28</v>
      </c>
      <c r="L15">
        <f>INDEX(cattle!$D$3:$AH$120,$K15,L$4)</f>
        <v>85</v>
      </c>
      <c r="M15" s="27">
        <f>INDEX(cattle!$D$3:$AH$120,$K15,M$4)</f>
        <v>11.7</v>
      </c>
    </row>
    <row r="16" spans="2:14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K16" s="4">
        <f>MATCH($B16,cattle!$A$3:$A$120,0)</f>
        <v>78</v>
      </c>
      <c r="L16">
        <f>INDEX(cattle!$D$3:$AH$120,$K16,L$4)</f>
        <v>87</v>
      </c>
      <c r="M16" s="27">
        <f>INDEX(cattle!$D$3:$AH$120,$K16,M$4)</f>
        <v>14</v>
      </c>
    </row>
    <row r="17" spans="2:14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K17" s="4">
        <f>MATCH($B17,cattle!$A$3:$A$120,0)</f>
        <v>77</v>
      </c>
      <c r="L17">
        <f>INDEX(cattle!$D$3:$AH$120,$K17,L$4)</f>
        <v>87</v>
      </c>
      <c r="M17" s="27">
        <f>INDEX(cattle!$D$3:$AH$120,$K17,M$4)</f>
        <v>13.9</v>
      </c>
    </row>
    <row r="18" spans="2:14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K18" s="4">
        <f>MATCH($B18,cattle!$A$3:$A$120,0)</f>
        <v>53</v>
      </c>
      <c r="L18">
        <f>INDEX(cattle!$D$3:$AH$120,$K18,L$4)</f>
        <v>48</v>
      </c>
      <c r="M18" s="27">
        <f>INDEX(cattle!$D$3:$AH$120,$K18,M$4)</f>
        <v>12.8</v>
      </c>
    </row>
    <row r="19" spans="2:14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K19" s="4">
        <f>MATCH($B19,cattle!$A$3:$A$120,0)</f>
        <v>115</v>
      </c>
      <c r="L19">
        <f>INDEX(cattle!$D$3:$AH$120,$K19,L$4)</f>
        <v>87</v>
      </c>
      <c r="M19" s="27">
        <f>INDEX(cattle!$D$3:$AH$120,$K19,M$4)</f>
        <v>13.8</v>
      </c>
    </row>
    <row r="20" spans="2:14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K20" s="4"/>
      <c r="L20">
        <v>86.6</v>
      </c>
      <c r="M20" s="27">
        <v>13.3</v>
      </c>
      <c r="N20" t="s">
        <v>322</v>
      </c>
    </row>
    <row r="21" spans="2:14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K21" s="4">
        <f>MATCH($B21,cattle!$A$3:$A$120,0)</f>
        <v>71</v>
      </c>
      <c r="L21">
        <f>INDEX(cattle!$D$3:$AH$120,$K21,L$4)</f>
        <v>93</v>
      </c>
      <c r="M21" s="27">
        <f>INDEX(cattle!$D$3:$AH$120,$K21,M$4)</f>
        <v>22.1</v>
      </c>
    </row>
    <row r="22" spans="2:14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K22" s="4">
        <f>MATCH($B22,cattle!$A$3:$A$120,0)</f>
        <v>45</v>
      </c>
      <c r="L22">
        <f>INDEX(cattle!$D$3:$AH$120,$K22,L$4)</f>
        <v>93</v>
      </c>
      <c r="M22" s="27">
        <f>INDEX(cattle!$D$3:$AH$120,$K22,M$4)</f>
        <v>20.100000000000001</v>
      </c>
    </row>
    <row r="23" spans="2:14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K23" s="4"/>
      <c r="L23">
        <v>100</v>
      </c>
      <c r="M23" s="27">
        <v>36.6</v>
      </c>
      <c r="N23" t="s">
        <v>323</v>
      </c>
    </row>
    <row r="24" spans="2:14" x14ac:dyDescent="0.25">
      <c r="B24" t="s">
        <v>305</v>
      </c>
      <c r="C24" s="23">
        <f t="shared" si="0"/>
        <v>85</v>
      </c>
      <c r="D24" s="4"/>
      <c r="E24" s="4"/>
      <c r="K24" s="4">
        <f>MATCH($B24,cattle!$A$3:$A$120,0)</f>
        <v>22</v>
      </c>
      <c r="L24">
        <f>INDEX(cattle!$D$3:$AH$120,$K24,L$4)</f>
        <v>85</v>
      </c>
      <c r="M24" s="27">
        <f>INDEX(cattle!$D$3:$AH$120,$K24,M$4)</f>
        <v>6.6</v>
      </c>
    </row>
    <row r="25" spans="2:14" x14ac:dyDescent="0.25">
      <c r="B25" t="s">
        <v>318</v>
      </c>
      <c r="C25" s="23">
        <f t="shared" si="0"/>
        <v>87</v>
      </c>
      <c r="D25" s="4"/>
      <c r="E25" s="4"/>
      <c r="K25" s="4">
        <f>MATCH($B25,cattle!$A$3:$A$120,0)</f>
        <v>92</v>
      </c>
      <c r="L25">
        <f>INDEX(cattle!$D$3:$AH$120,$K25,L$4)</f>
        <v>87</v>
      </c>
      <c r="M25" s="27">
        <f>INDEX(cattle!$D$3:$AH$120,$K25,M$4)</f>
        <v>16.399999999999999</v>
      </c>
    </row>
    <row r="26" spans="2:14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K26" s="4">
        <f>MATCH($B26,cattle!$A$3:$A$120,0)</f>
        <v>93</v>
      </c>
      <c r="L26">
        <f>INDEX(cattle!$D$3:$AH$120,$K26,L$4)</f>
        <v>87</v>
      </c>
      <c r="M26" s="27">
        <f>INDEX(cattle!$D$3:$AH$120,$K26,M$4)</f>
        <v>14.6</v>
      </c>
    </row>
    <row r="27" spans="2:14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K27" s="4"/>
      <c r="M27" s="27"/>
    </row>
    <row r="28" spans="2:14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K28" s="4">
        <f>MATCH($B28,cattle!$A$3:$A$120,0)</f>
        <v>70</v>
      </c>
      <c r="L28">
        <f>INDEX(cattle!$D$3:$AH$120,$K28,L$4)</f>
        <v>90</v>
      </c>
      <c r="M28" s="27">
        <f>INDEX(cattle!$D$3:$AH$120,$K28,M$4)</f>
        <v>12.2</v>
      </c>
    </row>
    <row r="29" spans="2:14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K29" s="4">
        <f>MATCH($B29,cattle!$A$3:$A$120,0)</f>
        <v>99</v>
      </c>
      <c r="L29">
        <f>INDEX(cattle!$D$3:$AH$120,$K29,L$4)</f>
        <v>92</v>
      </c>
      <c r="M29" s="27">
        <f>INDEX(cattle!$D$3:$AH$120,$K29,M$4)</f>
        <v>11.4</v>
      </c>
    </row>
    <row r="30" spans="2:14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K30" s="4">
        <f>MATCH($B30,cattle!$A$3:$A$120,0)</f>
        <v>60</v>
      </c>
      <c r="L30">
        <f>INDEX(cattle!$D$3:$AH$120,$K30,L$4)</f>
        <v>91</v>
      </c>
      <c r="M30" s="27">
        <f>INDEX(cattle!$D$3:$AH$120,$K30,M$4)</f>
        <v>13.4</v>
      </c>
    </row>
    <row r="31" spans="2:14" x14ac:dyDescent="0.25">
      <c r="B31" t="s">
        <v>319</v>
      </c>
      <c r="C31" s="23">
        <f t="shared" si="0"/>
        <v>90</v>
      </c>
      <c r="D31" s="4"/>
      <c r="E31" s="4"/>
      <c r="K31" s="4"/>
      <c r="L31">
        <v>90</v>
      </c>
      <c r="M31" s="27">
        <v>8.5</v>
      </c>
      <c r="N31" s="11" t="s">
        <v>320</v>
      </c>
    </row>
    <row r="32" spans="2:14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K32" s="4">
        <f>MATCH($B32,cattle!$A$3:$A$120,0)</f>
        <v>111</v>
      </c>
      <c r="L32">
        <f>INDEX(cattle!$D$3:$AH$120,$K32,L$4)</f>
        <v>87</v>
      </c>
      <c r="M32" s="27">
        <f>INDEX(cattle!$D$3:$AH$120,$K32,M$4)</f>
        <v>11</v>
      </c>
    </row>
    <row r="33" spans="2:13" x14ac:dyDescent="0.25">
      <c r="B33" t="s">
        <v>49</v>
      </c>
      <c r="C33" s="23">
        <f t="shared" si="0"/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K33" s="4"/>
      <c r="M33" s="27"/>
    </row>
    <row r="34" spans="2:13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K34" s="4">
        <f>MATCH($B34,cattle!$A$3:$A$120,0)</f>
        <v>109</v>
      </c>
      <c r="L34">
        <f>INDEX(cattle!$D$3:$AH$120,$K34,L$4)</f>
        <v>90</v>
      </c>
      <c r="M34" s="27">
        <f>INDEX(cattle!$D$3:$AH$120,$K34,M$4)</f>
        <v>13.3</v>
      </c>
    </row>
    <row r="35" spans="2:13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K35" s="4"/>
      <c r="M35" s="27"/>
    </row>
    <row r="36" spans="2:13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K36" s="4">
        <f>MATCH($B36,cattle!$A$3:$A$120,0)</f>
        <v>38</v>
      </c>
      <c r="L36">
        <f>INDEX(cattle!$D$3:$AH$120,$K36,L$4)</f>
        <v>90</v>
      </c>
      <c r="M36" s="27">
        <f>INDEX(cattle!$D$3:$AH$120,$K36,M$4)</f>
        <v>11.6</v>
      </c>
    </row>
    <row r="37" spans="2:13" x14ac:dyDescent="0.25">
      <c r="B37" t="s">
        <v>52</v>
      </c>
      <c r="C37" s="23">
        <f t="shared" si="0"/>
        <v>75.5</v>
      </c>
      <c r="D37" s="4"/>
      <c r="E37" s="4">
        <f>MATCH($B37,pigs!$A$3:$A$60,0)</f>
        <v>23</v>
      </c>
      <c r="F37">
        <f>INDEX(pigs!$D$3:$AO$60,$E37,F$4)</f>
        <v>76</v>
      </c>
      <c r="G37">
        <f>INDEX(pigs!$D$3:$AO$60,$E37,G$4)</f>
        <v>8.6999999999999993</v>
      </c>
      <c r="H37">
        <f>INDEX(pigs!$D$3:$AO$60,$E37,H$4)</f>
        <v>9</v>
      </c>
      <c r="K37" s="4">
        <f>MATCH($B37,cattle!$A$3:$A$120,0)</f>
        <v>88</v>
      </c>
      <c r="L37">
        <f>INDEX(cattle!$D$3:$AH$120,$K37,L$4)</f>
        <v>75</v>
      </c>
      <c r="M37" s="27">
        <f>INDEX(cattle!$D$3:$AH$120,$K37,M$4)</f>
        <v>12.4</v>
      </c>
    </row>
    <row r="38" spans="2:13" x14ac:dyDescent="0.25">
      <c r="B38" t="s">
        <v>53</v>
      </c>
      <c r="C38" s="23">
        <f t="shared" si="0"/>
        <v>89.5</v>
      </c>
      <c r="D38" s="4"/>
      <c r="E38" s="4">
        <f>MATCH($B38,pigs!$A$3:$A$60,0)</f>
        <v>4</v>
      </c>
      <c r="F38">
        <f>INDEX(pigs!$D$3:$AO$60,$E38,F$4)</f>
        <v>89</v>
      </c>
      <c r="G38">
        <f>INDEX(pigs!$D$3:$AO$60,$E38,G$4)</f>
        <v>6.9</v>
      </c>
      <c r="H38">
        <f>INDEX(pigs!$D$3:$AO$60,$E38,H$4)</f>
        <v>8</v>
      </c>
      <c r="K38" s="4">
        <f>MATCH($B38,cattle!$A$3:$A$120,0)</f>
        <v>91</v>
      </c>
      <c r="L38">
        <f>INDEX(cattle!$D$3:$AH$120,$K38,L$4)</f>
        <v>90</v>
      </c>
      <c r="M38" s="27">
        <f>INDEX(cattle!$D$3:$AH$120,$K38,M$4)</f>
        <v>12.3</v>
      </c>
    </row>
    <row r="39" spans="2:13" x14ac:dyDescent="0.25">
      <c r="B39" t="s">
        <v>54</v>
      </c>
      <c r="C39" s="23">
        <f t="shared" si="0"/>
        <v>6.25</v>
      </c>
      <c r="D39" s="4"/>
      <c r="E39" s="4">
        <f>MATCH($B39,pigs!$A$3:$A$60,0)</f>
        <v>50</v>
      </c>
      <c r="F39">
        <f>INDEX(pigs!$D$3:$AO$60,$E39,F$4)</f>
        <v>5.5</v>
      </c>
      <c r="G39">
        <f>INDEX(pigs!$D$3:$AO$60,$E39,G$4)</f>
        <v>12.4</v>
      </c>
      <c r="H39">
        <f>INDEX(pigs!$D$3:$AO$60,$E39,H$4)</f>
        <v>12.2</v>
      </c>
      <c r="K39" s="4">
        <f>MATCH($B39,cattle!$A$3:$A$120,0)</f>
        <v>57</v>
      </c>
      <c r="L39">
        <f>INDEX(cattle!$D$3:$AH$120,$K39,L$4)</f>
        <v>7</v>
      </c>
      <c r="M39" s="27">
        <f>INDEX(cattle!$D$3:$AH$120,$K39,M$4)</f>
        <v>13.6</v>
      </c>
    </row>
    <row r="40" spans="2:13" x14ac:dyDescent="0.25">
      <c r="B40" t="s">
        <v>55</v>
      </c>
      <c r="C40" s="23">
        <f t="shared" si="0"/>
        <v>97</v>
      </c>
      <c r="D40" s="4"/>
      <c r="E40" s="4">
        <f>MATCH($B40,pigs!$A$3:$A$60,0)</f>
        <v>52</v>
      </c>
      <c r="F40">
        <f>INDEX(pigs!$D$3:$AO$60,$E40,F$4)</f>
        <v>97</v>
      </c>
      <c r="G40">
        <f>INDEX(pigs!$D$3:$AO$60,$E40,G$4)</f>
        <v>12.4</v>
      </c>
      <c r="H40">
        <f>INDEX(pigs!$D$3:$AO$60,$E40,H$4)</f>
        <v>12.2</v>
      </c>
      <c r="K40" s="4"/>
      <c r="M40" s="27"/>
    </row>
    <row r="41" spans="2:13" x14ac:dyDescent="0.25">
      <c r="B41" t="s">
        <v>56</v>
      </c>
      <c r="C41" s="23">
        <f t="shared" si="0"/>
        <v>91</v>
      </c>
      <c r="D41" s="4"/>
      <c r="E41" s="4">
        <f>MATCH($B41,pigs!$A$3:$A$60,0)</f>
        <v>31</v>
      </c>
      <c r="F41">
        <f>INDEX(pigs!$D$3:$AO$60,$E41,F$4)</f>
        <v>92</v>
      </c>
      <c r="G41">
        <f>INDEX(pigs!$D$3:$AO$60,$E41,G$4)</f>
        <v>11.1</v>
      </c>
      <c r="H41">
        <f>INDEX(pigs!$D$3:$AO$60,$E41,H$4)</f>
        <v>11.3</v>
      </c>
      <c r="K41" s="4">
        <f>MATCH($B41,cattle!$A$3:$A$120,0)</f>
        <v>65</v>
      </c>
      <c r="L41">
        <f>INDEX(cattle!$D$3:$AH$120,$K41,L$4)</f>
        <v>90</v>
      </c>
      <c r="M41" s="27">
        <f>INDEX(cattle!$D$3:$AH$120,$K41,M$4)</f>
        <v>15.5</v>
      </c>
    </row>
    <row r="42" spans="2:13" x14ac:dyDescent="0.25">
      <c r="B42" t="s">
        <v>57</v>
      </c>
      <c r="C42" s="23">
        <f t="shared" si="0"/>
        <v>92</v>
      </c>
      <c r="D42" s="4"/>
      <c r="E42" s="4">
        <f>MATCH($B42,pigs!$A$3:$A$60,0)</f>
        <v>7</v>
      </c>
      <c r="F42">
        <f>INDEX(pigs!$D$3:$AO$60,$E42,F$4)</f>
        <v>92</v>
      </c>
      <c r="G42">
        <f>INDEX(pigs!$D$3:$AO$60,$E42,G$4)</f>
        <v>10.8</v>
      </c>
      <c r="H42">
        <f>INDEX(pigs!$D$3:$AO$60,$E42,H$4)</f>
        <v>10.8</v>
      </c>
      <c r="K42" s="4"/>
    </row>
  </sheetData>
  <hyperlinks>
    <hyperlink ref="C1" r:id="rId1"/>
    <hyperlink ref="I36" r:id="rId2"/>
    <hyperlink ref="N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9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77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feed pars</vt:lpstr>
      <vt:lpstr>pigs</vt:lpstr>
      <vt:lpstr>cattle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2023-05-12T09:09:04Z</dcterms:modified>
</cp:coreProperties>
</file>