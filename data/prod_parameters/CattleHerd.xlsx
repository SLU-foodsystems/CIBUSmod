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/>
  <pivotCaches>
    <pivotCache cacheId="0" r:id="rId12"/>
  </pivotCaches>
</workbook>
</file>

<file path=xl/calcChain.xml><?xml version="1.0" encoding="utf-8"?>
<calcChain xmlns="http://schemas.openxmlformats.org/spreadsheetml/2006/main"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sharedStrings.xml><?xml version="1.0" encoding="utf-8"?>
<sst xmlns="http://schemas.openxmlformats.org/spreadsheetml/2006/main" count="2543" uniqueCount="442">
  <si>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</si>
  <si>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</si>
  <si>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</si>
  <si>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</si>
  <si>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</si>
  <si>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</si>
  <si>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</si>
  <si>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</si>
  <si>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</si>
  <si>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</si>
  <si>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</si>
  <si>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</si>
  <si>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</si>
  <si>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</si>
  <si>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</si>
  <si>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</si>
  <si>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</si>
  <si>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</si>
  <si>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</si>
  <si>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</si>
  <si>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</si>
  <si>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</si>
  <si>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</si>
  <si>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</si>
  <si>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</si>
  <si>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</si>
  <si>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</si>
  <si>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</si>
  <si>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</si>
  <si>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</si>
  <si>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</si>
  <si>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</si>
  <si>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</si>
  <si>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</si>
  <si>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</si>
  <si>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</si>
  <si>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</si>
  <si>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</si>
  <si>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</si>
  <si>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</si>
  <si>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</si>
  <si>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</si>
  <si>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</si>
  <si>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</si>
  <si>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</si>
  <si>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</si>
  <si>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</si>
  <si>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</si>
  <si>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</si>
  <si>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</si>
  <si>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</si>
  <si>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</si>
  <si>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</si>
  <si>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</si>
  <si>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</si>
  <si>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</si>
  <si>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</si>
  <si>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</si>
  <si>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</si>
  <si>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</si>
  <si>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</si>
  <si>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</si>
  <si>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</si>
  <si>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</si>
  <si>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</si>
  <si>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</si>
  <si>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</si>
  <si>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</si>
  <si>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</si>
  <si>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</si>
  <si>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</si>
  <si>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</si>
  <si>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</si>
  <si>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</si>
  <si>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</si>
  <si>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</si>
  <si>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</si>
  <si>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</si>
  <si>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</si>
  <si>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</si>
  <si>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</si>
  <si>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</si>
  <si>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</si>
  <si>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</si>
  <si>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</si>
  <si>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</si>
  <si>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</si>
  <si>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</si>
  <si>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</si>
  <si>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</si>
  <si>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</si>
  <si>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</si>
  <si>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</si>
  <si>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</si>
  <si>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</si>
  <si>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</si>
  <si>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</si>
  <si>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</si>
  <si>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</si>
  <si>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</si>
  <si>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</si>
  <si>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</si>
  <si>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</si>
  <si>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</si>
  <si>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</si>
  <si>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</si>
  <si>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</si>
  <si>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</si>
  <si>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</si>
  <si>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</si>
  <si>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</si>
  <si>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</si>
  <si>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</si>
  <si>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</si>
  <si>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</si>
  <si>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</si>
  <si>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</si>
  <si>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</si>
  <si>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</si>
  <si>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</si>
  <si>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</si>
  <si>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</si>
  <si>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</si>
  <si>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</si>
  <si>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</si>
  <si>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</si>
  <si>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</si>
  <si>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</si>
  <si>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</si>
  <si>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</si>
  <si>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</si>
  <si>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</si>
  <si>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</si>
  <si>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</si>
  <si>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</si>
  <si>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</si>
  <si>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</si>
  <si>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</si>
  <si>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</si>
  <si>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</si>
  <si>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</si>
  <si>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</si>
  <si>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</si>
  <si>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</si>
  <si>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</si>
  <si>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</si>
  <si>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</si>
  <si>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</si>
  <si>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</si>
  <si>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</si>
  <si>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</si>
  <si>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</si>
  <si>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</si>
  <si>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</si>
  <si>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</si>
  <si>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</si>
  <si>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</si>
  <si>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</si>
  <si>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</si>
  <si>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</si>
  <si>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</si>
  <si>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</si>
  <si>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</si>
  <si>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</si>
  <si>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</si>
  <si>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</si>
  <si>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</si>
  <si>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</si>
  <si>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</si>
  <si>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</si>
  <si>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</si>
  <si>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</si>
  <si>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</si>
  <si>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</si>
  <si>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</si>
  <si>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</si>
  <si>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</si>
  <si>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</si>
  <si>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</si>
  <si>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</si>
  <si>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</si>
  <si>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</si>
  <si>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</si>
  <si>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</si>
  <si>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</si>
  <si>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</si>
  <si>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</si>
  <si>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</si>
  <si>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</si>
  <si>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</si>
  <si>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</si>
  <si>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</si>
  <si>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</si>
  <si>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</si>
  <si>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</si>
  <si>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</si>
  <si>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</si>
  <si>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</si>
  <si>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</si>
  <si>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</si>
  <si>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</si>
  <si>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</si>
  <si>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</si>
  <si>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</si>
  <si>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</si>
  <si>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</si>
  <si>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</si>
  <si>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</si>
  <si>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</si>
  <si>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</si>
  <si>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</si>
  <si>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</si>
  <si>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</si>
  <si>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</si>
  <si>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</si>
  <si>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</si>
  <si>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</si>
  <si>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</si>
  <si>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</si>
  <si>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</si>
  <si>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</si>
  <si>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</si>
  <si>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</si>
  <si>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</si>
  <si>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</si>
  <si>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</si>
  <si>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</si>
  <si>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</si>
  <si>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</si>
  <si>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</si>
  <si>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</si>
  <si>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</si>
  <si>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</si>
  <si>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</si>
  <si>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</si>
  <si>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</si>
  <si>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</si>
  <si>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</si>
  <si>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</si>
  <si>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</si>
  <si>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</si>
  <si>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</si>
  <si>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</si>
  <si>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</si>
  <si>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</si>
  <si>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</si>
  <si>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</si>
  <si>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</si>
  <si>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</si>
  <si>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</si>
  <si>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</si>
  <si>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</si>
  <si>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</si>
  <si>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</si>
  <si>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</si>
  <si>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</si>
  <si>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</si>
  <si>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</si>
  <si>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</si>
  <si>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</si>
  <si>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</si>
  <si>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</si>
  <si>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</si>
  <si>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</si>
  <si>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</si>
  <si>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</si>
  <si>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</si>
  <si>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</si>
  <si>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</si>
  <si>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</si>
  <si>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</si>
  <si>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</si>
  <si>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</si>
  <si>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</si>
  <si>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</si>
  <si>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</si>
  <si>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</si>
  <si>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</si>
  <si>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</si>
  <si>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</si>
  <si>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</si>
  <si>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</si>
  <si>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</si>
  <si>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</si>
  <si>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</si>
  <si>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</si>
  <si>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</si>
  <si>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</si>
  <si>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</si>
  <si>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</si>
  <si>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</si>
  <si>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</si>
  <si>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</si>
  <si>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</si>
  <si>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</si>
  <si>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</si>
  <si>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</si>
  <si>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</si>
  <si>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</si>
  <si>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</si>
  <si>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</si>
  <si>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</si>
  <si>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</si>
  <si>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</si>
  <si>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</si>
  <si>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</si>
  <si>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</si>
  <si>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</si>
  <si>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</si>
  <si>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</si>
  <si>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</si>
  <si>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</si>
  <si>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</si>
  <si>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</si>
  <si>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</si>
  <si>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</si>
  <si>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</si>
  <si>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</si>
  <si>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</si>
  <si>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</si>
  <si>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</si>
  <si>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</si>
  <si>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</si>
  <si>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</si>
  <si>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</si>
  <si>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</si>
  <si>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</si>
  <si>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</si>
  <si>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</si>
  <si>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silage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</si>
  <si>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</si>
  <si>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</si>
  <si>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</si>
  <si>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</si>
  <si>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</si>
  <si>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</si>
  <si>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</si>
  <si>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</si>
  <si>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</si>
  <si>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</si>
  <si>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</si>
  <si>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</si>
  <si>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</si>
  <si>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</si>
  <si>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</si>
  <si>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</si>
  <si>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</si>
  <si>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</si>
  <si>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</si>
  <si>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</si>
  <si>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</si>
  <si>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</si>
  <si>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</si>
  <si>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</si>
  <si>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</si>
  <si>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</si>
  <si>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</si>
  <si>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</si>
  <si>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</si>
  <si>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</si>
  <si>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</si>
  <si>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</si>
  <si>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</si>
  <si>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</si>
  <si>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</si>
  <si>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</si>
  <si>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</si>
  <si>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</si>
  <si>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</si>
  <si>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</si>
  <si>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</si>
  <si>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</si>
  <si>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</si>
  <si>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</si>
  <si>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</si>
  <si>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</si>
  <si>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</si>
  <si>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</si>
  <si>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</si>
  <si>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</si>
  <si>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</si>
  <si>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</si>
  <si>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</si>
  <si>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</si>
  <si>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</si>
  <si>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</si>
  <si>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</si>
  <si>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</si>
  <si>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</si>
  <si>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</si>
  <si>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</si>
  <si>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</si>
  <si>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</si>
  <si>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</si>
  <si>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</si>
  <si>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</si>
  <si>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</si>
  <si>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f_sub_system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</si>
  <si>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</si>
  <si>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</si>
  <si>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</si>
  <si>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</si>
  <si>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</si>
  <si>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</si>
  <si>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</si>
  <si>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</si>
  <si>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</si>
  <si>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</si>
  <si>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</si>
  <si>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</si>
  <si>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</si>
  <si>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</si>
  <si>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</si>
  <si>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</si>
  <si>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</si>
  <si>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</si>
  <si>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</si>
  <si>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</si>
  <si>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</si>
  <si>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</si>
  <si>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</si>
  <si>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</si>
  <si>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</si>
  <si>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</si>
  <si>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</si>
  <si>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</si>
  <si>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</si>
  <si>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</si>
  <si>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</si>
  <si>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</si>
  <si>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Maximum share of grazing in semi-natural grasslands</t>
  </si>
  <si>
    <t>max_sng_grazing</t>
  </si>
  <si>
    <t>This parameter specifies the maximum share of grazing demand that can be met from grazing in semi-natural grasslands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</si>
  <si>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</si>
  <si>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</si>
  <si>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</si>
  <si>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</si>
  <si>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</si>
  <si>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</si>
  <si>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</si>
  <si>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</si>
  <si>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Mikaela Lindberg (SLU) pers. com. 2023-04-21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</si>
</sst>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213"/>
  <sheetViews>
    <sheetView tabSelected="1" workbookViewId="0">
      <pane ySplit="1" topLeftCell="A148" activePane="bottomLeft" state="frozen"/>
      <selection pane="bottomLeft" activeCell="E168" sqref="E168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2.570312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397</v>
      </c>
      <c r="D1" s="6" t="s">
        <v>53</v>
      </c>
      <c r="E1" s="6" t="s">
        <v>326</v>
      </c>
      <c r="F1" s="6" t="s">
        <v>336</v>
      </c>
      <c r="G1" s="6" t="s">
        <v>337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396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335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395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405</v>
      </c>
      <c r="I30" s="93">
        <v>0</v>
      </c>
      <c r="J30" t="s">
        <v>406</v>
      </c>
    </row>
    <row r="31" spans="1:12" x14ac:dyDescent="0.25">
      <c r="A31" t="s">
        <v>2</v>
      </c>
      <c r="B31" t="s">
        <v>5</v>
      </c>
      <c r="H31" t="s">
        <v>405</v>
      </c>
      <c r="I31" s="93">
        <v>0</v>
      </c>
      <c r="J31" t="s">
        <v>406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  <c r="H41" t="s">
        <v>405</v>
      </c>
      <c r="I41" s="93">
        <v>0</v>
      </c>
      <c r="J41" t="s">
        <v>406</v>
      </c>
    </row>
    <row r="42" spans="1:12" x14ac:dyDescent="0.25">
      <c r="A42" t="s">
        <v>39</v>
      </c>
      <c r="B42" t="s">
        <v>5</v>
      </c>
      <c r="H42" t="s">
        <v>405</v>
      </c>
      <c r="I42" s="93">
        <v>0</v>
      </c>
      <c r="J42" t="s">
        <v>406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334</v>
      </c>
      <c r="L46" t="s">
        <v>333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344</v>
      </c>
      <c r="I47" s="93">
        <v>40</v>
      </c>
      <c r="J47" t="s">
        <v>134</v>
      </c>
      <c r="K47" s="93" t="s">
        <v>391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389</v>
      </c>
      <c r="I48" s="111">
        <f>I47+(I95/0.5-I47)/(I90*30.4)*I29</f>
        <v>130.26609162869005</v>
      </c>
      <c r="J48" t="s">
        <v>134</v>
      </c>
      <c r="K48" s="93" t="s">
        <v>392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330</v>
      </c>
      <c r="I49" s="111">
        <f>I$50</f>
        <v>339.02685500000001</v>
      </c>
      <c r="J49" t="s">
        <v>134</v>
      </c>
      <c r="K49" s="93" t="s">
        <v>350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332</v>
      </c>
      <c r="L50" t="s">
        <v>333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332</v>
      </c>
      <c r="L51" t="s">
        <v>333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332</v>
      </c>
      <c r="L52" t="s">
        <v>333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332</v>
      </c>
      <c r="L53" t="s">
        <v>333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334</v>
      </c>
      <c r="L55" t="s">
        <v>333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344</v>
      </c>
      <c r="I56" s="93">
        <v>40</v>
      </c>
      <c r="J56" t="s">
        <v>134</v>
      </c>
      <c r="K56" s="93" t="s">
        <v>391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389</v>
      </c>
      <c r="I57" s="111">
        <f>I56+(I115/0.5-I56)/(I110*30.4)*I40</f>
        <v>215.80423925763492</v>
      </c>
      <c r="J57" t="s">
        <v>134</v>
      </c>
      <c r="K57" s="93" t="s">
        <v>392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330</v>
      </c>
      <c r="I58" s="111">
        <f>I$59</f>
        <v>314.63230679999998</v>
      </c>
      <c r="J58" t="s">
        <v>134</v>
      </c>
      <c r="K58" s="93" t="s">
        <v>350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332</v>
      </c>
      <c r="L59" t="s">
        <v>333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332</v>
      </c>
      <c r="L60" t="s">
        <v>333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332</v>
      </c>
      <c r="L61" t="s">
        <v>333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332</v>
      </c>
      <c r="L62" t="s">
        <v>333</v>
      </c>
    </row>
    <row r="63" spans="1:12" x14ac:dyDescent="0.25">
      <c r="H63" s="160" t="s">
        <v>301</v>
      </c>
      <c r="I63" s="160">
        <v>0</v>
      </c>
      <c r="J63" s="160"/>
      <c r="K63" s="161" t="s">
        <v>428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429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407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407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407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407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407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407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407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407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429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407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407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407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407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407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407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407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407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338</v>
      </c>
      <c r="I131">
        <v>89</v>
      </c>
      <c r="J131" t="s">
        <v>9</v>
      </c>
      <c r="K131" t="s">
        <v>341</v>
      </c>
    </row>
    <row r="132" spans="1:12" x14ac:dyDescent="0.25">
      <c r="A132" t="s">
        <v>2</v>
      </c>
      <c r="F132" t="s">
        <v>5</v>
      </c>
      <c r="G132" t="s">
        <v>1</v>
      </c>
      <c r="H132" t="s">
        <v>339</v>
      </c>
      <c r="I132">
        <v>8.5</v>
      </c>
      <c r="J132" t="s">
        <v>9</v>
      </c>
      <c r="K132" t="s">
        <v>341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338</v>
      </c>
      <c r="I134">
        <v>14</v>
      </c>
      <c r="J134" t="s">
        <v>9</v>
      </c>
      <c r="K134" t="s">
        <v>341</v>
      </c>
    </row>
    <row r="135" spans="1:12" x14ac:dyDescent="0.25">
      <c r="A135" t="s">
        <v>39</v>
      </c>
      <c r="F135" t="s">
        <v>5</v>
      </c>
      <c r="G135" t="s">
        <v>1</v>
      </c>
      <c r="H135" t="s">
        <v>339</v>
      </c>
      <c r="I135">
        <v>8.5</v>
      </c>
      <c r="J135" t="s">
        <v>9</v>
      </c>
      <c r="K135" t="s">
        <v>341</v>
      </c>
    </row>
    <row r="137" spans="1:12" x14ac:dyDescent="0.25">
      <c r="A137" s="94" t="s">
        <v>409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410</v>
      </c>
      <c r="I138">
        <v>0.50700000000000001</v>
      </c>
      <c r="J138" t="s">
        <v>411</v>
      </c>
      <c r="L138" t="s">
        <v>413</v>
      </c>
    </row>
    <row r="139" spans="1:12" x14ac:dyDescent="0.25">
      <c r="H139" t="s">
        <v>410</v>
      </c>
      <c r="I139">
        <v>0.47499999999999998</v>
      </c>
      <c r="J139" t="s">
        <v>411</v>
      </c>
      <c r="L139" t="s">
        <v>414</v>
      </c>
    </row>
    <row r="140" spans="1:12" x14ac:dyDescent="0.25">
      <c r="D140" t="s">
        <v>18</v>
      </c>
      <c r="H140" t="s">
        <v>425</v>
      </c>
      <c r="I140" s="13">
        <v>5</v>
      </c>
      <c r="J140" t="s">
        <v>424</v>
      </c>
      <c r="L140" t="s">
        <v>413</v>
      </c>
    </row>
    <row r="141" spans="1:12" x14ac:dyDescent="0.25">
      <c r="A141" t="s">
        <v>2</v>
      </c>
      <c r="D141" t="s">
        <v>18</v>
      </c>
      <c r="H141" t="s">
        <v>415</v>
      </c>
      <c r="I141" s="13">
        <f>(0.013+0.021+0.038) * 30.4</f>
        <v>2.1888000000000001</v>
      </c>
      <c r="J141" t="s">
        <v>416</v>
      </c>
      <c r="K141" t="s">
        <v>417</v>
      </c>
      <c r="L141" t="s">
        <v>412</v>
      </c>
    </row>
    <row r="142" spans="1:12" x14ac:dyDescent="0.25">
      <c r="A142" t="s">
        <v>39</v>
      </c>
      <c r="D142" t="s">
        <v>18</v>
      </c>
      <c r="H142" t="s">
        <v>415</v>
      </c>
      <c r="I142" s="13">
        <f>(8 * 7 * 3.6)/100</f>
        <v>2.016</v>
      </c>
      <c r="J142" t="s">
        <v>416</v>
      </c>
      <c r="K142" t="s">
        <v>418</v>
      </c>
      <c r="L142" t="s">
        <v>419</v>
      </c>
    </row>
    <row r="143" spans="1:12" x14ac:dyDescent="0.25">
      <c r="H143" t="s">
        <v>420</v>
      </c>
      <c r="I143" s="1">
        <v>1</v>
      </c>
      <c r="J143" t="s">
        <v>426</v>
      </c>
    </row>
    <row r="144" spans="1:12" x14ac:dyDescent="0.25">
      <c r="A144" t="s">
        <v>2</v>
      </c>
      <c r="D144" t="s">
        <v>18</v>
      </c>
      <c r="H144" t="s">
        <v>420</v>
      </c>
      <c r="I144" s="1">
        <v>1.1100000000000001</v>
      </c>
      <c r="J144" t="s">
        <v>426</v>
      </c>
      <c r="L144" t="s">
        <v>412</v>
      </c>
    </row>
    <row r="145" spans="1:12" x14ac:dyDescent="0.25">
      <c r="A145" t="s">
        <v>39</v>
      </c>
      <c r="D145" t="s">
        <v>35</v>
      </c>
      <c r="H145" t="s">
        <v>420</v>
      </c>
      <c r="I145" s="1">
        <v>0.9</v>
      </c>
      <c r="J145" t="s">
        <v>426</v>
      </c>
      <c r="K145" t="s">
        <v>422</v>
      </c>
      <c r="L145" t="s">
        <v>421</v>
      </c>
    </row>
    <row r="146" spans="1:12" x14ac:dyDescent="0.25">
      <c r="D146" t="s">
        <v>33</v>
      </c>
      <c r="H146" t="s">
        <v>420</v>
      </c>
      <c r="I146" s="1">
        <v>1.05</v>
      </c>
      <c r="J146" t="s">
        <v>426</v>
      </c>
      <c r="L146" t="s">
        <v>421</v>
      </c>
    </row>
    <row r="147" spans="1:12" x14ac:dyDescent="0.25">
      <c r="A147" t="s">
        <v>2</v>
      </c>
      <c r="D147" t="s">
        <v>34</v>
      </c>
      <c r="H147" t="s">
        <v>420</v>
      </c>
      <c r="I147" s="1">
        <v>1.05</v>
      </c>
      <c r="J147" t="s">
        <v>426</v>
      </c>
      <c r="L147" t="s">
        <v>421</v>
      </c>
    </row>
    <row r="148" spans="1:12" x14ac:dyDescent="0.25">
      <c r="H148" t="s">
        <v>423</v>
      </c>
      <c r="I148" s="13">
        <v>0</v>
      </c>
      <c r="J148" t="s">
        <v>426</v>
      </c>
    </row>
    <row r="149" spans="1:12" x14ac:dyDescent="0.25">
      <c r="A149" t="s">
        <v>2</v>
      </c>
      <c r="D149" t="s">
        <v>18</v>
      </c>
      <c r="H149" t="s">
        <v>423</v>
      </c>
      <c r="I149" s="13">
        <v>-13.6</v>
      </c>
      <c r="J149" t="s">
        <v>426</v>
      </c>
      <c r="L149" t="s">
        <v>412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408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H154" s="160" t="s">
        <v>327</v>
      </c>
      <c r="I154" s="160">
        <v>0</v>
      </c>
      <c r="J154" s="160"/>
      <c r="K154" s="160" t="s">
        <v>428</v>
      </c>
    </row>
    <row r="155" spans="1:12" x14ac:dyDescent="0.25">
      <c r="A155" s="97" t="s">
        <v>304</v>
      </c>
      <c r="B155" s="97"/>
      <c r="C155" s="97"/>
      <c r="D155" s="98"/>
      <c r="E155" s="98"/>
      <c r="F155" s="98"/>
      <c r="G155" s="98"/>
      <c r="H155" s="98"/>
      <c r="I155" s="99"/>
      <c r="J155" s="98"/>
      <c r="K155" s="98"/>
      <c r="L155" s="98"/>
    </row>
    <row r="156" spans="1:12" x14ac:dyDescent="0.25">
      <c r="A156" t="s">
        <v>2</v>
      </c>
      <c r="D156" t="s">
        <v>18</v>
      </c>
      <c r="E156" t="s">
        <v>329</v>
      </c>
      <c r="H156" t="s">
        <v>327</v>
      </c>
      <c r="I156">
        <v>48</v>
      </c>
      <c r="L156" t="s">
        <v>441</v>
      </c>
    </row>
    <row r="157" spans="1:12" x14ac:dyDescent="0.25">
      <c r="A157" t="s">
        <v>2</v>
      </c>
      <c r="D157" t="s">
        <v>18</v>
      </c>
      <c r="E157" t="s">
        <v>427</v>
      </c>
      <c r="H157" t="s">
        <v>327</v>
      </c>
      <c r="I157">
        <v>10</v>
      </c>
      <c r="L157" t="s">
        <v>441</v>
      </c>
    </row>
    <row r="158" spans="1:12" x14ac:dyDescent="0.25">
      <c r="A158" t="s">
        <v>2</v>
      </c>
      <c r="D158" t="s">
        <v>18</v>
      </c>
      <c r="E158" t="s">
        <v>433</v>
      </c>
      <c r="H158" t="s">
        <v>327</v>
      </c>
      <c r="I158">
        <v>3</v>
      </c>
      <c r="L158" t="s">
        <v>441</v>
      </c>
    </row>
    <row r="159" spans="1:12" x14ac:dyDescent="0.25">
      <c r="A159" t="s">
        <v>2</v>
      </c>
      <c r="D159" t="s">
        <v>18</v>
      </c>
      <c r="E159" t="s">
        <v>434</v>
      </c>
      <c r="H159" t="s">
        <v>327</v>
      </c>
      <c r="I159">
        <v>25</v>
      </c>
      <c r="L159" t="s">
        <v>441</v>
      </c>
    </row>
    <row r="160" spans="1:12" x14ac:dyDescent="0.25">
      <c r="A160" t="s">
        <v>2</v>
      </c>
      <c r="D160" t="s">
        <v>18</v>
      </c>
      <c r="E160" t="s">
        <v>435</v>
      </c>
      <c r="H160" t="s">
        <v>327</v>
      </c>
      <c r="I160">
        <v>6</v>
      </c>
      <c r="L160" t="s">
        <v>441</v>
      </c>
    </row>
    <row r="161" spans="1:12" x14ac:dyDescent="0.25">
      <c r="A161" t="s">
        <v>2</v>
      </c>
      <c r="D161" t="s">
        <v>18</v>
      </c>
      <c r="E161" t="s">
        <v>436</v>
      </c>
      <c r="H161" t="s">
        <v>327</v>
      </c>
      <c r="I161">
        <v>8</v>
      </c>
      <c r="L161" t="s">
        <v>441</v>
      </c>
    </row>
    <row r="162" spans="1:12" x14ac:dyDescent="0.25">
      <c r="A162" t="s">
        <v>2</v>
      </c>
      <c r="C162" t="s">
        <v>437</v>
      </c>
      <c r="D162" t="s">
        <v>18</v>
      </c>
      <c r="E162" t="s">
        <v>329</v>
      </c>
      <c r="H162" t="s">
        <v>327</v>
      </c>
      <c r="I162">
        <v>31</v>
      </c>
      <c r="L162" t="s">
        <v>441</v>
      </c>
    </row>
    <row r="163" spans="1:12" x14ac:dyDescent="0.25">
      <c r="A163" t="s">
        <v>2</v>
      </c>
      <c r="C163" t="s">
        <v>437</v>
      </c>
      <c r="D163" t="s">
        <v>18</v>
      </c>
      <c r="E163" t="s">
        <v>438</v>
      </c>
      <c r="H163" t="s">
        <v>327</v>
      </c>
      <c r="I163">
        <v>16</v>
      </c>
      <c r="L163" t="s">
        <v>441</v>
      </c>
    </row>
    <row r="164" spans="1:12" x14ac:dyDescent="0.25">
      <c r="A164" t="s">
        <v>2</v>
      </c>
      <c r="C164" t="s">
        <v>437</v>
      </c>
      <c r="D164" t="s">
        <v>18</v>
      </c>
      <c r="E164" t="s">
        <v>427</v>
      </c>
      <c r="H164" t="s">
        <v>327</v>
      </c>
      <c r="I164">
        <v>10</v>
      </c>
      <c r="L164" t="s">
        <v>441</v>
      </c>
    </row>
    <row r="165" spans="1:12" x14ac:dyDescent="0.25">
      <c r="A165" t="s">
        <v>2</v>
      </c>
      <c r="C165" t="s">
        <v>437</v>
      </c>
      <c r="D165" t="s">
        <v>18</v>
      </c>
      <c r="E165" t="s">
        <v>433</v>
      </c>
      <c r="H165" t="s">
        <v>327</v>
      </c>
      <c r="I165">
        <v>3</v>
      </c>
      <c r="L165" t="s">
        <v>441</v>
      </c>
    </row>
    <row r="166" spans="1:12" x14ac:dyDescent="0.25">
      <c r="A166" t="s">
        <v>2</v>
      </c>
      <c r="C166" t="s">
        <v>437</v>
      </c>
      <c r="D166" t="s">
        <v>18</v>
      </c>
      <c r="E166" t="s">
        <v>434</v>
      </c>
      <c r="H166" t="s">
        <v>327</v>
      </c>
      <c r="I166">
        <v>17</v>
      </c>
      <c r="L166" t="s">
        <v>441</v>
      </c>
    </row>
    <row r="167" spans="1:12" x14ac:dyDescent="0.25">
      <c r="A167" t="s">
        <v>2</v>
      </c>
      <c r="C167" t="s">
        <v>437</v>
      </c>
      <c r="D167" t="s">
        <v>18</v>
      </c>
      <c r="E167" t="s">
        <v>435</v>
      </c>
      <c r="H167" t="s">
        <v>327</v>
      </c>
      <c r="I167">
        <v>8</v>
      </c>
      <c r="L167" t="s">
        <v>441</v>
      </c>
    </row>
    <row r="168" spans="1:12" x14ac:dyDescent="0.25">
      <c r="A168" t="s">
        <v>2</v>
      </c>
      <c r="C168" t="s">
        <v>437</v>
      </c>
      <c r="D168" t="s">
        <v>18</v>
      </c>
      <c r="E168" t="s">
        <v>436</v>
      </c>
      <c r="H168" t="s">
        <v>327</v>
      </c>
      <c r="I168">
        <v>9</v>
      </c>
      <c r="L168" t="s">
        <v>441</v>
      </c>
    </row>
    <row r="169" spans="1:12" x14ac:dyDescent="0.25">
      <c r="A169" t="s">
        <v>2</v>
      </c>
      <c r="C169" t="s">
        <v>437</v>
      </c>
      <c r="D169" t="s">
        <v>18</v>
      </c>
      <c r="E169" t="s">
        <v>439</v>
      </c>
      <c r="H169" t="s">
        <v>327</v>
      </c>
      <c r="I169">
        <v>5</v>
      </c>
      <c r="L169" t="s">
        <v>441</v>
      </c>
    </row>
    <row r="170" spans="1:12" x14ac:dyDescent="0.25">
      <c r="A170" t="s">
        <v>2</v>
      </c>
      <c r="C170" t="s">
        <v>437</v>
      </c>
      <c r="D170" t="s">
        <v>18</v>
      </c>
      <c r="E170" t="s">
        <v>440</v>
      </c>
      <c r="H170" t="s">
        <v>327</v>
      </c>
      <c r="I170">
        <v>1</v>
      </c>
      <c r="L170" t="s">
        <v>441</v>
      </c>
    </row>
    <row r="172" spans="1:12" x14ac:dyDescent="0.25">
      <c r="A172" t="s">
        <v>2</v>
      </c>
      <c r="E172" t="s">
        <v>329</v>
      </c>
      <c r="H172" t="s">
        <v>327</v>
      </c>
      <c r="I172">
        <v>50</v>
      </c>
    </row>
    <row r="173" spans="1:12" x14ac:dyDescent="0.25">
      <c r="A173" t="s">
        <v>2</v>
      </c>
      <c r="E173" t="s">
        <v>427</v>
      </c>
      <c r="H173" t="s">
        <v>327</v>
      </c>
      <c r="I173">
        <v>25</v>
      </c>
    </row>
    <row r="174" spans="1:12" x14ac:dyDescent="0.25">
      <c r="A174" t="s">
        <v>2</v>
      </c>
      <c r="E174" t="s">
        <v>434</v>
      </c>
      <c r="H174" t="s">
        <v>327</v>
      </c>
      <c r="I174">
        <v>25</v>
      </c>
    </row>
    <row r="175" spans="1:12" x14ac:dyDescent="0.25">
      <c r="A175" t="s">
        <v>2</v>
      </c>
      <c r="E175" t="s">
        <v>435</v>
      </c>
      <c r="H175" t="s">
        <v>327</v>
      </c>
      <c r="I175">
        <v>0</v>
      </c>
    </row>
    <row r="176" spans="1:12" x14ac:dyDescent="0.25">
      <c r="A176" t="s">
        <v>2</v>
      </c>
      <c r="D176" t="s">
        <v>35</v>
      </c>
      <c r="E176" t="s">
        <v>329</v>
      </c>
      <c r="H176" t="s">
        <v>327</v>
      </c>
      <c r="I176">
        <v>50</v>
      </c>
    </row>
    <row r="177" spans="1:12" x14ac:dyDescent="0.25">
      <c r="A177" t="s">
        <v>2</v>
      </c>
      <c r="D177" t="s">
        <v>35</v>
      </c>
      <c r="E177" t="s">
        <v>427</v>
      </c>
      <c r="H177" t="s">
        <v>327</v>
      </c>
      <c r="I177">
        <v>0</v>
      </c>
    </row>
    <row r="178" spans="1:12" x14ac:dyDescent="0.25">
      <c r="A178" t="s">
        <v>2</v>
      </c>
      <c r="D178" t="s">
        <v>35</v>
      </c>
      <c r="E178" t="s">
        <v>434</v>
      </c>
      <c r="H178" t="s">
        <v>327</v>
      </c>
      <c r="I178">
        <v>50</v>
      </c>
    </row>
    <row r="179" spans="1:12" x14ac:dyDescent="0.25">
      <c r="A179" t="s">
        <v>2</v>
      </c>
      <c r="D179" t="s">
        <v>35</v>
      </c>
      <c r="E179" t="s">
        <v>435</v>
      </c>
      <c r="H179" t="s">
        <v>327</v>
      </c>
      <c r="I179">
        <v>0</v>
      </c>
    </row>
    <row r="181" spans="1:12" x14ac:dyDescent="0.25">
      <c r="A181" s="100" t="s">
        <v>305</v>
      </c>
      <c r="B181" s="100"/>
      <c r="C181" s="100"/>
      <c r="D181" s="101"/>
      <c r="E181" s="101"/>
      <c r="F181" s="101"/>
      <c r="G181" s="101"/>
      <c r="H181" s="101"/>
      <c r="I181" s="101"/>
      <c r="J181" s="101"/>
      <c r="K181" s="101"/>
      <c r="L181" s="101"/>
    </row>
    <row r="182" spans="1:12" x14ac:dyDescent="0.25">
      <c r="A182" t="s">
        <v>39</v>
      </c>
      <c r="E182" t="s">
        <v>329</v>
      </c>
      <c r="H182" t="s">
        <v>327</v>
      </c>
      <c r="I182">
        <v>60</v>
      </c>
    </row>
    <row r="183" spans="1:12" x14ac:dyDescent="0.25">
      <c r="A183" t="s">
        <v>39</v>
      </c>
      <c r="E183" t="s">
        <v>427</v>
      </c>
      <c r="H183" t="s">
        <v>327</v>
      </c>
      <c r="I183">
        <v>30</v>
      </c>
    </row>
    <row r="184" spans="1:12" x14ac:dyDescent="0.25">
      <c r="A184" t="s">
        <v>39</v>
      </c>
      <c r="E184" t="s">
        <v>434</v>
      </c>
      <c r="H184" t="s">
        <v>327</v>
      </c>
      <c r="I184">
        <v>10</v>
      </c>
    </row>
    <row r="185" spans="1:12" x14ac:dyDescent="0.25">
      <c r="A185" t="s">
        <v>39</v>
      </c>
      <c r="D185" t="s">
        <v>35</v>
      </c>
      <c r="E185" t="s">
        <v>329</v>
      </c>
      <c r="H185" t="s">
        <v>327</v>
      </c>
      <c r="I185">
        <v>50</v>
      </c>
    </row>
    <row r="186" spans="1:12" x14ac:dyDescent="0.25">
      <c r="A186" t="s">
        <v>39</v>
      </c>
      <c r="D186" t="s">
        <v>35</v>
      </c>
      <c r="E186" t="s">
        <v>427</v>
      </c>
      <c r="H186" t="s">
        <v>327</v>
      </c>
      <c r="I186">
        <v>0</v>
      </c>
    </row>
    <row r="187" spans="1:12" x14ac:dyDescent="0.25">
      <c r="A187" t="s">
        <v>39</v>
      </c>
      <c r="D187" t="s">
        <v>35</v>
      </c>
      <c r="E187" t="s">
        <v>434</v>
      </c>
      <c r="H187" t="s">
        <v>327</v>
      </c>
      <c r="I187">
        <v>50</v>
      </c>
    </row>
    <row r="189" spans="1:12" x14ac:dyDescent="0.25">
      <c r="H189" s="93"/>
      <c r="I189" s="93"/>
      <c r="J189" s="93"/>
      <c r="K189" s="93"/>
    </row>
    <row r="190" spans="1:12" x14ac:dyDescent="0.25">
      <c r="A190" s="94" t="s">
        <v>430</v>
      </c>
      <c r="B190" s="94"/>
      <c r="C190" s="94"/>
      <c r="D190" s="95"/>
      <c r="E190" s="95"/>
      <c r="F190" s="95"/>
      <c r="G190" s="95"/>
      <c r="H190" s="95"/>
      <c r="I190" s="95"/>
      <c r="J190" s="95" t="s">
        <v>9</v>
      </c>
      <c r="K190" s="95" t="s">
        <v>432</v>
      </c>
      <c r="L190" s="95"/>
    </row>
    <row r="191" spans="1:12" x14ac:dyDescent="0.25">
      <c r="A191" s="97" t="s">
        <v>304</v>
      </c>
      <c r="B191" s="97"/>
      <c r="C191" s="97"/>
      <c r="D191" s="98"/>
      <c r="E191" s="98"/>
      <c r="F191" s="98"/>
      <c r="G191" s="98"/>
      <c r="H191" s="98"/>
      <c r="I191" s="99"/>
      <c r="J191" s="98"/>
      <c r="K191" s="98"/>
      <c r="L191" s="98"/>
    </row>
    <row r="192" spans="1:12" x14ac:dyDescent="0.25">
      <c r="A192" t="s">
        <v>2</v>
      </c>
      <c r="D192" t="s">
        <v>18</v>
      </c>
      <c r="H192" t="s">
        <v>431</v>
      </c>
      <c r="I192" s="93">
        <v>5</v>
      </c>
      <c r="J192" s="93"/>
    </row>
    <row r="193" spans="1:12" x14ac:dyDescent="0.25">
      <c r="A193" t="s">
        <v>2</v>
      </c>
      <c r="D193" t="s">
        <v>20</v>
      </c>
      <c r="H193" t="s">
        <v>431</v>
      </c>
      <c r="I193" s="93">
        <v>5</v>
      </c>
      <c r="J193" s="93"/>
    </row>
    <row r="194" spans="1:12" x14ac:dyDescent="0.25">
      <c r="A194" t="s">
        <v>2</v>
      </c>
      <c r="D194" t="s">
        <v>35</v>
      </c>
      <c r="H194" t="s">
        <v>431</v>
      </c>
      <c r="I194" s="93">
        <v>0</v>
      </c>
      <c r="J194" s="93"/>
    </row>
    <row r="195" spans="1:12" x14ac:dyDescent="0.25">
      <c r="A195" t="s">
        <v>2</v>
      </c>
      <c r="D195" t="s">
        <v>33</v>
      </c>
      <c r="H195" t="s">
        <v>431</v>
      </c>
      <c r="I195" s="93">
        <v>100</v>
      </c>
      <c r="J195" s="93"/>
    </row>
    <row r="196" spans="1:12" x14ac:dyDescent="0.25">
      <c r="A196" t="s">
        <v>2</v>
      </c>
      <c r="D196" t="s">
        <v>34</v>
      </c>
      <c r="H196" t="s">
        <v>431</v>
      </c>
      <c r="I196" s="93">
        <v>100</v>
      </c>
      <c r="J196" s="93"/>
    </row>
    <row r="197" spans="1:12" x14ac:dyDescent="0.25">
      <c r="A197" t="s">
        <v>2</v>
      </c>
      <c r="D197" t="s">
        <v>429</v>
      </c>
      <c r="H197" t="s">
        <v>431</v>
      </c>
      <c r="I197" s="93">
        <v>0</v>
      </c>
      <c r="J197" s="93"/>
    </row>
    <row r="199" spans="1:12" x14ac:dyDescent="0.25">
      <c r="A199" s="100" t="s">
        <v>305</v>
      </c>
      <c r="B199" s="100"/>
      <c r="C199" s="100"/>
      <c r="D199" s="101"/>
      <c r="E199" s="101"/>
      <c r="F199" s="101"/>
      <c r="G199" s="101"/>
      <c r="H199" s="101"/>
      <c r="I199" s="101"/>
      <c r="J199" s="101"/>
      <c r="K199" s="101"/>
      <c r="L199" s="101"/>
    </row>
    <row r="200" spans="1:12" x14ac:dyDescent="0.25">
      <c r="A200" t="s">
        <v>39</v>
      </c>
      <c r="D200" t="s">
        <v>18</v>
      </c>
      <c r="H200" t="s">
        <v>431</v>
      </c>
      <c r="I200" s="93">
        <v>100</v>
      </c>
      <c r="J200" s="93"/>
    </row>
    <row r="201" spans="1:12" x14ac:dyDescent="0.25">
      <c r="A201" t="s">
        <v>39</v>
      </c>
      <c r="D201" t="s">
        <v>20</v>
      </c>
      <c r="H201" t="s">
        <v>431</v>
      </c>
      <c r="I201" s="93">
        <v>100</v>
      </c>
      <c r="J201" s="93"/>
    </row>
    <row r="202" spans="1:12" x14ac:dyDescent="0.25">
      <c r="A202" t="s">
        <v>39</v>
      </c>
      <c r="D202" t="s">
        <v>35</v>
      </c>
      <c r="H202" t="s">
        <v>431</v>
      </c>
      <c r="I202" s="93">
        <v>0</v>
      </c>
      <c r="J202" s="93"/>
    </row>
    <row r="203" spans="1:12" x14ac:dyDescent="0.25">
      <c r="A203" t="s">
        <v>39</v>
      </c>
      <c r="D203" t="s">
        <v>33</v>
      </c>
      <c r="H203" t="s">
        <v>431</v>
      </c>
      <c r="I203" s="93">
        <v>100</v>
      </c>
      <c r="J203" s="93"/>
    </row>
    <row r="204" spans="1:12" x14ac:dyDescent="0.25">
      <c r="A204" t="s">
        <v>39</v>
      </c>
      <c r="D204" t="s">
        <v>34</v>
      </c>
      <c r="H204" t="s">
        <v>431</v>
      </c>
      <c r="I204" s="93">
        <v>100</v>
      </c>
      <c r="J204" s="93"/>
    </row>
    <row r="205" spans="1:12" x14ac:dyDescent="0.25">
      <c r="A205" t="s">
        <v>39</v>
      </c>
      <c r="D205" t="s">
        <v>429</v>
      </c>
      <c r="H205" t="s">
        <v>431</v>
      </c>
      <c r="I205" s="93">
        <v>100</v>
      </c>
      <c r="J205" s="93"/>
    </row>
    <row r="207" spans="1:12" x14ac:dyDescent="0.25">
      <c r="A207" s="159" t="s">
        <v>306</v>
      </c>
      <c r="B207" s="159"/>
      <c r="C207" s="159"/>
      <c r="D207" s="95"/>
      <c r="E207" s="95"/>
      <c r="F207" s="95"/>
      <c r="G207" s="95"/>
      <c r="H207" s="95"/>
      <c r="I207" s="95"/>
      <c r="J207" s="95"/>
      <c r="K207" s="95"/>
      <c r="L207" s="95"/>
    </row>
    <row r="208" spans="1:12" x14ac:dyDescent="0.25">
      <c r="A208" s="93" t="s">
        <v>2</v>
      </c>
      <c r="D208" s="93" t="s">
        <v>18</v>
      </c>
      <c r="E208" s="93"/>
      <c r="F208" s="93"/>
      <c r="G208" s="93"/>
      <c r="H208" s="93" t="s">
        <v>41</v>
      </c>
      <c r="I208" s="93">
        <v>7.1</v>
      </c>
      <c r="J208" s="93" t="s">
        <v>4</v>
      </c>
      <c r="K208" s="93"/>
      <c r="L208" s="93" t="s">
        <v>42</v>
      </c>
    </row>
    <row r="209" spans="1:12" x14ac:dyDescent="0.25">
      <c r="A209" s="93" t="s">
        <v>39</v>
      </c>
      <c r="D209" s="93" t="s">
        <v>18</v>
      </c>
      <c r="E209" s="93"/>
      <c r="F209" s="93"/>
      <c r="G209" s="93"/>
      <c r="H209" s="93" t="s">
        <v>41</v>
      </c>
      <c r="I209" s="93">
        <v>5.0999999999999996</v>
      </c>
      <c r="J209" s="93" t="s">
        <v>4</v>
      </c>
      <c r="K209" s="93"/>
      <c r="L209" s="93" t="s">
        <v>42</v>
      </c>
    </row>
    <row r="210" spans="1:12" x14ac:dyDescent="0.25">
      <c r="A210" s="93"/>
      <c r="D210" s="93" t="s">
        <v>33</v>
      </c>
      <c r="E210" s="93"/>
      <c r="F210" s="93"/>
      <c r="G210" s="93"/>
      <c r="H210" s="93" t="s">
        <v>41</v>
      </c>
      <c r="I210" s="93">
        <v>5.7</v>
      </c>
      <c r="J210" s="93" t="s">
        <v>4</v>
      </c>
      <c r="K210" s="93"/>
      <c r="L210" s="93" t="s">
        <v>42</v>
      </c>
    </row>
    <row r="211" spans="1:12" x14ac:dyDescent="0.25">
      <c r="A211" s="93"/>
      <c r="D211" s="93" t="s">
        <v>20</v>
      </c>
      <c r="E211" s="93"/>
      <c r="F211" s="93"/>
      <c r="G211" s="93"/>
      <c r="H211" s="93" t="s">
        <v>41</v>
      </c>
      <c r="I211" s="93">
        <v>7.7</v>
      </c>
      <c r="J211" s="93" t="s">
        <v>4</v>
      </c>
      <c r="K211" s="93"/>
      <c r="L211" s="93" t="s">
        <v>42</v>
      </c>
    </row>
    <row r="212" spans="1:12" x14ac:dyDescent="0.25">
      <c r="A212" s="93"/>
      <c r="D212" s="93" t="s">
        <v>34</v>
      </c>
      <c r="E212" s="93"/>
      <c r="F212" s="93"/>
      <c r="G212" s="93"/>
      <c r="H212" s="93" t="s">
        <v>41</v>
      </c>
      <c r="I212" s="93">
        <v>9.1</v>
      </c>
      <c r="J212" s="93" t="s">
        <v>4</v>
      </c>
      <c r="K212" s="93" t="s">
        <v>43</v>
      </c>
      <c r="L212" s="93" t="s">
        <v>42</v>
      </c>
    </row>
    <row r="213" spans="1:12" x14ac:dyDescent="0.25">
      <c r="A213" s="93"/>
      <c r="D213" s="93" t="s">
        <v>35</v>
      </c>
      <c r="E213" s="93"/>
      <c r="F213" s="93"/>
      <c r="G213" s="93"/>
      <c r="H213" s="93" t="s">
        <v>41</v>
      </c>
      <c r="I213" s="93">
        <v>9.1</v>
      </c>
      <c r="J213" s="93" t="s">
        <v>4</v>
      </c>
      <c r="K213" s="93" t="s">
        <v>43</v>
      </c>
      <c r="L213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342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343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340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404</v>
      </c>
    </row>
    <row r="98" spans="2:11" x14ac:dyDescent="0.25">
      <c r="C98" t="s">
        <v>317</v>
      </c>
      <c r="F98" t="s">
        <v>399</v>
      </c>
      <c r="I98" t="s">
        <v>402</v>
      </c>
    </row>
    <row r="99" spans="2:11" x14ac:dyDescent="0.25">
      <c r="C99" t="s">
        <v>18</v>
      </c>
      <c r="D99" t="s">
        <v>400</v>
      </c>
      <c r="E99" t="s">
        <v>401</v>
      </c>
      <c r="F99" t="s">
        <v>18</v>
      </c>
      <c r="G99" t="s">
        <v>400</v>
      </c>
      <c r="H99" t="s">
        <v>401</v>
      </c>
      <c r="I99" t="s">
        <v>18</v>
      </c>
      <c r="J99" t="s">
        <v>400</v>
      </c>
      <c r="K99" t="s">
        <v>401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398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403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351</v>
      </c>
      <c r="R1" s="4" t="s">
        <v>352</v>
      </c>
    </row>
    <row r="2" spans="6:31" x14ac:dyDescent="0.25">
      <c r="G2" t="s">
        <v>348</v>
      </c>
    </row>
    <row r="3" spans="6:31" x14ac:dyDescent="0.25">
      <c r="F3" t="s">
        <v>349</v>
      </c>
      <c r="G3" t="s">
        <v>345</v>
      </c>
      <c r="H3" t="s">
        <v>346</v>
      </c>
      <c r="I3" t="s">
        <v>347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353</v>
      </c>
      <c r="S4" s="118"/>
      <c r="T4" s="118"/>
      <c r="U4" s="118"/>
      <c r="V4" s="118"/>
      <c r="W4" s="118"/>
      <c r="X4" s="112"/>
      <c r="Y4" s="112"/>
      <c r="AB4" t="s">
        <v>349</v>
      </c>
      <c r="AC4" t="s">
        <v>386</v>
      </c>
      <c r="AD4" t="s">
        <v>356</v>
      </c>
      <c r="AE4" t="s">
        <v>357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355</v>
      </c>
      <c r="S5" s="119" t="s">
        <v>354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390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387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349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356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394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355</v>
      </c>
      <c r="S15" s="119" t="s">
        <v>388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393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355</v>
      </c>
      <c r="S25" s="119" t="s">
        <v>388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0.99434308508956182</v>
      </c>
    </row>
    <row r="5" spans="1:9" x14ac:dyDescent="0.25">
      <c r="A5" s="136" t="s">
        <v>361</v>
      </c>
      <c r="B5" s="136">
        <v>0.98871817086542757</v>
      </c>
    </row>
    <row r="6" spans="1:9" x14ac:dyDescent="0.25">
      <c r="A6" s="136" t="s">
        <v>362</v>
      </c>
      <c r="B6" s="141">
        <v>0.9876437109478492</v>
      </c>
    </row>
    <row r="7" spans="1:9" x14ac:dyDescent="0.25">
      <c r="A7" s="136" t="s">
        <v>363</v>
      </c>
      <c r="B7" s="136">
        <v>0.64295634155271764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367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349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356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39" t="s">
        <v>359</v>
      </c>
      <c r="B3" s="139"/>
    </row>
    <row r="4" spans="1:9" x14ac:dyDescent="0.25">
      <c r="A4" s="136" t="s">
        <v>360</v>
      </c>
      <c r="B4" s="136">
        <v>0.99923601209082613</v>
      </c>
    </row>
    <row r="5" spans="1:9" x14ac:dyDescent="0.25">
      <c r="A5" s="136" t="s">
        <v>361</v>
      </c>
      <c r="B5" s="136">
        <v>0.99847260785917769</v>
      </c>
    </row>
    <row r="6" spans="1:9" x14ac:dyDescent="0.25">
      <c r="A6" s="136" t="s">
        <v>362</v>
      </c>
      <c r="B6" s="141">
        <v>0.95294863548914033</v>
      </c>
    </row>
    <row r="7" spans="1:9" x14ac:dyDescent="0.25">
      <c r="A7" s="136" t="s">
        <v>363</v>
      </c>
      <c r="B7" s="136">
        <v>0.63937706804773409</v>
      </c>
    </row>
    <row r="8" spans="1:9" ht="15.75" thickBot="1" x14ac:dyDescent="0.3">
      <c r="A8" s="137" t="s">
        <v>364</v>
      </c>
      <c r="B8" s="137">
        <v>24</v>
      </c>
    </row>
    <row r="10" spans="1:9" ht="15.75" thickBot="1" x14ac:dyDescent="0.3">
      <c r="A10" t="s">
        <v>365</v>
      </c>
    </row>
    <row r="11" spans="1:9" x14ac:dyDescent="0.25">
      <c r="A11" s="138"/>
      <c r="B11" s="138" t="s">
        <v>369</v>
      </c>
      <c r="C11" s="138" t="s">
        <v>370</v>
      </c>
      <c r="D11" s="138" t="s">
        <v>371</v>
      </c>
      <c r="E11" s="138" t="s">
        <v>372</v>
      </c>
      <c r="F11" s="138" t="s">
        <v>373</v>
      </c>
    </row>
    <row r="12" spans="1:9" x14ac:dyDescent="0.25">
      <c r="A12" s="136" t="s">
        <v>366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367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374</v>
      </c>
      <c r="C16" s="138" t="s">
        <v>363</v>
      </c>
      <c r="D16" s="138" t="s">
        <v>375</v>
      </c>
      <c r="E16" s="138" t="s">
        <v>376</v>
      </c>
      <c r="F16" s="138" t="s">
        <v>377</v>
      </c>
      <c r="G16" s="138" t="s">
        <v>378</v>
      </c>
      <c r="H16" s="138" t="s">
        <v>379</v>
      </c>
      <c r="I16" s="138" t="s">
        <v>380</v>
      </c>
    </row>
    <row r="17" spans="1:9" x14ac:dyDescent="0.25">
      <c r="A17" s="136" t="s">
        <v>368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349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356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8" t="s">
        <v>382</v>
      </c>
      <c r="B25" s="138" t="s">
        <v>383</v>
      </c>
      <c r="C25" s="138" t="s">
        <v>384</v>
      </c>
      <c r="D25" s="138" t="s">
        <v>385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scn_baseline</vt:lpstr>
      <vt:lpstr>Antal djur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2023-05-08T08:18:09Z</dcterms:modified>
</cp:coreProperties>
</file>