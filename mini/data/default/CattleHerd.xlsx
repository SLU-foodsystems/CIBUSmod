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ferences" sheetId="1" state="visible" r:id="rId3"/>
    <sheet name="default" sheetId="2" state="visible" r:id="rId4"/>
    <sheet name="Antal djur" sheetId="3" state="visible" r:id="rId5"/>
    <sheet name="Foderstater" sheetId="4" state="visible" r:id="rId6"/>
    <sheet name="G&amp;D slakt" sheetId="5" state="visible" r:id="rId7"/>
    <sheet name="G&amp;D sammanställning" sheetId="6" state="visible" r:id="rId8"/>
    <sheet name="Växa slakt" sheetId="7" state="visible" r:id="rId9"/>
    <sheet name="Invägd mjölk" sheetId="8" state="visible" r:id="rId10"/>
    <sheet name="Energy req." sheetId="9" state="visible" r:id="rId11"/>
    <sheet name="LW" sheetId="10" state="visible" r:id="rId12"/>
    <sheet name="LW int=0" sheetId="11" state="visible" r:id="rId13"/>
    <sheet name="DPCache_G&amp;D slakt" sheetId="12" state="hidden" r:id="rId14"/>
  </sheets>
  <definedNames>
    <definedName function="false" hidden="true" localSheetId="2" name="solver_adj" vbProcedure="false">'Antal djur'!$P$39:$P$40,'Antal djur'!$T$36:$T$37,'Antal djur'!$AM$39:$AM$40,'Antal djur'!$AQ$36:$AQ$37</definedName>
    <definedName function="false" hidden="true" localSheetId="2" name="solver_cvg" vbProcedure="false">0.0001</definedName>
    <definedName function="false" hidden="true" localSheetId="2" name="solver_drv" vbProcedure="false">1</definedName>
    <definedName function="false" hidden="true" localSheetId="2" name="solver_eng" vbProcedure="false">1</definedName>
    <definedName function="false" hidden="true" localSheetId="2" name="solver_est" vbProcedure="false">1</definedName>
    <definedName function="false" hidden="true" localSheetId="2" name="solver_itr" vbProcedure="false">2147483647</definedName>
    <definedName function="false" hidden="true" localSheetId="2" name="solver_mip" vbProcedure="false">2147483647</definedName>
    <definedName function="false" hidden="true" localSheetId="2" name="solver_mni" vbProcedure="false">30</definedName>
    <definedName function="false" hidden="true" localSheetId="2" name="solver_mrt" vbProcedure="false">0.075</definedName>
    <definedName function="false" hidden="true" localSheetId="2" name="solver_msl" vbProcedure="false">2</definedName>
    <definedName function="false" hidden="true" localSheetId="2" name="solver_neg" vbProcedure="false">1</definedName>
    <definedName function="false" hidden="true" localSheetId="2" name="solver_nod" vbProcedure="false">2147483647</definedName>
    <definedName function="false" hidden="true" localSheetId="2" name="solver_num" vbProcedure="false">0</definedName>
    <definedName function="false" hidden="true" localSheetId="2" name="solver_nwt" vbProcedure="false">1</definedName>
    <definedName function="false" hidden="true" localSheetId="2" name="solver_opt" vbProcedure="false">'antal djur'!#ref!</definedName>
    <definedName function="false" hidden="true" localSheetId="2" name="solver_pre" vbProcedure="false">0.000001</definedName>
    <definedName function="false" hidden="true" localSheetId="2" name="solver_rbv" vbProcedure="false">1</definedName>
    <definedName function="false" hidden="true" localSheetId="2" name="solver_rlx" vbProcedure="false">2</definedName>
    <definedName function="false" hidden="true" localSheetId="2" name="solver_rsd" vbProcedure="false">0</definedName>
    <definedName function="false" hidden="true" localSheetId="2" name="solver_scl" vbProcedure="false">1</definedName>
    <definedName function="false" hidden="true" localSheetId="2" name="solver_sho" vbProcedure="false">2</definedName>
    <definedName function="false" hidden="true" localSheetId="2" name="solver_ssz" vbProcedure="false">100</definedName>
    <definedName function="false" hidden="true" localSheetId="2" name="solver_tim" vbProcedure="false">2147483647</definedName>
    <definedName function="false" hidden="true" localSheetId="2" name="solver_tol" vbProcedure="false">0.01</definedName>
    <definedName function="false" hidden="true" localSheetId="2" name="solver_typ" vbProcedure="false">2</definedName>
    <definedName function="false" hidden="true" localSheetId="2" name="solver_val" vbProcedure="false">0</definedName>
    <definedName function="false" hidden="true" localSheetId="2" name="solver_ver" vbProcedure="false">3</definedName>
  </definedNames>
  <calcPr iterateCount="100" refMode="A1" iterate="false" iterateDelta="0.0001"/>
  <pivotCaches>
    <pivotCache cacheId="1" r:id="rId16"/>
  </pivotCaches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WW</author>
  </authors>
  <commentList>
    <comment ref="B43" authorId="0">
      <text>
        <r>
          <rPr>
            <sz val="10"/>
            <rFont val="Arial"/>
            <family val="2"/>
          </rPr>
          <t xml:space="preserve">Johan Karlsson:
</t>
        </r>
        <r>
          <rPr>
            <sz val="9"/>
            <color rgb="FF000000"/>
            <rFont val="Tahoma"/>
            <family val="2"/>
            <charset val="1"/>
          </rPr>
          <t xml:space="preserve">Disaggregated based on comment in source</t>
        </r>
      </text>
    </comment>
    <comment ref="B47" authorId="0">
      <text>
        <r>
          <rPr>
            <sz val="10"/>
            <rFont val="Arial"/>
            <family val="2"/>
          </rPr>
          <t xml:space="preserve">Johan Karlsson:
</t>
        </r>
        <r>
          <rPr>
            <sz val="9"/>
            <color rgb="FF000000"/>
            <rFont val="Tahoma"/>
            <family val="2"/>
            <charset val="1"/>
          </rPr>
          <t xml:space="preserve">Disaggregated assuming 40% molasses and 60% pulp</t>
        </r>
      </text>
    </comment>
    <comment ref="Y15" authorId="0">
      <text>
        <r>
          <rPr>
            <sz val="10"/>
            <rFont val="Arial"/>
            <family val="2"/>
          </rPr>
          <t xml:space="preserve">Johan Karlsson:
</t>
        </r>
        <r>
          <rPr>
            <sz val="9"/>
            <color rgb="FF000000"/>
            <rFont val="Tahoma"/>
            <family val="2"/>
            <charset val="1"/>
          </rPr>
          <t xml:space="preserve">En del av spannmålet från Mikaelas foderstater överförda till färdigfoder då detta innehåller en del spannmål.</t>
        </r>
      </text>
    </comment>
  </commentList>
</comments>
</file>

<file path=xl/sharedStrings.xml><?xml version="1.0" encoding="utf-8"?>
<sst xmlns="http://schemas.openxmlformats.org/spreadsheetml/2006/main" count="3277" uniqueCount="614">
  <si>
    <t xml:space="preserve">Strid, Röös &amp; Tidåker. (2014). Förluster av svenskt nötkött inom primärproduktion och slakt. SJV Rapport 2014:07</t>
  </si>
  <si>
    <t xml:space="preserve">Bertilsson (2016) Updating Swedish emission factors for cattle to be used for calculations of greenhouse gases. On commission of the Swedish Environmental Protection Agency 2016. https://publications.slu.se/?file=publ/show&amp;id=76286</t>
  </si>
  <si>
    <t xml:space="preserve">Ahlgren, S., Behaderovic, D., Wirsenius, S., Carlsson, A., Hessle, A. Toräng, P., Seeman, A., den Braver, T. &amp;  et al. Kvarnbäck, O. (2022) Miljöpåverkan av svensk nöt- och lammköttsproduktion. RISE</t>
  </si>
  <si>
    <t xml:space="preserve">f_breed</t>
  </si>
  <si>
    <t xml:space="preserve">f_prod_system</t>
  </si>
  <si>
    <t xml:space="preserve">f_animal</t>
  </si>
  <si>
    <t xml:space="preserve">f_feed</t>
  </si>
  <si>
    <t xml:space="preserve">f_from_ps</t>
  </si>
  <si>
    <t xml:space="preserve">f_to_ps</t>
  </si>
  <si>
    <t xml:space="preserve">parameter</t>
  </si>
  <si>
    <t xml:space="preserve">value</t>
  </si>
  <si>
    <t xml:space="preserve">unit</t>
  </si>
  <si>
    <t xml:space="preserve">description</t>
  </si>
  <si>
    <t xml:space="preserve">source</t>
  </si>
  <si>
    <t xml:space="preserve">Milk production</t>
  </si>
  <si>
    <t xml:space="preserve">Dairy</t>
  </si>
  <si>
    <t xml:space="preserve">dairy</t>
  </si>
  <si>
    <t xml:space="preserve">conventional</t>
  </si>
  <si>
    <t xml:space="preserve">milk_prod</t>
  </si>
  <si>
    <t xml:space="preserve">kg/cow/year</t>
  </si>
  <si>
    <t xml:space="preserve">Total incl. for calves</t>
  </si>
  <si>
    <t xml:space="preserve">Växa Husdjursstatistik Tab. 17 (2016-2020)</t>
  </si>
  <si>
    <t xml:space="preserve">milk_loss</t>
  </si>
  <si>
    <t xml:space="preserve">%</t>
  </si>
  <si>
    <t xml:space="preserve">Mikaela?? 89% delivered to dairy??</t>
  </si>
  <si>
    <t xml:space="preserve">Växa + Swedish Board of Agriculture</t>
  </si>
  <si>
    <t xml:space="preserve">milk_fat</t>
  </si>
  <si>
    <t xml:space="preserve">milk_protein</t>
  </si>
  <si>
    <t xml:space="preserve">organic</t>
  </si>
  <si>
    <t xml:space="preserve">Fertility etc.</t>
  </si>
  <si>
    <t xml:space="preserve">calving_interval</t>
  </si>
  <si>
    <t xml:space="preserve">months</t>
  </si>
  <si>
    <t xml:space="preserve">AFC</t>
  </si>
  <si>
    <t xml:space="preserve">age at first calving</t>
  </si>
  <si>
    <t xml:space="preserve">recruitment_rate</t>
  </si>
  <si>
    <t xml:space="preserve">% of cows per year</t>
  </si>
  <si>
    <t xml:space="preserve">ratio_male_calf</t>
  </si>
  <si>
    <t xml:space="preserve">% of calves</t>
  </si>
  <si>
    <t xml:space="preserve">twin_birth</t>
  </si>
  <si>
    <t xml:space="preserve">% of calvings</t>
  </si>
  <si>
    <t xml:space="preserve">stillborn_calf</t>
  </si>
  <si>
    <t xml:space="preserve">weaning_age</t>
  </si>
  <si>
    <t xml:space="preserve">days</t>
  </si>
  <si>
    <t xml:space="preserve">breeding_bulls_per_cow</t>
  </si>
  <si>
    <t xml:space="preserve">nr</t>
  </si>
  <si>
    <t xml:space="preserve">Rough assumption, but small figure as artificial insemination is dominating</t>
  </si>
  <si>
    <t xml:space="preserve">live_weight</t>
  </si>
  <si>
    <t xml:space="preserve">Fallback</t>
  </si>
  <si>
    <t xml:space="preserve">cows</t>
  </si>
  <si>
    <t xml:space="preserve">kg</t>
  </si>
  <si>
    <t xml:space="preserve">Calculated from slaughter weight and 47% slaughter yeild</t>
  </si>
  <si>
    <t xml:space="preserve"> Strid, Roos &amp; Tidaker (2014)</t>
  </si>
  <si>
    <t xml:space="preserve">breeding bulls</t>
  </si>
  <si>
    <t xml:space="preserve">Assumed same as for beef</t>
  </si>
  <si>
    <t xml:space="preserve">Ahlgren et al. (2022)</t>
  </si>
  <si>
    <t xml:space="preserve">calves</t>
  </si>
  <si>
    <t xml:space="preserve">birth_weight</t>
  </si>
  <si>
    <t xml:space="preserve">Mikaela???</t>
  </si>
  <si>
    <t xml:space="preserve">live_weight_weaning</t>
  </si>
  <si>
    <t xml:space="preserve">Mikaela??? Calculated assuming linear growth</t>
  </si>
  <si>
    <t xml:space="preserve">live_weight_slaughter</t>
  </si>
  <si>
    <t xml:space="preserve">Calculated from slaughter weight and 50% slaughter yeild</t>
  </si>
  <si>
    <t xml:space="preserve">heifers</t>
  </si>
  <si>
    <t xml:space="preserve">steers</t>
  </si>
  <si>
    <t xml:space="preserve">bulls</t>
  </si>
  <si>
    <t xml:space="preserve">Mortality</t>
  </si>
  <si>
    <t xml:space="preserve">mortality</t>
  </si>
  <si>
    <t xml:space="preserve">mortality_male_0towean</t>
  </si>
  <si>
    <t xml:space="preserve">% of live born</t>
  </si>
  <si>
    <t xml:space="preserve">mortality_male_0towean_age</t>
  </si>
  <si>
    <t xml:space="preserve">avg age of deaths in span</t>
  </si>
  <si>
    <t xml:space="preserve">mortality_female_0towean</t>
  </si>
  <si>
    <t xml:space="preserve">mortality_female_0towean_age</t>
  </si>
  <si>
    <t xml:space="preserve">mortality_male_weantoslaught</t>
  </si>
  <si>
    <t xml:space="preserve">% of weaned</t>
  </si>
  <si>
    <t xml:space="preserve">mortality_male_weantoslaught_age</t>
  </si>
  <si>
    <t xml:space="preserve">mortality_female_weantoslaught</t>
  </si>
  <si>
    <t xml:space="preserve">mortality_female_weantoslaught_age</t>
  </si>
  <si>
    <t xml:space="preserve">Slaughter</t>
  </si>
  <si>
    <t xml:space="preserve">slaughter_age</t>
  </si>
  <si>
    <t xml:space="preserve">slaughter_weight</t>
  </si>
  <si>
    <t xml:space="preserve">kg CW</t>
  </si>
  <si>
    <t xml:space="preserve">slaughter_share_as_calf</t>
  </si>
  <si>
    <t xml:space="preserve">share of young animals slaughtered as calves (&lt;1 yr)</t>
  </si>
  <si>
    <t xml:space="preserve">(estimated from animal and slaughter statistics)</t>
  </si>
  <si>
    <t xml:space="preserve">slaughter_share_male_as_steers</t>
  </si>
  <si>
    <t xml:space="preserve">share of males slaughtered as steers</t>
  </si>
  <si>
    <t xml:space="preserve">Grazing</t>
  </si>
  <si>
    <t xml:space="preserve">grazing_period</t>
  </si>
  <si>
    <t xml:space="preserve">indoors_during_grazing</t>
  </si>
  <si>
    <t xml:space="preserve">Feed requirements</t>
  </si>
  <si>
    <t xml:space="preserve">Dry matter intake</t>
  </si>
  <si>
    <t xml:space="preserve">max_DMI</t>
  </si>
  <si>
    <t xml:space="preserve">kg DM/head/day</t>
  </si>
  <si>
    <t xml:space="preserve">https://pir.sa.gov.au/__data/assets/pdf_file/0007/272869/Calculating_dry_matter_intakes.pdf</t>
  </si>
  <si>
    <t xml:space="preserve">handle pre weaing</t>
  </si>
  <si>
    <t xml:space="preserve">Energy</t>
  </si>
  <si>
    <t xml:space="preserve">maintanance_energy_factor</t>
  </si>
  <si>
    <t xml:space="preserve">MJ ME/kg LW^0.75</t>
  </si>
  <si>
    <t xml:space="preserve">Spörndly (2003). Tabell 1&amp;7</t>
  </si>
  <si>
    <t xml:space="preserve">Spörndly (2003). Tabell 4a</t>
  </si>
  <si>
    <t xml:space="preserve">lactation_energy_factor</t>
  </si>
  <si>
    <t xml:space="preserve">MJ ME/kg ECM</t>
  </si>
  <si>
    <t xml:space="preserve">gestation_energy_factor</t>
  </si>
  <si>
    <t xml:space="preserve">MJ ME/kg LW</t>
  </si>
  <si>
    <t xml:space="preserve">7th (LW*0.013 MJ/day), 8th (LW*0.021 MJ/day) and 9th (LW*0.038 MJ/day) month deduced from (Tabell 1)</t>
  </si>
  <si>
    <t xml:space="preserve">Spörndly (2003). Tabell 1</t>
  </si>
  <si>
    <t xml:space="preserve">energy_adjustment_factor</t>
  </si>
  <si>
    <t xml:space="preserve">-</t>
  </si>
  <si>
    <t xml:space="preserve">Spörndly (2003). Tabell 4b</t>
  </si>
  <si>
    <t xml:space="preserve">energy_adjustment_addend</t>
  </si>
  <si>
    <t xml:space="preserve">energy_share_before_weaning_from_milk</t>
  </si>
  <si>
    <t xml:space="preserve">% of ME</t>
  </si>
  <si>
    <t xml:space="preserve">Set to give ~7 kg/calf/day</t>
  </si>
  <si>
    <t xml:space="preserve">https://www.gardochdjurhalsan.se/mer-mjolk-till-smakalvar/</t>
  </si>
  <si>
    <t xml:space="preserve">energy_in_milk_to_calves</t>
  </si>
  <si>
    <t xml:space="preserve">MJ ME/kg</t>
  </si>
  <si>
    <t xml:space="preserve">18.8 MJ ME/kg DM (whole milk powder) * 0.13 kg DM/kg milk</t>
  </si>
  <si>
    <t xml:space="preserve">Protein (AAT)</t>
  </si>
  <si>
    <t xml:space="preserve">AAT_factor</t>
  </si>
  <si>
    <t xml:space="preserve">g AAT/MJ ME</t>
  </si>
  <si>
    <t xml:space="preserve">Rough for now… 7.5 @ 40-75 kg LW … 6.5 @ &gt;275 kg LW</t>
  </si>
  <si>
    <t xml:space="preserve">Spörndly (2003). Tabell 5</t>
  </si>
  <si>
    <t xml:space="preserve">Protein (PBV)</t>
  </si>
  <si>
    <t xml:space="preserve">max_PBV</t>
  </si>
  <si>
    <t xml:space="preserve">g PBV/head/day</t>
  </si>
  <si>
    <t xml:space="preserve">min_PBV</t>
  </si>
  <si>
    <t xml:space="preserve">max_PBV_per_ME</t>
  </si>
  <si>
    <t xml:space="preserve">g PBV/MJ ME</t>
  </si>
  <si>
    <t xml:space="preserve">min_PBV_per_ME</t>
  </si>
  <si>
    <t xml:space="preserve">Same as growing animals?</t>
  </si>
  <si>
    <t xml:space="preserve">Fat</t>
  </si>
  <si>
    <t xml:space="preserve">max_fat</t>
  </si>
  <si>
    <t xml:space="preserve">g/kg DM</t>
  </si>
  <si>
    <t xml:space="preserve">Spörndly (2003)</t>
  </si>
  <si>
    <t xml:space="preserve">Feed rations</t>
  </si>
  <si>
    <t xml:space="preserve">% of DM</t>
  </si>
  <si>
    <t xml:space="preserve">Cows</t>
  </si>
  <si>
    <t xml:space="preserve">min_share_in_ration</t>
  </si>
  <si>
    <t xml:space="preserve">ley silage, 1st cut</t>
  </si>
  <si>
    <t xml:space="preserve">ley silage, regrowth</t>
  </si>
  <si>
    <t xml:space="preserve">grazing</t>
  </si>
  <si>
    <t xml:space="preserve">wheat</t>
  </si>
  <si>
    <t xml:space="preserve">wheat bran</t>
  </si>
  <si>
    <t xml:space="preserve">soybean meal</t>
  </si>
  <si>
    <t xml:space="preserve">rapeseed meal</t>
  </si>
  <si>
    <t xml:space="preserve">Other</t>
  </si>
  <si>
    <t xml:space="preserve">Mjölk besättningar</t>
  </si>
  <si>
    <t xml:space="preserve">Diko besättningar</t>
  </si>
  <si>
    <t xml:space="preserve">Number</t>
  </si>
  <si>
    <t xml:space="preserve">Slaughtered</t>
  </si>
  <si>
    <t xml:space="preserve">Slaughtered (1000 tonnes)</t>
  </si>
  <si>
    <t xml:space="preserve">Dead/culled</t>
  </si>
  <si>
    <t xml:space="preserve">Conv</t>
  </si>
  <si>
    <t xml:space="preserve">Org</t>
  </si>
  <si>
    <t xml:space="preserve">Parameter</t>
  </si>
  <si>
    <t xml:space="preserve">Konv</t>
  </si>
  <si>
    <t xml:space="preserve">Eko</t>
  </si>
  <si>
    <t xml:space="preserve">Enhet</t>
  </si>
  <si>
    <t xml:space="preserve">Källa</t>
  </si>
  <si>
    <t xml:space="preserve">Kalvningsintervall</t>
  </si>
  <si>
    <t xml:space="preserve">mån</t>
  </si>
  <si>
    <t xml:space="preserve">(Växa tab 29)</t>
  </si>
  <si>
    <t xml:space="preserve">(Växa Husdjursstatistik 2020, tab 31)</t>
  </si>
  <si>
    <t xml:space="preserve">Heifers</t>
  </si>
  <si>
    <t xml:space="preserve">Inkalvningsålder</t>
  </si>
  <si>
    <t xml:space="preserve">(Växa Husdjursstatistik 2020, tab 32)</t>
  </si>
  <si>
    <t xml:space="preserve">Steers</t>
  </si>
  <si>
    <t xml:space="preserve">Rekrytering</t>
  </si>
  <si>
    <t xml:space="preserve">(Växa tab 28)</t>
  </si>
  <si>
    <t xml:space="preserve">(ber.)</t>
  </si>
  <si>
    <t xml:space="preserve">Bulls</t>
  </si>
  <si>
    <t xml:space="preserve">Könskvot, tjurkalvar</t>
  </si>
  <si>
    <t xml:space="preserve">(Växa Husdjursstatistik 2020, tab 20)</t>
  </si>
  <si>
    <t xml:space="preserve">(Växa KAP, tab 34)</t>
  </si>
  <si>
    <t xml:space="preserve">Calves</t>
  </si>
  <si>
    <t xml:space="preserve">Tvilingfödslar</t>
  </si>
  <si>
    <t xml:space="preserve">(Växa Husdjursstatistik 2020, tab 34a)</t>
  </si>
  <si>
    <t xml:space="preserve">Dödfödda kalvar</t>
  </si>
  <si>
    <t xml:space="preserve">Intermediates</t>
  </si>
  <si>
    <t xml:space="preserve">Andel</t>
  </si>
  <si>
    <t xml:space="preserve">Lev. kalvar per år</t>
  </si>
  <si>
    <t xml:space="preserve">antal/ko/år</t>
  </si>
  <si>
    <t xml:space="preserve">Calves born</t>
  </si>
  <si>
    <t xml:space="preserve">Avvänjningsålder</t>
  </si>
  <si>
    <t xml:space="preserve">dagar</t>
  </si>
  <si>
    <t xml:space="preserve">RISE</t>
  </si>
  <si>
    <t xml:space="preserve">Male calves born</t>
  </si>
  <si>
    <t xml:space="preserve">Dödlighet</t>
  </si>
  <si>
    <t xml:space="preserve">Female calves born</t>
  </si>
  <si>
    <t xml:space="preserve">kor</t>
  </si>
  <si>
    <t xml:space="preserve">% av djur</t>
  </si>
  <si>
    <t xml:space="preserve">Male calves 2 weaned before redist</t>
  </si>
  <si>
    <t xml:space="preserve">tjurkalv (föds.-avv.)</t>
  </si>
  <si>
    <t xml:space="preserve">% av levande födda</t>
  </si>
  <si>
    <t xml:space="preserve">Female calves 2 weaned before redist</t>
  </si>
  <si>
    <t xml:space="preserve">   snittålder</t>
  </si>
  <si>
    <t xml:space="preserve">Male calves 2 weaned</t>
  </si>
  <si>
    <t xml:space="preserve">kvigkalv (föds.-avv.)</t>
  </si>
  <si>
    <t xml:space="preserve">Female calves 2 weaned</t>
  </si>
  <si>
    <t xml:space="preserve">Male calves 2 end</t>
  </si>
  <si>
    <t xml:space="preserve">tjurar/stutar (avv.-slakt)</t>
  </si>
  <si>
    <t xml:space="preserve">% av avvanda</t>
  </si>
  <si>
    <t xml:space="preserve">Female calves 2 end</t>
  </si>
  <si>
    <t xml:space="preserve">Male calves 2 dead</t>
  </si>
  <si>
    <t xml:space="preserve">kvigor (avv.-slakt)</t>
  </si>
  <si>
    <t xml:space="preserve">Female calves 2 dead</t>
  </si>
  <si>
    <t xml:space="preserve">Calves 2 recruitment</t>
  </si>
  <si>
    <t xml:space="preserve">Slaktålder</t>
  </si>
  <si>
    <t xml:space="preserve">Calves 2 slaughter</t>
  </si>
  <si>
    <t xml:space="preserve">Male calves 2 slaughter</t>
  </si>
  <si>
    <t xml:space="preserve">kvigor</t>
  </si>
  <si>
    <t xml:space="preserve">Female calves 2 slaughter</t>
  </si>
  <si>
    <t xml:space="preserve">mellankalv</t>
  </si>
  <si>
    <t xml:space="preserve">Calves 2 heifers</t>
  </si>
  <si>
    <t xml:space="preserve">stutar</t>
  </si>
  <si>
    <t xml:space="preserve">Calves 2 steers</t>
  </si>
  <si>
    <t xml:space="preserve">tjurar</t>
  </si>
  <si>
    <t xml:space="preserve">Calves 2 bulls</t>
  </si>
  <si>
    <t xml:space="preserve">Slaktvikt</t>
  </si>
  <si>
    <t xml:space="preserve">Andel av slaktade ungdjur</t>
  </si>
  <si>
    <t xml:space="preserve">adj</t>
  </si>
  <si>
    <t xml:space="preserve">som kalv</t>
  </si>
  <si>
    <t xml:space="preserve">som stut (av handjur)</t>
  </si>
  <si>
    <t xml:space="preserve">Överföring djur eko -&gt; konv</t>
  </si>
  <si>
    <t xml:space="preserve">tjurkalvar</t>
  </si>
  <si>
    <t xml:space="preserve">(uppskattat baserat på stat.)</t>
  </si>
  <si>
    <t xml:space="preserve">kvigkalvar</t>
  </si>
  <si>
    <t xml:space="preserve">Från modell</t>
  </si>
  <si>
    <t xml:space="preserve">Kontroll</t>
  </si>
  <si>
    <t xml:space="preserve">Kontroll (riks)</t>
  </si>
  <si>
    <t xml:space="preserve">tot</t>
  </si>
  <si>
    <t xml:space="preserve">eko</t>
  </si>
  <si>
    <t xml:space="preserve">jmf. SJV</t>
  </si>
  <si>
    <t xml:space="preserve">jmf. G&amp;D</t>
  </si>
  <si>
    <t xml:space="preserve">jmf. SJV eko</t>
  </si>
  <si>
    <t xml:space="preserve">Kontroll djurantal (region)</t>
  </si>
  <si>
    <t xml:space="preserve">mjölkkor</t>
  </si>
  <si>
    <t xml:space="preserve">dikor</t>
  </si>
  <si>
    <t xml:space="preserve">Kalvar, under 1 år</t>
  </si>
  <si>
    <t xml:space="preserve">Kvigor, tjurar och stutar</t>
  </si>
  <si>
    <t xml:space="preserve">Djur i juni</t>
  </si>
  <si>
    <t xml:space="preserve">00 Riket</t>
  </si>
  <si>
    <t xml:space="preserve">01 Stockholms län</t>
  </si>
  <si>
    <t xml:space="preserve">03 Uppsala län</t>
  </si>
  <si>
    <t xml:space="preserve">04 Södermanlands län</t>
  </si>
  <si>
    <t xml:space="preserve">05 Östergötlands län</t>
  </si>
  <si>
    <t xml:space="preserve">06 Jönköpings län</t>
  </si>
  <si>
    <t xml:space="preserve">07 Kronobergs län</t>
  </si>
  <si>
    <t xml:space="preserve">08 Kalmar län</t>
  </si>
  <si>
    <t xml:space="preserve">09 Gotlands län</t>
  </si>
  <si>
    <t xml:space="preserve">10 Blekinge län</t>
  </si>
  <si>
    <t xml:space="preserve">12 Skåne län</t>
  </si>
  <si>
    <t xml:space="preserve">13 Hallands län</t>
  </si>
  <si>
    <t xml:space="preserve">14 Västra Götalands län</t>
  </si>
  <si>
    <t xml:space="preserve">17 Värmlands län</t>
  </si>
  <si>
    <t xml:space="preserve">18 Örebro län</t>
  </si>
  <si>
    <t xml:space="preserve">19 Västmanlands län</t>
  </si>
  <si>
    <t xml:space="preserve">20 Dalarnas län</t>
  </si>
  <si>
    <t xml:space="preserve">21 Gävleborgs län</t>
  </si>
  <si>
    <t xml:space="preserve">22 Västernorrlands län</t>
  </si>
  <si>
    <t xml:space="preserve">23 Jämtlands län</t>
  </si>
  <si>
    <t xml:space="preserve">24 Västerbottens län</t>
  </si>
  <si>
    <t xml:space="preserve">25 Norrbottens län</t>
  </si>
  <si>
    <t xml:space="preserve">Slakt, kor</t>
  </si>
  <si>
    <t xml:space="preserve">slakt, kvigor</t>
  </si>
  <si>
    <t xml:space="preserve">slakt, stutar</t>
  </si>
  <si>
    <t xml:space="preserve">slakt, tjurar</t>
  </si>
  <si>
    <t xml:space="preserve">Djur i december</t>
  </si>
  <si>
    <t xml:space="preserve">Hela riket</t>
  </si>
  <si>
    <t xml:space="preserve">Götalands södra slättbygder</t>
  </si>
  <si>
    <t xml:space="preserve">Götalands mellanbygder</t>
  </si>
  <si>
    <t xml:space="preserve">Götalands skogsbygder</t>
  </si>
  <si>
    <t xml:space="preserve">Götalands norra slättbygder</t>
  </si>
  <si>
    <t xml:space="preserve">Svealands slättbygder</t>
  </si>
  <si>
    <t xml:space="preserve">Mellersta Sveriges skogsbygder</t>
  </si>
  <si>
    <t xml:space="preserve">Nedre Norrland</t>
  </si>
  <si>
    <t xml:space="preserve">Övre Norrland</t>
  </si>
  <si>
    <t xml:space="preserve">slakt, kalvar</t>
  </si>
  <si>
    <t xml:space="preserve">Ungdjur flyttas från norra Sverige till södra</t>
  </si>
  <si>
    <t xml:space="preserve">slakt, total (exkl. kor)</t>
  </si>
  <si>
    <t xml:space="preserve">slakt, total</t>
  </si>
  <si>
    <t xml:space="preserve">Andel eko, medel 2016-2020</t>
  </si>
  <si>
    <t xml:space="preserve">mod.</t>
  </si>
  <si>
    <t xml:space="preserve">Kor för mjölkproduktion</t>
  </si>
  <si>
    <t xml:space="preserve">Victora Thullier LRF</t>
  </si>
  <si>
    <t xml:space="preserve">Kor för uppfödning av kalvar</t>
  </si>
  <si>
    <t xml:space="preserve">Ekologiska lantbrukarna</t>
  </si>
  <si>
    <t xml:space="preserve">Slaktstatistik, 1000-tal slaktade djur, medel 2016-2020</t>
  </si>
  <si>
    <t xml:space="preserve">Okänd</t>
  </si>
  <si>
    <t xml:space="preserve">PROCENT EKOLOGISK</t>
  </si>
  <si>
    <t xml:space="preserve">Ungko</t>
  </si>
  <si>
    <t xml:space="preserve">Ko</t>
  </si>
  <si>
    <t xml:space="preserve">Kor, tot</t>
  </si>
  <si>
    <t xml:space="preserve">Kviga</t>
  </si>
  <si>
    <t xml:space="preserve">Mellankalv</t>
  </si>
  <si>
    <t xml:space="preserve">Stut</t>
  </si>
  <si>
    <t xml:space="preserve">Ungtjur</t>
  </si>
  <si>
    <t xml:space="preserve">Yngre tjur</t>
  </si>
  <si>
    <t xml:space="preserve">Äldre tjur</t>
  </si>
  <si>
    <t xml:space="preserve">Tjur, tot</t>
  </si>
  <si>
    <t xml:space="preserve">Total, exkl kor</t>
  </si>
  <si>
    <t xml:space="preserve">Total</t>
  </si>
  <si>
    <t xml:space="preserve">Antal djur i juni, medel 2016-2020</t>
  </si>
  <si>
    <t xml:space="preserve">Antal djur i december, medel 2016-2020</t>
  </si>
  <si>
    <t xml:space="preserve">Kor - totalt</t>
  </si>
  <si>
    <t xml:space="preserve">Nötkreatur - totalt</t>
  </si>
  <si>
    <t xml:space="preserve">Number of suckler cows per farm. Used to assume number of breeding bulls (i.e. one per farm)</t>
  </si>
  <si>
    <t xml:space="preserve">Organic</t>
  </si>
  <si>
    <t xml:space="preserve">Conventional</t>
  </si>
  <si>
    <t xml:space="preserve">farms</t>
  </si>
  <si>
    <t xml:space="preserve">cows/farm</t>
  </si>
  <si>
    <t xml:space="preserve">Avg</t>
  </si>
  <si>
    <t xml:space="preserve">Breeding bulls per cow:</t>
  </si>
  <si>
    <t xml:space="preserve">FEED RATIONS</t>
  </si>
  <si>
    <t xml:space="preserve">Ahlgren et al 2022</t>
  </si>
  <si>
    <t xml:space="preserve">Mikaela Lindberg </t>
  </si>
  <si>
    <t xml:space="preserve">Einarsson et al 2022 SM2</t>
  </si>
  <si>
    <t xml:space="preserve">kg/head/year</t>
  </si>
  <si>
    <t xml:space="preserve">Tabell 10</t>
  </si>
  <si>
    <t xml:space="preserve">Tabell 11</t>
  </si>
  <si>
    <t xml:space="preserve">Tabell 12</t>
  </si>
  <si>
    <t xml:space="preserve">pers. com. 2023-04</t>
  </si>
  <si>
    <t xml:space="preserve">('Feed rations')</t>
  </si>
  <si>
    <t xml:space="preserve">Dairy cows</t>
  </si>
  <si>
    <t xml:space="preserve">Calves, dairy, replacement</t>
  </si>
  <si>
    <t xml:space="preserve">Heifers, dairy, replacement</t>
  </si>
  <si>
    <t xml:space="preserve">Suckler cows</t>
  </si>
  <si>
    <t xml:space="preserve">Calves, for slaughter</t>
  </si>
  <si>
    <t xml:space="preserve">Calves, dairy, for fattening</t>
  </si>
  <si>
    <t xml:space="preserve">Calves, suckler, replacement or fattening</t>
  </si>
  <si>
    <t xml:space="preserve">Heifers, suckler, replacement</t>
  </si>
  <si>
    <t xml:space="preserve">Bulls, dairy breed</t>
  </si>
  <si>
    <t xml:space="preserve">Bulls, beef breed</t>
  </si>
  <si>
    <t xml:space="preserve">Steers, dairy/beef</t>
  </si>
  <si>
    <t xml:space="preserve">Heifers, dairy breed, for slaughter</t>
  </si>
  <si>
    <t xml:space="preserve">Heifers, beef breed, for slaughter</t>
  </si>
  <si>
    <t xml:space="preserve">Calves, dariy</t>
  </si>
  <si>
    <t xml:space="preserve">Calves, beef</t>
  </si>
  <si>
    <t xml:space="preserve">Diko (per år)</t>
  </si>
  <si>
    <t xml:space="preserve">Köttrastjur</t>
  </si>
  <si>
    <t xml:space="preserve">Avelstjur</t>
  </si>
  <si>
    <t xml:space="preserve">Mjölkrastjur</t>
  </si>
  <si>
    <t xml:space="preserve">Mjölkrasstut</t>
  </si>
  <si>
    <t xml:space="preserve">Köttrasstut</t>
  </si>
  <si>
    <t xml:space="preserve">Köttraskviga</t>
  </si>
  <si>
    <t xml:space="preserve">Mjölkko</t>
  </si>
  <si>
    <t xml:space="preserve">Feed ration</t>
  </si>
  <si>
    <t xml:space="preserve">DM</t>
  </si>
  <si>
    <t xml:space="preserve">Gsk</t>
  </si>
  <si>
    <t xml:space="preserve">Gns</t>
  </si>
  <si>
    <t xml:space="preserve">Nn</t>
  </si>
  <si>
    <t xml:space="preserve">vall</t>
  </si>
  <si>
    <t xml:space="preserve">majs</t>
  </si>
  <si>
    <t xml:space="preserve">Calves, dairy</t>
  </si>
  <si>
    <t xml:space="preserve">Vallensilage, tidigt, kg ts</t>
  </si>
  <si>
    <t xml:space="preserve">Population (heads)</t>
  </si>
  <si>
    <t xml:space="preserve">Vallensilage, medelsen, kg ts</t>
  </si>
  <si>
    <t xml:space="preserve">age</t>
  </si>
  <si>
    <t xml:space="preserve">per yr</t>
  </si>
  <si>
    <t xml:space="preserve">0-12</t>
  </si>
  <si>
    <t xml:space="preserve">12-28</t>
  </si>
  <si>
    <t xml:space="preserve">0-8</t>
  </si>
  <si>
    <t xml:space="preserve">12-26</t>
  </si>
  <si>
    <t xml:space="preserve">12-18.9</t>
  </si>
  <si>
    <t xml:space="preserve">12-17</t>
  </si>
  <si>
    <t xml:space="preserve">12-23</t>
  </si>
  <si>
    <t xml:space="preserve">Vallensilage, sent, kg ts</t>
  </si>
  <si>
    <t xml:space="preserve">Vallensilage, klöverrikt, kg ts</t>
  </si>
  <si>
    <t xml:space="preserve">Majsensilage, kg ts</t>
  </si>
  <si>
    <t xml:space="preserve">Grass/clover silage</t>
  </si>
  <si>
    <t xml:space="preserve">Helsädesensilage, kg ts</t>
  </si>
  <si>
    <t xml:space="preserve">Whole crop 
silage</t>
  </si>
  <si>
    <t xml:space="preserve">Halm, kg</t>
  </si>
  <si>
    <t xml:space="preserve">Maize
silage</t>
  </si>
  <si>
    <t xml:space="preserve">Permanent bete, kg ts</t>
  </si>
  <si>
    <t xml:space="preserve">Straw</t>
  </si>
  <si>
    <t xml:space="preserve">Bete vallåterväxt, kg ts</t>
  </si>
  <si>
    <t xml:space="preserve">Pasture</t>
  </si>
  <si>
    <t xml:space="preserve">Spannmål, kg</t>
  </si>
  <si>
    <t xml:space="preserve">Grain</t>
  </si>
  <si>
    <t xml:space="preserve">Åkerböna/ärt, kg</t>
  </si>
  <si>
    <t xml:space="preserve">Conc</t>
  </si>
  <si>
    <t xml:space="preserve">Färdigfoder, kg</t>
  </si>
  <si>
    <t xml:space="preserve">Conc. for calves</t>
  </si>
  <si>
    <t xml:space="preserve">Mineraler, kg</t>
  </si>
  <si>
    <t xml:space="preserve">Minerals</t>
  </si>
  <si>
    <t xml:space="preserve">Milk powder</t>
  </si>
  <si>
    <t xml:space="preserve">Whole milk</t>
  </si>
  <si>
    <t xml:space="preserve">Total (excl. milk)</t>
  </si>
  <si>
    <t xml:space="preserve"># Mjölkkor (2018)</t>
  </si>
  <si>
    <t xml:space="preserve">SCB Feed industry statistics 2022</t>
  </si>
  <si>
    <t xml:space="preserve"># Dikor (2018)</t>
  </si>
  <si>
    <t xml:space="preserve">SWE</t>
  </si>
  <si>
    <t xml:space="preserve">IMP</t>
  </si>
  <si>
    <t xml:space="preserve">TOT</t>
  </si>
  <si>
    <t xml:space="preserve">Beef</t>
  </si>
  <si>
    <t xml:space="preserve">share</t>
  </si>
  <si>
    <t xml:space="preserve">to dairy</t>
  </si>
  <si>
    <t xml:space="preserve">('Feed distribution')</t>
  </si>
  <si>
    <t xml:space="preserve">Einarsson et al 2022</t>
  </si>
  <si>
    <t xml:space="preserve">Feeds via feed industry</t>
  </si>
  <si>
    <t xml:space="preserve">Cereals (on-farm)</t>
  </si>
  <si>
    <t xml:space="preserve">SM2</t>
  </si>
  <si>
    <t xml:space="preserve">Share</t>
  </si>
  <si>
    <t xml:space="preserve">barley</t>
  </si>
  <si>
    <t xml:space="preserve">Wheat</t>
  </si>
  <si>
    <t xml:space="preserve">Feed name</t>
  </si>
  <si>
    <t xml:space="preserve">import</t>
  </si>
  <si>
    <t xml:space="preserve">oats</t>
  </si>
  <si>
    <t xml:space="preserve">Triticale</t>
  </si>
  <si>
    <t xml:space="preserve">Grain maize</t>
  </si>
  <si>
    <t xml:space="preserve">triticale</t>
  </si>
  <si>
    <t xml:space="preserve">Barley</t>
  </si>
  <si>
    <t xml:space="preserve">rye</t>
  </si>
  <si>
    <t xml:space="preserve">Oats</t>
  </si>
  <si>
    <t xml:space="preserve">maize</t>
  </si>
  <si>
    <t xml:space="preserve">peas</t>
  </si>
  <si>
    <t xml:space="preserve">Grain legumes (on-farm)</t>
  </si>
  <si>
    <t xml:space="preserve">broad beans</t>
  </si>
  <si>
    <t xml:space="preserve">Peas</t>
  </si>
  <si>
    <t xml:space="preserve">rapeseed</t>
  </si>
  <si>
    <t xml:space="preserve">Faba beans</t>
  </si>
  <si>
    <t xml:space="preserve">linseed</t>
  </si>
  <si>
    <t xml:space="preserve">Rapeseed, whole</t>
  </si>
  <si>
    <t xml:space="preserve">vegetable oils</t>
  </si>
  <si>
    <t xml:space="preserve">Distiller’s dried grain</t>
  </si>
  <si>
    <t xml:space="preserve">soybeans</t>
  </si>
  <si>
    <t xml:space="preserve">Bran, middlings, etc.</t>
  </si>
  <si>
    <t xml:space="preserve">Palm kernel expeller</t>
  </si>
  <si>
    <t xml:space="preserve">soybean protein concentrate</t>
  </si>
  <si>
    <t xml:space="preserve">Soybeans, whole</t>
  </si>
  <si>
    <t xml:space="preserve">Soybean meal via feed industry</t>
  </si>
  <si>
    <t xml:space="preserve">sunflower seed meal</t>
  </si>
  <si>
    <t xml:space="preserve">Rapeseed meal</t>
  </si>
  <si>
    <t xml:space="preserve">palm kernel expeller</t>
  </si>
  <si>
    <t xml:space="preserve">Sunflower meal</t>
  </si>
  <si>
    <t xml:space="preserve">luzern meal</t>
  </si>
  <si>
    <t xml:space="preserve">Luzern meal</t>
  </si>
  <si>
    <t xml:space="preserve">Potatoe protein</t>
  </si>
  <si>
    <t xml:space="preserve">wheat bran, fine</t>
  </si>
  <si>
    <t xml:space="preserve">oat hulls</t>
  </si>
  <si>
    <t xml:space="preserve">oat bran</t>
  </si>
  <si>
    <t xml:space="preserve">Beet pulp</t>
  </si>
  <si>
    <t xml:space="preserve">rye bran</t>
  </si>
  <si>
    <t xml:space="preserve">Beet molasses</t>
  </si>
  <si>
    <t xml:space="preserve">wheat distillers grain, dry</t>
  </si>
  <si>
    <t xml:space="preserve">barley brewers grain</t>
  </si>
  <si>
    <t xml:space="preserve">maize gluten meal</t>
  </si>
  <si>
    <t xml:space="preserve">sugar beet molasses</t>
  </si>
  <si>
    <t xml:space="preserve">sugar beet pulp</t>
  </si>
  <si>
    <t xml:space="preserve">whey powder</t>
  </si>
  <si>
    <t xml:space="preserve">potatoe protein</t>
  </si>
  <si>
    <t xml:space="preserve">fish meal</t>
  </si>
  <si>
    <t xml:space="preserve">minerals</t>
  </si>
  <si>
    <t xml:space="preserve">Grazing factor set to align 'Ley for fodder'</t>
  </si>
  <si>
    <t xml:space="preserve">Einarsson et al 2022 share grazing of roughage for dairy cows</t>
  </si>
  <si>
    <t xml:space="preserve">and 'Ley for grazing' areas better to</t>
  </si>
  <si>
    <t xml:space="preserve">Cereals:</t>
  </si>
  <si>
    <t xml:space="preserve">agricultrual statistics</t>
  </si>
  <si>
    <t xml:space="preserve">Other:</t>
  </si>
  <si>
    <t xml:space="preserve">grazing factor:</t>
  </si>
  <si>
    <t xml:space="preserve">ley factor:</t>
  </si>
  <si>
    <t xml:space="preserve">breed</t>
  </si>
  <si>
    <t xml:space="preserve">beef</t>
  </si>
  <si>
    <t xml:space="preserve">sub_system</t>
  </si>
  <si>
    <t xml:space="preserve">maize based</t>
  </si>
  <si>
    <t xml:space="preserve">animal</t>
  </si>
  <si>
    <t xml:space="preserve">feed</t>
  </si>
  <si>
    <t xml:space="preserve">other silage</t>
  </si>
  <si>
    <t xml:space="preserve">maize silage</t>
  </si>
  <si>
    <t xml:space="preserve">straw</t>
  </si>
  <si>
    <t xml:space="preserve">cereals</t>
  </si>
  <si>
    <t xml:space="preserve">grain legumes</t>
  </si>
  <si>
    <t xml:space="preserve">concentrates</t>
  </si>
  <si>
    <t xml:space="preserve">Roughage share (% of DM):</t>
  </si>
  <si>
    <t xml:space="preserve">Grazing share (% of roughage):</t>
  </si>
  <si>
    <t xml:space="preserve">Djur</t>
  </si>
  <si>
    <t xml:space="preserve">Ras</t>
  </si>
  <si>
    <t xml:space="preserve">År</t>
  </si>
  <si>
    <t xml:space="preserve">Antal djur</t>
  </si>
  <si>
    <t xml:space="preserve">Slaktvikt (kg)</t>
  </si>
  <si>
    <t xml:space="preserve">Fettgrupp</t>
  </si>
  <si>
    <t xml:space="preserve">Formklass</t>
  </si>
  <si>
    <t xml:space="preserve">Ålder (månader)</t>
  </si>
  <si>
    <t xml:space="preserve">Slaktvikt*Antal</t>
  </si>
  <si>
    <t xml:space="preserve">Ålder*Antal</t>
  </si>
  <si>
    <t xml:space="preserve">- multiple -</t>
  </si>
  <si>
    <t xml:space="preserve">ko</t>
  </si>
  <si>
    <t xml:space="preserve">01 SRB</t>
  </si>
  <si>
    <t xml:space="preserve">Row Labels</t>
  </si>
  <si>
    <t xml:space="preserve">Sum of Antal djur</t>
  </si>
  <si>
    <t xml:space="preserve">Sum of Slaktvikt*Antal</t>
  </si>
  <si>
    <t xml:space="preserve">Sum of Ålder*Antal</t>
  </si>
  <si>
    <t xml:space="preserve">Mjölkras</t>
  </si>
  <si>
    <t xml:space="preserve">ko, tot</t>
  </si>
  <si>
    <t xml:space="preserve">ungko</t>
  </si>
  <si>
    <t xml:space="preserve">02 SLB</t>
  </si>
  <si>
    <t xml:space="preserve">kviga</t>
  </si>
  <si>
    <t xml:space="preserve">stut</t>
  </si>
  <si>
    <t xml:space="preserve">tjur, tot</t>
  </si>
  <si>
    <t xml:space="preserve">ungtjur</t>
  </si>
  <si>
    <t xml:space="preserve">08 Hereford</t>
  </si>
  <si>
    <t xml:space="preserve">yngre tjur</t>
  </si>
  <si>
    <t xml:space="preserve">Köttras</t>
  </si>
  <si>
    <t xml:space="preserve">09 Charolais</t>
  </si>
  <si>
    <t xml:space="preserve">11 Aberdeen Angus</t>
  </si>
  <si>
    <t xml:space="preserve">Korsning/övriga raser</t>
  </si>
  <si>
    <t xml:space="preserve">12 Limousin</t>
  </si>
  <si>
    <t xml:space="preserve">14 Simmental</t>
  </si>
  <si>
    <t xml:space="preserve">Total Result</t>
  </si>
  <si>
    <t xml:space="preserve">16 Highland Cattle</t>
  </si>
  <si>
    <t xml:space="preserve">18 Blonde D´Aquitaine</t>
  </si>
  <si>
    <t xml:space="preserve">99 Korsning/övriga raser</t>
  </si>
  <si>
    <t xml:space="preserve">Medel 2016-2020</t>
  </si>
  <si>
    <t xml:space="preserve">Ålder (mån)</t>
  </si>
  <si>
    <t xml:space="preserve">Antal</t>
  </si>
  <si>
    <t xml:space="preserve">Andel av slaktade ungdjur (%)</t>
  </si>
  <si>
    <t xml:space="preserve">Kött+korsn./övr.</t>
  </si>
  <si>
    <t xml:space="preserve">Totalt</t>
  </si>
  <si>
    <t xml:space="preserve">Ko, tot</t>
  </si>
  <si>
    <t xml:space="preserve">Medelvärde för 2015-2019</t>
  </si>
  <si>
    <t xml:space="preserve">Födelsevikt (kg)</t>
  </si>
  <si>
    <t xml:space="preserve">Klass</t>
  </si>
  <si>
    <t xml:space="preserve">Fett</t>
  </si>
  <si>
    <t xml:space="preserve">Slakttillväxt</t>
  </si>
  <si>
    <t xml:space="preserve">Mjölkraser</t>
  </si>
  <si>
    <t xml:space="preserve">Kor</t>
  </si>
  <si>
    <t xml:space="preserve">Ålder kor</t>
  </si>
  <si>
    <t xml:space="preserve">år</t>
  </si>
  <si>
    <t xml:space="preserve">Kvigor</t>
  </si>
  <si>
    <t xml:space="preserve">Andel stut</t>
  </si>
  <si>
    <t xml:space="preserve">SJB</t>
  </si>
  <si>
    <t xml:space="preserve">SKB</t>
  </si>
  <si>
    <t xml:space="preserve">SLB (Svensk Holstein)</t>
  </si>
  <si>
    <t xml:space="preserve">SRB</t>
  </si>
  <si>
    <t xml:space="preserve">Korsning</t>
  </si>
  <si>
    <t xml:space="preserve">Köttraser</t>
  </si>
  <si>
    <t xml:space="preserve">Lätta köttraser</t>
  </si>
  <si>
    <t xml:space="preserve">Angus</t>
  </si>
  <si>
    <t xml:space="preserve">Hereford</t>
  </si>
  <si>
    <t xml:space="preserve">Higland Cattle</t>
  </si>
  <si>
    <t xml:space="preserve">Belted Galloway</t>
  </si>
  <si>
    <t xml:space="preserve">Tunga köttraser</t>
  </si>
  <si>
    <t xml:space="preserve">Blonde d’aquitaine</t>
  </si>
  <si>
    <t xml:space="preserve">Charolais</t>
  </si>
  <si>
    <t xml:space="preserve">Chianina</t>
  </si>
  <si>
    <t xml:space="preserve">Dexter</t>
  </si>
  <si>
    <t xml:space="preserve">Limousin</t>
  </si>
  <si>
    <t xml:space="preserve">Simmental</t>
  </si>
  <si>
    <t xml:space="preserve">SJV Stat</t>
  </si>
  <si>
    <t xml:space="preserve">Växa</t>
  </si>
  <si>
    <t xml:space="preserve">Mjölkkor</t>
  </si>
  <si>
    <t xml:space="preserve">Invägd mjölk 1000 ton</t>
  </si>
  <si>
    <t xml:space="preserve">…per ko</t>
  </si>
  <si>
    <t xml:space="preserve">konv</t>
  </si>
  <si>
    <t xml:space="preserve">% mejeri</t>
  </si>
  <si>
    <t xml:space="preserve">SJV/Växa</t>
  </si>
  <si>
    <t xml:space="preserve">Snitt (2016-2020) justerat utifrån inväg mjölk</t>
  </si>
  <si>
    <t xml:space="preserve">Växa statistik</t>
  </si>
  <si>
    <t xml:space="preserve">Jordbruksverkets statistik</t>
  </si>
  <si>
    <t xml:space="preserve">Mjölkproduktion</t>
  </si>
  <si>
    <t xml:space="preserve">Ökning per 5 år</t>
  </si>
  <si>
    <t xml:space="preserve">Kvantitet invägd mjölk, 1 000 ton</t>
  </si>
  <si>
    <t xml:space="preserve">Genomsnittlig fetthalt på invägd mjölk, procent</t>
  </si>
  <si>
    <t xml:space="preserve">Genomsnittlig proteinhalt på invägd mjölk, procent</t>
  </si>
  <si>
    <t xml:space="preserve">ECM</t>
  </si>
  <si>
    <t xml:space="preserve">Mjölk per ko</t>
  </si>
  <si>
    <t xml:space="preserve">Energy for gestation</t>
  </si>
  <si>
    <t xml:space="preserve">Total energy (incl milk) for calves</t>
  </si>
  <si>
    <t xml:space="preserve">Month</t>
  </si>
  <si>
    <t xml:space="preserve">LW</t>
  </si>
  <si>
    <t xml:space="preserve">7th</t>
  </si>
  <si>
    <t xml:space="preserve">8th</t>
  </si>
  <si>
    <t xml:space="preserve">9th</t>
  </si>
  <si>
    <t xml:space="preserve">Omsättbar energi, MJ</t>
  </si>
  <si>
    <t xml:space="preserve">LW^0.75</t>
  </si>
  <si>
    <t xml:space="preserve">WG</t>
  </si>
  <si>
    <t xml:space="preserve">ME</t>
  </si>
  <si>
    <t xml:space="preserve">Levande vikt</t>
  </si>
  <si>
    <t xml:space="preserve">Viktökning, g per dag</t>
  </si>
  <si>
    <t xml:space="preserve">Ekvation beräknad från tabell</t>
  </si>
  <si>
    <t xml:space="preserve">INT</t>
  </si>
  <si>
    <t xml:space="preserve">Ekvation baserad på tabell ovan</t>
  </si>
  <si>
    <t xml:space="preserve">Viktökning, kg per dag</t>
  </si>
  <si>
    <t xml:space="preserve">Samma ekv som växande nöt</t>
  </si>
  <si>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</si>
  <si>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</si>
  <si>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</si>
  <si>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</si>
  <si>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</si>
  <si>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</si>
  <si>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</si>
  <si>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</si>
  <si>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</si>
  <si>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</si>
  <si>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</si>
  <si>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</si>
  <si>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</si>
  <si>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</si>
  <si>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</si>
  <si>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</si>
  <si>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</si>
  <si>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</si>
  <si>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</si>
  <si>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</si>
  <si>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</si>
  <si>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</si>
  <si>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</si>
  <si>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RESIDUAL OUTPUT</t>
  </si>
  <si>
    <t xml:space="preserve">Observation</t>
  </si>
  <si>
    <t xml:space="preserve">Predicted ME</t>
  </si>
  <si>
    <t xml:space="preserve">Residuals</t>
  </si>
  <si>
    <t xml:space="preserve">Standard Residuals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</si>
</sst>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"/>
    <numFmt numFmtId="167" formatCode="0.0"/>
    <numFmt numFmtId="168" formatCode="0.000"/>
    <numFmt numFmtId="169" formatCode="0.0000"/>
    <numFmt numFmtId="170" formatCode="#,##0"/>
    <numFmt numFmtId="171" formatCode="#,##0.0"/>
    <numFmt numFmtId="172" formatCode="0%"/>
    <numFmt numFmtId="173" formatCode="#,##0.00"/>
    <numFmt numFmtId="174" formatCode="0.0%"/>
    <numFmt numFmtId="175" formatCode="dd/mm/yyyy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7030A0"/>
      <name val="Calibri"/>
      <family val="2"/>
      <charset val="1"/>
    </font>
    <font>
      <b val="true"/>
      <u val="single"/>
      <sz val="11"/>
      <name val="Calibri"/>
      <family val="2"/>
      <charset val="1"/>
    </font>
    <font>
      <b val="true"/>
      <u val="single"/>
      <sz val="11"/>
      <color rgb="FFFF000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theme="5"/>
      <name val="Calibri"/>
      <family val="2"/>
      <charset val="1"/>
    </font>
    <font>
      <sz val="11"/>
      <color theme="0" tint="-0.35"/>
      <name val="Calibri"/>
      <family val="2"/>
      <charset val="1"/>
    </font>
    <font>
      <sz val="11"/>
      <color theme="1" tint="0.3499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1"/>
      <color theme="0" tint="-0.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C00000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9"/>
      <color theme="0"/>
      <name val="Calibri"/>
      <family val="2"/>
      <charset val="1"/>
    </font>
    <font>
      <strike val="true"/>
      <sz val="11"/>
      <color theme="1"/>
      <name val="Calibri"/>
      <family val="2"/>
      <charset val="1"/>
    </font>
    <font>
      <b val="true"/>
      <sz val="11"/>
      <color theme="8"/>
      <name val="Calibri"/>
      <family val="2"/>
      <charset val="1"/>
    </font>
    <font>
      <sz val="11"/>
      <color theme="8"/>
      <name val="Calibri"/>
      <family val="2"/>
      <charset val="1"/>
    </font>
    <font>
      <sz val="11"/>
      <color theme="2" tint="-0.25"/>
      <name val="Calibri"/>
      <family val="2"/>
      <charset val="1"/>
    </font>
    <font>
      <sz val="11"/>
      <color rgb="FF00B0F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b val="true"/>
      <sz val="12"/>
      <color rgb="FF000000"/>
      <name val="Arial"/>
      <family val="1"/>
      <charset val="204"/>
    </font>
    <font>
      <b val="true"/>
      <sz val="11"/>
      <color rgb="FF000000"/>
      <name val="Arial"/>
      <family val="1"/>
      <charset val="204"/>
    </font>
    <font>
      <sz val="12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name val="Times New Roman"/>
      <family val="1"/>
      <charset val="204"/>
    </font>
    <font>
      <b val="true"/>
      <u val="single"/>
      <sz val="10"/>
      <name val="Times New Roman"/>
      <family val="1"/>
      <charset val="1"/>
    </font>
    <font>
      <sz val="9"/>
      <color rgb="FF595959"/>
      <name val="Calibri"/>
      <family val="2"/>
    </font>
    <font>
      <sz val="14"/>
      <color rgb="FF595959"/>
      <name val="Calibri"/>
      <family val="2"/>
    </font>
    <font>
      <i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rgb="FFDEEBF7"/>
      </patternFill>
    </fill>
    <fill>
      <patternFill patternType="solid">
        <fgColor theme="4" tint="0.3999"/>
        <bgColor rgb="FF99CCFF"/>
      </patternFill>
    </fill>
    <fill>
      <patternFill patternType="solid">
        <fgColor theme="4" tint="0.7999"/>
        <bgColor rgb="FFDAE3F3"/>
      </patternFill>
    </fill>
    <fill>
      <patternFill patternType="solid">
        <fgColor theme="5" tint="0.7999"/>
        <bgColor rgb="FFE7E6E6"/>
      </patternFill>
    </fill>
    <fill>
      <patternFill patternType="solid">
        <fgColor theme="5"/>
        <bgColor rgb="FFFF9900"/>
      </patternFill>
    </fill>
    <fill>
      <patternFill patternType="solid">
        <fgColor theme="4"/>
        <bgColor rgb="FF4472C4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0.5999"/>
        <bgColor rgb="FFFBE5D6"/>
      </patternFill>
    </fill>
    <fill>
      <patternFill patternType="solid">
        <fgColor theme="4" tint="0.5999"/>
        <bgColor rgb="FFD9D9D9"/>
      </patternFill>
    </fill>
    <fill>
      <patternFill patternType="solid">
        <fgColor theme="8" tint="0.7999"/>
        <bgColor rgb="FFDEEBF7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FF0000"/>
      </left>
      <right/>
      <top style="thin">
        <color rgb="FFFF0000"/>
      </top>
      <bottom/>
      <diagonal/>
    </border>
    <border diagonalUp="false" diagonalDown="false">
      <left/>
      <right/>
      <top style="thin">
        <color rgb="FFFF0000"/>
      </top>
      <bottom/>
      <diagonal/>
    </border>
    <border diagonalUp="false" diagonalDown="false">
      <left/>
      <right style="thin">
        <color rgb="FFFF0000"/>
      </right>
      <top style="thin">
        <color rgb="FFFF0000"/>
      </top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FF0000"/>
      </left>
      <right/>
      <top/>
      <bottom style="thin">
        <color rgb="FFFF0000"/>
      </bottom>
      <diagonal/>
    </border>
    <border diagonalUp="false" diagonalDown="false">
      <left/>
      <right/>
      <top/>
      <bottom style="thin">
        <color rgb="FFFF0000"/>
      </bottom>
      <diagonal/>
    </border>
    <border diagonalUp="false" diagonalDown="false">
      <left/>
      <right style="thin">
        <color rgb="FFFF0000"/>
      </right>
      <top/>
      <bottom style="thin">
        <color rgb="FFFF00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4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4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4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4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4" borderId="1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4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7" fillId="6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9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0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9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5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9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3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3" fillId="9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4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4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4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0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8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right" vertical="center" textRotation="0" wrapText="false" indent="15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2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32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3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33" fillId="0" borderId="7" xfId="0" applyFont="true" applyBorder="true" applyAlignment="true" applyProtection="false">
      <alignment horizontal="right" vertical="top" textRotation="0" wrapText="false" indent="2" shrinkToFit="true"/>
      <protection locked="true" hidden="false"/>
    </xf>
    <xf numFmtId="166" fontId="33" fillId="0" borderId="7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33" fillId="0" borderId="7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center" vertical="top" textRotation="0" wrapText="false" indent="0" shrinkToFit="true"/>
      <protection locked="true" hidden="false"/>
    </xf>
    <xf numFmtId="167" fontId="3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32" fillId="0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7" fontId="32" fillId="0" borderId="2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7" fontId="32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left" vertical="top" textRotation="0" wrapText="false" indent="0" shrinkToFit="true"/>
      <protection locked="true" hidden="false"/>
    </xf>
    <xf numFmtId="167" fontId="32" fillId="0" borderId="0" xfId="0" applyFont="true" applyBorder="false" applyAlignment="true" applyProtection="false">
      <alignment horizontal="right" vertical="top" textRotation="0" wrapText="false" indent="1" shrinkToFit="false"/>
      <protection locked="true" hidden="false"/>
    </xf>
    <xf numFmtId="167" fontId="32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2" fillId="0" borderId="7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32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32" fillId="0" borderId="7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7" fontId="32" fillId="0" borderId="7" xfId="0" applyFont="true" applyBorder="true" applyAlignment="true" applyProtection="false">
      <alignment horizontal="right" vertical="top" textRotation="0" wrapText="false" indent="1" shrinkToFit="false"/>
      <protection locked="true" hidden="false"/>
    </xf>
    <xf numFmtId="167" fontId="32" fillId="0" borderId="7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33" fillId="0" borderId="7" xfId="0" applyFont="true" applyBorder="true" applyAlignment="true" applyProtection="false">
      <alignment horizontal="right" vertical="top" textRotation="0" wrapText="false" indent="2" shrinkToFit="true"/>
      <protection locked="true" hidden="false"/>
    </xf>
    <xf numFmtId="165" fontId="33" fillId="0" borderId="7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33" fillId="0" borderId="7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72" fontId="32" fillId="0" borderId="2" xfId="19" applyFont="true" applyBorder="true" applyAlignment="true" applyProtection="true">
      <alignment horizontal="right" vertical="top" textRotation="0" wrapText="false" indent="1" shrinkToFit="false"/>
      <protection locked="true" hidden="false"/>
    </xf>
    <xf numFmtId="172" fontId="32" fillId="0" borderId="2" xfId="19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2" fontId="32" fillId="0" borderId="2" xfId="19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2" fontId="32" fillId="0" borderId="0" xfId="19" applyFont="true" applyBorder="true" applyAlignment="true" applyProtection="true">
      <alignment horizontal="right" vertical="top" textRotation="0" wrapText="false" indent="1" shrinkToFit="false"/>
      <protection locked="true" hidden="false"/>
    </xf>
    <xf numFmtId="172" fontId="32" fillId="0" borderId="0" xfId="19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2" fontId="32" fillId="0" borderId="0" xfId="19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2" fontId="32" fillId="0" borderId="7" xfId="19" applyFont="true" applyBorder="true" applyAlignment="true" applyProtection="true">
      <alignment horizontal="right" vertical="top" textRotation="0" wrapText="false" indent="1" shrinkToFit="false"/>
      <protection locked="true" hidden="false"/>
    </xf>
    <xf numFmtId="172" fontId="32" fillId="0" borderId="7" xfId="19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2" fontId="32" fillId="0" borderId="7" xfId="19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3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1"/>
    <cellStyle name="Pivot Table Corner" xfId="22"/>
    <cellStyle name="Pivot Table Value" xfId="23"/>
    <cellStyle name="Pivot Table Category" xfId="24"/>
    <cellStyle name="Pivot Table Title" xfId="25"/>
    <cellStyle name="Pivot Table Result" xfId="26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5A5A5"/>
      <rgbColor rgb="FF7030A0"/>
      <rgbColor rgb="FFFBE5D6"/>
      <rgbColor rgb="FFDEEBF7"/>
      <rgbColor rgb="FF660066"/>
      <rgbColor rgb="FFA6A6A6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7E6E6"/>
      <rgbColor rgb="FFD9D9D9"/>
      <rgbColor rgb="FF99CCFF"/>
      <rgbColor rgb="FFF4B183"/>
      <rgbColor rgb="FFAFABAB"/>
      <rgbColor rgb="FFF8CBAD"/>
      <rgbColor rgb="FF4472C4"/>
      <rgbColor rgb="FF5B9BD5"/>
      <rgbColor rgb="FF9DC3E6"/>
      <rgbColor rgb="FFFFC000"/>
      <rgbColor rgb="FFFF9900"/>
      <rgbColor rgb="FFED7D31"/>
      <rgbColor rgb="FF595959"/>
      <rgbColor rgb="FF8B8B8B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<Relationship Id="rId16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79120879120879"/>
          <c:y val="0.171632751937985"/>
          <c:w val="0.611813186813187"/>
          <c:h val="0.68495639534883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5b9bd5"/>
                </a:solidFill>
                <a:prstDash val="sysDot"/>
                <a:round/>
              </a:ln>
            </c:spPr>
            <c:trendlineType val="linear"/>
            <c:forward val="0"/>
            <c:backward val="0"/>
            <c:intercept val="0"/>
            <c:dispRSqr val="1"/>
            <c:dispEq val="1"/>
          </c:trendline>
          <c:xVal>
            <c:numRef>
              <c:f>'Energy req.'!$F$4:$F$7</c:f>
              <c:numCache>
                <c:formatCode>General</c:formatCode>
                <c:ptCount val="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</c:numCache>
            </c:numRef>
          </c:xVal>
          <c:yVal>
            <c:numRef>
              <c:f>'Energy req.'!$G$4:$G$7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d7d31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ed7d31"/>
                </a:solidFill>
                <a:prstDash val="sysDot"/>
                <a:round/>
              </a:ln>
            </c:spPr>
            <c:trendlineType val="linear"/>
            <c:forward val="0"/>
            <c:backward val="0"/>
            <c:intercept val="0"/>
            <c:dispRSqr val="1"/>
            <c:dispEq val="1"/>
          </c:trendline>
          <c:xVal>
            <c:numRef>
              <c:f>'Energy req.'!$F$4:$F$7</c:f>
              <c:numCache>
                <c:formatCode>General</c:formatCode>
                <c:ptCount val="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</c:numCache>
            </c:numRef>
          </c:xVal>
          <c:yVal>
            <c:numRef>
              <c:f>'Energy req.'!$H$4:$H$7</c:f>
              <c:numCache>
                <c:formatCode>General</c:formatCode>
                <c:ptCount val="4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a5a5a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a5a5a5"/>
                </a:solidFill>
                <a:prstDash val="sysDot"/>
                <a:round/>
              </a:ln>
            </c:spPr>
            <c:trendlineType val="linear"/>
            <c:forward val="0"/>
            <c:backward val="0"/>
            <c:intercept val="0"/>
            <c:dispRSqr val="1"/>
            <c:dispEq val="1"/>
          </c:trendline>
          <c:xVal>
            <c:numRef>
              <c:f>'Energy req.'!$F$4:$F$7</c:f>
              <c:numCache>
                <c:formatCode>General</c:formatCode>
                <c:ptCount val="4"/>
                <c:pt idx="0">
                  <c:v>400</c:v>
                </c:pt>
                <c:pt idx="1">
                  <c:v>500</c:v>
                </c:pt>
                <c:pt idx="2">
                  <c:v>600</c:v>
                </c:pt>
                <c:pt idx="3">
                  <c:v>700</c:v>
                </c:pt>
              </c:numCache>
            </c:numRef>
          </c:xVal>
          <c:yVal>
            <c:numRef>
              <c:f>'Energy req.'!$I$4:$I$7</c:f>
              <c:numCache>
                <c:formatCode>General</c:formatCode>
                <c:ptCount val="4"/>
                <c:pt idx="0">
                  <c:v>15</c:v>
                </c:pt>
                <c:pt idx="1">
                  <c:v>19</c:v>
                </c:pt>
                <c:pt idx="2">
                  <c:v>23</c:v>
                </c:pt>
                <c:pt idx="3">
                  <c:v>27</c:v>
                </c:pt>
              </c:numCache>
            </c:numRef>
          </c:yVal>
          <c:smooth val="0"/>
        </c:ser>
        <c:axId val="2499886"/>
        <c:axId val="71420462"/>
      </c:scatterChart>
      <c:valAx>
        <c:axId val="2499886"/>
        <c:scaling>
          <c:orientation val="minMax"/>
          <c:max val="700"/>
          <c:min val="4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1420462"/>
        <c:crosses val="autoZero"/>
        <c:crossBetween val="midCat"/>
      </c:valAx>
      <c:valAx>
        <c:axId val="714204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49988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400" strike="noStrike" u="none">
                <a:solidFill>
                  <a:srgbClr val="595959"/>
                </a:solidFill>
                <a:uFillTx/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55692033212105"/>
          <c:y val="0.0966076696165192"/>
          <c:w val="0.633500308790229"/>
          <c:h val="0.694782448377581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5b9bd5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req.'!$S$7:$V$7</c:f>
              <c:numCache>
                <c:formatCode>0.0</c:formatCode>
                <c:ptCount val="4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17.5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ed7d31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ed7d31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req.'!$S$8:$V$8</c:f>
              <c:numCache>
                <c:formatCode>0.0</c:formatCode>
                <c:ptCount val="4"/>
                <c:pt idx="0">
                  <c:v>7</c:v>
                </c:pt>
                <c:pt idx="1">
                  <c:v>9.5</c:v>
                </c:pt>
                <c:pt idx="2">
                  <c:v>12.5</c:v>
                </c:pt>
                <c:pt idx="3">
                  <c:v>19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a5a5a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a5a5a5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req.'!$S$9:$V$9</c:f>
              <c:numCache>
                <c:formatCode>0.0</c:formatCode>
                <c:ptCount val="4"/>
                <c:pt idx="0">
                  <c:v>8.5</c:v>
                </c:pt>
                <c:pt idx="1">
                  <c:v>11</c:v>
                </c:pt>
                <c:pt idx="2">
                  <c:v>14</c:v>
                </c:pt>
                <c:pt idx="3">
                  <c:v>21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ffc000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ffc000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req.'!$S$10:$V$10</c:f>
              <c:numCache>
                <c:formatCode>0.0</c:formatCode>
                <c:ptCount val="4"/>
                <c:pt idx="0">
                  <c:v>10</c:v>
                </c:pt>
                <c:pt idx="1">
                  <c:v>12.5</c:v>
                </c:pt>
                <c:pt idx="2">
                  <c:v>15.5</c:v>
                </c:pt>
                <c:pt idx="3">
                  <c:v>23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4472c4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4472c4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req.'!$S$11:$V$11</c:f>
              <c:numCache>
                <c:formatCode>0.0</c:formatCode>
                <c:ptCount val="4"/>
                <c:pt idx="0">
                  <c:v>11.5</c:v>
                </c:pt>
                <c:pt idx="1">
                  <c:v>14</c:v>
                </c:pt>
                <c:pt idx="2">
                  <c:v>17.5</c:v>
                </c:pt>
                <c:pt idx="3">
                  <c:v>25</c:v>
                </c:pt>
              </c:numCache>
            </c:numRef>
          </c:yVal>
          <c:smooth val="0"/>
        </c:ser>
        <c:ser>
          <c:idx val="5"/>
          <c:order val="5"/>
          <c:spPr>
            <a:solidFill>
              <a:srgbClr val="70ad47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55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70ad47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'Energy req.'!$S$6:$V$6</c:f>
              <c:numCache>
                <c:formatCode>0</c:formatCode>
                <c:ptCount val="4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</c:numCache>
            </c:numRef>
          </c:xVal>
          <c:yVal>
            <c:numRef>
              <c:f>'Energy req.'!$S$12:$V$12</c:f>
              <c:numCache>
                <c:formatCode>0.0</c:formatCode>
                <c:ptCount val="4"/>
                <c:pt idx="0">
                  <c:v>13</c:v>
                </c:pt>
                <c:pt idx="1">
                  <c:v>16</c:v>
                </c:pt>
                <c:pt idx="2">
                  <c:v>19.5</c:v>
                </c:pt>
                <c:pt idx="3">
                  <c:v>28</c:v>
                </c:pt>
              </c:numCache>
            </c:numRef>
          </c:yVal>
          <c:smooth val="0"/>
        </c:ser>
        <c:axId val="3247758"/>
        <c:axId val="74168901"/>
      </c:scatterChart>
      <c:valAx>
        <c:axId val="3247758"/>
        <c:scaling>
          <c:orientation val="minMax"/>
          <c:max val="10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4168901"/>
        <c:crosses val="autoZero"/>
        <c:crossBetween val="midCat"/>
      </c:valAx>
      <c:valAx>
        <c:axId val="74168901"/>
        <c:scaling>
          <c:orientation val="minMax"/>
          <c:min val="5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24775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LW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LW!$C$26:$C$49</c:f>
              <c:numCache>
                <c:formatCode>General</c:formatCode>
                <c:ptCount val="24"/>
                <c:pt idx="0">
                  <c:v>1.33988095238096</c:v>
                </c:pt>
                <c:pt idx="1">
                  <c:v>0.65059523809524</c:v>
                </c:pt>
                <c:pt idx="2">
                  <c:v>0.461309523809526</c:v>
                </c:pt>
                <c:pt idx="3">
                  <c:v>0.272023809523811</c:v>
                </c:pt>
                <c:pt idx="4">
                  <c:v>0.0827380952380956</c:v>
                </c:pt>
                <c:pt idx="5">
                  <c:v>-0.106547619047619</c:v>
                </c:pt>
                <c:pt idx="6">
                  <c:v>0.0708333333333355</c:v>
                </c:pt>
                <c:pt idx="7">
                  <c:v>-0.11845238095238</c:v>
                </c:pt>
                <c:pt idx="8">
                  <c:v>-0.307738095238094</c:v>
                </c:pt>
                <c:pt idx="9">
                  <c:v>-0.49702380952381</c:v>
                </c:pt>
                <c:pt idx="10">
                  <c:v>-0.686309523809523</c:v>
                </c:pt>
                <c:pt idx="11">
                  <c:v>-0.37559523809524</c:v>
                </c:pt>
                <c:pt idx="12">
                  <c:v>-0.198214285714284</c:v>
                </c:pt>
                <c:pt idx="13">
                  <c:v>-0.387499999999999</c:v>
                </c:pt>
                <c:pt idx="14">
                  <c:v>-0.576785714285714</c:v>
                </c:pt>
                <c:pt idx="15">
                  <c:v>-0.766071428571429</c:v>
                </c:pt>
                <c:pt idx="16">
                  <c:v>-0.455357142857146</c:v>
                </c:pt>
                <c:pt idx="17">
                  <c:v>-0.144642857142859</c:v>
                </c:pt>
                <c:pt idx="18">
                  <c:v>-0.236309523809524</c:v>
                </c:pt>
                <c:pt idx="19">
                  <c:v>-0.425595238095241</c:v>
                </c:pt>
                <c:pt idx="20">
                  <c:v>-0.114880952380954</c:v>
                </c:pt>
                <c:pt idx="21">
                  <c:v>0.195833333333333</c:v>
                </c:pt>
                <c:pt idx="22">
                  <c:v>0.506547619047616</c:v>
                </c:pt>
                <c:pt idx="23">
                  <c:v>1.8172619047619</c:v>
                </c:pt>
              </c:numCache>
            </c:numRef>
          </c:yVal>
          <c:smooth val="0"/>
        </c:ser>
        <c:axId val="62797204"/>
        <c:axId val="70370514"/>
      </c:scatterChart>
      <c:valAx>
        <c:axId val="627972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LW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370514"/>
        <c:crosses val="autoZero"/>
        <c:crossBetween val="midCat"/>
      </c:valAx>
      <c:valAx>
        <c:axId val="7037051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79720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WG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LW!$C$26:$C$49</c:f>
              <c:numCache>
                <c:formatCode>General</c:formatCode>
                <c:ptCount val="24"/>
                <c:pt idx="0">
                  <c:v>1.33988095238096</c:v>
                </c:pt>
                <c:pt idx="1">
                  <c:v>0.65059523809524</c:v>
                </c:pt>
                <c:pt idx="2">
                  <c:v>0.461309523809526</c:v>
                </c:pt>
                <c:pt idx="3">
                  <c:v>0.272023809523811</c:v>
                </c:pt>
                <c:pt idx="4">
                  <c:v>0.0827380952380956</c:v>
                </c:pt>
                <c:pt idx="5">
                  <c:v>-0.106547619047619</c:v>
                </c:pt>
                <c:pt idx="6">
                  <c:v>0.0708333333333355</c:v>
                </c:pt>
                <c:pt idx="7">
                  <c:v>-0.11845238095238</c:v>
                </c:pt>
                <c:pt idx="8">
                  <c:v>-0.307738095238094</c:v>
                </c:pt>
                <c:pt idx="9">
                  <c:v>-0.49702380952381</c:v>
                </c:pt>
                <c:pt idx="10">
                  <c:v>-0.686309523809523</c:v>
                </c:pt>
                <c:pt idx="11">
                  <c:v>-0.37559523809524</c:v>
                </c:pt>
                <c:pt idx="12">
                  <c:v>-0.198214285714284</c:v>
                </c:pt>
                <c:pt idx="13">
                  <c:v>-0.387499999999999</c:v>
                </c:pt>
                <c:pt idx="14">
                  <c:v>-0.576785714285714</c:v>
                </c:pt>
                <c:pt idx="15">
                  <c:v>-0.766071428571429</c:v>
                </c:pt>
                <c:pt idx="16">
                  <c:v>-0.455357142857146</c:v>
                </c:pt>
                <c:pt idx="17">
                  <c:v>-0.144642857142859</c:v>
                </c:pt>
                <c:pt idx="18">
                  <c:v>-0.236309523809524</c:v>
                </c:pt>
                <c:pt idx="19">
                  <c:v>-0.425595238095241</c:v>
                </c:pt>
                <c:pt idx="20">
                  <c:v>-0.114880952380954</c:v>
                </c:pt>
                <c:pt idx="21">
                  <c:v>0.195833333333333</c:v>
                </c:pt>
                <c:pt idx="22">
                  <c:v>0.506547619047616</c:v>
                </c:pt>
                <c:pt idx="23">
                  <c:v>1.8172619047619</c:v>
                </c:pt>
              </c:numCache>
            </c:numRef>
          </c:yVal>
          <c:smooth val="0"/>
        </c:ser>
        <c:axId val="65806809"/>
        <c:axId val="92997124"/>
      </c:scatterChart>
      <c:valAx>
        <c:axId val="658068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997124"/>
        <c:crosses val="autoZero"/>
        <c:crossBetween val="midCat"/>
      </c:valAx>
      <c:valAx>
        <c:axId val="9299712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80680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LW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"ME"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ME"</c:f>
              <c:strCache>
                <c:ptCount val="1"/>
                <c:pt idx="0">
                  <c:v>Predicted ME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LW!$B$26:$B$49</c:f>
              <c:numCache>
                <c:formatCode>General</c:formatCode>
                <c:ptCount val="24"/>
                <c:pt idx="0">
                  <c:v>4.66011904761905</c:v>
                </c:pt>
                <c:pt idx="1">
                  <c:v>6.34940476190476</c:v>
                </c:pt>
                <c:pt idx="2">
                  <c:v>8.03869047619047</c:v>
                </c:pt>
                <c:pt idx="3">
                  <c:v>9.72797619047619</c:v>
                </c:pt>
                <c:pt idx="4">
                  <c:v>11.4172619047619</c:v>
                </c:pt>
                <c:pt idx="5">
                  <c:v>13.1065476190476</c:v>
                </c:pt>
                <c:pt idx="6">
                  <c:v>7.92916666666666</c:v>
                </c:pt>
                <c:pt idx="7">
                  <c:v>9.61845238095238</c:v>
                </c:pt>
                <c:pt idx="8">
                  <c:v>11.3077380952381</c:v>
                </c:pt>
                <c:pt idx="9">
                  <c:v>12.9970238095238</c:v>
                </c:pt>
                <c:pt idx="10">
                  <c:v>14.6863095238095</c:v>
                </c:pt>
                <c:pt idx="11">
                  <c:v>16.3755952380952</c:v>
                </c:pt>
                <c:pt idx="12">
                  <c:v>11.1982142857143</c:v>
                </c:pt>
                <c:pt idx="13">
                  <c:v>12.8875</c:v>
                </c:pt>
                <c:pt idx="14">
                  <c:v>14.5767857142857</c:v>
                </c:pt>
                <c:pt idx="15">
                  <c:v>16.2660714285714</c:v>
                </c:pt>
                <c:pt idx="16">
                  <c:v>17.9553571428571</c:v>
                </c:pt>
                <c:pt idx="17">
                  <c:v>19.6446428571429</c:v>
                </c:pt>
                <c:pt idx="18">
                  <c:v>17.7363095238095</c:v>
                </c:pt>
                <c:pt idx="19">
                  <c:v>19.4255952380952</c:v>
                </c:pt>
                <c:pt idx="20">
                  <c:v>21.114880952381</c:v>
                </c:pt>
                <c:pt idx="21">
                  <c:v>22.8041666666667</c:v>
                </c:pt>
                <c:pt idx="22">
                  <c:v>24.4934523809524</c:v>
                </c:pt>
                <c:pt idx="23">
                  <c:v>26.1827380952381</c:v>
                </c:pt>
              </c:numCache>
            </c:numRef>
          </c:yVal>
          <c:smooth val="0"/>
        </c:ser>
        <c:axId val="18873444"/>
        <c:axId val="11173231"/>
      </c:scatterChart>
      <c:valAx>
        <c:axId val="188734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LW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173231"/>
        <c:crosses val="autoZero"/>
        <c:crossBetween val="midCat"/>
      </c:valAx>
      <c:valAx>
        <c:axId val="1117323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87344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WG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"ME"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ME"</c:f>
              <c:strCache>
                <c:ptCount val="1"/>
                <c:pt idx="0">
                  <c:v>Predicted ME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LW!$B$26:$B$49</c:f>
              <c:numCache>
                <c:formatCode>General</c:formatCode>
                <c:ptCount val="24"/>
                <c:pt idx="0">
                  <c:v>4.66011904761905</c:v>
                </c:pt>
                <c:pt idx="1">
                  <c:v>6.34940476190476</c:v>
                </c:pt>
                <c:pt idx="2">
                  <c:v>8.03869047619047</c:v>
                </c:pt>
                <c:pt idx="3">
                  <c:v>9.72797619047619</c:v>
                </c:pt>
                <c:pt idx="4">
                  <c:v>11.4172619047619</c:v>
                </c:pt>
                <c:pt idx="5">
                  <c:v>13.1065476190476</c:v>
                </c:pt>
                <c:pt idx="6">
                  <c:v>7.92916666666666</c:v>
                </c:pt>
                <c:pt idx="7">
                  <c:v>9.61845238095238</c:v>
                </c:pt>
                <c:pt idx="8">
                  <c:v>11.3077380952381</c:v>
                </c:pt>
                <c:pt idx="9">
                  <c:v>12.9970238095238</c:v>
                </c:pt>
                <c:pt idx="10">
                  <c:v>14.6863095238095</c:v>
                </c:pt>
                <c:pt idx="11">
                  <c:v>16.3755952380952</c:v>
                </c:pt>
                <c:pt idx="12">
                  <c:v>11.1982142857143</c:v>
                </c:pt>
                <c:pt idx="13">
                  <c:v>12.8875</c:v>
                </c:pt>
                <c:pt idx="14">
                  <c:v>14.5767857142857</c:v>
                </c:pt>
                <c:pt idx="15">
                  <c:v>16.2660714285714</c:v>
                </c:pt>
                <c:pt idx="16">
                  <c:v>17.9553571428571</c:v>
                </c:pt>
                <c:pt idx="17">
                  <c:v>19.6446428571429</c:v>
                </c:pt>
                <c:pt idx="18">
                  <c:v>17.7363095238095</c:v>
                </c:pt>
                <c:pt idx="19">
                  <c:v>19.4255952380952</c:v>
                </c:pt>
                <c:pt idx="20">
                  <c:v>21.114880952381</c:v>
                </c:pt>
                <c:pt idx="21">
                  <c:v>22.8041666666667</c:v>
                </c:pt>
                <c:pt idx="22">
                  <c:v>24.4934523809524</c:v>
                </c:pt>
                <c:pt idx="23">
                  <c:v>26.1827380952381</c:v>
                </c:pt>
              </c:numCache>
            </c:numRef>
          </c:yVal>
          <c:smooth val="0"/>
        </c:ser>
        <c:axId val="86577679"/>
        <c:axId val="22550811"/>
      </c:scatterChart>
      <c:valAx>
        <c:axId val="865776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550811"/>
        <c:crosses val="autoZero"/>
        <c:crossBetween val="midCat"/>
      </c:valAx>
      <c:valAx>
        <c:axId val="225508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5776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LW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'LW int=0'!$C$26:$C$49</c:f>
              <c:numCache>
                <c:formatCode>General</c:formatCode>
                <c:ptCount val="24"/>
                <c:pt idx="0">
                  <c:v>1.11275167785235</c:v>
                </c:pt>
                <c:pt idx="1">
                  <c:v>0.483668903803132</c:v>
                </c:pt>
                <c:pt idx="2">
                  <c:v>0.354586129753915</c:v>
                </c:pt>
                <c:pt idx="3">
                  <c:v>0.225503355704697</c:v>
                </c:pt>
                <c:pt idx="4">
                  <c:v>0.0964205816554813</c:v>
                </c:pt>
                <c:pt idx="5">
                  <c:v>-0.0326621923937367</c:v>
                </c:pt>
                <c:pt idx="6">
                  <c:v>-0.130755299882818</c:v>
                </c:pt>
                <c:pt idx="7">
                  <c:v>-0.259838073932036</c:v>
                </c:pt>
                <c:pt idx="8">
                  <c:v>-0.388920847981252</c:v>
                </c:pt>
                <c:pt idx="9">
                  <c:v>-0.51800362203047</c:v>
                </c:pt>
                <c:pt idx="10">
                  <c:v>-0.647086396079686</c:v>
                </c:pt>
                <c:pt idx="11">
                  <c:v>-0.276169170128902</c:v>
                </c:pt>
                <c:pt idx="12">
                  <c:v>-0.374262277617985</c:v>
                </c:pt>
                <c:pt idx="13">
                  <c:v>-0.503345051667203</c:v>
                </c:pt>
                <c:pt idx="14">
                  <c:v>-0.63242782571642</c:v>
                </c:pt>
                <c:pt idx="15">
                  <c:v>-0.761510599765636</c:v>
                </c:pt>
                <c:pt idx="16">
                  <c:v>-0.390593373814852</c:v>
                </c:pt>
                <c:pt idx="17">
                  <c:v>-0.0196761478640717</c:v>
                </c:pt>
                <c:pt idx="18">
                  <c:v>-0.361276233088319</c:v>
                </c:pt>
                <c:pt idx="19">
                  <c:v>-0.490359007137535</c:v>
                </c:pt>
                <c:pt idx="20">
                  <c:v>-0.119441781186751</c:v>
                </c:pt>
                <c:pt idx="21">
                  <c:v>0.251475444764029</c:v>
                </c:pt>
                <c:pt idx="22">
                  <c:v>0.622392670714813</c:v>
                </c:pt>
                <c:pt idx="23">
                  <c:v>1.99330989666559</c:v>
                </c:pt>
              </c:numCache>
            </c:numRef>
          </c:yVal>
          <c:smooth val="0"/>
        </c:ser>
        <c:axId val="91456405"/>
        <c:axId val="4454746"/>
      </c:scatterChart>
      <c:valAx>
        <c:axId val="914564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LW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54746"/>
        <c:crosses val="autoZero"/>
        <c:crossBetween val="midCat"/>
      </c:valAx>
      <c:valAx>
        <c:axId val="445474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45640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WG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'LW int=0'!$C$26:$C$49</c:f>
              <c:numCache>
                <c:formatCode>General</c:formatCode>
                <c:ptCount val="24"/>
                <c:pt idx="0">
                  <c:v>1.11275167785235</c:v>
                </c:pt>
                <c:pt idx="1">
                  <c:v>0.483668903803132</c:v>
                </c:pt>
                <c:pt idx="2">
                  <c:v>0.354586129753915</c:v>
                </c:pt>
                <c:pt idx="3">
                  <c:v>0.225503355704697</c:v>
                </c:pt>
                <c:pt idx="4">
                  <c:v>0.0964205816554813</c:v>
                </c:pt>
                <c:pt idx="5">
                  <c:v>-0.0326621923937367</c:v>
                </c:pt>
                <c:pt idx="6">
                  <c:v>-0.130755299882818</c:v>
                </c:pt>
                <c:pt idx="7">
                  <c:v>-0.259838073932036</c:v>
                </c:pt>
                <c:pt idx="8">
                  <c:v>-0.388920847981252</c:v>
                </c:pt>
                <c:pt idx="9">
                  <c:v>-0.51800362203047</c:v>
                </c:pt>
                <c:pt idx="10">
                  <c:v>-0.647086396079686</c:v>
                </c:pt>
                <c:pt idx="11">
                  <c:v>-0.276169170128902</c:v>
                </c:pt>
                <c:pt idx="12">
                  <c:v>-0.374262277617985</c:v>
                </c:pt>
                <c:pt idx="13">
                  <c:v>-0.503345051667203</c:v>
                </c:pt>
                <c:pt idx="14">
                  <c:v>-0.63242782571642</c:v>
                </c:pt>
                <c:pt idx="15">
                  <c:v>-0.761510599765636</c:v>
                </c:pt>
                <c:pt idx="16">
                  <c:v>-0.390593373814852</c:v>
                </c:pt>
                <c:pt idx="17">
                  <c:v>-0.0196761478640717</c:v>
                </c:pt>
                <c:pt idx="18">
                  <c:v>-0.361276233088319</c:v>
                </c:pt>
                <c:pt idx="19">
                  <c:v>-0.490359007137535</c:v>
                </c:pt>
                <c:pt idx="20">
                  <c:v>-0.119441781186751</c:v>
                </c:pt>
                <c:pt idx="21">
                  <c:v>0.251475444764029</c:v>
                </c:pt>
                <c:pt idx="22">
                  <c:v>0.622392670714813</c:v>
                </c:pt>
                <c:pt idx="23">
                  <c:v>1.99330989666559</c:v>
                </c:pt>
              </c:numCache>
            </c:numRef>
          </c:yVal>
          <c:smooth val="0"/>
        </c:ser>
        <c:axId val="55007206"/>
        <c:axId val="78607640"/>
      </c:scatterChart>
      <c:valAx>
        <c:axId val="550072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607640"/>
        <c:crosses val="autoZero"/>
        <c:crossBetween val="midCat"/>
      </c:valAx>
      <c:valAx>
        <c:axId val="7860764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00720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LW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"ME"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ME"</c:f>
              <c:strCache>
                <c:ptCount val="1"/>
                <c:pt idx="0">
                  <c:v>Predicted ME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req.'!$AB$5:$AB$28</c:f>
              <c:numCache>
                <c:formatCode>0</c:formatCode>
                <c:ptCount val="24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80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  <c:pt idx="18">
                  <c:v>30</c:v>
                </c:pt>
                <c:pt idx="19">
                  <c:v>40</c:v>
                </c:pt>
                <c:pt idx="20">
                  <c:v>50</c:v>
                </c:pt>
                <c:pt idx="21">
                  <c:v>60</c:v>
                </c:pt>
                <c:pt idx="22">
                  <c:v>70</c:v>
                </c:pt>
                <c:pt idx="23">
                  <c:v>80</c:v>
                </c:pt>
              </c:numCache>
            </c:numRef>
          </c:xVal>
          <c:yVal>
            <c:numRef>
              <c:f>'LW int=0'!$B$26:$B$49</c:f>
              <c:numCache>
                <c:formatCode>General</c:formatCode>
                <c:ptCount val="24"/>
                <c:pt idx="0">
                  <c:v>4.88724832214765</c:v>
                </c:pt>
                <c:pt idx="1">
                  <c:v>6.51633109619687</c:v>
                </c:pt>
                <c:pt idx="2">
                  <c:v>8.14541387024609</c:v>
                </c:pt>
                <c:pt idx="3">
                  <c:v>9.7744966442953</c:v>
                </c:pt>
                <c:pt idx="4">
                  <c:v>11.4035794183445</c:v>
                </c:pt>
                <c:pt idx="5">
                  <c:v>13.0326621923937</c:v>
                </c:pt>
                <c:pt idx="6">
                  <c:v>8.13075529988282</c:v>
                </c:pt>
                <c:pt idx="7">
                  <c:v>9.75983807393204</c:v>
                </c:pt>
                <c:pt idx="8">
                  <c:v>11.3889208479813</c:v>
                </c:pt>
                <c:pt idx="9">
                  <c:v>13.0180036220305</c:v>
                </c:pt>
                <c:pt idx="10">
                  <c:v>14.6470863960797</c:v>
                </c:pt>
                <c:pt idx="11">
                  <c:v>16.2761691701289</c:v>
                </c:pt>
                <c:pt idx="12">
                  <c:v>11.374262277618</c:v>
                </c:pt>
                <c:pt idx="13">
                  <c:v>13.0033450516672</c:v>
                </c:pt>
                <c:pt idx="14">
                  <c:v>14.6324278257164</c:v>
                </c:pt>
                <c:pt idx="15">
                  <c:v>16.2615105997656</c:v>
                </c:pt>
                <c:pt idx="16">
                  <c:v>17.8905933738149</c:v>
                </c:pt>
                <c:pt idx="17">
                  <c:v>19.5196761478641</c:v>
                </c:pt>
                <c:pt idx="18">
                  <c:v>17.8612762330883</c:v>
                </c:pt>
                <c:pt idx="19">
                  <c:v>19.4903590071375</c:v>
                </c:pt>
                <c:pt idx="20">
                  <c:v>21.1194417811868</c:v>
                </c:pt>
                <c:pt idx="21">
                  <c:v>22.748524555236</c:v>
                </c:pt>
                <c:pt idx="22">
                  <c:v>24.3776073292852</c:v>
                </c:pt>
                <c:pt idx="23">
                  <c:v>26.0066901033344</c:v>
                </c:pt>
              </c:numCache>
            </c:numRef>
          </c:yVal>
          <c:smooth val="0"/>
        </c:ser>
        <c:axId val="46788988"/>
        <c:axId val="93411583"/>
      </c:scatterChart>
      <c:valAx>
        <c:axId val="467889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LW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411583"/>
        <c:crosses val="autoZero"/>
        <c:crossBetween val="midCat"/>
      </c:valAx>
      <c:valAx>
        <c:axId val="934115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78898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WG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"ME"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'Energy req.'!$AE$5:$AE$28</c:f>
              <c:numCache>
                <c:formatCode>0.0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8.5</c:v>
                </c:pt>
                <c:pt idx="3">
                  <c:v>10</c:v>
                </c:pt>
                <c:pt idx="4">
                  <c:v>11.5</c:v>
                </c:pt>
                <c:pt idx="5">
                  <c:v>13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12.5</c:v>
                </c:pt>
                <c:pt idx="10">
                  <c:v>14</c:v>
                </c:pt>
                <c:pt idx="11">
                  <c:v>16</c:v>
                </c:pt>
                <c:pt idx="12">
                  <c:v>11</c:v>
                </c:pt>
                <c:pt idx="13">
                  <c:v>12.5</c:v>
                </c:pt>
                <c:pt idx="14">
                  <c:v>14</c:v>
                </c:pt>
                <c:pt idx="15">
                  <c:v>15.5</c:v>
                </c:pt>
                <c:pt idx="16">
                  <c:v>17.5</c:v>
                </c:pt>
                <c:pt idx="17">
                  <c:v>19.5</c:v>
                </c:pt>
                <c:pt idx="18">
                  <c:v>17.5</c:v>
                </c:pt>
                <c:pt idx="19">
                  <c:v>19</c:v>
                </c:pt>
                <c:pt idx="20">
                  <c:v>21</c:v>
                </c:pt>
                <c:pt idx="21">
                  <c:v>23</c:v>
                </c:pt>
                <c:pt idx="22">
                  <c:v>25</c:v>
                </c:pt>
                <c:pt idx="23">
                  <c:v>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ME"</c:f>
              <c:strCache>
                <c:ptCount val="1"/>
                <c:pt idx="0">
                  <c:v>Predicted ME</c:v>
                </c:pt>
              </c:strCache>
            </c:strRef>
          </c:tx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'Energy req.'!$AD$5:$AD$28</c:f>
              <c:numCache>
                <c:formatCode>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</c:numCache>
            </c:numRef>
          </c:xVal>
          <c:yVal>
            <c:numRef>
              <c:f>'LW int=0'!$B$26:$B$49</c:f>
              <c:numCache>
                <c:formatCode>General</c:formatCode>
                <c:ptCount val="24"/>
                <c:pt idx="0">
                  <c:v>4.88724832214765</c:v>
                </c:pt>
                <c:pt idx="1">
                  <c:v>6.51633109619687</c:v>
                </c:pt>
                <c:pt idx="2">
                  <c:v>8.14541387024609</c:v>
                </c:pt>
                <c:pt idx="3">
                  <c:v>9.7744966442953</c:v>
                </c:pt>
                <c:pt idx="4">
                  <c:v>11.4035794183445</c:v>
                </c:pt>
                <c:pt idx="5">
                  <c:v>13.0326621923937</c:v>
                </c:pt>
                <c:pt idx="6">
                  <c:v>8.13075529988282</c:v>
                </c:pt>
                <c:pt idx="7">
                  <c:v>9.75983807393204</c:v>
                </c:pt>
                <c:pt idx="8">
                  <c:v>11.3889208479813</c:v>
                </c:pt>
                <c:pt idx="9">
                  <c:v>13.0180036220305</c:v>
                </c:pt>
                <c:pt idx="10">
                  <c:v>14.6470863960797</c:v>
                </c:pt>
                <c:pt idx="11">
                  <c:v>16.2761691701289</c:v>
                </c:pt>
                <c:pt idx="12">
                  <c:v>11.374262277618</c:v>
                </c:pt>
                <c:pt idx="13">
                  <c:v>13.0033450516672</c:v>
                </c:pt>
                <c:pt idx="14">
                  <c:v>14.6324278257164</c:v>
                </c:pt>
                <c:pt idx="15">
                  <c:v>16.2615105997656</c:v>
                </c:pt>
                <c:pt idx="16">
                  <c:v>17.8905933738149</c:v>
                </c:pt>
                <c:pt idx="17">
                  <c:v>19.5196761478641</c:v>
                </c:pt>
                <c:pt idx="18">
                  <c:v>17.8612762330883</c:v>
                </c:pt>
                <c:pt idx="19">
                  <c:v>19.4903590071375</c:v>
                </c:pt>
                <c:pt idx="20">
                  <c:v>21.1194417811868</c:v>
                </c:pt>
                <c:pt idx="21">
                  <c:v>22.748524555236</c:v>
                </c:pt>
                <c:pt idx="22">
                  <c:v>24.3776073292852</c:v>
                </c:pt>
                <c:pt idx="23">
                  <c:v>26.0066901033344</c:v>
                </c:pt>
              </c:numCache>
            </c:numRef>
          </c:yVal>
          <c:smooth val="0"/>
        </c:ser>
        <c:axId val="50337526"/>
        <c:axId val="57963891"/>
      </c:scatterChart>
      <c:valAx>
        <c:axId val="503375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WG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963891"/>
        <c:crosses val="autoZero"/>
        <c:crossBetween val="midCat"/>
      </c:valAx>
      <c:valAx>
        <c:axId val="5796389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GB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33752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20</xdr:col>
      <xdr:colOff>118800</xdr:colOff>
      <xdr:row>51</xdr:row>
      <xdr:rowOff>95400</xdr:rowOff>
    </xdr:from>
    <xdr:to>
      <xdr:col>25</xdr:col>
      <xdr:colOff>523800</xdr:colOff>
      <xdr:row>51</xdr:row>
      <xdr:rowOff>167040</xdr:rowOff>
    </xdr:to>
    <xdr:cxnSp>
      <xdr:nvCxnSpPr>
        <xdr:cNvPr id="0" name="Straight Arrow Connector 1"/>
        <xdr:cNvCxnSpPr/>
      </xdr:nvCxnSpPr>
      <xdr:spPr>
        <a:xfrm flipH="1">
          <a:off x="14650200" y="9846360"/>
          <a:ext cx="3868560" cy="72000"/>
        </a:xfrm>
        <a:prstGeom prst="straightConnector1">
          <a:avLst/>
        </a:prstGeom>
        <a:ln w="6350">
          <a:solidFill>
            <a:srgbClr val="ff0000"/>
          </a:solidFill>
          <a:miter/>
          <a:tailEnd len="med" type="triangle" w="med"/>
        </a:ln>
      </xdr:spPr>
    </xdr:cxnSp>
    <xdr:clientData/>
  </xdr:twoCellAnchor>
  <xdr:twoCellAnchor editAs="twoCell">
    <xdr:from>
      <xdr:col>29</xdr:col>
      <xdr:colOff>130680</xdr:colOff>
      <xdr:row>49</xdr:row>
      <xdr:rowOff>35640</xdr:rowOff>
    </xdr:from>
    <xdr:to>
      <xdr:col>29</xdr:col>
      <xdr:colOff>333360</xdr:colOff>
      <xdr:row>50</xdr:row>
      <xdr:rowOff>131040</xdr:rowOff>
    </xdr:to>
    <xdr:cxnSp>
      <xdr:nvCxnSpPr>
        <xdr:cNvPr id="1" name="Straight Arrow Connector 2"/>
        <xdr:cNvCxnSpPr/>
      </xdr:nvCxnSpPr>
      <xdr:spPr>
        <a:xfrm flipV="1">
          <a:off x="20805480" y="9405720"/>
          <a:ext cx="203040" cy="286200"/>
        </a:xfrm>
        <a:prstGeom prst="straightConnector1">
          <a:avLst/>
        </a:prstGeom>
        <a:ln w="6350">
          <a:solidFill>
            <a:srgbClr val="ff0000"/>
          </a:solidFill>
          <a:miter/>
          <a:tailEnd len="med" type="triangle" w="med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23</xdr:row>
      <xdr:rowOff>154800</xdr:rowOff>
    </xdr:from>
    <xdr:to>
      <xdr:col>9</xdr:col>
      <xdr:colOff>447480</xdr:colOff>
      <xdr:row>48</xdr:row>
      <xdr:rowOff>145080</xdr:rowOff>
    </xdr:to>
    <xdr:cxnSp>
      <xdr:nvCxnSpPr>
        <xdr:cNvPr id="2" name="Straight Connector 2"/>
        <xdr:cNvCxnSpPr/>
      </xdr:nvCxnSpPr>
      <xdr:spPr>
        <a:xfrm>
          <a:off x="687600" y="4809960"/>
          <a:ext cx="6574320" cy="4753080"/>
        </a:xfrm>
        <a:prstGeom prst="straightConnector1">
          <a:avLst/>
        </a:prstGeom>
        <a:ln w="19050">
          <a:solidFill>
            <a:srgbClr val="000000"/>
          </a:solidFill>
          <a:miter/>
        </a:ln>
      </xdr:spPr>
    </xdr:cxnSp>
    <xdr:clientData/>
  </xdr:twoCellAnchor>
  <xdr:twoCellAnchor editAs="twoCell">
    <xdr:from>
      <xdr:col>1</xdr:col>
      <xdr:colOff>9360</xdr:colOff>
      <xdr:row>23</xdr:row>
      <xdr:rowOff>145080</xdr:rowOff>
    </xdr:from>
    <xdr:to>
      <xdr:col>9</xdr:col>
      <xdr:colOff>457200</xdr:colOff>
      <xdr:row>48</xdr:row>
      <xdr:rowOff>135720</xdr:rowOff>
    </xdr:to>
    <xdr:cxnSp>
      <xdr:nvCxnSpPr>
        <xdr:cNvPr id="3" name="Straight Connector 3"/>
        <xdr:cNvCxnSpPr/>
      </xdr:nvCxnSpPr>
      <xdr:spPr>
        <a:xfrm flipV="1">
          <a:off x="696960" y="4800240"/>
          <a:ext cx="6574680" cy="4753440"/>
        </a:xfrm>
        <a:prstGeom prst="straightConnector1">
          <a:avLst/>
        </a:prstGeom>
        <a:ln w="19050">
          <a:solidFill>
            <a:srgbClr val="000000"/>
          </a:solidFill>
          <a:miter/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366840</xdr:colOff>
      <xdr:row>8</xdr:row>
      <xdr:rowOff>57240</xdr:rowOff>
    </xdr:from>
    <xdr:to>
      <xdr:col>11</xdr:col>
      <xdr:colOff>171360</xdr:colOff>
      <xdr:row>23</xdr:row>
      <xdr:rowOff>171360</xdr:rowOff>
    </xdr:to>
    <xdr:graphicFrame>
      <xdr:nvGraphicFramePr>
        <xdr:cNvPr id="4" name="Chart 3"/>
        <xdr:cNvGraphicFramePr/>
      </xdr:nvGraphicFramePr>
      <xdr:xfrm>
        <a:off x="3805200" y="1600200"/>
        <a:ext cx="3930840" cy="297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600120</xdr:colOff>
      <xdr:row>33</xdr:row>
      <xdr:rowOff>19080</xdr:rowOff>
    </xdr:from>
    <xdr:to>
      <xdr:col>23</xdr:col>
      <xdr:colOff>485640</xdr:colOff>
      <xdr:row>53</xdr:row>
      <xdr:rowOff>113760</xdr:rowOff>
    </xdr:to>
    <xdr:graphicFrame>
      <xdr:nvGraphicFramePr>
        <xdr:cNvPr id="5" name="Chart 2"/>
        <xdr:cNvGraphicFramePr/>
      </xdr:nvGraphicFramePr>
      <xdr:xfrm>
        <a:off x="11603520" y="6324480"/>
        <a:ext cx="5245920" cy="390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237960</xdr:colOff>
      <xdr:row>0</xdr:row>
      <xdr:rowOff>181080</xdr:rowOff>
    </xdr:from>
    <xdr:to>
      <xdr:col>15</xdr:col>
      <xdr:colOff>237600</xdr:colOff>
      <xdr:row>11</xdr:row>
      <xdr:rowOff>18720</xdr:rowOff>
    </xdr:to>
    <xdr:graphicFrame>
      <xdr:nvGraphicFramePr>
        <xdr:cNvPr id="6" name="Chart 1"/>
        <xdr:cNvGraphicFramePr/>
      </xdr:nvGraphicFramePr>
      <xdr:xfrm>
        <a:off x="6427440" y="181080"/>
        <a:ext cx="4125600" cy="193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237960</xdr:colOff>
      <xdr:row>3</xdr:row>
      <xdr:rowOff>0</xdr:rowOff>
    </xdr:from>
    <xdr:to>
      <xdr:col>16</xdr:col>
      <xdr:colOff>237600</xdr:colOff>
      <xdr:row>13</xdr:row>
      <xdr:rowOff>18720</xdr:rowOff>
    </xdr:to>
    <xdr:graphicFrame>
      <xdr:nvGraphicFramePr>
        <xdr:cNvPr id="7" name="Chart 2"/>
        <xdr:cNvGraphicFramePr/>
      </xdr:nvGraphicFramePr>
      <xdr:xfrm>
        <a:off x="7115040" y="571680"/>
        <a:ext cx="4125960" cy="192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237960</xdr:colOff>
      <xdr:row>5</xdr:row>
      <xdr:rowOff>0</xdr:rowOff>
    </xdr:from>
    <xdr:to>
      <xdr:col>17</xdr:col>
      <xdr:colOff>237600</xdr:colOff>
      <xdr:row>15</xdr:row>
      <xdr:rowOff>28080</xdr:rowOff>
    </xdr:to>
    <xdr:graphicFrame>
      <xdr:nvGraphicFramePr>
        <xdr:cNvPr id="8" name="Chart 3"/>
        <xdr:cNvGraphicFramePr/>
      </xdr:nvGraphicFramePr>
      <xdr:xfrm>
        <a:off x="7802640" y="952560"/>
        <a:ext cx="4125960" cy="193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237960</xdr:colOff>
      <xdr:row>7</xdr:row>
      <xdr:rowOff>0</xdr:rowOff>
    </xdr:from>
    <xdr:to>
      <xdr:col>18</xdr:col>
      <xdr:colOff>237600</xdr:colOff>
      <xdr:row>17</xdr:row>
      <xdr:rowOff>37800</xdr:rowOff>
    </xdr:to>
    <xdr:graphicFrame>
      <xdr:nvGraphicFramePr>
        <xdr:cNvPr id="9" name="Chart 4"/>
        <xdr:cNvGraphicFramePr/>
      </xdr:nvGraphicFramePr>
      <xdr:xfrm>
        <a:off x="8490600" y="1333440"/>
        <a:ext cx="4125600" cy="1942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237960</xdr:colOff>
      <xdr:row>0</xdr:row>
      <xdr:rowOff>181080</xdr:rowOff>
    </xdr:from>
    <xdr:to>
      <xdr:col>15</xdr:col>
      <xdr:colOff>237600</xdr:colOff>
      <xdr:row>11</xdr:row>
      <xdr:rowOff>18720</xdr:rowOff>
    </xdr:to>
    <xdr:graphicFrame>
      <xdr:nvGraphicFramePr>
        <xdr:cNvPr id="10" name="Chart 1"/>
        <xdr:cNvGraphicFramePr/>
      </xdr:nvGraphicFramePr>
      <xdr:xfrm>
        <a:off x="6427440" y="181080"/>
        <a:ext cx="4125600" cy="193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237960</xdr:colOff>
      <xdr:row>3</xdr:row>
      <xdr:rowOff>0</xdr:rowOff>
    </xdr:from>
    <xdr:to>
      <xdr:col>16</xdr:col>
      <xdr:colOff>237600</xdr:colOff>
      <xdr:row>13</xdr:row>
      <xdr:rowOff>18720</xdr:rowOff>
    </xdr:to>
    <xdr:graphicFrame>
      <xdr:nvGraphicFramePr>
        <xdr:cNvPr id="11" name="Chart 2"/>
        <xdr:cNvGraphicFramePr/>
      </xdr:nvGraphicFramePr>
      <xdr:xfrm>
        <a:off x="7115040" y="571680"/>
        <a:ext cx="4125960" cy="192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237960</xdr:colOff>
      <xdr:row>5</xdr:row>
      <xdr:rowOff>0</xdr:rowOff>
    </xdr:from>
    <xdr:to>
      <xdr:col>17</xdr:col>
      <xdr:colOff>237600</xdr:colOff>
      <xdr:row>15</xdr:row>
      <xdr:rowOff>28080</xdr:rowOff>
    </xdr:to>
    <xdr:graphicFrame>
      <xdr:nvGraphicFramePr>
        <xdr:cNvPr id="12" name="Chart 3"/>
        <xdr:cNvGraphicFramePr/>
      </xdr:nvGraphicFramePr>
      <xdr:xfrm>
        <a:off x="7802640" y="952560"/>
        <a:ext cx="4125960" cy="193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237960</xdr:colOff>
      <xdr:row>7</xdr:row>
      <xdr:rowOff>0</xdr:rowOff>
    </xdr:from>
    <xdr:to>
      <xdr:col>18</xdr:col>
      <xdr:colOff>237600</xdr:colOff>
      <xdr:row>17</xdr:row>
      <xdr:rowOff>37800</xdr:rowOff>
    </xdr:to>
    <xdr:graphicFrame>
      <xdr:nvGraphicFramePr>
        <xdr:cNvPr id="13" name="Chart 4"/>
        <xdr:cNvGraphicFramePr/>
      </xdr:nvGraphicFramePr>
      <xdr:xfrm>
        <a:off x="8490600" y="1333440"/>
        <a:ext cx="4125600" cy="1942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20" createdVersion="3">
  <cacheSource type="worksheet">
    <worksheetSource ref="A1:J421" sheet="DPCache_G&amp;D slakt"/>
  </cacheSource>
  <cacheFields count="12">
    <cacheField name="Djur" numFmtId="0">
      <sharedItems count="7">
        <s v="ko"/>
        <s v="kviga"/>
        <s v="mellankalv"/>
        <s v="stut"/>
        <s v="ungko"/>
        <s v="ungtjur"/>
        <s v="yngre tjur"/>
      </sharedItems>
    </cacheField>
    <cacheField name="Ras" numFmtId="0">
      <sharedItems count="10">
        <s v="01 SRB"/>
        <s v="02 SLB"/>
        <s v="08 Hereford"/>
        <s v="09 Charolais"/>
        <s v="11 Aberdeen Angus"/>
        <s v="12 Limousin"/>
        <s v="14 Simmental"/>
        <s v="16 Highland Cattle"/>
        <s v="18 Blonde D´Aquitaine"/>
        <s v="99 Korsning/övriga raser"/>
      </sharedItems>
    </cacheField>
    <cacheField name="År" numFmtId="0">
      <sharedItems containsSemiMixedTypes="0" containsString="0" containsNumber="1" containsInteger="1" minValue="2016" maxValue="2021" count="6">
        <n v="2016"/>
        <n v="2017"/>
        <n v="2018"/>
        <n v="2019"/>
        <n v="2020"/>
        <n v="2021"/>
      </sharedItems>
    </cacheField>
    <cacheField name="Antal djur" numFmtId="0">
      <sharedItems containsSemiMixedTypes="0" containsString="0" containsNumber="1" containsInteger="1" minValue="6" maxValue="52664" count="388">
        <n v="6"/>
        <n v="12"/>
        <n v="14"/>
        <n v="15"/>
        <n v="16"/>
        <n v="17"/>
        <n v="18"/>
        <n v="21"/>
        <n v="26"/>
        <n v="29"/>
        <n v="30"/>
        <n v="31"/>
        <n v="33"/>
        <n v="34"/>
        <n v="36"/>
        <n v="37"/>
        <n v="39"/>
        <n v="40"/>
        <n v="41"/>
        <n v="43"/>
        <n v="46"/>
        <n v="51"/>
        <n v="56"/>
        <n v="59"/>
        <n v="68"/>
        <n v="69"/>
        <n v="70"/>
        <n v="74"/>
        <n v="76"/>
        <n v="78"/>
        <n v="79"/>
        <n v="81"/>
        <n v="82"/>
        <n v="85"/>
        <n v="92"/>
        <n v="93"/>
        <n v="94"/>
        <n v="97"/>
        <n v="98"/>
        <n v="100"/>
        <n v="102"/>
        <n v="104"/>
        <n v="105"/>
        <n v="106"/>
        <n v="108"/>
        <n v="109"/>
        <n v="110"/>
        <n v="111"/>
        <n v="115"/>
        <n v="116"/>
        <n v="127"/>
        <n v="131"/>
        <n v="133"/>
        <n v="135"/>
        <n v="136"/>
        <n v="139"/>
        <n v="143"/>
        <n v="148"/>
        <n v="151"/>
        <n v="154"/>
        <n v="159"/>
        <n v="161"/>
        <n v="162"/>
        <n v="163"/>
        <n v="164"/>
        <n v="168"/>
        <n v="173"/>
        <n v="174"/>
        <n v="176"/>
        <n v="179"/>
        <n v="183"/>
        <n v="185"/>
        <n v="193"/>
        <n v="198"/>
        <n v="200"/>
        <n v="201"/>
        <n v="207"/>
        <n v="211"/>
        <n v="213"/>
        <n v="216"/>
        <n v="221"/>
        <n v="223"/>
        <n v="224"/>
        <n v="229"/>
        <n v="234"/>
        <n v="237"/>
        <n v="247"/>
        <n v="251"/>
        <n v="253"/>
        <n v="254"/>
        <n v="257"/>
        <n v="258"/>
        <n v="260"/>
        <n v="269"/>
        <n v="271"/>
        <n v="273"/>
        <n v="280"/>
        <n v="281"/>
        <n v="284"/>
        <n v="285"/>
        <n v="288"/>
        <n v="290"/>
        <n v="293"/>
        <n v="297"/>
        <n v="299"/>
        <n v="305"/>
        <n v="306"/>
        <n v="311"/>
        <n v="318"/>
        <n v="320"/>
        <n v="353"/>
        <n v="372"/>
        <n v="376"/>
        <n v="387"/>
        <n v="402"/>
        <n v="403"/>
        <n v="405"/>
        <n v="406"/>
        <n v="408"/>
        <n v="410"/>
        <n v="411"/>
        <n v="414"/>
        <n v="423"/>
        <n v="424"/>
        <n v="427"/>
        <n v="428"/>
        <n v="429"/>
        <n v="434"/>
        <n v="436"/>
        <n v="438"/>
        <n v="446"/>
        <n v="452"/>
        <n v="463"/>
        <n v="469"/>
        <n v="483"/>
        <n v="489"/>
        <n v="506"/>
        <n v="507"/>
        <n v="511"/>
        <n v="518"/>
        <n v="524"/>
        <n v="546"/>
        <n v="549"/>
        <n v="578"/>
        <n v="585"/>
        <n v="592"/>
        <n v="621"/>
        <n v="631"/>
        <n v="651"/>
        <n v="653"/>
        <n v="657"/>
        <n v="659"/>
        <n v="692"/>
        <n v="744"/>
        <n v="758"/>
        <n v="772"/>
        <n v="781"/>
        <n v="786"/>
        <n v="800"/>
        <n v="820"/>
        <n v="822"/>
        <n v="861"/>
        <n v="865"/>
        <n v="870"/>
        <n v="897"/>
        <n v="936"/>
        <n v="1016"/>
        <n v="1103"/>
        <n v="1106"/>
        <n v="1144"/>
        <n v="1167"/>
        <n v="1184"/>
        <n v="1215"/>
        <n v="1249"/>
        <n v="1265"/>
        <n v="1302"/>
        <n v="1352"/>
        <n v="1390"/>
        <n v="1404"/>
        <n v="1420"/>
        <n v="1454"/>
        <n v="1464"/>
        <n v="1478"/>
        <n v="1536"/>
        <n v="1537"/>
        <n v="1540"/>
        <n v="1543"/>
        <n v="1587"/>
        <n v="1588"/>
        <n v="1608"/>
        <n v="1633"/>
        <n v="1658"/>
        <n v="1686"/>
        <n v="1709"/>
        <n v="1764"/>
        <n v="1771"/>
        <n v="1787"/>
        <n v="1806"/>
        <n v="1848"/>
        <n v="1857"/>
        <n v="1890"/>
        <n v="1951"/>
        <n v="1961"/>
        <n v="1988"/>
        <n v="2144"/>
        <n v="2183"/>
        <n v="2237"/>
        <n v="2281"/>
        <n v="2305"/>
        <n v="2357"/>
        <n v="2383"/>
        <n v="2396"/>
        <n v="2397"/>
        <n v="2416"/>
        <n v="2468"/>
        <n v="2484"/>
        <n v="2485"/>
        <n v="2526"/>
        <n v="2584"/>
        <n v="2598"/>
        <n v="2645"/>
        <n v="2750"/>
        <n v="2754"/>
        <n v="2820"/>
        <n v="2843"/>
        <n v="2898"/>
        <n v="2935"/>
        <n v="2981"/>
        <n v="2996"/>
        <n v="3088"/>
        <n v="3122"/>
        <n v="3143"/>
        <n v="3147"/>
        <n v="3182"/>
        <n v="3256"/>
        <n v="3258"/>
        <n v="3319"/>
        <n v="3337"/>
        <n v="3414"/>
        <n v="3426"/>
        <n v="3455"/>
        <n v="3573"/>
        <n v="3594"/>
        <n v="3715"/>
        <n v="3729"/>
        <n v="3740"/>
        <n v="3778"/>
        <n v="3856"/>
        <n v="3983"/>
        <n v="3985"/>
        <n v="4053"/>
        <n v="4079"/>
        <n v="4193"/>
        <n v="4235"/>
        <n v="4243"/>
        <n v="4295"/>
        <n v="4427"/>
        <n v="4428"/>
        <n v="4642"/>
        <n v="5075"/>
        <n v="5097"/>
        <n v="5122"/>
        <n v="5253"/>
        <n v="5279"/>
        <n v="5421"/>
        <n v="5470"/>
        <n v="5478"/>
        <n v="5484"/>
        <n v="5504"/>
        <n v="5678"/>
        <n v="5700"/>
        <n v="5847"/>
        <n v="5881"/>
        <n v="5892"/>
        <n v="5929"/>
        <n v="5954"/>
        <n v="6017"/>
        <n v="6320"/>
        <n v="6329"/>
        <n v="6424"/>
        <n v="6430"/>
        <n v="6453"/>
        <n v="6471"/>
        <n v="6518"/>
        <n v="6585"/>
        <n v="6598"/>
        <n v="6610"/>
        <n v="6649"/>
        <n v="6677"/>
        <n v="6740"/>
        <n v="6773"/>
        <n v="6789"/>
        <n v="6858"/>
        <n v="6873"/>
        <n v="6897"/>
        <n v="6973"/>
        <n v="7005"/>
        <n v="7027"/>
        <n v="7190"/>
        <n v="7258"/>
        <n v="7329"/>
        <n v="7350"/>
        <n v="7393"/>
        <n v="7408"/>
        <n v="7515"/>
        <n v="7577"/>
        <n v="7586"/>
        <n v="7805"/>
        <n v="7820"/>
        <n v="8258"/>
        <n v="8259"/>
        <n v="8272"/>
        <n v="8276"/>
        <n v="8360"/>
        <n v="8365"/>
        <n v="8434"/>
        <n v="8439"/>
        <n v="8472"/>
        <n v="8586"/>
        <n v="8674"/>
        <n v="8696"/>
        <n v="8766"/>
        <n v="8849"/>
        <n v="8988"/>
        <n v="9142"/>
        <n v="9297"/>
        <n v="9600"/>
        <n v="9669"/>
        <n v="9814"/>
        <n v="9953"/>
        <n v="10031"/>
        <n v="10036"/>
        <n v="10763"/>
        <n v="10952"/>
        <n v="11044"/>
        <n v="11185"/>
        <n v="11456"/>
        <n v="12148"/>
        <n v="12251"/>
        <n v="12969"/>
        <n v="13017"/>
        <n v="14143"/>
        <n v="15178"/>
        <n v="15414"/>
        <n v="15724"/>
        <n v="15987"/>
        <n v="15992"/>
        <n v="18177"/>
        <n v="19790"/>
        <n v="19983"/>
        <n v="20762"/>
        <n v="20874"/>
        <n v="20980"/>
        <n v="21397"/>
        <n v="21589"/>
        <n v="21847"/>
        <n v="22888"/>
        <n v="22985"/>
        <n v="23158"/>
        <n v="23718"/>
        <n v="24916"/>
        <n v="24950"/>
        <n v="25859"/>
        <n v="26251"/>
        <n v="26489"/>
        <n v="27050"/>
        <n v="29484"/>
        <n v="30638"/>
        <n v="31140"/>
        <n v="33134"/>
        <n v="38032"/>
        <n v="38776"/>
        <n v="40218"/>
        <n v="40654"/>
        <n v="40784"/>
        <n v="41922"/>
        <n v="43969"/>
        <n v="46699"/>
        <n v="46967"/>
        <n v="47003"/>
        <n v="47030"/>
        <n v="47112"/>
        <n v="47500"/>
        <n v="48665"/>
        <n v="49412"/>
        <n v="50606"/>
        <n v="52654"/>
        <n v="52664"/>
      </sharedItems>
    </cacheField>
    <cacheField name="Slaktvikt (kg)" numFmtId="0">
      <sharedItems containsSemiMixedTypes="0" containsString="0" containsNumber="1" minValue="95.3" maxValue="467.9" count="373">
        <n v="95.3"/>
        <n v="95.4"/>
        <n v="97.7"/>
        <n v="98.1"/>
        <n v="98.2"/>
        <n v="98.8"/>
        <n v="134.9"/>
        <n v="137.1"/>
        <n v="138.1"/>
        <n v="149"/>
        <n v="152"/>
        <n v="155.5"/>
        <n v="155.8"/>
        <n v="156"/>
        <n v="156.1"/>
        <n v="156.2"/>
        <n v="156.3"/>
        <n v="157.3"/>
        <n v="157.4"/>
        <n v="157.6"/>
        <n v="158.8"/>
        <n v="159.1"/>
        <n v="160"/>
        <n v="160.6"/>
        <n v="163"/>
        <n v="163.4"/>
        <n v="164.3"/>
        <n v="166.9"/>
        <n v="167.6"/>
        <n v="168.3"/>
        <n v="168.4"/>
        <n v="168.9"/>
        <n v="169.1"/>
        <n v="169.2"/>
        <n v="169.4"/>
        <n v="169.6"/>
        <n v="169.8"/>
        <n v="169.9"/>
        <n v="170.1"/>
        <n v="170.5"/>
        <n v="170.6"/>
        <n v="170.7"/>
        <n v="171.7"/>
        <n v="172"/>
        <n v="172.4"/>
        <n v="174.2"/>
        <n v="174.5"/>
        <n v="174.7"/>
        <n v="175.1"/>
        <n v="175.3"/>
        <n v="176.8"/>
        <n v="177"/>
        <n v="177.7"/>
        <n v="181.1"/>
        <n v="184"/>
        <n v="190.4"/>
        <n v="191.3"/>
        <n v="191.4"/>
        <n v="192"/>
        <n v="192.3"/>
        <n v="192.8"/>
        <n v="193"/>
        <n v="193.2"/>
        <n v="195.2"/>
        <n v="197.6"/>
        <n v="202.6"/>
        <n v="203.5"/>
        <n v="208.4"/>
        <n v="209.6"/>
        <n v="210"/>
        <n v="212.6"/>
        <n v="212.7"/>
        <n v="215.8"/>
        <n v="224.2"/>
        <n v="224.4"/>
        <n v="225.5"/>
        <n v="227.8"/>
        <n v="229.3"/>
        <n v="230.7"/>
        <n v="230.8"/>
        <n v="231.8"/>
        <n v="232.7"/>
        <n v="234.3"/>
        <n v="235"/>
        <n v="235.6"/>
        <n v="238.7"/>
        <n v="244.4"/>
        <n v="245.2"/>
        <n v="246.3"/>
        <n v="256.1"/>
        <n v="257.5"/>
        <n v="268.5"/>
        <n v="274.4"/>
        <n v="277.8"/>
        <n v="280.4"/>
        <n v="280.8"/>
        <n v="282"/>
        <n v="283"/>
        <n v="284.2"/>
        <n v="289.9"/>
        <n v="291"/>
        <n v="291.8"/>
        <n v="292.3"/>
        <n v="293.3"/>
        <n v="293.8"/>
        <n v="294.7"/>
        <n v="295"/>
        <n v="295.2"/>
        <n v="296"/>
        <n v="296.1"/>
        <n v="296.8"/>
        <n v="297"/>
        <n v="297.1"/>
        <n v="297.5"/>
        <n v="298.8"/>
        <n v="299.4"/>
        <n v="299.8"/>
        <n v="300.4"/>
        <n v="301.2"/>
        <n v="301.5"/>
        <n v="302.5"/>
        <n v="302.7"/>
        <n v="303"/>
        <n v="303.3"/>
        <n v="303.4"/>
        <n v="304"/>
        <n v="304.3"/>
        <n v="304.7"/>
        <n v="305"/>
        <n v="306.2"/>
        <n v="306.4"/>
        <n v="306.7"/>
        <n v="306.9"/>
        <n v="307.5"/>
        <n v="307.7"/>
        <n v="307.9"/>
        <n v="308"/>
        <n v="308.5"/>
        <n v="309.7"/>
        <n v="309.8"/>
        <n v="310.4"/>
        <n v="310.5"/>
        <n v="310.7"/>
        <n v="310.8"/>
        <n v="311.2"/>
        <n v="311.7"/>
        <n v="311.8"/>
        <n v="312.7"/>
        <n v="313.3"/>
        <n v="313.4"/>
        <n v="313.8"/>
        <n v="313.9"/>
        <n v="314"/>
        <n v="314.3"/>
        <n v="315.6"/>
        <n v="315.8"/>
        <n v="316"/>
        <n v="316.2"/>
        <n v="316.3"/>
        <n v="316.4"/>
        <n v="316.6"/>
        <n v="316.9"/>
        <n v="317"/>
        <n v="317.2"/>
        <n v="317.5"/>
        <n v="318.5"/>
        <n v="318.9"/>
        <n v="319.2"/>
        <n v="319.3"/>
        <n v="319.8"/>
        <n v="319.9"/>
        <n v="321.1"/>
        <n v="321.4"/>
        <n v="322"/>
        <n v="322.1"/>
        <n v="322.2"/>
        <n v="322.6"/>
        <n v="323"/>
        <n v="323.1"/>
        <n v="323.2"/>
        <n v="323.6"/>
        <n v="323.8"/>
        <n v="324.2"/>
        <n v="324.7"/>
        <n v="324.9"/>
        <n v="325"/>
        <n v="325.5"/>
        <n v="325.7"/>
        <n v="325.8"/>
        <n v="325.9"/>
        <n v="326.2"/>
        <n v="326.4"/>
        <n v="326.5"/>
        <n v="326.7"/>
        <n v="326.9"/>
        <n v="327.3"/>
        <n v="327.4"/>
        <n v="327.5"/>
        <n v="327.6"/>
        <n v="328"/>
        <n v="329.5"/>
        <n v="330.1"/>
        <n v="330.2"/>
        <n v="330.6"/>
        <n v="330.7"/>
        <n v="332.1"/>
        <n v="332.2"/>
        <n v="332.4"/>
        <n v="332.6"/>
        <n v="333"/>
        <n v="333.1"/>
        <n v="333.2"/>
        <n v="333.5"/>
        <n v="333.7"/>
        <n v="333.8"/>
        <n v="334.1"/>
        <n v="334.2"/>
        <n v="334.4"/>
        <n v="334.7"/>
        <n v="334.9"/>
        <n v="335.2"/>
        <n v="335.7"/>
        <n v="336"/>
        <n v="337.6"/>
        <n v="338.5"/>
        <n v="338.6"/>
        <n v="338.8"/>
        <n v="339.3"/>
        <n v="340.1"/>
        <n v="340.2"/>
        <n v="340.3"/>
        <n v="340.4"/>
        <n v="340.5"/>
        <n v="341"/>
        <n v="341.7"/>
        <n v="342.1"/>
        <n v="342.8"/>
        <n v="343.6"/>
        <n v="343.7"/>
        <n v="343.8"/>
        <n v="344.1"/>
        <n v="344.4"/>
        <n v="345"/>
        <n v="345.4"/>
        <n v="345.7"/>
        <n v="345.8"/>
        <n v="346"/>
        <n v="347"/>
        <n v="347.2"/>
        <n v="347.5"/>
        <n v="348.1"/>
        <n v="348.2"/>
        <n v="348.6"/>
        <n v="349.2"/>
        <n v="349.4"/>
        <n v="350"/>
        <n v="350.4"/>
        <n v="350.6"/>
        <n v="351.3"/>
        <n v="351.6"/>
        <n v="351.8"/>
        <n v="352"/>
        <n v="352.3"/>
        <n v="352.5"/>
        <n v="352.8"/>
        <n v="353"/>
        <n v="353.3"/>
        <n v="353.4"/>
        <n v="354.2"/>
        <n v="354.8"/>
        <n v="354.9"/>
        <n v="355.4"/>
        <n v="355.5"/>
        <n v="355.9"/>
        <n v="356"/>
        <n v="356.7"/>
        <n v="356.9"/>
        <n v="357.2"/>
        <n v="357.6"/>
        <n v="358.3"/>
        <n v="358.6"/>
        <n v="358.9"/>
        <n v="359.2"/>
        <n v="359.4"/>
        <n v="359.8"/>
        <n v="360"/>
        <n v="360.3"/>
        <n v="360.4"/>
        <n v="361.6"/>
        <n v="362.1"/>
        <n v="363.4"/>
        <n v="363.7"/>
        <n v="363.8"/>
        <n v="363.9"/>
        <n v="364.2"/>
        <n v="365"/>
        <n v="365.1"/>
        <n v="365.3"/>
        <n v="365.4"/>
        <n v="365.6"/>
        <n v="366"/>
        <n v="366.7"/>
        <n v="367.3"/>
        <n v="367.7"/>
        <n v="368.3"/>
        <n v="368.4"/>
        <n v="368.8"/>
        <n v="370"/>
        <n v="370.1"/>
        <n v="370.2"/>
        <n v="370.3"/>
        <n v="370.5"/>
        <n v="370.7"/>
        <n v="370.9"/>
        <n v="372"/>
        <n v="372.1"/>
        <n v="372.9"/>
        <n v="373"/>
        <n v="373.4"/>
        <n v="374"/>
        <n v="374.3"/>
        <n v="374.6"/>
        <n v="374.7"/>
        <n v="376.8"/>
        <n v="376.9"/>
        <n v="379.2"/>
        <n v="379.3"/>
        <n v="379.6"/>
        <n v="380"/>
        <n v="381"/>
        <n v="381.2"/>
        <n v="381.3"/>
        <n v="381.4"/>
        <n v="383.4"/>
        <n v="386"/>
        <n v="386.3"/>
        <n v="387.2"/>
        <n v="387.3"/>
        <n v="389.5"/>
        <n v="390.9"/>
        <n v="391.2"/>
        <n v="391.6"/>
        <n v="393"/>
        <n v="394.5"/>
        <n v="396.3"/>
        <n v="396.6"/>
        <n v="401.7"/>
        <n v="402.6"/>
        <n v="404.6"/>
        <n v="405.1"/>
        <n v="405.2"/>
        <n v="405.9"/>
        <n v="407.1"/>
        <n v="407.7"/>
        <n v="407.8"/>
        <n v="408.2"/>
        <n v="408.3"/>
        <n v="409.1"/>
        <n v="409.9"/>
        <n v="410.4"/>
        <n v="411.4"/>
        <n v="414"/>
        <n v="415.9"/>
        <n v="416.6"/>
        <n v="417"/>
        <n v="417.1"/>
        <n v="427.1"/>
        <n v="427.9"/>
        <n v="441.5"/>
        <n v="445.2"/>
        <n v="453.4"/>
        <n v="456.2"/>
        <n v="467.9"/>
      </sharedItems>
    </cacheField>
    <cacheField name="Fettgrupp" numFmtId="0">
      <sharedItems containsSemiMixedTypes="0" containsString="0" containsNumber="1" minValue="3.5" maxValue="11.3" count="68">
        <n v="3.5"/>
        <n v="4"/>
        <n v="4.2"/>
        <n v="4.3"/>
        <n v="4.4"/>
        <n v="4.5"/>
        <n v="4.6"/>
        <n v="4.7"/>
        <n v="4.8"/>
        <n v="4.9"/>
        <n v="5"/>
        <n v="5.1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56"/>
        <n v="7.6"/>
        <n v="7.7"/>
        <n v="7.8"/>
        <n v="7.9"/>
        <n v="8"/>
        <n v="8.1"/>
        <n v="8.2"/>
        <n v="8.3"/>
        <n v="8.4"/>
        <n v="8.5"/>
        <n v="8.6"/>
        <n v="8.7"/>
        <n v="8.8"/>
        <n v="8.9"/>
        <n v="9"/>
        <n v="9.1"/>
        <n v="9.2"/>
        <n v="9.3"/>
        <n v="9.4"/>
        <n v="9.5"/>
        <n v="9.6"/>
        <n v="9.7"/>
        <n v="9.8"/>
        <n v="9.9"/>
        <n v="10.1"/>
        <n v="10.2"/>
        <n v="10.3"/>
        <n v="10.4"/>
        <n v="10.8"/>
        <n v="11.1"/>
        <n v="11.3"/>
      </sharedItems>
    </cacheField>
    <cacheField name="Formklass" numFmtId="0">
      <sharedItems containsSemiMixedTypes="0" containsString="0" containsNumber="1" minValue="3.3" maxValue="11" count="75">
        <n v="3.3"/>
        <n v="3.4"/>
        <n v="3.5"/>
        <n v="3.6"/>
        <n v="3.7"/>
        <n v="3.8"/>
        <n v="3.9"/>
        <n v="4"/>
        <n v="4.1"/>
        <n v="4.2"/>
        <n v="4.3"/>
        <n v="4.4"/>
        <n v="4.5"/>
        <n v="4.6"/>
        <n v="4.7"/>
        <n v="4.8"/>
        <n v="4.9"/>
        <n v="5"/>
        <n v="5.1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5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2"/>
        <n v="8.3"/>
        <n v="8.4"/>
        <n v="8.5"/>
        <n v="8.6"/>
        <n v="8.7"/>
        <n v="8.8"/>
        <n v="8.9"/>
        <n v="9"/>
        <n v="9.1"/>
        <n v="9.2"/>
        <n v="9.3"/>
        <n v="9.4"/>
        <n v="9.5"/>
        <n v="9.6"/>
        <n v="9.7"/>
        <n v="9.8"/>
        <n v="9.9"/>
        <n v="10"/>
        <n v="10.1"/>
        <n v="10.2"/>
        <n v="10.3"/>
        <n v="10.4"/>
        <n v="10.6"/>
        <n v="10.8"/>
        <n v="11"/>
      </sharedItems>
    </cacheField>
    <cacheField name="Ålder (månader)" numFmtId="0">
      <sharedItems containsSemiMixedTypes="0" containsString="0" containsNumber="1" minValue="7.3" maxValue="109.9" count="268">
        <n v="7.3"/>
        <n v="8"/>
        <n v="8.5"/>
        <n v="9"/>
        <n v="9.1"/>
        <n v="9.2"/>
        <n v="9.3"/>
        <n v="9.4"/>
        <n v="9.5"/>
        <n v="9.6"/>
        <n v="9.9"/>
        <n v="10"/>
        <n v="10.2"/>
        <n v="10.3"/>
        <n v="10.5"/>
        <n v="10.6"/>
        <n v="10.7"/>
        <n v="10.8"/>
        <n v="11"/>
        <n v="11.1"/>
        <n v="11.2"/>
        <n v="11.3"/>
        <n v="11.5"/>
        <n v="11.6"/>
        <n v="11.7"/>
        <n v="11.8"/>
        <n v="12"/>
        <n v="12.2"/>
        <n v="12.4"/>
        <n v="12.5"/>
        <n v="12.7"/>
        <n v="12.9"/>
        <n v="13.1"/>
        <n v="13.7"/>
        <n v="14"/>
        <n v="14.1"/>
        <n v="14.4"/>
        <n v="15.2"/>
        <n v="15.3"/>
        <n v="15.6"/>
        <n v="15.9"/>
        <n v="16.1"/>
        <n v="16.8"/>
        <n v="17"/>
        <n v="17.1"/>
        <n v="17.2"/>
        <n v="17.3"/>
        <n v="17.4"/>
        <n v="17.5"/>
        <n v="17.7"/>
        <n v="17.8"/>
        <n v="18"/>
        <n v="18.2"/>
        <n v="18.3"/>
        <n v="18.4"/>
        <n v="18.5"/>
        <n v="18.6"/>
        <n v="18.7"/>
        <n v="18.8"/>
        <n v="19"/>
        <n v="19.1"/>
        <n v="19.2"/>
        <n v="19.5"/>
        <n v="19.6"/>
        <n v="19.7"/>
        <n v="19.9"/>
        <n v="20.3"/>
        <n v="20.6"/>
        <n v="21"/>
        <n v="21.2"/>
        <n v="21.5"/>
        <n v="21.6"/>
        <n v="21.8"/>
        <n v="21.9"/>
        <n v="22.1"/>
        <n v="22.2"/>
        <n v="22.3"/>
        <n v="22.6"/>
        <n v="22.7"/>
        <n v="22.8"/>
        <n v="22.9"/>
        <n v="23"/>
        <n v="23.3"/>
        <n v="23.5"/>
        <n v="23.6"/>
        <n v="23.7"/>
        <n v="23.9"/>
        <n v="24"/>
        <n v="24.3"/>
        <n v="24.4"/>
        <n v="24.6"/>
        <n v="24.8"/>
        <n v="25"/>
        <n v="25.1"/>
        <n v="25.2"/>
        <n v="25.3"/>
        <n v="25.4"/>
        <n v="25.6"/>
        <n v="25.7"/>
        <n v="25.8"/>
        <n v="25.9"/>
        <n v="26"/>
        <n v="26.1"/>
        <n v="26.2"/>
        <n v="26.3"/>
        <n v="26.4"/>
        <n v="26.5"/>
        <n v="26.8"/>
        <n v="26.9"/>
        <n v="27"/>
        <n v="27.1"/>
        <n v="27.2"/>
        <n v="27.4"/>
        <n v="27.5"/>
        <n v="27.6"/>
        <n v="27.7"/>
        <n v="27.8"/>
        <n v="27.9"/>
        <n v="28"/>
        <n v="28.1"/>
        <n v="28.2"/>
        <n v="28.4"/>
        <n v="28.5"/>
        <n v="28.6"/>
        <n v="28.7"/>
        <n v="28.8"/>
        <n v="28.9"/>
        <n v="29"/>
        <n v="29.1"/>
        <n v="29.2"/>
        <n v="29.3"/>
        <n v="29.4"/>
        <n v="29.5"/>
        <n v="29.6"/>
        <n v="29.7"/>
        <n v="29.8"/>
        <n v="29.9"/>
        <n v="30"/>
        <n v="30.1"/>
        <n v="30.2"/>
        <n v="30.3"/>
        <n v="30.4"/>
        <n v="30.5"/>
        <n v="30.6"/>
        <n v="30.9"/>
        <n v="31"/>
        <n v="31.1"/>
        <n v="31.3"/>
        <n v="31.4"/>
        <n v="31.5"/>
        <n v="31.6"/>
        <n v="31.7"/>
        <n v="31.8"/>
        <n v="31.9"/>
        <n v="32.4"/>
        <n v="32.5"/>
        <n v="32.6"/>
        <n v="32.7"/>
        <n v="33"/>
        <n v="33.1"/>
        <n v="33.4"/>
        <n v="33.7"/>
        <n v="33.8"/>
        <n v="34.2"/>
        <n v="34.4"/>
        <n v="34.8"/>
        <n v="35.4"/>
        <n v="35.6"/>
        <n v="35.8"/>
        <n v="36"/>
        <n v="36.2"/>
        <n v="36.4"/>
        <n v="36.5"/>
        <n v="36.7"/>
        <n v="36.8"/>
        <n v="36.9"/>
        <n v="37.2"/>
        <n v="37.3"/>
        <n v="37.4"/>
        <n v="37.5"/>
        <n v="37.6"/>
        <n v="37.7"/>
        <n v="37.9"/>
        <n v="38"/>
        <n v="38.1"/>
        <n v="38.2"/>
        <n v="38.4"/>
        <n v="38.5"/>
        <n v="38.7"/>
        <n v="38.8"/>
        <n v="39.2"/>
        <n v="39.6"/>
        <n v="39.8"/>
        <n v="39.9"/>
        <n v="40.1"/>
        <n v="40.2"/>
        <n v="40.3"/>
        <n v="40.5"/>
        <n v="40.6"/>
        <n v="40.9"/>
        <n v="41.6"/>
        <n v="42"/>
        <n v="42.1"/>
        <n v="43.3"/>
        <n v="43.4"/>
        <n v="44.3"/>
        <n v="44.8"/>
        <n v="44.9"/>
        <n v="45.8"/>
        <n v="47"/>
        <n v="47.2"/>
        <n v="47.5"/>
        <n v="49"/>
        <n v="50.2"/>
        <n v="56.1"/>
        <n v="68.6"/>
        <n v="68.9"/>
        <n v="69.2"/>
        <n v="69.3"/>
        <n v="69.4"/>
        <n v="70.1"/>
        <n v="70.2"/>
        <n v="71.6"/>
        <n v="72.9"/>
        <n v="73.2"/>
        <n v="82.1"/>
        <n v="84.5"/>
        <n v="84.9"/>
        <n v="85"/>
        <n v="86.2"/>
        <n v="86.3"/>
        <n v="86.5"/>
        <n v="87.1"/>
        <n v="87.3"/>
        <n v="87.8"/>
        <n v="87.9"/>
        <n v="88.1"/>
        <n v="88.8"/>
        <n v="89"/>
        <n v="89.2"/>
        <n v="89.5"/>
        <n v="89.6"/>
        <n v="89.8"/>
        <n v="91.1"/>
        <n v="91.2"/>
        <n v="91.3"/>
        <n v="92.1"/>
        <n v="92.5"/>
        <n v="92.6"/>
        <n v="93"/>
        <n v="93.9"/>
        <n v="94"/>
        <n v="94.2"/>
        <n v="94.6"/>
        <n v="96.2"/>
        <n v="98"/>
        <n v="98.5"/>
        <n v="99.1"/>
        <n v="100.2"/>
        <n v="100.9"/>
        <n v="101"/>
        <n v="103.3"/>
        <n v="103.6"/>
        <n v="105.8"/>
        <n v="106.7"/>
        <n v="108.4"/>
        <n v="108.5"/>
        <n v="109.9"/>
      </sharedItems>
    </cacheField>
    <cacheField name="Slaktvikt*Antal" numFmtId="0">
      <sharedItems containsSemiMixedTypes="0" containsString="0" containsNumber="1" minValue="1939.2" maxValue="18744824" count="420">
        <n v="1939.2"/>
        <n v="3492"/>
        <n v="3751.2"/>
        <n v="4221.6"/>
        <n v="4222.6"/>
        <n v="4478.6"/>
        <n v="5038.8"/>
        <n v="5693.3"/>
        <n v="5983"/>
        <n v="6098.4"/>
        <n v="6138"/>
        <n v="6715.5"/>
        <n v="7007.7"/>
        <n v="7018.5"/>
        <n v="7242.8"/>
        <n v="7254.4"/>
        <n v="7488"/>
        <n v="7560"/>
        <n v="7620.6"/>
        <n v="7869.9"/>
        <n v="8003.2"/>
        <n v="8044.2"/>
        <n v="8909.7"/>
        <n v="9540"/>
        <n v="9553.6"/>
        <n v="10590"/>
        <n v="10626.8"/>
        <n v="11247"/>
        <n v="11479"/>
        <n v="11575.2"/>
        <n v="11683"/>
        <n v="12183.6"/>
        <n v="12250.2"/>
        <n v="12732.2"/>
        <n v="12879.7"/>
        <n v="13008.4"/>
        <n v="13149.8"/>
        <n v="13229.8"/>
        <n v="14183.1"/>
        <n v="14604"/>
        <n v="15028"/>
        <n v="16442.4"/>
        <n v="16928"/>
        <n v="17158"/>
        <n v="17829"/>
        <n v="18349.2"/>
        <n v="18431.9"/>
        <n v="18472.2"/>
        <n v="18574.4"/>
        <n v="19336.2"/>
        <n v="20406"/>
        <n v="21841.6"/>
        <n v="21894.8"/>
        <n v="22161.5"/>
        <n v="22659.6"/>
        <n v="23088.8"/>
        <n v="23153.9"/>
        <n v="24805"/>
        <n v="26243.8"/>
        <n v="27295"/>
        <n v="27451.2"/>
        <n v="31344.9"/>
        <n v="31480.5"/>
        <n v="33936.4"/>
        <n v="34582.8"/>
        <n v="34866"/>
        <n v="35063.6"/>
        <n v="35906"/>
        <n v="36082.2"/>
        <n v="36779.8"/>
        <n v="37154.1"/>
        <n v="37851.2"/>
        <n v="37906.9"/>
        <n v="38249"/>
        <n v="38456"/>
        <n v="38741.3"/>
        <n v="38877.8"/>
        <n v="40114.8"/>
        <n v="40780"/>
        <n v="41226.4"/>
        <n v="41910.2"/>
        <n v="41934.2"/>
        <n v="42129.6"/>
        <n v="42546.4"/>
        <n v="42771.5"/>
        <n v="42845"/>
        <n v="43601.6"/>
        <n v="45095"/>
        <n v="45361.8"/>
        <n v="45841.9"/>
        <n v="46109.7"/>
        <n v="46550"/>
        <n v="46807.2"/>
        <n v="47776.8"/>
        <n v="48645"/>
        <n v="48971.2"/>
        <n v="49952"/>
        <n v="50212.2"/>
        <n v="50268"/>
        <n v="51777.9"/>
        <n v="54835.5"/>
        <n v="55246.4"/>
        <n v="55488.6"/>
        <n v="57658.5"/>
        <n v="58185.6"/>
        <n v="60656.7"/>
        <n v="61344.4"/>
        <n v="62400.8"/>
        <n v="63208.2"/>
        <n v="63280"/>
        <n v="63648"/>
        <n v="64269"/>
        <n v="65120"/>
        <n v="65221.2"/>
        <n v="65266.8"/>
        <n v="66959.9"/>
        <n v="68320.8"/>
        <n v="68796"/>
        <n v="69479"/>
        <n v="70439.1"/>
        <n v="75274.2"/>
        <n v="78513.1"/>
        <n v="78570.3"/>
        <n v="79655.6"/>
        <n v="80289.6"/>
        <n v="80393.6"/>
        <n v="83165.2"/>
        <n v="91473.6"/>
        <n v="96449.4"/>
        <n v="98978.6"/>
        <n v="99595.6"/>
        <n v="100800"/>
        <n v="105421.4"/>
        <n v="106797.6"/>
        <n v="109324.8"/>
        <n v="109709.2"/>
        <n v="109932.6"/>
        <n v="110010"/>
        <n v="111428.1"/>
        <n v="116968.8"/>
        <n v="118491"/>
        <n v="119829.6"/>
        <n v="120161.2"/>
        <n v="122522.4"/>
        <n v="122794.1"/>
        <n v="130651.2"/>
        <n v="140917"/>
        <n v="141360"/>
        <n v="144146.4"/>
        <n v="144463.5"/>
        <n v="145587.2"/>
        <n v="145667.6"/>
        <n v="148204"/>
        <n v="155114.1"/>
        <n v="158576"/>
        <n v="162850.2"/>
        <n v="163574.6"/>
        <n v="166622.4"/>
        <n v="166965.6"/>
        <n v="167575.2"/>
        <n v="170996.4"/>
        <n v="172638"/>
        <n v="174433.6"/>
        <n v="174754"/>
        <n v="175076"/>
        <n v="178399.2"/>
        <n v="178935.9"/>
        <n v="179127.6"/>
        <n v="185207.1"/>
        <n v="189295"/>
        <n v="191682"/>
        <n v="197849.4"/>
        <n v="202293"/>
        <n v="208590.2"/>
        <n v="209333.7"/>
        <n v="211216.2"/>
        <n v="217564.2"/>
        <n v="219578.8"/>
        <n v="219897.9"/>
        <n v="225938"/>
        <n v="228689.6"/>
        <n v="231570.9"/>
        <n v="246657.9"/>
        <n v="247259.6"/>
        <n v="247967.5"/>
        <n v="248584"/>
        <n v="249388.8"/>
        <n v="257424"/>
        <n v="260245.2"/>
        <n v="262838.4"/>
        <n v="270354"/>
        <n v="277751.5"/>
        <n v="277791"/>
        <n v="278964"/>
        <n v="286322.4"/>
        <n v="287520"/>
        <n v="296712"/>
        <n v="297988"/>
        <n v="320649.6"/>
        <n v="322192.3"/>
        <n v="335642.9"/>
        <n v="350602"/>
        <n v="359085.9"/>
        <n v="366725.5"/>
        <n v="372640.5"/>
        <n v="376487.1"/>
        <n v="381362.7"/>
        <n v="383360"/>
        <n v="392332"/>
        <n v="392560.7"/>
        <n v="396324.5"/>
        <n v="404289.6"/>
        <n v="423398.4"/>
        <n v="428409.6"/>
        <n v="433204.2"/>
        <n v="434808"/>
        <n v="449914.5"/>
        <n v="451467"/>
        <n v="470766.4"/>
        <n v="477545.9"/>
        <n v="485515.8"/>
        <n v="487912"/>
        <n v="488724"/>
        <n v="494243.2"/>
        <n v="496846"/>
        <n v="497346.6"/>
        <n v="501004.5"/>
        <n v="507033.6"/>
        <n v="517093.2"/>
        <n v="529905.6"/>
        <n v="530961.6"/>
        <n v="575036"/>
        <n v="588989.2"/>
        <n v="594490.2"/>
        <n v="605353.1"/>
        <n v="606144"/>
        <n v="609646.6"/>
        <n v="622634"/>
        <n v="623394.9"/>
        <n v="631744.2"/>
        <n v="640191.4"/>
        <n v="652259.3"/>
        <n v="652791.1"/>
        <n v="660352"/>
        <n v="665815"/>
        <n v="666052.8"/>
        <n v="689836"/>
        <n v="699300"/>
        <n v="740014.3"/>
        <n v="779394.4"/>
        <n v="787924.8"/>
        <n v="845488.4"/>
        <n v="877584"/>
        <n v="879182.4"/>
        <n v="881518"/>
        <n v="928172.8"/>
        <n v="930863.4"/>
        <n v="956662.4"/>
        <n v="960300"/>
        <n v="971850"/>
        <n v="1010903.6"/>
        <n v="1014625.5"/>
        <n v="1015189"/>
        <n v="1047361.2"/>
        <n v="1068673.2"/>
        <n v="1069049.9"/>
        <n v="1103181.5"/>
        <n v="1123843.8"/>
        <n v="1124622.4"/>
        <n v="1129887"/>
        <n v="1133220"/>
        <n v="1148655"/>
        <n v="1186303.5"/>
        <n v="1186365"/>
        <n v="1187890.2"/>
        <n v="1209987.9"/>
        <n v="1222247.2"/>
        <n v="1239333.9"/>
        <n v="1251685"/>
        <n v="1254673.8"/>
        <n v="1269378.1"/>
        <n v="1286574.6"/>
        <n v="1291288.6"/>
        <n v="1292122.8"/>
        <n v="1301418.3"/>
        <n v="1326889.8"/>
        <n v="1338032"/>
        <n v="1378013"/>
        <n v="1404189"/>
        <n v="1433462.4"/>
        <n v="1437847.5"/>
        <n v="1477193.9"/>
        <n v="1477909.5"/>
        <n v="1512789.6"/>
        <n v="1542387"/>
        <n v="1543252.2"/>
        <n v="1547143.2"/>
        <n v="1549405"/>
        <n v="1612747.5"/>
        <n v="1622028.8"/>
        <n v="1650231"/>
        <n v="1678743"/>
        <n v="1728123.6"/>
        <n v="1761505.9"/>
        <n v="1784295.4"/>
        <n v="1791520.8"/>
        <n v="1854405"/>
        <n v="1921287"/>
        <n v="1944135.3"/>
        <n v="1954096.4"/>
        <n v="1954813.7"/>
        <n v="1994530.8"/>
        <n v="2004948"/>
        <n v="2099667.6"/>
        <n v="2110212"/>
        <n v="2139470.4"/>
        <n v="2165628"/>
        <n v="2186841.6"/>
        <n v="2203575.4"/>
        <n v="2210044.1"/>
        <n v="2234082.8"/>
        <n v="2299216"/>
        <n v="2307900"/>
        <n v="2308701"/>
        <n v="2322918.4"/>
        <n v="2365797.6"/>
        <n v="2366295.6"/>
        <n v="2374306.5"/>
        <n v="2377872"/>
        <n v="2396299.6"/>
        <n v="2398996.6"/>
        <n v="2404820"/>
        <n v="2413880.6"/>
        <n v="2446977.6"/>
        <n v="2449005"/>
        <n v="2451599.1"/>
        <n v="2480703.2"/>
        <n v="2481144.8"/>
        <n v="2496866.4"/>
        <n v="2499201.1"/>
        <n v="2511993"/>
        <n v="2521586.4"/>
        <n v="2541440"/>
        <n v="2543772"/>
        <n v="2553269.4"/>
        <n v="2558034"/>
        <n v="2578044"/>
        <n v="2603582.4"/>
        <n v="2666968.5"/>
        <n v="2715104"/>
        <n v="2755387.8"/>
        <n v="2761193.6"/>
        <n v="2786381.5"/>
        <n v="2789591.4"/>
        <n v="2803045.5"/>
        <n v="2842560"/>
        <n v="2945376"/>
        <n v="2967375.4"/>
        <n v="3005228.8"/>
        <n v="3011314.7"/>
        <n v="3257065.7"/>
        <n v="3288426.9"/>
        <n v="3335966.4"/>
        <n v="3364239.2"/>
        <n v="3477578.2"/>
        <n v="3523806.2"/>
        <n v="3638998"/>
        <n v="3651902.5"/>
        <n v="3709452.8"/>
        <n v="3853032"/>
        <n v="3947272.2"/>
        <n v="3956603.6"/>
        <n v="4155213.4"/>
        <n v="4239566.1"/>
        <n v="4436529.4"/>
        <n v="4497805.2"/>
        <n v="4634631.3"/>
        <n v="5165903.4"/>
        <n v="5424780"/>
        <n v="5528434.4"/>
        <n v="6477267"/>
        <n v="6765992.6"/>
        <n v="6766335.8"/>
        <n v="6835284"/>
        <n v="7002043.2"/>
        <n v="7082548.2"/>
        <n v="7182254.4"/>
        <n v="7220664.4"/>
        <n v="7249303.6"/>
        <n v="7392900.6"/>
        <n v="7510998.6"/>
        <n v="7529886"/>
        <n v="8026633.6"/>
        <n v="8098433.5"/>
        <n v="8110931.8"/>
        <n v="8143680"/>
        <n v="8227263.2"/>
        <n v="8328695"/>
        <n v="9066330"/>
        <n v="9274122.6"/>
        <n v="9846468"/>
        <n v="10261599.8"/>
        <n v="12052340.8"/>
        <n v="12598322.4"/>
        <n v="12887318"/>
        <n v="12974326.8"/>
        <n v="13029357.6"/>
        <n v="13107977.6"/>
        <n v="15093116.8"/>
        <n v="15186669.3"/>
        <n v="15308265"/>
        <n v="15311400"/>
        <n v="15352000"/>
        <n v="15692536.1"/>
        <n v="15889122.5"/>
        <n v="16926906.8"/>
        <n v="17585730.8"/>
        <n v="18324432.6"/>
        <n v="18690453.6"/>
        <n v="18744824"/>
      </sharedItems>
    </cacheField>
    <cacheField name="Ålder*Antal" numFmtId="0">
      <sharedItems containsSemiMixedTypes="0" containsString="0" containsNumber="1" minValue="150" maxValue="2901002.4" count="420">
        <n v="150"/>
        <n v="262.8"/>
        <n v="286.2"/>
        <n v="288"/>
        <n v="317.8"/>
        <n v="336.7"/>
        <n v="388.8"/>
        <n v="390"/>
        <n v="427.2"/>
        <n v="429"/>
        <n v="537.5"/>
        <n v="542.8"/>
        <n v="554.4"/>
        <n v="585"/>
        <n v="590.4"/>
        <n v="632.8"/>
        <n v="666.4"/>
        <n v="673.4"/>
        <n v="693"/>
        <n v="714"/>
        <n v="761.4"/>
        <n v="765.9"/>
        <n v="790.4"/>
        <n v="836"/>
        <n v="850.2"/>
        <n v="864.9"/>
        <n v="904"/>
        <n v="904.8"/>
        <n v="943"/>
        <n v="957.9"/>
        <n v="1130"/>
        <n v="1165.5"/>
        <n v="1177.4"/>
        <n v="1193.4"/>
        <n v="1198.5"/>
        <n v="1199"/>
        <n v="1206.5"/>
        <n v="1218"/>
        <n v="1292"/>
        <n v="1332"/>
        <n v="1342.3"/>
        <n v="1354.5"/>
        <n v="1356.6"/>
        <n v="1485.9"/>
        <n v="1512"/>
        <n v="1545.6"/>
        <n v="1555.2"/>
        <n v="1557.6"/>
        <n v="1560.6"/>
        <n v="1656"/>
        <n v="1726.1"/>
        <n v="1801.2"/>
        <n v="1989"/>
        <n v="2287.8"/>
        <n v="2544.1"/>
        <n v="2644.8"/>
        <n v="2652"/>
        <n v="2681.8"/>
        <n v="2726"/>
        <n v="2728"/>
        <n v="2770.7"/>
        <n v="2861.1"/>
        <n v="3010"/>
        <n v="3012.4"/>
        <n v="3026.4"/>
        <n v="3143.6"/>
        <n v="3177.9"/>
        <n v="3348.8"/>
        <n v="3434.4"/>
        <n v="3472.6"/>
        <n v="3522.4"/>
        <n v="3568.7"/>
        <n v="3714.2"/>
        <n v="3752.4"/>
        <n v="3854.4"/>
        <n v="3904"/>
        <n v="3904.5"/>
        <n v="3949.8"/>
        <n v="4163"/>
        <n v="4211.2"/>
        <n v="4300"/>
        <n v="4602.9"/>
        <n v="4703.1"/>
        <n v="4712.4"/>
        <n v="4814.4"/>
        <n v="4820.8"/>
        <n v="4835.1"/>
        <n v="4865.5"/>
        <n v="4873.5"/>
        <n v="4947.6"/>
        <n v="4953.6"/>
        <n v="4974.9"/>
        <n v="5007.1"/>
        <n v="5086.2"/>
        <n v="5202"/>
        <n v="5297.6"/>
        <n v="5338.3"/>
        <n v="5367.6"/>
        <n v="5404.4"/>
        <n v="5464.8"/>
        <n v="5556.8"/>
        <n v="5909.5"/>
        <n v="5911"/>
        <n v="5936"/>
        <n v="5994.4"/>
        <n v="6079.5"/>
        <n v="6308.1"/>
        <n v="6444.8"/>
        <n v="6583"/>
        <n v="6598.8"/>
        <n v="6609.2"/>
        <n v="6617.6"/>
        <n v="6721"/>
        <n v="6727.5"/>
        <n v="7002.7"/>
        <n v="7177.9"/>
        <n v="7252"/>
        <n v="7565.6"/>
        <n v="7768.6"/>
        <n v="7971.6"/>
        <n v="7981.8"/>
        <n v="8105.4"/>
        <n v="8186.4"/>
        <n v="8232"/>
        <n v="8287.5"/>
        <n v="8294.4"/>
        <n v="8633.6"/>
        <n v="8671"/>
        <n v="8804"/>
        <n v="8825"/>
        <n v="8885.4"/>
        <n v="9200.1"/>
        <n v="9791.1"/>
        <n v="9804"/>
        <n v="10123.4"/>
        <n v="10240.8"/>
        <n v="10854"/>
        <n v="11070"/>
        <n v="11336"/>
        <n v="11702.4"/>
        <n v="12089"/>
        <n v="12261"/>
        <n v="12313.2"/>
        <n v="12420"/>
        <n v="12676.5"/>
        <n v="12677.6"/>
        <n v="12741.3"/>
        <n v="12748.4"/>
        <n v="13157.2"/>
        <n v="13380"/>
        <n v="13843.7"/>
        <n v="14039"/>
        <n v="14089.6"/>
        <n v="14322"/>
        <n v="14328.4"/>
        <n v="14718.9"/>
        <n v="15210"/>
        <n v="15314"/>
        <n v="16096.5"/>
        <n v="16977.8"/>
        <n v="17139.6"/>
        <n v="17837.4"/>
        <n v="18517.9"/>
        <n v="18864"/>
        <n v="18884.8"/>
        <n v="19329.2"/>
        <n v="19597.6"/>
        <n v="19624.1"/>
        <n v="21141"/>
        <n v="21212.6"/>
        <n v="21279"/>
        <n v="22171.5"/>
        <n v="22654.8"/>
        <n v="23970"/>
        <n v="24148.8"/>
        <n v="24830.7"/>
        <n v="24966"/>
        <n v="24993.6"/>
        <n v="25158"/>
        <n v="26252.4"/>
        <n v="26732"/>
        <n v="27164.8"/>
        <n v="27243.5"/>
        <n v="27650.1"/>
        <n v="27818.6"/>
        <n v="28176"/>
        <n v="28197.6"/>
        <n v="28236.8"/>
        <n v="28284.4"/>
        <n v="28291.2"/>
        <n v="28795.6"/>
        <n v="28901.6"/>
        <n v="29131.3"/>
        <n v="29743.2"/>
        <n v="30195.5"/>
        <n v="30838.8"/>
        <n v="30907.2"/>
        <n v="31225.5"/>
        <n v="32166"/>
        <n v="32184.6"/>
        <n v="33062"/>
        <n v="33148.5"/>
        <n v="34365.6"/>
        <n v="34534.5"/>
        <n v="35221.8"/>
        <n v="35532"/>
        <n v="35546.5"/>
        <n v="36036"/>
        <n v="36171.2"/>
        <n v="36579.2"/>
        <n v="38210.4"/>
        <n v="39019.2"/>
        <n v="39379"/>
        <n v="39476"/>
        <n v="40734"/>
        <n v="41846"/>
        <n v="42854.4"/>
        <n v="43166.4"/>
        <n v="43370.6"/>
        <n v="44462.7"/>
        <n v="45667.6"/>
        <n v="46310.4"/>
        <n v="46662"/>
        <n v="46694.7"/>
        <n v="47451.6"/>
        <n v="47610"/>
        <n v="48173.5"/>
        <n v="48861"/>
        <n v="52405.5"/>
        <n v="52434.6"/>
        <n v="52852.8"/>
        <n v="53295.9"/>
        <n v="53900"/>
        <n v="54192.6"/>
        <n v="54815.8"/>
        <n v="54902.4"/>
        <n v="55091.4"/>
        <n v="55579.5"/>
        <n v="58559.7"/>
        <n v="60219.2"/>
        <n v="60460.8"/>
        <n v="60609.6"/>
        <n v="60905.7"/>
        <n v="61102.8"/>
        <n v="64794.4"/>
        <n v="66573"/>
        <n v="69338.4"/>
        <n v="70077"/>
        <n v="71200"/>
        <n v="71346"/>
        <n v="72242"/>
        <n v="73190.7"/>
        <n v="77817.6"/>
        <n v="78090"/>
        <n v="79832.2"/>
        <n v="80484"/>
        <n v="80547.6"/>
        <n v="83467"/>
        <n v="88981.2"/>
        <n v="89281.1"/>
        <n v="90521"/>
        <n v="90924"/>
        <n v="91612.5"/>
        <n v="92978.1"/>
        <n v="97206.4"/>
        <n v="97240"/>
        <n v="97397.4"/>
        <n v="98445.6"/>
        <n v="99110"/>
        <n v="99365"/>
        <n v="105981.2"/>
        <n v="111052.2"/>
        <n v="111239"/>
        <n v="112595.2"/>
        <n v="116288"/>
        <n v="116659.4"/>
        <n v="116682.5"/>
        <n v="116760.5"/>
        <n v="117444.6"/>
        <n v="117455"/>
        <n v="118029.6"/>
        <n v="118419.3"/>
        <n v="119007"/>
        <n v="120251"/>
        <n v="121521.4"/>
        <n v="122946"/>
        <n v="124125.5"/>
        <n v="125464.5"/>
        <n v="126215.1"/>
        <n v="126873"/>
        <n v="127526.4"/>
        <n v="130395.1"/>
        <n v="143735.4"/>
        <n v="146667.5"/>
        <n v="149362"/>
        <n v="153091"/>
        <n v="155860.8"/>
        <n v="159409.8"/>
        <n v="164826.2"/>
        <n v="167020.4"/>
        <n v="172555.5"/>
        <n v="174391.2"/>
        <n v="176826.4"/>
        <n v="180467.5"/>
        <n v="183229.8"/>
        <n v="184419.6"/>
        <n v="185925.3"/>
        <n v="190150.4"/>
        <n v="192090"/>
        <n v="192587.2"/>
        <n v="195540"/>
        <n v="198208.5"/>
        <n v="199642.5"/>
        <n v="200691.6"/>
        <n v="200799.8"/>
        <n v="200896"/>
        <n v="202512.7"/>
        <n v="206944.6"/>
        <n v="210784.2"/>
        <n v="211689"/>
        <n v="214540.8"/>
        <n v="216198.5"/>
        <n v="216889.4"/>
        <n v="217054.4"/>
        <n v="219847.2"/>
        <n v="219961.3"/>
        <n v="227133.6"/>
        <n v="233300.4"/>
        <n v="241542.4"/>
        <n v="241748.5"/>
        <n v="244772.5"/>
        <n v="253372.4"/>
        <n v="256750.4"/>
        <n v="258597"/>
        <n v="263261.8"/>
        <n v="265307.4"/>
        <n v="269044.6"/>
        <n v="271063"/>
        <n v="272184.8"/>
        <n v="272647.6"/>
        <n v="278787.6"/>
        <n v="282628.8"/>
        <n v="284694.4"/>
        <n v="285120"/>
        <n v="288120"/>
        <n v="295417.1"/>
        <n v="295818"/>
        <n v="298923.8"/>
        <n v="308898.1"/>
        <n v="309675"/>
        <n v="313016.1"/>
        <n v="313180"/>
        <n v="313419.6"/>
        <n v="322477.5"/>
        <n v="324099.6"/>
        <n v="325166.4"/>
        <n v="336576.6"/>
        <n v="337423.5"/>
        <n v="337714.4"/>
        <n v="341924"/>
        <n v="348990.4"/>
        <n v="354438"/>
        <n v="360864"/>
        <n v="361404.5"/>
        <n v="364014"/>
        <n v="364765.8"/>
        <n v="368319.6"/>
        <n v="379456"/>
        <n v="382820.9"/>
        <n v="403299.7"/>
        <n v="414066.4"/>
        <n v="435889.6"/>
        <n v="461107"/>
        <n v="462992.6"/>
        <n v="465756"/>
        <n v="473491"/>
        <n v="491515"/>
        <n v="505794.8"/>
        <n v="606532"/>
        <n v="609055.4"/>
        <n v="625808.4"/>
        <n v="647749.4"/>
        <n v="653453.4"/>
        <n v="658725.2"/>
        <n v="665059.2"/>
        <n v="730715.4"/>
        <n v="743875"/>
        <n v="799016.4"/>
        <n v="822220.3"/>
        <n v="878148"/>
        <n v="882979.6"/>
        <n v="907871.6"/>
        <n v="924004.4"/>
        <n v="945250"/>
        <n v="997036"/>
        <n v="1000426"/>
        <n v="1002499"/>
        <n v="1011148.8"/>
        <n v="1042483.6"/>
        <n v="1113971.1"/>
        <n v="1120776"/>
        <n v="1220200.8"/>
        <n v="1372705.2"/>
        <n v="1392903.2"/>
        <n v="1573838.1"/>
        <n v="1696556.7"/>
        <n v="1698208.8"/>
        <n v="1805601"/>
        <n v="1808693.9"/>
        <n v="1812715.9"/>
        <n v="1835687.7"/>
        <n v="1844421.4"/>
        <n v="1885396.1"/>
        <n v="2101766.8"/>
        <n v="2620404.8"/>
        <n v="2821387.6"/>
        <n v="2838403.2"/>
        <n v="2863036.8"/>
        <n v="2879608.8"/>
        <n v="2901002.4"/>
      </sharedItems>
    </cacheField>
    <cacheField name="Djur2" numFmtId="0" databaseField="0"/>
    <cacheField name="Ras2" numFmtId="0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0">
  <r>
    <x v="0"/>
    <x v="0"/>
    <x v="0"/>
    <x v="367"/>
    <x v="121"/>
    <x v="38"/>
    <x v="7"/>
    <x v="215"/>
    <x v="399"/>
    <x v="413"/>
  </r>
  <r>
    <x v="0"/>
    <x v="0"/>
    <x v="1"/>
    <x v="363"/>
    <x v="137"/>
    <x v="39"/>
    <x v="8"/>
    <x v="216"/>
    <x v="393"/>
    <x v="408"/>
  </r>
  <r>
    <x v="0"/>
    <x v="0"/>
    <x v="2"/>
    <x v="364"/>
    <x v="129"/>
    <x v="35"/>
    <x v="7"/>
    <x v="218"/>
    <x v="394"/>
    <x v="410"/>
  </r>
  <r>
    <x v="0"/>
    <x v="0"/>
    <x v="3"/>
    <x v="362"/>
    <x v="140"/>
    <x v="37"/>
    <x v="8"/>
    <x v="220"/>
    <x v="392"/>
    <x v="409"/>
  </r>
  <r>
    <x v="0"/>
    <x v="0"/>
    <x v="4"/>
    <x v="359"/>
    <x v="145"/>
    <x v="34"/>
    <x v="7"/>
    <x v="222"/>
    <x v="389"/>
    <x v="406"/>
  </r>
  <r>
    <x v="0"/>
    <x v="0"/>
    <x v="5"/>
    <x v="354"/>
    <x v="149"/>
    <x v="33"/>
    <x v="7"/>
    <x v="223"/>
    <x v="381"/>
    <x v="404"/>
  </r>
  <r>
    <x v="0"/>
    <x v="1"/>
    <x v="0"/>
    <x v="375"/>
    <x v="143"/>
    <x v="30"/>
    <x v="1"/>
    <x v="217"/>
    <x v="406"/>
    <x v="419"/>
  </r>
  <r>
    <x v="0"/>
    <x v="1"/>
    <x v="1"/>
    <x v="370"/>
    <x v="161"/>
    <x v="32"/>
    <x v="2"/>
    <x v="216"/>
    <x v="402"/>
    <x v="414"/>
  </r>
  <r>
    <x v="0"/>
    <x v="1"/>
    <x v="2"/>
    <x v="373"/>
    <x v="162"/>
    <x v="30"/>
    <x v="1"/>
    <x v="219"/>
    <x v="404"/>
    <x v="415"/>
  </r>
  <r>
    <x v="0"/>
    <x v="1"/>
    <x v="3"/>
    <x v="374"/>
    <x v="172"/>
    <x v="31"/>
    <x v="2"/>
    <x v="221"/>
    <x v="407"/>
    <x v="417"/>
  </r>
  <r>
    <x v="0"/>
    <x v="1"/>
    <x v="4"/>
    <x v="372"/>
    <x v="176"/>
    <x v="30"/>
    <x v="1"/>
    <x v="222"/>
    <x v="405"/>
    <x v="418"/>
  </r>
  <r>
    <x v="0"/>
    <x v="1"/>
    <x v="5"/>
    <x v="371"/>
    <x v="184"/>
    <x v="29"/>
    <x v="1"/>
    <x v="224"/>
    <x v="403"/>
    <x v="416"/>
  </r>
  <r>
    <x v="0"/>
    <x v="2"/>
    <x v="0"/>
    <x v="224"/>
    <x v="305"/>
    <x v="67"/>
    <x v="29"/>
    <x v="248"/>
    <x v="263"/>
    <x v="334"/>
  </r>
  <r>
    <x v="0"/>
    <x v="2"/>
    <x v="1"/>
    <x v="232"/>
    <x v="295"/>
    <x v="66"/>
    <x v="28"/>
    <x v="251"/>
    <x v="271"/>
    <x v="346"/>
  </r>
  <r>
    <x v="0"/>
    <x v="2"/>
    <x v="2"/>
    <x v="252"/>
    <x v="262"/>
    <x v="62"/>
    <x v="26"/>
    <x v="245"/>
    <x v="291"/>
    <x v="368"/>
  </r>
  <r>
    <x v="0"/>
    <x v="2"/>
    <x v="3"/>
    <x v="256"/>
    <x v="252"/>
    <x v="60"/>
    <x v="25"/>
    <x v="243"/>
    <x v="295"/>
    <x v="369"/>
  </r>
  <r>
    <x v="0"/>
    <x v="2"/>
    <x v="4"/>
    <x v="258"/>
    <x v="272"/>
    <x v="61"/>
    <x v="26"/>
    <x v="239"/>
    <x v="300"/>
    <x v="370"/>
  </r>
  <r>
    <x v="0"/>
    <x v="2"/>
    <x v="5"/>
    <x v="253"/>
    <x v="294"/>
    <x v="61"/>
    <x v="29"/>
    <x v="241"/>
    <x v="294"/>
    <x v="367"/>
  </r>
  <r>
    <x v="0"/>
    <x v="3"/>
    <x v="0"/>
    <x v="216"/>
    <x v="356"/>
    <x v="54"/>
    <x v="41"/>
    <x v="256"/>
    <x v="261"/>
    <x v="330"/>
  </r>
  <r>
    <x v="0"/>
    <x v="3"/>
    <x v="1"/>
    <x v="227"/>
    <x v="351"/>
    <x v="52"/>
    <x v="41"/>
    <x v="257"/>
    <x v="275"/>
    <x v="345"/>
  </r>
  <r>
    <x v="0"/>
    <x v="3"/>
    <x v="2"/>
    <x v="241"/>
    <x v="342"/>
    <x v="44"/>
    <x v="38"/>
    <x v="252"/>
    <x v="288"/>
    <x v="356"/>
  </r>
  <r>
    <x v="0"/>
    <x v="3"/>
    <x v="3"/>
    <x v="239"/>
    <x v="337"/>
    <x v="42"/>
    <x v="36"/>
    <x v="253"/>
    <x v="285"/>
    <x v="354"/>
  </r>
  <r>
    <x v="0"/>
    <x v="3"/>
    <x v="4"/>
    <x v="235"/>
    <x v="345"/>
    <x v="43"/>
    <x v="38"/>
    <x v="254"/>
    <x v="283"/>
    <x v="352"/>
  </r>
  <r>
    <x v="0"/>
    <x v="3"/>
    <x v="5"/>
    <x v="225"/>
    <x v="358"/>
    <x v="44"/>
    <x v="42"/>
    <x v="254"/>
    <x v="274"/>
    <x v="340"/>
  </r>
  <r>
    <x v="0"/>
    <x v="4"/>
    <x v="0"/>
    <x v="159"/>
    <x v="290"/>
    <x v="66"/>
    <x v="31"/>
    <x v="236"/>
    <x v="197"/>
    <x v="250"/>
  </r>
  <r>
    <x v="0"/>
    <x v="4"/>
    <x v="1"/>
    <x v="158"/>
    <x v="283"/>
    <x v="65"/>
    <x v="30"/>
    <x v="238"/>
    <x v="195"/>
    <x v="248"/>
  </r>
  <r>
    <x v="0"/>
    <x v="4"/>
    <x v="2"/>
    <x v="169"/>
    <x v="267"/>
    <x v="62"/>
    <x v="30"/>
    <x v="228"/>
    <x v="211"/>
    <x v="265"/>
  </r>
  <r>
    <x v="0"/>
    <x v="4"/>
    <x v="3"/>
    <x v="176"/>
    <x v="251"/>
    <x v="61"/>
    <x v="28"/>
    <x v="233"/>
    <x v="218"/>
    <x v="280"/>
  </r>
  <r>
    <x v="0"/>
    <x v="4"/>
    <x v="4"/>
    <x v="177"/>
    <x v="259"/>
    <x v="60"/>
    <x v="28"/>
    <x v="226"/>
    <x v="222"/>
    <x v="279"/>
  </r>
  <r>
    <x v="0"/>
    <x v="4"/>
    <x v="5"/>
    <x v="171"/>
    <x v="278"/>
    <x v="60"/>
    <x v="30"/>
    <x v="225"/>
    <x v="212"/>
    <x v="264"/>
  </r>
  <r>
    <x v="0"/>
    <x v="5"/>
    <x v="0"/>
    <x v="112"/>
    <x v="336"/>
    <x v="54"/>
    <x v="50"/>
    <x v="254"/>
    <x v="150"/>
    <x v="208"/>
  </r>
  <r>
    <x v="0"/>
    <x v="5"/>
    <x v="1"/>
    <x v="129"/>
    <x v="330"/>
    <x v="51"/>
    <x v="50"/>
    <x v="249"/>
    <x v="158"/>
    <x v="214"/>
  </r>
  <r>
    <x v="0"/>
    <x v="5"/>
    <x v="2"/>
    <x v="146"/>
    <x v="316"/>
    <x v="44"/>
    <x v="48"/>
    <x v="240"/>
    <x v="181"/>
    <x v="237"/>
  </r>
  <r>
    <x v="0"/>
    <x v="5"/>
    <x v="3"/>
    <x v="137"/>
    <x v="297"/>
    <x v="40"/>
    <x v="44"/>
    <x v="246"/>
    <x v="168"/>
    <x v="223"/>
  </r>
  <r>
    <x v="0"/>
    <x v="5"/>
    <x v="4"/>
    <x v="152"/>
    <x v="314"/>
    <x v="38"/>
    <x v="45"/>
    <x v="258"/>
    <x v="187"/>
    <x v="246"/>
  </r>
  <r>
    <x v="0"/>
    <x v="5"/>
    <x v="5"/>
    <x v="142"/>
    <x v="331"/>
    <x v="44"/>
    <x v="47"/>
    <x v="238"/>
    <x v="174"/>
    <x v="227"/>
  </r>
  <r>
    <x v="0"/>
    <x v="6"/>
    <x v="0"/>
    <x v="193"/>
    <x v="321"/>
    <x v="49"/>
    <x v="33"/>
    <x v="244"/>
    <x v="240"/>
    <x v="296"/>
  </r>
  <r>
    <x v="0"/>
    <x v="6"/>
    <x v="1"/>
    <x v="201"/>
    <x v="326"/>
    <x v="48"/>
    <x v="34"/>
    <x v="247"/>
    <x v="248"/>
    <x v="303"/>
  </r>
  <r>
    <x v="0"/>
    <x v="6"/>
    <x v="2"/>
    <x v="219"/>
    <x v="279"/>
    <x v="37"/>
    <x v="29"/>
    <x v="242"/>
    <x v="256"/>
    <x v="327"/>
  </r>
  <r>
    <x v="0"/>
    <x v="6"/>
    <x v="3"/>
    <x v="218"/>
    <x v="282"/>
    <x v="35"/>
    <x v="30"/>
    <x v="235"/>
    <x v="255"/>
    <x v="326"/>
  </r>
  <r>
    <x v="0"/>
    <x v="6"/>
    <x v="4"/>
    <x v="213"/>
    <x v="293"/>
    <x v="37"/>
    <x v="30"/>
    <x v="237"/>
    <x v="253"/>
    <x v="320"/>
  </r>
  <r>
    <x v="0"/>
    <x v="6"/>
    <x v="5"/>
    <x v="209"/>
    <x v="319"/>
    <x v="40"/>
    <x v="33"/>
    <x v="234"/>
    <x v="254"/>
    <x v="317"/>
  </r>
  <r>
    <x v="0"/>
    <x v="7"/>
    <x v="0"/>
    <x v="134"/>
    <x v="78"/>
    <x v="43"/>
    <x v="13"/>
    <x v="266"/>
    <x v="138"/>
    <x v="228"/>
  </r>
  <r>
    <x v="0"/>
    <x v="7"/>
    <x v="1"/>
    <x v="124"/>
    <x v="80"/>
    <x v="42"/>
    <x v="14"/>
    <x v="255"/>
    <x v="129"/>
    <x v="215"/>
  </r>
  <r>
    <x v="0"/>
    <x v="7"/>
    <x v="2"/>
    <x v="141"/>
    <x v="74"/>
    <x v="37"/>
    <x v="11"/>
    <x v="259"/>
    <x v="143"/>
    <x v="236"/>
  </r>
  <r>
    <x v="0"/>
    <x v="7"/>
    <x v="3"/>
    <x v="118"/>
    <x v="73"/>
    <x v="33"/>
    <x v="10"/>
    <x v="263"/>
    <x v="127"/>
    <x v="217"/>
  </r>
  <r>
    <x v="0"/>
    <x v="7"/>
    <x v="4"/>
    <x v="125"/>
    <x v="81"/>
    <x v="39"/>
    <x v="13"/>
    <x v="264"/>
    <x v="130"/>
    <x v="220"/>
  </r>
  <r>
    <x v="0"/>
    <x v="7"/>
    <x v="5"/>
    <x v="105"/>
    <x v="76"/>
    <x v="36"/>
    <x v="12"/>
    <x v="265"/>
    <x v="118"/>
    <x v="200"/>
  </r>
  <r>
    <x v="0"/>
    <x v="8"/>
    <x v="0"/>
    <x v="46"/>
    <x v="338"/>
    <x v="31"/>
    <x v="45"/>
    <x v="267"/>
    <x v="85"/>
    <x v="140"/>
  </r>
  <r>
    <x v="0"/>
    <x v="8"/>
    <x v="1"/>
    <x v="38"/>
    <x v="367"/>
    <x v="41"/>
    <x v="51"/>
    <x v="261"/>
    <x v="81"/>
    <x v="134"/>
  </r>
  <r>
    <x v="0"/>
    <x v="8"/>
    <x v="2"/>
    <x v="55"/>
    <x v="343"/>
    <x v="27"/>
    <x v="48"/>
    <x v="260"/>
    <x v="100"/>
    <x v="151"/>
  </r>
  <r>
    <x v="0"/>
    <x v="8"/>
    <x v="3"/>
    <x v="62"/>
    <x v="347"/>
    <x v="31"/>
    <x v="44"/>
    <x v="263"/>
    <x v="113"/>
    <x v="160"/>
  </r>
  <r>
    <x v="0"/>
    <x v="8"/>
    <x v="4"/>
    <x v="50"/>
    <x v="353"/>
    <x v="27"/>
    <x v="46"/>
    <x v="262"/>
    <x v="99"/>
    <x v="148"/>
  </r>
  <r>
    <x v="0"/>
    <x v="8"/>
    <x v="5"/>
    <x v="53"/>
    <x v="366"/>
    <x v="27"/>
    <x v="48"/>
    <x v="250"/>
    <x v="103"/>
    <x v="144"/>
  </r>
  <r>
    <x v="0"/>
    <x v="9"/>
    <x v="0"/>
    <x v="344"/>
    <x v="242"/>
    <x v="51"/>
    <x v="23"/>
    <x v="233"/>
    <x v="378"/>
    <x v="402"/>
  </r>
  <r>
    <x v="0"/>
    <x v="9"/>
    <x v="1"/>
    <x v="346"/>
    <x v="244"/>
    <x v="49"/>
    <x v="24"/>
    <x v="232"/>
    <x v="379"/>
    <x v="403"/>
  </r>
  <r>
    <x v="0"/>
    <x v="9"/>
    <x v="2"/>
    <x v="351"/>
    <x v="227"/>
    <x v="44"/>
    <x v="23"/>
    <x v="231"/>
    <x v="385"/>
    <x v="407"/>
  </r>
  <r>
    <x v="0"/>
    <x v="9"/>
    <x v="3"/>
    <x v="353"/>
    <x v="226"/>
    <x v="43"/>
    <x v="22"/>
    <x v="229"/>
    <x v="388"/>
    <x v="411"/>
  </r>
  <r>
    <x v="0"/>
    <x v="9"/>
    <x v="4"/>
    <x v="355"/>
    <x v="239"/>
    <x v="43"/>
    <x v="23"/>
    <x v="230"/>
    <x v="390"/>
    <x v="412"/>
  </r>
  <r>
    <x v="0"/>
    <x v="9"/>
    <x v="5"/>
    <x v="349"/>
    <x v="256"/>
    <x v="44"/>
    <x v="25"/>
    <x v="227"/>
    <x v="384"/>
    <x v="405"/>
  </r>
  <r>
    <x v="4"/>
    <x v="0"/>
    <x v="0"/>
    <x v="333"/>
    <x v="92"/>
    <x v="32"/>
    <x v="6"/>
    <x v="192"/>
    <x v="358"/>
    <x v="371"/>
  </r>
  <r>
    <x v="4"/>
    <x v="0"/>
    <x v="1"/>
    <x v="324"/>
    <x v="96"/>
    <x v="35"/>
    <x v="7"/>
    <x v="193"/>
    <x v="346"/>
    <x v="365"/>
  </r>
  <r>
    <x v="4"/>
    <x v="0"/>
    <x v="2"/>
    <x v="323"/>
    <x v="93"/>
    <x v="32"/>
    <x v="6"/>
    <x v="197"/>
    <x v="338"/>
    <x v="364"/>
  </r>
  <r>
    <x v="4"/>
    <x v="0"/>
    <x v="3"/>
    <x v="316"/>
    <x v="94"/>
    <x v="32"/>
    <x v="7"/>
    <x v="201"/>
    <x v="326"/>
    <x v="361"/>
  </r>
  <r>
    <x v="4"/>
    <x v="0"/>
    <x v="4"/>
    <x v="304"/>
    <x v="95"/>
    <x v="31"/>
    <x v="6"/>
    <x v="207"/>
    <x v="314"/>
    <x v="357"/>
  </r>
  <r>
    <x v="4"/>
    <x v="0"/>
    <x v="5"/>
    <x v="291"/>
    <x v="97"/>
    <x v="30"/>
    <x v="7"/>
    <x v="211"/>
    <x v="307"/>
    <x v="353"/>
  </r>
  <r>
    <x v="4"/>
    <x v="1"/>
    <x v="0"/>
    <x v="347"/>
    <x v="98"/>
    <x v="27"/>
    <x v="0"/>
    <x v="195"/>
    <x v="377"/>
    <x v="385"/>
  </r>
  <r>
    <x v="4"/>
    <x v="1"/>
    <x v="1"/>
    <x v="343"/>
    <x v="101"/>
    <x v="30"/>
    <x v="2"/>
    <x v="198"/>
    <x v="375"/>
    <x v="380"/>
  </r>
  <r>
    <x v="4"/>
    <x v="1"/>
    <x v="2"/>
    <x v="345"/>
    <x v="99"/>
    <x v="28"/>
    <x v="1"/>
    <x v="200"/>
    <x v="376"/>
    <x v="384"/>
  </r>
  <r>
    <x v="4"/>
    <x v="1"/>
    <x v="3"/>
    <x v="342"/>
    <x v="102"/>
    <x v="28"/>
    <x v="1"/>
    <x v="204"/>
    <x v="374"/>
    <x v="383"/>
  </r>
  <r>
    <x v="4"/>
    <x v="1"/>
    <x v="4"/>
    <x v="341"/>
    <x v="104"/>
    <x v="28"/>
    <x v="1"/>
    <x v="208"/>
    <x v="372"/>
    <x v="381"/>
  </r>
  <r>
    <x v="4"/>
    <x v="1"/>
    <x v="5"/>
    <x v="340"/>
    <x v="108"/>
    <x v="27"/>
    <x v="1"/>
    <x v="213"/>
    <x v="369"/>
    <x v="382"/>
  </r>
  <r>
    <x v="4"/>
    <x v="2"/>
    <x v="0"/>
    <x v="164"/>
    <x v="167"/>
    <x v="61"/>
    <x v="27"/>
    <x v="187"/>
    <x v="194"/>
    <x v="203"/>
  </r>
  <r>
    <x v="4"/>
    <x v="2"/>
    <x v="1"/>
    <x v="165"/>
    <x v="162"/>
    <x v="59"/>
    <x v="27"/>
    <x v="187"/>
    <x v="196"/>
    <x v="207"/>
  </r>
  <r>
    <x v="4"/>
    <x v="2"/>
    <x v="2"/>
    <x v="170"/>
    <x v="134"/>
    <x v="52"/>
    <x v="25"/>
    <x v="184"/>
    <x v="202"/>
    <x v="219"/>
  </r>
  <r>
    <x v="4"/>
    <x v="2"/>
    <x v="3"/>
    <x v="180"/>
    <x v="141"/>
    <x v="53"/>
    <x v="26"/>
    <x v="181"/>
    <x v="217"/>
    <x v="234"/>
  </r>
  <r>
    <x v="4"/>
    <x v="2"/>
    <x v="4"/>
    <x v="184"/>
    <x v="142"/>
    <x v="51"/>
    <x v="26"/>
    <x v="184"/>
    <x v="219"/>
    <x v="238"/>
  </r>
  <r>
    <x v="4"/>
    <x v="2"/>
    <x v="5"/>
    <x v="186"/>
    <x v="173"/>
    <x v="52"/>
    <x v="28"/>
    <x v="191"/>
    <x v="224"/>
    <x v="243"/>
  </r>
  <r>
    <x v="4"/>
    <x v="3"/>
    <x v="0"/>
    <x v="136"/>
    <x v="246"/>
    <x v="43"/>
    <x v="37"/>
    <x v="185"/>
    <x v="164"/>
    <x v="165"/>
  </r>
  <r>
    <x v="4"/>
    <x v="3"/>
    <x v="1"/>
    <x v="144"/>
    <x v="245"/>
    <x v="41"/>
    <x v="36"/>
    <x v="182"/>
    <x v="172"/>
    <x v="171"/>
  </r>
  <r>
    <x v="4"/>
    <x v="3"/>
    <x v="2"/>
    <x v="150"/>
    <x v="218"/>
    <x v="32"/>
    <x v="33"/>
    <x v="183"/>
    <x v="178"/>
    <x v="176"/>
  </r>
  <r>
    <x v="4"/>
    <x v="3"/>
    <x v="3"/>
    <x v="154"/>
    <x v="190"/>
    <x v="30"/>
    <x v="32"/>
    <x v="173"/>
    <x v="183"/>
    <x v="184"/>
  </r>
  <r>
    <x v="4"/>
    <x v="3"/>
    <x v="4"/>
    <x v="153"/>
    <x v="220"/>
    <x v="33"/>
    <x v="35"/>
    <x v="182"/>
    <x v="186"/>
    <x v="186"/>
  </r>
  <r>
    <x v="4"/>
    <x v="3"/>
    <x v="5"/>
    <x v="149"/>
    <x v="246"/>
    <x v="35"/>
    <x v="38"/>
    <x v="200"/>
    <x v="179"/>
    <x v="181"/>
  </r>
  <r>
    <x v="4"/>
    <x v="4"/>
    <x v="0"/>
    <x v="91"/>
    <x v="144"/>
    <x v="56"/>
    <x v="27"/>
    <x v="183"/>
    <x v="124"/>
    <x v="133"/>
  </r>
  <r>
    <x v="4"/>
    <x v="4"/>
    <x v="1"/>
    <x v="79"/>
    <x v="165"/>
    <x v="59"/>
    <x v="27"/>
    <x v="182"/>
    <x v="117"/>
    <x v="122"/>
  </r>
  <r>
    <x v="4"/>
    <x v="4"/>
    <x v="2"/>
    <x v="108"/>
    <x v="123"/>
    <x v="52"/>
    <x v="26"/>
    <x v="174"/>
    <x v="128"/>
    <x v="139"/>
  </r>
  <r>
    <x v="4"/>
    <x v="4"/>
    <x v="3"/>
    <x v="115"/>
    <x v="127"/>
    <x v="51"/>
    <x v="25"/>
    <x v="183"/>
    <x v="144"/>
    <x v="157"/>
  </r>
  <r>
    <x v="4"/>
    <x v="4"/>
    <x v="4"/>
    <x v="140"/>
    <x v="169"/>
    <x v="53"/>
    <x v="29"/>
    <x v="169"/>
    <x v="159"/>
    <x v="163"/>
  </r>
  <r>
    <x v="4"/>
    <x v="4"/>
    <x v="5"/>
    <x v="133"/>
    <x v="156"/>
    <x v="49"/>
    <x v="28"/>
    <x v="170"/>
    <x v="152"/>
    <x v="159"/>
  </r>
  <r>
    <x v="4"/>
    <x v="5"/>
    <x v="0"/>
    <x v="52"/>
    <x v="255"/>
    <x v="46"/>
    <x v="47"/>
    <x v="176"/>
    <x v="91"/>
    <x v="89"/>
  </r>
  <r>
    <x v="4"/>
    <x v="5"/>
    <x v="1"/>
    <x v="48"/>
    <x v="208"/>
    <x v="42"/>
    <x v="40"/>
    <x v="170"/>
    <x v="73"/>
    <x v="78"/>
  </r>
  <r>
    <x v="4"/>
    <x v="5"/>
    <x v="2"/>
    <x v="51"/>
    <x v="192"/>
    <x v="31"/>
    <x v="37"/>
    <x v="174"/>
    <x v="84"/>
    <x v="85"/>
  </r>
  <r>
    <x v="4"/>
    <x v="5"/>
    <x v="3"/>
    <x v="68"/>
    <x v="151"/>
    <x v="33"/>
    <x v="38"/>
    <x v="180"/>
    <x v="101"/>
    <x v="111"/>
  </r>
  <r>
    <x v="4"/>
    <x v="5"/>
    <x v="4"/>
    <x v="79"/>
    <x v="158"/>
    <x v="32"/>
    <x v="36"/>
    <x v="186"/>
    <x v="116"/>
    <x v="125"/>
  </r>
  <r>
    <x v="4"/>
    <x v="5"/>
    <x v="5"/>
    <x v="72"/>
    <x v="209"/>
    <x v="38"/>
    <x v="43"/>
    <x v="190"/>
    <x v="111"/>
    <x v="117"/>
  </r>
  <r>
    <x v="4"/>
    <x v="6"/>
    <x v="0"/>
    <x v="140"/>
    <x v="212"/>
    <x v="42"/>
    <x v="29"/>
    <x v="178"/>
    <x v="163"/>
    <x v="166"/>
  </r>
  <r>
    <x v="4"/>
    <x v="6"/>
    <x v="1"/>
    <x v="143"/>
    <x v="197"/>
    <x v="41"/>
    <x v="29"/>
    <x v="173"/>
    <x v="169"/>
    <x v="169"/>
  </r>
  <r>
    <x v="4"/>
    <x v="6"/>
    <x v="2"/>
    <x v="156"/>
    <x v="164"/>
    <x v="30"/>
    <x v="26"/>
    <x v="177"/>
    <x v="184"/>
    <x v="192"/>
  </r>
  <r>
    <x v="4"/>
    <x v="6"/>
    <x v="3"/>
    <x v="161"/>
    <x v="152"/>
    <x v="30"/>
    <x v="26"/>
    <x v="187"/>
    <x v="190"/>
    <x v="201"/>
  </r>
  <r>
    <x v="4"/>
    <x v="6"/>
    <x v="4"/>
    <x v="160"/>
    <x v="160"/>
    <x v="31"/>
    <x v="27"/>
    <x v="180"/>
    <x v="188"/>
    <x v="196"/>
  </r>
  <r>
    <x v="4"/>
    <x v="6"/>
    <x v="5"/>
    <x v="155"/>
    <x v="173"/>
    <x v="31"/>
    <x v="29"/>
    <x v="177"/>
    <x v="185"/>
    <x v="190"/>
  </r>
  <r>
    <x v="4"/>
    <x v="7"/>
    <x v="0"/>
    <x v="36"/>
    <x v="64"/>
    <x v="38"/>
    <x v="14"/>
    <x v="206"/>
    <x v="48"/>
    <x v="79"/>
  </r>
  <r>
    <x v="4"/>
    <x v="7"/>
    <x v="1"/>
    <x v="24"/>
    <x v="56"/>
    <x v="27"/>
    <x v="4"/>
    <x v="205"/>
    <x v="35"/>
    <x v="63"/>
  </r>
  <r>
    <x v="4"/>
    <x v="7"/>
    <x v="2"/>
    <x v="21"/>
    <x v="47"/>
    <x v="19"/>
    <x v="6"/>
    <x v="214"/>
    <x v="22"/>
    <x v="61"/>
  </r>
  <r>
    <x v="4"/>
    <x v="7"/>
    <x v="3"/>
    <x v="18"/>
    <x v="63"/>
    <x v="20"/>
    <x v="5"/>
    <x v="202"/>
    <x v="20"/>
    <x v="50"/>
  </r>
  <r>
    <x v="4"/>
    <x v="7"/>
    <x v="4"/>
    <x v="12"/>
    <x v="66"/>
    <x v="20"/>
    <x v="8"/>
    <x v="210"/>
    <x v="11"/>
    <x v="47"/>
  </r>
  <r>
    <x v="4"/>
    <x v="7"/>
    <x v="5"/>
    <x v="11"/>
    <x v="61"/>
    <x v="23"/>
    <x v="7"/>
    <x v="203"/>
    <x v="8"/>
    <x v="40"/>
  </r>
  <r>
    <x v="4"/>
    <x v="8"/>
    <x v="0"/>
    <x v="10"/>
    <x v="265"/>
    <x v="31"/>
    <x v="48"/>
    <x v="198"/>
    <x v="25"/>
    <x v="37"/>
  </r>
  <r>
    <x v="4"/>
    <x v="8"/>
    <x v="1"/>
    <x v="15"/>
    <x v="250"/>
    <x v="41"/>
    <x v="40"/>
    <x v="169"/>
    <x v="34"/>
    <x v="39"/>
  </r>
  <r>
    <x v="4"/>
    <x v="8"/>
    <x v="2"/>
    <x v="5"/>
    <x v="219"/>
    <x v="18"/>
    <x v="34"/>
    <x v="190"/>
    <x v="7"/>
    <x v="16"/>
  </r>
  <r>
    <x v="4"/>
    <x v="8"/>
    <x v="3"/>
    <x v="1"/>
    <x v="100"/>
    <x v="10"/>
    <x v="26"/>
    <x v="167"/>
    <x v="1"/>
    <x v="8"/>
  </r>
  <r>
    <x v="4"/>
    <x v="8"/>
    <x v="4"/>
    <x v="13"/>
    <x v="286"/>
    <x v="16"/>
    <x v="45"/>
    <x v="193"/>
    <x v="32"/>
    <x v="42"/>
  </r>
  <r>
    <x v="4"/>
    <x v="8"/>
    <x v="5"/>
    <x v="20"/>
    <x v="317"/>
    <x v="17"/>
    <x v="44"/>
    <x v="169"/>
    <x v="43"/>
    <x v="49"/>
  </r>
  <r>
    <x v="4"/>
    <x v="9"/>
    <x v="0"/>
    <x v="265"/>
    <x v="132"/>
    <x v="43"/>
    <x v="21"/>
    <x v="188"/>
    <x v="301"/>
    <x v="319"/>
  </r>
  <r>
    <x v="4"/>
    <x v="9"/>
    <x v="1"/>
    <x v="271"/>
    <x v="130"/>
    <x v="42"/>
    <x v="21"/>
    <x v="180"/>
    <x v="305"/>
    <x v="324"/>
  </r>
  <r>
    <x v="4"/>
    <x v="9"/>
    <x v="2"/>
    <x v="297"/>
    <x v="114"/>
    <x v="35"/>
    <x v="19"/>
    <x v="189"/>
    <x v="313"/>
    <x v="339"/>
  </r>
  <r>
    <x v="4"/>
    <x v="9"/>
    <x v="3"/>
    <x v="298"/>
    <x v="118"/>
    <x v="37"/>
    <x v="21"/>
    <x v="181"/>
    <x v="316"/>
    <x v="337"/>
  </r>
  <r>
    <x v="4"/>
    <x v="9"/>
    <x v="4"/>
    <x v="310"/>
    <x v="136"/>
    <x v="39"/>
    <x v="23"/>
    <x v="182"/>
    <x v="343"/>
    <x v="350"/>
  </r>
  <r>
    <x v="4"/>
    <x v="9"/>
    <x v="5"/>
    <x v="301"/>
    <x v="152"/>
    <x v="40"/>
    <x v="25"/>
    <x v="190"/>
    <x v="322"/>
    <x v="344"/>
  </r>
  <r>
    <x v="1"/>
    <x v="0"/>
    <x v="0"/>
    <x v="303"/>
    <x v="107"/>
    <x v="48"/>
    <x v="17"/>
    <x v="130"/>
    <x v="317"/>
    <x v="323"/>
  </r>
  <r>
    <x v="1"/>
    <x v="0"/>
    <x v="1"/>
    <x v="283"/>
    <x v="116"/>
    <x v="49"/>
    <x v="18"/>
    <x v="137"/>
    <x v="309"/>
    <x v="310"/>
  </r>
  <r>
    <x v="1"/>
    <x v="0"/>
    <x v="2"/>
    <x v="273"/>
    <x v="103"/>
    <x v="45"/>
    <x v="17"/>
    <x v="147"/>
    <x v="302"/>
    <x v="305"/>
  </r>
  <r>
    <x v="1"/>
    <x v="0"/>
    <x v="3"/>
    <x v="264"/>
    <x v="113"/>
    <x v="44"/>
    <x v="18"/>
    <x v="162"/>
    <x v="298"/>
    <x v="304"/>
  </r>
  <r>
    <x v="1"/>
    <x v="0"/>
    <x v="4"/>
    <x v="268"/>
    <x v="105"/>
    <x v="43"/>
    <x v="18"/>
    <x v="172"/>
    <x v="299"/>
    <x v="315"/>
  </r>
  <r>
    <x v="1"/>
    <x v="0"/>
    <x v="5"/>
    <x v="261"/>
    <x v="120"/>
    <x v="44"/>
    <x v="20"/>
    <x v="180"/>
    <x v="297"/>
    <x v="309"/>
  </r>
  <r>
    <x v="1"/>
    <x v="1"/>
    <x v="0"/>
    <x v="326"/>
    <x v="109"/>
    <x v="45"/>
    <x v="10"/>
    <x v="134"/>
    <x v="355"/>
    <x v="343"/>
  </r>
  <r>
    <x v="1"/>
    <x v="1"/>
    <x v="1"/>
    <x v="325"/>
    <x v="119"/>
    <x v="46"/>
    <x v="11"/>
    <x v="141"/>
    <x v="354"/>
    <x v="341"/>
  </r>
  <r>
    <x v="1"/>
    <x v="1"/>
    <x v="2"/>
    <x v="320"/>
    <x v="115"/>
    <x v="43"/>
    <x v="11"/>
    <x v="147"/>
    <x v="347"/>
    <x v="338"/>
  </r>
  <r>
    <x v="1"/>
    <x v="1"/>
    <x v="3"/>
    <x v="312"/>
    <x v="116"/>
    <x v="42"/>
    <x v="11"/>
    <x v="164"/>
    <x v="337"/>
    <x v="342"/>
  </r>
  <r>
    <x v="1"/>
    <x v="1"/>
    <x v="4"/>
    <x v="309"/>
    <x v="117"/>
    <x v="41"/>
    <x v="11"/>
    <x v="179"/>
    <x v="336"/>
    <x v="349"/>
  </r>
  <r>
    <x v="1"/>
    <x v="1"/>
    <x v="5"/>
    <x v="313"/>
    <x v="125"/>
    <x v="41"/>
    <x v="12"/>
    <x v="199"/>
    <x v="342"/>
    <x v="359"/>
  </r>
  <r>
    <x v="1"/>
    <x v="2"/>
    <x v="0"/>
    <x v="245"/>
    <x v="122"/>
    <x v="64"/>
    <x v="33"/>
    <x v="106"/>
    <x v="270"/>
    <x v="268"/>
  </r>
  <r>
    <x v="1"/>
    <x v="2"/>
    <x v="1"/>
    <x v="244"/>
    <x v="122"/>
    <x v="63"/>
    <x v="33"/>
    <x v="105"/>
    <x v="269"/>
    <x v="267"/>
  </r>
  <r>
    <x v="1"/>
    <x v="2"/>
    <x v="2"/>
    <x v="254"/>
    <x v="106"/>
    <x v="57"/>
    <x v="31"/>
    <x v="113"/>
    <x v="278"/>
    <x v="276"/>
  </r>
  <r>
    <x v="1"/>
    <x v="2"/>
    <x v="3"/>
    <x v="260"/>
    <x v="110"/>
    <x v="56"/>
    <x v="31"/>
    <x v="120"/>
    <x v="293"/>
    <x v="292"/>
  </r>
  <r>
    <x v="1"/>
    <x v="2"/>
    <x v="4"/>
    <x v="274"/>
    <x v="112"/>
    <x v="55"/>
    <x v="32"/>
    <x v="116"/>
    <x v="303"/>
    <x v="298"/>
  </r>
  <r>
    <x v="1"/>
    <x v="2"/>
    <x v="5"/>
    <x v="272"/>
    <x v="124"/>
    <x v="56"/>
    <x v="33"/>
    <x v="121"/>
    <x v="304"/>
    <x v="299"/>
  </r>
  <r>
    <x v="1"/>
    <x v="3"/>
    <x v="0"/>
    <x v="231"/>
    <x v="177"/>
    <x v="48"/>
    <x v="43"/>
    <x v="96"/>
    <x v="262"/>
    <x v="254"/>
  </r>
  <r>
    <x v="1"/>
    <x v="3"/>
    <x v="1"/>
    <x v="230"/>
    <x v="181"/>
    <x v="46"/>
    <x v="43"/>
    <x v="99"/>
    <x v="260"/>
    <x v="256"/>
  </r>
  <r>
    <x v="1"/>
    <x v="3"/>
    <x v="2"/>
    <x v="240"/>
    <x v="168"/>
    <x v="43"/>
    <x v="42"/>
    <x v="103"/>
    <x v="266"/>
    <x v="260"/>
  </r>
  <r>
    <x v="1"/>
    <x v="3"/>
    <x v="3"/>
    <x v="250"/>
    <x v="171"/>
    <x v="42"/>
    <x v="42"/>
    <x v="112"/>
    <x v="284"/>
    <x v="271"/>
  </r>
  <r>
    <x v="1"/>
    <x v="3"/>
    <x v="4"/>
    <x v="248"/>
    <x v="182"/>
    <x v="41"/>
    <x v="43"/>
    <x v="149"/>
    <x v="282"/>
    <x v="287"/>
  </r>
  <r>
    <x v="1"/>
    <x v="3"/>
    <x v="5"/>
    <x v="246"/>
    <x v="205"/>
    <x v="42"/>
    <x v="45"/>
    <x v="149"/>
    <x v="279"/>
    <x v="282"/>
  </r>
  <r>
    <x v="1"/>
    <x v="4"/>
    <x v="0"/>
    <x v="167"/>
    <x v="126"/>
    <x v="63"/>
    <x v="36"/>
    <x v="97"/>
    <x v="200"/>
    <x v="187"/>
  </r>
  <r>
    <x v="1"/>
    <x v="4"/>
    <x v="1"/>
    <x v="172"/>
    <x v="131"/>
    <x v="64"/>
    <x v="37"/>
    <x v="98"/>
    <x v="204"/>
    <x v="197"/>
  </r>
  <r>
    <x v="1"/>
    <x v="4"/>
    <x v="2"/>
    <x v="181"/>
    <x v="111"/>
    <x v="58"/>
    <x v="34"/>
    <x v="102"/>
    <x v="215"/>
    <x v="210"/>
  </r>
  <r>
    <x v="1"/>
    <x v="4"/>
    <x v="3"/>
    <x v="194"/>
    <x v="117"/>
    <x v="56"/>
    <x v="33"/>
    <x v="108"/>
    <x v="229"/>
    <x v="224"/>
  </r>
  <r>
    <x v="1"/>
    <x v="4"/>
    <x v="4"/>
    <x v="205"/>
    <x v="128"/>
    <x v="55"/>
    <x v="35"/>
    <x v="117"/>
    <x v="244"/>
    <x v="242"/>
  </r>
  <r>
    <x v="1"/>
    <x v="4"/>
    <x v="5"/>
    <x v="204"/>
    <x v="136"/>
    <x v="56"/>
    <x v="35"/>
    <x v="120"/>
    <x v="243"/>
    <x v="240"/>
  </r>
  <r>
    <x v="1"/>
    <x v="5"/>
    <x v="0"/>
    <x v="163"/>
    <x v="168"/>
    <x v="49"/>
    <x v="54"/>
    <x v="88"/>
    <x v="192"/>
    <x v="168"/>
  </r>
  <r>
    <x v="1"/>
    <x v="5"/>
    <x v="1"/>
    <x v="162"/>
    <x v="171"/>
    <x v="49"/>
    <x v="54"/>
    <x v="90"/>
    <x v="191"/>
    <x v="170"/>
  </r>
  <r>
    <x v="1"/>
    <x v="5"/>
    <x v="2"/>
    <x v="166"/>
    <x v="154"/>
    <x v="45"/>
    <x v="50"/>
    <x v="90"/>
    <x v="198"/>
    <x v="177"/>
  </r>
  <r>
    <x v="1"/>
    <x v="5"/>
    <x v="3"/>
    <x v="168"/>
    <x v="162"/>
    <x v="44"/>
    <x v="48"/>
    <x v="128"/>
    <x v="201"/>
    <x v="199"/>
  </r>
  <r>
    <x v="1"/>
    <x v="5"/>
    <x v="4"/>
    <x v="173"/>
    <x v="153"/>
    <x v="42"/>
    <x v="50"/>
    <x v="120"/>
    <x v="209"/>
    <x v="204"/>
  </r>
  <r>
    <x v="1"/>
    <x v="5"/>
    <x v="5"/>
    <x v="174"/>
    <x v="148"/>
    <x v="41"/>
    <x v="48"/>
    <x v="119"/>
    <x v="210"/>
    <x v="206"/>
  </r>
  <r>
    <x v="1"/>
    <x v="6"/>
    <x v="0"/>
    <x v="214"/>
    <x v="155"/>
    <x v="49"/>
    <x v="38"/>
    <x v="89"/>
    <x v="249"/>
    <x v="239"/>
  </r>
  <r>
    <x v="1"/>
    <x v="6"/>
    <x v="1"/>
    <x v="215"/>
    <x v="163"/>
    <x v="48"/>
    <x v="38"/>
    <x v="89"/>
    <x v="250"/>
    <x v="241"/>
  </r>
  <r>
    <x v="1"/>
    <x v="6"/>
    <x v="2"/>
    <x v="223"/>
    <x v="144"/>
    <x v="43"/>
    <x v="37"/>
    <x v="95"/>
    <x v="252"/>
    <x v="249"/>
  </r>
  <r>
    <x v="1"/>
    <x v="6"/>
    <x v="3"/>
    <x v="229"/>
    <x v="139"/>
    <x v="42"/>
    <x v="37"/>
    <x v="94"/>
    <x v="257"/>
    <x v="252"/>
  </r>
  <r>
    <x v="1"/>
    <x v="6"/>
    <x v="4"/>
    <x v="242"/>
    <x v="147"/>
    <x v="41"/>
    <x v="37"/>
    <x v="110"/>
    <x v="267"/>
    <x v="266"/>
  </r>
  <r>
    <x v="1"/>
    <x v="6"/>
    <x v="5"/>
    <x v="236"/>
    <x v="174"/>
    <x v="43"/>
    <x v="40"/>
    <x v="108"/>
    <x v="265"/>
    <x v="259"/>
  </r>
  <r>
    <x v="1"/>
    <x v="7"/>
    <x v="0"/>
    <x v="98"/>
    <x v="51"/>
    <x v="31"/>
    <x v="12"/>
    <x v="145"/>
    <x v="98"/>
    <x v="128"/>
  </r>
  <r>
    <x v="1"/>
    <x v="7"/>
    <x v="1"/>
    <x v="85"/>
    <x v="57"/>
    <x v="33"/>
    <x v="14"/>
    <x v="163"/>
    <x v="88"/>
    <x v="121"/>
  </r>
  <r>
    <x v="1"/>
    <x v="7"/>
    <x v="2"/>
    <x v="95"/>
    <x v="31"/>
    <x v="21"/>
    <x v="10"/>
    <x v="161"/>
    <x v="90"/>
    <x v="131"/>
  </r>
  <r>
    <x v="1"/>
    <x v="7"/>
    <x v="3"/>
    <x v="80"/>
    <x v="49"/>
    <x v="23"/>
    <x v="10"/>
    <x v="179"/>
    <x v="75"/>
    <x v="124"/>
  </r>
  <r>
    <x v="1"/>
    <x v="7"/>
    <x v="4"/>
    <x v="63"/>
    <x v="59"/>
    <x v="33"/>
    <x v="13"/>
    <x v="188"/>
    <x v="61"/>
    <x v="106"/>
  </r>
  <r>
    <x v="1"/>
    <x v="7"/>
    <x v="5"/>
    <x v="69"/>
    <x v="62"/>
    <x v="25"/>
    <x v="13"/>
    <x v="204"/>
    <x v="64"/>
    <x v="118"/>
  </r>
  <r>
    <x v="1"/>
    <x v="8"/>
    <x v="0"/>
    <x v="68"/>
    <x v="203"/>
    <x v="35"/>
    <x v="60"/>
    <x v="73"/>
    <x v="104"/>
    <x v="74"/>
  </r>
  <r>
    <x v="1"/>
    <x v="8"/>
    <x v="1"/>
    <x v="60"/>
    <x v="155"/>
    <x v="32"/>
    <x v="58"/>
    <x v="71"/>
    <x v="97"/>
    <x v="68"/>
  </r>
  <r>
    <x v="1"/>
    <x v="8"/>
    <x v="2"/>
    <x v="67"/>
    <x v="166"/>
    <x v="27"/>
    <x v="56"/>
    <x v="78"/>
    <x v="102"/>
    <x v="77"/>
  </r>
  <r>
    <x v="1"/>
    <x v="8"/>
    <x v="3"/>
    <x v="78"/>
    <x v="204"/>
    <x v="26"/>
    <x v="60"/>
    <x v="78"/>
    <x v="119"/>
    <x v="86"/>
  </r>
  <r>
    <x v="1"/>
    <x v="8"/>
    <x v="4"/>
    <x v="74"/>
    <x v="159"/>
    <x v="28"/>
    <x v="53"/>
    <x v="70"/>
    <x v="109"/>
    <x v="80"/>
  </r>
  <r>
    <x v="1"/>
    <x v="8"/>
    <x v="5"/>
    <x v="90"/>
    <x v="180"/>
    <x v="27"/>
    <x v="54"/>
    <x v="81"/>
    <x v="126"/>
    <x v="102"/>
  </r>
  <r>
    <x v="1"/>
    <x v="9"/>
    <x v="0"/>
    <x v="358"/>
    <x v="146"/>
    <x v="55"/>
    <x v="37"/>
    <x v="104"/>
    <x v="387"/>
    <x v="379"/>
  </r>
  <r>
    <x v="1"/>
    <x v="9"/>
    <x v="1"/>
    <x v="356"/>
    <x v="150"/>
    <x v="54"/>
    <x v="37"/>
    <x v="106"/>
    <x v="386"/>
    <x v="378"/>
  </r>
  <r>
    <x v="1"/>
    <x v="9"/>
    <x v="2"/>
    <x v="365"/>
    <x v="135"/>
    <x v="50"/>
    <x v="36"/>
    <x v="113"/>
    <x v="397"/>
    <x v="386"/>
  </r>
  <r>
    <x v="1"/>
    <x v="9"/>
    <x v="3"/>
    <x v="366"/>
    <x v="133"/>
    <x v="49"/>
    <x v="35"/>
    <x v="110"/>
    <x v="398"/>
    <x v="387"/>
  </r>
  <r>
    <x v="1"/>
    <x v="9"/>
    <x v="4"/>
    <x v="369"/>
    <x v="138"/>
    <x v="48"/>
    <x v="36"/>
    <x v="112"/>
    <x v="401"/>
    <x v="391"/>
  </r>
  <r>
    <x v="1"/>
    <x v="9"/>
    <x v="5"/>
    <x v="368"/>
    <x v="157"/>
    <x v="49"/>
    <x v="38"/>
    <x v="120"/>
    <x v="400"/>
    <x v="389"/>
  </r>
  <r>
    <x v="3"/>
    <x v="0"/>
    <x v="0"/>
    <x v="335"/>
    <x v="192"/>
    <x v="40"/>
    <x v="15"/>
    <x v="118"/>
    <x v="367"/>
    <x v="351"/>
  </r>
  <r>
    <x v="3"/>
    <x v="0"/>
    <x v="1"/>
    <x v="332"/>
    <x v="196"/>
    <x v="40"/>
    <x v="15"/>
    <x v="124"/>
    <x v="365"/>
    <x v="348"/>
  </r>
  <r>
    <x v="3"/>
    <x v="0"/>
    <x v="2"/>
    <x v="330"/>
    <x v="183"/>
    <x v="35"/>
    <x v="14"/>
    <x v="135"/>
    <x v="360"/>
    <x v="347"/>
  </r>
  <r>
    <x v="3"/>
    <x v="0"/>
    <x v="3"/>
    <x v="318"/>
    <x v="184"/>
    <x v="33"/>
    <x v="13"/>
    <x v="144"/>
    <x v="353"/>
    <x v="335"/>
  </r>
  <r>
    <x v="3"/>
    <x v="0"/>
    <x v="4"/>
    <x v="315"/>
    <x v="193"/>
    <x v="33"/>
    <x v="13"/>
    <x v="153"/>
    <x v="350"/>
    <x v="336"/>
  </r>
  <r>
    <x v="3"/>
    <x v="0"/>
    <x v="5"/>
    <x v="306"/>
    <x v="207"/>
    <x v="34"/>
    <x v="15"/>
    <x v="160"/>
    <x v="341"/>
    <x v="331"/>
  </r>
  <r>
    <x v="3"/>
    <x v="1"/>
    <x v="0"/>
    <x v="337"/>
    <x v="187"/>
    <x v="38"/>
    <x v="9"/>
    <x v="116"/>
    <x v="371"/>
    <x v="358"/>
  </r>
  <r>
    <x v="3"/>
    <x v="1"/>
    <x v="1"/>
    <x v="339"/>
    <x v="194"/>
    <x v="37"/>
    <x v="8"/>
    <x v="121"/>
    <x v="373"/>
    <x v="366"/>
  </r>
  <r>
    <x v="3"/>
    <x v="1"/>
    <x v="2"/>
    <x v="338"/>
    <x v="175"/>
    <x v="32"/>
    <x v="7"/>
    <x v="132"/>
    <x v="370"/>
    <x v="363"/>
  </r>
  <r>
    <x v="3"/>
    <x v="1"/>
    <x v="3"/>
    <x v="336"/>
    <x v="181"/>
    <x v="31"/>
    <x v="7"/>
    <x v="149"/>
    <x v="368"/>
    <x v="362"/>
  </r>
  <r>
    <x v="3"/>
    <x v="1"/>
    <x v="4"/>
    <x v="334"/>
    <x v="200"/>
    <x v="32"/>
    <x v="8"/>
    <x v="150"/>
    <x v="366"/>
    <x v="360"/>
  </r>
  <r>
    <x v="3"/>
    <x v="1"/>
    <x v="5"/>
    <x v="331"/>
    <x v="207"/>
    <x v="32"/>
    <x v="8"/>
    <x v="154"/>
    <x v="362"/>
    <x v="355"/>
  </r>
  <r>
    <x v="3"/>
    <x v="2"/>
    <x v="0"/>
    <x v="182"/>
    <x v="217"/>
    <x v="52"/>
    <x v="32"/>
    <x v="105"/>
    <x v="223"/>
    <x v="211"/>
  </r>
  <r>
    <x v="3"/>
    <x v="2"/>
    <x v="1"/>
    <x v="179"/>
    <x v="237"/>
    <x v="53"/>
    <x v="33"/>
    <x v="116"/>
    <x v="221"/>
    <x v="213"/>
  </r>
  <r>
    <x v="3"/>
    <x v="2"/>
    <x v="2"/>
    <x v="183"/>
    <x v="201"/>
    <x v="45"/>
    <x v="31"/>
    <x v="117"/>
    <x v="227"/>
    <x v="216"/>
  </r>
  <r>
    <x v="3"/>
    <x v="2"/>
    <x v="3"/>
    <x v="189"/>
    <x v="202"/>
    <x v="44"/>
    <x v="29"/>
    <x v="125"/>
    <x v="230"/>
    <x v="221"/>
  </r>
  <r>
    <x v="3"/>
    <x v="2"/>
    <x v="4"/>
    <x v="198"/>
    <x v="199"/>
    <x v="43"/>
    <x v="29"/>
    <x v="123"/>
    <x v="235"/>
    <x v="230"/>
  </r>
  <r>
    <x v="3"/>
    <x v="2"/>
    <x v="5"/>
    <x v="199"/>
    <x v="221"/>
    <x v="45"/>
    <x v="31"/>
    <x v="124"/>
    <x v="238"/>
    <x v="231"/>
  </r>
  <r>
    <x v="3"/>
    <x v="3"/>
    <x v="0"/>
    <x v="102"/>
    <x v="284"/>
    <x v="37"/>
    <x v="42"/>
    <x v="86"/>
    <x v="132"/>
    <x v="114"/>
  </r>
  <r>
    <x v="3"/>
    <x v="3"/>
    <x v="1"/>
    <x v="96"/>
    <x v="285"/>
    <x v="35"/>
    <x v="41"/>
    <x v="131"/>
    <x v="131"/>
    <x v="123"/>
  </r>
  <r>
    <x v="3"/>
    <x v="3"/>
    <x v="2"/>
    <x v="77"/>
    <x v="315"/>
    <x v="33"/>
    <x v="40"/>
    <x v="95"/>
    <x v="121"/>
    <x v="96"/>
  </r>
  <r>
    <x v="3"/>
    <x v="3"/>
    <x v="3"/>
    <x v="81"/>
    <x v="277"/>
    <x v="33"/>
    <x v="36"/>
    <x v="106"/>
    <x v="123"/>
    <x v="101"/>
  </r>
  <r>
    <x v="3"/>
    <x v="3"/>
    <x v="4"/>
    <x v="82"/>
    <x v="281"/>
    <x v="28"/>
    <x v="37"/>
    <x v="106"/>
    <x v="125"/>
    <x v="103"/>
  </r>
  <r>
    <x v="3"/>
    <x v="3"/>
    <x v="5"/>
    <x v="78"/>
    <x v="267"/>
    <x v="29"/>
    <x v="36"/>
    <x v="94"/>
    <x v="120"/>
    <x v="97"/>
  </r>
  <r>
    <x v="3"/>
    <x v="4"/>
    <x v="0"/>
    <x v="128"/>
    <x v="215"/>
    <x v="55"/>
    <x v="33"/>
    <x v="101"/>
    <x v="151"/>
    <x v="138"/>
  </r>
  <r>
    <x v="3"/>
    <x v="4"/>
    <x v="1"/>
    <x v="139"/>
    <x v="241"/>
    <x v="54"/>
    <x v="34"/>
    <x v="111"/>
    <x v="165"/>
    <x v="152"/>
  </r>
  <r>
    <x v="3"/>
    <x v="4"/>
    <x v="2"/>
    <x v="148"/>
    <x v="216"/>
    <x v="50"/>
    <x v="32"/>
    <x v="112"/>
    <x v="176"/>
    <x v="161"/>
  </r>
  <r>
    <x v="3"/>
    <x v="4"/>
    <x v="3"/>
    <x v="151"/>
    <x v="211"/>
    <x v="47"/>
    <x v="31"/>
    <x v="119"/>
    <x v="177"/>
    <x v="162"/>
  </r>
  <r>
    <x v="3"/>
    <x v="4"/>
    <x v="4"/>
    <x v="157"/>
    <x v="217"/>
    <x v="45"/>
    <x v="32"/>
    <x v="160"/>
    <x v="189"/>
    <x v="179"/>
  </r>
  <r>
    <x v="3"/>
    <x v="4"/>
    <x v="5"/>
    <x v="159"/>
    <x v="229"/>
    <x v="47"/>
    <x v="34"/>
    <x v="156"/>
    <x v="193"/>
    <x v="180"/>
  </r>
  <r>
    <x v="3"/>
    <x v="5"/>
    <x v="0"/>
    <x v="30"/>
    <x v="206"/>
    <x v="37"/>
    <x v="44"/>
    <x v="79"/>
    <x v="58"/>
    <x v="51"/>
  </r>
  <r>
    <x v="3"/>
    <x v="5"/>
    <x v="1"/>
    <x v="49"/>
    <x v="271"/>
    <x v="41"/>
    <x v="47"/>
    <x v="83"/>
    <x v="79"/>
    <x v="58"/>
  </r>
  <r>
    <x v="3"/>
    <x v="5"/>
    <x v="2"/>
    <x v="35"/>
    <x v="224"/>
    <x v="39"/>
    <x v="37"/>
    <x v="90"/>
    <x v="62"/>
    <x v="53"/>
  </r>
  <r>
    <x v="3"/>
    <x v="5"/>
    <x v="3"/>
    <x v="54"/>
    <x v="258"/>
    <x v="42"/>
    <x v="34"/>
    <x v="100"/>
    <x v="93"/>
    <x v="70"/>
  </r>
  <r>
    <x v="3"/>
    <x v="5"/>
    <x v="4"/>
    <x v="70"/>
    <x v="243"/>
    <x v="39"/>
    <x v="35"/>
    <x v="98"/>
    <x v="108"/>
    <x v="82"/>
  </r>
  <r>
    <x v="3"/>
    <x v="5"/>
    <x v="5"/>
    <x v="71"/>
    <x v="261"/>
    <x v="37"/>
    <x v="39"/>
    <x v="104"/>
    <x v="112"/>
    <x v="87"/>
  </r>
  <r>
    <x v="3"/>
    <x v="6"/>
    <x v="0"/>
    <x v="108"/>
    <x v="244"/>
    <x v="39"/>
    <x v="35"/>
    <x v="93"/>
    <x v="136"/>
    <x v="120"/>
  </r>
  <r>
    <x v="3"/>
    <x v="6"/>
    <x v="1"/>
    <x v="118"/>
    <x v="266"/>
    <x v="38"/>
    <x v="36"/>
    <x v="93"/>
    <x v="148"/>
    <x v="135"/>
  </r>
  <r>
    <x v="3"/>
    <x v="6"/>
    <x v="2"/>
    <x v="110"/>
    <x v="231"/>
    <x v="31"/>
    <x v="32"/>
    <x v="92"/>
    <x v="142"/>
    <x v="129"/>
  </r>
  <r>
    <x v="3"/>
    <x v="6"/>
    <x v="3"/>
    <x v="113"/>
    <x v="223"/>
    <x v="31"/>
    <x v="30"/>
    <x v="95"/>
    <x v="145"/>
    <x v="132"/>
  </r>
  <r>
    <x v="3"/>
    <x v="6"/>
    <x v="4"/>
    <x v="119"/>
    <x v="238"/>
    <x v="32"/>
    <x v="31"/>
    <x v="109"/>
    <x v="146"/>
    <x v="137"/>
  </r>
  <r>
    <x v="3"/>
    <x v="6"/>
    <x v="5"/>
    <x v="116"/>
    <x v="275"/>
    <x v="33"/>
    <x v="34"/>
    <x v="107"/>
    <x v="149"/>
    <x v="136"/>
  </r>
  <r>
    <x v="3"/>
    <x v="7"/>
    <x v="0"/>
    <x v="69"/>
    <x v="89"/>
    <x v="40"/>
    <x v="19"/>
    <x v="194"/>
    <x v="89"/>
    <x v="115"/>
  </r>
  <r>
    <x v="3"/>
    <x v="7"/>
    <x v="1"/>
    <x v="57"/>
    <x v="77"/>
    <x v="28"/>
    <x v="12"/>
    <x v="212"/>
    <x v="63"/>
    <x v="116"/>
  </r>
  <r>
    <x v="3"/>
    <x v="7"/>
    <x v="2"/>
    <x v="64"/>
    <x v="79"/>
    <x v="28"/>
    <x v="12"/>
    <x v="196"/>
    <x v="71"/>
    <x v="110"/>
  </r>
  <r>
    <x v="3"/>
    <x v="7"/>
    <x v="3"/>
    <x v="56"/>
    <x v="87"/>
    <x v="27"/>
    <x v="12"/>
    <x v="209"/>
    <x v="66"/>
    <x v="112"/>
  </r>
  <r>
    <x v="3"/>
    <x v="7"/>
    <x v="4"/>
    <x v="34"/>
    <x v="88"/>
    <x v="29"/>
    <x v="18"/>
    <x v="171"/>
    <x v="54"/>
    <x v="67"/>
  </r>
  <r>
    <x v="3"/>
    <x v="7"/>
    <x v="5"/>
    <x v="37"/>
    <x v="85"/>
    <x v="26"/>
    <x v="16"/>
    <x v="168"/>
    <x v="56"/>
    <x v="69"/>
  </r>
  <r>
    <x v="3"/>
    <x v="8"/>
    <x v="0"/>
    <x v="0"/>
    <x v="179"/>
    <x v="30"/>
    <x v="27"/>
    <x v="92"/>
    <x v="0"/>
    <x v="0"/>
  </r>
  <r>
    <x v="3"/>
    <x v="8"/>
    <x v="1"/>
    <x v="6"/>
    <x v="233"/>
    <x v="43"/>
    <x v="24"/>
    <x v="155"/>
    <x v="10"/>
    <x v="13"/>
  </r>
  <r>
    <x v="3"/>
    <x v="8"/>
    <x v="2"/>
    <x v="1"/>
    <x v="260"/>
    <x v="39"/>
    <x v="35"/>
    <x v="154"/>
    <x v="3"/>
    <x v="6"/>
  </r>
  <r>
    <x v="3"/>
    <x v="8"/>
    <x v="3"/>
    <x v="2"/>
    <x v="170"/>
    <x v="31"/>
    <x v="31"/>
    <x v="78"/>
    <x v="5"/>
    <x v="4"/>
  </r>
  <r>
    <x v="3"/>
    <x v="8"/>
    <x v="4"/>
    <x v="7"/>
    <x v="213"/>
    <x v="30"/>
    <x v="26"/>
    <x v="105"/>
    <x v="12"/>
    <x v="12"/>
  </r>
  <r>
    <x v="3"/>
    <x v="8"/>
    <x v="5"/>
    <x v="11"/>
    <x v="236"/>
    <x v="37"/>
    <x v="33"/>
    <x v="144"/>
    <x v="26"/>
    <x v="29"/>
  </r>
  <r>
    <x v="3"/>
    <x v="9"/>
    <x v="0"/>
    <x v="285"/>
    <x v="225"/>
    <x v="44"/>
    <x v="29"/>
    <x v="107"/>
    <x v="320"/>
    <x v="302"/>
  </r>
  <r>
    <x v="3"/>
    <x v="9"/>
    <x v="1"/>
    <x v="307"/>
    <x v="234"/>
    <x v="44"/>
    <x v="29"/>
    <x v="115"/>
    <x v="348"/>
    <x v="321"/>
  </r>
  <r>
    <x v="3"/>
    <x v="9"/>
    <x v="2"/>
    <x v="314"/>
    <x v="210"/>
    <x v="40"/>
    <x v="27"/>
    <x v="126"/>
    <x v="352"/>
    <x v="329"/>
  </r>
  <r>
    <x v="3"/>
    <x v="9"/>
    <x v="3"/>
    <x v="311"/>
    <x v="214"/>
    <x v="38"/>
    <x v="26"/>
    <x v="129"/>
    <x v="351"/>
    <x v="328"/>
  </r>
  <r>
    <x v="3"/>
    <x v="9"/>
    <x v="4"/>
    <x v="321"/>
    <x v="222"/>
    <x v="38"/>
    <x v="27"/>
    <x v="132"/>
    <x v="356"/>
    <x v="333"/>
  </r>
  <r>
    <x v="3"/>
    <x v="9"/>
    <x v="5"/>
    <x v="319"/>
    <x v="235"/>
    <x v="39"/>
    <x v="30"/>
    <x v="133"/>
    <x v="357"/>
    <x v="332"/>
  </r>
  <r>
    <x v="5"/>
    <x v="0"/>
    <x v="0"/>
    <x v="361"/>
    <x v="191"/>
    <x v="31"/>
    <x v="21"/>
    <x v="64"/>
    <x v="395"/>
    <x v="376"/>
  </r>
  <r>
    <x v="5"/>
    <x v="0"/>
    <x v="1"/>
    <x v="360"/>
    <x v="202"/>
    <x v="31"/>
    <x v="20"/>
    <x v="66"/>
    <x v="396"/>
    <x v="377"/>
  </r>
  <r>
    <x v="5"/>
    <x v="0"/>
    <x v="2"/>
    <x v="357"/>
    <x v="198"/>
    <x v="30"/>
    <x v="20"/>
    <x v="67"/>
    <x v="391"/>
    <x v="375"/>
  </r>
  <r>
    <x v="5"/>
    <x v="0"/>
    <x v="3"/>
    <x v="352"/>
    <x v="188"/>
    <x v="28"/>
    <x v="19"/>
    <x v="75"/>
    <x v="383"/>
    <x v="374"/>
  </r>
  <r>
    <x v="5"/>
    <x v="0"/>
    <x v="4"/>
    <x v="350"/>
    <x v="189"/>
    <x v="28"/>
    <x v="19"/>
    <x v="76"/>
    <x v="382"/>
    <x v="373"/>
  </r>
  <r>
    <x v="5"/>
    <x v="0"/>
    <x v="5"/>
    <x v="348"/>
    <x v="195"/>
    <x v="25"/>
    <x v="19"/>
    <x v="82"/>
    <x v="380"/>
    <x v="372"/>
  </r>
  <r>
    <x v="5"/>
    <x v="1"/>
    <x v="0"/>
    <x v="382"/>
    <x v="179"/>
    <x v="27"/>
    <x v="13"/>
    <x v="65"/>
    <x v="412"/>
    <x v="393"/>
  </r>
  <r>
    <x v="5"/>
    <x v="1"/>
    <x v="1"/>
    <x v="383"/>
    <x v="192"/>
    <x v="26"/>
    <x v="12"/>
    <x v="67"/>
    <x v="414"/>
    <x v="396"/>
  </r>
  <r>
    <x v="5"/>
    <x v="1"/>
    <x v="2"/>
    <x v="380"/>
    <x v="186"/>
    <x v="26"/>
    <x v="12"/>
    <x v="69"/>
    <x v="410"/>
    <x v="394"/>
  </r>
  <r>
    <x v="5"/>
    <x v="1"/>
    <x v="3"/>
    <x v="377"/>
    <x v="179"/>
    <x v="24"/>
    <x v="11"/>
    <x v="87"/>
    <x v="408"/>
    <x v="400"/>
  </r>
  <r>
    <x v="5"/>
    <x v="1"/>
    <x v="4"/>
    <x v="379"/>
    <x v="178"/>
    <x v="23"/>
    <x v="11"/>
    <x v="85"/>
    <x v="409"/>
    <x v="399"/>
  </r>
  <r>
    <x v="5"/>
    <x v="1"/>
    <x v="5"/>
    <x v="381"/>
    <x v="185"/>
    <x v="22"/>
    <x v="12"/>
    <x v="100"/>
    <x v="411"/>
    <x v="401"/>
  </r>
  <r>
    <x v="5"/>
    <x v="2"/>
    <x v="0"/>
    <x v="295"/>
    <x v="232"/>
    <x v="43"/>
    <x v="41"/>
    <x v="57"/>
    <x v="327"/>
    <x v="291"/>
  </r>
  <r>
    <x v="5"/>
    <x v="2"/>
    <x v="1"/>
    <x v="308"/>
    <x v="248"/>
    <x v="42"/>
    <x v="42"/>
    <x v="60"/>
    <x v="349"/>
    <x v="294"/>
  </r>
  <r>
    <x v="5"/>
    <x v="2"/>
    <x v="2"/>
    <x v="322"/>
    <x v="230"/>
    <x v="39"/>
    <x v="40"/>
    <x v="62"/>
    <x v="359"/>
    <x v="300"/>
  </r>
  <r>
    <x v="5"/>
    <x v="2"/>
    <x v="3"/>
    <x v="327"/>
    <x v="228"/>
    <x v="38"/>
    <x v="40"/>
    <x v="72"/>
    <x v="361"/>
    <x v="318"/>
  </r>
  <r>
    <x v="5"/>
    <x v="2"/>
    <x v="4"/>
    <x v="328"/>
    <x v="236"/>
    <x v="38"/>
    <x v="40"/>
    <x v="74"/>
    <x v="363"/>
    <x v="322"/>
  </r>
  <r>
    <x v="5"/>
    <x v="2"/>
    <x v="5"/>
    <x v="329"/>
    <x v="254"/>
    <x v="39"/>
    <x v="41"/>
    <x v="74"/>
    <x v="364"/>
    <x v="325"/>
  </r>
  <r>
    <x v="5"/>
    <x v="3"/>
    <x v="0"/>
    <x v="280"/>
    <x v="319"/>
    <x v="29"/>
    <x v="57"/>
    <x v="46"/>
    <x v="331"/>
    <x v="272"/>
  </r>
  <r>
    <x v="5"/>
    <x v="3"/>
    <x v="1"/>
    <x v="281"/>
    <x v="325"/>
    <x v="27"/>
    <x v="58"/>
    <x v="52"/>
    <x v="333"/>
    <x v="278"/>
  </r>
  <r>
    <x v="5"/>
    <x v="3"/>
    <x v="2"/>
    <x v="294"/>
    <x v="309"/>
    <x v="26"/>
    <x v="55"/>
    <x v="53"/>
    <x v="344"/>
    <x v="288"/>
  </r>
  <r>
    <x v="5"/>
    <x v="3"/>
    <x v="3"/>
    <x v="292"/>
    <x v="317"/>
    <x v="24"/>
    <x v="55"/>
    <x v="55"/>
    <x v="345"/>
    <x v="289"/>
  </r>
  <r>
    <x v="5"/>
    <x v="3"/>
    <x v="4"/>
    <x v="286"/>
    <x v="311"/>
    <x v="23"/>
    <x v="55"/>
    <x v="56"/>
    <x v="334"/>
    <x v="285"/>
  </r>
  <r>
    <x v="5"/>
    <x v="3"/>
    <x v="5"/>
    <x v="278"/>
    <x v="332"/>
    <x v="24"/>
    <x v="56"/>
    <x v="59"/>
    <x v="332"/>
    <x v="283"/>
  </r>
  <r>
    <x v="5"/>
    <x v="4"/>
    <x v="0"/>
    <x v="203"/>
    <x v="247"/>
    <x v="43"/>
    <x v="45"/>
    <x v="54"/>
    <x v="246"/>
    <x v="209"/>
  </r>
  <r>
    <x v="5"/>
    <x v="4"/>
    <x v="1"/>
    <x v="210"/>
    <x v="269"/>
    <x v="44"/>
    <x v="46"/>
    <x v="52"/>
    <x v="251"/>
    <x v="218"/>
  </r>
  <r>
    <x v="5"/>
    <x v="4"/>
    <x v="2"/>
    <x v="221"/>
    <x v="253"/>
    <x v="40"/>
    <x v="44"/>
    <x v="63"/>
    <x v="258"/>
    <x v="232"/>
  </r>
  <r>
    <x v="5"/>
    <x v="4"/>
    <x v="3"/>
    <x v="234"/>
    <x v="243"/>
    <x v="39"/>
    <x v="43"/>
    <x v="65"/>
    <x v="268"/>
    <x v="244"/>
  </r>
  <r>
    <x v="5"/>
    <x v="4"/>
    <x v="4"/>
    <x v="238"/>
    <x v="249"/>
    <x v="39"/>
    <x v="44"/>
    <x v="62"/>
    <x v="273"/>
    <x v="245"/>
  </r>
  <r>
    <x v="5"/>
    <x v="4"/>
    <x v="5"/>
    <x v="237"/>
    <x v="272"/>
    <x v="38"/>
    <x v="45"/>
    <x v="68"/>
    <x v="272"/>
    <x v="247"/>
  </r>
  <r>
    <x v="5"/>
    <x v="5"/>
    <x v="0"/>
    <x v="178"/>
    <x v="304"/>
    <x v="27"/>
    <x v="70"/>
    <x v="45"/>
    <x v="228"/>
    <x v="174"/>
  </r>
  <r>
    <x v="5"/>
    <x v="5"/>
    <x v="1"/>
    <x v="175"/>
    <x v="316"/>
    <x v="26"/>
    <x v="69"/>
    <x v="47"/>
    <x v="220"/>
    <x v="172"/>
  </r>
  <r>
    <x v="5"/>
    <x v="5"/>
    <x v="2"/>
    <x v="188"/>
    <x v="313"/>
    <x v="26"/>
    <x v="65"/>
    <x v="52"/>
    <x v="232"/>
    <x v="191"/>
  </r>
  <r>
    <x v="5"/>
    <x v="5"/>
    <x v="3"/>
    <x v="191"/>
    <x v="303"/>
    <x v="24"/>
    <x v="62"/>
    <x v="56"/>
    <x v="236"/>
    <x v="195"/>
  </r>
  <r>
    <x v="5"/>
    <x v="5"/>
    <x v="4"/>
    <x v="196"/>
    <x v="297"/>
    <x v="23"/>
    <x v="63"/>
    <x v="51"/>
    <x v="242"/>
    <x v="198"/>
  </r>
  <r>
    <x v="5"/>
    <x v="5"/>
    <x v="5"/>
    <x v="200"/>
    <x v="307"/>
    <x v="24"/>
    <x v="62"/>
    <x v="58"/>
    <x v="247"/>
    <x v="205"/>
  </r>
  <r>
    <x v="5"/>
    <x v="6"/>
    <x v="0"/>
    <x v="262"/>
    <x v="308"/>
    <x v="31"/>
    <x v="52"/>
    <x v="49"/>
    <x v="308"/>
    <x v="263"/>
  </r>
  <r>
    <x v="5"/>
    <x v="6"/>
    <x v="1"/>
    <x v="269"/>
    <x v="323"/>
    <x v="30"/>
    <x v="53"/>
    <x v="48"/>
    <x v="315"/>
    <x v="269"/>
  </r>
  <r>
    <x v="5"/>
    <x v="6"/>
    <x v="2"/>
    <x v="275"/>
    <x v="308"/>
    <x v="28"/>
    <x v="50"/>
    <x v="50"/>
    <x v="318"/>
    <x v="270"/>
  </r>
  <r>
    <x v="5"/>
    <x v="6"/>
    <x v="3"/>
    <x v="277"/>
    <x v="292"/>
    <x v="25"/>
    <x v="50"/>
    <x v="54"/>
    <x v="321"/>
    <x v="274"/>
  </r>
  <r>
    <x v="5"/>
    <x v="6"/>
    <x v="4"/>
    <x v="282"/>
    <x v="299"/>
    <x v="25"/>
    <x v="50"/>
    <x v="53"/>
    <x v="325"/>
    <x v="281"/>
  </r>
  <r>
    <x v="5"/>
    <x v="6"/>
    <x v="5"/>
    <x v="288"/>
    <x v="320"/>
    <x v="25"/>
    <x v="51"/>
    <x v="52"/>
    <x v="339"/>
    <x v="284"/>
  </r>
  <r>
    <x v="5"/>
    <x v="7"/>
    <x v="0"/>
    <x v="89"/>
    <x v="60"/>
    <x v="9"/>
    <x v="13"/>
    <x v="84"/>
    <x v="95"/>
    <x v="104"/>
  </r>
  <r>
    <x v="5"/>
    <x v="7"/>
    <x v="1"/>
    <x v="75"/>
    <x v="68"/>
    <x v="8"/>
    <x v="18"/>
    <x v="80"/>
    <x v="82"/>
    <x v="81"/>
  </r>
  <r>
    <x v="5"/>
    <x v="7"/>
    <x v="2"/>
    <x v="83"/>
    <x v="55"/>
    <x v="5"/>
    <x v="12"/>
    <x v="84"/>
    <x v="86"/>
    <x v="98"/>
  </r>
  <r>
    <x v="5"/>
    <x v="7"/>
    <x v="3"/>
    <x v="73"/>
    <x v="65"/>
    <x v="6"/>
    <x v="15"/>
    <x v="114"/>
    <x v="77"/>
    <x v="99"/>
  </r>
  <r>
    <x v="5"/>
    <x v="7"/>
    <x v="4"/>
    <x v="66"/>
    <x v="70"/>
    <x v="7"/>
    <x v="17"/>
    <x v="131"/>
    <x v="69"/>
    <x v="93"/>
  </r>
  <r>
    <x v="5"/>
    <x v="7"/>
    <x v="5"/>
    <x v="46"/>
    <x v="75"/>
    <x v="6"/>
    <x v="19"/>
    <x v="91"/>
    <x v="57"/>
    <x v="59"/>
  </r>
  <r>
    <x v="5"/>
    <x v="8"/>
    <x v="0"/>
    <x v="106"/>
    <x v="341"/>
    <x v="14"/>
    <x v="73"/>
    <x v="43"/>
    <x v="141"/>
    <x v="94"/>
  </r>
  <r>
    <x v="5"/>
    <x v="8"/>
    <x v="1"/>
    <x v="99"/>
    <x v="334"/>
    <x v="12"/>
    <x v="74"/>
    <x v="44"/>
    <x v="137"/>
    <x v="88"/>
  </r>
  <r>
    <x v="5"/>
    <x v="8"/>
    <x v="2"/>
    <x v="100"/>
    <x v="327"/>
    <x v="13"/>
    <x v="72"/>
    <x v="45"/>
    <x v="134"/>
    <x v="90"/>
  </r>
  <r>
    <x v="5"/>
    <x v="8"/>
    <x v="3"/>
    <x v="107"/>
    <x v="329"/>
    <x v="7"/>
    <x v="73"/>
    <x v="41"/>
    <x v="140"/>
    <x v="92"/>
  </r>
  <r>
    <x v="5"/>
    <x v="8"/>
    <x v="4"/>
    <x v="122"/>
    <x v="301"/>
    <x v="10"/>
    <x v="68"/>
    <x v="39"/>
    <x v="153"/>
    <x v="109"/>
  </r>
  <r>
    <x v="5"/>
    <x v="8"/>
    <x v="5"/>
    <x v="123"/>
    <x v="319"/>
    <x v="11"/>
    <x v="67"/>
    <x v="37"/>
    <x v="154"/>
    <x v="107"/>
  </r>
  <r>
    <x v="5"/>
    <x v="9"/>
    <x v="0"/>
    <x v="376"/>
    <x v="276"/>
    <x v="34"/>
    <x v="45"/>
    <x v="57"/>
    <x v="413"/>
    <x v="388"/>
  </r>
  <r>
    <x v="5"/>
    <x v="9"/>
    <x v="1"/>
    <x v="378"/>
    <x v="287"/>
    <x v="33"/>
    <x v="45"/>
    <x v="58"/>
    <x v="415"/>
    <x v="390"/>
  </r>
  <r>
    <x v="5"/>
    <x v="9"/>
    <x v="2"/>
    <x v="384"/>
    <x v="273"/>
    <x v="31"/>
    <x v="44"/>
    <x v="57"/>
    <x v="416"/>
    <x v="392"/>
  </r>
  <r>
    <x v="5"/>
    <x v="9"/>
    <x v="3"/>
    <x v="386"/>
    <x v="274"/>
    <x v="30"/>
    <x v="45"/>
    <x v="59"/>
    <x v="419"/>
    <x v="395"/>
  </r>
  <r>
    <x v="5"/>
    <x v="9"/>
    <x v="4"/>
    <x v="387"/>
    <x v="270"/>
    <x v="29"/>
    <x v="45"/>
    <x v="61"/>
    <x v="418"/>
    <x v="397"/>
  </r>
  <r>
    <x v="5"/>
    <x v="9"/>
    <x v="5"/>
    <x v="385"/>
    <x v="289"/>
    <x v="29"/>
    <x v="45"/>
    <x v="67"/>
    <x v="417"/>
    <x v="398"/>
  </r>
  <r>
    <x v="6"/>
    <x v="0"/>
    <x v="0"/>
    <x v="255"/>
    <x v="240"/>
    <x v="24"/>
    <x v="18"/>
    <x v="126"/>
    <x v="292"/>
    <x v="286"/>
  </r>
  <r>
    <x v="6"/>
    <x v="0"/>
    <x v="1"/>
    <x v="257"/>
    <x v="254"/>
    <x v="25"/>
    <x v="18"/>
    <x v="125"/>
    <x v="296"/>
    <x v="290"/>
  </r>
  <r>
    <x v="6"/>
    <x v="0"/>
    <x v="2"/>
    <x v="251"/>
    <x v="263"/>
    <x v="24"/>
    <x v="18"/>
    <x v="123"/>
    <x v="290"/>
    <x v="275"/>
  </r>
  <r>
    <x v="6"/>
    <x v="0"/>
    <x v="3"/>
    <x v="249"/>
    <x v="245"/>
    <x v="20"/>
    <x v="17"/>
    <x v="130"/>
    <x v="287"/>
    <x v="277"/>
  </r>
  <r>
    <x v="6"/>
    <x v="0"/>
    <x v="4"/>
    <x v="247"/>
    <x v="247"/>
    <x v="21"/>
    <x v="17"/>
    <x v="129"/>
    <x v="286"/>
    <x v="273"/>
  </r>
  <r>
    <x v="6"/>
    <x v="0"/>
    <x v="5"/>
    <x v="228"/>
    <x v="275"/>
    <x v="21"/>
    <x v="18"/>
    <x v="134"/>
    <x v="264"/>
    <x v="258"/>
  </r>
  <r>
    <x v="6"/>
    <x v="1"/>
    <x v="0"/>
    <x v="289"/>
    <x v="264"/>
    <x v="20"/>
    <x v="11"/>
    <x v="122"/>
    <x v="328"/>
    <x v="308"/>
  </r>
  <r>
    <x v="6"/>
    <x v="1"/>
    <x v="1"/>
    <x v="296"/>
    <x v="280"/>
    <x v="21"/>
    <x v="11"/>
    <x v="122"/>
    <x v="340"/>
    <x v="312"/>
  </r>
  <r>
    <x v="6"/>
    <x v="1"/>
    <x v="2"/>
    <x v="293"/>
    <x v="275"/>
    <x v="19"/>
    <x v="11"/>
    <x v="129"/>
    <x v="335"/>
    <x v="313"/>
  </r>
  <r>
    <x v="6"/>
    <x v="1"/>
    <x v="3"/>
    <x v="284"/>
    <x v="257"/>
    <x v="15"/>
    <x v="10"/>
    <x v="138"/>
    <x v="323"/>
    <x v="311"/>
  </r>
  <r>
    <x v="6"/>
    <x v="1"/>
    <x v="4"/>
    <x v="290"/>
    <x v="268"/>
    <x v="17"/>
    <x v="10"/>
    <x v="136"/>
    <x v="330"/>
    <x v="316"/>
  </r>
  <r>
    <x v="6"/>
    <x v="1"/>
    <x v="5"/>
    <x v="267"/>
    <x v="291"/>
    <x v="17"/>
    <x v="11"/>
    <x v="152"/>
    <x v="311"/>
    <x v="301"/>
  </r>
  <r>
    <x v="6"/>
    <x v="2"/>
    <x v="0"/>
    <x v="185"/>
    <x v="318"/>
    <x v="31"/>
    <x v="37"/>
    <x v="140"/>
    <x v="231"/>
    <x v="222"/>
  </r>
  <r>
    <x v="6"/>
    <x v="2"/>
    <x v="1"/>
    <x v="187"/>
    <x v="321"/>
    <x v="32"/>
    <x v="37"/>
    <x v="137"/>
    <x v="233"/>
    <x v="225"/>
  </r>
  <r>
    <x v="6"/>
    <x v="2"/>
    <x v="2"/>
    <x v="190"/>
    <x v="312"/>
    <x v="28"/>
    <x v="36"/>
    <x v="132"/>
    <x v="234"/>
    <x v="226"/>
  </r>
  <r>
    <x v="6"/>
    <x v="2"/>
    <x v="3"/>
    <x v="197"/>
    <x v="306"/>
    <x v="27"/>
    <x v="34"/>
    <x v="141"/>
    <x v="245"/>
    <x v="235"/>
  </r>
  <r>
    <x v="6"/>
    <x v="2"/>
    <x v="4"/>
    <x v="195"/>
    <x v="304"/>
    <x v="27"/>
    <x v="36"/>
    <x v="143"/>
    <x v="241"/>
    <x v="233"/>
  </r>
  <r>
    <x v="6"/>
    <x v="2"/>
    <x v="5"/>
    <x v="192"/>
    <x v="322"/>
    <x v="26"/>
    <x v="37"/>
    <x v="146"/>
    <x v="239"/>
    <x v="229"/>
  </r>
  <r>
    <x v="6"/>
    <x v="3"/>
    <x v="0"/>
    <x v="132"/>
    <x v="361"/>
    <x v="20"/>
    <x v="49"/>
    <x v="136"/>
    <x v="170"/>
    <x v="150"/>
  </r>
  <r>
    <x v="6"/>
    <x v="3"/>
    <x v="1"/>
    <x v="117"/>
    <x v="359"/>
    <x v="18"/>
    <x v="48"/>
    <x v="148"/>
    <x v="157"/>
    <x v="147"/>
  </r>
  <r>
    <x v="6"/>
    <x v="3"/>
    <x v="2"/>
    <x v="126"/>
    <x v="365"/>
    <x v="13"/>
    <x v="48"/>
    <x v="134"/>
    <x v="166"/>
    <x v="146"/>
  </r>
  <r>
    <x v="6"/>
    <x v="3"/>
    <x v="3"/>
    <x v="137"/>
    <x v="363"/>
    <x v="14"/>
    <x v="50"/>
    <x v="137"/>
    <x v="175"/>
    <x v="156"/>
  </r>
  <r>
    <x v="6"/>
    <x v="3"/>
    <x v="4"/>
    <x v="131"/>
    <x v="344"/>
    <x v="12"/>
    <x v="47"/>
    <x v="151"/>
    <x v="167"/>
    <x v="154"/>
  </r>
  <r>
    <x v="6"/>
    <x v="3"/>
    <x v="5"/>
    <x v="114"/>
    <x v="349"/>
    <x v="14"/>
    <x v="50"/>
    <x v="142"/>
    <x v="155"/>
    <x v="141"/>
  </r>
  <r>
    <x v="6"/>
    <x v="4"/>
    <x v="0"/>
    <x v="98"/>
    <x v="335"/>
    <x v="32"/>
    <x v="39"/>
    <x v="141"/>
    <x v="135"/>
    <x v="126"/>
  </r>
  <r>
    <x v="6"/>
    <x v="4"/>
    <x v="1"/>
    <x v="95"/>
    <x v="340"/>
    <x v="34"/>
    <x v="42"/>
    <x v="129"/>
    <x v="133"/>
    <x v="119"/>
  </r>
  <r>
    <x v="6"/>
    <x v="4"/>
    <x v="2"/>
    <x v="104"/>
    <x v="340"/>
    <x v="31"/>
    <x v="40"/>
    <x v="127"/>
    <x v="139"/>
    <x v="127"/>
  </r>
  <r>
    <x v="6"/>
    <x v="4"/>
    <x v="3"/>
    <x v="130"/>
    <x v="333"/>
    <x v="29"/>
    <x v="37"/>
    <x v="137"/>
    <x v="160"/>
    <x v="149"/>
  </r>
  <r>
    <x v="6"/>
    <x v="4"/>
    <x v="4"/>
    <x v="127"/>
    <x v="324"/>
    <x v="26"/>
    <x v="38"/>
    <x v="158"/>
    <x v="156"/>
    <x v="153"/>
  </r>
  <r>
    <x v="6"/>
    <x v="4"/>
    <x v="5"/>
    <x v="111"/>
    <x v="328"/>
    <x v="27"/>
    <x v="39"/>
    <x v="159"/>
    <x v="147"/>
    <x v="142"/>
  </r>
  <r>
    <x v="6"/>
    <x v="5"/>
    <x v="0"/>
    <x v="39"/>
    <x v="354"/>
    <x v="20"/>
    <x v="60"/>
    <x v="138"/>
    <x v="78"/>
    <x v="62"/>
  </r>
  <r>
    <x v="6"/>
    <x v="5"/>
    <x v="1"/>
    <x v="41"/>
    <x v="357"/>
    <x v="15"/>
    <x v="61"/>
    <x v="128"/>
    <x v="83"/>
    <x v="64"/>
  </r>
  <r>
    <x v="6"/>
    <x v="5"/>
    <x v="2"/>
    <x v="61"/>
    <x v="362"/>
    <x v="11"/>
    <x v="59"/>
    <x v="144"/>
    <x v="115"/>
    <x v="91"/>
  </r>
  <r>
    <x v="6"/>
    <x v="5"/>
    <x v="3"/>
    <x v="72"/>
    <x v="352"/>
    <x v="14"/>
    <x v="55"/>
    <x v="149"/>
    <x v="122"/>
    <x v="105"/>
  </r>
  <r>
    <x v="6"/>
    <x v="5"/>
    <x v="4"/>
    <x v="58"/>
    <x v="346"/>
    <x v="11"/>
    <x v="57"/>
    <x v="174"/>
    <x v="105"/>
    <x v="100"/>
  </r>
  <r>
    <x v="6"/>
    <x v="5"/>
    <x v="5"/>
    <x v="59"/>
    <x v="350"/>
    <x v="12"/>
    <x v="59"/>
    <x v="143"/>
    <x v="107"/>
    <x v="83"/>
  </r>
  <r>
    <x v="6"/>
    <x v="6"/>
    <x v="0"/>
    <x v="121"/>
    <x v="364"/>
    <x v="18"/>
    <x v="46"/>
    <x v="137"/>
    <x v="161"/>
    <x v="143"/>
  </r>
  <r>
    <x v="6"/>
    <x v="6"/>
    <x v="1"/>
    <x v="123"/>
    <x v="360"/>
    <x v="18"/>
    <x v="46"/>
    <x v="136"/>
    <x v="162"/>
    <x v="145"/>
  </r>
  <r>
    <x v="6"/>
    <x v="6"/>
    <x v="2"/>
    <x v="135"/>
    <x v="348"/>
    <x v="13"/>
    <x v="43"/>
    <x v="138"/>
    <x v="171"/>
    <x v="155"/>
  </r>
  <r>
    <x v="6"/>
    <x v="6"/>
    <x v="3"/>
    <x v="147"/>
    <x v="339"/>
    <x v="11"/>
    <x v="42"/>
    <x v="146"/>
    <x v="182"/>
    <x v="167"/>
  </r>
  <r>
    <x v="6"/>
    <x v="6"/>
    <x v="4"/>
    <x v="145"/>
    <x v="335"/>
    <x v="13"/>
    <x v="44"/>
    <x v="153"/>
    <x v="180"/>
    <x v="164"/>
  </r>
  <r>
    <x v="6"/>
    <x v="6"/>
    <x v="5"/>
    <x v="138"/>
    <x v="355"/>
    <x v="14"/>
    <x v="46"/>
    <x v="149"/>
    <x v="173"/>
    <x v="158"/>
  </r>
  <r>
    <x v="6"/>
    <x v="7"/>
    <x v="0"/>
    <x v="87"/>
    <x v="86"/>
    <x v="14"/>
    <x v="18"/>
    <x v="166"/>
    <x v="106"/>
    <x v="130"/>
  </r>
  <r>
    <x v="6"/>
    <x v="7"/>
    <x v="1"/>
    <x v="76"/>
    <x v="83"/>
    <x v="12"/>
    <x v="18"/>
    <x v="155"/>
    <x v="94"/>
    <x v="113"/>
  </r>
  <r>
    <x v="6"/>
    <x v="7"/>
    <x v="2"/>
    <x v="59"/>
    <x v="82"/>
    <x v="7"/>
    <x v="21"/>
    <x v="164"/>
    <x v="68"/>
    <x v="95"/>
  </r>
  <r>
    <x v="6"/>
    <x v="7"/>
    <x v="3"/>
    <x v="43"/>
    <x v="90"/>
    <x v="6"/>
    <x v="24"/>
    <x v="166"/>
    <x v="59"/>
    <x v="73"/>
  </r>
  <r>
    <x v="6"/>
    <x v="7"/>
    <x v="4"/>
    <x v="38"/>
    <x v="84"/>
    <x v="7"/>
    <x v="16"/>
    <x v="182"/>
    <x v="55"/>
    <x v="72"/>
  </r>
  <r>
    <x v="6"/>
    <x v="7"/>
    <x v="5"/>
    <x v="28"/>
    <x v="91"/>
    <x v="10"/>
    <x v="22"/>
    <x v="165"/>
    <x v="50"/>
    <x v="55"/>
  </r>
  <r>
    <x v="6"/>
    <x v="8"/>
    <x v="0"/>
    <x v="8"/>
    <x v="368"/>
    <x v="2"/>
    <x v="69"/>
    <x v="157"/>
    <x v="28"/>
    <x v="24"/>
  </r>
  <r>
    <x v="6"/>
    <x v="8"/>
    <x v="1"/>
    <x v="17"/>
    <x v="296"/>
    <x v="9"/>
    <x v="63"/>
    <x v="77"/>
    <x v="39"/>
    <x v="26"/>
  </r>
  <r>
    <x v="6"/>
    <x v="8"/>
    <x v="2"/>
    <x v="9"/>
    <x v="371"/>
    <x v="10"/>
    <x v="67"/>
    <x v="198"/>
    <x v="37"/>
    <x v="32"/>
  </r>
  <r>
    <x v="6"/>
    <x v="8"/>
    <x v="3"/>
    <x v="4"/>
    <x v="370"/>
    <x v="3"/>
    <x v="63"/>
    <x v="175"/>
    <x v="15"/>
    <x v="14"/>
  </r>
  <r>
    <x v="6"/>
    <x v="8"/>
    <x v="4"/>
    <x v="8"/>
    <x v="369"/>
    <x v="3"/>
    <x v="71"/>
    <x v="141"/>
    <x v="29"/>
    <x v="22"/>
  </r>
  <r>
    <x v="6"/>
    <x v="8"/>
    <x v="5"/>
    <x v="3"/>
    <x v="372"/>
    <x v="4"/>
    <x v="60"/>
    <x v="123"/>
    <x v="13"/>
    <x v="9"/>
  </r>
  <r>
    <x v="6"/>
    <x v="9"/>
    <x v="0"/>
    <x v="259"/>
    <x v="298"/>
    <x v="24"/>
    <x v="35"/>
    <x v="126"/>
    <x v="306"/>
    <x v="293"/>
  </r>
  <r>
    <x v="6"/>
    <x v="9"/>
    <x v="1"/>
    <x v="263"/>
    <x v="310"/>
    <x v="23"/>
    <x v="36"/>
    <x v="127"/>
    <x v="310"/>
    <x v="295"/>
  </r>
  <r>
    <x v="6"/>
    <x v="9"/>
    <x v="2"/>
    <x v="266"/>
    <x v="300"/>
    <x v="20"/>
    <x v="35"/>
    <x v="128"/>
    <x v="312"/>
    <x v="297"/>
  </r>
  <r>
    <x v="6"/>
    <x v="9"/>
    <x v="3"/>
    <x v="279"/>
    <x v="288"/>
    <x v="18"/>
    <x v="34"/>
    <x v="133"/>
    <x v="324"/>
    <x v="307"/>
  </r>
  <r>
    <x v="6"/>
    <x v="9"/>
    <x v="4"/>
    <x v="287"/>
    <x v="287"/>
    <x v="18"/>
    <x v="35"/>
    <x v="139"/>
    <x v="329"/>
    <x v="314"/>
  </r>
  <r>
    <x v="6"/>
    <x v="9"/>
    <x v="5"/>
    <x v="276"/>
    <x v="302"/>
    <x v="19"/>
    <x v="37"/>
    <x v="144"/>
    <x v="319"/>
    <x v="306"/>
  </r>
  <r>
    <x v="2"/>
    <x v="0"/>
    <x v="0"/>
    <x v="243"/>
    <x v="28"/>
    <x v="17"/>
    <x v="18"/>
    <x v="15"/>
    <x v="237"/>
    <x v="212"/>
  </r>
  <r>
    <x v="2"/>
    <x v="0"/>
    <x v="1"/>
    <x v="226"/>
    <x v="41"/>
    <x v="17"/>
    <x v="18"/>
    <x v="9"/>
    <x v="226"/>
    <x v="185"/>
  </r>
  <r>
    <x v="2"/>
    <x v="0"/>
    <x v="2"/>
    <x v="220"/>
    <x v="38"/>
    <x v="15"/>
    <x v="18"/>
    <x v="13"/>
    <x v="216"/>
    <x v="182"/>
  </r>
  <r>
    <x v="2"/>
    <x v="0"/>
    <x v="3"/>
    <x v="217"/>
    <x v="35"/>
    <x v="15"/>
    <x v="16"/>
    <x v="20"/>
    <x v="213"/>
    <x v="189"/>
  </r>
  <r>
    <x v="2"/>
    <x v="0"/>
    <x v="4"/>
    <x v="206"/>
    <x v="29"/>
    <x v="16"/>
    <x v="16"/>
    <x v="19"/>
    <x v="205"/>
    <x v="175"/>
  </r>
  <r>
    <x v="2"/>
    <x v="0"/>
    <x v="5"/>
    <x v="207"/>
    <x v="43"/>
    <x v="15"/>
    <x v="18"/>
    <x v="28"/>
    <x v="208"/>
    <x v="188"/>
  </r>
  <r>
    <x v="2"/>
    <x v="1"/>
    <x v="0"/>
    <x v="317"/>
    <x v="33"/>
    <x v="11"/>
    <x v="12"/>
    <x v="8"/>
    <x v="289"/>
    <x v="255"/>
  </r>
  <r>
    <x v="2"/>
    <x v="1"/>
    <x v="1"/>
    <x v="302"/>
    <x v="42"/>
    <x v="11"/>
    <x v="11"/>
    <x v="10"/>
    <x v="280"/>
    <x v="251"/>
  </r>
  <r>
    <x v="2"/>
    <x v="1"/>
    <x v="2"/>
    <x v="305"/>
    <x v="36"/>
    <x v="11"/>
    <x v="11"/>
    <x v="26"/>
    <x v="281"/>
    <x v="261"/>
  </r>
  <r>
    <x v="2"/>
    <x v="1"/>
    <x v="3"/>
    <x v="300"/>
    <x v="32"/>
    <x v="10"/>
    <x v="11"/>
    <x v="29"/>
    <x v="277"/>
    <x v="262"/>
  </r>
  <r>
    <x v="2"/>
    <x v="1"/>
    <x v="4"/>
    <x v="299"/>
    <x v="30"/>
    <x v="11"/>
    <x v="11"/>
    <x v="22"/>
    <x v="276"/>
    <x v="257"/>
  </r>
  <r>
    <x v="2"/>
    <x v="1"/>
    <x v="5"/>
    <x v="270"/>
    <x v="39"/>
    <x v="11"/>
    <x v="11"/>
    <x v="33"/>
    <x v="259"/>
    <x v="253"/>
  </r>
  <r>
    <x v="2"/>
    <x v="2"/>
    <x v="0"/>
    <x v="88"/>
    <x v="10"/>
    <x v="19"/>
    <x v="23"/>
    <x v="15"/>
    <x v="74"/>
    <x v="57"/>
  </r>
  <r>
    <x v="2"/>
    <x v="2"/>
    <x v="1"/>
    <x v="93"/>
    <x v="12"/>
    <x v="26"/>
    <x v="23"/>
    <x v="13"/>
    <x v="80"/>
    <x v="60"/>
  </r>
  <r>
    <x v="2"/>
    <x v="2"/>
    <x v="2"/>
    <x v="118"/>
    <x v="13"/>
    <x v="24"/>
    <x v="24"/>
    <x v="25"/>
    <x v="110"/>
    <x v="84"/>
  </r>
  <r>
    <x v="2"/>
    <x v="2"/>
    <x v="3"/>
    <x v="120"/>
    <x v="20"/>
    <x v="22"/>
    <x v="21"/>
    <x v="8"/>
    <x v="114"/>
    <x v="76"/>
  </r>
  <r>
    <x v="2"/>
    <x v="2"/>
    <x v="4"/>
    <x v="109"/>
    <x v="14"/>
    <x v="19"/>
    <x v="22"/>
    <x v="27"/>
    <x v="96"/>
    <x v="75"/>
  </r>
  <r>
    <x v="2"/>
    <x v="2"/>
    <x v="5"/>
    <x v="101"/>
    <x v="11"/>
    <x v="15"/>
    <x v="22"/>
    <x v="78"/>
    <x v="87"/>
    <x v="108"/>
  </r>
  <r>
    <x v="2"/>
    <x v="3"/>
    <x v="0"/>
    <x v="26"/>
    <x v="27"/>
    <x v="10"/>
    <x v="31"/>
    <x v="10"/>
    <x v="30"/>
    <x v="18"/>
  </r>
  <r>
    <x v="2"/>
    <x v="3"/>
    <x v="1"/>
    <x v="22"/>
    <x v="40"/>
    <x v="10"/>
    <x v="30"/>
    <x v="21"/>
    <x v="24"/>
    <x v="15"/>
  </r>
  <r>
    <x v="2"/>
    <x v="3"/>
    <x v="2"/>
    <x v="47"/>
    <x v="45"/>
    <x v="10"/>
    <x v="33"/>
    <x v="14"/>
    <x v="49"/>
    <x v="31"/>
  </r>
  <r>
    <x v="2"/>
    <x v="3"/>
    <x v="3"/>
    <x v="45"/>
    <x v="32"/>
    <x v="18"/>
    <x v="30"/>
    <x v="18"/>
    <x v="46"/>
    <x v="35"/>
  </r>
  <r>
    <x v="2"/>
    <x v="3"/>
    <x v="4"/>
    <x v="50"/>
    <x v="44"/>
    <x v="17"/>
    <x v="32"/>
    <x v="8"/>
    <x v="52"/>
    <x v="36"/>
  </r>
  <r>
    <x v="2"/>
    <x v="3"/>
    <x v="5"/>
    <x v="34"/>
    <x v="54"/>
    <x v="20"/>
    <x v="33"/>
    <x v="42"/>
    <x v="42"/>
    <x v="45"/>
  </r>
  <r>
    <x v="2"/>
    <x v="4"/>
    <x v="0"/>
    <x v="84"/>
    <x v="9"/>
    <x v="25"/>
    <x v="30"/>
    <x v="2"/>
    <x v="65"/>
    <x v="52"/>
  </r>
  <r>
    <x v="2"/>
    <x v="4"/>
    <x v="1"/>
    <x v="86"/>
    <x v="18"/>
    <x v="25"/>
    <x v="30"/>
    <x v="13"/>
    <x v="76"/>
    <x v="54"/>
  </r>
  <r>
    <x v="2"/>
    <x v="4"/>
    <x v="2"/>
    <x v="103"/>
    <x v="19"/>
    <x v="24"/>
    <x v="29"/>
    <x v="16"/>
    <x v="92"/>
    <x v="66"/>
  </r>
  <r>
    <x v="2"/>
    <x v="4"/>
    <x v="3"/>
    <x v="97"/>
    <x v="6"/>
    <x v="15"/>
    <x v="24"/>
    <x v="30"/>
    <x v="72"/>
    <x v="71"/>
  </r>
  <r>
    <x v="2"/>
    <x v="4"/>
    <x v="4"/>
    <x v="92"/>
    <x v="8"/>
    <x v="16"/>
    <x v="20"/>
    <x v="12"/>
    <x v="67"/>
    <x v="56"/>
  </r>
  <r>
    <x v="2"/>
    <x v="4"/>
    <x v="5"/>
    <x v="94"/>
    <x v="7"/>
    <x v="12"/>
    <x v="23"/>
    <x v="23"/>
    <x v="70"/>
    <x v="65"/>
  </r>
  <r>
    <x v="2"/>
    <x v="5"/>
    <x v="0"/>
    <x v="31"/>
    <x v="48"/>
    <x v="15"/>
    <x v="51"/>
    <x v="7"/>
    <x v="38"/>
    <x v="20"/>
  </r>
  <r>
    <x v="2"/>
    <x v="5"/>
    <x v="1"/>
    <x v="27"/>
    <x v="52"/>
    <x v="13"/>
    <x v="46"/>
    <x v="4"/>
    <x v="36"/>
    <x v="17"/>
  </r>
  <r>
    <x v="2"/>
    <x v="5"/>
    <x v="2"/>
    <x v="35"/>
    <x v="50"/>
    <x v="15"/>
    <x v="45"/>
    <x v="6"/>
    <x v="41"/>
    <x v="25"/>
  </r>
  <r>
    <x v="2"/>
    <x v="5"/>
    <x v="3"/>
    <x v="25"/>
    <x v="24"/>
    <x v="9"/>
    <x v="47"/>
    <x v="19"/>
    <x v="27"/>
    <x v="21"/>
  </r>
  <r>
    <x v="2"/>
    <x v="5"/>
    <x v="4"/>
    <x v="29"/>
    <x v="15"/>
    <x v="10"/>
    <x v="34"/>
    <x v="38"/>
    <x v="31"/>
    <x v="33"/>
  </r>
  <r>
    <x v="2"/>
    <x v="5"/>
    <x v="5"/>
    <x v="40"/>
    <x v="53"/>
    <x v="13"/>
    <x v="47"/>
    <x v="38"/>
    <x v="47"/>
    <x v="48"/>
  </r>
  <r>
    <x v="2"/>
    <x v="6"/>
    <x v="0"/>
    <x v="50"/>
    <x v="46"/>
    <x v="17"/>
    <x v="29"/>
    <x v="24"/>
    <x v="53"/>
    <x v="43"/>
  </r>
  <r>
    <x v="2"/>
    <x v="6"/>
    <x v="1"/>
    <x v="44"/>
    <x v="37"/>
    <x v="15"/>
    <x v="29"/>
    <x v="36"/>
    <x v="45"/>
    <x v="46"/>
  </r>
  <r>
    <x v="2"/>
    <x v="6"/>
    <x v="2"/>
    <x v="65"/>
    <x v="25"/>
    <x v="10"/>
    <x v="26"/>
    <x v="3"/>
    <x v="60"/>
    <x v="44"/>
  </r>
  <r>
    <x v="2"/>
    <x v="6"/>
    <x v="3"/>
    <x v="54"/>
    <x v="23"/>
    <x v="7"/>
    <x v="21"/>
    <x v="8"/>
    <x v="51"/>
    <x v="38"/>
  </r>
  <r>
    <x v="2"/>
    <x v="6"/>
    <x v="4"/>
    <x v="42"/>
    <x v="36"/>
    <x v="9"/>
    <x v="25"/>
    <x v="31"/>
    <x v="44"/>
    <x v="41"/>
  </r>
  <r>
    <x v="2"/>
    <x v="6"/>
    <x v="5"/>
    <x v="33"/>
    <x v="50"/>
    <x v="14"/>
    <x v="29"/>
    <x v="35"/>
    <x v="40"/>
    <x v="34"/>
  </r>
  <r>
    <x v="2"/>
    <x v="7"/>
    <x v="0"/>
    <x v="39"/>
    <x v="1"/>
    <x v="1"/>
    <x v="4"/>
    <x v="21"/>
    <x v="23"/>
    <x v="30"/>
  </r>
  <r>
    <x v="2"/>
    <x v="7"/>
    <x v="1"/>
    <x v="29"/>
    <x v="2"/>
    <x v="0"/>
    <x v="3"/>
    <x v="23"/>
    <x v="18"/>
    <x v="27"/>
  </r>
  <r>
    <x v="2"/>
    <x v="7"/>
    <x v="2"/>
    <x v="32"/>
    <x v="3"/>
    <x v="2"/>
    <x v="5"/>
    <x v="22"/>
    <x v="21"/>
    <x v="28"/>
  </r>
  <r>
    <x v="2"/>
    <x v="7"/>
    <x v="3"/>
    <x v="28"/>
    <x v="0"/>
    <x v="4"/>
    <x v="5"/>
    <x v="18"/>
    <x v="14"/>
    <x v="23"/>
  </r>
  <r>
    <x v="2"/>
    <x v="7"/>
    <x v="4"/>
    <x v="21"/>
    <x v="5"/>
    <x v="4"/>
    <x v="6"/>
    <x v="34"/>
    <x v="6"/>
    <x v="19"/>
  </r>
  <r>
    <x v="2"/>
    <x v="7"/>
    <x v="5"/>
    <x v="19"/>
    <x v="4"/>
    <x v="6"/>
    <x v="4"/>
    <x v="29"/>
    <x v="4"/>
    <x v="10"/>
  </r>
  <r>
    <x v="2"/>
    <x v="8"/>
    <x v="0"/>
    <x v="14"/>
    <x v="34"/>
    <x v="4"/>
    <x v="49"/>
    <x v="0"/>
    <x v="9"/>
    <x v="1"/>
  </r>
  <r>
    <x v="2"/>
    <x v="8"/>
    <x v="1"/>
    <x v="16"/>
    <x v="58"/>
    <x v="2"/>
    <x v="59"/>
    <x v="11"/>
    <x v="16"/>
    <x v="7"/>
  </r>
  <r>
    <x v="2"/>
    <x v="8"/>
    <x v="2"/>
    <x v="23"/>
    <x v="72"/>
    <x v="6"/>
    <x v="60"/>
    <x v="5"/>
    <x v="33"/>
    <x v="11"/>
  </r>
  <r>
    <x v="2"/>
    <x v="8"/>
    <x v="3"/>
    <x v="14"/>
    <x v="69"/>
    <x v="3"/>
    <x v="66"/>
    <x v="1"/>
    <x v="17"/>
    <x v="3"/>
  </r>
  <r>
    <x v="2"/>
    <x v="8"/>
    <x v="4"/>
    <x v="15"/>
    <x v="71"/>
    <x v="2"/>
    <x v="61"/>
    <x v="4"/>
    <x v="19"/>
    <x v="5"/>
  </r>
  <r>
    <x v="2"/>
    <x v="8"/>
    <x v="5"/>
    <x v="6"/>
    <x v="67"/>
    <x v="5"/>
    <x v="64"/>
    <x v="40"/>
    <x v="2"/>
    <x v="2"/>
  </r>
  <r>
    <x v="2"/>
    <x v="9"/>
    <x v="0"/>
    <x v="212"/>
    <x v="21"/>
    <x v="17"/>
    <x v="20"/>
    <x v="11"/>
    <x v="206"/>
    <x v="173"/>
  </r>
  <r>
    <x v="2"/>
    <x v="9"/>
    <x v="1"/>
    <x v="211"/>
    <x v="22"/>
    <x v="16"/>
    <x v="21"/>
    <x v="14"/>
    <x v="207"/>
    <x v="178"/>
  </r>
  <r>
    <x v="2"/>
    <x v="9"/>
    <x v="2"/>
    <x v="233"/>
    <x v="16"/>
    <x v="16"/>
    <x v="22"/>
    <x v="17"/>
    <x v="225"/>
    <x v="202"/>
  </r>
  <r>
    <x v="2"/>
    <x v="9"/>
    <x v="3"/>
    <x v="222"/>
    <x v="17"/>
    <x v="15"/>
    <x v="21"/>
    <x v="17"/>
    <x v="214"/>
    <x v="193"/>
  </r>
  <r>
    <x v="2"/>
    <x v="9"/>
    <x v="4"/>
    <x v="208"/>
    <x v="21"/>
    <x v="15"/>
    <x v="21"/>
    <x v="32"/>
    <x v="203"/>
    <x v="194"/>
  </r>
  <r>
    <x v="2"/>
    <x v="9"/>
    <x v="5"/>
    <x v="202"/>
    <x v="26"/>
    <x v="16"/>
    <x v="22"/>
    <x v="35"/>
    <x v="199"/>
    <x v="18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L3:O43" firstHeaderRow="0" firstDataRow="1" firstDataCol="1" rowPageCount="1" colPageCount="1"/>
  <pivotFields count="12">
    <pivotField axis="axisRow" showAll="0">
      <items count="8">
        <item x="0"/>
        <item x="4"/>
        <item x="1"/>
        <item x="3"/>
        <item x="5"/>
        <item x="6"/>
        <item x="2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showAll="0">
      <items count="7">
        <item x="0"/>
        <item x="1"/>
        <item x="2"/>
        <item x="3"/>
        <item x="4"/>
        <item h="1" x="5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1">
        <item t="default"/>
      </items>
    </pivotField>
    <pivotField axis="axisRow" showAll="0" defaultSubtotal="0">
      <items count="0"/>
    </pivotField>
  </pivotFields>
  <rowFields count="4">
    <field x="11"/>
    <field x="10"/>
    <field x="0"/>
    <field x="1"/>
  </rowFields>
  <colFields count="1">
    <field x="-2"/>
  </colFields>
  <pageFields count="1">
    <pageField fld="2" hier="-1"/>
  </pageFields>
  <dataFields count="3">
    <dataField name="Sum of Antal djur" fld="3" subtotal="sum" numFmtId="164"/>
    <dataField name="Sum of Slaktvikt*Antal" fld="8" subtotal="sum" numFmtId="164"/>
    <dataField name="Sum of Ålder*Antal" fld="9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ir.sa.gov.au/__data/assets/pdf_file/0007/272869/Calculating_dry_matter_intakes.pdf" TargetMode="External"/><Relationship Id="rId2" Type="http://schemas.openxmlformats.org/officeDocument/2006/relationships/hyperlink" Target="https://www.gardochdjurhalsan.se/mer-mjolk-till-smakalvar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K14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98" activePane="bottomLeft" state="frozen"/>
      <selection pane="topLeft" activeCell="D1" activeCellId="0" sqref="D1"/>
      <selection pane="bottomLeft" activeCell="H122" activeCellId="0" sqref="H12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.57"/>
    <col collapsed="false" customWidth="true" hidden="false" outlineLevel="0" max="4" min="3" style="0" width="8.72"/>
    <col collapsed="false" customWidth="true" hidden="false" outlineLevel="0" max="5" min="5" style="0" width="10.29"/>
    <col collapsed="false" customWidth="true" hidden="false" outlineLevel="0" max="6" min="6" style="0" width="8.72"/>
    <col collapsed="false" customWidth="true" hidden="false" outlineLevel="0" max="7" min="7" style="0" width="35.57"/>
    <col collapsed="false" customWidth="true" hidden="false" outlineLevel="0" max="8" min="8" style="0" width="12"/>
    <col collapsed="false" customWidth="true" hidden="false" outlineLevel="0" max="9" min="9" style="0" width="12.14"/>
    <col collapsed="false" customWidth="true" hidden="false" outlineLevel="0" max="10" min="10" style="0" width="55.72"/>
    <col collapsed="false" customWidth="true" hidden="false" outlineLevel="0" max="11" min="11" style="0" width="37.43"/>
  </cols>
  <sheetData>
    <row r="1" customFormat="false" ht="15" hidden="false" customHeight="false" outlineLevel="0" collapsed="false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</row>
    <row r="2" customFormat="false" ht="15" hidden="false" customHeight="false" outlineLevel="0" collapsed="false">
      <c r="A2" s="3" t="s">
        <v>14</v>
      </c>
      <c r="B2" s="3"/>
      <c r="C2" s="4"/>
      <c r="D2" s="4"/>
      <c r="E2" s="4"/>
      <c r="F2" s="4"/>
      <c r="G2" s="4"/>
      <c r="H2" s="4"/>
      <c r="I2" s="4"/>
      <c r="J2" s="4"/>
      <c r="K2" s="4"/>
    </row>
    <row r="3" customFormat="false" ht="15" hidden="false" customHeight="false" outlineLevel="0" collapsed="false">
      <c r="A3" s="5" t="s">
        <v>15</v>
      </c>
      <c r="B3" s="5"/>
      <c r="C3" s="6"/>
      <c r="D3" s="6"/>
      <c r="E3" s="6"/>
      <c r="F3" s="6"/>
      <c r="G3" s="6"/>
      <c r="H3" s="7"/>
      <c r="I3" s="6"/>
      <c r="J3" s="6"/>
      <c r="K3" s="6"/>
    </row>
    <row r="4" customFormat="false" ht="15" hidden="false" customHeight="false" outlineLevel="0" collapsed="false">
      <c r="A4" s="0" t="s">
        <v>16</v>
      </c>
      <c r="B4" s="0" t="s">
        <v>17</v>
      </c>
      <c r="G4" s="0" t="s">
        <v>18</v>
      </c>
      <c r="H4" s="8" t="n">
        <f aca="false">AVERAGE(9829,9903,9953,10112,10330)</f>
        <v>10025.4</v>
      </c>
      <c r="I4" s="0" t="s">
        <v>19</v>
      </c>
      <c r="J4" s="0" t="s">
        <v>20</v>
      </c>
      <c r="K4" s="0" t="s">
        <v>21</v>
      </c>
    </row>
    <row r="5" customFormat="false" ht="15" hidden="false" customHeight="false" outlineLevel="0" collapsed="false">
      <c r="A5" s="0" t="s">
        <v>16</v>
      </c>
      <c r="B5" s="0" t="s">
        <v>17</v>
      </c>
      <c r="G5" s="0" t="s">
        <v>22</v>
      </c>
      <c r="H5" s="9" t="n">
        <v>8</v>
      </c>
      <c r="I5" s="10" t="s">
        <v>23</v>
      </c>
      <c r="J5" s="10" t="s">
        <v>24</v>
      </c>
      <c r="K5" s="0" t="s">
        <v>25</v>
      </c>
    </row>
    <row r="6" customFormat="false" ht="15" hidden="false" customHeight="false" outlineLevel="0" collapsed="false">
      <c r="A6" s="0" t="s">
        <v>16</v>
      </c>
      <c r="B6" s="0" t="s">
        <v>17</v>
      </c>
      <c r="G6" s="0" t="s">
        <v>26</v>
      </c>
      <c r="H6" s="11" t="n">
        <f aca="false">AVERAGE(4.3,4.2,4.2,4.3,4.3)</f>
        <v>4.26</v>
      </c>
      <c r="I6" s="0" t="s">
        <v>23</v>
      </c>
      <c r="K6" s="0" t="s">
        <v>21</v>
      </c>
    </row>
    <row r="7" customFormat="false" ht="15" hidden="false" customHeight="false" outlineLevel="0" collapsed="false">
      <c r="A7" s="0" t="s">
        <v>16</v>
      </c>
      <c r="B7" s="0" t="s">
        <v>17</v>
      </c>
      <c r="G7" s="0" t="s">
        <v>27</v>
      </c>
      <c r="H7" s="11" t="n">
        <f aca="false">AVERAGE(3.5,3.6,3.5,3.6,3.6)</f>
        <v>3.56</v>
      </c>
      <c r="I7" s="0" t="s">
        <v>23</v>
      </c>
      <c r="K7" s="0" t="s">
        <v>21</v>
      </c>
    </row>
    <row r="8" customFormat="false" ht="15" hidden="false" customHeight="false" outlineLevel="0" collapsed="false">
      <c r="A8" s="0" t="s">
        <v>16</v>
      </c>
      <c r="B8" s="0" t="s">
        <v>28</v>
      </c>
      <c r="G8" s="0" t="s">
        <v>18</v>
      </c>
      <c r="H8" s="8" t="n">
        <f aca="false">AVERAGE(9135,9246,9280,9499,9676)</f>
        <v>9367.2</v>
      </c>
      <c r="I8" s="0" t="s">
        <v>19</v>
      </c>
      <c r="K8" s="0" t="s">
        <v>21</v>
      </c>
    </row>
    <row r="9" customFormat="false" ht="15" hidden="false" customHeight="false" outlineLevel="0" collapsed="false">
      <c r="A9" s="0" t="s">
        <v>16</v>
      </c>
      <c r="B9" s="0" t="s">
        <v>28</v>
      </c>
      <c r="G9" s="0" t="s">
        <v>22</v>
      </c>
      <c r="H9" s="9" t="n">
        <v>8</v>
      </c>
      <c r="I9" s="10" t="s">
        <v>23</v>
      </c>
      <c r="J9" s="10" t="s">
        <v>24</v>
      </c>
      <c r="K9" s="0" t="s">
        <v>25</v>
      </c>
    </row>
    <row r="10" customFormat="false" ht="15" hidden="false" customHeight="false" outlineLevel="0" collapsed="false">
      <c r="A10" s="0" t="s">
        <v>16</v>
      </c>
      <c r="B10" s="0" t="s">
        <v>28</v>
      </c>
      <c r="G10" s="0" t="s">
        <v>26</v>
      </c>
      <c r="H10" s="11" t="n">
        <f aca="false">AVERAGE(4.2,4.1,4.1,4.1,4.2)</f>
        <v>4.14</v>
      </c>
      <c r="I10" s="0" t="s">
        <v>23</v>
      </c>
      <c r="K10" s="0" t="s">
        <v>21</v>
      </c>
    </row>
    <row r="11" customFormat="false" ht="15" hidden="false" customHeight="false" outlineLevel="0" collapsed="false">
      <c r="A11" s="0" t="s">
        <v>16</v>
      </c>
      <c r="B11" s="0" t="s">
        <v>28</v>
      </c>
      <c r="G11" s="0" t="s">
        <v>27</v>
      </c>
      <c r="H11" s="11" t="n">
        <f aca="false">AVERAGE(3.4,3.4,3.4,3.5,3.5)</f>
        <v>3.44</v>
      </c>
      <c r="I11" s="0" t="s">
        <v>23</v>
      </c>
      <c r="K11" s="0" t="s">
        <v>21</v>
      </c>
    </row>
    <row r="12" customFormat="false" ht="15" hidden="false" customHeight="false" outlineLevel="0" collapsed="false">
      <c r="H12" s="8"/>
    </row>
    <row r="13" customFormat="false" ht="15" hidden="false" customHeight="false" outlineLevel="0" collapsed="false">
      <c r="A13" s="3" t="s">
        <v>29</v>
      </c>
      <c r="B13" s="3"/>
      <c r="C13" s="4"/>
      <c r="D13" s="4"/>
      <c r="E13" s="4"/>
      <c r="F13" s="4"/>
      <c r="G13" s="4"/>
      <c r="H13" s="12"/>
      <c r="I13" s="4"/>
      <c r="J13" s="4"/>
      <c r="K13" s="4"/>
    </row>
    <row r="14" customFormat="false" ht="15" hidden="false" customHeight="false" outlineLevel="0" collapsed="false">
      <c r="A14" s="5" t="s">
        <v>15</v>
      </c>
      <c r="B14" s="5"/>
      <c r="C14" s="6"/>
      <c r="D14" s="6"/>
      <c r="E14" s="6"/>
      <c r="F14" s="6"/>
      <c r="G14" s="6"/>
      <c r="H14" s="7"/>
      <c r="I14" s="6"/>
      <c r="J14" s="6"/>
      <c r="K14" s="6"/>
    </row>
    <row r="15" customFormat="false" ht="15" hidden="false" customHeight="false" outlineLevel="0" collapsed="false">
      <c r="A15" s="0" t="s">
        <v>16</v>
      </c>
      <c r="B15" s="0" t="s">
        <v>17</v>
      </c>
      <c r="G15" s="0" t="s">
        <v>30</v>
      </c>
      <c r="H15" s="0" t="n">
        <v>13.2</v>
      </c>
      <c r="I15" s="0" t="s">
        <v>31</v>
      </c>
    </row>
    <row r="16" customFormat="false" ht="15" hidden="false" customHeight="false" outlineLevel="0" collapsed="false">
      <c r="A16" s="0" t="s">
        <v>16</v>
      </c>
      <c r="B16" s="0" t="s">
        <v>28</v>
      </c>
      <c r="G16" s="0" t="s">
        <v>30</v>
      </c>
      <c r="H16" s="0" t="n">
        <v>12.9</v>
      </c>
      <c r="I16" s="0" t="s">
        <v>31</v>
      </c>
    </row>
    <row r="17" customFormat="false" ht="15" hidden="false" customHeight="false" outlineLevel="0" collapsed="false">
      <c r="A17" s="0" t="s">
        <v>16</v>
      </c>
      <c r="B17" s="0" t="s">
        <v>17</v>
      </c>
      <c r="G17" s="0" t="s">
        <v>32</v>
      </c>
      <c r="H17" s="0" t="n">
        <v>27</v>
      </c>
      <c r="I17" s="0" t="s">
        <v>31</v>
      </c>
      <c r="J17" s="0" t="s">
        <v>33</v>
      </c>
    </row>
    <row r="18" customFormat="false" ht="15" hidden="false" customHeight="false" outlineLevel="0" collapsed="false">
      <c r="A18" s="0" t="s">
        <v>16</v>
      </c>
      <c r="B18" s="0" t="s">
        <v>28</v>
      </c>
      <c r="G18" s="0" t="s">
        <v>32</v>
      </c>
      <c r="H18" s="0" t="n">
        <v>27</v>
      </c>
      <c r="I18" s="0" t="s">
        <v>31</v>
      </c>
      <c r="J18" s="0" t="s">
        <v>33</v>
      </c>
    </row>
    <row r="19" customFormat="false" ht="15" hidden="false" customHeight="false" outlineLevel="0" collapsed="false">
      <c r="A19" s="0" t="s">
        <v>16</v>
      </c>
      <c r="B19" s="0" t="s">
        <v>17</v>
      </c>
      <c r="G19" s="0" t="s">
        <v>34</v>
      </c>
      <c r="H19" s="0" t="n">
        <v>37.1</v>
      </c>
      <c r="I19" s="0" t="s">
        <v>23</v>
      </c>
      <c r="J19" s="0" t="s">
        <v>35</v>
      </c>
    </row>
    <row r="20" customFormat="false" ht="15" hidden="false" customHeight="false" outlineLevel="0" collapsed="false">
      <c r="A20" s="0" t="s">
        <v>16</v>
      </c>
      <c r="B20" s="0" t="s">
        <v>28</v>
      </c>
      <c r="G20" s="0" t="s">
        <v>34</v>
      </c>
      <c r="H20" s="0" t="n">
        <v>36.1</v>
      </c>
      <c r="I20" s="0" t="s">
        <v>23</v>
      </c>
      <c r="J20" s="0" t="s">
        <v>35</v>
      </c>
    </row>
    <row r="21" customFormat="false" ht="15" hidden="false" customHeight="false" outlineLevel="0" collapsed="false">
      <c r="A21" s="0" t="s">
        <v>16</v>
      </c>
      <c r="G21" s="0" t="s">
        <v>36</v>
      </c>
      <c r="H21" s="13" t="n">
        <v>50.65597842</v>
      </c>
      <c r="I21" s="0" t="s">
        <v>23</v>
      </c>
      <c r="J21" s="0" t="s">
        <v>37</v>
      </c>
    </row>
    <row r="22" customFormat="false" ht="15" hidden="false" customHeight="false" outlineLevel="0" collapsed="false">
      <c r="A22" s="0" t="s">
        <v>16</v>
      </c>
      <c r="G22" s="0" t="s">
        <v>38</v>
      </c>
      <c r="H22" s="13" t="n">
        <v>3.244626403</v>
      </c>
      <c r="I22" s="0" t="s">
        <v>23</v>
      </c>
      <c r="J22" s="0" t="s">
        <v>39</v>
      </c>
    </row>
    <row r="23" customFormat="false" ht="15" hidden="false" customHeight="false" outlineLevel="0" collapsed="false">
      <c r="A23" s="0" t="s">
        <v>16</v>
      </c>
      <c r="B23" s="0" t="s">
        <v>17</v>
      </c>
      <c r="G23" s="0" t="s">
        <v>40</v>
      </c>
      <c r="H23" s="0" t="n">
        <v>5</v>
      </c>
      <c r="I23" s="0" t="s">
        <v>23</v>
      </c>
      <c r="J23" s="0" t="s">
        <v>39</v>
      </c>
    </row>
    <row r="24" customFormat="false" ht="15" hidden="false" customHeight="false" outlineLevel="0" collapsed="false">
      <c r="A24" s="0" t="s">
        <v>16</v>
      </c>
      <c r="B24" s="0" t="s">
        <v>28</v>
      </c>
      <c r="G24" s="0" t="s">
        <v>40</v>
      </c>
      <c r="H24" s="0" t="n">
        <v>4.6</v>
      </c>
      <c r="I24" s="0" t="s">
        <v>23</v>
      </c>
      <c r="J24" s="0" t="s">
        <v>39</v>
      </c>
    </row>
    <row r="25" customFormat="false" ht="15" hidden="false" customHeight="false" outlineLevel="0" collapsed="false">
      <c r="A25" s="0" t="s">
        <v>16</v>
      </c>
      <c r="G25" s="0" t="s">
        <v>41</v>
      </c>
      <c r="H25" s="0" t="n">
        <v>100</v>
      </c>
      <c r="I25" s="0" t="s">
        <v>42</v>
      </c>
    </row>
    <row r="26" customFormat="false" ht="15" hidden="false" customHeight="false" outlineLevel="0" collapsed="false">
      <c r="A26" s="0" t="s">
        <v>16</v>
      </c>
      <c r="B26" s="0" t="s">
        <v>17</v>
      </c>
      <c r="G26" s="0" t="s">
        <v>43</v>
      </c>
      <c r="H26" s="14" t="n">
        <f aca="false">1/300</f>
        <v>0.00333333333333333</v>
      </c>
      <c r="I26" s="0" t="s">
        <v>44</v>
      </c>
      <c r="J26" s="0" t="s">
        <v>45</v>
      </c>
    </row>
    <row r="27" customFormat="false" ht="15" hidden="false" customHeight="false" outlineLevel="0" collapsed="false">
      <c r="A27" s="0" t="s">
        <v>16</v>
      </c>
      <c r="B27" s="0" t="s">
        <v>28</v>
      </c>
      <c r="G27" s="0" t="s">
        <v>43</v>
      </c>
      <c r="H27" s="14" t="n">
        <f aca="false">1/300</f>
        <v>0.00333333333333333</v>
      </c>
      <c r="I27" s="0" t="s">
        <v>44</v>
      </c>
    </row>
    <row r="30" customFormat="false" ht="15" hidden="false" customHeight="false" outlineLevel="0" collapsed="false">
      <c r="G30" s="15" t="s">
        <v>46</v>
      </c>
      <c r="H30" s="15" t="n">
        <v>0</v>
      </c>
      <c r="I30" s="15"/>
      <c r="J30" s="16" t="s">
        <v>47</v>
      </c>
    </row>
    <row r="31" customFormat="false" ht="15" hidden="false" customHeight="false" outlineLevel="0" collapsed="false">
      <c r="A31" s="5" t="s">
        <v>15</v>
      </c>
      <c r="B31" s="5"/>
      <c r="C31" s="6"/>
      <c r="D31" s="6"/>
      <c r="E31" s="6"/>
      <c r="F31" s="6"/>
      <c r="G31" s="6"/>
      <c r="H31" s="7"/>
      <c r="I31" s="6"/>
      <c r="J31" s="6"/>
      <c r="K31" s="6"/>
    </row>
    <row r="32" customFormat="false" ht="15" hidden="false" customHeight="false" outlineLevel="0" collapsed="false">
      <c r="A32" s="0" t="s">
        <v>16</v>
      </c>
      <c r="B32" s="17"/>
      <c r="C32" s="18" t="s">
        <v>48</v>
      </c>
      <c r="D32" s="18"/>
      <c r="E32" s="18"/>
      <c r="F32" s="18"/>
      <c r="G32" s="18" t="s">
        <v>46</v>
      </c>
      <c r="H32" s="8" t="n">
        <f aca="false">H59/(47/100)</f>
        <v>651.528213617021</v>
      </c>
      <c r="I32" s="0" t="s">
        <v>49</v>
      </c>
      <c r="J32" s="1" t="s">
        <v>50</v>
      </c>
      <c r="K32" s="0" t="s">
        <v>51</v>
      </c>
    </row>
    <row r="33" customFormat="false" ht="15" hidden="false" customHeight="false" outlineLevel="0" collapsed="false">
      <c r="A33" s="0" t="s">
        <v>16</v>
      </c>
      <c r="C33" s="18" t="s">
        <v>52</v>
      </c>
      <c r="D33" s="18"/>
      <c r="E33" s="18"/>
      <c r="F33" s="18"/>
      <c r="G33" s="18" t="s">
        <v>46</v>
      </c>
      <c r="H33" s="8" t="n">
        <v>910</v>
      </c>
      <c r="I33" s="0" t="s">
        <v>49</v>
      </c>
      <c r="J33" s="0" t="s">
        <v>53</v>
      </c>
      <c r="K33" s="0" t="s">
        <v>54</v>
      </c>
    </row>
    <row r="34" customFormat="false" ht="15" hidden="false" customHeight="false" outlineLevel="0" collapsed="false">
      <c r="A34" s="0" t="s">
        <v>16</v>
      </c>
      <c r="C34" s="18" t="s">
        <v>55</v>
      </c>
      <c r="D34" s="18"/>
      <c r="E34" s="18"/>
      <c r="F34" s="18"/>
      <c r="G34" s="18" t="s">
        <v>56</v>
      </c>
      <c r="H34" s="10" t="n">
        <v>40</v>
      </c>
      <c r="I34" s="0" t="s">
        <v>49</v>
      </c>
      <c r="J34" s="10" t="s">
        <v>57</v>
      </c>
    </row>
    <row r="35" customFormat="false" ht="15" hidden="false" customHeight="false" outlineLevel="0" collapsed="false">
      <c r="A35" s="0" t="s">
        <v>16</v>
      </c>
      <c r="C35" s="18" t="s">
        <v>55</v>
      </c>
      <c r="D35" s="18"/>
      <c r="E35" s="18"/>
      <c r="F35" s="18"/>
      <c r="G35" s="18" t="s">
        <v>58</v>
      </c>
      <c r="H35" s="9" t="n">
        <f aca="false">H34+(H61/0.5-H34)/(H55*30.4)*H25</f>
        <v>130.26609162869</v>
      </c>
      <c r="I35" s="0" t="s">
        <v>49</v>
      </c>
      <c r="J35" s="10" t="s">
        <v>59</v>
      </c>
    </row>
    <row r="36" customFormat="false" ht="15" hidden="false" customHeight="false" outlineLevel="0" collapsed="false">
      <c r="A36" s="0" t="s">
        <v>16</v>
      </c>
      <c r="C36" s="18" t="s">
        <v>55</v>
      </c>
      <c r="D36" s="18"/>
      <c r="E36" s="18"/>
      <c r="F36" s="18"/>
      <c r="G36" s="18" t="s">
        <v>60</v>
      </c>
      <c r="H36" s="8" t="n">
        <f aca="false">H61/(50/100)</f>
        <v>339.026855</v>
      </c>
      <c r="I36" s="0" t="s">
        <v>49</v>
      </c>
      <c r="J36" s="1" t="s">
        <v>61</v>
      </c>
      <c r="K36" s="0" t="s">
        <v>51</v>
      </c>
    </row>
    <row r="37" customFormat="false" ht="15" hidden="false" customHeight="false" outlineLevel="0" collapsed="false">
      <c r="A37" s="0" t="s">
        <v>16</v>
      </c>
      <c r="C37" s="18" t="s">
        <v>62</v>
      </c>
      <c r="D37" s="18"/>
      <c r="E37" s="18"/>
      <c r="F37" s="18"/>
      <c r="G37" s="18" t="s">
        <v>60</v>
      </c>
      <c r="H37" s="8" t="n">
        <f aca="false">H62/(50/100)</f>
        <v>596.0965354</v>
      </c>
      <c r="I37" s="0" t="s">
        <v>49</v>
      </c>
      <c r="J37" s="1" t="s">
        <v>61</v>
      </c>
      <c r="K37" s="0" t="s">
        <v>51</v>
      </c>
    </row>
    <row r="38" customFormat="false" ht="15" hidden="false" customHeight="false" outlineLevel="0" collapsed="false">
      <c r="A38" s="0" t="s">
        <v>16</v>
      </c>
      <c r="C38" s="18" t="s">
        <v>63</v>
      </c>
      <c r="D38" s="18"/>
      <c r="E38" s="18"/>
      <c r="F38" s="18"/>
      <c r="G38" s="18" t="s">
        <v>60</v>
      </c>
      <c r="H38" s="8" t="n">
        <f aca="false">H63/(50/100)</f>
        <v>651.6142872</v>
      </c>
      <c r="I38" s="0" t="s">
        <v>49</v>
      </c>
      <c r="J38" s="1" t="s">
        <v>61</v>
      </c>
      <c r="K38" s="0" t="s">
        <v>51</v>
      </c>
    </row>
    <row r="39" customFormat="false" ht="15" hidden="false" customHeight="false" outlineLevel="0" collapsed="false">
      <c r="A39" s="0" t="s">
        <v>16</v>
      </c>
      <c r="C39" s="18" t="s">
        <v>64</v>
      </c>
      <c r="D39" s="18"/>
      <c r="E39" s="18"/>
      <c r="F39" s="18"/>
      <c r="G39" s="18" t="s">
        <v>60</v>
      </c>
      <c r="H39" s="8" t="n">
        <f aca="false">H64/(50/100)</f>
        <v>657.753113</v>
      </c>
      <c r="I39" s="0" t="s">
        <v>49</v>
      </c>
      <c r="J39" s="1" t="s">
        <v>61</v>
      </c>
      <c r="K39" s="0" t="s">
        <v>51</v>
      </c>
    </row>
    <row r="40" customFormat="false" ht="15" hidden="false" customHeight="false" outlineLevel="0" collapsed="false">
      <c r="A40" s="3" t="s">
        <v>65</v>
      </c>
      <c r="B40" s="3"/>
      <c r="C40" s="4"/>
      <c r="D40" s="4"/>
      <c r="E40" s="4"/>
      <c r="F40" s="4"/>
      <c r="G40" s="4"/>
      <c r="H40" s="4"/>
      <c r="I40" s="4"/>
      <c r="J40" s="4"/>
      <c r="K40" s="4"/>
    </row>
    <row r="41" customFormat="false" ht="15" hidden="false" customHeight="false" outlineLevel="0" collapsed="false">
      <c r="A41" s="5" t="s">
        <v>15</v>
      </c>
      <c r="B41" s="5"/>
      <c r="C41" s="6"/>
      <c r="D41" s="6"/>
      <c r="E41" s="6"/>
      <c r="F41" s="6"/>
      <c r="G41" s="6"/>
      <c r="H41" s="7"/>
      <c r="I41" s="6"/>
      <c r="J41" s="6"/>
      <c r="K41" s="6"/>
    </row>
    <row r="42" customFormat="false" ht="15" hidden="false" customHeight="false" outlineLevel="0" collapsed="false">
      <c r="A42" s="0" t="s">
        <v>16</v>
      </c>
      <c r="C42" s="0" t="s">
        <v>48</v>
      </c>
      <c r="G42" s="0" t="s">
        <v>66</v>
      </c>
      <c r="H42" s="0" t="n">
        <v>6.6</v>
      </c>
      <c r="I42" s="0" t="s">
        <v>23</v>
      </c>
      <c r="J42" s="0" t="s">
        <v>35</v>
      </c>
      <c r="K42" s="0" t="s">
        <v>54</v>
      </c>
    </row>
    <row r="43" customFormat="false" ht="15" hidden="false" customHeight="false" outlineLevel="0" collapsed="false">
      <c r="A43" s="0" t="s">
        <v>16</v>
      </c>
      <c r="C43" s="0" t="s">
        <v>55</v>
      </c>
      <c r="G43" s="0" t="s">
        <v>67</v>
      </c>
      <c r="H43" s="0" t="n">
        <v>4.2</v>
      </c>
      <c r="I43" s="0" t="s">
        <v>23</v>
      </c>
      <c r="J43" s="0" t="s">
        <v>68</v>
      </c>
      <c r="K43" s="0" t="s">
        <v>54</v>
      </c>
    </row>
    <row r="44" customFormat="false" ht="15" hidden="false" customHeight="false" outlineLevel="0" collapsed="false">
      <c r="A44" s="0" t="s">
        <v>16</v>
      </c>
      <c r="C44" s="0" t="s">
        <v>55</v>
      </c>
      <c r="G44" s="0" t="s">
        <v>69</v>
      </c>
      <c r="H44" s="0" t="n">
        <v>10</v>
      </c>
      <c r="I44" s="0" t="s">
        <v>42</v>
      </c>
      <c r="J44" s="0" t="s">
        <v>70</v>
      </c>
      <c r="K44" s="0" t="s">
        <v>54</v>
      </c>
    </row>
    <row r="45" customFormat="false" ht="15" hidden="false" customHeight="false" outlineLevel="0" collapsed="false">
      <c r="A45" s="0" t="s">
        <v>16</v>
      </c>
      <c r="C45" s="0" t="s">
        <v>55</v>
      </c>
      <c r="G45" s="0" t="s">
        <v>71</v>
      </c>
      <c r="H45" s="0" t="n">
        <v>3.4</v>
      </c>
      <c r="I45" s="0" t="s">
        <v>23</v>
      </c>
      <c r="J45" s="0" t="s">
        <v>68</v>
      </c>
      <c r="K45" s="0" t="s">
        <v>54</v>
      </c>
    </row>
    <row r="46" customFormat="false" ht="15" hidden="false" customHeight="false" outlineLevel="0" collapsed="false">
      <c r="A46" s="0" t="s">
        <v>16</v>
      </c>
      <c r="C46" s="0" t="s">
        <v>55</v>
      </c>
      <c r="G46" s="0" t="s">
        <v>72</v>
      </c>
      <c r="H46" s="0" t="n">
        <v>10</v>
      </c>
      <c r="I46" s="0" t="s">
        <v>42</v>
      </c>
      <c r="J46" s="0" t="s">
        <v>70</v>
      </c>
      <c r="K46" s="0" t="s">
        <v>54</v>
      </c>
    </row>
    <row r="47" customFormat="false" ht="15" hidden="false" customHeight="false" outlineLevel="0" collapsed="false">
      <c r="A47" s="0" t="s">
        <v>16</v>
      </c>
      <c r="C47" s="0" t="s">
        <v>55</v>
      </c>
      <c r="G47" s="0" t="s">
        <v>73</v>
      </c>
      <c r="H47" s="0" t="n">
        <v>6.8</v>
      </c>
      <c r="I47" s="0" t="s">
        <v>23</v>
      </c>
      <c r="J47" s="0" t="s">
        <v>74</v>
      </c>
      <c r="K47" s="0" t="s">
        <v>54</v>
      </c>
    </row>
    <row r="48" customFormat="false" ht="15" hidden="false" customHeight="false" outlineLevel="0" collapsed="false">
      <c r="A48" s="0" t="s">
        <v>16</v>
      </c>
      <c r="C48" s="0" t="s">
        <v>55</v>
      </c>
      <c r="G48" s="0" t="s">
        <v>75</v>
      </c>
      <c r="H48" s="0" t="n">
        <v>59</v>
      </c>
      <c r="I48" s="0" t="s">
        <v>42</v>
      </c>
      <c r="J48" s="0" t="s">
        <v>70</v>
      </c>
      <c r="K48" s="0" t="s">
        <v>54</v>
      </c>
    </row>
    <row r="49" customFormat="false" ht="15" hidden="false" customHeight="false" outlineLevel="0" collapsed="false">
      <c r="A49" s="0" t="s">
        <v>16</v>
      </c>
      <c r="C49" s="0" t="s">
        <v>55</v>
      </c>
      <c r="G49" s="0" t="s">
        <v>76</v>
      </c>
      <c r="H49" s="0" t="n">
        <v>4</v>
      </c>
      <c r="I49" s="0" t="s">
        <v>23</v>
      </c>
      <c r="J49" s="0" t="s">
        <v>74</v>
      </c>
      <c r="K49" s="0" t="s">
        <v>54</v>
      </c>
    </row>
    <row r="50" customFormat="false" ht="15" hidden="false" customHeight="false" outlineLevel="0" collapsed="false">
      <c r="A50" s="0" t="s">
        <v>16</v>
      </c>
      <c r="C50" s="0" t="s">
        <v>55</v>
      </c>
      <c r="G50" s="0" t="s">
        <v>77</v>
      </c>
      <c r="H50" s="0" t="n">
        <v>59</v>
      </c>
      <c r="I50" s="0" t="s">
        <v>42</v>
      </c>
      <c r="J50" s="0" t="s">
        <v>70</v>
      </c>
      <c r="K50" s="0" t="s">
        <v>54</v>
      </c>
    </row>
    <row r="52" customFormat="false" ht="15" hidden="false" customHeight="false" outlineLevel="0" collapsed="false">
      <c r="A52" s="3" t="s">
        <v>78</v>
      </c>
      <c r="B52" s="3"/>
      <c r="C52" s="4"/>
      <c r="D52" s="4"/>
      <c r="E52" s="4"/>
      <c r="F52" s="4"/>
      <c r="G52" s="4"/>
      <c r="H52" s="4"/>
      <c r="I52" s="4"/>
      <c r="J52" s="4"/>
      <c r="K52" s="4"/>
    </row>
    <row r="53" customFormat="false" ht="15" hidden="false" customHeight="false" outlineLevel="0" collapsed="false">
      <c r="A53" s="5" t="s">
        <v>15</v>
      </c>
      <c r="B53" s="5"/>
      <c r="C53" s="6"/>
      <c r="D53" s="6"/>
      <c r="E53" s="6"/>
      <c r="F53" s="6"/>
      <c r="G53" s="6"/>
      <c r="H53" s="7"/>
      <c r="I53" s="6"/>
      <c r="J53" s="6"/>
      <c r="K53" s="6"/>
    </row>
    <row r="54" customFormat="false" ht="15" hidden="false" customHeight="false" outlineLevel="0" collapsed="false">
      <c r="A54" s="0" t="s">
        <v>16</v>
      </c>
      <c r="C54" s="0" t="s">
        <v>52</v>
      </c>
      <c r="G54" s="0" t="s">
        <v>79</v>
      </c>
      <c r="H54" s="19"/>
      <c r="I54" s="0" t="s">
        <v>31</v>
      </c>
    </row>
    <row r="55" customFormat="false" ht="15" hidden="false" customHeight="false" outlineLevel="0" collapsed="false">
      <c r="A55" s="0" t="s">
        <v>16</v>
      </c>
      <c r="C55" s="0" t="s">
        <v>55</v>
      </c>
      <c r="G55" s="0" t="s">
        <v>79</v>
      </c>
      <c r="H55" s="13" t="n">
        <v>10.89712596</v>
      </c>
      <c r="I55" s="0" t="s">
        <v>31</v>
      </c>
    </row>
    <row r="56" customFormat="false" ht="15" hidden="false" customHeight="false" outlineLevel="0" collapsed="false">
      <c r="A56" s="0" t="s">
        <v>16</v>
      </c>
      <c r="C56" s="0" t="s">
        <v>62</v>
      </c>
      <c r="G56" s="0" t="s">
        <v>79</v>
      </c>
      <c r="H56" s="13" t="n">
        <v>32.2618245</v>
      </c>
      <c r="I56" s="0" t="s">
        <v>31</v>
      </c>
    </row>
    <row r="57" customFormat="false" ht="15" hidden="false" customHeight="false" outlineLevel="0" collapsed="false">
      <c r="A57" s="0" t="s">
        <v>16</v>
      </c>
      <c r="C57" s="0" t="s">
        <v>63</v>
      </c>
      <c r="G57" s="0" t="s">
        <v>79</v>
      </c>
      <c r="H57" s="13" t="n">
        <v>29.69354166</v>
      </c>
      <c r="I57" s="0" t="s">
        <v>31</v>
      </c>
    </row>
    <row r="58" customFormat="false" ht="15" hidden="false" customHeight="false" outlineLevel="0" collapsed="false">
      <c r="A58" s="0" t="s">
        <v>16</v>
      </c>
      <c r="C58" s="0" t="s">
        <v>64</v>
      </c>
      <c r="G58" s="0" t="s">
        <v>79</v>
      </c>
      <c r="H58" s="13" t="n">
        <v>22.57988323</v>
      </c>
      <c r="I58" s="0" t="s">
        <v>31</v>
      </c>
    </row>
    <row r="59" customFormat="false" ht="15" hidden="false" customHeight="false" outlineLevel="0" collapsed="false">
      <c r="A59" s="0" t="s">
        <v>16</v>
      </c>
      <c r="C59" s="0" t="s">
        <v>48</v>
      </c>
      <c r="G59" s="0" t="s">
        <v>80</v>
      </c>
      <c r="H59" s="13" t="n">
        <v>306.2182604</v>
      </c>
      <c r="I59" s="0" t="s">
        <v>81</v>
      </c>
    </row>
    <row r="60" customFormat="false" ht="15" hidden="false" customHeight="false" outlineLevel="0" collapsed="false">
      <c r="A60" s="0" t="s">
        <v>16</v>
      </c>
      <c r="C60" s="0" t="s">
        <v>52</v>
      </c>
      <c r="G60" s="0" t="s">
        <v>80</v>
      </c>
      <c r="H60" s="20" t="n">
        <v>550</v>
      </c>
      <c r="I60" s="18" t="s">
        <v>81</v>
      </c>
      <c r="J60" s="0" t="s">
        <v>53</v>
      </c>
      <c r="K60" s="0" t="s">
        <v>54</v>
      </c>
    </row>
    <row r="61" customFormat="false" ht="15" hidden="false" customHeight="false" outlineLevel="0" collapsed="false">
      <c r="A61" s="0" t="s">
        <v>16</v>
      </c>
      <c r="C61" s="0" t="s">
        <v>55</v>
      </c>
      <c r="G61" s="0" t="s">
        <v>80</v>
      </c>
      <c r="H61" s="13" t="n">
        <v>169.5134275</v>
      </c>
      <c r="I61" s="0" t="s">
        <v>81</v>
      </c>
    </row>
    <row r="62" customFormat="false" ht="15" hidden="false" customHeight="false" outlineLevel="0" collapsed="false">
      <c r="A62" s="0" t="s">
        <v>16</v>
      </c>
      <c r="C62" s="0" t="s">
        <v>62</v>
      </c>
      <c r="G62" s="0" t="s">
        <v>80</v>
      </c>
      <c r="H62" s="13" t="n">
        <v>298.0482677</v>
      </c>
      <c r="I62" s="0" t="s">
        <v>81</v>
      </c>
    </row>
    <row r="63" customFormat="false" ht="15" hidden="false" customHeight="false" outlineLevel="0" collapsed="false">
      <c r="A63" s="0" t="s">
        <v>16</v>
      </c>
      <c r="C63" s="0" t="s">
        <v>63</v>
      </c>
      <c r="G63" s="0" t="s">
        <v>80</v>
      </c>
      <c r="H63" s="13" t="n">
        <v>325.8071436</v>
      </c>
      <c r="I63" s="0" t="s">
        <v>81</v>
      </c>
    </row>
    <row r="64" customFormat="false" ht="15" hidden="false" customHeight="false" outlineLevel="0" collapsed="false">
      <c r="A64" s="0" t="s">
        <v>16</v>
      </c>
      <c r="C64" s="0" t="s">
        <v>64</v>
      </c>
      <c r="G64" s="0" t="s">
        <v>80</v>
      </c>
      <c r="H64" s="13" t="n">
        <v>328.8765565</v>
      </c>
      <c r="I64" s="0" t="s">
        <v>81</v>
      </c>
    </row>
    <row r="65" customFormat="false" ht="15" hidden="false" customHeight="false" outlineLevel="0" collapsed="false">
      <c r="A65" s="0" t="s">
        <v>16</v>
      </c>
      <c r="B65" s="0" t="s">
        <v>17</v>
      </c>
      <c r="G65" s="0" t="s">
        <v>82</v>
      </c>
      <c r="H65" s="13" t="n">
        <v>7.70838233896684</v>
      </c>
      <c r="I65" s="0" t="s">
        <v>23</v>
      </c>
      <c r="J65" s="0" t="s">
        <v>83</v>
      </c>
      <c r="K65" s="0" t="s">
        <v>84</v>
      </c>
    </row>
    <row r="66" customFormat="false" ht="15" hidden="false" customHeight="false" outlineLevel="0" collapsed="false">
      <c r="A66" s="0" t="s">
        <v>16</v>
      </c>
      <c r="B66" s="0" t="s">
        <v>17</v>
      </c>
      <c r="G66" s="0" t="s">
        <v>85</v>
      </c>
      <c r="H66" s="13" t="n">
        <v>14.7981459330144</v>
      </c>
      <c r="I66" s="0" t="s">
        <v>23</v>
      </c>
      <c r="J66" s="0" t="s">
        <v>86</v>
      </c>
      <c r="K66" s="0" t="s">
        <v>84</v>
      </c>
    </row>
    <row r="67" customFormat="false" ht="15" hidden="false" customHeight="false" outlineLevel="0" collapsed="false">
      <c r="A67" s="0" t="s">
        <v>16</v>
      </c>
      <c r="B67" s="0" t="s">
        <v>28</v>
      </c>
      <c r="G67" s="0" t="s">
        <v>82</v>
      </c>
      <c r="H67" s="13" t="n">
        <v>7.70838233896684</v>
      </c>
      <c r="I67" s="0" t="s">
        <v>23</v>
      </c>
      <c r="J67" s="0" t="s">
        <v>83</v>
      </c>
      <c r="K67" s="0" t="s">
        <v>84</v>
      </c>
    </row>
    <row r="68" customFormat="false" ht="15" hidden="false" customHeight="false" outlineLevel="0" collapsed="false">
      <c r="A68" s="0" t="s">
        <v>16</v>
      </c>
      <c r="B68" s="0" t="s">
        <v>28</v>
      </c>
      <c r="G68" s="0" t="s">
        <v>85</v>
      </c>
      <c r="H68" s="13" t="n">
        <v>65.5346462747779</v>
      </c>
      <c r="I68" s="0" t="s">
        <v>23</v>
      </c>
      <c r="J68" s="0" t="s">
        <v>86</v>
      </c>
      <c r="K68" s="0" t="s">
        <v>84</v>
      </c>
    </row>
    <row r="69" customFormat="false" ht="15" hidden="false" customHeight="false" outlineLevel="0" collapsed="false">
      <c r="H69" s="13"/>
    </row>
    <row r="70" customFormat="false" ht="15" hidden="false" customHeight="false" outlineLevel="0" collapsed="false">
      <c r="A70" s="21" t="s">
        <v>87</v>
      </c>
      <c r="B70" s="22"/>
      <c r="C70" s="4"/>
      <c r="D70" s="4"/>
      <c r="E70" s="4"/>
      <c r="F70" s="4"/>
      <c r="G70" s="4"/>
      <c r="H70" s="4"/>
      <c r="I70" s="4"/>
      <c r="J70" s="4"/>
      <c r="K70" s="4"/>
    </row>
    <row r="71" customFormat="false" ht="15" hidden="false" customHeight="false" outlineLevel="0" collapsed="false">
      <c r="A71" s="18"/>
      <c r="B71" s="18"/>
      <c r="C71" s="18"/>
      <c r="D71" s="18"/>
      <c r="E71" s="18"/>
      <c r="F71" s="18"/>
      <c r="G71" s="18" t="s">
        <v>88</v>
      </c>
      <c r="H71" s="18" t="n">
        <v>0</v>
      </c>
      <c r="I71" s="18" t="s">
        <v>31</v>
      </c>
      <c r="J71" s="18"/>
      <c r="K71" s="18"/>
    </row>
    <row r="72" customFormat="false" ht="15" hidden="false" customHeight="false" outlineLevel="0" collapsed="false">
      <c r="A72" s="18"/>
      <c r="B72" s="18"/>
      <c r="C72" s="18"/>
      <c r="D72" s="18"/>
      <c r="E72" s="18"/>
      <c r="F72" s="18"/>
      <c r="G72" s="18" t="s">
        <v>89</v>
      </c>
      <c r="H72" s="18" t="n">
        <v>0</v>
      </c>
      <c r="I72" s="18" t="s">
        <v>23</v>
      </c>
      <c r="J72" s="18"/>
      <c r="K72" s="18"/>
    </row>
    <row r="74" customFormat="false" ht="15" hidden="false" customHeight="false" outlineLevel="0" collapsed="false">
      <c r="A74" s="3" t="s">
        <v>90</v>
      </c>
      <c r="B74" s="3"/>
      <c r="C74" s="4"/>
      <c r="D74" s="4"/>
      <c r="E74" s="4"/>
      <c r="F74" s="4"/>
      <c r="G74" s="4"/>
      <c r="H74" s="4"/>
      <c r="I74" s="4"/>
      <c r="J74" s="4"/>
      <c r="K74" s="4"/>
    </row>
    <row r="75" customFormat="false" ht="15" hidden="false" customHeight="false" outlineLevel="0" collapsed="false">
      <c r="A75" s="17" t="s">
        <v>91</v>
      </c>
    </row>
    <row r="76" customFormat="false" ht="16.4" hidden="false" customHeight="false" outlineLevel="0" collapsed="false">
      <c r="A76" s="0" t="s">
        <v>16</v>
      </c>
      <c r="C76" s="18" t="s">
        <v>48</v>
      </c>
      <c r="G76" s="0" t="s">
        <v>92</v>
      </c>
      <c r="H76" s="13" t="n">
        <f aca="false">H32*0.035</f>
        <v>22.8034874765958</v>
      </c>
      <c r="I76" s="0" t="s">
        <v>93</v>
      </c>
      <c r="K76" s="23" t="s">
        <v>94</v>
      </c>
    </row>
    <row r="77" customFormat="false" ht="15" hidden="false" customHeight="false" outlineLevel="0" collapsed="false">
      <c r="C77" s="18" t="s">
        <v>52</v>
      </c>
      <c r="G77" s="0" t="s">
        <v>92</v>
      </c>
      <c r="H77" s="13" t="n">
        <f aca="false">H33*0.03</f>
        <v>27.3</v>
      </c>
    </row>
    <row r="78" customFormat="false" ht="15" hidden="false" customHeight="false" outlineLevel="0" collapsed="false">
      <c r="C78" s="18" t="s">
        <v>55</v>
      </c>
      <c r="G78" s="0" t="s">
        <v>92</v>
      </c>
      <c r="H78" s="13" t="n">
        <f aca="false">AVERAGE(H34,H36)*0.03</f>
        <v>5.685402825</v>
      </c>
      <c r="J78" s="10" t="s">
        <v>95</v>
      </c>
    </row>
    <row r="79" customFormat="false" ht="15" hidden="false" customHeight="false" outlineLevel="0" collapsed="false">
      <c r="C79" s="18" t="s">
        <v>62</v>
      </c>
      <c r="G79" s="0" t="s">
        <v>92</v>
      </c>
      <c r="H79" s="13" t="n">
        <f aca="false">AVERAGE(H36,H37)*0.03</f>
        <v>14.026850856</v>
      </c>
    </row>
    <row r="80" customFormat="false" ht="15" hidden="false" customHeight="false" outlineLevel="0" collapsed="false">
      <c r="C80" s="18" t="s">
        <v>63</v>
      </c>
      <c r="G80" s="0" t="s">
        <v>92</v>
      </c>
      <c r="H80" s="13" t="n">
        <f aca="false">AVERAGE(H36,H38)*0.03</f>
        <v>14.859617133</v>
      </c>
    </row>
    <row r="81" customFormat="false" ht="15" hidden="false" customHeight="false" outlineLevel="0" collapsed="false">
      <c r="C81" s="18" t="s">
        <v>64</v>
      </c>
      <c r="G81" s="0" t="s">
        <v>92</v>
      </c>
      <c r="H81" s="13" t="n">
        <f aca="false">AVERAGE(H36,H39)*0.03</f>
        <v>14.95169952</v>
      </c>
    </row>
    <row r="83" customFormat="false" ht="15" hidden="false" customHeight="false" outlineLevel="0" collapsed="false">
      <c r="A83" s="17" t="s">
        <v>96</v>
      </c>
    </row>
    <row r="84" customFormat="false" ht="15" hidden="false" customHeight="false" outlineLevel="0" collapsed="false">
      <c r="C84" s="0" t="s">
        <v>48</v>
      </c>
      <c r="G84" s="0" t="s">
        <v>97</v>
      </c>
      <c r="H84" s="0" t="n">
        <v>0.507</v>
      </c>
      <c r="I84" s="0" t="s">
        <v>98</v>
      </c>
      <c r="K84" s="0" t="s">
        <v>99</v>
      </c>
    </row>
    <row r="85" customFormat="false" ht="15" hidden="false" customHeight="false" outlineLevel="0" collapsed="false">
      <c r="G85" s="0" t="s">
        <v>97</v>
      </c>
      <c r="H85" s="0" t="n">
        <v>0.475</v>
      </c>
      <c r="I85" s="0" t="s">
        <v>98</v>
      </c>
      <c r="K85" s="0" t="s">
        <v>100</v>
      </c>
    </row>
    <row r="86" customFormat="false" ht="15" hidden="false" customHeight="false" outlineLevel="0" collapsed="false">
      <c r="C86" s="0" t="s">
        <v>48</v>
      </c>
      <c r="G86" s="0" t="s">
        <v>101</v>
      </c>
      <c r="H86" s="13" t="n">
        <v>5</v>
      </c>
      <c r="I86" s="0" t="s">
        <v>102</v>
      </c>
      <c r="K86" s="0" t="s">
        <v>99</v>
      </c>
    </row>
    <row r="87" customFormat="false" ht="15" hidden="false" customHeight="false" outlineLevel="0" collapsed="false">
      <c r="A87" s="0" t="s">
        <v>16</v>
      </c>
      <c r="C87" s="0" t="s">
        <v>48</v>
      </c>
      <c r="G87" s="0" t="s">
        <v>103</v>
      </c>
      <c r="H87" s="13" t="n">
        <f aca="false">(0.013+0.021+0.038) * 30.4</f>
        <v>2.1888</v>
      </c>
      <c r="I87" s="0" t="s">
        <v>104</v>
      </c>
      <c r="J87" s="0" t="s">
        <v>105</v>
      </c>
      <c r="K87" s="0" t="s">
        <v>106</v>
      </c>
    </row>
    <row r="88" customFormat="false" ht="15" hidden="false" customHeight="false" outlineLevel="0" collapsed="false">
      <c r="G88" s="0" t="s">
        <v>107</v>
      </c>
      <c r="H88" s="11" t="n">
        <v>1</v>
      </c>
      <c r="I88" s="0" t="s">
        <v>108</v>
      </c>
    </row>
    <row r="89" customFormat="false" ht="15" hidden="false" customHeight="false" outlineLevel="0" collapsed="false">
      <c r="A89" s="0" t="s">
        <v>16</v>
      </c>
      <c r="C89" s="0" t="s">
        <v>48</v>
      </c>
      <c r="G89" s="0" t="s">
        <v>107</v>
      </c>
      <c r="H89" s="11" t="n">
        <v>1.11</v>
      </c>
      <c r="I89" s="0" t="s">
        <v>108</v>
      </c>
      <c r="K89" s="0" t="s">
        <v>106</v>
      </c>
    </row>
    <row r="90" customFormat="false" ht="15" hidden="false" customHeight="false" outlineLevel="0" collapsed="false">
      <c r="C90" s="0" t="s">
        <v>62</v>
      </c>
      <c r="G90" s="0" t="s">
        <v>107</v>
      </c>
      <c r="H90" s="11" t="n">
        <v>1.05</v>
      </c>
      <c r="I90" s="0" t="s">
        <v>108</v>
      </c>
      <c r="K90" s="0" t="s">
        <v>109</v>
      </c>
    </row>
    <row r="91" customFormat="false" ht="15" hidden="false" customHeight="false" outlineLevel="0" collapsed="false">
      <c r="A91" s="0" t="s">
        <v>16</v>
      </c>
      <c r="C91" s="0" t="s">
        <v>63</v>
      </c>
      <c r="G91" s="0" t="s">
        <v>107</v>
      </c>
      <c r="H91" s="11" t="n">
        <v>1.05</v>
      </c>
      <c r="I91" s="0" t="s">
        <v>108</v>
      </c>
      <c r="K91" s="0" t="s">
        <v>109</v>
      </c>
    </row>
    <row r="92" customFormat="false" ht="15" hidden="false" customHeight="false" outlineLevel="0" collapsed="false">
      <c r="G92" s="0" t="s">
        <v>110</v>
      </c>
      <c r="H92" s="13" t="n">
        <v>0</v>
      </c>
      <c r="I92" s="0" t="s">
        <v>108</v>
      </c>
    </row>
    <row r="93" customFormat="false" ht="15" hidden="false" customHeight="false" outlineLevel="0" collapsed="false">
      <c r="A93" s="0" t="s">
        <v>16</v>
      </c>
      <c r="C93" s="0" t="s">
        <v>48</v>
      </c>
      <c r="G93" s="0" t="s">
        <v>110</v>
      </c>
      <c r="H93" s="13" t="n">
        <v>-13.6</v>
      </c>
      <c r="I93" s="0" t="s">
        <v>108</v>
      </c>
      <c r="K93" s="0" t="s">
        <v>106</v>
      </c>
    </row>
    <row r="94" customFormat="false" ht="16.4" hidden="false" customHeight="false" outlineLevel="0" collapsed="false">
      <c r="A94" s="0" t="s">
        <v>16</v>
      </c>
      <c r="G94" s="0" t="s">
        <v>111</v>
      </c>
      <c r="H94" s="8" t="n">
        <v>81</v>
      </c>
      <c r="I94" s="0" t="s">
        <v>112</v>
      </c>
      <c r="J94" s="0" t="s">
        <v>113</v>
      </c>
      <c r="K94" s="23" t="s">
        <v>114</v>
      </c>
    </row>
    <row r="95" customFormat="false" ht="15" hidden="false" customHeight="false" outlineLevel="0" collapsed="false">
      <c r="G95" s="0" t="s">
        <v>115</v>
      </c>
      <c r="H95" s="13" t="n">
        <f aca="false">18.8*0.13</f>
        <v>2.444</v>
      </c>
      <c r="I95" s="0" t="s">
        <v>116</v>
      </c>
      <c r="J95" s="0" t="s">
        <v>117</v>
      </c>
    </row>
    <row r="96" customFormat="false" ht="15" hidden="false" customHeight="false" outlineLevel="0" collapsed="false">
      <c r="A96" s="17" t="s">
        <v>118</v>
      </c>
      <c r="H96" s="8"/>
    </row>
    <row r="97" customFormat="false" ht="15" hidden="false" customHeight="false" outlineLevel="0" collapsed="false">
      <c r="A97" s="0" t="s">
        <v>16</v>
      </c>
      <c r="C97" s="0" t="s">
        <v>48</v>
      </c>
      <c r="G97" s="0" t="s">
        <v>119</v>
      </c>
      <c r="H97" s="13" t="n">
        <v>7.6</v>
      </c>
      <c r="I97" s="0" t="s">
        <v>120</v>
      </c>
      <c r="K97" s="0" t="s">
        <v>106</v>
      </c>
    </row>
    <row r="98" customFormat="false" ht="15" hidden="false" customHeight="false" outlineLevel="0" collapsed="false">
      <c r="A98" s="17"/>
      <c r="C98" s="0" t="s">
        <v>55</v>
      </c>
      <c r="G98" s="0" t="s">
        <v>119</v>
      </c>
      <c r="H98" s="13" t="n">
        <v>7</v>
      </c>
      <c r="I98" s="0" t="s">
        <v>120</v>
      </c>
      <c r="J98" s="0" t="s">
        <v>121</v>
      </c>
      <c r="K98" s="0" t="s">
        <v>122</v>
      </c>
    </row>
    <row r="99" customFormat="false" ht="15" hidden="false" customHeight="false" outlineLevel="0" collapsed="false">
      <c r="A99" s="17"/>
      <c r="G99" s="0" t="s">
        <v>119</v>
      </c>
      <c r="H99" s="13" t="n">
        <v>6.5</v>
      </c>
      <c r="I99" s="0" t="s">
        <v>120</v>
      </c>
    </row>
    <row r="100" customFormat="false" ht="15" hidden="false" customHeight="false" outlineLevel="0" collapsed="false">
      <c r="A100" s="17"/>
      <c r="H100" s="13"/>
    </row>
    <row r="101" customFormat="false" ht="15" hidden="false" customHeight="false" outlineLevel="0" collapsed="false">
      <c r="A101" s="17" t="s">
        <v>123</v>
      </c>
    </row>
    <row r="102" customFormat="false" ht="15" hidden="false" customHeight="false" outlineLevel="0" collapsed="false">
      <c r="G102" s="15" t="s">
        <v>124</v>
      </c>
      <c r="H102" s="24" t="n">
        <v>0</v>
      </c>
      <c r="I102" s="15" t="s">
        <v>125</v>
      </c>
      <c r="J102" s="15" t="s">
        <v>47</v>
      </c>
    </row>
    <row r="103" customFormat="false" ht="15" hidden="false" customHeight="false" outlineLevel="0" collapsed="false">
      <c r="G103" s="15" t="s">
        <v>126</v>
      </c>
      <c r="H103" s="24" t="n">
        <v>0</v>
      </c>
      <c r="I103" s="15" t="s">
        <v>125</v>
      </c>
      <c r="J103" s="15" t="s">
        <v>47</v>
      </c>
    </row>
    <row r="104" customFormat="false" ht="15" hidden="false" customHeight="false" outlineLevel="0" collapsed="false">
      <c r="G104" s="15" t="s">
        <v>127</v>
      </c>
      <c r="H104" s="24" t="n">
        <v>0</v>
      </c>
      <c r="I104" s="15" t="s">
        <v>128</v>
      </c>
      <c r="J104" s="15" t="s">
        <v>47</v>
      </c>
    </row>
    <row r="105" customFormat="false" ht="15" hidden="false" customHeight="false" outlineLevel="0" collapsed="false">
      <c r="G105" s="15" t="s">
        <v>129</v>
      </c>
      <c r="H105" s="24" t="n">
        <v>0</v>
      </c>
      <c r="I105" s="15" t="s">
        <v>128</v>
      </c>
      <c r="J105" s="15" t="s">
        <v>47</v>
      </c>
    </row>
    <row r="106" customFormat="false" ht="15" hidden="false" customHeight="false" outlineLevel="0" collapsed="false">
      <c r="H106" s="8"/>
    </row>
    <row r="107" customFormat="false" ht="15" hidden="false" customHeight="false" outlineLevel="0" collapsed="false">
      <c r="C107" s="0" t="s">
        <v>48</v>
      </c>
      <c r="G107" s="0" t="s">
        <v>124</v>
      </c>
      <c r="H107" s="8" t="n">
        <v>300</v>
      </c>
      <c r="I107" s="0" t="s">
        <v>125</v>
      </c>
      <c r="K107" s="0" t="s">
        <v>106</v>
      </c>
    </row>
    <row r="108" customFormat="false" ht="15" hidden="false" customHeight="false" outlineLevel="0" collapsed="false">
      <c r="C108" s="0" t="s">
        <v>48</v>
      </c>
      <c r="G108" s="0" t="s">
        <v>126</v>
      </c>
      <c r="H108" s="8" t="n">
        <v>0</v>
      </c>
      <c r="I108" s="0" t="s">
        <v>125</v>
      </c>
    </row>
    <row r="110" customFormat="false" ht="15" hidden="false" customHeight="false" outlineLevel="0" collapsed="false">
      <c r="C110" s="18" t="s">
        <v>52</v>
      </c>
      <c r="G110" s="0" t="s">
        <v>127</v>
      </c>
      <c r="H110" s="8" t="n">
        <v>4</v>
      </c>
      <c r="I110" s="0" t="s">
        <v>128</v>
      </c>
      <c r="J110" s="0" t="s">
        <v>130</v>
      </c>
    </row>
    <row r="111" customFormat="false" ht="15" hidden="false" customHeight="false" outlineLevel="0" collapsed="false">
      <c r="C111" s="18" t="s">
        <v>52</v>
      </c>
      <c r="G111" s="0" t="s">
        <v>129</v>
      </c>
      <c r="H111" s="8" t="n">
        <v>-2</v>
      </c>
      <c r="I111" s="0" t="s">
        <v>128</v>
      </c>
    </row>
    <row r="112" customFormat="false" ht="15" hidden="false" customHeight="false" outlineLevel="0" collapsed="false">
      <c r="C112" s="18" t="s">
        <v>55</v>
      </c>
      <c r="G112" s="0" t="s">
        <v>127</v>
      </c>
      <c r="H112" s="8" t="n">
        <v>4</v>
      </c>
      <c r="I112" s="0" t="s">
        <v>128</v>
      </c>
      <c r="K112" s="0" t="s">
        <v>122</v>
      </c>
    </row>
    <row r="113" customFormat="false" ht="15" hidden="false" customHeight="false" outlineLevel="0" collapsed="false">
      <c r="C113" s="18" t="s">
        <v>55</v>
      </c>
      <c r="G113" s="0" t="s">
        <v>129</v>
      </c>
      <c r="H113" s="8" t="n">
        <v>-2</v>
      </c>
      <c r="I113" s="0" t="s">
        <v>128</v>
      </c>
    </row>
    <row r="114" customFormat="false" ht="15" hidden="false" customHeight="false" outlineLevel="0" collapsed="false">
      <c r="C114" s="18" t="s">
        <v>62</v>
      </c>
      <c r="G114" s="0" t="s">
        <v>127</v>
      </c>
      <c r="H114" s="8" t="n">
        <v>4</v>
      </c>
      <c r="I114" s="0" t="s">
        <v>128</v>
      </c>
      <c r="K114" s="0" t="s">
        <v>122</v>
      </c>
    </row>
    <row r="115" customFormat="false" ht="15" hidden="false" customHeight="false" outlineLevel="0" collapsed="false">
      <c r="C115" s="18" t="s">
        <v>62</v>
      </c>
      <c r="G115" s="0" t="s">
        <v>129</v>
      </c>
      <c r="H115" s="8" t="n">
        <v>-2</v>
      </c>
      <c r="I115" s="0" t="s">
        <v>128</v>
      </c>
    </row>
    <row r="116" customFormat="false" ht="15" hidden="false" customHeight="false" outlineLevel="0" collapsed="false">
      <c r="C116" s="18" t="s">
        <v>63</v>
      </c>
      <c r="G116" s="0" t="s">
        <v>127</v>
      </c>
      <c r="H116" s="8" t="n">
        <v>4</v>
      </c>
      <c r="I116" s="0" t="s">
        <v>128</v>
      </c>
      <c r="K116" s="0" t="s">
        <v>122</v>
      </c>
    </row>
    <row r="117" customFormat="false" ht="15" hidden="false" customHeight="false" outlineLevel="0" collapsed="false">
      <c r="C117" s="18" t="s">
        <v>63</v>
      </c>
      <c r="G117" s="0" t="s">
        <v>129</v>
      </c>
      <c r="H117" s="8" t="n">
        <v>-2</v>
      </c>
      <c r="I117" s="0" t="s">
        <v>128</v>
      </c>
    </row>
    <row r="118" customFormat="false" ht="15" hidden="false" customHeight="false" outlineLevel="0" collapsed="false">
      <c r="C118" s="18" t="s">
        <v>64</v>
      </c>
      <c r="G118" s="0" t="s">
        <v>127</v>
      </c>
      <c r="H118" s="8" t="n">
        <v>4</v>
      </c>
      <c r="I118" s="0" t="s">
        <v>128</v>
      </c>
      <c r="K118" s="0" t="s">
        <v>122</v>
      </c>
    </row>
    <row r="119" customFormat="false" ht="15" hidden="false" customHeight="false" outlineLevel="0" collapsed="false">
      <c r="C119" s="18" t="s">
        <v>64</v>
      </c>
      <c r="G119" s="0" t="s">
        <v>129</v>
      </c>
      <c r="H119" s="8" t="n">
        <v>-2</v>
      </c>
      <c r="I119" s="0" t="s">
        <v>128</v>
      </c>
    </row>
    <row r="120" customFormat="false" ht="15" hidden="false" customHeight="false" outlineLevel="0" collapsed="false">
      <c r="C120" s="18"/>
      <c r="H120" s="8"/>
    </row>
    <row r="121" customFormat="false" ht="15" hidden="false" customHeight="false" outlineLevel="0" collapsed="false">
      <c r="A121" s="17" t="s">
        <v>131</v>
      </c>
      <c r="C121" s="18"/>
      <c r="H121" s="8"/>
    </row>
    <row r="122" customFormat="false" ht="15" hidden="false" customHeight="false" outlineLevel="0" collapsed="false">
      <c r="A122" s="17"/>
      <c r="C122" s="18"/>
      <c r="G122" s="0" t="s">
        <v>132</v>
      </c>
      <c r="H122" s="8" t="n">
        <v>50</v>
      </c>
      <c r="I122" s="0" t="s">
        <v>133</v>
      </c>
      <c r="K122" s="0" t="s">
        <v>134</v>
      </c>
    </row>
    <row r="123" customFormat="false" ht="15" hidden="false" customHeight="false" outlineLevel="0" collapsed="false">
      <c r="C123" s="18"/>
      <c r="H123" s="8"/>
    </row>
    <row r="124" customFormat="false" ht="15" hidden="false" customHeight="false" outlineLevel="0" collapsed="false">
      <c r="A124" s="3" t="s">
        <v>135</v>
      </c>
      <c r="B124" s="3"/>
      <c r="C124" s="4"/>
      <c r="D124" s="4"/>
      <c r="E124" s="4"/>
      <c r="F124" s="4"/>
      <c r="G124" s="4"/>
      <c r="H124" s="4"/>
      <c r="I124" s="4" t="s">
        <v>136</v>
      </c>
      <c r="J124" s="4"/>
      <c r="K124" s="4"/>
    </row>
    <row r="125" customFormat="false" ht="15" hidden="false" customHeight="false" outlineLevel="0" collapsed="false">
      <c r="G125" s="15"/>
      <c r="H125" s="15"/>
      <c r="I125" s="15"/>
      <c r="J125" s="15" t="s">
        <v>47</v>
      </c>
    </row>
    <row r="126" customFormat="false" ht="15" hidden="false" customHeight="false" outlineLevel="0" collapsed="false">
      <c r="A126" s="5" t="s">
        <v>15</v>
      </c>
      <c r="B126" s="5"/>
      <c r="C126" s="6"/>
      <c r="D126" s="6"/>
      <c r="E126" s="6"/>
      <c r="F126" s="6"/>
      <c r="G126" s="6"/>
      <c r="H126" s="7"/>
      <c r="I126" s="6"/>
      <c r="J126" s="6"/>
      <c r="K126" s="6"/>
    </row>
    <row r="127" customFormat="false" ht="15" hidden="false" customHeight="false" outlineLevel="0" collapsed="false">
      <c r="A127" s="25" t="s">
        <v>137</v>
      </c>
      <c r="B127" s="26"/>
      <c r="C127" s="27"/>
      <c r="D127" s="27"/>
      <c r="E127" s="27"/>
      <c r="F127" s="27"/>
      <c r="G127" s="27"/>
      <c r="H127" s="28"/>
      <c r="I127" s="27"/>
      <c r="J127" s="27"/>
      <c r="K127" s="27"/>
    </row>
    <row r="128" customFormat="false" ht="15" hidden="false" customHeight="false" outlineLevel="0" collapsed="false">
      <c r="A128" s="15" t="s">
        <v>16</v>
      </c>
      <c r="B128" s="15"/>
      <c r="C128" s="15"/>
      <c r="G128" s="15" t="s">
        <v>138</v>
      </c>
      <c r="H128" s="15" t="n">
        <v>0</v>
      </c>
      <c r="I128" s="15"/>
      <c r="J128" s="15" t="s">
        <v>47</v>
      </c>
    </row>
    <row r="129" customFormat="false" ht="15" hidden="false" customHeight="false" outlineLevel="0" collapsed="false">
      <c r="A129" s="0" t="s">
        <v>16</v>
      </c>
      <c r="D129" s="0" t="s">
        <v>139</v>
      </c>
      <c r="G129" s="0" t="s">
        <v>138</v>
      </c>
      <c r="H129" s="13" t="n">
        <v>0</v>
      </c>
      <c r="I129" s="15"/>
      <c r="J129" s="15"/>
    </row>
    <row r="130" customFormat="false" ht="15" hidden="false" customHeight="false" outlineLevel="0" collapsed="false">
      <c r="A130" s="0" t="s">
        <v>16</v>
      </c>
      <c r="D130" s="0" t="s">
        <v>140</v>
      </c>
      <c r="G130" s="0" t="s">
        <v>138</v>
      </c>
      <c r="H130" s="13" t="n">
        <v>0</v>
      </c>
      <c r="I130" s="15"/>
      <c r="J130" s="15"/>
    </row>
    <row r="131" customFormat="false" ht="15" hidden="false" customHeight="false" outlineLevel="0" collapsed="false">
      <c r="A131" s="0" t="s">
        <v>16</v>
      </c>
      <c r="D131" s="0" t="s">
        <v>141</v>
      </c>
      <c r="G131" s="0" t="s">
        <v>138</v>
      </c>
      <c r="H131" s="13" t="n">
        <v>0</v>
      </c>
      <c r="I131" s="15"/>
      <c r="J131" s="15"/>
    </row>
    <row r="132" customFormat="false" ht="15" hidden="false" customHeight="false" outlineLevel="0" collapsed="false">
      <c r="A132" s="0" t="s">
        <v>16</v>
      </c>
      <c r="D132" s="0" t="s">
        <v>142</v>
      </c>
      <c r="G132" s="0" t="s">
        <v>138</v>
      </c>
      <c r="H132" s="13" t="n">
        <v>0</v>
      </c>
      <c r="I132" s="15"/>
      <c r="J132" s="15"/>
    </row>
    <row r="133" customFormat="false" ht="15" hidden="false" customHeight="false" outlineLevel="0" collapsed="false">
      <c r="A133" s="0" t="s">
        <v>16</v>
      </c>
      <c r="D133" s="0" t="s">
        <v>143</v>
      </c>
      <c r="G133" s="0" t="s">
        <v>138</v>
      </c>
      <c r="H133" s="13" t="n">
        <v>0</v>
      </c>
    </row>
    <row r="134" customFormat="false" ht="15" hidden="false" customHeight="false" outlineLevel="0" collapsed="false">
      <c r="A134" s="0" t="s">
        <v>16</v>
      </c>
      <c r="D134" s="0" t="s">
        <v>144</v>
      </c>
      <c r="G134" s="0" t="s">
        <v>138</v>
      </c>
      <c r="H134" s="13" t="n">
        <v>0</v>
      </c>
    </row>
    <row r="135" customFormat="false" ht="15" hidden="false" customHeight="false" outlineLevel="0" collapsed="false">
      <c r="A135" s="0" t="s">
        <v>16</v>
      </c>
      <c r="D135" s="0" t="s">
        <v>145</v>
      </c>
      <c r="G135" s="0" t="s">
        <v>138</v>
      </c>
      <c r="H135" s="13" t="n">
        <v>0</v>
      </c>
    </row>
    <row r="138" customFormat="false" ht="15" hidden="false" customHeight="false" outlineLevel="0" collapsed="false">
      <c r="A138" s="25" t="s">
        <v>146</v>
      </c>
      <c r="B138" s="26"/>
      <c r="C138" s="27"/>
      <c r="D138" s="27"/>
      <c r="E138" s="27"/>
      <c r="F138" s="27"/>
      <c r="G138" s="27"/>
      <c r="H138" s="28"/>
      <c r="I138" s="27"/>
      <c r="J138" s="27"/>
      <c r="K138" s="27"/>
    </row>
    <row r="139" customFormat="false" ht="15" hidden="false" customHeight="false" outlineLevel="0" collapsed="false">
      <c r="A139" s="15"/>
      <c r="B139" s="15"/>
      <c r="C139" s="15"/>
      <c r="G139" s="15"/>
      <c r="H139" s="15"/>
      <c r="I139" s="15"/>
      <c r="J139" s="15"/>
    </row>
    <row r="140" customFormat="false" ht="15" hidden="false" customHeight="false" outlineLevel="0" collapsed="false">
      <c r="H140" s="13"/>
      <c r="I140" s="15"/>
      <c r="J140" s="15"/>
    </row>
    <row r="141" customFormat="false" ht="15" hidden="false" customHeight="false" outlineLevel="0" collapsed="false">
      <c r="H141" s="13"/>
      <c r="I141" s="15"/>
      <c r="J141" s="15"/>
    </row>
    <row r="142" customFormat="false" ht="15" hidden="false" customHeight="false" outlineLevel="0" collapsed="false">
      <c r="H142" s="13"/>
      <c r="I142" s="15"/>
      <c r="J142" s="15"/>
    </row>
    <row r="143" customFormat="false" ht="15" hidden="false" customHeight="false" outlineLevel="0" collapsed="false">
      <c r="H143" s="13"/>
      <c r="I143" s="15"/>
      <c r="J143" s="15"/>
    </row>
    <row r="144" customFormat="false" ht="15" hidden="false" customHeight="false" outlineLevel="0" collapsed="false">
      <c r="H144" s="13"/>
      <c r="I144" s="15"/>
      <c r="J144" s="15"/>
    </row>
    <row r="145" customFormat="false" ht="15" hidden="false" customHeight="false" outlineLevel="0" collapsed="false">
      <c r="H145" s="13"/>
      <c r="I145" s="15"/>
      <c r="J145" s="15"/>
    </row>
    <row r="146" customFormat="false" ht="15" hidden="false" customHeight="false" outlineLevel="0" collapsed="false">
      <c r="H146" s="13"/>
      <c r="I146" s="15"/>
      <c r="J146" s="15"/>
    </row>
  </sheetData>
  <hyperlinks>
    <hyperlink ref="K76" r:id="rId1" display="https://pir.sa.gov.au/__data/assets/pdf_file/0007/272869/Calculating_dry_matter_intakes.pdf"/>
    <hyperlink ref="K94" r:id="rId2" display="https://www.gardochdjurhalsan.se/mer-mjolk-till-smakalvar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U104"/>
  <sheetViews>
    <sheetView showFormulas="false" showGridLines="true" showRowColHeaders="true" showZeros="true" rightToLeft="false" tabSelected="false" showOutlineSymbols="true" defaultGridColor="true" view="normal" topLeftCell="Z1" colorId="64" zoomScale="100" zoomScaleNormal="100" zoomScalePageLayoutView="100" workbookViewId="0">
      <selection pane="topLeft" activeCell="AQ5" activeCellId="0" sqref="AQ5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86"/>
    <col collapsed="false" customWidth="true" hidden="false" outlineLevel="0" max="3" min="3" style="0" width="10.14"/>
    <col collapsed="false" customWidth="true" hidden="false" outlineLevel="0" max="4" min="4" style="0" width="12"/>
    <col collapsed="false" customWidth="true" hidden="false" outlineLevel="0" max="15" min="15" style="0" width="11.43"/>
    <col collapsed="false" customWidth="true" hidden="false" outlineLevel="0" max="19" min="19" style="0" width="7.57"/>
    <col collapsed="false" customWidth="true" hidden="false" outlineLevel="0" max="22" min="22" style="0" width="9"/>
    <col collapsed="false" customWidth="true" hidden="false" outlineLevel="0" max="26" min="26" style="0" width="7.72"/>
  </cols>
  <sheetData>
    <row r="2" customFormat="false" ht="15" hidden="false" customHeight="false" outlineLevel="0" collapsed="false">
      <c r="B2" s="17" t="s">
        <v>147</v>
      </c>
      <c r="P2" s="29"/>
      <c r="Y2" s="17" t="s">
        <v>148</v>
      </c>
    </row>
    <row r="3" customFormat="false" ht="15" hidden="false" customHeight="false" outlineLevel="0" collapsed="false">
      <c r="D3" s="2" t="s">
        <v>149</v>
      </c>
      <c r="F3" s="2" t="s">
        <v>150</v>
      </c>
      <c r="H3" s="2" t="s">
        <v>151</v>
      </c>
      <c r="J3" s="2" t="s">
        <v>152</v>
      </c>
      <c r="AA3" s="2" t="s">
        <v>149</v>
      </c>
      <c r="AC3" s="2" t="s">
        <v>150</v>
      </c>
      <c r="AE3" s="2" t="s">
        <v>151</v>
      </c>
      <c r="AG3" s="2" t="s">
        <v>152</v>
      </c>
    </row>
    <row r="4" customFormat="false" ht="15" hidden="false" customHeight="false" outlineLevel="0" collapsed="false">
      <c r="B4" s="2"/>
      <c r="D4" s="0" t="s">
        <v>153</v>
      </c>
      <c r="E4" s="0" t="s">
        <v>154</v>
      </c>
      <c r="F4" s="0" t="s">
        <v>153</v>
      </c>
      <c r="G4" s="0" t="s">
        <v>154</v>
      </c>
      <c r="H4" s="0" t="s">
        <v>153</v>
      </c>
      <c r="I4" s="0" t="s">
        <v>154</v>
      </c>
      <c r="J4" s="0" t="s">
        <v>153</v>
      </c>
      <c r="K4" s="0" t="s">
        <v>154</v>
      </c>
      <c r="M4" s="30" t="s">
        <v>155</v>
      </c>
      <c r="N4" s="31"/>
      <c r="O4" s="31"/>
      <c r="P4" s="32" t="s">
        <v>156</v>
      </c>
      <c r="Q4" s="32" t="s">
        <v>157</v>
      </c>
      <c r="R4" s="32" t="s">
        <v>158</v>
      </c>
      <c r="S4" s="32"/>
      <c r="T4" s="32" t="s">
        <v>159</v>
      </c>
      <c r="U4" s="31"/>
      <c r="V4" s="31"/>
      <c r="W4" s="33"/>
      <c r="Y4" s="2"/>
      <c r="AA4" s="0" t="s">
        <v>153</v>
      </c>
      <c r="AB4" s="0" t="s">
        <v>154</v>
      </c>
      <c r="AC4" s="0" t="s">
        <v>153</v>
      </c>
      <c r="AD4" s="0" t="s">
        <v>154</v>
      </c>
      <c r="AE4" s="0" t="s">
        <v>153</v>
      </c>
      <c r="AF4" s="0" t="s">
        <v>154</v>
      </c>
      <c r="AG4" s="0" t="s">
        <v>153</v>
      </c>
      <c r="AH4" s="0" t="s">
        <v>154</v>
      </c>
      <c r="AJ4" s="30" t="s">
        <v>155</v>
      </c>
      <c r="AK4" s="31"/>
      <c r="AL4" s="31"/>
      <c r="AM4" s="32" t="s">
        <v>156</v>
      </c>
      <c r="AN4" s="32" t="s">
        <v>157</v>
      </c>
      <c r="AO4" s="32" t="s">
        <v>158</v>
      </c>
      <c r="AP4" s="32"/>
      <c r="AQ4" s="32" t="s">
        <v>159</v>
      </c>
      <c r="AR4" s="31"/>
      <c r="AS4" s="31"/>
      <c r="AT4" s="33"/>
    </row>
    <row r="5" customFormat="false" ht="15" hidden="false" customHeight="false" outlineLevel="0" collapsed="false">
      <c r="B5" s="0" t="s">
        <v>137</v>
      </c>
      <c r="D5" s="34" t="n">
        <f aca="false">D80*(1-E58/100)</f>
        <v>261212.588</v>
      </c>
      <c r="E5" s="34" t="n">
        <f aca="false">D80*(E58/100)</f>
        <v>55025.412</v>
      </c>
      <c r="F5" s="35" t="n">
        <f aca="false">D5*P7/100-J5</f>
        <v>79669.83934</v>
      </c>
      <c r="G5" s="35" t="n">
        <f aca="false">E5*Q7/100-K5</f>
        <v>16232.49654</v>
      </c>
      <c r="H5" s="13" t="n">
        <f aca="false">F5*P30/1000000</f>
        <v>24.3963596101891</v>
      </c>
      <c r="I5" s="13" t="n">
        <f aca="false">G5*Q30/1000000</f>
        <v>4.97068685266148</v>
      </c>
      <c r="J5" s="35" t="n">
        <f aca="false">D5*P14/100</f>
        <v>17240.030808</v>
      </c>
      <c r="K5" s="35" t="n">
        <f aca="false">E5*Q14/100</f>
        <v>3631.677192</v>
      </c>
      <c r="M5" s="36" t="s">
        <v>160</v>
      </c>
      <c r="N5" s="37"/>
      <c r="O5" s="37"/>
      <c r="P5" s="38" t="n">
        <v>13.2</v>
      </c>
      <c r="Q5" s="39" t="n">
        <v>12.9</v>
      </c>
      <c r="R5" s="37" t="s">
        <v>161</v>
      </c>
      <c r="S5" s="37"/>
      <c r="T5" s="37" t="s">
        <v>162</v>
      </c>
      <c r="U5" s="37"/>
      <c r="V5" s="37"/>
      <c r="W5" s="40"/>
      <c r="Y5" s="0" t="s">
        <v>137</v>
      </c>
      <c r="AA5" s="34" t="n">
        <f aca="false">D81*(1-E59/100)</f>
        <v>133821.072</v>
      </c>
      <c r="AB5" s="34" t="n">
        <f aca="false">D81*(E59/100)</f>
        <v>72692.928</v>
      </c>
      <c r="AC5" s="35" t="n">
        <f aca="false">AA5*AM7/100-AG5</f>
        <v>30913.742818831</v>
      </c>
      <c r="AD5" s="35" t="n">
        <f aca="false">AB5*AN7/100-AH5</f>
        <v>16792.6504201057</v>
      </c>
      <c r="AE5" s="13" t="n">
        <f aca="false">AC5*AM30/1000000</f>
        <v>10.5292118186937</v>
      </c>
      <c r="AF5" s="13" t="n">
        <f aca="false">AD5*AN30/1000000</f>
        <v>5.71957185212992</v>
      </c>
      <c r="AG5" s="35" t="n">
        <f aca="false">AA5*AM14/100</f>
        <v>2676.42144</v>
      </c>
      <c r="AH5" s="35" t="n">
        <f aca="false">AB5*AN14/100</f>
        <v>1453.85856</v>
      </c>
      <c r="AJ5" s="36" t="s">
        <v>160</v>
      </c>
      <c r="AK5" s="37"/>
      <c r="AL5" s="37"/>
      <c r="AM5" s="41" t="n">
        <f aca="false">(12.7+12.7+12.7+12.7)/4</f>
        <v>12.7</v>
      </c>
      <c r="AN5" s="42" t="n">
        <v>12.7</v>
      </c>
      <c r="AO5" s="37" t="s">
        <v>161</v>
      </c>
      <c r="AP5" s="37"/>
      <c r="AQ5" s="37" t="s">
        <v>163</v>
      </c>
      <c r="AR5" s="37"/>
      <c r="AS5" s="37"/>
      <c r="AT5" s="40"/>
    </row>
    <row r="6" customFormat="false" ht="15" hidden="false" customHeight="false" outlineLevel="0" collapsed="false">
      <c r="B6" s="0" t="s">
        <v>164</v>
      </c>
      <c r="D6" s="35" t="e">
        <f aca="false">D23*((P6-12)/12)+D27*((P25-12)/12)</f>
        <v>#REF!</v>
      </c>
      <c r="E6" s="35" t="e">
        <f aca="false">E23*((Q6-12)/12)+E27*((Q25-12)/12)</f>
        <v>#REF!</v>
      </c>
      <c r="F6" s="35" t="e">
        <f aca="false">D27</f>
        <v>#REF!</v>
      </c>
      <c r="G6" s="35" t="e">
        <f aca="false">E27</f>
        <v>#REF!</v>
      </c>
      <c r="H6" s="13" t="e">
        <f aca="false">F6*P31/1000000</f>
        <v>#REF!</v>
      </c>
      <c r="I6" s="13" t="e">
        <f aca="false">G6*Q31/1000000</f>
        <v>#REF!</v>
      </c>
      <c r="M6" s="36" t="s">
        <v>165</v>
      </c>
      <c r="N6" s="37"/>
      <c r="O6" s="37"/>
      <c r="P6" s="41" t="n">
        <v>27</v>
      </c>
      <c r="Q6" s="39" t="n">
        <v>27</v>
      </c>
      <c r="R6" s="37" t="s">
        <v>161</v>
      </c>
      <c r="S6" s="37"/>
      <c r="T6" s="37" t="s">
        <v>162</v>
      </c>
      <c r="U6" s="37"/>
      <c r="V6" s="37"/>
      <c r="W6" s="40"/>
      <c r="Y6" s="0" t="s">
        <v>164</v>
      </c>
      <c r="AA6" s="35" t="e">
        <f aca="false">AA23*((AM6-12)/12)+AA27*((AM25-12)/12)</f>
        <v>#REF!</v>
      </c>
      <c r="AB6" s="35" t="e">
        <f aca="false">AB23*((AN6-12)/12)+AB27*((AN25-12)/12)</f>
        <v>#REF!</v>
      </c>
      <c r="AC6" s="35" t="e">
        <f aca="false">AA27</f>
        <v>#REF!</v>
      </c>
      <c r="AD6" s="35" t="e">
        <f aca="false">AB27</f>
        <v>#REF!</v>
      </c>
      <c r="AE6" s="13" t="e">
        <f aca="false">AC6*AM31/1000000</f>
        <v>#REF!</v>
      </c>
      <c r="AF6" s="13" t="e">
        <f aca="false">AD6*AN31/1000000</f>
        <v>#REF!</v>
      </c>
      <c r="AJ6" s="36" t="s">
        <v>165</v>
      </c>
      <c r="AK6" s="37"/>
      <c r="AL6" s="37"/>
      <c r="AM6" s="41" t="n">
        <f aca="false">(27.5+28.4+27.6+29.9+30)/5</f>
        <v>28.68</v>
      </c>
      <c r="AN6" s="42" t="n">
        <f aca="false">AM6</f>
        <v>28.68</v>
      </c>
      <c r="AO6" s="37" t="s">
        <v>161</v>
      </c>
      <c r="AP6" s="37"/>
      <c r="AQ6" s="37" t="s">
        <v>166</v>
      </c>
      <c r="AR6" s="37"/>
      <c r="AS6" s="37"/>
      <c r="AT6" s="40"/>
    </row>
    <row r="7" customFormat="false" ht="15" hidden="false" customHeight="false" outlineLevel="0" collapsed="false">
      <c r="B7" s="0" t="s">
        <v>167</v>
      </c>
      <c r="D7" s="35" t="e">
        <f aca="false">D28*((P27-12)/12)</f>
        <v>#REF!</v>
      </c>
      <c r="E7" s="35" t="e">
        <f aca="false">E28*((Q27-12)/12)</f>
        <v>#REF!</v>
      </c>
      <c r="F7" s="35" t="e">
        <f aca="false">D28</f>
        <v>#REF!</v>
      </c>
      <c r="G7" s="35" t="e">
        <f aca="false">E28</f>
        <v>#REF!</v>
      </c>
      <c r="H7" s="13" t="e">
        <f aca="false">F7*P33/1000000</f>
        <v>#REF!</v>
      </c>
      <c r="I7" s="13" t="e">
        <f aca="false">G7*Q33/1000000</f>
        <v>#REF!</v>
      </c>
      <c r="M7" s="36" t="s">
        <v>168</v>
      </c>
      <c r="N7" s="43"/>
      <c r="O7" s="44"/>
      <c r="P7" s="45" t="n">
        <v>37.1</v>
      </c>
      <c r="Q7" s="39" t="n">
        <v>36.1</v>
      </c>
      <c r="R7" s="37" t="s">
        <v>23</v>
      </c>
      <c r="S7" s="37"/>
      <c r="T7" s="46" t="s">
        <v>169</v>
      </c>
      <c r="U7" s="37"/>
      <c r="V7" s="37"/>
      <c r="W7" s="40"/>
      <c r="Y7" s="0" t="s">
        <v>167</v>
      </c>
      <c r="AA7" s="35" t="e">
        <f aca="false">AA28*((AM27-12)/12)</f>
        <v>#REF!</v>
      </c>
      <c r="AB7" s="35" t="e">
        <f aca="false">AB28*((AN27-12)/12)</f>
        <v>#REF!</v>
      </c>
      <c r="AC7" s="35" t="e">
        <f aca="false">AA28</f>
        <v>#REF!</v>
      </c>
      <c r="AD7" s="35" t="e">
        <f aca="false">AB28</f>
        <v>#REF!</v>
      </c>
      <c r="AE7" s="13" t="e">
        <f aca="false">AC7*AM33/1000000</f>
        <v>#REF!</v>
      </c>
      <c r="AF7" s="13" t="e">
        <f aca="false">AD7*AN33/1000000</f>
        <v>#REF!</v>
      </c>
      <c r="AJ7" s="36" t="s">
        <v>168</v>
      </c>
      <c r="AK7" s="43"/>
      <c r="AL7" s="44"/>
      <c r="AM7" s="41" t="n">
        <f aca="false">1/(AM24/12-AM6/12)*100</f>
        <v>25.1008034510671</v>
      </c>
      <c r="AN7" s="39" t="n">
        <f aca="false">1/(AN24/12-AN6/12)*100</f>
        <v>25.1008034510671</v>
      </c>
      <c r="AO7" s="46" t="s">
        <v>23</v>
      </c>
      <c r="AP7" s="37"/>
      <c r="AQ7" s="37" t="s">
        <v>170</v>
      </c>
      <c r="AR7" s="37"/>
      <c r="AS7" s="37"/>
      <c r="AT7" s="40"/>
    </row>
    <row r="8" customFormat="false" ht="15" hidden="false" customHeight="false" outlineLevel="0" collapsed="false">
      <c r="B8" s="0" t="s">
        <v>171</v>
      </c>
      <c r="D8" s="35" t="e">
        <f aca="false">D29*((P28-12)/12)</f>
        <v>#REF!</v>
      </c>
      <c r="E8" s="35" t="e">
        <f aca="false">E29*((Q28-12)/12)</f>
        <v>#REF!</v>
      </c>
      <c r="F8" s="35" t="e">
        <f aca="false">D29</f>
        <v>#REF!</v>
      </c>
      <c r="G8" s="35" t="e">
        <f aca="false">E29</f>
        <v>#REF!</v>
      </c>
      <c r="H8" s="13" t="e">
        <f aca="false">F8*P34/1000000</f>
        <v>#REF!</v>
      </c>
      <c r="I8" s="13" t="e">
        <f aca="false">G8*Q34/1000000</f>
        <v>#REF!</v>
      </c>
      <c r="M8" s="36" t="s">
        <v>172</v>
      </c>
      <c r="N8" s="37"/>
      <c r="O8" s="37"/>
      <c r="P8" s="41" t="n">
        <f aca="false">(48.7*77196+51.7*144627)/221823</f>
        <v>50.655978415223</v>
      </c>
      <c r="Q8" s="42" t="n">
        <f aca="false">P8</f>
        <v>50.655978415223</v>
      </c>
      <c r="R8" s="37" t="s">
        <v>23</v>
      </c>
      <c r="S8" s="37"/>
      <c r="T8" s="37" t="s">
        <v>173</v>
      </c>
      <c r="U8" s="37"/>
      <c r="V8" s="37"/>
      <c r="W8" s="40"/>
      <c r="Y8" s="0" t="s">
        <v>171</v>
      </c>
      <c r="AA8" s="35" t="e">
        <f aca="false">AA29*((AM28-12)/12)</f>
        <v>#REF!</v>
      </c>
      <c r="AB8" s="35" t="e">
        <f aca="false">AB29*((AN28-12)/12)</f>
        <v>#REF!</v>
      </c>
      <c r="AC8" s="35" t="e">
        <f aca="false">AA29</f>
        <v>#REF!</v>
      </c>
      <c r="AD8" s="35" t="e">
        <f aca="false">AB29</f>
        <v>#REF!</v>
      </c>
      <c r="AE8" s="13" t="e">
        <f aca="false">AC8*AM34/1000000</f>
        <v>#REF!</v>
      </c>
      <c r="AF8" s="13" t="e">
        <f aca="false">AD8*AN34/1000000</f>
        <v>#REF!</v>
      </c>
      <c r="AJ8" s="36" t="s">
        <v>172</v>
      </c>
      <c r="AK8" s="37"/>
      <c r="AL8" s="37"/>
      <c r="AM8" s="45" t="n">
        <v>51.7</v>
      </c>
      <c r="AN8" s="42" t="n">
        <f aca="false">AM8</f>
        <v>51.7</v>
      </c>
      <c r="AO8" s="46" t="s">
        <v>23</v>
      </c>
      <c r="AP8" s="37"/>
      <c r="AQ8" s="46" t="s">
        <v>174</v>
      </c>
      <c r="AR8" s="37"/>
      <c r="AS8" s="37"/>
      <c r="AT8" s="40"/>
    </row>
    <row r="9" customFormat="false" ht="15" hidden="false" customHeight="false" outlineLevel="0" collapsed="false">
      <c r="B9" s="0" t="s">
        <v>175</v>
      </c>
      <c r="D9" s="35" t="e">
        <f aca="false">((D13-D17)*P16+(D14-D18)*P18+(D17-D19)*P20+(D18-D20)*P22+(D23+D27+D28+D29)*365.25+D24*P26*30.44)/365.25</f>
        <v>#REF!</v>
      </c>
      <c r="E9" s="35" t="e">
        <f aca="false">((E13-E17)*Q16+(E14-E18)*Q18+(E17-E19)*Q20+(E18-E20)*Q22+(E23+E27+E28+E29)*365.25+E24*Q26*30.44)/365.25</f>
        <v>#REF!</v>
      </c>
      <c r="F9" s="35" t="e">
        <f aca="false">D24</f>
        <v>#REF!</v>
      </c>
      <c r="G9" s="35" t="e">
        <f aca="false">E24</f>
        <v>#REF!</v>
      </c>
      <c r="H9" s="13" t="e">
        <f aca="false">F9*P32/1000000</f>
        <v>#REF!</v>
      </c>
      <c r="I9" s="13" t="e">
        <f aca="false">G9*Q32/1000000</f>
        <v>#REF!</v>
      </c>
      <c r="J9" s="35" t="n">
        <f aca="false">SUM(D21:D22)</f>
        <v>23373.0941777237</v>
      </c>
      <c r="K9" s="35" t="n">
        <f aca="false">SUM(E21:E22)</f>
        <v>3061.73832991848</v>
      </c>
      <c r="M9" s="47" t="s">
        <v>176</v>
      </c>
      <c r="N9" s="37"/>
      <c r="O9" s="37"/>
      <c r="P9" s="41" t="n">
        <f aca="false">(79242*1.07+141785*4.46)/(79242+141785)</f>
        <v>3.24462640310912</v>
      </c>
      <c r="Q9" s="42" t="n">
        <f aca="false">P9</f>
        <v>3.24462640310912</v>
      </c>
      <c r="R9" s="37" t="s">
        <v>23</v>
      </c>
      <c r="S9" s="37"/>
      <c r="T9" s="37"/>
      <c r="U9" s="37"/>
      <c r="V9" s="37"/>
      <c r="W9" s="40"/>
      <c r="Y9" s="0" t="s">
        <v>175</v>
      </c>
      <c r="AA9" s="35" t="e">
        <f aca="false">((AA13-AA17)*AM16+(AA14-AA18)*AM18+(AA17-AA19)*AM20+(AA18-AA20)*AM22+(AA23+AA27+AA28+AA29)*365.25+AA24*AM26*30.44)/365.25</f>
        <v>#REF!</v>
      </c>
      <c r="AB9" s="35" t="e">
        <f aca="false">((AB13-AB17)*AN16+(AB14-AB18)*AN18+(AB17-AB19)*AN20+(AB18-AB20)*AN22+(AB23+AB27+AB28+AB29)*365.25+AB24*AN26*30.44)/365.25</f>
        <v>#REF!</v>
      </c>
      <c r="AC9" s="35" t="e">
        <f aca="false">AA24</f>
        <v>#REF!</v>
      </c>
      <c r="AD9" s="35" t="e">
        <f aca="false">AB24</f>
        <v>#REF!</v>
      </c>
      <c r="AE9" s="13" t="e">
        <f aca="false">AC9*AM32/1000000</f>
        <v>#REF!</v>
      </c>
      <c r="AF9" s="13" t="e">
        <f aca="false">AD9*AN32/1000000</f>
        <v>#REF!</v>
      </c>
      <c r="AG9" s="35" t="n">
        <f aca="false">SUM(AA21:AA22)</f>
        <v>7304.427855364</v>
      </c>
      <c r="AH9" s="35" t="n">
        <f aca="false">SUM(AB21:AB22)</f>
        <v>3729.93626948884</v>
      </c>
      <c r="AJ9" s="47" t="s">
        <v>176</v>
      </c>
      <c r="AK9" s="37"/>
      <c r="AL9" s="37"/>
      <c r="AM9" s="41" t="n">
        <v>4.57304494111992</v>
      </c>
      <c r="AN9" s="42" t="n">
        <f aca="false">AM9</f>
        <v>4.57304494111992</v>
      </c>
      <c r="AO9" s="46" t="s">
        <v>23</v>
      </c>
      <c r="AP9" s="37"/>
      <c r="AQ9" s="37" t="s">
        <v>177</v>
      </c>
      <c r="AR9" s="37"/>
      <c r="AS9" s="37"/>
      <c r="AT9" s="40"/>
    </row>
    <row r="10" customFormat="false" ht="15" hidden="false" customHeight="false" outlineLevel="0" collapsed="false">
      <c r="D10" s="48"/>
      <c r="E10" s="48"/>
      <c r="M10" s="36" t="s">
        <v>178</v>
      </c>
      <c r="N10" s="37"/>
      <c r="O10" s="37"/>
      <c r="P10" s="41" t="n">
        <v>5</v>
      </c>
      <c r="Q10" s="39" t="n">
        <v>4.6</v>
      </c>
      <c r="R10" s="37" t="s">
        <v>23</v>
      </c>
      <c r="S10" s="37"/>
      <c r="T10" s="46" t="s">
        <v>169</v>
      </c>
      <c r="U10" s="37"/>
      <c r="V10" s="37"/>
      <c r="W10" s="40"/>
      <c r="AJ10" s="36" t="s">
        <v>178</v>
      </c>
      <c r="AK10" s="37"/>
      <c r="AL10" s="37"/>
      <c r="AM10" s="41" t="n">
        <f aca="false">(2.4*10433+1.6*1935)/(10433+1935)</f>
        <v>2.2748382923674</v>
      </c>
      <c r="AN10" s="42" t="n">
        <f aca="false">AM10</f>
        <v>2.2748382923674</v>
      </c>
      <c r="AO10" s="37" t="s">
        <v>23</v>
      </c>
      <c r="AP10" s="37"/>
      <c r="AQ10" s="37" t="s">
        <v>163</v>
      </c>
      <c r="AR10" s="37"/>
      <c r="AS10" s="37"/>
      <c r="AT10" s="40"/>
    </row>
    <row r="11" customFormat="false" ht="15" hidden="false" customHeight="false" outlineLevel="0" collapsed="false">
      <c r="B11" s="49" t="s">
        <v>179</v>
      </c>
      <c r="D11" s="0" t="s">
        <v>153</v>
      </c>
      <c r="E11" s="0" t="s">
        <v>154</v>
      </c>
      <c r="G11" s="0" t="s">
        <v>180</v>
      </c>
      <c r="H11" s="48" t="e">
        <f aca="false">SUM(H5:H9)/SUM($H5:$I9,$AE5:$AF9)</f>
        <v>#REF!</v>
      </c>
      <c r="I11" s="48" t="e">
        <f aca="false">SUM(I5:I9)/SUM($H5:$I9,$AE5:$AF9)</f>
        <v>#REF!</v>
      </c>
      <c r="M11" s="36" t="s">
        <v>181</v>
      </c>
      <c r="N11" s="43"/>
      <c r="O11" s="50"/>
      <c r="P11" s="51" t="n">
        <f aca="false">(12/P5*(1-P7/100)+(P7/100))*(1*(1-P9/100)+2*(P9/100))*(1-P10/100)</f>
        <v>0.92473865400483</v>
      </c>
      <c r="Q11" s="51" t="n">
        <f aca="false">(12/Q5*(1-Q7/100)+(Q7/100))*(1*(1-Q9/100)+2*(Q9/100))*(1-Q10/100)</f>
        <v>0.941043123985828</v>
      </c>
      <c r="R11" s="37" t="s">
        <v>182</v>
      </c>
      <c r="S11" s="37"/>
      <c r="T11" s="37" t="s">
        <v>170</v>
      </c>
      <c r="U11" s="37"/>
      <c r="V11" s="37"/>
      <c r="W11" s="40"/>
      <c r="Y11" s="49" t="s">
        <v>179</v>
      </c>
      <c r="AA11" s="0" t="s">
        <v>153</v>
      </c>
      <c r="AB11" s="0" t="s">
        <v>154</v>
      </c>
      <c r="AD11" s="0" t="s">
        <v>180</v>
      </c>
      <c r="AE11" s="48" t="e">
        <f aca="false">SUM(AE5:AE9)/SUM($H5:$I9,$AE5:$AF9)</f>
        <v>#REF!</v>
      </c>
      <c r="AF11" s="48" t="e">
        <f aca="false">SUM(AF5:AF9)/SUM($H5:$I9,$AE5:$AF9)</f>
        <v>#REF!</v>
      </c>
      <c r="AJ11" s="36" t="s">
        <v>181</v>
      </c>
      <c r="AK11" s="43"/>
      <c r="AL11" s="50"/>
      <c r="AM11" s="52" t="n">
        <f aca="false">(12/AM5*(1-AM7/100)+(AM7/100))*(1*(1-AM9/100)+2*(AM9/100))*(1-AM10/100)</f>
        <v>0.979752928313678</v>
      </c>
      <c r="AN11" s="53" t="n">
        <f aca="false">(12/AN5*(1-AN7/100)+(AN7/100))*(1*(1-AN9/100)+2*(AN9/100))*(1-AN10/100)</f>
        <v>0.979752928313678</v>
      </c>
      <c r="AO11" s="37" t="s">
        <v>182</v>
      </c>
      <c r="AP11" s="37"/>
      <c r="AQ11" s="37" t="s">
        <v>170</v>
      </c>
      <c r="AR11" s="37"/>
      <c r="AS11" s="37"/>
      <c r="AT11" s="40"/>
      <c r="AU11" s="54"/>
    </row>
    <row r="12" customFormat="false" ht="15" hidden="false" customHeight="false" outlineLevel="0" collapsed="false">
      <c r="B12" s="0" t="s">
        <v>183</v>
      </c>
      <c r="D12" s="35" t="n">
        <f aca="false">D5*P11</f>
        <v>241553.377036238</v>
      </c>
      <c r="E12" s="35" t="n">
        <f aca="false">E5*Q11</f>
        <v>51781.2856070873</v>
      </c>
      <c r="H12" s="48" t="e">
        <f aca="false">H11/SUM(H11:I11)</f>
        <v>#REF!</v>
      </c>
      <c r="I12" s="48" t="e">
        <f aca="false">I11/SUM(H11:I11)</f>
        <v>#REF!</v>
      </c>
      <c r="M12" s="36" t="s">
        <v>184</v>
      </c>
      <c r="N12" s="37"/>
      <c r="O12" s="37"/>
      <c r="P12" s="37" t="n">
        <v>100</v>
      </c>
      <c r="Q12" s="55" t="n">
        <f aca="false">P12</f>
        <v>100</v>
      </c>
      <c r="R12" s="37" t="s">
        <v>185</v>
      </c>
      <c r="S12" s="37"/>
      <c r="T12" s="37" t="s">
        <v>186</v>
      </c>
      <c r="U12" s="37"/>
      <c r="V12" s="37"/>
      <c r="W12" s="40"/>
      <c r="Y12" s="0" t="s">
        <v>183</v>
      </c>
      <c r="AA12" s="35" t="n">
        <f aca="false">AA5*AM11</f>
        <v>131111.587162076</v>
      </c>
      <c r="AB12" s="35" t="n">
        <f aca="false">AB5*AN11</f>
        <v>71221.1090756954</v>
      </c>
      <c r="AE12" s="48" t="e">
        <f aca="false">AE11/SUM(AE11:AF11)</f>
        <v>#REF!</v>
      </c>
      <c r="AF12" s="48" t="e">
        <f aca="false">AF11/SUM(AE11:AF11)</f>
        <v>#REF!</v>
      </c>
      <c r="AJ12" s="36" t="s">
        <v>184</v>
      </c>
      <c r="AK12" s="37"/>
      <c r="AL12" s="37"/>
      <c r="AM12" s="56" t="n">
        <f aca="false">7*30.4</f>
        <v>212.8</v>
      </c>
      <c r="AN12" s="55" t="n">
        <f aca="false">AM12</f>
        <v>212.8</v>
      </c>
      <c r="AO12" s="46" t="s">
        <v>185</v>
      </c>
      <c r="AP12" s="37"/>
      <c r="AQ12" s="37"/>
      <c r="AR12" s="37"/>
      <c r="AS12" s="37"/>
      <c r="AT12" s="40"/>
      <c r="AU12" s="54"/>
    </row>
    <row r="13" customFormat="false" ht="15" hidden="false" customHeight="false" outlineLevel="0" collapsed="false">
      <c r="B13" s="0" t="s">
        <v>187</v>
      </c>
      <c r="D13" s="35" t="n">
        <f aca="false">D12*P8/100</f>
        <v>122361.226532719</v>
      </c>
      <c r="E13" s="35" t="n">
        <f aca="false">E12*Q8/100</f>
        <v>26230.3168602511</v>
      </c>
      <c r="M13" s="57" t="s">
        <v>188</v>
      </c>
      <c r="N13" s="37"/>
      <c r="O13" s="37"/>
      <c r="P13" s="58"/>
      <c r="Q13" s="59"/>
      <c r="R13" s="58"/>
      <c r="S13" s="37"/>
      <c r="T13" s="37"/>
      <c r="U13" s="37"/>
      <c r="V13" s="37"/>
      <c r="W13" s="40"/>
      <c r="Y13" s="0" t="s">
        <v>187</v>
      </c>
      <c r="AA13" s="35" t="n">
        <f aca="false">AA12*AM8/100</f>
        <v>67784.690562793</v>
      </c>
      <c r="AB13" s="35" t="n">
        <f aca="false">AB12*AN8/100</f>
        <v>36821.3133921345</v>
      </c>
      <c r="AJ13" s="57" t="s">
        <v>188</v>
      </c>
      <c r="AK13" s="37"/>
      <c r="AL13" s="37"/>
      <c r="AM13" s="58"/>
      <c r="AN13" s="59"/>
      <c r="AO13" s="58"/>
      <c r="AP13" s="37"/>
      <c r="AQ13" s="37"/>
      <c r="AR13" s="37"/>
      <c r="AS13" s="37"/>
      <c r="AT13" s="40"/>
      <c r="AU13" s="54"/>
    </row>
    <row r="14" customFormat="false" ht="15" hidden="false" customHeight="false" outlineLevel="0" collapsed="false">
      <c r="B14" s="0" t="s">
        <v>189</v>
      </c>
      <c r="D14" s="35" t="n">
        <f aca="false">D12-D13</f>
        <v>119192.150503519</v>
      </c>
      <c r="E14" s="35" t="n">
        <f aca="false">E12-E13</f>
        <v>25550.9687468362</v>
      </c>
      <c r="M14" s="36" t="s">
        <v>190</v>
      </c>
      <c r="N14" s="37"/>
      <c r="O14" s="37"/>
      <c r="P14" s="37" t="n">
        <v>6.6</v>
      </c>
      <c r="Q14" s="59" t="n">
        <f aca="false">P14</f>
        <v>6.6</v>
      </c>
      <c r="R14" s="46" t="s">
        <v>191</v>
      </c>
      <c r="S14" s="37"/>
      <c r="T14" s="37" t="s">
        <v>186</v>
      </c>
      <c r="U14" s="37"/>
      <c r="V14" s="37"/>
      <c r="W14" s="40"/>
      <c r="Y14" s="0" t="s">
        <v>189</v>
      </c>
      <c r="AA14" s="35" t="n">
        <f aca="false">AA12-AA13</f>
        <v>63326.8965992825</v>
      </c>
      <c r="AB14" s="35" t="n">
        <f aca="false">AB12-AB13</f>
        <v>34399.7956835609</v>
      </c>
      <c r="AJ14" s="36" t="s">
        <v>190</v>
      </c>
      <c r="AK14" s="37"/>
      <c r="AL14" s="37"/>
      <c r="AM14" s="41" t="n">
        <v>2</v>
      </c>
      <c r="AN14" s="60" t="n">
        <f aca="false">AM14</f>
        <v>2</v>
      </c>
      <c r="AO14" s="46" t="s">
        <v>191</v>
      </c>
      <c r="AP14" s="37"/>
      <c r="AQ14" s="37" t="s">
        <v>186</v>
      </c>
      <c r="AR14" s="37"/>
      <c r="AS14" s="37"/>
      <c r="AT14" s="40"/>
      <c r="AU14" s="54"/>
    </row>
    <row r="15" customFormat="false" ht="15" hidden="false" customHeight="false" outlineLevel="0" collapsed="false">
      <c r="B15" s="0" t="s">
        <v>192</v>
      </c>
      <c r="D15" s="35" t="n">
        <f aca="false">D13*(1-P15/100)</f>
        <v>117222.055018345</v>
      </c>
      <c r="E15" s="35" t="n">
        <f aca="false">E13*(1-Q15/100)</f>
        <v>25128.6435521205</v>
      </c>
      <c r="M15" s="36" t="s">
        <v>193</v>
      </c>
      <c r="N15" s="37"/>
      <c r="O15" s="37"/>
      <c r="P15" s="61" t="n">
        <v>4.2</v>
      </c>
      <c r="Q15" s="59" t="n">
        <f aca="false">P15</f>
        <v>4.2</v>
      </c>
      <c r="R15" s="46" t="s">
        <v>194</v>
      </c>
      <c r="S15" s="37"/>
      <c r="T15" s="37" t="s">
        <v>186</v>
      </c>
      <c r="U15" s="37"/>
      <c r="V15" s="37"/>
      <c r="W15" s="40"/>
      <c r="AA15" s="35" t="n">
        <f aca="false">AA13*(1-AM15/100)</f>
        <v>65073.3029402813</v>
      </c>
      <c r="AB15" s="35" t="n">
        <f aca="false">AB13*(1-AN15/100)</f>
        <v>35348.4608564491</v>
      </c>
      <c r="AJ15" s="36" t="s">
        <v>193</v>
      </c>
      <c r="AK15" s="37"/>
      <c r="AL15" s="37"/>
      <c r="AM15" s="41" t="n">
        <v>4</v>
      </c>
      <c r="AN15" s="60" t="n">
        <f aca="false">AM15</f>
        <v>4</v>
      </c>
      <c r="AO15" s="46" t="s">
        <v>194</v>
      </c>
      <c r="AP15" s="37"/>
      <c r="AQ15" s="37" t="s">
        <v>186</v>
      </c>
      <c r="AR15" s="37"/>
      <c r="AS15" s="37"/>
      <c r="AT15" s="40"/>
      <c r="AU15" s="54"/>
    </row>
    <row r="16" customFormat="false" ht="15" hidden="false" customHeight="false" outlineLevel="0" collapsed="false">
      <c r="B16" s="0" t="s">
        <v>195</v>
      </c>
      <c r="D16" s="35" t="n">
        <f aca="false">D14*(1-P17/100)</f>
        <v>115139.6173864</v>
      </c>
      <c r="E16" s="35" t="n">
        <f aca="false">E14*(1-Q17/100)</f>
        <v>24682.2358094438</v>
      </c>
      <c r="M16" s="47" t="s">
        <v>196</v>
      </c>
      <c r="N16" s="37"/>
      <c r="O16" s="37"/>
      <c r="P16" s="37" t="n">
        <v>10</v>
      </c>
      <c r="Q16" s="59" t="n">
        <f aca="false">P16</f>
        <v>10</v>
      </c>
      <c r="R16" s="37" t="s">
        <v>185</v>
      </c>
      <c r="S16" s="37"/>
      <c r="T16" s="37" t="s">
        <v>186</v>
      </c>
      <c r="U16" s="37"/>
      <c r="V16" s="37"/>
      <c r="W16" s="40"/>
      <c r="AA16" s="35" t="n">
        <f aca="false">AA14*(1-AM17/100)</f>
        <v>61300.4359081054</v>
      </c>
      <c r="AB16" s="35" t="n">
        <f aca="false">AB14*(1-AN17/100)</f>
        <v>33299.0022216869</v>
      </c>
      <c r="AJ16" s="47" t="s">
        <v>196</v>
      </c>
      <c r="AK16" s="37"/>
      <c r="AL16" s="37"/>
      <c r="AM16" s="37" t="n">
        <v>3</v>
      </c>
      <c r="AN16" s="59" t="n">
        <f aca="false">AM16</f>
        <v>3</v>
      </c>
      <c r="AO16" s="37" t="s">
        <v>185</v>
      </c>
      <c r="AP16" s="37"/>
      <c r="AQ16" s="37" t="s">
        <v>186</v>
      </c>
      <c r="AR16" s="37"/>
      <c r="AS16" s="37"/>
      <c r="AT16" s="40"/>
      <c r="AU16" s="54"/>
    </row>
    <row r="17" customFormat="false" ht="15" hidden="false" customHeight="false" outlineLevel="0" collapsed="false">
      <c r="B17" s="0" t="s">
        <v>197</v>
      </c>
      <c r="D17" s="35" t="n">
        <f aca="false">D15+E15*P39/100</f>
        <v>139586.547779732</v>
      </c>
      <c r="E17" s="35" t="n">
        <f aca="false">E15-E15*P39/100</f>
        <v>2764.15079073326</v>
      </c>
      <c r="M17" s="36" t="s">
        <v>198</v>
      </c>
      <c r="N17" s="37"/>
      <c r="O17" s="37"/>
      <c r="P17" s="37" t="n">
        <v>3.4</v>
      </c>
      <c r="Q17" s="59" t="n">
        <f aca="false">P17</f>
        <v>3.4</v>
      </c>
      <c r="R17" s="46" t="s">
        <v>194</v>
      </c>
      <c r="S17" s="37"/>
      <c r="T17" s="37" t="s">
        <v>186</v>
      </c>
      <c r="U17" s="37"/>
      <c r="V17" s="37"/>
      <c r="W17" s="40"/>
      <c r="Y17" s="0" t="s">
        <v>197</v>
      </c>
      <c r="AA17" s="35" t="n">
        <f aca="false">AA15+AB15*AM39/100</f>
        <v>70022.0874601842</v>
      </c>
      <c r="AB17" s="35" t="n">
        <f aca="false">AB15-AB15*AM39/100</f>
        <v>30399.6763365463</v>
      </c>
      <c r="AJ17" s="36" t="s">
        <v>198</v>
      </c>
      <c r="AK17" s="37"/>
      <c r="AL17" s="37"/>
      <c r="AM17" s="37" t="n">
        <v>3.2</v>
      </c>
      <c r="AN17" s="59" t="n">
        <f aca="false">AM17</f>
        <v>3.2</v>
      </c>
      <c r="AO17" s="46" t="s">
        <v>194</v>
      </c>
      <c r="AP17" s="37"/>
      <c r="AQ17" s="37" t="s">
        <v>186</v>
      </c>
      <c r="AR17" s="37"/>
      <c r="AS17" s="37"/>
      <c r="AT17" s="40"/>
      <c r="AU17" s="54"/>
    </row>
    <row r="18" customFormat="false" ht="15" hidden="false" customHeight="false" outlineLevel="0" collapsed="false">
      <c r="B18" s="0" t="s">
        <v>199</v>
      </c>
      <c r="D18" s="35" t="n">
        <f aca="false">D16+E16*P40/100</f>
        <v>117237.607430202</v>
      </c>
      <c r="E18" s="35" t="n">
        <f aca="false">E16-E16*P40/100</f>
        <v>22584.245765641</v>
      </c>
      <c r="M18" s="47" t="s">
        <v>196</v>
      </c>
      <c r="N18" s="37"/>
      <c r="O18" s="37"/>
      <c r="P18" s="37" t="n">
        <v>10</v>
      </c>
      <c r="Q18" s="59" t="n">
        <f aca="false">P18</f>
        <v>10</v>
      </c>
      <c r="R18" s="37" t="s">
        <v>185</v>
      </c>
      <c r="S18" s="37"/>
      <c r="T18" s="37" t="s">
        <v>186</v>
      </c>
      <c r="U18" s="37"/>
      <c r="V18" s="37"/>
      <c r="W18" s="40"/>
      <c r="Y18" s="0" t="s">
        <v>199</v>
      </c>
      <c r="AA18" s="35" t="n">
        <f aca="false">AA16+AB16*AM40/100</f>
        <v>64130.8510969488</v>
      </c>
      <c r="AB18" s="35" t="n">
        <f aca="false">AB16-AB16*AM40/100</f>
        <v>30468.5870328435</v>
      </c>
      <c r="AJ18" s="47" t="s">
        <v>196</v>
      </c>
      <c r="AK18" s="37"/>
      <c r="AL18" s="37"/>
      <c r="AM18" s="37" t="n">
        <v>10</v>
      </c>
      <c r="AN18" s="59" t="n">
        <f aca="false">AM18</f>
        <v>10</v>
      </c>
      <c r="AO18" s="37" t="s">
        <v>185</v>
      </c>
      <c r="AP18" s="37"/>
      <c r="AQ18" s="37" t="s">
        <v>186</v>
      </c>
      <c r="AR18" s="37"/>
      <c r="AS18" s="37"/>
      <c r="AT18" s="40"/>
      <c r="AU18" s="54"/>
    </row>
    <row r="19" customFormat="false" ht="15" hidden="false" customHeight="false" outlineLevel="0" collapsed="false">
      <c r="B19" s="0" t="s">
        <v>200</v>
      </c>
      <c r="D19" s="35" t="n">
        <f aca="false">D17*(1-P19/100)</f>
        <v>130094.66253071</v>
      </c>
      <c r="E19" s="35" t="n">
        <f aca="false">E17*(1-Q19/100)</f>
        <v>2576.1885369634</v>
      </c>
      <c r="M19" s="36" t="s">
        <v>201</v>
      </c>
      <c r="N19" s="37"/>
      <c r="O19" s="37"/>
      <c r="P19" s="61" t="n">
        <v>6.8</v>
      </c>
      <c r="Q19" s="59" t="n">
        <f aca="false">P19</f>
        <v>6.8</v>
      </c>
      <c r="R19" s="37" t="s">
        <v>202</v>
      </c>
      <c r="S19" s="37"/>
      <c r="T19" s="37" t="s">
        <v>186</v>
      </c>
      <c r="U19" s="37"/>
      <c r="V19" s="37"/>
      <c r="W19" s="40"/>
      <c r="Y19" s="0" t="s">
        <v>200</v>
      </c>
      <c r="AA19" s="35" t="n">
        <f aca="false">AA17*(1-AM19/100)</f>
        <v>68481.6015360602</v>
      </c>
      <c r="AB19" s="35" t="n">
        <f aca="false">AB17*(1-AN19/100)</f>
        <v>29730.8834571422</v>
      </c>
      <c r="AJ19" s="36" t="s">
        <v>201</v>
      </c>
      <c r="AK19" s="37"/>
      <c r="AL19" s="37"/>
      <c r="AM19" s="37" t="n">
        <v>2.2</v>
      </c>
      <c r="AN19" s="59" t="n">
        <f aca="false">AM19</f>
        <v>2.2</v>
      </c>
      <c r="AO19" s="37" t="s">
        <v>202</v>
      </c>
      <c r="AP19" s="37"/>
      <c r="AQ19" s="37" t="s">
        <v>186</v>
      </c>
      <c r="AR19" s="37"/>
      <c r="AS19" s="37"/>
      <c r="AT19" s="40"/>
      <c r="AU19" s="54"/>
    </row>
    <row r="20" customFormat="false" ht="15" hidden="false" customHeight="false" outlineLevel="0" collapsed="false">
      <c r="B20" s="0" t="s">
        <v>203</v>
      </c>
      <c r="D20" s="35" t="n">
        <f aca="false">D18*(1-P21/100)</f>
        <v>112548.103132994</v>
      </c>
      <c r="E20" s="35" t="n">
        <f aca="false">E18*(1-Q21/100)</f>
        <v>21680.8759350154</v>
      </c>
      <c r="H20" s="62"/>
      <c r="M20" s="47" t="s">
        <v>196</v>
      </c>
      <c r="N20" s="37"/>
      <c r="O20" s="37"/>
      <c r="P20" s="37" t="n">
        <v>59</v>
      </c>
      <c r="Q20" s="59" t="n">
        <f aca="false">P20</f>
        <v>59</v>
      </c>
      <c r="R20" s="37" t="s">
        <v>185</v>
      </c>
      <c r="S20" s="37"/>
      <c r="T20" s="37" t="s">
        <v>186</v>
      </c>
      <c r="U20" s="37"/>
      <c r="V20" s="37"/>
      <c r="W20" s="40"/>
      <c r="Y20" s="0" t="s">
        <v>203</v>
      </c>
      <c r="AA20" s="35" t="n">
        <f aca="false">AA18*(1-AM21/100)</f>
        <v>63104.7574793976</v>
      </c>
      <c r="AB20" s="35" t="n">
        <f aca="false">AB18*(1-AN21/100)</f>
        <v>29981.089640318</v>
      </c>
      <c r="AJ20" s="47" t="s">
        <v>196</v>
      </c>
      <c r="AK20" s="37"/>
      <c r="AL20" s="37"/>
      <c r="AM20" s="37" t="n">
        <v>234</v>
      </c>
      <c r="AN20" s="59" t="n">
        <f aca="false">AM20</f>
        <v>234</v>
      </c>
      <c r="AO20" s="37" t="s">
        <v>185</v>
      </c>
      <c r="AP20" s="37"/>
      <c r="AQ20" s="37" t="s">
        <v>186</v>
      </c>
      <c r="AR20" s="37"/>
      <c r="AS20" s="37"/>
      <c r="AT20" s="40"/>
      <c r="AU20" s="54"/>
    </row>
    <row r="21" customFormat="false" ht="15" hidden="false" customHeight="false" outlineLevel="0" collapsed="false">
      <c r="B21" s="0" t="s">
        <v>204</v>
      </c>
      <c r="D21" s="35" t="n">
        <f aca="false">D13-D15+D17-D19</f>
        <v>14631.056763396</v>
      </c>
      <c r="E21" s="35" t="n">
        <f aca="false">E13-E15+E17-E19</f>
        <v>1289.63556190041</v>
      </c>
      <c r="F21" s="10"/>
      <c r="M21" s="36" t="s">
        <v>205</v>
      </c>
      <c r="N21" s="37"/>
      <c r="O21" s="37"/>
      <c r="P21" s="45" t="n">
        <v>4</v>
      </c>
      <c r="Q21" s="60" t="n">
        <f aca="false">P21</f>
        <v>4</v>
      </c>
      <c r="R21" s="37" t="s">
        <v>202</v>
      </c>
      <c r="S21" s="37"/>
      <c r="T21" s="37" t="s">
        <v>186</v>
      </c>
      <c r="U21" s="37"/>
      <c r="V21" s="37"/>
      <c r="W21" s="40"/>
      <c r="Y21" s="0" t="s">
        <v>204</v>
      </c>
      <c r="AA21" s="35" t="n">
        <f aca="false">AA13-AA15+AA17-AA19</f>
        <v>4251.87354663578</v>
      </c>
      <c r="AB21" s="35" t="n">
        <f aca="false">AB13-AB15+AB17-AB19</f>
        <v>2141.6454150894</v>
      </c>
      <c r="AJ21" s="36" t="s">
        <v>205</v>
      </c>
      <c r="AK21" s="37"/>
      <c r="AL21" s="37"/>
      <c r="AM21" s="37" t="n">
        <v>1.6</v>
      </c>
      <c r="AN21" s="60" t="n">
        <f aca="false">AM21</f>
        <v>1.6</v>
      </c>
      <c r="AO21" s="37" t="s">
        <v>202</v>
      </c>
      <c r="AP21" s="37"/>
      <c r="AQ21" s="37" t="s">
        <v>186</v>
      </c>
      <c r="AR21" s="37"/>
      <c r="AS21" s="37"/>
      <c r="AT21" s="40"/>
    </row>
    <row r="22" customFormat="false" ht="15" hidden="false" customHeight="false" outlineLevel="0" collapsed="false">
      <c r="B22" s="0" t="s">
        <v>206</v>
      </c>
      <c r="D22" s="35" t="n">
        <f aca="false">D14-D16+D18-D20</f>
        <v>8742.03741432776</v>
      </c>
      <c r="E22" s="35" t="n">
        <f aca="false">E14-E16+E18-E20</f>
        <v>1772.10276801807</v>
      </c>
      <c r="M22" s="47" t="s">
        <v>196</v>
      </c>
      <c r="N22" s="37"/>
      <c r="O22" s="37"/>
      <c r="P22" s="37" t="n">
        <v>59</v>
      </c>
      <c r="Q22" s="59" t="n">
        <f aca="false">P22</f>
        <v>59</v>
      </c>
      <c r="R22" s="37" t="s">
        <v>185</v>
      </c>
      <c r="S22" s="37"/>
      <c r="T22" s="37" t="s">
        <v>186</v>
      </c>
      <c r="U22" s="37"/>
      <c r="V22" s="37"/>
      <c r="W22" s="40"/>
      <c r="Y22" s="0" t="s">
        <v>206</v>
      </c>
      <c r="AA22" s="35" t="n">
        <f aca="false">AA14-AA16+AA18-AA20</f>
        <v>3052.55430872822</v>
      </c>
      <c r="AB22" s="35" t="n">
        <f aca="false">AB14-AB16+AB18-AB20</f>
        <v>1588.29085439944</v>
      </c>
      <c r="AJ22" s="47" t="s">
        <v>196</v>
      </c>
      <c r="AK22" s="37"/>
      <c r="AL22" s="37"/>
      <c r="AM22" s="37" t="n">
        <v>241</v>
      </c>
      <c r="AN22" s="59" t="n">
        <f aca="false">AM22</f>
        <v>241</v>
      </c>
      <c r="AO22" s="37" t="s">
        <v>185</v>
      </c>
      <c r="AP22" s="37"/>
      <c r="AQ22" s="37" t="s">
        <v>186</v>
      </c>
      <c r="AR22" s="37"/>
      <c r="AS22" s="37"/>
      <c r="AT22" s="40"/>
    </row>
    <row r="23" customFormat="false" ht="15" hidden="false" customHeight="false" outlineLevel="0" collapsed="false">
      <c r="B23" s="0" t="s">
        <v>207</v>
      </c>
      <c r="D23" s="35" t="n">
        <f aca="false">D5*P7/100</f>
        <v>96909.870148</v>
      </c>
      <c r="E23" s="35" t="n">
        <f aca="false">E5*Q7/100</f>
        <v>19864.173732</v>
      </c>
      <c r="M23" s="57" t="s">
        <v>208</v>
      </c>
      <c r="N23" s="37"/>
      <c r="O23" s="37"/>
      <c r="P23" s="58"/>
      <c r="Q23" s="63"/>
      <c r="R23" s="58"/>
      <c r="S23" s="58"/>
      <c r="T23" s="37"/>
      <c r="U23" s="37"/>
      <c r="V23" s="37"/>
      <c r="W23" s="40"/>
      <c r="Y23" s="0" t="s">
        <v>207</v>
      </c>
      <c r="AA23" s="35" t="n">
        <f aca="false">AA5*AM7/100</f>
        <v>33590.164258831</v>
      </c>
      <c r="AB23" s="35" t="n">
        <f aca="false">AB5*AN7/100</f>
        <v>18246.5089801057</v>
      </c>
      <c r="AJ23" s="57" t="s">
        <v>208</v>
      </c>
      <c r="AK23" s="37"/>
      <c r="AL23" s="37"/>
      <c r="AM23" s="58"/>
      <c r="AN23" s="59"/>
      <c r="AO23" s="58"/>
      <c r="AP23" s="58"/>
      <c r="AQ23" s="37"/>
      <c r="AR23" s="37"/>
      <c r="AS23" s="37"/>
      <c r="AT23" s="40"/>
    </row>
    <row r="24" customFormat="false" ht="15" hidden="false" customHeight="false" outlineLevel="0" collapsed="false">
      <c r="B24" s="0" t="s">
        <v>209</v>
      </c>
      <c r="D24" s="35" t="e">
        <f aca="false">(SUM(D19:D20)-D23)*P36/100</f>
        <v>#REF!</v>
      </c>
      <c r="E24" s="35" t="e">
        <f aca="false">(SUM(E19:E20)-E23)*Q36/100</f>
        <v>#REF!</v>
      </c>
      <c r="M24" s="36" t="s">
        <v>190</v>
      </c>
      <c r="N24" s="43"/>
      <c r="O24" s="44"/>
      <c r="P24" s="45" t="n">
        <v>60.9</v>
      </c>
      <c r="Q24" s="45" t="n">
        <v>61.5</v>
      </c>
      <c r="R24" s="37" t="s">
        <v>161</v>
      </c>
      <c r="S24" s="37"/>
      <c r="T24" s="46" t="s">
        <v>169</v>
      </c>
      <c r="U24" s="37"/>
      <c r="V24" s="37"/>
      <c r="W24" s="40"/>
      <c r="Y24" s="0" t="s">
        <v>209</v>
      </c>
      <c r="AA24" s="35" t="e">
        <f aca="false">(SUM(AA19:AA20)-AA23)*AM36/100</f>
        <v>#REF!</v>
      </c>
      <c r="AB24" s="35" t="e">
        <f aca="false">(SUM(AB19:AB20)-AB23)*AN36/100</f>
        <v>#REF!</v>
      </c>
      <c r="AJ24" s="36" t="s">
        <v>190</v>
      </c>
      <c r="AK24" s="43"/>
      <c r="AL24" s="44"/>
      <c r="AM24" s="41" t="n">
        <f aca="false">'G&amp;D sammanställning'!K5</f>
        <v>76.4872346305307</v>
      </c>
      <c r="AN24" s="60" t="n">
        <f aca="false">AM24</f>
        <v>76.4872346305307</v>
      </c>
      <c r="AO24" s="37" t="s">
        <v>161</v>
      </c>
      <c r="AP24" s="37"/>
      <c r="AQ24" s="37"/>
      <c r="AR24" s="37"/>
      <c r="AS24" s="37"/>
      <c r="AT24" s="40"/>
    </row>
    <row r="25" customFormat="false" ht="15" hidden="false" customHeight="false" outlineLevel="0" collapsed="false">
      <c r="B25" s="0" t="s">
        <v>210</v>
      </c>
      <c r="D25" s="35" t="e">
        <f aca="false">D24*(D19)/(D19+D20-D23)</f>
        <v>#REF!</v>
      </c>
      <c r="E25" s="35" t="e">
        <f aca="false">E24*(E19)/(E19+E20-E23)</f>
        <v>#REF!</v>
      </c>
      <c r="M25" s="36" t="s">
        <v>211</v>
      </c>
      <c r="N25" s="43"/>
      <c r="O25" s="44"/>
      <c r="P25" s="41" t="e">
        <f aca="false">'G&amp;D sammanställning'!H8</f>
        <v>#REF!</v>
      </c>
      <c r="Q25" s="60" t="e">
        <f aca="false">P25</f>
        <v>#REF!</v>
      </c>
      <c r="R25" s="37" t="s">
        <v>161</v>
      </c>
      <c r="S25" s="37"/>
      <c r="T25" s="37"/>
      <c r="U25" s="37"/>
      <c r="V25" s="37"/>
      <c r="W25" s="40"/>
      <c r="Y25" s="0" t="s">
        <v>210</v>
      </c>
      <c r="AA25" s="35" t="e">
        <f aca="false">AA24*(AA19)/(AA19+AA20-AA23)</f>
        <v>#REF!</v>
      </c>
      <c r="AB25" s="35" t="e">
        <f aca="false">AB24*(AB19)/(AB19+AB20-AB23)</f>
        <v>#REF!</v>
      </c>
      <c r="AJ25" s="36" t="s">
        <v>211</v>
      </c>
      <c r="AK25" s="43"/>
      <c r="AL25" s="44"/>
      <c r="AM25" s="41" t="e">
        <f aca="false">'G&amp;D sammanställning'!K8</f>
        <v>#REF!</v>
      </c>
      <c r="AN25" s="60" t="e">
        <f aca="false">AM25</f>
        <v>#REF!</v>
      </c>
      <c r="AO25" s="37" t="s">
        <v>161</v>
      </c>
      <c r="AP25" s="37"/>
      <c r="AQ25" s="37"/>
      <c r="AR25" s="37"/>
      <c r="AS25" s="37"/>
      <c r="AT25" s="40"/>
    </row>
    <row r="26" customFormat="false" ht="15" hidden="false" customHeight="false" outlineLevel="0" collapsed="false">
      <c r="B26" s="0" t="s">
        <v>212</v>
      </c>
      <c r="D26" s="35" t="e">
        <f aca="false">D24-D25</f>
        <v>#REF!</v>
      </c>
      <c r="E26" s="35" t="e">
        <f aca="false">E24-E25</f>
        <v>#REF!</v>
      </c>
      <c r="M26" s="36" t="s">
        <v>213</v>
      </c>
      <c r="N26" s="43"/>
      <c r="O26" s="44"/>
      <c r="P26" s="41" t="e">
        <f aca="false">'G&amp;D sammanställning'!H13</f>
        <v>#REF!</v>
      </c>
      <c r="Q26" s="60" t="e">
        <f aca="false">P26</f>
        <v>#REF!</v>
      </c>
      <c r="R26" s="37" t="s">
        <v>161</v>
      </c>
      <c r="S26" s="37"/>
      <c r="T26" s="37"/>
      <c r="U26" s="37"/>
      <c r="V26" s="37"/>
      <c r="W26" s="40"/>
      <c r="Y26" s="0" t="s">
        <v>212</v>
      </c>
      <c r="AA26" s="35" t="e">
        <f aca="false">AA24-AA25</f>
        <v>#REF!</v>
      </c>
      <c r="AB26" s="35" t="e">
        <f aca="false">AB24-AB25</f>
        <v>#REF!</v>
      </c>
      <c r="AJ26" s="36" t="s">
        <v>213</v>
      </c>
      <c r="AK26" s="43"/>
      <c r="AL26" s="44"/>
      <c r="AM26" s="41" t="e">
        <f aca="false">'G&amp;D sammanställning'!K13</f>
        <v>#REF!</v>
      </c>
      <c r="AN26" s="60" t="e">
        <f aca="false">AM26</f>
        <v>#REF!</v>
      </c>
      <c r="AO26" s="37" t="s">
        <v>161</v>
      </c>
      <c r="AP26" s="37"/>
      <c r="AQ26" s="37"/>
      <c r="AR26" s="37"/>
      <c r="AS26" s="37"/>
      <c r="AT26" s="40"/>
    </row>
    <row r="27" customFormat="false" ht="15" hidden="false" customHeight="false" outlineLevel="0" collapsed="false">
      <c r="B27" s="0" t="s">
        <v>214</v>
      </c>
      <c r="D27" s="35" t="e">
        <f aca="false">D20-D23-D26</f>
        <v>#REF!</v>
      </c>
      <c r="E27" s="35" t="e">
        <f aca="false">E20-E23-E26</f>
        <v>#REF!</v>
      </c>
      <c r="M27" s="36" t="s">
        <v>215</v>
      </c>
      <c r="N27" s="43"/>
      <c r="O27" s="44"/>
      <c r="P27" s="41" t="e">
        <f aca="false">'G&amp;D sammanställning'!H9</f>
        <v>#REF!</v>
      </c>
      <c r="Q27" s="60" t="e">
        <f aca="false">P27</f>
        <v>#REF!</v>
      </c>
      <c r="R27" s="37" t="s">
        <v>161</v>
      </c>
      <c r="S27" s="37"/>
      <c r="T27" s="37"/>
      <c r="U27" s="37"/>
      <c r="V27" s="37"/>
      <c r="W27" s="40"/>
      <c r="Y27" s="0" t="s">
        <v>214</v>
      </c>
      <c r="AA27" s="35" t="e">
        <f aca="false">AA20-AA23-AA26</f>
        <v>#REF!</v>
      </c>
      <c r="AB27" s="35" t="e">
        <f aca="false">AB20-AB23-AB26</f>
        <v>#REF!</v>
      </c>
      <c r="AJ27" s="36" t="s">
        <v>215</v>
      </c>
      <c r="AK27" s="43"/>
      <c r="AL27" s="44"/>
      <c r="AM27" s="41" t="e">
        <f aca="false">'G&amp;D sammanställning'!K9</f>
        <v>#REF!</v>
      </c>
      <c r="AN27" s="60" t="e">
        <f aca="false">AM27</f>
        <v>#REF!</v>
      </c>
      <c r="AO27" s="37" t="s">
        <v>161</v>
      </c>
      <c r="AP27" s="37"/>
      <c r="AQ27" s="37"/>
      <c r="AR27" s="37"/>
      <c r="AS27" s="37"/>
      <c r="AT27" s="40"/>
    </row>
    <row r="28" customFormat="false" ht="15" hidden="false" customHeight="false" outlineLevel="0" collapsed="false">
      <c r="B28" s="0" t="s">
        <v>216</v>
      </c>
      <c r="D28" s="35" t="e">
        <f aca="false">(D19-D25)*(P37/100)</f>
        <v>#REF!</v>
      </c>
      <c r="E28" s="35" t="e">
        <f aca="false">(E19-E25)*(Q37/100)</f>
        <v>#REF!</v>
      </c>
      <c r="M28" s="36" t="s">
        <v>217</v>
      </c>
      <c r="N28" s="43"/>
      <c r="O28" s="44"/>
      <c r="P28" s="41" t="n">
        <f aca="false">'G&amp;D sammanställning'!H10</f>
        <v>22.5798832333191</v>
      </c>
      <c r="Q28" s="60" t="n">
        <f aca="false">P28</f>
        <v>22.5798832333191</v>
      </c>
      <c r="R28" s="37" t="s">
        <v>161</v>
      </c>
      <c r="S28" s="37"/>
      <c r="T28" s="37"/>
      <c r="U28" s="37"/>
      <c r="V28" s="37"/>
      <c r="W28" s="40"/>
      <c r="Y28" s="0" t="s">
        <v>216</v>
      </c>
      <c r="AA28" s="35" t="e">
        <f aca="false">(AA19-AA25)*(AM37/100)</f>
        <v>#REF!</v>
      </c>
      <c r="AB28" s="35" t="e">
        <f aca="false">(AB19-AB25)*(AN37/100)</f>
        <v>#REF!</v>
      </c>
      <c r="AD28" s="0" t="n">
        <v>6180.17965435663</v>
      </c>
      <c r="AE28" s="0" t="n">
        <v>10387.9021932429</v>
      </c>
      <c r="AJ28" s="36" t="s">
        <v>217</v>
      </c>
      <c r="AK28" s="43"/>
      <c r="AL28" s="44"/>
      <c r="AM28" s="41" t="n">
        <f aca="false">'G&amp;D sammanställning'!K10</f>
        <v>20.1082233719385</v>
      </c>
      <c r="AN28" s="60" t="n">
        <f aca="false">AM28</f>
        <v>20.1082233719385</v>
      </c>
      <c r="AO28" s="37" t="s">
        <v>161</v>
      </c>
      <c r="AP28" s="37"/>
      <c r="AQ28" s="37"/>
      <c r="AR28" s="37"/>
      <c r="AS28" s="37"/>
      <c r="AT28" s="40"/>
    </row>
    <row r="29" customFormat="false" ht="15" hidden="false" customHeight="false" outlineLevel="0" collapsed="false">
      <c r="B29" s="0" t="s">
        <v>218</v>
      </c>
      <c r="D29" s="35" t="e">
        <f aca="false">D19-D25-D28</f>
        <v>#REF!</v>
      </c>
      <c r="E29" s="35" t="e">
        <f aca="false">E19-E25-E28</f>
        <v>#REF!</v>
      </c>
      <c r="M29" s="64" t="s">
        <v>219</v>
      </c>
      <c r="N29" s="43"/>
      <c r="O29" s="44"/>
      <c r="P29" s="41"/>
      <c r="Q29" s="59"/>
      <c r="R29" s="41"/>
      <c r="S29" s="41"/>
      <c r="T29" s="37"/>
      <c r="U29" s="37"/>
      <c r="V29" s="37"/>
      <c r="W29" s="40"/>
      <c r="Y29" s="0" t="s">
        <v>218</v>
      </c>
      <c r="AA29" s="35" t="e">
        <f aca="false">AA19-AA25-AA28</f>
        <v>#REF!</v>
      </c>
      <c r="AB29" s="35" t="e">
        <f aca="false">AB19-AB25-AB28</f>
        <v>#REF!</v>
      </c>
      <c r="AD29" s="0" t="n">
        <v>60706.7571105371</v>
      </c>
      <c r="AE29" s="0" t="n">
        <v>18612.2050516474</v>
      </c>
      <c r="AJ29" s="64" t="s">
        <v>219</v>
      </c>
      <c r="AK29" s="43"/>
      <c r="AL29" s="44"/>
      <c r="AM29" s="41"/>
      <c r="AN29" s="59"/>
      <c r="AO29" s="41"/>
      <c r="AP29" s="41"/>
      <c r="AQ29" s="37"/>
      <c r="AR29" s="37"/>
      <c r="AS29" s="37"/>
      <c r="AT29" s="40"/>
    </row>
    <row r="30" customFormat="false" ht="15" hidden="false" customHeight="false" outlineLevel="0" collapsed="false">
      <c r="D30" s="35"/>
      <c r="E30" s="65"/>
      <c r="M30" s="36" t="s">
        <v>190</v>
      </c>
      <c r="N30" s="43"/>
      <c r="O30" s="44"/>
      <c r="P30" s="56" t="n">
        <f aca="false">'G&amp;D sammanställning'!B5</f>
        <v>306.218260414395</v>
      </c>
      <c r="Q30" s="66" t="n">
        <f aca="false">P30</f>
        <v>306.218260414395</v>
      </c>
      <c r="R30" s="41" t="s">
        <v>49</v>
      </c>
      <c r="S30" s="41"/>
      <c r="T30" s="37"/>
      <c r="U30" s="37"/>
      <c r="V30" s="37"/>
      <c r="W30" s="40"/>
      <c r="AA30" s="35"/>
      <c r="AB30" s="48"/>
      <c r="AJ30" s="36" t="s">
        <v>190</v>
      </c>
      <c r="AK30" s="43"/>
      <c r="AL30" s="44"/>
      <c r="AM30" s="41" t="n">
        <f aca="false">'G&amp;D sammanställning'!E5</f>
        <v>340.599709339624</v>
      </c>
      <c r="AN30" s="66" t="n">
        <f aca="false">AM30</f>
        <v>340.599709339624</v>
      </c>
      <c r="AO30" s="41" t="s">
        <v>49</v>
      </c>
      <c r="AP30" s="41"/>
      <c r="AQ30" s="37"/>
      <c r="AR30" s="37"/>
      <c r="AS30" s="37"/>
      <c r="AT30" s="40"/>
    </row>
    <row r="31" customFormat="false" ht="15" hidden="false" customHeight="false" outlineLevel="0" collapsed="false">
      <c r="D31" s="35"/>
      <c r="E31" s="65"/>
      <c r="M31" s="36" t="s">
        <v>211</v>
      </c>
      <c r="N31" s="43"/>
      <c r="O31" s="44"/>
      <c r="P31" s="56" t="e">
        <f aca="false">'G&amp;D sammanställning'!B8</f>
        <v>#REF!</v>
      </c>
      <c r="Q31" s="66" t="e">
        <f aca="false">P31</f>
        <v>#REF!</v>
      </c>
      <c r="R31" s="41" t="s">
        <v>49</v>
      </c>
      <c r="S31" s="41"/>
      <c r="T31" s="37"/>
      <c r="U31" s="37"/>
      <c r="V31" s="37"/>
      <c r="W31" s="40"/>
      <c r="AA31" s="35"/>
      <c r="AB31" s="48"/>
      <c r="AJ31" s="36" t="s">
        <v>211</v>
      </c>
      <c r="AK31" s="43"/>
      <c r="AL31" s="44"/>
      <c r="AM31" s="41" t="e">
        <f aca="false">'G&amp;D sammanställning'!E8</f>
        <v>#REF!</v>
      </c>
      <c r="AN31" s="66" t="e">
        <f aca="false">AM31</f>
        <v>#REF!</v>
      </c>
      <c r="AO31" s="41" t="s">
        <v>49</v>
      </c>
      <c r="AP31" s="41"/>
      <c r="AQ31" s="37"/>
      <c r="AR31" s="37"/>
      <c r="AS31" s="37"/>
      <c r="AT31" s="40"/>
    </row>
    <row r="32" customFormat="false" ht="15" hidden="false" customHeight="false" outlineLevel="0" collapsed="false">
      <c r="D32" s="35"/>
      <c r="E32" s="65"/>
      <c r="M32" s="36" t="s">
        <v>213</v>
      </c>
      <c r="N32" s="43"/>
      <c r="O32" s="44"/>
      <c r="P32" s="56" t="e">
        <f aca="false">'G&amp;D sammanställning'!B13</f>
        <v>#REF!</v>
      </c>
      <c r="Q32" s="66" t="e">
        <f aca="false">P32</f>
        <v>#REF!</v>
      </c>
      <c r="R32" s="41" t="s">
        <v>49</v>
      </c>
      <c r="S32" s="41"/>
      <c r="T32" s="37"/>
      <c r="U32" s="37"/>
      <c r="V32" s="37"/>
      <c r="W32" s="40"/>
      <c r="AA32" s="67"/>
      <c r="AB32" s="48"/>
      <c r="AJ32" s="36" t="s">
        <v>213</v>
      </c>
      <c r="AK32" s="43"/>
      <c r="AL32" s="44"/>
      <c r="AM32" s="41" t="e">
        <f aca="false">'G&amp;D sammanställning'!E13</f>
        <v>#REF!</v>
      </c>
      <c r="AN32" s="66" t="e">
        <f aca="false">AM32</f>
        <v>#REF!</v>
      </c>
      <c r="AO32" s="41" t="s">
        <v>49</v>
      </c>
      <c r="AP32" s="41"/>
      <c r="AQ32" s="37"/>
      <c r="AR32" s="37"/>
      <c r="AS32" s="37"/>
      <c r="AT32" s="40"/>
    </row>
    <row r="33" customFormat="false" ht="15" hidden="false" customHeight="false" outlineLevel="0" collapsed="false">
      <c r="D33" s="35"/>
      <c r="E33" s="65"/>
      <c r="M33" s="36" t="s">
        <v>215</v>
      </c>
      <c r="N33" s="43"/>
      <c r="O33" s="44"/>
      <c r="P33" s="56" t="e">
        <f aca="false">'G&amp;D sammanställning'!B9</f>
        <v>#REF!</v>
      </c>
      <c r="Q33" s="66" t="e">
        <f aca="false">P33</f>
        <v>#REF!</v>
      </c>
      <c r="R33" s="41" t="s">
        <v>49</v>
      </c>
      <c r="S33" s="41"/>
      <c r="T33" s="37"/>
      <c r="U33" s="37"/>
      <c r="V33" s="37"/>
      <c r="W33" s="40"/>
      <c r="AA33" s="35"/>
      <c r="AB33" s="48"/>
      <c r="AJ33" s="36" t="s">
        <v>215</v>
      </c>
      <c r="AK33" s="43"/>
      <c r="AL33" s="44"/>
      <c r="AM33" s="41" t="e">
        <f aca="false">'G&amp;D sammanställning'!E9</f>
        <v>#REF!</v>
      </c>
      <c r="AN33" s="66" t="e">
        <f aca="false">AM33</f>
        <v>#REF!</v>
      </c>
      <c r="AO33" s="41" t="s">
        <v>49</v>
      </c>
      <c r="AP33" s="41"/>
      <c r="AQ33" s="37"/>
      <c r="AR33" s="37"/>
      <c r="AS33" s="37"/>
      <c r="AT33" s="40"/>
    </row>
    <row r="34" customFormat="false" ht="15" hidden="false" customHeight="false" outlineLevel="0" collapsed="false">
      <c r="D34" s="35"/>
      <c r="E34" s="65"/>
      <c r="M34" s="36" t="s">
        <v>217</v>
      </c>
      <c r="N34" s="43"/>
      <c r="O34" s="44"/>
      <c r="P34" s="56" t="n">
        <f aca="false">'G&amp;D sammanställning'!B10</f>
        <v>328.876556540239</v>
      </c>
      <c r="Q34" s="66" t="n">
        <f aca="false">P34</f>
        <v>328.876556540239</v>
      </c>
      <c r="R34" s="41" t="s">
        <v>49</v>
      </c>
      <c r="S34" s="41"/>
      <c r="T34" s="37"/>
      <c r="U34" s="37"/>
      <c r="V34" s="37"/>
      <c r="W34" s="40"/>
      <c r="AA34" s="35"/>
      <c r="AB34" s="48"/>
      <c r="AJ34" s="36" t="s">
        <v>217</v>
      </c>
      <c r="AK34" s="43"/>
      <c r="AL34" s="44"/>
      <c r="AM34" s="41" t="n">
        <f aca="false">'G&amp;D sammanställning'!E10</f>
        <v>358.433984953484</v>
      </c>
      <c r="AN34" s="66" t="n">
        <f aca="false">AM34</f>
        <v>358.433984953484</v>
      </c>
      <c r="AO34" s="41" t="s">
        <v>49</v>
      </c>
      <c r="AP34" s="41"/>
      <c r="AQ34" s="37"/>
      <c r="AR34" s="37"/>
      <c r="AS34" s="37"/>
      <c r="AT34" s="40"/>
    </row>
    <row r="35" customFormat="false" ht="15" hidden="false" customHeight="false" outlineLevel="0" collapsed="false">
      <c r="D35" s="35"/>
      <c r="E35" s="65"/>
      <c r="M35" s="57" t="s">
        <v>220</v>
      </c>
      <c r="N35" s="43"/>
      <c r="O35" s="44"/>
      <c r="P35" s="41"/>
      <c r="Q35" s="59"/>
      <c r="R35" s="41"/>
      <c r="S35" s="41" t="s">
        <v>221</v>
      </c>
      <c r="T35" s="37"/>
      <c r="U35" s="37"/>
      <c r="V35" s="37"/>
      <c r="W35" s="40"/>
      <c r="AA35" s="35"/>
      <c r="AB35" s="48"/>
      <c r="AJ35" s="57" t="s">
        <v>220</v>
      </c>
      <c r="AK35" s="43"/>
      <c r="AL35" s="44"/>
      <c r="AM35" s="41"/>
      <c r="AN35" s="59"/>
      <c r="AO35" s="41"/>
      <c r="AP35" s="41" t="s">
        <v>221</v>
      </c>
      <c r="AQ35" s="37"/>
      <c r="AR35" s="37"/>
      <c r="AS35" s="37"/>
      <c r="AT35" s="40"/>
    </row>
    <row r="36" customFormat="false" ht="15" hidden="false" customHeight="false" outlineLevel="0" collapsed="false">
      <c r="D36" s="35"/>
      <c r="E36" s="65"/>
      <c r="M36" s="36" t="s">
        <v>222</v>
      </c>
      <c r="N36" s="43"/>
      <c r="O36" s="44"/>
      <c r="P36" s="41" t="e">
        <f aca="false">'G&amp;D sammanställning'!$T$13*S36</f>
        <v>#REF!</v>
      </c>
      <c r="Q36" s="41" t="e">
        <f aca="false">'G&amp;D sammanställning'!$T$13*T36</f>
        <v>#REF!</v>
      </c>
      <c r="R36" s="41" t="s">
        <v>23</v>
      </c>
      <c r="S36" s="41" t="n">
        <v>0.95</v>
      </c>
      <c r="T36" s="41" t="n">
        <v>0.95</v>
      </c>
      <c r="U36" s="37"/>
      <c r="V36" s="37"/>
      <c r="W36" s="40"/>
      <c r="AA36" s="35"/>
      <c r="AB36" s="48"/>
      <c r="AJ36" s="36" t="s">
        <v>213</v>
      </c>
      <c r="AK36" s="43"/>
      <c r="AL36" s="44"/>
      <c r="AM36" s="41" t="e">
        <f aca="false">'G&amp;D sammanställning'!$W$13*AP36</f>
        <v>#REF!</v>
      </c>
      <c r="AN36" s="41" t="e">
        <f aca="false">'G&amp;D sammanställning'!$W$13*AQ36</f>
        <v>#REF!</v>
      </c>
      <c r="AO36" s="41" t="s">
        <v>23</v>
      </c>
      <c r="AP36" s="41" t="n">
        <v>0.95</v>
      </c>
      <c r="AQ36" s="41" t="n">
        <v>0.95</v>
      </c>
      <c r="AR36" s="37"/>
      <c r="AS36" s="37"/>
      <c r="AT36" s="40"/>
    </row>
    <row r="37" customFormat="false" ht="15" hidden="false" customHeight="false" outlineLevel="0" collapsed="false">
      <c r="D37" s="35"/>
      <c r="E37" s="65"/>
      <c r="M37" s="36" t="s">
        <v>223</v>
      </c>
      <c r="N37" s="43"/>
      <c r="O37" s="44"/>
      <c r="P37" s="41" t="e">
        <f aca="false">'G&amp;D sammanställning'!$T$9/SUM('G&amp;D sammanställning'!T9:T10)*100*S37</f>
        <v>#REF!</v>
      </c>
      <c r="Q37" s="41" t="e">
        <f aca="false">'G&amp;D sammanställning'!$T$9/SUM('G&amp;D sammanställning'!T9:T10)*100*T37</f>
        <v>#REF!</v>
      </c>
      <c r="R37" s="41" t="s">
        <v>23</v>
      </c>
      <c r="S37" s="41" t="n">
        <v>0.7</v>
      </c>
      <c r="T37" s="41" t="n">
        <v>3.1</v>
      </c>
      <c r="U37" s="37"/>
      <c r="V37" s="37"/>
      <c r="W37" s="40"/>
      <c r="AA37" s="35"/>
      <c r="AB37" s="48"/>
      <c r="AJ37" s="36" t="s">
        <v>215</v>
      </c>
      <c r="AK37" s="43"/>
      <c r="AL37" s="44"/>
      <c r="AM37" s="41" t="e">
        <f aca="false">'G&amp;D sammanställning'!$W$9/SUM('G&amp;D sammanställning'!W9:W10)*100*AP37</f>
        <v>#REF!</v>
      </c>
      <c r="AN37" s="41" t="e">
        <f aca="false">'G&amp;D sammanställning'!$W$9/SUM('G&amp;D sammanställning'!W9:W10)*100*AQ37</f>
        <v>#REF!</v>
      </c>
      <c r="AO37" s="41" t="s">
        <v>23</v>
      </c>
      <c r="AP37" s="41" t="n">
        <v>0.8</v>
      </c>
      <c r="AQ37" s="41" t="n">
        <v>3.1</v>
      </c>
      <c r="AR37" s="37"/>
      <c r="AS37" s="37"/>
      <c r="AT37" s="40"/>
    </row>
    <row r="38" customFormat="false" ht="15" hidden="false" customHeight="false" outlineLevel="0" collapsed="false">
      <c r="D38" s="35"/>
      <c r="E38" s="65"/>
      <c r="J38" s="37"/>
      <c r="K38" s="43"/>
      <c r="L38" s="44"/>
      <c r="M38" s="68" t="s">
        <v>224</v>
      </c>
      <c r="N38" s="37"/>
      <c r="O38" s="41"/>
      <c r="P38" s="41"/>
      <c r="Q38" s="37"/>
      <c r="R38" s="37"/>
      <c r="S38" s="37"/>
      <c r="T38" s="37"/>
      <c r="U38" s="37"/>
      <c r="V38" s="37"/>
      <c r="W38" s="69"/>
      <c r="X38" s="48"/>
      <c r="AA38" s="37"/>
      <c r="AB38" s="43"/>
      <c r="AC38" s="44"/>
      <c r="AD38" s="41"/>
      <c r="AE38" s="41"/>
      <c r="AF38" s="41"/>
      <c r="AG38" s="37"/>
      <c r="AH38" s="37"/>
      <c r="AI38" s="37"/>
      <c r="AJ38" s="68" t="s">
        <v>224</v>
      </c>
      <c r="AK38" s="37"/>
      <c r="AL38" s="41"/>
      <c r="AM38" s="41"/>
      <c r="AN38" s="37"/>
      <c r="AO38" s="37"/>
      <c r="AP38" s="37"/>
      <c r="AQ38" s="37"/>
      <c r="AR38" s="37"/>
      <c r="AS38" s="37"/>
      <c r="AT38" s="69"/>
    </row>
    <row r="39" customFormat="false" ht="15" hidden="false" customHeight="false" outlineLevel="0" collapsed="false">
      <c r="D39" s="35"/>
      <c r="E39" s="65"/>
      <c r="J39" s="37"/>
      <c r="K39" s="43"/>
      <c r="L39" s="44"/>
      <c r="M39" s="70" t="s">
        <v>225</v>
      </c>
      <c r="N39" s="37"/>
      <c r="O39" s="41"/>
      <c r="P39" s="41" t="n">
        <v>89</v>
      </c>
      <c r="Q39" s="37"/>
      <c r="R39" s="71" t="s">
        <v>23</v>
      </c>
      <c r="S39" s="37"/>
      <c r="T39" s="37" t="s">
        <v>226</v>
      </c>
      <c r="U39" s="37"/>
      <c r="V39" s="37"/>
      <c r="W39" s="69"/>
      <c r="X39" s="48"/>
      <c r="AA39" s="37"/>
      <c r="AB39" s="43"/>
      <c r="AC39" s="44"/>
      <c r="AD39" s="41"/>
      <c r="AE39" s="41"/>
      <c r="AF39" s="41"/>
      <c r="AG39" s="37"/>
      <c r="AH39" s="37"/>
      <c r="AI39" s="37"/>
      <c r="AJ39" s="70" t="s">
        <v>225</v>
      </c>
      <c r="AK39" s="37"/>
      <c r="AL39" s="41"/>
      <c r="AM39" s="41" t="n">
        <v>14</v>
      </c>
      <c r="AN39" s="37"/>
      <c r="AO39" s="71" t="s">
        <v>23</v>
      </c>
      <c r="AP39" s="37"/>
      <c r="AQ39" s="37"/>
      <c r="AR39" s="37"/>
      <c r="AS39" s="37"/>
      <c r="AT39" s="69"/>
    </row>
    <row r="40" customFormat="false" ht="15" hidden="false" customHeight="false" outlineLevel="0" collapsed="false">
      <c r="D40" s="35"/>
      <c r="E40" s="65"/>
      <c r="J40" s="37"/>
      <c r="K40" s="43"/>
      <c r="L40" s="44"/>
      <c r="M40" s="72" t="s">
        <v>227</v>
      </c>
      <c r="N40" s="73"/>
      <c r="O40" s="74"/>
      <c r="P40" s="74" t="n">
        <v>8.5</v>
      </c>
      <c r="Q40" s="73"/>
      <c r="R40" s="73" t="s">
        <v>23</v>
      </c>
      <c r="S40" s="73"/>
      <c r="T40" s="73" t="s">
        <v>226</v>
      </c>
      <c r="U40" s="73"/>
      <c r="V40" s="73"/>
      <c r="W40" s="75"/>
      <c r="X40" s="48"/>
      <c r="AA40" s="37"/>
      <c r="AB40" s="43"/>
      <c r="AC40" s="44"/>
      <c r="AD40" s="41"/>
      <c r="AE40" s="41"/>
      <c r="AF40" s="41"/>
      <c r="AG40" s="37"/>
      <c r="AH40" s="37"/>
      <c r="AI40" s="37"/>
      <c r="AJ40" s="72" t="s">
        <v>227</v>
      </c>
      <c r="AK40" s="73"/>
      <c r="AL40" s="74"/>
      <c r="AM40" s="74" t="n">
        <v>8.5</v>
      </c>
      <c r="AN40" s="73"/>
      <c r="AO40" s="73" t="s">
        <v>23</v>
      </c>
      <c r="AP40" s="73"/>
      <c r="AQ40" s="73"/>
      <c r="AR40" s="73"/>
      <c r="AS40" s="73"/>
      <c r="AT40" s="75"/>
    </row>
    <row r="41" customFormat="false" ht="15" hidden="false" customHeight="false" outlineLevel="0" collapsed="false">
      <c r="D41" s="35"/>
      <c r="E41" s="65"/>
      <c r="J41" s="37"/>
      <c r="K41" s="43"/>
      <c r="L41" s="44"/>
      <c r="M41" s="41"/>
      <c r="O41" s="41"/>
      <c r="P41" s="41"/>
      <c r="Q41" s="37"/>
      <c r="R41" s="37"/>
      <c r="S41" s="37"/>
      <c r="T41" s="37"/>
      <c r="W41" s="35"/>
      <c r="X41" s="48"/>
      <c r="AA41" s="37"/>
      <c r="AB41" s="43"/>
      <c r="AC41" s="44"/>
      <c r="AD41" s="41"/>
      <c r="AE41" s="41"/>
      <c r="AF41" s="41"/>
      <c r="AG41" s="37"/>
      <c r="AH41" s="37"/>
      <c r="AI41" s="37"/>
      <c r="AJ41" s="37"/>
    </row>
    <row r="42" customFormat="false" ht="15" hidden="false" customHeight="false" outlineLevel="0" collapsed="false">
      <c r="D42" s="2" t="s">
        <v>228</v>
      </c>
      <c r="F42" s="2" t="s">
        <v>229</v>
      </c>
      <c r="AH42" s="46"/>
      <c r="AI42" s="46"/>
    </row>
    <row r="43" customFormat="false" ht="15" hidden="false" customHeight="false" outlineLevel="0" collapsed="false">
      <c r="B43" s="26" t="s">
        <v>230</v>
      </c>
      <c r="C43" s="26"/>
      <c r="D43" s="27" t="s">
        <v>231</v>
      </c>
      <c r="E43" s="27" t="s">
        <v>232</v>
      </c>
      <c r="F43" s="27" t="s">
        <v>233</v>
      </c>
      <c r="G43" s="27" t="s">
        <v>234</v>
      </c>
      <c r="H43" s="27" t="s">
        <v>235</v>
      </c>
      <c r="J43" s="26" t="s">
        <v>236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46"/>
    </row>
    <row r="44" customFormat="false" ht="15" hidden="false" customHeight="false" outlineLevel="0" collapsed="false">
      <c r="B44" s="25" t="s">
        <v>237</v>
      </c>
      <c r="C44" s="25"/>
      <c r="D44" s="76" t="n">
        <f aca="false">SUM(D5:E5)</f>
        <v>316238</v>
      </c>
      <c r="E44" s="77" t="n">
        <f aca="false">E5</f>
        <v>55025.412</v>
      </c>
      <c r="F44" s="27"/>
      <c r="G44" s="27"/>
      <c r="H44" s="78" t="n">
        <f aca="false">(E44-D80*AD80/100)/(D80*AD80/100)</f>
        <v>0</v>
      </c>
      <c r="J44" s="26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46"/>
    </row>
    <row r="45" customFormat="false" ht="15" hidden="false" customHeight="false" outlineLevel="0" collapsed="false">
      <c r="B45" s="25" t="s">
        <v>238</v>
      </c>
      <c r="C45" s="25"/>
      <c r="D45" s="76" t="n">
        <f aca="false">SUM(AA5:AB5)</f>
        <v>206514</v>
      </c>
      <c r="E45" s="77" t="n">
        <f aca="false">AB5</f>
        <v>72692.928</v>
      </c>
      <c r="F45" s="27"/>
      <c r="G45" s="27"/>
      <c r="H45" s="78" t="n">
        <f aca="false">(E45-D81*AD81/100)/(D81*AD81/100)</f>
        <v>0</v>
      </c>
      <c r="J45" s="26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46"/>
    </row>
    <row r="46" customFormat="false" ht="15" hidden="false" customHeight="false" outlineLevel="0" collapsed="false">
      <c r="B46" s="27" t="s">
        <v>239</v>
      </c>
      <c r="C46" s="27"/>
      <c r="D46" s="76" t="e">
        <f aca="false">SUM(D9:E9,AA9:AB9)</f>
        <v>#REF!</v>
      </c>
      <c r="E46" s="77" t="e">
        <f aca="false">SUM(E9,AB9)</f>
        <v>#REF!</v>
      </c>
      <c r="F46" s="78" t="e">
        <f aca="false">(D46-D82)/D82</f>
        <v>#REF!</v>
      </c>
      <c r="G46" s="27"/>
      <c r="H46" s="78" t="e">
        <f aca="false">(E46-D82*AD82/100)/(D82*AD82/100)</f>
        <v>#REF!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customFormat="false" ht="15" hidden="false" customHeight="false" outlineLevel="0" collapsed="false">
      <c r="B47" s="27" t="s">
        <v>240</v>
      </c>
      <c r="C47" s="27"/>
      <c r="D47" s="76" t="e">
        <f aca="false">SUM(D6:E8,AA6:AB8)</f>
        <v>#REF!</v>
      </c>
      <c r="E47" s="77" t="e">
        <f aca="false">SUM(E6:E8,AB6:AB8)</f>
        <v>#REF!</v>
      </c>
      <c r="F47" s="78" t="e">
        <f aca="false">(D47-D83)/D83</f>
        <v>#REF!</v>
      </c>
      <c r="G47" s="27"/>
      <c r="H47" s="78" t="e">
        <f aca="false">(E47-D83*AD83/100)/(D83*AD83/100)</f>
        <v>#REF!</v>
      </c>
      <c r="J47" s="79" t="s">
        <v>241</v>
      </c>
      <c r="K47" s="27"/>
      <c r="L47" s="27" t="s">
        <v>242</v>
      </c>
      <c r="M47" s="27" t="s">
        <v>243</v>
      </c>
      <c r="N47" s="27" t="s">
        <v>244</v>
      </c>
      <c r="O47" s="27" t="s">
        <v>245</v>
      </c>
      <c r="P47" s="27" t="s">
        <v>246</v>
      </c>
      <c r="Q47" s="27" t="s">
        <v>247</v>
      </c>
      <c r="R47" s="27" t="s">
        <v>248</v>
      </c>
      <c r="S47" s="27" t="s">
        <v>249</v>
      </c>
      <c r="T47" s="27" t="s">
        <v>250</v>
      </c>
      <c r="U47" s="27" t="s">
        <v>251</v>
      </c>
      <c r="V47" s="27" t="s">
        <v>252</v>
      </c>
      <c r="W47" s="27" t="s">
        <v>253</v>
      </c>
      <c r="X47" s="27" t="s">
        <v>254</v>
      </c>
      <c r="Y47" s="27" t="s">
        <v>255</v>
      </c>
      <c r="Z47" s="27" t="s">
        <v>256</v>
      </c>
      <c r="AA47" s="27" t="s">
        <v>257</v>
      </c>
      <c r="AB47" s="27" t="s">
        <v>258</v>
      </c>
      <c r="AC47" s="27" t="s">
        <v>259</v>
      </c>
      <c r="AD47" s="27" t="s">
        <v>260</v>
      </c>
      <c r="AE47" s="27" t="s">
        <v>261</v>
      </c>
      <c r="AF47" s="27" t="s">
        <v>262</v>
      </c>
      <c r="AG47" s="27" t="s">
        <v>263</v>
      </c>
      <c r="AH47" s="27"/>
    </row>
    <row r="48" customFormat="false" ht="16.4" hidden="false" customHeight="false" outlineLevel="0" collapsed="false">
      <c r="B48" s="27" t="s">
        <v>264</v>
      </c>
      <c r="C48" s="27"/>
      <c r="D48" s="76" t="n">
        <f aca="false">SUM(F5:G5,AC5:AD5)</f>
        <v>143608.729118937</v>
      </c>
      <c r="E48" s="77" t="n">
        <f aca="false">SUM(G5,AD5)</f>
        <v>33025.1469601058</v>
      </c>
      <c r="F48" s="78" t="n">
        <f aca="false">(D48/1000-SUM(D65:D66))/SUM(D65:D66)</f>
        <v>0.0249469176305142</v>
      </c>
      <c r="G48" s="78" t="n">
        <f aca="false">(D48-'G&amp;D sammanställning'!R5)/'G&amp;D sammanställning'!R5</f>
        <v>0.0860656948048739</v>
      </c>
      <c r="H48" s="78" t="n">
        <f aca="false">(E48/1000-D67*AD67/100)/(D67*AD67/100)</f>
        <v>0.158978572372128</v>
      </c>
      <c r="J48" s="27" t="s">
        <v>239</v>
      </c>
      <c r="K48" s="27"/>
      <c r="L48" s="80" t="e">
        <f aca="false">(($D$9/$D$5*D80+$AA$9/$AA$5*D81)-D82)/D82</f>
        <v>#REF!</v>
      </c>
      <c r="M48" s="78" t="e">
        <f aca="false">(($D$9/$D$5*E80+$AA$9/$AA$5*E81)-E82)/E82</f>
        <v>#REF!</v>
      </c>
      <c r="N48" s="78" t="e">
        <f aca="false">(($D$9/$D$5*F80+$AA$9/$AA$5*F81)-F82)/F82</f>
        <v>#REF!</v>
      </c>
      <c r="O48" s="78" t="e">
        <f aca="false">(($D$9/$D$5*G80+$AA$9/$AA$5*G81)-G82)/G82</f>
        <v>#REF!</v>
      </c>
      <c r="P48" s="78" t="e">
        <f aca="false">(($D$9/$D$5*H80+$AA$9/$AA$5*H81)-H82)/H82</f>
        <v>#REF!</v>
      </c>
      <c r="Q48" s="78" t="e">
        <f aca="false">(($D$9/$D$5*I80+$AA$9/$AA$5*I81)-I82)/I82</f>
        <v>#REF!</v>
      </c>
      <c r="R48" s="78" t="e">
        <f aca="false">(($D$9/$D$5*J80+$AA$9/$AA$5*J81)-J82)/J82</f>
        <v>#REF!</v>
      </c>
      <c r="S48" s="78" t="e">
        <f aca="false">(($D$9/$D$5*K80+$AA$9/$AA$5*K81)-K82)/K82</f>
        <v>#REF!</v>
      </c>
      <c r="T48" s="78" t="e">
        <f aca="false">(($D$9/$D$5*L80+$AA$9/$AA$5*L81)-L82)/L82</f>
        <v>#REF!</v>
      </c>
      <c r="U48" s="78" t="e">
        <f aca="false">(($D$9/$D$5*M80+$AA$9/$AA$5*M81)-M82)/M82</f>
        <v>#REF!</v>
      </c>
      <c r="V48" s="78" t="e">
        <f aca="false">(($D$9/$D$5*N80+$AA$9/$AA$5*N81)-N82)/N82</f>
        <v>#REF!</v>
      </c>
      <c r="W48" s="78" t="e">
        <f aca="false">(($D$9/$D$5*O80+$AA$9/$AA$5*O81)-O82)/O82</f>
        <v>#REF!</v>
      </c>
      <c r="X48" s="78" t="e">
        <f aca="false">(($D$9/$D$5*P80+$AA$9/$AA$5*P81)-P82)/P82</f>
        <v>#REF!</v>
      </c>
      <c r="Y48" s="78" t="e">
        <f aca="false">(($D$9/$D$5*Q80+$AA$9/$AA$5*Q81)-Q82)/Q82</f>
        <v>#REF!</v>
      </c>
      <c r="Z48" s="78" t="e">
        <f aca="false">(($D$9/$D$5*R80+$AA$9/$AA$5*R81)-R82)/R82</f>
        <v>#REF!</v>
      </c>
      <c r="AA48" s="78" t="e">
        <f aca="false">(($D$9/$D$5*S80+$AA$9/$AA$5*S81)-S82)/S82</f>
        <v>#REF!</v>
      </c>
      <c r="AB48" s="78" t="e">
        <f aca="false">(($D$9/$D$5*T80+$AA$9/$AA$5*T81)-T82)/T82</f>
        <v>#REF!</v>
      </c>
      <c r="AC48" s="78" t="e">
        <f aca="false">(($D$9/$D$5*U80+$AA$9/$AA$5*U81)-U82)/U82</f>
        <v>#REF!</v>
      </c>
      <c r="AD48" s="81" t="e">
        <f aca="false">(($D$9/$D$5*V80+$AA$9/$AA$5*V81)-V82)/V82</f>
        <v>#REF!</v>
      </c>
      <c r="AE48" s="82" t="e">
        <f aca="false">(($D$9/$D$5*W80+$AA$9/$AA$5*W81)-W82)/W82</f>
        <v>#REF!</v>
      </c>
      <c r="AF48" s="82" t="e">
        <f aca="false">(($D$9/$D$5*X80+$AA$9/$AA$5*X81)-X82)/X82</f>
        <v>#REF!</v>
      </c>
      <c r="AG48" s="83" t="e">
        <f aca="false">(($D$9/$D$5*Y80+$AA$9/$AA$5*Y81)-Y82)/Y82</f>
        <v>#REF!</v>
      </c>
      <c r="AH48" s="27"/>
    </row>
    <row r="49" customFormat="false" ht="16.4" hidden="false" customHeight="false" outlineLevel="0" collapsed="false">
      <c r="B49" s="27" t="s">
        <v>265</v>
      </c>
      <c r="C49" s="27"/>
      <c r="D49" s="76" t="e">
        <f aca="false">SUM(F6:G6,AC6:AD6)</f>
        <v>#REF!</v>
      </c>
      <c r="E49" s="77" t="e">
        <f aca="false">SUM(G6,AD6)</f>
        <v>#REF!</v>
      </c>
      <c r="F49" s="78" t="e">
        <f aca="false">(D49/1000-D68)/D68</f>
        <v>#REF!</v>
      </c>
      <c r="G49" s="78" t="e">
        <f aca="false">(D49-'G&amp;D sammanställning'!R8)/'G&amp;D sammanställning'!R8</f>
        <v>#REF!</v>
      </c>
      <c r="H49" s="78" t="e">
        <f aca="false">(E49/1000-D68*AD68/100)/(D68*AD68/100)</f>
        <v>#REF!</v>
      </c>
      <c r="J49" s="27" t="s">
        <v>240</v>
      </c>
      <c r="K49" s="27"/>
      <c r="L49" s="84" t="e">
        <f aca="false">((SUM($D$6:$D$8)/$D$5*D80+SUM($AA$6:$AA$8)/$AA$5*D81)-D83)/D83</f>
        <v>#REF!</v>
      </c>
      <c r="M49" s="78" t="e">
        <f aca="false">((SUM($D$6:$D$8)/$D$5*E80+SUM($AA$6:$AA$8)/$AA$5*E81)-E83)/E83</f>
        <v>#REF!</v>
      </c>
      <c r="N49" s="78" t="e">
        <f aca="false">((SUM($D$6:$D$8)/$D$5*F80+SUM($AA$6:$AA$8)/$AA$5*F81)-F83)/F83</f>
        <v>#REF!</v>
      </c>
      <c r="O49" s="78" t="e">
        <f aca="false">((SUM($D$6:$D$8)/$D$5*G80+SUM($AA$6:$AA$8)/$AA$5*G81)-G83)/G83</f>
        <v>#REF!</v>
      </c>
      <c r="P49" s="78" t="e">
        <f aca="false">((SUM($D$6:$D$8)/$D$5*H80+SUM($AA$6:$AA$8)/$AA$5*H81)-H83)/H83</f>
        <v>#REF!</v>
      </c>
      <c r="Q49" s="78" t="e">
        <f aca="false">((SUM($D$6:$D$8)/$D$5*I80+SUM($AA$6:$AA$8)/$AA$5*I81)-I83)/I83</f>
        <v>#REF!</v>
      </c>
      <c r="R49" s="78" t="e">
        <f aca="false">((SUM($D$6:$D$8)/$D$5*J80+SUM($AA$6:$AA$8)/$AA$5*J81)-J83)/J83</f>
        <v>#REF!</v>
      </c>
      <c r="S49" s="78" t="e">
        <f aca="false">((SUM($D$6:$D$8)/$D$5*K80+SUM($AA$6:$AA$8)/$AA$5*K81)-K83)/K83</f>
        <v>#REF!</v>
      </c>
      <c r="T49" s="78" t="e">
        <f aca="false">((SUM($D$6:$D$8)/$D$5*L80+SUM($AA$6:$AA$8)/$AA$5*L81)-L83)/L83</f>
        <v>#REF!</v>
      </c>
      <c r="U49" s="78" t="e">
        <f aca="false">((SUM($D$6:$D$8)/$D$5*M80+SUM($AA$6:$AA$8)/$AA$5*M81)-M83)/M83</f>
        <v>#REF!</v>
      </c>
      <c r="V49" s="78" t="e">
        <f aca="false">((SUM($D$6:$D$8)/$D$5*N80+SUM($AA$6:$AA$8)/$AA$5*N81)-N83)/N83</f>
        <v>#REF!</v>
      </c>
      <c r="W49" s="78" t="e">
        <f aca="false">((SUM($D$6:$D$8)/$D$5*O80+SUM($AA$6:$AA$8)/$AA$5*O81)-O83)/O83</f>
        <v>#REF!</v>
      </c>
      <c r="X49" s="78" t="e">
        <f aca="false">((SUM($D$6:$D$8)/$D$5*P80+SUM($AA$6:$AA$8)/$AA$5*P81)-P83)/P83</f>
        <v>#REF!</v>
      </c>
      <c r="Y49" s="78" t="e">
        <f aca="false">((SUM($D$6:$D$8)/$D$5*Q80+SUM($AA$6:$AA$8)/$AA$5*Q81)-Q83)/Q83</f>
        <v>#REF!</v>
      </c>
      <c r="Z49" s="78" t="e">
        <f aca="false">((SUM($D$6:$D$8)/$D$5*R80+SUM($AA$6:$AA$8)/$AA$5*R81)-R83)/R83</f>
        <v>#REF!</v>
      </c>
      <c r="AA49" s="78" t="e">
        <f aca="false">((SUM($D$6:$D$8)/$D$5*S80+SUM($AA$6:$AA$8)/$AA$5*S81)-S83)/S83</f>
        <v>#REF!</v>
      </c>
      <c r="AB49" s="78" t="e">
        <f aca="false">((SUM($D$6:$D$8)/$D$5*T80+SUM($AA$6:$AA$8)/$AA$5*T81)-T83)/T83</f>
        <v>#REF!</v>
      </c>
      <c r="AC49" s="78" t="e">
        <f aca="false">((SUM($D$6:$D$8)/$D$5*U80+SUM($AA$6:$AA$8)/$AA$5*U81)-U83)/U83</f>
        <v>#REF!</v>
      </c>
      <c r="AD49" s="85" t="e">
        <f aca="false">((SUM($D$6:$D$8)/$D$5*V80+SUM($AA$6:$AA$8)/$AA$5*V81)-V83)/V83</f>
        <v>#REF!</v>
      </c>
      <c r="AE49" s="86" t="e">
        <f aca="false">((SUM($D$6:$D$8)/$D$5*W80+SUM($AA$6:$AA$8)/$AA$5*W81)-W83)/W83</f>
        <v>#REF!</v>
      </c>
      <c r="AF49" s="86" t="e">
        <f aca="false">((SUM($D$6:$D$8)/$D$5*X80+SUM($AA$6:$AA$8)/$AA$5*X81)-X83)/X83</f>
        <v>#REF!</v>
      </c>
      <c r="AG49" s="87" t="e">
        <f aca="false">((SUM($D$6:$D$8)/$D$5*Y80+SUM($AA$6:$AA$8)/$AA$5*Y81)-Y83)/Y83</f>
        <v>#REF!</v>
      </c>
      <c r="AH49" s="27"/>
    </row>
    <row r="50" customFormat="false" ht="15" hidden="false" customHeight="false" outlineLevel="0" collapsed="false">
      <c r="B50" s="27" t="s">
        <v>266</v>
      </c>
      <c r="C50" s="27"/>
      <c r="D50" s="76" t="e">
        <f aca="false">SUM(F7:G7,AC7:AD7)</f>
        <v>#REF!</v>
      </c>
      <c r="E50" s="77" t="e">
        <f aca="false">SUM(G7,AD7)</f>
        <v>#REF!</v>
      </c>
      <c r="F50" s="78" t="e">
        <f aca="false">(D50/1000-D70)/D70</f>
        <v>#REF!</v>
      </c>
      <c r="G50" s="78" t="e">
        <f aca="false">(D50-'G&amp;D sammanställning'!R9)/'G&amp;D sammanställning'!R9</f>
        <v>#REF!</v>
      </c>
      <c r="H50" s="78" t="e">
        <f aca="false">(E50/1000-D70*AD70/100)/(D70*AD70/100)</f>
        <v>#REF!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88"/>
      <c r="AC50" s="88"/>
      <c r="AD50" s="88"/>
      <c r="AE50" s="89"/>
      <c r="AF50" s="89"/>
      <c r="AG50" s="88"/>
      <c r="AH50" s="27"/>
    </row>
    <row r="51" customFormat="false" ht="15" hidden="false" customHeight="false" outlineLevel="0" collapsed="false">
      <c r="B51" s="27" t="s">
        <v>267</v>
      </c>
      <c r="C51" s="27"/>
      <c r="D51" s="76" t="e">
        <f aca="false">SUM(F8:G8,AC8:AD8)</f>
        <v>#REF!</v>
      </c>
      <c r="E51" s="77" t="e">
        <f aca="false">SUM(G8,AD8)</f>
        <v>#REF!</v>
      </c>
      <c r="F51" s="78" t="e">
        <f aca="false">(D51/1000-SUM(D71:D73))/SUM(D71:D73)</f>
        <v>#REF!</v>
      </c>
      <c r="G51" s="78" t="e">
        <f aca="false">(D51-'G&amp;D sammanställning'!R10)/'G&amp;D sammanställning'!R10</f>
        <v>#REF!</v>
      </c>
      <c r="H51" s="78" t="e">
        <f aca="false">(E51/1000-D74*AD74/100)/(D74*AD74/100)</f>
        <v>#REF!</v>
      </c>
      <c r="J51" s="79" t="s">
        <v>268</v>
      </c>
      <c r="K51" s="27"/>
      <c r="L51" s="27" t="s">
        <v>269</v>
      </c>
      <c r="M51" s="27" t="s">
        <v>270</v>
      </c>
      <c r="N51" s="27" t="s">
        <v>271</v>
      </c>
      <c r="O51" s="27" t="s">
        <v>272</v>
      </c>
      <c r="P51" s="27" t="s">
        <v>273</v>
      </c>
      <c r="Q51" s="27" t="s">
        <v>274</v>
      </c>
      <c r="R51" s="27" t="s">
        <v>275</v>
      </c>
      <c r="S51" s="27" t="s">
        <v>276</v>
      </c>
      <c r="T51" s="27" t="s">
        <v>277</v>
      </c>
      <c r="U51" s="27"/>
      <c r="V51" s="27"/>
      <c r="W51" s="27"/>
      <c r="X51" s="27"/>
      <c r="Y51" s="27"/>
      <c r="Z51" s="27"/>
      <c r="AA51" s="27"/>
      <c r="AB51" s="88"/>
      <c r="AC51" s="88"/>
      <c r="AD51" s="88"/>
      <c r="AE51" s="89"/>
      <c r="AF51" s="89"/>
      <c r="AG51" s="88"/>
      <c r="AH51" s="27"/>
    </row>
    <row r="52" customFormat="false" ht="16.4" hidden="false" customHeight="false" outlineLevel="0" collapsed="false">
      <c r="B52" s="27" t="s">
        <v>278</v>
      </c>
      <c r="C52" s="27"/>
      <c r="D52" s="76" t="e">
        <f aca="false">SUM(F9:G9,AC9:AD9)</f>
        <v>#REF!</v>
      </c>
      <c r="E52" s="76" t="e">
        <f aca="false">SUM(G9,AD9)</f>
        <v>#REF!</v>
      </c>
      <c r="F52" s="78" t="e">
        <f aca="false">(D52/1000-D69)/D69</f>
        <v>#REF!</v>
      </c>
      <c r="G52" s="78" t="e">
        <f aca="false">(D52-'G&amp;D sammanställning'!R13)/'G&amp;D sammanställning'!R13</f>
        <v>#REF!</v>
      </c>
      <c r="H52" s="78" t="e">
        <f aca="false">(E52/1000-D69*AD69/100)/(D69*AD69/100)</f>
        <v>#REF!</v>
      </c>
      <c r="J52" s="27" t="s">
        <v>239</v>
      </c>
      <c r="K52" s="27"/>
      <c r="L52" s="80" t="e">
        <f aca="false">(($D$9/$D$5*D89+$AA$9/$AA$5*D90)-D87)/D87</f>
        <v>#REF!</v>
      </c>
      <c r="M52" s="78" t="e">
        <f aca="false">(($D$9/$D$5*E89+$AA$9/$AA$5*E90)-E87)/E87</f>
        <v>#REF!</v>
      </c>
      <c r="N52" s="78" t="e">
        <f aca="false">(($D$9/$D$5*F89+$AA$9/$AA$5*F90)-F87)/F87</f>
        <v>#REF!</v>
      </c>
      <c r="O52" s="78" t="e">
        <f aca="false">(($D$9/$D$5*G89+$AA$9/$AA$5*G90)-G87)/G87</f>
        <v>#REF!</v>
      </c>
      <c r="P52" s="78" t="e">
        <f aca="false">(($D$9/$D$5*H89+$AA$9/$AA$5*H90)-H87)/H87</f>
        <v>#REF!</v>
      </c>
      <c r="Q52" s="78" t="e">
        <f aca="false">(($D$9/$D$5*I89+$AA$9/$AA$5*I90)-I87)/I87</f>
        <v>#REF!</v>
      </c>
      <c r="R52" s="81" t="e">
        <f aca="false">(($D$9/$D$5*J89+$AA$9/$AA$5*J90)-J87)/J87</f>
        <v>#REF!</v>
      </c>
      <c r="S52" s="82" t="e">
        <f aca="false">(($D$9/$D$5*K89+$AA$9/$AA$5*K90)-K87)/K87</f>
        <v>#REF!</v>
      </c>
      <c r="T52" s="83" t="e">
        <f aca="false">(($D$9/$D$5*L89+$AA$9/$AA$5*L90)-L87)/L87</f>
        <v>#REF!</v>
      </c>
      <c r="U52" s="27"/>
      <c r="V52" s="27"/>
      <c r="W52" s="27"/>
      <c r="X52" s="27"/>
      <c r="Y52" s="27"/>
      <c r="Z52" s="27"/>
      <c r="AA52" s="90" t="s">
        <v>279</v>
      </c>
      <c r="AB52" s="88"/>
      <c r="AC52" s="88"/>
      <c r="AD52" s="89"/>
      <c r="AE52" s="89"/>
      <c r="AF52" s="88"/>
      <c r="AG52" s="89"/>
      <c r="AH52" s="27"/>
    </row>
    <row r="53" customFormat="false" ht="16.4" hidden="false" customHeight="false" outlineLevel="0" collapsed="false">
      <c r="B53" s="27" t="s">
        <v>280</v>
      </c>
      <c r="C53" s="27"/>
      <c r="D53" s="76" t="e">
        <f aca="false">SUM(D49:D52)</f>
        <v>#REF!</v>
      </c>
      <c r="E53" s="76" t="e">
        <f aca="false">SUM(G6:G9,AD6:AD9)</f>
        <v>#REF!</v>
      </c>
      <c r="F53" s="78" t="e">
        <f aca="false">(D53/1000-SUM(D68:D73))/SUM(D68:D73)</f>
        <v>#REF!</v>
      </c>
      <c r="G53" s="78" t="e">
        <f aca="false">(D53-SUM('G&amp;D sammanställning'!R8:R10,'G&amp;D sammanställning'!R13))/SUM('G&amp;D sammanställning'!R8:R10,'G&amp;D sammanställning'!R13)</f>
        <v>#REF!</v>
      </c>
      <c r="H53" s="78" t="e">
        <f aca="false">(E53/1000-D75*AD75/100)/(D75*AD75/100)</f>
        <v>#REF!</v>
      </c>
      <c r="J53" s="27" t="s">
        <v>240</v>
      </c>
      <c r="K53" s="27"/>
      <c r="L53" s="84" t="e">
        <f aca="false">((SUM($D$6:$D$8)/$D$5*D89+SUM($AA$6:$AA$8)/$AA$5*D90)-D91)/D91</f>
        <v>#REF!</v>
      </c>
      <c r="M53" s="78" t="e">
        <f aca="false">((SUM($D$6:$D$8)/$D$5*E89+SUM($AA$6:$AA$8)/$AA$5*E90)-E91)/E91</f>
        <v>#REF!</v>
      </c>
      <c r="N53" s="78" t="e">
        <f aca="false">((SUM($D$6:$D$8)/$D$5*F89+SUM($AA$6:$AA$8)/$AA$5*F90)-F91)/F91</f>
        <v>#REF!</v>
      </c>
      <c r="O53" s="78" t="e">
        <f aca="false">((SUM($D$6:$D$8)/$D$5*G89+SUM($AA$6:$AA$8)/$AA$5*G90)-G91)/G91</f>
        <v>#REF!</v>
      </c>
      <c r="P53" s="78" t="e">
        <f aca="false">((SUM($D$6:$D$8)/$D$5*H89+SUM($AA$6:$AA$8)/$AA$5*H90)-H91)/H91</f>
        <v>#REF!</v>
      </c>
      <c r="Q53" s="78" t="e">
        <f aca="false">((SUM($D$6:$D$8)/$D$5*I89+SUM($AA$6:$AA$8)/$AA$5*I90)-I91)/I91</f>
        <v>#REF!</v>
      </c>
      <c r="R53" s="85" t="e">
        <f aca="false">((SUM($D$6:$D$8)/$D$5*J89+SUM($AA$6:$AA$8)/$AA$5*J90)-J91)/J91</f>
        <v>#REF!</v>
      </c>
      <c r="S53" s="86" t="e">
        <f aca="false">((SUM($D$6:$D$8)/$D$5*K89+SUM($AA$6:$AA$8)/$AA$5*K90)-K91)/K91</f>
        <v>#REF!</v>
      </c>
      <c r="T53" s="87" t="e">
        <f aca="false">((SUM($D$6:$D$8)/$D$5*L89+SUM($AA$6:$AA$8)/$AA$5*L90)-L91)/L91</f>
        <v>#REF!</v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</row>
    <row r="54" customFormat="false" ht="15" hidden="false" customHeight="false" outlineLevel="0" collapsed="false">
      <c r="B54" s="27" t="s">
        <v>281</v>
      </c>
      <c r="C54" s="27"/>
      <c r="D54" s="76" t="e">
        <f aca="false">SUM(D48:D52)</f>
        <v>#REF!</v>
      </c>
      <c r="E54" s="76" t="e">
        <f aca="false">SUM(G5:G9,AD5:AD9)</f>
        <v>#REF!</v>
      </c>
      <c r="F54" s="78" t="e">
        <f aca="false">(D54/1000-D76)/D76</f>
        <v>#REF!</v>
      </c>
      <c r="G54" s="78" t="e">
        <f aca="false">(D54-SUM('G&amp;D sammanställning'!R5,'G&amp;D sammanställning'!R8:R10,'G&amp;D sammanställning'!R13))/SUM('G&amp;D sammanställning'!R5,'G&amp;D sammanställning'!R8:R10,'G&amp;D sammanställning'!R13)</f>
        <v>#REF!</v>
      </c>
      <c r="H54" s="78" t="e">
        <f aca="false">(E54/1000-D76*AD76/100)/(D76*AD76/100)</f>
        <v>#REF!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</row>
    <row r="56" customFormat="false" ht="15" hidden="false" customHeight="false" outlineLevel="0" collapsed="false">
      <c r="B56" s="2" t="s">
        <v>282</v>
      </c>
    </row>
    <row r="57" customFormat="false" ht="15" hidden="false" customHeight="false" outlineLevel="0" collapsed="false">
      <c r="D57" s="27" t="s">
        <v>283</v>
      </c>
      <c r="E57" s="0" t="s">
        <v>242</v>
      </c>
      <c r="F57" s="0" t="s">
        <v>243</v>
      </c>
      <c r="G57" s="0" t="s">
        <v>244</v>
      </c>
      <c r="H57" s="0" t="s">
        <v>245</v>
      </c>
      <c r="I57" s="0" t="s">
        <v>246</v>
      </c>
      <c r="J57" s="0" t="s">
        <v>247</v>
      </c>
      <c r="K57" s="0" t="s">
        <v>248</v>
      </c>
      <c r="L57" s="0" t="s">
        <v>249</v>
      </c>
      <c r="M57" s="0" t="s">
        <v>250</v>
      </c>
      <c r="N57" s="0" t="s">
        <v>251</v>
      </c>
      <c r="O57" s="0" t="s">
        <v>252</v>
      </c>
      <c r="P57" s="0" t="s">
        <v>253</v>
      </c>
      <c r="Q57" s="0" t="s">
        <v>254</v>
      </c>
      <c r="R57" s="0" t="s">
        <v>255</v>
      </c>
      <c r="S57" s="0" t="s">
        <v>256</v>
      </c>
      <c r="T57" s="0" t="s">
        <v>257</v>
      </c>
      <c r="U57" s="0" t="s">
        <v>258</v>
      </c>
      <c r="V57" s="0" t="s">
        <v>259</v>
      </c>
      <c r="W57" s="0" t="s">
        <v>260</v>
      </c>
      <c r="X57" s="0" t="s">
        <v>261</v>
      </c>
      <c r="Y57" s="0" t="s">
        <v>262</v>
      </c>
      <c r="Z57" s="0" t="s">
        <v>263</v>
      </c>
    </row>
    <row r="58" customFormat="false" ht="15" hidden="false" customHeight="false" outlineLevel="0" collapsed="false">
      <c r="B58" s="0" t="s">
        <v>284</v>
      </c>
      <c r="D58" s="27" t="n">
        <f aca="false">E5/SUM(D5:E5)*100</f>
        <v>17.4</v>
      </c>
      <c r="E58" s="0" t="n">
        <v>17.4</v>
      </c>
      <c r="F58" s="0" t="n">
        <v>23.6</v>
      </c>
      <c r="G58" s="0" t="n">
        <v>34.8</v>
      </c>
      <c r="H58" s="0" t="n">
        <v>27.4</v>
      </c>
      <c r="I58" s="0" t="n">
        <v>23.8</v>
      </c>
      <c r="J58" s="0" t="n">
        <v>18.8</v>
      </c>
      <c r="K58" s="0" t="n">
        <v>9.4</v>
      </c>
      <c r="L58" s="0" t="n">
        <v>4.6</v>
      </c>
      <c r="M58" s="0" t="n">
        <v>6.6</v>
      </c>
      <c r="N58" s="0" t="n">
        <v>11</v>
      </c>
      <c r="O58" s="0" t="n">
        <v>12.6</v>
      </c>
      <c r="P58" s="0" t="n">
        <v>8.4</v>
      </c>
      <c r="Q58" s="0" t="n">
        <v>25</v>
      </c>
      <c r="R58" s="0" t="n">
        <v>32</v>
      </c>
      <c r="S58" s="0" t="n">
        <v>37.8</v>
      </c>
      <c r="T58" s="0" t="n">
        <v>34.6</v>
      </c>
      <c r="U58" s="0" t="n">
        <v>31.6</v>
      </c>
      <c r="V58" s="0" t="n">
        <v>24.8</v>
      </c>
      <c r="W58" s="0" t="n">
        <v>11</v>
      </c>
      <c r="X58" s="0" t="n">
        <v>18.8</v>
      </c>
      <c r="Y58" s="0" t="n">
        <v>12.2</v>
      </c>
      <c r="Z58" s="0" t="n">
        <v>9.4</v>
      </c>
      <c r="AF58" s="0" t="s">
        <v>285</v>
      </c>
    </row>
    <row r="59" customFormat="false" ht="15" hidden="false" customHeight="false" outlineLevel="0" collapsed="false">
      <c r="B59" s="0" t="s">
        <v>286</v>
      </c>
      <c r="D59" s="91" t="n">
        <f aca="false">AB5/SUM(AA5:AB5)*100</f>
        <v>35.2</v>
      </c>
      <c r="E59" s="0" t="n">
        <v>35.2</v>
      </c>
      <c r="F59" s="0" t="n">
        <v>38.6</v>
      </c>
      <c r="G59" s="0" t="n">
        <v>35</v>
      </c>
      <c r="H59" s="0" t="n">
        <v>54</v>
      </c>
      <c r="I59" s="0" t="n">
        <v>49</v>
      </c>
      <c r="J59" s="0" t="n">
        <v>26.4</v>
      </c>
      <c r="K59" s="0" t="n">
        <v>22.2</v>
      </c>
      <c r="L59" s="0" t="n">
        <v>22.6</v>
      </c>
      <c r="M59" s="0" t="n">
        <v>32.4</v>
      </c>
      <c r="N59" s="0" t="n">
        <v>8.2</v>
      </c>
      <c r="O59" s="0" t="n">
        <v>13.8</v>
      </c>
      <c r="P59" s="0" t="n">
        <v>20.8</v>
      </c>
      <c r="Q59" s="0" t="n">
        <v>48.8</v>
      </c>
      <c r="R59" s="0" t="n">
        <v>57</v>
      </c>
      <c r="S59" s="0" t="n">
        <v>45.8</v>
      </c>
      <c r="T59" s="0" t="n">
        <v>50.2</v>
      </c>
      <c r="U59" s="0" t="n">
        <v>50</v>
      </c>
      <c r="V59" s="0" t="n">
        <v>49.4</v>
      </c>
      <c r="W59" s="0" t="n">
        <v>50.2</v>
      </c>
      <c r="X59" s="0" t="n">
        <v>61.4</v>
      </c>
      <c r="Y59" s="0" t="n">
        <v>36</v>
      </c>
      <c r="Z59" s="0" t="n">
        <v>40.4</v>
      </c>
      <c r="AF59" s="0" t="s">
        <v>287</v>
      </c>
    </row>
    <row r="60" customFormat="false" ht="15" hidden="false" customHeight="false" outlineLevel="0" collapsed="false">
      <c r="B60" s="0" t="s">
        <v>240</v>
      </c>
      <c r="D60" s="91" t="e">
        <f aca="false">SUM(E6:E8,AB6:AB8)/SUM(D6:E8,AA6:AB8)*100</f>
        <v>#REF!</v>
      </c>
      <c r="E60" s="0" t="n">
        <v>19.6</v>
      </c>
      <c r="F60" s="0" t="n">
        <v>31.4</v>
      </c>
      <c r="G60" s="0" t="n">
        <v>30.2</v>
      </c>
      <c r="H60" s="0" t="n">
        <v>28.4</v>
      </c>
      <c r="I60" s="0" t="n">
        <v>26.4</v>
      </c>
      <c r="J60" s="0" t="n">
        <v>16.2</v>
      </c>
      <c r="K60" s="0" t="n">
        <v>11.8</v>
      </c>
      <c r="L60" s="0" t="n">
        <v>7.4</v>
      </c>
      <c r="M60" s="0" t="n">
        <v>10</v>
      </c>
      <c r="N60" s="0" t="n">
        <v>6.6</v>
      </c>
      <c r="O60" s="0" t="n">
        <v>10.6</v>
      </c>
      <c r="P60" s="0" t="n">
        <v>10.2</v>
      </c>
      <c r="Q60" s="0" t="n">
        <v>26.8</v>
      </c>
      <c r="R60" s="0" t="n">
        <v>43.6</v>
      </c>
      <c r="S60" s="0" t="n">
        <v>34</v>
      </c>
      <c r="T60" s="0" t="n">
        <v>35.8</v>
      </c>
      <c r="U60" s="0" t="n">
        <v>30.2</v>
      </c>
      <c r="V60" s="0" t="n">
        <v>30.6</v>
      </c>
      <c r="W60" s="0" t="n">
        <v>23.8</v>
      </c>
      <c r="X60" s="0" t="n">
        <v>30.6</v>
      </c>
      <c r="Y60" s="0" t="n">
        <v>13.2</v>
      </c>
      <c r="Z60" s="0" t="n">
        <v>13.2</v>
      </c>
    </row>
    <row r="61" customFormat="false" ht="15" hidden="false" customHeight="false" outlineLevel="0" collapsed="false">
      <c r="B61" s="0" t="s">
        <v>239</v>
      </c>
      <c r="D61" s="91" t="e">
        <f aca="false">SUM(E9,AB9)/SUM(D9:E9,AA9:AB9)*100</f>
        <v>#REF!</v>
      </c>
      <c r="E61" s="0" t="n">
        <v>20.8</v>
      </c>
      <c r="F61" s="0" t="n">
        <v>31.6</v>
      </c>
      <c r="G61" s="0" t="n">
        <v>27.4</v>
      </c>
      <c r="H61" s="0" t="n">
        <v>32</v>
      </c>
      <c r="I61" s="0" t="n">
        <v>28.6</v>
      </c>
      <c r="J61" s="0" t="n">
        <v>19.2</v>
      </c>
      <c r="K61" s="0" t="n">
        <v>14.2</v>
      </c>
      <c r="L61" s="0" t="n">
        <v>8.4</v>
      </c>
      <c r="M61" s="0" t="n">
        <v>11.4</v>
      </c>
      <c r="N61" s="0" t="n">
        <v>7.8</v>
      </c>
      <c r="O61" s="0" t="n">
        <v>10.8</v>
      </c>
      <c r="P61" s="0" t="n">
        <v>9.6</v>
      </c>
      <c r="Q61" s="0" t="n">
        <v>28.2</v>
      </c>
      <c r="R61" s="0" t="n">
        <v>43.4</v>
      </c>
      <c r="S61" s="0" t="n">
        <v>30.8</v>
      </c>
      <c r="T61" s="0" t="n">
        <v>29.2</v>
      </c>
      <c r="U61" s="0" t="n">
        <v>30.8</v>
      </c>
      <c r="V61" s="0" t="n">
        <v>30.8</v>
      </c>
      <c r="W61" s="0" t="n">
        <v>25.6</v>
      </c>
      <c r="X61" s="0" t="n">
        <v>35.2</v>
      </c>
      <c r="Y61" s="0" t="n">
        <v>13.4</v>
      </c>
      <c r="Z61" s="0" t="n">
        <v>12</v>
      </c>
    </row>
    <row r="63" customFormat="false" ht="15" hidden="false" customHeight="false" outlineLevel="0" collapsed="false">
      <c r="B63" s="2" t="s">
        <v>288</v>
      </c>
    </row>
    <row r="64" customFormat="false" ht="15" hidden="false" customHeight="false" outlineLevel="0" collapsed="false">
      <c r="D64" s="0" t="s">
        <v>242</v>
      </c>
      <c r="E64" s="0" t="s">
        <v>243</v>
      </c>
      <c r="F64" s="0" t="s">
        <v>244</v>
      </c>
      <c r="G64" s="0" t="s">
        <v>245</v>
      </c>
      <c r="H64" s="0" t="s">
        <v>246</v>
      </c>
      <c r="I64" s="0" t="s">
        <v>247</v>
      </c>
      <c r="J64" s="0" t="s">
        <v>248</v>
      </c>
      <c r="K64" s="0" t="s">
        <v>249</v>
      </c>
      <c r="L64" s="0" t="s">
        <v>250</v>
      </c>
      <c r="M64" s="0" t="s">
        <v>251</v>
      </c>
      <c r="N64" s="0" t="s">
        <v>252</v>
      </c>
      <c r="O64" s="0" t="s">
        <v>253</v>
      </c>
      <c r="P64" s="0" t="s">
        <v>254</v>
      </c>
      <c r="Q64" s="0" t="s">
        <v>255</v>
      </c>
      <c r="R64" s="0" t="s">
        <v>256</v>
      </c>
      <c r="S64" s="0" t="s">
        <v>257</v>
      </c>
      <c r="T64" s="0" t="s">
        <v>258</v>
      </c>
      <c r="U64" s="0" t="s">
        <v>259</v>
      </c>
      <c r="V64" s="0" t="s">
        <v>260</v>
      </c>
      <c r="W64" s="0" t="s">
        <v>261</v>
      </c>
      <c r="X64" s="0" t="s">
        <v>262</v>
      </c>
      <c r="Y64" s="0" t="s">
        <v>263</v>
      </c>
      <c r="Z64" s="0" t="s">
        <v>289</v>
      </c>
      <c r="AC64" s="2" t="s">
        <v>290</v>
      </c>
    </row>
    <row r="65" customFormat="false" ht="15" hidden="false" customHeight="false" outlineLevel="0" collapsed="false">
      <c r="B65" s="0" t="s">
        <v>291</v>
      </c>
      <c r="D65" s="8" t="n">
        <v>35.7433333333333</v>
      </c>
      <c r="E65" s="8" t="n">
        <v>0.28</v>
      </c>
      <c r="F65" s="8" t="n">
        <v>0.896666666666667</v>
      </c>
      <c r="G65" s="8" t="n">
        <v>1.08333333333333</v>
      </c>
      <c r="H65" s="8" t="n">
        <v>2.87</v>
      </c>
      <c r="I65" s="8" t="n">
        <v>3.28333333333333</v>
      </c>
      <c r="J65" s="8" t="n">
        <v>1.73</v>
      </c>
      <c r="K65" s="8" t="n">
        <v>4.27333333333333</v>
      </c>
      <c r="L65" s="8" t="n">
        <v>1.07</v>
      </c>
      <c r="M65" s="8" t="n">
        <v>0.546666666666667</v>
      </c>
      <c r="N65" s="8" t="n">
        <v>5.23333333333333</v>
      </c>
      <c r="O65" s="8" t="n">
        <v>2.64666666666667</v>
      </c>
      <c r="P65" s="8" t="n">
        <v>6.73666666666667</v>
      </c>
      <c r="Q65" s="8" t="n">
        <v>1.02666666666667</v>
      </c>
      <c r="R65" s="8" t="n">
        <v>0.723333333333333</v>
      </c>
      <c r="S65" s="8" t="n">
        <v>0.43</v>
      </c>
      <c r="T65" s="8" t="n">
        <v>0.51</v>
      </c>
      <c r="U65" s="8" t="n">
        <v>0.816666666666667</v>
      </c>
      <c r="V65" s="8" t="n">
        <v>0.503333333333333</v>
      </c>
      <c r="W65" s="8" t="n">
        <v>0.473333333333333</v>
      </c>
      <c r="X65" s="8" t="n">
        <v>0.376666666666667</v>
      </c>
      <c r="Y65" s="8" t="n">
        <v>0.103333333333333</v>
      </c>
      <c r="Z65" s="8" t="n">
        <v>0.14</v>
      </c>
      <c r="AC65" s="0" t="s">
        <v>291</v>
      </c>
      <c r="AD65" s="0" t="n">
        <v>18.46</v>
      </c>
      <c r="AE65" s="13" t="n">
        <f aca="false">D65*AD65/100</f>
        <v>6.59821933333333</v>
      </c>
    </row>
    <row r="66" customFormat="false" ht="15" hidden="false" customHeight="false" outlineLevel="0" collapsed="false">
      <c r="B66" s="0" t="s">
        <v>292</v>
      </c>
      <c r="D66" s="8" t="n">
        <v>104.37</v>
      </c>
      <c r="E66" s="8" t="n">
        <v>1.17666666666667</v>
      </c>
      <c r="F66" s="8" t="n">
        <v>3.24666666666667</v>
      </c>
      <c r="G66" s="8" t="n">
        <v>2.93333333333333</v>
      </c>
      <c r="H66" s="8" t="n">
        <v>7.66333333333333</v>
      </c>
      <c r="I66" s="8" t="n">
        <v>8.92666666666667</v>
      </c>
      <c r="J66" s="8" t="n">
        <v>4.03333333333333</v>
      </c>
      <c r="K66" s="8" t="n">
        <v>10.6266666666667</v>
      </c>
      <c r="L66" s="8" t="n">
        <v>4.41666666666667</v>
      </c>
      <c r="M66" s="8" t="n">
        <v>1.62666666666667</v>
      </c>
      <c r="N66" s="8" t="n">
        <v>13.51</v>
      </c>
      <c r="O66" s="8" t="n">
        <v>6.57666666666667</v>
      </c>
      <c r="P66" s="8" t="n">
        <v>17.5933333333333</v>
      </c>
      <c r="Q66" s="8" t="n">
        <v>3.00333333333333</v>
      </c>
      <c r="R66" s="8" t="n">
        <v>2.19333333333333</v>
      </c>
      <c r="S66" s="8" t="n">
        <v>1.32666666666667</v>
      </c>
      <c r="T66" s="8" t="n">
        <v>2.39666666666667</v>
      </c>
      <c r="U66" s="8" t="n">
        <v>3.16666666666667</v>
      </c>
      <c r="V66" s="8" t="n">
        <v>2.31666666666667</v>
      </c>
      <c r="W66" s="8" t="n">
        <v>2.30333333333333</v>
      </c>
      <c r="X66" s="8" t="n">
        <v>3.39666666666667</v>
      </c>
      <c r="Y66" s="8" t="n">
        <v>1.41666666666667</v>
      </c>
      <c r="Z66" s="8" t="n">
        <v>0.523333333333333</v>
      </c>
      <c r="AC66" s="0" t="s">
        <v>292</v>
      </c>
      <c r="AD66" s="0" t="n">
        <v>20.98</v>
      </c>
      <c r="AE66" s="13" t="n">
        <f aca="false">D66*AD66/100</f>
        <v>21.896826</v>
      </c>
    </row>
    <row r="67" customFormat="false" ht="15" hidden="false" customHeight="false" outlineLevel="0" collapsed="false">
      <c r="B67" s="0" t="s">
        <v>293</v>
      </c>
      <c r="D67" s="8" t="n">
        <f aca="false">SUM(D65:D66)</f>
        <v>140.113333333333</v>
      </c>
      <c r="E67" s="8" t="n">
        <f aca="false">SUM(E65:E66)</f>
        <v>1.45666666666667</v>
      </c>
      <c r="F67" s="8" t="n">
        <f aca="false">SUM(F65:F66)</f>
        <v>4.14333333333333</v>
      </c>
      <c r="G67" s="8" t="n">
        <f aca="false">SUM(G65:G66)</f>
        <v>4.01666666666667</v>
      </c>
      <c r="H67" s="8" t="n">
        <f aca="false">SUM(H65:H66)</f>
        <v>10.5333333333333</v>
      </c>
      <c r="I67" s="8" t="n">
        <f aca="false">SUM(I65:I66)</f>
        <v>12.21</v>
      </c>
      <c r="J67" s="8" t="n">
        <f aca="false">SUM(J65:J66)</f>
        <v>5.76333333333333</v>
      </c>
      <c r="K67" s="8" t="n">
        <f aca="false">SUM(K65:K66)</f>
        <v>14.9</v>
      </c>
      <c r="L67" s="8" t="n">
        <f aca="false">SUM(L65:L66)</f>
        <v>5.48666666666667</v>
      </c>
      <c r="M67" s="8" t="n">
        <f aca="false">SUM(M65:M66)</f>
        <v>2.17333333333333</v>
      </c>
      <c r="N67" s="8" t="n">
        <f aca="false">SUM(N65:N66)</f>
        <v>18.7433333333333</v>
      </c>
      <c r="O67" s="8" t="n">
        <f aca="false">SUM(O65:O66)</f>
        <v>9.22333333333333</v>
      </c>
      <c r="P67" s="8" t="n">
        <f aca="false">SUM(P65:P66)</f>
        <v>24.33</v>
      </c>
      <c r="Q67" s="8" t="n">
        <f aca="false">SUM(Q65:Q66)</f>
        <v>4.03</v>
      </c>
      <c r="R67" s="8" t="n">
        <f aca="false">SUM(R65:R66)</f>
        <v>2.91666666666667</v>
      </c>
      <c r="S67" s="8" t="n">
        <f aca="false">SUM(S65:S66)</f>
        <v>1.75666666666667</v>
      </c>
      <c r="T67" s="8" t="n">
        <f aca="false">SUM(T65:T66)</f>
        <v>2.90666666666667</v>
      </c>
      <c r="U67" s="8" t="n">
        <f aca="false">SUM(U65:U66)</f>
        <v>3.98333333333333</v>
      </c>
      <c r="V67" s="8" t="n">
        <f aca="false">SUM(V65:V66)</f>
        <v>2.82</v>
      </c>
      <c r="W67" s="8" t="n">
        <f aca="false">SUM(W65:W66)</f>
        <v>2.77666666666667</v>
      </c>
      <c r="X67" s="8" t="n">
        <f aca="false">SUM(X65:X66)</f>
        <v>3.77333333333333</v>
      </c>
      <c r="Y67" s="8" t="n">
        <f aca="false">SUM(Y65:Y66)</f>
        <v>1.52</v>
      </c>
      <c r="Z67" s="8" t="n">
        <f aca="false">SUM(Z65:Z66)</f>
        <v>0.663333333333333</v>
      </c>
      <c r="AC67" s="0" t="s">
        <v>293</v>
      </c>
      <c r="AD67" s="13" t="n">
        <f aca="false">SUMPRODUCT(D65:D66,AD65:AD66)/D67</f>
        <v>20.3371404101442</v>
      </c>
      <c r="AE67" s="13" t="n">
        <f aca="false">D67*AD67/100</f>
        <v>28.4950453333333</v>
      </c>
    </row>
    <row r="68" customFormat="false" ht="15" hidden="false" customHeight="false" outlineLevel="0" collapsed="false">
      <c r="B68" s="0" t="s">
        <v>294</v>
      </c>
      <c r="D68" s="8" t="n">
        <v>59.748</v>
      </c>
      <c r="E68" s="8" t="n">
        <v>0.814</v>
      </c>
      <c r="F68" s="8" t="n">
        <v>1.514</v>
      </c>
      <c r="G68" s="8" t="n">
        <v>2.012</v>
      </c>
      <c r="H68" s="8" t="n">
        <v>3.774</v>
      </c>
      <c r="I68" s="8" t="n">
        <v>4.664</v>
      </c>
      <c r="J68" s="8" t="n">
        <v>2.392</v>
      </c>
      <c r="K68" s="8" t="n">
        <v>6.052</v>
      </c>
      <c r="L68" s="8" t="n">
        <v>3.076</v>
      </c>
      <c r="M68" s="8" t="n">
        <v>1.288</v>
      </c>
      <c r="N68" s="8" t="n">
        <v>10.8</v>
      </c>
      <c r="O68" s="8" t="n">
        <v>3.674</v>
      </c>
      <c r="P68" s="8" t="n">
        <v>10.156</v>
      </c>
      <c r="Q68" s="8" t="n">
        <v>1.974</v>
      </c>
      <c r="R68" s="8" t="n">
        <v>1.388</v>
      </c>
      <c r="S68" s="8" t="n">
        <v>0.686</v>
      </c>
      <c r="T68" s="8" t="n">
        <v>1.002</v>
      </c>
      <c r="U68" s="8" t="n">
        <v>1.22</v>
      </c>
      <c r="V68" s="8" t="n">
        <v>0.684</v>
      </c>
      <c r="W68" s="8" t="n">
        <v>0.77</v>
      </c>
      <c r="X68" s="8" t="n">
        <v>1.024</v>
      </c>
      <c r="Y68" s="8" t="n">
        <v>0.446</v>
      </c>
      <c r="Z68" s="8" t="n">
        <v>0.346</v>
      </c>
      <c r="AA68" s="48"/>
      <c r="AC68" s="0" t="s">
        <v>294</v>
      </c>
      <c r="AD68" s="0" t="n">
        <v>19.28</v>
      </c>
      <c r="AE68" s="13" t="n">
        <f aca="false">D68*AD68/100</f>
        <v>11.5194144</v>
      </c>
    </row>
    <row r="69" customFormat="false" ht="15" hidden="false" customHeight="false" outlineLevel="0" collapsed="false">
      <c r="B69" s="0" t="s">
        <v>295</v>
      </c>
      <c r="D69" s="8" t="n">
        <v>14.5233333333333</v>
      </c>
      <c r="E69" s="8" t="n">
        <v>0.126666666666667</v>
      </c>
      <c r="F69" s="8" t="n">
        <v>1.68</v>
      </c>
      <c r="G69" s="8" t="n">
        <v>0.223333333333333</v>
      </c>
      <c r="H69" s="8" t="n">
        <v>0.206666666666667</v>
      </c>
      <c r="I69" s="8" t="n">
        <v>0.386666666666667</v>
      </c>
      <c r="J69" s="8" t="n">
        <v>0.0833333333333333</v>
      </c>
      <c r="K69" s="8" t="n">
        <v>0.08</v>
      </c>
      <c r="L69" s="8" t="n">
        <v>0.01</v>
      </c>
      <c r="M69" s="8" t="n">
        <v>0.0833333333333333</v>
      </c>
      <c r="N69" s="8" t="n">
        <v>3.22</v>
      </c>
      <c r="O69" s="8" t="n">
        <v>0.873333333333333</v>
      </c>
      <c r="P69" s="8" t="n">
        <v>4.03333333333333</v>
      </c>
      <c r="Q69" s="8" t="n">
        <v>0.0866666666666667</v>
      </c>
      <c r="R69" s="8" t="n">
        <v>0.3</v>
      </c>
      <c r="S69" s="8" t="n">
        <v>2</v>
      </c>
      <c r="T69" s="8" t="n">
        <v>0.236666666666667</v>
      </c>
      <c r="U69" s="8" t="n">
        <v>0.273333333333333</v>
      </c>
      <c r="V69" s="8" t="n">
        <v>0.106666666666667</v>
      </c>
      <c r="W69" s="8" t="n">
        <v>0.3</v>
      </c>
      <c r="X69" s="8" t="n">
        <v>0.0633333333333333</v>
      </c>
      <c r="Y69" s="8" t="n">
        <v>0.0733333333333333</v>
      </c>
      <c r="Z69" s="8" t="n">
        <v>0.09</v>
      </c>
      <c r="AA69" s="48"/>
      <c r="AC69" s="0" t="s">
        <v>295</v>
      </c>
      <c r="AD69" s="0" t="n">
        <v>7.72</v>
      </c>
      <c r="AE69" s="13" t="n">
        <f aca="false">D69*AD69/100</f>
        <v>1.12120133333333</v>
      </c>
    </row>
    <row r="70" customFormat="false" ht="15" hidden="false" customHeight="false" outlineLevel="0" collapsed="false">
      <c r="B70" s="0" t="s">
        <v>296</v>
      </c>
      <c r="D70" s="8" t="n">
        <v>34.85</v>
      </c>
      <c r="E70" s="8" t="n">
        <v>0.694</v>
      </c>
      <c r="F70" s="8" t="n">
        <v>1.754</v>
      </c>
      <c r="G70" s="8" t="n">
        <v>1.006</v>
      </c>
      <c r="H70" s="8" t="n">
        <v>2.608</v>
      </c>
      <c r="I70" s="8" t="n">
        <v>3.6</v>
      </c>
      <c r="J70" s="8" t="n">
        <v>2.064</v>
      </c>
      <c r="K70" s="8" t="n">
        <v>4.218</v>
      </c>
      <c r="L70" s="8" t="n">
        <v>1.024</v>
      </c>
      <c r="M70" s="8" t="n">
        <v>0.352</v>
      </c>
      <c r="N70" s="8" t="n">
        <v>3.106</v>
      </c>
      <c r="O70" s="8" t="n">
        <v>1.348</v>
      </c>
      <c r="P70" s="8" t="n">
        <v>6.946</v>
      </c>
      <c r="Q70" s="8" t="n">
        <v>1.098</v>
      </c>
      <c r="R70" s="8" t="n">
        <v>0.77</v>
      </c>
      <c r="S70" s="8" t="n">
        <v>0.406</v>
      </c>
      <c r="T70" s="8" t="n">
        <v>0.426</v>
      </c>
      <c r="U70" s="8" t="n">
        <v>1.088</v>
      </c>
      <c r="V70" s="8" t="n">
        <v>0.298</v>
      </c>
      <c r="W70" s="8" t="n">
        <v>0.748</v>
      </c>
      <c r="X70" s="8" t="n">
        <v>0.826</v>
      </c>
      <c r="Y70" s="8" t="n">
        <v>0.288</v>
      </c>
      <c r="Z70" s="8" t="n">
        <v>0.178</v>
      </c>
      <c r="AA70" s="48"/>
      <c r="AC70" s="0" t="s">
        <v>296</v>
      </c>
      <c r="AD70" s="0" t="n">
        <v>27.14</v>
      </c>
      <c r="AE70" s="13" t="n">
        <f aca="false">D70*AD70/100</f>
        <v>9.45829</v>
      </c>
    </row>
    <row r="71" customFormat="false" ht="15" hidden="false" customHeight="false" outlineLevel="0" collapsed="false">
      <c r="B71" s="0" t="s">
        <v>297</v>
      </c>
      <c r="D71" s="8" t="n">
        <v>154.286666666667</v>
      </c>
      <c r="E71" s="8" t="n">
        <v>1.04666666666667</v>
      </c>
      <c r="F71" s="8" t="n">
        <v>2.91</v>
      </c>
      <c r="G71" s="8" t="n">
        <v>5.72666666666667</v>
      </c>
      <c r="H71" s="8" t="n">
        <v>11.7533333333333</v>
      </c>
      <c r="I71" s="8" t="n">
        <v>11</v>
      </c>
      <c r="J71" s="8" t="n">
        <v>5.59666666666667</v>
      </c>
      <c r="K71" s="8" t="n">
        <v>15.9166666666667</v>
      </c>
      <c r="L71" s="8" t="n">
        <v>9.72333333333333</v>
      </c>
      <c r="M71" s="8" t="n">
        <v>3.67</v>
      </c>
      <c r="N71" s="8" t="n">
        <v>25.6566666666667</v>
      </c>
      <c r="O71" s="8" t="n">
        <v>9.68666666666667</v>
      </c>
      <c r="P71" s="8" t="n">
        <v>24.6266666666667</v>
      </c>
      <c r="Q71" s="8" t="n">
        <v>4.91</v>
      </c>
      <c r="R71" s="8" t="n">
        <v>4.48666666666667</v>
      </c>
      <c r="S71" s="8" t="n">
        <v>2.06333333333333</v>
      </c>
      <c r="T71" s="8" t="n">
        <v>3.91333333333333</v>
      </c>
      <c r="U71" s="8" t="n">
        <v>4.34333333333333</v>
      </c>
      <c r="V71" s="8" t="n">
        <v>1.62666666666667</v>
      </c>
      <c r="W71" s="8" t="n">
        <v>1.55333333333333</v>
      </c>
      <c r="X71" s="8" t="n">
        <v>2.38</v>
      </c>
      <c r="Y71" s="8" t="n">
        <v>1.33333333333333</v>
      </c>
      <c r="Z71" s="8" t="n">
        <v>0.363333333333333</v>
      </c>
      <c r="AA71" s="48"/>
      <c r="AC71" s="0" t="s">
        <v>297</v>
      </c>
      <c r="AD71" s="0" t="n">
        <v>7.72</v>
      </c>
      <c r="AE71" s="13" t="n">
        <f aca="false">D71*AD71/100</f>
        <v>11.9109306666667</v>
      </c>
    </row>
    <row r="72" customFormat="false" ht="15" hidden="false" customHeight="false" outlineLevel="0" collapsed="false">
      <c r="B72" s="0" t="s">
        <v>298</v>
      </c>
      <c r="D72" s="8" t="n">
        <v>21.2166666666667</v>
      </c>
      <c r="E72" s="8" t="n">
        <v>0.07</v>
      </c>
      <c r="F72" s="8" t="n">
        <v>0.133333333333333</v>
      </c>
      <c r="G72" s="8" t="n">
        <v>0.44</v>
      </c>
      <c r="H72" s="8" t="n">
        <v>1.07333333333333</v>
      </c>
      <c r="I72" s="8" t="n">
        <v>1.88333333333333</v>
      </c>
      <c r="J72" s="8" t="n">
        <v>1.04</v>
      </c>
      <c r="K72" s="8" t="n">
        <v>1.97</v>
      </c>
      <c r="L72" s="8" t="n">
        <v>1.08</v>
      </c>
      <c r="M72" s="8" t="n">
        <v>0.386666666666667</v>
      </c>
      <c r="N72" s="8" t="n">
        <v>3.16</v>
      </c>
      <c r="O72" s="8" t="n">
        <v>0.673333333333333</v>
      </c>
      <c r="P72" s="8" t="n">
        <v>5.05</v>
      </c>
      <c r="Q72" s="8" t="n">
        <v>1.1</v>
      </c>
      <c r="R72" s="8" t="n">
        <v>0.523333333333333</v>
      </c>
      <c r="S72" s="8" t="n">
        <v>0.243333333333333</v>
      </c>
      <c r="T72" s="8" t="n">
        <v>0.35</v>
      </c>
      <c r="U72" s="8" t="n">
        <v>0.493333333333333</v>
      </c>
      <c r="V72" s="8" t="n">
        <v>0.333333333333333</v>
      </c>
      <c r="W72" s="8" t="n">
        <v>0.363333333333333</v>
      </c>
      <c r="X72" s="8" t="n">
        <v>0.636666666666667</v>
      </c>
      <c r="Y72" s="8" t="n">
        <v>0.156666666666667</v>
      </c>
      <c r="Z72" s="8" t="n">
        <v>0.07</v>
      </c>
      <c r="AA72" s="48"/>
      <c r="AC72" s="0" t="s">
        <v>298</v>
      </c>
      <c r="AD72" s="0" t="n">
        <v>12.48</v>
      </c>
      <c r="AE72" s="13" t="n">
        <f aca="false">D72*AD72/100</f>
        <v>2.64784</v>
      </c>
    </row>
    <row r="73" customFormat="false" ht="15" hidden="false" customHeight="false" outlineLevel="0" collapsed="false">
      <c r="B73" s="0" t="s">
        <v>299</v>
      </c>
      <c r="D73" s="8" t="n">
        <v>3.13333333333333</v>
      </c>
      <c r="E73" s="8" t="n">
        <v>0.0433333333333333</v>
      </c>
      <c r="F73" s="8" t="n">
        <v>0.0666666666666667</v>
      </c>
      <c r="G73" s="8" t="n">
        <v>0.0866666666666667</v>
      </c>
      <c r="H73" s="8" t="n">
        <v>0.193333333333333</v>
      </c>
      <c r="I73" s="8" t="n">
        <v>0.276666666666667</v>
      </c>
      <c r="J73" s="8" t="n">
        <v>0.14</v>
      </c>
      <c r="K73" s="8" t="n">
        <v>0.226666666666667</v>
      </c>
      <c r="L73" s="8" t="n">
        <v>0.0966666666666667</v>
      </c>
      <c r="M73" s="8" t="n">
        <v>0.0766666666666667</v>
      </c>
      <c r="N73" s="8" t="n">
        <v>0.603333333333333</v>
      </c>
      <c r="O73" s="8" t="n">
        <v>0.116666666666667</v>
      </c>
      <c r="P73" s="8" t="n">
        <v>0.566666666666667</v>
      </c>
      <c r="Q73" s="8" t="n">
        <v>0.113333333333333</v>
      </c>
      <c r="R73" s="8" t="n">
        <v>0.07</v>
      </c>
      <c r="S73" s="8" t="n">
        <v>0.04</v>
      </c>
      <c r="T73" s="8" t="n">
        <v>0.08</v>
      </c>
      <c r="U73" s="8" t="n">
        <v>0.0966666666666667</v>
      </c>
      <c r="V73" s="8" t="n">
        <v>0.0566666666666667</v>
      </c>
      <c r="W73" s="8" t="n">
        <v>0.0666666666666667</v>
      </c>
      <c r="X73" s="8" t="n">
        <v>0.0733333333333333</v>
      </c>
      <c r="Y73" s="8" t="n">
        <v>0.0166666666666667</v>
      </c>
      <c r="Z73" s="8" t="n">
        <v>0.04</v>
      </c>
      <c r="AA73" s="48"/>
      <c r="AC73" s="0" t="s">
        <v>299</v>
      </c>
      <c r="AD73" s="0" t="n">
        <v>27.5</v>
      </c>
      <c r="AE73" s="13" t="n">
        <f aca="false">D73*AD73/100</f>
        <v>0.861666666666667</v>
      </c>
    </row>
    <row r="74" customFormat="false" ht="15" hidden="false" customHeight="false" outlineLevel="0" collapsed="false">
      <c r="B74" s="0" t="s">
        <v>300</v>
      </c>
      <c r="D74" s="8" t="n">
        <f aca="false">SUM(D71:D73)</f>
        <v>178.636666666667</v>
      </c>
      <c r="E74" s="8" t="n">
        <f aca="false">SUM(E71:E73)</f>
        <v>1.16</v>
      </c>
      <c r="F74" s="8" t="n">
        <f aca="false">SUM(F71:F73)</f>
        <v>3.11</v>
      </c>
      <c r="G74" s="8" t="n">
        <f aca="false">SUM(G71:G73)</f>
        <v>6.25333333333333</v>
      </c>
      <c r="H74" s="8" t="n">
        <f aca="false">SUM(H71:H73)</f>
        <v>13.02</v>
      </c>
      <c r="I74" s="8" t="n">
        <f aca="false">SUM(I71:I73)</f>
        <v>13.16</v>
      </c>
      <c r="J74" s="8" t="n">
        <f aca="false">SUM(J71:J73)</f>
        <v>6.77666666666667</v>
      </c>
      <c r="K74" s="8" t="n">
        <f aca="false">SUM(K71:K73)</f>
        <v>18.1133333333333</v>
      </c>
      <c r="L74" s="8" t="n">
        <f aca="false">SUM(L71:L73)</f>
        <v>10.9</v>
      </c>
      <c r="M74" s="8" t="n">
        <f aca="false">SUM(M71:M73)</f>
        <v>4.13333333333333</v>
      </c>
      <c r="N74" s="8" t="n">
        <f aca="false">SUM(N71:N73)</f>
        <v>29.42</v>
      </c>
      <c r="O74" s="8" t="n">
        <f aca="false">SUM(O71:O73)</f>
        <v>10.4766666666667</v>
      </c>
      <c r="P74" s="8" t="n">
        <f aca="false">SUM(P71:P73)</f>
        <v>30.2433333333333</v>
      </c>
      <c r="Q74" s="8" t="n">
        <f aca="false">SUM(Q71:Q73)</f>
        <v>6.12333333333333</v>
      </c>
      <c r="R74" s="8" t="n">
        <f aca="false">SUM(R71:R73)</f>
        <v>5.08</v>
      </c>
      <c r="S74" s="8" t="n">
        <f aca="false">SUM(S71:S73)</f>
        <v>2.34666666666667</v>
      </c>
      <c r="T74" s="8" t="n">
        <f aca="false">SUM(T71:T73)</f>
        <v>4.34333333333333</v>
      </c>
      <c r="U74" s="8" t="n">
        <f aca="false">SUM(U71:U73)</f>
        <v>4.93333333333333</v>
      </c>
      <c r="V74" s="8" t="n">
        <f aca="false">SUM(V71:V73)</f>
        <v>2.01666666666667</v>
      </c>
      <c r="W74" s="8" t="n">
        <f aca="false">SUM(W71:W73)</f>
        <v>1.98333333333333</v>
      </c>
      <c r="X74" s="8" t="n">
        <f aca="false">SUM(X71:X73)</f>
        <v>3.09</v>
      </c>
      <c r="Y74" s="8" t="n">
        <f aca="false">SUM(Y71:Y73)</f>
        <v>1.50666666666667</v>
      </c>
      <c r="Z74" s="8" t="n">
        <f aca="false">SUM(Z71:Z73)</f>
        <v>0.473333333333333</v>
      </c>
      <c r="AA74" s="48"/>
      <c r="AC74" s="0" t="s">
        <v>300</v>
      </c>
      <c r="AD74" s="13" t="n">
        <f aca="false">SUMPRODUCT(D71:D73,AD71:AD73)/D74</f>
        <v>8.63229124293258</v>
      </c>
      <c r="AE74" s="13" t="n">
        <f aca="false">D74*AD74/100</f>
        <v>15.4204373333333</v>
      </c>
    </row>
    <row r="75" customFormat="false" ht="15" hidden="false" customHeight="false" outlineLevel="0" collapsed="false">
      <c r="B75" s="0" t="s">
        <v>301</v>
      </c>
      <c r="D75" s="8" t="n">
        <f aca="false">SUM(D68:D73)</f>
        <v>287.758</v>
      </c>
      <c r="E75" s="8" t="n">
        <f aca="false">SUM(E68:E73)</f>
        <v>2.79466666666667</v>
      </c>
      <c r="F75" s="8" t="n">
        <f aca="false">SUM(F68:F73)</f>
        <v>8.058</v>
      </c>
      <c r="G75" s="8" t="n">
        <f aca="false">SUM(G68:G73)</f>
        <v>9.49466666666667</v>
      </c>
      <c r="H75" s="8" t="n">
        <f aca="false">SUM(H68:H73)</f>
        <v>19.6086666666667</v>
      </c>
      <c r="I75" s="8" t="n">
        <f aca="false">SUM(I68:I73)</f>
        <v>21.8106666666667</v>
      </c>
      <c r="J75" s="8" t="n">
        <f aca="false">SUM(J68:J73)</f>
        <v>11.316</v>
      </c>
      <c r="K75" s="8" t="n">
        <f aca="false">SUM(K68:K73)</f>
        <v>28.4633333333333</v>
      </c>
      <c r="L75" s="8" t="n">
        <f aca="false">SUM(L68:L73)</f>
        <v>15.01</v>
      </c>
      <c r="M75" s="8" t="n">
        <f aca="false">SUM(M68:M73)</f>
        <v>5.85666666666667</v>
      </c>
      <c r="N75" s="8" t="n">
        <f aca="false">SUM(N68:N73)</f>
        <v>46.546</v>
      </c>
      <c r="O75" s="8" t="n">
        <f aca="false">SUM(O68:O73)</f>
        <v>16.372</v>
      </c>
      <c r="P75" s="8" t="n">
        <f aca="false">SUM(P68:P73)</f>
        <v>51.3786666666667</v>
      </c>
      <c r="Q75" s="8" t="n">
        <f aca="false">SUM(Q68:Q73)</f>
        <v>9.282</v>
      </c>
      <c r="R75" s="8" t="n">
        <f aca="false">SUM(R68:R73)</f>
        <v>7.538</v>
      </c>
      <c r="S75" s="8" t="n">
        <f aca="false">SUM(S68:S73)</f>
        <v>5.43866666666667</v>
      </c>
      <c r="T75" s="8" t="n">
        <f aca="false">SUM(T68:T73)</f>
        <v>6.008</v>
      </c>
      <c r="U75" s="8" t="n">
        <f aca="false">SUM(U68:U73)</f>
        <v>7.51466666666667</v>
      </c>
      <c r="V75" s="8" t="n">
        <f aca="false">SUM(V68:V73)</f>
        <v>3.10533333333333</v>
      </c>
      <c r="W75" s="8" t="n">
        <f aca="false">SUM(W68:W73)</f>
        <v>3.80133333333333</v>
      </c>
      <c r="X75" s="8" t="n">
        <f aca="false">SUM(X68:X73)</f>
        <v>5.00333333333333</v>
      </c>
      <c r="Y75" s="8" t="n">
        <f aca="false">SUM(Y68:Y73)</f>
        <v>2.314</v>
      </c>
      <c r="Z75" s="8" t="n">
        <f aca="false">SUM(Z68:Z73)</f>
        <v>1.08733333333333</v>
      </c>
      <c r="AA75" s="48"/>
      <c r="AC75" s="0" t="s">
        <v>301</v>
      </c>
      <c r="AD75" s="13" t="n">
        <f aca="false">SUMPRODUCT(D68:D73,AD68:AD73)/D75</f>
        <v>13.0385056424727</v>
      </c>
      <c r="AE75" s="13" t="n">
        <f aca="false">D75*AD75/100</f>
        <v>37.5193430666667</v>
      </c>
    </row>
    <row r="76" customFormat="false" ht="15" hidden="false" customHeight="false" outlineLevel="0" collapsed="false">
      <c r="B76" s="0" t="s">
        <v>302</v>
      </c>
      <c r="D76" s="8" t="n">
        <f aca="false">SUM(D65:D66,D68:D73)</f>
        <v>427.871333333333</v>
      </c>
      <c r="E76" s="8" t="n">
        <f aca="false">SUM(E65:E66,E68:E73)</f>
        <v>4.25133333333333</v>
      </c>
      <c r="F76" s="8" t="n">
        <f aca="false">SUM(F65:F66,F68:F73)</f>
        <v>12.2013333333333</v>
      </c>
      <c r="G76" s="8" t="n">
        <f aca="false">SUM(G65:G66,G68:G73)</f>
        <v>13.5113333333333</v>
      </c>
      <c r="H76" s="8" t="n">
        <f aca="false">SUM(H65:H66,H68:H73)</f>
        <v>30.142</v>
      </c>
      <c r="I76" s="8" t="n">
        <f aca="false">SUM(I65:I66,I68:I73)</f>
        <v>34.0206666666667</v>
      </c>
      <c r="J76" s="8" t="n">
        <f aca="false">SUM(J65:J66,J68:J73)</f>
        <v>17.0793333333333</v>
      </c>
      <c r="K76" s="8" t="n">
        <f aca="false">SUM(K65:K66,K68:K73)</f>
        <v>43.3633333333333</v>
      </c>
      <c r="L76" s="8" t="n">
        <f aca="false">SUM(L65:L66,L68:L73)</f>
        <v>20.4966666666667</v>
      </c>
      <c r="M76" s="8" t="n">
        <f aca="false">SUM(M65:M66,M68:M73)</f>
        <v>8.03</v>
      </c>
      <c r="N76" s="8" t="n">
        <f aca="false">SUM(N65:N66,N68:N73)</f>
        <v>65.2893333333333</v>
      </c>
      <c r="O76" s="8" t="n">
        <f aca="false">SUM(O65:O66,O68:O73)</f>
        <v>25.5953333333333</v>
      </c>
      <c r="P76" s="8" t="n">
        <f aca="false">SUM(P65:P66,P68:P73)</f>
        <v>75.7086666666667</v>
      </c>
      <c r="Q76" s="8" t="n">
        <f aca="false">SUM(Q65:Q66,Q68:Q73)</f>
        <v>13.312</v>
      </c>
      <c r="R76" s="8" t="n">
        <f aca="false">SUM(R65:R66,R68:R73)</f>
        <v>10.4546666666667</v>
      </c>
      <c r="S76" s="8" t="n">
        <f aca="false">SUM(S65:S66,S68:S73)</f>
        <v>7.19533333333333</v>
      </c>
      <c r="T76" s="8" t="n">
        <f aca="false">SUM(T65:T66,T68:T73)</f>
        <v>8.91466666666667</v>
      </c>
      <c r="U76" s="8" t="n">
        <f aca="false">SUM(U65:U66,U68:U73)</f>
        <v>11.498</v>
      </c>
      <c r="V76" s="8" t="n">
        <f aca="false">SUM(V65:V66,V68:V73)</f>
        <v>5.92533333333333</v>
      </c>
      <c r="W76" s="8" t="n">
        <f aca="false">SUM(W65:W66,W68:W73)</f>
        <v>6.578</v>
      </c>
      <c r="X76" s="8" t="n">
        <f aca="false">SUM(X65:X66,X68:X73)</f>
        <v>8.77666666666667</v>
      </c>
      <c r="Y76" s="8" t="n">
        <f aca="false">SUM(Y65:Y66,Y68:Y73)</f>
        <v>3.834</v>
      </c>
      <c r="Z76" s="8" t="n">
        <f aca="false">SUM(Z65:Z66,Z68:Z73)</f>
        <v>1.75066666666667</v>
      </c>
      <c r="AA76" s="48"/>
      <c r="AC76" s="0" t="s">
        <v>302</v>
      </c>
      <c r="AD76" s="13" t="n">
        <f aca="false">(SUMPRODUCT(D65:D66,AD65:AD66)+SUMPRODUCT(D68:D73,AD68:AD73))/D76</f>
        <v>15.4285607043862</v>
      </c>
      <c r="AE76" s="13" t="n">
        <f aca="false">D76*AD76/100</f>
        <v>66.0143884</v>
      </c>
    </row>
    <row r="78" customFormat="false" ht="15" hidden="false" customHeight="false" outlineLevel="0" collapsed="false">
      <c r="B78" s="2" t="s">
        <v>303</v>
      </c>
    </row>
    <row r="79" customFormat="false" ht="15" hidden="false" customHeight="false" outlineLevel="0" collapsed="false">
      <c r="D79" s="0" t="s">
        <v>242</v>
      </c>
      <c r="E79" s="0" t="s">
        <v>243</v>
      </c>
      <c r="F79" s="0" t="s">
        <v>244</v>
      </c>
      <c r="G79" s="0" t="s">
        <v>245</v>
      </c>
      <c r="H79" s="0" t="s">
        <v>246</v>
      </c>
      <c r="I79" s="0" t="s">
        <v>247</v>
      </c>
      <c r="J79" s="0" t="s">
        <v>248</v>
      </c>
      <c r="K79" s="0" t="s">
        <v>249</v>
      </c>
      <c r="L79" s="0" t="s">
        <v>250</v>
      </c>
      <c r="M79" s="0" t="s">
        <v>251</v>
      </c>
      <c r="N79" s="0" t="s">
        <v>252</v>
      </c>
      <c r="O79" s="0" t="s">
        <v>253</v>
      </c>
      <c r="P79" s="0" t="s">
        <v>254</v>
      </c>
      <c r="Q79" s="0" t="s">
        <v>255</v>
      </c>
      <c r="R79" s="0" t="s">
        <v>256</v>
      </c>
      <c r="S79" s="0" t="s">
        <v>257</v>
      </c>
      <c r="T79" s="0" t="s">
        <v>258</v>
      </c>
      <c r="U79" s="0" t="s">
        <v>259</v>
      </c>
      <c r="V79" s="0" t="s">
        <v>260</v>
      </c>
      <c r="W79" s="0" t="s">
        <v>261</v>
      </c>
      <c r="X79" s="0" t="s">
        <v>262</v>
      </c>
      <c r="Y79" s="0" t="s">
        <v>263</v>
      </c>
      <c r="AC79" s="2" t="s">
        <v>290</v>
      </c>
    </row>
    <row r="80" customFormat="false" ht="15" hidden="false" customHeight="false" outlineLevel="0" collapsed="false">
      <c r="B80" s="0" t="s">
        <v>284</v>
      </c>
      <c r="D80" s="35" t="n">
        <v>316238</v>
      </c>
      <c r="E80" s="35" t="n">
        <v>2717.2</v>
      </c>
      <c r="F80" s="35" t="n">
        <v>9318</v>
      </c>
      <c r="G80" s="35" t="n">
        <v>8206.4</v>
      </c>
      <c r="H80" s="35" t="n">
        <v>22933.8</v>
      </c>
      <c r="I80" s="35" t="n">
        <v>27619.8</v>
      </c>
      <c r="J80" s="35" t="n">
        <v>11545.6</v>
      </c>
      <c r="K80" s="35" t="n">
        <v>37903.2</v>
      </c>
      <c r="L80" s="35" t="n">
        <v>14629.4</v>
      </c>
      <c r="M80" s="35" t="n">
        <v>3597.4</v>
      </c>
      <c r="N80" s="35" t="n">
        <v>36976.8</v>
      </c>
      <c r="O80" s="35" t="n">
        <v>24239.8</v>
      </c>
      <c r="P80" s="35" t="n">
        <v>55299</v>
      </c>
      <c r="Q80" s="35" t="n">
        <v>6701.8</v>
      </c>
      <c r="R80" s="35" t="n">
        <v>5795.4</v>
      </c>
      <c r="S80" s="35" t="n">
        <v>3987.8</v>
      </c>
      <c r="T80" s="35" t="n">
        <v>5756</v>
      </c>
      <c r="U80" s="35" t="n">
        <v>8167.8</v>
      </c>
      <c r="V80" s="35" t="n">
        <v>6641.6</v>
      </c>
      <c r="W80" s="35" t="n">
        <v>6628.8</v>
      </c>
      <c r="X80" s="35" t="n">
        <v>12408.8</v>
      </c>
      <c r="Y80" s="35" t="n">
        <v>5163.6</v>
      </c>
      <c r="AC80" s="0" t="s">
        <v>284</v>
      </c>
      <c r="AD80" s="0" t="n">
        <v>17.4</v>
      </c>
    </row>
    <row r="81" customFormat="false" ht="15" hidden="false" customHeight="false" outlineLevel="0" collapsed="false">
      <c r="B81" s="0" t="s">
        <v>286</v>
      </c>
      <c r="D81" s="35" t="n">
        <v>206514</v>
      </c>
      <c r="E81" s="35" t="n">
        <v>3219.4</v>
      </c>
      <c r="F81" s="35" t="n">
        <v>5281</v>
      </c>
      <c r="G81" s="35" t="n">
        <v>6811.2</v>
      </c>
      <c r="H81" s="35" t="n">
        <v>15615.8</v>
      </c>
      <c r="I81" s="35" t="n">
        <v>17393.2</v>
      </c>
      <c r="J81" s="35" t="n">
        <v>10283.8</v>
      </c>
      <c r="K81" s="35" t="n">
        <v>14520</v>
      </c>
      <c r="L81" s="35" t="n">
        <v>5263</v>
      </c>
      <c r="M81" s="35" t="n">
        <v>5621.8</v>
      </c>
      <c r="N81" s="35" t="n">
        <v>37247</v>
      </c>
      <c r="O81" s="35" t="n">
        <v>8272.4</v>
      </c>
      <c r="P81" s="35" t="n">
        <v>34587.6</v>
      </c>
      <c r="Q81" s="35" t="n">
        <v>10191.8</v>
      </c>
      <c r="R81" s="35" t="n">
        <v>5383.4</v>
      </c>
      <c r="S81" s="35" t="n">
        <v>2824.8</v>
      </c>
      <c r="T81" s="35" t="n">
        <v>5603.4</v>
      </c>
      <c r="U81" s="35" t="n">
        <v>6685</v>
      </c>
      <c r="V81" s="35" t="n">
        <v>4109</v>
      </c>
      <c r="W81" s="35" t="n">
        <v>4754.6</v>
      </c>
      <c r="X81" s="35" t="n">
        <v>1753.4</v>
      </c>
      <c r="Y81" s="35" t="n">
        <v>1092.4</v>
      </c>
      <c r="AC81" s="0" t="s">
        <v>286</v>
      </c>
      <c r="AD81" s="0" t="n">
        <v>35.2</v>
      </c>
    </row>
    <row r="82" customFormat="false" ht="15" hidden="false" customHeight="false" outlineLevel="0" collapsed="false">
      <c r="B82" s="0" t="s">
        <v>239</v>
      </c>
      <c r="D82" s="35" t="n">
        <v>467134.4</v>
      </c>
      <c r="E82" s="35" t="n">
        <v>4924.2</v>
      </c>
      <c r="F82" s="35" t="n">
        <v>13111.4</v>
      </c>
      <c r="G82" s="35" t="n">
        <v>14340</v>
      </c>
      <c r="H82" s="35" t="n">
        <v>35147.6</v>
      </c>
      <c r="I82" s="35" t="n">
        <v>39485.2</v>
      </c>
      <c r="J82" s="35" t="n">
        <v>20024.2</v>
      </c>
      <c r="K82" s="35" t="n">
        <v>45730.2</v>
      </c>
      <c r="L82" s="35" t="n">
        <v>18895.2</v>
      </c>
      <c r="M82" s="35" t="n">
        <v>8384.4</v>
      </c>
      <c r="N82" s="35" t="n">
        <v>68011.6</v>
      </c>
      <c r="O82" s="35" t="n">
        <v>28257.6</v>
      </c>
      <c r="P82" s="35" t="n">
        <v>82445.2</v>
      </c>
      <c r="Q82" s="35" t="n">
        <v>14936.4</v>
      </c>
      <c r="R82" s="35" t="n">
        <v>11077.8</v>
      </c>
      <c r="S82" s="35" t="n">
        <v>7205.6</v>
      </c>
      <c r="T82" s="35" t="n">
        <v>9989.6</v>
      </c>
      <c r="U82" s="35" t="n">
        <v>12869.4</v>
      </c>
      <c r="V82" s="35" t="n">
        <v>7652</v>
      </c>
      <c r="W82" s="35" t="n">
        <v>8723.4</v>
      </c>
      <c r="X82" s="35" t="n">
        <v>10820.2</v>
      </c>
      <c r="Y82" s="35" t="n">
        <v>4959.2</v>
      </c>
      <c r="AC82" s="0" t="s">
        <v>239</v>
      </c>
      <c r="AD82" s="0" t="n">
        <v>20.8</v>
      </c>
    </row>
    <row r="83" customFormat="false" ht="15" hidden="false" customHeight="false" outlineLevel="0" collapsed="false">
      <c r="B83" s="0" t="s">
        <v>240</v>
      </c>
      <c r="D83" s="35" t="n">
        <v>493490.2</v>
      </c>
      <c r="E83" s="35" t="n">
        <v>5801.2</v>
      </c>
      <c r="F83" s="35" t="n">
        <v>13280.4</v>
      </c>
      <c r="G83" s="35" t="n">
        <v>14549.8</v>
      </c>
      <c r="H83" s="35" t="n">
        <v>35558.2</v>
      </c>
      <c r="I83" s="35" t="n">
        <v>42702.2</v>
      </c>
      <c r="J83" s="35" t="n">
        <v>21332.4</v>
      </c>
      <c r="K83" s="35" t="n">
        <v>51429</v>
      </c>
      <c r="L83" s="35" t="n">
        <v>21370.4</v>
      </c>
      <c r="M83" s="35" t="n">
        <v>9197.4</v>
      </c>
      <c r="N83" s="35" t="n">
        <v>69973.4</v>
      </c>
      <c r="O83" s="35" t="n">
        <v>27131.6</v>
      </c>
      <c r="P83" s="35" t="n">
        <v>88191.8</v>
      </c>
      <c r="Q83" s="35" t="n">
        <v>17959.4</v>
      </c>
      <c r="R83" s="35" t="n">
        <v>11313.8</v>
      </c>
      <c r="S83" s="35" t="n">
        <v>5906.4</v>
      </c>
      <c r="T83" s="35" t="n">
        <v>9578.2</v>
      </c>
      <c r="U83" s="35" t="n">
        <v>13567</v>
      </c>
      <c r="V83" s="35" t="n">
        <v>8331.2</v>
      </c>
      <c r="W83" s="35" t="n">
        <v>9192.8</v>
      </c>
      <c r="X83" s="35" t="n">
        <v>11901.6</v>
      </c>
      <c r="Y83" s="35" t="n">
        <v>5222</v>
      </c>
      <c r="AC83" s="0" t="s">
        <v>240</v>
      </c>
      <c r="AD83" s="0" t="n">
        <v>19.6</v>
      </c>
    </row>
    <row r="84" customFormat="false" ht="15" hidden="false" customHeight="false" outlineLevel="0" collapsed="false">
      <c r="D84" s="35"/>
      <c r="E84" s="92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92"/>
      <c r="T84" s="92"/>
      <c r="U84" s="92"/>
      <c r="V84" s="92"/>
      <c r="W84" s="92"/>
      <c r="X84" s="92"/>
      <c r="Y84" s="92"/>
    </row>
    <row r="85" customFormat="false" ht="15" hidden="false" customHeight="false" outlineLevel="0" collapsed="false">
      <c r="B85" s="2" t="s">
        <v>304</v>
      </c>
      <c r="D85" s="35"/>
      <c r="E85" s="92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92"/>
      <c r="T85" s="92"/>
      <c r="U85" s="92"/>
      <c r="V85" s="92"/>
      <c r="W85" s="92"/>
      <c r="X85" s="92"/>
      <c r="Y85" s="92"/>
    </row>
    <row r="86" customFormat="false" ht="15" hidden="false" customHeight="false" outlineLevel="0" collapsed="false">
      <c r="D86" s="0" t="s">
        <v>269</v>
      </c>
      <c r="E86" s="0" t="s">
        <v>270</v>
      </c>
      <c r="F86" s="0" t="s">
        <v>271</v>
      </c>
      <c r="G86" s="0" t="s">
        <v>272</v>
      </c>
      <c r="H86" s="0" t="s">
        <v>273</v>
      </c>
      <c r="I86" s="0" t="s">
        <v>274</v>
      </c>
      <c r="J86" s="0" t="s">
        <v>275</v>
      </c>
      <c r="K86" s="0" t="s">
        <v>276</v>
      </c>
      <c r="L86" s="0" t="s">
        <v>277</v>
      </c>
    </row>
    <row r="87" customFormat="false" ht="15" hidden="false" customHeight="false" outlineLevel="0" collapsed="false">
      <c r="B87" s="93" t="s">
        <v>239</v>
      </c>
      <c r="D87" s="94" t="n">
        <v>465343.6</v>
      </c>
      <c r="E87" s="94" t="n">
        <v>32163.8</v>
      </c>
      <c r="F87" s="94" t="n">
        <v>87137</v>
      </c>
      <c r="G87" s="94" t="n">
        <v>160665.2</v>
      </c>
      <c r="H87" s="94" t="n">
        <v>59280.4</v>
      </c>
      <c r="I87" s="94" t="n">
        <v>52508.6</v>
      </c>
      <c r="J87" s="94" t="n">
        <v>27806.6</v>
      </c>
      <c r="K87" s="94" t="n">
        <v>28476.2</v>
      </c>
      <c r="L87" s="94" t="n">
        <v>17305.8</v>
      </c>
    </row>
    <row r="88" customFormat="false" ht="15" hidden="false" customHeight="false" outlineLevel="0" collapsed="false">
      <c r="B88" s="93" t="s">
        <v>305</v>
      </c>
      <c r="D88" s="94" t="n">
        <v>509619</v>
      </c>
      <c r="E88" s="94" t="n">
        <v>35341.2</v>
      </c>
      <c r="F88" s="94" t="n">
        <v>88843.4</v>
      </c>
      <c r="G88" s="94" t="n">
        <v>180449.6</v>
      </c>
      <c r="H88" s="94" t="n">
        <v>60213.6</v>
      </c>
      <c r="I88" s="94" t="n">
        <v>53861.4</v>
      </c>
      <c r="J88" s="94" t="n">
        <v>32377.4</v>
      </c>
      <c r="K88" s="94" t="n">
        <v>35998.6</v>
      </c>
      <c r="L88" s="94" t="n">
        <v>22533.8</v>
      </c>
    </row>
    <row r="89" customFormat="false" ht="15" hidden="false" customHeight="false" outlineLevel="0" collapsed="false">
      <c r="B89" s="93" t="s">
        <v>284</v>
      </c>
      <c r="D89" s="94" t="n">
        <v>313676.8</v>
      </c>
      <c r="E89" s="94" t="n">
        <v>25430.6</v>
      </c>
      <c r="F89" s="94" t="n">
        <v>61340.4</v>
      </c>
      <c r="G89" s="94" t="n">
        <v>101882</v>
      </c>
      <c r="H89" s="94" t="n">
        <v>39782.8</v>
      </c>
      <c r="I89" s="94" t="n">
        <v>29534.4</v>
      </c>
      <c r="J89" s="94" t="n">
        <v>15866.6</v>
      </c>
      <c r="K89" s="94" t="n">
        <v>21667</v>
      </c>
      <c r="L89" s="94" t="n">
        <v>18173</v>
      </c>
    </row>
    <row r="90" customFormat="false" ht="15" hidden="false" customHeight="false" outlineLevel="0" collapsed="false">
      <c r="B90" s="93" t="s">
        <v>286</v>
      </c>
      <c r="D90" s="94" t="n">
        <v>195942.2</v>
      </c>
      <c r="E90" s="94" t="n">
        <v>9910.6</v>
      </c>
      <c r="F90" s="94" t="n">
        <v>27503</v>
      </c>
      <c r="G90" s="94" t="n">
        <v>78567.6</v>
      </c>
      <c r="H90" s="94" t="n">
        <v>20430.8</v>
      </c>
      <c r="I90" s="94" t="n">
        <v>24327</v>
      </c>
      <c r="J90" s="94" t="n">
        <v>16510.8</v>
      </c>
      <c r="K90" s="94" t="n">
        <v>14331.6</v>
      </c>
      <c r="L90" s="94" t="n">
        <v>4360.8</v>
      </c>
    </row>
    <row r="91" customFormat="false" ht="15" hidden="false" customHeight="false" outlineLevel="0" collapsed="false">
      <c r="B91" s="93" t="s">
        <v>240</v>
      </c>
      <c r="D91" s="94" t="n">
        <v>448180.4</v>
      </c>
      <c r="E91" s="94" t="n">
        <v>27090.6</v>
      </c>
      <c r="F91" s="94" t="n">
        <v>82824.2</v>
      </c>
      <c r="G91" s="94" t="n">
        <v>158753.2</v>
      </c>
      <c r="H91" s="94" t="n">
        <v>54943.4</v>
      </c>
      <c r="I91" s="94" t="n">
        <v>49616.6</v>
      </c>
      <c r="J91" s="94" t="n">
        <v>27569</v>
      </c>
      <c r="K91" s="94" t="n">
        <v>28922.2</v>
      </c>
      <c r="L91" s="94" t="n">
        <v>18461.2</v>
      </c>
    </row>
    <row r="92" customFormat="false" ht="15" hidden="false" customHeight="false" outlineLevel="0" collapsed="false">
      <c r="B92" s="93" t="s">
        <v>306</v>
      </c>
      <c r="D92" s="94" t="n">
        <v>1423143</v>
      </c>
      <c r="E92" s="94" t="n">
        <v>94595.6</v>
      </c>
      <c r="F92" s="94" t="n">
        <v>258804.6</v>
      </c>
      <c r="G92" s="94" t="n">
        <v>499868</v>
      </c>
      <c r="H92" s="94" t="n">
        <v>174437.4</v>
      </c>
      <c r="I92" s="94" t="n">
        <v>155986.6</v>
      </c>
      <c r="J92" s="94" t="n">
        <v>87753</v>
      </c>
      <c r="K92" s="94" t="n">
        <v>93397</v>
      </c>
      <c r="L92" s="94" t="n">
        <v>58300.8</v>
      </c>
    </row>
    <row r="94" customFormat="false" ht="15" hidden="false" customHeight="false" outlineLevel="0" collapsed="false">
      <c r="B94" s="0" t="s">
        <v>307</v>
      </c>
    </row>
    <row r="96" customFormat="false" ht="15" hidden="false" customHeight="false" outlineLevel="0" collapsed="false">
      <c r="C96" s="0" t="s">
        <v>302</v>
      </c>
      <c r="F96" s="0" t="s">
        <v>308</v>
      </c>
      <c r="I96" s="0" t="s">
        <v>309</v>
      </c>
    </row>
    <row r="97" customFormat="false" ht="15" hidden="false" customHeight="false" outlineLevel="0" collapsed="false">
      <c r="C97" s="0" t="s">
        <v>48</v>
      </c>
      <c r="D97" s="0" t="s">
        <v>310</v>
      </c>
      <c r="E97" s="0" t="s">
        <v>311</v>
      </c>
      <c r="F97" s="0" t="s">
        <v>48</v>
      </c>
      <c r="G97" s="0" t="s">
        <v>310</v>
      </c>
      <c r="H97" s="0" t="s">
        <v>311</v>
      </c>
      <c r="I97" s="0" t="s">
        <v>48</v>
      </c>
      <c r="J97" s="0" t="s">
        <v>310</v>
      </c>
      <c r="K97" s="0" t="s">
        <v>311</v>
      </c>
    </row>
    <row r="98" customFormat="false" ht="15" hidden="false" customHeight="false" outlineLevel="0" collapsed="false">
      <c r="B98" s="0" t="n">
        <v>2016</v>
      </c>
      <c r="C98" s="0" t="n">
        <v>193657</v>
      </c>
      <c r="D98" s="0" t="n">
        <v>10379</v>
      </c>
      <c r="E98" s="8" t="n">
        <f aca="false">C98/D98</f>
        <v>18.6585412852876</v>
      </c>
      <c r="F98" s="0" t="n">
        <v>67398</v>
      </c>
      <c r="G98" s="0" t="n">
        <v>2191</v>
      </c>
      <c r="H98" s="8" t="n">
        <f aca="false">F98/G98</f>
        <v>30.7612962117754</v>
      </c>
      <c r="I98" s="0" t="n">
        <f aca="false">C98-F98</f>
        <v>126259</v>
      </c>
      <c r="J98" s="0" t="n">
        <f aca="false">D98-G98</f>
        <v>8188</v>
      </c>
      <c r="K98" s="8" t="n">
        <f aca="false">I98/J98</f>
        <v>15.4200048851979</v>
      </c>
    </row>
    <row r="99" customFormat="false" ht="15" hidden="false" customHeight="false" outlineLevel="0" collapsed="false">
      <c r="B99" s="0" t="n">
        <v>2017</v>
      </c>
      <c r="C99" s="0" t="n">
        <v>207620</v>
      </c>
      <c r="D99" s="0" t="n">
        <v>10471</v>
      </c>
      <c r="E99" s="8" t="n">
        <f aca="false">C99/D99</f>
        <v>19.8280966478846</v>
      </c>
      <c r="F99" s="0" t="n">
        <v>70054</v>
      </c>
      <c r="G99" s="0" t="n">
        <v>2210</v>
      </c>
      <c r="H99" s="8" t="n">
        <f aca="false">F99/G99</f>
        <v>31.6986425339367</v>
      </c>
      <c r="I99" s="0" t="n">
        <f aca="false">C99-F99</f>
        <v>137566</v>
      </c>
      <c r="J99" s="0" t="n">
        <f aca="false">D99-G99</f>
        <v>8261</v>
      </c>
      <c r="K99" s="8" t="n">
        <f aca="false">I99/J99</f>
        <v>16.6524633821571</v>
      </c>
    </row>
    <row r="100" customFormat="false" ht="15" hidden="false" customHeight="false" outlineLevel="0" collapsed="false">
      <c r="B100" s="0" t="n">
        <v>2018</v>
      </c>
      <c r="C100" s="0" t="n">
        <v>214257</v>
      </c>
      <c r="D100" s="0" t="n">
        <v>10418</v>
      </c>
      <c r="E100" s="8" t="n">
        <f aca="false">C100/D100</f>
        <v>20.566039546938</v>
      </c>
      <c r="F100" s="0" t="n">
        <v>75021</v>
      </c>
      <c r="G100" s="0" t="n">
        <v>2330</v>
      </c>
      <c r="H100" s="8" t="n">
        <f aca="false">F100/G100</f>
        <v>32.1978540772532</v>
      </c>
      <c r="I100" s="0" t="n">
        <f aca="false">C100-F100</f>
        <v>139236</v>
      </c>
      <c r="J100" s="0" t="n">
        <f aca="false">D100-G100</f>
        <v>8088</v>
      </c>
      <c r="K100" s="8" t="n">
        <f aca="false">I100/J100</f>
        <v>17.2151335311573</v>
      </c>
    </row>
    <row r="101" customFormat="false" ht="15" hidden="false" customHeight="false" outlineLevel="0" collapsed="false">
      <c r="B101" s="0" t="n">
        <v>2019</v>
      </c>
      <c r="C101" s="0" t="n">
        <v>210086</v>
      </c>
      <c r="D101" s="0" t="n">
        <v>10266</v>
      </c>
      <c r="E101" s="8" t="n">
        <f aca="false">C101/D101</f>
        <v>20.4642509253848</v>
      </c>
      <c r="F101" s="0" t="n">
        <v>74796</v>
      </c>
      <c r="G101" s="0" t="n">
        <v>2386</v>
      </c>
      <c r="H101" s="8" t="n">
        <f aca="false">F101/G101</f>
        <v>31.3478625314334</v>
      </c>
      <c r="I101" s="0" t="n">
        <f aca="false">C101-F101</f>
        <v>135290</v>
      </c>
      <c r="J101" s="0" t="n">
        <f aca="false">D101-G101</f>
        <v>7880</v>
      </c>
      <c r="K101" s="8" t="n">
        <f aca="false">I101/J101</f>
        <v>17.1687817258883</v>
      </c>
    </row>
    <row r="102" customFormat="false" ht="15" hidden="false" customHeight="false" outlineLevel="0" collapsed="false">
      <c r="B102" s="0" t="n">
        <v>2020</v>
      </c>
      <c r="C102" s="0" t="n">
        <v>206950</v>
      </c>
      <c r="D102" s="0" t="n">
        <v>10063</v>
      </c>
      <c r="E102" s="8" t="n">
        <f aca="false">C102/D102</f>
        <v>20.565437742224</v>
      </c>
      <c r="F102" s="0" t="n">
        <v>74103</v>
      </c>
      <c r="G102" s="0" t="n">
        <v>2291</v>
      </c>
      <c r="H102" s="8" t="n">
        <f aca="false">F102/G102</f>
        <v>32.3452640768223</v>
      </c>
      <c r="I102" s="0" t="n">
        <f aca="false">C102-F102</f>
        <v>132847</v>
      </c>
      <c r="J102" s="0" t="n">
        <f aca="false">D102-G102</f>
        <v>7772</v>
      </c>
      <c r="K102" s="8" t="n">
        <f aca="false">I102/J102</f>
        <v>17.09302624807</v>
      </c>
    </row>
    <row r="103" customFormat="false" ht="15" hidden="false" customHeight="false" outlineLevel="0" collapsed="false">
      <c r="B103" s="95" t="s">
        <v>312</v>
      </c>
      <c r="C103" s="8" t="n">
        <f aca="false">AVERAGE(C98:C102)</f>
        <v>206514</v>
      </c>
      <c r="D103" s="8" t="n">
        <f aca="false">AVERAGE(D98:D102)</f>
        <v>10319.4</v>
      </c>
      <c r="E103" s="8" t="n">
        <f aca="false">C103/D103</f>
        <v>20.01221001221</v>
      </c>
      <c r="F103" s="8" t="n">
        <f aca="false">AVERAGE(F98:F102)</f>
        <v>72274.4</v>
      </c>
      <c r="G103" s="8" t="n">
        <f aca="false">AVERAGE(G98:G102)</f>
        <v>2281.6</v>
      </c>
      <c r="H103" s="8" t="n">
        <f aca="false">F103/G103</f>
        <v>31.6770687237027</v>
      </c>
      <c r="I103" s="8" t="n">
        <f aca="false">AVERAGE(I98:I102)</f>
        <v>134239.6</v>
      </c>
      <c r="J103" s="8" t="n">
        <f aca="false">AVERAGE(J98:J102)</f>
        <v>8037.8</v>
      </c>
      <c r="K103" s="8" t="n">
        <f aca="false">I103/J103</f>
        <v>16.7010375973525</v>
      </c>
    </row>
    <row r="104" customFormat="false" ht="15" hidden="false" customHeight="false" outlineLevel="0" collapsed="false">
      <c r="D104" s="95" t="s">
        <v>313</v>
      </c>
      <c r="E104" s="96" t="n">
        <f aca="false">1/E103</f>
        <v>0.0499694935936547</v>
      </c>
      <c r="H104" s="96" t="n">
        <f aca="false">1/H103</f>
        <v>0.0315685775322936</v>
      </c>
      <c r="K104" s="96" t="n">
        <f aca="false">1/K103</f>
        <v>0.0598765192983293</v>
      </c>
    </row>
  </sheetData>
  <conditionalFormatting sqref="L48:AG49 L52:T53">
    <cfRule type="colorScale" priority="2">
      <colorScale>
        <cfvo type="num" val="-0.25"/>
        <cfvo type="num" val="0"/>
        <cfvo type="num" val="0.25"/>
        <color rgb="FFF8696B"/>
        <color rgb="FFFCFCFF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2:AR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F68" activeCellId="0" sqref="AF68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26.86"/>
    <col collapsed="false" customWidth="true" hidden="false" outlineLevel="0" max="3" min="3" style="0" width="6.86"/>
    <col collapsed="false" customWidth="true" hidden="false" outlineLevel="0" max="4" min="4" style="0" width="7.57"/>
    <col collapsed="false" customWidth="true" hidden="false" outlineLevel="0" max="6" min="5" style="0" width="6.71"/>
    <col collapsed="false" customWidth="true" hidden="false" outlineLevel="0" max="10" min="7" style="0" width="7.28"/>
    <col collapsed="false" customWidth="true" hidden="false" outlineLevel="0" max="11" min="11" style="0" width="6.71"/>
    <col collapsed="false" customWidth="true" hidden="false" outlineLevel="0" max="15" min="12" style="0" width="7.15"/>
    <col collapsed="false" customWidth="true" hidden="false" outlineLevel="0" max="16" min="16" style="0" width="6.71"/>
    <col collapsed="false" customWidth="true" hidden="false" outlineLevel="0" max="17" min="17" style="0" width="7.72"/>
    <col collapsed="false" customWidth="true" hidden="false" outlineLevel="0" max="18" min="18" style="0" width="7.15"/>
    <col collapsed="false" customWidth="true" hidden="false" outlineLevel="0" max="19" min="19" style="0" width="8"/>
    <col collapsed="false" customWidth="true" hidden="false" outlineLevel="0" max="20" min="20" style="0" width="7.57"/>
    <col collapsed="false" customWidth="true" hidden="false" outlineLevel="0" max="21" min="21" style="0" width="8"/>
    <col collapsed="false" customWidth="true" hidden="false" outlineLevel="0" max="22" min="22" style="0" width="7.43"/>
    <col collapsed="false" customWidth="true" hidden="false" outlineLevel="0" max="23" min="23" style="0" width="7.28"/>
    <col collapsed="false" customWidth="true" hidden="false" outlineLevel="0" max="24" min="24" style="0" width="7.43"/>
    <col collapsed="false" customWidth="true" hidden="false" outlineLevel="0" max="25" min="25" style="0" width="9.86"/>
    <col collapsed="false" customWidth="true" hidden="false" outlineLevel="0" max="29" min="29" style="0" width="9.14"/>
    <col collapsed="false" customWidth="true" hidden="false" outlineLevel="0" max="30" min="30" style="0" width="7.28"/>
  </cols>
  <sheetData>
    <row r="2" customFormat="false" ht="15" hidden="false" customHeight="true" outlineLevel="0" collapsed="false">
      <c r="B2" s="97" t="s">
        <v>314</v>
      </c>
      <c r="C2" s="98"/>
      <c r="D2" s="98" t="s">
        <v>315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9"/>
      <c r="Y2" s="97" t="s">
        <v>316</v>
      </c>
      <c r="Z2" s="99"/>
      <c r="AA2" s="97" t="s">
        <v>317</v>
      </c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1"/>
      <c r="AR2" s="102"/>
    </row>
    <row r="3" customFormat="false" ht="22.5" hidden="false" customHeight="true" outlineLevel="0" collapsed="false">
      <c r="B3" s="103" t="s">
        <v>318</v>
      </c>
      <c r="C3" s="104"/>
      <c r="D3" s="105" t="s">
        <v>319</v>
      </c>
      <c r="E3" s="106"/>
      <c r="F3" s="106"/>
      <c r="G3" s="106"/>
      <c r="H3" s="106"/>
      <c r="I3" s="106"/>
      <c r="J3" s="106"/>
      <c r="K3" s="106"/>
      <c r="L3" s="106"/>
      <c r="M3" s="105" t="s">
        <v>320</v>
      </c>
      <c r="N3" s="106"/>
      <c r="O3" s="106"/>
      <c r="P3" s="106"/>
      <c r="Q3" s="106"/>
      <c r="R3" s="106"/>
      <c r="S3" s="105" t="s">
        <v>321</v>
      </c>
      <c r="T3" s="106"/>
      <c r="U3" s="106"/>
      <c r="V3" s="106"/>
      <c r="W3" s="106"/>
      <c r="X3" s="107"/>
      <c r="Y3" s="108" t="s">
        <v>322</v>
      </c>
      <c r="Z3" s="109"/>
      <c r="AA3" s="108" t="s">
        <v>323</v>
      </c>
      <c r="AB3" s="106"/>
      <c r="AC3" s="106"/>
      <c r="AD3" s="110" t="s">
        <v>324</v>
      </c>
      <c r="AE3" s="111" t="s">
        <v>325</v>
      </c>
      <c r="AF3" s="110" t="s">
        <v>326</v>
      </c>
      <c r="AG3" s="111" t="s">
        <v>327</v>
      </c>
      <c r="AH3" s="110" t="s">
        <v>328</v>
      </c>
      <c r="AI3" s="111" t="s">
        <v>329</v>
      </c>
      <c r="AJ3" s="110" t="s">
        <v>330</v>
      </c>
      <c r="AK3" s="111" t="s">
        <v>331</v>
      </c>
      <c r="AL3" s="110" t="s">
        <v>332</v>
      </c>
      <c r="AM3" s="111" t="s">
        <v>333</v>
      </c>
      <c r="AN3" s="110" t="s">
        <v>334</v>
      </c>
      <c r="AO3" s="111" t="s">
        <v>335</v>
      </c>
      <c r="AP3" s="110" t="s">
        <v>336</v>
      </c>
      <c r="AQ3" s="112" t="s">
        <v>337</v>
      </c>
      <c r="AR3" s="113" t="s">
        <v>338</v>
      </c>
    </row>
    <row r="4" customFormat="false" ht="22.5" hidden="false" customHeight="true" outlineLevel="0" collapsed="false">
      <c r="B4" s="114"/>
      <c r="C4" s="106"/>
      <c r="D4" s="115" t="s">
        <v>339</v>
      </c>
      <c r="E4" s="115"/>
      <c r="F4" s="115"/>
      <c r="G4" s="116" t="s">
        <v>340</v>
      </c>
      <c r="H4" s="116"/>
      <c r="I4" s="116"/>
      <c r="J4" s="115" t="s">
        <v>341</v>
      </c>
      <c r="K4" s="115"/>
      <c r="L4" s="115"/>
      <c r="M4" s="116" t="s">
        <v>342</v>
      </c>
      <c r="N4" s="116"/>
      <c r="O4" s="116"/>
      <c r="P4" s="115" t="s">
        <v>343</v>
      </c>
      <c r="Q4" s="115"/>
      <c r="R4" s="115"/>
      <c r="S4" s="116" t="s">
        <v>344</v>
      </c>
      <c r="T4" s="116"/>
      <c r="U4" s="116"/>
      <c r="V4" s="115" t="s">
        <v>345</v>
      </c>
      <c r="W4" s="115"/>
      <c r="X4" s="117"/>
      <c r="Y4" s="118" t="s">
        <v>346</v>
      </c>
      <c r="Z4" s="117" t="s">
        <v>346</v>
      </c>
      <c r="AA4" s="114"/>
      <c r="AB4" s="106"/>
      <c r="AC4" s="106"/>
      <c r="AD4" s="110"/>
      <c r="AE4" s="111"/>
      <c r="AF4" s="110"/>
      <c r="AG4" s="111"/>
      <c r="AH4" s="110"/>
      <c r="AI4" s="111"/>
      <c r="AJ4" s="110"/>
      <c r="AK4" s="111"/>
      <c r="AL4" s="110"/>
      <c r="AM4" s="111"/>
      <c r="AN4" s="110"/>
      <c r="AO4" s="111"/>
      <c r="AP4" s="110"/>
      <c r="AQ4" s="112"/>
      <c r="AR4" s="113"/>
    </row>
    <row r="5" customFormat="false" ht="18.75" hidden="false" customHeight="true" outlineLevel="0" collapsed="false">
      <c r="B5" s="119" t="s">
        <v>347</v>
      </c>
      <c r="C5" s="120" t="s">
        <v>348</v>
      </c>
      <c r="D5" s="115" t="s">
        <v>349</v>
      </c>
      <c r="E5" s="115" t="s">
        <v>350</v>
      </c>
      <c r="F5" s="115" t="s">
        <v>351</v>
      </c>
      <c r="G5" s="116" t="s">
        <v>349</v>
      </c>
      <c r="H5" s="116" t="s">
        <v>350</v>
      </c>
      <c r="I5" s="116" t="s">
        <v>351</v>
      </c>
      <c r="J5" s="115" t="s">
        <v>349</v>
      </c>
      <c r="K5" s="115" t="s">
        <v>350</v>
      </c>
      <c r="L5" s="115" t="s">
        <v>351</v>
      </c>
      <c r="M5" s="116" t="s">
        <v>349</v>
      </c>
      <c r="N5" s="116" t="s">
        <v>350</v>
      </c>
      <c r="O5" s="116" t="s">
        <v>351</v>
      </c>
      <c r="P5" s="115" t="s">
        <v>349</v>
      </c>
      <c r="Q5" s="115" t="s">
        <v>350</v>
      </c>
      <c r="R5" s="115" t="s">
        <v>351</v>
      </c>
      <c r="S5" s="116" t="s">
        <v>349</v>
      </c>
      <c r="T5" s="116" t="s">
        <v>350</v>
      </c>
      <c r="U5" s="116" t="s">
        <v>351</v>
      </c>
      <c r="V5" s="115" t="s">
        <v>349</v>
      </c>
      <c r="W5" s="115" t="s">
        <v>350</v>
      </c>
      <c r="X5" s="117" t="s">
        <v>351</v>
      </c>
      <c r="Y5" s="118" t="s">
        <v>352</v>
      </c>
      <c r="Z5" s="117" t="s">
        <v>353</v>
      </c>
      <c r="AA5" s="114"/>
      <c r="AB5" s="106"/>
      <c r="AC5" s="106"/>
      <c r="AD5" s="110"/>
      <c r="AE5" s="111"/>
      <c r="AF5" s="110"/>
      <c r="AG5" s="111"/>
      <c r="AH5" s="110"/>
      <c r="AI5" s="111"/>
      <c r="AJ5" s="110"/>
      <c r="AK5" s="111"/>
      <c r="AL5" s="110"/>
      <c r="AM5" s="111"/>
      <c r="AN5" s="110"/>
      <c r="AO5" s="111"/>
      <c r="AP5" s="110"/>
      <c r="AQ5" s="112"/>
      <c r="AR5" s="113" t="s">
        <v>354</v>
      </c>
    </row>
    <row r="6" customFormat="false" ht="15" hidden="false" customHeight="true" outlineLevel="0" collapsed="false">
      <c r="B6" s="114" t="s">
        <v>355</v>
      </c>
      <c r="C6" s="121" t="n">
        <v>1</v>
      </c>
      <c r="D6" s="116"/>
      <c r="E6" s="116"/>
      <c r="F6" s="116"/>
      <c r="G6" s="122" t="n">
        <v>1229</v>
      </c>
      <c r="H6" s="122"/>
      <c r="I6" s="122" t="n">
        <v>1329</v>
      </c>
      <c r="J6" s="116"/>
      <c r="K6" s="116"/>
      <c r="L6" s="116"/>
      <c r="M6" s="122" t="n">
        <v>2119</v>
      </c>
      <c r="N6" s="122"/>
      <c r="O6" s="122" t="n">
        <v>2130</v>
      </c>
      <c r="P6" s="116"/>
      <c r="Q6" s="116"/>
      <c r="R6" s="116"/>
      <c r="S6" s="122"/>
      <c r="T6" s="122"/>
      <c r="U6" s="122"/>
      <c r="V6" s="116"/>
      <c r="W6" s="116"/>
      <c r="X6" s="123"/>
      <c r="Y6" s="124" t="n">
        <v>2973.75</v>
      </c>
      <c r="Z6" s="125" t="n">
        <v>1619.55</v>
      </c>
      <c r="AA6" s="114" t="s">
        <v>356</v>
      </c>
      <c r="AB6" s="106"/>
      <c r="AC6" s="106"/>
      <c r="AD6" s="126" t="n">
        <v>330888.666666667</v>
      </c>
      <c r="AE6" s="127" t="n">
        <v>134305.600785775</v>
      </c>
      <c r="AF6" s="126" t="n">
        <v>161884.476946818</v>
      </c>
      <c r="AG6" s="127" t="n">
        <v>195238.333333333</v>
      </c>
      <c r="AH6" s="126" t="n">
        <v>18420.3857438305</v>
      </c>
      <c r="AI6" s="127" t="n">
        <v>143245.777279565</v>
      </c>
      <c r="AJ6" s="126" t="n">
        <v>175831.902857496</v>
      </c>
      <c r="AK6" s="127" t="n">
        <v>55410.6795117479</v>
      </c>
      <c r="AL6" s="126" t="n">
        <v>93814.3633671766</v>
      </c>
      <c r="AM6" s="127" t="n">
        <v>85881.7714209691</v>
      </c>
      <c r="AN6" s="126" t="n">
        <v>36635.9039101794</v>
      </c>
      <c r="AO6" s="127" t="n">
        <v>22798.7255823421</v>
      </c>
      <c r="AP6" s="126" t="n">
        <v>35985.7459274338</v>
      </c>
      <c r="AQ6" s="128"/>
      <c r="AR6" s="129"/>
    </row>
    <row r="7" customFormat="false" ht="15" hidden="false" customHeight="false" outlineLevel="0" collapsed="false">
      <c r="B7" s="114" t="s">
        <v>357</v>
      </c>
      <c r="C7" s="121" t="n">
        <v>1</v>
      </c>
      <c r="D7" s="116"/>
      <c r="E7" s="116"/>
      <c r="F7" s="116"/>
      <c r="G7" s="122"/>
      <c r="H7" s="122"/>
      <c r="I7" s="122"/>
      <c r="J7" s="116"/>
      <c r="K7" s="116"/>
      <c r="L7" s="116"/>
      <c r="M7" s="122"/>
      <c r="N7" s="122"/>
      <c r="O7" s="122"/>
      <c r="P7" s="116" t="n">
        <v>2663</v>
      </c>
      <c r="Q7" s="116" t="n">
        <v>2561</v>
      </c>
      <c r="R7" s="116" t="n">
        <v>2690</v>
      </c>
      <c r="S7" s="122" t="n">
        <v>2568</v>
      </c>
      <c r="T7" s="122" t="n">
        <v>2502</v>
      </c>
      <c r="U7" s="122" t="n">
        <v>2401</v>
      </c>
      <c r="V7" s="116" t="n">
        <v>2506</v>
      </c>
      <c r="W7" s="116" t="n">
        <v>2459</v>
      </c>
      <c r="X7" s="123" t="n">
        <v>2431</v>
      </c>
      <c r="Y7" s="124" t="n">
        <v>711.5</v>
      </c>
      <c r="Z7" s="125" t="n">
        <v>751.15</v>
      </c>
      <c r="AA7" s="114" t="s">
        <v>358</v>
      </c>
      <c r="AB7" s="106"/>
      <c r="AC7" s="106"/>
      <c r="AD7" s="130" t="s">
        <v>359</v>
      </c>
      <c r="AE7" s="131" t="s">
        <v>360</v>
      </c>
      <c r="AF7" s="130" t="s">
        <v>361</v>
      </c>
      <c r="AG7" s="131" t="s">
        <v>359</v>
      </c>
      <c r="AH7" s="130" t="s">
        <v>362</v>
      </c>
      <c r="AI7" s="131" t="s">
        <v>360</v>
      </c>
      <c r="AJ7" s="130" t="s">
        <v>360</v>
      </c>
      <c r="AK7" s="131" t="s">
        <v>363</v>
      </c>
      <c r="AL7" s="130" t="s">
        <v>364</v>
      </c>
      <c r="AM7" s="131" t="s">
        <v>365</v>
      </c>
      <c r="AN7" s="130" t="s">
        <v>363</v>
      </c>
      <c r="AO7" s="131" t="s">
        <v>363</v>
      </c>
      <c r="AP7" s="130" t="s">
        <v>366</v>
      </c>
      <c r="AQ7" s="128"/>
      <c r="AR7" s="129"/>
    </row>
    <row r="8" customFormat="false" ht="15" hidden="false" customHeight="false" outlineLevel="0" collapsed="false">
      <c r="B8" s="114" t="s">
        <v>367</v>
      </c>
      <c r="C8" s="121" t="n">
        <v>1</v>
      </c>
      <c r="D8" s="116" t="n">
        <v>659</v>
      </c>
      <c r="E8" s="116" t="n">
        <v>1254</v>
      </c>
      <c r="F8" s="116" t="n">
        <v>770</v>
      </c>
      <c r="G8" s="122"/>
      <c r="H8" s="122"/>
      <c r="I8" s="122"/>
      <c r="J8" s="116"/>
      <c r="K8" s="116" t="n">
        <v>1235</v>
      </c>
      <c r="L8" s="116"/>
      <c r="M8" s="122"/>
      <c r="N8" s="122"/>
      <c r="O8" s="122"/>
      <c r="P8" s="116"/>
      <c r="Q8" s="116"/>
      <c r="R8" s="116"/>
      <c r="S8" s="122"/>
      <c r="T8" s="122"/>
      <c r="U8" s="122"/>
      <c r="V8" s="116"/>
      <c r="W8" s="116"/>
      <c r="X8" s="123"/>
      <c r="Y8" s="132"/>
      <c r="Z8" s="123"/>
      <c r="AA8" s="114"/>
      <c r="AB8" s="106"/>
      <c r="AC8" s="106"/>
      <c r="AD8" s="130"/>
      <c r="AE8" s="131"/>
      <c r="AF8" s="130"/>
      <c r="AG8" s="131"/>
      <c r="AH8" s="130"/>
      <c r="AI8" s="131"/>
      <c r="AJ8" s="130"/>
      <c r="AK8" s="131"/>
      <c r="AL8" s="130"/>
      <c r="AM8" s="131"/>
      <c r="AN8" s="130"/>
      <c r="AO8" s="131"/>
      <c r="AP8" s="130"/>
      <c r="AQ8" s="128"/>
      <c r="AR8" s="129"/>
    </row>
    <row r="9" customFormat="false" ht="15" hidden="false" customHeight="false" outlineLevel="0" collapsed="false">
      <c r="B9" s="114" t="s">
        <v>368</v>
      </c>
      <c r="C9" s="121" t="n">
        <v>1</v>
      </c>
      <c r="D9" s="116"/>
      <c r="E9" s="116"/>
      <c r="F9" s="116"/>
      <c r="G9" s="122"/>
      <c r="H9" s="122" t="n">
        <v>1165</v>
      </c>
      <c r="I9" s="122"/>
      <c r="J9" s="116"/>
      <c r="K9" s="116"/>
      <c r="L9" s="116"/>
      <c r="M9" s="122"/>
      <c r="N9" s="122" t="n">
        <v>1868</v>
      </c>
      <c r="O9" s="122"/>
      <c r="P9" s="116"/>
      <c r="Q9" s="116"/>
      <c r="R9" s="116"/>
      <c r="S9" s="122"/>
      <c r="T9" s="122"/>
      <c r="U9" s="122"/>
      <c r="V9" s="116"/>
      <c r="W9" s="116"/>
      <c r="X9" s="123"/>
      <c r="Y9" s="132"/>
      <c r="Z9" s="123"/>
      <c r="AA9" s="119" t="s">
        <v>347</v>
      </c>
      <c r="AB9" s="106"/>
      <c r="AC9" s="120" t="s">
        <v>348</v>
      </c>
      <c r="AD9" s="126"/>
      <c r="AE9" s="127"/>
      <c r="AF9" s="126"/>
      <c r="AG9" s="127"/>
      <c r="AH9" s="126"/>
      <c r="AI9" s="127"/>
      <c r="AJ9" s="126"/>
      <c r="AK9" s="127"/>
      <c r="AL9" s="126"/>
      <c r="AM9" s="127"/>
      <c r="AN9" s="126"/>
      <c r="AO9" s="127"/>
      <c r="AP9" s="126"/>
      <c r="AQ9" s="128"/>
      <c r="AR9" s="129"/>
    </row>
    <row r="10" customFormat="false" ht="15" hidden="false" customHeight="false" outlineLevel="0" collapsed="false">
      <c r="B10" s="114" t="s">
        <v>369</v>
      </c>
      <c r="C10" s="121" t="n">
        <v>1</v>
      </c>
      <c r="D10" s="116"/>
      <c r="E10" s="116"/>
      <c r="F10" s="116"/>
      <c r="G10" s="122"/>
      <c r="H10" s="122" t="n">
        <v>272</v>
      </c>
      <c r="I10" s="122"/>
      <c r="J10" s="116"/>
      <c r="K10" s="116"/>
      <c r="L10" s="116"/>
      <c r="M10" s="122"/>
      <c r="N10" s="122" t="n">
        <v>436</v>
      </c>
      <c r="O10" s="122"/>
      <c r="P10" s="116"/>
      <c r="Q10" s="116"/>
      <c r="R10" s="116"/>
      <c r="S10" s="122"/>
      <c r="T10" s="122"/>
      <c r="U10" s="122"/>
      <c r="V10" s="116"/>
      <c r="W10" s="116"/>
      <c r="X10" s="123"/>
      <c r="Y10" s="132"/>
      <c r="Z10" s="125" t="n">
        <v>1250.5</v>
      </c>
      <c r="AA10" s="114" t="s">
        <v>370</v>
      </c>
      <c r="AB10" s="106"/>
      <c r="AC10" s="121" t="n">
        <v>1</v>
      </c>
      <c r="AD10" s="126" t="n">
        <v>3312</v>
      </c>
      <c r="AE10" s="127" t="n">
        <v>1200</v>
      </c>
      <c r="AF10" s="126" t="n">
        <v>1574</v>
      </c>
      <c r="AG10" s="127" t="n">
        <v>786.48686181535</v>
      </c>
      <c r="AH10" s="126" t="n">
        <v>262.690984405952</v>
      </c>
      <c r="AI10" s="127" t="n">
        <v>806.858374841279</v>
      </c>
      <c r="AJ10" s="126" t="n">
        <v>826.643759332256</v>
      </c>
      <c r="AK10" s="127" t="n">
        <v>613.65524823426</v>
      </c>
      <c r="AL10" s="126" t="n">
        <v>1049.64830681629</v>
      </c>
      <c r="AM10" s="127" t="n">
        <v>579.640563654823</v>
      </c>
      <c r="AN10" s="126" t="n">
        <v>1672.50649055184</v>
      </c>
      <c r="AO10" s="127" t="n">
        <v>1390.53746046009</v>
      </c>
      <c r="AP10" s="126" t="n">
        <v>1039.65524823426</v>
      </c>
      <c r="AQ10" s="133" t="n">
        <f aca="false">(AE10*AE$6+AI10*AI$6+AH10*AH$6)/SUM(AE$6,AH$6,AI$6)</f>
        <v>951.390232776844</v>
      </c>
      <c r="AR10" s="134" t="n">
        <f aca="false">AJ10</f>
        <v>826.643759332256</v>
      </c>
    </row>
    <row r="11" customFormat="false" ht="16.4" hidden="false" customHeight="false" outlineLevel="0" collapsed="false">
      <c r="B11" s="114" t="s">
        <v>371</v>
      </c>
      <c r="C11" s="121" t="n">
        <v>1</v>
      </c>
      <c r="D11" s="116" t="n">
        <v>977</v>
      </c>
      <c r="E11" s="116"/>
      <c r="F11" s="116" t="n">
        <v>970</v>
      </c>
      <c r="G11" s="122"/>
      <c r="H11" s="122"/>
      <c r="I11" s="122"/>
      <c r="J11" s="116" t="n">
        <v>1536</v>
      </c>
      <c r="K11" s="116"/>
      <c r="L11" s="116" t="n">
        <v>1614</v>
      </c>
      <c r="M11" s="122"/>
      <c r="N11" s="122"/>
      <c r="O11" s="122"/>
      <c r="P11" s="116"/>
      <c r="Q11" s="116"/>
      <c r="R11" s="116"/>
      <c r="S11" s="122"/>
      <c r="T11" s="122"/>
      <c r="U11" s="122"/>
      <c r="V11" s="116"/>
      <c r="W11" s="116"/>
      <c r="X11" s="123"/>
      <c r="Y11" s="132"/>
      <c r="Z11" s="123"/>
      <c r="AA11" s="114" t="s">
        <v>372</v>
      </c>
      <c r="AB11" s="106"/>
      <c r="AC11" s="121" t="n">
        <v>1</v>
      </c>
      <c r="AD11" s="126"/>
      <c r="AE11" s="127"/>
      <c r="AF11" s="126" t="n">
        <v>426</v>
      </c>
      <c r="AG11" s="127" t="n">
        <v>707</v>
      </c>
      <c r="AH11" s="126"/>
      <c r="AI11" s="127"/>
      <c r="AJ11" s="126"/>
      <c r="AK11" s="127" t="n">
        <v>426</v>
      </c>
      <c r="AL11" s="126"/>
      <c r="AM11" s="127"/>
      <c r="AN11" s="126"/>
      <c r="AO11" s="127"/>
      <c r="AP11" s="126"/>
      <c r="AQ11" s="133"/>
      <c r="AR11" s="134"/>
    </row>
    <row r="12" customFormat="false" ht="16.4" hidden="false" customHeight="false" outlineLevel="0" collapsed="false">
      <c r="B12" s="114" t="s">
        <v>373</v>
      </c>
      <c r="C12" s="121" t="n">
        <v>0.85</v>
      </c>
      <c r="D12" s="116"/>
      <c r="E12" s="116" t="n">
        <v>299</v>
      </c>
      <c r="F12" s="116"/>
      <c r="G12" s="122"/>
      <c r="H12" s="122"/>
      <c r="I12" s="122"/>
      <c r="J12" s="116"/>
      <c r="K12" s="116" t="n">
        <v>139</v>
      </c>
      <c r="L12" s="116"/>
      <c r="M12" s="122"/>
      <c r="N12" s="122"/>
      <c r="O12" s="122"/>
      <c r="P12" s="116"/>
      <c r="Q12" s="116"/>
      <c r="R12" s="116"/>
      <c r="S12" s="122"/>
      <c r="T12" s="122"/>
      <c r="U12" s="122"/>
      <c r="V12" s="116"/>
      <c r="W12" s="116"/>
      <c r="X12" s="123"/>
      <c r="Y12" s="124" t="n">
        <v>244</v>
      </c>
      <c r="Z12" s="125" t="n">
        <v>244</v>
      </c>
      <c r="AA12" s="114" t="s">
        <v>374</v>
      </c>
      <c r="AB12" s="106"/>
      <c r="AC12" s="121" t="n">
        <v>1</v>
      </c>
      <c r="AD12" s="126" t="n">
        <v>543</v>
      </c>
      <c r="AE12" s="127"/>
      <c r="AF12" s="126"/>
      <c r="AG12" s="127"/>
      <c r="AH12" s="126"/>
      <c r="AI12" s="127"/>
      <c r="AJ12" s="126"/>
      <c r="AK12" s="127"/>
      <c r="AL12" s="126"/>
      <c r="AM12" s="127"/>
      <c r="AN12" s="126"/>
      <c r="AO12" s="127"/>
      <c r="AP12" s="126"/>
      <c r="AQ12" s="133"/>
      <c r="AR12" s="134"/>
    </row>
    <row r="13" customFormat="false" ht="15" hidden="false" customHeight="false" outlineLevel="0" collapsed="false">
      <c r="B13" s="114" t="s">
        <v>375</v>
      </c>
      <c r="C13" s="121" t="n">
        <v>1</v>
      </c>
      <c r="D13" s="116" t="n">
        <v>1953</v>
      </c>
      <c r="E13" s="116" t="n">
        <v>2053</v>
      </c>
      <c r="F13" s="116" t="n">
        <v>1806</v>
      </c>
      <c r="G13" s="122"/>
      <c r="H13" s="122"/>
      <c r="I13" s="122"/>
      <c r="J13" s="116" t="n">
        <v>1313</v>
      </c>
      <c r="K13" s="116" t="n">
        <v>1390</v>
      </c>
      <c r="L13" s="116" t="n">
        <v>1235</v>
      </c>
      <c r="M13" s="122"/>
      <c r="N13" s="122"/>
      <c r="O13" s="122"/>
      <c r="P13" s="116" t="n">
        <v>1548</v>
      </c>
      <c r="Q13" s="116" t="n">
        <v>1662</v>
      </c>
      <c r="R13" s="116" t="n">
        <v>1548</v>
      </c>
      <c r="S13" s="122" t="n">
        <v>932</v>
      </c>
      <c r="T13" s="122" t="n">
        <v>995</v>
      </c>
      <c r="U13" s="122" t="n">
        <v>951</v>
      </c>
      <c r="V13" s="116" t="n">
        <v>926</v>
      </c>
      <c r="W13" s="116" t="n">
        <v>978</v>
      </c>
      <c r="X13" s="123" t="n">
        <v>924</v>
      </c>
      <c r="Y13" s="132"/>
      <c r="Z13" s="123"/>
      <c r="AA13" s="114" t="s">
        <v>376</v>
      </c>
      <c r="AB13" s="106"/>
      <c r="AC13" s="121" t="n">
        <v>0.85</v>
      </c>
      <c r="AD13" s="126"/>
      <c r="AE13" s="127"/>
      <c r="AF13" s="126"/>
      <c r="AG13" s="127" t="n">
        <v>236.678555986137</v>
      </c>
      <c r="AH13" s="126"/>
      <c r="AI13" s="127"/>
      <c r="AJ13" s="126"/>
      <c r="AK13" s="127"/>
      <c r="AL13" s="126"/>
      <c r="AM13" s="127"/>
      <c r="AN13" s="126"/>
      <c r="AO13" s="127"/>
      <c r="AP13" s="126"/>
      <c r="AQ13" s="133"/>
      <c r="AR13" s="134"/>
    </row>
    <row r="14" customFormat="false" ht="15" hidden="false" customHeight="false" outlineLevel="0" collapsed="false">
      <c r="B14" s="114" t="s">
        <v>377</v>
      </c>
      <c r="C14" s="121" t="n">
        <v>1</v>
      </c>
      <c r="D14" s="116" t="n">
        <v>345</v>
      </c>
      <c r="E14" s="116" t="n">
        <v>362</v>
      </c>
      <c r="F14" s="116" t="n">
        <v>319</v>
      </c>
      <c r="G14" s="122"/>
      <c r="H14" s="122"/>
      <c r="I14" s="122"/>
      <c r="J14" s="116" t="n">
        <v>232</v>
      </c>
      <c r="K14" s="116" t="n">
        <v>245</v>
      </c>
      <c r="L14" s="116" t="n">
        <v>218</v>
      </c>
      <c r="M14" s="122"/>
      <c r="N14" s="122"/>
      <c r="O14" s="122"/>
      <c r="P14" s="116" t="n">
        <v>273</v>
      </c>
      <c r="Q14" s="116" t="n">
        <v>293</v>
      </c>
      <c r="R14" s="116" t="n">
        <v>273</v>
      </c>
      <c r="S14" s="122" t="n">
        <v>165</v>
      </c>
      <c r="T14" s="122" t="n">
        <v>176</v>
      </c>
      <c r="U14" s="122" t="n">
        <v>168</v>
      </c>
      <c r="V14" s="116" t="n">
        <v>163</v>
      </c>
      <c r="W14" s="116" t="n">
        <v>173</v>
      </c>
      <c r="X14" s="123" t="n">
        <v>163</v>
      </c>
      <c r="Y14" s="132" t="n">
        <v>783</v>
      </c>
      <c r="Z14" s="123" t="n">
        <v>783</v>
      </c>
      <c r="AA14" s="114" t="s">
        <v>378</v>
      </c>
      <c r="AB14" s="106"/>
      <c r="AC14" s="121" t="n">
        <v>1</v>
      </c>
      <c r="AD14" s="126" t="n">
        <v>417.5</v>
      </c>
      <c r="AE14" s="127" t="n">
        <v>250</v>
      </c>
      <c r="AF14" s="126" t="n">
        <v>700</v>
      </c>
      <c r="AG14" s="127" t="n">
        <v>2089.91868675472</v>
      </c>
      <c r="AH14" s="126"/>
      <c r="AI14" s="127" t="n">
        <v>148.256720312041</v>
      </c>
      <c r="AJ14" s="126" t="n">
        <v>315.826382633111</v>
      </c>
      <c r="AK14" s="127" t="n">
        <v>1270.24890336371</v>
      </c>
      <c r="AL14" s="126"/>
      <c r="AM14" s="127" t="n">
        <v>0</v>
      </c>
      <c r="AN14" s="126" t="n">
        <v>2115.90771189805</v>
      </c>
      <c r="AO14" s="127" t="n">
        <v>1860.8262874502</v>
      </c>
      <c r="AP14" s="126" t="n">
        <v>1391.30373569368</v>
      </c>
      <c r="AQ14" s="133" t="n">
        <f aca="false">(AE14*AE$6+AI14*AI$6+AH14*AH$6)/SUM(AE$6,AH$6,AI$6)</f>
        <v>185.198576475702</v>
      </c>
      <c r="AR14" s="134" t="n">
        <f aca="false">AJ14</f>
        <v>315.826382633111</v>
      </c>
    </row>
    <row r="15" customFormat="false" ht="15" hidden="false" customHeight="false" outlineLevel="0" collapsed="false">
      <c r="B15" s="114" t="s">
        <v>379</v>
      </c>
      <c r="C15" s="121" t="n">
        <v>0.86</v>
      </c>
      <c r="D15" s="116"/>
      <c r="E15" s="116"/>
      <c r="F15" s="116"/>
      <c r="G15" s="122" t="n">
        <v>861</v>
      </c>
      <c r="H15" s="122" t="n">
        <v>654</v>
      </c>
      <c r="I15" s="122"/>
      <c r="J15" s="116"/>
      <c r="K15" s="116"/>
      <c r="L15" s="116"/>
      <c r="M15" s="122" t="n">
        <v>1084</v>
      </c>
      <c r="N15" s="122" t="n">
        <v>1014</v>
      </c>
      <c r="O15" s="122"/>
      <c r="P15" s="116" t="n">
        <v>188</v>
      </c>
      <c r="Q15" s="116" t="n">
        <v>184</v>
      </c>
      <c r="R15" s="116"/>
      <c r="S15" s="122"/>
      <c r="T15" s="122"/>
      <c r="U15" s="122"/>
      <c r="V15" s="116"/>
      <c r="W15" s="116"/>
      <c r="X15" s="123"/>
      <c r="Y15" s="124" t="n">
        <f aca="false">2180.75-(Y17*U58*C17/C15)</f>
        <v>1824.24231442692</v>
      </c>
      <c r="Z15" s="125" t="n">
        <f aca="false">1516-(Y17*U58*C17/C15)</f>
        <v>1159.49231442692</v>
      </c>
      <c r="AA15" s="114" t="s">
        <v>380</v>
      </c>
      <c r="AB15" s="106"/>
      <c r="AC15" s="121" t="n">
        <v>0.86</v>
      </c>
      <c r="AD15" s="126" t="n">
        <v>1280.5</v>
      </c>
      <c r="AE15" s="127" t="n">
        <v>250</v>
      </c>
      <c r="AF15" s="126" t="n">
        <v>50</v>
      </c>
      <c r="AG15" s="127" t="n">
        <v>40</v>
      </c>
      <c r="AH15" s="126" t="n">
        <v>544.724129681822</v>
      </c>
      <c r="AI15" s="127" t="n">
        <v>470.026574628223</v>
      </c>
      <c r="AJ15" s="126" t="n">
        <v>352.212146026084</v>
      </c>
      <c r="AK15" s="127"/>
      <c r="AL15" s="126" t="n">
        <v>761.893222306519</v>
      </c>
      <c r="AM15" s="127" t="n">
        <v>665.024068905998</v>
      </c>
      <c r="AN15" s="126" t="n">
        <v>54.6115320908004</v>
      </c>
      <c r="AO15" s="127" t="n">
        <v>304.942425539492</v>
      </c>
      <c r="AP15" s="126" t="n">
        <v>0</v>
      </c>
      <c r="AQ15" s="133" t="n">
        <f aca="false">(AE15*AE$6+AI15*AI$6+AH15*AH$6)/SUM(AE$6,AH$6,AI$6)</f>
        <v>374.83221164758</v>
      </c>
      <c r="AR15" s="134" t="n">
        <f aca="false">AJ15</f>
        <v>352.212146026084</v>
      </c>
    </row>
    <row r="16" customFormat="false" ht="15" hidden="false" customHeight="false" outlineLevel="0" collapsed="false">
      <c r="B16" s="114" t="s">
        <v>381</v>
      </c>
      <c r="C16" s="121" t="n">
        <v>0.85</v>
      </c>
      <c r="D16" s="116"/>
      <c r="E16" s="116"/>
      <c r="F16" s="116"/>
      <c r="G16" s="122" t="n">
        <v>68</v>
      </c>
      <c r="H16" s="122" t="n">
        <v>78</v>
      </c>
      <c r="I16" s="122"/>
      <c r="J16" s="116"/>
      <c r="K16" s="116"/>
      <c r="L16" s="116"/>
      <c r="M16" s="122" t="n">
        <v>124</v>
      </c>
      <c r="N16" s="122" t="n">
        <v>32</v>
      </c>
      <c r="O16" s="122"/>
      <c r="P16" s="116" t="n">
        <v>4</v>
      </c>
      <c r="Q16" s="116" t="n">
        <v>3</v>
      </c>
      <c r="R16" s="116"/>
      <c r="S16" s="122"/>
      <c r="T16" s="122"/>
      <c r="U16" s="122"/>
      <c r="V16" s="116"/>
      <c r="W16" s="116"/>
      <c r="X16" s="123"/>
      <c r="Y16" s="132"/>
      <c r="Z16" s="123"/>
      <c r="AA16" s="114" t="s">
        <v>382</v>
      </c>
      <c r="AB16" s="106"/>
      <c r="AC16" s="121" t="n">
        <v>0.9</v>
      </c>
      <c r="AD16" s="126" t="n">
        <v>1350.5</v>
      </c>
      <c r="AE16" s="127"/>
      <c r="AF16" s="126"/>
      <c r="AG16" s="127"/>
      <c r="AH16" s="126" t="n">
        <v>151.882738776977</v>
      </c>
      <c r="AI16" s="127" t="n">
        <v>76.1654882292582</v>
      </c>
      <c r="AJ16" s="126" t="n">
        <v>76.6428353369303</v>
      </c>
      <c r="AK16" s="127"/>
      <c r="AL16" s="126"/>
      <c r="AM16" s="127" t="n">
        <v>70.2588603063266</v>
      </c>
      <c r="AN16" s="126" t="n">
        <v>0</v>
      </c>
      <c r="AO16" s="127" t="n">
        <v>0</v>
      </c>
      <c r="AP16" s="126" t="n">
        <v>0</v>
      </c>
      <c r="AQ16" s="133" t="n">
        <f aca="false">(AE16*AE$6+AI16*AI$6+AH16*AH$6)/SUM(AE$6,AH$6,AI$6)</f>
        <v>46.3156451918077</v>
      </c>
      <c r="AR16" s="134" t="n">
        <f aca="false">AJ16</f>
        <v>76.6428353369303</v>
      </c>
    </row>
    <row r="17" customFormat="false" ht="15" hidden="false" customHeight="false" outlineLevel="0" collapsed="false">
      <c r="B17" s="114" t="s">
        <v>383</v>
      </c>
      <c r="C17" s="121" t="n">
        <v>0.9</v>
      </c>
      <c r="D17" s="116"/>
      <c r="E17" s="116"/>
      <c r="F17" s="116"/>
      <c r="G17" s="122"/>
      <c r="H17" s="122"/>
      <c r="I17" s="122" t="n">
        <v>991</v>
      </c>
      <c r="J17" s="116"/>
      <c r="K17" s="116"/>
      <c r="L17" s="116"/>
      <c r="M17" s="122" t="n">
        <v>80</v>
      </c>
      <c r="N17" s="122" t="n">
        <v>79</v>
      </c>
      <c r="O17" s="122" t="n">
        <v>1279</v>
      </c>
      <c r="P17" s="116" t="n">
        <v>119</v>
      </c>
      <c r="Q17" s="116" t="n">
        <v>119</v>
      </c>
      <c r="R17" s="116" t="n">
        <v>294</v>
      </c>
      <c r="S17" s="122"/>
      <c r="T17" s="122"/>
      <c r="U17" s="122"/>
      <c r="V17" s="116"/>
      <c r="W17" s="116"/>
      <c r="X17" s="123"/>
      <c r="Y17" s="124" t="n">
        <f aca="false">1244*(1+U58)</f>
        <v>1522.37139394654</v>
      </c>
      <c r="Z17" s="125" t="n">
        <f aca="false">1966*(1+U58)</f>
        <v>2405.93421261969</v>
      </c>
      <c r="AA17" s="114" t="s">
        <v>384</v>
      </c>
      <c r="AB17" s="106"/>
      <c r="AC17" s="121" t="n">
        <v>0.9</v>
      </c>
      <c r="AD17" s="126"/>
      <c r="AE17" s="127" t="n">
        <v>14</v>
      </c>
      <c r="AF17" s="126"/>
      <c r="AG17" s="127"/>
      <c r="AH17" s="126" t="n">
        <v>13.5075892857143</v>
      </c>
      <c r="AI17" s="127" t="n">
        <v>13.5752249333313</v>
      </c>
      <c r="AJ17" s="126"/>
      <c r="AK17" s="127"/>
      <c r="AL17" s="126"/>
      <c r="AM17" s="127"/>
      <c r="AN17" s="126"/>
      <c r="AO17" s="127"/>
      <c r="AP17" s="126"/>
      <c r="AQ17" s="133" t="n">
        <f aca="false">(AE17*AE$6+AI17*AI$6+AH17*AH$6)/SUM(AE$6,AH$6,AI$6)</f>
        <v>13.7637692562438</v>
      </c>
      <c r="AR17" s="134"/>
    </row>
    <row r="18" customFormat="false" ht="15" hidden="false" customHeight="false" outlineLevel="0" collapsed="false">
      <c r="B18" s="114" t="s">
        <v>385</v>
      </c>
      <c r="C18" s="121" t="n">
        <v>1</v>
      </c>
      <c r="D18" s="116" t="n">
        <v>34</v>
      </c>
      <c r="E18" s="116" t="n">
        <v>34</v>
      </c>
      <c r="F18" s="116" t="n">
        <v>34</v>
      </c>
      <c r="G18" s="122" t="n">
        <v>12</v>
      </c>
      <c r="H18" s="122" t="n">
        <v>12</v>
      </c>
      <c r="I18" s="122" t="n">
        <v>14</v>
      </c>
      <c r="J18" s="116" t="n">
        <v>33</v>
      </c>
      <c r="K18" s="116" t="n">
        <v>33</v>
      </c>
      <c r="L18" s="116" t="n">
        <v>33</v>
      </c>
      <c r="M18" s="122" t="n">
        <v>22</v>
      </c>
      <c r="N18" s="122" t="n">
        <v>22</v>
      </c>
      <c r="O18" s="122" t="n">
        <v>21</v>
      </c>
      <c r="P18" s="116" t="n">
        <v>35</v>
      </c>
      <c r="Q18" s="116" t="n">
        <v>35</v>
      </c>
      <c r="R18" s="116" t="n">
        <v>35</v>
      </c>
      <c r="S18" s="122" t="n">
        <v>26</v>
      </c>
      <c r="T18" s="122" t="n">
        <v>26</v>
      </c>
      <c r="U18" s="122" t="n">
        <v>24</v>
      </c>
      <c r="V18" s="116" t="n">
        <v>26</v>
      </c>
      <c r="W18" s="116" t="n">
        <v>26</v>
      </c>
      <c r="X18" s="123" t="n">
        <v>26</v>
      </c>
      <c r="Y18" s="135" t="n">
        <f aca="false">SUM(Y7:Y17)*0.01</f>
        <v>50.8511370837346</v>
      </c>
      <c r="Z18" s="136" t="n">
        <f aca="false">SUM(Z7:Z17)*0.01</f>
        <v>65.940765270466</v>
      </c>
      <c r="AA18" s="137" t="s">
        <v>386</v>
      </c>
      <c r="AB18" s="106"/>
      <c r="AC18" s="121" t="n">
        <v>1</v>
      </c>
      <c r="AD18" s="126"/>
      <c r="AE18" s="127"/>
      <c r="AF18" s="126"/>
      <c r="AG18" s="127"/>
      <c r="AH18" s="126"/>
      <c r="AI18" s="127"/>
      <c r="AJ18" s="126"/>
      <c r="AK18" s="127"/>
      <c r="AL18" s="126"/>
      <c r="AM18" s="127"/>
      <c r="AN18" s="126"/>
      <c r="AO18" s="127"/>
      <c r="AP18" s="126"/>
      <c r="AQ18" s="138" t="n">
        <f aca="false">SUM(AQ10:AQ17)*0.006</f>
        <v>9.42900261208907</v>
      </c>
      <c r="AR18" s="139" t="n">
        <f aca="false">SUM(AR10:AR17)*0.006</f>
        <v>9.42795073997029</v>
      </c>
    </row>
    <row r="19" customFormat="false" ht="15" hidden="false" customHeight="false" outlineLevel="0" collapsed="false">
      <c r="B19" s="114"/>
      <c r="C19" s="121"/>
      <c r="D19" s="116"/>
      <c r="E19" s="116"/>
      <c r="F19" s="116"/>
      <c r="G19" s="122"/>
      <c r="H19" s="122"/>
      <c r="I19" s="122"/>
      <c r="J19" s="116"/>
      <c r="K19" s="116"/>
      <c r="L19" s="116"/>
      <c r="M19" s="122"/>
      <c r="N19" s="122"/>
      <c r="O19" s="122"/>
      <c r="P19" s="116"/>
      <c r="Q19" s="116"/>
      <c r="R19" s="116"/>
      <c r="S19" s="122"/>
      <c r="T19" s="122"/>
      <c r="U19" s="122"/>
      <c r="V19" s="116"/>
      <c r="W19" s="116"/>
      <c r="X19" s="123"/>
      <c r="Y19" s="132"/>
      <c r="Z19" s="123"/>
      <c r="AA19" s="114" t="s">
        <v>387</v>
      </c>
      <c r="AB19" s="106"/>
      <c r="AC19" s="140" t="n">
        <v>0.95</v>
      </c>
      <c r="AD19" s="126"/>
      <c r="AE19" s="127" t="n">
        <v>40</v>
      </c>
      <c r="AF19" s="126"/>
      <c r="AG19" s="127"/>
      <c r="AH19" s="126" t="n">
        <v>39.8522222222222</v>
      </c>
      <c r="AI19" s="127" t="n">
        <v>39.8778664780795</v>
      </c>
      <c r="AJ19" s="126"/>
      <c r="AK19" s="127"/>
      <c r="AL19" s="126"/>
      <c r="AM19" s="127"/>
      <c r="AN19" s="126"/>
      <c r="AO19" s="127"/>
      <c r="AP19" s="126"/>
      <c r="AQ19" s="133" t="n">
        <f aca="false">(AE19*AE$6+AI19*AI$6+AH19*AH$6)/SUM(AE$6,AH$6,AI$6)</f>
        <v>39.9316920145009</v>
      </c>
      <c r="AR19" s="134"/>
    </row>
    <row r="20" customFormat="false" ht="15" hidden="false" customHeight="false" outlineLevel="0" collapsed="false">
      <c r="B20" s="141" t="s">
        <v>302</v>
      </c>
      <c r="C20" s="142"/>
      <c r="D20" s="143" t="n">
        <f aca="false">SUM(D6:D18)</f>
        <v>3968</v>
      </c>
      <c r="E20" s="143" t="n">
        <f aca="false">SUM(E6:E18)</f>
        <v>4002</v>
      </c>
      <c r="F20" s="143" t="n">
        <f aca="false">SUM(F6:F18)</f>
        <v>3899</v>
      </c>
      <c r="G20" s="144" t="n">
        <f aca="false">SUM(G6:G18)</f>
        <v>2170</v>
      </c>
      <c r="H20" s="144" t="n">
        <f aca="false">SUM(H6:H18)</f>
        <v>2181</v>
      </c>
      <c r="I20" s="144" t="n">
        <f aca="false">SUM(I6:I18)</f>
        <v>2334</v>
      </c>
      <c r="J20" s="143" t="n">
        <f aca="false">SUM(J6:J18)</f>
        <v>3114</v>
      </c>
      <c r="K20" s="143" t="n">
        <f aca="false">SUM(K6:K18)</f>
        <v>3042</v>
      </c>
      <c r="L20" s="143" t="n">
        <f aca="false">SUM(L6:L18)</f>
        <v>3100</v>
      </c>
      <c r="M20" s="144" t="n">
        <f aca="false">SUM(M6:M18)</f>
        <v>3429</v>
      </c>
      <c r="N20" s="144" t="n">
        <f aca="false">SUM(N6:N18)</f>
        <v>3451</v>
      </c>
      <c r="O20" s="144" t="n">
        <f aca="false">SUM(O6:O18)</f>
        <v>3430</v>
      </c>
      <c r="P20" s="143" t="n">
        <f aca="false">SUM(P6:P18)</f>
        <v>4830</v>
      </c>
      <c r="Q20" s="143" t="n">
        <f aca="false">SUM(Q6:Q18)</f>
        <v>4857</v>
      </c>
      <c r="R20" s="143" t="n">
        <f aca="false">SUM(R6:R18)</f>
        <v>4840</v>
      </c>
      <c r="S20" s="144" t="n">
        <f aca="false">SUM(S6:S18)</f>
        <v>3691</v>
      </c>
      <c r="T20" s="144" t="n">
        <f aca="false">SUM(T6:T18)</f>
        <v>3699</v>
      </c>
      <c r="U20" s="144" t="n">
        <f aca="false">SUM(U6:U18)</f>
        <v>3544</v>
      </c>
      <c r="V20" s="143" t="n">
        <f aca="false">SUM(V6:V18)</f>
        <v>3621</v>
      </c>
      <c r="W20" s="143" t="n">
        <f aca="false">SUM(W6:W18)</f>
        <v>3636</v>
      </c>
      <c r="X20" s="145" t="n">
        <f aca="false">SUM(X6:X18)</f>
        <v>3544</v>
      </c>
      <c r="Y20" s="146" t="n">
        <f aca="false">SUM(Y6:Y18)</f>
        <v>8109.71484545719</v>
      </c>
      <c r="Z20" s="145" t="n">
        <f aca="false">SUM(Z6:Z18)</f>
        <v>8279.56729231707</v>
      </c>
      <c r="AA20" s="114" t="s">
        <v>388</v>
      </c>
      <c r="AB20" s="106"/>
      <c r="AC20" s="140" t="n">
        <v>0.13</v>
      </c>
      <c r="AD20" s="126"/>
      <c r="AE20" s="127"/>
      <c r="AF20" s="126"/>
      <c r="AG20" s="127"/>
      <c r="AH20" s="126"/>
      <c r="AI20" s="127"/>
      <c r="AJ20" s="126" t="n">
        <v>1874.98517050207</v>
      </c>
      <c r="AK20" s="127"/>
      <c r="AL20" s="126"/>
      <c r="AM20" s="127"/>
      <c r="AN20" s="126"/>
      <c r="AO20" s="127"/>
      <c r="AP20" s="126"/>
      <c r="AQ20" s="133"/>
      <c r="AR20" s="134" t="n">
        <f aca="false">AJ20</f>
        <v>1874.98517050207</v>
      </c>
    </row>
    <row r="21" customFormat="false" ht="15" hidden="false" customHeight="false" outlineLevel="0" collapsed="false"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AA21" s="141" t="s">
        <v>389</v>
      </c>
      <c r="AB21" s="147"/>
      <c r="AC21" s="147"/>
      <c r="AD21" s="148" t="n">
        <f aca="false">SUM(AD10:AD17)</f>
        <v>6903.5</v>
      </c>
      <c r="AE21" s="149" t="n">
        <f aca="false">SUM(AE10:AE17)</f>
        <v>1714</v>
      </c>
      <c r="AF21" s="148" t="n">
        <f aca="false">SUM(AF10:AF17)</f>
        <v>2750</v>
      </c>
      <c r="AG21" s="149" t="n">
        <f aca="false">SUM(AG10:AG17)</f>
        <v>3860.0841045562</v>
      </c>
      <c r="AH21" s="148" t="n">
        <f aca="false">SUM(AH10:AH17)</f>
        <v>972.805442150465</v>
      </c>
      <c r="AI21" s="149" t="n">
        <f aca="false">SUM(AI10:AI17)</f>
        <v>1514.88238294413</v>
      </c>
      <c r="AJ21" s="148" t="n">
        <f aca="false">SUM(AJ10:AJ17)</f>
        <v>1571.32512332838</v>
      </c>
      <c r="AK21" s="149" t="n">
        <f aca="false">SUM(AK10:AK17)</f>
        <v>2309.90415159797</v>
      </c>
      <c r="AL21" s="148" t="n">
        <f aca="false">SUM(AL10:AL17)</f>
        <v>1811.54152912281</v>
      </c>
      <c r="AM21" s="149" t="n">
        <f aca="false">SUM(AM10:AM17)</f>
        <v>1314.92349286715</v>
      </c>
      <c r="AN21" s="148" t="n">
        <f aca="false">SUM(AN10:AN17)</f>
        <v>3843.02573454069</v>
      </c>
      <c r="AO21" s="149" t="n">
        <f aca="false">SUM(AO10:AO17)</f>
        <v>3556.30617344978</v>
      </c>
      <c r="AP21" s="148" t="n">
        <f aca="false">SUM(AP10:AP17)</f>
        <v>2430.95898392794</v>
      </c>
      <c r="AQ21" s="150" t="n">
        <f aca="false">SUM(AQ10:AQ17)</f>
        <v>1571.50043534818</v>
      </c>
      <c r="AR21" s="151" t="n">
        <f aca="false">SUM(AR10:AR17)</f>
        <v>1571.32512332838</v>
      </c>
    </row>
    <row r="22" customFormat="false" ht="15" hidden="false" customHeight="false" outlineLevel="0" collapsed="false">
      <c r="B22" s="152" t="s">
        <v>390</v>
      </c>
      <c r="C22" s="152"/>
      <c r="D22" s="153" t="n">
        <v>103131</v>
      </c>
      <c r="E22" s="153" t="n">
        <v>40386</v>
      </c>
      <c r="F22" s="153" t="n">
        <v>21929</v>
      </c>
      <c r="G22" s="154"/>
      <c r="H22" s="154"/>
      <c r="I22" s="154"/>
      <c r="J22" s="154"/>
      <c r="K22" s="154"/>
      <c r="L22" s="155" t="s">
        <v>391</v>
      </c>
      <c r="M22" s="156"/>
      <c r="N22" s="156"/>
      <c r="O22" s="156"/>
      <c r="P22" s="156"/>
      <c r="Q22" s="156"/>
      <c r="R22" s="156"/>
      <c r="S22" s="156"/>
      <c r="T22" s="156"/>
      <c r="U22" s="157"/>
      <c r="V22" s="157"/>
      <c r="W22" s="157"/>
      <c r="X22" s="152"/>
      <c r="Y22" s="154"/>
    </row>
    <row r="23" customFormat="false" ht="15" hidden="false" customHeight="false" outlineLevel="0" collapsed="false">
      <c r="B23" s="152" t="s">
        <v>392</v>
      </c>
      <c r="C23" s="152"/>
      <c r="D23" s="153" t="n">
        <v>87632</v>
      </c>
      <c r="E23" s="153" t="n">
        <v>21961</v>
      </c>
      <c r="F23" s="153" t="n">
        <v>15238</v>
      </c>
      <c r="G23" s="154"/>
      <c r="H23" s="154"/>
      <c r="I23" s="154"/>
      <c r="J23" s="154"/>
      <c r="K23" s="154"/>
      <c r="L23" s="152"/>
      <c r="M23" s="152"/>
      <c r="N23" s="152"/>
      <c r="O23" s="152"/>
      <c r="P23" s="152"/>
      <c r="Q23" s="158" t="s">
        <v>393</v>
      </c>
      <c r="R23" s="158" t="s">
        <v>394</v>
      </c>
      <c r="S23" s="158" t="s">
        <v>395</v>
      </c>
      <c r="T23" s="159" t="s">
        <v>15</v>
      </c>
      <c r="U23" s="159"/>
      <c r="V23" s="159" t="s">
        <v>396</v>
      </c>
      <c r="W23" s="159"/>
      <c r="X23" s="160" t="s">
        <v>397</v>
      </c>
      <c r="Y23" s="154"/>
      <c r="Z23" s="155" t="s">
        <v>317</v>
      </c>
      <c r="AA23" s="161"/>
      <c r="AB23" s="161"/>
      <c r="AC23" s="161"/>
      <c r="AD23" s="152"/>
      <c r="AE23" s="152"/>
      <c r="AF23" s="152"/>
      <c r="AG23" s="152"/>
      <c r="AH23" s="152"/>
    </row>
    <row r="24" customFormat="false" ht="15" hidden="false" customHeight="false" outlineLevel="0" collapsed="false">
      <c r="L24" s="152"/>
      <c r="M24" s="152"/>
      <c r="N24" s="152"/>
      <c r="O24" s="152"/>
      <c r="P24" s="162" t="s">
        <v>348</v>
      </c>
      <c r="Q24" s="158"/>
      <c r="R24" s="158"/>
      <c r="S24" s="158"/>
      <c r="T24" s="163" t="s">
        <v>348</v>
      </c>
      <c r="U24" s="163" t="s">
        <v>136</v>
      </c>
      <c r="V24" s="163" t="s">
        <v>348</v>
      </c>
      <c r="W24" s="163" t="s">
        <v>136</v>
      </c>
      <c r="X24" s="160" t="s">
        <v>398</v>
      </c>
      <c r="Z24" s="155" t="s">
        <v>399</v>
      </c>
      <c r="AA24" s="152"/>
      <c r="AB24" s="152"/>
      <c r="AC24" s="160" t="s">
        <v>15</v>
      </c>
      <c r="AD24" s="160" t="s">
        <v>397</v>
      </c>
      <c r="AE24" s="164" t="s">
        <v>396</v>
      </c>
      <c r="AF24" s="164" t="s">
        <v>397</v>
      </c>
      <c r="AG24" s="160" t="s">
        <v>302</v>
      </c>
      <c r="AH24" s="160" t="s">
        <v>398</v>
      </c>
    </row>
    <row r="25" customFormat="false" ht="15" hidden="false" customHeight="false" outlineLevel="0" collapsed="false">
      <c r="B25" s="155" t="s">
        <v>400</v>
      </c>
      <c r="C25" s="155"/>
      <c r="D25" s="161" t="s">
        <v>401</v>
      </c>
      <c r="E25" s="152"/>
      <c r="F25" s="152"/>
      <c r="G25" s="152"/>
      <c r="H25" s="152"/>
      <c r="I25" s="152"/>
      <c r="J25" s="152"/>
      <c r="L25" s="152" t="s">
        <v>142</v>
      </c>
      <c r="M25" s="152"/>
      <c r="N25" s="152"/>
      <c r="O25" s="152"/>
      <c r="P25" s="165" t="n">
        <v>0.86</v>
      </c>
      <c r="Q25" s="166" t="n">
        <v>84300.8</v>
      </c>
      <c r="R25" s="166" t="n">
        <v>2279</v>
      </c>
      <c r="S25" s="166" t="n">
        <f aca="false">SUM(Q25:R25)</f>
        <v>86579.8</v>
      </c>
      <c r="T25" s="167" t="n">
        <f aca="false">S25*X25*P25</f>
        <v>46200.2290281421</v>
      </c>
      <c r="U25" s="168" t="n">
        <f aca="false">T25/SUM(T$25:T$55)</f>
        <v>0.0776009836121871</v>
      </c>
      <c r="V25" s="167" t="n">
        <f aca="false">S25*(1-X25)*P25</f>
        <v>28258.3989718579</v>
      </c>
      <c r="W25" s="168" t="n">
        <f aca="false">V25/SUM(V$25:V$55)</f>
        <v>0.258951678251615</v>
      </c>
      <c r="X25" s="169" t="n">
        <f aca="false">$AH$26</f>
        <v>0.62048187388226</v>
      </c>
      <c r="Z25" s="161" t="s">
        <v>402</v>
      </c>
      <c r="AA25" s="152"/>
      <c r="AB25" s="152"/>
      <c r="AC25" s="170" t="n">
        <f aca="false">SUM(AC26:AC29)</f>
        <v>332329.998707676</v>
      </c>
      <c r="AD25" s="171" t="n">
        <f aca="false">AC25/(AC$25+AC$31)</f>
        <v>0.861211454322618</v>
      </c>
      <c r="AE25" s="172" t="n">
        <f aca="false">SUM(AE26:AE29)</f>
        <v>203269.851499612</v>
      </c>
      <c r="AF25" s="173" t="n">
        <f aca="false">AE25/(AE$25+AE$31)</f>
        <v>0.980554143604554</v>
      </c>
      <c r="AG25" s="170" t="n">
        <f aca="false">SUM(AG26:AG29)</f>
        <v>535599.850207288</v>
      </c>
      <c r="AH25" s="174"/>
    </row>
    <row r="26" customFormat="false" ht="15" hidden="false" customHeight="false" outlineLevel="0" collapsed="false">
      <c r="B26" s="155" t="s">
        <v>403</v>
      </c>
      <c r="C26" s="155"/>
      <c r="D26" s="160"/>
      <c r="E26" s="160" t="s">
        <v>348</v>
      </c>
      <c r="F26" s="164"/>
      <c r="G26" s="164" t="s">
        <v>348</v>
      </c>
      <c r="H26" s="160"/>
      <c r="I26" s="160" t="s">
        <v>397</v>
      </c>
      <c r="J26" s="164" t="s">
        <v>404</v>
      </c>
      <c r="L26" s="152" t="s">
        <v>405</v>
      </c>
      <c r="M26" s="152"/>
      <c r="N26" s="152"/>
      <c r="O26" s="152"/>
      <c r="P26" s="165" t="n">
        <v>0.86</v>
      </c>
      <c r="Q26" s="166" t="n">
        <v>92367.8</v>
      </c>
      <c r="R26" s="166" t="n">
        <v>1785</v>
      </c>
      <c r="S26" s="166" t="n">
        <f aca="false">SUM(Q26:R26)</f>
        <v>94152.8</v>
      </c>
      <c r="T26" s="167" t="n">
        <f aca="false">S26*X26*P26</f>
        <v>50241.290966725</v>
      </c>
      <c r="U26" s="168" t="n">
        <f aca="false">T26/SUM(T$25:T$55)</f>
        <v>0.0843886205540037</v>
      </c>
      <c r="V26" s="167" t="n">
        <f aca="false">S26*(1-X26)*P26</f>
        <v>30730.117033275</v>
      </c>
      <c r="W26" s="168" t="n">
        <f aca="false">V26/SUM(V$25:V$55)</f>
        <v>0.281601777459507</v>
      </c>
      <c r="X26" s="169" t="n">
        <f aca="false">$AH$26</f>
        <v>0.62048187388226</v>
      </c>
      <c r="Z26" s="152" t="s">
        <v>406</v>
      </c>
      <c r="AA26" s="152"/>
      <c r="AB26" s="152"/>
      <c r="AC26" s="166" t="n">
        <f aca="false">AG26*AH26</f>
        <v>77812.6221556905</v>
      </c>
      <c r="AD26" s="175" t="n">
        <f aca="false">AC26/SUM(AC$26:AC$29)</f>
        <v>0.234142636711337</v>
      </c>
      <c r="AE26" s="167" t="n">
        <f aca="false">AG26-AC26</f>
        <v>47594.1389940412</v>
      </c>
      <c r="AF26" s="168" t="n">
        <f aca="false">AE26/SUM(AE$26:AE$29)</f>
        <v>0.234142636711337</v>
      </c>
      <c r="AG26" s="166" t="n">
        <v>125406.761149732</v>
      </c>
      <c r="AH26" s="176" t="n">
        <v>0.62048187388226</v>
      </c>
    </row>
    <row r="27" customFormat="false" ht="15" hidden="false" customHeight="false" outlineLevel="0" collapsed="false">
      <c r="B27" s="161" t="s">
        <v>407</v>
      </c>
      <c r="C27" s="162" t="s">
        <v>348</v>
      </c>
      <c r="D27" s="160" t="s">
        <v>15</v>
      </c>
      <c r="E27" s="160" t="s">
        <v>397</v>
      </c>
      <c r="F27" s="164" t="s">
        <v>396</v>
      </c>
      <c r="G27" s="164" t="s">
        <v>397</v>
      </c>
      <c r="H27" s="160" t="s">
        <v>302</v>
      </c>
      <c r="I27" s="160" t="s">
        <v>398</v>
      </c>
      <c r="J27" s="164" t="s">
        <v>408</v>
      </c>
      <c r="L27" s="152" t="s">
        <v>409</v>
      </c>
      <c r="M27" s="152"/>
      <c r="N27" s="152"/>
      <c r="O27" s="152"/>
      <c r="P27" s="165" t="n">
        <v>0.86</v>
      </c>
      <c r="Q27" s="166" t="n">
        <v>31831.5</v>
      </c>
      <c r="R27" s="166" t="n">
        <v>0</v>
      </c>
      <c r="S27" s="166" t="n">
        <f aca="false">SUM(Q27:R27)</f>
        <v>31831.5</v>
      </c>
      <c r="T27" s="167" t="n">
        <f aca="false">S27*X27*P27</f>
        <v>16985.7471408955</v>
      </c>
      <c r="U27" s="168" t="n">
        <f aca="false">T27/SUM(T$25:T$55)</f>
        <v>0.0285303928843834</v>
      </c>
      <c r="V27" s="167" t="n">
        <f aca="false">S27*(1-X27)*P27</f>
        <v>10389.3428591045</v>
      </c>
      <c r="W27" s="168" t="n">
        <f aca="false">V27/SUM(V$25:V$55)</f>
        <v>0.0952048901275618</v>
      </c>
      <c r="X27" s="169" t="n">
        <f aca="false">$AH$26</f>
        <v>0.62048187388226</v>
      </c>
      <c r="Z27" s="152" t="s">
        <v>410</v>
      </c>
      <c r="AA27" s="152"/>
      <c r="AB27" s="152"/>
      <c r="AC27" s="166" t="n">
        <f aca="false">AG27*AH27</f>
        <v>61792.5497797533</v>
      </c>
      <c r="AD27" s="175" t="n">
        <f aca="false">AC27/SUM(AC$26:AC$29)</f>
        <v>0.185937321397541</v>
      </c>
      <c r="AE27" s="167" t="n">
        <f aca="false">AG27-AC27</f>
        <v>37795.4517087138</v>
      </c>
      <c r="AF27" s="168" t="n">
        <f aca="false">AE27/SUM(AE$26:AE$29)</f>
        <v>0.185937321397541</v>
      </c>
      <c r="AG27" s="166" t="n">
        <v>99588.0014884671</v>
      </c>
      <c r="AH27" s="176" t="n">
        <v>0.62048187388226</v>
      </c>
    </row>
    <row r="28" customFormat="false" ht="15" hidden="false" customHeight="false" outlineLevel="0" collapsed="false">
      <c r="B28" s="152" t="s">
        <v>411</v>
      </c>
      <c r="C28" s="165" t="n">
        <v>0.86</v>
      </c>
      <c r="D28" s="177" t="n">
        <f aca="false">H28*I28</f>
        <v>8000.21429024747</v>
      </c>
      <c r="E28" s="178" t="n">
        <f aca="false">D28*$C28/SUMPRODUCT(D$28:D$48,$C$28:$C$48)</f>
        <v>0.0105238122555283</v>
      </c>
      <c r="F28" s="179" t="n">
        <f aca="false">H28-D28</f>
        <v>631.319043085864</v>
      </c>
      <c r="G28" s="180" t="n">
        <f aca="false">F28*$C28/SUMPRODUCT(F$28:F$48,$C$28:$C$48)</f>
        <v>0.00464802032693911</v>
      </c>
      <c r="H28" s="177" t="n">
        <v>8631.53333333334</v>
      </c>
      <c r="I28" s="181" t="n">
        <v>0.926858992637168</v>
      </c>
      <c r="J28" s="180" t="n">
        <v>0.272703184029586</v>
      </c>
      <c r="L28" s="152" t="s">
        <v>412</v>
      </c>
      <c r="M28" s="152"/>
      <c r="N28" s="152"/>
      <c r="O28" s="152"/>
      <c r="P28" s="165" t="n">
        <v>0.86</v>
      </c>
      <c r="Q28" s="166" t="n">
        <v>11430.7</v>
      </c>
      <c r="R28" s="166" t="n">
        <v>0</v>
      </c>
      <c r="S28" s="166" t="n">
        <f aca="false">SUM(Q28:R28)</f>
        <v>11430.7</v>
      </c>
      <c r="T28" s="167" t="n">
        <f aca="false">S28*X28*P28</f>
        <v>6099.58625397592</v>
      </c>
      <c r="U28" s="168" t="n">
        <f aca="false">T28/SUM(T$25:T$55)</f>
        <v>0.0102452715688397</v>
      </c>
      <c r="V28" s="167" t="n">
        <f aca="false">S28*(1-X28)*P28</f>
        <v>3730.81574602408</v>
      </c>
      <c r="W28" s="168" t="n">
        <f aca="false">V28/SUM(V$25:V$55)</f>
        <v>0.0341881010188374</v>
      </c>
      <c r="X28" s="169" t="n">
        <f aca="false">$AH$26</f>
        <v>0.62048187388226</v>
      </c>
      <c r="Z28" s="152" t="s">
        <v>413</v>
      </c>
      <c r="AA28" s="152"/>
      <c r="AB28" s="152"/>
      <c r="AC28" s="166" t="n">
        <f aca="false">AG28*AH28</f>
        <v>159717.725800479</v>
      </c>
      <c r="AD28" s="175" t="n">
        <f aca="false">AC28/SUM(AC$26:AC$29)</f>
        <v>0.480599784616405</v>
      </c>
      <c r="AE28" s="167" t="n">
        <f aca="false">AG28-AC28</f>
        <v>97691.4468497222</v>
      </c>
      <c r="AF28" s="168" t="n">
        <f aca="false">AE28/SUM(AE$26:AE$29)</f>
        <v>0.480599784616405</v>
      </c>
      <c r="AG28" s="166" t="n">
        <v>257409.172650201</v>
      </c>
      <c r="AH28" s="176" t="n">
        <v>0.62048187388226</v>
      </c>
    </row>
    <row r="29" customFormat="false" ht="15" hidden="false" customHeight="false" outlineLevel="0" collapsed="false">
      <c r="B29" s="152" t="s">
        <v>406</v>
      </c>
      <c r="C29" s="165" t="n">
        <v>0.86</v>
      </c>
      <c r="D29" s="177" t="n">
        <f aca="false">H29*I29</f>
        <v>38739.7857958389</v>
      </c>
      <c r="E29" s="178" t="n">
        <f aca="false">D29*C29/SUMPRODUCT(D$28:D$48,$C$28:$C$48)</f>
        <v>0.0509599140402747</v>
      </c>
      <c r="F29" s="179" t="n">
        <f aca="false">H29-D29</f>
        <v>23695.2142041611</v>
      </c>
      <c r="G29" s="180" t="n">
        <f aca="false">F29*$C29/SUMPRODUCT(F$28:F$48,$C$28:$C$48)</f>
        <v>0.174453532612888</v>
      </c>
      <c r="H29" s="177" t="n">
        <v>62435</v>
      </c>
      <c r="I29" s="181" t="n">
        <v>0.62048187388226</v>
      </c>
      <c r="J29" s="180" t="n">
        <v>0</v>
      </c>
      <c r="L29" s="152" t="s">
        <v>414</v>
      </c>
      <c r="M29" s="152"/>
      <c r="N29" s="152"/>
      <c r="O29" s="152"/>
      <c r="P29" s="165" t="n">
        <v>0.86</v>
      </c>
      <c r="Q29" s="166" t="n">
        <v>707</v>
      </c>
      <c r="R29" s="166" t="n">
        <v>0</v>
      </c>
      <c r="S29" s="166" t="n">
        <f aca="false">SUM(Q29:R29)</f>
        <v>707</v>
      </c>
      <c r="T29" s="167" t="n">
        <f aca="false">S29*X29*P29</f>
        <v>377.265388957892</v>
      </c>
      <c r="U29" s="168" t="n">
        <f aca="false">T29/SUM(T$25:T$55)</f>
        <v>0.000633680089510675</v>
      </c>
      <c r="V29" s="167" t="n">
        <f aca="false">S29*(1-X29)*P29</f>
        <v>230.754611042108</v>
      </c>
      <c r="W29" s="168" t="n">
        <f aca="false">V29/SUM(V$25:V$55)</f>
        <v>0.00211456756106958</v>
      </c>
      <c r="X29" s="169" t="n">
        <f aca="false">$AH$26</f>
        <v>0.62048187388226</v>
      </c>
      <c r="Z29" s="152" t="s">
        <v>415</v>
      </c>
      <c r="AA29" s="152"/>
      <c r="AB29" s="152"/>
      <c r="AC29" s="166" t="n">
        <f aca="false">AG29*AH29</f>
        <v>33007.1009717529</v>
      </c>
      <c r="AD29" s="175" t="n">
        <f aca="false">AC29/SUM(AC$26:AC$29)</f>
        <v>0.0993202572747175</v>
      </c>
      <c r="AE29" s="167" t="n">
        <f aca="false">AG29-AC29</f>
        <v>20188.8139471351</v>
      </c>
      <c r="AF29" s="168" t="n">
        <f aca="false">AE29/SUM(AE$26:AE$29)</f>
        <v>0.0993202572747175</v>
      </c>
      <c r="AG29" s="166" t="n">
        <v>53195.914918888</v>
      </c>
      <c r="AH29" s="176" t="n">
        <v>0.62048187388226</v>
      </c>
    </row>
    <row r="30" customFormat="false" ht="15" hidden="false" customHeight="false" outlineLevel="0" collapsed="false">
      <c r="B30" s="152" t="s">
        <v>410</v>
      </c>
      <c r="C30" s="165" t="n">
        <v>0.86</v>
      </c>
      <c r="D30" s="177" t="n">
        <f aca="false">H30*I30</f>
        <v>21059.0307031891</v>
      </c>
      <c r="E30" s="178" t="n">
        <f aca="false">D30*C30/SUMPRODUCT(D$28:D$48,$C$28:$C$48)</f>
        <v>0.0277019186440957</v>
      </c>
      <c r="F30" s="179" t="n">
        <f aca="false">H30-D30</f>
        <v>12880.7692968109</v>
      </c>
      <c r="G30" s="180" t="n">
        <f aca="false">F30*$C30/SUMPRODUCT(F$28:F$48,$C$28:$C$48)</f>
        <v>0.0948333147461345</v>
      </c>
      <c r="H30" s="177" t="n">
        <v>33939.8</v>
      </c>
      <c r="I30" s="181" t="n">
        <v>0.62048187388226</v>
      </c>
      <c r="J30" s="180" t="n">
        <v>0</v>
      </c>
      <c r="L30" s="152" t="s">
        <v>416</v>
      </c>
      <c r="M30" s="152"/>
      <c r="N30" s="152"/>
      <c r="O30" s="152"/>
      <c r="P30" s="165" t="n">
        <v>0.86</v>
      </c>
      <c r="Q30" s="166" t="n">
        <v>16116.5</v>
      </c>
      <c r="R30" s="166" t="n">
        <v>537</v>
      </c>
      <c r="S30" s="166" t="n">
        <f aca="false">SUM(Q30:R30)</f>
        <v>16653.5</v>
      </c>
      <c r="T30" s="167" t="n">
        <f aca="false">S30*X30*P30</f>
        <v>13319.4693</v>
      </c>
      <c r="U30" s="168" t="n">
        <f aca="false">T30/SUM(T$25:T$55)</f>
        <v>0.022372268289898</v>
      </c>
      <c r="V30" s="167" t="n">
        <f aca="false">S30*(1-X30)*P30</f>
        <v>1002.5407</v>
      </c>
      <c r="W30" s="168" t="n">
        <f aca="false">V30/SUM(V$25:V$55)</f>
        <v>0.00918698886795001</v>
      </c>
      <c r="X30" s="169" t="n">
        <f aca="false">$AH$32</f>
        <v>0.93</v>
      </c>
      <c r="Z30" s="152"/>
      <c r="AA30" s="152"/>
      <c r="AB30" s="152"/>
      <c r="AC30" s="166"/>
      <c r="AD30" s="175"/>
      <c r="AE30" s="167"/>
      <c r="AF30" s="168"/>
      <c r="AG30" s="166"/>
      <c r="AH30" s="176"/>
    </row>
    <row r="31" customFormat="false" ht="15" hidden="false" customHeight="false" outlineLevel="0" collapsed="false">
      <c r="B31" s="152" t="s">
        <v>413</v>
      </c>
      <c r="C31" s="165" t="n">
        <v>0.86</v>
      </c>
      <c r="D31" s="177" t="n">
        <f aca="false">H31*I31</f>
        <v>68413.8763942173</v>
      </c>
      <c r="E31" s="178" t="n">
        <f aca="false">D31*C31/SUMPRODUCT(D$28:D$48,$C$28:$C$48)</f>
        <v>0.0899944382394023</v>
      </c>
      <c r="F31" s="179" t="n">
        <f aca="false">H31-D31</f>
        <v>41845.3902724497</v>
      </c>
      <c r="G31" s="180" t="n">
        <f aca="false">F31*$C31/SUMPRODUCT(F$28:F$48,$C$28:$C$48)</f>
        <v>0.308082302767783</v>
      </c>
      <c r="H31" s="177" t="n">
        <v>110259.266666667</v>
      </c>
      <c r="I31" s="181" t="n">
        <v>0.62048187388226</v>
      </c>
      <c r="J31" s="180" t="n">
        <v>0</v>
      </c>
      <c r="L31" s="152" t="s">
        <v>417</v>
      </c>
      <c r="M31" s="152"/>
      <c r="N31" s="152"/>
      <c r="O31" s="152"/>
      <c r="P31" s="165" t="n">
        <v>0.85</v>
      </c>
      <c r="Q31" s="166" t="n">
        <v>2047.3</v>
      </c>
      <c r="R31" s="166" t="n">
        <v>586</v>
      </c>
      <c r="S31" s="166" t="n">
        <f aca="false">SUM(Q31:R31)</f>
        <v>2633.3</v>
      </c>
      <c r="T31" s="167" t="n">
        <f aca="false">S31*X31*P31</f>
        <v>2081.62365</v>
      </c>
      <c r="U31" s="168" t="n">
        <f aca="false">T31/SUM(T$25:T$55)</f>
        <v>0.00349643380884528</v>
      </c>
      <c r="V31" s="167" t="n">
        <f aca="false">S31*(1-X31)*P31</f>
        <v>156.68135</v>
      </c>
      <c r="W31" s="168" t="n">
        <f aca="false">V31/SUM(V$25:V$55)</f>
        <v>0.00143578192712314</v>
      </c>
      <c r="X31" s="169" t="n">
        <f aca="false">$AH$32</f>
        <v>0.93</v>
      </c>
      <c r="Z31" s="161" t="s">
        <v>418</v>
      </c>
      <c r="AA31" s="152"/>
      <c r="AB31" s="152"/>
      <c r="AC31" s="170" t="n">
        <f aca="false">SUM(AC32:AC33)</f>
        <v>53556.64625</v>
      </c>
      <c r="AD31" s="171" t="n">
        <f aca="false">AC31/(AC$25+AC$31)</f>
        <v>0.138788545677382</v>
      </c>
      <c r="AE31" s="172" t="n">
        <f aca="false">SUM(AE32:AE33)</f>
        <v>4031.14541666666</v>
      </c>
      <c r="AF31" s="173" t="n">
        <f aca="false">AE31/(AE$25+AE$31)</f>
        <v>0.0194458563954456</v>
      </c>
      <c r="AG31" s="170" t="n">
        <f aca="false">SUM(AG32:AG33)</f>
        <v>57587.7916666666</v>
      </c>
      <c r="AH31" s="174"/>
    </row>
    <row r="32" customFormat="false" ht="15" hidden="false" customHeight="false" outlineLevel="0" collapsed="false">
      <c r="B32" s="152" t="s">
        <v>415</v>
      </c>
      <c r="C32" s="165" t="n">
        <v>0.86</v>
      </c>
      <c r="D32" s="177" t="n">
        <f aca="false">H32*I32</f>
        <v>14138.3413437394</v>
      </c>
      <c r="E32" s="178" t="n">
        <f aca="false">D32*C32/SUMPRODUCT(D$28:D$48,$C$28:$C$48)</f>
        <v>0.0185981580627742</v>
      </c>
      <c r="F32" s="179" t="n">
        <f aca="false">H32-D32</f>
        <v>8647.72532292725</v>
      </c>
      <c r="G32" s="180" t="n">
        <f aca="false">F32*$C32/SUMPRODUCT(F$28:F$48,$C$28:$C$48)</f>
        <v>0.0636679718804002</v>
      </c>
      <c r="H32" s="177" t="n">
        <v>22786.0666666667</v>
      </c>
      <c r="I32" s="181" t="n">
        <v>0.62048187388226</v>
      </c>
      <c r="J32" s="180" t="n">
        <v>0</v>
      </c>
      <c r="L32" s="152" t="s">
        <v>419</v>
      </c>
      <c r="M32" s="152"/>
      <c r="N32" s="152"/>
      <c r="O32" s="152"/>
      <c r="P32" s="165" t="n">
        <v>0.85</v>
      </c>
      <c r="Q32" s="166" t="n">
        <v>9008.8</v>
      </c>
      <c r="R32" s="166" t="n">
        <v>40</v>
      </c>
      <c r="S32" s="166" t="n">
        <f aca="false">SUM(Q32:R32)</f>
        <v>9048.8</v>
      </c>
      <c r="T32" s="167" t="n">
        <f aca="false">S32*X32*P32</f>
        <v>7153.0764</v>
      </c>
      <c r="U32" s="168" t="n">
        <f aca="false">T32/SUM(T$25:T$55)</f>
        <v>0.0120147838261798</v>
      </c>
      <c r="V32" s="167" t="n">
        <f aca="false">S32*(1-X32)*P32</f>
        <v>538.4036</v>
      </c>
      <c r="W32" s="168" t="n">
        <f aca="false">V32/SUM(V$25:V$55)</f>
        <v>0.00493377264350885</v>
      </c>
      <c r="X32" s="169" t="n">
        <f aca="false">$AH$32</f>
        <v>0.93</v>
      </c>
      <c r="Z32" s="152" t="s">
        <v>420</v>
      </c>
      <c r="AA32" s="152"/>
      <c r="AB32" s="152"/>
      <c r="AC32" s="166" t="n">
        <f aca="false">AG32*AH32</f>
        <v>27475.93705</v>
      </c>
      <c r="AD32" s="175" t="n">
        <f aca="false">AC32/SUM(AC$32:AC$33)</f>
        <v>0.513025720873999</v>
      </c>
      <c r="AE32" s="167" t="n">
        <f aca="false">AG32-AC32</f>
        <v>2068.08128333333</v>
      </c>
      <c r="AF32" s="168" t="n">
        <f aca="false">AE32/SUM(AE$32:AE$33)</f>
        <v>0.513025720873998</v>
      </c>
      <c r="AG32" s="166" t="n">
        <v>29544.0183333333</v>
      </c>
      <c r="AH32" s="176" t="n">
        <v>0.93</v>
      </c>
    </row>
    <row r="33" customFormat="false" ht="15" hidden="false" customHeight="false" outlineLevel="0" collapsed="false">
      <c r="B33" s="152" t="s">
        <v>420</v>
      </c>
      <c r="C33" s="165" t="n">
        <v>0.85</v>
      </c>
      <c r="D33" s="177" t="n">
        <f aca="false">H33*I33</f>
        <v>4095.4809354661</v>
      </c>
      <c r="E33" s="178" t="n">
        <f aca="false">D33*C33/SUMPRODUCT(D$28:D$48,$C$28:$C$48)</f>
        <v>0.00532472097398731</v>
      </c>
      <c r="F33" s="179" t="n">
        <f aca="false">H33-D33</f>
        <v>323.185731200567</v>
      </c>
      <c r="G33" s="180" t="n">
        <f aca="false">F33*$C33/SUMPRODUCT(F$28:F$48,$C$28:$C$48)</f>
        <v>0.00235175340660139</v>
      </c>
      <c r="H33" s="177" t="n">
        <v>4418.66666666667</v>
      </c>
      <c r="I33" s="181" t="n">
        <v>0.926858992637168</v>
      </c>
      <c r="J33" s="180" t="n">
        <v>0</v>
      </c>
      <c r="L33" s="152" t="s">
        <v>421</v>
      </c>
      <c r="M33" s="152"/>
      <c r="N33" s="152"/>
      <c r="O33" s="152"/>
      <c r="P33" s="165" t="n">
        <v>0.91</v>
      </c>
      <c r="Q33" s="166" t="n">
        <v>40016.7</v>
      </c>
      <c r="R33" s="166" t="n">
        <v>93785</v>
      </c>
      <c r="S33" s="166" t="n">
        <f aca="false">SUM(Q33:R33)</f>
        <v>133801.7</v>
      </c>
      <c r="T33" s="167" t="n">
        <f aca="false">S33*X33*P33</f>
        <v>113236.37871</v>
      </c>
      <c r="U33" s="168" t="n">
        <f aca="false">T33/SUM(T$25:T$55)</f>
        <v>0.190199368129225</v>
      </c>
      <c r="V33" s="167" t="n">
        <f aca="false">S33*(1-X33)*P33</f>
        <v>8523.16829</v>
      </c>
      <c r="W33" s="168" t="n">
        <f aca="false">V33/SUM(V$25:V$55)</f>
        <v>0.0781038138400711</v>
      </c>
      <c r="X33" s="169" t="n">
        <f aca="false">$AH$32</f>
        <v>0.93</v>
      </c>
      <c r="Z33" s="152" t="s">
        <v>422</v>
      </c>
      <c r="AA33" s="152"/>
      <c r="AB33" s="152"/>
      <c r="AC33" s="166" t="n">
        <f aca="false">AG33*AH33</f>
        <v>26080.7092</v>
      </c>
      <c r="AD33" s="175" t="n">
        <f aca="false">AC33/SUM(AC$32:AC$33)</f>
        <v>0.486974279126002</v>
      </c>
      <c r="AE33" s="167" t="n">
        <f aca="false">AG33-AC33</f>
        <v>1963.06413333333</v>
      </c>
      <c r="AF33" s="168" t="n">
        <f aca="false">AE33/SUM(AE$32:AE$33)</f>
        <v>0.486974279126002</v>
      </c>
      <c r="AG33" s="166" t="n">
        <v>28043.7733333333</v>
      </c>
      <c r="AH33" s="176" t="n">
        <v>0.93</v>
      </c>
    </row>
    <row r="34" customFormat="false" ht="15" hidden="false" customHeight="false" outlineLevel="0" collapsed="false">
      <c r="B34" s="152" t="s">
        <v>422</v>
      </c>
      <c r="C34" s="165" t="n">
        <v>0.85</v>
      </c>
      <c r="D34" s="177" t="n">
        <f aca="false">H34*I34</f>
        <v>11613.0179576479</v>
      </c>
      <c r="E34" s="178" t="n">
        <f aca="false">D34*C34/SUMPRODUCT(D$28:D$48,$C$28:$C$48)</f>
        <v>0.0150986126574024</v>
      </c>
      <c r="F34" s="179" t="n">
        <f aca="false">H34-D34</f>
        <v>916.415375685443</v>
      </c>
      <c r="G34" s="180" t="n">
        <f aca="false">F34*$C34/SUMPRODUCT(F$28:F$48,$C$28:$C$48)</f>
        <v>0.00666855858278173</v>
      </c>
      <c r="H34" s="177" t="n">
        <v>12529.4333333333</v>
      </c>
      <c r="I34" s="181" t="n">
        <v>0.926858992637168</v>
      </c>
      <c r="J34" s="180" t="n">
        <v>0</v>
      </c>
      <c r="L34" s="152" t="s">
        <v>423</v>
      </c>
      <c r="M34" s="152"/>
      <c r="N34" s="152"/>
      <c r="O34" s="152"/>
      <c r="P34" s="165" t="n">
        <v>0.91</v>
      </c>
      <c r="Q34" s="166" t="n">
        <v>98.7</v>
      </c>
      <c r="R34" s="166" t="n">
        <v>0</v>
      </c>
      <c r="S34" s="166" t="n">
        <f aca="false">SUM(Q34:R34)</f>
        <v>98.7</v>
      </c>
      <c r="T34" s="167" t="n">
        <f aca="false">S34*X34*P34</f>
        <v>83.52981</v>
      </c>
      <c r="U34" s="168" t="n">
        <f aca="false">T34/SUM(T$25:T$55)</f>
        <v>0.000140302235579627</v>
      </c>
      <c r="V34" s="167" t="n">
        <f aca="false">S34*(1-X34)*P34</f>
        <v>6.28719</v>
      </c>
      <c r="W34" s="168" t="n">
        <f aca="false">V34/SUM(V$25:V$55)</f>
        <v>5.76139647404705E-005</v>
      </c>
      <c r="X34" s="169" t="n">
        <f aca="false">$AH$32</f>
        <v>0.93</v>
      </c>
    </row>
    <row r="35" customFormat="false" ht="15" hidden="false" customHeight="false" outlineLevel="0" collapsed="false">
      <c r="B35" s="152" t="s">
        <v>424</v>
      </c>
      <c r="C35" s="165" t="n">
        <v>0.93</v>
      </c>
      <c r="D35" s="177" t="n">
        <f aca="false">H35*I35</f>
        <v>125972.186266295</v>
      </c>
      <c r="E35" s="178" t="n">
        <f aca="false">D35*C35/SUMPRODUCT(D$28:D$48,$C$28:$C$48)</f>
        <v>0.179196959143716</v>
      </c>
      <c r="F35" s="179" t="n">
        <f aca="false">H35-D35</f>
        <v>9940.81373370459</v>
      </c>
      <c r="G35" s="180" t="n">
        <f aca="false">F35*$C35/SUMPRODUCT(F$28:F$48,$C$28:$C$48)</f>
        <v>0.0791453789179991</v>
      </c>
      <c r="H35" s="177" t="n">
        <v>135913</v>
      </c>
      <c r="I35" s="181" t="n">
        <v>0.926858992637168</v>
      </c>
      <c r="J35" s="180" t="n">
        <v>0.19883912083302</v>
      </c>
      <c r="L35" s="152" t="s">
        <v>425</v>
      </c>
      <c r="M35" s="152"/>
      <c r="N35" s="152"/>
      <c r="O35" s="152"/>
      <c r="P35" s="165" t="n">
        <v>1</v>
      </c>
      <c r="Q35" s="166" t="n">
        <v>2126.8</v>
      </c>
      <c r="R35" s="166" t="n">
        <v>192</v>
      </c>
      <c r="S35" s="166" t="n">
        <f aca="false">SUM(Q35:R35)</f>
        <v>2318.8</v>
      </c>
      <c r="T35" s="167" t="n">
        <f aca="false">S35*X35*P35</f>
        <v>2156.484</v>
      </c>
      <c r="U35" s="168" t="n">
        <f aca="false">T35/SUM(T$25:T$55)</f>
        <v>0.00362217424164733</v>
      </c>
      <c r="V35" s="167" t="n">
        <f aca="false">S35*(1-X35)*P35</f>
        <v>162.316</v>
      </c>
      <c r="W35" s="168" t="n">
        <f aca="false">V35/SUM(V$25:V$55)</f>
        <v>0.00148741620673373</v>
      </c>
      <c r="X35" s="169" t="n">
        <f aca="false">$AH$32</f>
        <v>0.93</v>
      </c>
    </row>
    <row r="36" customFormat="false" ht="15" hidden="false" customHeight="false" outlineLevel="0" collapsed="false">
      <c r="B36" s="152" t="s">
        <v>426</v>
      </c>
      <c r="C36" s="165" t="n">
        <v>0.9</v>
      </c>
      <c r="D36" s="177" t="n">
        <f aca="false">H36*I36</f>
        <v>36603.2063842295</v>
      </c>
      <c r="E36" s="178" t="n">
        <f aca="false">D36*C36/SUMPRODUCT(D$28:D$48,$C$28:$C$48)</f>
        <v>0.050388874796215</v>
      </c>
      <c r="F36" s="179" t="n">
        <f aca="false">H36-D36</f>
        <v>2888.46028243718</v>
      </c>
      <c r="G36" s="180" t="n">
        <f aca="false">F36*$C36/SUMPRODUCT(F$28:F$48,$C$28:$C$48)</f>
        <v>0.022255101917213</v>
      </c>
      <c r="H36" s="177" t="n">
        <v>39491.6666666667</v>
      </c>
      <c r="I36" s="181" t="n">
        <v>0.926858992637168</v>
      </c>
      <c r="J36" s="180" t="n">
        <v>0</v>
      </c>
      <c r="L36" s="152" t="s">
        <v>427</v>
      </c>
      <c r="M36" s="152"/>
      <c r="N36" s="152"/>
      <c r="O36" s="152"/>
      <c r="P36" s="165" t="n">
        <v>0.87</v>
      </c>
      <c r="Q36" s="166" t="n">
        <v>0</v>
      </c>
      <c r="R36" s="166" t="n">
        <v>2604.6</v>
      </c>
      <c r="S36" s="166" t="n">
        <f aca="false">SUM(Q36:R36)</f>
        <v>2604.6</v>
      </c>
      <c r="T36" s="167" t="n">
        <f aca="false">S36*X36*P36</f>
        <v>2107.38186</v>
      </c>
      <c r="U36" s="168" t="n">
        <f aca="false">T36/SUM(T$25:T$55)</f>
        <v>0.00353969901497384</v>
      </c>
      <c r="V36" s="167" t="n">
        <f aca="false">S36*(1-X36)*P36</f>
        <v>158.62014</v>
      </c>
      <c r="W36" s="168" t="n">
        <f aca="false">V36/SUM(V$25:V$55)</f>
        <v>0.00145354842991678</v>
      </c>
      <c r="X36" s="169" t="n">
        <f aca="false">$AH$32</f>
        <v>0.93</v>
      </c>
      <c r="Y36" s="48"/>
      <c r="AA36" s="48"/>
      <c r="AD36" s="48"/>
      <c r="AE36" s="48"/>
      <c r="AF36" s="92"/>
    </row>
    <row r="37" customFormat="false" ht="15" hidden="false" customHeight="false" outlineLevel="0" collapsed="false">
      <c r="B37" s="152" t="s">
        <v>428</v>
      </c>
      <c r="C37" s="165" t="n">
        <v>0.87</v>
      </c>
      <c r="D37" s="177" t="n">
        <f aca="false">H37*I37</f>
        <v>90204.1107297317</v>
      </c>
      <c r="E37" s="178" t="n">
        <f aca="false">D37*C37/SUMPRODUCT(D$28:D$48,$C$28:$C$48)</f>
        <v>0.120037958992447</v>
      </c>
      <c r="F37" s="179" t="n">
        <f aca="false">H37-D37</f>
        <v>7118.2559369349</v>
      </c>
      <c r="G37" s="180" t="n">
        <f aca="false">F37*$C37/SUMPRODUCT(F$28:F$48,$C$28:$C$48)</f>
        <v>0.0530168022627054</v>
      </c>
      <c r="H37" s="177" t="n">
        <v>97322.3666666666</v>
      </c>
      <c r="I37" s="181" t="n">
        <v>0.926858992637168</v>
      </c>
      <c r="J37" s="180" t="n">
        <v>0</v>
      </c>
      <c r="L37" s="152" t="s">
        <v>144</v>
      </c>
      <c r="M37" s="152"/>
      <c r="N37" s="152"/>
      <c r="O37" s="152"/>
      <c r="P37" s="165" t="n">
        <v>0.875</v>
      </c>
      <c r="Q37" s="166" t="n">
        <v>6226.3</v>
      </c>
      <c r="R37" s="166" t="n">
        <v>17429.8</v>
      </c>
      <c r="S37" s="166" t="n">
        <f aca="false">SUM(Q37:R37)</f>
        <v>23656.1</v>
      </c>
      <c r="T37" s="167" t="n">
        <f aca="false">S37*X37*P37</f>
        <v>19250.151375</v>
      </c>
      <c r="U37" s="168" t="n">
        <f aca="false">T37/SUM(T$25:T$55)</f>
        <v>0.032333837143395</v>
      </c>
      <c r="V37" s="167" t="n">
        <f aca="false">S37*(1-X37)*P37</f>
        <v>1448.936125</v>
      </c>
      <c r="W37" s="168" t="n">
        <f aca="false">V37/SUM(V$25:V$55)</f>
        <v>0.0132776255874157</v>
      </c>
      <c r="X37" s="169" t="n">
        <f aca="false">$AH$32</f>
        <v>0.93</v>
      </c>
      <c r="AD37" s="35"/>
      <c r="AE37" s="48"/>
      <c r="AF37" s="92"/>
    </row>
    <row r="38" customFormat="false" ht="15" hidden="false" customHeight="false" outlineLevel="0" collapsed="false">
      <c r="B38" s="152" t="s">
        <v>429</v>
      </c>
      <c r="C38" s="165" t="n">
        <v>0.91</v>
      </c>
      <c r="D38" s="177" t="n">
        <f aca="false">H38*I38</f>
        <v>29382.9748315859</v>
      </c>
      <c r="E38" s="178" t="n">
        <f aca="false">D38*C38/SUMPRODUCT(D$28:D$48,$C$28:$C$48)</f>
        <v>0.0408987632938928</v>
      </c>
      <c r="F38" s="179" t="n">
        <f aca="false">H38-D38</f>
        <v>2318.69183508071</v>
      </c>
      <c r="G38" s="180" t="n">
        <f aca="false">F38*$C38/SUMPRODUCT(F$28:F$48,$C$28:$C$48)</f>
        <v>0.0180636330752503</v>
      </c>
      <c r="H38" s="177" t="n">
        <v>31701.6666666666</v>
      </c>
      <c r="I38" s="181" t="n">
        <v>0.926858992637168</v>
      </c>
      <c r="J38" s="180" t="n">
        <v>1</v>
      </c>
      <c r="L38" s="152" t="s">
        <v>430</v>
      </c>
      <c r="M38" s="152"/>
      <c r="N38" s="152"/>
      <c r="O38" s="152"/>
      <c r="P38" s="165" t="n">
        <v>0.87</v>
      </c>
      <c r="Q38" s="166" t="n">
        <v>0</v>
      </c>
      <c r="R38" s="166" t="n">
        <v>0</v>
      </c>
      <c r="S38" s="166" t="n">
        <f aca="false">SUM(Q38:R38)</f>
        <v>0</v>
      </c>
      <c r="T38" s="167" t="n">
        <f aca="false">S38*X38*P38</f>
        <v>0</v>
      </c>
      <c r="U38" s="168" t="n">
        <f aca="false">T38/SUM(T$25:T$55)</f>
        <v>0</v>
      </c>
      <c r="V38" s="167" t="n">
        <f aca="false">S38*(1-X38)*P38</f>
        <v>0</v>
      </c>
      <c r="W38" s="168" t="n">
        <f aca="false">V38/SUM(V$25:V$55)</f>
        <v>0</v>
      </c>
      <c r="X38" s="169" t="n">
        <f aca="false">$AH$32</f>
        <v>0.93</v>
      </c>
      <c r="AB38" s="35"/>
      <c r="AC38" s="35"/>
      <c r="AD38" s="35"/>
      <c r="AE38" s="48"/>
      <c r="AF38" s="92"/>
    </row>
    <row r="39" customFormat="false" ht="15" hidden="false" customHeight="false" outlineLevel="0" collapsed="false">
      <c r="B39" s="152" t="s">
        <v>431</v>
      </c>
      <c r="C39" s="165" t="n">
        <v>0.87</v>
      </c>
      <c r="D39" s="177" t="n">
        <f aca="false">H39*I39</f>
        <v>15543.4870971248</v>
      </c>
      <c r="E39" s="178" t="n">
        <f aca="false">D39*C39/SUMPRODUCT(D$28:D$48,$C$28:$C$48)</f>
        <v>0.0206842953349943</v>
      </c>
      <c r="F39" s="179" t="n">
        <f aca="false">H39-D39</f>
        <v>1226.57956954185</v>
      </c>
      <c r="G39" s="180" t="n">
        <f aca="false">F39*$C39/SUMPRODUCT(F$28:F$48,$C$28:$C$48)</f>
        <v>0.00913557015566876</v>
      </c>
      <c r="H39" s="177" t="n">
        <v>16770.0666666666</v>
      </c>
      <c r="I39" s="181" t="n">
        <v>0.926858992637168</v>
      </c>
      <c r="J39" s="180" t="n">
        <v>1</v>
      </c>
      <c r="L39" s="152" t="s">
        <v>145</v>
      </c>
      <c r="M39" s="152"/>
      <c r="N39" s="152"/>
      <c r="O39" s="152"/>
      <c r="P39" s="165" t="n">
        <v>0.895</v>
      </c>
      <c r="Q39" s="166" t="n">
        <v>143785.1</v>
      </c>
      <c r="R39" s="166" t="n">
        <v>34843</v>
      </c>
      <c r="S39" s="166" t="n">
        <f aca="false">SUM(Q39:R39)</f>
        <v>178628.1</v>
      </c>
      <c r="T39" s="167" t="n">
        <f aca="false">S39*X39*P39</f>
        <v>148681.099035</v>
      </c>
      <c r="U39" s="168" t="n">
        <f aca="false">T39/SUM(T$25:T$55)</f>
        <v>0.249734682540836</v>
      </c>
      <c r="V39" s="167" t="n">
        <f aca="false">S39*(1-X39)*P39</f>
        <v>11191.050465</v>
      </c>
      <c r="W39" s="168" t="n">
        <f aca="false">V39/SUM(V$25:V$55)</f>
        <v>0.102551503437837</v>
      </c>
      <c r="X39" s="169" t="n">
        <f aca="false">$AH$32</f>
        <v>0.93</v>
      </c>
      <c r="AB39" s="35"/>
      <c r="AC39" s="35"/>
      <c r="AD39" s="35"/>
      <c r="AE39" s="48"/>
      <c r="AF39" s="92"/>
    </row>
    <row r="40" customFormat="false" ht="15" hidden="false" customHeight="false" outlineLevel="0" collapsed="false">
      <c r="B40" s="152" t="s">
        <v>432</v>
      </c>
      <c r="C40" s="165" t="n">
        <v>0.87</v>
      </c>
      <c r="D40" s="177" t="n">
        <f aca="false">H40*I40</f>
        <v>39489.5688685007</v>
      </c>
      <c r="E40" s="178" t="n">
        <f aca="false">D40*C40/SUMPRODUCT(D$28:D$48,$C$28:$C$48)</f>
        <v>0.0525502353509051</v>
      </c>
      <c r="F40" s="179" t="n">
        <f aca="false">H40-D40</f>
        <v>3116.23113149935</v>
      </c>
      <c r="G40" s="180" t="n">
        <f aca="false">F40*$C40/SUMPRODUCT(F$28:F$48,$C$28:$C$48)</f>
        <v>0.0232097034958155</v>
      </c>
      <c r="H40" s="177" t="n">
        <v>42605.8</v>
      </c>
      <c r="I40" s="181" t="n">
        <v>0.926858992637168</v>
      </c>
      <c r="J40" s="180" t="n">
        <v>1</v>
      </c>
      <c r="L40" s="152" t="s">
        <v>433</v>
      </c>
      <c r="M40" s="152"/>
      <c r="N40" s="152"/>
      <c r="O40" s="152"/>
      <c r="P40" s="165" t="n">
        <v>0.91</v>
      </c>
      <c r="Q40" s="166" t="n">
        <v>1937.9</v>
      </c>
      <c r="R40" s="166" t="n">
        <v>489</v>
      </c>
      <c r="S40" s="166" t="n">
        <f aca="false">SUM(Q40:R40)</f>
        <v>2426.9</v>
      </c>
      <c r="T40" s="167" t="n">
        <f aca="false">S40*X40*P40</f>
        <v>2053.88547</v>
      </c>
      <c r="U40" s="168" t="n">
        <f aca="false">T40/SUM(T$25:T$55)</f>
        <v>0.00344984291315295</v>
      </c>
      <c r="V40" s="167" t="n">
        <f aca="false">S40*(1-X40)*P40</f>
        <v>154.59353</v>
      </c>
      <c r="W40" s="168" t="n">
        <f aca="false">V40/SUM(V$25:V$55)</f>
        <v>0.00141664975712916</v>
      </c>
      <c r="X40" s="169" t="n">
        <f aca="false">$AH$32</f>
        <v>0.93</v>
      </c>
      <c r="AB40" s="35"/>
      <c r="AC40" s="35"/>
      <c r="AD40" s="35"/>
      <c r="AE40" s="48"/>
      <c r="AF40" s="92"/>
    </row>
    <row r="41" customFormat="false" ht="15" hidden="false" customHeight="false" outlineLevel="0" collapsed="false">
      <c r="B41" s="152" t="s">
        <v>434</v>
      </c>
      <c r="C41" s="165" t="n">
        <v>0.9</v>
      </c>
      <c r="D41" s="177" t="n">
        <f aca="false">H41*I41</f>
        <v>103581.404779865</v>
      </c>
      <c r="E41" s="178" t="n">
        <f aca="false">D41*C41/SUMPRODUCT(D$28:D$48,$C$28:$C$48)</f>
        <v>0.142592711192575</v>
      </c>
      <c r="F41" s="179" t="n">
        <f aca="false">H41-D41</f>
        <v>8173.8952201355</v>
      </c>
      <c r="G41" s="180" t="n">
        <f aca="false">F41*$C41/SUMPRODUCT(F$28:F$48,$C$28:$C$48)</f>
        <v>0.0629784914443228</v>
      </c>
      <c r="H41" s="177" t="n">
        <v>111755.3</v>
      </c>
      <c r="I41" s="181" t="n">
        <v>0.926858992637168</v>
      </c>
      <c r="J41" s="180" t="n">
        <v>0.605707167056555</v>
      </c>
      <c r="L41" s="152" t="s">
        <v>435</v>
      </c>
      <c r="M41" s="152"/>
      <c r="N41" s="152"/>
      <c r="O41" s="152"/>
      <c r="P41" s="165" t="n">
        <v>0.91</v>
      </c>
      <c r="Q41" s="166" t="n">
        <v>1397.8</v>
      </c>
      <c r="R41" s="166" t="n">
        <v>14372</v>
      </c>
      <c r="S41" s="166" t="n">
        <f aca="false">SUM(Q41:R41)</f>
        <v>15769.8</v>
      </c>
      <c r="T41" s="167" t="n">
        <f aca="false">S41*X41*P41</f>
        <v>13345.98174</v>
      </c>
      <c r="U41" s="168" t="n">
        <f aca="false">T41/SUM(T$25:T$55)</f>
        <v>0.022416800350999</v>
      </c>
      <c r="V41" s="167" t="n">
        <f aca="false">S41*(1-X41)*P41</f>
        <v>1004.53626</v>
      </c>
      <c r="W41" s="168" t="n">
        <f aca="false">V41/SUM(V$25:V$55)</f>
        <v>0.00920527559436953</v>
      </c>
      <c r="X41" s="169" t="n">
        <f aca="false">$AH$32</f>
        <v>0.93</v>
      </c>
      <c r="AB41" s="35"/>
      <c r="AC41" s="35"/>
      <c r="AD41" s="35"/>
      <c r="AE41" s="48"/>
      <c r="AF41" s="92"/>
    </row>
    <row r="42" customFormat="false" ht="15" hidden="false" customHeight="false" outlineLevel="0" collapsed="false">
      <c r="B42" s="152" t="s">
        <v>436</v>
      </c>
      <c r="C42" s="165" t="n">
        <v>0.92</v>
      </c>
      <c r="D42" s="177" t="n">
        <f aca="false">H42*I42</f>
        <v>3649.72355060713</v>
      </c>
      <c r="E42" s="178" t="n">
        <f aca="false">D42*C42/SUMPRODUCT(D$28:D$48,$C$28:$C$48)</f>
        <v>0.00513595036255409</v>
      </c>
      <c r="F42" s="179" t="n">
        <f aca="false">H42-D42</f>
        <v>288.009782726203</v>
      </c>
      <c r="G42" s="180" t="n">
        <f aca="false">F42*$C42/SUMPRODUCT(F$28:F$48,$C$28:$C$48)</f>
        <v>0.00226837966163464</v>
      </c>
      <c r="H42" s="177" t="n">
        <v>3937.73333333334</v>
      </c>
      <c r="I42" s="181" t="n">
        <v>0.926858992637168</v>
      </c>
      <c r="J42" s="180" t="n">
        <v>1</v>
      </c>
      <c r="L42" s="152" t="s">
        <v>437</v>
      </c>
      <c r="M42" s="152"/>
      <c r="N42" s="152"/>
      <c r="O42" s="152"/>
      <c r="P42" s="165" t="n">
        <v>0.9</v>
      </c>
      <c r="Q42" s="166" t="n">
        <v>3732.3</v>
      </c>
      <c r="R42" s="166" t="n">
        <v>1118</v>
      </c>
      <c r="S42" s="166" t="n">
        <f aca="false">SUM(Q42:R42)</f>
        <v>4850.3</v>
      </c>
      <c r="T42" s="167" t="n">
        <f aca="false">S42*X42*P42</f>
        <v>4059.7011</v>
      </c>
      <c r="U42" s="168" t="n">
        <f aca="false">T42/SUM(T$25:T$55)</f>
        <v>0.00681894451950831</v>
      </c>
      <c r="V42" s="167" t="n">
        <f aca="false">S42*(1-X42)*P42</f>
        <v>305.5689</v>
      </c>
      <c r="W42" s="168" t="n">
        <f aca="false">V42/SUM(V$25:V$55)</f>
        <v>0.00280014375744718</v>
      </c>
      <c r="X42" s="169" t="n">
        <f aca="false">$AH$32</f>
        <v>0.93</v>
      </c>
      <c r="AB42" s="35"/>
      <c r="AC42" s="35"/>
      <c r="AD42" s="35"/>
      <c r="AE42" s="48"/>
      <c r="AF42" s="92"/>
    </row>
    <row r="43" customFormat="false" ht="15" hidden="false" customHeight="false" outlineLevel="0" collapsed="false">
      <c r="B43" s="152" t="s">
        <v>438</v>
      </c>
      <c r="C43" s="165" t="n">
        <v>0.9</v>
      </c>
      <c r="D43" s="177" t="n">
        <f aca="false">H43*I43</f>
        <v>2313.46785139215</v>
      </c>
      <c r="E43" s="178" t="n">
        <f aca="false">D43*C43/SUMPRODUCT(D$28:D$48,$C$28:$C$48)</f>
        <v>0.003184776783902</v>
      </c>
      <c r="F43" s="179" t="n">
        <f aca="false">H43-D43</f>
        <v>182.56214860785</v>
      </c>
      <c r="G43" s="180" t="n">
        <f aca="false">F43*$C43/SUMPRODUCT(F$28:F$48,$C$28:$C$48)</f>
        <v>0.00140661072897458</v>
      </c>
      <c r="H43" s="177" t="n">
        <f aca="false">2773.36666666667*0.9</f>
        <v>2496.03</v>
      </c>
      <c r="I43" s="181" t="n">
        <v>0.926858992637168</v>
      </c>
      <c r="J43" s="180" t="n">
        <v>0.405870128960787</v>
      </c>
      <c r="L43" s="152" t="s">
        <v>143</v>
      </c>
      <c r="M43" s="152"/>
      <c r="N43" s="152"/>
      <c r="O43" s="152"/>
      <c r="P43" s="165" t="n">
        <v>0.87</v>
      </c>
      <c r="Q43" s="166" t="n">
        <v>54666.9</v>
      </c>
      <c r="R43" s="166" t="n">
        <v>0</v>
      </c>
      <c r="S43" s="166" t="n">
        <f aca="false">SUM(Q43:R43)</f>
        <v>54666.9</v>
      </c>
      <c r="T43" s="167" t="n">
        <f aca="false">S43*X43*P43</f>
        <v>44230.98879</v>
      </c>
      <c r="U43" s="168" t="n">
        <f aca="false">T43/SUM(T$25:T$55)</f>
        <v>0.0742933164715017</v>
      </c>
      <c r="V43" s="167" t="n">
        <f aca="false">S43*(1-X43)*P43</f>
        <v>3329.21421</v>
      </c>
      <c r="W43" s="168" t="n">
        <f aca="false">V43/SUM(V$25:V$55)</f>
        <v>0.0305079423571442</v>
      </c>
      <c r="X43" s="169" t="n">
        <f aca="false">$AH$32</f>
        <v>0.93</v>
      </c>
      <c r="AB43" s="35"/>
      <c r="AC43" s="35"/>
      <c r="AD43" s="35"/>
      <c r="AE43" s="48"/>
      <c r="AF43" s="92"/>
    </row>
    <row r="44" customFormat="false" ht="15" hidden="false" customHeight="false" outlineLevel="0" collapsed="false">
      <c r="B44" s="152" t="s">
        <v>439</v>
      </c>
      <c r="C44" s="165" t="n">
        <v>0.9</v>
      </c>
      <c r="D44" s="177" t="n">
        <f aca="false">H44*I44</f>
        <v>257.051983488017</v>
      </c>
      <c r="E44" s="178" t="n">
        <f aca="false">D44*C44/SUMPRODUCT(D$28:D$48,$C$28:$C$48)</f>
        <v>0.000353864087100223</v>
      </c>
      <c r="F44" s="179" t="n">
        <f aca="false">H44-D44</f>
        <v>20.28468317865</v>
      </c>
      <c r="G44" s="180" t="n">
        <f aca="false">F44*$C44/SUMPRODUCT(F$28:F$48,$C$28:$C$48)</f>
        <v>0.000156290080997176</v>
      </c>
      <c r="H44" s="177" t="n">
        <f aca="false">2773.36666666667*0.1</f>
        <v>277.336666666667</v>
      </c>
      <c r="I44" s="181" t="n">
        <v>0.926858992637168</v>
      </c>
      <c r="J44" s="180" t="n">
        <v>0.405870128960787</v>
      </c>
      <c r="L44" s="152" t="s">
        <v>440</v>
      </c>
      <c r="M44" s="152"/>
      <c r="N44" s="152"/>
      <c r="O44" s="152"/>
      <c r="P44" s="165" t="n">
        <v>0.878</v>
      </c>
      <c r="Q44" s="166" t="n">
        <v>142</v>
      </c>
      <c r="R44" s="166" t="n">
        <v>0</v>
      </c>
      <c r="S44" s="166" t="n">
        <f aca="false">SUM(Q44:R44)</f>
        <v>142</v>
      </c>
      <c r="T44" s="167" t="n">
        <f aca="false">S44*X44*P44</f>
        <v>115.94868</v>
      </c>
      <c r="U44" s="168" t="n">
        <f aca="false">T44/SUM(T$25:T$55)</f>
        <v>0.000194755130132665</v>
      </c>
      <c r="V44" s="167" t="n">
        <f aca="false">S44*(1-X44)*P44</f>
        <v>8.72731999999999</v>
      </c>
      <c r="W44" s="168" t="n">
        <f aca="false">V44/SUM(V$25:V$55)</f>
        <v>7.99746002202579E-005</v>
      </c>
      <c r="X44" s="169" t="n">
        <f aca="false">$AH$32</f>
        <v>0.93</v>
      </c>
      <c r="AB44" s="35"/>
      <c r="AC44" s="35"/>
      <c r="AD44" s="35"/>
      <c r="AE44" s="48"/>
      <c r="AF44" s="92"/>
    </row>
    <row r="45" customFormat="false" ht="15" hidden="false" customHeight="false" outlineLevel="0" collapsed="false">
      <c r="B45" s="152" t="s">
        <v>131</v>
      </c>
      <c r="C45" s="165" t="n">
        <v>1</v>
      </c>
      <c r="D45" s="177" t="n">
        <f aca="false">H45*I45</f>
        <v>19145.6627814097</v>
      </c>
      <c r="E45" s="178" t="n">
        <f aca="false">D45*C45/SUMPRODUCT(D$28:D$48,$C$28:$C$48)</f>
        <v>0.0292848784477179</v>
      </c>
      <c r="F45" s="179" t="n">
        <f aca="false">H45-D45</f>
        <v>1510.83721859034</v>
      </c>
      <c r="G45" s="180" t="n">
        <f aca="false">F45*$C45/SUMPRODUCT(F$28:F$48,$C$28:$C$48)</f>
        <v>0.0129341636844035</v>
      </c>
      <c r="H45" s="177" t="n">
        <v>20656.5</v>
      </c>
      <c r="I45" s="181" t="n">
        <v>0.926858992637168</v>
      </c>
      <c r="J45" s="180" t="n">
        <v>0.26716313113045</v>
      </c>
      <c r="L45" s="152" t="s">
        <v>441</v>
      </c>
      <c r="M45" s="152"/>
      <c r="N45" s="152"/>
      <c r="O45" s="152"/>
      <c r="P45" s="165" t="n">
        <v>0.876</v>
      </c>
      <c r="Q45" s="166" t="n">
        <v>6539</v>
      </c>
      <c r="R45" s="166" t="n">
        <v>0</v>
      </c>
      <c r="S45" s="166" t="n">
        <f aca="false">SUM(Q45:R45)</f>
        <v>6539</v>
      </c>
      <c r="T45" s="167" t="n">
        <f aca="false">S45*X45*P45</f>
        <v>5327.19252</v>
      </c>
      <c r="U45" s="168" t="n">
        <f aca="false">T45/SUM(T$25:T$55)</f>
        <v>0.0089479075783731</v>
      </c>
      <c r="V45" s="167" t="n">
        <f aca="false">S45*(1-X45)*P45</f>
        <v>400.97148</v>
      </c>
      <c r="W45" s="168" t="n">
        <f aca="false">V45/SUM(V$25:V$55)</f>
        <v>0.0036743850131226</v>
      </c>
      <c r="X45" s="169" t="n">
        <f aca="false">$AH$32</f>
        <v>0.93</v>
      </c>
      <c r="AB45" s="35"/>
      <c r="AC45" s="35"/>
      <c r="AD45" s="35"/>
      <c r="AE45" s="48"/>
      <c r="AF45" s="92"/>
    </row>
    <row r="46" customFormat="false" ht="15" hidden="false" customHeight="false" outlineLevel="0" collapsed="false">
      <c r="B46" s="152" t="s">
        <v>386</v>
      </c>
      <c r="C46" s="165" t="n">
        <v>1</v>
      </c>
      <c r="D46" s="177" t="n">
        <f aca="false">H46*I46</f>
        <v>35644.1853845479</v>
      </c>
      <c r="E46" s="178" t="n">
        <f aca="false">D46*C46/SUMPRODUCT(D$28:D$48,$C$28:$C$48)</f>
        <v>0.0545207365381974</v>
      </c>
      <c r="F46" s="179" t="n">
        <f aca="false">H46-D46</f>
        <v>2812.78128211886</v>
      </c>
      <c r="G46" s="180" t="n">
        <f aca="false">F46*$C46/SUMPRODUCT(F$28:F$48,$C$28:$C$48)</f>
        <v>0.0240800087949225</v>
      </c>
      <c r="H46" s="177" t="n">
        <v>38456.9666666667</v>
      </c>
      <c r="I46" s="181" t="n">
        <v>0.926858992637168</v>
      </c>
      <c r="J46" s="180" t="n">
        <v>0.143855365117977</v>
      </c>
      <c r="L46" s="152" t="s">
        <v>442</v>
      </c>
      <c r="M46" s="152"/>
      <c r="N46" s="152"/>
      <c r="O46" s="152"/>
      <c r="P46" s="165" t="n">
        <v>0.876</v>
      </c>
      <c r="Q46" s="166" t="n">
        <v>738</v>
      </c>
      <c r="R46" s="166" t="n">
        <v>0</v>
      </c>
      <c r="S46" s="166" t="n">
        <f aca="false">SUM(Q46:R46)</f>
        <v>738</v>
      </c>
      <c r="T46" s="167" t="n">
        <f aca="false">S46*X46*P46</f>
        <v>601.23384</v>
      </c>
      <c r="U46" s="168" t="n">
        <f aca="false">T46/SUM(T$25:T$55)</f>
        <v>0.00100987242588153</v>
      </c>
      <c r="V46" s="167" t="n">
        <f aca="false">S46*(1-X46)*P46</f>
        <v>45.25416</v>
      </c>
      <c r="W46" s="168" t="n">
        <f aca="false">V46/SUM(V$25:V$55)</f>
        <v>0.000414695846411451</v>
      </c>
      <c r="X46" s="169" t="n">
        <f aca="false">$AH$32</f>
        <v>0.93</v>
      </c>
      <c r="AB46" s="35"/>
      <c r="AC46" s="35"/>
      <c r="AD46" s="35"/>
      <c r="AE46" s="48"/>
      <c r="AF46" s="92"/>
    </row>
    <row r="47" customFormat="false" ht="15" hidden="false" customHeight="false" outlineLevel="0" collapsed="false">
      <c r="B47" s="152" t="s">
        <v>443</v>
      </c>
      <c r="C47" s="165" t="n">
        <v>0.9</v>
      </c>
      <c r="D47" s="177" t="n">
        <f aca="false">H47*I47</f>
        <v>38744.6522961182</v>
      </c>
      <c r="E47" s="178" t="n">
        <f aca="false">D47*C47/SUMPRODUCT(D$28:D$48,$C$28:$C$48)</f>
        <v>0.0533368419443476</v>
      </c>
      <c r="F47" s="179" t="n">
        <f aca="false">H47-D47</f>
        <v>3057.44770388184</v>
      </c>
      <c r="G47" s="180" t="n">
        <f aca="false">F47*$C47/SUMPRODUCT(F$28:F$48,$C$28:$C$48)</f>
        <v>0.0235571216506486</v>
      </c>
      <c r="H47" s="177" t="n">
        <f aca="false">69670.1666666667*0.6</f>
        <v>41802.1</v>
      </c>
      <c r="I47" s="181" t="n">
        <v>0.926858992637168</v>
      </c>
      <c r="J47" s="180" t="n">
        <v>0.469869910382914</v>
      </c>
      <c r="L47" s="152" t="s">
        <v>444</v>
      </c>
      <c r="M47" s="152"/>
      <c r="N47" s="152"/>
      <c r="O47" s="152"/>
      <c r="P47" s="165" t="n">
        <v>0.876</v>
      </c>
      <c r="Q47" s="166" t="n">
        <v>2276</v>
      </c>
      <c r="R47" s="166" t="n">
        <v>0</v>
      </c>
      <c r="S47" s="166" t="n">
        <f aca="false">SUM(Q47:R47)</f>
        <v>2276</v>
      </c>
      <c r="T47" s="167" t="n">
        <f aca="false">S47*X47*P47</f>
        <v>1854.21168</v>
      </c>
      <c r="U47" s="168" t="n">
        <f aca="false">T47/SUM(T$25:T$55)</f>
        <v>0.00311445750854522</v>
      </c>
      <c r="V47" s="167" t="n">
        <f aca="false">S47*(1-X47)*P47</f>
        <v>139.56432</v>
      </c>
      <c r="W47" s="168" t="n">
        <f aca="false">V47/SUM(V$25:V$55)</f>
        <v>0.00127892648568084</v>
      </c>
      <c r="X47" s="169" t="n">
        <f aca="false">$AH$32</f>
        <v>0.93</v>
      </c>
      <c r="AB47" s="35"/>
      <c r="AC47" s="35"/>
      <c r="AD47" s="35"/>
      <c r="AE47" s="48"/>
      <c r="AF47" s="92"/>
    </row>
    <row r="48" customFormat="false" ht="15" hidden="false" customHeight="false" outlineLevel="0" collapsed="false">
      <c r="B48" s="152" t="s">
        <v>445</v>
      </c>
      <c r="C48" s="165" t="n">
        <v>0.75</v>
      </c>
      <c r="D48" s="177" t="n">
        <f aca="false">H48*I48</f>
        <v>25829.7681974121</v>
      </c>
      <c r="E48" s="178" t="n">
        <f aca="false">D48*C48/SUMPRODUCT(D$28:D$48,$C$28:$C$48)</f>
        <v>0.0296315788579709</v>
      </c>
      <c r="F48" s="179" t="n">
        <f aca="false">H48-D48</f>
        <v>2038.29846925456</v>
      </c>
      <c r="G48" s="180" t="n">
        <f aca="false">F48*$C48/SUMPRODUCT(F$28:F$48,$C$28:$C$48)</f>
        <v>0.0130872898059159</v>
      </c>
      <c r="H48" s="177" t="n">
        <f aca="false">69670.1666666667*0.4</f>
        <v>27868.0666666667</v>
      </c>
      <c r="I48" s="181" t="n">
        <v>0.926858992637168</v>
      </c>
      <c r="J48" s="180" t="n">
        <v>0.469869910382914</v>
      </c>
      <c r="L48" s="152" t="s">
        <v>446</v>
      </c>
      <c r="M48" s="152"/>
      <c r="N48" s="152"/>
      <c r="O48" s="152"/>
      <c r="P48" s="165" t="n">
        <v>0.9</v>
      </c>
      <c r="Q48" s="166" t="n">
        <v>56803</v>
      </c>
      <c r="R48" s="166" t="n">
        <v>0</v>
      </c>
      <c r="S48" s="166" t="n">
        <f aca="false">SUM(Q48:R48)</f>
        <v>56803</v>
      </c>
      <c r="T48" s="167" t="n">
        <f aca="false">S48*X48*P48</f>
        <v>47544.111</v>
      </c>
      <c r="U48" s="168" t="n">
        <f aca="false">T48/SUM(T$25:T$55)</f>
        <v>0.0798582573328722</v>
      </c>
      <c r="V48" s="167" t="n">
        <f aca="false">S48*(1-X48)*P48</f>
        <v>3578.589</v>
      </c>
      <c r="W48" s="168" t="n">
        <f aca="false">V48/SUM(V$25:V$55)</f>
        <v>0.0327931397757401</v>
      </c>
      <c r="X48" s="169" t="n">
        <f aca="false">$AH$32</f>
        <v>0.93</v>
      </c>
      <c r="AB48" s="35"/>
      <c r="AC48" s="35"/>
      <c r="AD48" s="35"/>
      <c r="AE48" s="48"/>
      <c r="AF48" s="92"/>
    </row>
    <row r="49" customFormat="false" ht="15" hidden="false" customHeight="false" outlineLevel="0" collapsed="false">
      <c r="B49" s="182" t="s">
        <v>146</v>
      </c>
      <c r="C49" s="182"/>
      <c r="D49" s="183" t="n">
        <v>692.67262049751</v>
      </c>
      <c r="E49" s="184"/>
      <c r="F49" s="185" t="n">
        <v>54.6607128358231</v>
      </c>
      <c r="G49" s="186"/>
      <c r="H49" s="177"/>
      <c r="I49" s="187" t="n">
        <v>0.926858992637168</v>
      </c>
      <c r="J49" s="186" t="n">
        <v>0.154553080436201</v>
      </c>
      <c r="L49" s="152" t="s">
        <v>447</v>
      </c>
      <c r="M49" s="152"/>
      <c r="N49" s="152"/>
      <c r="O49" s="152"/>
      <c r="P49" s="165" t="n">
        <v>0.9</v>
      </c>
      <c r="Q49" s="166"/>
      <c r="R49" s="166"/>
      <c r="S49" s="166" t="n">
        <f aca="false">SUM(Q49:R49)</f>
        <v>0</v>
      </c>
      <c r="T49" s="167" t="n">
        <f aca="false">S49*X49*P49</f>
        <v>0</v>
      </c>
      <c r="U49" s="168" t="n">
        <f aca="false">T49/SUM(T$25:T$55)</f>
        <v>0</v>
      </c>
      <c r="V49" s="167" t="n">
        <f aca="false">S49*(1-X49)*P49</f>
        <v>0</v>
      </c>
      <c r="W49" s="168" t="n">
        <f aca="false">V49/SUM(V$25:V$55)</f>
        <v>0</v>
      </c>
      <c r="X49" s="169" t="n">
        <f aca="false">$AH$32</f>
        <v>0.93</v>
      </c>
      <c r="AA49" s="11"/>
      <c r="AB49" s="35"/>
      <c r="AC49" s="35"/>
      <c r="AF49" s="54"/>
    </row>
    <row r="50" customFormat="false" ht="15" hidden="false" customHeight="false" outlineLevel="0" collapsed="false">
      <c r="L50" s="152" t="s">
        <v>448</v>
      </c>
      <c r="M50" s="152"/>
      <c r="N50" s="152"/>
      <c r="O50" s="152"/>
      <c r="P50" s="165" t="n">
        <v>0.885</v>
      </c>
      <c r="Q50" s="166" t="n">
        <v>198</v>
      </c>
      <c r="R50" s="166" t="n">
        <v>1547.5</v>
      </c>
      <c r="S50" s="166" t="n">
        <f aca="false">SUM(Q50:R50)</f>
        <v>1745.5</v>
      </c>
      <c r="T50" s="167" t="n">
        <f aca="false">S50*X50*P50</f>
        <v>1436.633775</v>
      </c>
      <c r="U50" s="168" t="n">
        <f aca="false">T50/SUM(T$25:T$55)</f>
        <v>0.00241306583053042</v>
      </c>
      <c r="V50" s="167" t="n">
        <f aca="false">S50*(1-X50)*P50</f>
        <v>108.133725</v>
      </c>
      <c r="W50" s="168" t="n">
        <f aca="false">V50/SUM(V$25:V$55)</f>
        <v>0.000990905733627541</v>
      </c>
      <c r="X50" s="169" t="n">
        <f aca="false">$AH$32</f>
        <v>0.93</v>
      </c>
      <c r="AB50" s="35"/>
      <c r="AC50" s="35"/>
    </row>
    <row r="51" customFormat="false" ht="15" hidden="false" customHeight="false" outlineLevel="0" collapsed="false">
      <c r="L51" s="152" t="s">
        <v>449</v>
      </c>
      <c r="M51" s="152"/>
      <c r="N51" s="152"/>
      <c r="O51" s="152"/>
      <c r="P51" s="165" t="n">
        <v>0.755</v>
      </c>
      <c r="Q51" s="166" t="n">
        <v>22689.45</v>
      </c>
      <c r="R51" s="166" t="n">
        <v>0</v>
      </c>
      <c r="S51" s="166" t="n">
        <f aca="false">SUM(Q51:R51)</f>
        <v>22689.45</v>
      </c>
      <c r="T51" s="167" t="n">
        <f aca="false">S51*X51*P51</f>
        <v>15931.3973175</v>
      </c>
      <c r="U51" s="168" t="n">
        <f aca="false">T51/SUM(T$25:T$55)</f>
        <v>0.0267594366556385</v>
      </c>
      <c r="V51" s="167" t="n">
        <f aca="false">S51*(1-X51)*P51</f>
        <v>1199.1374325</v>
      </c>
      <c r="W51" s="168" t="n">
        <f aca="false">V51/SUM(V$25:V$55)</f>
        <v>0.0109885436506664</v>
      </c>
      <c r="X51" s="169" t="n">
        <f aca="false">$AH$32</f>
        <v>0.93</v>
      </c>
    </row>
    <row r="52" customFormat="false" ht="15" hidden="false" customHeight="false" outlineLevel="0" collapsed="false">
      <c r="L52" s="152" t="s">
        <v>450</v>
      </c>
      <c r="M52" s="152"/>
      <c r="N52" s="152"/>
      <c r="O52" s="152"/>
      <c r="P52" s="165" t="n">
        <v>0.895</v>
      </c>
      <c r="Q52" s="166" t="n">
        <v>9769.35</v>
      </c>
      <c r="R52" s="166" t="n">
        <v>27163.3</v>
      </c>
      <c r="S52" s="166" t="n">
        <f aca="false">SUM(Q52:R52)</f>
        <v>36932.65</v>
      </c>
      <c r="T52" s="167" t="n">
        <f aca="false">S52*X52*P52</f>
        <v>30740.8912275</v>
      </c>
      <c r="U52" s="168" t="n">
        <f aca="false">T52/SUM(T$25:T$55)</f>
        <v>0.0516344495806753</v>
      </c>
      <c r="V52" s="167" t="n">
        <f aca="false">S52*(1-X52)*P52</f>
        <v>2313.8305225</v>
      </c>
      <c r="W52" s="168" t="n">
        <f aca="false">V52/SUM(V$25:V$55)</f>
        <v>0.0212032641193823</v>
      </c>
      <c r="X52" s="169" t="n">
        <f aca="false">$AH$32</f>
        <v>0.93</v>
      </c>
    </row>
    <row r="53" customFormat="false" ht="15" hidden="false" customHeight="false" outlineLevel="0" collapsed="false">
      <c r="L53" s="152" t="s">
        <v>451</v>
      </c>
      <c r="M53" s="152"/>
      <c r="N53" s="152"/>
      <c r="O53" s="152"/>
      <c r="P53" s="165" t="n">
        <v>0.97</v>
      </c>
      <c r="Q53" s="166" t="n">
        <v>0</v>
      </c>
      <c r="R53" s="166" t="n">
        <v>0</v>
      </c>
      <c r="S53" s="166" t="n">
        <f aca="false">SUM(Q53:R53)</f>
        <v>0</v>
      </c>
      <c r="T53" s="167" t="n">
        <f aca="false">S53*X53*P53</f>
        <v>0</v>
      </c>
      <c r="U53" s="168" t="n">
        <f aca="false">T53/SUM(T$25:T$55)</f>
        <v>0</v>
      </c>
      <c r="V53" s="167" t="n">
        <f aca="false">S53*(1-X53)*P53</f>
        <v>0</v>
      </c>
      <c r="W53" s="168" t="n">
        <f aca="false">V53/SUM(V$25:V$55)</f>
        <v>0</v>
      </c>
      <c r="X53" s="169" t="n">
        <f aca="false">$AH$32</f>
        <v>0.93</v>
      </c>
    </row>
    <row r="54" customFormat="false" ht="15" hidden="false" customHeight="false" outlineLevel="0" collapsed="false">
      <c r="L54" s="152" t="s">
        <v>452</v>
      </c>
      <c r="M54" s="152"/>
      <c r="N54" s="152"/>
      <c r="O54" s="152"/>
      <c r="P54" s="165" t="n">
        <v>0.91</v>
      </c>
      <c r="Q54" s="166" t="n">
        <v>135.5</v>
      </c>
      <c r="R54" s="166" t="n">
        <v>30.8</v>
      </c>
      <c r="S54" s="166" t="n">
        <f aca="false">SUM(Q54:R54)</f>
        <v>166.3</v>
      </c>
      <c r="T54" s="167" t="n">
        <f aca="false">S54*X54*P54</f>
        <v>140.73969</v>
      </c>
      <c r="U54" s="168" t="n">
        <f aca="false">T54/SUM(T$25:T$55)</f>
        <v>0.000236395762683809</v>
      </c>
      <c r="V54" s="167" t="n">
        <f aca="false">S54*(1-X54)*P54</f>
        <v>10.59331</v>
      </c>
      <c r="W54" s="168" t="n">
        <f aca="false">V54/SUM(V$25:V$55)</f>
        <v>9.70739851706206E-005</v>
      </c>
      <c r="X54" s="169" t="n">
        <f aca="false">$AH$32</f>
        <v>0.93</v>
      </c>
      <c r="Z54" s="188"/>
      <c r="AA54" s="189"/>
      <c r="AB54" s="190"/>
      <c r="AC54" s="191"/>
    </row>
    <row r="55" customFormat="false" ht="15" hidden="false" customHeight="false" outlineLevel="0" collapsed="false">
      <c r="L55" s="152" t="s">
        <v>453</v>
      </c>
      <c r="M55" s="152"/>
      <c r="N55" s="152"/>
      <c r="O55" s="152"/>
      <c r="P55" s="165" t="n">
        <v>0.92</v>
      </c>
      <c r="Q55" s="166" t="n">
        <v>0</v>
      </c>
      <c r="R55" s="166" t="n">
        <v>0</v>
      </c>
      <c r="S55" s="166" t="n">
        <f aca="false">SUM(Q55:R55)</f>
        <v>0</v>
      </c>
      <c r="T55" s="167" t="n">
        <f aca="false">S55*X55*P55</f>
        <v>0</v>
      </c>
      <c r="U55" s="168" t="n">
        <f aca="false">T55/SUM(T$25:T$55)</f>
        <v>0</v>
      </c>
      <c r="V55" s="167" t="n">
        <f aca="false">S55*(1-X55)*P55</f>
        <v>0</v>
      </c>
      <c r="W55" s="168" t="n">
        <f aca="false">V55/SUM(V$25:V$55)</f>
        <v>0</v>
      </c>
      <c r="X55" s="169" t="n">
        <f aca="false">$AH$32</f>
        <v>0.93</v>
      </c>
    </row>
    <row r="56" customFormat="false" ht="15" hidden="false" customHeight="false" outlineLevel="0" collapsed="false">
      <c r="L56" s="182" t="s">
        <v>454</v>
      </c>
      <c r="M56" s="182"/>
      <c r="N56" s="182"/>
      <c r="O56" s="182"/>
      <c r="P56" s="192" t="n">
        <v>1</v>
      </c>
      <c r="Q56" s="193" t="n">
        <v>16268</v>
      </c>
      <c r="R56" s="193" t="n">
        <v>1347.3</v>
      </c>
      <c r="S56" s="193" t="n">
        <f aca="false">SUM(Q56:R56)</f>
        <v>17615.3</v>
      </c>
      <c r="T56" s="194" t="n">
        <f aca="false">S56*X56*P56</f>
        <v>16382.229</v>
      </c>
      <c r="U56" s="195"/>
      <c r="V56" s="194" t="n">
        <f aca="false">S56*(1-X56)*P56</f>
        <v>1233.071</v>
      </c>
      <c r="W56" s="195"/>
      <c r="X56" s="196" t="n">
        <f aca="false">$AH$32</f>
        <v>0.93</v>
      </c>
      <c r="Z56" s="197" t="s">
        <v>455</v>
      </c>
      <c r="AA56" s="197"/>
      <c r="AB56" s="197"/>
      <c r="AC56" s="198"/>
      <c r="AE56" s="0" t="s">
        <v>456</v>
      </c>
      <c r="AQ56" s="35"/>
      <c r="AR56" s="48"/>
    </row>
    <row r="57" customFormat="false" ht="15" hidden="false" customHeight="false" outlineLevel="0" collapsed="false">
      <c r="Z57" s="197" t="s">
        <v>457</v>
      </c>
      <c r="AA57" s="197"/>
      <c r="AB57" s="197"/>
      <c r="AC57" s="198"/>
      <c r="AE57" s="0" t="s">
        <v>17</v>
      </c>
      <c r="AG57" s="0" t="n">
        <v>9</v>
      </c>
      <c r="AH57" s="0" t="s">
        <v>23</v>
      </c>
      <c r="AQ57" s="35"/>
      <c r="AR57" s="48"/>
    </row>
    <row r="58" customFormat="false" ht="15" hidden="false" customHeight="false" outlineLevel="0" collapsed="false">
      <c r="S58" s="199" t="s">
        <v>458</v>
      </c>
      <c r="T58" s="35" t="n">
        <f aca="false">SUM(T25:T30)</f>
        <v>133223.588078696</v>
      </c>
      <c r="U58" s="48" t="n">
        <f aca="false">T58/SUM(T$58:T$59)</f>
        <v>0.223771216998823</v>
      </c>
      <c r="V58" s="35" t="n">
        <f aca="false">SUM(V25:V30)</f>
        <v>74341.9699213036</v>
      </c>
      <c r="W58" s="48" t="n">
        <f aca="false">V58/SUM(V$58:V$59)</f>
        <v>0.681248003286541</v>
      </c>
      <c r="Z58" s="198" t="s">
        <v>459</v>
      </c>
      <c r="AA58" s="197"/>
      <c r="AB58" s="197"/>
      <c r="AC58" s="198"/>
      <c r="AE58" s="0" t="s">
        <v>28</v>
      </c>
      <c r="AG58" s="0" t="n">
        <v>14</v>
      </c>
      <c r="AH58" s="0" t="s">
        <v>23</v>
      </c>
      <c r="AI58" s="8"/>
      <c r="AQ58" s="35"/>
      <c r="AR58" s="48"/>
    </row>
    <row r="59" customFormat="false" ht="15" hidden="false" customHeight="false" outlineLevel="0" collapsed="false">
      <c r="S59" s="199" t="s">
        <v>460</v>
      </c>
      <c r="T59" s="35" t="n">
        <f aca="false">SUM(T31:T55)</f>
        <v>462132.64167</v>
      </c>
      <c r="U59" s="48" t="n">
        <f aca="false">T59/SUM(T$58:T$59)</f>
        <v>0.776228783001177</v>
      </c>
      <c r="V59" s="35" t="n">
        <f aca="false">SUM(V31:V55)</f>
        <v>34784.17733</v>
      </c>
      <c r="W59" s="48" t="n">
        <f aca="false">V59/SUM(V$58:V$59)</f>
        <v>0.318751996713459</v>
      </c>
      <c r="AQ59" s="35"/>
      <c r="AR59" s="48"/>
    </row>
    <row r="60" customFormat="false" ht="15" hidden="false" customHeight="false" outlineLevel="0" collapsed="false">
      <c r="W60" s="200" t="s">
        <v>461</v>
      </c>
      <c r="X60" s="201" t="n">
        <v>1</v>
      </c>
      <c r="Y60" s="201" t="n">
        <v>1</v>
      </c>
      <c r="Z60" s="201" t="n">
        <v>1</v>
      </c>
      <c r="AA60" s="201" t="n">
        <v>1</v>
      </c>
      <c r="AB60" s="201" t="n">
        <v>1</v>
      </c>
      <c r="AC60" s="201" t="n">
        <v>1</v>
      </c>
      <c r="AD60" s="201" t="n">
        <v>0.65</v>
      </c>
      <c r="AE60" s="201" t="n">
        <v>1</v>
      </c>
      <c r="AF60" s="201" t="n">
        <v>1</v>
      </c>
      <c r="AG60" s="201" t="n">
        <v>1</v>
      </c>
      <c r="AH60" s="201" t="n">
        <v>0.65</v>
      </c>
      <c r="AI60" s="201" t="n">
        <v>1</v>
      </c>
    </row>
    <row r="61" customFormat="false" ht="15" hidden="false" customHeight="false" outlineLevel="0" collapsed="false">
      <c r="T61" s="8"/>
      <c r="W61" s="202" t="s">
        <v>462</v>
      </c>
      <c r="X61" s="203" t="n">
        <f aca="false">1+(D71*(1-X60))/SUM(D66:D67)</f>
        <v>1</v>
      </c>
      <c r="Y61" s="203" t="n">
        <f aca="false">1+(E71*(1-Y60))/SUM(E66:E67)</f>
        <v>1</v>
      </c>
      <c r="Z61" s="203" t="n">
        <f aca="false">1+(F71*(1-Z60))/SUM(F66:F67)</f>
        <v>1</v>
      </c>
      <c r="AA61" s="203" t="n">
        <f aca="false">1+(G71*(1-AA60))/SUM(G66:G67)</f>
        <v>1</v>
      </c>
      <c r="AB61" s="203" t="n">
        <f aca="false">1+(H71*(1-AB60))/SUM(H66:H67)</f>
        <v>1</v>
      </c>
      <c r="AC61" s="203" t="n">
        <f aca="false">1+(I71*(1-AC60))/SUM(I66:I67)</f>
        <v>1</v>
      </c>
      <c r="AD61" s="203" t="n">
        <f aca="false">1+(J71*(1-AD60))/SUM(J66:J67)</f>
        <v>1.07436401872329</v>
      </c>
      <c r="AE61" s="203" t="n">
        <f aca="false">1+(K71*(1-AE60))/SUM(K66:K67)</f>
        <v>1</v>
      </c>
      <c r="AF61" s="203" t="n">
        <f aca="false">1+(L71*(1-AF60))/SUM(L66:L67)</f>
        <v>1</v>
      </c>
      <c r="AG61" s="203" t="n">
        <f aca="false">1+(M71*(1-AG60))/SUM(M66:M67)</f>
        <v>1</v>
      </c>
      <c r="AH61" s="203" t="n">
        <f aca="false">1+(N71*(1-AH60))/SUM(N66:N67)</f>
        <v>1.11559876829628</v>
      </c>
      <c r="AI61" s="203" t="n">
        <f aca="false">1+(O71*(1-AI60))/SUM(O66:O67)</f>
        <v>1</v>
      </c>
    </row>
    <row r="62" customFormat="false" ht="15" hidden="false" customHeight="false" outlineLevel="0" collapsed="false">
      <c r="B62" s="2" t="s">
        <v>463</v>
      </c>
      <c r="C62" s="2"/>
      <c r="D62" s="0" t="s">
        <v>464</v>
      </c>
      <c r="E62" s="0" t="s">
        <v>464</v>
      </c>
      <c r="F62" s="0" t="s">
        <v>464</v>
      </c>
      <c r="G62" s="0" t="s">
        <v>464</v>
      </c>
      <c r="H62" s="0" t="s">
        <v>464</v>
      </c>
      <c r="I62" s="0" t="s">
        <v>464</v>
      </c>
      <c r="J62" s="0" t="s">
        <v>16</v>
      </c>
      <c r="K62" s="0" t="s">
        <v>16</v>
      </c>
      <c r="L62" s="0" t="s">
        <v>16</v>
      </c>
      <c r="M62" s="0" t="s">
        <v>16</v>
      </c>
      <c r="N62" s="0" t="s">
        <v>16</v>
      </c>
      <c r="O62" s="0" t="s">
        <v>16</v>
      </c>
      <c r="T62" s="8"/>
      <c r="X62" s="18" t="str">
        <f aca="false">D62&amp;D63&amp;D64</f>
        <v>beefcows</v>
      </c>
      <c r="Y62" s="18" t="str">
        <f aca="false">E62&amp;E63&amp;E64</f>
        <v>beefcalves</v>
      </c>
      <c r="Z62" s="18" t="str">
        <f aca="false">F62&amp;F63</f>
        <v>beef</v>
      </c>
      <c r="AA62" s="18" t="str">
        <f aca="false">G62&amp;G63</f>
        <v>beef</v>
      </c>
      <c r="AB62" s="18" t="str">
        <f aca="false">H62&amp;H63&amp;H64</f>
        <v>beefbulls</v>
      </c>
      <c r="AC62" s="18" t="str">
        <f aca="false">I62&amp;I63&amp;I64</f>
        <v>beefmaize basedbulls</v>
      </c>
      <c r="AD62" s="18" t="str">
        <f aca="false">J62&amp;J63&amp;J64</f>
        <v>dairycows</v>
      </c>
      <c r="AE62" s="18" t="str">
        <f aca="false">K62&amp;K63&amp;K64</f>
        <v>dairycalves</v>
      </c>
      <c r="AF62" s="18" t="str">
        <f aca="false">L62&amp;L63</f>
        <v>dairy</v>
      </c>
      <c r="AG62" s="18" t="str">
        <f aca="false">M62&amp;M63&amp;M64</f>
        <v>dairybulls</v>
      </c>
      <c r="AH62" s="18" t="str">
        <f aca="false">N62&amp;N63&amp;N64</f>
        <v>dairymaize basedcows</v>
      </c>
      <c r="AI62" s="18" t="str">
        <f aca="false">O62&amp;O63&amp;O64</f>
        <v>dairymaize basedbulls</v>
      </c>
    </row>
    <row r="63" customFormat="false" ht="15" hidden="false" customHeight="false" outlineLevel="0" collapsed="false">
      <c r="B63" s="2" t="s">
        <v>465</v>
      </c>
      <c r="C63" s="2"/>
      <c r="I63" s="0" t="s">
        <v>466</v>
      </c>
      <c r="N63" s="0" t="s">
        <v>466</v>
      </c>
      <c r="O63" s="0" t="s">
        <v>466</v>
      </c>
      <c r="Q63" s="17"/>
      <c r="T63" s="8"/>
      <c r="U63" s="18" t="str">
        <f aca="false">B66</f>
        <v>ley silage, 1st cut</v>
      </c>
      <c r="X63" s="13" t="n">
        <f aca="false">X61*D66/D$116*100</f>
        <v>0</v>
      </c>
      <c r="Y63" s="13" t="n">
        <f aca="false">Y61*E66/E$116*100</f>
        <v>55.3869865919231</v>
      </c>
      <c r="Z63" s="13" t="n">
        <f aca="false">Z61*F66/F$116*100</f>
        <v>0</v>
      </c>
      <c r="AA63" s="13" t="n">
        <f aca="false">AA61*G66/G$116*100</f>
        <v>0</v>
      </c>
      <c r="AB63" s="13" t="n">
        <f aca="false">AB61*H66/H$116*100</f>
        <v>60.1387136266191</v>
      </c>
      <c r="AC63" s="13" t="n">
        <f aca="false">AC61*I66/I$116*100</f>
        <v>56.0705381809081</v>
      </c>
      <c r="AD63" s="13" t="n">
        <f aca="false">AD61*J66/J$116*100</f>
        <v>41.4808523393006</v>
      </c>
      <c r="AE63" s="13" t="n">
        <f aca="false">AE61*K66/K$116*100</f>
        <v>69.9880966291617</v>
      </c>
      <c r="AF63" s="13" t="n">
        <f aca="false">AF61*L66/L$116*100</f>
        <v>0</v>
      </c>
      <c r="AG63" s="13" t="n">
        <f aca="false">AG61*M66/M$116*100</f>
        <v>65.0658846093256</v>
      </c>
      <c r="AH63" s="13" t="n">
        <f aca="false">AH61*N66/N$116*100</f>
        <v>22.9382941257786</v>
      </c>
      <c r="AI63" s="13" t="n">
        <f aca="false">AI61*O66/O$116*100</f>
        <v>56.6689115807229</v>
      </c>
    </row>
    <row r="64" customFormat="false" ht="15" hidden="false" customHeight="false" outlineLevel="0" collapsed="false">
      <c r="B64" s="2" t="s">
        <v>467</v>
      </c>
      <c r="C64" s="2"/>
      <c r="D64" s="0" t="s">
        <v>48</v>
      </c>
      <c r="E64" s="0" t="s">
        <v>55</v>
      </c>
      <c r="F64" s="0" t="s">
        <v>62</v>
      </c>
      <c r="G64" s="0" t="s">
        <v>63</v>
      </c>
      <c r="H64" s="0" t="s">
        <v>64</v>
      </c>
      <c r="I64" s="0" t="s">
        <v>64</v>
      </c>
      <c r="J64" s="0" t="s">
        <v>48</v>
      </c>
      <c r="K64" s="0" t="s">
        <v>55</v>
      </c>
      <c r="L64" s="0" t="s">
        <v>63</v>
      </c>
      <c r="M64" s="0" t="s">
        <v>64</v>
      </c>
      <c r="N64" s="0" t="s">
        <v>48</v>
      </c>
      <c r="O64" s="0" t="s">
        <v>64</v>
      </c>
      <c r="T64" s="8"/>
      <c r="U64" s="18" t="str">
        <f aca="false">B67</f>
        <v>ley silage, regrowth</v>
      </c>
      <c r="X64" s="13" t="n">
        <f aca="false">X61*D67/D$116*100</f>
        <v>19.638470390756</v>
      </c>
      <c r="Y64" s="13" t="n">
        <f aca="false">Y61*E67/E$116*100</f>
        <v>0</v>
      </c>
      <c r="Z64" s="13" t="n">
        <f aca="false">Z61*F67/F$116*100</f>
        <v>68.8547689675761</v>
      </c>
      <c r="AA64" s="13" t="n">
        <f aca="false">AA61*G67/G$116*100</f>
        <v>69.0169743513704</v>
      </c>
      <c r="AB64" s="13" t="n">
        <f aca="false">AB61*H67/H$116*100</f>
        <v>0</v>
      </c>
      <c r="AC64" s="13" t="n">
        <f aca="false">AC61*I67/I$116*100</f>
        <v>0</v>
      </c>
      <c r="AD64" s="13" t="n">
        <f aca="false">AD61*J67/J$116*100</f>
        <v>9.92471675137869</v>
      </c>
      <c r="AE64" s="13" t="n">
        <f aca="false">AE61*K67/K$116*100</f>
        <v>0</v>
      </c>
      <c r="AF64" s="13" t="n">
        <f aca="false">AF61*L67/L$116*100</f>
        <v>55.029062371649</v>
      </c>
      <c r="AG64" s="13" t="n">
        <f aca="false">AG61*M67/M$116*100</f>
        <v>0</v>
      </c>
      <c r="AH64" s="13" t="n">
        <f aca="false">AH61*N67/N$116*100</f>
        <v>10.6388191982826</v>
      </c>
      <c r="AI64" s="13" t="n">
        <f aca="false">AI61*O67/O$116*100</f>
        <v>0</v>
      </c>
    </row>
    <row r="65" customFormat="false" ht="15" hidden="false" customHeight="false" outlineLevel="0" collapsed="false">
      <c r="B65" s="2" t="s">
        <v>468</v>
      </c>
      <c r="C65" s="2"/>
      <c r="T65" s="8"/>
      <c r="U65" s="18" t="str">
        <f aca="false">B68</f>
        <v>other silage</v>
      </c>
      <c r="X65" s="13" t="n">
        <f aca="false">D68/D$116*100</f>
        <v>20.3217114212812</v>
      </c>
      <c r="Y65" s="13" t="n">
        <f aca="false">E68/E$116*100</f>
        <v>0</v>
      </c>
      <c r="Z65" s="13" t="n">
        <f aca="false">F68/F$116*100</f>
        <v>0</v>
      </c>
      <c r="AA65" s="13" t="n">
        <f aca="false">G68/G$116*100</f>
        <v>0</v>
      </c>
      <c r="AB65" s="13" t="n">
        <f aca="false">H68/H$116*100</f>
        <v>0</v>
      </c>
      <c r="AC65" s="13" t="n">
        <f aca="false">I68/I$116*100</f>
        <v>0</v>
      </c>
      <c r="AD65" s="13" t="n">
        <f aca="false">J68/J$116*100</f>
        <v>0</v>
      </c>
      <c r="AE65" s="13" t="n">
        <f aca="false">K68/K$116*100</f>
        <v>0</v>
      </c>
      <c r="AF65" s="13" t="n">
        <f aca="false">L68/L$116*100</f>
        <v>0</v>
      </c>
      <c r="AG65" s="13" t="n">
        <f aca="false">M68/M$116*100</f>
        <v>0</v>
      </c>
      <c r="AH65" s="13" t="n">
        <f aca="false">N68/N$116*100</f>
        <v>0</v>
      </c>
      <c r="AI65" s="13" t="n">
        <f aca="false">O68/O$116*100</f>
        <v>0</v>
      </c>
    </row>
    <row r="66" customFormat="false" ht="15" hidden="false" customHeight="false" outlineLevel="0" collapsed="false">
      <c r="A66" s="95"/>
      <c r="B66" s="0" t="s">
        <v>139</v>
      </c>
      <c r="D66" s="35"/>
      <c r="E66" s="35" t="n">
        <f aca="false">AR10</f>
        <v>826.643759332256</v>
      </c>
      <c r="F66" s="35"/>
      <c r="G66" s="35"/>
      <c r="H66" s="35" t="n">
        <f aca="false">(G6*D23+I6*F23)/(D23+F23)*C6</f>
        <v>1243.8128706134</v>
      </c>
      <c r="I66" s="8" t="n">
        <f aca="false">H9*C9</f>
        <v>1165</v>
      </c>
      <c r="J66" s="8" t="n">
        <f aca="false">Y6</f>
        <v>2973.75</v>
      </c>
      <c r="K66" s="8" t="n">
        <f aca="false">AQ10</f>
        <v>951.390232776844</v>
      </c>
      <c r="L66" s="35"/>
      <c r="M66" s="35" t="n">
        <f aca="false">(M6*D22+O6*F22)/(D22+F22)*C6</f>
        <v>2120.92882616344</v>
      </c>
      <c r="N66" s="35" t="n">
        <f aca="false">Z6</f>
        <v>1619.55</v>
      </c>
      <c r="O66" s="0" t="n">
        <f aca="false">N9*C9</f>
        <v>1868</v>
      </c>
      <c r="T66" s="204"/>
      <c r="U66" s="18" t="str">
        <f aca="false">B69</f>
        <v>maize silage</v>
      </c>
      <c r="X66" s="13" t="n">
        <f aca="false">D69/D$116*100</f>
        <v>0</v>
      </c>
      <c r="Y66" s="13" t="n">
        <f aca="false">E69/E$116*100</f>
        <v>0</v>
      </c>
      <c r="Z66" s="13" t="n">
        <f aca="false">F69/F$116*100</f>
        <v>0</v>
      </c>
      <c r="AA66" s="13" t="n">
        <f aca="false">G69/G$116*100</f>
        <v>0</v>
      </c>
      <c r="AB66" s="13" t="n">
        <f aca="false">H69/H$116*100</f>
        <v>0</v>
      </c>
      <c r="AC66" s="13" t="n">
        <f aca="false">I69/I$116*100</f>
        <v>13.0911471117657</v>
      </c>
      <c r="AD66" s="13" t="n">
        <f aca="false">J69/J$116*100</f>
        <v>0</v>
      </c>
      <c r="AE66" s="13" t="n">
        <f aca="false">K69/K$116*100</f>
        <v>0</v>
      </c>
      <c r="AF66" s="13" t="n">
        <f aca="false">L69/L$116*100</f>
        <v>0</v>
      </c>
      <c r="AG66" s="13" t="n">
        <f aca="false">M69/M$116*100</f>
        <v>0</v>
      </c>
      <c r="AH66" s="13" t="n">
        <f aca="false">N69/N$116*100</f>
        <v>15.8760488559367</v>
      </c>
      <c r="AI66" s="13" t="n">
        <f aca="false">O69/O$116*100</f>
        <v>13.2267909256933</v>
      </c>
    </row>
    <row r="67" customFormat="false" ht="15" hidden="false" customHeight="false" outlineLevel="0" collapsed="false">
      <c r="B67" s="0" t="s">
        <v>140</v>
      </c>
      <c r="D67" s="35" t="n">
        <f aca="false">SUMPRODUCT(D8:F8,D23:F23)/SUM(D23:F23)*C8</f>
        <v>777.225544936755</v>
      </c>
      <c r="F67" s="35" t="n">
        <f aca="false">SUMPRODUCT(V7:X7,D23:F23)/SUM(D23:F23)*C7</f>
        <v>2488.57630716729</v>
      </c>
      <c r="G67" s="35" t="n">
        <f aca="false">SUMPRODUCT(S7:U7,D23:F23)/SUM(D23:F23)*C7</f>
        <v>2536.00336454887</v>
      </c>
      <c r="H67" s="35"/>
      <c r="I67" s="8"/>
      <c r="J67" s="8" t="n">
        <f aca="false">Y7</f>
        <v>711.5</v>
      </c>
      <c r="L67" s="35" t="n">
        <f aca="false">SUMPRODUCT(P7:R7,D22:F22)/SUM(D22:F22)*C7</f>
        <v>2641.68011919297</v>
      </c>
      <c r="M67" s="35"/>
      <c r="N67" s="35" t="n">
        <f aca="false">Z7</f>
        <v>751.15</v>
      </c>
      <c r="U67" s="18" t="str">
        <f aca="false">B70</f>
        <v>straw</v>
      </c>
      <c r="X67" s="13" t="n">
        <f aca="false">D70/D$116*100</f>
        <v>1.12974484573372</v>
      </c>
      <c r="Y67" s="13" t="n">
        <f aca="false">E70/E$116*100</f>
        <v>0</v>
      </c>
      <c r="Z67" s="13" t="n">
        <f aca="false">F70/F$116*100</f>
        <v>0</v>
      </c>
      <c r="AA67" s="13" t="n">
        <f aca="false">G70/G$116*100</f>
        <v>0</v>
      </c>
      <c r="AB67" s="13" t="n">
        <f aca="false">H70/H$116*100</f>
        <v>0</v>
      </c>
      <c r="AC67" s="13" t="n">
        <f aca="false">I70/I$116*100</f>
        <v>0</v>
      </c>
      <c r="AD67" s="13" t="n">
        <f aca="false">J70/J$116*100</f>
        <v>3.16797384843931</v>
      </c>
      <c r="AE67" s="13" t="n">
        <f aca="false">K70/K$116*100</f>
        <v>0</v>
      </c>
      <c r="AF67" s="13" t="n">
        <f aca="false">L70/L$116*100</f>
        <v>0</v>
      </c>
      <c r="AG67" s="13" t="n">
        <f aca="false">M70/M$116*100</f>
        <v>0</v>
      </c>
      <c r="AH67" s="13" t="n">
        <f aca="false">N70/N$116*100</f>
        <v>3.09776563042668</v>
      </c>
      <c r="AI67" s="13" t="n">
        <f aca="false">O70/O$116*100</f>
        <v>0</v>
      </c>
    </row>
    <row r="68" customFormat="false" ht="15" hidden="false" customHeight="false" outlineLevel="0" collapsed="false">
      <c r="B68" s="0" t="s">
        <v>469</v>
      </c>
      <c r="D68" s="35" t="n">
        <f aca="false">SUMPRODUCT(D11:F11,D23:F23)/SUM(D23:F23)*C11</f>
        <v>804.265959577349</v>
      </c>
      <c r="F68" s="35"/>
      <c r="G68" s="35"/>
      <c r="H68" s="35"/>
      <c r="I68" s="8"/>
      <c r="L68" s="35"/>
      <c r="M68" s="35"/>
      <c r="N68" s="35"/>
      <c r="U68" s="18" t="str">
        <f aca="false">B71</f>
        <v>grazing</v>
      </c>
      <c r="X68" s="13" t="n">
        <f aca="false">X60*D71/D$116*100</f>
        <v>58.0509816697596</v>
      </c>
      <c r="Y68" s="13" t="n">
        <f aca="false">Y60*E71/E$116*100</f>
        <v>21.1610762469264</v>
      </c>
      <c r="Z68" s="13" t="n">
        <f aca="false">Z60*F71/F$116*100</f>
        <v>30.4258542594469</v>
      </c>
      <c r="AA68" s="13" t="n">
        <f aca="false">AA60*G71/G$116*100</f>
        <v>30.2820834942356</v>
      </c>
      <c r="AB68" s="13" t="n">
        <f aca="false">AB60*H71/H$116*100</f>
        <v>0</v>
      </c>
      <c r="AC68" s="13" t="n">
        <f aca="false">AC60*I71/I$116*100</f>
        <v>0</v>
      </c>
      <c r="AD68" s="13" t="n">
        <f aca="false">AD60*J71/J$116*100</f>
        <v>6.60795200886551</v>
      </c>
      <c r="AE68" s="13" t="n">
        <f aca="false">AE60*K71/K$116*100</f>
        <v>13.6239530525062</v>
      </c>
      <c r="AF68" s="13" t="n">
        <f aca="false">AF60*L71/L$116*100</f>
        <v>38.6147882144202</v>
      </c>
      <c r="AG68" s="13" t="n">
        <f aca="false">AG60*M71/M$116*100</f>
        <v>0</v>
      </c>
      <c r="AH68" s="13" t="n">
        <f aca="false">AH60*N71/N$116*100</f>
        <v>6.46150744920351</v>
      </c>
      <c r="AI68" s="13" t="n">
        <f aca="false">AI60*O71/O$116*100</f>
        <v>0</v>
      </c>
    </row>
    <row r="69" customFormat="false" ht="15" hidden="false" customHeight="false" outlineLevel="0" collapsed="false">
      <c r="B69" s="0" t="s">
        <v>470</v>
      </c>
      <c r="D69" s="35"/>
      <c r="F69" s="35"/>
      <c r="G69" s="35"/>
      <c r="H69" s="35"/>
      <c r="I69" s="8" t="n">
        <f aca="false">H10*C10</f>
        <v>272</v>
      </c>
      <c r="L69" s="35"/>
      <c r="M69" s="35"/>
      <c r="N69" s="35" t="n">
        <f aca="false">Z10</f>
        <v>1250.5</v>
      </c>
      <c r="O69" s="0" t="n">
        <f aca="false">N10*C10</f>
        <v>436</v>
      </c>
      <c r="U69" s="18" t="str">
        <f aca="false">B82</f>
        <v>wheat</v>
      </c>
      <c r="X69" s="13" t="n">
        <f aca="false">(D73+D82)/D$116*100</f>
        <v>0</v>
      </c>
      <c r="Y69" s="13" t="n">
        <f aca="false">(E73+E82)/E$116*100</f>
        <v>5.37499254470458</v>
      </c>
      <c r="Z69" s="13" t="n">
        <f aca="false">(F73+F82)/F$116*100</f>
        <v>0</v>
      </c>
      <c r="AA69" s="13" t="n">
        <f aca="false">(G73+G82)/G$116*100</f>
        <v>0</v>
      </c>
      <c r="AB69" s="13" t="n">
        <f aca="false">(H73+H82)/H$116*100</f>
        <v>8.7950802360888</v>
      </c>
      <c r="AC69" s="13" t="n">
        <f aca="false">(I73+I82)/I$116*100</f>
        <v>6.33819364270431</v>
      </c>
      <c r="AD69" s="13" t="n">
        <f aca="false">(J73+J82)/J$116*100</f>
        <v>6.14973918705699</v>
      </c>
      <c r="AE69" s="13" t="n">
        <f aca="false">(K73+K82)/K$116*100</f>
        <v>3.39264525573759</v>
      </c>
      <c r="AF69" s="13" t="n">
        <f aca="false">(L73+L82)/L$116*100</f>
        <v>1.37029953158566</v>
      </c>
      <c r="AG69" s="13" t="n">
        <f aca="false">(M73+M82)/M$116*100</f>
        <v>7.59727244920592</v>
      </c>
      <c r="AH69" s="13" t="n">
        <f aca="false">(N73+N82)/N$116*100</f>
        <v>5.09748812377307</v>
      </c>
      <c r="AI69" s="13" t="n">
        <f aca="false">(O73+O82)/O$116*100</f>
        <v>6.36157601620528</v>
      </c>
    </row>
    <row r="70" customFormat="false" ht="15" hidden="false" customHeight="false" outlineLevel="0" collapsed="false">
      <c r="B70" s="0" t="s">
        <v>471</v>
      </c>
      <c r="D70" s="35" t="n">
        <f aca="false">SUMPRODUCT(D12:F12,D23:F23)/SUM(D23:F23)*C12</f>
        <v>44.711555222661</v>
      </c>
      <c r="F70" s="35"/>
      <c r="G70" s="35"/>
      <c r="H70" s="35"/>
      <c r="J70" s="8" t="n">
        <f aca="false">Y12</f>
        <v>244</v>
      </c>
      <c r="L70" s="35"/>
      <c r="M70" s="35"/>
      <c r="N70" s="35" t="n">
        <f aca="false">Z12</f>
        <v>244</v>
      </c>
      <c r="U70" s="18" t="str">
        <f aca="false">B83</f>
        <v>barley</v>
      </c>
      <c r="X70" s="13" t="n">
        <f aca="false">(D75+D83)/D$116*100</f>
        <v>0</v>
      </c>
      <c r="Y70" s="13" t="n">
        <f aca="false">(E75+E83)/E$116*100</f>
        <v>9.87761390530893</v>
      </c>
      <c r="Z70" s="13" t="n">
        <f aca="false">(F75+F83)/F$116*100</f>
        <v>0</v>
      </c>
      <c r="AA70" s="13" t="n">
        <f aca="false">(G75+G83)/G$116*100</f>
        <v>0</v>
      </c>
      <c r="AB70" s="13" t="n">
        <f aca="false">(H75+H83)/H$116*100</f>
        <v>16.4562730524442</v>
      </c>
      <c r="AC70" s="13" t="n">
        <f aca="false">(I75+I83)/I$116*100</f>
        <v>13.0097386034658</v>
      </c>
      <c r="AD70" s="13" t="n">
        <f aca="false">(J75+J83)/J$116*100</f>
        <v>11.2906060599908</v>
      </c>
      <c r="AE70" s="13" t="n">
        <f aca="false">(K75+K83)/K$116*100</f>
        <v>5.96960931036264</v>
      </c>
      <c r="AF70" s="13" t="n">
        <f aca="false">(L75+L83)/L$116*100</f>
        <v>2.14641087023092</v>
      </c>
      <c r="AG70" s="13" t="n">
        <f aca="false">(M75+M83)/M$116*100</f>
        <v>13.5913389703657</v>
      </c>
      <c r="AH70" s="13" t="n">
        <f aca="false">(N75+N83)/N$116*100</f>
        <v>8.40417001807589</v>
      </c>
      <c r="AI70" s="13" t="n">
        <f aca="false">(O75+O83)/O$116*100</f>
        <v>12.896189928778</v>
      </c>
    </row>
    <row r="71" customFormat="false" ht="15" hidden="false" customHeight="false" outlineLevel="0" collapsed="false">
      <c r="B71" s="0" t="s">
        <v>141</v>
      </c>
      <c r="D71" s="35" t="n">
        <f aca="false">SUMPRODUCT(D13:F13,D23:F23)/SUM(D23:F23)*C13+SUMPRODUCT(D14:F14,D23:F23)/SUM(D23:F23)*C14</f>
        <v>2297.46538119538</v>
      </c>
      <c r="E71" s="35" t="n">
        <f aca="false">AR14</f>
        <v>315.826382633111</v>
      </c>
      <c r="F71" s="35" t="n">
        <f aca="false">SUMPRODUCT(V13:X13,D23:F23)/SUM(D23:F23)*C13+SUMPRODUCT(V14:X14,D23:F23)/SUM(D23:F23)*C14</f>
        <v>1099.66326473392</v>
      </c>
      <c r="G71" s="35" t="n">
        <f aca="false">SUMPRODUCT(S13:U13,D23:F23)/SUM(D23:F23)*C13+SUMPRODUCT(S14:U14,D23:F23)/SUM(D23:F23)*C14</f>
        <v>1112.70403185106</v>
      </c>
      <c r="H71" s="35"/>
      <c r="J71" s="0" t="n">
        <f aca="false">Y14</f>
        <v>783</v>
      </c>
      <c r="K71" s="8" t="n">
        <f aca="false">AQ14</f>
        <v>185.198576475702</v>
      </c>
      <c r="L71" s="35" t="n">
        <f aca="false">SUMPRODUCT(P13:R13,D22:F22)/SUM(D22:F22)*C13+SUMPRODUCT(P14:R14,D22:F22)/SUM(D22:F22)*C14</f>
        <v>1853.70991139103</v>
      </c>
      <c r="M71" s="35"/>
      <c r="N71" s="35" t="n">
        <f aca="false">Z14</f>
        <v>783</v>
      </c>
      <c r="Q71" s="8"/>
      <c r="T71" s="8"/>
      <c r="U71" s="18" t="str">
        <f aca="false">B84</f>
        <v>oats</v>
      </c>
      <c r="X71" s="13" t="n">
        <f aca="false">(D76+D84)/D$116*100</f>
        <v>0</v>
      </c>
      <c r="Y71" s="13" t="n">
        <f aca="false">(E76+E84)/E$116*100</f>
        <v>2.21234433101042</v>
      </c>
      <c r="Z71" s="13" t="n">
        <f aca="false">(F76+F84)/F$116*100</f>
        <v>0</v>
      </c>
      <c r="AA71" s="13" t="n">
        <f aca="false">(G76+G84)/G$116*100</f>
        <v>0</v>
      </c>
      <c r="AB71" s="13" t="n">
        <f aca="false">(H76+H84)/H$116*100</f>
        <v>3.63724655942158</v>
      </c>
      <c r="AC71" s="13" t="n">
        <f aca="false">(I76+I84)/I$116*100</f>
        <v>2.68857920151665</v>
      </c>
      <c r="AD71" s="13" t="n">
        <f aca="false">(J76+J84)/J$116*100</f>
        <v>2.5305995086863</v>
      </c>
      <c r="AE71" s="13" t="n">
        <f aca="false">(K76+K84)/K$116*100</f>
        <v>1.3808860041656</v>
      </c>
      <c r="AF71" s="13" t="n">
        <f aca="false">(L76+L84)/L$116*100</f>
        <v>0.542237370749291</v>
      </c>
      <c r="AG71" s="13" t="n">
        <f aca="false">(M76+M84)/M$116*100</f>
        <v>3.10535197168361</v>
      </c>
      <c r="AH71" s="13" t="n">
        <f aca="false">(N76+N84)/N$116*100</f>
        <v>2.0416884227683</v>
      </c>
      <c r="AI71" s="13" t="n">
        <f aca="false">(O76+O84)/O$116*100</f>
        <v>2.68903535703005</v>
      </c>
    </row>
    <row r="72" customFormat="false" ht="15" hidden="false" customHeight="false" outlineLevel="0" collapsed="false">
      <c r="A72" s="95"/>
      <c r="B72" s="2" t="s">
        <v>472</v>
      </c>
      <c r="C72" s="2"/>
      <c r="D72" s="205"/>
      <c r="E72" s="205" t="n">
        <f aca="false">AR14*AC15*AF25</f>
        <v>266.32898660946</v>
      </c>
      <c r="F72" s="205"/>
      <c r="G72" s="205"/>
      <c r="H72" s="205" t="n">
        <f aca="false">(G15*D$23+I15*F$23)/(D$23+F$23)*C15</f>
        <v>630.776618256051</v>
      </c>
      <c r="I72" s="204" t="n">
        <f aca="false">H15*C15</f>
        <v>562.44</v>
      </c>
      <c r="J72" s="204" t="n">
        <f aca="false">Y15*C15</f>
        <v>1568.84839040715</v>
      </c>
      <c r="K72" s="204" t="n">
        <f aca="false">AQ14*AC15*AD25</f>
        <v>137.165816431202</v>
      </c>
      <c r="L72" s="205" t="n">
        <f aca="false">SUMPRODUCT(P15:R15,D$22:F$22)/SUM(D$22:F$22)*C15</f>
        <v>139.410446429651</v>
      </c>
      <c r="M72" s="205" t="n">
        <f aca="false">(M15*D$22+O15*F$22)/(D$22+F$22)*C15</f>
        <v>768.773736126659</v>
      </c>
      <c r="N72" s="205" t="n">
        <f aca="false">Z15*C15</f>
        <v>997.163390407151</v>
      </c>
      <c r="O72" s="204" t="n">
        <f aca="false">N15*C15</f>
        <v>872.04</v>
      </c>
      <c r="Q72" s="204"/>
      <c r="T72" s="204"/>
      <c r="U72" s="18" t="str">
        <f aca="false">B85</f>
        <v>triticale</v>
      </c>
      <c r="X72" s="13" t="n">
        <f aca="false">(D74+D85)/D$116*100</f>
        <v>0</v>
      </c>
      <c r="Y72" s="13" t="n">
        <f aca="false">(E74+E85)/E$116*100</f>
        <v>3.47599225205266</v>
      </c>
      <c r="Z72" s="13" t="n">
        <f aca="false">(F74+F85)/F$116*100</f>
        <v>0</v>
      </c>
      <c r="AA72" s="13" t="n">
        <f aca="false">(G74+G85)/G$116*100</f>
        <v>0</v>
      </c>
      <c r="AB72" s="13" t="n">
        <f aca="false">(H74+H85)/H$116*100</f>
        <v>5.88914804852376</v>
      </c>
      <c r="AC72" s="13" t="n">
        <f aca="false">(I74+I85)/I$116*100</f>
        <v>5.03328554327456</v>
      </c>
      <c r="AD72" s="13" t="n">
        <f aca="false">(J74+J85)/J$116*100</f>
        <v>3.9696382637078</v>
      </c>
      <c r="AE72" s="13" t="n">
        <f aca="false">(K74+K85)/K$116*100</f>
        <v>2.01218545901513</v>
      </c>
      <c r="AF72" s="13" t="n">
        <f aca="false">(L74+L85)/L$116*100</f>
        <v>0.63111634374194</v>
      </c>
      <c r="AG72" s="13" t="n">
        <f aca="false">(M74+M85)/M$116*100</f>
        <v>4.65920105151494</v>
      </c>
      <c r="AH72" s="13" t="n">
        <f aca="false">(N74+N85)/N$116*100</f>
        <v>2.63556876881543</v>
      </c>
      <c r="AI72" s="13" t="n">
        <f aca="false">(O74+O85)/O$116*100</f>
        <v>4.94103219206926</v>
      </c>
    </row>
    <row r="73" customFormat="false" ht="15" hidden="false" customHeight="false" outlineLevel="0" collapsed="false">
      <c r="B73" s="206" t="s">
        <v>142</v>
      </c>
      <c r="C73" s="206"/>
      <c r="D73" s="35"/>
      <c r="E73" s="35" t="n">
        <f aca="false">E$72*$AF26</f>
        <v>62.3589711573974</v>
      </c>
      <c r="F73" s="35"/>
      <c r="G73" s="35"/>
      <c r="H73" s="35" t="n">
        <f aca="false">H$72*$AF26</f>
        <v>147.691700574332</v>
      </c>
      <c r="I73" s="35" t="n">
        <f aca="false">I$72*$AF26</f>
        <v>131.691184591924</v>
      </c>
      <c r="J73" s="35" t="n">
        <f aca="false">J$72*$AD26</f>
        <v>367.334298730268</v>
      </c>
      <c r="K73" s="35" t="n">
        <f aca="false">K$72*$AF26</f>
        <v>32.1163659258648</v>
      </c>
      <c r="L73" s="35" t="n">
        <f aca="false">L$72*$AF26</f>
        <v>32.6419295121431</v>
      </c>
      <c r="M73" s="35" t="n">
        <f aca="false">M$72*$AF26</f>
        <v>180.002709611122</v>
      </c>
      <c r="N73" s="35" t="n">
        <f aca="false">N$72*$AD26</f>
        <v>233.478465461947</v>
      </c>
      <c r="O73" s="35" t="n">
        <f aca="false">O$72*$AF26</f>
        <v>204.181744917755</v>
      </c>
      <c r="Q73" s="8"/>
      <c r="T73" s="8"/>
      <c r="U73" s="18" t="str">
        <f aca="false">B86</f>
        <v>rye</v>
      </c>
      <c r="X73" s="13" t="n">
        <f aca="false">(D77+D86)/D$116*100</f>
        <v>0</v>
      </c>
      <c r="Y73" s="13" t="n">
        <f aca="false">(E77+E86)/E$116*100</f>
        <v>0.00977293440095675</v>
      </c>
      <c r="Z73" s="13" t="n">
        <f aca="false">(F77+F86)/F$116*100</f>
        <v>0</v>
      </c>
      <c r="AA73" s="13" t="n">
        <f aca="false">(G77+G86)/G$116*100</f>
        <v>0</v>
      </c>
      <c r="AB73" s="13" t="n">
        <f aca="false">(H77+H86)/H$116*100</f>
        <v>0.0135075332938386</v>
      </c>
      <c r="AC73" s="13" t="n">
        <f aca="false">(I77+I86)/I$116*100</f>
        <v>0</v>
      </c>
      <c r="AD73" s="13" t="n">
        <f aca="false">(J77+J86)/J$116*100</f>
        <v>0.011272622080408</v>
      </c>
      <c r="AE73" s="13" t="n">
        <f aca="false">(K77+K86)/K$116*100</f>
        <v>0.00841114772331447</v>
      </c>
      <c r="AF73" s="13" t="n">
        <f aca="false">(L77+L86)/L$116*100</f>
        <v>0.0056371722021105</v>
      </c>
      <c r="AG73" s="13" t="n">
        <f aca="false">(M77+M86)/M$116*100</f>
        <v>0.0169453933479945</v>
      </c>
      <c r="AH73" s="13" t="n">
        <f aca="false">(N77+N86)/N$116*100</f>
        <v>0.0174202767258809</v>
      </c>
      <c r="AI73" s="13" t="n">
        <f aca="false">(O77+O86)/O$116*100</f>
        <v>0.00136680847134121</v>
      </c>
    </row>
    <row r="74" customFormat="false" ht="15" hidden="false" customHeight="false" outlineLevel="0" collapsed="false">
      <c r="B74" s="206" t="s">
        <v>412</v>
      </c>
      <c r="C74" s="206"/>
      <c r="D74" s="35"/>
      <c r="E74" s="35" t="n">
        <f aca="false">E$72*$AF27</f>
        <v>49.5204983806845</v>
      </c>
      <c r="F74" s="35"/>
      <c r="G74" s="35"/>
      <c r="H74" s="35" t="n">
        <f aca="false">H$72*$AF27</f>
        <v>117.284914798729</v>
      </c>
      <c r="I74" s="35" t="n">
        <f aca="false">I$72*$AF27</f>
        <v>104.578587046833</v>
      </c>
      <c r="J74" s="35" t="n">
        <f aca="false">J$72*$AD27</f>
        <v>291.707467391149</v>
      </c>
      <c r="K74" s="35" t="n">
        <f aca="false">K$72*$AF27</f>
        <v>25.5042444945244</v>
      </c>
      <c r="L74" s="35" t="n">
        <f aca="false">L$72*$AF27</f>
        <v>25.9216049839646</v>
      </c>
      <c r="M74" s="35" t="n">
        <f aca="false">M$72*$AF27</f>
        <v>142.943729256171</v>
      </c>
      <c r="N74" s="35" t="n">
        <f aca="false">N$72*$AD27</f>
        <v>185.409889807996</v>
      </c>
      <c r="O74" s="35" t="n">
        <f aca="false">O$72*$AF27</f>
        <v>162.144781751511</v>
      </c>
      <c r="Q74" s="8"/>
      <c r="T74" s="8"/>
      <c r="U74" s="18" t="str">
        <f aca="false">B87</f>
        <v>maize</v>
      </c>
      <c r="X74" s="13" t="n">
        <f aca="false">D87/D$116*100</f>
        <v>0</v>
      </c>
      <c r="Y74" s="13" t="n">
        <f aca="false">E87/E$116*100</f>
        <v>0.042459669391401</v>
      </c>
      <c r="Z74" s="13" t="n">
        <f aca="false">F87/F$116*100</f>
        <v>0</v>
      </c>
      <c r="AA74" s="13" t="n">
        <f aca="false">G87/G$116*100</f>
        <v>0</v>
      </c>
      <c r="AB74" s="13" t="n">
        <f aca="false">H87/H$116*100</f>
        <v>0.0586850759883931</v>
      </c>
      <c r="AC74" s="13" t="n">
        <f aca="false">I87/I$116*100</f>
        <v>0</v>
      </c>
      <c r="AD74" s="13" t="n">
        <f aca="false">J87/J$116*100</f>
        <v>0.39798335104431</v>
      </c>
      <c r="AE74" s="13" t="n">
        <f aca="false">K87/K$116*100</f>
        <v>0.0365432261060921</v>
      </c>
      <c r="AF74" s="13" t="n">
        <f aca="false">L87/L$116*100</f>
        <v>0.0244913613643591</v>
      </c>
      <c r="AG74" s="13" t="n">
        <f aca="false">M87/M$116*100</f>
        <v>0.0736212656039781</v>
      </c>
      <c r="AH74" s="13" t="n">
        <f aca="false">N87/N$116*100</f>
        <v>0.615028168072353</v>
      </c>
      <c r="AI74" s="13" t="n">
        <f aca="false">O87/O$116*100</f>
        <v>0.0482555887867074</v>
      </c>
    </row>
    <row r="75" customFormat="false" ht="15" hidden="false" customHeight="false" outlineLevel="0" collapsed="false">
      <c r="B75" s="206" t="s">
        <v>405</v>
      </c>
      <c r="C75" s="206"/>
      <c r="D75" s="35"/>
      <c r="E75" s="35" t="n">
        <f aca="false">E$72*$AF28</f>
        <v>127.997653601612</v>
      </c>
      <c r="F75" s="35"/>
      <c r="G75" s="35"/>
      <c r="H75" s="35" t="n">
        <f aca="false">H$72*$AF28</f>
        <v>303.151106874922</v>
      </c>
      <c r="I75" s="35" t="n">
        <f aca="false">I$72*$AF28</f>
        <v>270.308542859651</v>
      </c>
      <c r="J75" s="35" t="n">
        <f aca="false">J$72*$AD28</f>
        <v>753.98819852547</v>
      </c>
      <c r="K75" s="35" t="n">
        <f aca="false">K$72*$AF28</f>
        <v>65.9218618335687</v>
      </c>
      <c r="L75" s="35" t="n">
        <f aca="false">L$72*$AF28</f>
        <v>67.000630527367</v>
      </c>
      <c r="M75" s="35" t="n">
        <f aca="false">M$72*$AF28</f>
        <v>369.472492001221</v>
      </c>
      <c r="N75" s="35" t="n">
        <f aca="false">N$72*$AD28</f>
        <v>479.23651065704</v>
      </c>
      <c r="O75" s="35" t="n">
        <f aca="false">O$72*$AF28</f>
        <v>419.102236176889</v>
      </c>
      <c r="Q75" s="8"/>
      <c r="T75" s="204"/>
      <c r="U75" s="18" t="str">
        <f aca="false">B88</f>
        <v>peas</v>
      </c>
      <c r="X75" s="13" t="n">
        <f aca="false">(D79+D88)/D$116*100</f>
        <v>0</v>
      </c>
      <c r="Y75" s="13" t="n">
        <f aca="false">(E79+E88)/E$116*100</f>
        <v>0.188188355390635</v>
      </c>
      <c r="Z75" s="13" t="n">
        <f aca="false">(F79+F88)/F$116*100</f>
        <v>0</v>
      </c>
      <c r="AA75" s="13" t="n">
        <f aca="false">(G79+G88)/G$116*100</f>
        <v>0</v>
      </c>
      <c r="AB75" s="13" t="n">
        <f aca="false">(H79+H88)/H$116*100</f>
        <v>1.23052130875467</v>
      </c>
      <c r="AC75" s="13" t="n">
        <f aca="false">(I79+I88)/I$116*100</f>
        <v>1.63704820111978</v>
      </c>
      <c r="AD75" s="13" t="n">
        <f aca="false">(J79+J88)/J$116*100</f>
        <v>0.0621985408863165</v>
      </c>
      <c r="AE75" s="13" t="n">
        <f aca="false">(K79+K88)/K$116*100</f>
        <v>0.839957556026645</v>
      </c>
      <c r="AF75" s="13" t="n">
        <f aca="false">(L79+L88)/L$116*100</f>
        <v>0.0331295452308032</v>
      </c>
      <c r="AG75" s="13" t="n">
        <f aca="false">(M79+M88)/M$116*100</f>
        <v>1.37947970590709</v>
      </c>
      <c r="AH75" s="13" t="n">
        <f aca="false">(N79+N88)/N$116*100</f>
        <v>0.0961192335249862</v>
      </c>
      <c r="AI75" s="13" t="n">
        <f aca="false">(O79+O88)/O$116*100</f>
        <v>0.430868661957858</v>
      </c>
    </row>
    <row r="76" customFormat="false" ht="15" hidden="false" customHeight="false" outlineLevel="0" collapsed="false">
      <c r="B76" s="206" t="s">
        <v>409</v>
      </c>
      <c r="C76" s="206"/>
      <c r="D76" s="35"/>
      <c r="E76" s="35" t="n">
        <f aca="false">E$72*$AF29</f>
        <v>26.4518634697664</v>
      </c>
      <c r="F76" s="35"/>
      <c r="G76" s="35"/>
      <c r="H76" s="35" t="n">
        <f aca="false">H$72*$AF29</f>
        <v>62.6488960080673</v>
      </c>
      <c r="I76" s="35" t="n">
        <f aca="false">I$72*$AF29</f>
        <v>55.8616855015921</v>
      </c>
      <c r="J76" s="35" t="n">
        <f aca="false">J$72*$AD29</f>
        <v>155.818425760265</v>
      </c>
      <c r="K76" s="35" t="n">
        <f aca="false">K$72*$AF29</f>
        <v>13.6233441772436</v>
      </c>
      <c r="L76" s="35" t="n">
        <f aca="false">L$72*$AF29</f>
        <v>13.8462814061761</v>
      </c>
      <c r="M76" s="35" t="n">
        <f aca="false">M$72*$AF29</f>
        <v>76.3548052581456</v>
      </c>
      <c r="N76" s="35" t="n">
        <f aca="false">N$72*$AD29</f>
        <v>99.0385244801678</v>
      </c>
      <c r="O76" s="35" t="n">
        <f aca="false">O$72*$AF29</f>
        <v>86.6112371538447</v>
      </c>
      <c r="Q76" s="8"/>
      <c r="U76" s="18" t="str">
        <f aca="false">B89</f>
        <v>broad beans</v>
      </c>
      <c r="X76" s="13" t="n">
        <f aca="false">(D80+D89)/D$116*100</f>
        <v>0</v>
      </c>
      <c r="Y76" s="13" t="n">
        <f aca="false">(E80+E89)/E$116*100</f>
        <v>0.195135842827739</v>
      </c>
      <c r="Z76" s="13" t="n">
        <f aca="false">(F80+F89)/F$116*100</f>
        <v>0</v>
      </c>
      <c r="AA76" s="13" t="n">
        <f aca="false">(G80+G89)/G$116*100</f>
        <v>0</v>
      </c>
      <c r="AB76" s="13" t="n">
        <f aca="false">(H80+H89)/H$116*100</f>
        <v>1.19084580687258</v>
      </c>
      <c r="AC76" s="13" t="n">
        <f aca="false">(I80+I89)/I$116*100</f>
        <v>1.5539189073731</v>
      </c>
      <c r="AD76" s="13" t="n">
        <f aca="false">(J80+J89)/J$116*100</f>
        <v>0.213732638427867</v>
      </c>
      <c r="AE76" s="13" t="n">
        <f aca="false">(K80+K89)/K$116*100</f>
        <v>0.811508540850686</v>
      </c>
      <c r="AF76" s="13" t="n">
        <f aca="false">(L80+L89)/L$116*100</f>
        <v>0.040966798466627</v>
      </c>
      <c r="AG76" s="13" t="n">
        <f aca="false">(M80+M89)/M$116*100</f>
        <v>1.33804566006879</v>
      </c>
      <c r="AH76" s="13" t="n">
        <f aca="false">(N80+N89)/N$116*100</f>
        <v>0.33029420131428</v>
      </c>
      <c r="AI76" s="13" t="n">
        <f aca="false">(O80+O89)/O$116*100</f>
        <v>0.427745667081327</v>
      </c>
    </row>
    <row r="77" customFormat="false" ht="15" hidden="false" customHeight="false" outlineLevel="0" collapsed="false">
      <c r="B77" s="18" t="s">
        <v>414</v>
      </c>
      <c r="C77" s="18"/>
      <c r="D77" s="35"/>
      <c r="F77" s="35"/>
      <c r="G77" s="35"/>
      <c r="H77" s="35"/>
      <c r="I77" s="35"/>
      <c r="L77" s="35"/>
      <c r="M77" s="35"/>
      <c r="N77" s="35"/>
      <c r="O77" s="35"/>
      <c r="Q77" s="8"/>
      <c r="U77" s="18" t="str">
        <f aca="false">B90</f>
        <v>rapeseed</v>
      </c>
      <c r="X77" s="13" t="n">
        <f aca="false">D90/D$116*100</f>
        <v>0</v>
      </c>
      <c r="Y77" s="13" t="n">
        <f aca="false">E90/E$116*100</f>
        <v>0.360973781673575</v>
      </c>
      <c r="Z77" s="13" t="n">
        <f aca="false">F90/F$116*100</f>
        <v>0</v>
      </c>
      <c r="AA77" s="13" t="n">
        <f aca="false">G90/G$116*100</f>
        <v>0</v>
      </c>
      <c r="AB77" s="13" t="n">
        <f aca="false">H90/H$116*100</f>
        <v>0.49891518495011</v>
      </c>
      <c r="AC77" s="13" t="n">
        <f aca="false">I90/I$116*100</f>
        <v>0</v>
      </c>
      <c r="AD77" s="13" t="n">
        <f aca="false">J90/J$116*100</f>
        <v>3.38348266316649</v>
      </c>
      <c r="AE77" s="13" t="n">
        <f aca="false">K90/K$116*100</f>
        <v>0.310674734663385</v>
      </c>
      <c r="AF77" s="13" t="n">
        <f aca="false">L90/L$116*100</f>
        <v>0.208214982752956</v>
      </c>
      <c r="AG77" s="13" t="n">
        <f aca="false">M90/M$116*100</f>
        <v>0.625896221934425</v>
      </c>
      <c r="AH77" s="13" t="n">
        <f aca="false">N90/N$116*100</f>
        <v>5.22870401128958</v>
      </c>
      <c r="AI77" s="13" t="n">
        <f aca="false">O90/O$116*100</f>
        <v>0.410248186594463</v>
      </c>
    </row>
    <row r="78" customFormat="false" ht="15" hidden="false" customHeight="false" outlineLevel="0" collapsed="false">
      <c r="B78" s="2" t="s">
        <v>473</v>
      </c>
      <c r="C78" s="2"/>
      <c r="D78" s="205"/>
      <c r="E78" s="205" t="n">
        <f aca="false">AR14*AC15*AF31</f>
        <v>5.28170245501581</v>
      </c>
      <c r="F78" s="205"/>
      <c r="G78" s="205"/>
      <c r="H78" s="205" t="n">
        <f aca="false">(G16*D$23+I16*F$23)/(D$23+F$23)*C16</f>
        <v>49.2381607854574</v>
      </c>
      <c r="I78" s="204" t="n">
        <f aca="false">H16*C16</f>
        <v>66.3</v>
      </c>
      <c r="K78" s="204" t="n">
        <f aca="false">AQ14*AC15*AD31</f>
        <v>22.1049593379023</v>
      </c>
      <c r="L78" s="205" t="n">
        <f aca="false">SUMPRODUCT(P16:R16,D$22:F$22)/SUM(D$22:F$22)*C16</f>
        <v>2.7418595795607</v>
      </c>
      <c r="M78" s="205" t="n">
        <f aca="false">(M16*D$22+O16*F$22)/(D$22+F$22)*C16</f>
        <v>86.9183383975692</v>
      </c>
      <c r="N78" s="205"/>
      <c r="O78" s="204" t="n">
        <f aca="false">N16*C16</f>
        <v>27.2</v>
      </c>
      <c r="Q78" s="204"/>
      <c r="U78" s="18" t="str">
        <f aca="false">B91</f>
        <v>linseed</v>
      </c>
      <c r="X78" s="13" t="n">
        <f aca="false">D91/D$116*100</f>
        <v>0</v>
      </c>
      <c r="Y78" s="13" t="n">
        <f aca="false">E91/E$116*100</f>
        <v>0.000266275482682072</v>
      </c>
      <c r="Z78" s="13" t="n">
        <f aca="false">F91/F$116*100</f>
        <v>0</v>
      </c>
      <c r="AA78" s="13" t="n">
        <f aca="false">G91/G$116*100</f>
        <v>0</v>
      </c>
      <c r="AB78" s="13" t="n">
        <f aca="false">H91/H$116*100</f>
        <v>0.000368029171188227</v>
      </c>
      <c r="AC78" s="13" t="n">
        <f aca="false">I91/I$116*100</f>
        <v>0</v>
      </c>
      <c r="AD78" s="13" t="n">
        <f aca="false">J91/J$116*100</f>
        <v>0.00249585572421377</v>
      </c>
      <c r="AE78" s="13" t="n">
        <f aca="false">K91/K$116*100</f>
        <v>0.000229171948572223</v>
      </c>
      <c r="AF78" s="13" t="n">
        <f aca="false">L91/L$116*100</f>
        <v>0.000153591612047655</v>
      </c>
      <c r="AG78" s="13" t="n">
        <f aca="false">M91/M$116*100</f>
        <v>0.000461697849167296</v>
      </c>
      <c r="AH78" s="13" t="n">
        <f aca="false">N91/N$116*100</f>
        <v>0.00385699946947073</v>
      </c>
      <c r="AI78" s="13" t="n">
        <f aca="false">O91/O$116*100</f>
        <v>0.000302623180549078</v>
      </c>
    </row>
    <row r="79" customFormat="false" ht="15" hidden="false" customHeight="false" outlineLevel="0" collapsed="false">
      <c r="B79" s="206" t="s">
        <v>417</v>
      </c>
      <c r="C79" s="206"/>
      <c r="D79" s="35"/>
      <c r="E79" s="35" t="n">
        <f aca="false">E$78*$AF32</f>
        <v>2.70964920942646</v>
      </c>
      <c r="F79" s="35"/>
      <c r="G79" s="35"/>
      <c r="H79" s="35" t="n">
        <f aca="false">H$78*$AF32</f>
        <v>25.2604429314691</v>
      </c>
      <c r="I79" s="35" t="n">
        <f aca="false">I$78*$AF32</f>
        <v>34.0136052939461</v>
      </c>
      <c r="K79" s="35" t="n">
        <f aca="false">K$78*$AD32</f>
        <v>11.3404126992178</v>
      </c>
      <c r="L79" s="35" t="n">
        <f aca="false">L$78*$AD32</f>
        <v>1.40664448733941</v>
      </c>
      <c r="M79" s="35" t="n">
        <f aca="false">M$78*$AD32</f>
        <v>44.5913432135831</v>
      </c>
      <c r="N79" s="35"/>
      <c r="O79" s="35" t="n">
        <f aca="false">O$78*$AD32</f>
        <v>13.9542996077728</v>
      </c>
      <c r="Q79" s="8"/>
      <c r="U79" s="18" t="str">
        <f aca="false">B92</f>
        <v>vegetable oils</v>
      </c>
      <c r="X79" s="13" t="n">
        <f aca="false">D92/D$116*100</f>
        <v>0</v>
      </c>
      <c r="Y79" s="13" t="n">
        <f aca="false">E92/E$116*100</f>
        <v>0.00687441786346893</v>
      </c>
      <c r="Z79" s="13" t="n">
        <f aca="false">F92/F$116*100</f>
        <v>0</v>
      </c>
      <c r="AA79" s="13" t="n">
        <f aca="false">G92/G$116*100</f>
        <v>0</v>
      </c>
      <c r="AB79" s="13" t="n">
        <f aca="false">H92/H$116*100</f>
        <v>0.00950138662114368</v>
      </c>
      <c r="AC79" s="13" t="n">
        <f aca="false">I92/I$116*100</f>
        <v>0</v>
      </c>
      <c r="AD79" s="13" t="n">
        <f aca="false">J92/J$116*100</f>
        <v>0.0644353547024158</v>
      </c>
      <c r="AE79" s="13" t="n">
        <f aca="false">K92/K$116*100</f>
        <v>0.0059165181908689</v>
      </c>
      <c r="AF79" s="13" t="n">
        <f aca="false">L92/L$116*100</f>
        <v>0.00396526526176673</v>
      </c>
      <c r="AG79" s="13" t="n">
        <f aca="false">M92/M$116*100</f>
        <v>0.0119196251561411</v>
      </c>
      <c r="AH79" s="13" t="n">
        <f aca="false">N92/N$116*100</f>
        <v>0.0995759195899298</v>
      </c>
      <c r="AI79" s="13" t="n">
        <f aca="false">O92/O$116*100</f>
        <v>0.00781280415797902</v>
      </c>
    </row>
    <row r="80" customFormat="false" ht="15" hidden="false" customHeight="false" outlineLevel="0" collapsed="false">
      <c r="B80" s="206" t="s">
        <v>419</v>
      </c>
      <c r="C80" s="206"/>
      <c r="D80" s="35"/>
      <c r="E80" s="35" t="n">
        <f aca="false">E$78*$AF33</f>
        <v>2.57205324558936</v>
      </c>
      <c r="F80" s="35"/>
      <c r="G80" s="35"/>
      <c r="H80" s="35" t="n">
        <f aca="false">H$78*$AF33</f>
        <v>23.9777178539883</v>
      </c>
      <c r="I80" s="35" t="n">
        <f aca="false">I$78*$AF33</f>
        <v>32.2863947060539</v>
      </c>
      <c r="K80" s="35" t="n">
        <f aca="false">K$78*$AD33</f>
        <v>10.7645466386845</v>
      </c>
      <c r="L80" s="35" t="n">
        <f aca="false">L$78*$AD33</f>
        <v>1.33521509222129</v>
      </c>
      <c r="M80" s="35" t="n">
        <f aca="false">M$78*$AD33</f>
        <v>42.3269951839861</v>
      </c>
      <c r="N80" s="35"/>
      <c r="O80" s="35" t="n">
        <f aca="false">O$78*$AD33</f>
        <v>13.2457003922272</v>
      </c>
      <c r="Q80" s="8"/>
      <c r="U80" s="18" t="str">
        <f aca="false">B93</f>
        <v>soybeans</v>
      </c>
      <c r="X80" s="13" t="n">
        <f aca="false">D93/D$116*100</f>
        <v>0</v>
      </c>
      <c r="Y80" s="13" t="n">
        <f aca="false">E93/E$116*100</f>
        <v>0.00671789055867531</v>
      </c>
      <c r="Z80" s="13" t="n">
        <f aca="false">F93/F$116*100</f>
        <v>0</v>
      </c>
      <c r="AA80" s="13" t="n">
        <f aca="false">G93/G$116*100</f>
        <v>0</v>
      </c>
      <c r="AB80" s="13" t="n">
        <f aca="false">H93/H$116*100</f>
        <v>0.00928504445673832</v>
      </c>
      <c r="AC80" s="13" t="n">
        <f aca="false">I93/I$116*100</f>
        <v>0</v>
      </c>
      <c r="AD80" s="13" t="n">
        <f aca="false">J93/J$116*100</f>
        <v>0.0629681915759805</v>
      </c>
      <c r="AE80" s="13" t="n">
        <f aca="false">K93/K$116*100</f>
        <v>0.00578180181712321</v>
      </c>
      <c r="AF80" s="13" t="n">
        <f aca="false">L93/L$116*100</f>
        <v>0.00387497801177072</v>
      </c>
      <c r="AG80" s="13" t="n">
        <f aca="false">M93/M$116*100</f>
        <v>0.0116482208224366</v>
      </c>
      <c r="AH80" s="13" t="n">
        <f aca="false">N93/N$116*100</f>
        <v>0.0973086221073918</v>
      </c>
      <c r="AI80" s="13" t="n">
        <f aca="false">O93/O$116*100</f>
        <v>0.00763491023270173</v>
      </c>
    </row>
    <row r="81" customFormat="false" ht="15" hidden="false" customHeight="false" outlineLevel="0" collapsed="false">
      <c r="B81" s="2" t="s">
        <v>474</v>
      </c>
      <c r="C81" s="2"/>
      <c r="D81" s="205"/>
      <c r="E81" s="205" t="n">
        <f aca="false">SUMPRODUCT(AR16:AR17,AC16:AC17)</f>
        <v>68.9785518032372</v>
      </c>
      <c r="F81" s="205"/>
      <c r="G81" s="205"/>
      <c r="H81" s="205" t="n">
        <f aca="false">(G17*D$23+I17*F$23)/(D$23+F$23)*C17</f>
        <v>132.115993000875</v>
      </c>
      <c r="I81" s="204"/>
      <c r="J81" s="205" t="n">
        <f aca="false">Y17*C17</f>
        <v>1370.13425455188</v>
      </c>
      <c r="K81" s="204" t="n">
        <f aca="false">SUMPRODUCT(AQ16:AQ17,AC16:AC17)</f>
        <v>54.0714730032463</v>
      </c>
      <c r="L81" s="205" t="n">
        <f aca="false">SUMPRODUCT(P17:R17,D$22:F$22)/SUM(D$22:F$22)*C17</f>
        <v>127.975799354472</v>
      </c>
      <c r="M81" s="205" t="n">
        <f aca="false">(M17*D$22+O17*F$22)/(D$22+F$22)*C17</f>
        <v>261.217846633616</v>
      </c>
      <c r="N81" s="205" t="n">
        <f aca="false">Z17*C17</f>
        <v>2165.34079135772</v>
      </c>
      <c r="O81" s="204" t="n">
        <f aca="false">N17*C17</f>
        <v>71.1</v>
      </c>
      <c r="Q81" s="204"/>
      <c r="U81" s="18" t="str">
        <f aca="false">B94</f>
        <v>soybean meal</v>
      </c>
      <c r="X81" s="13" t="n">
        <f aca="false">D94/D$116*100</f>
        <v>0</v>
      </c>
      <c r="Y81" s="13" t="n">
        <f aca="false">E94/E$116*100</f>
        <v>0.0613654376692714</v>
      </c>
      <c r="Z81" s="13" t="n">
        <f aca="false">F94/F$116*100</f>
        <v>0</v>
      </c>
      <c r="AA81" s="13" t="n">
        <f aca="false">G94/G$116*100</f>
        <v>0</v>
      </c>
      <c r="AB81" s="13" t="n">
        <f aca="false">H94/H$116*100</f>
        <v>0.0848154360196577</v>
      </c>
      <c r="AC81" s="13" t="n">
        <f aca="false">I94/I$116*100</f>
        <v>0</v>
      </c>
      <c r="AD81" s="13" t="n">
        <f aca="false">J94/J$116*100</f>
        <v>0.575191066533914</v>
      </c>
      <c r="AE81" s="13" t="n">
        <f aca="false">K94/K$116*100</f>
        <v>0.05281461433851</v>
      </c>
      <c r="AF81" s="13" t="n">
        <f aca="false">L94/L$116*100</f>
        <v>0.0353964863783078</v>
      </c>
      <c r="AG81" s="13" t="n">
        <f aca="false">M94/M$116*100</f>
        <v>0.106402175295052</v>
      </c>
      <c r="AH81" s="13" t="n">
        <f aca="false">N94/N$116*100</f>
        <v>0.888878157876885</v>
      </c>
      <c r="AI81" s="13" t="n">
        <f aca="false">O94/O$116*100</f>
        <v>0.0697420721435102</v>
      </c>
    </row>
    <row r="82" customFormat="false" ht="15" hidden="false" customHeight="false" outlineLevel="0" collapsed="false">
      <c r="B82" s="0" t="str">
        <f aca="false">L25</f>
        <v>wheat</v>
      </c>
      <c r="E82" s="13" t="n">
        <f aca="false">E$81*$W25</f>
        <v>17.8621117528142</v>
      </c>
      <c r="H82" s="13" t="n">
        <f aca="false">H$81*$W25</f>
        <v>34.2116581114552</v>
      </c>
      <c r="I82" s="13"/>
      <c r="J82" s="13" t="n">
        <f aca="false">J$81*$U25</f>
        <v>106.323765833977</v>
      </c>
      <c r="K82" s="13" t="n">
        <f aca="false">K$81*$W25</f>
        <v>14.0018986797275</v>
      </c>
      <c r="L82" s="13" t="n">
        <f aca="false">L$81*$W25</f>
        <v>33.1395480184325</v>
      </c>
      <c r="M82" s="13" t="n">
        <f aca="false">M$81*$W25</f>
        <v>67.6427997750478</v>
      </c>
      <c r="N82" s="13" t="n">
        <f aca="false">N$81*$U25</f>
        <v>168.03257526495</v>
      </c>
      <c r="O82" s="13" t="n">
        <f aca="false">O$81*$U25</f>
        <v>5.51742993482651</v>
      </c>
      <c r="Q82" s="8"/>
      <c r="U82" s="18" t="str">
        <f aca="false">B95</f>
        <v>soybean protein concentrate</v>
      </c>
      <c r="X82" s="13" t="n">
        <f aca="false">D95/D$116*100</f>
        <v>0</v>
      </c>
      <c r="Y82" s="13" t="n">
        <f aca="false">E95/E$116*100</f>
        <v>0</v>
      </c>
      <c r="Z82" s="13" t="n">
        <f aca="false">F95/F$116*100</f>
        <v>0</v>
      </c>
      <c r="AA82" s="13" t="n">
        <f aca="false">G95/G$116*100</f>
        <v>0</v>
      </c>
      <c r="AB82" s="13" t="n">
        <f aca="false">H95/H$116*100</f>
        <v>0</v>
      </c>
      <c r="AC82" s="13" t="n">
        <f aca="false">I95/I$116*100</f>
        <v>0</v>
      </c>
      <c r="AD82" s="13" t="n">
        <f aca="false">J95/J$116*100</f>
        <v>0</v>
      </c>
      <c r="AE82" s="13" t="n">
        <f aca="false">K95/K$116*100</f>
        <v>0</v>
      </c>
      <c r="AF82" s="13" t="n">
        <f aca="false">L95/L$116*100</f>
        <v>0</v>
      </c>
      <c r="AG82" s="13" t="n">
        <f aca="false">M95/M$116*100</f>
        <v>0</v>
      </c>
      <c r="AH82" s="13" t="n">
        <f aca="false">N95/N$116*100</f>
        <v>0</v>
      </c>
      <c r="AI82" s="13" t="n">
        <f aca="false">O95/O$116*100</f>
        <v>0</v>
      </c>
    </row>
    <row r="83" customFormat="false" ht="15" hidden="false" customHeight="false" outlineLevel="0" collapsed="false">
      <c r="B83" s="0" t="str">
        <f aca="false">L26</f>
        <v>barley</v>
      </c>
      <c r="C83" s="206"/>
      <c r="E83" s="13" t="n">
        <f aca="false">E$81*$W26</f>
        <v>19.4244827943743</v>
      </c>
      <c r="H83" s="13" t="n">
        <f aca="false">H$81*$W26</f>
        <v>37.2040984598742</v>
      </c>
      <c r="I83" s="13"/>
      <c r="J83" s="13" t="n">
        <f aca="false">J$81*$U26</f>
        <v>115.623739715422</v>
      </c>
      <c r="K83" s="13" t="n">
        <f aca="false">K$81*$W26</f>
        <v>15.2266229075679</v>
      </c>
      <c r="L83" s="13" t="n">
        <f aca="false">L$81*$W26</f>
        <v>36.0382125700206</v>
      </c>
      <c r="M83" s="13" t="n">
        <f aca="false">M$81*$W26</f>
        <v>73.5594099161712</v>
      </c>
      <c r="N83" s="13" t="n">
        <f aca="false">N$81*$U26</f>
        <v>182.730122411993</v>
      </c>
      <c r="O83" s="13" t="n">
        <f aca="false">O$81*$U26</f>
        <v>6.00003092138967</v>
      </c>
      <c r="Q83" s="8"/>
      <c r="U83" s="18" t="str">
        <f aca="false">B96</f>
        <v>rapeseed meal</v>
      </c>
      <c r="X83" s="13" t="n">
        <f aca="false">D96/D$116*100</f>
        <v>0</v>
      </c>
      <c r="Y83" s="13" t="n">
        <f aca="false">E96/E$116*100</f>
        <v>0.473964102291692</v>
      </c>
      <c r="Z83" s="13" t="n">
        <f aca="false">F96/F$116*100</f>
        <v>0</v>
      </c>
      <c r="AA83" s="13" t="n">
        <f aca="false">G96/G$116*100</f>
        <v>0</v>
      </c>
      <c r="AB83" s="13" t="n">
        <f aca="false">H96/H$116*100</f>
        <v>0.655083276846982</v>
      </c>
      <c r="AC83" s="13" t="n">
        <f aca="false">I96/I$116*100</f>
        <v>0</v>
      </c>
      <c r="AD83" s="13" t="n">
        <f aca="false">J96/J$116*100</f>
        <v>4.44256454203473</v>
      </c>
      <c r="AE83" s="13" t="n">
        <f aca="false">K96/K$116*100</f>
        <v>0.407920683426799</v>
      </c>
      <c r="AF83" s="13" t="n">
        <f aca="false">L96/L$116*100</f>
        <v>0.273389460383098</v>
      </c>
      <c r="AG83" s="13" t="n">
        <f aca="false">M96/M$116*100</f>
        <v>0.821811322643846</v>
      </c>
      <c r="AH83" s="13" t="n">
        <f aca="false">N96/N$116*100</f>
        <v>6.86536842473747</v>
      </c>
      <c r="AI83" s="13" t="n">
        <f aca="false">O96/O$116*100</f>
        <v>0.538662150404797</v>
      </c>
    </row>
    <row r="84" customFormat="false" ht="15" hidden="false" customHeight="false" outlineLevel="0" collapsed="false">
      <c r="B84" s="0" t="str">
        <f aca="false">L27</f>
        <v>oats</v>
      </c>
      <c r="C84" s="206"/>
      <c r="E84" s="13" t="n">
        <f aca="false">E$81*$W27</f>
        <v>6.56709544558553</v>
      </c>
      <c r="H84" s="13" t="n">
        <f aca="false">H$81*$W27</f>
        <v>12.578088597742</v>
      </c>
      <c r="I84" s="13"/>
      <c r="J84" s="13" t="n">
        <f aca="false">J$81*$U27</f>
        <v>39.0904685867169</v>
      </c>
      <c r="K84" s="13" t="n">
        <f aca="false">K$81*$W27</f>
        <v>5.14786864630949</v>
      </c>
      <c r="L84" s="13" t="n">
        <f aca="false">L$81*$W27</f>
        <v>12.1839219165294</v>
      </c>
      <c r="M84" s="13" t="n">
        <f aca="false">M$81*$W27</f>
        <v>24.8692163881117</v>
      </c>
      <c r="N84" s="13" t="n">
        <f aca="false">N$81*$U27</f>
        <v>61.7780235060172</v>
      </c>
      <c r="O84" s="13" t="n">
        <f aca="false">O$81*$U27</f>
        <v>2.02851093407966</v>
      </c>
      <c r="Q84" s="8"/>
      <c r="U84" s="18" t="str">
        <f aca="false">B97</f>
        <v>sunflower seed meal</v>
      </c>
      <c r="X84" s="13" t="n">
        <f aca="false">D97/D$116*100</f>
        <v>0</v>
      </c>
      <c r="Y84" s="13" t="n">
        <f aca="false">E97/E$116*100</f>
        <v>0.00654735530821804</v>
      </c>
      <c r="Z84" s="13" t="n">
        <f aca="false">F97/F$116*100</f>
        <v>0</v>
      </c>
      <c r="AA84" s="13" t="n">
        <f aca="false">G97/G$116*100</f>
        <v>0</v>
      </c>
      <c r="AB84" s="13" t="n">
        <f aca="false">H97/H$116*100</f>
        <v>0.009049341393685</v>
      </c>
      <c r="AC84" s="13" t="n">
        <f aca="false">I97/I$116*100</f>
        <v>0</v>
      </c>
      <c r="AD84" s="13" t="n">
        <f aca="false">J97/J$116*100</f>
        <v>0.0613697290485754</v>
      </c>
      <c r="AE84" s="13" t="n">
        <f aca="false">K97/K$116*100</f>
        <v>0.00563502940212694</v>
      </c>
      <c r="AF84" s="13" t="n">
        <f aca="false">L97/L$116*100</f>
        <v>0.00377661077283135</v>
      </c>
      <c r="AG84" s="13" t="n">
        <f aca="false">M97/M$116*100</f>
        <v>0.0113525279649859</v>
      </c>
      <c r="AH84" s="13" t="n">
        <f aca="false">N97/N$116*100</f>
        <v>0.0948384195791136</v>
      </c>
      <c r="AI84" s="13" t="n">
        <f aca="false">O97/O$116*100</f>
        <v>0.00744109621960037</v>
      </c>
    </row>
    <row r="85" customFormat="false" ht="15" hidden="false" customHeight="false" outlineLevel="0" collapsed="false">
      <c r="B85" s="0" t="str">
        <f aca="false">L28</f>
        <v>triticale</v>
      </c>
      <c r="C85" s="206"/>
      <c r="E85" s="13" t="n">
        <f aca="false">E$81*$W28</f>
        <v>2.35824569718218</v>
      </c>
      <c r="H85" s="13" t="n">
        <f aca="false">H$81*$W28</f>
        <v>4.51679491491792</v>
      </c>
      <c r="I85" s="13"/>
      <c r="J85" s="13" t="n">
        <f aca="false">J$81*$U28</f>
        <v>14.0373975236538</v>
      </c>
      <c r="K85" s="13" t="n">
        <f aca="false">K$81*$W28</f>
        <v>1.84860098127232</v>
      </c>
      <c r="L85" s="13" t="n">
        <f aca="false">L$81*$W28</f>
        <v>4.37524955629715</v>
      </c>
      <c r="M85" s="13" t="n">
        <f aca="false">M$81*$W28</f>
        <v>8.93054212863322</v>
      </c>
      <c r="N85" s="13" t="n">
        <f aca="false">N$81*$U28</f>
        <v>22.1845044465461</v>
      </c>
      <c r="O85" s="13" t="n">
        <f aca="false">O$81*$U28</f>
        <v>0.728438808544503</v>
      </c>
      <c r="Q85" s="8"/>
      <c r="U85" s="18" t="str">
        <f aca="false">B98</f>
        <v>palm kernel expeller</v>
      </c>
      <c r="X85" s="13" t="n">
        <f aca="false">D98/D$116*100</f>
        <v>0</v>
      </c>
      <c r="Y85" s="13" t="n">
        <f aca="false">E98/E$116*100</f>
        <v>0.0425441854792274</v>
      </c>
      <c r="Z85" s="13" t="n">
        <f aca="false">F98/F$116*100</f>
        <v>0</v>
      </c>
      <c r="AA85" s="13" t="n">
        <f aca="false">G98/G$116*100</f>
        <v>0</v>
      </c>
      <c r="AB85" s="13" t="n">
        <f aca="false">H98/H$116*100</f>
        <v>0.0588018887923415</v>
      </c>
      <c r="AC85" s="13" t="n">
        <f aca="false">I98/I$116*100</f>
        <v>0</v>
      </c>
      <c r="AD85" s="13" t="n">
        <f aca="false">J98/J$116*100</f>
        <v>0.398775537990945</v>
      </c>
      <c r="AE85" s="13" t="n">
        <f aca="false">K98/K$116*100</f>
        <v>0.0366159654974088</v>
      </c>
      <c r="AF85" s="13" t="n">
        <f aca="false">L98/L$116*100</f>
        <v>0.0245401114860093</v>
      </c>
      <c r="AG85" s="13" t="n">
        <f aca="false">M98/M$116*100</f>
        <v>0.0737678089341279</v>
      </c>
      <c r="AH85" s="13" t="n">
        <f aca="false">N98/N$116*100</f>
        <v>0.616252383319752</v>
      </c>
      <c r="AI85" s="13" t="n">
        <f aca="false">O98/O$116*100</f>
        <v>0.0483516416679113</v>
      </c>
    </row>
    <row r="86" customFormat="false" ht="15" hidden="false" customHeight="false" outlineLevel="0" collapsed="false">
      <c r="B86" s="0" t="str">
        <f aca="false">L29</f>
        <v>rye</v>
      </c>
      <c r="C86" s="206"/>
      <c r="E86" s="13" t="n">
        <f aca="false">E$81*$W29</f>
        <v>0.145859808052683</v>
      </c>
      <c r="H86" s="13" t="n">
        <f aca="false">H$81*$W29</f>
        <v>0.279368193098145</v>
      </c>
      <c r="I86" s="13"/>
      <c r="J86" s="13" t="n">
        <f aca="false">J$81*$U29</f>
        <v>0.868226797066078</v>
      </c>
      <c r="K86" s="13" t="n">
        <f aca="false">K$81*$W29</f>
        <v>0.114337782791914</v>
      </c>
      <c r="L86" s="13" t="n">
        <f aca="false">L$81*$W29</f>
        <v>0.270613473916916</v>
      </c>
      <c r="M86" s="13" t="n">
        <f aca="false">M$81*$W29</f>
        <v>0.552362784863892</v>
      </c>
      <c r="N86" s="13" t="n">
        <f aca="false">N$81*$U29</f>
        <v>1.37213334648867</v>
      </c>
      <c r="O86" s="13" t="n">
        <f aca="false">O$81*$U29</f>
        <v>0.045054654364209</v>
      </c>
      <c r="Q86" s="8"/>
      <c r="U86" s="18" t="str">
        <f aca="false">B99</f>
        <v>luzern meal</v>
      </c>
      <c r="X86" s="13" t="n">
        <f aca="false">D99/D$116*100</f>
        <v>0</v>
      </c>
      <c r="Y86" s="13" t="n">
        <f aca="false">E99/E$116*100</f>
        <v>0.0129414740671317</v>
      </c>
      <c r="Z86" s="13" t="n">
        <f aca="false">F99/F$116*100</f>
        <v>0</v>
      </c>
      <c r="AA86" s="13" t="n">
        <f aca="false">G99/G$116*100</f>
        <v>0</v>
      </c>
      <c r="AB86" s="13" t="n">
        <f aca="false">H99/H$116*100</f>
        <v>0.0178868888975677</v>
      </c>
      <c r="AC86" s="13" t="n">
        <f aca="false">I99/I$116*100</f>
        <v>0</v>
      </c>
      <c r="AD86" s="13" t="n">
        <f aca="false">J99/J$116*100</f>
        <v>0.121303139909356</v>
      </c>
      <c r="AE86" s="13" t="n">
        <f aca="false">K99/K$116*100</f>
        <v>0.0111381746433734</v>
      </c>
      <c r="AF86" s="13" t="n">
        <f aca="false">L99/L$116*100</f>
        <v>0.00746483245179941</v>
      </c>
      <c r="AG86" s="13" t="n">
        <f aca="false">M99/M$116*100</f>
        <v>0.0224393574716871</v>
      </c>
      <c r="AH86" s="13" t="n">
        <f aca="false">N99/N$116*100</f>
        <v>0.187457208257863</v>
      </c>
      <c r="AI86" s="13" t="n">
        <f aca="false">O99/O$116*100</f>
        <v>0.0147080384710631</v>
      </c>
    </row>
    <row r="87" customFormat="false" ht="15" hidden="false" customHeight="false" outlineLevel="0" collapsed="false">
      <c r="B87" s="0" t="str">
        <f aca="false">L30</f>
        <v>maize</v>
      </c>
      <c r="C87" s="206"/>
      <c r="E87" s="13" t="n">
        <f aca="false">E$81*$W30</f>
        <v>0.633705187543654</v>
      </c>
      <c r="H87" s="13" t="n">
        <f aca="false">H$81*$W30</f>
        <v>1.2137481569772</v>
      </c>
      <c r="I87" s="13"/>
      <c r="J87" s="13" t="n">
        <f aca="false">J$81*$U30</f>
        <v>30.6530111360141</v>
      </c>
      <c r="K87" s="13" t="n">
        <f aca="false">K$81*$W30</f>
        <v>0.496754020554484</v>
      </c>
      <c r="L87" s="13" t="n">
        <f aca="false">L$81*$W30</f>
        <v>1.17571224403654</v>
      </c>
      <c r="M87" s="13" t="n">
        <f aca="false">M$81*$W30</f>
        <v>2.3998054491329</v>
      </c>
      <c r="N87" s="13" t="n">
        <f aca="false">N$81*$U30</f>
        <v>48.4435851233149</v>
      </c>
      <c r="O87" s="13" t="n">
        <f aca="false">O$81*$U30</f>
        <v>1.59066827541175</v>
      </c>
      <c r="Q87" s="8"/>
      <c r="U87" s="18" t="str">
        <f aca="false">B100</f>
        <v>wheat bran</v>
      </c>
      <c r="X87" s="13" t="n">
        <f aca="false">D100/D$116*100</f>
        <v>0</v>
      </c>
      <c r="Y87" s="13" t="n">
        <f aca="false">E100/E$116*100</f>
        <v>0.140999098280752</v>
      </c>
      <c r="Z87" s="13" t="n">
        <f aca="false">F100/F$116*100</f>
        <v>0</v>
      </c>
      <c r="AA87" s="13" t="n">
        <f aca="false">G100/G$116*100</f>
        <v>0</v>
      </c>
      <c r="AB87" s="13" t="n">
        <f aca="false">H100/H$116*100</f>
        <v>0.194880057134327</v>
      </c>
      <c r="AC87" s="13" t="n">
        <f aca="false">I100/I$116*100</f>
        <v>0</v>
      </c>
      <c r="AD87" s="13" t="n">
        <f aca="false">J100/J$116*100</f>
        <v>1.32161400294286</v>
      </c>
      <c r="AE87" s="13" t="n">
        <f aca="false">K100/K$116*100</f>
        <v>0.121351908836863</v>
      </c>
      <c r="AF87" s="13" t="n">
        <f aca="false">L100/L$116*100</f>
        <v>0.0813303522505063</v>
      </c>
      <c r="AG87" s="13" t="n">
        <f aca="false">M100/M$116*100</f>
        <v>0.244479813744168</v>
      </c>
      <c r="AH87" s="13" t="n">
        <f aca="false">N100/N$116*100</f>
        <v>2.04237146351938</v>
      </c>
      <c r="AI87" s="13" t="n">
        <f aca="false">O100/O$116*100</f>
        <v>0.160246054749321</v>
      </c>
    </row>
    <row r="88" customFormat="false" ht="15" hidden="false" customHeight="false" outlineLevel="0" collapsed="false">
      <c r="B88" s="0" t="str">
        <f aca="false">L31</f>
        <v>peas</v>
      </c>
      <c r="C88" s="206"/>
      <c r="E88" s="13" t="n">
        <f aca="false">E$81*$W31</f>
        <v>0.0990381580382152</v>
      </c>
      <c r="H88" s="13" t="n">
        <f aca="false">H$81*$W31</f>
        <v>0.189689755034583</v>
      </c>
      <c r="I88" s="13"/>
      <c r="J88" s="13" t="n">
        <f aca="false">J$81*$U31</f>
        <v>4.79058373027223</v>
      </c>
      <c r="K88" s="13" t="n">
        <f aca="false">K$81*$W31</f>
        <v>0.0776348437109877</v>
      </c>
      <c r="L88" s="13" t="n">
        <f aca="false">L$81*$W31</f>
        <v>0.183745339822288</v>
      </c>
      <c r="M88" s="13" t="n">
        <f aca="false">M$81*$W31</f>
        <v>0.375051863238569</v>
      </c>
      <c r="N88" s="13" t="n">
        <f aca="false">N$81*$U31</f>
        <v>7.57097075057492</v>
      </c>
      <c r="O88" s="13" t="n">
        <f aca="false">O$81*$U31</f>
        <v>0.248596443808899</v>
      </c>
      <c r="Q88" s="8"/>
      <c r="U88" s="18" t="str">
        <f aca="false">B101</f>
        <v>wheat bran, fine</v>
      </c>
      <c r="X88" s="13" t="n">
        <f aca="false">D101/D$116*100</f>
        <v>0</v>
      </c>
      <c r="Y88" s="13" t="n">
        <f aca="false">E101/E$116*100</f>
        <v>0.000369620028267143</v>
      </c>
      <c r="Z88" s="13" t="n">
        <f aca="false">F101/F$116*100</f>
        <v>0</v>
      </c>
      <c r="AA88" s="13" t="n">
        <f aca="false">G101/G$116*100</f>
        <v>0</v>
      </c>
      <c r="AB88" s="13" t="n">
        <f aca="false">H101/H$116*100</f>
        <v>0.000510865481446312</v>
      </c>
      <c r="AC88" s="13" t="n">
        <f aca="false">I101/I$116*100</f>
        <v>0</v>
      </c>
      <c r="AD88" s="13" t="n">
        <f aca="false">J101/J$116*100</f>
        <v>0.00346452573869173</v>
      </c>
      <c r="AE88" s="13" t="n">
        <f aca="false">K101/K$116*100</f>
        <v>0.000318116190255637</v>
      </c>
      <c r="AF88" s="13" t="n">
        <f aca="false">L101/L$116*100</f>
        <v>0.000213202264868048</v>
      </c>
      <c r="AG88" s="13" t="n">
        <f aca="false">M101/M$116*100</f>
        <v>0.00064088803948898</v>
      </c>
      <c r="AH88" s="13" t="n">
        <f aca="false">N101/N$116*100</f>
        <v>0.00535394486406507</v>
      </c>
      <c r="AI88" s="13" t="n">
        <f aca="false">O101/O$116*100</f>
        <v>0.000420074681387007</v>
      </c>
    </row>
    <row r="89" customFormat="false" ht="15" hidden="false" customHeight="false" outlineLevel="0" collapsed="false">
      <c r="B89" s="0" t="str">
        <f aca="false">L32</f>
        <v>broad beans</v>
      </c>
      <c r="E89" s="13" t="n">
        <f aca="false">E$81*$W32</f>
        <v>0.34032449187567</v>
      </c>
      <c r="H89" s="13" t="n">
        <f aca="false">H$81*$W32</f>
        <v>0.651830272037723</v>
      </c>
      <c r="I89" s="13"/>
      <c r="J89" s="13" t="n">
        <f aca="false">J$81*$U32</f>
        <v>16.4618668812848</v>
      </c>
      <c r="K89" s="13" t="n">
        <f aca="false">K$81*$W32</f>
        <v>0.266776354297644</v>
      </c>
      <c r="L89" s="13" t="n">
        <f aca="false">L$81*$W32</f>
        <v>0.631403497886272</v>
      </c>
      <c r="M89" s="13" t="n">
        <f aca="false">M$81*$W32</f>
        <v>1.28878946571722</v>
      </c>
      <c r="N89" s="13" t="n">
        <f aca="false">N$81*$U32</f>
        <v>26.016101518172</v>
      </c>
      <c r="O89" s="13" t="n">
        <f aca="false">O$81*$U32</f>
        <v>0.854251130041381</v>
      </c>
      <c r="Q89" s="8"/>
      <c r="U89" s="18" t="str">
        <f aca="false">B102</f>
        <v>oat hulls</v>
      </c>
      <c r="X89" s="13" t="n">
        <f aca="false">D102/D$116*100</f>
        <v>0</v>
      </c>
      <c r="Y89" s="13" t="n">
        <f aca="false">E102/E$116*100</f>
        <v>0.0169819703840261</v>
      </c>
      <c r="Z89" s="13" t="n">
        <f aca="false">F102/F$116*100</f>
        <v>0</v>
      </c>
      <c r="AA89" s="13" t="n">
        <f aca="false">G102/G$116*100</f>
        <v>0</v>
      </c>
      <c r="AB89" s="13" t="n">
        <f aca="false">H102/H$116*100</f>
        <v>0.0234714079667573</v>
      </c>
      <c r="AC89" s="13" t="n">
        <f aca="false">I102/I$116*100</f>
        <v>0</v>
      </c>
      <c r="AD89" s="13" t="n">
        <f aca="false">J102/J$116*100</f>
        <v>0.159175555948598</v>
      </c>
      <c r="AE89" s="13" t="n">
        <f aca="false">K102/K$116*100</f>
        <v>0.0146156574548389</v>
      </c>
      <c r="AF89" s="13" t="n">
        <f aca="false">L102/L$116*100</f>
        <v>0.00979545011337881</v>
      </c>
      <c r="AG89" s="13" t="n">
        <f aca="false">M102/M$116*100</f>
        <v>0.0294452163674753</v>
      </c>
      <c r="AH89" s="13" t="n">
        <f aca="false">N102/N$116*100</f>
        <v>0.245983783794174</v>
      </c>
      <c r="AI89" s="13" t="n">
        <f aca="false">O102/O$116*100</f>
        <v>0.0193000791429988</v>
      </c>
    </row>
    <row r="90" customFormat="false" ht="15" hidden="false" customHeight="false" outlineLevel="0" collapsed="false">
      <c r="B90" s="0" t="str">
        <f aca="false">L33</f>
        <v>rapeseed</v>
      </c>
      <c r="E90" s="13" t="n">
        <f aca="false">E$81*$W33</f>
        <v>5.38748796899774</v>
      </c>
      <c r="H90" s="13" t="n">
        <f aca="false">H$81*$W33</f>
        <v>10.3187629226365</v>
      </c>
      <c r="I90" s="13"/>
      <c r="J90" s="13" t="n">
        <f aca="false">J$81*$U33</f>
        <v>260.598669467975</v>
      </c>
      <c r="K90" s="13" t="n">
        <f aca="false">K$81*$W33</f>
        <v>4.22318826150398</v>
      </c>
      <c r="L90" s="13" t="n">
        <f aca="false">L$81*$W33</f>
        <v>9.99539800881598</v>
      </c>
      <c r="M90" s="13" t="n">
        <f aca="false">M$81*$W33</f>
        <v>20.4021100651762</v>
      </c>
      <c r="N90" s="13" t="n">
        <f aca="false">N$81*$U33</f>
        <v>411.846450300675</v>
      </c>
      <c r="O90" s="13" t="n">
        <f aca="false">O$81*$U33</f>
        <v>13.5231750739879</v>
      </c>
      <c r="Q90" s="8"/>
      <c r="U90" s="18" t="str">
        <f aca="false">B103</f>
        <v>oat bran</v>
      </c>
      <c r="X90" s="13" t="n">
        <f aca="false">D103/D$116*100</f>
        <v>0</v>
      </c>
      <c r="Y90" s="13" t="n">
        <f aca="false">E103/E$116*100</f>
        <v>0.00191660714840361</v>
      </c>
      <c r="Z90" s="13" t="n">
        <f aca="false">F103/F$116*100</f>
        <v>0</v>
      </c>
      <c r="AA90" s="13" t="n">
        <f aca="false">G103/G$116*100</f>
        <v>0</v>
      </c>
      <c r="AB90" s="13" t="n">
        <f aca="false">H103/H$116*100</f>
        <v>0.00264901346986801</v>
      </c>
      <c r="AC90" s="13" t="n">
        <f aca="false">I103/I$116*100</f>
        <v>0</v>
      </c>
      <c r="AD90" s="13" t="n">
        <f aca="false">J103/J$116*100</f>
        <v>0.0179647591818421</v>
      </c>
      <c r="AE90" s="13" t="n">
        <f aca="false">K103/K$116*100</f>
        <v>0.00164954200973713</v>
      </c>
      <c r="AF90" s="13" t="n">
        <f aca="false">L103/L$116*100</f>
        <v>0.00110552717291231</v>
      </c>
      <c r="AG90" s="13" t="n">
        <f aca="false">M103/M$116*100</f>
        <v>0.00332322521474183</v>
      </c>
      <c r="AH90" s="13" t="n">
        <f aca="false">N103/N$116*100</f>
        <v>0.0277620480868788</v>
      </c>
      <c r="AI90" s="13" t="n">
        <f aca="false">O103/O$116*100</f>
        <v>0.00217823190205431</v>
      </c>
    </row>
    <row r="91" customFormat="false" ht="15" hidden="false" customHeight="false" outlineLevel="0" collapsed="false">
      <c r="B91" s="0" t="str">
        <f aca="false">L34</f>
        <v>linseed</v>
      </c>
      <c r="C91" s="10"/>
      <c r="E91" s="13" t="n">
        <f aca="false">E$81*$W34</f>
        <v>0.00397412785144043</v>
      </c>
      <c r="H91" s="13" t="n">
        <f aca="false">H$81*$W34</f>
        <v>0.00761172616240466</v>
      </c>
      <c r="I91" s="13"/>
      <c r="J91" s="13" t="n">
        <f aca="false">J$81*$U34</f>
        <v>0.192232898957854</v>
      </c>
      <c r="K91" s="13" t="n">
        <f aca="false">K$81*$W34</f>
        <v>0.00311527193907434</v>
      </c>
      <c r="L91" s="13" t="n">
        <f aca="false">L$81*$W34</f>
        <v>0.00737319319164209</v>
      </c>
      <c r="M91" s="13" t="n">
        <f aca="false">M$81*$W34</f>
        <v>0.0150497958055308</v>
      </c>
      <c r="N91" s="13" t="n">
        <f aca="false">N$81*$U34</f>
        <v>0.303802153819246</v>
      </c>
      <c r="O91" s="13" t="n">
        <f aca="false">O$81*$U34</f>
        <v>0.00997548894971147</v>
      </c>
      <c r="Q91" s="8"/>
      <c r="T91" s="2"/>
      <c r="U91" s="18" t="str">
        <f aca="false">B104</f>
        <v>rye bran</v>
      </c>
      <c r="X91" s="13" t="n">
        <f aca="false">D104/D$116*100</f>
        <v>0</v>
      </c>
      <c r="Y91" s="13" t="n">
        <f aca="false">E104/E$116*100</f>
        <v>0.005910837221906</v>
      </c>
      <c r="Z91" s="13" t="n">
        <f aca="false">F104/F$116*100</f>
        <v>0</v>
      </c>
      <c r="AA91" s="13" t="n">
        <f aca="false">G104/G$116*100</f>
        <v>0</v>
      </c>
      <c r="AB91" s="13" t="n">
        <f aca="false">H104/H$116*100</f>
        <v>0.0081695862566661</v>
      </c>
      <c r="AC91" s="13" t="n">
        <f aca="false">I104/I$116*100</f>
        <v>0</v>
      </c>
      <c r="AD91" s="13" t="n">
        <f aca="false">J104/J$116*100</f>
        <v>0.0554035120567378</v>
      </c>
      <c r="AE91" s="13" t="n">
        <f aca="false">K104/K$116*100</f>
        <v>0.0050872054392435</v>
      </c>
      <c r="AF91" s="13" t="n">
        <f aca="false">L104/L$116*100</f>
        <v>0.00340945778529594</v>
      </c>
      <c r="AG91" s="13" t="n">
        <f aca="false">M104/M$116*100</f>
        <v>0.0102488625863854</v>
      </c>
      <c r="AH91" s="13" t="n">
        <f aca="false">N104/N$116*100</f>
        <v>0.0856184572435449</v>
      </c>
      <c r="AI91" s="13" t="n">
        <f aca="false">O104/O$116*100</f>
        <v>0.00671769079820544</v>
      </c>
    </row>
    <row r="92" customFormat="false" ht="15" hidden="false" customHeight="false" outlineLevel="0" collapsed="false">
      <c r="B92" s="0" t="str">
        <f aca="false">L35</f>
        <v>vegetable oils</v>
      </c>
      <c r="E92" s="13" t="n">
        <f aca="false">E$81*$W35</f>
        <v>0.102599815869157</v>
      </c>
      <c r="H92" s="13" t="n">
        <f aca="false">H$81*$W35</f>
        <v>0.196511469158221</v>
      </c>
      <c r="I92" s="13"/>
      <c r="J92" s="13" t="n">
        <f aca="false">J$81*$U35</f>
        <v>4.9628650044365</v>
      </c>
      <c r="K92" s="13" t="n">
        <f aca="false">K$81*$W35</f>
        <v>0.0804267852669937</v>
      </c>
      <c r="L92" s="13" t="n">
        <f aca="false">L$81*$W35</f>
        <v>0.190353278029545</v>
      </c>
      <c r="M92" s="13" t="n">
        <f aca="false">M$81*$W35</f>
        <v>0.388539658570925</v>
      </c>
      <c r="N92" s="13" t="n">
        <f aca="false">N$81*$U35</f>
        <v>7.84324163884418</v>
      </c>
      <c r="O92" s="13" t="n">
        <f aca="false">O$81*$U35</f>
        <v>0.257536588581125</v>
      </c>
      <c r="Q92" s="8"/>
      <c r="U92" s="18" t="str">
        <f aca="false">B105</f>
        <v>wheat distillers grain, dry</v>
      </c>
      <c r="X92" s="13" t="n">
        <f aca="false">D105/D$116*100</f>
        <v>0</v>
      </c>
      <c r="Y92" s="13" t="n">
        <f aca="false">E105/E$116*100</f>
        <v>0.151560635720529</v>
      </c>
      <c r="Z92" s="13" t="n">
        <f aca="false">F105/F$116*100</f>
        <v>0</v>
      </c>
      <c r="AA92" s="13" t="n">
        <f aca="false">G105/G$116*100</f>
        <v>0</v>
      </c>
      <c r="AB92" s="13" t="n">
        <f aca="false">H105/H$116*100</f>
        <v>0.209477547790556</v>
      </c>
      <c r="AC92" s="13" t="n">
        <f aca="false">I105/I$116*100</f>
        <v>0</v>
      </c>
      <c r="AD92" s="13" t="n">
        <f aca="false">J105/J$116*100</f>
        <v>1.42060949967448</v>
      </c>
      <c r="AE92" s="13" t="n">
        <f aca="false">K105/K$116*100</f>
        <v>0.130441773553706</v>
      </c>
      <c r="AF92" s="13" t="n">
        <f aca="false">L105/L$116*100</f>
        <v>0.0874224022760576</v>
      </c>
      <c r="AG92" s="13" t="n">
        <f aca="false">M105/M$116*100</f>
        <v>0.262792574163298</v>
      </c>
      <c r="AH92" s="13" t="n">
        <f aca="false">N105/N$116*100</f>
        <v>2.19535529774888</v>
      </c>
      <c r="AI92" s="13" t="n">
        <f aca="false">O105/O$116*100</f>
        <v>0.172249285461063</v>
      </c>
    </row>
    <row r="93" customFormat="false" ht="15" hidden="false" customHeight="false" outlineLevel="0" collapsed="false">
      <c r="B93" s="0" t="str">
        <f aca="false">L36</f>
        <v>soybeans</v>
      </c>
      <c r="C93" s="18"/>
      <c r="E93" s="13" t="n">
        <f aca="false">E$81*$W36</f>
        <v>0.100263665671529</v>
      </c>
      <c r="H93" s="13" t="n">
        <f aca="false">H$81*$W36</f>
        <v>0.192036994193318</v>
      </c>
      <c r="I93" s="13"/>
      <c r="J93" s="13" t="n">
        <f aca="false">J$81*$U36</f>
        <v>4.84986287121921</v>
      </c>
      <c r="K93" s="13" t="n">
        <f aca="false">K$81*$W36</f>
        <v>0.0785955046871564</v>
      </c>
      <c r="L93" s="13" t="n">
        <f aca="false">L$81*$W36</f>
        <v>0.186019022219038</v>
      </c>
      <c r="M93" s="13" t="n">
        <f aca="false">M$81*$W36</f>
        <v>0.379692790840535</v>
      </c>
      <c r="N93" s="13" t="n">
        <f aca="false">N$81*$U36</f>
        <v>7.66465466625159</v>
      </c>
      <c r="O93" s="13" t="n">
        <f aca="false">O$81*$U36</f>
        <v>0.25167259996464</v>
      </c>
      <c r="Q93" s="8"/>
      <c r="U93" s="18" t="str">
        <f aca="false">B106</f>
        <v>barley brewers grain</v>
      </c>
      <c r="X93" s="13" t="n">
        <f aca="false">D106/D$116*100</f>
        <v>0</v>
      </c>
      <c r="Y93" s="13" t="n">
        <f aca="false">E106/E$116*100</f>
        <v>0</v>
      </c>
      <c r="Z93" s="13" t="n">
        <f aca="false">F106/F$116*100</f>
        <v>0</v>
      </c>
      <c r="AA93" s="13" t="n">
        <f aca="false">G106/G$116*100</f>
        <v>0</v>
      </c>
      <c r="AB93" s="13" t="n">
        <f aca="false">H106/H$116*100</f>
        <v>0</v>
      </c>
      <c r="AC93" s="13" t="n">
        <f aca="false">I106/I$116*100</f>
        <v>0</v>
      </c>
      <c r="AD93" s="13" t="n">
        <f aca="false">J106/J$116*100</f>
        <v>0</v>
      </c>
      <c r="AE93" s="13" t="n">
        <f aca="false">K106/K$116*100</f>
        <v>0</v>
      </c>
      <c r="AF93" s="13" t="n">
        <f aca="false">L106/L$116*100</f>
        <v>0</v>
      </c>
      <c r="AG93" s="13" t="n">
        <f aca="false">M106/M$116*100</f>
        <v>0</v>
      </c>
      <c r="AH93" s="13" t="n">
        <f aca="false">N106/N$116*100</f>
        <v>0</v>
      </c>
      <c r="AI93" s="13" t="n">
        <f aca="false">O106/O$116*100</f>
        <v>0</v>
      </c>
    </row>
    <row r="94" customFormat="false" ht="15" hidden="false" customHeight="false" outlineLevel="0" collapsed="false">
      <c r="B94" s="0" t="str">
        <f aca="false">L37</f>
        <v>soybean meal</v>
      </c>
      <c r="E94" s="13" t="n">
        <f aca="false">E$81*$W37</f>
        <v>0.915871384405541</v>
      </c>
      <c r="H94" s="13" t="n">
        <f aca="false">H$81*$W37</f>
        <v>1.75418668917525</v>
      </c>
      <c r="I94" s="13"/>
      <c r="J94" s="13" t="n">
        <f aca="false">J$81*$U37</f>
        <v>44.3016978512674</v>
      </c>
      <c r="K94" s="13" t="n">
        <f aca="false">K$81*$W37</f>
        <v>0.717940773497159</v>
      </c>
      <c r="L94" s="13" t="n">
        <f aca="false">L$81*$W37</f>
        <v>1.69921474807891</v>
      </c>
      <c r="M94" s="13" t="n">
        <f aca="false">M$81*$W37</f>
        <v>3.46835276435212</v>
      </c>
      <c r="N94" s="13" t="n">
        <f aca="false">N$81*$U37</f>
        <v>70.0137765077104</v>
      </c>
      <c r="O94" s="13" t="n">
        <f aca="false">O$81*$U37</f>
        <v>2.29893582089538</v>
      </c>
      <c r="Q94" s="8"/>
      <c r="U94" s="18" t="str">
        <f aca="false">B107</f>
        <v>maize gluten meal</v>
      </c>
      <c r="X94" s="13" t="n">
        <f aca="false">D107/D$116*100</f>
        <v>0</v>
      </c>
      <c r="Y94" s="13" t="n">
        <f aca="false">E107/E$116*100</f>
        <v>0.00457968660380638</v>
      </c>
      <c r="Z94" s="13" t="n">
        <f aca="false">F107/F$116*100</f>
        <v>0</v>
      </c>
      <c r="AA94" s="13" t="n">
        <f aca="false">G107/G$116*100</f>
        <v>0</v>
      </c>
      <c r="AB94" s="13" t="n">
        <f aca="false">H107/H$116*100</f>
        <v>0.00632975386289355</v>
      </c>
      <c r="AC94" s="13" t="n">
        <f aca="false">I107/I$116*100</f>
        <v>0</v>
      </c>
      <c r="AD94" s="13" t="n">
        <f aca="false">J107/J$116*100</f>
        <v>0.0429263592354942</v>
      </c>
      <c r="AE94" s="13" t="n">
        <f aca="false">K107/K$116*100</f>
        <v>0.0039415408894312</v>
      </c>
      <c r="AF94" s="13" t="n">
        <f aca="false">L107/L$116*100</f>
        <v>0.00264163054392627</v>
      </c>
      <c r="AG94" s="13" t="n">
        <f aca="false">M107/M$116*100</f>
        <v>0.0079407665833143</v>
      </c>
      <c r="AH94" s="13" t="n">
        <f aca="false">N107/N$116*100</f>
        <v>0.0663367450255032</v>
      </c>
      <c r="AI94" s="13" t="n">
        <f aca="false">O107/O$116*100</f>
        <v>0.00520483264926292</v>
      </c>
    </row>
    <row r="95" customFormat="false" ht="15" hidden="false" customHeight="false" outlineLevel="0" collapsed="false">
      <c r="B95" s="0" t="str">
        <f aca="false">L38</f>
        <v>soybean protein concentrate</v>
      </c>
      <c r="E95" s="13" t="n">
        <f aca="false">E$81*$W38</f>
        <v>0</v>
      </c>
      <c r="H95" s="13" t="n">
        <f aca="false">H$81*$W38</f>
        <v>0</v>
      </c>
      <c r="I95" s="13"/>
      <c r="J95" s="13" t="n">
        <f aca="false">J$81*$U38</f>
        <v>0</v>
      </c>
      <c r="K95" s="13" t="n">
        <f aca="false">K$81*$W38</f>
        <v>0</v>
      </c>
      <c r="L95" s="13" t="n">
        <f aca="false">L$81*$W38</f>
        <v>0</v>
      </c>
      <c r="M95" s="13" t="n">
        <f aca="false">M$81*$W38</f>
        <v>0</v>
      </c>
      <c r="N95" s="13" t="n">
        <f aca="false">N$81*$U38</f>
        <v>0</v>
      </c>
      <c r="O95" s="13" t="n">
        <f aca="false">O$81*$U38</f>
        <v>0</v>
      </c>
      <c r="Q95" s="8"/>
      <c r="U95" s="18" t="str">
        <f aca="false">B108</f>
        <v>sugar beet molasses</v>
      </c>
      <c r="X95" s="13" t="n">
        <f aca="false">D108/D$116*100</f>
        <v>0</v>
      </c>
      <c r="Y95" s="13" t="n">
        <f aca="false">E108/E$116*100</f>
        <v>0.0507859470830495</v>
      </c>
      <c r="Z95" s="13" t="n">
        <f aca="false">F108/F$116*100</f>
        <v>0</v>
      </c>
      <c r="AA95" s="13" t="n">
        <f aca="false">G108/G$116*100</f>
        <v>0</v>
      </c>
      <c r="AB95" s="13" t="n">
        <f aca="false">H108/H$116*100</f>
        <v>0.0701931316571877</v>
      </c>
      <c r="AC95" s="13" t="n">
        <f aca="false">I108/I$116*100</f>
        <v>0</v>
      </c>
      <c r="AD95" s="13" t="n">
        <f aca="false">J108/J$116*100</f>
        <v>0.476027291210242</v>
      </c>
      <c r="AE95" s="13" t="n">
        <f aca="false">K108/K$116*100</f>
        <v>0.0437092981144069</v>
      </c>
      <c r="AF95" s="13" t="n">
        <f aca="false">L108/L$116*100</f>
        <v>0.0292940807140171</v>
      </c>
      <c r="AG95" s="13" t="n">
        <f aca="false">M108/M$116*100</f>
        <v>0.0880582857272077</v>
      </c>
      <c r="AH95" s="13" t="n">
        <f aca="false">N108/N$116*100</f>
        <v>0.735634272381619</v>
      </c>
      <c r="AI95" s="13" t="n">
        <f aca="false">O108/O$116*100</f>
        <v>0.0577184376070398</v>
      </c>
    </row>
    <row r="96" customFormat="false" ht="15" hidden="false" customHeight="false" outlineLevel="0" collapsed="false">
      <c r="B96" s="0" t="str">
        <f aca="false">L39</f>
        <v>rapeseed meal</v>
      </c>
      <c r="E96" s="13" t="n">
        <f aca="false">E$81*$W39</f>
        <v>7.07385419238672</v>
      </c>
      <c r="H96" s="13" t="n">
        <f aca="false">H$81*$W39</f>
        <v>13.5486937104225</v>
      </c>
      <c r="I96" s="13"/>
      <c r="J96" s="13" t="n">
        <f aca="false">J$81*$U39</f>
        <v>342.17004309884</v>
      </c>
      <c r="K96" s="13" t="n">
        <f aca="false">K$81*$W39</f>
        <v>5.54511084958134</v>
      </c>
      <c r="L96" s="13" t="n">
        <f aca="false">L$81*$W39</f>
        <v>13.1241106274601</v>
      </c>
      <c r="M96" s="13" t="n">
        <f aca="false">M$81*$W39</f>
        <v>26.7882828970717</v>
      </c>
      <c r="N96" s="13" t="n">
        <f aca="false">N$81*$U39</f>
        <v>540.760695122443</v>
      </c>
      <c r="O96" s="13" t="n">
        <f aca="false">O$81*$U39</f>
        <v>17.7561359286535</v>
      </c>
      <c r="Q96" s="8"/>
      <c r="U96" s="18" t="str">
        <f aca="false">B109</f>
        <v>sugar beet pulp</v>
      </c>
      <c r="X96" s="13" t="n">
        <f aca="false">D109/D$116*100</f>
        <v>0</v>
      </c>
      <c r="Y96" s="13" t="n">
        <f aca="false">E109/E$116*100</f>
        <v>0.0979955018415538</v>
      </c>
      <c r="Z96" s="13" t="n">
        <f aca="false">F109/F$116*100</f>
        <v>0</v>
      </c>
      <c r="AA96" s="13" t="n">
        <f aca="false">G109/G$116*100</f>
        <v>0</v>
      </c>
      <c r="AB96" s="13" t="n">
        <f aca="false">H109/H$116*100</f>
        <v>0.135443199500206</v>
      </c>
      <c r="AC96" s="13" t="n">
        <f aca="false">I109/I$116*100</f>
        <v>0</v>
      </c>
      <c r="AD96" s="13" t="n">
        <f aca="false">J109/J$116*100</f>
        <v>0.918532310053005</v>
      </c>
      <c r="AE96" s="13" t="n">
        <f aca="false">K109/K$116*100</f>
        <v>0.0843405479247821</v>
      </c>
      <c r="AF96" s="13" t="n">
        <f aca="false">L109/L$116*100</f>
        <v>0.0565252457705021</v>
      </c>
      <c r="AG96" s="13" t="n">
        <f aca="false">M109/M$116*100</f>
        <v>0.169915427333338</v>
      </c>
      <c r="AH96" s="13" t="n">
        <f aca="false">N109/N$116*100</f>
        <v>1.41946451399237</v>
      </c>
      <c r="AI96" s="13" t="n">
        <f aca="false">O109/O$116*100</f>
        <v>0.111372290637071</v>
      </c>
    </row>
    <row r="97" customFormat="false" ht="15" hidden="false" customHeight="false" outlineLevel="0" collapsed="false">
      <c r="B97" s="0" t="str">
        <f aca="false">L40</f>
        <v>sunflower seed meal</v>
      </c>
      <c r="C97" s="18"/>
      <c r="E97" s="13" t="n">
        <f aca="false">E$81*$W40</f>
        <v>0.0977184486591771</v>
      </c>
      <c r="H97" s="13" t="n">
        <f aca="false">H$81*$W40</f>
        <v>0.187162089397567</v>
      </c>
      <c r="I97" s="13"/>
      <c r="J97" s="13" t="n">
        <f aca="false">J$81*$U40</f>
        <v>4.72674794813391</v>
      </c>
      <c r="K97" s="13" t="n">
        <f aca="false">K$81*$W40</f>
        <v>0.0766003390976647</v>
      </c>
      <c r="L97" s="13" t="n">
        <f aca="false">L$81*$W40</f>
        <v>0.181296885073923</v>
      </c>
      <c r="M97" s="13" t="n">
        <f aca="false">M$81*$W40</f>
        <v>0.370054198991314</v>
      </c>
      <c r="N97" s="13" t="n">
        <f aca="false">N$81*$U40</f>
        <v>7.47008558362642</v>
      </c>
      <c r="O97" s="13" t="n">
        <f aca="false">O$81*$U40</f>
        <v>0.245283831125175</v>
      </c>
      <c r="Q97" s="8"/>
      <c r="U97" s="18" t="str">
        <f aca="false">B110</f>
        <v>whey powder</v>
      </c>
      <c r="X97" s="13" t="n">
        <f aca="false">D110/D$116*100</f>
        <v>0</v>
      </c>
      <c r="Y97" s="13" t="n">
        <f aca="false">E110/E$116*100</f>
        <v>0</v>
      </c>
      <c r="Z97" s="13" t="n">
        <f aca="false">F110/F$116*100</f>
        <v>0</v>
      </c>
      <c r="AA97" s="13" t="n">
        <f aca="false">G110/G$116*100</f>
        <v>0</v>
      </c>
      <c r="AB97" s="13" t="n">
        <f aca="false">H110/H$116*100</f>
        <v>0</v>
      </c>
      <c r="AC97" s="13" t="n">
        <f aca="false">I110/I$116*100</f>
        <v>0</v>
      </c>
      <c r="AD97" s="13" t="n">
        <f aca="false">J110/J$116*100</f>
        <v>0</v>
      </c>
      <c r="AE97" s="13" t="n">
        <f aca="false">K110/K$116*100</f>
        <v>0</v>
      </c>
      <c r="AF97" s="13" t="n">
        <f aca="false">L110/L$116*100</f>
        <v>0</v>
      </c>
      <c r="AG97" s="13" t="n">
        <f aca="false">M110/M$116*100</f>
        <v>0</v>
      </c>
      <c r="AH97" s="13" t="n">
        <f aca="false">N110/N$116*100</f>
        <v>0</v>
      </c>
      <c r="AI97" s="13" t="n">
        <f aca="false">O110/O$116*100</f>
        <v>0</v>
      </c>
    </row>
    <row r="98" customFormat="false" ht="15" hidden="false" customHeight="false" outlineLevel="0" collapsed="false">
      <c r="B98" s="0" t="str">
        <f aca="false">L41</f>
        <v>palm kernel expeller</v>
      </c>
      <c r="E98" s="13" t="n">
        <f aca="false">E$81*$W41</f>
        <v>0.634966579449294</v>
      </c>
      <c r="H98" s="13" t="n">
        <f aca="false">H$81*$W41</f>
        <v>1.21616412599685</v>
      </c>
      <c r="I98" s="13"/>
      <c r="J98" s="13" t="n">
        <f aca="false">J$81*$U41</f>
        <v>30.7140260383543</v>
      </c>
      <c r="K98" s="13" t="n">
        <f aca="false">K$81*$W41</f>
        <v>0.497742810788394</v>
      </c>
      <c r="L98" s="13" t="n">
        <f aca="false">L$81*$W41</f>
        <v>1.17805250246765</v>
      </c>
      <c r="M98" s="13" t="n">
        <f aca="false">M$81*$W41</f>
        <v>2.40458226843019</v>
      </c>
      <c r="N98" s="13" t="n">
        <f aca="false">N$81*$U41</f>
        <v>48.5400122117401</v>
      </c>
      <c r="O98" s="13" t="n">
        <f aca="false">O$81*$U41</f>
        <v>1.59383450495603</v>
      </c>
      <c r="Q98" s="8"/>
      <c r="U98" s="18" t="str">
        <f aca="false">B111</f>
        <v>potatoe protein</v>
      </c>
      <c r="X98" s="13" t="n">
        <f aca="false">D111/D$116*100</f>
        <v>0</v>
      </c>
      <c r="Y98" s="13" t="n">
        <f aca="false">E111/E$116*100</f>
        <v>0.000448648558966855</v>
      </c>
      <c r="Z98" s="13" t="n">
        <f aca="false">F111/F$116*100</f>
        <v>0</v>
      </c>
      <c r="AA98" s="13" t="n">
        <f aca="false">G111/G$116*100</f>
        <v>0</v>
      </c>
      <c r="AB98" s="13" t="n">
        <f aca="false">H111/H$116*100</f>
        <v>0.000620093730178341</v>
      </c>
      <c r="AC98" s="13" t="n">
        <f aca="false">I111/I$116*100</f>
        <v>0</v>
      </c>
      <c r="AD98" s="13" t="n">
        <f aca="false">J111/J$116*100</f>
        <v>0.00420527666602583</v>
      </c>
      <c r="AE98" s="13" t="n">
        <f aca="false">K111/K$116*100</f>
        <v>0.000386132675253908</v>
      </c>
      <c r="AF98" s="13" t="n">
        <f aca="false">L111/L$116*100</f>
        <v>0.000258787082913121</v>
      </c>
      <c r="AG98" s="13" t="n">
        <f aca="false">M111/M$116*100</f>
        <v>0.000777916436844187</v>
      </c>
      <c r="AH98" s="13" t="n">
        <f aca="false">N111/N$116*100</f>
        <v>0.00649867286497449</v>
      </c>
      <c r="AI98" s="13" t="n">
        <f aca="false">O111/O$116*100</f>
        <v>0.000509890931360807</v>
      </c>
    </row>
    <row r="99" customFormat="false" ht="15" hidden="false" customHeight="false" outlineLevel="0" collapsed="false">
      <c r="B99" s="0" t="str">
        <f aca="false">L42</f>
        <v>luzern meal</v>
      </c>
      <c r="C99" s="10"/>
      <c r="E99" s="13" t="n">
        <f aca="false">E$81*$W42</f>
        <v>0.193149861229582</v>
      </c>
      <c r="H99" s="13" t="n">
        <f aca="false">H$81*$W42</f>
        <v>0.369943773060336</v>
      </c>
      <c r="I99" s="13"/>
      <c r="J99" s="13" t="n">
        <f aca="false">J$81*$U42</f>
        <v>9.34286946606715</v>
      </c>
      <c r="K99" s="13" t="n">
        <f aca="false">K$81*$W42</f>
        <v>0.151407897586014</v>
      </c>
      <c r="L99" s="13" t="n">
        <f aca="false">L$81*$W42</f>
        <v>0.358350635666739</v>
      </c>
      <c r="M99" s="13" t="n">
        <f aca="false">M$81*$W42</f>
        <v>0.731447522584916</v>
      </c>
      <c r="N99" s="13" t="n">
        <f aca="false">N$81*$U42</f>
        <v>14.7653387220965</v>
      </c>
      <c r="O99" s="13" t="n">
        <f aca="false">O$81*$U42</f>
        <v>0.484826955337041</v>
      </c>
      <c r="Q99" s="8"/>
      <c r="U99" s="18" t="str">
        <f aca="false">B112</f>
        <v>fish meal</v>
      </c>
      <c r="X99" s="13" t="n">
        <f aca="false">D112/D$116*100</f>
        <v>0</v>
      </c>
      <c r="Y99" s="13" t="n">
        <f aca="false">E112/E$116*100</f>
        <v>0</v>
      </c>
      <c r="Z99" s="13" t="n">
        <f aca="false">F112/F$116*100</f>
        <v>0</v>
      </c>
      <c r="AA99" s="13" t="n">
        <f aca="false">G112/G$116*100</f>
        <v>0</v>
      </c>
      <c r="AB99" s="13" t="n">
        <f aca="false">H112/H$116*100</f>
        <v>0</v>
      </c>
      <c r="AC99" s="13" t="n">
        <f aca="false">I112/I$116*100</f>
        <v>0</v>
      </c>
      <c r="AD99" s="13" t="n">
        <f aca="false">J112/J$116*100</f>
        <v>0</v>
      </c>
      <c r="AE99" s="13" t="n">
        <f aca="false">K112/K$116*100</f>
        <v>0</v>
      </c>
      <c r="AF99" s="13" t="n">
        <f aca="false">L112/L$116*100</f>
        <v>0</v>
      </c>
      <c r="AG99" s="13" t="n">
        <f aca="false">M112/M$116*100</f>
        <v>0</v>
      </c>
      <c r="AH99" s="13" t="n">
        <f aca="false">N112/N$116*100</f>
        <v>0</v>
      </c>
      <c r="AI99" s="13" t="n">
        <f aca="false">O112/O$116*100</f>
        <v>0</v>
      </c>
    </row>
    <row r="100" customFormat="false" ht="15" hidden="false" customHeight="false" outlineLevel="0" collapsed="false">
      <c r="B100" s="0" t="str">
        <f aca="false">L43</f>
        <v>wheat bran</v>
      </c>
      <c r="C100" s="207"/>
      <c r="E100" s="13" t="n">
        <f aca="false">E$81*$W43</f>
        <v>2.10439368229245</v>
      </c>
      <c r="H100" s="13" t="n">
        <f aca="false">H$81*$W43</f>
        <v>4.03058709892756</v>
      </c>
      <c r="I100" s="13"/>
      <c r="J100" s="13" t="n">
        <f aca="false">J$81*$U43</f>
        <v>101.791817781868</v>
      </c>
      <c r="K100" s="13" t="n">
        <f aca="false">K$81*$W43</f>
        <v>1.64960938154892</v>
      </c>
      <c r="L100" s="13" t="n">
        <f aca="false">L$81*$W43</f>
        <v>3.90427830981569</v>
      </c>
      <c r="M100" s="13" t="n">
        <f aca="false">M$81*$W43</f>
        <v>7.96921900775569</v>
      </c>
      <c r="N100" s="13" t="n">
        <f aca="false">N$81*$U43</f>
        <v>160.870348680991</v>
      </c>
      <c r="O100" s="13" t="n">
        <f aca="false">O$81*$U43</f>
        <v>5.28225480112377</v>
      </c>
      <c r="Q100" s="8"/>
      <c r="U100" s="18" t="str">
        <f aca="false">B113</f>
        <v>minerals</v>
      </c>
      <c r="X100" s="13" t="n">
        <f aca="false">D113/D$116*100</f>
        <v>0.859091672469462</v>
      </c>
      <c r="Y100" s="13" t="n">
        <f aca="false">E113/E$116*100</f>
        <v>0.631693852798037</v>
      </c>
      <c r="Z100" s="13" t="n">
        <f aca="false">F113/F$116*100</f>
        <v>0.719376772976982</v>
      </c>
      <c r="AA100" s="13" t="n">
        <f aca="false">G113/G$116*100</f>
        <v>0.700942154394055</v>
      </c>
      <c r="AB100" s="13" t="n">
        <f aca="false">H113/H$116*100</f>
        <v>0.594527617993607</v>
      </c>
      <c r="AC100" s="13" t="n">
        <f aca="false">I113/I$116*100</f>
        <v>0.577550607872015</v>
      </c>
      <c r="AD100" s="13" t="n">
        <f aca="false">J113/J$116*100</f>
        <v>0.660225706740464</v>
      </c>
      <c r="AE100" s="13" t="n">
        <f aca="false">K113/K$116*100</f>
        <v>0.693635401327792</v>
      </c>
      <c r="AF100" s="13" t="n">
        <f aca="false">L113/L$116*100</f>
        <v>0.729087965274202</v>
      </c>
      <c r="AG100" s="13" t="n">
        <f aca="false">M113/M$116*100</f>
        <v>0.66953698870829</v>
      </c>
      <c r="AH100" s="13" t="n">
        <f aca="false">N113/N$116*100</f>
        <v>0.837168181552798</v>
      </c>
      <c r="AI100" s="13" t="n">
        <f aca="false">O113/O$116*100</f>
        <v>0.667406881571683</v>
      </c>
    </row>
    <row r="101" customFormat="false" ht="15" hidden="false" customHeight="false" outlineLevel="0" collapsed="false">
      <c r="B101" s="0" t="str">
        <f aca="false">L44</f>
        <v>wheat bran, fine</v>
      </c>
      <c r="E101" s="13" t="n">
        <f aca="false">E$81*$W44</f>
        <v>0.00551653210423625</v>
      </c>
      <c r="H101" s="13" t="n">
        <f aca="false">H$81*$W44</f>
        <v>0.0105659237229474</v>
      </c>
      <c r="I101" s="13"/>
      <c r="J101" s="13" t="n">
        <f aca="false">J$81*$U44</f>
        <v>0.266840675044473</v>
      </c>
      <c r="K101" s="13" t="n">
        <f aca="false">K$81*$W44</f>
        <v>0.00432434443675509</v>
      </c>
      <c r="L101" s="13" t="n">
        <f aca="false">L$81*$W44</f>
        <v>0.0102348133912418</v>
      </c>
      <c r="M101" s="13" t="n">
        <f aca="false">M$81*$W44</f>
        <v>0.0208907928549201</v>
      </c>
      <c r="N101" s="13" t="n">
        <f aca="false">N$81*$U44</f>
        <v>0.421711227602439</v>
      </c>
      <c r="O101" s="13" t="n">
        <f aca="false">O$81*$U44</f>
        <v>0.0138470897524325</v>
      </c>
      <c r="Q101" s="8"/>
    </row>
    <row r="102" customFormat="false" ht="15" hidden="false" customHeight="false" outlineLevel="0" collapsed="false">
      <c r="B102" s="0" t="str">
        <f aca="false">L45</f>
        <v>oat hulls</v>
      </c>
      <c r="E102" s="13" t="n">
        <f aca="false">E$81*$W45</f>
        <v>0.253453756972716</v>
      </c>
      <c r="H102" s="13" t="n">
        <f aca="false">H$81*$W45</f>
        <v>0.485445024676225</v>
      </c>
      <c r="I102" s="13"/>
      <c r="J102" s="13" t="n">
        <f aca="false">J$81*$U45</f>
        <v>12.2598346796934</v>
      </c>
      <c r="K102" s="13" t="n">
        <f aca="false">K$81*$W45</f>
        <v>0.198679410040591</v>
      </c>
      <c r="L102" s="13" t="n">
        <f aca="false">L$81*$W45</f>
        <v>0.470232359190457</v>
      </c>
      <c r="M102" s="13" t="n">
        <f aca="false">M$81*$W45</f>
        <v>0.959814940830716</v>
      </c>
      <c r="N102" s="13" t="n">
        <f aca="false">N$81*$U45</f>
        <v>19.3752692767501</v>
      </c>
      <c r="O102" s="13" t="n">
        <f aca="false">O$81*$U45</f>
        <v>0.636196228822328</v>
      </c>
      <c r="Q102" s="8"/>
      <c r="X102" s="8" t="n">
        <f aca="false">SUM(X63:X100)</f>
        <v>100</v>
      </c>
      <c r="Y102" s="8" t="n">
        <f aca="false">SUM(Y63:Y100)</f>
        <v>100</v>
      </c>
      <c r="Z102" s="8" t="n">
        <f aca="false">SUM(Z63:Z100)</f>
        <v>100</v>
      </c>
      <c r="AA102" s="8" t="n">
        <f aca="false">SUM(AA63:AA100)</f>
        <v>100</v>
      </c>
      <c r="AB102" s="8" t="n">
        <f aca="false">SUM(AB63:AB100)</f>
        <v>100</v>
      </c>
      <c r="AC102" s="8" t="n">
        <f aca="false">SUM(AC63:AC100)</f>
        <v>100</v>
      </c>
      <c r="AD102" s="8" t="n">
        <f aca="false">SUM(AD63:AD100)</f>
        <v>100</v>
      </c>
      <c r="AE102" s="8" t="n">
        <f aca="false">SUM(AE63:AE100)</f>
        <v>100</v>
      </c>
      <c r="AF102" s="8" t="n">
        <f aca="false">SUM(AF63:AF100)</f>
        <v>100</v>
      </c>
      <c r="AG102" s="8" t="n">
        <f aca="false">SUM(AG63:AG100)</f>
        <v>100</v>
      </c>
      <c r="AH102" s="8" t="n">
        <f aca="false">SUM(AH63:AH100)</f>
        <v>100</v>
      </c>
      <c r="AI102" s="8" t="n">
        <f aca="false">SUM(AI63:AI100)</f>
        <v>100</v>
      </c>
    </row>
    <row r="103" customFormat="false" ht="15" hidden="false" customHeight="false" outlineLevel="0" collapsed="false">
      <c r="B103" s="0" t="str">
        <f aca="false">L46</f>
        <v>oat bran</v>
      </c>
      <c r="D103" s="205"/>
      <c r="E103" s="13" t="n">
        <f aca="false">E$81*$W46</f>
        <v>0.0286051189242796</v>
      </c>
      <c r="H103" s="13" t="n">
        <f aca="false">H$81*$W46</f>
        <v>0.0547879535419872</v>
      </c>
      <c r="I103" s="13"/>
      <c r="J103" s="13" t="n">
        <f aca="false">J$81*$U46</f>
        <v>1.3836608034277</v>
      </c>
      <c r="K103" s="13" t="n">
        <f aca="false">K$81*$W46</f>
        <v>0.0224232152637952</v>
      </c>
      <c r="L103" s="13" t="n">
        <f aca="false">L$81*$W46</f>
        <v>0.0530710324334849</v>
      </c>
      <c r="M103" s="13" t="n">
        <f aca="false">M$81*$W46</f>
        <v>0.108325956007504</v>
      </c>
      <c r="N103" s="13" t="n">
        <f aca="false">N$81*$U46</f>
        <v>2.18671795782866</v>
      </c>
      <c r="O103" s="13" t="n">
        <f aca="false">O$81*$U46</f>
        <v>0.0718019294801771</v>
      </c>
      <c r="Q103" s="8"/>
    </row>
    <row r="104" customFormat="false" ht="15" hidden="false" customHeight="false" outlineLevel="0" collapsed="false">
      <c r="B104" s="0" t="str">
        <f aca="false">L47</f>
        <v>rye bran</v>
      </c>
      <c r="E104" s="13" t="n">
        <f aca="false">E$81*$W47</f>
        <v>0.0882184968450682</v>
      </c>
      <c r="H104" s="13" t="n">
        <f aca="false">H$81*$W47</f>
        <v>0.168966642630844</v>
      </c>
      <c r="I104" s="13"/>
      <c r="J104" s="13" t="n">
        <f aca="false">J$81*$U47</f>
        <v>4.26722491680412</v>
      </c>
      <c r="K104" s="13" t="n">
        <f aca="false">K$81*$W47</f>
        <v>0.0691534389436284</v>
      </c>
      <c r="L104" s="13" t="n">
        <f aca="false">L$81*$W47</f>
        <v>0.163671639320612</v>
      </c>
      <c r="M104" s="13" t="n">
        <f aca="false">M$81*$W47</f>
        <v>0.334078422592248</v>
      </c>
      <c r="N104" s="13" t="n">
        <f aca="false">N$81*$U47</f>
        <v>6.74386188620329</v>
      </c>
      <c r="O104" s="13" t="n">
        <f aca="false">O$81*$U47</f>
        <v>0.221437928857565</v>
      </c>
      <c r="Q104" s="8"/>
      <c r="U104" s="2"/>
      <c r="V104" s="2"/>
      <c r="W104" s="199" t="s">
        <v>475</v>
      </c>
      <c r="X104" s="204" t="n">
        <f aca="false">SUM(X63:X68)</f>
        <v>99.1409083275306</v>
      </c>
      <c r="Y104" s="204" t="n">
        <f aca="false">SUM(Y63:Y68)</f>
        <v>76.5480628388495</v>
      </c>
      <c r="Z104" s="204" t="n">
        <f aca="false">SUM(Z63:Z68)</f>
        <v>99.280623227023</v>
      </c>
      <c r="AA104" s="204" t="n">
        <f aca="false">SUM(AA63:AA68)</f>
        <v>99.2990578456059</v>
      </c>
      <c r="AB104" s="204" t="n">
        <f aca="false">SUM(AB63:AB68)</f>
        <v>60.1387136266191</v>
      </c>
      <c r="AC104" s="204" t="n">
        <f aca="false">SUM(AC63:AC68)</f>
        <v>69.1616852926738</v>
      </c>
      <c r="AD104" s="204" t="n">
        <f aca="false">SUM(AD63:AD68)</f>
        <v>61.1814949479841</v>
      </c>
      <c r="AE104" s="204" t="n">
        <f aca="false">SUM(AE63:AE68)</f>
        <v>83.6120496816678</v>
      </c>
      <c r="AF104" s="204" t="n">
        <f aca="false">SUM(AF63:AF68)</f>
        <v>93.6438505860691</v>
      </c>
      <c r="AG104" s="204" t="n">
        <f aca="false">SUM(AG63:AG68)</f>
        <v>65.0658846093256</v>
      </c>
      <c r="AH104" s="204" t="n">
        <f aca="false">SUM(AH63:AH68)</f>
        <v>59.0124352596282</v>
      </c>
      <c r="AI104" s="204" t="n">
        <f aca="false">SUM(AI63:AI68)</f>
        <v>69.8957025064162</v>
      </c>
    </row>
    <row r="105" customFormat="false" ht="15" hidden="false" customHeight="false" outlineLevel="0" collapsed="false">
      <c r="B105" s="0" t="str">
        <f aca="false">L48</f>
        <v>wheat distillers grain, dry</v>
      </c>
      <c r="E105" s="13" t="n">
        <f aca="false">E$81*$W48</f>
        <v>2.26202329081169</v>
      </c>
      <c r="H105" s="13" t="n">
        <f aca="false">H$81*$W48</f>
        <v>4.3324982250884</v>
      </c>
      <c r="I105" s="13"/>
      <c r="J105" s="13" t="n">
        <f aca="false">J$81*$U48</f>
        <v>109.416533880587</v>
      </c>
      <c r="K105" s="13" t="n">
        <f aca="false">K$81*$W48</f>
        <v>1.77317337207562</v>
      </c>
      <c r="L105" s="13" t="n">
        <f aca="false">L$81*$W48</f>
        <v>4.19672827614328</v>
      </c>
      <c r="M105" s="13" t="n">
        <f aca="false">M$81*$W48</f>
        <v>8.56615335657402</v>
      </c>
      <c r="N105" s="13" t="n">
        <f aca="false">N$81*$U48</f>
        <v>172.92034212961</v>
      </c>
      <c r="O105" s="13" t="n">
        <f aca="false">O$81*$U48</f>
        <v>5.67792209636722</v>
      </c>
      <c r="Q105" s="8"/>
      <c r="W105" s="199" t="s">
        <v>476</v>
      </c>
      <c r="X105" s="204" t="n">
        <f aca="false">X68/X104*100</f>
        <v>58.5540143307718</v>
      </c>
      <c r="Y105" s="204" t="n">
        <f aca="false">Y68/Y104*100</f>
        <v>27.644169508868</v>
      </c>
      <c r="Z105" s="204" t="n">
        <f aca="false">Z68/Z104*100</f>
        <v>30.6463167438753</v>
      </c>
      <c r="AA105" s="204" t="n">
        <f aca="false">AA68/AA104*100</f>
        <v>30.4958417040767</v>
      </c>
      <c r="AB105" s="204" t="n">
        <f aca="false">AB68/AB104*100</f>
        <v>0</v>
      </c>
      <c r="AC105" s="204" t="n">
        <f aca="false">AC68/AC104*100</f>
        <v>0</v>
      </c>
      <c r="AD105" s="204" t="n">
        <f aca="false">AD68/AD104*100</f>
        <v>10.8005729746936</v>
      </c>
      <c r="AE105" s="204" t="n">
        <f aca="false">AE68/AE104*100</f>
        <v>16.2942459901127</v>
      </c>
      <c r="AF105" s="204" t="n">
        <f aca="false">AF68/AF104*100</f>
        <v>41.235797089451</v>
      </c>
      <c r="AG105" s="204" t="n">
        <f aca="false">AG68/AG104*100</f>
        <v>0</v>
      </c>
      <c r="AH105" s="204" t="n">
        <f aca="false">AH68/AH104*100</f>
        <v>10.949399767652</v>
      </c>
      <c r="AI105" s="204" t="n">
        <f aca="false">AI68/AI104*100</f>
        <v>0</v>
      </c>
    </row>
    <row r="106" customFormat="false" ht="15" hidden="false" customHeight="false" outlineLevel="0" collapsed="false">
      <c r="B106" s="0" t="str">
        <f aca="false">L49</f>
        <v>barley brewers grain</v>
      </c>
      <c r="E106" s="13" t="n">
        <f aca="false">E$81*$W49</f>
        <v>0</v>
      </c>
      <c r="H106" s="13" t="n">
        <f aca="false">H$81*$W49</f>
        <v>0</v>
      </c>
      <c r="I106" s="13"/>
      <c r="J106" s="13" t="n">
        <f aca="false">J$81*$U49</f>
        <v>0</v>
      </c>
      <c r="K106" s="13" t="n">
        <f aca="false">K$81*$W49</f>
        <v>0</v>
      </c>
      <c r="L106" s="13" t="n">
        <f aca="false">L$81*$W49</f>
        <v>0</v>
      </c>
      <c r="M106" s="13" t="n">
        <f aca="false">M$81*$W49</f>
        <v>0</v>
      </c>
      <c r="N106" s="13" t="n">
        <f aca="false">N$81*$U49</f>
        <v>0</v>
      </c>
      <c r="O106" s="13" t="n">
        <f aca="false">O$81*$U49</f>
        <v>0</v>
      </c>
      <c r="Q106" s="8"/>
    </row>
    <row r="107" customFormat="false" ht="15" hidden="false" customHeight="false" outlineLevel="0" collapsed="false">
      <c r="B107" s="0" t="str">
        <f aca="false">L50</f>
        <v>maize gluten meal</v>
      </c>
      <c r="E107" s="13" t="n">
        <f aca="false">E$81*$W50</f>
        <v>0.0683512424791521</v>
      </c>
      <c r="H107" s="13" t="n">
        <f aca="false">H$81*$W50</f>
        <v>0.130914494968463</v>
      </c>
      <c r="I107" s="13"/>
      <c r="J107" s="13" t="n">
        <f aca="false">J$81*$U50</f>
        <v>3.30622415289842</v>
      </c>
      <c r="K107" s="13" t="n">
        <f aca="false">K$81*$W50</f>
        <v>0.0535797326246035</v>
      </c>
      <c r="L107" s="13" t="n">
        <f aca="false">L$81*$W50</f>
        <v>0.126811953345914</v>
      </c>
      <c r="M107" s="13" t="n">
        <f aca="false">M$81*$W50</f>
        <v>0.258842261955089</v>
      </c>
      <c r="N107" s="13" t="n">
        <f aca="false">N$81*$U50</f>
        <v>5.22510987507901</v>
      </c>
      <c r="O107" s="13" t="n">
        <f aca="false">O$81*$U50</f>
        <v>0.171568980550713</v>
      </c>
      <c r="Q107" s="8"/>
    </row>
    <row r="108" customFormat="false" ht="15" hidden="false" customHeight="false" outlineLevel="0" collapsed="false">
      <c r="B108" s="0" t="str">
        <f aca="false">L51</f>
        <v>sugar beet molasses</v>
      </c>
      <c r="E108" s="13" t="n">
        <f aca="false">E$81*$W51</f>
        <v>0.757973827449627</v>
      </c>
      <c r="H108" s="13" t="n">
        <f aca="false">H$81*$W51</f>
        <v>1.45176235604125</v>
      </c>
      <c r="I108" s="13"/>
      <c r="J108" s="13" t="n">
        <f aca="false">J$81*$U51</f>
        <v>36.6640207944016</v>
      </c>
      <c r="K108" s="13" t="n">
        <f aca="false">K$81*$W51</f>
        <v>0.594166741352002</v>
      </c>
      <c r="L108" s="13" t="n">
        <f aca="false">L$81*$W51</f>
        <v>1.40626765743554</v>
      </c>
      <c r="M108" s="13" t="n">
        <f aca="false">M$81*$W51</f>
        <v>2.87040371006657</v>
      </c>
      <c r="N108" s="13" t="n">
        <f aca="false">N$81*$U51</f>
        <v>57.943299744207</v>
      </c>
      <c r="O108" s="13" t="n">
        <f aca="false">O$81*$U51</f>
        <v>1.9025959462159</v>
      </c>
      <c r="Q108" s="8"/>
    </row>
    <row r="109" customFormat="false" ht="15" hidden="false" customHeight="false" outlineLevel="0" collapsed="false">
      <c r="B109" s="0" t="str">
        <f aca="false">L52</f>
        <v>sugar beet pulp</v>
      </c>
      <c r="E109" s="13" t="n">
        <f aca="false">E$81*$W52</f>
        <v>1.46257045245654</v>
      </c>
      <c r="H109" s="13" t="n">
        <f aca="false">H$81*$W52</f>
        <v>2.80129029399202</v>
      </c>
      <c r="I109" s="13"/>
      <c r="J109" s="13" t="n">
        <f aca="false">J$81*$U52</f>
        <v>70.7461280854153</v>
      </c>
      <c r="K109" s="13" t="n">
        <f aca="false">K$81*$W52</f>
        <v>1.14649172341188</v>
      </c>
      <c r="L109" s="13" t="n">
        <f aca="false">L$81*$W52</f>
        <v>2.71350467460195</v>
      </c>
      <c r="M109" s="13" t="n">
        <f aca="false">M$81*$W52</f>
        <v>5.53867099486887</v>
      </c>
      <c r="N109" s="13" t="n">
        <f aca="false">N$81*$U52</f>
        <v>111.80617991634</v>
      </c>
      <c r="O109" s="13" t="n">
        <f aca="false">O$81*$U52</f>
        <v>3.67120936518601</v>
      </c>
      <c r="Q109" s="8"/>
    </row>
    <row r="110" customFormat="false" ht="15" hidden="false" customHeight="false" outlineLevel="0" collapsed="false">
      <c r="B110" s="0" t="str">
        <f aca="false">L53</f>
        <v>whey powder</v>
      </c>
      <c r="E110" s="13" t="n">
        <f aca="false">E$81*$W53</f>
        <v>0</v>
      </c>
      <c r="H110" s="13" t="n">
        <f aca="false">H$81*$W53</f>
        <v>0</v>
      </c>
      <c r="I110" s="13"/>
      <c r="J110" s="13" t="n">
        <f aca="false">J$81*$U53</f>
        <v>0</v>
      </c>
      <c r="K110" s="13" t="n">
        <f aca="false">K$81*$W53</f>
        <v>0</v>
      </c>
      <c r="L110" s="13" t="n">
        <f aca="false">L$81*$W53</f>
        <v>0</v>
      </c>
      <c r="M110" s="13" t="n">
        <f aca="false">M$81*$W53</f>
        <v>0</v>
      </c>
      <c r="N110" s="13" t="n">
        <f aca="false">N$81*$U53</f>
        <v>0</v>
      </c>
      <c r="O110" s="13" t="n">
        <f aca="false">O$81*$U53</f>
        <v>0</v>
      </c>
      <c r="Q110" s="8"/>
    </row>
    <row r="111" customFormat="false" ht="15" hidden="false" customHeight="false" outlineLevel="0" collapsed="false">
      <c r="B111" s="0" t="str">
        <f aca="false">L54</f>
        <v>potatoe protein</v>
      </c>
      <c r="E111" s="13" t="n">
        <f aca="false">E$81*$W54</f>
        <v>0.00669602291483833</v>
      </c>
      <c r="H111" s="13" t="n">
        <f aca="false">H$81*$W54</f>
        <v>0.0128250259453687</v>
      </c>
      <c r="I111" s="13"/>
      <c r="J111" s="13" t="n">
        <f aca="false">J$81*$U54</f>
        <v>0.323893932084004</v>
      </c>
      <c r="K111" s="13" t="n">
        <f aca="false">K$81*$W54</f>
        <v>0.00524893336847074</v>
      </c>
      <c r="L111" s="13" t="n">
        <f aca="false">L$81*$W54</f>
        <v>0.0124231208487343</v>
      </c>
      <c r="M111" s="13" t="n">
        <f aca="false">M$81*$W54</f>
        <v>0.0253574573704131</v>
      </c>
      <c r="N111" s="13" t="n">
        <f aca="false">N$81*$U54</f>
        <v>0.51187738784337</v>
      </c>
      <c r="O111" s="13" t="n">
        <f aca="false">O$81*$U54</f>
        <v>0.0168077387268188</v>
      </c>
      <c r="Q111" s="8"/>
    </row>
    <row r="112" customFormat="false" ht="15" hidden="false" customHeight="false" outlineLevel="0" collapsed="false">
      <c r="B112" s="0" t="str">
        <f aca="false">L55</f>
        <v>fish meal</v>
      </c>
      <c r="E112" s="13" t="n">
        <f aca="false">E$81*$W55</f>
        <v>0</v>
      </c>
      <c r="H112" s="13" t="n">
        <f aca="false">H$81*$W55</f>
        <v>0</v>
      </c>
      <c r="I112" s="13"/>
      <c r="J112" s="13" t="n">
        <f aca="false">J$81*$U55</f>
        <v>0</v>
      </c>
      <c r="K112" s="13" t="n">
        <f aca="false">K$81*$W55</f>
        <v>0</v>
      </c>
      <c r="L112" s="13" t="n">
        <f aca="false">L$81*$W55</f>
        <v>0</v>
      </c>
      <c r="M112" s="13" t="n">
        <f aca="false">M$81*$W55</f>
        <v>0</v>
      </c>
      <c r="N112" s="13" t="n">
        <f aca="false">N$81*$U55</f>
        <v>0</v>
      </c>
      <c r="O112" s="13" t="n">
        <f aca="false">O$81*$U55</f>
        <v>0</v>
      </c>
      <c r="Q112" s="8"/>
    </row>
    <row r="113" customFormat="false" ht="15" hidden="false" customHeight="false" outlineLevel="0" collapsed="false">
      <c r="B113" s="2" t="str">
        <f aca="false">L56</f>
        <v>minerals</v>
      </c>
      <c r="D113" s="204" t="n">
        <f aca="false">SUMPRODUCT(D18:F18,D23:F23)/SUM(D23:F23)*C18</f>
        <v>34</v>
      </c>
      <c r="E113" s="204" t="n">
        <f aca="false">AR18*AC18</f>
        <v>9.42795073997029</v>
      </c>
      <c r="F113" s="204" t="n">
        <f aca="false">SUMPRODUCT(V18:X18,D23:F23)/SUM(D23:F23)*C18</f>
        <v>26</v>
      </c>
      <c r="G113" s="204" t="n">
        <f aca="false">SUMPRODUCT(S18:U18,D23:F23)/SUM(D23:F23)*C18</f>
        <v>25.755861925323</v>
      </c>
      <c r="H113" s="204" t="n">
        <f aca="false">(G18*D23+I18*F23)/(D23+F23)*C18</f>
        <v>12.2962574122679</v>
      </c>
      <c r="I113" s="204" t="n">
        <f aca="false">H18*C18</f>
        <v>12</v>
      </c>
      <c r="J113" s="204" t="n">
        <f aca="false">Y18*C18</f>
        <v>50.8511370837346</v>
      </c>
      <c r="K113" s="204" t="n">
        <f aca="false">AQ18*AC18</f>
        <v>9.42900261208907</v>
      </c>
      <c r="L113" s="204" t="n">
        <f aca="false">SUMPRODUCT(P18:R18,D22:F22)/SUM(D22:F22)*C18</f>
        <v>35</v>
      </c>
      <c r="M113" s="204" t="n">
        <f aca="false">(M18*D22+O18*F22)/(D22+F22)*C18</f>
        <v>21.8246521669599</v>
      </c>
      <c r="N113" s="204" t="n">
        <f aca="false">Z18*C18</f>
        <v>65.940765270466</v>
      </c>
      <c r="O113" s="204" t="n">
        <f aca="false">N18*C18</f>
        <v>22</v>
      </c>
      <c r="P113" s="2"/>
      <c r="Q113" s="204"/>
    </row>
    <row r="116" customFormat="false" ht="15" hidden="false" customHeight="false" outlineLevel="0" collapsed="false">
      <c r="B116" s="2" t="s">
        <v>302</v>
      </c>
      <c r="C116" s="2"/>
      <c r="D116" s="35" t="n">
        <f aca="false">SUM(D66:D71,D73:D77,D79:D80,D82:D113)</f>
        <v>3957.66844093214</v>
      </c>
      <c r="E116" s="35" t="n">
        <f aca="false">SUM(E66:E71,E73:E77,E79:E80,E82:E113)</f>
        <v>1492.48733357305</v>
      </c>
      <c r="F116" s="35" t="n">
        <f aca="false">SUM(F66:F71,F73:F77,F79:F80,F82:F113)</f>
        <v>3614.23957190121</v>
      </c>
      <c r="G116" s="35" t="n">
        <f aca="false">SUM(G66:G71,G73:G77,G79:G80,G82:G113)</f>
        <v>3674.46325832526</v>
      </c>
      <c r="H116" s="35" t="n">
        <f aca="false">SUM(H66:H71,H73:H77,H79:H80,H82:H113)</f>
        <v>2068.23990006805</v>
      </c>
      <c r="I116" s="35" t="n">
        <f aca="false">SUM(I66:I71,I73:I77,I79:I80,I82:I113)</f>
        <v>2077.74</v>
      </c>
      <c r="J116" s="35" t="n">
        <f aca="false">SUM(J66:J71,J73:J77,J79:J80,J82:J113)</f>
        <v>7702.08378204277</v>
      </c>
      <c r="K116" s="35" t="n">
        <f aca="false">SUM(K66:K71,K73:K77,K79:K80,K82:K113)</f>
        <v>1359.36006063699</v>
      </c>
      <c r="L116" s="35" t="n">
        <f aca="false">SUM(L66:L71,L73:L77,L79:L80,L82:L113)</f>
        <v>4800.51813594768</v>
      </c>
      <c r="M116" s="35" t="n">
        <f aca="false">SUM(M66:M71,M73:M77,M79:M80,M82:M113)</f>
        <v>3259.66339948825</v>
      </c>
      <c r="N116" s="35" t="n">
        <f aca="false">SUM(N66:N71,N73:N77,N79:N80,N82:N113)</f>
        <v>7876.64494703533</v>
      </c>
      <c r="O116" s="35" t="n">
        <f aca="false">SUM(O66:O71,O73:O77,O79:O80,O82:O113)</f>
        <v>3296.34</v>
      </c>
    </row>
  </sheetData>
  <mergeCells count="20"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P3:AP5"/>
    <mergeCell ref="AQ3:AQ5"/>
    <mergeCell ref="AR3:AR5"/>
    <mergeCell ref="Q23:Q24"/>
    <mergeCell ref="R23:R24"/>
    <mergeCell ref="S23:S24"/>
    <mergeCell ref="T23:U23"/>
    <mergeCell ref="V23:W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6.72"/>
    <col collapsed="false" customWidth="true" hidden="false" outlineLevel="0" max="3" min="3" style="0" width="14.14"/>
    <col collapsed="false" customWidth="true" hidden="false" outlineLevel="0" max="4" min="4" style="0" width="10.57"/>
    <col collapsed="false" customWidth="true" hidden="false" outlineLevel="0" max="5" min="5" style="0" width="12.43"/>
    <col collapsed="false" customWidth="true" hidden="false" outlineLevel="0" max="6" min="6" style="0" width="9.71"/>
    <col collapsed="false" customWidth="true" hidden="false" outlineLevel="0" max="7" min="7" style="0" width="9.86"/>
    <col collapsed="false" customWidth="true" hidden="false" outlineLevel="0" max="8" min="8" style="0" width="15.72"/>
    <col collapsed="false" customWidth="true" hidden="false" outlineLevel="0" max="10" min="10" style="0" width="24.57"/>
    <col collapsed="false" customWidth="true" hidden="false" outlineLevel="0" max="11" min="11" style="0" width="22.57"/>
    <col collapsed="false" customWidth="true" hidden="false" outlineLevel="0" max="12" min="12" style="0" width="22"/>
    <col collapsed="false" customWidth="true" hidden="false" outlineLevel="0" max="13" min="13" style="0" width="17.86"/>
    <col collapsed="false" customWidth="true" hidden="false" outlineLevel="0" max="14" min="14" style="0" width="21.14"/>
    <col collapsed="false" customWidth="true" hidden="false" outlineLevel="0" max="15" min="15" style="0" width="18.43"/>
    <col collapsed="false" customWidth="true" hidden="false" outlineLevel="0" max="16" min="16" style="0" width="16.43"/>
    <col collapsed="false" customWidth="true" hidden="false" outlineLevel="0" max="17" min="17" style="0" width="22.57"/>
    <col collapsed="false" customWidth="true" hidden="false" outlineLevel="0" max="18" min="18" style="0" width="16.43"/>
    <col collapsed="false" customWidth="true" hidden="false" outlineLevel="0" max="19" min="19" style="0" width="22.57"/>
    <col collapsed="false" customWidth="true" hidden="false" outlineLevel="0" max="20" min="20" style="0" width="16.43"/>
    <col collapsed="false" customWidth="true" hidden="false" outlineLevel="0" max="21" min="21" style="0" width="22.57"/>
    <col collapsed="false" customWidth="true" hidden="false" outlineLevel="0" max="22" min="22" style="0" width="16.43"/>
    <col collapsed="false" customWidth="true" hidden="false" outlineLevel="0" max="23" min="23" style="0" width="22.57"/>
    <col collapsed="false" customWidth="true" hidden="false" outlineLevel="0" max="24" min="24" style="0" width="16.43"/>
    <col collapsed="false" customWidth="true" hidden="false" outlineLevel="0" max="25" min="25" style="0" width="27.57"/>
    <col collapsed="false" customWidth="true" hidden="false" outlineLevel="0" max="26" min="26" style="0" width="21.57"/>
  </cols>
  <sheetData>
    <row r="1" customFormat="false" ht="15" hidden="false" customHeight="false" outlineLevel="0" collapsed="false">
      <c r="A1" s="0" t="s">
        <v>477</v>
      </c>
      <c r="B1" s="0" t="s">
        <v>478</v>
      </c>
      <c r="C1" s="0" t="s">
        <v>479</v>
      </c>
      <c r="D1" s="0" t="s">
        <v>480</v>
      </c>
      <c r="E1" s="0" t="s">
        <v>481</v>
      </c>
      <c r="F1" s="0" t="s">
        <v>482</v>
      </c>
      <c r="G1" s="0" t="s">
        <v>483</v>
      </c>
      <c r="H1" s="0" t="s">
        <v>484</v>
      </c>
      <c r="I1" s="0" t="s">
        <v>485</v>
      </c>
      <c r="J1" s="0" t="s">
        <v>486</v>
      </c>
      <c r="L1" s="208" t="s">
        <v>479</v>
      </c>
      <c r="M1" s="209" t="s">
        <v>487</v>
      </c>
    </row>
    <row r="2" customFormat="false" ht="15" hidden="false" customHeight="false" outlineLevel="0" collapsed="false">
      <c r="A2" s="0" t="s">
        <v>488</v>
      </c>
      <c r="B2" s="0" t="s">
        <v>489</v>
      </c>
      <c r="C2" s="0" t="n">
        <v>2016</v>
      </c>
      <c r="D2" s="0" t="n">
        <v>30638</v>
      </c>
      <c r="E2" s="0" t="n">
        <v>302.7</v>
      </c>
      <c r="F2" s="0" t="n">
        <v>7.7</v>
      </c>
      <c r="G2" s="0" t="n">
        <v>4</v>
      </c>
      <c r="H2" s="0" t="n">
        <v>68.6</v>
      </c>
      <c r="I2" s="0" t="n">
        <f aca="false">D2*E2</f>
        <v>9274122.6</v>
      </c>
      <c r="J2" s="0" t="n">
        <f aca="false">D2*H2</f>
        <v>2101766.8</v>
      </c>
    </row>
    <row r="3" customFormat="false" ht="15" hidden="false" customHeight="false" outlineLevel="0" collapsed="false">
      <c r="A3" s="0" t="s">
        <v>488</v>
      </c>
      <c r="B3" s="0" t="s">
        <v>489</v>
      </c>
      <c r="C3" s="0" t="n">
        <v>2017</v>
      </c>
      <c r="D3" s="0" t="n">
        <v>26251</v>
      </c>
      <c r="E3" s="0" t="n">
        <v>308.5</v>
      </c>
      <c r="F3" s="0" t="n">
        <v>7.8</v>
      </c>
      <c r="G3" s="0" t="n">
        <v>4.1</v>
      </c>
      <c r="H3" s="0" t="n">
        <v>68.9</v>
      </c>
      <c r="I3" s="0" t="n">
        <f aca="false">D3*E3</f>
        <v>8098433.5</v>
      </c>
      <c r="J3" s="0" t="n">
        <f aca="false">D3*H3</f>
        <v>1808693.9</v>
      </c>
      <c r="L3" s="210" t="s">
        <v>490</v>
      </c>
      <c r="M3" s="211" t="s">
        <v>491</v>
      </c>
      <c r="N3" s="212" t="s">
        <v>492</v>
      </c>
      <c r="O3" s="213" t="s">
        <v>493</v>
      </c>
    </row>
    <row r="4" customFormat="false" ht="15" hidden="false" customHeight="false" outlineLevel="0" collapsed="false">
      <c r="A4" s="0" t="s">
        <v>488</v>
      </c>
      <c r="B4" s="0" t="s">
        <v>489</v>
      </c>
      <c r="C4" s="0" t="n">
        <v>2018</v>
      </c>
      <c r="D4" s="0" t="n">
        <v>26489</v>
      </c>
      <c r="E4" s="0" t="n">
        <v>306.2</v>
      </c>
      <c r="F4" s="0" t="n">
        <v>7.5</v>
      </c>
      <c r="G4" s="0" t="n">
        <v>4</v>
      </c>
      <c r="H4" s="0" t="n">
        <v>69.3</v>
      </c>
      <c r="I4" s="0" t="n">
        <f aca="false">D4*E4</f>
        <v>8110931.8</v>
      </c>
      <c r="J4" s="0" t="n">
        <f aca="false">D4*H4</f>
        <v>1835687.7</v>
      </c>
      <c r="L4" s="214" t="s">
        <v>494</v>
      </c>
      <c r="M4" s="215"/>
      <c r="N4" s="216"/>
      <c r="O4" s="217"/>
    </row>
    <row r="5" customFormat="false" ht="15" hidden="false" customHeight="false" outlineLevel="0" collapsed="false">
      <c r="A5" s="0" t="s">
        <v>488</v>
      </c>
      <c r="B5" s="0" t="s">
        <v>489</v>
      </c>
      <c r="C5" s="0" t="n">
        <v>2019</v>
      </c>
      <c r="D5" s="0" t="n">
        <v>25859</v>
      </c>
      <c r="E5" s="0" t="n">
        <v>310.4</v>
      </c>
      <c r="F5" s="0" t="n">
        <v>7.6</v>
      </c>
      <c r="G5" s="0" t="n">
        <v>4.1</v>
      </c>
      <c r="H5" s="0" t="n">
        <v>70.1</v>
      </c>
      <c r="I5" s="0" t="n">
        <f aca="false">D5*E5</f>
        <v>8026633.6</v>
      </c>
      <c r="J5" s="0" t="n">
        <f aca="false">D5*H5</f>
        <v>1812715.9</v>
      </c>
      <c r="L5" s="218" t="s">
        <v>495</v>
      </c>
      <c r="M5" s="219" t="n">
        <v>458500</v>
      </c>
      <c r="N5" s="220" t="n">
        <v>140401072.4</v>
      </c>
      <c r="O5" s="221" t="n">
        <v>28527102</v>
      </c>
    </row>
    <row r="6" customFormat="false" ht="15" hidden="false" customHeight="false" outlineLevel="0" collapsed="false">
      <c r="A6" s="0" t="s">
        <v>488</v>
      </c>
      <c r="B6" s="0" t="s">
        <v>489</v>
      </c>
      <c r="C6" s="0" t="n">
        <v>2020</v>
      </c>
      <c r="D6" s="0" t="n">
        <v>23718</v>
      </c>
      <c r="E6" s="0" t="n">
        <v>311.7</v>
      </c>
      <c r="F6" s="0" t="n">
        <v>7.4</v>
      </c>
      <c r="G6" s="0" t="n">
        <v>4</v>
      </c>
      <c r="H6" s="0" t="n">
        <v>71.6</v>
      </c>
      <c r="I6" s="0" t="n">
        <f aca="false">D6*E6</f>
        <v>7392900.6</v>
      </c>
      <c r="J6" s="0" t="n">
        <f aca="false">D6*H6</f>
        <v>1698208.8</v>
      </c>
      <c r="L6" s="222" t="s">
        <v>488</v>
      </c>
      <c r="M6" s="223" t="n">
        <v>334565</v>
      </c>
      <c r="N6" s="220" t="n">
        <v>104954342.9</v>
      </c>
      <c r="O6" s="221" t="n">
        <v>23342513.5</v>
      </c>
    </row>
    <row r="7" customFormat="false" ht="15" hidden="false" customHeight="false" outlineLevel="0" collapsed="false">
      <c r="A7" s="0" t="s">
        <v>488</v>
      </c>
      <c r="B7" s="0" t="s">
        <v>489</v>
      </c>
      <c r="C7" s="0" t="n">
        <v>2021</v>
      </c>
      <c r="D7" s="0" t="n">
        <v>21589</v>
      </c>
      <c r="E7" s="0" t="n">
        <v>313.4</v>
      </c>
      <c r="F7" s="0" t="n">
        <v>7.3</v>
      </c>
      <c r="G7" s="0" t="n">
        <v>4</v>
      </c>
      <c r="H7" s="0" t="n">
        <v>72.9</v>
      </c>
      <c r="I7" s="0" t="n">
        <f aca="false">D7*E7</f>
        <v>6765992.6</v>
      </c>
      <c r="J7" s="0" t="n">
        <f aca="false">D7*H7</f>
        <v>1573838.1</v>
      </c>
      <c r="L7" s="222" t="s">
        <v>496</v>
      </c>
      <c r="M7" s="223" t="n">
        <v>123935</v>
      </c>
      <c r="N7" s="220" t="n">
        <v>35446729.5</v>
      </c>
      <c r="O7" s="221" t="n">
        <v>5184588.5</v>
      </c>
    </row>
    <row r="8" customFormat="false" ht="15" hidden="false" customHeight="false" outlineLevel="0" collapsed="false">
      <c r="A8" s="0" t="s">
        <v>488</v>
      </c>
      <c r="B8" s="0" t="s">
        <v>497</v>
      </c>
      <c r="C8" s="0" t="n">
        <v>2016</v>
      </c>
      <c r="D8" s="0" t="n">
        <v>41922</v>
      </c>
      <c r="E8" s="0" t="n">
        <v>310.8</v>
      </c>
      <c r="F8" s="0" t="n">
        <v>7</v>
      </c>
      <c r="G8" s="0" t="n">
        <v>3.4</v>
      </c>
      <c r="H8" s="0" t="n">
        <v>69.2</v>
      </c>
      <c r="I8" s="0" t="n">
        <f aca="false">D8*E8</f>
        <v>13029357.6</v>
      </c>
      <c r="J8" s="0" t="n">
        <f aca="false">D8*H8</f>
        <v>2901002.4</v>
      </c>
      <c r="L8" s="218" t="s">
        <v>498</v>
      </c>
      <c r="M8" s="219" t="n">
        <v>74870</v>
      </c>
      <c r="N8" s="220" t="n">
        <v>22314873.8</v>
      </c>
      <c r="O8" s="221" t="n">
        <v>2415442.8</v>
      </c>
    </row>
    <row r="9" customFormat="false" ht="15" hidden="false" customHeight="false" outlineLevel="0" collapsed="false">
      <c r="A9" s="0" t="s">
        <v>488</v>
      </c>
      <c r="B9" s="0" t="s">
        <v>497</v>
      </c>
      <c r="C9" s="0" t="n">
        <v>2017</v>
      </c>
      <c r="D9" s="0" t="n">
        <v>38032</v>
      </c>
      <c r="E9" s="0" t="n">
        <v>316.9</v>
      </c>
      <c r="F9" s="0" t="n">
        <v>7.2</v>
      </c>
      <c r="G9" s="0" t="n">
        <v>3.5</v>
      </c>
      <c r="H9" s="0" t="n">
        <v>68.9</v>
      </c>
      <c r="I9" s="0" t="n">
        <f aca="false">D9*E9</f>
        <v>12052340.8</v>
      </c>
      <c r="J9" s="0" t="n">
        <f aca="false">D9*H9</f>
        <v>2620404.8</v>
      </c>
      <c r="L9" s="222" t="s">
        <v>498</v>
      </c>
      <c r="M9" s="223" t="n">
        <v>74870</v>
      </c>
      <c r="N9" s="220" t="n">
        <v>22314873.8</v>
      </c>
      <c r="O9" s="221" t="n">
        <v>2415442.8</v>
      </c>
    </row>
    <row r="10" customFormat="false" ht="15" hidden="false" customHeight="false" outlineLevel="0" collapsed="false">
      <c r="A10" s="0" t="s">
        <v>488</v>
      </c>
      <c r="B10" s="0" t="s">
        <v>497</v>
      </c>
      <c r="C10" s="0" t="n">
        <v>2018</v>
      </c>
      <c r="D10" s="0" t="n">
        <v>40654</v>
      </c>
      <c r="E10" s="0" t="n">
        <v>317</v>
      </c>
      <c r="F10" s="0" t="n">
        <v>7</v>
      </c>
      <c r="G10" s="0" t="n">
        <v>3.4</v>
      </c>
      <c r="H10" s="0" t="n">
        <v>69.4</v>
      </c>
      <c r="I10" s="0" t="n">
        <f aca="false">D10*E10</f>
        <v>12887318</v>
      </c>
      <c r="J10" s="0" t="n">
        <f aca="false">D10*H10</f>
        <v>2821387.6</v>
      </c>
      <c r="L10" s="218" t="s">
        <v>499</v>
      </c>
      <c r="M10" s="219" t="n">
        <v>108867</v>
      </c>
      <c r="N10" s="220" t="n">
        <v>35469646.3</v>
      </c>
      <c r="O10" s="221" t="n">
        <v>3232646.8</v>
      </c>
    </row>
    <row r="11" customFormat="false" ht="15" hidden="false" customHeight="false" outlineLevel="0" collapsed="false">
      <c r="A11" s="0" t="s">
        <v>488</v>
      </c>
      <c r="B11" s="0" t="s">
        <v>497</v>
      </c>
      <c r="C11" s="0" t="n">
        <v>2019</v>
      </c>
      <c r="D11" s="0" t="n">
        <v>40784</v>
      </c>
      <c r="E11" s="0" t="n">
        <v>321.4</v>
      </c>
      <c r="F11" s="0" t="n">
        <v>7.1</v>
      </c>
      <c r="G11" s="0" t="n">
        <v>3.5</v>
      </c>
      <c r="H11" s="0" t="n">
        <v>70.2</v>
      </c>
      <c r="I11" s="0" t="n">
        <f aca="false">D11*E11</f>
        <v>13107977.6</v>
      </c>
      <c r="J11" s="0" t="n">
        <f aca="false">D11*H11</f>
        <v>2863036.8</v>
      </c>
      <c r="L11" s="222" t="s">
        <v>499</v>
      </c>
      <c r="M11" s="223" t="n">
        <v>108867</v>
      </c>
      <c r="N11" s="220" t="n">
        <v>35469646.3</v>
      </c>
      <c r="O11" s="221" t="n">
        <v>3232646.8</v>
      </c>
    </row>
    <row r="12" customFormat="false" ht="15" hidden="false" customHeight="false" outlineLevel="0" collapsed="false">
      <c r="A12" s="0" t="s">
        <v>488</v>
      </c>
      <c r="B12" s="0" t="s">
        <v>497</v>
      </c>
      <c r="C12" s="0" t="n">
        <v>2020</v>
      </c>
      <c r="D12" s="0" t="n">
        <v>40218</v>
      </c>
      <c r="E12" s="0" t="n">
        <v>322.6</v>
      </c>
      <c r="F12" s="0" t="n">
        <v>7</v>
      </c>
      <c r="G12" s="0" t="n">
        <v>3.4</v>
      </c>
      <c r="H12" s="0" t="n">
        <v>71.6</v>
      </c>
      <c r="I12" s="0" t="n">
        <f aca="false">D12*E12</f>
        <v>12974326.8</v>
      </c>
      <c r="J12" s="0" t="n">
        <f aca="false">D12*H12</f>
        <v>2879608.8</v>
      </c>
      <c r="L12" s="218" t="s">
        <v>500</v>
      </c>
      <c r="M12" s="219" t="n">
        <v>406109</v>
      </c>
      <c r="N12" s="220" t="n">
        <v>133559729.5</v>
      </c>
      <c r="O12" s="221" t="n">
        <v>9169893.8</v>
      </c>
    </row>
    <row r="13" customFormat="false" ht="15" hidden="false" customHeight="false" outlineLevel="0" collapsed="false">
      <c r="A13" s="0" t="s">
        <v>488</v>
      </c>
      <c r="B13" s="0" t="s">
        <v>497</v>
      </c>
      <c r="C13" s="0" t="n">
        <v>2021</v>
      </c>
      <c r="D13" s="0" t="n">
        <v>38776</v>
      </c>
      <c r="E13" s="0" t="n">
        <v>324.9</v>
      </c>
      <c r="F13" s="0" t="n">
        <v>6.9</v>
      </c>
      <c r="G13" s="0" t="n">
        <v>3.4</v>
      </c>
      <c r="H13" s="0" t="n">
        <v>73.2</v>
      </c>
      <c r="I13" s="0" t="n">
        <f aca="false">D13*E13</f>
        <v>12598322.4</v>
      </c>
      <c r="J13" s="0" t="n">
        <f aca="false">D13*H13</f>
        <v>2838403.2</v>
      </c>
      <c r="L13" s="222" t="s">
        <v>501</v>
      </c>
      <c r="M13" s="223" t="n">
        <v>351490</v>
      </c>
      <c r="N13" s="220" t="n">
        <v>114331622.6</v>
      </c>
      <c r="O13" s="221" t="n">
        <v>7579081.5</v>
      </c>
    </row>
    <row r="14" customFormat="false" ht="15" hidden="false" customHeight="false" outlineLevel="0" collapsed="false">
      <c r="A14" s="0" t="s">
        <v>488</v>
      </c>
      <c r="B14" s="0" t="s">
        <v>502</v>
      </c>
      <c r="C14" s="0" t="n">
        <v>2016</v>
      </c>
      <c r="D14" s="0" t="n">
        <v>2843</v>
      </c>
      <c r="E14" s="0" t="n">
        <v>368.4</v>
      </c>
      <c r="F14" s="0" t="n">
        <v>11.3</v>
      </c>
      <c r="G14" s="0" t="n">
        <v>6.2</v>
      </c>
      <c r="H14" s="0" t="n">
        <v>92.6</v>
      </c>
      <c r="I14" s="0" t="n">
        <f aca="false">D14*E14</f>
        <v>1047361.2</v>
      </c>
      <c r="J14" s="0" t="n">
        <f aca="false">D14*H14</f>
        <v>263261.8</v>
      </c>
      <c r="L14" s="222" t="s">
        <v>503</v>
      </c>
      <c r="M14" s="223" t="n">
        <v>54619</v>
      </c>
      <c r="N14" s="220" t="n">
        <v>19228106.9</v>
      </c>
      <c r="O14" s="221" t="n">
        <v>1590812.3</v>
      </c>
    </row>
    <row r="15" customFormat="false" ht="15" hidden="false" customHeight="false" outlineLevel="0" collapsed="false">
      <c r="A15" s="0" t="s">
        <v>488</v>
      </c>
      <c r="B15" s="0" t="s">
        <v>502</v>
      </c>
      <c r="C15" s="0" t="n">
        <v>2017</v>
      </c>
      <c r="D15" s="0" t="n">
        <v>3147</v>
      </c>
      <c r="E15" s="0" t="n">
        <v>365</v>
      </c>
      <c r="F15" s="0" t="n">
        <v>11.1</v>
      </c>
      <c r="G15" s="0" t="n">
        <v>6.1</v>
      </c>
      <c r="H15" s="0" t="n">
        <v>94</v>
      </c>
      <c r="I15" s="0" t="n">
        <f aca="false">D15*E15</f>
        <v>1148655</v>
      </c>
      <c r="J15" s="0" t="n">
        <f aca="false">D15*H15</f>
        <v>295818</v>
      </c>
      <c r="L15" s="218" t="s">
        <v>213</v>
      </c>
      <c r="M15" s="219" t="n">
        <v>52087</v>
      </c>
      <c r="N15" s="220" t="n">
        <v>8829445.9</v>
      </c>
      <c r="O15" s="221" t="n">
        <v>567598.6</v>
      </c>
    </row>
    <row r="16" customFormat="false" ht="15" hidden="false" customHeight="false" outlineLevel="0" collapsed="false">
      <c r="A16" s="0" t="s">
        <v>488</v>
      </c>
      <c r="B16" s="0" t="s">
        <v>502</v>
      </c>
      <c r="C16" s="0" t="n">
        <v>2018</v>
      </c>
      <c r="D16" s="0" t="n">
        <v>4193</v>
      </c>
      <c r="E16" s="0" t="n">
        <v>352.3</v>
      </c>
      <c r="F16" s="0" t="n">
        <v>10.2</v>
      </c>
      <c r="G16" s="0" t="n">
        <v>5.9</v>
      </c>
      <c r="H16" s="0" t="n">
        <v>91.3</v>
      </c>
      <c r="I16" s="0" t="n">
        <f aca="false">D16*E16</f>
        <v>1477193.9</v>
      </c>
      <c r="J16" s="0" t="n">
        <f aca="false">D16*H16</f>
        <v>382820.9</v>
      </c>
      <c r="L16" s="222" t="s">
        <v>213</v>
      </c>
      <c r="M16" s="223" t="n">
        <v>52087</v>
      </c>
      <c r="N16" s="220" t="n">
        <v>8829445.9</v>
      </c>
      <c r="O16" s="221" t="n">
        <v>567598.6</v>
      </c>
    </row>
    <row r="17" customFormat="false" ht="15" hidden="false" customHeight="false" outlineLevel="0" collapsed="false">
      <c r="A17" s="0" t="s">
        <v>488</v>
      </c>
      <c r="B17" s="0" t="s">
        <v>502</v>
      </c>
      <c r="C17" s="0" t="n">
        <v>2019</v>
      </c>
      <c r="D17" s="0" t="n">
        <v>4427</v>
      </c>
      <c r="E17" s="0" t="n">
        <v>348.6</v>
      </c>
      <c r="F17" s="0" t="n">
        <v>9.9</v>
      </c>
      <c r="G17" s="0" t="n">
        <v>5.8</v>
      </c>
      <c r="H17" s="0" t="n">
        <v>91.1</v>
      </c>
      <c r="I17" s="0" t="n">
        <f aca="false">D17*E17</f>
        <v>1543252.2</v>
      </c>
      <c r="J17" s="0" t="n">
        <f aca="false">D17*H17</f>
        <v>403299.7</v>
      </c>
      <c r="L17" s="214" t="s">
        <v>504</v>
      </c>
      <c r="M17" s="215"/>
      <c r="N17" s="216"/>
      <c r="O17" s="217"/>
    </row>
    <row r="18" customFormat="false" ht="15" hidden="false" customHeight="false" outlineLevel="0" collapsed="false">
      <c r="A18" s="0" t="s">
        <v>488</v>
      </c>
      <c r="B18" s="0" t="s">
        <v>502</v>
      </c>
      <c r="C18" s="0" t="n">
        <v>2020</v>
      </c>
      <c r="D18" s="0" t="n">
        <v>4642</v>
      </c>
      <c r="E18" s="0" t="n">
        <v>355.5</v>
      </c>
      <c r="F18" s="0" t="n">
        <v>10.1</v>
      </c>
      <c r="G18" s="0" t="n">
        <v>5.9</v>
      </c>
      <c r="H18" s="0" t="n">
        <v>89.2</v>
      </c>
      <c r="I18" s="0" t="n">
        <f aca="false">D18*E18</f>
        <v>1650231</v>
      </c>
      <c r="J18" s="0" t="n">
        <f aca="false">D18*H18</f>
        <v>414066.4</v>
      </c>
      <c r="L18" s="218" t="s">
        <v>495</v>
      </c>
      <c r="M18" s="219" t="n">
        <v>73015</v>
      </c>
      <c r="N18" s="220" t="n">
        <v>25944410.1</v>
      </c>
      <c r="O18" s="221" t="n">
        <v>5910236.4</v>
      </c>
    </row>
    <row r="19" customFormat="false" ht="15" hidden="false" customHeight="false" outlineLevel="0" collapsed="false">
      <c r="A19" s="0" t="s">
        <v>488</v>
      </c>
      <c r="B19" s="0" t="s">
        <v>502</v>
      </c>
      <c r="C19" s="0" t="n">
        <v>2021</v>
      </c>
      <c r="D19" s="0" t="n">
        <v>4235</v>
      </c>
      <c r="E19" s="0" t="n">
        <v>364.2</v>
      </c>
      <c r="F19" s="0" t="n">
        <v>10.1</v>
      </c>
      <c r="G19" s="0" t="n">
        <v>6.2</v>
      </c>
      <c r="H19" s="0" t="n">
        <v>89.6</v>
      </c>
      <c r="I19" s="0" t="n">
        <f aca="false">D19*E19</f>
        <v>1542387</v>
      </c>
      <c r="J19" s="0" t="n">
        <f aca="false">D19*H19</f>
        <v>379456</v>
      </c>
      <c r="K19" s="94"/>
      <c r="L19" s="222" t="s">
        <v>488</v>
      </c>
      <c r="M19" s="223" t="n">
        <v>57301</v>
      </c>
      <c r="N19" s="220" t="n">
        <v>20949587.5</v>
      </c>
      <c r="O19" s="221" t="n">
        <v>5314264.8</v>
      </c>
      <c r="P19" s="94"/>
      <c r="Q19" s="94"/>
      <c r="R19" s="94"/>
      <c r="S19" s="94"/>
      <c r="T19" s="94"/>
      <c r="U19" s="94"/>
      <c r="V19" s="94"/>
      <c r="W19" s="94"/>
      <c r="X19" s="94"/>
    </row>
    <row r="20" customFormat="false" ht="15" hidden="false" customHeight="false" outlineLevel="0" collapsed="false">
      <c r="A20" s="0" t="s">
        <v>488</v>
      </c>
      <c r="B20" s="0" t="s">
        <v>505</v>
      </c>
      <c r="C20" s="0" t="n">
        <v>2016</v>
      </c>
      <c r="D20" s="0" t="n">
        <v>2485</v>
      </c>
      <c r="E20" s="0" t="n">
        <v>408.3</v>
      </c>
      <c r="F20" s="0" t="n">
        <v>9.3</v>
      </c>
      <c r="G20" s="0" t="n">
        <v>7.4</v>
      </c>
      <c r="H20" s="0" t="n">
        <v>98.5</v>
      </c>
      <c r="I20" s="0" t="n">
        <f aca="false">D20*E20</f>
        <v>1014625.5</v>
      </c>
      <c r="J20" s="0" t="n">
        <f aca="false">D20*H20</f>
        <v>244772.5</v>
      </c>
      <c r="K20" s="94"/>
      <c r="L20" s="222" t="s">
        <v>496</v>
      </c>
      <c r="M20" s="223" t="n">
        <v>15714</v>
      </c>
      <c r="N20" s="220" t="n">
        <v>4994822.6</v>
      </c>
      <c r="O20" s="221" t="n">
        <v>595971.6</v>
      </c>
      <c r="P20" s="94"/>
      <c r="Q20" s="94"/>
      <c r="R20" s="94"/>
      <c r="S20" s="94"/>
      <c r="T20" s="94"/>
      <c r="U20" s="94"/>
      <c r="V20" s="94"/>
      <c r="W20" s="94"/>
      <c r="X20" s="94"/>
    </row>
    <row r="21" customFormat="false" ht="15" hidden="false" customHeight="false" outlineLevel="0" collapsed="false">
      <c r="A21" s="0" t="s">
        <v>488</v>
      </c>
      <c r="B21" s="0" t="s">
        <v>505</v>
      </c>
      <c r="C21" s="0" t="n">
        <v>2017</v>
      </c>
      <c r="D21" s="0" t="n">
        <v>2981</v>
      </c>
      <c r="E21" s="0" t="n">
        <v>405.9</v>
      </c>
      <c r="F21" s="0" t="n">
        <v>9.1</v>
      </c>
      <c r="G21" s="0" t="n">
        <v>7.4</v>
      </c>
      <c r="H21" s="0" t="n">
        <v>99.1</v>
      </c>
      <c r="I21" s="0" t="n">
        <f aca="false">D21*E21</f>
        <v>1209987.9</v>
      </c>
      <c r="J21" s="0" t="n">
        <f aca="false">D21*H21</f>
        <v>295417.1</v>
      </c>
      <c r="K21" s="94"/>
      <c r="L21" s="218" t="s">
        <v>498</v>
      </c>
      <c r="M21" s="219" t="n">
        <v>69883</v>
      </c>
      <c r="N21" s="220" t="n">
        <v>21504075.9</v>
      </c>
      <c r="O21" s="221" t="n">
        <v>1879535.8</v>
      </c>
      <c r="P21" s="94"/>
      <c r="Q21" s="94"/>
      <c r="R21" s="94"/>
      <c r="S21" s="94"/>
      <c r="T21" s="94"/>
      <c r="U21" s="94"/>
      <c r="V21" s="94"/>
      <c r="W21" s="94"/>
      <c r="X21" s="94"/>
    </row>
    <row r="22" customFormat="false" ht="15" hidden="false" customHeight="false" outlineLevel="0" collapsed="false">
      <c r="A22" s="0" t="s">
        <v>488</v>
      </c>
      <c r="B22" s="0" t="s">
        <v>505</v>
      </c>
      <c r="C22" s="0" t="n">
        <v>2018</v>
      </c>
      <c r="D22" s="0" t="n">
        <v>3573</v>
      </c>
      <c r="E22" s="0" t="n">
        <v>393</v>
      </c>
      <c r="F22" s="0" t="n">
        <v>8.3</v>
      </c>
      <c r="G22" s="0" t="n">
        <v>7.1</v>
      </c>
      <c r="H22" s="0" t="n">
        <v>94.2</v>
      </c>
      <c r="I22" s="0" t="n">
        <f aca="false">D22*E22</f>
        <v>1404189</v>
      </c>
      <c r="J22" s="0" t="n">
        <f aca="false">D22*H22</f>
        <v>336576.6</v>
      </c>
      <c r="K22" s="94"/>
      <c r="L22" s="222" t="s">
        <v>498</v>
      </c>
      <c r="M22" s="223" t="n">
        <v>69883</v>
      </c>
      <c r="N22" s="220" t="n">
        <v>21504075.9</v>
      </c>
      <c r="O22" s="221" t="n">
        <v>1879535.8</v>
      </c>
      <c r="P22" s="94"/>
      <c r="Q22" s="94"/>
      <c r="R22" s="94"/>
      <c r="S22" s="94"/>
      <c r="T22" s="94"/>
      <c r="U22" s="94"/>
      <c r="V22" s="94"/>
      <c r="W22" s="94"/>
      <c r="X22" s="94"/>
    </row>
    <row r="23" customFormat="false" ht="15" hidden="false" customHeight="false" outlineLevel="0" collapsed="false">
      <c r="A23" s="0" t="s">
        <v>488</v>
      </c>
      <c r="B23" s="0" t="s">
        <v>505</v>
      </c>
      <c r="C23" s="0" t="n">
        <v>2019</v>
      </c>
      <c r="D23" s="0" t="n">
        <v>3426</v>
      </c>
      <c r="E23" s="0" t="n">
        <v>387.3</v>
      </c>
      <c r="F23" s="0" t="n">
        <v>8.1</v>
      </c>
      <c r="G23" s="0" t="n">
        <v>6.9</v>
      </c>
      <c r="H23" s="0" t="n">
        <v>94.6</v>
      </c>
      <c r="I23" s="0" t="n">
        <f aca="false">D23*E23</f>
        <v>1326889.8</v>
      </c>
      <c r="J23" s="0" t="n">
        <f aca="false">D23*H23</f>
        <v>324099.6</v>
      </c>
      <c r="K23" s="94"/>
      <c r="L23" s="218" t="s">
        <v>499</v>
      </c>
      <c r="M23" s="219" t="n">
        <v>15451</v>
      </c>
      <c r="N23" s="220" t="n">
        <v>5150008.2</v>
      </c>
      <c r="O23" s="221" t="n">
        <v>437018.7</v>
      </c>
      <c r="P23" s="94"/>
      <c r="Q23" s="94"/>
      <c r="R23" s="94"/>
      <c r="S23" s="94"/>
      <c r="T23" s="94"/>
      <c r="U23" s="94"/>
      <c r="V23" s="94"/>
      <c r="W23" s="94"/>
      <c r="X23" s="94"/>
    </row>
    <row r="24" customFormat="false" ht="15" hidden="false" customHeight="false" outlineLevel="0" collapsed="false">
      <c r="A24" s="0" t="s">
        <v>488</v>
      </c>
      <c r="B24" s="0" t="s">
        <v>505</v>
      </c>
      <c r="C24" s="0" t="n">
        <v>2020</v>
      </c>
      <c r="D24" s="0" t="n">
        <v>3258</v>
      </c>
      <c r="E24" s="0" t="n">
        <v>396.6</v>
      </c>
      <c r="F24" s="0" t="n">
        <v>8.2</v>
      </c>
      <c r="G24" s="0" t="n">
        <v>7.1</v>
      </c>
      <c r="H24" s="0" t="n">
        <v>96.2</v>
      </c>
      <c r="I24" s="0" t="n">
        <f aca="false">D24*E24</f>
        <v>1292122.8</v>
      </c>
      <c r="J24" s="0" t="n">
        <f aca="false">D24*H24</f>
        <v>313419.6</v>
      </c>
      <c r="K24" s="94"/>
      <c r="L24" s="222" t="s">
        <v>499</v>
      </c>
      <c r="M24" s="223" t="n">
        <v>15451</v>
      </c>
      <c r="N24" s="220" t="n">
        <v>5150008.2</v>
      </c>
      <c r="O24" s="221" t="n">
        <v>437018.7</v>
      </c>
      <c r="P24" s="94"/>
      <c r="Q24" s="94"/>
      <c r="R24" s="94"/>
      <c r="S24" s="94"/>
      <c r="T24" s="94"/>
      <c r="U24" s="94"/>
      <c r="V24" s="94"/>
      <c r="W24" s="94"/>
      <c r="X24" s="94"/>
    </row>
    <row r="25" customFormat="false" ht="15" hidden="false" customHeight="false" outlineLevel="0" collapsed="false">
      <c r="A25" s="0" t="s">
        <v>488</v>
      </c>
      <c r="B25" s="0" t="s">
        <v>505</v>
      </c>
      <c r="C25" s="0" t="n">
        <v>2021</v>
      </c>
      <c r="D25" s="0" t="n">
        <v>2898</v>
      </c>
      <c r="E25" s="0" t="n">
        <v>409.9</v>
      </c>
      <c r="F25" s="0" t="n">
        <v>8.3</v>
      </c>
      <c r="G25" s="0" t="n">
        <v>7.5</v>
      </c>
      <c r="H25" s="0" t="n">
        <v>96.2</v>
      </c>
      <c r="I25" s="0" t="n">
        <f aca="false">D25*E25</f>
        <v>1187890.2</v>
      </c>
      <c r="J25" s="0" t="n">
        <f aca="false">D25*H25</f>
        <v>278787.6</v>
      </c>
      <c r="K25" s="94"/>
      <c r="L25" s="218" t="s">
        <v>500</v>
      </c>
      <c r="M25" s="219" t="n">
        <v>146789</v>
      </c>
      <c r="N25" s="220" t="n">
        <v>52855907.9</v>
      </c>
      <c r="O25" s="221" t="n">
        <v>2981903.4</v>
      </c>
      <c r="P25" s="94"/>
      <c r="Q25" s="94"/>
      <c r="R25" s="94"/>
      <c r="S25" s="94"/>
      <c r="T25" s="94"/>
      <c r="U25" s="94"/>
      <c r="V25" s="94"/>
      <c r="W25" s="94"/>
      <c r="X25" s="94"/>
    </row>
    <row r="26" customFormat="false" ht="15" hidden="false" customHeight="false" outlineLevel="0" collapsed="false">
      <c r="A26" s="0" t="s">
        <v>488</v>
      </c>
      <c r="B26" s="0" t="s">
        <v>506</v>
      </c>
      <c r="C26" s="0" t="n">
        <v>2016</v>
      </c>
      <c r="D26" s="0" t="n">
        <v>820</v>
      </c>
      <c r="E26" s="0" t="n">
        <v>363.4</v>
      </c>
      <c r="F26" s="0" t="n">
        <v>11.1</v>
      </c>
      <c r="G26" s="0" t="n">
        <v>6.4</v>
      </c>
      <c r="H26" s="0" t="n">
        <v>88.1</v>
      </c>
      <c r="I26" s="0" t="n">
        <f aca="false">D26*E26</f>
        <v>297988</v>
      </c>
      <c r="J26" s="0" t="n">
        <f aca="false">D26*H26</f>
        <v>72242</v>
      </c>
      <c r="K26" s="94"/>
      <c r="L26" s="222" t="s">
        <v>501</v>
      </c>
      <c r="M26" s="223" t="n">
        <v>130247</v>
      </c>
      <c r="N26" s="220" t="n">
        <v>46602706.2</v>
      </c>
      <c r="O26" s="221" t="n">
        <v>2474850.4</v>
      </c>
      <c r="P26" s="94"/>
      <c r="Q26" s="94"/>
      <c r="R26" s="94"/>
      <c r="S26" s="94"/>
      <c r="T26" s="94"/>
      <c r="U26" s="94"/>
      <c r="V26" s="94"/>
      <c r="W26" s="94"/>
      <c r="X26" s="94"/>
    </row>
    <row r="27" customFormat="false" ht="15" hidden="false" customHeight="false" outlineLevel="0" collapsed="false">
      <c r="A27" s="0" t="s">
        <v>488</v>
      </c>
      <c r="B27" s="0" t="s">
        <v>506</v>
      </c>
      <c r="C27" s="0" t="n">
        <v>2017</v>
      </c>
      <c r="D27" s="0" t="n">
        <v>800</v>
      </c>
      <c r="E27" s="0" t="n">
        <v>359.4</v>
      </c>
      <c r="F27" s="0" t="n">
        <v>10.8</v>
      </c>
      <c r="G27" s="0" t="n">
        <v>6.3</v>
      </c>
      <c r="H27" s="0" t="n">
        <v>89</v>
      </c>
      <c r="I27" s="0" t="n">
        <f aca="false">D27*E27</f>
        <v>287520</v>
      </c>
      <c r="J27" s="0" t="n">
        <f aca="false">D27*H27</f>
        <v>71200</v>
      </c>
      <c r="K27" s="94"/>
      <c r="L27" s="222" t="s">
        <v>503</v>
      </c>
      <c r="M27" s="223" t="n">
        <v>16542</v>
      </c>
      <c r="N27" s="220" t="n">
        <v>6253201.7</v>
      </c>
      <c r="O27" s="221" t="n">
        <v>507053</v>
      </c>
      <c r="P27" s="94"/>
      <c r="Q27" s="94"/>
      <c r="R27" s="94"/>
      <c r="S27" s="94"/>
      <c r="T27" s="94"/>
      <c r="U27" s="94"/>
      <c r="V27" s="94"/>
      <c r="W27" s="94"/>
      <c r="X27" s="94"/>
    </row>
    <row r="28" customFormat="false" ht="15" hidden="false" customHeight="false" outlineLevel="0" collapsed="false">
      <c r="A28" s="0" t="s">
        <v>488</v>
      </c>
      <c r="B28" s="0" t="s">
        <v>506</v>
      </c>
      <c r="C28" s="0" t="n">
        <v>2018</v>
      </c>
      <c r="D28" s="0" t="n">
        <v>1144</v>
      </c>
      <c r="E28" s="0" t="n">
        <v>353.4</v>
      </c>
      <c r="F28" s="0" t="n">
        <v>10.2</v>
      </c>
      <c r="G28" s="0" t="n">
        <v>6.3</v>
      </c>
      <c r="H28" s="0" t="n">
        <v>85</v>
      </c>
      <c r="I28" s="0" t="n">
        <f aca="false">D28*E28</f>
        <v>404289.6</v>
      </c>
      <c r="J28" s="0" t="n">
        <f aca="false">D28*H28</f>
        <v>97240</v>
      </c>
      <c r="K28" s="94"/>
      <c r="L28" s="218" t="s">
        <v>213</v>
      </c>
      <c r="M28" s="219" t="n">
        <v>5086</v>
      </c>
      <c r="N28" s="220" t="n">
        <v>788569.7</v>
      </c>
      <c r="O28" s="221" t="n">
        <v>54710.6</v>
      </c>
      <c r="P28" s="94"/>
      <c r="Q28" s="94"/>
      <c r="R28" s="94"/>
      <c r="S28" s="94"/>
      <c r="T28" s="94"/>
      <c r="U28" s="94"/>
      <c r="V28" s="94"/>
      <c r="W28" s="94"/>
      <c r="X28" s="94"/>
    </row>
    <row r="29" customFormat="false" ht="15" hidden="false" customHeight="false" outlineLevel="0" collapsed="false">
      <c r="A29" s="0" t="s">
        <v>488</v>
      </c>
      <c r="B29" s="0" t="s">
        <v>506</v>
      </c>
      <c r="C29" s="0" t="n">
        <v>2019</v>
      </c>
      <c r="D29" s="0" t="n">
        <v>1352</v>
      </c>
      <c r="E29" s="0" t="n">
        <v>348.2</v>
      </c>
      <c r="F29" s="0" t="n">
        <v>10.1</v>
      </c>
      <c r="G29" s="0" t="n">
        <v>6.1</v>
      </c>
      <c r="H29" s="0" t="n">
        <v>87.3</v>
      </c>
      <c r="I29" s="0" t="n">
        <f aca="false">D29*E29</f>
        <v>470766.4</v>
      </c>
      <c r="J29" s="0" t="n">
        <f aca="false">D29*H29</f>
        <v>118029.6</v>
      </c>
      <c r="K29" s="94"/>
      <c r="L29" s="222" t="s">
        <v>213</v>
      </c>
      <c r="M29" s="223" t="n">
        <v>5086</v>
      </c>
      <c r="N29" s="220" t="n">
        <v>788569.7</v>
      </c>
      <c r="O29" s="221" t="n">
        <v>54710.6</v>
      </c>
      <c r="P29" s="94"/>
      <c r="Q29" s="94"/>
      <c r="R29" s="94"/>
      <c r="S29" s="94"/>
      <c r="T29" s="94"/>
      <c r="U29" s="94"/>
      <c r="V29" s="94"/>
      <c r="W29" s="94"/>
      <c r="X29" s="94"/>
    </row>
    <row r="30" customFormat="false" ht="15" hidden="false" customHeight="false" outlineLevel="0" collapsed="false">
      <c r="A30" s="0" t="s">
        <v>488</v>
      </c>
      <c r="B30" s="0" t="s">
        <v>506</v>
      </c>
      <c r="C30" s="0" t="n">
        <v>2020</v>
      </c>
      <c r="D30" s="0" t="n">
        <v>1390</v>
      </c>
      <c r="E30" s="0" t="n">
        <v>351.6</v>
      </c>
      <c r="F30" s="0" t="n">
        <v>9.9</v>
      </c>
      <c r="G30" s="0" t="n">
        <v>6.1</v>
      </c>
      <c r="H30" s="0" t="n">
        <v>84.5</v>
      </c>
      <c r="I30" s="0" t="n">
        <f aca="false">D30*E30</f>
        <v>488724</v>
      </c>
      <c r="J30" s="0" t="n">
        <f aca="false">D30*H30</f>
        <v>117455</v>
      </c>
      <c r="K30" s="94"/>
      <c r="L30" s="214" t="s">
        <v>507</v>
      </c>
      <c r="M30" s="215"/>
      <c r="N30" s="216"/>
      <c r="O30" s="217"/>
      <c r="P30" s="94"/>
      <c r="Q30" s="94"/>
      <c r="R30" s="94"/>
      <c r="S30" s="94"/>
      <c r="T30" s="94"/>
      <c r="U30" s="94"/>
      <c r="V30" s="94"/>
      <c r="W30" s="94"/>
      <c r="X30" s="94"/>
    </row>
    <row r="31" customFormat="false" ht="15" hidden="false" customHeight="false" outlineLevel="0" collapsed="false">
      <c r="A31" s="0" t="s">
        <v>488</v>
      </c>
      <c r="B31" s="0" t="s">
        <v>506</v>
      </c>
      <c r="C31" s="0" t="n">
        <v>2021</v>
      </c>
      <c r="D31" s="0" t="n">
        <v>1184</v>
      </c>
      <c r="E31" s="0" t="n">
        <v>357.6</v>
      </c>
      <c r="F31" s="0" t="n">
        <v>9.9</v>
      </c>
      <c r="G31" s="0" t="n">
        <v>6.3</v>
      </c>
      <c r="H31" s="0" t="n">
        <v>82.1</v>
      </c>
      <c r="I31" s="0" t="n">
        <f aca="false">D31*E31</f>
        <v>423398.4</v>
      </c>
      <c r="J31" s="0" t="n">
        <f aca="false">D31*H31</f>
        <v>97206.4</v>
      </c>
      <c r="K31" s="94"/>
      <c r="L31" s="218" t="s">
        <v>495</v>
      </c>
      <c r="M31" s="219" t="n">
        <v>129627</v>
      </c>
      <c r="N31" s="220" t="n">
        <v>43075396.2</v>
      </c>
      <c r="O31" s="221" t="n">
        <v>9589289.8</v>
      </c>
      <c r="P31" s="94"/>
      <c r="Q31" s="94"/>
      <c r="R31" s="94"/>
      <c r="S31" s="94"/>
      <c r="T31" s="94"/>
      <c r="U31" s="94"/>
      <c r="V31" s="94"/>
      <c r="W31" s="94"/>
      <c r="X31" s="94"/>
    </row>
    <row r="32" customFormat="false" ht="15" hidden="false" customHeight="false" outlineLevel="0" collapsed="false">
      <c r="A32" s="0" t="s">
        <v>488</v>
      </c>
      <c r="B32" s="0" t="s">
        <v>508</v>
      </c>
      <c r="C32" s="0" t="n">
        <v>2016</v>
      </c>
      <c r="D32" s="0" t="n">
        <v>376</v>
      </c>
      <c r="E32" s="0" t="n">
        <v>387.2</v>
      </c>
      <c r="F32" s="0" t="n">
        <v>9.3</v>
      </c>
      <c r="G32" s="0" t="n">
        <v>8.3</v>
      </c>
      <c r="H32" s="0" t="n">
        <v>96.2</v>
      </c>
      <c r="I32" s="0" t="n">
        <f aca="false">D32*E32</f>
        <v>145587.2</v>
      </c>
      <c r="J32" s="0" t="n">
        <f aca="false">D32*H32</f>
        <v>36171.2</v>
      </c>
      <c r="K32" s="94"/>
      <c r="L32" s="222" t="s">
        <v>488</v>
      </c>
      <c r="M32" s="223" t="n">
        <v>95834</v>
      </c>
      <c r="N32" s="220" t="n">
        <v>32796064.8</v>
      </c>
      <c r="O32" s="221" t="n">
        <v>8301026.9</v>
      </c>
      <c r="P32" s="94"/>
      <c r="Q32" s="94"/>
      <c r="R32" s="94"/>
      <c r="S32" s="94"/>
      <c r="T32" s="94"/>
      <c r="U32" s="94"/>
      <c r="V32" s="94"/>
      <c r="W32" s="94"/>
      <c r="X32" s="94"/>
    </row>
    <row r="33" customFormat="false" ht="15" hidden="false" customHeight="false" outlineLevel="0" collapsed="false">
      <c r="A33" s="0" t="s">
        <v>488</v>
      </c>
      <c r="B33" s="0" t="s">
        <v>508</v>
      </c>
      <c r="C33" s="0" t="n">
        <v>2017</v>
      </c>
      <c r="D33" s="0" t="n">
        <v>438</v>
      </c>
      <c r="E33" s="0" t="n">
        <v>381.2</v>
      </c>
      <c r="F33" s="0" t="n">
        <v>9</v>
      </c>
      <c r="G33" s="0" t="n">
        <v>8.3</v>
      </c>
      <c r="H33" s="0" t="n">
        <v>93</v>
      </c>
      <c r="I33" s="0" t="n">
        <f aca="false">D33*E33</f>
        <v>166965.6</v>
      </c>
      <c r="J33" s="0" t="n">
        <f aca="false">D33*H33</f>
        <v>40734</v>
      </c>
      <c r="K33" s="94"/>
      <c r="L33" s="222" t="s">
        <v>496</v>
      </c>
      <c r="M33" s="223" t="n">
        <v>33793</v>
      </c>
      <c r="N33" s="220" t="n">
        <v>10279331.4</v>
      </c>
      <c r="O33" s="221" t="n">
        <v>1288262.9</v>
      </c>
      <c r="P33" s="94"/>
      <c r="Q33" s="94"/>
      <c r="R33" s="94"/>
      <c r="S33" s="94"/>
      <c r="T33" s="94"/>
      <c r="U33" s="94"/>
      <c r="V33" s="94"/>
      <c r="W33" s="94"/>
      <c r="X33" s="94"/>
    </row>
    <row r="34" customFormat="false" ht="15" hidden="false" customHeight="false" outlineLevel="0" collapsed="false">
      <c r="A34" s="0" t="s">
        <v>488</v>
      </c>
      <c r="B34" s="0" t="s">
        <v>508</v>
      </c>
      <c r="C34" s="0" t="n">
        <v>2018</v>
      </c>
      <c r="D34" s="0" t="n">
        <v>621</v>
      </c>
      <c r="E34" s="0" t="n">
        <v>372.9</v>
      </c>
      <c r="F34" s="0" t="n">
        <v>8.3</v>
      </c>
      <c r="G34" s="0" t="n">
        <v>8.1</v>
      </c>
      <c r="H34" s="0" t="n">
        <v>89.5</v>
      </c>
      <c r="I34" s="0" t="n">
        <f aca="false">D34*E34</f>
        <v>231570.9</v>
      </c>
      <c r="J34" s="0" t="n">
        <f aca="false">D34*H34</f>
        <v>55579.5</v>
      </c>
      <c r="K34" s="94"/>
      <c r="L34" s="218" t="s">
        <v>498</v>
      </c>
      <c r="M34" s="219" t="n">
        <v>135714</v>
      </c>
      <c r="N34" s="220" t="n">
        <v>42059543.6</v>
      </c>
      <c r="O34" s="221" t="n">
        <v>3666350.4</v>
      </c>
      <c r="P34" s="94"/>
      <c r="Q34" s="94"/>
      <c r="R34" s="94"/>
      <c r="S34" s="94"/>
      <c r="T34" s="94"/>
      <c r="U34" s="94"/>
      <c r="V34" s="94"/>
      <c r="W34" s="94"/>
      <c r="X34" s="94"/>
    </row>
    <row r="35" customFormat="false" ht="15" hidden="false" customHeight="false" outlineLevel="0" collapsed="false">
      <c r="A35" s="0" t="s">
        <v>488</v>
      </c>
      <c r="B35" s="0" t="s">
        <v>508</v>
      </c>
      <c r="C35" s="0" t="n">
        <v>2019</v>
      </c>
      <c r="D35" s="0" t="n">
        <v>507</v>
      </c>
      <c r="E35" s="0" t="n">
        <v>365.3</v>
      </c>
      <c r="F35" s="0" t="n">
        <v>7.9</v>
      </c>
      <c r="G35" s="0" t="n">
        <v>7.7</v>
      </c>
      <c r="H35" s="0" t="n">
        <v>92.1</v>
      </c>
      <c r="I35" s="0" t="n">
        <f aca="false">D35*E35</f>
        <v>185207.1</v>
      </c>
      <c r="J35" s="0" t="n">
        <f aca="false">D35*H35</f>
        <v>46694.7</v>
      </c>
      <c r="K35" s="94"/>
      <c r="L35" s="222" t="s">
        <v>498</v>
      </c>
      <c r="M35" s="223" t="n">
        <v>135714</v>
      </c>
      <c r="N35" s="220" t="n">
        <v>42059543.6</v>
      </c>
      <c r="O35" s="221" t="n">
        <v>3666350.4</v>
      </c>
      <c r="P35" s="94"/>
      <c r="Q35" s="94"/>
      <c r="R35" s="94"/>
      <c r="S35" s="94"/>
      <c r="T35" s="94"/>
      <c r="U35" s="94"/>
      <c r="V35" s="94"/>
      <c r="W35" s="94"/>
      <c r="X35" s="94"/>
    </row>
    <row r="36" customFormat="false" ht="15" hidden="false" customHeight="false" outlineLevel="0" collapsed="false">
      <c r="A36" s="0" t="s">
        <v>488</v>
      </c>
      <c r="B36" s="0" t="s">
        <v>508</v>
      </c>
      <c r="C36" s="0" t="n">
        <v>2020</v>
      </c>
      <c r="D36" s="0" t="n">
        <v>692</v>
      </c>
      <c r="E36" s="0" t="n">
        <v>372</v>
      </c>
      <c r="F36" s="0" t="n">
        <v>7.7</v>
      </c>
      <c r="G36" s="0" t="n">
        <v>7.8</v>
      </c>
      <c r="H36" s="0" t="n">
        <v>100.2</v>
      </c>
      <c r="I36" s="0" t="n">
        <f aca="false">D36*E36</f>
        <v>257424</v>
      </c>
      <c r="J36" s="0" t="n">
        <f aca="false">D36*H36</f>
        <v>69338.4</v>
      </c>
      <c r="K36" s="94"/>
      <c r="L36" s="218" t="s">
        <v>499</v>
      </c>
      <c r="M36" s="219" t="n">
        <v>39806</v>
      </c>
      <c r="N36" s="220" t="n">
        <v>13394002.4</v>
      </c>
      <c r="O36" s="221" t="n">
        <v>1134912.8</v>
      </c>
      <c r="P36" s="94"/>
      <c r="Q36" s="94"/>
      <c r="R36" s="94"/>
      <c r="S36" s="94"/>
      <c r="T36" s="94"/>
      <c r="U36" s="94"/>
      <c r="V36" s="94"/>
      <c r="W36" s="94"/>
      <c r="X36" s="94"/>
    </row>
    <row r="37" customFormat="false" ht="15" hidden="false" customHeight="false" outlineLevel="0" collapsed="false">
      <c r="A37" s="0" t="s">
        <v>488</v>
      </c>
      <c r="B37" s="0" t="s">
        <v>508</v>
      </c>
      <c r="C37" s="0" t="n">
        <v>2021</v>
      </c>
      <c r="D37" s="0" t="n">
        <v>549</v>
      </c>
      <c r="E37" s="0" t="n">
        <v>381.3</v>
      </c>
      <c r="F37" s="0" t="n">
        <v>8.3</v>
      </c>
      <c r="G37" s="0" t="n">
        <v>8</v>
      </c>
      <c r="H37" s="0" t="n">
        <v>89</v>
      </c>
      <c r="I37" s="0" t="n">
        <f aca="false">D37*E37</f>
        <v>209333.7</v>
      </c>
      <c r="J37" s="0" t="n">
        <f aca="false">D37*H37</f>
        <v>48861</v>
      </c>
      <c r="K37" s="94"/>
      <c r="L37" s="222" t="s">
        <v>499</v>
      </c>
      <c r="M37" s="223" t="n">
        <v>39806</v>
      </c>
      <c r="N37" s="220" t="n">
        <v>13394002.4</v>
      </c>
      <c r="O37" s="221" t="n">
        <v>1134912.8</v>
      </c>
      <c r="P37" s="94"/>
      <c r="Q37" s="94"/>
      <c r="R37" s="94"/>
      <c r="S37" s="94"/>
      <c r="T37" s="94"/>
      <c r="U37" s="94"/>
      <c r="V37" s="94"/>
      <c r="W37" s="94"/>
      <c r="X37" s="94"/>
    </row>
    <row r="38" customFormat="false" ht="15" hidden="false" customHeight="false" outlineLevel="0" collapsed="false">
      <c r="A38" s="0" t="s">
        <v>488</v>
      </c>
      <c r="B38" s="0" t="s">
        <v>509</v>
      </c>
      <c r="C38" s="0" t="n">
        <v>2016</v>
      </c>
      <c r="D38" s="0" t="n">
        <v>1709</v>
      </c>
      <c r="E38" s="0" t="n">
        <v>374.6</v>
      </c>
      <c r="F38" s="0" t="n">
        <v>8.8</v>
      </c>
      <c r="G38" s="0" t="n">
        <v>6.6</v>
      </c>
      <c r="H38" s="0" t="n">
        <v>91.2</v>
      </c>
      <c r="I38" s="0" t="n">
        <f aca="false">D38*E38</f>
        <v>640191.4</v>
      </c>
      <c r="J38" s="0" t="n">
        <f aca="false">D38*H38</f>
        <v>155860.8</v>
      </c>
      <c r="K38" s="94"/>
      <c r="L38" s="218" t="s">
        <v>500</v>
      </c>
      <c r="M38" s="219" t="n">
        <v>274571</v>
      </c>
      <c r="N38" s="220" t="n">
        <v>98173836</v>
      </c>
      <c r="O38" s="221" t="n">
        <v>5490897.6</v>
      </c>
      <c r="P38" s="94"/>
      <c r="Q38" s="94"/>
      <c r="R38" s="94"/>
      <c r="S38" s="94"/>
      <c r="T38" s="94"/>
      <c r="U38" s="94"/>
      <c r="V38" s="94"/>
      <c r="W38" s="94"/>
      <c r="X38" s="94"/>
    </row>
    <row r="39" customFormat="false" ht="15" hidden="false" customHeight="false" outlineLevel="0" collapsed="false">
      <c r="A39" s="0" t="s">
        <v>488</v>
      </c>
      <c r="B39" s="0" t="s">
        <v>509</v>
      </c>
      <c r="C39" s="0" t="n">
        <v>2017</v>
      </c>
      <c r="D39" s="0" t="n">
        <v>1951</v>
      </c>
      <c r="E39" s="0" t="n">
        <v>379.3</v>
      </c>
      <c r="F39" s="0" t="n">
        <v>8.7</v>
      </c>
      <c r="G39" s="0" t="n">
        <v>6.7</v>
      </c>
      <c r="H39" s="0" t="n">
        <v>92.5</v>
      </c>
      <c r="I39" s="0" t="n">
        <f aca="false">D39*E39</f>
        <v>740014.3</v>
      </c>
      <c r="J39" s="0" t="n">
        <f aca="false">D39*H39</f>
        <v>180467.5</v>
      </c>
      <c r="K39" s="94"/>
      <c r="L39" s="222" t="s">
        <v>501</v>
      </c>
      <c r="M39" s="223" t="n">
        <v>245666</v>
      </c>
      <c r="N39" s="220" t="n">
        <v>87640451.3</v>
      </c>
      <c r="O39" s="221" t="n">
        <v>4640779.1</v>
      </c>
      <c r="P39" s="94"/>
      <c r="Q39" s="94"/>
      <c r="R39" s="94"/>
      <c r="S39" s="94"/>
      <c r="T39" s="94"/>
      <c r="U39" s="94"/>
      <c r="V39" s="94"/>
      <c r="W39" s="94"/>
      <c r="X39" s="94"/>
    </row>
    <row r="40" customFormat="false" ht="15" hidden="false" customHeight="false" outlineLevel="0" collapsed="false">
      <c r="A40" s="0" t="s">
        <v>488</v>
      </c>
      <c r="B40" s="0" t="s">
        <v>509</v>
      </c>
      <c r="C40" s="0" t="n">
        <v>2018</v>
      </c>
      <c r="D40" s="0" t="n">
        <v>2598</v>
      </c>
      <c r="E40" s="0" t="n">
        <v>358.3</v>
      </c>
      <c r="F40" s="0" t="n">
        <v>7.6</v>
      </c>
      <c r="G40" s="0" t="n">
        <v>6.2</v>
      </c>
      <c r="H40" s="0" t="n">
        <v>89.8</v>
      </c>
      <c r="I40" s="0" t="n">
        <f aca="false">D40*E40</f>
        <v>930863.4</v>
      </c>
      <c r="J40" s="0" t="n">
        <f aca="false">D40*H40</f>
        <v>233300.4</v>
      </c>
      <c r="K40" s="94"/>
      <c r="L40" s="222" t="s">
        <v>503</v>
      </c>
      <c r="M40" s="223" t="n">
        <v>28905</v>
      </c>
      <c r="N40" s="220" t="n">
        <v>10533384.7</v>
      </c>
      <c r="O40" s="221" t="n">
        <v>850118.5</v>
      </c>
      <c r="P40" s="94"/>
      <c r="Q40" s="94"/>
      <c r="R40" s="94"/>
      <c r="S40" s="94"/>
      <c r="T40" s="94"/>
      <c r="U40" s="94"/>
      <c r="V40" s="94"/>
      <c r="W40" s="94"/>
      <c r="X40" s="94"/>
    </row>
    <row r="41" customFormat="false" ht="15" hidden="false" customHeight="false" outlineLevel="0" collapsed="false">
      <c r="A41" s="0" t="s">
        <v>488</v>
      </c>
      <c r="B41" s="0" t="s">
        <v>509</v>
      </c>
      <c r="C41" s="0" t="n">
        <v>2019</v>
      </c>
      <c r="D41" s="0" t="n">
        <v>2584</v>
      </c>
      <c r="E41" s="0" t="n">
        <v>359.2</v>
      </c>
      <c r="F41" s="0" t="n">
        <v>7.5</v>
      </c>
      <c r="G41" s="0" t="n">
        <v>6.3</v>
      </c>
      <c r="H41" s="0" t="n">
        <v>87.9</v>
      </c>
      <c r="I41" s="0" t="n">
        <f aca="false">D41*E41</f>
        <v>928172.8</v>
      </c>
      <c r="J41" s="0" t="n">
        <f aca="false">D41*H41</f>
        <v>227133.6</v>
      </c>
      <c r="K41" s="94"/>
      <c r="L41" s="218" t="s">
        <v>213</v>
      </c>
      <c r="M41" s="219" t="n">
        <v>13034</v>
      </c>
      <c r="N41" s="220" t="n">
        <v>2061999</v>
      </c>
      <c r="O41" s="221" t="n">
        <v>143432.3</v>
      </c>
      <c r="P41" s="94"/>
      <c r="Q41" s="94"/>
      <c r="R41" s="94"/>
      <c r="S41" s="94"/>
      <c r="T41" s="94"/>
      <c r="U41" s="94"/>
      <c r="V41" s="94"/>
      <c r="W41" s="94"/>
      <c r="X41" s="94"/>
    </row>
    <row r="42" customFormat="false" ht="15" hidden="false" customHeight="false" outlineLevel="0" collapsed="false">
      <c r="A42" s="0" t="s">
        <v>488</v>
      </c>
      <c r="B42" s="0" t="s">
        <v>509</v>
      </c>
      <c r="C42" s="0" t="n">
        <v>2020</v>
      </c>
      <c r="D42" s="0" t="n">
        <v>2416</v>
      </c>
      <c r="E42" s="0" t="n">
        <v>363.9</v>
      </c>
      <c r="F42" s="0" t="n">
        <v>7.6</v>
      </c>
      <c r="G42" s="0" t="n">
        <v>6.3</v>
      </c>
      <c r="H42" s="0" t="n">
        <v>88.8</v>
      </c>
      <c r="I42" s="0" t="n">
        <f aca="false">D42*E42</f>
        <v>879182.4</v>
      </c>
      <c r="J42" s="0" t="n">
        <f aca="false">D42*H42</f>
        <v>214540.8</v>
      </c>
      <c r="K42" s="94"/>
      <c r="L42" s="222" t="s">
        <v>213</v>
      </c>
      <c r="M42" s="223" t="n">
        <v>13034</v>
      </c>
      <c r="N42" s="220" t="n">
        <v>2061999</v>
      </c>
      <c r="O42" s="221" t="n">
        <v>143432.3</v>
      </c>
      <c r="P42" s="94"/>
      <c r="Q42" s="94"/>
      <c r="R42" s="94"/>
      <c r="S42" s="94"/>
      <c r="T42" s="94"/>
      <c r="U42" s="94"/>
      <c r="V42" s="94"/>
      <c r="W42" s="94"/>
      <c r="X42" s="94"/>
    </row>
    <row r="43" customFormat="false" ht="15" hidden="false" customHeight="false" outlineLevel="0" collapsed="false">
      <c r="A43" s="0" t="s">
        <v>488</v>
      </c>
      <c r="B43" s="0" t="s">
        <v>509</v>
      </c>
      <c r="C43" s="0" t="n">
        <v>2021</v>
      </c>
      <c r="D43" s="0" t="n">
        <v>2357</v>
      </c>
      <c r="E43" s="0" t="n">
        <v>374</v>
      </c>
      <c r="F43" s="0" t="n">
        <v>7.9</v>
      </c>
      <c r="G43" s="0" t="n">
        <v>6.6</v>
      </c>
      <c r="H43" s="0" t="n">
        <v>87.8</v>
      </c>
      <c r="I43" s="0" t="n">
        <f aca="false">D43*E43</f>
        <v>881518</v>
      </c>
      <c r="J43" s="0" t="n">
        <f aca="false">D43*H43</f>
        <v>206944.6</v>
      </c>
      <c r="K43" s="94"/>
      <c r="L43" s="224" t="s">
        <v>510</v>
      </c>
      <c r="M43" s="225" t="n">
        <v>2003409</v>
      </c>
      <c r="N43" s="226" t="n">
        <v>645582516.900001</v>
      </c>
      <c r="O43" s="227" t="n">
        <v>75200971.8000001</v>
      </c>
      <c r="P43" s="94"/>
      <c r="Q43" s="94"/>
      <c r="R43" s="94"/>
      <c r="S43" s="94"/>
      <c r="T43" s="94"/>
      <c r="U43" s="94"/>
      <c r="V43" s="94"/>
      <c r="W43" s="94"/>
      <c r="X43" s="94"/>
    </row>
    <row r="44" customFormat="false" ht="15" hidden="false" customHeight="false" outlineLevel="0" collapsed="false">
      <c r="A44" s="0" t="s">
        <v>488</v>
      </c>
      <c r="B44" s="0" t="s">
        <v>511</v>
      </c>
      <c r="C44" s="0" t="n">
        <v>2016</v>
      </c>
      <c r="D44" s="0" t="n">
        <v>483</v>
      </c>
      <c r="E44" s="0" t="n">
        <v>230.7</v>
      </c>
      <c r="F44" s="0" t="n">
        <v>8.2</v>
      </c>
      <c r="G44" s="0" t="n">
        <v>4.6</v>
      </c>
      <c r="H44" s="0" t="n">
        <v>108.5</v>
      </c>
      <c r="I44" s="0" t="n">
        <f aca="false">D44*E44</f>
        <v>111428.1</v>
      </c>
      <c r="J44" s="0" t="n">
        <f aca="false">D44*H44</f>
        <v>52405.5</v>
      </c>
      <c r="K44" s="94"/>
      <c r="P44" s="94"/>
      <c r="Q44" s="94"/>
      <c r="R44" s="94"/>
      <c r="S44" s="94"/>
      <c r="T44" s="94"/>
      <c r="U44" s="94"/>
      <c r="V44" s="94"/>
      <c r="W44" s="94"/>
      <c r="X44" s="94"/>
    </row>
    <row r="45" customFormat="false" ht="15" hidden="false" customHeight="false" outlineLevel="0" collapsed="false">
      <c r="A45" s="0" t="s">
        <v>488</v>
      </c>
      <c r="B45" s="0" t="s">
        <v>511</v>
      </c>
      <c r="C45" s="0" t="n">
        <v>2017</v>
      </c>
      <c r="D45" s="0" t="n">
        <v>427</v>
      </c>
      <c r="E45" s="0" t="n">
        <v>231.8</v>
      </c>
      <c r="F45" s="0" t="n">
        <v>8.1</v>
      </c>
      <c r="G45" s="0" t="n">
        <v>4.7</v>
      </c>
      <c r="H45" s="0" t="n">
        <v>98</v>
      </c>
      <c r="I45" s="0" t="n">
        <f aca="false">D45*E45</f>
        <v>98978.6</v>
      </c>
      <c r="J45" s="0" t="n">
        <f aca="false">D45*H45</f>
        <v>41846</v>
      </c>
      <c r="K45" s="94"/>
      <c r="P45" s="94"/>
      <c r="Q45" s="94"/>
      <c r="R45" s="94"/>
      <c r="S45" s="94"/>
      <c r="T45" s="94"/>
      <c r="U45" s="94"/>
      <c r="V45" s="94"/>
      <c r="W45" s="94"/>
      <c r="X45" s="94"/>
    </row>
    <row r="46" customFormat="false" ht="15" hidden="false" customHeight="false" outlineLevel="0" collapsed="false">
      <c r="A46" s="0" t="s">
        <v>488</v>
      </c>
      <c r="B46" s="0" t="s">
        <v>511</v>
      </c>
      <c r="C46" s="0" t="n">
        <v>2018</v>
      </c>
      <c r="D46" s="0" t="n">
        <v>546</v>
      </c>
      <c r="E46" s="0" t="n">
        <v>224.4</v>
      </c>
      <c r="F46" s="0" t="n">
        <v>7.6</v>
      </c>
      <c r="G46" s="0" t="n">
        <v>4.4</v>
      </c>
      <c r="H46" s="0" t="n">
        <v>100.9</v>
      </c>
      <c r="I46" s="0" t="n">
        <f aca="false">D46*E46</f>
        <v>122522.4</v>
      </c>
      <c r="J46" s="0" t="n">
        <f aca="false">D46*H46</f>
        <v>55091.4</v>
      </c>
      <c r="K46" s="94"/>
      <c r="P46" s="94"/>
      <c r="Q46" s="94"/>
      <c r="R46" s="94"/>
      <c r="S46" s="94"/>
      <c r="T46" s="94"/>
      <c r="U46" s="94"/>
      <c r="V46" s="94"/>
      <c r="W46" s="94"/>
      <c r="X46" s="94"/>
    </row>
    <row r="47" customFormat="false" ht="15" hidden="false" customHeight="false" outlineLevel="0" collapsed="false">
      <c r="A47" s="0" t="s">
        <v>488</v>
      </c>
      <c r="B47" s="0" t="s">
        <v>511</v>
      </c>
      <c r="C47" s="0" t="n">
        <v>2019</v>
      </c>
      <c r="D47" s="0" t="n">
        <v>408</v>
      </c>
      <c r="E47" s="0" t="n">
        <v>224.2</v>
      </c>
      <c r="F47" s="0" t="n">
        <v>7.3</v>
      </c>
      <c r="G47" s="0" t="n">
        <v>4.3</v>
      </c>
      <c r="H47" s="0" t="n">
        <v>105.8</v>
      </c>
      <c r="I47" s="0" t="n">
        <f aca="false">D47*E47</f>
        <v>91473.6</v>
      </c>
      <c r="J47" s="0" t="n">
        <f aca="false">D47*H47</f>
        <v>43166.4</v>
      </c>
      <c r="K47" s="94"/>
      <c r="P47" s="94"/>
      <c r="Q47" s="94"/>
      <c r="R47" s="94"/>
      <c r="S47" s="94"/>
      <c r="T47" s="94"/>
      <c r="U47" s="94"/>
      <c r="V47" s="94"/>
      <c r="W47" s="94"/>
      <c r="X47" s="94"/>
    </row>
    <row r="48" customFormat="false" ht="15" hidden="false" customHeight="false" outlineLevel="0" collapsed="false">
      <c r="A48" s="0" t="s">
        <v>488</v>
      </c>
      <c r="B48" s="0" t="s">
        <v>511</v>
      </c>
      <c r="C48" s="0" t="n">
        <v>2020</v>
      </c>
      <c r="D48" s="0" t="n">
        <v>428</v>
      </c>
      <c r="E48" s="0" t="n">
        <v>232.7</v>
      </c>
      <c r="F48" s="0" t="n">
        <v>7.8</v>
      </c>
      <c r="G48" s="0" t="n">
        <v>4.6</v>
      </c>
      <c r="H48" s="0" t="n">
        <v>106.7</v>
      </c>
      <c r="I48" s="0" t="n">
        <f aca="false">D48*E48</f>
        <v>99595.6</v>
      </c>
      <c r="J48" s="0" t="n">
        <f aca="false">D48*H48</f>
        <v>45667.6</v>
      </c>
      <c r="K48" s="94"/>
      <c r="P48" s="94"/>
      <c r="Q48" s="94"/>
      <c r="R48" s="94"/>
      <c r="S48" s="94"/>
      <c r="T48" s="94"/>
      <c r="U48" s="94"/>
      <c r="V48" s="94"/>
      <c r="W48" s="94"/>
      <c r="X48" s="94"/>
    </row>
    <row r="49" customFormat="false" ht="15" hidden="false" customHeight="false" outlineLevel="0" collapsed="false">
      <c r="A49" s="0" t="s">
        <v>488</v>
      </c>
      <c r="B49" s="0" t="s">
        <v>511</v>
      </c>
      <c r="C49" s="0" t="n">
        <v>2021</v>
      </c>
      <c r="D49" s="0" t="n">
        <v>305</v>
      </c>
      <c r="E49" s="0" t="n">
        <v>227.8</v>
      </c>
      <c r="F49" s="0" t="n">
        <v>7.56</v>
      </c>
      <c r="G49" s="0" t="n">
        <v>4.5</v>
      </c>
      <c r="H49" s="0" t="n">
        <v>108.4</v>
      </c>
      <c r="I49" s="0" t="n">
        <f aca="false">D49*E49</f>
        <v>69479</v>
      </c>
      <c r="J49" s="0" t="n">
        <f aca="false">D49*H49</f>
        <v>33062</v>
      </c>
      <c r="K49" s="94"/>
      <c r="P49" s="94"/>
      <c r="Q49" s="94"/>
      <c r="R49" s="94"/>
      <c r="S49" s="94"/>
      <c r="T49" s="94"/>
      <c r="U49" s="94"/>
      <c r="V49" s="94"/>
      <c r="W49" s="94"/>
      <c r="X49" s="94"/>
    </row>
    <row r="50" customFormat="false" ht="15" hidden="false" customHeight="false" outlineLevel="0" collapsed="false">
      <c r="A50" s="0" t="s">
        <v>488</v>
      </c>
      <c r="B50" s="0" t="s">
        <v>512</v>
      </c>
      <c r="C50" s="0" t="n">
        <v>2016</v>
      </c>
      <c r="D50" s="0" t="n">
        <v>110</v>
      </c>
      <c r="E50" s="0" t="n">
        <v>389.5</v>
      </c>
      <c r="F50" s="0" t="n">
        <v>7.1</v>
      </c>
      <c r="G50" s="0" t="n">
        <v>7.8</v>
      </c>
      <c r="H50" s="0" t="n">
        <v>109.9</v>
      </c>
      <c r="I50" s="0" t="n">
        <f aca="false">D50*E50</f>
        <v>42845</v>
      </c>
      <c r="J50" s="0" t="n">
        <f aca="false">D50*H50</f>
        <v>12089</v>
      </c>
      <c r="K50" s="94"/>
      <c r="P50" s="94"/>
      <c r="Q50" s="94"/>
      <c r="R50" s="94"/>
      <c r="S50" s="94"/>
      <c r="T50" s="94"/>
      <c r="U50" s="94"/>
      <c r="V50" s="94"/>
      <c r="W50" s="94"/>
      <c r="X50" s="94"/>
    </row>
    <row r="51" customFormat="false" ht="15" hidden="false" customHeight="false" outlineLevel="0" collapsed="false">
      <c r="A51" s="0" t="s">
        <v>488</v>
      </c>
      <c r="B51" s="0" t="s">
        <v>512</v>
      </c>
      <c r="C51" s="0" t="n">
        <v>2017</v>
      </c>
      <c r="D51" s="0" t="n">
        <v>98</v>
      </c>
      <c r="E51" s="0" t="n">
        <v>427.9</v>
      </c>
      <c r="F51" s="0" t="n">
        <v>8</v>
      </c>
      <c r="G51" s="0" t="n">
        <v>8.4</v>
      </c>
      <c r="H51" s="0" t="n">
        <v>103.3</v>
      </c>
      <c r="I51" s="0" t="n">
        <f aca="false">D51*E51</f>
        <v>41934.2</v>
      </c>
      <c r="J51" s="0" t="n">
        <f aca="false">D51*H51</f>
        <v>10123.4</v>
      </c>
      <c r="K51" s="94"/>
      <c r="P51" s="94"/>
      <c r="Q51" s="94"/>
      <c r="R51" s="94"/>
      <c r="S51" s="94"/>
      <c r="T51" s="94"/>
      <c r="U51" s="94"/>
      <c r="V51" s="94"/>
      <c r="W51" s="94"/>
      <c r="X51" s="94"/>
    </row>
    <row r="52" customFormat="false" ht="15" hidden="false" customHeight="false" outlineLevel="0" collapsed="false">
      <c r="A52" s="0" t="s">
        <v>488</v>
      </c>
      <c r="B52" s="0" t="s">
        <v>512</v>
      </c>
      <c r="C52" s="0" t="n">
        <v>2018</v>
      </c>
      <c r="D52" s="0" t="n">
        <v>139</v>
      </c>
      <c r="E52" s="0" t="n">
        <v>394.5</v>
      </c>
      <c r="F52" s="0" t="n">
        <v>6.7</v>
      </c>
      <c r="G52" s="0" t="n">
        <v>8.1</v>
      </c>
      <c r="H52" s="0" t="n">
        <v>101</v>
      </c>
      <c r="I52" s="0" t="n">
        <f aca="false">D52*E52</f>
        <v>54835.5</v>
      </c>
      <c r="J52" s="0" t="n">
        <f aca="false">D52*H52</f>
        <v>14039</v>
      </c>
      <c r="K52" s="94"/>
      <c r="P52" s="94"/>
      <c r="Q52" s="94"/>
      <c r="R52" s="94"/>
      <c r="S52" s="94"/>
      <c r="T52" s="94"/>
      <c r="U52" s="94"/>
      <c r="V52" s="94"/>
      <c r="W52" s="94"/>
      <c r="X52" s="94"/>
    </row>
    <row r="53" customFormat="false" ht="15" hidden="false" customHeight="false" outlineLevel="0" collapsed="false">
      <c r="A53" s="0" t="s">
        <v>488</v>
      </c>
      <c r="B53" s="0" t="s">
        <v>512</v>
      </c>
      <c r="C53" s="0" t="n">
        <v>2019</v>
      </c>
      <c r="D53" s="0" t="n">
        <v>162</v>
      </c>
      <c r="E53" s="0" t="n">
        <v>402.6</v>
      </c>
      <c r="F53" s="0" t="n">
        <v>7.1</v>
      </c>
      <c r="G53" s="0" t="n">
        <v>7.7</v>
      </c>
      <c r="H53" s="0" t="n">
        <v>105.8</v>
      </c>
      <c r="I53" s="0" t="n">
        <f aca="false">D53*E53</f>
        <v>65221.2</v>
      </c>
      <c r="J53" s="0" t="n">
        <f aca="false">D53*H53</f>
        <v>17139.6</v>
      </c>
      <c r="K53" s="94"/>
      <c r="P53" s="94"/>
      <c r="Q53" s="94"/>
      <c r="R53" s="94"/>
      <c r="S53" s="94"/>
      <c r="T53" s="94"/>
      <c r="U53" s="94"/>
      <c r="V53" s="94"/>
      <c r="W53" s="94"/>
      <c r="X53" s="94"/>
    </row>
    <row r="54" customFormat="false" ht="15" hidden="false" customHeight="false" outlineLevel="0" collapsed="false">
      <c r="A54" s="0" t="s">
        <v>488</v>
      </c>
      <c r="B54" s="0" t="s">
        <v>512</v>
      </c>
      <c r="C54" s="0" t="n">
        <v>2020</v>
      </c>
      <c r="D54" s="0" t="n">
        <v>127</v>
      </c>
      <c r="E54" s="0" t="n">
        <v>407.7</v>
      </c>
      <c r="F54" s="0" t="n">
        <v>6.7</v>
      </c>
      <c r="G54" s="0" t="n">
        <v>7.9</v>
      </c>
      <c r="H54" s="0" t="n">
        <v>103.6</v>
      </c>
      <c r="I54" s="0" t="n">
        <f aca="false">D54*E54</f>
        <v>51777.9</v>
      </c>
      <c r="J54" s="0" t="n">
        <f aca="false">D54*H54</f>
        <v>13157.2</v>
      </c>
      <c r="K54" s="94"/>
      <c r="P54" s="94"/>
      <c r="Q54" s="94"/>
      <c r="R54" s="94"/>
      <c r="S54" s="94"/>
      <c r="T54" s="94"/>
      <c r="U54" s="94"/>
      <c r="V54" s="94"/>
      <c r="W54" s="94"/>
      <c r="X54" s="94"/>
    </row>
    <row r="55" customFormat="false" ht="15" hidden="false" customHeight="false" outlineLevel="0" collapsed="false">
      <c r="A55" s="0" t="s">
        <v>488</v>
      </c>
      <c r="B55" s="0" t="s">
        <v>512</v>
      </c>
      <c r="C55" s="0" t="n">
        <v>2021</v>
      </c>
      <c r="D55" s="0" t="n">
        <v>135</v>
      </c>
      <c r="E55" s="0" t="n">
        <v>427.1</v>
      </c>
      <c r="F55" s="0" t="n">
        <v>6.7</v>
      </c>
      <c r="G55" s="0" t="n">
        <v>8.1</v>
      </c>
      <c r="H55" s="0" t="n">
        <v>93.9</v>
      </c>
      <c r="I55" s="0" t="n">
        <f aca="false">D55*E55</f>
        <v>57658.5</v>
      </c>
      <c r="J55" s="0" t="n">
        <f aca="false">D55*H55</f>
        <v>12676.5</v>
      </c>
      <c r="K55" s="94"/>
      <c r="P55" s="94"/>
      <c r="Q55" s="94"/>
      <c r="R55" s="94"/>
      <c r="S55" s="94"/>
      <c r="T55" s="94"/>
      <c r="U55" s="94"/>
      <c r="V55" s="94"/>
      <c r="W55" s="94"/>
      <c r="X55" s="94"/>
    </row>
    <row r="56" customFormat="false" ht="15" hidden="false" customHeight="false" outlineLevel="0" collapsed="false">
      <c r="A56" s="0" t="s">
        <v>488</v>
      </c>
      <c r="B56" s="0" t="s">
        <v>513</v>
      </c>
      <c r="C56" s="0" t="n">
        <v>2016</v>
      </c>
      <c r="D56" s="0" t="n">
        <v>15724</v>
      </c>
      <c r="E56" s="0" t="n">
        <v>345</v>
      </c>
      <c r="F56" s="0" t="n">
        <v>9</v>
      </c>
      <c r="G56" s="0" t="n">
        <v>5.6</v>
      </c>
      <c r="H56" s="0" t="n">
        <v>87.3</v>
      </c>
      <c r="I56" s="0" t="n">
        <f aca="false">D56*E56</f>
        <v>5424780</v>
      </c>
      <c r="J56" s="0" t="n">
        <f aca="false">D56*H56</f>
        <v>1372705.2</v>
      </c>
      <c r="K56" s="94"/>
      <c r="P56" s="94"/>
      <c r="Q56" s="94"/>
      <c r="R56" s="94"/>
      <c r="S56" s="94"/>
      <c r="T56" s="94"/>
      <c r="U56" s="94"/>
      <c r="V56" s="94"/>
      <c r="W56" s="94"/>
      <c r="X56" s="94"/>
    </row>
    <row r="57" customFormat="false" ht="15" hidden="false" customHeight="false" outlineLevel="0" collapsed="false">
      <c r="A57" s="0" t="s">
        <v>488</v>
      </c>
      <c r="B57" s="0" t="s">
        <v>513</v>
      </c>
      <c r="C57" s="0" t="n">
        <v>2017</v>
      </c>
      <c r="D57" s="0" t="n">
        <v>15992</v>
      </c>
      <c r="E57" s="0" t="n">
        <v>345.7</v>
      </c>
      <c r="F57" s="0" t="n">
        <v>8.8</v>
      </c>
      <c r="G57" s="0" t="n">
        <v>5.7</v>
      </c>
      <c r="H57" s="0" t="n">
        <v>87.1</v>
      </c>
      <c r="I57" s="0" t="n">
        <f aca="false">D57*E57</f>
        <v>5528434.4</v>
      </c>
      <c r="J57" s="0" t="n">
        <f aca="false">D57*H57</f>
        <v>1392903.2</v>
      </c>
      <c r="K57" s="94"/>
      <c r="P57" s="94"/>
      <c r="Q57" s="94"/>
      <c r="R57" s="94"/>
      <c r="S57" s="94"/>
      <c r="T57" s="94"/>
      <c r="U57" s="94"/>
      <c r="V57" s="94"/>
      <c r="W57" s="94"/>
      <c r="X57" s="94"/>
    </row>
    <row r="58" customFormat="false" ht="15" hidden="false" customHeight="false" outlineLevel="0" collapsed="false">
      <c r="A58" s="0" t="s">
        <v>488</v>
      </c>
      <c r="B58" s="0" t="s">
        <v>513</v>
      </c>
      <c r="C58" s="0" t="n">
        <v>2018</v>
      </c>
      <c r="D58" s="0" t="n">
        <v>20874</v>
      </c>
      <c r="E58" s="0" t="n">
        <v>339.3</v>
      </c>
      <c r="F58" s="0" t="n">
        <v>8.3</v>
      </c>
      <c r="G58" s="0" t="n">
        <v>5.6</v>
      </c>
      <c r="H58" s="0" t="n">
        <v>86.5</v>
      </c>
      <c r="I58" s="0" t="n">
        <f aca="false">D58*E58</f>
        <v>7082548.2</v>
      </c>
      <c r="J58" s="0" t="n">
        <f aca="false">D58*H58</f>
        <v>1805601</v>
      </c>
      <c r="K58" s="94"/>
      <c r="P58" s="94"/>
      <c r="Q58" s="94"/>
      <c r="R58" s="94"/>
      <c r="S58" s="94"/>
      <c r="T58" s="94"/>
      <c r="U58" s="94"/>
      <c r="V58" s="94"/>
      <c r="W58" s="94"/>
      <c r="X58" s="94"/>
    </row>
    <row r="59" customFormat="false" ht="15" hidden="false" customHeight="false" outlineLevel="0" collapsed="false">
      <c r="A59" s="0" t="s">
        <v>488</v>
      </c>
      <c r="B59" s="0" t="s">
        <v>513</v>
      </c>
      <c r="C59" s="0" t="n">
        <v>2019</v>
      </c>
      <c r="D59" s="0" t="n">
        <v>21397</v>
      </c>
      <c r="E59" s="0" t="n">
        <v>338.8</v>
      </c>
      <c r="F59" s="0" t="n">
        <v>8.2</v>
      </c>
      <c r="G59" s="0" t="n">
        <v>5.5</v>
      </c>
      <c r="H59" s="0" t="n">
        <v>86.2</v>
      </c>
      <c r="I59" s="0" t="n">
        <f aca="false">D59*E59</f>
        <v>7249303.6</v>
      </c>
      <c r="J59" s="0" t="n">
        <f aca="false">D59*H59</f>
        <v>1844421.4</v>
      </c>
      <c r="K59" s="94"/>
      <c r="P59" s="94"/>
      <c r="Q59" s="94"/>
      <c r="R59" s="94"/>
      <c r="S59" s="94"/>
      <c r="T59" s="94"/>
      <c r="U59" s="94"/>
      <c r="V59" s="94"/>
      <c r="W59" s="94"/>
      <c r="X59" s="94"/>
    </row>
    <row r="60" customFormat="false" ht="15" hidden="false" customHeight="false" outlineLevel="0" collapsed="false">
      <c r="A60" s="0" t="s">
        <v>488</v>
      </c>
      <c r="B60" s="0" t="s">
        <v>513</v>
      </c>
      <c r="C60" s="0" t="n">
        <v>2020</v>
      </c>
      <c r="D60" s="0" t="n">
        <v>21847</v>
      </c>
      <c r="E60" s="0" t="n">
        <v>343.8</v>
      </c>
      <c r="F60" s="0" t="n">
        <v>8.2</v>
      </c>
      <c r="G60" s="0" t="n">
        <v>5.6</v>
      </c>
      <c r="H60" s="0" t="n">
        <v>86.3</v>
      </c>
      <c r="I60" s="0" t="n">
        <f aca="false">D60*E60</f>
        <v>7510998.6</v>
      </c>
      <c r="J60" s="0" t="n">
        <f aca="false">D60*H60</f>
        <v>1885396.1</v>
      </c>
      <c r="K60" s="94"/>
      <c r="P60" s="94"/>
      <c r="Q60" s="94"/>
      <c r="R60" s="94"/>
      <c r="S60" s="94"/>
      <c r="T60" s="94"/>
      <c r="U60" s="94"/>
      <c r="V60" s="94"/>
      <c r="W60" s="94"/>
      <c r="X60" s="94"/>
    </row>
    <row r="61" customFormat="false" ht="15" hidden="false" customHeight="false" outlineLevel="0" collapsed="false">
      <c r="A61" s="0" t="s">
        <v>488</v>
      </c>
      <c r="B61" s="0" t="s">
        <v>513</v>
      </c>
      <c r="C61" s="0" t="n">
        <v>2021</v>
      </c>
      <c r="D61" s="0" t="n">
        <v>19983</v>
      </c>
      <c r="E61" s="0" t="n">
        <v>350.4</v>
      </c>
      <c r="F61" s="0" t="n">
        <v>8.3</v>
      </c>
      <c r="G61" s="0" t="n">
        <v>5.8</v>
      </c>
      <c r="H61" s="0" t="n">
        <v>84.9</v>
      </c>
      <c r="I61" s="0" t="n">
        <f aca="false">D61*E61</f>
        <v>7002043.2</v>
      </c>
      <c r="J61" s="0" t="n">
        <f aca="false">D61*H61</f>
        <v>1696556.7</v>
      </c>
      <c r="K61" s="94"/>
      <c r="P61" s="94"/>
      <c r="Q61" s="94"/>
      <c r="R61" s="94"/>
      <c r="S61" s="94"/>
      <c r="T61" s="94"/>
      <c r="U61" s="94"/>
      <c r="V61" s="94"/>
      <c r="W61" s="94"/>
      <c r="X61" s="94"/>
    </row>
    <row r="62" customFormat="false" ht="15" hidden="false" customHeight="false" outlineLevel="0" collapsed="false">
      <c r="A62" s="0" t="s">
        <v>496</v>
      </c>
      <c r="B62" s="0" t="s">
        <v>489</v>
      </c>
      <c r="C62" s="0" t="n">
        <v>2016</v>
      </c>
      <c r="D62" s="0" t="n">
        <v>10952</v>
      </c>
      <c r="E62" s="0" t="n">
        <v>274.4</v>
      </c>
      <c r="F62" s="0" t="n">
        <v>7.2</v>
      </c>
      <c r="G62" s="0" t="n">
        <v>3.9</v>
      </c>
      <c r="H62" s="0" t="n">
        <v>39.8</v>
      </c>
      <c r="I62" s="0" t="n">
        <f aca="false">D62*E62</f>
        <v>3005228.8</v>
      </c>
      <c r="J62" s="0" t="n">
        <f aca="false">D62*H62</f>
        <v>435889.6</v>
      </c>
      <c r="K62" s="94"/>
      <c r="P62" s="94"/>
      <c r="Q62" s="94"/>
      <c r="R62" s="94"/>
      <c r="S62" s="94"/>
      <c r="T62" s="94"/>
      <c r="U62" s="94"/>
      <c r="V62" s="94"/>
      <c r="W62" s="94"/>
      <c r="X62" s="94"/>
    </row>
    <row r="63" customFormat="false" ht="15" hidden="false" customHeight="false" outlineLevel="0" collapsed="false">
      <c r="A63" s="0" t="s">
        <v>496</v>
      </c>
      <c r="B63" s="0" t="s">
        <v>489</v>
      </c>
      <c r="C63" s="0" t="n">
        <v>2017</v>
      </c>
      <c r="D63" s="0" t="n">
        <v>9142</v>
      </c>
      <c r="E63" s="0" t="n">
        <v>282</v>
      </c>
      <c r="F63" s="0" t="n">
        <v>7.5</v>
      </c>
      <c r="G63" s="0" t="n">
        <v>4</v>
      </c>
      <c r="H63" s="0" t="n">
        <v>39.9</v>
      </c>
      <c r="I63" s="0" t="n">
        <f aca="false">D63*E63</f>
        <v>2578044</v>
      </c>
      <c r="J63" s="0" t="n">
        <f aca="false">D63*H63</f>
        <v>364765.8</v>
      </c>
      <c r="K63" s="94"/>
      <c r="P63" s="94"/>
      <c r="Q63" s="94"/>
      <c r="R63" s="94"/>
      <c r="S63" s="94"/>
      <c r="T63" s="94"/>
      <c r="U63" s="94"/>
      <c r="V63" s="94"/>
      <c r="W63" s="94"/>
      <c r="X63" s="94"/>
    </row>
    <row r="64" customFormat="false" ht="15" hidden="false" customHeight="false" outlineLevel="0" collapsed="false">
      <c r="A64" s="0" t="s">
        <v>496</v>
      </c>
      <c r="B64" s="0" t="s">
        <v>489</v>
      </c>
      <c r="C64" s="0" t="n">
        <v>2018</v>
      </c>
      <c r="D64" s="0" t="n">
        <v>8988</v>
      </c>
      <c r="E64" s="0" t="n">
        <v>277.8</v>
      </c>
      <c r="F64" s="0" t="n">
        <v>7.2</v>
      </c>
      <c r="G64" s="0" t="n">
        <v>3.9</v>
      </c>
      <c r="H64" s="0" t="n">
        <v>40.5</v>
      </c>
      <c r="I64" s="0" t="n">
        <f aca="false">D64*E64</f>
        <v>2496866.4</v>
      </c>
      <c r="J64" s="0" t="n">
        <f aca="false">D64*H64</f>
        <v>364014</v>
      </c>
      <c r="K64" s="94"/>
      <c r="P64" s="94"/>
      <c r="Q64" s="94"/>
      <c r="R64" s="94"/>
      <c r="S64" s="94"/>
      <c r="T64" s="94"/>
      <c r="U64" s="94"/>
      <c r="V64" s="94"/>
      <c r="W64" s="94"/>
      <c r="X64" s="94"/>
    </row>
    <row r="65" customFormat="false" ht="15" hidden="false" customHeight="false" outlineLevel="0" collapsed="false">
      <c r="A65" s="0" t="s">
        <v>496</v>
      </c>
      <c r="B65" s="0" t="s">
        <v>489</v>
      </c>
      <c r="C65" s="0" t="n">
        <v>2019</v>
      </c>
      <c r="D65" s="0" t="n">
        <v>8439</v>
      </c>
      <c r="E65" s="0" t="n">
        <v>280.4</v>
      </c>
      <c r="F65" s="0" t="n">
        <v>7.2</v>
      </c>
      <c r="G65" s="0" t="n">
        <v>4</v>
      </c>
      <c r="H65" s="0" t="n">
        <v>42</v>
      </c>
      <c r="I65" s="0" t="n">
        <f aca="false">D65*E65</f>
        <v>2366295.6</v>
      </c>
      <c r="J65" s="0" t="n">
        <f aca="false">D65*H65</f>
        <v>354438</v>
      </c>
      <c r="K65" s="94"/>
      <c r="P65" s="94"/>
      <c r="Q65" s="94"/>
      <c r="R65" s="94"/>
      <c r="S65" s="94"/>
      <c r="T65" s="94"/>
      <c r="U65" s="94"/>
      <c r="V65" s="94"/>
      <c r="W65" s="94"/>
      <c r="X65" s="94"/>
    </row>
    <row r="66" customFormat="false" ht="15" hidden="false" customHeight="false" outlineLevel="0" collapsed="false">
      <c r="A66" s="0" t="s">
        <v>496</v>
      </c>
      <c r="B66" s="0" t="s">
        <v>489</v>
      </c>
      <c r="C66" s="0" t="n">
        <v>2020</v>
      </c>
      <c r="D66" s="0" t="n">
        <v>7515</v>
      </c>
      <c r="E66" s="0" t="n">
        <v>280.8</v>
      </c>
      <c r="F66" s="0" t="n">
        <v>7.1</v>
      </c>
      <c r="G66" s="0" t="n">
        <v>3.9</v>
      </c>
      <c r="H66" s="0" t="n">
        <v>44.9</v>
      </c>
      <c r="I66" s="0" t="n">
        <f aca="false">D66*E66</f>
        <v>2110212</v>
      </c>
      <c r="J66" s="0" t="n">
        <f aca="false">D66*H66</f>
        <v>337423.5</v>
      </c>
      <c r="K66" s="94"/>
      <c r="P66" s="94"/>
      <c r="Q66" s="94"/>
      <c r="R66" s="94"/>
      <c r="S66" s="94"/>
      <c r="T66" s="94"/>
      <c r="U66" s="94"/>
      <c r="V66" s="94"/>
      <c r="W66" s="94"/>
      <c r="X66" s="94"/>
    </row>
    <row r="67" customFormat="false" ht="15" hidden="false" customHeight="false" outlineLevel="0" collapsed="false">
      <c r="A67" s="0" t="s">
        <v>496</v>
      </c>
      <c r="B67" s="0" t="s">
        <v>489</v>
      </c>
      <c r="C67" s="0" t="n">
        <v>2021</v>
      </c>
      <c r="D67" s="0" t="n">
        <v>6789</v>
      </c>
      <c r="E67" s="0" t="n">
        <v>283</v>
      </c>
      <c r="F67" s="0" t="n">
        <v>7</v>
      </c>
      <c r="G67" s="0" t="n">
        <v>4</v>
      </c>
      <c r="H67" s="0" t="n">
        <v>47.5</v>
      </c>
      <c r="I67" s="0" t="n">
        <f aca="false">D67*E67</f>
        <v>1921287</v>
      </c>
      <c r="J67" s="0" t="n">
        <f aca="false">D67*H67</f>
        <v>322477.5</v>
      </c>
      <c r="K67" s="94"/>
      <c r="P67" s="94"/>
      <c r="Q67" s="94"/>
      <c r="R67" s="94"/>
      <c r="S67" s="94"/>
      <c r="T67" s="94"/>
      <c r="U67" s="94"/>
      <c r="V67" s="94"/>
      <c r="W67" s="94"/>
      <c r="X67" s="94"/>
    </row>
    <row r="68" customFormat="false" ht="15" hidden="false" customHeight="false" outlineLevel="0" collapsed="false">
      <c r="A68" s="0" t="s">
        <v>496</v>
      </c>
      <c r="B68" s="0" t="s">
        <v>497</v>
      </c>
      <c r="C68" s="0" t="n">
        <v>2016</v>
      </c>
      <c r="D68" s="0" t="n">
        <v>18177</v>
      </c>
      <c r="E68" s="0" t="n">
        <v>284.2</v>
      </c>
      <c r="F68" s="0" t="n">
        <v>6.7</v>
      </c>
      <c r="G68" s="0" t="n">
        <v>3.3</v>
      </c>
      <c r="H68" s="0" t="n">
        <v>40.2</v>
      </c>
      <c r="I68" s="0" t="n">
        <f aca="false">D68*E68</f>
        <v>5165903.4</v>
      </c>
      <c r="J68" s="0" t="n">
        <f aca="false">D68*H68</f>
        <v>730715.4</v>
      </c>
      <c r="K68" s="94"/>
      <c r="P68" s="94"/>
      <c r="Q68" s="94"/>
      <c r="R68" s="94"/>
      <c r="S68" s="94"/>
      <c r="T68" s="94"/>
      <c r="U68" s="94"/>
      <c r="V68" s="94"/>
      <c r="W68" s="94"/>
      <c r="X68" s="94"/>
    </row>
    <row r="69" customFormat="false" ht="15" hidden="false" customHeight="false" outlineLevel="0" collapsed="false">
      <c r="A69" s="0" t="s">
        <v>496</v>
      </c>
      <c r="B69" s="0" t="s">
        <v>497</v>
      </c>
      <c r="C69" s="0" t="n">
        <v>2017</v>
      </c>
      <c r="D69" s="0" t="n">
        <v>15414</v>
      </c>
      <c r="E69" s="0" t="n">
        <v>291.8</v>
      </c>
      <c r="F69" s="0" t="n">
        <v>7</v>
      </c>
      <c r="G69" s="0" t="n">
        <v>3.5</v>
      </c>
      <c r="H69" s="0" t="n">
        <v>40.6</v>
      </c>
      <c r="I69" s="0" t="n">
        <f aca="false">D69*E69</f>
        <v>4497805.2</v>
      </c>
      <c r="J69" s="0" t="n">
        <f aca="false">D69*H69</f>
        <v>625808.4</v>
      </c>
      <c r="K69" s="94"/>
      <c r="P69" s="94"/>
      <c r="Q69" s="94"/>
      <c r="R69" s="94"/>
      <c r="S69" s="94"/>
      <c r="T69" s="94"/>
      <c r="U69" s="94"/>
      <c r="V69" s="94"/>
      <c r="W69" s="94"/>
      <c r="X69" s="94"/>
    </row>
    <row r="70" customFormat="false" ht="15" hidden="false" customHeight="false" outlineLevel="0" collapsed="false">
      <c r="A70" s="0" t="s">
        <v>496</v>
      </c>
      <c r="B70" s="0" t="s">
        <v>497</v>
      </c>
      <c r="C70" s="0" t="n">
        <v>2018</v>
      </c>
      <c r="D70" s="0" t="n">
        <v>15987</v>
      </c>
      <c r="E70" s="0" t="n">
        <v>289.9</v>
      </c>
      <c r="F70" s="0" t="n">
        <v>6.8</v>
      </c>
      <c r="G70" s="0" t="n">
        <v>3.4</v>
      </c>
      <c r="H70" s="0" t="n">
        <v>41.6</v>
      </c>
      <c r="I70" s="0" t="n">
        <f aca="false">D70*E70</f>
        <v>4634631.3</v>
      </c>
      <c r="J70" s="0" t="n">
        <f aca="false">D70*H70</f>
        <v>665059.2</v>
      </c>
      <c r="K70" s="94"/>
      <c r="P70" s="94"/>
      <c r="Q70" s="94"/>
      <c r="R70" s="94"/>
      <c r="S70" s="94"/>
      <c r="T70" s="94"/>
      <c r="U70" s="94"/>
      <c r="V70" s="94"/>
      <c r="W70" s="94"/>
      <c r="X70" s="94"/>
    </row>
    <row r="71" customFormat="false" ht="15" hidden="false" customHeight="false" outlineLevel="0" collapsed="false">
      <c r="A71" s="0" t="s">
        <v>496</v>
      </c>
      <c r="B71" s="0" t="s">
        <v>497</v>
      </c>
      <c r="C71" s="0" t="n">
        <v>2019</v>
      </c>
      <c r="D71" s="0" t="n">
        <v>15178</v>
      </c>
      <c r="E71" s="0" t="n">
        <v>292.3</v>
      </c>
      <c r="F71" s="0" t="n">
        <v>6.8</v>
      </c>
      <c r="G71" s="0" t="n">
        <v>3.4</v>
      </c>
      <c r="H71" s="0" t="n">
        <v>43.4</v>
      </c>
      <c r="I71" s="0" t="n">
        <f aca="false">D71*E71</f>
        <v>4436529.4</v>
      </c>
      <c r="J71" s="0" t="n">
        <f aca="false">D71*H71</f>
        <v>658725.2</v>
      </c>
      <c r="K71" s="94"/>
      <c r="P71" s="94"/>
      <c r="Q71" s="94"/>
      <c r="R71" s="94"/>
      <c r="S71" s="94"/>
      <c r="T71" s="94"/>
      <c r="U71" s="94"/>
      <c r="V71" s="94"/>
      <c r="W71" s="94"/>
      <c r="X71" s="94"/>
    </row>
    <row r="72" customFormat="false" ht="15" hidden="false" customHeight="false" outlineLevel="0" collapsed="false">
      <c r="A72" s="0" t="s">
        <v>496</v>
      </c>
      <c r="B72" s="0" t="s">
        <v>497</v>
      </c>
      <c r="C72" s="0" t="n">
        <v>2020</v>
      </c>
      <c r="D72" s="0" t="n">
        <v>14143</v>
      </c>
      <c r="E72" s="0" t="n">
        <v>293.8</v>
      </c>
      <c r="F72" s="0" t="n">
        <v>6.8</v>
      </c>
      <c r="G72" s="0" t="n">
        <v>3.4</v>
      </c>
      <c r="H72" s="0" t="n">
        <v>45.8</v>
      </c>
      <c r="I72" s="0" t="n">
        <f aca="false">D72*E72</f>
        <v>4155213.4</v>
      </c>
      <c r="J72" s="0" t="n">
        <f aca="false">D72*H72</f>
        <v>647749.4</v>
      </c>
      <c r="K72" s="94"/>
      <c r="P72" s="94"/>
      <c r="Q72" s="94"/>
      <c r="R72" s="94"/>
      <c r="S72" s="94"/>
      <c r="T72" s="94"/>
      <c r="U72" s="94"/>
      <c r="V72" s="94"/>
      <c r="W72" s="94"/>
      <c r="X72" s="94"/>
    </row>
    <row r="73" customFormat="false" ht="15" hidden="false" customHeight="false" outlineLevel="0" collapsed="false">
      <c r="A73" s="0" t="s">
        <v>496</v>
      </c>
      <c r="B73" s="0" t="s">
        <v>497</v>
      </c>
      <c r="C73" s="0" t="n">
        <v>2021</v>
      </c>
      <c r="D73" s="0" t="n">
        <v>13017</v>
      </c>
      <c r="E73" s="0" t="n">
        <v>296</v>
      </c>
      <c r="F73" s="0" t="n">
        <v>6.7</v>
      </c>
      <c r="G73" s="0" t="n">
        <v>3.4</v>
      </c>
      <c r="H73" s="0" t="n">
        <v>50.2</v>
      </c>
      <c r="I73" s="0" t="n">
        <f aca="false">D73*E73</f>
        <v>3853032</v>
      </c>
      <c r="J73" s="0" t="n">
        <f aca="false">D73*H73</f>
        <v>653453.4</v>
      </c>
      <c r="K73" s="94"/>
      <c r="P73" s="94"/>
      <c r="Q73" s="94"/>
      <c r="R73" s="94"/>
      <c r="S73" s="94"/>
      <c r="T73" s="94"/>
      <c r="U73" s="94"/>
      <c r="V73" s="94"/>
      <c r="W73" s="94"/>
      <c r="X73" s="94"/>
    </row>
    <row r="74" customFormat="false" ht="15" hidden="false" customHeight="false" outlineLevel="0" collapsed="false">
      <c r="A74" s="0" t="s">
        <v>496</v>
      </c>
      <c r="B74" s="0" t="s">
        <v>502</v>
      </c>
      <c r="C74" s="0" t="n">
        <v>2016</v>
      </c>
      <c r="D74" s="0" t="n">
        <v>897</v>
      </c>
      <c r="E74" s="0" t="n">
        <v>319.2</v>
      </c>
      <c r="F74" s="0" t="n">
        <v>10.1</v>
      </c>
      <c r="G74" s="0" t="n">
        <v>6</v>
      </c>
      <c r="H74" s="0" t="n">
        <v>38.5</v>
      </c>
      <c r="I74" s="0" t="n">
        <f aca="false">D74*E74</f>
        <v>286322.4</v>
      </c>
      <c r="J74" s="0" t="n">
        <f aca="false">D74*H74</f>
        <v>34534.5</v>
      </c>
      <c r="K74" s="94"/>
      <c r="P74" s="94"/>
      <c r="Q74" s="94"/>
      <c r="R74" s="94"/>
      <c r="S74" s="94"/>
      <c r="T74" s="94"/>
      <c r="U74" s="94"/>
      <c r="V74" s="94"/>
      <c r="W74" s="94"/>
      <c r="X74" s="94"/>
    </row>
    <row r="75" customFormat="false" ht="15" hidden="false" customHeight="false" outlineLevel="0" collapsed="false">
      <c r="A75" s="0" t="s">
        <v>496</v>
      </c>
      <c r="B75" s="0" t="s">
        <v>502</v>
      </c>
      <c r="C75" s="0" t="n">
        <v>2017</v>
      </c>
      <c r="D75" s="0" t="n">
        <v>936</v>
      </c>
      <c r="E75" s="0" t="n">
        <v>317</v>
      </c>
      <c r="F75" s="0" t="n">
        <v>9.8</v>
      </c>
      <c r="G75" s="0" t="n">
        <v>6</v>
      </c>
      <c r="H75" s="0" t="n">
        <v>38.5</v>
      </c>
      <c r="I75" s="0" t="n">
        <f aca="false">D75*E75</f>
        <v>296712</v>
      </c>
      <c r="J75" s="0" t="n">
        <f aca="false">D75*H75</f>
        <v>36036</v>
      </c>
      <c r="K75" s="94"/>
      <c r="P75" s="94"/>
      <c r="Q75" s="94"/>
      <c r="R75" s="94"/>
      <c r="S75" s="94"/>
      <c r="T75" s="94"/>
      <c r="U75" s="94"/>
      <c r="V75" s="94"/>
      <c r="W75" s="94"/>
      <c r="X75" s="94"/>
    </row>
    <row r="76" customFormat="false" ht="15" hidden="false" customHeight="false" outlineLevel="0" collapsed="false">
      <c r="A76" s="0" t="s">
        <v>496</v>
      </c>
      <c r="B76" s="0" t="s">
        <v>502</v>
      </c>
      <c r="C76" s="0" t="n">
        <v>2018</v>
      </c>
      <c r="D76" s="0" t="n">
        <v>1167</v>
      </c>
      <c r="E76" s="0" t="n">
        <v>307.7</v>
      </c>
      <c r="F76" s="0" t="n">
        <v>9.1</v>
      </c>
      <c r="G76" s="0" t="n">
        <v>5.8</v>
      </c>
      <c r="H76" s="0" t="n">
        <v>38.1</v>
      </c>
      <c r="I76" s="0" t="n">
        <f aca="false">D76*E76</f>
        <v>359085.9</v>
      </c>
      <c r="J76" s="0" t="n">
        <f aca="false">D76*H76</f>
        <v>44462.7</v>
      </c>
      <c r="K76" s="94"/>
      <c r="P76" s="94"/>
      <c r="Q76" s="94"/>
      <c r="R76" s="94"/>
      <c r="S76" s="94"/>
      <c r="T76" s="94"/>
      <c r="U76" s="94"/>
      <c r="V76" s="94"/>
      <c r="W76" s="94"/>
      <c r="X76" s="94"/>
    </row>
    <row r="77" customFormat="false" ht="15" hidden="false" customHeight="false" outlineLevel="0" collapsed="false">
      <c r="A77" s="0" t="s">
        <v>496</v>
      </c>
      <c r="B77" s="0" t="s">
        <v>502</v>
      </c>
      <c r="C77" s="0" t="n">
        <v>2019</v>
      </c>
      <c r="D77" s="0" t="n">
        <v>1454</v>
      </c>
      <c r="E77" s="0" t="n">
        <v>310.5</v>
      </c>
      <c r="F77" s="0" t="n">
        <v>9.2</v>
      </c>
      <c r="G77" s="0" t="n">
        <v>5.9</v>
      </c>
      <c r="H77" s="0" t="n">
        <v>37.7</v>
      </c>
      <c r="I77" s="0" t="n">
        <f aca="false">D77*E77</f>
        <v>451467</v>
      </c>
      <c r="J77" s="0" t="n">
        <f aca="false">D77*H77</f>
        <v>54815.8</v>
      </c>
      <c r="K77" s="94"/>
      <c r="P77" s="94"/>
      <c r="Q77" s="94"/>
      <c r="R77" s="94"/>
      <c r="S77" s="94"/>
      <c r="T77" s="94"/>
      <c r="U77" s="94"/>
      <c r="V77" s="94"/>
      <c r="W77" s="94"/>
      <c r="X77" s="94"/>
    </row>
    <row r="78" customFormat="false" ht="15" hidden="false" customHeight="false" outlineLevel="0" collapsed="false">
      <c r="A78" s="0" t="s">
        <v>496</v>
      </c>
      <c r="B78" s="0" t="s">
        <v>502</v>
      </c>
      <c r="C78" s="0" t="n">
        <v>2020</v>
      </c>
      <c r="D78" s="0" t="n">
        <v>1537</v>
      </c>
      <c r="E78" s="0" t="n">
        <v>310.7</v>
      </c>
      <c r="F78" s="0" t="n">
        <v>9</v>
      </c>
      <c r="G78" s="0" t="n">
        <v>5.9</v>
      </c>
      <c r="H78" s="0" t="n">
        <v>38.1</v>
      </c>
      <c r="I78" s="0" t="n">
        <f aca="false">D78*E78</f>
        <v>477545.9</v>
      </c>
      <c r="J78" s="0" t="n">
        <f aca="false">D78*H78</f>
        <v>58559.7</v>
      </c>
      <c r="K78" s="94"/>
      <c r="P78" s="94"/>
      <c r="Q78" s="94"/>
      <c r="R78" s="94"/>
      <c r="S78" s="94"/>
      <c r="T78" s="94"/>
      <c r="U78" s="94"/>
      <c r="V78" s="94"/>
      <c r="W78" s="94"/>
      <c r="X78" s="94"/>
    </row>
    <row r="79" customFormat="false" ht="15" hidden="false" customHeight="false" outlineLevel="0" collapsed="false">
      <c r="A79" s="0" t="s">
        <v>496</v>
      </c>
      <c r="B79" s="0" t="s">
        <v>502</v>
      </c>
      <c r="C79" s="0" t="n">
        <v>2021</v>
      </c>
      <c r="D79" s="0" t="n">
        <v>1543</v>
      </c>
      <c r="E79" s="0" t="n">
        <v>322</v>
      </c>
      <c r="F79" s="0" t="n">
        <v>9.1</v>
      </c>
      <c r="G79" s="0" t="n">
        <v>6.1</v>
      </c>
      <c r="H79" s="0" t="n">
        <v>39.6</v>
      </c>
      <c r="I79" s="0" t="n">
        <f aca="false">D79*E79</f>
        <v>496846</v>
      </c>
      <c r="J79" s="0" t="n">
        <f aca="false">D79*H79</f>
        <v>61102.8</v>
      </c>
      <c r="K79" s="94"/>
      <c r="P79" s="94"/>
      <c r="Q79" s="94"/>
      <c r="R79" s="94"/>
      <c r="S79" s="94"/>
      <c r="T79" s="94"/>
      <c r="U79" s="94"/>
      <c r="V79" s="94"/>
      <c r="W79" s="94"/>
      <c r="X79" s="94"/>
    </row>
    <row r="80" customFormat="false" ht="15" hidden="false" customHeight="false" outlineLevel="0" collapsed="false">
      <c r="A80" s="0" t="s">
        <v>496</v>
      </c>
      <c r="B80" s="0" t="s">
        <v>505</v>
      </c>
      <c r="C80" s="0" t="n">
        <v>2016</v>
      </c>
      <c r="D80" s="0" t="n">
        <v>506</v>
      </c>
      <c r="E80" s="0" t="n">
        <v>346</v>
      </c>
      <c r="F80" s="0" t="n">
        <v>8.2</v>
      </c>
      <c r="G80" s="0" t="n">
        <v>7</v>
      </c>
      <c r="H80" s="0" t="n">
        <v>38.2</v>
      </c>
      <c r="I80" s="0" t="n">
        <f aca="false">D80*E80</f>
        <v>175076</v>
      </c>
      <c r="J80" s="0" t="n">
        <f aca="false">D80*H80</f>
        <v>19329.2</v>
      </c>
      <c r="K80" s="94"/>
      <c r="P80" s="94"/>
      <c r="Q80" s="94"/>
      <c r="R80" s="94"/>
      <c r="S80" s="94"/>
      <c r="T80" s="94"/>
      <c r="U80" s="94"/>
      <c r="V80" s="94"/>
      <c r="W80" s="94"/>
      <c r="X80" s="94"/>
    </row>
    <row r="81" customFormat="false" ht="15" hidden="false" customHeight="false" outlineLevel="0" collapsed="false">
      <c r="A81" s="0" t="s">
        <v>496</v>
      </c>
      <c r="B81" s="0" t="s">
        <v>505</v>
      </c>
      <c r="C81" s="0" t="n">
        <v>2017</v>
      </c>
      <c r="D81" s="0" t="n">
        <v>585</v>
      </c>
      <c r="E81" s="0" t="n">
        <v>345.8</v>
      </c>
      <c r="F81" s="0" t="n">
        <v>8</v>
      </c>
      <c r="G81" s="0" t="n">
        <v>6.9</v>
      </c>
      <c r="H81" s="0" t="n">
        <v>37.9</v>
      </c>
      <c r="I81" s="0" t="n">
        <f aca="false">D81*E81</f>
        <v>202293</v>
      </c>
      <c r="J81" s="0" t="n">
        <f aca="false">D81*H81</f>
        <v>22171.5</v>
      </c>
      <c r="K81" s="94"/>
      <c r="P81" s="94"/>
      <c r="Q81" s="94"/>
      <c r="R81" s="94"/>
      <c r="S81" s="94"/>
      <c r="T81" s="94"/>
      <c r="U81" s="94"/>
      <c r="V81" s="94"/>
      <c r="W81" s="94"/>
      <c r="X81" s="94"/>
    </row>
    <row r="82" customFormat="false" ht="15" hidden="false" customHeight="false" outlineLevel="0" collapsed="false">
      <c r="A82" s="0" t="s">
        <v>496</v>
      </c>
      <c r="B82" s="0" t="s">
        <v>505</v>
      </c>
      <c r="C82" s="0" t="n">
        <v>2018</v>
      </c>
      <c r="D82" s="0" t="n">
        <v>657</v>
      </c>
      <c r="E82" s="0" t="n">
        <v>334.7</v>
      </c>
      <c r="F82" s="0" t="n">
        <v>7.2</v>
      </c>
      <c r="G82" s="0" t="n">
        <v>6.6</v>
      </c>
      <c r="H82" s="0" t="n">
        <v>38</v>
      </c>
      <c r="I82" s="0" t="n">
        <f aca="false">D82*E82</f>
        <v>219897.9</v>
      </c>
      <c r="J82" s="0" t="n">
        <f aca="false">D82*H82</f>
        <v>24966</v>
      </c>
      <c r="K82" s="94"/>
      <c r="P82" s="94"/>
      <c r="Q82" s="94"/>
      <c r="R82" s="94"/>
      <c r="S82" s="94"/>
      <c r="T82" s="94"/>
      <c r="U82" s="94"/>
      <c r="V82" s="94"/>
      <c r="W82" s="94"/>
      <c r="X82" s="94"/>
    </row>
    <row r="83" customFormat="false" ht="15" hidden="false" customHeight="false" outlineLevel="0" collapsed="false">
      <c r="A83" s="0" t="s">
        <v>496</v>
      </c>
      <c r="B83" s="0" t="s">
        <v>505</v>
      </c>
      <c r="C83" s="0" t="n">
        <v>2019</v>
      </c>
      <c r="D83" s="0" t="n">
        <v>758</v>
      </c>
      <c r="E83" s="0" t="n">
        <v>326.2</v>
      </c>
      <c r="F83" s="0" t="n">
        <v>7</v>
      </c>
      <c r="G83" s="0" t="n">
        <v>6.5</v>
      </c>
      <c r="H83" s="0" t="n">
        <v>36.7</v>
      </c>
      <c r="I83" s="0" t="n">
        <f aca="false">D83*E83</f>
        <v>247259.6</v>
      </c>
      <c r="J83" s="0" t="n">
        <f aca="false">D83*H83</f>
        <v>27818.6</v>
      </c>
      <c r="K83" s="94"/>
      <c r="P83" s="94"/>
      <c r="Q83" s="94"/>
      <c r="R83" s="94"/>
      <c r="S83" s="94"/>
      <c r="T83" s="94"/>
      <c r="U83" s="94"/>
      <c r="V83" s="94"/>
      <c r="W83" s="94"/>
      <c r="X83" s="94"/>
    </row>
    <row r="84" customFormat="false" ht="15" hidden="false" customHeight="false" outlineLevel="0" collapsed="false">
      <c r="A84" s="0" t="s">
        <v>496</v>
      </c>
      <c r="B84" s="0" t="s">
        <v>505</v>
      </c>
      <c r="C84" s="0" t="n">
        <v>2020</v>
      </c>
      <c r="D84" s="0" t="n">
        <v>744</v>
      </c>
      <c r="E84" s="0" t="n">
        <v>335.2</v>
      </c>
      <c r="F84" s="0" t="n">
        <v>7.3</v>
      </c>
      <c r="G84" s="0" t="n">
        <v>6.8</v>
      </c>
      <c r="H84" s="0" t="n">
        <v>37.9</v>
      </c>
      <c r="I84" s="0" t="n">
        <f aca="false">D84*E84</f>
        <v>249388.8</v>
      </c>
      <c r="J84" s="0" t="n">
        <f aca="false">D84*H84</f>
        <v>28197.6</v>
      </c>
      <c r="K84" s="94"/>
      <c r="P84" s="94"/>
      <c r="Q84" s="94"/>
      <c r="R84" s="94"/>
      <c r="S84" s="94"/>
      <c r="T84" s="94"/>
      <c r="U84" s="94"/>
      <c r="V84" s="94"/>
      <c r="W84" s="94"/>
      <c r="X84" s="94"/>
    </row>
    <row r="85" customFormat="false" ht="15" hidden="false" customHeight="false" outlineLevel="0" collapsed="false">
      <c r="A85" s="0" t="s">
        <v>496</v>
      </c>
      <c r="B85" s="0" t="s">
        <v>505</v>
      </c>
      <c r="C85" s="0" t="n">
        <v>2021</v>
      </c>
      <c r="D85" s="0" t="n">
        <v>653</v>
      </c>
      <c r="E85" s="0" t="n">
        <v>346</v>
      </c>
      <c r="F85" s="0" t="n">
        <v>7.5</v>
      </c>
      <c r="G85" s="0" t="n">
        <v>7.1</v>
      </c>
      <c r="H85" s="0" t="n">
        <v>41.6</v>
      </c>
      <c r="I85" s="0" t="n">
        <f aca="false">D85*E85</f>
        <v>225938</v>
      </c>
      <c r="J85" s="0" t="n">
        <f aca="false">D85*H85</f>
        <v>27164.8</v>
      </c>
      <c r="K85" s="94"/>
      <c r="P85" s="94"/>
      <c r="Q85" s="94"/>
      <c r="R85" s="94"/>
      <c r="S85" s="94"/>
      <c r="T85" s="94"/>
      <c r="U85" s="94"/>
      <c r="V85" s="94"/>
      <c r="W85" s="94"/>
      <c r="X85" s="94"/>
    </row>
    <row r="86" customFormat="false" ht="15" hidden="false" customHeight="false" outlineLevel="0" collapsed="false">
      <c r="A86" s="0" t="s">
        <v>496</v>
      </c>
      <c r="B86" s="0" t="s">
        <v>506</v>
      </c>
      <c r="C86" s="0" t="n">
        <v>2016</v>
      </c>
      <c r="D86" s="0" t="n">
        <v>258</v>
      </c>
      <c r="E86" s="0" t="n">
        <v>311.2</v>
      </c>
      <c r="F86" s="0" t="n">
        <v>9.5</v>
      </c>
      <c r="G86" s="0" t="n">
        <v>6</v>
      </c>
      <c r="H86" s="0" t="n">
        <v>38</v>
      </c>
      <c r="I86" s="0" t="n">
        <f aca="false">D86*E86</f>
        <v>80289.6</v>
      </c>
      <c r="J86" s="0" t="n">
        <f aca="false">D86*H86</f>
        <v>9804</v>
      </c>
      <c r="K86" s="94"/>
      <c r="P86" s="94"/>
      <c r="Q86" s="94"/>
      <c r="R86" s="94"/>
      <c r="S86" s="94"/>
      <c r="T86" s="94"/>
      <c r="U86" s="94"/>
      <c r="V86" s="94"/>
      <c r="W86" s="94"/>
      <c r="X86" s="94"/>
    </row>
    <row r="87" customFormat="false" ht="15" hidden="false" customHeight="false" outlineLevel="0" collapsed="false">
      <c r="A87" s="0" t="s">
        <v>496</v>
      </c>
      <c r="B87" s="0" t="s">
        <v>506</v>
      </c>
      <c r="C87" s="0" t="n">
        <v>2017</v>
      </c>
      <c r="D87" s="0" t="n">
        <v>216</v>
      </c>
      <c r="E87" s="0" t="n">
        <v>318.5</v>
      </c>
      <c r="F87" s="0" t="n">
        <v>9.8</v>
      </c>
      <c r="G87" s="0" t="n">
        <v>6</v>
      </c>
      <c r="H87" s="0" t="n">
        <v>37.9</v>
      </c>
      <c r="I87" s="0" t="n">
        <f aca="false">D87*E87</f>
        <v>68796</v>
      </c>
      <c r="J87" s="0" t="n">
        <f aca="false">D87*H87</f>
        <v>8186.4</v>
      </c>
      <c r="K87" s="94"/>
      <c r="P87" s="94"/>
      <c r="Q87" s="94"/>
      <c r="R87" s="94"/>
      <c r="S87" s="94"/>
      <c r="T87" s="94"/>
      <c r="U87" s="94"/>
      <c r="V87" s="94"/>
      <c r="W87" s="94"/>
      <c r="X87" s="94"/>
    </row>
    <row r="88" customFormat="false" ht="15" hidden="false" customHeight="false" outlineLevel="0" collapsed="false">
      <c r="A88" s="0" t="s">
        <v>496</v>
      </c>
      <c r="B88" s="0" t="s">
        <v>506</v>
      </c>
      <c r="C88" s="0" t="n">
        <v>2018</v>
      </c>
      <c r="D88" s="0" t="n">
        <v>318</v>
      </c>
      <c r="E88" s="0" t="n">
        <v>303.3</v>
      </c>
      <c r="F88" s="0" t="n">
        <v>9.1</v>
      </c>
      <c r="G88" s="0" t="n">
        <v>5.9</v>
      </c>
      <c r="H88" s="0" t="n">
        <v>36.8</v>
      </c>
      <c r="I88" s="0" t="n">
        <f aca="false">D88*E88</f>
        <v>96449.4</v>
      </c>
      <c r="J88" s="0" t="n">
        <f aca="false">D88*H88</f>
        <v>11702.4</v>
      </c>
      <c r="K88" s="94"/>
      <c r="P88" s="94"/>
      <c r="Q88" s="94"/>
      <c r="R88" s="94"/>
      <c r="S88" s="94"/>
      <c r="T88" s="94"/>
      <c r="U88" s="94"/>
      <c r="V88" s="94"/>
      <c r="W88" s="94"/>
      <c r="X88" s="94"/>
    </row>
    <row r="89" customFormat="false" ht="15" hidden="false" customHeight="false" outlineLevel="0" collapsed="false">
      <c r="A89" s="0" t="s">
        <v>496</v>
      </c>
      <c r="B89" s="0" t="s">
        <v>506</v>
      </c>
      <c r="C89" s="0" t="n">
        <v>2019</v>
      </c>
      <c r="D89" s="0" t="n">
        <v>403</v>
      </c>
      <c r="E89" s="0" t="n">
        <v>304.7</v>
      </c>
      <c r="F89" s="0" t="n">
        <v>9</v>
      </c>
      <c r="G89" s="0" t="n">
        <v>5.8</v>
      </c>
      <c r="H89" s="0" t="n">
        <v>38</v>
      </c>
      <c r="I89" s="0" t="n">
        <f aca="false">D89*E89</f>
        <v>122794.1</v>
      </c>
      <c r="J89" s="0" t="n">
        <f aca="false">D89*H89</f>
        <v>15314</v>
      </c>
      <c r="K89" s="94"/>
      <c r="P89" s="94"/>
      <c r="Q89" s="94"/>
      <c r="R89" s="94"/>
      <c r="S89" s="94"/>
      <c r="T89" s="94"/>
      <c r="U89" s="94"/>
      <c r="V89" s="94"/>
      <c r="W89" s="94"/>
      <c r="X89" s="94"/>
    </row>
    <row r="90" customFormat="false" ht="15" hidden="false" customHeight="false" outlineLevel="0" collapsed="false">
      <c r="A90" s="0" t="s">
        <v>496</v>
      </c>
      <c r="B90" s="0" t="s">
        <v>506</v>
      </c>
      <c r="C90" s="0" t="n">
        <v>2020</v>
      </c>
      <c r="D90" s="0" t="n">
        <v>524</v>
      </c>
      <c r="E90" s="0" t="n">
        <v>319.8</v>
      </c>
      <c r="F90" s="0" t="n">
        <v>9.2</v>
      </c>
      <c r="G90" s="0" t="n">
        <v>6.2</v>
      </c>
      <c r="H90" s="0" t="n">
        <v>36</v>
      </c>
      <c r="I90" s="0" t="n">
        <f aca="false">D90*E90</f>
        <v>167575.2</v>
      </c>
      <c r="J90" s="0" t="n">
        <f aca="false">D90*H90</f>
        <v>18864</v>
      </c>
    </row>
    <row r="91" customFormat="false" ht="15" hidden="false" customHeight="false" outlineLevel="0" collapsed="false">
      <c r="A91" s="0" t="s">
        <v>496</v>
      </c>
      <c r="B91" s="0" t="s">
        <v>506</v>
      </c>
      <c r="C91" s="0" t="n">
        <v>2021</v>
      </c>
      <c r="D91" s="0" t="n">
        <v>469</v>
      </c>
      <c r="E91" s="0" t="n">
        <v>316</v>
      </c>
      <c r="F91" s="0" t="n">
        <v>8.8</v>
      </c>
      <c r="G91" s="0" t="n">
        <v>6.1</v>
      </c>
      <c r="H91" s="0" t="n">
        <v>36.2</v>
      </c>
      <c r="I91" s="0" t="n">
        <f aca="false">D91*E91</f>
        <v>148204</v>
      </c>
      <c r="J91" s="0" t="n">
        <f aca="false">D91*H91</f>
        <v>16977.8</v>
      </c>
    </row>
    <row r="92" customFormat="false" ht="15" hidden="false" customHeight="false" outlineLevel="0" collapsed="false">
      <c r="A92" s="0" t="s">
        <v>496</v>
      </c>
      <c r="B92" s="0" t="s">
        <v>508</v>
      </c>
      <c r="C92" s="0" t="n">
        <v>2016</v>
      </c>
      <c r="D92" s="0" t="n">
        <v>133</v>
      </c>
      <c r="E92" s="0" t="n">
        <v>350</v>
      </c>
      <c r="F92" s="0" t="n">
        <v>8.5</v>
      </c>
      <c r="G92" s="0" t="n">
        <v>8</v>
      </c>
      <c r="H92" s="0" t="n">
        <v>37.2</v>
      </c>
      <c r="I92" s="0" t="n">
        <f aca="false">D92*E92</f>
        <v>46550</v>
      </c>
      <c r="J92" s="0" t="n">
        <f aca="false">D92*H92</f>
        <v>4947.6</v>
      </c>
    </row>
    <row r="93" customFormat="false" ht="15" hidden="false" customHeight="false" outlineLevel="0" collapsed="false">
      <c r="A93" s="0" t="s">
        <v>496</v>
      </c>
      <c r="B93" s="0" t="s">
        <v>508</v>
      </c>
      <c r="C93" s="0" t="n">
        <v>2017</v>
      </c>
      <c r="D93" s="0" t="n">
        <v>115</v>
      </c>
      <c r="E93" s="0" t="n">
        <v>332.6</v>
      </c>
      <c r="F93" s="0" t="n">
        <v>8.1</v>
      </c>
      <c r="G93" s="0" t="n">
        <v>7.3</v>
      </c>
      <c r="H93" s="0" t="n">
        <v>36.2</v>
      </c>
      <c r="I93" s="0" t="n">
        <f aca="false">D93*E93</f>
        <v>38249</v>
      </c>
      <c r="J93" s="0" t="n">
        <f aca="false">D93*H93</f>
        <v>4163</v>
      </c>
    </row>
    <row r="94" customFormat="false" ht="15" hidden="false" customHeight="false" outlineLevel="0" collapsed="false">
      <c r="A94" s="0" t="s">
        <v>496</v>
      </c>
      <c r="B94" s="0" t="s">
        <v>508</v>
      </c>
      <c r="C94" s="0" t="n">
        <v>2018</v>
      </c>
      <c r="D94" s="0" t="n">
        <v>131</v>
      </c>
      <c r="E94" s="0" t="n">
        <v>326.5</v>
      </c>
      <c r="F94" s="0" t="n">
        <v>7.1</v>
      </c>
      <c r="G94" s="0" t="n">
        <v>7</v>
      </c>
      <c r="H94" s="0" t="n">
        <v>36.8</v>
      </c>
      <c r="I94" s="0" t="n">
        <f aca="false">D94*E94</f>
        <v>42771.5</v>
      </c>
      <c r="J94" s="0" t="n">
        <f aca="false">D94*H94</f>
        <v>4820.8</v>
      </c>
    </row>
    <row r="95" customFormat="false" ht="15" hidden="false" customHeight="false" outlineLevel="0" collapsed="false">
      <c r="A95" s="0" t="s">
        <v>496</v>
      </c>
      <c r="B95" s="0" t="s">
        <v>508</v>
      </c>
      <c r="C95" s="0" t="n">
        <v>2019</v>
      </c>
      <c r="D95" s="0" t="n">
        <v>176</v>
      </c>
      <c r="E95" s="0" t="n">
        <v>313.9</v>
      </c>
      <c r="F95" s="0" t="n">
        <v>7.3</v>
      </c>
      <c r="G95" s="0" t="n">
        <v>7.1</v>
      </c>
      <c r="H95" s="0" t="n">
        <v>37.6</v>
      </c>
      <c r="I95" s="0" t="n">
        <f aca="false">D95*E95</f>
        <v>55246.4</v>
      </c>
      <c r="J95" s="0" t="n">
        <f aca="false">D95*H95</f>
        <v>6617.6</v>
      </c>
    </row>
    <row r="96" customFormat="false" ht="15" hidden="false" customHeight="false" outlineLevel="0" collapsed="false">
      <c r="A96" s="0" t="s">
        <v>496</v>
      </c>
      <c r="B96" s="0" t="s">
        <v>508</v>
      </c>
      <c r="C96" s="0" t="n">
        <v>2020</v>
      </c>
      <c r="D96" s="0" t="n">
        <v>216</v>
      </c>
      <c r="E96" s="0" t="n">
        <v>316.3</v>
      </c>
      <c r="F96" s="0" t="n">
        <v>7.2</v>
      </c>
      <c r="G96" s="0" t="n">
        <v>6.9</v>
      </c>
      <c r="H96" s="0" t="n">
        <v>38.4</v>
      </c>
      <c r="I96" s="0" t="n">
        <f aca="false">D96*E96</f>
        <v>68320.8</v>
      </c>
      <c r="J96" s="0" t="n">
        <f aca="false">D96*H96</f>
        <v>8294.4</v>
      </c>
    </row>
    <row r="97" customFormat="false" ht="15" hidden="false" customHeight="false" outlineLevel="0" collapsed="false">
      <c r="A97" s="0" t="s">
        <v>496</v>
      </c>
      <c r="B97" s="0" t="s">
        <v>508</v>
      </c>
      <c r="C97" s="0" t="n">
        <v>2021</v>
      </c>
      <c r="D97" s="0" t="n">
        <v>193</v>
      </c>
      <c r="E97" s="0" t="n">
        <v>333</v>
      </c>
      <c r="F97" s="0" t="n">
        <v>7.7</v>
      </c>
      <c r="G97" s="0" t="n">
        <v>7.6</v>
      </c>
      <c r="H97" s="0" t="n">
        <v>39.2</v>
      </c>
      <c r="I97" s="0" t="n">
        <f aca="false">D97*E97</f>
        <v>64269</v>
      </c>
      <c r="J97" s="0" t="n">
        <f aca="false">D97*H97</f>
        <v>7565.6</v>
      </c>
    </row>
    <row r="98" customFormat="false" ht="15" hidden="false" customHeight="false" outlineLevel="0" collapsed="false">
      <c r="A98" s="0" t="s">
        <v>496</v>
      </c>
      <c r="B98" s="0" t="s">
        <v>509</v>
      </c>
      <c r="C98" s="0" t="n">
        <v>2016</v>
      </c>
      <c r="D98" s="0" t="n">
        <v>524</v>
      </c>
      <c r="E98" s="0" t="n">
        <v>333.5</v>
      </c>
      <c r="F98" s="0" t="n">
        <v>8.1</v>
      </c>
      <c r="G98" s="0" t="n">
        <v>6.2</v>
      </c>
      <c r="H98" s="0" t="n">
        <v>37.4</v>
      </c>
      <c r="I98" s="0" t="n">
        <f aca="false">D98*E98</f>
        <v>174754</v>
      </c>
      <c r="J98" s="0" t="n">
        <f aca="false">D98*H98</f>
        <v>19597.6</v>
      </c>
    </row>
    <row r="99" customFormat="false" ht="15" hidden="false" customHeight="false" outlineLevel="0" collapsed="false">
      <c r="A99" s="0" t="s">
        <v>496</v>
      </c>
      <c r="B99" s="0" t="s">
        <v>509</v>
      </c>
      <c r="C99" s="0" t="n">
        <v>2017</v>
      </c>
      <c r="D99" s="0" t="n">
        <v>578</v>
      </c>
      <c r="E99" s="0" t="n">
        <v>327.5</v>
      </c>
      <c r="F99" s="0" t="n">
        <v>8</v>
      </c>
      <c r="G99" s="0" t="n">
        <v>6.2</v>
      </c>
      <c r="H99" s="0" t="n">
        <v>36.7</v>
      </c>
      <c r="I99" s="0" t="n">
        <f aca="false">D99*E99</f>
        <v>189295</v>
      </c>
      <c r="J99" s="0" t="n">
        <f aca="false">D99*H99</f>
        <v>21212.6</v>
      </c>
    </row>
    <row r="100" customFormat="false" ht="15" hidden="false" customHeight="false" outlineLevel="0" collapsed="false">
      <c r="A100" s="0" t="s">
        <v>496</v>
      </c>
      <c r="B100" s="0" t="s">
        <v>509</v>
      </c>
      <c r="C100" s="0" t="n">
        <v>2018</v>
      </c>
      <c r="D100" s="0" t="n">
        <v>781</v>
      </c>
      <c r="E100" s="0" t="n">
        <v>317.5</v>
      </c>
      <c r="F100" s="0" t="n">
        <v>7</v>
      </c>
      <c r="G100" s="0" t="n">
        <v>5.9</v>
      </c>
      <c r="H100" s="0" t="n">
        <v>37.3</v>
      </c>
      <c r="I100" s="0" t="n">
        <f aca="false">D100*E100</f>
        <v>247967.5</v>
      </c>
      <c r="J100" s="0" t="n">
        <f aca="false">D100*H100</f>
        <v>29131.3</v>
      </c>
    </row>
    <row r="101" customFormat="false" ht="15" hidden="false" customHeight="false" outlineLevel="0" collapsed="false">
      <c r="A101" s="0" t="s">
        <v>496</v>
      </c>
      <c r="B101" s="0" t="s">
        <v>509</v>
      </c>
      <c r="C101" s="0" t="n">
        <v>2019</v>
      </c>
      <c r="D101" s="0" t="n">
        <v>861</v>
      </c>
      <c r="E101" s="0" t="n">
        <v>314</v>
      </c>
      <c r="F101" s="0" t="n">
        <v>7</v>
      </c>
      <c r="G101" s="0" t="n">
        <v>5.9</v>
      </c>
      <c r="H101" s="0" t="n">
        <v>38.5</v>
      </c>
      <c r="I101" s="0" t="n">
        <f aca="false">D101*E101</f>
        <v>270354</v>
      </c>
      <c r="J101" s="0" t="n">
        <f aca="false">D101*H101</f>
        <v>33148.5</v>
      </c>
    </row>
    <row r="102" customFormat="false" ht="15" hidden="false" customHeight="false" outlineLevel="0" collapsed="false">
      <c r="A102" s="0" t="s">
        <v>496</v>
      </c>
      <c r="B102" s="0" t="s">
        <v>509</v>
      </c>
      <c r="C102" s="0" t="n">
        <v>2020</v>
      </c>
      <c r="D102" s="0" t="n">
        <v>822</v>
      </c>
      <c r="E102" s="0" t="n">
        <v>316.6</v>
      </c>
      <c r="F102" s="0" t="n">
        <v>7.1</v>
      </c>
      <c r="G102" s="0" t="n">
        <v>6</v>
      </c>
      <c r="H102" s="0" t="n">
        <v>37.6</v>
      </c>
      <c r="I102" s="0" t="n">
        <f aca="false">D102*E102</f>
        <v>260245.2</v>
      </c>
      <c r="J102" s="0" t="n">
        <f aca="false">D102*H102</f>
        <v>30907.2</v>
      </c>
    </row>
    <row r="103" customFormat="false" ht="15" hidden="false" customHeight="false" outlineLevel="0" collapsed="false">
      <c r="A103" s="0" t="s">
        <v>496</v>
      </c>
      <c r="B103" s="0" t="s">
        <v>509</v>
      </c>
      <c r="C103" s="0" t="n">
        <v>2021</v>
      </c>
      <c r="D103" s="0" t="n">
        <v>772</v>
      </c>
      <c r="E103" s="0" t="n">
        <v>322</v>
      </c>
      <c r="F103" s="0" t="n">
        <v>7.1</v>
      </c>
      <c r="G103" s="0" t="n">
        <v>6.2</v>
      </c>
      <c r="H103" s="0" t="n">
        <v>37.3</v>
      </c>
      <c r="I103" s="0" t="n">
        <f aca="false">D103*E103</f>
        <v>248584</v>
      </c>
      <c r="J103" s="0" t="n">
        <f aca="false">D103*H103</f>
        <v>28795.6</v>
      </c>
    </row>
    <row r="104" customFormat="false" ht="15" hidden="false" customHeight="false" outlineLevel="0" collapsed="false">
      <c r="A104" s="0" t="s">
        <v>496</v>
      </c>
      <c r="B104" s="0" t="s">
        <v>511</v>
      </c>
      <c r="C104" s="0" t="n">
        <v>2016</v>
      </c>
      <c r="D104" s="0" t="n">
        <v>94</v>
      </c>
      <c r="E104" s="0" t="n">
        <v>197.6</v>
      </c>
      <c r="F104" s="0" t="n">
        <v>7.7</v>
      </c>
      <c r="G104" s="0" t="n">
        <v>4.7</v>
      </c>
      <c r="H104" s="0" t="n">
        <v>44.8</v>
      </c>
      <c r="I104" s="0" t="n">
        <f aca="false">D104*E104</f>
        <v>18574.4</v>
      </c>
      <c r="J104" s="0" t="n">
        <f aca="false">D104*H104</f>
        <v>4211.2</v>
      </c>
    </row>
    <row r="105" customFormat="false" ht="15" hidden="false" customHeight="false" outlineLevel="0" collapsed="false">
      <c r="A105" s="0" t="s">
        <v>496</v>
      </c>
      <c r="B105" s="0" t="s">
        <v>511</v>
      </c>
      <c r="C105" s="0" t="n">
        <v>2017</v>
      </c>
      <c r="D105" s="0" t="n">
        <v>68</v>
      </c>
      <c r="E105" s="0" t="n">
        <v>191.3</v>
      </c>
      <c r="F105" s="0" t="n">
        <v>6.7</v>
      </c>
      <c r="G105" s="0" t="n">
        <v>3.7</v>
      </c>
      <c r="H105" s="0" t="n">
        <v>44.3</v>
      </c>
      <c r="I105" s="0" t="n">
        <f aca="false">D105*E105</f>
        <v>13008.4</v>
      </c>
      <c r="J105" s="0" t="n">
        <f aca="false">D105*H105</f>
        <v>3012.4</v>
      </c>
    </row>
    <row r="106" customFormat="false" ht="15" hidden="false" customHeight="false" outlineLevel="0" collapsed="false">
      <c r="A106" s="0" t="s">
        <v>496</v>
      </c>
      <c r="B106" s="0" t="s">
        <v>511</v>
      </c>
      <c r="C106" s="0" t="n">
        <v>2018</v>
      </c>
      <c r="D106" s="0" t="n">
        <v>51</v>
      </c>
      <c r="E106" s="0" t="n">
        <v>174.7</v>
      </c>
      <c r="F106" s="0" t="n">
        <v>5.9</v>
      </c>
      <c r="G106" s="0" t="n">
        <v>3.9</v>
      </c>
      <c r="H106" s="0" t="n">
        <v>56.1</v>
      </c>
      <c r="I106" s="0" t="n">
        <f aca="false">D106*E106</f>
        <v>8909.7</v>
      </c>
      <c r="J106" s="0" t="n">
        <f aca="false">D106*H106</f>
        <v>2861.1</v>
      </c>
    </row>
    <row r="107" customFormat="false" ht="15" hidden="false" customHeight="false" outlineLevel="0" collapsed="false">
      <c r="A107" s="0" t="s">
        <v>496</v>
      </c>
      <c r="B107" s="0" t="s">
        <v>511</v>
      </c>
      <c r="C107" s="0" t="n">
        <v>2019</v>
      </c>
      <c r="D107" s="0" t="n">
        <v>41</v>
      </c>
      <c r="E107" s="0" t="n">
        <v>195.2</v>
      </c>
      <c r="F107" s="0" t="n">
        <v>6</v>
      </c>
      <c r="G107" s="0" t="n">
        <v>3.8</v>
      </c>
      <c r="H107" s="0" t="n">
        <v>42.1</v>
      </c>
      <c r="I107" s="0" t="n">
        <f aca="false">D107*E107</f>
        <v>8003.2</v>
      </c>
      <c r="J107" s="0" t="n">
        <f aca="false">D107*H107</f>
        <v>1726.1</v>
      </c>
    </row>
    <row r="108" customFormat="false" ht="15" hidden="false" customHeight="false" outlineLevel="0" collapsed="false">
      <c r="A108" s="0" t="s">
        <v>496</v>
      </c>
      <c r="B108" s="0" t="s">
        <v>511</v>
      </c>
      <c r="C108" s="0" t="n">
        <v>2020</v>
      </c>
      <c r="D108" s="0" t="n">
        <v>33</v>
      </c>
      <c r="E108" s="0" t="n">
        <v>203.5</v>
      </c>
      <c r="F108" s="0" t="n">
        <v>6</v>
      </c>
      <c r="G108" s="0" t="n">
        <v>4.1</v>
      </c>
      <c r="H108" s="0" t="n">
        <v>47.2</v>
      </c>
      <c r="I108" s="0" t="n">
        <f aca="false">D108*E108</f>
        <v>6715.5</v>
      </c>
      <c r="J108" s="0" t="n">
        <f aca="false">D108*H108</f>
        <v>1557.6</v>
      </c>
    </row>
    <row r="109" customFormat="false" ht="15" hidden="false" customHeight="false" outlineLevel="0" collapsed="false">
      <c r="A109" s="0" t="s">
        <v>496</v>
      </c>
      <c r="B109" s="0" t="s">
        <v>511</v>
      </c>
      <c r="C109" s="0" t="n">
        <v>2021</v>
      </c>
      <c r="D109" s="0" t="n">
        <v>31</v>
      </c>
      <c r="E109" s="0" t="n">
        <v>193</v>
      </c>
      <c r="F109" s="0" t="n">
        <v>6.3</v>
      </c>
      <c r="G109" s="0" t="n">
        <v>4</v>
      </c>
      <c r="H109" s="0" t="n">
        <v>43.3</v>
      </c>
      <c r="I109" s="0" t="n">
        <f aca="false">D109*E109</f>
        <v>5983</v>
      </c>
      <c r="J109" s="0" t="n">
        <f aca="false">D109*H109</f>
        <v>1342.3</v>
      </c>
    </row>
    <row r="110" customFormat="false" ht="15" hidden="false" customHeight="false" outlineLevel="0" collapsed="false">
      <c r="A110" s="0" t="s">
        <v>496</v>
      </c>
      <c r="B110" s="0" t="s">
        <v>512</v>
      </c>
      <c r="C110" s="0" t="n">
        <v>2016</v>
      </c>
      <c r="D110" s="0" t="n">
        <v>30</v>
      </c>
      <c r="E110" s="0" t="n">
        <v>353</v>
      </c>
      <c r="F110" s="0" t="n">
        <v>7.1</v>
      </c>
      <c r="G110" s="0" t="n">
        <v>8.1</v>
      </c>
      <c r="H110" s="0" t="n">
        <v>40.6</v>
      </c>
      <c r="I110" s="0" t="n">
        <f aca="false">D110*E110</f>
        <v>10590</v>
      </c>
      <c r="J110" s="0" t="n">
        <f aca="false">D110*H110</f>
        <v>1218</v>
      </c>
    </row>
    <row r="111" customFormat="false" ht="15" hidden="false" customHeight="false" outlineLevel="0" collapsed="false">
      <c r="A111" s="0" t="s">
        <v>496</v>
      </c>
      <c r="B111" s="0" t="s">
        <v>512</v>
      </c>
      <c r="C111" s="0" t="n">
        <v>2017</v>
      </c>
      <c r="D111" s="0" t="n">
        <v>37</v>
      </c>
      <c r="E111" s="0" t="n">
        <v>348.1</v>
      </c>
      <c r="F111" s="0" t="n">
        <v>8</v>
      </c>
      <c r="G111" s="0" t="n">
        <v>7.3</v>
      </c>
      <c r="H111" s="0" t="n">
        <v>36</v>
      </c>
      <c r="I111" s="0" t="n">
        <f aca="false">D111*E111</f>
        <v>12879.7</v>
      </c>
      <c r="J111" s="0" t="n">
        <f aca="false">D111*H111</f>
        <v>1332</v>
      </c>
    </row>
    <row r="112" customFormat="false" ht="15" hidden="false" customHeight="false" outlineLevel="0" collapsed="false">
      <c r="A112" s="0" t="s">
        <v>496</v>
      </c>
      <c r="B112" s="0" t="s">
        <v>512</v>
      </c>
      <c r="C112" s="0" t="n">
        <v>2018</v>
      </c>
      <c r="D112" s="0" t="n">
        <v>17</v>
      </c>
      <c r="E112" s="0" t="n">
        <v>334.9</v>
      </c>
      <c r="F112" s="0" t="n">
        <v>5.8</v>
      </c>
      <c r="G112" s="0" t="n">
        <v>6.7</v>
      </c>
      <c r="H112" s="0" t="n">
        <v>39.2</v>
      </c>
      <c r="I112" s="0" t="n">
        <f aca="false">D112*E112</f>
        <v>5693.3</v>
      </c>
      <c r="J112" s="0" t="n">
        <f aca="false">D112*H112</f>
        <v>666.4</v>
      </c>
    </row>
    <row r="113" customFormat="false" ht="15" hidden="false" customHeight="false" outlineLevel="0" collapsed="false">
      <c r="A113" s="0" t="s">
        <v>496</v>
      </c>
      <c r="B113" s="0" t="s">
        <v>512</v>
      </c>
      <c r="C113" s="0" t="n">
        <v>2019</v>
      </c>
      <c r="D113" s="0" t="n">
        <v>12</v>
      </c>
      <c r="E113" s="0" t="n">
        <v>291</v>
      </c>
      <c r="F113" s="0" t="n">
        <v>5</v>
      </c>
      <c r="G113" s="0" t="n">
        <v>5.9</v>
      </c>
      <c r="H113" s="0" t="n">
        <v>35.6</v>
      </c>
      <c r="I113" s="0" t="n">
        <f aca="false">D113*E113</f>
        <v>3492</v>
      </c>
      <c r="J113" s="0" t="n">
        <f aca="false">D113*H113</f>
        <v>427.2</v>
      </c>
    </row>
    <row r="114" customFormat="false" ht="15" hidden="false" customHeight="false" outlineLevel="0" collapsed="false">
      <c r="A114" s="0" t="s">
        <v>496</v>
      </c>
      <c r="B114" s="0" t="s">
        <v>512</v>
      </c>
      <c r="C114" s="0" t="n">
        <v>2020</v>
      </c>
      <c r="D114" s="0" t="n">
        <v>34</v>
      </c>
      <c r="E114" s="0" t="n">
        <v>360.3</v>
      </c>
      <c r="F114" s="0" t="n">
        <v>5.6</v>
      </c>
      <c r="G114" s="0" t="n">
        <v>7.8</v>
      </c>
      <c r="H114" s="0" t="n">
        <v>39.9</v>
      </c>
      <c r="I114" s="0" t="n">
        <f aca="false">D114*E114</f>
        <v>12250.2</v>
      </c>
      <c r="J114" s="0" t="n">
        <f aca="false">D114*H114</f>
        <v>1356.6</v>
      </c>
    </row>
    <row r="115" customFormat="false" ht="15" hidden="false" customHeight="false" outlineLevel="0" collapsed="false">
      <c r="A115" s="0" t="s">
        <v>496</v>
      </c>
      <c r="B115" s="0" t="s">
        <v>512</v>
      </c>
      <c r="C115" s="0" t="n">
        <v>2021</v>
      </c>
      <c r="D115" s="0" t="n">
        <v>46</v>
      </c>
      <c r="E115" s="0" t="n">
        <v>373</v>
      </c>
      <c r="F115" s="0" t="n">
        <v>5.7</v>
      </c>
      <c r="G115" s="0" t="n">
        <v>7.7</v>
      </c>
      <c r="H115" s="0" t="n">
        <v>36</v>
      </c>
      <c r="I115" s="0" t="n">
        <f aca="false">D115*E115</f>
        <v>17158</v>
      </c>
      <c r="J115" s="0" t="n">
        <f aca="false">D115*H115</f>
        <v>1656</v>
      </c>
    </row>
    <row r="116" customFormat="false" ht="15" hidden="false" customHeight="false" outlineLevel="0" collapsed="false">
      <c r="A116" s="0" t="s">
        <v>496</v>
      </c>
      <c r="B116" s="0" t="s">
        <v>513</v>
      </c>
      <c r="C116" s="0" t="n">
        <v>2016</v>
      </c>
      <c r="D116" s="0" t="n">
        <v>5470</v>
      </c>
      <c r="E116" s="0" t="n">
        <v>306.9</v>
      </c>
      <c r="F116" s="0" t="n">
        <v>8.2</v>
      </c>
      <c r="G116" s="0" t="n">
        <v>5.4</v>
      </c>
      <c r="H116" s="0" t="n">
        <v>38.7</v>
      </c>
      <c r="I116" s="0" t="n">
        <f aca="false">D116*E116</f>
        <v>1678743</v>
      </c>
      <c r="J116" s="0" t="n">
        <f aca="false">D116*H116</f>
        <v>211689</v>
      </c>
    </row>
    <row r="117" customFormat="false" ht="15" hidden="false" customHeight="false" outlineLevel="0" collapsed="false">
      <c r="A117" s="0" t="s">
        <v>496</v>
      </c>
      <c r="B117" s="0" t="s">
        <v>513</v>
      </c>
      <c r="C117" s="0" t="n">
        <v>2017</v>
      </c>
      <c r="D117" s="0" t="n">
        <v>5847</v>
      </c>
      <c r="E117" s="0" t="n">
        <v>306.4</v>
      </c>
      <c r="F117" s="0" t="n">
        <v>8.1</v>
      </c>
      <c r="G117" s="0" t="n">
        <v>5.4</v>
      </c>
      <c r="H117" s="0" t="n">
        <v>37.6</v>
      </c>
      <c r="I117" s="0" t="n">
        <f aca="false">D117*E117</f>
        <v>1791520.8</v>
      </c>
      <c r="J117" s="0" t="n">
        <f aca="false">D117*H117</f>
        <v>219847.2</v>
      </c>
    </row>
    <row r="118" customFormat="false" ht="15" hidden="false" customHeight="false" outlineLevel="0" collapsed="false">
      <c r="A118" s="0" t="s">
        <v>496</v>
      </c>
      <c r="B118" s="0" t="s">
        <v>513</v>
      </c>
      <c r="C118" s="0" t="n">
        <v>2018</v>
      </c>
      <c r="D118" s="0" t="n">
        <v>7027</v>
      </c>
      <c r="E118" s="0" t="n">
        <v>298.8</v>
      </c>
      <c r="F118" s="0" t="n">
        <v>7.5</v>
      </c>
      <c r="G118" s="0" t="n">
        <v>5.2</v>
      </c>
      <c r="H118" s="0" t="n">
        <v>38.8</v>
      </c>
      <c r="I118" s="0" t="n">
        <f aca="false">D118*E118</f>
        <v>2099667.6</v>
      </c>
      <c r="J118" s="0" t="n">
        <f aca="false">D118*H118</f>
        <v>272647.6</v>
      </c>
    </row>
    <row r="119" customFormat="false" ht="15" hidden="false" customHeight="false" outlineLevel="0" collapsed="false">
      <c r="A119" s="0" t="s">
        <v>496</v>
      </c>
      <c r="B119" s="0" t="s">
        <v>513</v>
      </c>
      <c r="C119" s="0" t="n">
        <v>2019</v>
      </c>
      <c r="D119" s="0" t="n">
        <v>7190</v>
      </c>
      <c r="E119" s="0" t="n">
        <v>301.2</v>
      </c>
      <c r="F119" s="0" t="n">
        <v>7.6</v>
      </c>
      <c r="G119" s="0" t="n">
        <v>5.4</v>
      </c>
      <c r="H119" s="0" t="n">
        <v>37.7</v>
      </c>
      <c r="I119" s="0" t="n">
        <f aca="false">D119*E119</f>
        <v>2165628</v>
      </c>
      <c r="J119" s="0" t="n">
        <f aca="false">D119*H119</f>
        <v>271063</v>
      </c>
    </row>
    <row r="120" customFormat="false" ht="15" hidden="false" customHeight="false" outlineLevel="0" collapsed="false">
      <c r="A120" s="0" t="s">
        <v>496</v>
      </c>
      <c r="B120" s="0" t="s">
        <v>513</v>
      </c>
      <c r="C120" s="0" t="n">
        <v>2020</v>
      </c>
      <c r="D120" s="0" t="n">
        <v>8259</v>
      </c>
      <c r="E120" s="0" t="n">
        <v>308</v>
      </c>
      <c r="F120" s="0" t="n">
        <v>7.8</v>
      </c>
      <c r="G120" s="0" t="n">
        <v>5.6</v>
      </c>
      <c r="H120" s="0" t="n">
        <v>37.9</v>
      </c>
      <c r="I120" s="0" t="n">
        <f aca="false">D120*E120</f>
        <v>2543772</v>
      </c>
      <c r="J120" s="0" t="n">
        <f aca="false">D120*H120</f>
        <v>313016.1</v>
      </c>
    </row>
    <row r="121" customFormat="false" ht="15" hidden="false" customHeight="false" outlineLevel="0" collapsed="false">
      <c r="A121" s="0" t="s">
        <v>496</v>
      </c>
      <c r="B121" s="0" t="s">
        <v>513</v>
      </c>
      <c r="C121" s="0" t="n">
        <v>2021</v>
      </c>
      <c r="D121" s="0" t="n">
        <v>7350</v>
      </c>
      <c r="E121" s="0" t="n">
        <v>314</v>
      </c>
      <c r="F121" s="0" t="n">
        <v>7.9</v>
      </c>
      <c r="G121" s="0" t="n">
        <v>5.8</v>
      </c>
      <c r="H121" s="0" t="n">
        <v>39.2</v>
      </c>
      <c r="I121" s="0" t="n">
        <f aca="false">D121*E121</f>
        <v>2307900</v>
      </c>
      <c r="J121" s="0" t="n">
        <f aca="false">D121*H121</f>
        <v>288120</v>
      </c>
    </row>
    <row r="122" customFormat="false" ht="15" hidden="false" customHeight="false" outlineLevel="0" collapsed="false">
      <c r="A122" s="0" t="s">
        <v>498</v>
      </c>
      <c r="B122" s="0" t="s">
        <v>489</v>
      </c>
      <c r="C122" s="0" t="n">
        <v>2016</v>
      </c>
      <c r="D122" s="0" t="n">
        <v>7408</v>
      </c>
      <c r="E122" s="0" t="n">
        <v>295.2</v>
      </c>
      <c r="F122" s="0" t="n">
        <v>8.7</v>
      </c>
      <c r="G122" s="0" t="n">
        <v>5</v>
      </c>
      <c r="H122" s="0" t="n">
        <v>29.3</v>
      </c>
      <c r="I122" s="0" t="n">
        <f aca="false">D122*E122</f>
        <v>2186841.6</v>
      </c>
      <c r="J122" s="0" t="n">
        <f aca="false">D122*H122</f>
        <v>217054.4</v>
      </c>
    </row>
    <row r="123" customFormat="false" ht="15" hidden="false" customHeight="false" outlineLevel="0" collapsed="false">
      <c r="A123" s="0" t="s">
        <v>498</v>
      </c>
      <c r="B123" s="0" t="s">
        <v>489</v>
      </c>
      <c r="C123" s="0" t="n">
        <v>2017</v>
      </c>
      <c r="D123" s="0" t="n">
        <v>6518</v>
      </c>
      <c r="E123" s="0" t="n">
        <v>299.8</v>
      </c>
      <c r="F123" s="0" t="n">
        <v>8.8</v>
      </c>
      <c r="G123" s="0" t="n">
        <v>5.1</v>
      </c>
      <c r="H123" s="0" t="n">
        <v>30</v>
      </c>
      <c r="I123" s="0" t="n">
        <f aca="false">D123*E123</f>
        <v>1954096.4</v>
      </c>
      <c r="J123" s="0" t="n">
        <f aca="false">D123*H123</f>
        <v>195540</v>
      </c>
    </row>
    <row r="124" customFormat="false" ht="15" hidden="false" customHeight="false" outlineLevel="0" collapsed="false">
      <c r="A124" s="0" t="s">
        <v>498</v>
      </c>
      <c r="B124" s="0" t="s">
        <v>489</v>
      </c>
      <c r="C124" s="0" t="n">
        <v>2018</v>
      </c>
      <c r="D124" s="0" t="n">
        <v>5892</v>
      </c>
      <c r="E124" s="0" t="n">
        <v>293.3</v>
      </c>
      <c r="F124" s="0" t="n">
        <v>8.4</v>
      </c>
      <c r="G124" s="0" t="n">
        <v>5</v>
      </c>
      <c r="H124" s="0" t="n">
        <v>31.3</v>
      </c>
      <c r="I124" s="0" t="n">
        <f aca="false">D124*E124</f>
        <v>1728123.6</v>
      </c>
      <c r="J124" s="0" t="n">
        <f aca="false">D124*H124</f>
        <v>184419.6</v>
      </c>
    </row>
    <row r="125" customFormat="false" ht="15" hidden="false" customHeight="false" outlineLevel="0" collapsed="false">
      <c r="A125" s="0" t="s">
        <v>498</v>
      </c>
      <c r="B125" s="0" t="s">
        <v>489</v>
      </c>
      <c r="C125" s="0" t="n">
        <v>2019</v>
      </c>
      <c r="D125" s="0" t="n">
        <v>5421</v>
      </c>
      <c r="E125" s="0" t="n">
        <v>297.5</v>
      </c>
      <c r="F125" s="0" t="n">
        <v>8.3</v>
      </c>
      <c r="G125" s="0" t="n">
        <v>5.1</v>
      </c>
      <c r="H125" s="0" t="n">
        <v>33.8</v>
      </c>
      <c r="I125" s="0" t="n">
        <f aca="false">D125*E125</f>
        <v>1612747.5</v>
      </c>
      <c r="J125" s="0" t="n">
        <f aca="false">D125*H125</f>
        <v>183229.8</v>
      </c>
    </row>
    <row r="126" customFormat="false" ht="15" hidden="false" customHeight="false" outlineLevel="0" collapsed="false">
      <c r="A126" s="0" t="s">
        <v>498</v>
      </c>
      <c r="B126" s="0" t="s">
        <v>489</v>
      </c>
      <c r="C126" s="0" t="n">
        <v>2020</v>
      </c>
      <c r="D126" s="0" t="n">
        <v>5504</v>
      </c>
      <c r="E126" s="0" t="n">
        <v>294.7</v>
      </c>
      <c r="F126" s="0" t="n">
        <v>8.2</v>
      </c>
      <c r="G126" s="0" t="n">
        <v>5.1</v>
      </c>
      <c r="H126" s="0" t="n">
        <v>36.5</v>
      </c>
      <c r="I126" s="0" t="n">
        <f aca="false">D126*E126</f>
        <v>1622028.8</v>
      </c>
      <c r="J126" s="0" t="n">
        <f aca="false">D126*H126</f>
        <v>200896</v>
      </c>
    </row>
    <row r="127" customFormat="false" ht="15" hidden="false" customHeight="false" outlineLevel="0" collapsed="false">
      <c r="A127" s="0" t="s">
        <v>498</v>
      </c>
      <c r="B127" s="0" t="s">
        <v>489</v>
      </c>
      <c r="C127" s="0" t="n">
        <v>2021</v>
      </c>
      <c r="D127" s="0" t="n">
        <v>5122</v>
      </c>
      <c r="E127" s="0" t="n">
        <v>302.5</v>
      </c>
      <c r="F127" s="0" t="n">
        <v>8.3</v>
      </c>
      <c r="G127" s="0" t="n">
        <v>5.3</v>
      </c>
      <c r="H127" s="0" t="n">
        <v>37.6</v>
      </c>
      <c r="I127" s="0" t="n">
        <f aca="false">D127*E127</f>
        <v>1549405</v>
      </c>
      <c r="J127" s="0" t="n">
        <f aca="false">D127*H127</f>
        <v>192587.2</v>
      </c>
    </row>
    <row r="128" customFormat="false" ht="15" hidden="false" customHeight="false" outlineLevel="0" collapsed="false">
      <c r="A128" s="0" t="s">
        <v>498</v>
      </c>
      <c r="B128" s="0" t="s">
        <v>497</v>
      </c>
      <c r="C128" s="0" t="n">
        <v>2016</v>
      </c>
      <c r="D128" s="0" t="n">
        <v>9600</v>
      </c>
      <c r="E128" s="0" t="n">
        <v>296.1</v>
      </c>
      <c r="F128" s="0" t="n">
        <v>8.4</v>
      </c>
      <c r="G128" s="0" t="n">
        <v>4.3</v>
      </c>
      <c r="H128" s="0" t="n">
        <v>29.7</v>
      </c>
      <c r="I128" s="0" t="n">
        <f aca="false">D128*E128</f>
        <v>2842560</v>
      </c>
      <c r="J128" s="0" t="n">
        <f aca="false">D128*H128</f>
        <v>285120</v>
      </c>
    </row>
    <row r="129" customFormat="false" ht="15" hidden="false" customHeight="false" outlineLevel="0" collapsed="false">
      <c r="A129" s="0" t="s">
        <v>498</v>
      </c>
      <c r="B129" s="0" t="s">
        <v>497</v>
      </c>
      <c r="C129" s="0" t="n">
        <v>2017</v>
      </c>
      <c r="D129" s="0" t="n">
        <v>9297</v>
      </c>
      <c r="E129" s="0" t="n">
        <v>301.5</v>
      </c>
      <c r="F129" s="0" t="n">
        <v>8.5</v>
      </c>
      <c r="G129" s="0" t="n">
        <v>4.4</v>
      </c>
      <c r="H129" s="0" t="n">
        <v>30.4</v>
      </c>
      <c r="I129" s="0" t="n">
        <f aca="false">D129*E129</f>
        <v>2803045.5</v>
      </c>
      <c r="J129" s="0" t="n">
        <f aca="false">D129*H129</f>
        <v>282628.8</v>
      </c>
    </row>
    <row r="130" customFormat="false" ht="15" hidden="false" customHeight="false" outlineLevel="0" collapsed="false">
      <c r="A130" s="0" t="s">
        <v>498</v>
      </c>
      <c r="B130" s="0" t="s">
        <v>497</v>
      </c>
      <c r="C130" s="0" t="n">
        <v>2018</v>
      </c>
      <c r="D130" s="0" t="n">
        <v>8696</v>
      </c>
      <c r="E130" s="0" t="n">
        <v>299.4</v>
      </c>
      <c r="F130" s="0" t="n">
        <v>8.2</v>
      </c>
      <c r="G130" s="0" t="n">
        <v>4.4</v>
      </c>
      <c r="H130" s="0" t="n">
        <v>31.3</v>
      </c>
      <c r="I130" s="0" t="n">
        <f aca="false">D130*E130</f>
        <v>2603582.4</v>
      </c>
      <c r="J130" s="0" t="n">
        <f aca="false">D130*H130</f>
        <v>272184.8</v>
      </c>
    </row>
    <row r="131" customFormat="false" ht="15" hidden="false" customHeight="false" outlineLevel="0" collapsed="false">
      <c r="A131" s="0" t="s">
        <v>498</v>
      </c>
      <c r="B131" s="0" t="s">
        <v>497</v>
      </c>
      <c r="C131" s="0" t="n">
        <v>2019</v>
      </c>
      <c r="D131" s="0" t="n">
        <v>8276</v>
      </c>
      <c r="E131" s="0" t="n">
        <v>299.8</v>
      </c>
      <c r="F131" s="0" t="n">
        <v>8.1</v>
      </c>
      <c r="G131" s="0" t="n">
        <v>4.4</v>
      </c>
      <c r="H131" s="0" t="n">
        <v>34.4</v>
      </c>
      <c r="I131" s="0" t="n">
        <f aca="false">D131*E131</f>
        <v>2481144.8</v>
      </c>
      <c r="J131" s="0" t="n">
        <f aca="false">D131*H131</f>
        <v>284694.4</v>
      </c>
    </row>
    <row r="132" customFormat="false" ht="15" hidden="false" customHeight="false" outlineLevel="0" collapsed="false">
      <c r="A132" s="0" t="s">
        <v>498</v>
      </c>
      <c r="B132" s="0" t="s">
        <v>497</v>
      </c>
      <c r="C132" s="0" t="n">
        <v>2020</v>
      </c>
      <c r="D132" s="0" t="n">
        <v>8258</v>
      </c>
      <c r="E132" s="0" t="n">
        <v>300.4</v>
      </c>
      <c r="F132" s="0" t="n">
        <v>8</v>
      </c>
      <c r="G132" s="0" t="n">
        <v>4.4</v>
      </c>
      <c r="H132" s="0" t="n">
        <v>37.5</v>
      </c>
      <c r="I132" s="0" t="n">
        <f aca="false">D132*E132</f>
        <v>2480703.2</v>
      </c>
      <c r="J132" s="0" t="n">
        <f aca="false">D132*H132</f>
        <v>309675</v>
      </c>
    </row>
    <row r="133" customFormat="false" ht="15" hidden="false" customHeight="false" outlineLevel="0" collapsed="false">
      <c r="A133" s="0" t="s">
        <v>498</v>
      </c>
      <c r="B133" s="0" t="s">
        <v>497</v>
      </c>
      <c r="C133" s="0" t="n">
        <v>2021</v>
      </c>
      <c r="D133" s="0" t="n">
        <v>8360</v>
      </c>
      <c r="E133" s="0" t="n">
        <v>304</v>
      </c>
      <c r="F133" s="0" t="n">
        <v>8</v>
      </c>
      <c r="G133" s="0" t="n">
        <v>4.5</v>
      </c>
      <c r="H133" s="0" t="n">
        <v>40.9</v>
      </c>
      <c r="I133" s="0" t="n">
        <f aca="false">D133*E133</f>
        <v>2541440</v>
      </c>
      <c r="J133" s="0" t="n">
        <f aca="false">D133*H133</f>
        <v>341924</v>
      </c>
    </row>
    <row r="134" customFormat="false" ht="15" hidden="false" customHeight="false" outlineLevel="0" collapsed="false">
      <c r="A134" s="0" t="s">
        <v>498</v>
      </c>
      <c r="B134" s="0" t="s">
        <v>502</v>
      </c>
      <c r="C134" s="0" t="n">
        <v>2016</v>
      </c>
      <c r="D134" s="0" t="n">
        <v>3740</v>
      </c>
      <c r="E134" s="0" t="n">
        <v>303</v>
      </c>
      <c r="F134" s="0" t="n">
        <v>10.4</v>
      </c>
      <c r="G134" s="0" t="n">
        <v>6.6</v>
      </c>
      <c r="H134" s="0" t="n">
        <v>26.5</v>
      </c>
      <c r="I134" s="0" t="n">
        <f aca="false">D134*E134</f>
        <v>1133220</v>
      </c>
      <c r="J134" s="0" t="n">
        <f aca="false">D134*H134</f>
        <v>99110</v>
      </c>
    </row>
    <row r="135" customFormat="false" ht="15" hidden="false" customHeight="false" outlineLevel="0" collapsed="false">
      <c r="A135" s="0" t="s">
        <v>498</v>
      </c>
      <c r="B135" s="0" t="s">
        <v>502</v>
      </c>
      <c r="C135" s="0" t="n">
        <v>2017</v>
      </c>
      <c r="D135" s="0" t="n">
        <v>3729</v>
      </c>
      <c r="E135" s="0" t="n">
        <v>303</v>
      </c>
      <c r="F135" s="0" t="n">
        <v>10.3</v>
      </c>
      <c r="G135" s="0" t="n">
        <v>6.6</v>
      </c>
      <c r="H135" s="0" t="n">
        <v>26.4</v>
      </c>
      <c r="I135" s="0" t="n">
        <f aca="false">D135*E135</f>
        <v>1129887</v>
      </c>
      <c r="J135" s="0" t="n">
        <f aca="false">D135*H135</f>
        <v>98445.6</v>
      </c>
    </row>
    <row r="136" customFormat="false" ht="15" hidden="false" customHeight="false" outlineLevel="0" collapsed="false">
      <c r="A136" s="0" t="s">
        <v>498</v>
      </c>
      <c r="B136" s="0" t="s">
        <v>502</v>
      </c>
      <c r="C136" s="0" t="n">
        <v>2018</v>
      </c>
      <c r="D136" s="0" t="n">
        <v>4243</v>
      </c>
      <c r="E136" s="0" t="n">
        <v>295</v>
      </c>
      <c r="F136" s="0" t="n">
        <v>9.6</v>
      </c>
      <c r="G136" s="0" t="n">
        <v>6.4</v>
      </c>
      <c r="H136" s="0" t="n">
        <v>27.5</v>
      </c>
      <c r="I136" s="0" t="n">
        <f aca="false">D136*E136</f>
        <v>1251685</v>
      </c>
      <c r="J136" s="0" t="n">
        <f aca="false">D136*H136</f>
        <v>116682.5</v>
      </c>
    </row>
    <row r="137" customFormat="false" ht="15" hidden="false" customHeight="false" outlineLevel="0" collapsed="false">
      <c r="A137" s="0" t="s">
        <v>498</v>
      </c>
      <c r="B137" s="0" t="s">
        <v>502</v>
      </c>
      <c r="C137" s="0" t="n">
        <v>2019</v>
      </c>
      <c r="D137" s="0" t="n">
        <v>5097</v>
      </c>
      <c r="E137" s="0" t="n">
        <v>296.8</v>
      </c>
      <c r="F137" s="0" t="n">
        <v>9.5</v>
      </c>
      <c r="G137" s="0" t="n">
        <v>6.4</v>
      </c>
      <c r="H137" s="0" t="n">
        <v>28.2</v>
      </c>
      <c r="I137" s="0" t="n">
        <f aca="false">D137*E137</f>
        <v>1512789.6</v>
      </c>
      <c r="J137" s="0" t="n">
        <f aca="false">D137*H137</f>
        <v>143735.4</v>
      </c>
    </row>
    <row r="138" customFormat="false" ht="15" hidden="false" customHeight="false" outlineLevel="0" collapsed="false">
      <c r="A138" s="0" t="s">
        <v>498</v>
      </c>
      <c r="B138" s="0" t="s">
        <v>502</v>
      </c>
      <c r="C138" s="0" t="n">
        <v>2020</v>
      </c>
      <c r="D138" s="0" t="n">
        <v>5929</v>
      </c>
      <c r="E138" s="0" t="n">
        <v>297.1</v>
      </c>
      <c r="F138" s="0" t="n">
        <v>9.4</v>
      </c>
      <c r="G138" s="0" t="n">
        <v>6.5</v>
      </c>
      <c r="H138" s="0" t="n">
        <v>27.8</v>
      </c>
      <c r="I138" s="0" t="n">
        <f aca="false">D138*E138</f>
        <v>1761505.9</v>
      </c>
      <c r="J138" s="0" t="n">
        <f aca="false">D138*H138</f>
        <v>164826.2</v>
      </c>
    </row>
    <row r="139" customFormat="false" ht="15" hidden="false" customHeight="false" outlineLevel="0" collapsed="false">
      <c r="A139" s="0" t="s">
        <v>498</v>
      </c>
      <c r="B139" s="0" t="s">
        <v>502</v>
      </c>
      <c r="C139" s="0" t="n">
        <v>2021</v>
      </c>
      <c r="D139" s="0" t="n">
        <v>5881</v>
      </c>
      <c r="E139" s="0" t="n">
        <v>303.4</v>
      </c>
      <c r="F139" s="0" t="n">
        <v>9.5</v>
      </c>
      <c r="G139" s="0" t="n">
        <v>6.6</v>
      </c>
      <c r="H139" s="0" t="n">
        <v>28.4</v>
      </c>
      <c r="I139" s="0" t="n">
        <f aca="false">D139*E139</f>
        <v>1784295.4</v>
      </c>
      <c r="J139" s="0" t="n">
        <f aca="false">D139*H139</f>
        <v>167020.4</v>
      </c>
    </row>
    <row r="140" customFormat="false" ht="15" hidden="false" customHeight="false" outlineLevel="0" collapsed="false">
      <c r="A140" s="0" t="s">
        <v>498</v>
      </c>
      <c r="B140" s="0" t="s">
        <v>505</v>
      </c>
      <c r="C140" s="0" t="n">
        <v>2016</v>
      </c>
      <c r="D140" s="0" t="n">
        <v>3143</v>
      </c>
      <c r="E140" s="0" t="n">
        <v>323</v>
      </c>
      <c r="F140" s="0" t="n">
        <v>8.7</v>
      </c>
      <c r="G140" s="0" t="n">
        <v>7.6</v>
      </c>
      <c r="H140" s="0" t="n">
        <v>25.4</v>
      </c>
      <c r="I140" s="0" t="n">
        <f aca="false">D140*E140</f>
        <v>1015189</v>
      </c>
      <c r="J140" s="0" t="n">
        <f aca="false">D140*H140</f>
        <v>79832.2</v>
      </c>
    </row>
    <row r="141" customFormat="false" ht="15" hidden="false" customHeight="false" outlineLevel="0" collapsed="false">
      <c r="A141" s="0" t="s">
        <v>498</v>
      </c>
      <c r="B141" s="0" t="s">
        <v>505</v>
      </c>
      <c r="C141" s="0" t="n">
        <v>2017</v>
      </c>
      <c r="D141" s="0" t="n">
        <v>3122</v>
      </c>
      <c r="E141" s="0" t="n">
        <v>323.8</v>
      </c>
      <c r="F141" s="0" t="n">
        <v>8.5</v>
      </c>
      <c r="G141" s="0" t="n">
        <v>7.6</v>
      </c>
      <c r="H141" s="0" t="n">
        <v>25.8</v>
      </c>
      <c r="I141" s="0" t="n">
        <f aca="false">D141*E141</f>
        <v>1010903.6</v>
      </c>
      <c r="J141" s="0" t="n">
        <f aca="false">D141*H141</f>
        <v>80547.6</v>
      </c>
    </row>
    <row r="142" customFormat="false" ht="15" hidden="false" customHeight="false" outlineLevel="0" collapsed="false">
      <c r="A142" s="0" t="s">
        <v>498</v>
      </c>
      <c r="B142" s="0" t="s">
        <v>505</v>
      </c>
      <c r="C142" s="0" t="n">
        <v>2018</v>
      </c>
      <c r="D142" s="0" t="n">
        <v>3455</v>
      </c>
      <c r="E142" s="0" t="n">
        <v>319.3</v>
      </c>
      <c r="F142" s="0" t="n">
        <v>8.2</v>
      </c>
      <c r="G142" s="0" t="n">
        <v>7.5</v>
      </c>
      <c r="H142" s="0" t="n">
        <v>26.2</v>
      </c>
      <c r="I142" s="0" t="n">
        <f aca="false">D142*E142</f>
        <v>1103181.5</v>
      </c>
      <c r="J142" s="0" t="n">
        <f aca="false">D142*H142</f>
        <v>90521</v>
      </c>
    </row>
    <row r="143" customFormat="false" ht="15" hidden="false" customHeight="false" outlineLevel="0" collapsed="false">
      <c r="A143" s="0" t="s">
        <v>498</v>
      </c>
      <c r="B143" s="0" t="s">
        <v>505</v>
      </c>
      <c r="C143" s="0" t="n">
        <v>2019</v>
      </c>
      <c r="D143" s="0" t="n">
        <v>4053</v>
      </c>
      <c r="E143" s="0" t="n">
        <v>321.1</v>
      </c>
      <c r="F143" s="0" t="n">
        <v>8.1</v>
      </c>
      <c r="G143" s="0" t="n">
        <v>7.5</v>
      </c>
      <c r="H143" s="0" t="n">
        <v>27.4</v>
      </c>
      <c r="I143" s="0" t="n">
        <f aca="false">D143*E143</f>
        <v>1301418.3</v>
      </c>
      <c r="J143" s="0" t="n">
        <f aca="false">D143*H143</f>
        <v>111052.2</v>
      </c>
    </row>
    <row r="144" customFormat="false" ht="15" hidden="false" customHeight="false" outlineLevel="0" collapsed="false">
      <c r="A144" s="0" t="s">
        <v>498</v>
      </c>
      <c r="B144" s="0" t="s">
        <v>505</v>
      </c>
      <c r="C144" s="0" t="n">
        <v>2020</v>
      </c>
      <c r="D144" s="0" t="n">
        <v>3983</v>
      </c>
      <c r="E144" s="0" t="n">
        <v>324.2</v>
      </c>
      <c r="F144" s="0" t="n">
        <v>8</v>
      </c>
      <c r="G144" s="0" t="n">
        <v>7.6</v>
      </c>
      <c r="H144" s="0" t="n">
        <v>31.5</v>
      </c>
      <c r="I144" s="0" t="n">
        <f aca="false">D144*E144</f>
        <v>1291288.6</v>
      </c>
      <c r="J144" s="0" t="n">
        <f aca="false">D144*H144</f>
        <v>125464.5</v>
      </c>
    </row>
    <row r="145" customFormat="false" ht="15" hidden="false" customHeight="false" outlineLevel="0" collapsed="false">
      <c r="A145" s="0" t="s">
        <v>498</v>
      </c>
      <c r="B145" s="0" t="s">
        <v>505</v>
      </c>
      <c r="C145" s="0" t="n">
        <v>2021</v>
      </c>
      <c r="D145" s="0" t="n">
        <v>3778</v>
      </c>
      <c r="E145" s="0" t="n">
        <v>332.1</v>
      </c>
      <c r="F145" s="0" t="n">
        <v>8.1</v>
      </c>
      <c r="G145" s="0" t="n">
        <v>7.8</v>
      </c>
      <c r="H145" s="0" t="n">
        <v>31.5</v>
      </c>
      <c r="I145" s="0" t="n">
        <f aca="false">D145*E145</f>
        <v>1254673.8</v>
      </c>
      <c r="J145" s="0" t="n">
        <f aca="false">D145*H145</f>
        <v>119007</v>
      </c>
    </row>
    <row r="146" customFormat="false" ht="15" hidden="false" customHeight="false" outlineLevel="0" collapsed="false">
      <c r="A146" s="0" t="s">
        <v>498</v>
      </c>
      <c r="B146" s="0" t="s">
        <v>506</v>
      </c>
      <c r="C146" s="0" t="n">
        <v>2016</v>
      </c>
      <c r="D146" s="0" t="n">
        <v>1103</v>
      </c>
      <c r="E146" s="0" t="n">
        <v>304.3</v>
      </c>
      <c r="F146" s="0" t="n">
        <v>10.3</v>
      </c>
      <c r="G146" s="0" t="n">
        <v>6.9</v>
      </c>
      <c r="H146" s="0" t="n">
        <v>25.6</v>
      </c>
      <c r="I146" s="0" t="n">
        <f aca="false">D146*E146</f>
        <v>335642.9</v>
      </c>
      <c r="J146" s="0" t="n">
        <f aca="false">D146*H146</f>
        <v>28236.8</v>
      </c>
    </row>
    <row r="147" customFormat="false" ht="15" hidden="false" customHeight="false" outlineLevel="0" collapsed="false">
      <c r="A147" s="0" t="s">
        <v>498</v>
      </c>
      <c r="B147" s="0" t="s">
        <v>506</v>
      </c>
      <c r="C147" s="0" t="n">
        <v>2017</v>
      </c>
      <c r="D147" s="0" t="n">
        <v>1215</v>
      </c>
      <c r="E147" s="0" t="n">
        <v>306.7</v>
      </c>
      <c r="F147" s="0" t="n">
        <v>10.4</v>
      </c>
      <c r="G147" s="0" t="n">
        <v>7</v>
      </c>
      <c r="H147" s="0" t="n">
        <v>25.7</v>
      </c>
      <c r="I147" s="0" t="n">
        <f aca="false">D147*E147</f>
        <v>372640.5</v>
      </c>
      <c r="J147" s="0" t="n">
        <f aca="false">D147*H147</f>
        <v>31225.5</v>
      </c>
    </row>
    <row r="148" customFormat="false" ht="15" hidden="false" customHeight="false" outlineLevel="0" collapsed="false">
      <c r="A148" s="0" t="s">
        <v>498</v>
      </c>
      <c r="B148" s="0" t="s">
        <v>506</v>
      </c>
      <c r="C148" s="0" t="n">
        <v>2018</v>
      </c>
      <c r="D148" s="0" t="n">
        <v>1464</v>
      </c>
      <c r="E148" s="0" t="n">
        <v>297</v>
      </c>
      <c r="F148" s="0" t="n">
        <v>9.7</v>
      </c>
      <c r="G148" s="0" t="n">
        <v>6.7</v>
      </c>
      <c r="H148" s="0" t="n">
        <v>26.1</v>
      </c>
      <c r="I148" s="0" t="n">
        <f aca="false">D148*E148</f>
        <v>434808</v>
      </c>
      <c r="J148" s="0" t="n">
        <f aca="false">D148*H148</f>
        <v>38210.4</v>
      </c>
    </row>
    <row r="149" customFormat="false" ht="15" hidden="false" customHeight="false" outlineLevel="0" collapsed="false">
      <c r="A149" s="0" t="s">
        <v>498</v>
      </c>
      <c r="B149" s="0" t="s">
        <v>506</v>
      </c>
      <c r="C149" s="0" t="n">
        <v>2019</v>
      </c>
      <c r="D149" s="0" t="n">
        <v>1764</v>
      </c>
      <c r="E149" s="0" t="n">
        <v>300.4</v>
      </c>
      <c r="F149" s="0" t="n">
        <v>9.5</v>
      </c>
      <c r="G149" s="0" t="n">
        <v>6.6</v>
      </c>
      <c r="H149" s="0" t="n">
        <v>26.9</v>
      </c>
      <c r="I149" s="0" t="n">
        <f aca="false">D149*E149</f>
        <v>529905.6</v>
      </c>
      <c r="J149" s="0" t="n">
        <f aca="false">D149*H149</f>
        <v>47451.6</v>
      </c>
    </row>
    <row r="150" customFormat="false" ht="15" hidden="false" customHeight="false" outlineLevel="0" collapsed="false">
      <c r="A150" s="0" t="s">
        <v>498</v>
      </c>
      <c r="B150" s="0" t="s">
        <v>506</v>
      </c>
      <c r="C150" s="0" t="n">
        <v>2020</v>
      </c>
      <c r="D150" s="0" t="n">
        <v>2183</v>
      </c>
      <c r="E150" s="0" t="n">
        <v>305</v>
      </c>
      <c r="F150" s="0" t="n">
        <v>9.4</v>
      </c>
      <c r="G150" s="0" t="n">
        <v>6.8</v>
      </c>
      <c r="H150" s="0" t="n">
        <v>27.9</v>
      </c>
      <c r="I150" s="0" t="n">
        <f aca="false">D150*E150</f>
        <v>665815</v>
      </c>
      <c r="J150" s="0" t="n">
        <f aca="false">D150*H150</f>
        <v>60905.7</v>
      </c>
    </row>
    <row r="151" customFormat="false" ht="15" hidden="false" customHeight="false" outlineLevel="0" collapsed="false">
      <c r="A151" s="0" t="s">
        <v>498</v>
      </c>
      <c r="B151" s="0" t="s">
        <v>506</v>
      </c>
      <c r="C151" s="0" t="n">
        <v>2021</v>
      </c>
      <c r="D151" s="0" t="n">
        <v>2144</v>
      </c>
      <c r="E151" s="0" t="n">
        <v>308</v>
      </c>
      <c r="F151" s="0" t="n">
        <v>9.5</v>
      </c>
      <c r="G151" s="0" t="n">
        <v>6.8</v>
      </c>
      <c r="H151" s="0" t="n">
        <v>28.2</v>
      </c>
      <c r="I151" s="0" t="n">
        <f aca="false">D151*E151</f>
        <v>660352</v>
      </c>
      <c r="J151" s="0" t="n">
        <f aca="false">D151*H151</f>
        <v>60460.8</v>
      </c>
    </row>
    <row r="152" customFormat="false" ht="15" hidden="false" customHeight="false" outlineLevel="0" collapsed="false">
      <c r="A152" s="0" t="s">
        <v>498</v>
      </c>
      <c r="B152" s="0" t="s">
        <v>508</v>
      </c>
      <c r="C152" s="0" t="n">
        <v>2016</v>
      </c>
      <c r="D152" s="0" t="n">
        <v>870</v>
      </c>
      <c r="E152" s="0" t="n">
        <v>319.3</v>
      </c>
      <c r="F152" s="0" t="n">
        <v>8.8</v>
      </c>
      <c r="G152" s="0" t="n">
        <v>8.7</v>
      </c>
      <c r="H152" s="0" t="n">
        <v>24.3</v>
      </c>
      <c r="I152" s="0" t="n">
        <f aca="false">D152*E152</f>
        <v>277791</v>
      </c>
      <c r="J152" s="0" t="n">
        <f aca="false">D152*H152</f>
        <v>21141</v>
      </c>
    </row>
    <row r="153" customFormat="false" ht="15" hidden="false" customHeight="false" outlineLevel="0" collapsed="false">
      <c r="A153" s="0" t="s">
        <v>498</v>
      </c>
      <c r="B153" s="0" t="s">
        <v>508</v>
      </c>
      <c r="C153" s="0" t="n">
        <v>2017</v>
      </c>
      <c r="D153" s="0" t="n">
        <v>865</v>
      </c>
      <c r="E153" s="0" t="n">
        <v>321.1</v>
      </c>
      <c r="F153" s="0" t="n">
        <v>8.8</v>
      </c>
      <c r="G153" s="0" t="n">
        <v>8.7</v>
      </c>
      <c r="H153" s="0" t="n">
        <v>24.6</v>
      </c>
      <c r="I153" s="0" t="n">
        <f aca="false">D153*E153</f>
        <v>277751.5</v>
      </c>
      <c r="J153" s="0" t="n">
        <f aca="false">D153*H153</f>
        <v>21279</v>
      </c>
    </row>
    <row r="154" customFormat="false" ht="15" hidden="false" customHeight="false" outlineLevel="0" collapsed="false">
      <c r="A154" s="0" t="s">
        <v>498</v>
      </c>
      <c r="B154" s="0" t="s">
        <v>508</v>
      </c>
      <c r="C154" s="0" t="n">
        <v>2018</v>
      </c>
      <c r="D154" s="0" t="n">
        <v>1016</v>
      </c>
      <c r="E154" s="0" t="n">
        <v>315.6</v>
      </c>
      <c r="F154" s="0" t="n">
        <v>8.4</v>
      </c>
      <c r="G154" s="0" t="n">
        <v>8.3</v>
      </c>
      <c r="H154" s="0" t="n">
        <v>24.6</v>
      </c>
      <c r="I154" s="0" t="n">
        <f aca="false">D154*E154</f>
        <v>320649.6</v>
      </c>
      <c r="J154" s="0" t="n">
        <f aca="false">D154*H154</f>
        <v>24993.6</v>
      </c>
    </row>
    <row r="155" customFormat="false" ht="15" hidden="false" customHeight="false" outlineLevel="0" collapsed="false">
      <c r="A155" s="0" t="s">
        <v>498</v>
      </c>
      <c r="B155" s="0" t="s">
        <v>508</v>
      </c>
      <c r="C155" s="0" t="n">
        <v>2019</v>
      </c>
      <c r="D155" s="0" t="n">
        <v>1106</v>
      </c>
      <c r="E155" s="0" t="n">
        <v>317</v>
      </c>
      <c r="F155" s="0" t="n">
        <v>8.3</v>
      </c>
      <c r="G155" s="0" t="n">
        <v>8.1</v>
      </c>
      <c r="H155" s="0" t="n">
        <v>29.1</v>
      </c>
      <c r="I155" s="0" t="n">
        <f aca="false">D155*E155</f>
        <v>350602</v>
      </c>
      <c r="J155" s="0" t="n">
        <f aca="false">D155*H155</f>
        <v>32184.6</v>
      </c>
    </row>
    <row r="156" customFormat="false" ht="15" hidden="false" customHeight="false" outlineLevel="0" collapsed="false">
      <c r="A156" s="0" t="s">
        <v>498</v>
      </c>
      <c r="B156" s="0" t="s">
        <v>508</v>
      </c>
      <c r="C156" s="0" t="n">
        <v>2020</v>
      </c>
      <c r="D156" s="0" t="n">
        <v>1249</v>
      </c>
      <c r="E156" s="0" t="n">
        <v>314.3</v>
      </c>
      <c r="F156" s="0" t="n">
        <v>8.1</v>
      </c>
      <c r="G156" s="0" t="n">
        <v>8.3</v>
      </c>
      <c r="H156" s="0" t="n">
        <v>28.2</v>
      </c>
      <c r="I156" s="0" t="n">
        <f aca="false">D156*E156</f>
        <v>392560.7</v>
      </c>
      <c r="J156" s="0" t="n">
        <f aca="false">D156*H156</f>
        <v>35221.8</v>
      </c>
    </row>
    <row r="157" customFormat="false" ht="15" hidden="false" customHeight="false" outlineLevel="0" collapsed="false">
      <c r="A157" s="0" t="s">
        <v>498</v>
      </c>
      <c r="B157" s="0" t="s">
        <v>508</v>
      </c>
      <c r="C157" s="0" t="n">
        <v>2021</v>
      </c>
      <c r="D157" s="0" t="n">
        <v>1265</v>
      </c>
      <c r="E157" s="0" t="n">
        <v>313.3</v>
      </c>
      <c r="F157" s="0" t="n">
        <v>8</v>
      </c>
      <c r="G157" s="0" t="n">
        <v>8.1</v>
      </c>
      <c r="H157" s="0" t="n">
        <v>28.1</v>
      </c>
      <c r="I157" s="0" t="n">
        <f aca="false">D157*E157</f>
        <v>396324.5</v>
      </c>
      <c r="J157" s="0" t="n">
        <f aca="false">D157*H157</f>
        <v>35546.5</v>
      </c>
    </row>
    <row r="158" customFormat="false" ht="15" hidden="false" customHeight="false" outlineLevel="0" collapsed="false">
      <c r="A158" s="0" t="s">
        <v>498</v>
      </c>
      <c r="B158" s="0" t="s">
        <v>509</v>
      </c>
      <c r="C158" s="0" t="n">
        <v>2016</v>
      </c>
      <c r="D158" s="0" t="n">
        <v>2468</v>
      </c>
      <c r="E158" s="0" t="n">
        <v>315.8</v>
      </c>
      <c r="F158" s="0" t="n">
        <v>8.8</v>
      </c>
      <c r="G158" s="0" t="n">
        <v>7.1</v>
      </c>
      <c r="H158" s="0" t="n">
        <v>24.4</v>
      </c>
      <c r="I158" s="0" t="n">
        <f aca="false">D158*E158</f>
        <v>779394.4</v>
      </c>
      <c r="J158" s="0" t="n">
        <f aca="false">D158*H158</f>
        <v>60219.2</v>
      </c>
    </row>
    <row r="159" customFormat="false" ht="15" hidden="false" customHeight="false" outlineLevel="0" collapsed="false">
      <c r="A159" s="0" t="s">
        <v>498</v>
      </c>
      <c r="B159" s="0" t="s">
        <v>509</v>
      </c>
      <c r="C159" s="0" t="n">
        <v>2017</v>
      </c>
      <c r="D159" s="0" t="n">
        <v>2484</v>
      </c>
      <c r="E159" s="0" t="n">
        <v>317.2</v>
      </c>
      <c r="F159" s="0" t="n">
        <v>8.7</v>
      </c>
      <c r="G159" s="0" t="n">
        <v>7.1</v>
      </c>
      <c r="H159" s="0" t="n">
        <v>24.4</v>
      </c>
      <c r="I159" s="0" t="n">
        <f aca="false">D159*E159</f>
        <v>787924.8</v>
      </c>
      <c r="J159" s="0" t="n">
        <f aca="false">D159*H159</f>
        <v>60609.6</v>
      </c>
    </row>
    <row r="160" customFormat="false" ht="15" hidden="false" customHeight="false" outlineLevel="0" collapsed="false">
      <c r="A160" s="0" t="s">
        <v>498</v>
      </c>
      <c r="B160" s="0" t="s">
        <v>509</v>
      </c>
      <c r="C160" s="0" t="n">
        <v>2018</v>
      </c>
      <c r="D160" s="0" t="n">
        <v>2820</v>
      </c>
      <c r="E160" s="0" t="n">
        <v>311.2</v>
      </c>
      <c r="F160" s="0" t="n">
        <v>8.2</v>
      </c>
      <c r="G160" s="0" t="n">
        <v>7</v>
      </c>
      <c r="H160" s="0" t="n">
        <v>25.3</v>
      </c>
      <c r="I160" s="0" t="n">
        <f aca="false">D160*E160</f>
        <v>877584</v>
      </c>
      <c r="J160" s="0" t="n">
        <f aca="false">D160*H160</f>
        <v>71346</v>
      </c>
    </row>
    <row r="161" customFormat="false" ht="15" hidden="false" customHeight="false" outlineLevel="0" collapsed="false">
      <c r="A161" s="0" t="s">
        <v>498</v>
      </c>
      <c r="B161" s="0" t="s">
        <v>509</v>
      </c>
      <c r="C161" s="0" t="n">
        <v>2019</v>
      </c>
      <c r="D161" s="0" t="n">
        <v>3088</v>
      </c>
      <c r="E161" s="0" t="n">
        <v>309.8</v>
      </c>
      <c r="F161" s="0" t="n">
        <v>8.1</v>
      </c>
      <c r="G161" s="0" t="n">
        <v>7</v>
      </c>
      <c r="H161" s="0" t="n">
        <v>25.2</v>
      </c>
      <c r="I161" s="0" t="n">
        <f aca="false">D161*E161</f>
        <v>956662.4</v>
      </c>
      <c r="J161" s="0" t="n">
        <f aca="false">D161*H161</f>
        <v>77817.6</v>
      </c>
    </row>
    <row r="162" customFormat="false" ht="15" hidden="false" customHeight="false" outlineLevel="0" collapsed="false">
      <c r="A162" s="0" t="s">
        <v>498</v>
      </c>
      <c r="B162" s="0" t="s">
        <v>509</v>
      </c>
      <c r="C162" s="0" t="n">
        <v>2020</v>
      </c>
      <c r="D162" s="0" t="n">
        <v>3594</v>
      </c>
      <c r="E162" s="0" t="n">
        <v>312.7</v>
      </c>
      <c r="F162" s="0" t="n">
        <v>8</v>
      </c>
      <c r="G162" s="0" t="n">
        <v>7</v>
      </c>
      <c r="H162" s="0" t="n">
        <v>27.1</v>
      </c>
      <c r="I162" s="0" t="n">
        <f aca="false">D162*E162</f>
        <v>1123843.8</v>
      </c>
      <c r="J162" s="0" t="n">
        <f aca="false">D162*H162</f>
        <v>97397.4</v>
      </c>
    </row>
    <row r="163" customFormat="false" ht="15" hidden="false" customHeight="false" outlineLevel="0" collapsed="false">
      <c r="A163" s="0" t="s">
        <v>498</v>
      </c>
      <c r="B163" s="0" t="s">
        <v>509</v>
      </c>
      <c r="C163" s="0" t="n">
        <v>2021</v>
      </c>
      <c r="D163" s="0" t="n">
        <v>3319</v>
      </c>
      <c r="E163" s="0" t="n">
        <v>322.1</v>
      </c>
      <c r="F163" s="0" t="n">
        <v>8.2</v>
      </c>
      <c r="G163" s="0" t="n">
        <v>7.3</v>
      </c>
      <c r="H163" s="0" t="n">
        <v>26.9</v>
      </c>
      <c r="I163" s="0" t="n">
        <f aca="false">D163*E163</f>
        <v>1069049.9</v>
      </c>
      <c r="J163" s="0" t="n">
        <f aca="false">D163*H163</f>
        <v>89281.1</v>
      </c>
    </row>
    <row r="164" customFormat="false" ht="15" hidden="false" customHeight="false" outlineLevel="0" collapsed="false">
      <c r="A164" s="0" t="s">
        <v>498</v>
      </c>
      <c r="B164" s="0" t="s">
        <v>511</v>
      </c>
      <c r="C164" s="0" t="n">
        <v>2016</v>
      </c>
      <c r="D164" s="0" t="n">
        <v>284</v>
      </c>
      <c r="E164" s="0" t="n">
        <v>177</v>
      </c>
      <c r="F164" s="0" t="n">
        <v>7.1</v>
      </c>
      <c r="G164" s="0" t="n">
        <v>4.5</v>
      </c>
      <c r="H164" s="0" t="n">
        <v>31</v>
      </c>
      <c r="I164" s="0" t="n">
        <f aca="false">D164*E164</f>
        <v>50268</v>
      </c>
      <c r="J164" s="0" t="n">
        <f aca="false">D164*H164</f>
        <v>8804</v>
      </c>
    </row>
    <row r="165" customFormat="false" ht="15" hidden="false" customHeight="false" outlineLevel="0" collapsed="false">
      <c r="A165" s="0" t="s">
        <v>498</v>
      </c>
      <c r="B165" s="0" t="s">
        <v>511</v>
      </c>
      <c r="C165" s="0" t="n">
        <v>2017</v>
      </c>
      <c r="D165" s="0" t="n">
        <v>237</v>
      </c>
      <c r="E165" s="0" t="n">
        <v>191.4</v>
      </c>
      <c r="F165" s="0" t="n">
        <v>7.3</v>
      </c>
      <c r="G165" s="0" t="n">
        <v>4.7</v>
      </c>
      <c r="H165" s="0" t="n">
        <v>34.2</v>
      </c>
      <c r="I165" s="0" t="n">
        <f aca="false">D165*E165</f>
        <v>45361.8</v>
      </c>
      <c r="J165" s="0" t="n">
        <f aca="false">D165*H165</f>
        <v>8105.4</v>
      </c>
    </row>
    <row r="166" customFormat="false" ht="15" hidden="false" customHeight="false" outlineLevel="0" collapsed="false">
      <c r="A166" s="0" t="s">
        <v>498</v>
      </c>
      <c r="B166" s="0" t="s">
        <v>511</v>
      </c>
      <c r="C166" s="0" t="n">
        <v>2018</v>
      </c>
      <c r="D166" s="0" t="n">
        <v>273</v>
      </c>
      <c r="E166" s="0" t="n">
        <v>168.9</v>
      </c>
      <c r="F166" s="0" t="n">
        <v>6.1</v>
      </c>
      <c r="G166" s="0" t="n">
        <v>4.3</v>
      </c>
      <c r="H166" s="0" t="n">
        <v>33.7</v>
      </c>
      <c r="I166" s="0" t="n">
        <f aca="false">D166*E166</f>
        <v>46109.7</v>
      </c>
      <c r="J166" s="0" t="n">
        <f aca="false">D166*H166</f>
        <v>9200.1</v>
      </c>
    </row>
    <row r="167" customFormat="false" ht="15" hidden="false" customHeight="false" outlineLevel="0" collapsed="false">
      <c r="A167" s="0" t="s">
        <v>498</v>
      </c>
      <c r="B167" s="0" t="s">
        <v>511</v>
      </c>
      <c r="C167" s="0" t="n">
        <v>2019</v>
      </c>
      <c r="D167" s="0" t="n">
        <v>221</v>
      </c>
      <c r="E167" s="0" t="n">
        <v>175.3</v>
      </c>
      <c r="F167" s="0" t="n">
        <v>6.3</v>
      </c>
      <c r="G167" s="0" t="n">
        <v>4.3</v>
      </c>
      <c r="H167" s="0" t="n">
        <v>37.5</v>
      </c>
      <c r="I167" s="0" t="n">
        <f aca="false">D167*E167</f>
        <v>38741.3</v>
      </c>
      <c r="J167" s="0" t="n">
        <f aca="false">D167*H167</f>
        <v>8287.5</v>
      </c>
    </row>
    <row r="168" customFormat="false" ht="15" hidden="false" customHeight="false" outlineLevel="0" collapsed="false">
      <c r="A168" s="0" t="s">
        <v>498</v>
      </c>
      <c r="B168" s="0" t="s">
        <v>511</v>
      </c>
      <c r="C168" s="0" t="n">
        <v>2020</v>
      </c>
      <c r="D168" s="0" t="n">
        <v>163</v>
      </c>
      <c r="E168" s="0" t="n">
        <v>192.3</v>
      </c>
      <c r="F168" s="0" t="n">
        <v>7.3</v>
      </c>
      <c r="G168" s="0" t="n">
        <v>4.6</v>
      </c>
      <c r="H168" s="0" t="n">
        <v>38.7</v>
      </c>
      <c r="I168" s="0" t="n">
        <f aca="false">D168*E168</f>
        <v>31344.9</v>
      </c>
      <c r="J168" s="0" t="n">
        <f aca="false">D168*H168</f>
        <v>6308.1</v>
      </c>
    </row>
    <row r="169" customFormat="false" ht="15" hidden="false" customHeight="false" outlineLevel="0" collapsed="false">
      <c r="A169" s="0" t="s">
        <v>498</v>
      </c>
      <c r="B169" s="0" t="s">
        <v>511</v>
      </c>
      <c r="C169" s="0" t="n">
        <v>2021</v>
      </c>
      <c r="D169" s="0" t="n">
        <v>179</v>
      </c>
      <c r="E169" s="0" t="n">
        <v>193.2</v>
      </c>
      <c r="F169" s="0" t="n">
        <v>6.5</v>
      </c>
      <c r="G169" s="0" t="n">
        <v>4.6</v>
      </c>
      <c r="H169" s="0" t="n">
        <v>43.4</v>
      </c>
      <c r="I169" s="0" t="n">
        <f aca="false">D169*E169</f>
        <v>34582.8</v>
      </c>
      <c r="J169" s="0" t="n">
        <f aca="false">D169*H169</f>
        <v>7768.6</v>
      </c>
    </row>
    <row r="170" customFormat="false" ht="15" hidden="false" customHeight="false" outlineLevel="0" collapsed="false">
      <c r="A170" s="0" t="s">
        <v>498</v>
      </c>
      <c r="B170" s="0" t="s">
        <v>512</v>
      </c>
      <c r="C170" s="0" t="n">
        <v>2016</v>
      </c>
      <c r="D170" s="0" t="n">
        <v>176</v>
      </c>
      <c r="E170" s="0" t="n">
        <v>330.6</v>
      </c>
      <c r="F170" s="0" t="n">
        <v>7.5</v>
      </c>
      <c r="G170" s="0" t="n">
        <v>9.3</v>
      </c>
      <c r="H170" s="0" t="n">
        <v>21.9</v>
      </c>
      <c r="I170" s="0" t="n">
        <f aca="false">D170*E170</f>
        <v>58185.6</v>
      </c>
      <c r="J170" s="0" t="n">
        <f aca="false">D170*H170</f>
        <v>3854.4</v>
      </c>
    </row>
    <row r="171" customFormat="false" ht="15" hidden="false" customHeight="false" outlineLevel="0" collapsed="false">
      <c r="A171" s="0" t="s">
        <v>498</v>
      </c>
      <c r="B171" s="0" t="s">
        <v>512</v>
      </c>
      <c r="C171" s="0" t="n">
        <v>2017</v>
      </c>
      <c r="D171" s="0" t="n">
        <v>159</v>
      </c>
      <c r="E171" s="0" t="n">
        <v>315.8</v>
      </c>
      <c r="F171" s="0" t="n">
        <v>7.2</v>
      </c>
      <c r="G171" s="0" t="n">
        <v>9.1</v>
      </c>
      <c r="H171" s="0" t="n">
        <v>21.6</v>
      </c>
      <c r="I171" s="0" t="n">
        <f aca="false">D171*E171</f>
        <v>50212.2</v>
      </c>
      <c r="J171" s="0" t="n">
        <f aca="false">D171*H171</f>
        <v>3434.4</v>
      </c>
    </row>
    <row r="172" customFormat="false" ht="15" hidden="false" customHeight="false" outlineLevel="0" collapsed="false">
      <c r="A172" s="0" t="s">
        <v>498</v>
      </c>
      <c r="B172" s="0" t="s">
        <v>512</v>
      </c>
      <c r="C172" s="0" t="n">
        <v>2018</v>
      </c>
      <c r="D172" s="0" t="n">
        <v>174</v>
      </c>
      <c r="E172" s="0" t="n">
        <v>318.9</v>
      </c>
      <c r="F172" s="0" t="n">
        <v>6.7</v>
      </c>
      <c r="G172" s="0" t="n">
        <v>8.9</v>
      </c>
      <c r="H172" s="0" t="n">
        <v>22.7</v>
      </c>
      <c r="I172" s="0" t="n">
        <f aca="false">D172*E172</f>
        <v>55488.6</v>
      </c>
      <c r="J172" s="0" t="n">
        <f aca="false">D172*H172</f>
        <v>3949.8</v>
      </c>
    </row>
    <row r="173" customFormat="false" ht="15" hidden="false" customHeight="false" outlineLevel="0" collapsed="false">
      <c r="A173" s="0" t="s">
        <v>498</v>
      </c>
      <c r="B173" s="0" t="s">
        <v>512</v>
      </c>
      <c r="C173" s="0" t="n">
        <v>2019</v>
      </c>
      <c r="D173" s="0" t="n">
        <v>213</v>
      </c>
      <c r="E173" s="0" t="n">
        <v>330.7</v>
      </c>
      <c r="F173" s="0" t="n">
        <v>6.6</v>
      </c>
      <c r="G173" s="0" t="n">
        <v>9.3</v>
      </c>
      <c r="H173" s="0" t="n">
        <v>22.7</v>
      </c>
      <c r="I173" s="0" t="n">
        <f aca="false">D173*E173</f>
        <v>70439.1</v>
      </c>
      <c r="J173" s="0" t="n">
        <f aca="false">D173*H173</f>
        <v>4835.1</v>
      </c>
    </row>
    <row r="174" customFormat="false" ht="15" hidden="false" customHeight="false" outlineLevel="0" collapsed="false">
      <c r="A174" s="0" t="s">
        <v>498</v>
      </c>
      <c r="B174" s="0" t="s">
        <v>512</v>
      </c>
      <c r="C174" s="0" t="n">
        <v>2020</v>
      </c>
      <c r="D174" s="0" t="n">
        <v>200</v>
      </c>
      <c r="E174" s="0" t="n">
        <v>316.4</v>
      </c>
      <c r="F174" s="0" t="n">
        <v>6.8</v>
      </c>
      <c r="G174" s="0" t="n">
        <v>8.6</v>
      </c>
      <c r="H174" s="0" t="n">
        <v>21.5</v>
      </c>
      <c r="I174" s="0" t="n">
        <f aca="false">D174*E174</f>
        <v>63280</v>
      </c>
      <c r="J174" s="0" t="n">
        <f aca="false">D174*H174</f>
        <v>4300</v>
      </c>
    </row>
    <row r="175" customFormat="false" ht="15" hidden="false" customHeight="false" outlineLevel="0" collapsed="false">
      <c r="A175" s="0" t="s">
        <v>498</v>
      </c>
      <c r="B175" s="0" t="s">
        <v>512</v>
      </c>
      <c r="C175" s="0" t="n">
        <v>2021</v>
      </c>
      <c r="D175" s="0" t="n">
        <v>257</v>
      </c>
      <c r="E175" s="0" t="n">
        <v>323.6</v>
      </c>
      <c r="F175" s="0" t="n">
        <v>6.7</v>
      </c>
      <c r="G175" s="0" t="n">
        <v>8.7</v>
      </c>
      <c r="H175" s="0" t="n">
        <v>23</v>
      </c>
      <c r="I175" s="0" t="n">
        <f aca="false">D175*E175</f>
        <v>83165.2</v>
      </c>
      <c r="J175" s="0" t="n">
        <f aca="false">D175*H175</f>
        <v>5911</v>
      </c>
    </row>
    <row r="176" customFormat="false" ht="15" hidden="false" customHeight="false" outlineLevel="0" collapsed="false">
      <c r="A176" s="0" t="s">
        <v>498</v>
      </c>
      <c r="B176" s="0" t="s">
        <v>513</v>
      </c>
      <c r="C176" s="0" t="n">
        <v>2016</v>
      </c>
      <c r="D176" s="0" t="n">
        <v>23158</v>
      </c>
      <c r="E176" s="0" t="n">
        <v>311.8</v>
      </c>
      <c r="F176" s="0" t="n">
        <v>9.4</v>
      </c>
      <c r="G176" s="0" t="n">
        <v>7</v>
      </c>
      <c r="H176" s="0" t="n">
        <v>26.3</v>
      </c>
      <c r="I176" s="0" t="n">
        <f aca="false">D176*E176</f>
        <v>7220664.4</v>
      </c>
      <c r="J176" s="0" t="n">
        <f aca="false">D176*H176</f>
        <v>609055.4</v>
      </c>
    </row>
    <row r="177" customFormat="false" ht="15" hidden="false" customHeight="false" outlineLevel="0" collapsed="false">
      <c r="A177" s="0" t="s">
        <v>498</v>
      </c>
      <c r="B177" s="0" t="s">
        <v>513</v>
      </c>
      <c r="C177" s="0" t="n">
        <v>2017</v>
      </c>
      <c r="D177" s="0" t="n">
        <v>22888</v>
      </c>
      <c r="E177" s="0" t="n">
        <v>313.8</v>
      </c>
      <c r="F177" s="0" t="n">
        <v>9.3</v>
      </c>
      <c r="G177" s="0" t="n">
        <v>7</v>
      </c>
      <c r="H177" s="0" t="n">
        <v>26.5</v>
      </c>
      <c r="I177" s="0" t="n">
        <f aca="false">D177*E177</f>
        <v>7182254.4</v>
      </c>
      <c r="J177" s="0" t="n">
        <f aca="false">D177*H177</f>
        <v>606532</v>
      </c>
    </row>
    <row r="178" customFormat="false" ht="15" hidden="false" customHeight="false" outlineLevel="0" collapsed="false">
      <c r="A178" s="0" t="s">
        <v>498</v>
      </c>
      <c r="B178" s="0" t="s">
        <v>513</v>
      </c>
      <c r="C178" s="0" t="n">
        <v>2018</v>
      </c>
      <c r="D178" s="0" t="n">
        <v>27050</v>
      </c>
      <c r="E178" s="0" t="n">
        <v>307.9</v>
      </c>
      <c r="F178" s="0" t="n">
        <v>8.9</v>
      </c>
      <c r="G178" s="0" t="n">
        <v>6.9</v>
      </c>
      <c r="H178" s="0" t="n">
        <v>27.5</v>
      </c>
      <c r="I178" s="0" t="n">
        <f aca="false">D178*E178</f>
        <v>8328695</v>
      </c>
      <c r="J178" s="0" t="n">
        <f aca="false">D178*H178</f>
        <v>743875</v>
      </c>
    </row>
    <row r="179" customFormat="false" ht="15" hidden="false" customHeight="false" outlineLevel="0" collapsed="false">
      <c r="A179" s="0" t="s">
        <v>498</v>
      </c>
      <c r="B179" s="0" t="s">
        <v>513</v>
      </c>
      <c r="C179" s="0" t="n">
        <v>2019</v>
      </c>
      <c r="D179" s="0" t="n">
        <v>29484</v>
      </c>
      <c r="E179" s="0" t="n">
        <v>307.5</v>
      </c>
      <c r="F179" s="0" t="n">
        <v>8.8</v>
      </c>
      <c r="G179" s="0" t="n">
        <v>6.8</v>
      </c>
      <c r="H179" s="0" t="n">
        <v>27.1</v>
      </c>
      <c r="I179" s="0" t="n">
        <f aca="false">D179*E179</f>
        <v>9066330</v>
      </c>
      <c r="J179" s="0" t="n">
        <f aca="false">D179*H179</f>
        <v>799016.4</v>
      </c>
    </row>
    <row r="180" customFormat="false" ht="15" hidden="false" customHeight="false" outlineLevel="0" collapsed="false">
      <c r="A180" s="0" t="s">
        <v>498</v>
      </c>
      <c r="B180" s="0" t="s">
        <v>513</v>
      </c>
      <c r="C180" s="0" t="n">
        <v>2020</v>
      </c>
      <c r="D180" s="0" t="n">
        <v>33134</v>
      </c>
      <c r="E180" s="0" t="n">
        <v>309.7</v>
      </c>
      <c r="F180" s="0" t="n">
        <v>8.7</v>
      </c>
      <c r="G180" s="0" t="n">
        <v>6.9</v>
      </c>
      <c r="H180" s="0" t="n">
        <v>27.4</v>
      </c>
      <c r="I180" s="0" t="n">
        <f aca="false">D180*E180</f>
        <v>10261599.8</v>
      </c>
      <c r="J180" s="0" t="n">
        <f aca="false">D180*H180</f>
        <v>907871.6</v>
      </c>
    </row>
    <row r="181" customFormat="false" ht="15" hidden="false" customHeight="false" outlineLevel="0" collapsed="false">
      <c r="A181" s="0" t="s">
        <v>498</v>
      </c>
      <c r="B181" s="0" t="s">
        <v>513</v>
      </c>
      <c r="C181" s="0" t="n">
        <v>2021</v>
      </c>
      <c r="D181" s="0" t="n">
        <v>31140</v>
      </c>
      <c r="E181" s="0" t="n">
        <v>316.2</v>
      </c>
      <c r="F181" s="0" t="n">
        <v>8.8</v>
      </c>
      <c r="G181" s="0" t="n">
        <v>7.1</v>
      </c>
      <c r="H181" s="0" t="n">
        <v>28.2</v>
      </c>
      <c r="I181" s="0" t="n">
        <f aca="false">D181*E181</f>
        <v>9846468</v>
      </c>
      <c r="J181" s="0" t="n">
        <f aca="false">D181*H181</f>
        <v>878148</v>
      </c>
    </row>
    <row r="182" customFormat="false" ht="15" hidden="false" customHeight="false" outlineLevel="0" collapsed="false">
      <c r="A182" s="0" t="s">
        <v>499</v>
      </c>
      <c r="B182" s="0" t="s">
        <v>489</v>
      </c>
      <c r="C182" s="0" t="n">
        <v>2016</v>
      </c>
      <c r="D182" s="0" t="n">
        <v>11185</v>
      </c>
      <c r="E182" s="0" t="n">
        <v>326.5</v>
      </c>
      <c r="F182" s="0" t="n">
        <v>7.9</v>
      </c>
      <c r="G182" s="0" t="n">
        <v>4.8</v>
      </c>
      <c r="H182" s="0" t="n">
        <v>28</v>
      </c>
      <c r="I182" s="0" t="n">
        <f aca="false">D182*E182</f>
        <v>3651902.5</v>
      </c>
      <c r="J182" s="0" t="n">
        <f aca="false">D182*H182</f>
        <v>313180</v>
      </c>
    </row>
    <row r="183" customFormat="false" ht="15" hidden="false" customHeight="false" outlineLevel="0" collapsed="false">
      <c r="A183" s="0" t="s">
        <v>499</v>
      </c>
      <c r="B183" s="0" t="s">
        <v>489</v>
      </c>
      <c r="C183" s="0" t="n">
        <v>2017</v>
      </c>
      <c r="D183" s="0" t="n">
        <v>10763</v>
      </c>
      <c r="E183" s="0" t="n">
        <v>327.4</v>
      </c>
      <c r="F183" s="0" t="n">
        <v>7.9</v>
      </c>
      <c r="G183" s="0" t="n">
        <v>4.8</v>
      </c>
      <c r="H183" s="0" t="n">
        <v>28.7</v>
      </c>
      <c r="I183" s="0" t="n">
        <f aca="false">D183*E183</f>
        <v>3523806.2</v>
      </c>
      <c r="J183" s="0" t="n">
        <f aca="false">D183*H183</f>
        <v>308898.1</v>
      </c>
    </row>
    <row r="184" customFormat="false" ht="15" hidden="false" customHeight="false" outlineLevel="0" collapsed="false">
      <c r="A184" s="0" t="s">
        <v>499</v>
      </c>
      <c r="B184" s="0" t="s">
        <v>489</v>
      </c>
      <c r="C184" s="0" t="n">
        <v>2018</v>
      </c>
      <c r="D184" s="0" t="n">
        <v>10031</v>
      </c>
      <c r="E184" s="0" t="n">
        <v>324.7</v>
      </c>
      <c r="F184" s="0" t="n">
        <v>7.5</v>
      </c>
      <c r="G184" s="0" t="n">
        <v>4.7</v>
      </c>
      <c r="H184" s="0" t="n">
        <v>29.8</v>
      </c>
      <c r="I184" s="0" t="n">
        <f aca="false">D184*E184</f>
        <v>3257065.7</v>
      </c>
      <c r="J184" s="0" t="n">
        <f aca="false">D184*H184</f>
        <v>298923.8</v>
      </c>
    </row>
    <row r="185" customFormat="false" ht="15" hidden="false" customHeight="false" outlineLevel="0" collapsed="false">
      <c r="A185" s="0" t="s">
        <v>499</v>
      </c>
      <c r="B185" s="0" t="s">
        <v>489</v>
      </c>
      <c r="C185" s="0" t="n">
        <v>2019</v>
      </c>
      <c r="D185" s="0" t="n">
        <v>8586</v>
      </c>
      <c r="E185" s="0" t="n">
        <v>324.9</v>
      </c>
      <c r="F185" s="0" t="n">
        <v>7.3</v>
      </c>
      <c r="G185" s="0" t="n">
        <v>4.6</v>
      </c>
      <c r="H185" s="0" t="n">
        <v>30.9</v>
      </c>
      <c r="I185" s="0" t="n">
        <f aca="false">D185*E185</f>
        <v>2789591.4</v>
      </c>
      <c r="J185" s="0" t="n">
        <f aca="false">D185*H185</f>
        <v>265307.4</v>
      </c>
    </row>
    <row r="186" customFormat="false" ht="15" hidden="false" customHeight="false" outlineLevel="0" collapsed="false">
      <c r="A186" s="0" t="s">
        <v>499</v>
      </c>
      <c r="B186" s="0" t="s">
        <v>489</v>
      </c>
      <c r="C186" s="0" t="n">
        <v>2020</v>
      </c>
      <c r="D186" s="0" t="n">
        <v>8434</v>
      </c>
      <c r="E186" s="0" t="n">
        <v>326.7</v>
      </c>
      <c r="F186" s="0" t="n">
        <v>7.3</v>
      </c>
      <c r="G186" s="0" t="n">
        <v>4.6</v>
      </c>
      <c r="H186" s="0" t="n">
        <v>31.9</v>
      </c>
      <c r="I186" s="0" t="n">
        <f aca="false">D186*E186</f>
        <v>2755387.8</v>
      </c>
      <c r="J186" s="0" t="n">
        <f aca="false">D186*H186</f>
        <v>269044.6</v>
      </c>
    </row>
    <row r="187" customFormat="false" ht="15" hidden="false" customHeight="false" outlineLevel="0" collapsed="false">
      <c r="A187" s="0" t="s">
        <v>499</v>
      </c>
      <c r="B187" s="0" t="s">
        <v>489</v>
      </c>
      <c r="C187" s="0" t="n">
        <v>2021</v>
      </c>
      <c r="D187" s="0" t="n">
        <v>7586</v>
      </c>
      <c r="E187" s="0" t="n">
        <v>332.4</v>
      </c>
      <c r="F187" s="0" t="n">
        <v>7.4</v>
      </c>
      <c r="G187" s="0" t="n">
        <v>4.8</v>
      </c>
      <c r="H187" s="0" t="n">
        <v>33.4</v>
      </c>
      <c r="I187" s="0" t="n">
        <f aca="false">D187*E187</f>
        <v>2521586.4</v>
      </c>
      <c r="J187" s="0" t="n">
        <f aca="false">D187*H187</f>
        <v>253372.4</v>
      </c>
    </row>
    <row r="188" customFormat="false" ht="15" hidden="false" customHeight="false" outlineLevel="0" collapsed="false">
      <c r="A188" s="0" t="s">
        <v>499</v>
      </c>
      <c r="B188" s="0" t="s">
        <v>497</v>
      </c>
      <c r="C188" s="0" t="n">
        <v>2016</v>
      </c>
      <c r="D188" s="0" t="n">
        <v>12148</v>
      </c>
      <c r="E188" s="0" t="n">
        <v>325.7</v>
      </c>
      <c r="F188" s="0" t="n">
        <v>7.7</v>
      </c>
      <c r="G188" s="0" t="n">
        <v>4.2</v>
      </c>
      <c r="H188" s="0" t="n">
        <v>27.8</v>
      </c>
      <c r="I188" s="0" t="n">
        <f aca="false">D188*E188</f>
        <v>3956603.6</v>
      </c>
      <c r="J188" s="0" t="n">
        <f aca="false">D188*H188</f>
        <v>337714.4</v>
      </c>
    </row>
    <row r="189" customFormat="false" ht="15" hidden="false" customHeight="false" outlineLevel="0" collapsed="false">
      <c r="A189" s="0" t="s">
        <v>499</v>
      </c>
      <c r="B189" s="0" t="s">
        <v>497</v>
      </c>
      <c r="C189" s="0" t="n">
        <v>2017</v>
      </c>
      <c r="D189" s="0" t="n">
        <v>12969</v>
      </c>
      <c r="E189" s="0" t="n">
        <v>326.9</v>
      </c>
      <c r="F189" s="0" t="n">
        <v>7.6</v>
      </c>
      <c r="G189" s="0" t="n">
        <v>4.1</v>
      </c>
      <c r="H189" s="0" t="n">
        <v>28.4</v>
      </c>
      <c r="I189" s="0" t="n">
        <f aca="false">D189*E189</f>
        <v>4239566.1</v>
      </c>
      <c r="J189" s="0" t="n">
        <f aca="false">D189*H189</f>
        <v>368319.6</v>
      </c>
    </row>
    <row r="190" customFormat="false" ht="15" hidden="false" customHeight="false" outlineLevel="0" collapsed="false">
      <c r="A190" s="0" t="s">
        <v>499</v>
      </c>
      <c r="B190" s="0" t="s">
        <v>497</v>
      </c>
      <c r="C190" s="0" t="n">
        <v>2018</v>
      </c>
      <c r="D190" s="0" t="n">
        <v>12251</v>
      </c>
      <c r="E190" s="0" t="n">
        <v>322.2</v>
      </c>
      <c r="F190" s="0" t="n">
        <v>7.2</v>
      </c>
      <c r="G190" s="0" t="n">
        <v>4</v>
      </c>
      <c r="H190" s="0" t="n">
        <v>29.5</v>
      </c>
      <c r="I190" s="0" t="n">
        <f aca="false">D190*E190</f>
        <v>3947272.2</v>
      </c>
      <c r="J190" s="0" t="n">
        <f aca="false">D190*H190</f>
        <v>361404.5</v>
      </c>
    </row>
    <row r="191" customFormat="false" ht="15" hidden="false" customHeight="false" outlineLevel="0" collapsed="false">
      <c r="A191" s="0" t="s">
        <v>499</v>
      </c>
      <c r="B191" s="0" t="s">
        <v>497</v>
      </c>
      <c r="C191" s="0" t="n">
        <v>2019</v>
      </c>
      <c r="D191" s="0" t="n">
        <v>11456</v>
      </c>
      <c r="E191" s="0" t="n">
        <v>323.8</v>
      </c>
      <c r="F191" s="0" t="n">
        <v>7.1</v>
      </c>
      <c r="G191" s="0" t="n">
        <v>4</v>
      </c>
      <c r="H191" s="0" t="n">
        <v>31.5</v>
      </c>
      <c r="I191" s="0" t="n">
        <f aca="false">D191*E191</f>
        <v>3709452.8</v>
      </c>
      <c r="J191" s="0" t="n">
        <f aca="false">D191*H191</f>
        <v>360864</v>
      </c>
    </row>
    <row r="192" customFormat="false" ht="15" hidden="false" customHeight="false" outlineLevel="0" collapsed="false">
      <c r="A192" s="0" t="s">
        <v>499</v>
      </c>
      <c r="B192" s="0" t="s">
        <v>497</v>
      </c>
      <c r="C192" s="0" t="n">
        <v>2020</v>
      </c>
      <c r="D192" s="0" t="n">
        <v>11044</v>
      </c>
      <c r="E192" s="0" t="n">
        <v>329.5</v>
      </c>
      <c r="F192" s="0" t="n">
        <v>7.2</v>
      </c>
      <c r="G192" s="0" t="n">
        <v>4.1</v>
      </c>
      <c r="H192" s="0" t="n">
        <v>31.6</v>
      </c>
      <c r="I192" s="0" t="n">
        <f aca="false">D192*E192</f>
        <v>3638998</v>
      </c>
      <c r="J192" s="0" t="n">
        <f aca="false">D192*H192</f>
        <v>348990.4</v>
      </c>
    </row>
    <row r="193" customFormat="false" ht="15" hidden="false" customHeight="false" outlineLevel="0" collapsed="false">
      <c r="A193" s="0" t="s">
        <v>499</v>
      </c>
      <c r="B193" s="0" t="s">
        <v>497</v>
      </c>
      <c r="C193" s="0" t="n">
        <v>2021</v>
      </c>
      <c r="D193" s="0" t="n">
        <v>10036</v>
      </c>
      <c r="E193" s="0" t="n">
        <v>332.4</v>
      </c>
      <c r="F193" s="0" t="n">
        <v>7.2</v>
      </c>
      <c r="G193" s="0" t="n">
        <v>4.1</v>
      </c>
      <c r="H193" s="0" t="n">
        <v>32.4</v>
      </c>
      <c r="I193" s="0" t="n">
        <f aca="false">D193*E193</f>
        <v>3335966.4</v>
      </c>
      <c r="J193" s="0" t="n">
        <f aca="false">D193*H193</f>
        <v>325166.4</v>
      </c>
    </row>
    <row r="194" customFormat="false" ht="15" hidden="false" customHeight="false" outlineLevel="0" collapsed="false">
      <c r="A194" s="0" t="s">
        <v>499</v>
      </c>
      <c r="B194" s="0" t="s">
        <v>502</v>
      </c>
      <c r="C194" s="0" t="n">
        <v>2016</v>
      </c>
      <c r="D194" s="0" t="n">
        <v>1478</v>
      </c>
      <c r="E194" s="0" t="n">
        <v>334.4</v>
      </c>
      <c r="F194" s="0" t="n">
        <v>9.1</v>
      </c>
      <c r="G194" s="0" t="n">
        <v>6.5</v>
      </c>
      <c r="H194" s="0" t="n">
        <v>26.4</v>
      </c>
      <c r="I194" s="0" t="n">
        <f aca="false">D194*E194</f>
        <v>494243.2</v>
      </c>
      <c r="J194" s="0" t="n">
        <f aca="false">D194*H194</f>
        <v>39019.2</v>
      </c>
    </row>
    <row r="195" customFormat="false" ht="15" hidden="false" customHeight="false" outlineLevel="0" collapsed="false">
      <c r="A195" s="0" t="s">
        <v>499</v>
      </c>
      <c r="B195" s="0" t="s">
        <v>502</v>
      </c>
      <c r="C195" s="0" t="n">
        <v>2017</v>
      </c>
      <c r="D195" s="0" t="n">
        <v>1420</v>
      </c>
      <c r="E195" s="0" t="n">
        <v>343.6</v>
      </c>
      <c r="F195" s="0" t="n">
        <v>9.2</v>
      </c>
      <c r="G195" s="0" t="n">
        <v>6.6</v>
      </c>
      <c r="H195" s="0" t="n">
        <v>27.8</v>
      </c>
      <c r="I195" s="0" t="n">
        <f aca="false">D195*E195</f>
        <v>487912</v>
      </c>
      <c r="J195" s="0" t="n">
        <f aca="false">D195*H195</f>
        <v>39476</v>
      </c>
    </row>
    <row r="196" customFormat="false" ht="15" hidden="false" customHeight="false" outlineLevel="0" collapsed="false">
      <c r="A196" s="0" t="s">
        <v>499</v>
      </c>
      <c r="B196" s="0" t="s">
        <v>502</v>
      </c>
      <c r="C196" s="0" t="n">
        <v>2018</v>
      </c>
      <c r="D196" s="0" t="n">
        <v>1536</v>
      </c>
      <c r="E196" s="0" t="n">
        <v>330.1</v>
      </c>
      <c r="F196" s="0" t="n">
        <v>8.4</v>
      </c>
      <c r="G196" s="0" t="n">
        <v>6.4</v>
      </c>
      <c r="H196" s="0" t="n">
        <v>27.9</v>
      </c>
      <c r="I196" s="0" t="n">
        <f aca="false">D196*E196</f>
        <v>507033.6</v>
      </c>
      <c r="J196" s="0" t="n">
        <f aca="false">D196*H196</f>
        <v>42854.4</v>
      </c>
    </row>
    <row r="197" customFormat="false" ht="15" hidden="false" customHeight="false" outlineLevel="0" collapsed="false">
      <c r="A197" s="0" t="s">
        <v>499</v>
      </c>
      <c r="B197" s="0" t="s">
        <v>502</v>
      </c>
      <c r="C197" s="0" t="n">
        <v>2019</v>
      </c>
      <c r="D197" s="0" t="n">
        <v>1608</v>
      </c>
      <c r="E197" s="0" t="n">
        <v>330.2</v>
      </c>
      <c r="F197" s="0" t="n">
        <v>8.3</v>
      </c>
      <c r="G197" s="0" t="n">
        <v>6.2</v>
      </c>
      <c r="H197" s="0" t="n">
        <v>28.8</v>
      </c>
      <c r="I197" s="0" t="n">
        <f aca="false">D197*E197</f>
        <v>530961.6</v>
      </c>
      <c r="J197" s="0" t="n">
        <f aca="false">D197*H197</f>
        <v>46310.4</v>
      </c>
    </row>
    <row r="198" customFormat="false" ht="15" hidden="false" customHeight="false" outlineLevel="0" collapsed="false">
      <c r="A198" s="0" t="s">
        <v>499</v>
      </c>
      <c r="B198" s="0" t="s">
        <v>502</v>
      </c>
      <c r="C198" s="0" t="n">
        <v>2020</v>
      </c>
      <c r="D198" s="0" t="n">
        <v>1848</v>
      </c>
      <c r="E198" s="0" t="n">
        <v>328</v>
      </c>
      <c r="F198" s="0" t="n">
        <v>8.2</v>
      </c>
      <c r="G198" s="0" t="n">
        <v>6.2</v>
      </c>
      <c r="H198" s="0" t="n">
        <v>28.6</v>
      </c>
      <c r="I198" s="0" t="n">
        <f aca="false">D198*E198</f>
        <v>606144</v>
      </c>
      <c r="J198" s="0" t="n">
        <f aca="false">D198*H198</f>
        <v>52852.8</v>
      </c>
    </row>
    <row r="199" customFormat="false" ht="15" hidden="false" customHeight="false" outlineLevel="0" collapsed="false">
      <c r="A199" s="0" t="s">
        <v>499</v>
      </c>
      <c r="B199" s="0" t="s">
        <v>502</v>
      </c>
      <c r="C199" s="0" t="n">
        <v>2021</v>
      </c>
      <c r="D199" s="0" t="n">
        <v>1857</v>
      </c>
      <c r="E199" s="0" t="n">
        <v>335.7</v>
      </c>
      <c r="F199" s="0" t="n">
        <v>8.4</v>
      </c>
      <c r="G199" s="0" t="n">
        <v>6.4</v>
      </c>
      <c r="H199" s="0" t="n">
        <v>28.7</v>
      </c>
      <c r="I199" s="0" t="n">
        <f aca="false">D199*E199</f>
        <v>623394.9</v>
      </c>
      <c r="J199" s="0" t="n">
        <f aca="false">D199*H199</f>
        <v>53295.9</v>
      </c>
    </row>
    <row r="200" customFormat="false" ht="15" hidden="false" customHeight="false" outlineLevel="0" collapsed="false">
      <c r="A200" s="0" t="s">
        <v>499</v>
      </c>
      <c r="B200" s="0" t="s">
        <v>505</v>
      </c>
      <c r="C200" s="0" t="n">
        <v>2016</v>
      </c>
      <c r="D200" s="0" t="n">
        <v>293</v>
      </c>
      <c r="E200" s="0" t="n">
        <v>359.8</v>
      </c>
      <c r="F200" s="0" t="n">
        <v>7.6</v>
      </c>
      <c r="G200" s="0" t="n">
        <v>7.5</v>
      </c>
      <c r="H200" s="0" t="n">
        <v>23.9</v>
      </c>
      <c r="I200" s="0" t="n">
        <f aca="false">D200*E200</f>
        <v>105421.4</v>
      </c>
      <c r="J200" s="0" t="n">
        <f aca="false">D200*H200</f>
        <v>7002.7</v>
      </c>
    </row>
    <row r="201" customFormat="false" ht="15" hidden="false" customHeight="false" outlineLevel="0" collapsed="false">
      <c r="A201" s="0" t="s">
        <v>499</v>
      </c>
      <c r="B201" s="0" t="s">
        <v>505</v>
      </c>
      <c r="C201" s="0" t="n">
        <v>2017</v>
      </c>
      <c r="D201" s="0" t="n">
        <v>280</v>
      </c>
      <c r="E201" s="0" t="n">
        <v>360</v>
      </c>
      <c r="F201" s="0" t="n">
        <v>7.5</v>
      </c>
      <c r="G201" s="0" t="n">
        <v>7.4</v>
      </c>
      <c r="H201" s="0" t="n">
        <v>29.4</v>
      </c>
      <c r="I201" s="0" t="n">
        <f aca="false">D201*E201</f>
        <v>100800</v>
      </c>
      <c r="J201" s="0" t="n">
        <f aca="false">D201*H201</f>
        <v>8232</v>
      </c>
    </row>
    <row r="202" customFormat="false" ht="15" hidden="false" customHeight="false" outlineLevel="0" collapsed="false">
      <c r="A202" s="0" t="s">
        <v>499</v>
      </c>
      <c r="B202" s="0" t="s">
        <v>505</v>
      </c>
      <c r="C202" s="0" t="n">
        <v>2018</v>
      </c>
      <c r="D202" s="0" t="n">
        <v>211</v>
      </c>
      <c r="E202" s="0" t="n">
        <v>372.1</v>
      </c>
      <c r="F202" s="0" t="n">
        <v>7.3</v>
      </c>
      <c r="G202" s="0" t="n">
        <v>7.3</v>
      </c>
      <c r="H202" s="0" t="n">
        <v>25.3</v>
      </c>
      <c r="I202" s="0" t="n">
        <f aca="false">D202*E202</f>
        <v>78513.1</v>
      </c>
      <c r="J202" s="0" t="n">
        <f aca="false">D202*H202</f>
        <v>5338.3</v>
      </c>
    </row>
    <row r="203" customFormat="false" ht="15" hidden="false" customHeight="false" outlineLevel="0" collapsed="false">
      <c r="A203" s="0" t="s">
        <v>499</v>
      </c>
      <c r="B203" s="0" t="s">
        <v>505</v>
      </c>
      <c r="C203" s="0" t="n">
        <v>2019</v>
      </c>
      <c r="D203" s="0" t="n">
        <v>223</v>
      </c>
      <c r="E203" s="0" t="n">
        <v>357.2</v>
      </c>
      <c r="F203" s="0" t="n">
        <v>7.3</v>
      </c>
      <c r="G203" s="0" t="n">
        <v>6.9</v>
      </c>
      <c r="H203" s="0" t="n">
        <v>26.5</v>
      </c>
      <c r="I203" s="0" t="n">
        <f aca="false">D203*E203</f>
        <v>79655.6</v>
      </c>
      <c r="J203" s="0" t="n">
        <f aca="false">D203*H203</f>
        <v>5909.5</v>
      </c>
    </row>
    <row r="204" customFormat="false" ht="15" hidden="false" customHeight="false" outlineLevel="0" collapsed="false">
      <c r="A204" s="0" t="s">
        <v>499</v>
      </c>
      <c r="B204" s="0" t="s">
        <v>505</v>
      </c>
      <c r="C204" s="0" t="n">
        <v>2020</v>
      </c>
      <c r="D204" s="0" t="n">
        <v>224</v>
      </c>
      <c r="E204" s="0" t="n">
        <v>358.9</v>
      </c>
      <c r="F204" s="0" t="n">
        <v>6.8</v>
      </c>
      <c r="G204" s="0" t="n">
        <v>7</v>
      </c>
      <c r="H204" s="0" t="n">
        <v>26.5</v>
      </c>
      <c r="I204" s="0" t="n">
        <f aca="false">D204*E204</f>
        <v>80393.6</v>
      </c>
      <c r="J204" s="0" t="n">
        <f aca="false">D204*H204</f>
        <v>5936</v>
      </c>
    </row>
    <row r="205" customFormat="false" ht="15" hidden="false" customHeight="false" outlineLevel="0" collapsed="false">
      <c r="A205" s="0" t="s">
        <v>499</v>
      </c>
      <c r="B205" s="0" t="s">
        <v>505</v>
      </c>
      <c r="C205" s="0" t="n">
        <v>2021</v>
      </c>
      <c r="D205" s="0" t="n">
        <v>213</v>
      </c>
      <c r="E205" s="0" t="n">
        <v>353.4</v>
      </c>
      <c r="F205" s="0" t="n">
        <v>6.9</v>
      </c>
      <c r="G205" s="0" t="n">
        <v>6.9</v>
      </c>
      <c r="H205" s="0" t="n">
        <v>25.2</v>
      </c>
      <c r="I205" s="0" t="n">
        <f aca="false">D205*E205</f>
        <v>75274.2</v>
      </c>
      <c r="J205" s="0" t="n">
        <f aca="false">D205*H205</f>
        <v>5367.6</v>
      </c>
    </row>
    <row r="206" customFormat="false" ht="15" hidden="false" customHeight="false" outlineLevel="0" collapsed="false">
      <c r="A206" s="0" t="s">
        <v>499</v>
      </c>
      <c r="B206" s="0" t="s">
        <v>506</v>
      </c>
      <c r="C206" s="0" t="n">
        <v>2016</v>
      </c>
      <c r="D206" s="0" t="n">
        <v>436</v>
      </c>
      <c r="E206" s="0" t="n">
        <v>334.1</v>
      </c>
      <c r="F206" s="0" t="n">
        <v>9.4</v>
      </c>
      <c r="G206" s="0" t="n">
        <v>6.6</v>
      </c>
      <c r="H206" s="0" t="n">
        <v>26</v>
      </c>
      <c r="I206" s="0" t="n">
        <f aca="false">D206*E206</f>
        <v>145667.6</v>
      </c>
      <c r="J206" s="0" t="n">
        <f aca="false">D206*H206</f>
        <v>11336</v>
      </c>
    </row>
    <row r="207" customFormat="false" ht="15" hidden="false" customHeight="false" outlineLevel="0" collapsed="false">
      <c r="A207" s="0" t="s">
        <v>499</v>
      </c>
      <c r="B207" s="0" t="s">
        <v>506</v>
      </c>
      <c r="C207" s="0" t="n">
        <v>2017</v>
      </c>
      <c r="D207" s="0" t="n">
        <v>518</v>
      </c>
      <c r="E207" s="0" t="n">
        <v>344.4</v>
      </c>
      <c r="F207" s="0" t="n">
        <v>9.3</v>
      </c>
      <c r="G207" s="0" t="n">
        <v>6.7</v>
      </c>
      <c r="H207" s="0" t="n">
        <v>27.2</v>
      </c>
      <c r="I207" s="0" t="n">
        <f aca="false">D207*E207</f>
        <v>178399.2</v>
      </c>
      <c r="J207" s="0" t="n">
        <f aca="false">D207*H207</f>
        <v>14089.6</v>
      </c>
    </row>
    <row r="208" customFormat="false" ht="15" hidden="false" customHeight="false" outlineLevel="0" collapsed="false">
      <c r="A208" s="0" t="s">
        <v>499</v>
      </c>
      <c r="B208" s="0" t="s">
        <v>506</v>
      </c>
      <c r="C208" s="0" t="n">
        <v>2018</v>
      </c>
      <c r="D208" s="0" t="n">
        <v>651</v>
      </c>
      <c r="E208" s="0" t="n">
        <v>334.2</v>
      </c>
      <c r="F208" s="0" t="n">
        <v>8.9</v>
      </c>
      <c r="G208" s="0" t="n">
        <v>6.5</v>
      </c>
      <c r="H208" s="0" t="n">
        <v>27.4</v>
      </c>
      <c r="I208" s="0" t="n">
        <f aca="false">D208*E208</f>
        <v>217564.2</v>
      </c>
      <c r="J208" s="0" t="n">
        <f aca="false">D208*H208</f>
        <v>17837.4</v>
      </c>
    </row>
    <row r="209" customFormat="false" ht="15" hidden="false" customHeight="false" outlineLevel="0" collapsed="false">
      <c r="A209" s="0" t="s">
        <v>499</v>
      </c>
      <c r="B209" s="0" t="s">
        <v>506</v>
      </c>
      <c r="C209" s="0" t="n">
        <v>2019</v>
      </c>
      <c r="D209" s="0" t="n">
        <v>659</v>
      </c>
      <c r="E209" s="0" t="n">
        <v>333.2</v>
      </c>
      <c r="F209" s="0" t="n">
        <v>8.6</v>
      </c>
      <c r="G209" s="0" t="n">
        <v>6.4</v>
      </c>
      <c r="H209" s="0" t="n">
        <v>28.1</v>
      </c>
      <c r="I209" s="0" t="n">
        <f aca="false">D209*E209</f>
        <v>219578.8</v>
      </c>
      <c r="J209" s="0" t="n">
        <f aca="false">D209*H209</f>
        <v>18517.9</v>
      </c>
    </row>
    <row r="210" customFormat="false" ht="15" hidden="false" customHeight="false" outlineLevel="0" collapsed="false">
      <c r="A210" s="0" t="s">
        <v>499</v>
      </c>
      <c r="B210" s="0" t="s">
        <v>506</v>
      </c>
      <c r="C210" s="0" t="n">
        <v>2020</v>
      </c>
      <c r="D210" s="0" t="n">
        <v>786</v>
      </c>
      <c r="E210" s="0" t="n">
        <v>334.4</v>
      </c>
      <c r="F210" s="0" t="n">
        <v>8.4</v>
      </c>
      <c r="G210" s="0" t="n">
        <v>6.5</v>
      </c>
      <c r="H210" s="0" t="n">
        <v>33.4</v>
      </c>
      <c r="I210" s="0" t="n">
        <f aca="false">D210*E210</f>
        <v>262838.4</v>
      </c>
      <c r="J210" s="0" t="n">
        <f aca="false">D210*H210</f>
        <v>26252.4</v>
      </c>
    </row>
    <row r="211" customFormat="false" ht="15" hidden="false" customHeight="false" outlineLevel="0" collapsed="false">
      <c r="A211" s="0" t="s">
        <v>499</v>
      </c>
      <c r="B211" s="0" t="s">
        <v>506</v>
      </c>
      <c r="C211" s="0" t="n">
        <v>2021</v>
      </c>
      <c r="D211" s="0" t="n">
        <v>820</v>
      </c>
      <c r="E211" s="0" t="n">
        <v>340.2</v>
      </c>
      <c r="F211" s="0" t="n">
        <v>8.6</v>
      </c>
      <c r="G211" s="0" t="n">
        <v>6.7</v>
      </c>
      <c r="H211" s="0" t="n">
        <v>32.6</v>
      </c>
      <c r="I211" s="0" t="n">
        <f aca="false">D211*E211</f>
        <v>278964</v>
      </c>
      <c r="J211" s="0" t="n">
        <f aca="false">D211*H211</f>
        <v>26732</v>
      </c>
    </row>
    <row r="212" customFormat="false" ht="15" hidden="false" customHeight="false" outlineLevel="0" collapsed="false">
      <c r="A212" s="0" t="s">
        <v>499</v>
      </c>
      <c r="B212" s="0" t="s">
        <v>508</v>
      </c>
      <c r="C212" s="0" t="n">
        <v>2016</v>
      </c>
      <c r="D212" s="0" t="n">
        <v>79</v>
      </c>
      <c r="E212" s="0" t="n">
        <v>332.2</v>
      </c>
      <c r="F212" s="0" t="n">
        <v>7.6</v>
      </c>
      <c r="G212" s="0" t="n">
        <v>7.7</v>
      </c>
      <c r="H212" s="0" t="n">
        <v>22.8</v>
      </c>
      <c r="I212" s="0" t="n">
        <f aca="false">D212*E212</f>
        <v>26243.8</v>
      </c>
      <c r="J212" s="0" t="n">
        <f aca="false">D212*H212</f>
        <v>1801.2</v>
      </c>
    </row>
    <row r="213" customFormat="false" ht="15" hidden="false" customHeight="false" outlineLevel="0" collapsed="false">
      <c r="A213" s="0" t="s">
        <v>499</v>
      </c>
      <c r="B213" s="0" t="s">
        <v>508</v>
      </c>
      <c r="C213" s="0" t="n">
        <v>2017</v>
      </c>
      <c r="D213" s="0" t="n">
        <v>116</v>
      </c>
      <c r="E213" s="0" t="n">
        <v>355.4</v>
      </c>
      <c r="F213" s="0" t="n">
        <v>8</v>
      </c>
      <c r="G213" s="0" t="n">
        <v>8</v>
      </c>
      <c r="H213" s="0" t="n">
        <v>23.5</v>
      </c>
      <c r="I213" s="0" t="n">
        <f aca="false">D213*E213</f>
        <v>41226.4</v>
      </c>
      <c r="J213" s="0" t="n">
        <f aca="false">D213*H213</f>
        <v>2726</v>
      </c>
    </row>
    <row r="214" customFormat="false" ht="15" hidden="false" customHeight="false" outlineLevel="0" collapsed="false">
      <c r="A214" s="0" t="s">
        <v>499</v>
      </c>
      <c r="B214" s="0" t="s">
        <v>508</v>
      </c>
      <c r="C214" s="0" t="n">
        <v>2018</v>
      </c>
      <c r="D214" s="0" t="n">
        <v>93</v>
      </c>
      <c r="E214" s="0" t="n">
        <v>338.5</v>
      </c>
      <c r="F214" s="0" t="n">
        <v>7.8</v>
      </c>
      <c r="G214" s="0" t="n">
        <v>7</v>
      </c>
      <c r="H214" s="0" t="n">
        <v>24.6</v>
      </c>
      <c r="I214" s="0" t="n">
        <f aca="false">D214*E214</f>
        <v>31480.5</v>
      </c>
      <c r="J214" s="0" t="n">
        <f aca="false">D214*H214</f>
        <v>2287.8</v>
      </c>
    </row>
    <row r="215" customFormat="false" ht="15" hidden="false" customHeight="false" outlineLevel="0" collapsed="false">
      <c r="A215" s="0" t="s">
        <v>499</v>
      </c>
      <c r="B215" s="0" t="s">
        <v>508</v>
      </c>
      <c r="C215" s="0" t="n">
        <v>2019</v>
      </c>
      <c r="D215" s="0" t="n">
        <v>136</v>
      </c>
      <c r="E215" s="0" t="n">
        <v>351.3</v>
      </c>
      <c r="F215" s="0" t="n">
        <v>8.1</v>
      </c>
      <c r="G215" s="0" t="n">
        <v>6.7</v>
      </c>
      <c r="H215" s="0" t="n">
        <v>25.9</v>
      </c>
      <c r="I215" s="0" t="n">
        <f aca="false">D215*E215</f>
        <v>47776.8</v>
      </c>
      <c r="J215" s="0" t="n">
        <f aca="false">D215*H215</f>
        <v>3522.4</v>
      </c>
    </row>
    <row r="216" customFormat="false" ht="15" hidden="false" customHeight="false" outlineLevel="0" collapsed="false">
      <c r="A216" s="0" t="s">
        <v>499</v>
      </c>
      <c r="B216" s="0" t="s">
        <v>508</v>
      </c>
      <c r="C216" s="0" t="n">
        <v>2020</v>
      </c>
      <c r="D216" s="0" t="n">
        <v>183</v>
      </c>
      <c r="E216" s="0" t="n">
        <v>345.4</v>
      </c>
      <c r="F216" s="0" t="n">
        <v>7.8</v>
      </c>
      <c r="G216" s="0" t="n">
        <v>6.8</v>
      </c>
      <c r="H216" s="0" t="n">
        <v>25.7</v>
      </c>
      <c r="I216" s="0" t="n">
        <f aca="false">D216*E216</f>
        <v>63208.2</v>
      </c>
      <c r="J216" s="0" t="n">
        <f aca="false">D216*H216</f>
        <v>4703.1</v>
      </c>
    </row>
    <row r="217" customFormat="false" ht="15" hidden="false" customHeight="false" outlineLevel="0" collapsed="false">
      <c r="A217" s="0" t="s">
        <v>499</v>
      </c>
      <c r="B217" s="0" t="s">
        <v>508</v>
      </c>
      <c r="C217" s="0" t="n">
        <v>2021</v>
      </c>
      <c r="D217" s="0" t="n">
        <v>185</v>
      </c>
      <c r="E217" s="0" t="n">
        <v>352</v>
      </c>
      <c r="F217" s="0" t="n">
        <v>7.6</v>
      </c>
      <c r="G217" s="0" t="n">
        <v>7.2</v>
      </c>
      <c r="H217" s="0" t="n">
        <v>26.3</v>
      </c>
      <c r="I217" s="0" t="n">
        <f aca="false">D217*E217</f>
        <v>65120</v>
      </c>
      <c r="J217" s="0" t="n">
        <f aca="false">D217*H217</f>
        <v>4865.5</v>
      </c>
    </row>
    <row r="218" customFormat="false" ht="15" hidden="false" customHeight="false" outlineLevel="0" collapsed="false">
      <c r="A218" s="0" t="s">
        <v>499</v>
      </c>
      <c r="B218" s="0" t="s">
        <v>509</v>
      </c>
      <c r="C218" s="0" t="n">
        <v>2016</v>
      </c>
      <c r="D218" s="0" t="n">
        <v>318</v>
      </c>
      <c r="E218" s="0" t="n">
        <v>345.7</v>
      </c>
      <c r="F218" s="0" t="n">
        <v>7.8</v>
      </c>
      <c r="G218" s="0" t="n">
        <v>6.8</v>
      </c>
      <c r="H218" s="0" t="n">
        <v>25.1</v>
      </c>
      <c r="I218" s="0" t="n">
        <f aca="false">D218*E218</f>
        <v>109932.6</v>
      </c>
      <c r="J218" s="0" t="n">
        <f aca="false">D218*H218</f>
        <v>7981.8</v>
      </c>
    </row>
    <row r="219" customFormat="false" ht="15" hidden="false" customHeight="false" outlineLevel="0" collapsed="false">
      <c r="A219" s="0" t="s">
        <v>499</v>
      </c>
      <c r="B219" s="0" t="s">
        <v>509</v>
      </c>
      <c r="C219" s="0" t="n">
        <v>2017</v>
      </c>
      <c r="D219" s="0" t="n">
        <v>408</v>
      </c>
      <c r="E219" s="0" t="n">
        <v>353.3</v>
      </c>
      <c r="F219" s="0" t="n">
        <v>7.7</v>
      </c>
      <c r="G219" s="0" t="n">
        <v>6.9</v>
      </c>
      <c r="H219" s="0" t="n">
        <v>25.1</v>
      </c>
      <c r="I219" s="0" t="n">
        <f aca="false">D219*E219</f>
        <v>144146.4</v>
      </c>
      <c r="J219" s="0" t="n">
        <f aca="false">D219*H219</f>
        <v>10240.8</v>
      </c>
    </row>
    <row r="220" customFormat="false" ht="15" hidden="false" customHeight="false" outlineLevel="0" collapsed="false">
      <c r="A220" s="0" t="s">
        <v>499</v>
      </c>
      <c r="B220" s="0" t="s">
        <v>509</v>
      </c>
      <c r="C220" s="0" t="n">
        <v>2018</v>
      </c>
      <c r="D220" s="0" t="n">
        <v>353</v>
      </c>
      <c r="E220" s="0" t="n">
        <v>340.4</v>
      </c>
      <c r="F220" s="0" t="n">
        <v>7.1</v>
      </c>
      <c r="G220" s="0" t="n">
        <v>6.5</v>
      </c>
      <c r="H220" s="0" t="n">
        <v>25</v>
      </c>
      <c r="I220" s="0" t="n">
        <f aca="false">D220*E220</f>
        <v>120161.2</v>
      </c>
      <c r="J220" s="0" t="n">
        <f aca="false">D220*H220</f>
        <v>8825</v>
      </c>
    </row>
    <row r="221" customFormat="false" ht="15" hidden="false" customHeight="false" outlineLevel="0" collapsed="false">
      <c r="A221" s="0" t="s">
        <v>499</v>
      </c>
      <c r="B221" s="0" t="s">
        <v>509</v>
      </c>
      <c r="C221" s="0" t="n">
        <v>2019</v>
      </c>
      <c r="D221" s="0" t="n">
        <v>387</v>
      </c>
      <c r="E221" s="0" t="n">
        <v>337.6</v>
      </c>
      <c r="F221" s="0" t="n">
        <v>7.1</v>
      </c>
      <c r="G221" s="0" t="n">
        <v>6.3</v>
      </c>
      <c r="H221" s="0" t="n">
        <v>25.3</v>
      </c>
      <c r="I221" s="0" t="n">
        <f aca="false">D221*E221</f>
        <v>130651.2</v>
      </c>
      <c r="J221" s="0" t="n">
        <f aca="false">D221*H221</f>
        <v>9791.1</v>
      </c>
    </row>
    <row r="222" customFormat="false" ht="15" hidden="false" customHeight="false" outlineLevel="0" collapsed="false">
      <c r="A222" s="0" t="s">
        <v>499</v>
      </c>
      <c r="B222" s="0" t="s">
        <v>509</v>
      </c>
      <c r="C222" s="0" t="n">
        <v>2020</v>
      </c>
      <c r="D222" s="0" t="n">
        <v>410</v>
      </c>
      <c r="E222" s="0" t="n">
        <v>343.7</v>
      </c>
      <c r="F222" s="0" t="n">
        <v>7.2</v>
      </c>
      <c r="G222" s="0" t="n">
        <v>6.4</v>
      </c>
      <c r="H222" s="0" t="n">
        <v>27</v>
      </c>
      <c r="I222" s="0" t="n">
        <f aca="false">D222*E222</f>
        <v>140917</v>
      </c>
      <c r="J222" s="0" t="n">
        <f aca="false">D222*H222</f>
        <v>11070</v>
      </c>
    </row>
    <row r="223" customFormat="false" ht="15" hidden="false" customHeight="false" outlineLevel="0" collapsed="false">
      <c r="A223" s="0" t="s">
        <v>499</v>
      </c>
      <c r="B223" s="0" t="s">
        <v>509</v>
      </c>
      <c r="C223" s="0" t="n">
        <v>2021</v>
      </c>
      <c r="D223" s="0" t="n">
        <v>405</v>
      </c>
      <c r="E223" s="0" t="n">
        <v>356.7</v>
      </c>
      <c r="F223" s="0" t="n">
        <v>7.3</v>
      </c>
      <c r="G223" s="0" t="n">
        <v>6.7</v>
      </c>
      <c r="H223" s="0" t="n">
        <v>26.8</v>
      </c>
      <c r="I223" s="0" t="n">
        <f aca="false">D223*E223</f>
        <v>144463.5</v>
      </c>
      <c r="J223" s="0" t="n">
        <f aca="false">D223*H223</f>
        <v>10854</v>
      </c>
    </row>
    <row r="224" customFormat="false" ht="15" hidden="false" customHeight="false" outlineLevel="0" collapsed="false">
      <c r="A224" s="0" t="s">
        <v>499</v>
      </c>
      <c r="B224" s="0" t="s">
        <v>511</v>
      </c>
      <c r="C224" s="0" t="n">
        <v>2016</v>
      </c>
      <c r="D224" s="0" t="n">
        <v>179</v>
      </c>
      <c r="E224" s="0" t="n">
        <v>256.1</v>
      </c>
      <c r="F224" s="0" t="n">
        <v>7.9</v>
      </c>
      <c r="G224" s="0" t="n">
        <v>5.2</v>
      </c>
      <c r="H224" s="0" t="n">
        <v>40.1</v>
      </c>
      <c r="I224" s="0" t="n">
        <f aca="false">D224*E224</f>
        <v>45841.9</v>
      </c>
      <c r="J224" s="0" t="n">
        <f aca="false">D224*H224</f>
        <v>7177.9</v>
      </c>
    </row>
    <row r="225" customFormat="false" ht="15" hidden="false" customHeight="false" outlineLevel="0" collapsed="false">
      <c r="A225" s="0" t="s">
        <v>499</v>
      </c>
      <c r="B225" s="0" t="s">
        <v>511</v>
      </c>
      <c r="C225" s="0" t="n">
        <v>2017</v>
      </c>
      <c r="D225" s="0" t="n">
        <v>148</v>
      </c>
      <c r="E225" s="0" t="n">
        <v>229.3</v>
      </c>
      <c r="F225" s="0" t="n">
        <v>6.8</v>
      </c>
      <c r="G225" s="0" t="n">
        <v>4.5</v>
      </c>
      <c r="H225" s="0" t="n">
        <v>49</v>
      </c>
      <c r="I225" s="0" t="n">
        <f aca="false">D225*E225</f>
        <v>33936.4</v>
      </c>
      <c r="J225" s="0" t="n">
        <f aca="false">D225*H225</f>
        <v>7252</v>
      </c>
    </row>
    <row r="226" customFormat="false" ht="15" hidden="false" customHeight="false" outlineLevel="0" collapsed="false">
      <c r="A226" s="0" t="s">
        <v>499</v>
      </c>
      <c r="B226" s="0" t="s">
        <v>511</v>
      </c>
      <c r="C226" s="0" t="n">
        <v>2018</v>
      </c>
      <c r="D226" s="0" t="n">
        <v>164</v>
      </c>
      <c r="E226" s="0" t="n">
        <v>230.8</v>
      </c>
      <c r="F226" s="0" t="n">
        <v>6.8</v>
      </c>
      <c r="G226" s="0" t="n">
        <v>4.5</v>
      </c>
      <c r="H226" s="0" t="n">
        <v>40.3</v>
      </c>
      <c r="I226" s="0" t="n">
        <f aca="false">D226*E226</f>
        <v>37851.2</v>
      </c>
      <c r="J226" s="0" t="n">
        <f aca="false">D226*H226</f>
        <v>6609.2</v>
      </c>
    </row>
    <row r="227" customFormat="false" ht="15" hidden="false" customHeight="false" outlineLevel="0" collapsed="false">
      <c r="A227" s="0" t="s">
        <v>499</v>
      </c>
      <c r="B227" s="0" t="s">
        <v>511</v>
      </c>
      <c r="C227" s="0" t="n">
        <v>2019</v>
      </c>
      <c r="D227" s="0" t="n">
        <v>143</v>
      </c>
      <c r="E227" s="0" t="n">
        <v>245.2</v>
      </c>
      <c r="F227" s="0" t="n">
        <v>6.7</v>
      </c>
      <c r="G227" s="0" t="n">
        <v>4.5</v>
      </c>
      <c r="H227" s="0" t="n">
        <v>47</v>
      </c>
      <c r="I227" s="0" t="n">
        <f aca="false">D227*E227</f>
        <v>35063.6</v>
      </c>
      <c r="J227" s="0" t="n">
        <f aca="false">D227*H227</f>
        <v>6721</v>
      </c>
    </row>
    <row r="228" customFormat="false" ht="15" hidden="false" customHeight="false" outlineLevel="0" collapsed="false">
      <c r="A228" s="0" t="s">
        <v>499</v>
      </c>
      <c r="B228" s="0" t="s">
        <v>511</v>
      </c>
      <c r="C228" s="0" t="n">
        <v>2020</v>
      </c>
      <c r="D228" s="0" t="n">
        <v>92</v>
      </c>
      <c r="E228" s="0" t="n">
        <v>246.3</v>
      </c>
      <c r="F228" s="0" t="n">
        <v>6.9</v>
      </c>
      <c r="G228" s="0" t="n">
        <v>5.1</v>
      </c>
      <c r="H228" s="0" t="n">
        <v>36.4</v>
      </c>
      <c r="I228" s="0" t="n">
        <f aca="false">D228*E228</f>
        <v>22659.6</v>
      </c>
      <c r="J228" s="0" t="n">
        <f aca="false">D228*H228</f>
        <v>3348.8</v>
      </c>
    </row>
    <row r="229" customFormat="false" ht="15" hidden="false" customHeight="false" outlineLevel="0" collapsed="false">
      <c r="A229" s="0" t="s">
        <v>499</v>
      </c>
      <c r="B229" s="0" t="s">
        <v>511</v>
      </c>
      <c r="C229" s="0" t="n">
        <v>2021</v>
      </c>
      <c r="D229" s="0" t="n">
        <v>97</v>
      </c>
      <c r="E229" s="0" t="n">
        <v>238.7</v>
      </c>
      <c r="F229" s="0" t="n">
        <v>6.6</v>
      </c>
      <c r="G229" s="0" t="n">
        <v>4.9</v>
      </c>
      <c r="H229" s="0" t="n">
        <v>35.8</v>
      </c>
      <c r="I229" s="0" t="n">
        <f aca="false">D229*E229</f>
        <v>23153.9</v>
      </c>
      <c r="J229" s="0" t="n">
        <f aca="false">D229*H229</f>
        <v>3472.6</v>
      </c>
    </row>
    <row r="230" customFormat="false" ht="15" hidden="false" customHeight="false" outlineLevel="0" collapsed="false">
      <c r="A230" s="0" t="s">
        <v>499</v>
      </c>
      <c r="B230" s="0" t="s">
        <v>512</v>
      </c>
      <c r="C230" s="0" t="n">
        <v>2016</v>
      </c>
      <c r="D230" s="0" t="n">
        <v>6</v>
      </c>
      <c r="E230" s="0" t="n">
        <v>323.2</v>
      </c>
      <c r="F230" s="0" t="n">
        <v>7</v>
      </c>
      <c r="G230" s="0" t="n">
        <v>6</v>
      </c>
      <c r="H230" s="0" t="n">
        <v>25</v>
      </c>
      <c r="I230" s="0" t="n">
        <f aca="false">D230*E230</f>
        <v>1939.2</v>
      </c>
      <c r="J230" s="0" t="n">
        <f aca="false">D230*H230</f>
        <v>150</v>
      </c>
    </row>
    <row r="231" customFormat="false" ht="15" hidden="false" customHeight="false" outlineLevel="0" collapsed="false">
      <c r="A231" s="0" t="s">
        <v>499</v>
      </c>
      <c r="B231" s="0" t="s">
        <v>512</v>
      </c>
      <c r="C231" s="0" t="n">
        <v>2017</v>
      </c>
      <c r="D231" s="0" t="n">
        <v>18</v>
      </c>
      <c r="E231" s="0" t="n">
        <v>341</v>
      </c>
      <c r="F231" s="0" t="n">
        <v>8.2</v>
      </c>
      <c r="G231" s="0" t="n">
        <v>5.7</v>
      </c>
      <c r="H231" s="0" t="n">
        <v>32.5</v>
      </c>
      <c r="I231" s="0" t="n">
        <f aca="false">D231*E231</f>
        <v>6138</v>
      </c>
      <c r="J231" s="0" t="n">
        <f aca="false">D231*H231</f>
        <v>585</v>
      </c>
    </row>
    <row r="232" customFormat="false" ht="15" hidden="false" customHeight="false" outlineLevel="0" collapsed="false">
      <c r="A232" s="0" t="s">
        <v>499</v>
      </c>
      <c r="B232" s="0" t="s">
        <v>512</v>
      </c>
      <c r="C232" s="0" t="n">
        <v>2018</v>
      </c>
      <c r="D232" s="0" t="n">
        <v>12</v>
      </c>
      <c r="E232" s="0" t="n">
        <v>351.8</v>
      </c>
      <c r="F232" s="0" t="n">
        <v>7.8</v>
      </c>
      <c r="G232" s="0" t="n">
        <v>6.8</v>
      </c>
      <c r="H232" s="0" t="n">
        <v>32.4</v>
      </c>
      <c r="I232" s="0" t="n">
        <f aca="false">D232*E232</f>
        <v>4221.6</v>
      </c>
      <c r="J232" s="0" t="n">
        <f aca="false">D232*H232</f>
        <v>388.8</v>
      </c>
    </row>
    <row r="233" customFormat="false" ht="15" hidden="false" customHeight="false" outlineLevel="0" collapsed="false">
      <c r="A233" s="0" t="s">
        <v>499</v>
      </c>
      <c r="B233" s="0" t="s">
        <v>512</v>
      </c>
      <c r="C233" s="0" t="n">
        <v>2019</v>
      </c>
      <c r="D233" s="0" t="n">
        <v>14</v>
      </c>
      <c r="E233" s="0" t="n">
        <v>319.9</v>
      </c>
      <c r="F233" s="0" t="n">
        <v>7.1</v>
      </c>
      <c r="G233" s="0" t="n">
        <v>6.4</v>
      </c>
      <c r="H233" s="0" t="n">
        <v>22.7</v>
      </c>
      <c r="I233" s="0" t="n">
        <f aca="false">D233*E233</f>
        <v>4478.6</v>
      </c>
      <c r="J233" s="0" t="n">
        <f aca="false">D233*H233</f>
        <v>317.8</v>
      </c>
    </row>
    <row r="234" customFormat="false" ht="15" hidden="false" customHeight="false" outlineLevel="0" collapsed="false">
      <c r="A234" s="0" t="s">
        <v>499</v>
      </c>
      <c r="B234" s="0" t="s">
        <v>512</v>
      </c>
      <c r="C234" s="0" t="n">
        <v>2020</v>
      </c>
      <c r="D234" s="0" t="n">
        <v>21</v>
      </c>
      <c r="E234" s="0" t="n">
        <v>333.7</v>
      </c>
      <c r="F234" s="0" t="n">
        <v>7</v>
      </c>
      <c r="G234" s="0" t="n">
        <v>5.9</v>
      </c>
      <c r="H234" s="0" t="n">
        <v>26.4</v>
      </c>
      <c r="I234" s="0" t="n">
        <f aca="false">D234*E234</f>
        <v>7007.7</v>
      </c>
      <c r="J234" s="0" t="n">
        <f aca="false">D234*H234</f>
        <v>554.4</v>
      </c>
    </row>
    <row r="235" customFormat="false" ht="15" hidden="false" customHeight="false" outlineLevel="0" collapsed="false">
      <c r="A235" s="0" t="s">
        <v>499</v>
      </c>
      <c r="B235" s="0" t="s">
        <v>512</v>
      </c>
      <c r="C235" s="0" t="n">
        <v>2021</v>
      </c>
      <c r="D235" s="0" t="n">
        <v>31</v>
      </c>
      <c r="E235" s="0" t="n">
        <v>342.8</v>
      </c>
      <c r="F235" s="0" t="n">
        <v>7.6</v>
      </c>
      <c r="G235" s="0" t="n">
        <v>6.6</v>
      </c>
      <c r="H235" s="0" t="n">
        <v>30.9</v>
      </c>
      <c r="I235" s="0" t="n">
        <f aca="false">D235*E235</f>
        <v>10626.8</v>
      </c>
      <c r="J235" s="0" t="n">
        <f aca="false">D235*H235</f>
        <v>957.9</v>
      </c>
    </row>
    <row r="236" customFormat="false" ht="15" hidden="false" customHeight="false" outlineLevel="0" collapsed="false">
      <c r="A236" s="0" t="s">
        <v>499</v>
      </c>
      <c r="B236" s="0" t="s">
        <v>513</v>
      </c>
      <c r="C236" s="0" t="n">
        <v>2016</v>
      </c>
      <c r="D236" s="0" t="n">
        <v>6598</v>
      </c>
      <c r="E236" s="0" t="n">
        <v>338.6</v>
      </c>
      <c r="F236" s="0" t="n">
        <v>8.3</v>
      </c>
      <c r="G236" s="0" t="n">
        <v>6.2</v>
      </c>
      <c r="H236" s="0" t="n">
        <v>26.8</v>
      </c>
      <c r="I236" s="0" t="n">
        <f aca="false">D236*E236</f>
        <v>2234082.8</v>
      </c>
      <c r="J236" s="0" t="n">
        <f aca="false">D236*H236</f>
        <v>176826.4</v>
      </c>
    </row>
    <row r="237" customFormat="false" ht="15" hidden="false" customHeight="false" outlineLevel="0" collapsed="false">
      <c r="A237" s="0" t="s">
        <v>499</v>
      </c>
      <c r="B237" s="0" t="s">
        <v>513</v>
      </c>
      <c r="C237" s="0" t="n">
        <v>2017</v>
      </c>
      <c r="D237" s="0" t="n">
        <v>7805</v>
      </c>
      <c r="E237" s="0" t="n">
        <v>341.7</v>
      </c>
      <c r="F237" s="0" t="n">
        <v>8.3</v>
      </c>
      <c r="G237" s="0" t="n">
        <v>6.2</v>
      </c>
      <c r="H237" s="0" t="n">
        <v>27.7</v>
      </c>
      <c r="I237" s="0" t="n">
        <f aca="false">D237*E237</f>
        <v>2666968.5</v>
      </c>
      <c r="J237" s="0" t="n">
        <f aca="false">D237*H237</f>
        <v>216198.5</v>
      </c>
    </row>
    <row r="238" customFormat="false" ht="15" hidden="false" customHeight="false" outlineLevel="0" collapsed="false">
      <c r="A238" s="0" t="s">
        <v>499</v>
      </c>
      <c r="B238" s="0" t="s">
        <v>513</v>
      </c>
      <c r="C238" s="0" t="n">
        <v>2018</v>
      </c>
      <c r="D238" s="0" t="n">
        <v>8365</v>
      </c>
      <c r="E238" s="0" t="n">
        <v>333.1</v>
      </c>
      <c r="F238" s="0" t="n">
        <v>7.9</v>
      </c>
      <c r="G238" s="0" t="n">
        <v>6</v>
      </c>
      <c r="H238" s="0" t="n">
        <v>28.9</v>
      </c>
      <c r="I238" s="0" t="n">
        <f aca="false">D238*E238</f>
        <v>2786381.5</v>
      </c>
      <c r="J238" s="0" t="n">
        <f aca="false">D238*H238</f>
        <v>241748.5</v>
      </c>
    </row>
    <row r="239" customFormat="false" ht="15" hidden="false" customHeight="false" outlineLevel="0" collapsed="false">
      <c r="A239" s="0" t="s">
        <v>499</v>
      </c>
      <c r="B239" s="0" t="s">
        <v>513</v>
      </c>
      <c r="C239" s="0" t="n">
        <v>2019</v>
      </c>
      <c r="D239" s="0" t="n">
        <v>8272</v>
      </c>
      <c r="E239" s="0" t="n">
        <v>333.8</v>
      </c>
      <c r="F239" s="0" t="n">
        <v>7.7</v>
      </c>
      <c r="G239" s="0" t="n">
        <v>5.9</v>
      </c>
      <c r="H239" s="0" t="n">
        <v>29.2</v>
      </c>
      <c r="I239" s="0" t="n">
        <f aca="false">D239*E239</f>
        <v>2761193.6</v>
      </c>
      <c r="J239" s="0" t="n">
        <f aca="false">D239*H239</f>
        <v>241542.4</v>
      </c>
    </row>
    <row r="240" customFormat="false" ht="15" hidden="false" customHeight="false" outlineLevel="0" collapsed="false">
      <c r="A240" s="0" t="s">
        <v>499</v>
      </c>
      <c r="B240" s="0" t="s">
        <v>513</v>
      </c>
      <c r="C240" s="0" t="n">
        <v>2020</v>
      </c>
      <c r="D240" s="0" t="n">
        <v>8766</v>
      </c>
      <c r="E240" s="0" t="n">
        <v>336</v>
      </c>
      <c r="F240" s="0" t="n">
        <v>7.7</v>
      </c>
      <c r="G240" s="0" t="n">
        <v>6</v>
      </c>
      <c r="H240" s="0" t="n">
        <v>29.5</v>
      </c>
      <c r="I240" s="0" t="n">
        <f aca="false">D240*E240</f>
        <v>2945376</v>
      </c>
      <c r="J240" s="0" t="n">
        <f aca="false">D240*H240</f>
        <v>258597</v>
      </c>
    </row>
    <row r="241" customFormat="false" ht="15" hidden="false" customHeight="false" outlineLevel="0" collapsed="false">
      <c r="A241" s="0" t="s">
        <v>499</v>
      </c>
      <c r="B241" s="0" t="s">
        <v>513</v>
      </c>
      <c r="C241" s="0" t="n">
        <v>2021</v>
      </c>
      <c r="D241" s="0" t="n">
        <v>8674</v>
      </c>
      <c r="E241" s="0" t="n">
        <v>342.1</v>
      </c>
      <c r="F241" s="0" t="n">
        <v>7.8</v>
      </c>
      <c r="G241" s="0" t="n">
        <v>6.3</v>
      </c>
      <c r="H241" s="0" t="n">
        <v>29.6</v>
      </c>
      <c r="I241" s="0" t="n">
        <f aca="false">D241*E241</f>
        <v>2967375.4</v>
      </c>
      <c r="J241" s="0" t="n">
        <f aca="false">D241*H241</f>
        <v>256750.4</v>
      </c>
    </row>
    <row r="242" customFormat="false" ht="15" hidden="false" customHeight="false" outlineLevel="0" collapsed="false">
      <c r="A242" s="0" t="s">
        <v>501</v>
      </c>
      <c r="B242" s="0" t="s">
        <v>489</v>
      </c>
      <c r="C242" s="0" t="n">
        <v>2016</v>
      </c>
      <c r="D242" s="0" t="n">
        <v>24950</v>
      </c>
      <c r="E242" s="0" t="n">
        <v>326.4</v>
      </c>
      <c r="F242" s="0" t="n">
        <v>7.1</v>
      </c>
      <c r="G242" s="0" t="n">
        <v>5.4</v>
      </c>
      <c r="H242" s="0" t="n">
        <v>19.7</v>
      </c>
      <c r="I242" s="0" t="n">
        <f aca="false">D242*E242</f>
        <v>8143680</v>
      </c>
      <c r="J242" s="0" t="n">
        <f aca="false">D242*H242</f>
        <v>491515</v>
      </c>
    </row>
    <row r="243" customFormat="false" ht="15" hidden="false" customHeight="false" outlineLevel="0" collapsed="false">
      <c r="A243" s="0" t="s">
        <v>501</v>
      </c>
      <c r="B243" s="0" t="s">
        <v>489</v>
      </c>
      <c r="C243" s="0" t="n">
        <v>2017</v>
      </c>
      <c r="D243" s="0" t="n">
        <v>24916</v>
      </c>
      <c r="E243" s="0" t="n">
        <v>330.2</v>
      </c>
      <c r="F243" s="0" t="n">
        <v>7.1</v>
      </c>
      <c r="G243" s="0" t="n">
        <v>5.3</v>
      </c>
      <c r="H243" s="0" t="n">
        <v>20.3</v>
      </c>
      <c r="I243" s="0" t="n">
        <f aca="false">D243*E243</f>
        <v>8227263.2</v>
      </c>
      <c r="J243" s="0" t="n">
        <f aca="false">D243*H243</f>
        <v>505794.8</v>
      </c>
    </row>
    <row r="244" customFormat="false" ht="15" hidden="false" customHeight="false" outlineLevel="0" collapsed="false">
      <c r="A244" s="0" t="s">
        <v>501</v>
      </c>
      <c r="B244" s="0" t="s">
        <v>489</v>
      </c>
      <c r="C244" s="0" t="n">
        <v>2018</v>
      </c>
      <c r="D244" s="0" t="n">
        <v>22985</v>
      </c>
      <c r="E244" s="0" t="n">
        <v>327.6</v>
      </c>
      <c r="F244" s="0" t="n">
        <v>7</v>
      </c>
      <c r="G244" s="0" t="n">
        <v>5.3</v>
      </c>
      <c r="H244" s="0" t="n">
        <v>20.6</v>
      </c>
      <c r="I244" s="0" t="n">
        <f aca="false">D244*E244</f>
        <v>7529886</v>
      </c>
      <c r="J244" s="0" t="n">
        <f aca="false">D244*H244</f>
        <v>473491</v>
      </c>
    </row>
    <row r="245" customFormat="false" ht="15" hidden="false" customHeight="false" outlineLevel="0" collapsed="false">
      <c r="A245" s="0" t="s">
        <v>501</v>
      </c>
      <c r="B245" s="0" t="s">
        <v>489</v>
      </c>
      <c r="C245" s="0" t="n">
        <v>2019</v>
      </c>
      <c r="D245" s="0" t="n">
        <v>20980</v>
      </c>
      <c r="E245" s="0" t="n">
        <v>325.8</v>
      </c>
      <c r="F245" s="0" t="n">
        <v>6.8</v>
      </c>
      <c r="G245" s="0" t="n">
        <v>5.2</v>
      </c>
      <c r="H245" s="0" t="n">
        <v>22.2</v>
      </c>
      <c r="I245" s="0" t="n">
        <f aca="false">D245*E245</f>
        <v>6835284</v>
      </c>
      <c r="J245" s="0" t="n">
        <f aca="false">D245*H245</f>
        <v>465756</v>
      </c>
    </row>
    <row r="246" customFormat="false" ht="15" hidden="false" customHeight="false" outlineLevel="0" collapsed="false">
      <c r="A246" s="0" t="s">
        <v>501</v>
      </c>
      <c r="B246" s="0" t="s">
        <v>489</v>
      </c>
      <c r="C246" s="0" t="n">
        <v>2020</v>
      </c>
      <c r="D246" s="0" t="n">
        <v>20762</v>
      </c>
      <c r="E246" s="0" t="n">
        <v>325.9</v>
      </c>
      <c r="F246" s="0" t="n">
        <v>6.8</v>
      </c>
      <c r="G246" s="0" t="n">
        <v>5.2</v>
      </c>
      <c r="H246" s="0" t="n">
        <v>22.3</v>
      </c>
      <c r="I246" s="0" t="n">
        <f aca="false">D246*E246</f>
        <v>6766335.8</v>
      </c>
      <c r="J246" s="0" t="n">
        <f aca="false">D246*H246</f>
        <v>462992.6</v>
      </c>
    </row>
    <row r="247" customFormat="false" ht="15" hidden="false" customHeight="false" outlineLevel="0" collapsed="false">
      <c r="A247" s="0" t="s">
        <v>501</v>
      </c>
      <c r="B247" s="0" t="s">
        <v>489</v>
      </c>
      <c r="C247" s="0" t="n">
        <v>2021</v>
      </c>
      <c r="D247" s="0" t="n">
        <v>19790</v>
      </c>
      <c r="E247" s="0" t="n">
        <v>327.3</v>
      </c>
      <c r="F247" s="0" t="n">
        <v>6.5</v>
      </c>
      <c r="G247" s="0" t="n">
        <v>5.2</v>
      </c>
      <c r="H247" s="0" t="n">
        <v>23.3</v>
      </c>
      <c r="I247" s="0" t="n">
        <f aca="false">D247*E247</f>
        <v>6477267</v>
      </c>
      <c r="J247" s="0" t="n">
        <f aca="false">D247*H247</f>
        <v>461107</v>
      </c>
    </row>
    <row r="248" customFormat="false" ht="15" hidden="false" customHeight="false" outlineLevel="0" collapsed="false">
      <c r="A248" s="0" t="s">
        <v>501</v>
      </c>
      <c r="B248" s="0" t="s">
        <v>497</v>
      </c>
      <c r="C248" s="0" t="n">
        <v>2016</v>
      </c>
      <c r="D248" s="0" t="n">
        <v>47500</v>
      </c>
      <c r="E248" s="0" t="n">
        <v>323.2</v>
      </c>
      <c r="F248" s="0" t="n">
        <v>6.7</v>
      </c>
      <c r="G248" s="0" t="n">
        <v>4.6</v>
      </c>
      <c r="H248" s="0" t="n">
        <v>19.9</v>
      </c>
      <c r="I248" s="0" t="n">
        <f aca="false">D248*E248</f>
        <v>15352000</v>
      </c>
      <c r="J248" s="0" t="n">
        <f aca="false">D248*H248</f>
        <v>945250</v>
      </c>
    </row>
    <row r="249" customFormat="false" ht="15" hidden="false" customHeight="false" outlineLevel="0" collapsed="false">
      <c r="A249" s="0" t="s">
        <v>501</v>
      </c>
      <c r="B249" s="0" t="s">
        <v>497</v>
      </c>
      <c r="C249" s="0" t="n">
        <v>2017</v>
      </c>
      <c r="D249" s="0" t="n">
        <v>48665</v>
      </c>
      <c r="E249" s="0" t="n">
        <v>326.5</v>
      </c>
      <c r="F249" s="0" t="n">
        <v>6.6</v>
      </c>
      <c r="G249" s="0" t="n">
        <v>4.5</v>
      </c>
      <c r="H249" s="0" t="n">
        <v>20.6</v>
      </c>
      <c r="I249" s="0" t="n">
        <f aca="false">D249*E249</f>
        <v>15889122.5</v>
      </c>
      <c r="J249" s="0" t="n">
        <f aca="false">D249*H249</f>
        <v>1002499</v>
      </c>
    </row>
    <row r="250" customFormat="false" ht="15" hidden="false" customHeight="false" outlineLevel="0" collapsed="false">
      <c r="A250" s="0" t="s">
        <v>501</v>
      </c>
      <c r="B250" s="0" t="s">
        <v>497</v>
      </c>
      <c r="C250" s="0" t="n">
        <v>2018</v>
      </c>
      <c r="D250" s="0" t="n">
        <v>47030</v>
      </c>
      <c r="E250" s="0" t="n">
        <v>325.5</v>
      </c>
      <c r="F250" s="0" t="n">
        <v>6.6</v>
      </c>
      <c r="G250" s="0" t="n">
        <v>4.5</v>
      </c>
      <c r="H250" s="0" t="n">
        <v>21.2</v>
      </c>
      <c r="I250" s="0" t="n">
        <f aca="false">D250*E250</f>
        <v>15308265</v>
      </c>
      <c r="J250" s="0" t="n">
        <f aca="false">D250*H250</f>
        <v>997036</v>
      </c>
    </row>
    <row r="251" customFormat="false" ht="15" hidden="false" customHeight="false" outlineLevel="0" collapsed="false">
      <c r="A251" s="0" t="s">
        <v>501</v>
      </c>
      <c r="B251" s="0" t="s">
        <v>497</v>
      </c>
      <c r="C251" s="0" t="n">
        <v>2019</v>
      </c>
      <c r="D251" s="0" t="n">
        <v>46699</v>
      </c>
      <c r="E251" s="0" t="n">
        <v>323.2</v>
      </c>
      <c r="F251" s="0" t="n">
        <v>6.4</v>
      </c>
      <c r="G251" s="0" t="n">
        <v>4.4</v>
      </c>
      <c r="H251" s="0" t="n">
        <v>24</v>
      </c>
      <c r="I251" s="0" t="n">
        <f aca="false">D251*E251</f>
        <v>15093116.8</v>
      </c>
      <c r="J251" s="0" t="n">
        <f aca="false">D251*H251</f>
        <v>1120776</v>
      </c>
    </row>
    <row r="252" customFormat="false" ht="15" hidden="false" customHeight="false" outlineLevel="0" collapsed="false">
      <c r="A252" s="0" t="s">
        <v>501</v>
      </c>
      <c r="B252" s="0" t="s">
        <v>497</v>
      </c>
      <c r="C252" s="0" t="n">
        <v>2020</v>
      </c>
      <c r="D252" s="0" t="n">
        <v>47003</v>
      </c>
      <c r="E252" s="0" t="n">
        <v>323.1</v>
      </c>
      <c r="F252" s="0" t="n">
        <v>6.3</v>
      </c>
      <c r="G252" s="0" t="n">
        <v>4.4</v>
      </c>
      <c r="H252" s="0" t="n">
        <v>23.7</v>
      </c>
      <c r="I252" s="0" t="n">
        <f aca="false">D252*E252</f>
        <v>15186669.3</v>
      </c>
      <c r="J252" s="0" t="n">
        <f aca="false">D252*H252</f>
        <v>1113971.1</v>
      </c>
    </row>
    <row r="253" customFormat="false" ht="15" hidden="false" customHeight="false" outlineLevel="0" collapsed="false">
      <c r="A253" s="0" t="s">
        <v>501</v>
      </c>
      <c r="B253" s="0" t="s">
        <v>497</v>
      </c>
      <c r="C253" s="0" t="n">
        <v>2021</v>
      </c>
      <c r="D253" s="0" t="n">
        <v>47112</v>
      </c>
      <c r="E253" s="0" t="n">
        <v>325</v>
      </c>
      <c r="F253" s="0" t="n">
        <v>6.2</v>
      </c>
      <c r="G253" s="0" t="n">
        <v>4.5</v>
      </c>
      <c r="H253" s="0" t="n">
        <v>25.9</v>
      </c>
      <c r="I253" s="0" t="n">
        <f aca="false">D253*E253</f>
        <v>15311400</v>
      </c>
      <c r="J253" s="0" t="n">
        <f aca="false">D253*H253</f>
        <v>1220200.8</v>
      </c>
    </row>
    <row r="254" customFormat="false" ht="15" hidden="false" customHeight="false" outlineLevel="0" collapsed="false">
      <c r="A254" s="0" t="s">
        <v>501</v>
      </c>
      <c r="B254" s="0" t="s">
        <v>502</v>
      </c>
      <c r="C254" s="0" t="n">
        <v>2016</v>
      </c>
      <c r="D254" s="0" t="n">
        <v>6973</v>
      </c>
      <c r="E254" s="0" t="n">
        <v>340.5</v>
      </c>
      <c r="F254" s="0" t="n">
        <v>8.2</v>
      </c>
      <c r="G254" s="0" t="n">
        <v>7.4</v>
      </c>
      <c r="H254" s="0" t="n">
        <v>18.7</v>
      </c>
      <c r="I254" s="0" t="n">
        <f aca="false">D254*E254</f>
        <v>2374306.5</v>
      </c>
      <c r="J254" s="0" t="n">
        <f aca="false">D254*H254</f>
        <v>130395.1</v>
      </c>
    </row>
    <row r="255" customFormat="false" ht="15" hidden="false" customHeight="false" outlineLevel="0" collapsed="false">
      <c r="A255" s="0" t="s">
        <v>501</v>
      </c>
      <c r="B255" s="0" t="s">
        <v>502</v>
      </c>
      <c r="C255" s="0" t="n">
        <v>2017</v>
      </c>
      <c r="D255" s="0" t="n">
        <v>7820</v>
      </c>
      <c r="E255" s="0" t="n">
        <v>347.2</v>
      </c>
      <c r="F255" s="0" t="n">
        <v>8.1</v>
      </c>
      <c r="G255" s="0" t="n">
        <v>7.5</v>
      </c>
      <c r="H255" s="0" t="n">
        <v>19.1</v>
      </c>
      <c r="I255" s="0" t="n">
        <f aca="false">D255*E255</f>
        <v>2715104</v>
      </c>
      <c r="J255" s="0" t="n">
        <f aca="false">D255*H255</f>
        <v>149362</v>
      </c>
    </row>
    <row r="256" customFormat="false" ht="15" hidden="false" customHeight="false" outlineLevel="0" collapsed="false">
      <c r="A256" s="0" t="s">
        <v>501</v>
      </c>
      <c r="B256" s="0" t="s">
        <v>502</v>
      </c>
      <c r="C256" s="0" t="n">
        <v>2018</v>
      </c>
      <c r="D256" s="0" t="n">
        <v>8849</v>
      </c>
      <c r="E256" s="0" t="n">
        <v>340.3</v>
      </c>
      <c r="F256" s="0" t="n">
        <v>7.8</v>
      </c>
      <c r="G256" s="0" t="n">
        <v>7.3</v>
      </c>
      <c r="H256" s="0" t="n">
        <v>19.5</v>
      </c>
      <c r="I256" s="0" t="n">
        <f aca="false">D256*E256</f>
        <v>3011314.7</v>
      </c>
      <c r="J256" s="0" t="n">
        <f aca="false">D256*H256</f>
        <v>172555.5</v>
      </c>
    </row>
    <row r="257" customFormat="false" ht="15" hidden="false" customHeight="false" outlineLevel="0" collapsed="false">
      <c r="A257" s="0" t="s">
        <v>501</v>
      </c>
      <c r="B257" s="0" t="s">
        <v>502</v>
      </c>
      <c r="C257" s="0" t="n">
        <v>2019</v>
      </c>
      <c r="D257" s="0" t="n">
        <v>9669</v>
      </c>
      <c r="E257" s="0" t="n">
        <v>340.1</v>
      </c>
      <c r="F257" s="0" t="n">
        <v>7.7</v>
      </c>
      <c r="G257" s="0" t="n">
        <v>7.3</v>
      </c>
      <c r="H257" s="0" t="n">
        <v>21.8</v>
      </c>
      <c r="I257" s="0" t="n">
        <f aca="false">D257*E257</f>
        <v>3288426.9</v>
      </c>
      <c r="J257" s="0" t="n">
        <f aca="false">D257*H257</f>
        <v>210784.2</v>
      </c>
    </row>
    <row r="258" customFormat="false" ht="15" hidden="false" customHeight="false" outlineLevel="0" collapsed="false">
      <c r="A258" s="0" t="s">
        <v>501</v>
      </c>
      <c r="B258" s="0" t="s">
        <v>502</v>
      </c>
      <c r="C258" s="0" t="n">
        <v>2020</v>
      </c>
      <c r="D258" s="0" t="n">
        <v>9814</v>
      </c>
      <c r="E258" s="0" t="n">
        <v>342.8</v>
      </c>
      <c r="F258" s="0" t="n">
        <v>7.7</v>
      </c>
      <c r="G258" s="0" t="n">
        <v>7.3</v>
      </c>
      <c r="H258" s="0" t="n">
        <v>22.1</v>
      </c>
      <c r="I258" s="0" t="n">
        <f aca="false">D258*E258</f>
        <v>3364239.2</v>
      </c>
      <c r="J258" s="0" t="n">
        <f aca="false">D258*H258</f>
        <v>216889.4</v>
      </c>
    </row>
    <row r="259" customFormat="false" ht="15" hidden="false" customHeight="false" outlineLevel="0" collapsed="false">
      <c r="A259" s="0" t="s">
        <v>501</v>
      </c>
      <c r="B259" s="0" t="s">
        <v>502</v>
      </c>
      <c r="C259" s="0" t="n">
        <v>2021</v>
      </c>
      <c r="D259" s="0" t="n">
        <v>9953</v>
      </c>
      <c r="E259" s="0" t="n">
        <v>349.4</v>
      </c>
      <c r="F259" s="0" t="n">
        <v>7.8</v>
      </c>
      <c r="G259" s="0" t="n">
        <v>7.4</v>
      </c>
      <c r="H259" s="0" t="n">
        <v>22.1</v>
      </c>
      <c r="I259" s="0" t="n">
        <f aca="false">D259*E259</f>
        <v>3477578.2</v>
      </c>
      <c r="J259" s="0" t="n">
        <f aca="false">D259*H259</f>
        <v>219961.3</v>
      </c>
    </row>
    <row r="260" customFormat="false" ht="15" hidden="false" customHeight="false" outlineLevel="0" collapsed="false">
      <c r="A260" s="0" t="s">
        <v>501</v>
      </c>
      <c r="B260" s="0" t="s">
        <v>505</v>
      </c>
      <c r="C260" s="0" t="n">
        <v>2016</v>
      </c>
      <c r="D260" s="0" t="n">
        <v>6430</v>
      </c>
      <c r="E260" s="0" t="n">
        <v>374</v>
      </c>
      <c r="F260" s="0" t="n">
        <v>6.9</v>
      </c>
      <c r="G260" s="0" t="n">
        <v>9</v>
      </c>
      <c r="H260" s="0" t="n">
        <v>17.3</v>
      </c>
      <c r="I260" s="0" t="n">
        <f aca="false">D260*E260</f>
        <v>2404820</v>
      </c>
      <c r="J260" s="0" t="n">
        <f aca="false">D260*H260</f>
        <v>111239</v>
      </c>
    </row>
    <row r="261" customFormat="false" ht="15" hidden="false" customHeight="false" outlineLevel="0" collapsed="false">
      <c r="A261" s="0" t="s">
        <v>501</v>
      </c>
      <c r="B261" s="0" t="s">
        <v>505</v>
      </c>
      <c r="C261" s="0" t="n">
        <v>2017</v>
      </c>
      <c r="D261" s="0" t="n">
        <v>6453</v>
      </c>
      <c r="E261" s="0" t="n">
        <v>379.2</v>
      </c>
      <c r="F261" s="0" t="n">
        <v>6.7</v>
      </c>
      <c r="G261" s="0" t="n">
        <v>9.1</v>
      </c>
      <c r="H261" s="0" t="n">
        <v>18.2</v>
      </c>
      <c r="I261" s="0" t="n">
        <f aca="false">D261*E261</f>
        <v>2446977.6</v>
      </c>
      <c r="J261" s="0" t="n">
        <f aca="false">D261*H261</f>
        <v>117444.6</v>
      </c>
    </row>
    <row r="262" customFormat="false" ht="15" hidden="false" customHeight="false" outlineLevel="0" collapsed="false">
      <c r="A262" s="0" t="s">
        <v>501</v>
      </c>
      <c r="B262" s="0" t="s">
        <v>505</v>
      </c>
      <c r="C262" s="0" t="n">
        <v>2018</v>
      </c>
      <c r="D262" s="0" t="n">
        <v>6897</v>
      </c>
      <c r="E262" s="0" t="n">
        <v>370.2</v>
      </c>
      <c r="F262" s="0" t="n">
        <v>6.6</v>
      </c>
      <c r="G262" s="0" t="n">
        <v>8.8</v>
      </c>
      <c r="H262" s="0" t="n">
        <v>18.3</v>
      </c>
      <c r="I262" s="0" t="n">
        <f aca="false">D262*E262</f>
        <v>2553269.4</v>
      </c>
      <c r="J262" s="0" t="n">
        <f aca="false">D262*H262</f>
        <v>126215.1</v>
      </c>
    </row>
    <row r="263" customFormat="false" ht="15" hidden="false" customHeight="false" outlineLevel="0" collapsed="false">
      <c r="A263" s="0" t="s">
        <v>501</v>
      </c>
      <c r="B263" s="0" t="s">
        <v>505</v>
      </c>
      <c r="C263" s="0" t="n">
        <v>2019</v>
      </c>
      <c r="D263" s="0" t="n">
        <v>6858</v>
      </c>
      <c r="E263" s="0" t="n">
        <v>373</v>
      </c>
      <c r="F263" s="0" t="n">
        <v>6.4</v>
      </c>
      <c r="G263" s="0" t="n">
        <v>8.8</v>
      </c>
      <c r="H263" s="0" t="n">
        <v>18.5</v>
      </c>
      <c r="I263" s="0" t="n">
        <f aca="false">D263*E263</f>
        <v>2558034</v>
      </c>
      <c r="J263" s="0" t="n">
        <f aca="false">D263*H263</f>
        <v>126873</v>
      </c>
    </row>
    <row r="264" customFormat="false" ht="15" hidden="false" customHeight="false" outlineLevel="0" collapsed="false">
      <c r="A264" s="0" t="s">
        <v>501</v>
      </c>
      <c r="B264" s="0" t="s">
        <v>505</v>
      </c>
      <c r="C264" s="0" t="n">
        <v>2020</v>
      </c>
      <c r="D264" s="0" t="n">
        <v>6610</v>
      </c>
      <c r="E264" s="0" t="n">
        <v>370.5</v>
      </c>
      <c r="F264" s="0" t="n">
        <v>6.3</v>
      </c>
      <c r="G264" s="0" t="n">
        <v>8.8</v>
      </c>
      <c r="H264" s="0" t="n">
        <v>18.6</v>
      </c>
      <c r="I264" s="0" t="n">
        <f aca="false">D264*E264</f>
        <v>2449005</v>
      </c>
      <c r="J264" s="0" t="n">
        <f aca="false">D264*H264</f>
        <v>122946</v>
      </c>
    </row>
    <row r="265" customFormat="false" ht="15" hidden="false" customHeight="false" outlineLevel="0" collapsed="false">
      <c r="A265" s="0" t="s">
        <v>501</v>
      </c>
      <c r="B265" s="0" t="s">
        <v>505</v>
      </c>
      <c r="C265" s="0" t="n">
        <v>2021</v>
      </c>
      <c r="D265" s="0" t="n">
        <v>6329</v>
      </c>
      <c r="E265" s="0" t="n">
        <v>381.4</v>
      </c>
      <c r="F265" s="0" t="n">
        <v>6.4</v>
      </c>
      <c r="G265" s="0" t="n">
        <v>8.9</v>
      </c>
      <c r="H265" s="0" t="n">
        <v>19</v>
      </c>
      <c r="I265" s="0" t="n">
        <f aca="false">D265*E265</f>
        <v>2413880.6</v>
      </c>
      <c r="J265" s="0" t="n">
        <f aca="false">D265*H265</f>
        <v>120251</v>
      </c>
    </row>
    <row r="266" customFormat="false" ht="15" hidden="false" customHeight="false" outlineLevel="0" collapsed="false">
      <c r="A266" s="0" t="s">
        <v>501</v>
      </c>
      <c r="B266" s="0" t="s">
        <v>506</v>
      </c>
      <c r="C266" s="0" t="n">
        <v>2016</v>
      </c>
      <c r="D266" s="0" t="n">
        <v>1988</v>
      </c>
      <c r="E266" s="0" t="n">
        <v>347</v>
      </c>
      <c r="F266" s="0" t="n">
        <v>8.2</v>
      </c>
      <c r="G266" s="0" t="n">
        <v>7.8</v>
      </c>
      <c r="H266" s="0" t="n">
        <v>18.4</v>
      </c>
      <c r="I266" s="0" t="n">
        <f aca="false">D266*E266</f>
        <v>689836</v>
      </c>
      <c r="J266" s="0" t="n">
        <f aca="false">D266*H266</f>
        <v>36579.2</v>
      </c>
    </row>
    <row r="267" customFormat="false" ht="15" hidden="false" customHeight="false" outlineLevel="0" collapsed="false">
      <c r="A267" s="0" t="s">
        <v>501</v>
      </c>
      <c r="B267" s="0" t="s">
        <v>506</v>
      </c>
      <c r="C267" s="0" t="n">
        <v>2017</v>
      </c>
      <c r="D267" s="0" t="n">
        <v>2383</v>
      </c>
      <c r="E267" s="0" t="n">
        <v>354.8</v>
      </c>
      <c r="F267" s="0" t="n">
        <v>8.3</v>
      </c>
      <c r="G267" s="0" t="n">
        <v>7.9</v>
      </c>
      <c r="H267" s="0" t="n">
        <v>18.2</v>
      </c>
      <c r="I267" s="0" t="n">
        <f aca="false">D267*E267</f>
        <v>845488.4</v>
      </c>
      <c r="J267" s="0" t="n">
        <f aca="false">D267*H267</f>
        <v>43370.6</v>
      </c>
    </row>
    <row r="268" customFormat="false" ht="15" hidden="false" customHeight="false" outlineLevel="0" collapsed="false">
      <c r="A268" s="0" t="s">
        <v>501</v>
      </c>
      <c r="B268" s="0" t="s">
        <v>506</v>
      </c>
      <c r="C268" s="0" t="n">
        <v>2018</v>
      </c>
      <c r="D268" s="0" t="n">
        <v>2750</v>
      </c>
      <c r="E268" s="0" t="n">
        <v>349.2</v>
      </c>
      <c r="F268" s="0" t="n">
        <v>7.9</v>
      </c>
      <c r="G268" s="0" t="n">
        <v>7.7</v>
      </c>
      <c r="H268" s="0" t="n">
        <v>19.6</v>
      </c>
      <c r="I268" s="0" t="n">
        <f aca="false">D268*E268</f>
        <v>960300</v>
      </c>
      <c r="J268" s="0" t="n">
        <f aca="false">D268*H268</f>
        <v>53900</v>
      </c>
    </row>
    <row r="269" customFormat="false" ht="15" hidden="false" customHeight="false" outlineLevel="0" collapsed="false">
      <c r="A269" s="0" t="s">
        <v>501</v>
      </c>
      <c r="B269" s="0" t="s">
        <v>506</v>
      </c>
      <c r="C269" s="0" t="n">
        <v>2019</v>
      </c>
      <c r="D269" s="0" t="n">
        <v>3256</v>
      </c>
      <c r="E269" s="0" t="n">
        <v>345.4</v>
      </c>
      <c r="F269" s="0" t="n">
        <v>7.8</v>
      </c>
      <c r="G269" s="0" t="n">
        <v>7.6</v>
      </c>
      <c r="H269" s="0" t="n">
        <v>19.9</v>
      </c>
      <c r="I269" s="0" t="n">
        <f aca="false">D269*E269</f>
        <v>1124622.4</v>
      </c>
      <c r="J269" s="0" t="n">
        <f aca="false">D269*H269</f>
        <v>64794.4</v>
      </c>
    </row>
    <row r="270" customFormat="false" ht="15" hidden="false" customHeight="false" outlineLevel="0" collapsed="false">
      <c r="A270" s="0" t="s">
        <v>501</v>
      </c>
      <c r="B270" s="0" t="s">
        <v>506</v>
      </c>
      <c r="C270" s="0" t="n">
        <v>2020</v>
      </c>
      <c r="D270" s="0" t="n">
        <v>3414</v>
      </c>
      <c r="E270" s="0" t="n">
        <v>347.5</v>
      </c>
      <c r="F270" s="0" t="n">
        <v>7.8</v>
      </c>
      <c r="G270" s="0" t="n">
        <v>7.7</v>
      </c>
      <c r="H270" s="0" t="n">
        <v>19.5</v>
      </c>
      <c r="I270" s="0" t="n">
        <f aca="false">D270*E270</f>
        <v>1186365</v>
      </c>
      <c r="J270" s="0" t="n">
        <f aca="false">D270*H270</f>
        <v>66573</v>
      </c>
    </row>
    <row r="271" customFormat="false" ht="15" hidden="false" customHeight="false" outlineLevel="0" collapsed="false">
      <c r="A271" s="0" t="s">
        <v>501</v>
      </c>
      <c r="B271" s="0" t="s">
        <v>506</v>
      </c>
      <c r="C271" s="0" t="n">
        <v>2021</v>
      </c>
      <c r="D271" s="0" t="n">
        <v>3337</v>
      </c>
      <c r="E271" s="0" t="n">
        <v>355.5</v>
      </c>
      <c r="F271" s="0" t="n">
        <v>7.7</v>
      </c>
      <c r="G271" s="0" t="n">
        <v>7.8</v>
      </c>
      <c r="H271" s="0" t="n">
        <v>21</v>
      </c>
      <c r="I271" s="0" t="n">
        <f aca="false">D271*E271</f>
        <v>1186303.5</v>
      </c>
      <c r="J271" s="0" t="n">
        <f aca="false">D271*H271</f>
        <v>70077</v>
      </c>
    </row>
    <row r="272" customFormat="false" ht="15" hidden="false" customHeight="false" outlineLevel="0" collapsed="false">
      <c r="A272" s="0" t="s">
        <v>501</v>
      </c>
      <c r="B272" s="0" t="s">
        <v>508</v>
      </c>
      <c r="C272" s="0" t="n">
        <v>2016</v>
      </c>
      <c r="D272" s="0" t="n">
        <v>1404</v>
      </c>
      <c r="E272" s="0" t="n">
        <v>368.3</v>
      </c>
      <c r="F272" s="0" t="n">
        <v>6.7</v>
      </c>
      <c r="G272" s="0" t="n">
        <v>10.3</v>
      </c>
      <c r="H272" s="0" t="n">
        <v>17.2</v>
      </c>
      <c r="I272" s="0" t="n">
        <f aca="false">D272*E272</f>
        <v>517093.2</v>
      </c>
      <c r="J272" s="0" t="n">
        <f aca="false">D272*H272</f>
        <v>24148.8</v>
      </c>
    </row>
    <row r="273" customFormat="false" ht="15" hidden="false" customHeight="false" outlineLevel="0" collapsed="false">
      <c r="A273" s="0" t="s">
        <v>501</v>
      </c>
      <c r="B273" s="0" t="s">
        <v>508</v>
      </c>
      <c r="C273" s="0" t="n">
        <v>2017</v>
      </c>
      <c r="D273" s="0" t="n">
        <v>1302</v>
      </c>
      <c r="E273" s="0" t="n">
        <v>372.9</v>
      </c>
      <c r="F273" s="0" t="n">
        <v>6.6</v>
      </c>
      <c r="G273" s="0" t="n">
        <v>10.2</v>
      </c>
      <c r="H273" s="0" t="n">
        <v>17.4</v>
      </c>
      <c r="I273" s="0" t="n">
        <f aca="false">D273*E273</f>
        <v>485515.8</v>
      </c>
      <c r="J273" s="0" t="n">
        <f aca="false">D273*H273</f>
        <v>22654.8</v>
      </c>
    </row>
    <row r="274" customFormat="false" ht="15" hidden="false" customHeight="false" outlineLevel="0" collapsed="false">
      <c r="A274" s="0" t="s">
        <v>501</v>
      </c>
      <c r="B274" s="0" t="s">
        <v>508</v>
      </c>
      <c r="C274" s="0" t="n">
        <v>2018</v>
      </c>
      <c r="D274" s="0" t="n">
        <v>1588</v>
      </c>
      <c r="E274" s="0" t="n">
        <v>370.9</v>
      </c>
      <c r="F274" s="0" t="n">
        <v>6.6</v>
      </c>
      <c r="G274" s="0" t="n">
        <v>9.8</v>
      </c>
      <c r="H274" s="0" t="n">
        <v>18.2</v>
      </c>
      <c r="I274" s="0" t="n">
        <f aca="false">D274*E274</f>
        <v>588989.2</v>
      </c>
      <c r="J274" s="0" t="n">
        <f aca="false">D274*H274</f>
        <v>28901.6</v>
      </c>
    </row>
    <row r="275" customFormat="false" ht="15" hidden="false" customHeight="false" outlineLevel="0" collapsed="false">
      <c r="A275" s="0" t="s">
        <v>501</v>
      </c>
      <c r="B275" s="0" t="s">
        <v>508</v>
      </c>
      <c r="C275" s="0" t="n">
        <v>2019</v>
      </c>
      <c r="D275" s="0" t="n">
        <v>1658</v>
      </c>
      <c r="E275" s="0" t="n">
        <v>367.7</v>
      </c>
      <c r="F275" s="0" t="n">
        <v>6.4</v>
      </c>
      <c r="G275" s="0" t="n">
        <v>9.5</v>
      </c>
      <c r="H275" s="0" t="n">
        <v>18.6</v>
      </c>
      <c r="I275" s="0" t="n">
        <f aca="false">D275*E275</f>
        <v>609646.6</v>
      </c>
      <c r="J275" s="0" t="n">
        <f aca="false">D275*H275</f>
        <v>30838.8</v>
      </c>
    </row>
    <row r="276" customFormat="false" ht="15" hidden="false" customHeight="false" outlineLevel="0" collapsed="false">
      <c r="A276" s="0" t="s">
        <v>501</v>
      </c>
      <c r="B276" s="0" t="s">
        <v>508</v>
      </c>
      <c r="C276" s="0" t="n">
        <v>2020</v>
      </c>
      <c r="D276" s="0" t="n">
        <v>1787</v>
      </c>
      <c r="E276" s="0" t="n">
        <v>365.3</v>
      </c>
      <c r="F276" s="0" t="n">
        <v>6.3</v>
      </c>
      <c r="G276" s="0" t="n">
        <v>9.6</v>
      </c>
      <c r="H276" s="0" t="n">
        <v>18</v>
      </c>
      <c r="I276" s="0" t="n">
        <f aca="false">D276*E276</f>
        <v>652791.1</v>
      </c>
      <c r="J276" s="0" t="n">
        <f aca="false">D276*H276</f>
        <v>32166</v>
      </c>
    </row>
    <row r="277" customFormat="false" ht="15" hidden="false" customHeight="false" outlineLevel="0" collapsed="false">
      <c r="A277" s="0" t="s">
        <v>501</v>
      </c>
      <c r="B277" s="0" t="s">
        <v>508</v>
      </c>
      <c r="C277" s="0" t="n">
        <v>2021</v>
      </c>
      <c r="D277" s="0" t="n">
        <v>1890</v>
      </c>
      <c r="E277" s="0" t="n">
        <v>370</v>
      </c>
      <c r="F277" s="0" t="n">
        <v>6.4</v>
      </c>
      <c r="G277" s="0" t="n">
        <v>9.5</v>
      </c>
      <c r="H277" s="0" t="n">
        <v>18.8</v>
      </c>
      <c r="I277" s="0" t="n">
        <f aca="false">D277*E277</f>
        <v>699300</v>
      </c>
      <c r="J277" s="0" t="n">
        <f aca="false">D277*H277</f>
        <v>35532</v>
      </c>
    </row>
    <row r="278" customFormat="false" ht="15" hidden="false" customHeight="false" outlineLevel="0" collapsed="false">
      <c r="A278" s="0" t="s">
        <v>501</v>
      </c>
      <c r="B278" s="0" t="s">
        <v>509</v>
      </c>
      <c r="C278" s="0" t="n">
        <v>2016</v>
      </c>
      <c r="D278" s="0" t="n">
        <v>5253</v>
      </c>
      <c r="E278" s="0" t="n">
        <v>370.1</v>
      </c>
      <c r="F278" s="0" t="n">
        <v>7.1</v>
      </c>
      <c r="G278" s="0" t="n">
        <v>8.5</v>
      </c>
      <c r="H278" s="0" t="n">
        <v>17.7</v>
      </c>
      <c r="I278" s="0" t="n">
        <f aca="false">D278*E278</f>
        <v>1944135.3</v>
      </c>
      <c r="J278" s="0" t="n">
        <f aca="false">D278*H278</f>
        <v>92978.1</v>
      </c>
    </row>
    <row r="279" customFormat="false" ht="15" hidden="false" customHeight="false" outlineLevel="0" collapsed="false">
      <c r="A279" s="0" t="s">
        <v>501</v>
      </c>
      <c r="B279" s="0" t="s">
        <v>509</v>
      </c>
      <c r="C279" s="0" t="n">
        <v>2017</v>
      </c>
      <c r="D279" s="0" t="n">
        <v>5678</v>
      </c>
      <c r="E279" s="0" t="n">
        <v>376.8</v>
      </c>
      <c r="F279" s="0" t="n">
        <v>7</v>
      </c>
      <c r="G279" s="0" t="n">
        <v>8.6</v>
      </c>
      <c r="H279" s="0" t="n">
        <v>17.5</v>
      </c>
      <c r="I279" s="0" t="n">
        <f aca="false">D279*E279</f>
        <v>2139470.4</v>
      </c>
      <c r="J279" s="0" t="n">
        <f aca="false">D279*H279</f>
        <v>99365</v>
      </c>
    </row>
    <row r="280" customFormat="false" ht="15" hidden="false" customHeight="false" outlineLevel="0" collapsed="false">
      <c r="A280" s="0" t="s">
        <v>501</v>
      </c>
      <c r="B280" s="0" t="s">
        <v>509</v>
      </c>
      <c r="C280" s="0" t="n">
        <v>2018</v>
      </c>
      <c r="D280" s="0" t="n">
        <v>5954</v>
      </c>
      <c r="E280" s="0" t="n">
        <v>370.1</v>
      </c>
      <c r="F280" s="0" t="n">
        <v>6.8</v>
      </c>
      <c r="G280" s="0" t="n">
        <v>8.3</v>
      </c>
      <c r="H280" s="0" t="n">
        <v>17.8</v>
      </c>
      <c r="I280" s="0" t="n">
        <f aca="false">D280*E280</f>
        <v>2203575.4</v>
      </c>
      <c r="J280" s="0" t="n">
        <f aca="false">D280*H280</f>
        <v>105981.2</v>
      </c>
    </row>
    <row r="281" customFormat="false" ht="15" hidden="false" customHeight="false" outlineLevel="0" collapsed="false">
      <c r="A281" s="0" t="s">
        <v>501</v>
      </c>
      <c r="B281" s="0" t="s">
        <v>509</v>
      </c>
      <c r="C281" s="0" t="n">
        <v>2019</v>
      </c>
      <c r="D281" s="0" t="n">
        <v>6320</v>
      </c>
      <c r="E281" s="0" t="n">
        <v>363.8</v>
      </c>
      <c r="F281" s="0" t="n">
        <v>6.5</v>
      </c>
      <c r="G281" s="0" t="n">
        <v>8.3</v>
      </c>
      <c r="H281" s="0" t="n">
        <v>18.4</v>
      </c>
      <c r="I281" s="0" t="n">
        <f aca="false">D281*E281</f>
        <v>2299216</v>
      </c>
      <c r="J281" s="0" t="n">
        <f aca="false">D281*H281</f>
        <v>116288</v>
      </c>
    </row>
    <row r="282" customFormat="false" ht="15" hidden="false" customHeight="false" outlineLevel="0" collapsed="false">
      <c r="A282" s="0" t="s">
        <v>501</v>
      </c>
      <c r="B282" s="0" t="s">
        <v>509</v>
      </c>
      <c r="C282" s="0" t="n">
        <v>2020</v>
      </c>
      <c r="D282" s="0" t="n">
        <v>6471</v>
      </c>
      <c r="E282" s="0" t="n">
        <v>365.6</v>
      </c>
      <c r="F282" s="0" t="n">
        <v>6.5</v>
      </c>
      <c r="G282" s="0" t="n">
        <v>8.3</v>
      </c>
      <c r="H282" s="0" t="n">
        <v>18.3</v>
      </c>
      <c r="I282" s="0" t="n">
        <f aca="false">D282*E282</f>
        <v>2365797.6</v>
      </c>
      <c r="J282" s="0" t="n">
        <f aca="false">D282*H282</f>
        <v>118419.3</v>
      </c>
    </row>
    <row r="283" customFormat="false" ht="15" hidden="false" customHeight="false" outlineLevel="0" collapsed="false">
      <c r="A283" s="0" t="s">
        <v>501</v>
      </c>
      <c r="B283" s="0" t="s">
        <v>509</v>
      </c>
      <c r="C283" s="0" t="n">
        <v>2021</v>
      </c>
      <c r="D283" s="0" t="n">
        <v>6677</v>
      </c>
      <c r="E283" s="0" t="n">
        <v>374.3</v>
      </c>
      <c r="F283" s="0" t="n">
        <v>6.5</v>
      </c>
      <c r="G283" s="0" t="n">
        <v>8.4</v>
      </c>
      <c r="H283" s="0" t="n">
        <v>18.2</v>
      </c>
      <c r="I283" s="0" t="n">
        <f aca="false">D283*E283</f>
        <v>2499201.1</v>
      </c>
      <c r="J283" s="0" t="n">
        <f aca="false">D283*H283</f>
        <v>121521.4</v>
      </c>
    </row>
    <row r="284" customFormat="false" ht="15" hidden="false" customHeight="false" outlineLevel="0" collapsed="false">
      <c r="A284" s="0" t="s">
        <v>501</v>
      </c>
      <c r="B284" s="0" t="s">
        <v>511</v>
      </c>
      <c r="C284" s="0" t="n">
        <v>2016</v>
      </c>
      <c r="D284" s="0" t="n">
        <v>254</v>
      </c>
      <c r="E284" s="0" t="n">
        <v>192.8</v>
      </c>
      <c r="F284" s="0" t="n">
        <v>4.9</v>
      </c>
      <c r="G284" s="0" t="n">
        <v>4.6</v>
      </c>
      <c r="H284" s="0" t="n">
        <v>23.6</v>
      </c>
      <c r="I284" s="0" t="n">
        <f aca="false">D284*E284</f>
        <v>48971.2</v>
      </c>
      <c r="J284" s="0" t="n">
        <f aca="false">D284*H284</f>
        <v>5994.4</v>
      </c>
    </row>
    <row r="285" customFormat="false" ht="15" hidden="false" customHeight="false" outlineLevel="0" collapsed="false">
      <c r="A285" s="0" t="s">
        <v>501</v>
      </c>
      <c r="B285" s="0" t="s">
        <v>511</v>
      </c>
      <c r="C285" s="0" t="n">
        <v>2017</v>
      </c>
      <c r="D285" s="0" t="n">
        <v>201</v>
      </c>
      <c r="E285" s="0" t="n">
        <v>209.6</v>
      </c>
      <c r="F285" s="0" t="n">
        <v>4.8</v>
      </c>
      <c r="G285" s="0" t="n">
        <v>5.1</v>
      </c>
      <c r="H285" s="0" t="n">
        <v>22.9</v>
      </c>
      <c r="I285" s="0" t="n">
        <f aca="false">D285*E285</f>
        <v>42129.6</v>
      </c>
      <c r="J285" s="0" t="n">
        <f aca="false">D285*H285</f>
        <v>4602.9</v>
      </c>
    </row>
    <row r="286" customFormat="false" ht="15" hidden="false" customHeight="false" outlineLevel="0" collapsed="false">
      <c r="A286" s="0" t="s">
        <v>501</v>
      </c>
      <c r="B286" s="0" t="s">
        <v>511</v>
      </c>
      <c r="C286" s="0" t="n">
        <v>2018</v>
      </c>
      <c r="D286" s="0" t="n">
        <v>229</v>
      </c>
      <c r="E286" s="0" t="n">
        <v>190.4</v>
      </c>
      <c r="F286" s="0" t="n">
        <v>4.5</v>
      </c>
      <c r="G286" s="0" t="n">
        <v>4.5</v>
      </c>
      <c r="H286" s="0" t="n">
        <v>23.6</v>
      </c>
      <c r="I286" s="0" t="n">
        <f aca="false">D286*E286</f>
        <v>43601.6</v>
      </c>
      <c r="J286" s="0" t="n">
        <f aca="false">D286*H286</f>
        <v>5404.4</v>
      </c>
    </row>
    <row r="287" customFormat="false" ht="15" hidden="false" customHeight="false" outlineLevel="0" collapsed="false">
      <c r="A287" s="0" t="s">
        <v>501</v>
      </c>
      <c r="B287" s="0" t="s">
        <v>511</v>
      </c>
      <c r="C287" s="0" t="n">
        <v>2019</v>
      </c>
      <c r="D287" s="0" t="n">
        <v>198</v>
      </c>
      <c r="E287" s="0" t="n">
        <v>202.6</v>
      </c>
      <c r="F287" s="0" t="n">
        <v>4.6</v>
      </c>
      <c r="G287" s="0" t="n">
        <v>4.8</v>
      </c>
      <c r="H287" s="0" t="n">
        <v>27.6</v>
      </c>
      <c r="I287" s="0" t="n">
        <f aca="false">D287*E287</f>
        <v>40114.8</v>
      </c>
      <c r="J287" s="0" t="n">
        <f aca="false">D287*H287</f>
        <v>5464.8</v>
      </c>
    </row>
    <row r="288" customFormat="false" ht="15" hidden="false" customHeight="false" outlineLevel="0" collapsed="false">
      <c r="A288" s="0" t="s">
        <v>501</v>
      </c>
      <c r="B288" s="0" t="s">
        <v>511</v>
      </c>
      <c r="C288" s="0" t="n">
        <v>2020</v>
      </c>
      <c r="D288" s="0" t="n">
        <v>173</v>
      </c>
      <c r="E288" s="0" t="n">
        <v>212.6</v>
      </c>
      <c r="F288" s="0" t="n">
        <v>4.7</v>
      </c>
      <c r="G288" s="0" t="n">
        <v>5</v>
      </c>
      <c r="H288" s="0" t="n">
        <v>29.4</v>
      </c>
      <c r="I288" s="0" t="n">
        <f aca="false">D288*E288</f>
        <v>36779.8</v>
      </c>
      <c r="J288" s="0" t="n">
        <f aca="false">D288*H288</f>
        <v>5086.2</v>
      </c>
    </row>
    <row r="289" customFormat="false" ht="15" hidden="false" customHeight="false" outlineLevel="0" collapsed="false">
      <c r="A289" s="0" t="s">
        <v>501</v>
      </c>
      <c r="B289" s="0" t="s">
        <v>511</v>
      </c>
      <c r="C289" s="0" t="n">
        <v>2021</v>
      </c>
      <c r="D289" s="0" t="n">
        <v>110</v>
      </c>
      <c r="E289" s="0" t="n">
        <v>225.5</v>
      </c>
      <c r="F289" s="0" t="n">
        <v>4.6</v>
      </c>
      <c r="G289" s="0" t="n">
        <v>5.2</v>
      </c>
      <c r="H289" s="0" t="n">
        <v>24.8</v>
      </c>
      <c r="I289" s="0" t="n">
        <f aca="false">D289*E289</f>
        <v>24805</v>
      </c>
      <c r="J289" s="0" t="n">
        <f aca="false">D289*H289</f>
        <v>2728</v>
      </c>
    </row>
    <row r="290" customFormat="false" ht="15" hidden="false" customHeight="false" outlineLevel="0" collapsed="false">
      <c r="A290" s="0" t="s">
        <v>501</v>
      </c>
      <c r="B290" s="0" t="s">
        <v>512</v>
      </c>
      <c r="C290" s="0" t="n">
        <v>2016</v>
      </c>
      <c r="D290" s="0" t="n">
        <v>306</v>
      </c>
      <c r="E290" s="0" t="n">
        <v>391.6</v>
      </c>
      <c r="F290" s="0" t="n">
        <v>5.4</v>
      </c>
      <c r="G290" s="0" t="n">
        <v>10.8</v>
      </c>
      <c r="H290" s="0" t="n">
        <v>17</v>
      </c>
      <c r="I290" s="0" t="n">
        <f aca="false">D290*E290</f>
        <v>119829.6</v>
      </c>
      <c r="J290" s="0" t="n">
        <f aca="false">D290*H290</f>
        <v>5202</v>
      </c>
    </row>
    <row r="291" customFormat="false" ht="15" hidden="false" customHeight="false" outlineLevel="0" collapsed="false">
      <c r="A291" s="0" t="s">
        <v>501</v>
      </c>
      <c r="B291" s="0" t="s">
        <v>512</v>
      </c>
      <c r="C291" s="0" t="n">
        <v>2017</v>
      </c>
      <c r="D291" s="0" t="n">
        <v>285</v>
      </c>
      <c r="E291" s="0" t="n">
        <v>386</v>
      </c>
      <c r="F291" s="0" t="n">
        <v>5.2</v>
      </c>
      <c r="G291" s="0" t="n">
        <v>11</v>
      </c>
      <c r="H291" s="0" t="n">
        <v>17.1</v>
      </c>
      <c r="I291" s="0" t="n">
        <f aca="false">D291*E291</f>
        <v>110010</v>
      </c>
      <c r="J291" s="0" t="n">
        <f aca="false">D291*H291</f>
        <v>4873.5</v>
      </c>
    </row>
    <row r="292" customFormat="false" ht="15" hidden="false" customHeight="false" outlineLevel="0" collapsed="false">
      <c r="A292" s="0" t="s">
        <v>501</v>
      </c>
      <c r="B292" s="0" t="s">
        <v>512</v>
      </c>
      <c r="C292" s="0" t="n">
        <v>2018</v>
      </c>
      <c r="D292" s="0" t="n">
        <v>288</v>
      </c>
      <c r="E292" s="0" t="n">
        <v>379.6</v>
      </c>
      <c r="F292" s="0" t="n">
        <v>5.3</v>
      </c>
      <c r="G292" s="0" t="n">
        <v>10.6</v>
      </c>
      <c r="H292" s="0" t="n">
        <v>17.2</v>
      </c>
      <c r="I292" s="0" t="n">
        <f aca="false">D292*E292</f>
        <v>109324.8</v>
      </c>
      <c r="J292" s="0" t="n">
        <f aca="false">D292*H292</f>
        <v>4953.6</v>
      </c>
    </row>
    <row r="293" customFormat="false" ht="15" hidden="false" customHeight="false" outlineLevel="0" collapsed="false">
      <c r="A293" s="0" t="s">
        <v>501</v>
      </c>
      <c r="B293" s="0" t="s">
        <v>512</v>
      </c>
      <c r="C293" s="0" t="n">
        <v>2019</v>
      </c>
      <c r="D293" s="0" t="n">
        <v>311</v>
      </c>
      <c r="E293" s="0" t="n">
        <v>381</v>
      </c>
      <c r="F293" s="0" t="n">
        <v>4.7</v>
      </c>
      <c r="G293" s="0" t="n">
        <v>10.8</v>
      </c>
      <c r="H293" s="0" t="n">
        <v>16.1</v>
      </c>
      <c r="I293" s="0" t="n">
        <f aca="false">D293*E293</f>
        <v>118491</v>
      </c>
      <c r="J293" s="0" t="n">
        <f aca="false">D293*H293</f>
        <v>5007.1</v>
      </c>
    </row>
    <row r="294" customFormat="false" ht="15" hidden="false" customHeight="false" outlineLevel="0" collapsed="false">
      <c r="A294" s="0" t="s">
        <v>501</v>
      </c>
      <c r="B294" s="0" t="s">
        <v>512</v>
      </c>
      <c r="C294" s="0" t="n">
        <v>2020</v>
      </c>
      <c r="D294" s="0" t="n">
        <v>423</v>
      </c>
      <c r="E294" s="0" t="n">
        <v>366.7</v>
      </c>
      <c r="F294" s="0" t="n">
        <v>5</v>
      </c>
      <c r="G294" s="0" t="n">
        <v>10.1</v>
      </c>
      <c r="H294" s="0" t="n">
        <v>15.6</v>
      </c>
      <c r="I294" s="0" t="n">
        <f aca="false">D294*E294</f>
        <v>155114.1</v>
      </c>
      <c r="J294" s="0" t="n">
        <f aca="false">D294*H294</f>
        <v>6598.8</v>
      </c>
    </row>
    <row r="295" customFormat="false" ht="15" hidden="false" customHeight="false" outlineLevel="0" collapsed="false">
      <c r="A295" s="0" t="s">
        <v>501</v>
      </c>
      <c r="B295" s="0" t="s">
        <v>512</v>
      </c>
      <c r="C295" s="0" t="n">
        <v>2021</v>
      </c>
      <c r="D295" s="0" t="n">
        <v>424</v>
      </c>
      <c r="E295" s="0" t="n">
        <v>374</v>
      </c>
      <c r="F295" s="0" t="n">
        <v>5.1</v>
      </c>
      <c r="G295" s="0" t="n">
        <v>10</v>
      </c>
      <c r="H295" s="0" t="n">
        <v>15.2</v>
      </c>
      <c r="I295" s="0" t="n">
        <f aca="false">D295*E295</f>
        <v>158576</v>
      </c>
      <c r="J295" s="0" t="n">
        <f aca="false">D295*H295</f>
        <v>6444.8</v>
      </c>
    </row>
    <row r="296" customFormat="false" ht="15" hidden="false" customHeight="false" outlineLevel="0" collapsed="false">
      <c r="A296" s="0" t="s">
        <v>501</v>
      </c>
      <c r="B296" s="0" t="s">
        <v>513</v>
      </c>
      <c r="C296" s="0" t="n">
        <v>2016</v>
      </c>
      <c r="D296" s="0" t="n">
        <v>43969</v>
      </c>
      <c r="E296" s="0" t="n">
        <v>356.9</v>
      </c>
      <c r="F296" s="0" t="n">
        <v>7.4</v>
      </c>
      <c r="G296" s="0" t="n">
        <v>7.8</v>
      </c>
      <c r="H296" s="0" t="n">
        <v>18.7</v>
      </c>
      <c r="I296" s="0" t="n">
        <f aca="false">D296*E296</f>
        <v>15692536.1</v>
      </c>
      <c r="J296" s="0" t="n">
        <f aca="false">D296*H296</f>
        <v>822220.3</v>
      </c>
    </row>
    <row r="297" customFormat="false" ht="15" hidden="false" customHeight="false" outlineLevel="0" collapsed="false">
      <c r="A297" s="0" t="s">
        <v>501</v>
      </c>
      <c r="B297" s="0" t="s">
        <v>513</v>
      </c>
      <c r="C297" s="0" t="n">
        <v>2017</v>
      </c>
      <c r="D297" s="0" t="n">
        <v>46967</v>
      </c>
      <c r="E297" s="0" t="n">
        <v>360.4</v>
      </c>
      <c r="F297" s="0" t="n">
        <v>7.3</v>
      </c>
      <c r="G297" s="0" t="n">
        <v>7.8</v>
      </c>
      <c r="H297" s="0" t="n">
        <v>18.8</v>
      </c>
      <c r="I297" s="0" t="n">
        <f aca="false">D297*E297</f>
        <v>16926906.8</v>
      </c>
      <c r="J297" s="0" t="n">
        <f aca="false">D297*H297</f>
        <v>882979.6</v>
      </c>
    </row>
    <row r="298" customFormat="false" ht="15" hidden="false" customHeight="false" outlineLevel="0" collapsed="false">
      <c r="A298" s="0" t="s">
        <v>501</v>
      </c>
      <c r="B298" s="0" t="s">
        <v>513</v>
      </c>
      <c r="C298" s="0" t="n">
        <v>2018</v>
      </c>
      <c r="D298" s="0" t="n">
        <v>49412</v>
      </c>
      <c r="E298" s="0" t="n">
        <v>355.9</v>
      </c>
      <c r="F298" s="0" t="n">
        <v>7.1</v>
      </c>
      <c r="G298" s="0" t="n">
        <v>7.7</v>
      </c>
      <c r="H298" s="0" t="n">
        <v>18.7</v>
      </c>
      <c r="I298" s="0" t="n">
        <f aca="false">D298*E298</f>
        <v>17585730.8</v>
      </c>
      <c r="J298" s="0" t="n">
        <f aca="false">D298*H298</f>
        <v>924004.4</v>
      </c>
    </row>
    <row r="299" customFormat="false" ht="15" hidden="false" customHeight="false" outlineLevel="0" collapsed="false">
      <c r="A299" s="0" t="s">
        <v>501</v>
      </c>
      <c r="B299" s="0" t="s">
        <v>513</v>
      </c>
      <c r="C299" s="0" t="n">
        <v>2019</v>
      </c>
      <c r="D299" s="0" t="n">
        <v>52654</v>
      </c>
      <c r="E299" s="0" t="n">
        <v>356</v>
      </c>
      <c r="F299" s="0" t="n">
        <v>7</v>
      </c>
      <c r="G299" s="0" t="n">
        <v>7.8</v>
      </c>
      <c r="H299" s="0" t="n">
        <v>19</v>
      </c>
      <c r="I299" s="0" t="n">
        <f aca="false">D299*E299</f>
        <v>18744824</v>
      </c>
      <c r="J299" s="0" t="n">
        <f aca="false">D299*H299</f>
        <v>1000426</v>
      </c>
    </row>
    <row r="300" customFormat="false" ht="15" hidden="false" customHeight="false" outlineLevel="0" collapsed="false">
      <c r="A300" s="0" t="s">
        <v>501</v>
      </c>
      <c r="B300" s="0" t="s">
        <v>513</v>
      </c>
      <c r="C300" s="0" t="n">
        <v>2020</v>
      </c>
      <c r="D300" s="0" t="n">
        <v>52664</v>
      </c>
      <c r="E300" s="0" t="n">
        <v>354.9</v>
      </c>
      <c r="F300" s="0" t="n">
        <v>6.9</v>
      </c>
      <c r="G300" s="0" t="n">
        <v>7.8</v>
      </c>
      <c r="H300" s="0" t="n">
        <v>19.2</v>
      </c>
      <c r="I300" s="0" t="n">
        <f aca="false">D300*E300</f>
        <v>18690453.6</v>
      </c>
      <c r="J300" s="0" t="n">
        <f aca="false">D300*H300</f>
        <v>1011148.8</v>
      </c>
    </row>
    <row r="301" customFormat="false" ht="15" hidden="false" customHeight="false" outlineLevel="0" collapsed="false">
      <c r="A301" s="0" t="s">
        <v>501</v>
      </c>
      <c r="B301" s="0" t="s">
        <v>513</v>
      </c>
      <c r="C301" s="0" t="n">
        <v>2021</v>
      </c>
      <c r="D301" s="0" t="n">
        <v>50606</v>
      </c>
      <c r="E301" s="0" t="n">
        <v>362.1</v>
      </c>
      <c r="F301" s="0" t="n">
        <v>6.9</v>
      </c>
      <c r="G301" s="0" t="n">
        <v>7.8</v>
      </c>
      <c r="H301" s="0" t="n">
        <v>20.6</v>
      </c>
      <c r="I301" s="0" t="n">
        <f aca="false">D301*E301</f>
        <v>18324432.6</v>
      </c>
      <c r="J301" s="0" t="n">
        <f aca="false">D301*H301</f>
        <v>1042483.6</v>
      </c>
    </row>
    <row r="302" customFormat="false" ht="15" hidden="false" customHeight="false" outlineLevel="0" collapsed="false">
      <c r="A302" s="0" t="s">
        <v>503</v>
      </c>
      <c r="B302" s="0" t="s">
        <v>489</v>
      </c>
      <c r="C302" s="0" t="n">
        <v>2016</v>
      </c>
      <c r="D302" s="0" t="n">
        <v>4295</v>
      </c>
      <c r="E302" s="0" t="n">
        <v>344.1</v>
      </c>
      <c r="F302" s="0" t="n">
        <v>6.4</v>
      </c>
      <c r="G302" s="0" t="n">
        <v>5.1</v>
      </c>
      <c r="H302" s="0" t="n">
        <v>28.9</v>
      </c>
      <c r="I302" s="0" t="n">
        <f aca="false">D302*E302</f>
        <v>1477909.5</v>
      </c>
      <c r="J302" s="0" t="n">
        <f aca="false">D302*H302</f>
        <v>124125.5</v>
      </c>
    </row>
    <row r="303" customFormat="false" ht="15" hidden="false" customHeight="false" outlineLevel="0" collapsed="false">
      <c r="A303" s="0" t="s">
        <v>503</v>
      </c>
      <c r="B303" s="0" t="s">
        <v>489</v>
      </c>
      <c r="C303" s="0" t="n">
        <v>2017</v>
      </c>
      <c r="D303" s="0" t="n">
        <v>4428</v>
      </c>
      <c r="E303" s="0" t="n">
        <v>349.4</v>
      </c>
      <c r="F303" s="0" t="n">
        <v>6.5</v>
      </c>
      <c r="G303" s="0" t="n">
        <v>5.1</v>
      </c>
      <c r="H303" s="0" t="n">
        <v>28.8</v>
      </c>
      <c r="I303" s="0" t="n">
        <f aca="false">D303*E303</f>
        <v>1547143.2</v>
      </c>
      <c r="J303" s="0" t="n">
        <f aca="false">D303*H303</f>
        <v>127526.4</v>
      </c>
    </row>
    <row r="304" customFormat="false" ht="15" hidden="false" customHeight="false" outlineLevel="0" collapsed="false">
      <c r="A304" s="0" t="s">
        <v>503</v>
      </c>
      <c r="B304" s="0" t="s">
        <v>489</v>
      </c>
      <c r="C304" s="0" t="n">
        <v>2018</v>
      </c>
      <c r="D304" s="0" t="n">
        <v>4079</v>
      </c>
      <c r="E304" s="0" t="n">
        <v>352.5</v>
      </c>
      <c r="F304" s="0" t="n">
        <v>6.4</v>
      </c>
      <c r="G304" s="0" t="n">
        <v>5.1</v>
      </c>
      <c r="H304" s="0" t="n">
        <v>28.6</v>
      </c>
      <c r="I304" s="0" t="n">
        <f aca="false">D304*E304</f>
        <v>1437847.5</v>
      </c>
      <c r="J304" s="0" t="n">
        <f aca="false">D304*H304</f>
        <v>116659.4</v>
      </c>
    </row>
    <row r="305" customFormat="false" ht="15" hidden="false" customHeight="false" outlineLevel="0" collapsed="false">
      <c r="A305" s="0" t="s">
        <v>503</v>
      </c>
      <c r="B305" s="0" t="s">
        <v>489</v>
      </c>
      <c r="C305" s="0" t="n">
        <v>2019</v>
      </c>
      <c r="D305" s="0" t="n">
        <v>3985</v>
      </c>
      <c r="E305" s="0" t="n">
        <v>345.8</v>
      </c>
      <c r="F305" s="0" t="n">
        <v>6</v>
      </c>
      <c r="G305" s="0" t="n">
        <v>5</v>
      </c>
      <c r="H305" s="0" t="n">
        <v>29.3</v>
      </c>
      <c r="I305" s="0" t="n">
        <f aca="false">D305*E305</f>
        <v>1378013</v>
      </c>
      <c r="J305" s="0" t="n">
        <f aca="false">D305*H305</f>
        <v>116760.5</v>
      </c>
    </row>
    <row r="306" customFormat="false" ht="15" hidden="false" customHeight="false" outlineLevel="0" collapsed="false">
      <c r="A306" s="0" t="s">
        <v>503</v>
      </c>
      <c r="B306" s="0" t="s">
        <v>489</v>
      </c>
      <c r="C306" s="0" t="n">
        <v>2020</v>
      </c>
      <c r="D306" s="0" t="n">
        <v>3856</v>
      </c>
      <c r="E306" s="0" t="n">
        <v>347</v>
      </c>
      <c r="F306" s="0" t="n">
        <v>6.1</v>
      </c>
      <c r="G306" s="0" t="n">
        <v>5</v>
      </c>
      <c r="H306" s="0" t="n">
        <v>29.2</v>
      </c>
      <c r="I306" s="0" t="n">
        <f aca="false">D306*E306</f>
        <v>1338032</v>
      </c>
      <c r="J306" s="0" t="n">
        <f aca="false">D306*H306</f>
        <v>112595.2</v>
      </c>
    </row>
    <row r="307" customFormat="false" ht="15" hidden="false" customHeight="false" outlineLevel="0" collapsed="false">
      <c r="A307" s="0" t="s">
        <v>503</v>
      </c>
      <c r="B307" s="0" t="s">
        <v>489</v>
      </c>
      <c r="C307" s="0" t="n">
        <v>2021</v>
      </c>
      <c r="D307" s="0" t="n">
        <v>2996</v>
      </c>
      <c r="E307" s="0" t="n">
        <v>356.7</v>
      </c>
      <c r="F307" s="0" t="n">
        <v>6.1</v>
      </c>
      <c r="G307" s="0" t="n">
        <v>5.1</v>
      </c>
      <c r="H307" s="0" t="n">
        <v>29.7</v>
      </c>
      <c r="I307" s="0" t="n">
        <f aca="false">D307*E307</f>
        <v>1068673.2</v>
      </c>
      <c r="J307" s="0" t="n">
        <f aca="false">D307*H307</f>
        <v>88981.2</v>
      </c>
    </row>
    <row r="308" customFormat="false" ht="15" hidden="false" customHeight="false" outlineLevel="0" collapsed="false">
      <c r="A308" s="0" t="s">
        <v>503</v>
      </c>
      <c r="B308" s="0" t="s">
        <v>497</v>
      </c>
      <c r="C308" s="0" t="n">
        <v>2016</v>
      </c>
      <c r="D308" s="0" t="n">
        <v>6740</v>
      </c>
      <c r="E308" s="0" t="n">
        <v>352.8</v>
      </c>
      <c r="F308" s="0" t="n">
        <v>6</v>
      </c>
      <c r="G308" s="0" t="n">
        <v>4.4</v>
      </c>
      <c r="H308" s="0" t="n">
        <v>28.5</v>
      </c>
      <c r="I308" s="0" t="n">
        <f aca="false">D308*E308</f>
        <v>2377872</v>
      </c>
      <c r="J308" s="0" t="n">
        <f aca="false">D308*H308</f>
        <v>192090</v>
      </c>
    </row>
    <row r="309" customFormat="false" ht="15" hidden="false" customHeight="false" outlineLevel="0" collapsed="false">
      <c r="A309" s="0" t="s">
        <v>503</v>
      </c>
      <c r="B309" s="0" t="s">
        <v>497</v>
      </c>
      <c r="C309" s="0" t="n">
        <v>2017</v>
      </c>
      <c r="D309" s="0" t="n">
        <v>7005</v>
      </c>
      <c r="E309" s="0" t="n">
        <v>358.6</v>
      </c>
      <c r="F309" s="0" t="n">
        <v>6.1</v>
      </c>
      <c r="G309" s="0" t="n">
        <v>4.4</v>
      </c>
      <c r="H309" s="0" t="n">
        <v>28.5</v>
      </c>
      <c r="I309" s="0" t="n">
        <f aca="false">D309*E309</f>
        <v>2511993</v>
      </c>
      <c r="J309" s="0" t="n">
        <f aca="false">D309*H309</f>
        <v>199642.5</v>
      </c>
    </row>
    <row r="310" customFormat="false" ht="15" hidden="false" customHeight="false" outlineLevel="0" collapsed="false">
      <c r="A310" s="0" t="s">
        <v>503</v>
      </c>
      <c r="B310" s="0" t="s">
        <v>497</v>
      </c>
      <c r="C310" s="0" t="n">
        <v>2018</v>
      </c>
      <c r="D310" s="0" t="n">
        <v>6873</v>
      </c>
      <c r="E310" s="0" t="n">
        <v>356.7</v>
      </c>
      <c r="F310" s="0" t="n">
        <v>5.9</v>
      </c>
      <c r="G310" s="0" t="n">
        <v>4.4</v>
      </c>
      <c r="H310" s="0" t="n">
        <v>29.2</v>
      </c>
      <c r="I310" s="0" t="n">
        <f aca="false">D310*E310</f>
        <v>2451599.1</v>
      </c>
      <c r="J310" s="0" t="n">
        <f aca="false">D310*H310</f>
        <v>200691.6</v>
      </c>
    </row>
    <row r="311" customFormat="false" ht="15" hidden="false" customHeight="false" outlineLevel="0" collapsed="false">
      <c r="A311" s="0" t="s">
        <v>503</v>
      </c>
      <c r="B311" s="0" t="s">
        <v>497</v>
      </c>
      <c r="C311" s="0" t="n">
        <v>2019</v>
      </c>
      <c r="D311" s="0" t="n">
        <v>6585</v>
      </c>
      <c r="E311" s="0" t="n">
        <v>350.6</v>
      </c>
      <c r="F311" s="0" t="n">
        <v>5.5</v>
      </c>
      <c r="G311" s="0" t="n">
        <v>4.3</v>
      </c>
      <c r="H311" s="0" t="n">
        <v>30.1</v>
      </c>
      <c r="I311" s="0" t="n">
        <f aca="false">D311*E311</f>
        <v>2308701</v>
      </c>
      <c r="J311" s="0" t="n">
        <f aca="false">D311*H311</f>
        <v>198208.5</v>
      </c>
    </row>
    <row r="312" customFormat="false" ht="15" hidden="false" customHeight="false" outlineLevel="0" collapsed="false">
      <c r="A312" s="0" t="s">
        <v>503</v>
      </c>
      <c r="B312" s="0" t="s">
        <v>497</v>
      </c>
      <c r="C312" s="0" t="n">
        <v>2020</v>
      </c>
      <c r="D312" s="0" t="n">
        <v>6773</v>
      </c>
      <c r="E312" s="0" t="n">
        <v>354.2</v>
      </c>
      <c r="F312" s="0" t="n">
        <v>5.7</v>
      </c>
      <c r="G312" s="0" t="n">
        <v>4.3</v>
      </c>
      <c r="H312" s="0" t="n">
        <v>29.9</v>
      </c>
      <c r="I312" s="0" t="n">
        <f aca="false">D312*E312</f>
        <v>2398996.6</v>
      </c>
      <c r="J312" s="0" t="n">
        <f aca="false">D312*H312</f>
        <v>202512.7</v>
      </c>
    </row>
    <row r="313" customFormat="false" ht="15" hidden="false" customHeight="false" outlineLevel="0" collapsed="false">
      <c r="A313" s="0" t="s">
        <v>503</v>
      </c>
      <c r="B313" s="0" t="s">
        <v>497</v>
      </c>
      <c r="C313" s="0" t="n">
        <v>2021</v>
      </c>
      <c r="D313" s="0" t="n">
        <v>5484</v>
      </c>
      <c r="E313" s="0" t="n">
        <v>363.7</v>
      </c>
      <c r="F313" s="0" t="n">
        <v>5.7</v>
      </c>
      <c r="G313" s="0" t="n">
        <v>4.4</v>
      </c>
      <c r="H313" s="0" t="n">
        <v>31.8</v>
      </c>
      <c r="I313" s="0" t="n">
        <f aca="false">D313*E313</f>
        <v>1994530.8</v>
      </c>
      <c r="J313" s="0" t="n">
        <f aca="false">D313*H313</f>
        <v>174391.2</v>
      </c>
    </row>
    <row r="314" customFormat="false" ht="15" hidden="false" customHeight="false" outlineLevel="0" collapsed="false">
      <c r="A314" s="0" t="s">
        <v>503</v>
      </c>
      <c r="B314" s="0" t="s">
        <v>502</v>
      </c>
      <c r="C314" s="0" t="n">
        <v>2016</v>
      </c>
      <c r="D314" s="0" t="n">
        <v>1540</v>
      </c>
      <c r="E314" s="0" t="n">
        <v>373.4</v>
      </c>
      <c r="F314" s="0" t="n">
        <v>7.1</v>
      </c>
      <c r="G314" s="0" t="n">
        <v>7</v>
      </c>
      <c r="H314" s="0" t="n">
        <v>30.3</v>
      </c>
      <c r="I314" s="0" t="n">
        <f aca="false">D314*E314</f>
        <v>575036</v>
      </c>
      <c r="J314" s="0" t="n">
        <f aca="false">D314*H314</f>
        <v>46662</v>
      </c>
    </row>
    <row r="315" customFormat="false" ht="15" hidden="false" customHeight="false" outlineLevel="0" collapsed="false">
      <c r="A315" s="0" t="s">
        <v>503</v>
      </c>
      <c r="B315" s="0" t="s">
        <v>502</v>
      </c>
      <c r="C315" s="0" t="n">
        <v>2017</v>
      </c>
      <c r="D315" s="0" t="n">
        <v>1587</v>
      </c>
      <c r="E315" s="0" t="n">
        <v>374.6</v>
      </c>
      <c r="F315" s="0" t="n">
        <v>7.2</v>
      </c>
      <c r="G315" s="0" t="n">
        <v>7</v>
      </c>
      <c r="H315" s="0" t="n">
        <v>30</v>
      </c>
      <c r="I315" s="0" t="n">
        <f aca="false">D315*E315</f>
        <v>594490.2</v>
      </c>
      <c r="J315" s="0" t="n">
        <f aca="false">D315*H315</f>
        <v>47610</v>
      </c>
    </row>
    <row r="316" customFormat="false" ht="15" hidden="false" customHeight="false" outlineLevel="0" collapsed="false">
      <c r="A316" s="0" t="s">
        <v>503</v>
      </c>
      <c r="B316" s="0" t="s">
        <v>502</v>
      </c>
      <c r="C316" s="0" t="n">
        <v>2018</v>
      </c>
      <c r="D316" s="0" t="n">
        <v>1633</v>
      </c>
      <c r="E316" s="0" t="n">
        <v>370.7</v>
      </c>
      <c r="F316" s="0" t="n">
        <v>6.8</v>
      </c>
      <c r="G316" s="0" t="n">
        <v>6.9</v>
      </c>
      <c r="H316" s="0" t="n">
        <v>29.5</v>
      </c>
      <c r="I316" s="0" t="n">
        <f aca="false">D316*E316</f>
        <v>605353.1</v>
      </c>
      <c r="J316" s="0" t="n">
        <f aca="false">D316*H316</f>
        <v>48173.5</v>
      </c>
    </row>
    <row r="317" customFormat="false" ht="15" hidden="false" customHeight="false" outlineLevel="0" collapsed="false">
      <c r="A317" s="0" t="s">
        <v>503</v>
      </c>
      <c r="B317" s="0" t="s">
        <v>502</v>
      </c>
      <c r="C317" s="0" t="n">
        <v>2019</v>
      </c>
      <c r="D317" s="0" t="n">
        <v>1806</v>
      </c>
      <c r="E317" s="0" t="n">
        <v>368.8</v>
      </c>
      <c r="F317" s="0" t="n">
        <v>6.7</v>
      </c>
      <c r="G317" s="0" t="n">
        <v>6.7</v>
      </c>
      <c r="H317" s="0" t="n">
        <v>30.4</v>
      </c>
      <c r="I317" s="0" t="n">
        <f aca="false">D317*E317</f>
        <v>666052.8</v>
      </c>
      <c r="J317" s="0" t="n">
        <f aca="false">D317*H317</f>
        <v>54902.4</v>
      </c>
    </row>
    <row r="318" customFormat="false" ht="15" hidden="false" customHeight="false" outlineLevel="0" collapsed="false">
      <c r="A318" s="0" t="s">
        <v>503</v>
      </c>
      <c r="B318" s="0" t="s">
        <v>502</v>
      </c>
      <c r="C318" s="0" t="n">
        <v>2020</v>
      </c>
      <c r="D318" s="0" t="n">
        <v>1771</v>
      </c>
      <c r="E318" s="0" t="n">
        <v>368.3</v>
      </c>
      <c r="F318" s="0" t="n">
        <v>6.7</v>
      </c>
      <c r="G318" s="0" t="n">
        <v>6.9</v>
      </c>
      <c r="H318" s="0" t="n">
        <v>30.6</v>
      </c>
      <c r="I318" s="0" t="n">
        <f aca="false">D318*E318</f>
        <v>652259.3</v>
      </c>
      <c r="J318" s="0" t="n">
        <f aca="false">D318*H318</f>
        <v>54192.6</v>
      </c>
    </row>
    <row r="319" customFormat="false" ht="15" hidden="false" customHeight="false" outlineLevel="0" collapsed="false">
      <c r="A319" s="0" t="s">
        <v>503</v>
      </c>
      <c r="B319" s="0" t="s">
        <v>502</v>
      </c>
      <c r="C319" s="0" t="n">
        <v>2021</v>
      </c>
      <c r="D319" s="0" t="n">
        <v>1686</v>
      </c>
      <c r="E319" s="0" t="n">
        <v>374.7</v>
      </c>
      <c r="F319" s="0" t="n">
        <v>6.6</v>
      </c>
      <c r="G319" s="0" t="n">
        <v>7</v>
      </c>
      <c r="H319" s="0" t="n">
        <v>31.1</v>
      </c>
      <c r="I319" s="0" t="n">
        <f aca="false">D319*E319</f>
        <v>631744.2</v>
      </c>
      <c r="J319" s="0" t="n">
        <f aca="false">D319*H319</f>
        <v>52434.6</v>
      </c>
    </row>
    <row r="320" customFormat="false" ht="15" hidden="false" customHeight="false" outlineLevel="0" collapsed="false">
      <c r="A320" s="0" t="s">
        <v>503</v>
      </c>
      <c r="B320" s="0" t="s">
        <v>505</v>
      </c>
      <c r="C320" s="0" t="n">
        <v>2016</v>
      </c>
      <c r="D320" s="0" t="n">
        <v>463</v>
      </c>
      <c r="E320" s="0" t="n">
        <v>414</v>
      </c>
      <c r="F320" s="0" t="n">
        <v>6</v>
      </c>
      <c r="G320" s="0" t="n">
        <v>8.2</v>
      </c>
      <c r="H320" s="0" t="n">
        <v>29.9</v>
      </c>
      <c r="I320" s="0" t="n">
        <f aca="false">D320*E320</f>
        <v>191682</v>
      </c>
      <c r="J320" s="0" t="n">
        <f aca="false">D320*H320</f>
        <v>13843.7</v>
      </c>
    </row>
    <row r="321" customFormat="false" ht="15" hidden="false" customHeight="false" outlineLevel="0" collapsed="false">
      <c r="A321" s="0" t="s">
        <v>503</v>
      </c>
      <c r="B321" s="0" t="s">
        <v>505</v>
      </c>
      <c r="C321" s="0" t="n">
        <v>2017</v>
      </c>
      <c r="D321" s="0" t="n">
        <v>406</v>
      </c>
      <c r="E321" s="0" t="n">
        <v>410.4</v>
      </c>
      <c r="F321" s="0" t="n">
        <v>5.8</v>
      </c>
      <c r="G321" s="0" t="n">
        <v>8.1</v>
      </c>
      <c r="H321" s="0" t="n">
        <v>31.4</v>
      </c>
      <c r="I321" s="0" t="n">
        <f aca="false">D321*E321</f>
        <v>166622.4</v>
      </c>
      <c r="J321" s="0" t="n">
        <f aca="false">D321*H321</f>
        <v>12748.4</v>
      </c>
    </row>
    <row r="322" customFormat="false" ht="15" hidden="false" customHeight="false" outlineLevel="0" collapsed="false">
      <c r="A322" s="0" t="s">
        <v>503</v>
      </c>
      <c r="B322" s="0" t="s">
        <v>505</v>
      </c>
      <c r="C322" s="0" t="n">
        <v>2018</v>
      </c>
      <c r="D322" s="0" t="n">
        <v>429</v>
      </c>
      <c r="E322" s="0" t="n">
        <v>417.1</v>
      </c>
      <c r="F322" s="0" t="n">
        <v>5.3</v>
      </c>
      <c r="G322" s="0" t="n">
        <v>8.1</v>
      </c>
      <c r="H322" s="0" t="n">
        <v>29.7</v>
      </c>
      <c r="I322" s="0" t="n">
        <f aca="false">D322*E322</f>
        <v>178935.9</v>
      </c>
      <c r="J322" s="0" t="n">
        <f aca="false">D322*H322</f>
        <v>12741.3</v>
      </c>
    </row>
    <row r="323" customFormat="false" ht="15" hidden="false" customHeight="false" outlineLevel="0" collapsed="false">
      <c r="A323" s="0" t="s">
        <v>503</v>
      </c>
      <c r="B323" s="0" t="s">
        <v>505</v>
      </c>
      <c r="C323" s="0" t="n">
        <v>2019</v>
      </c>
      <c r="D323" s="0" t="n">
        <v>507</v>
      </c>
      <c r="E323" s="0" t="n">
        <v>416.6</v>
      </c>
      <c r="F323" s="0" t="n">
        <v>5.4</v>
      </c>
      <c r="G323" s="0" t="n">
        <v>8.3</v>
      </c>
      <c r="H323" s="0" t="n">
        <v>30</v>
      </c>
      <c r="I323" s="0" t="n">
        <f aca="false">D323*E323</f>
        <v>211216.2</v>
      </c>
      <c r="J323" s="0" t="n">
        <f aca="false">D323*H323</f>
        <v>15210</v>
      </c>
    </row>
    <row r="324" customFormat="false" ht="15" hidden="false" customHeight="false" outlineLevel="0" collapsed="false">
      <c r="A324" s="0" t="s">
        <v>503</v>
      </c>
      <c r="B324" s="0" t="s">
        <v>505</v>
      </c>
      <c r="C324" s="0" t="n">
        <v>2020</v>
      </c>
      <c r="D324" s="0" t="n">
        <v>452</v>
      </c>
      <c r="E324" s="0" t="n">
        <v>396.3</v>
      </c>
      <c r="F324" s="0" t="n">
        <v>5.2</v>
      </c>
      <c r="G324" s="0" t="n">
        <v>8</v>
      </c>
      <c r="H324" s="0" t="n">
        <v>31.7</v>
      </c>
      <c r="I324" s="0" t="n">
        <f aca="false">D324*E324</f>
        <v>179127.6</v>
      </c>
      <c r="J324" s="0" t="n">
        <f aca="false">D324*H324</f>
        <v>14328.4</v>
      </c>
    </row>
    <row r="325" customFormat="false" ht="15" hidden="false" customHeight="false" outlineLevel="0" collapsed="false">
      <c r="A325" s="0" t="s">
        <v>503</v>
      </c>
      <c r="B325" s="0" t="s">
        <v>505</v>
      </c>
      <c r="C325" s="0" t="n">
        <v>2021</v>
      </c>
      <c r="D325" s="0" t="n">
        <v>402</v>
      </c>
      <c r="E325" s="0" t="n">
        <v>405.1</v>
      </c>
      <c r="F325" s="0" t="n">
        <v>5.4</v>
      </c>
      <c r="G325" s="0" t="n">
        <v>8.3</v>
      </c>
      <c r="H325" s="0" t="n">
        <v>30.5</v>
      </c>
      <c r="I325" s="0" t="n">
        <f aca="false">D325*E325</f>
        <v>162850.2</v>
      </c>
      <c r="J325" s="0" t="n">
        <f aca="false">D325*H325</f>
        <v>12261</v>
      </c>
    </row>
    <row r="326" customFormat="false" ht="15" hidden="false" customHeight="false" outlineLevel="0" collapsed="false">
      <c r="A326" s="0" t="s">
        <v>503</v>
      </c>
      <c r="B326" s="0" t="s">
        <v>506</v>
      </c>
      <c r="C326" s="0" t="n">
        <v>2016</v>
      </c>
      <c r="D326" s="0" t="n">
        <v>284</v>
      </c>
      <c r="E326" s="0" t="n">
        <v>386.3</v>
      </c>
      <c r="F326" s="0" t="n">
        <v>7.2</v>
      </c>
      <c r="G326" s="0" t="n">
        <v>7.2</v>
      </c>
      <c r="H326" s="0" t="n">
        <v>30.4</v>
      </c>
      <c r="I326" s="0" t="n">
        <f aca="false">D326*E326</f>
        <v>109709.2</v>
      </c>
      <c r="J326" s="0" t="n">
        <f aca="false">D326*H326</f>
        <v>8633.6</v>
      </c>
    </row>
    <row r="327" customFormat="false" ht="15" hidden="false" customHeight="false" outlineLevel="0" collapsed="false">
      <c r="A327" s="0" t="s">
        <v>503</v>
      </c>
      <c r="B327" s="0" t="s">
        <v>506</v>
      </c>
      <c r="C327" s="0" t="n">
        <v>2017</v>
      </c>
      <c r="D327" s="0" t="n">
        <v>273</v>
      </c>
      <c r="E327" s="0" t="n">
        <v>391.2</v>
      </c>
      <c r="F327" s="0" t="n">
        <v>7.4</v>
      </c>
      <c r="G327" s="0" t="n">
        <v>7.5</v>
      </c>
      <c r="H327" s="0" t="n">
        <v>29.2</v>
      </c>
      <c r="I327" s="0" t="n">
        <f aca="false">D327*E327</f>
        <v>106797.6</v>
      </c>
      <c r="J327" s="0" t="n">
        <f aca="false">D327*H327</f>
        <v>7971.6</v>
      </c>
    </row>
    <row r="328" customFormat="false" ht="15" hidden="false" customHeight="false" outlineLevel="0" collapsed="false">
      <c r="A328" s="0" t="s">
        <v>503</v>
      </c>
      <c r="B328" s="0" t="s">
        <v>506</v>
      </c>
      <c r="C328" s="0" t="n">
        <v>2018</v>
      </c>
      <c r="D328" s="0" t="n">
        <v>299</v>
      </c>
      <c r="E328" s="0" t="n">
        <v>391.2</v>
      </c>
      <c r="F328" s="0" t="n">
        <v>7.1</v>
      </c>
      <c r="G328" s="0" t="n">
        <v>7.3</v>
      </c>
      <c r="H328" s="0" t="n">
        <v>29</v>
      </c>
      <c r="I328" s="0" t="n">
        <f aca="false">D328*E328</f>
        <v>116968.8</v>
      </c>
      <c r="J328" s="0" t="n">
        <f aca="false">D328*H328</f>
        <v>8671</v>
      </c>
    </row>
    <row r="329" customFormat="false" ht="15" hidden="false" customHeight="false" outlineLevel="0" collapsed="false">
      <c r="A329" s="0" t="s">
        <v>503</v>
      </c>
      <c r="B329" s="0" t="s">
        <v>506</v>
      </c>
      <c r="C329" s="0" t="n">
        <v>2019</v>
      </c>
      <c r="D329" s="0" t="n">
        <v>446</v>
      </c>
      <c r="E329" s="0" t="n">
        <v>383.4</v>
      </c>
      <c r="F329" s="0" t="n">
        <v>6.9</v>
      </c>
      <c r="G329" s="0" t="n">
        <v>7</v>
      </c>
      <c r="H329" s="0" t="n">
        <v>30</v>
      </c>
      <c r="I329" s="0" t="n">
        <f aca="false">D329*E329</f>
        <v>170996.4</v>
      </c>
      <c r="J329" s="0" t="n">
        <f aca="false">D329*H329</f>
        <v>13380</v>
      </c>
    </row>
    <row r="330" customFormat="false" ht="15" hidden="false" customHeight="false" outlineLevel="0" collapsed="false">
      <c r="A330" s="0" t="s">
        <v>503</v>
      </c>
      <c r="B330" s="0" t="s">
        <v>506</v>
      </c>
      <c r="C330" s="0" t="n">
        <v>2020</v>
      </c>
      <c r="D330" s="0" t="n">
        <v>434</v>
      </c>
      <c r="E330" s="0" t="n">
        <v>376.9</v>
      </c>
      <c r="F330" s="0" t="n">
        <v>6.6</v>
      </c>
      <c r="G330" s="0" t="n">
        <v>7.1</v>
      </c>
      <c r="H330" s="0" t="n">
        <v>33</v>
      </c>
      <c r="I330" s="0" t="n">
        <f aca="false">D330*E330</f>
        <v>163574.6</v>
      </c>
      <c r="J330" s="0" t="n">
        <f aca="false">D330*H330</f>
        <v>14322</v>
      </c>
    </row>
    <row r="331" customFormat="false" ht="15" hidden="false" customHeight="false" outlineLevel="0" collapsed="false">
      <c r="A331" s="0" t="s">
        <v>503</v>
      </c>
      <c r="B331" s="0" t="s">
        <v>506</v>
      </c>
      <c r="C331" s="0" t="n">
        <v>2021</v>
      </c>
      <c r="D331" s="0" t="n">
        <v>372</v>
      </c>
      <c r="E331" s="0" t="n">
        <v>380</v>
      </c>
      <c r="F331" s="0" t="n">
        <v>6.7</v>
      </c>
      <c r="G331" s="0" t="n">
        <v>7.2</v>
      </c>
      <c r="H331" s="0" t="n">
        <v>33.1</v>
      </c>
      <c r="I331" s="0" t="n">
        <f aca="false">D331*E331</f>
        <v>141360</v>
      </c>
      <c r="J331" s="0" t="n">
        <f aca="false">D331*H331</f>
        <v>12313.2</v>
      </c>
    </row>
    <row r="332" customFormat="false" ht="15" hidden="false" customHeight="false" outlineLevel="0" collapsed="false">
      <c r="A332" s="0" t="s">
        <v>503</v>
      </c>
      <c r="B332" s="0" t="s">
        <v>508</v>
      </c>
      <c r="C332" s="0" t="n">
        <v>2016</v>
      </c>
      <c r="D332" s="0" t="n">
        <v>100</v>
      </c>
      <c r="E332" s="0" t="n">
        <v>407.8</v>
      </c>
      <c r="F332" s="0" t="n">
        <v>6</v>
      </c>
      <c r="G332" s="0" t="n">
        <v>9.3</v>
      </c>
      <c r="H332" s="0" t="n">
        <v>30.1</v>
      </c>
      <c r="I332" s="0" t="n">
        <f aca="false">D332*E332</f>
        <v>40780</v>
      </c>
      <c r="J332" s="0" t="n">
        <f aca="false">D332*H332</f>
        <v>3010</v>
      </c>
    </row>
    <row r="333" customFormat="false" ht="15" hidden="false" customHeight="false" outlineLevel="0" collapsed="false">
      <c r="A333" s="0" t="s">
        <v>503</v>
      </c>
      <c r="B333" s="0" t="s">
        <v>508</v>
      </c>
      <c r="C333" s="0" t="n">
        <v>2017</v>
      </c>
      <c r="D333" s="0" t="n">
        <v>104</v>
      </c>
      <c r="E333" s="0" t="n">
        <v>409.1</v>
      </c>
      <c r="F333" s="0" t="n">
        <v>5.5</v>
      </c>
      <c r="G333" s="0" t="n">
        <v>9.4</v>
      </c>
      <c r="H333" s="0" t="n">
        <v>29.1</v>
      </c>
      <c r="I333" s="0" t="n">
        <f aca="false">D333*E333</f>
        <v>42546.4</v>
      </c>
      <c r="J333" s="0" t="n">
        <f aca="false">D333*H333</f>
        <v>3026.4</v>
      </c>
    </row>
    <row r="334" customFormat="false" ht="15" hidden="false" customHeight="false" outlineLevel="0" collapsed="false">
      <c r="A334" s="0" t="s">
        <v>503</v>
      </c>
      <c r="B334" s="0" t="s">
        <v>508</v>
      </c>
      <c r="C334" s="0" t="n">
        <v>2018</v>
      </c>
      <c r="D334" s="0" t="n">
        <v>161</v>
      </c>
      <c r="E334" s="0" t="n">
        <v>415.9</v>
      </c>
      <c r="F334" s="0" t="n">
        <v>5.1</v>
      </c>
      <c r="G334" s="0" t="n">
        <v>9.2</v>
      </c>
      <c r="H334" s="0" t="n">
        <v>30.9</v>
      </c>
      <c r="I334" s="0" t="n">
        <f aca="false">D334*E334</f>
        <v>66959.9</v>
      </c>
      <c r="J334" s="0" t="n">
        <f aca="false">D334*H334</f>
        <v>4974.9</v>
      </c>
    </row>
    <row r="335" customFormat="false" ht="15" hidden="false" customHeight="false" outlineLevel="0" collapsed="false">
      <c r="A335" s="0" t="s">
        <v>503</v>
      </c>
      <c r="B335" s="0" t="s">
        <v>508</v>
      </c>
      <c r="C335" s="0" t="n">
        <v>2019</v>
      </c>
      <c r="D335" s="0" t="n">
        <v>193</v>
      </c>
      <c r="E335" s="0" t="n">
        <v>407.1</v>
      </c>
      <c r="F335" s="0" t="n">
        <v>5.4</v>
      </c>
      <c r="G335" s="0" t="n">
        <v>8.8</v>
      </c>
      <c r="H335" s="0" t="n">
        <v>31.5</v>
      </c>
      <c r="I335" s="0" t="n">
        <f aca="false">D335*E335</f>
        <v>78570.3</v>
      </c>
      <c r="J335" s="0" t="n">
        <f aca="false">D335*H335</f>
        <v>6079.5</v>
      </c>
    </row>
    <row r="336" customFormat="false" ht="15" hidden="false" customHeight="false" outlineLevel="0" collapsed="false">
      <c r="A336" s="0" t="s">
        <v>503</v>
      </c>
      <c r="B336" s="0" t="s">
        <v>508</v>
      </c>
      <c r="C336" s="0" t="n">
        <v>2020</v>
      </c>
      <c r="D336" s="0" t="n">
        <v>151</v>
      </c>
      <c r="E336" s="0" t="n">
        <v>401.7</v>
      </c>
      <c r="F336" s="0" t="n">
        <v>5.1</v>
      </c>
      <c r="G336" s="0" t="n">
        <v>9</v>
      </c>
      <c r="H336" s="0" t="n">
        <v>36.8</v>
      </c>
      <c r="I336" s="0" t="n">
        <f aca="false">D336*E336</f>
        <v>60656.7</v>
      </c>
      <c r="J336" s="0" t="n">
        <f aca="false">D336*H336</f>
        <v>5556.8</v>
      </c>
    </row>
    <row r="337" customFormat="false" ht="15" hidden="false" customHeight="false" outlineLevel="0" collapsed="false">
      <c r="A337" s="0" t="s">
        <v>503</v>
      </c>
      <c r="B337" s="0" t="s">
        <v>508</v>
      </c>
      <c r="C337" s="0" t="n">
        <v>2021</v>
      </c>
      <c r="D337" s="0" t="n">
        <v>154</v>
      </c>
      <c r="E337" s="0" t="n">
        <v>405.2</v>
      </c>
      <c r="F337" s="0" t="n">
        <v>5.2</v>
      </c>
      <c r="G337" s="0" t="n">
        <v>9.2</v>
      </c>
      <c r="H337" s="0" t="n">
        <v>30.6</v>
      </c>
      <c r="I337" s="0" t="n">
        <f aca="false">D337*E337</f>
        <v>62400.8</v>
      </c>
      <c r="J337" s="0" t="n">
        <f aca="false">D337*H337</f>
        <v>4712.4</v>
      </c>
    </row>
    <row r="338" customFormat="false" ht="15" hidden="false" customHeight="false" outlineLevel="0" collapsed="false">
      <c r="A338" s="0" t="s">
        <v>503</v>
      </c>
      <c r="B338" s="0" t="s">
        <v>509</v>
      </c>
      <c r="C338" s="0" t="n">
        <v>2016</v>
      </c>
      <c r="D338" s="0" t="n">
        <v>414</v>
      </c>
      <c r="E338" s="0" t="n">
        <v>417</v>
      </c>
      <c r="F338" s="0" t="n">
        <v>5.8</v>
      </c>
      <c r="G338" s="0" t="n">
        <v>7.9</v>
      </c>
      <c r="H338" s="0" t="n">
        <v>30</v>
      </c>
      <c r="I338" s="0" t="n">
        <f aca="false">D338*E338</f>
        <v>172638</v>
      </c>
      <c r="J338" s="0" t="n">
        <f aca="false">D338*H338</f>
        <v>12420</v>
      </c>
    </row>
    <row r="339" customFormat="false" ht="15" hidden="false" customHeight="false" outlineLevel="0" collapsed="false">
      <c r="A339" s="0" t="s">
        <v>503</v>
      </c>
      <c r="B339" s="0" t="s">
        <v>509</v>
      </c>
      <c r="C339" s="0" t="n">
        <v>2017</v>
      </c>
      <c r="D339" s="0" t="n">
        <v>424</v>
      </c>
      <c r="E339" s="0" t="n">
        <v>411.4</v>
      </c>
      <c r="F339" s="0" t="n">
        <v>5.8</v>
      </c>
      <c r="G339" s="0" t="n">
        <v>7.9</v>
      </c>
      <c r="H339" s="0" t="n">
        <v>29.9</v>
      </c>
      <c r="I339" s="0" t="n">
        <f aca="false">D339*E339</f>
        <v>174433.6</v>
      </c>
      <c r="J339" s="0" t="n">
        <f aca="false">D339*H339</f>
        <v>12677.6</v>
      </c>
    </row>
    <row r="340" customFormat="false" ht="15" hidden="false" customHeight="false" outlineLevel="0" collapsed="false">
      <c r="A340" s="0" t="s">
        <v>503</v>
      </c>
      <c r="B340" s="0" t="s">
        <v>509</v>
      </c>
      <c r="C340" s="0" t="n">
        <v>2018</v>
      </c>
      <c r="D340" s="0" t="n">
        <v>489</v>
      </c>
      <c r="E340" s="0" t="n">
        <v>404.6</v>
      </c>
      <c r="F340" s="0" t="n">
        <v>5.3</v>
      </c>
      <c r="G340" s="0" t="n">
        <v>7.6</v>
      </c>
      <c r="H340" s="0" t="n">
        <v>30.1</v>
      </c>
      <c r="I340" s="0" t="n">
        <f aca="false">D340*E340</f>
        <v>197849.4</v>
      </c>
      <c r="J340" s="0" t="n">
        <f aca="false">D340*H340</f>
        <v>14718.9</v>
      </c>
    </row>
    <row r="341" customFormat="false" ht="15" hidden="false" customHeight="false" outlineLevel="0" collapsed="false">
      <c r="A341" s="0" t="s">
        <v>503</v>
      </c>
      <c r="B341" s="0" t="s">
        <v>509</v>
      </c>
      <c r="C341" s="0" t="n">
        <v>2019</v>
      </c>
      <c r="D341" s="0" t="n">
        <v>631</v>
      </c>
      <c r="E341" s="0" t="n">
        <v>390.9</v>
      </c>
      <c r="F341" s="0" t="n">
        <v>5.1</v>
      </c>
      <c r="G341" s="0" t="n">
        <v>7.5</v>
      </c>
      <c r="H341" s="0" t="n">
        <v>31.1</v>
      </c>
      <c r="I341" s="0" t="n">
        <f aca="false">D341*E341</f>
        <v>246657.9</v>
      </c>
      <c r="J341" s="0" t="n">
        <f aca="false">D341*H341</f>
        <v>19624.1</v>
      </c>
    </row>
    <row r="342" customFormat="false" ht="15" hidden="false" customHeight="false" outlineLevel="0" collapsed="false">
      <c r="A342" s="0" t="s">
        <v>503</v>
      </c>
      <c r="B342" s="0" t="s">
        <v>509</v>
      </c>
      <c r="C342" s="0" t="n">
        <v>2020</v>
      </c>
      <c r="D342" s="0" t="n">
        <v>592</v>
      </c>
      <c r="E342" s="0" t="n">
        <v>386.3</v>
      </c>
      <c r="F342" s="0" t="n">
        <v>5.3</v>
      </c>
      <c r="G342" s="0" t="n">
        <v>7.7</v>
      </c>
      <c r="H342" s="0" t="n">
        <v>31.9</v>
      </c>
      <c r="I342" s="0" t="n">
        <f aca="false">D342*E342</f>
        <v>228689.6</v>
      </c>
      <c r="J342" s="0" t="n">
        <f aca="false">D342*H342</f>
        <v>18884.8</v>
      </c>
    </row>
    <row r="343" customFormat="false" ht="15" hidden="false" customHeight="false" outlineLevel="0" collapsed="false">
      <c r="A343" s="0" t="s">
        <v>503</v>
      </c>
      <c r="B343" s="0" t="s">
        <v>509</v>
      </c>
      <c r="C343" s="0" t="n">
        <v>2021</v>
      </c>
      <c r="D343" s="0" t="n">
        <v>511</v>
      </c>
      <c r="E343" s="0" t="n">
        <v>408.2</v>
      </c>
      <c r="F343" s="0" t="n">
        <v>5.4</v>
      </c>
      <c r="G343" s="0" t="n">
        <v>7.9</v>
      </c>
      <c r="H343" s="0" t="n">
        <v>31.5</v>
      </c>
      <c r="I343" s="0" t="n">
        <f aca="false">D343*E343</f>
        <v>208590.2</v>
      </c>
      <c r="J343" s="0" t="n">
        <f aca="false">D343*H343</f>
        <v>16096.5</v>
      </c>
    </row>
    <row r="344" customFormat="false" ht="15" hidden="false" customHeight="false" outlineLevel="0" collapsed="false">
      <c r="A344" s="0" t="s">
        <v>503</v>
      </c>
      <c r="B344" s="0" t="s">
        <v>511</v>
      </c>
      <c r="C344" s="0" t="n">
        <v>2016</v>
      </c>
      <c r="D344" s="0" t="n">
        <v>251</v>
      </c>
      <c r="E344" s="0" t="n">
        <v>244.4</v>
      </c>
      <c r="F344" s="0" t="n">
        <v>5.4</v>
      </c>
      <c r="G344" s="0" t="n">
        <v>5.1</v>
      </c>
      <c r="H344" s="0" t="n">
        <v>35.4</v>
      </c>
      <c r="I344" s="0" t="n">
        <f aca="false">D344*E344</f>
        <v>61344.4</v>
      </c>
      <c r="J344" s="0" t="n">
        <f aca="false">D344*H344</f>
        <v>8885.4</v>
      </c>
    </row>
    <row r="345" customFormat="false" ht="15" hidden="false" customHeight="false" outlineLevel="0" collapsed="false">
      <c r="A345" s="0" t="s">
        <v>503</v>
      </c>
      <c r="B345" s="0" t="s">
        <v>511</v>
      </c>
      <c r="C345" s="0" t="n">
        <v>2017</v>
      </c>
      <c r="D345" s="0" t="n">
        <v>207</v>
      </c>
      <c r="E345" s="0" t="n">
        <v>235</v>
      </c>
      <c r="F345" s="0" t="n">
        <v>5.2</v>
      </c>
      <c r="G345" s="0" t="n">
        <v>5.1</v>
      </c>
      <c r="H345" s="0" t="n">
        <v>32.5</v>
      </c>
      <c r="I345" s="0" t="n">
        <f aca="false">D345*E345</f>
        <v>48645</v>
      </c>
      <c r="J345" s="0" t="n">
        <f aca="false">D345*H345</f>
        <v>6727.5</v>
      </c>
    </row>
    <row r="346" customFormat="false" ht="15" hidden="false" customHeight="false" outlineLevel="0" collapsed="false">
      <c r="A346" s="0" t="s">
        <v>503</v>
      </c>
      <c r="B346" s="0" t="s">
        <v>511</v>
      </c>
      <c r="C346" s="0" t="n">
        <v>2018</v>
      </c>
      <c r="D346" s="0" t="n">
        <v>154</v>
      </c>
      <c r="E346" s="0" t="n">
        <v>234.3</v>
      </c>
      <c r="F346" s="0" t="n">
        <v>4.7</v>
      </c>
      <c r="G346" s="0" t="n">
        <v>5.4</v>
      </c>
      <c r="H346" s="0" t="n">
        <v>34.4</v>
      </c>
      <c r="I346" s="0" t="n">
        <f aca="false">D346*E346</f>
        <v>36082.2</v>
      </c>
      <c r="J346" s="0" t="n">
        <f aca="false">D346*H346</f>
        <v>5297.6</v>
      </c>
    </row>
    <row r="347" customFormat="false" ht="15" hidden="false" customHeight="false" outlineLevel="0" collapsed="false">
      <c r="A347" s="0" t="s">
        <v>503</v>
      </c>
      <c r="B347" s="0" t="s">
        <v>511</v>
      </c>
      <c r="C347" s="0" t="n">
        <v>2019</v>
      </c>
      <c r="D347" s="0" t="n">
        <v>106</v>
      </c>
      <c r="E347" s="0" t="n">
        <v>257.5</v>
      </c>
      <c r="F347" s="0" t="n">
        <v>4.6</v>
      </c>
      <c r="G347" s="0" t="n">
        <v>5.7</v>
      </c>
      <c r="H347" s="0" t="n">
        <v>35.4</v>
      </c>
      <c r="I347" s="0" t="n">
        <f aca="false">D347*E347</f>
        <v>27295</v>
      </c>
      <c r="J347" s="0" t="n">
        <f aca="false">D347*H347</f>
        <v>3752.4</v>
      </c>
    </row>
    <row r="348" customFormat="false" ht="15" hidden="false" customHeight="false" outlineLevel="0" collapsed="false">
      <c r="A348" s="0" t="s">
        <v>503</v>
      </c>
      <c r="B348" s="0" t="s">
        <v>511</v>
      </c>
      <c r="C348" s="0" t="n">
        <v>2020</v>
      </c>
      <c r="D348" s="0" t="n">
        <v>98</v>
      </c>
      <c r="E348" s="0" t="n">
        <v>235.6</v>
      </c>
      <c r="F348" s="0" t="n">
        <v>4.7</v>
      </c>
      <c r="G348" s="0" t="n">
        <v>4.9</v>
      </c>
      <c r="H348" s="0" t="n">
        <v>37.9</v>
      </c>
      <c r="I348" s="0" t="n">
        <f aca="false">D348*E348</f>
        <v>23088.8</v>
      </c>
      <c r="J348" s="0" t="n">
        <f aca="false">D348*H348</f>
        <v>3714.2</v>
      </c>
    </row>
    <row r="349" customFormat="false" ht="15" hidden="false" customHeight="false" outlineLevel="0" collapsed="false">
      <c r="A349" s="0" t="s">
        <v>503</v>
      </c>
      <c r="B349" s="0" t="s">
        <v>511</v>
      </c>
      <c r="C349" s="0" t="n">
        <v>2021</v>
      </c>
      <c r="D349" s="0" t="n">
        <v>76</v>
      </c>
      <c r="E349" s="0" t="n">
        <v>268.5</v>
      </c>
      <c r="F349" s="0" t="n">
        <v>5</v>
      </c>
      <c r="G349" s="0" t="n">
        <v>5.5</v>
      </c>
      <c r="H349" s="0" t="n">
        <v>34.8</v>
      </c>
      <c r="I349" s="0" t="n">
        <f aca="false">D349*E349</f>
        <v>20406</v>
      </c>
      <c r="J349" s="0" t="n">
        <f aca="false">D349*H349</f>
        <v>2644.8</v>
      </c>
    </row>
    <row r="350" customFormat="false" ht="15" hidden="false" customHeight="false" outlineLevel="0" collapsed="false">
      <c r="A350" s="0" t="s">
        <v>503</v>
      </c>
      <c r="B350" s="0" t="s">
        <v>512</v>
      </c>
      <c r="C350" s="0" t="n">
        <v>2016</v>
      </c>
      <c r="D350" s="0" t="n">
        <v>26</v>
      </c>
      <c r="E350" s="0" t="n">
        <v>441.5</v>
      </c>
      <c r="F350" s="0" t="n">
        <v>4.2</v>
      </c>
      <c r="G350" s="0" t="n">
        <v>10.2</v>
      </c>
      <c r="H350" s="0" t="n">
        <v>32.7</v>
      </c>
      <c r="I350" s="0" t="n">
        <f aca="false">D350*E350</f>
        <v>11479</v>
      </c>
      <c r="J350" s="0" t="n">
        <f aca="false">D350*H350</f>
        <v>850.2</v>
      </c>
    </row>
    <row r="351" customFormat="false" ht="15" hidden="false" customHeight="false" outlineLevel="0" collapsed="false">
      <c r="A351" s="0" t="s">
        <v>503</v>
      </c>
      <c r="B351" s="0" t="s">
        <v>512</v>
      </c>
      <c r="C351" s="0" t="n">
        <v>2017</v>
      </c>
      <c r="D351" s="0" t="n">
        <v>40</v>
      </c>
      <c r="E351" s="0" t="n">
        <v>365.1</v>
      </c>
      <c r="F351" s="0" t="n">
        <v>4.9</v>
      </c>
      <c r="G351" s="0" t="n">
        <v>9.6</v>
      </c>
      <c r="H351" s="0" t="n">
        <v>22.6</v>
      </c>
      <c r="I351" s="0" t="n">
        <f aca="false">D351*E351</f>
        <v>14604</v>
      </c>
      <c r="J351" s="0" t="n">
        <f aca="false">D351*H351</f>
        <v>904</v>
      </c>
    </row>
    <row r="352" customFormat="false" ht="15" hidden="false" customHeight="false" outlineLevel="0" collapsed="false">
      <c r="A352" s="0" t="s">
        <v>503</v>
      </c>
      <c r="B352" s="0" t="s">
        <v>512</v>
      </c>
      <c r="C352" s="0" t="n">
        <v>2018</v>
      </c>
      <c r="D352" s="0" t="n">
        <v>29</v>
      </c>
      <c r="E352" s="0" t="n">
        <v>456.2</v>
      </c>
      <c r="F352" s="0" t="n">
        <v>5</v>
      </c>
      <c r="G352" s="0" t="n">
        <v>10</v>
      </c>
      <c r="H352" s="0" t="n">
        <v>40.6</v>
      </c>
      <c r="I352" s="0" t="n">
        <f aca="false">D352*E352</f>
        <v>13229.8</v>
      </c>
      <c r="J352" s="0" t="n">
        <f aca="false">D352*H352</f>
        <v>1177.4</v>
      </c>
    </row>
    <row r="353" customFormat="false" ht="15" hidden="false" customHeight="false" outlineLevel="0" collapsed="false">
      <c r="A353" s="0" t="s">
        <v>503</v>
      </c>
      <c r="B353" s="0" t="s">
        <v>512</v>
      </c>
      <c r="C353" s="0" t="n">
        <v>2019</v>
      </c>
      <c r="D353" s="0" t="n">
        <v>16</v>
      </c>
      <c r="E353" s="0" t="n">
        <v>453.4</v>
      </c>
      <c r="F353" s="0" t="n">
        <v>4.3</v>
      </c>
      <c r="G353" s="0" t="n">
        <v>9.6</v>
      </c>
      <c r="H353" s="0" t="n">
        <v>36.9</v>
      </c>
      <c r="I353" s="0" t="n">
        <f aca="false">D353*E353</f>
        <v>7254.4</v>
      </c>
      <c r="J353" s="0" t="n">
        <f aca="false">D353*H353</f>
        <v>590.4</v>
      </c>
    </row>
    <row r="354" customFormat="false" ht="15" hidden="false" customHeight="false" outlineLevel="0" collapsed="false">
      <c r="A354" s="0" t="s">
        <v>503</v>
      </c>
      <c r="B354" s="0" t="s">
        <v>512</v>
      </c>
      <c r="C354" s="0" t="n">
        <v>2020</v>
      </c>
      <c r="D354" s="0" t="n">
        <v>26</v>
      </c>
      <c r="E354" s="0" t="n">
        <v>445.2</v>
      </c>
      <c r="F354" s="0" t="n">
        <v>4.3</v>
      </c>
      <c r="G354" s="0" t="n">
        <v>10.4</v>
      </c>
      <c r="H354" s="0" t="n">
        <v>30.4</v>
      </c>
      <c r="I354" s="0" t="n">
        <f aca="false">D354*E354</f>
        <v>11575.2</v>
      </c>
      <c r="J354" s="0" t="n">
        <f aca="false">D354*H354</f>
        <v>790.4</v>
      </c>
    </row>
    <row r="355" customFormat="false" ht="15" hidden="false" customHeight="false" outlineLevel="0" collapsed="false">
      <c r="A355" s="0" t="s">
        <v>503</v>
      </c>
      <c r="B355" s="0" t="s">
        <v>512</v>
      </c>
      <c r="C355" s="0" t="n">
        <v>2021</v>
      </c>
      <c r="D355" s="0" t="n">
        <v>15</v>
      </c>
      <c r="E355" s="0" t="n">
        <v>467.9</v>
      </c>
      <c r="F355" s="0" t="n">
        <v>4.4</v>
      </c>
      <c r="G355" s="0" t="n">
        <v>9.3</v>
      </c>
      <c r="H355" s="0" t="n">
        <v>28.6</v>
      </c>
      <c r="I355" s="0" t="n">
        <f aca="false">D355*E355</f>
        <v>7018.5</v>
      </c>
      <c r="J355" s="0" t="n">
        <f aca="false">D355*H355</f>
        <v>429</v>
      </c>
    </row>
    <row r="356" customFormat="false" ht="15" hidden="false" customHeight="false" outlineLevel="0" collapsed="false">
      <c r="A356" s="0" t="s">
        <v>503</v>
      </c>
      <c r="B356" s="0" t="s">
        <v>513</v>
      </c>
      <c r="C356" s="0" t="n">
        <v>2016</v>
      </c>
      <c r="D356" s="0" t="n">
        <v>5075</v>
      </c>
      <c r="E356" s="0" t="n">
        <v>365.4</v>
      </c>
      <c r="F356" s="0" t="n">
        <v>6.4</v>
      </c>
      <c r="G356" s="0" t="n">
        <v>6.8</v>
      </c>
      <c r="H356" s="0" t="n">
        <v>28.9</v>
      </c>
      <c r="I356" s="0" t="n">
        <f aca="false">D356*E356</f>
        <v>1854405</v>
      </c>
      <c r="J356" s="0" t="n">
        <f aca="false">D356*H356</f>
        <v>146667.5</v>
      </c>
    </row>
    <row r="357" customFormat="false" ht="15" hidden="false" customHeight="false" outlineLevel="0" collapsed="false">
      <c r="A357" s="0" t="s">
        <v>503</v>
      </c>
      <c r="B357" s="0" t="s">
        <v>513</v>
      </c>
      <c r="C357" s="0" t="n">
        <v>2017</v>
      </c>
      <c r="D357" s="0" t="n">
        <v>5279</v>
      </c>
      <c r="E357" s="0" t="n">
        <v>370.3</v>
      </c>
      <c r="F357" s="0" t="n">
        <v>6.3</v>
      </c>
      <c r="G357" s="0" t="n">
        <v>6.9</v>
      </c>
      <c r="H357" s="0" t="n">
        <v>29</v>
      </c>
      <c r="I357" s="0" t="n">
        <f aca="false">D357*E357</f>
        <v>1954813.7</v>
      </c>
      <c r="J357" s="0" t="n">
        <f aca="false">D357*H357</f>
        <v>153091</v>
      </c>
    </row>
    <row r="358" customFormat="false" ht="15" hidden="false" customHeight="false" outlineLevel="0" collapsed="false">
      <c r="A358" s="0" t="s">
        <v>503</v>
      </c>
      <c r="B358" s="0" t="s">
        <v>513</v>
      </c>
      <c r="C358" s="0" t="n">
        <v>2018</v>
      </c>
      <c r="D358" s="0" t="n">
        <v>5478</v>
      </c>
      <c r="E358" s="0" t="n">
        <v>366</v>
      </c>
      <c r="F358" s="0" t="n">
        <v>6</v>
      </c>
      <c r="G358" s="0" t="n">
        <v>6.8</v>
      </c>
      <c r="H358" s="0" t="n">
        <v>29.1</v>
      </c>
      <c r="I358" s="0" t="n">
        <f aca="false">D358*E358</f>
        <v>2004948</v>
      </c>
      <c r="J358" s="0" t="n">
        <f aca="false">D358*H358</f>
        <v>159409.8</v>
      </c>
    </row>
    <row r="359" customFormat="false" ht="15" hidden="false" customHeight="false" outlineLevel="0" collapsed="false">
      <c r="A359" s="0" t="s">
        <v>503</v>
      </c>
      <c r="B359" s="0" t="s">
        <v>513</v>
      </c>
      <c r="C359" s="0" t="n">
        <v>2019</v>
      </c>
      <c r="D359" s="0" t="n">
        <v>6424</v>
      </c>
      <c r="E359" s="0" t="n">
        <v>361.6</v>
      </c>
      <c r="F359" s="0" t="n">
        <v>5.8</v>
      </c>
      <c r="G359" s="0" t="n">
        <v>6.7</v>
      </c>
      <c r="H359" s="0" t="n">
        <v>29.6</v>
      </c>
      <c r="I359" s="0" t="n">
        <f aca="false">D359*E359</f>
        <v>2322918.4</v>
      </c>
      <c r="J359" s="0" t="n">
        <f aca="false">D359*H359</f>
        <v>190150.4</v>
      </c>
    </row>
    <row r="360" customFormat="false" ht="15" hidden="false" customHeight="false" outlineLevel="0" collapsed="false">
      <c r="A360" s="0" t="s">
        <v>503</v>
      </c>
      <c r="B360" s="0" t="s">
        <v>513</v>
      </c>
      <c r="C360" s="0" t="n">
        <v>2020</v>
      </c>
      <c r="D360" s="0" t="n">
        <v>6649</v>
      </c>
      <c r="E360" s="0" t="n">
        <v>360.4</v>
      </c>
      <c r="F360" s="0" t="n">
        <v>5.8</v>
      </c>
      <c r="G360" s="0" t="n">
        <v>6.8</v>
      </c>
      <c r="H360" s="0" t="n">
        <v>30.2</v>
      </c>
      <c r="I360" s="0" t="n">
        <f aca="false">D360*E360</f>
        <v>2396299.6</v>
      </c>
      <c r="J360" s="0" t="n">
        <f aca="false">D360*H360</f>
        <v>200799.8</v>
      </c>
    </row>
    <row r="361" customFormat="false" ht="15" hidden="false" customHeight="false" outlineLevel="0" collapsed="false">
      <c r="A361" s="0" t="s">
        <v>503</v>
      </c>
      <c r="B361" s="0" t="s">
        <v>513</v>
      </c>
      <c r="C361" s="0" t="n">
        <v>2021</v>
      </c>
      <c r="D361" s="0" t="n">
        <v>6017</v>
      </c>
      <c r="E361" s="0" t="n">
        <v>367.3</v>
      </c>
      <c r="F361" s="0" t="n">
        <v>5.9</v>
      </c>
      <c r="G361" s="0" t="n">
        <v>7</v>
      </c>
      <c r="H361" s="0" t="n">
        <v>30.9</v>
      </c>
      <c r="I361" s="0" t="n">
        <f aca="false">D361*E361</f>
        <v>2210044.1</v>
      </c>
      <c r="J361" s="0" t="n">
        <f aca="false">D361*H361</f>
        <v>185925.3</v>
      </c>
    </row>
    <row r="362" customFormat="false" ht="15" hidden="false" customHeight="false" outlineLevel="0" collapsed="false">
      <c r="A362" s="0" t="s">
        <v>213</v>
      </c>
      <c r="B362" s="0" t="s">
        <v>489</v>
      </c>
      <c r="C362" s="0" t="n">
        <v>2016</v>
      </c>
      <c r="D362" s="0" t="n">
        <v>3715</v>
      </c>
      <c r="E362" s="0" t="n">
        <v>167.6</v>
      </c>
      <c r="F362" s="0" t="n">
        <v>5.7</v>
      </c>
      <c r="G362" s="0" t="n">
        <v>5.1</v>
      </c>
      <c r="H362" s="0" t="n">
        <v>10.6</v>
      </c>
      <c r="I362" s="0" t="n">
        <f aca="false">D362*E362</f>
        <v>622634</v>
      </c>
      <c r="J362" s="0" t="n">
        <f aca="false">D362*H362</f>
        <v>39379</v>
      </c>
    </row>
    <row r="363" customFormat="false" ht="15" hidden="false" customHeight="false" outlineLevel="0" collapsed="false">
      <c r="A363" s="0" t="s">
        <v>213</v>
      </c>
      <c r="B363" s="0" t="s">
        <v>489</v>
      </c>
      <c r="C363" s="0" t="n">
        <v>2017</v>
      </c>
      <c r="D363" s="0" t="n">
        <v>2935</v>
      </c>
      <c r="E363" s="0" t="n">
        <v>170.7</v>
      </c>
      <c r="F363" s="0" t="n">
        <v>5.7</v>
      </c>
      <c r="G363" s="0" t="n">
        <v>5.1</v>
      </c>
      <c r="H363" s="0" t="n">
        <v>9.6</v>
      </c>
      <c r="I363" s="0" t="n">
        <f aca="false">D363*E363</f>
        <v>501004.5</v>
      </c>
      <c r="J363" s="0" t="n">
        <f aca="false">D363*H363</f>
        <v>28176</v>
      </c>
    </row>
    <row r="364" customFormat="false" ht="15" hidden="false" customHeight="false" outlineLevel="0" collapsed="false">
      <c r="A364" s="0" t="s">
        <v>213</v>
      </c>
      <c r="B364" s="0" t="s">
        <v>489</v>
      </c>
      <c r="C364" s="0" t="n">
        <v>2018</v>
      </c>
      <c r="D364" s="0" t="n">
        <v>2645</v>
      </c>
      <c r="E364" s="0" t="n">
        <v>170.1</v>
      </c>
      <c r="F364" s="0" t="n">
        <v>5.5</v>
      </c>
      <c r="G364" s="0" t="n">
        <v>5.1</v>
      </c>
      <c r="H364" s="0" t="n">
        <v>10.3</v>
      </c>
      <c r="I364" s="0" t="n">
        <f aca="false">D364*E364</f>
        <v>449914.5</v>
      </c>
      <c r="J364" s="0" t="n">
        <f aca="false">D364*H364</f>
        <v>27243.5</v>
      </c>
    </row>
    <row r="365" customFormat="false" ht="15" hidden="false" customHeight="false" outlineLevel="0" collapsed="false">
      <c r="A365" s="0" t="s">
        <v>213</v>
      </c>
      <c r="B365" s="0" t="s">
        <v>489</v>
      </c>
      <c r="C365" s="0" t="n">
        <v>2019</v>
      </c>
      <c r="D365" s="0" t="n">
        <v>2526</v>
      </c>
      <c r="E365" s="0" t="n">
        <v>169.6</v>
      </c>
      <c r="F365" s="0" t="n">
        <v>5.5</v>
      </c>
      <c r="G365" s="0" t="n">
        <v>4.9</v>
      </c>
      <c r="H365" s="0" t="n">
        <v>11.2</v>
      </c>
      <c r="I365" s="0" t="n">
        <f aca="false">D365*E365</f>
        <v>428409.6</v>
      </c>
      <c r="J365" s="0" t="n">
        <f aca="false">D365*H365</f>
        <v>28291.2</v>
      </c>
    </row>
    <row r="366" customFormat="false" ht="15" hidden="false" customHeight="false" outlineLevel="0" collapsed="false">
      <c r="A366" s="0" t="s">
        <v>213</v>
      </c>
      <c r="B366" s="0" t="s">
        <v>489</v>
      </c>
      <c r="C366" s="0" t="n">
        <v>2020</v>
      </c>
      <c r="D366" s="0" t="n">
        <v>2237</v>
      </c>
      <c r="E366" s="0" t="n">
        <v>168.3</v>
      </c>
      <c r="F366" s="0" t="n">
        <v>5.6</v>
      </c>
      <c r="G366" s="0" t="n">
        <v>4.9</v>
      </c>
      <c r="H366" s="0" t="n">
        <v>11.1</v>
      </c>
      <c r="I366" s="0" t="n">
        <f aca="false">D366*E366</f>
        <v>376487.1</v>
      </c>
      <c r="J366" s="0" t="n">
        <f aca="false">D366*H366</f>
        <v>24830.7</v>
      </c>
    </row>
    <row r="367" customFormat="false" ht="15" hidden="false" customHeight="false" outlineLevel="0" collapsed="false">
      <c r="A367" s="0" t="s">
        <v>213</v>
      </c>
      <c r="B367" s="0" t="s">
        <v>489</v>
      </c>
      <c r="C367" s="0" t="n">
        <v>2021</v>
      </c>
      <c r="D367" s="0" t="n">
        <v>2281</v>
      </c>
      <c r="E367" s="0" t="n">
        <v>172</v>
      </c>
      <c r="F367" s="0" t="n">
        <v>5.5</v>
      </c>
      <c r="G367" s="0" t="n">
        <v>5.1</v>
      </c>
      <c r="H367" s="0" t="n">
        <v>12.4</v>
      </c>
      <c r="I367" s="0" t="n">
        <f aca="false">D367*E367</f>
        <v>392332</v>
      </c>
      <c r="J367" s="0" t="n">
        <f aca="false">D367*H367</f>
        <v>28284.4</v>
      </c>
    </row>
    <row r="368" customFormat="false" ht="15" hidden="false" customHeight="false" outlineLevel="0" collapsed="false">
      <c r="A368" s="0" t="s">
        <v>213</v>
      </c>
      <c r="B368" s="0" t="s">
        <v>497</v>
      </c>
      <c r="C368" s="0" t="n">
        <v>2016</v>
      </c>
      <c r="D368" s="0" t="n">
        <v>8472</v>
      </c>
      <c r="E368" s="0" t="n">
        <v>169.2</v>
      </c>
      <c r="F368" s="0" t="n">
        <v>5.1</v>
      </c>
      <c r="G368" s="0" t="n">
        <v>4.5</v>
      </c>
      <c r="H368" s="0" t="n">
        <v>9.5</v>
      </c>
      <c r="I368" s="0" t="n">
        <f aca="false">D368*E368</f>
        <v>1433462.4</v>
      </c>
      <c r="J368" s="0" t="n">
        <f aca="false">D368*H368</f>
        <v>80484</v>
      </c>
    </row>
    <row r="369" customFormat="false" ht="15" hidden="false" customHeight="false" outlineLevel="0" collapsed="false">
      <c r="A369" s="0" t="s">
        <v>213</v>
      </c>
      <c r="B369" s="0" t="s">
        <v>497</v>
      </c>
      <c r="C369" s="0" t="n">
        <v>2017</v>
      </c>
      <c r="D369" s="0" t="n">
        <v>7393</v>
      </c>
      <c r="E369" s="0" t="n">
        <v>171.7</v>
      </c>
      <c r="F369" s="0" t="n">
        <v>5.1</v>
      </c>
      <c r="G369" s="0" t="n">
        <v>4.4</v>
      </c>
      <c r="H369" s="0" t="n">
        <v>9.9</v>
      </c>
      <c r="I369" s="0" t="n">
        <f aca="false">D369*E369</f>
        <v>1269378.1</v>
      </c>
      <c r="J369" s="0" t="n">
        <f aca="false">D369*H369</f>
        <v>73190.7</v>
      </c>
    </row>
    <row r="370" customFormat="false" ht="15" hidden="false" customHeight="false" outlineLevel="0" collapsed="false">
      <c r="A370" s="0" t="s">
        <v>213</v>
      </c>
      <c r="B370" s="0" t="s">
        <v>497</v>
      </c>
      <c r="C370" s="0" t="n">
        <v>2018</v>
      </c>
      <c r="D370" s="0" t="n">
        <v>7577</v>
      </c>
      <c r="E370" s="0" t="n">
        <v>169.8</v>
      </c>
      <c r="F370" s="0" t="n">
        <v>5.1</v>
      </c>
      <c r="G370" s="0" t="n">
        <v>4.4</v>
      </c>
      <c r="H370" s="0" t="n">
        <v>12</v>
      </c>
      <c r="I370" s="0" t="n">
        <f aca="false">D370*E370</f>
        <v>1286574.6</v>
      </c>
      <c r="J370" s="0" t="n">
        <f aca="false">D370*H370</f>
        <v>90924</v>
      </c>
    </row>
    <row r="371" customFormat="false" ht="15" hidden="false" customHeight="false" outlineLevel="0" collapsed="false">
      <c r="A371" s="0" t="s">
        <v>213</v>
      </c>
      <c r="B371" s="0" t="s">
        <v>497</v>
      </c>
      <c r="C371" s="0" t="n">
        <v>2019</v>
      </c>
      <c r="D371" s="0" t="n">
        <v>7329</v>
      </c>
      <c r="E371" s="0" t="n">
        <v>169.1</v>
      </c>
      <c r="F371" s="0" t="n">
        <v>5</v>
      </c>
      <c r="G371" s="0" t="n">
        <v>4.4</v>
      </c>
      <c r="H371" s="0" t="n">
        <v>12.5</v>
      </c>
      <c r="I371" s="0" t="n">
        <f aca="false">D371*E371</f>
        <v>1239333.9</v>
      </c>
      <c r="J371" s="0" t="n">
        <f aca="false">D371*H371</f>
        <v>91612.5</v>
      </c>
    </row>
    <row r="372" customFormat="false" ht="15" hidden="false" customHeight="false" outlineLevel="0" collapsed="false">
      <c r="A372" s="0" t="s">
        <v>213</v>
      </c>
      <c r="B372" s="0" t="s">
        <v>497</v>
      </c>
      <c r="C372" s="0" t="n">
        <v>2020</v>
      </c>
      <c r="D372" s="0" t="n">
        <v>7258</v>
      </c>
      <c r="E372" s="0" t="n">
        <v>168.4</v>
      </c>
      <c r="F372" s="0" t="n">
        <v>5.1</v>
      </c>
      <c r="G372" s="0" t="n">
        <v>4.4</v>
      </c>
      <c r="H372" s="0" t="n">
        <v>11.5</v>
      </c>
      <c r="I372" s="0" t="n">
        <f aca="false">D372*E372</f>
        <v>1222247.2</v>
      </c>
      <c r="J372" s="0" t="n">
        <f aca="false">D372*H372</f>
        <v>83467</v>
      </c>
    </row>
    <row r="373" customFormat="false" ht="15" hidden="false" customHeight="false" outlineLevel="0" collapsed="false">
      <c r="A373" s="0" t="s">
        <v>213</v>
      </c>
      <c r="B373" s="0" t="s">
        <v>497</v>
      </c>
      <c r="C373" s="0" t="n">
        <v>2021</v>
      </c>
      <c r="D373" s="0" t="n">
        <v>5700</v>
      </c>
      <c r="E373" s="0" t="n">
        <v>170.5</v>
      </c>
      <c r="F373" s="0" t="n">
        <v>5.1</v>
      </c>
      <c r="G373" s="0" t="n">
        <v>4.4</v>
      </c>
      <c r="H373" s="0" t="n">
        <v>13.7</v>
      </c>
      <c r="I373" s="0" t="n">
        <f aca="false">D373*E373</f>
        <v>971850</v>
      </c>
      <c r="J373" s="0" t="n">
        <f aca="false">D373*H373</f>
        <v>78090</v>
      </c>
    </row>
    <row r="374" customFormat="false" ht="15" hidden="false" customHeight="false" outlineLevel="0" collapsed="false">
      <c r="A374" s="0" t="s">
        <v>213</v>
      </c>
      <c r="B374" s="0" t="s">
        <v>502</v>
      </c>
      <c r="C374" s="0" t="n">
        <v>2016</v>
      </c>
      <c r="D374" s="0" t="n">
        <v>253</v>
      </c>
      <c r="E374" s="0" t="n">
        <v>152</v>
      </c>
      <c r="F374" s="0" t="n">
        <v>5.9</v>
      </c>
      <c r="G374" s="0" t="n">
        <v>5.6</v>
      </c>
      <c r="H374" s="0" t="n">
        <v>10.6</v>
      </c>
      <c r="I374" s="0" t="n">
        <f aca="false">D374*E374</f>
        <v>38456</v>
      </c>
      <c r="J374" s="0" t="n">
        <f aca="false">D374*H374</f>
        <v>2681.8</v>
      </c>
    </row>
    <row r="375" customFormat="false" ht="15" hidden="false" customHeight="false" outlineLevel="0" collapsed="false">
      <c r="A375" s="0" t="s">
        <v>213</v>
      </c>
      <c r="B375" s="0" t="s">
        <v>502</v>
      </c>
      <c r="C375" s="0" t="n">
        <v>2017</v>
      </c>
      <c r="D375" s="0" t="n">
        <v>269</v>
      </c>
      <c r="E375" s="0" t="n">
        <v>155.8</v>
      </c>
      <c r="F375" s="0" t="n">
        <v>6.6</v>
      </c>
      <c r="G375" s="0" t="n">
        <v>5.6</v>
      </c>
      <c r="H375" s="0" t="n">
        <v>10.3</v>
      </c>
      <c r="I375" s="0" t="n">
        <f aca="false">D375*E375</f>
        <v>41910.2</v>
      </c>
      <c r="J375" s="0" t="n">
        <f aca="false">D375*H375</f>
        <v>2770.7</v>
      </c>
    </row>
    <row r="376" customFormat="false" ht="15" hidden="false" customHeight="false" outlineLevel="0" collapsed="false">
      <c r="A376" s="0" t="s">
        <v>213</v>
      </c>
      <c r="B376" s="0" t="s">
        <v>502</v>
      </c>
      <c r="C376" s="0" t="n">
        <v>2018</v>
      </c>
      <c r="D376" s="0" t="n">
        <v>408</v>
      </c>
      <c r="E376" s="0" t="n">
        <v>156</v>
      </c>
      <c r="F376" s="0" t="n">
        <v>6.4</v>
      </c>
      <c r="G376" s="0" t="n">
        <v>5.7</v>
      </c>
      <c r="H376" s="0" t="n">
        <v>11.8</v>
      </c>
      <c r="I376" s="0" t="n">
        <f aca="false">D376*E376</f>
        <v>63648</v>
      </c>
      <c r="J376" s="0" t="n">
        <f aca="false">D376*H376</f>
        <v>4814.4</v>
      </c>
    </row>
    <row r="377" customFormat="false" ht="15" hidden="false" customHeight="false" outlineLevel="0" collapsed="false">
      <c r="A377" s="0" t="s">
        <v>213</v>
      </c>
      <c r="B377" s="0" t="s">
        <v>502</v>
      </c>
      <c r="C377" s="0" t="n">
        <v>2019</v>
      </c>
      <c r="D377" s="0" t="n">
        <v>411</v>
      </c>
      <c r="E377" s="0" t="n">
        <v>158.8</v>
      </c>
      <c r="F377" s="0" t="n">
        <v>6.2</v>
      </c>
      <c r="G377" s="0" t="n">
        <v>5.4</v>
      </c>
      <c r="H377" s="0" t="n">
        <v>9.5</v>
      </c>
      <c r="I377" s="0" t="n">
        <f aca="false">D377*E377</f>
        <v>65266.8</v>
      </c>
      <c r="J377" s="0" t="n">
        <f aca="false">D377*H377</f>
        <v>3904.5</v>
      </c>
    </row>
    <row r="378" customFormat="false" ht="15" hidden="false" customHeight="false" outlineLevel="0" collapsed="false">
      <c r="A378" s="0" t="s">
        <v>213</v>
      </c>
      <c r="B378" s="0" t="s">
        <v>502</v>
      </c>
      <c r="C378" s="0" t="n">
        <v>2020</v>
      </c>
      <c r="D378" s="0" t="n">
        <v>320</v>
      </c>
      <c r="E378" s="0" t="n">
        <v>156.1</v>
      </c>
      <c r="F378" s="0" t="n">
        <v>5.9</v>
      </c>
      <c r="G378" s="0" t="n">
        <v>5.5</v>
      </c>
      <c r="H378" s="0" t="n">
        <v>12.2</v>
      </c>
      <c r="I378" s="0" t="n">
        <f aca="false">D378*E378</f>
        <v>49952</v>
      </c>
      <c r="J378" s="0" t="n">
        <f aca="false">D378*H378</f>
        <v>3904</v>
      </c>
    </row>
    <row r="379" customFormat="false" ht="15" hidden="false" customHeight="false" outlineLevel="0" collapsed="false">
      <c r="A379" s="0" t="s">
        <v>213</v>
      </c>
      <c r="B379" s="0" t="s">
        <v>502</v>
      </c>
      <c r="C379" s="0" t="n">
        <v>2021</v>
      </c>
      <c r="D379" s="0" t="n">
        <v>290</v>
      </c>
      <c r="E379" s="0" t="n">
        <v>155.5</v>
      </c>
      <c r="F379" s="0" t="n">
        <v>5.5</v>
      </c>
      <c r="G379" s="0" t="n">
        <v>5.5</v>
      </c>
      <c r="H379" s="0" t="n">
        <v>22.7</v>
      </c>
      <c r="I379" s="0" t="n">
        <f aca="false">D379*E379</f>
        <v>45095</v>
      </c>
      <c r="J379" s="0" t="n">
        <f aca="false">D379*H379</f>
        <v>6583</v>
      </c>
    </row>
    <row r="380" customFormat="false" ht="15" hidden="false" customHeight="false" outlineLevel="0" collapsed="false">
      <c r="A380" s="0" t="s">
        <v>213</v>
      </c>
      <c r="B380" s="0" t="s">
        <v>505</v>
      </c>
      <c r="C380" s="0" t="n">
        <v>2016</v>
      </c>
      <c r="D380" s="0" t="n">
        <v>70</v>
      </c>
      <c r="E380" s="0" t="n">
        <v>166.9</v>
      </c>
      <c r="F380" s="0" t="n">
        <v>5</v>
      </c>
      <c r="G380" s="0" t="n">
        <v>6.4</v>
      </c>
      <c r="H380" s="0" t="n">
        <v>9.9</v>
      </c>
      <c r="I380" s="0" t="n">
        <f aca="false">D380*E380</f>
        <v>11683</v>
      </c>
      <c r="J380" s="0" t="n">
        <f aca="false">D380*H380</f>
        <v>693</v>
      </c>
    </row>
    <row r="381" customFormat="false" ht="15" hidden="false" customHeight="false" outlineLevel="0" collapsed="false">
      <c r="A381" s="0" t="s">
        <v>213</v>
      </c>
      <c r="B381" s="0" t="s">
        <v>505</v>
      </c>
      <c r="C381" s="0" t="n">
        <v>2017</v>
      </c>
      <c r="D381" s="0" t="n">
        <v>56</v>
      </c>
      <c r="E381" s="0" t="n">
        <v>170.6</v>
      </c>
      <c r="F381" s="0" t="n">
        <v>5</v>
      </c>
      <c r="G381" s="0" t="n">
        <v>6.3</v>
      </c>
      <c r="H381" s="0" t="n">
        <v>11.3</v>
      </c>
      <c r="I381" s="0" t="n">
        <f aca="false">D381*E381</f>
        <v>9553.6</v>
      </c>
      <c r="J381" s="0" t="n">
        <f aca="false">D381*H381</f>
        <v>632.8</v>
      </c>
    </row>
    <row r="382" customFormat="false" ht="15" hidden="false" customHeight="false" outlineLevel="0" collapsed="false">
      <c r="A382" s="0" t="s">
        <v>213</v>
      </c>
      <c r="B382" s="0" t="s">
        <v>505</v>
      </c>
      <c r="C382" s="0" t="n">
        <v>2018</v>
      </c>
      <c r="D382" s="0" t="n">
        <v>111</v>
      </c>
      <c r="E382" s="0" t="n">
        <v>174.2</v>
      </c>
      <c r="F382" s="0" t="n">
        <v>5</v>
      </c>
      <c r="G382" s="0" t="n">
        <v>6.6</v>
      </c>
      <c r="H382" s="0" t="n">
        <v>10.5</v>
      </c>
      <c r="I382" s="0" t="n">
        <f aca="false">D382*E382</f>
        <v>19336.2</v>
      </c>
      <c r="J382" s="0" t="n">
        <f aca="false">D382*H382</f>
        <v>1165.5</v>
      </c>
    </row>
    <row r="383" customFormat="false" ht="15" hidden="false" customHeight="false" outlineLevel="0" collapsed="false">
      <c r="A383" s="0" t="s">
        <v>213</v>
      </c>
      <c r="B383" s="0" t="s">
        <v>505</v>
      </c>
      <c r="C383" s="0" t="n">
        <v>2019</v>
      </c>
      <c r="D383" s="0" t="n">
        <v>109</v>
      </c>
      <c r="E383" s="0" t="n">
        <v>169.1</v>
      </c>
      <c r="F383" s="0" t="n">
        <v>5.8</v>
      </c>
      <c r="G383" s="0" t="n">
        <v>6.3</v>
      </c>
      <c r="H383" s="0" t="n">
        <v>11</v>
      </c>
      <c r="I383" s="0" t="n">
        <f aca="false">D383*E383</f>
        <v>18431.9</v>
      </c>
      <c r="J383" s="0" t="n">
        <f aca="false">D383*H383</f>
        <v>1199</v>
      </c>
    </row>
    <row r="384" customFormat="false" ht="15" hidden="false" customHeight="false" outlineLevel="0" collapsed="false">
      <c r="A384" s="0" t="s">
        <v>213</v>
      </c>
      <c r="B384" s="0" t="s">
        <v>505</v>
      </c>
      <c r="C384" s="0" t="n">
        <v>2020</v>
      </c>
      <c r="D384" s="0" t="n">
        <v>127</v>
      </c>
      <c r="E384" s="0" t="n">
        <v>172.4</v>
      </c>
      <c r="F384" s="0" t="n">
        <v>5.7</v>
      </c>
      <c r="G384" s="0" t="n">
        <v>6.5</v>
      </c>
      <c r="H384" s="0" t="n">
        <v>9.5</v>
      </c>
      <c r="I384" s="0" t="n">
        <f aca="false">D384*E384</f>
        <v>21894.8</v>
      </c>
      <c r="J384" s="0" t="n">
        <f aca="false">D384*H384</f>
        <v>1206.5</v>
      </c>
    </row>
    <row r="385" customFormat="false" ht="15" hidden="false" customHeight="false" outlineLevel="0" collapsed="false">
      <c r="A385" s="0" t="s">
        <v>213</v>
      </c>
      <c r="B385" s="0" t="s">
        <v>505</v>
      </c>
      <c r="C385" s="0" t="n">
        <v>2021</v>
      </c>
      <c r="D385" s="0" t="n">
        <v>92</v>
      </c>
      <c r="E385" s="0" t="n">
        <v>184</v>
      </c>
      <c r="F385" s="0" t="n">
        <v>6</v>
      </c>
      <c r="G385" s="0" t="n">
        <v>6.6</v>
      </c>
      <c r="H385" s="0" t="n">
        <v>16.8</v>
      </c>
      <c r="I385" s="0" t="n">
        <f aca="false">D385*E385</f>
        <v>16928</v>
      </c>
      <c r="J385" s="0" t="n">
        <f aca="false">D385*H385</f>
        <v>1545.6</v>
      </c>
    </row>
    <row r="386" customFormat="false" ht="15" hidden="false" customHeight="false" outlineLevel="0" collapsed="false">
      <c r="A386" s="0" t="s">
        <v>213</v>
      </c>
      <c r="B386" s="0" t="s">
        <v>506</v>
      </c>
      <c r="C386" s="0" t="n">
        <v>2016</v>
      </c>
      <c r="D386" s="0" t="n">
        <v>234</v>
      </c>
      <c r="E386" s="0" t="n">
        <v>149</v>
      </c>
      <c r="F386" s="0" t="n">
        <v>6.5</v>
      </c>
      <c r="G386" s="0" t="n">
        <v>6.3</v>
      </c>
      <c r="H386" s="0" t="n">
        <v>8.5</v>
      </c>
      <c r="I386" s="0" t="n">
        <f aca="false">D386*E386</f>
        <v>34866</v>
      </c>
      <c r="J386" s="0" t="n">
        <f aca="false">D386*H386</f>
        <v>1989</v>
      </c>
    </row>
    <row r="387" customFormat="false" ht="15" hidden="false" customHeight="false" outlineLevel="0" collapsed="false">
      <c r="A387" s="0" t="s">
        <v>213</v>
      </c>
      <c r="B387" s="0" t="s">
        <v>506</v>
      </c>
      <c r="C387" s="0" t="n">
        <v>2017</v>
      </c>
      <c r="D387" s="0" t="n">
        <v>247</v>
      </c>
      <c r="E387" s="0" t="n">
        <v>157.4</v>
      </c>
      <c r="F387" s="0" t="n">
        <v>6.5</v>
      </c>
      <c r="G387" s="0" t="n">
        <v>6.3</v>
      </c>
      <c r="H387" s="0" t="n">
        <v>10.3</v>
      </c>
      <c r="I387" s="0" t="n">
        <f aca="false">D387*E387</f>
        <v>38877.8</v>
      </c>
      <c r="J387" s="0" t="n">
        <f aca="false">D387*H387</f>
        <v>2544.1</v>
      </c>
    </row>
    <row r="388" customFormat="false" ht="15" hidden="false" customHeight="false" outlineLevel="0" collapsed="false">
      <c r="A388" s="0" t="s">
        <v>213</v>
      </c>
      <c r="B388" s="0" t="s">
        <v>506</v>
      </c>
      <c r="C388" s="0" t="n">
        <v>2018</v>
      </c>
      <c r="D388" s="0" t="n">
        <v>297</v>
      </c>
      <c r="E388" s="0" t="n">
        <v>157.6</v>
      </c>
      <c r="F388" s="0" t="n">
        <v>6.4</v>
      </c>
      <c r="G388" s="0" t="n">
        <v>6.2</v>
      </c>
      <c r="H388" s="0" t="n">
        <v>10.7</v>
      </c>
      <c r="I388" s="0" t="n">
        <f aca="false">D388*E388</f>
        <v>46807.2</v>
      </c>
      <c r="J388" s="0" t="n">
        <f aca="false">D388*H388</f>
        <v>3177.9</v>
      </c>
    </row>
    <row r="389" customFormat="false" ht="15" hidden="false" customHeight="false" outlineLevel="0" collapsed="false">
      <c r="A389" s="0" t="s">
        <v>213</v>
      </c>
      <c r="B389" s="0" t="s">
        <v>506</v>
      </c>
      <c r="C389" s="0" t="n">
        <v>2019</v>
      </c>
      <c r="D389" s="0" t="n">
        <v>281</v>
      </c>
      <c r="E389" s="0" t="n">
        <v>134.9</v>
      </c>
      <c r="F389" s="0" t="n">
        <v>5.5</v>
      </c>
      <c r="G389" s="0" t="n">
        <v>5.7</v>
      </c>
      <c r="H389" s="0" t="n">
        <v>12.7</v>
      </c>
      <c r="I389" s="0" t="n">
        <f aca="false">D389*E389</f>
        <v>37906.9</v>
      </c>
      <c r="J389" s="0" t="n">
        <f aca="false">D389*H389</f>
        <v>3568.7</v>
      </c>
    </row>
    <row r="390" customFormat="false" ht="15" hidden="false" customHeight="false" outlineLevel="0" collapsed="false">
      <c r="A390" s="0" t="s">
        <v>213</v>
      </c>
      <c r="B390" s="0" t="s">
        <v>506</v>
      </c>
      <c r="C390" s="0" t="n">
        <v>2020</v>
      </c>
      <c r="D390" s="0" t="n">
        <v>260</v>
      </c>
      <c r="E390" s="0" t="n">
        <v>138.1</v>
      </c>
      <c r="F390" s="0" t="n">
        <v>5.6</v>
      </c>
      <c r="G390" s="0" t="n">
        <v>5.3</v>
      </c>
      <c r="H390" s="0" t="n">
        <v>10.2</v>
      </c>
      <c r="I390" s="0" t="n">
        <f aca="false">D390*E390</f>
        <v>35906</v>
      </c>
      <c r="J390" s="0" t="n">
        <f aca="false">D390*H390</f>
        <v>2652</v>
      </c>
    </row>
    <row r="391" customFormat="false" ht="15" hidden="false" customHeight="false" outlineLevel="0" collapsed="false">
      <c r="A391" s="0" t="s">
        <v>213</v>
      </c>
      <c r="B391" s="0" t="s">
        <v>506</v>
      </c>
      <c r="C391" s="0" t="n">
        <v>2021</v>
      </c>
      <c r="D391" s="0" t="n">
        <v>271</v>
      </c>
      <c r="E391" s="0" t="n">
        <v>137.1</v>
      </c>
      <c r="F391" s="0" t="n">
        <v>5.2</v>
      </c>
      <c r="G391" s="0" t="n">
        <v>5.6</v>
      </c>
      <c r="H391" s="0" t="n">
        <v>11.6</v>
      </c>
      <c r="I391" s="0" t="n">
        <f aca="false">D391*E391</f>
        <v>37154.1</v>
      </c>
      <c r="J391" s="0" t="n">
        <f aca="false">D391*H391</f>
        <v>3143.6</v>
      </c>
    </row>
    <row r="392" customFormat="false" ht="15" hidden="false" customHeight="false" outlineLevel="0" collapsed="false">
      <c r="A392" s="0" t="s">
        <v>213</v>
      </c>
      <c r="B392" s="0" t="s">
        <v>508</v>
      </c>
      <c r="C392" s="0" t="n">
        <v>2016</v>
      </c>
      <c r="D392" s="0" t="n">
        <v>81</v>
      </c>
      <c r="E392" s="0" t="n">
        <v>175.1</v>
      </c>
      <c r="F392" s="0" t="n">
        <v>5.5</v>
      </c>
      <c r="G392" s="0" t="n">
        <v>8.4</v>
      </c>
      <c r="H392" s="0" t="n">
        <v>9.4</v>
      </c>
      <c r="I392" s="0" t="n">
        <f aca="false">D392*E392</f>
        <v>14183.1</v>
      </c>
      <c r="J392" s="0" t="n">
        <f aca="false">D392*H392</f>
        <v>761.4</v>
      </c>
    </row>
    <row r="393" customFormat="false" ht="15" hidden="false" customHeight="false" outlineLevel="0" collapsed="false">
      <c r="A393" s="0" t="s">
        <v>213</v>
      </c>
      <c r="B393" s="0" t="s">
        <v>508</v>
      </c>
      <c r="C393" s="0" t="n">
        <v>2017</v>
      </c>
      <c r="D393" s="0" t="n">
        <v>74</v>
      </c>
      <c r="E393" s="0" t="n">
        <v>177.7</v>
      </c>
      <c r="F393" s="0" t="n">
        <v>5.3</v>
      </c>
      <c r="G393" s="0" t="n">
        <v>7.9</v>
      </c>
      <c r="H393" s="0" t="n">
        <v>9.1</v>
      </c>
      <c r="I393" s="0" t="n">
        <f aca="false">D393*E393</f>
        <v>13149.8</v>
      </c>
      <c r="J393" s="0" t="n">
        <f aca="false">D393*H393</f>
        <v>673.4</v>
      </c>
    </row>
    <row r="394" customFormat="false" ht="15" hidden="false" customHeight="false" outlineLevel="0" collapsed="false">
      <c r="A394" s="0" t="s">
        <v>213</v>
      </c>
      <c r="B394" s="0" t="s">
        <v>508</v>
      </c>
      <c r="C394" s="0" t="n">
        <v>2018</v>
      </c>
      <c r="D394" s="0" t="n">
        <v>93</v>
      </c>
      <c r="E394" s="0" t="n">
        <v>176.8</v>
      </c>
      <c r="F394" s="0" t="n">
        <v>5.5</v>
      </c>
      <c r="G394" s="0" t="n">
        <v>7.8</v>
      </c>
      <c r="H394" s="0" t="n">
        <v>9.3</v>
      </c>
      <c r="I394" s="0" t="n">
        <f aca="false">D394*E394</f>
        <v>16442.4</v>
      </c>
      <c r="J394" s="0" t="n">
        <f aca="false">D394*H394</f>
        <v>864.9</v>
      </c>
    </row>
    <row r="395" customFormat="false" ht="15" hidden="false" customHeight="false" outlineLevel="0" collapsed="false">
      <c r="A395" s="0" t="s">
        <v>213</v>
      </c>
      <c r="B395" s="0" t="s">
        <v>508</v>
      </c>
      <c r="C395" s="0" t="n">
        <v>2019</v>
      </c>
      <c r="D395" s="0" t="n">
        <v>69</v>
      </c>
      <c r="E395" s="0" t="n">
        <v>163</v>
      </c>
      <c r="F395" s="0" t="n">
        <v>4.9</v>
      </c>
      <c r="G395" s="0" t="n">
        <v>8</v>
      </c>
      <c r="H395" s="0" t="n">
        <v>11.1</v>
      </c>
      <c r="I395" s="0" t="n">
        <f aca="false">D395*E395</f>
        <v>11247</v>
      </c>
      <c r="J395" s="0" t="n">
        <f aca="false">D395*H395</f>
        <v>765.9</v>
      </c>
    </row>
    <row r="396" customFormat="false" ht="15" hidden="false" customHeight="false" outlineLevel="0" collapsed="false">
      <c r="A396" s="0" t="s">
        <v>213</v>
      </c>
      <c r="B396" s="0" t="s">
        <v>508</v>
      </c>
      <c r="C396" s="0" t="n">
        <v>2020</v>
      </c>
      <c r="D396" s="0" t="n">
        <v>78</v>
      </c>
      <c r="E396" s="0" t="n">
        <v>156.2</v>
      </c>
      <c r="F396" s="0" t="n">
        <v>5</v>
      </c>
      <c r="G396" s="0" t="n">
        <v>6.7</v>
      </c>
      <c r="H396" s="0" t="n">
        <v>15.3</v>
      </c>
      <c r="I396" s="0" t="n">
        <f aca="false">D396*E396</f>
        <v>12183.6</v>
      </c>
      <c r="J396" s="0" t="n">
        <f aca="false">D396*H396</f>
        <v>1193.4</v>
      </c>
    </row>
    <row r="397" customFormat="false" ht="15" hidden="false" customHeight="false" outlineLevel="0" collapsed="false">
      <c r="A397" s="0" t="s">
        <v>213</v>
      </c>
      <c r="B397" s="0" t="s">
        <v>508</v>
      </c>
      <c r="C397" s="0" t="n">
        <v>2021</v>
      </c>
      <c r="D397" s="0" t="n">
        <v>102</v>
      </c>
      <c r="E397" s="0" t="n">
        <v>181.1</v>
      </c>
      <c r="F397" s="0" t="n">
        <v>5.3</v>
      </c>
      <c r="G397" s="0" t="n">
        <v>8</v>
      </c>
      <c r="H397" s="0" t="n">
        <v>15.3</v>
      </c>
      <c r="I397" s="0" t="n">
        <f aca="false">D397*E397</f>
        <v>18472.2</v>
      </c>
      <c r="J397" s="0" t="n">
        <f aca="false">D397*H397</f>
        <v>1560.6</v>
      </c>
    </row>
    <row r="398" customFormat="false" ht="15" hidden="false" customHeight="false" outlineLevel="0" collapsed="false">
      <c r="A398" s="0" t="s">
        <v>213</v>
      </c>
      <c r="B398" s="0" t="s">
        <v>509</v>
      </c>
      <c r="C398" s="0" t="n">
        <v>2016</v>
      </c>
      <c r="D398" s="0" t="n">
        <v>127</v>
      </c>
      <c r="E398" s="0" t="n">
        <v>174.5</v>
      </c>
      <c r="F398" s="0" t="n">
        <v>5.7</v>
      </c>
      <c r="G398" s="0" t="n">
        <v>6.2</v>
      </c>
      <c r="H398" s="0" t="n">
        <v>11.7</v>
      </c>
      <c r="I398" s="0" t="n">
        <f aca="false">D398*E398</f>
        <v>22161.5</v>
      </c>
      <c r="J398" s="0" t="n">
        <f aca="false">D398*H398</f>
        <v>1485.9</v>
      </c>
    </row>
    <row r="399" customFormat="false" ht="15" hidden="false" customHeight="false" outlineLevel="0" collapsed="false">
      <c r="A399" s="0" t="s">
        <v>213</v>
      </c>
      <c r="B399" s="0" t="s">
        <v>509</v>
      </c>
      <c r="C399" s="0" t="n">
        <v>2017</v>
      </c>
      <c r="D399" s="0" t="n">
        <v>108</v>
      </c>
      <c r="E399" s="0" t="n">
        <v>169.9</v>
      </c>
      <c r="F399" s="0" t="n">
        <v>5.5</v>
      </c>
      <c r="G399" s="0" t="n">
        <v>6.2</v>
      </c>
      <c r="H399" s="0" t="n">
        <v>14.4</v>
      </c>
      <c r="I399" s="0" t="n">
        <f aca="false">D399*E399</f>
        <v>18349.2</v>
      </c>
      <c r="J399" s="0" t="n">
        <f aca="false">D399*H399</f>
        <v>1555.2</v>
      </c>
    </row>
    <row r="400" customFormat="false" ht="15" hidden="false" customHeight="false" outlineLevel="0" collapsed="false">
      <c r="A400" s="0" t="s">
        <v>213</v>
      </c>
      <c r="B400" s="0" t="s">
        <v>509</v>
      </c>
      <c r="C400" s="0" t="n">
        <v>2018</v>
      </c>
      <c r="D400" s="0" t="n">
        <v>168</v>
      </c>
      <c r="E400" s="0" t="n">
        <v>163.4</v>
      </c>
      <c r="F400" s="0" t="n">
        <v>5</v>
      </c>
      <c r="G400" s="0" t="n">
        <v>5.9</v>
      </c>
      <c r="H400" s="0" t="n">
        <v>9</v>
      </c>
      <c r="I400" s="0" t="n">
        <f aca="false">D400*E400</f>
        <v>27451.2</v>
      </c>
      <c r="J400" s="0" t="n">
        <f aca="false">D400*H400</f>
        <v>1512</v>
      </c>
    </row>
    <row r="401" customFormat="false" ht="15" hidden="false" customHeight="false" outlineLevel="0" collapsed="false">
      <c r="A401" s="0" t="s">
        <v>213</v>
      </c>
      <c r="B401" s="0" t="s">
        <v>509</v>
      </c>
      <c r="C401" s="0" t="n">
        <v>2019</v>
      </c>
      <c r="D401" s="0" t="n">
        <v>136</v>
      </c>
      <c r="E401" s="0" t="n">
        <v>160.6</v>
      </c>
      <c r="F401" s="0" t="n">
        <v>4.7</v>
      </c>
      <c r="G401" s="0" t="n">
        <v>5.4</v>
      </c>
      <c r="H401" s="0" t="n">
        <v>9.5</v>
      </c>
      <c r="I401" s="0" t="n">
        <f aca="false">D401*E401</f>
        <v>21841.6</v>
      </c>
      <c r="J401" s="0" t="n">
        <f aca="false">D401*H401</f>
        <v>1292</v>
      </c>
    </row>
    <row r="402" customFormat="false" ht="15" hidden="false" customHeight="false" outlineLevel="0" collapsed="false">
      <c r="A402" s="0" t="s">
        <v>213</v>
      </c>
      <c r="B402" s="0" t="s">
        <v>509</v>
      </c>
      <c r="C402" s="0" t="n">
        <v>2020</v>
      </c>
      <c r="D402" s="0" t="n">
        <v>105</v>
      </c>
      <c r="E402" s="0" t="n">
        <v>169.8</v>
      </c>
      <c r="F402" s="0" t="n">
        <v>4.9</v>
      </c>
      <c r="G402" s="0" t="n">
        <v>5.8</v>
      </c>
      <c r="H402" s="0" t="n">
        <v>12.9</v>
      </c>
      <c r="I402" s="0" t="n">
        <f aca="false">D402*E402</f>
        <v>17829</v>
      </c>
      <c r="J402" s="0" t="n">
        <f aca="false">D402*H402</f>
        <v>1354.5</v>
      </c>
    </row>
    <row r="403" customFormat="false" ht="15" hidden="false" customHeight="false" outlineLevel="0" collapsed="false">
      <c r="A403" s="0" t="s">
        <v>213</v>
      </c>
      <c r="B403" s="0" t="s">
        <v>509</v>
      </c>
      <c r="C403" s="0" t="n">
        <v>2021</v>
      </c>
      <c r="D403" s="0" t="n">
        <v>85</v>
      </c>
      <c r="E403" s="0" t="n">
        <v>176.8</v>
      </c>
      <c r="F403" s="0" t="n">
        <v>5.4</v>
      </c>
      <c r="G403" s="0" t="n">
        <v>6.2</v>
      </c>
      <c r="H403" s="0" t="n">
        <v>14.1</v>
      </c>
      <c r="I403" s="0" t="n">
        <f aca="false">D403*E403</f>
        <v>15028</v>
      </c>
      <c r="J403" s="0" t="n">
        <f aca="false">D403*H403</f>
        <v>1198.5</v>
      </c>
    </row>
    <row r="404" customFormat="false" ht="15" hidden="false" customHeight="false" outlineLevel="0" collapsed="false">
      <c r="A404" s="0" t="s">
        <v>213</v>
      </c>
      <c r="B404" s="0" t="s">
        <v>511</v>
      </c>
      <c r="C404" s="0" t="n">
        <v>2016</v>
      </c>
      <c r="D404" s="0" t="n">
        <v>100</v>
      </c>
      <c r="E404" s="0" t="n">
        <v>95.4</v>
      </c>
      <c r="F404" s="0" t="n">
        <v>4</v>
      </c>
      <c r="G404" s="0" t="n">
        <v>3.7</v>
      </c>
      <c r="H404" s="0" t="n">
        <v>11.3</v>
      </c>
      <c r="I404" s="0" t="n">
        <f aca="false">D404*E404</f>
        <v>9540</v>
      </c>
      <c r="J404" s="0" t="n">
        <f aca="false">D404*H404</f>
        <v>1130</v>
      </c>
    </row>
    <row r="405" customFormat="false" ht="15" hidden="false" customHeight="false" outlineLevel="0" collapsed="false">
      <c r="A405" s="0" t="s">
        <v>213</v>
      </c>
      <c r="B405" s="0" t="s">
        <v>511</v>
      </c>
      <c r="C405" s="0" t="n">
        <v>2017</v>
      </c>
      <c r="D405" s="0" t="n">
        <v>78</v>
      </c>
      <c r="E405" s="0" t="n">
        <v>97.7</v>
      </c>
      <c r="F405" s="0" t="n">
        <v>3.5</v>
      </c>
      <c r="G405" s="0" t="n">
        <v>3.6</v>
      </c>
      <c r="H405" s="0" t="n">
        <v>11.6</v>
      </c>
      <c r="I405" s="0" t="n">
        <f aca="false">D405*E405</f>
        <v>7620.6</v>
      </c>
      <c r="J405" s="0" t="n">
        <f aca="false">D405*H405</f>
        <v>904.8</v>
      </c>
    </row>
    <row r="406" customFormat="false" ht="15" hidden="false" customHeight="false" outlineLevel="0" collapsed="false">
      <c r="A406" s="0" t="s">
        <v>213</v>
      </c>
      <c r="B406" s="0" t="s">
        <v>511</v>
      </c>
      <c r="C406" s="0" t="n">
        <v>2018</v>
      </c>
      <c r="D406" s="0" t="n">
        <v>82</v>
      </c>
      <c r="E406" s="0" t="n">
        <v>98.1</v>
      </c>
      <c r="F406" s="0" t="n">
        <v>4.2</v>
      </c>
      <c r="G406" s="0" t="n">
        <v>3.8</v>
      </c>
      <c r="H406" s="0" t="n">
        <v>11.5</v>
      </c>
      <c r="I406" s="0" t="n">
        <f aca="false">D406*E406</f>
        <v>8044.2</v>
      </c>
      <c r="J406" s="0" t="n">
        <f aca="false">D406*H406</f>
        <v>943</v>
      </c>
    </row>
    <row r="407" customFormat="false" ht="15" hidden="false" customHeight="false" outlineLevel="0" collapsed="false">
      <c r="A407" s="0" t="s">
        <v>213</v>
      </c>
      <c r="B407" s="0" t="s">
        <v>511</v>
      </c>
      <c r="C407" s="0" t="n">
        <v>2019</v>
      </c>
      <c r="D407" s="0" t="n">
        <v>76</v>
      </c>
      <c r="E407" s="0" t="n">
        <v>95.3</v>
      </c>
      <c r="F407" s="0" t="n">
        <v>4.4</v>
      </c>
      <c r="G407" s="0" t="n">
        <v>3.8</v>
      </c>
      <c r="H407" s="0" t="n">
        <v>11</v>
      </c>
      <c r="I407" s="0" t="n">
        <f aca="false">D407*E407</f>
        <v>7242.8</v>
      </c>
      <c r="J407" s="0" t="n">
        <f aca="false">D407*H407</f>
        <v>836</v>
      </c>
    </row>
    <row r="408" customFormat="false" ht="15" hidden="false" customHeight="false" outlineLevel="0" collapsed="false">
      <c r="A408" s="0" t="s">
        <v>213</v>
      </c>
      <c r="B408" s="0" t="s">
        <v>511</v>
      </c>
      <c r="C408" s="0" t="n">
        <v>2020</v>
      </c>
      <c r="D408" s="0" t="n">
        <v>51</v>
      </c>
      <c r="E408" s="0" t="n">
        <v>98.8</v>
      </c>
      <c r="F408" s="0" t="n">
        <v>4.4</v>
      </c>
      <c r="G408" s="0" t="n">
        <v>3.9</v>
      </c>
      <c r="H408" s="0" t="n">
        <v>14</v>
      </c>
      <c r="I408" s="0" t="n">
        <f aca="false">D408*E408</f>
        <v>5038.8</v>
      </c>
      <c r="J408" s="0" t="n">
        <f aca="false">D408*H408</f>
        <v>714</v>
      </c>
    </row>
    <row r="409" customFormat="false" ht="15" hidden="false" customHeight="false" outlineLevel="0" collapsed="false">
      <c r="A409" s="0" t="s">
        <v>213</v>
      </c>
      <c r="B409" s="0" t="s">
        <v>511</v>
      </c>
      <c r="C409" s="0" t="n">
        <v>2021</v>
      </c>
      <c r="D409" s="0" t="n">
        <v>43</v>
      </c>
      <c r="E409" s="0" t="n">
        <v>98.2</v>
      </c>
      <c r="F409" s="0" t="n">
        <v>4.6</v>
      </c>
      <c r="G409" s="0" t="n">
        <v>3.7</v>
      </c>
      <c r="H409" s="0" t="n">
        <v>12.5</v>
      </c>
      <c r="I409" s="0" t="n">
        <f aca="false">D409*E409</f>
        <v>4222.6</v>
      </c>
      <c r="J409" s="0" t="n">
        <f aca="false">D409*H409</f>
        <v>537.5</v>
      </c>
    </row>
    <row r="410" customFormat="false" ht="15" hidden="false" customHeight="false" outlineLevel="0" collapsed="false">
      <c r="A410" s="0" t="s">
        <v>213</v>
      </c>
      <c r="B410" s="0" t="s">
        <v>512</v>
      </c>
      <c r="C410" s="0" t="n">
        <v>2016</v>
      </c>
      <c r="D410" s="0" t="n">
        <v>36</v>
      </c>
      <c r="E410" s="0" t="n">
        <v>169.4</v>
      </c>
      <c r="F410" s="0" t="n">
        <v>4.4</v>
      </c>
      <c r="G410" s="0" t="n">
        <v>8.2</v>
      </c>
      <c r="H410" s="0" t="n">
        <v>7.3</v>
      </c>
      <c r="I410" s="0" t="n">
        <f aca="false">D410*E410</f>
        <v>6098.4</v>
      </c>
      <c r="J410" s="0" t="n">
        <f aca="false">D410*H410</f>
        <v>262.8</v>
      </c>
    </row>
    <row r="411" customFormat="false" ht="15" hidden="false" customHeight="false" outlineLevel="0" collapsed="false">
      <c r="A411" s="0" t="s">
        <v>213</v>
      </c>
      <c r="B411" s="0" t="s">
        <v>512</v>
      </c>
      <c r="C411" s="0" t="n">
        <v>2017</v>
      </c>
      <c r="D411" s="0" t="n">
        <v>39</v>
      </c>
      <c r="E411" s="0" t="n">
        <v>192</v>
      </c>
      <c r="F411" s="0" t="n">
        <v>4.2</v>
      </c>
      <c r="G411" s="0" t="n">
        <v>9.2</v>
      </c>
      <c r="H411" s="0" t="n">
        <v>10</v>
      </c>
      <c r="I411" s="0" t="n">
        <f aca="false">D411*E411</f>
        <v>7488</v>
      </c>
      <c r="J411" s="0" t="n">
        <f aca="false">D411*H411</f>
        <v>390</v>
      </c>
    </row>
    <row r="412" customFormat="false" ht="15" hidden="false" customHeight="false" outlineLevel="0" collapsed="false">
      <c r="A412" s="0" t="s">
        <v>213</v>
      </c>
      <c r="B412" s="0" t="s">
        <v>512</v>
      </c>
      <c r="C412" s="0" t="n">
        <v>2018</v>
      </c>
      <c r="D412" s="0" t="n">
        <v>59</v>
      </c>
      <c r="E412" s="0" t="n">
        <v>215.8</v>
      </c>
      <c r="F412" s="0" t="n">
        <v>4.6</v>
      </c>
      <c r="G412" s="0" t="n">
        <v>9.3</v>
      </c>
      <c r="H412" s="0" t="n">
        <v>9.2</v>
      </c>
      <c r="I412" s="0" t="n">
        <f aca="false">D412*E412</f>
        <v>12732.2</v>
      </c>
      <c r="J412" s="0" t="n">
        <f aca="false">D412*H412</f>
        <v>542.8</v>
      </c>
    </row>
    <row r="413" customFormat="false" ht="15" hidden="false" customHeight="false" outlineLevel="0" collapsed="false">
      <c r="A413" s="0" t="s">
        <v>213</v>
      </c>
      <c r="B413" s="0" t="s">
        <v>512</v>
      </c>
      <c r="C413" s="0" t="n">
        <v>2019</v>
      </c>
      <c r="D413" s="0" t="n">
        <v>36</v>
      </c>
      <c r="E413" s="0" t="n">
        <v>210</v>
      </c>
      <c r="F413" s="0" t="n">
        <v>4.3</v>
      </c>
      <c r="G413" s="0" t="n">
        <v>9.9</v>
      </c>
      <c r="H413" s="0" t="n">
        <v>8</v>
      </c>
      <c r="I413" s="0" t="n">
        <f aca="false">D413*E413</f>
        <v>7560</v>
      </c>
      <c r="J413" s="0" t="n">
        <f aca="false">D413*H413</f>
        <v>288</v>
      </c>
    </row>
    <row r="414" customFormat="false" ht="15" hidden="false" customHeight="false" outlineLevel="0" collapsed="false">
      <c r="A414" s="0" t="s">
        <v>213</v>
      </c>
      <c r="B414" s="0" t="s">
        <v>512</v>
      </c>
      <c r="C414" s="0" t="n">
        <v>2020</v>
      </c>
      <c r="D414" s="0" t="n">
        <v>37</v>
      </c>
      <c r="E414" s="0" t="n">
        <v>212.7</v>
      </c>
      <c r="F414" s="0" t="n">
        <v>4.2</v>
      </c>
      <c r="G414" s="0" t="n">
        <v>9.4</v>
      </c>
      <c r="H414" s="0" t="n">
        <v>9.1</v>
      </c>
      <c r="I414" s="0" t="n">
        <f aca="false">D414*E414</f>
        <v>7869.9</v>
      </c>
      <c r="J414" s="0" t="n">
        <f aca="false">D414*H414</f>
        <v>336.7</v>
      </c>
    </row>
    <row r="415" customFormat="false" ht="15" hidden="false" customHeight="false" outlineLevel="0" collapsed="false">
      <c r="A415" s="0" t="s">
        <v>213</v>
      </c>
      <c r="B415" s="0" t="s">
        <v>512</v>
      </c>
      <c r="C415" s="0" t="n">
        <v>2021</v>
      </c>
      <c r="D415" s="0" t="n">
        <v>18</v>
      </c>
      <c r="E415" s="0" t="n">
        <v>208.4</v>
      </c>
      <c r="F415" s="0" t="n">
        <v>4.5</v>
      </c>
      <c r="G415" s="0" t="n">
        <v>9.7</v>
      </c>
      <c r="H415" s="0" t="n">
        <v>15.9</v>
      </c>
      <c r="I415" s="0" t="n">
        <f aca="false">D415*E415</f>
        <v>3751.2</v>
      </c>
      <c r="J415" s="0" t="n">
        <f aca="false">D415*H415</f>
        <v>286.2</v>
      </c>
    </row>
    <row r="416" customFormat="false" ht="15" hidden="false" customHeight="false" outlineLevel="0" collapsed="false">
      <c r="A416" s="0" t="s">
        <v>213</v>
      </c>
      <c r="B416" s="0" t="s">
        <v>513</v>
      </c>
      <c r="C416" s="0" t="n">
        <v>2016</v>
      </c>
      <c r="D416" s="0" t="n">
        <v>2397</v>
      </c>
      <c r="E416" s="0" t="n">
        <v>159.1</v>
      </c>
      <c r="F416" s="0" t="n">
        <v>5.7</v>
      </c>
      <c r="G416" s="0" t="n">
        <v>5.3</v>
      </c>
      <c r="H416" s="0" t="n">
        <v>10</v>
      </c>
      <c r="I416" s="0" t="n">
        <f aca="false">D416*E416</f>
        <v>381362.7</v>
      </c>
      <c r="J416" s="0" t="n">
        <f aca="false">D416*H416</f>
        <v>23970</v>
      </c>
    </row>
    <row r="417" customFormat="false" ht="15" hidden="false" customHeight="false" outlineLevel="0" collapsed="false">
      <c r="A417" s="0" t="s">
        <v>213</v>
      </c>
      <c r="B417" s="0" t="s">
        <v>513</v>
      </c>
      <c r="C417" s="0" t="n">
        <v>2017</v>
      </c>
      <c r="D417" s="0" t="n">
        <v>2396</v>
      </c>
      <c r="E417" s="0" t="n">
        <v>160</v>
      </c>
      <c r="F417" s="0" t="n">
        <v>5.6</v>
      </c>
      <c r="G417" s="0" t="n">
        <v>5.4</v>
      </c>
      <c r="H417" s="0" t="n">
        <v>10.5</v>
      </c>
      <c r="I417" s="0" t="n">
        <f aca="false">D417*E417</f>
        <v>383360</v>
      </c>
      <c r="J417" s="0" t="n">
        <f aca="false">D417*H417</f>
        <v>25158</v>
      </c>
    </row>
    <row r="418" customFormat="false" ht="15" hidden="false" customHeight="false" outlineLevel="0" collapsed="false">
      <c r="A418" s="0" t="s">
        <v>213</v>
      </c>
      <c r="B418" s="0" t="s">
        <v>513</v>
      </c>
      <c r="C418" s="0" t="n">
        <v>2018</v>
      </c>
      <c r="D418" s="0" t="n">
        <v>3182</v>
      </c>
      <c r="E418" s="0" t="n">
        <v>156.3</v>
      </c>
      <c r="F418" s="0" t="n">
        <v>5.6</v>
      </c>
      <c r="G418" s="0" t="n">
        <v>5.5</v>
      </c>
      <c r="H418" s="0" t="n">
        <v>10.8</v>
      </c>
      <c r="I418" s="0" t="n">
        <f aca="false">D418*E418</f>
        <v>497346.6</v>
      </c>
      <c r="J418" s="0" t="n">
        <f aca="false">D418*H418</f>
        <v>34365.6</v>
      </c>
    </row>
    <row r="419" customFormat="false" ht="15" hidden="false" customHeight="false" outlineLevel="0" collapsed="false">
      <c r="A419" s="0" t="s">
        <v>213</v>
      </c>
      <c r="B419" s="0" t="s">
        <v>513</v>
      </c>
      <c r="C419" s="0" t="n">
        <v>2019</v>
      </c>
      <c r="D419" s="0" t="n">
        <v>2754</v>
      </c>
      <c r="E419" s="0" t="n">
        <v>157.3</v>
      </c>
      <c r="F419" s="0" t="n">
        <v>5.5</v>
      </c>
      <c r="G419" s="0" t="n">
        <v>5.4</v>
      </c>
      <c r="H419" s="0" t="n">
        <v>10.8</v>
      </c>
      <c r="I419" s="0" t="n">
        <f aca="false">D419*E419</f>
        <v>433204.2</v>
      </c>
      <c r="J419" s="0" t="n">
        <f aca="false">D419*H419</f>
        <v>29743.2</v>
      </c>
    </row>
    <row r="420" customFormat="false" ht="15" hidden="false" customHeight="false" outlineLevel="0" collapsed="false">
      <c r="A420" s="0" t="s">
        <v>213</v>
      </c>
      <c r="B420" s="0" t="s">
        <v>513</v>
      </c>
      <c r="C420" s="0" t="n">
        <v>2020</v>
      </c>
      <c r="D420" s="0" t="n">
        <v>2305</v>
      </c>
      <c r="E420" s="0" t="n">
        <v>159.1</v>
      </c>
      <c r="F420" s="0" t="n">
        <v>5.5</v>
      </c>
      <c r="G420" s="0" t="n">
        <v>5.4</v>
      </c>
      <c r="H420" s="0" t="n">
        <v>13.1</v>
      </c>
      <c r="I420" s="0" t="n">
        <f aca="false">D420*E420</f>
        <v>366725.5</v>
      </c>
      <c r="J420" s="0" t="n">
        <f aca="false">D420*H420</f>
        <v>30195.5</v>
      </c>
    </row>
    <row r="421" customFormat="false" ht="15" hidden="false" customHeight="false" outlineLevel="0" collapsed="false">
      <c r="A421" s="0" t="s">
        <v>213</v>
      </c>
      <c r="B421" s="0" t="s">
        <v>513</v>
      </c>
      <c r="C421" s="0" t="n">
        <v>2021</v>
      </c>
      <c r="D421" s="0" t="n">
        <v>1961</v>
      </c>
      <c r="E421" s="0" t="n">
        <v>164.3</v>
      </c>
      <c r="F421" s="0" t="n">
        <v>5.6</v>
      </c>
      <c r="G421" s="0" t="n">
        <v>5.5</v>
      </c>
      <c r="H421" s="0" t="n">
        <v>14.1</v>
      </c>
      <c r="I421" s="0" t="n">
        <f aca="false">D421*E421</f>
        <v>322192.3</v>
      </c>
      <c r="J421" s="0" t="n">
        <f aca="false">D421*H421</f>
        <v>27650.1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6" activeCellId="0" sqref="O1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29"/>
    <col collapsed="false" customWidth="true" hidden="false" outlineLevel="0" max="24" min="2" style="0" width="8.86"/>
  </cols>
  <sheetData>
    <row r="2" customFormat="false" ht="15" hidden="false" customHeight="false" outlineLevel="0" collapsed="false">
      <c r="A2" s="49" t="s">
        <v>514</v>
      </c>
    </row>
    <row r="3" customFormat="false" ht="15" hidden="false" customHeight="false" outlineLevel="0" collapsed="false">
      <c r="B3" s="2" t="s">
        <v>481</v>
      </c>
      <c r="H3" s="2" t="s">
        <v>515</v>
      </c>
      <c r="N3" s="2" t="s">
        <v>516</v>
      </c>
      <c r="T3" s="2" t="s">
        <v>517</v>
      </c>
    </row>
    <row r="4" customFormat="false" ht="30" hidden="false" customHeight="true" outlineLevel="0" collapsed="false">
      <c r="B4" s="228" t="s">
        <v>494</v>
      </c>
      <c r="C4" s="228" t="s">
        <v>504</v>
      </c>
      <c r="D4" s="228" t="s">
        <v>507</v>
      </c>
      <c r="E4" s="228" t="s">
        <v>518</v>
      </c>
      <c r="F4" s="228" t="s">
        <v>519</v>
      </c>
      <c r="G4" s="228"/>
      <c r="H4" s="228" t="s">
        <v>494</v>
      </c>
      <c r="I4" s="228" t="s">
        <v>504</v>
      </c>
      <c r="J4" s="228" t="s">
        <v>507</v>
      </c>
      <c r="K4" s="228" t="s">
        <v>518</v>
      </c>
      <c r="L4" s="228" t="s">
        <v>519</v>
      </c>
      <c r="M4" s="229"/>
      <c r="N4" s="228" t="s">
        <v>494</v>
      </c>
      <c r="O4" s="228" t="s">
        <v>504</v>
      </c>
      <c r="P4" s="228" t="s">
        <v>507</v>
      </c>
      <c r="Q4" s="228" t="s">
        <v>518</v>
      </c>
      <c r="R4" s="228" t="s">
        <v>519</v>
      </c>
      <c r="S4" s="228"/>
      <c r="T4" s="228" t="s">
        <v>494</v>
      </c>
      <c r="U4" s="228" t="s">
        <v>504</v>
      </c>
      <c r="V4" s="228" t="s">
        <v>507</v>
      </c>
      <c r="W4" s="228" t="s">
        <v>518</v>
      </c>
      <c r="X4" s="228" t="s">
        <v>519</v>
      </c>
    </row>
    <row r="5" customFormat="false" ht="15" hidden="false" customHeight="false" outlineLevel="0" collapsed="false">
      <c r="A5" s="2" t="s">
        <v>520</v>
      </c>
      <c r="B5" s="204" t="n">
        <f aca="false">GETPIVOTDATA("Sum of Slaktvikt*Antal",'G&amp;D slakt'!$L$3,"Djur2",$A5,"Ras2",B$4)/GETPIVOTDATA("Sum of Antal djur",'G&amp;D slakt'!$L$3,"Djur2",$A5,"Ras2",B$4)</f>
        <v>306.218260414395</v>
      </c>
      <c r="C5" s="204" t="n">
        <f aca="false">GETPIVOTDATA("Sum of Slaktvikt*Antal",'G&amp;D slakt'!$L$3,"Djur2",$A5,"Ras2",C$4)/GETPIVOTDATA("Sum of Antal djur",'G&amp;D slakt'!$L$3,"Djur2",$A5,"Ras2",C$4)</f>
        <v>355.329865096213</v>
      </c>
      <c r="D5" s="204" t="n">
        <f aca="false">GETPIVOTDATA("Sum of Slaktvikt*Antal",'G&amp;D slakt'!$L$3,"Djur2",$A5,"Ras2",D$4)/GETPIVOTDATA("Sum of Antal djur",'G&amp;D slakt'!$L$3,"Djur2",$A5,"Ras2",D$4)</f>
        <v>332.302654539564</v>
      </c>
      <c r="E5" s="204" t="n">
        <f aca="false">(C5*$O5+D5*$P5)/SUM($O5,$P5)</f>
        <v>340.599709339624</v>
      </c>
      <c r="F5" s="204" t="n">
        <f aca="false">(B5*$N5+C5*$O5+D5*$P5)/SUM($N5:$P5)</f>
        <v>316.756277320152</v>
      </c>
      <c r="G5" s="204"/>
      <c r="H5" s="230" t="n">
        <f aca="false">GETPIVOTDATA("Sum of Ålder*Antal",'G&amp;D slakt'!$L$3,"Djur2",$A5,"Ras2",H$4)/GETPIVOTDATA("Sum of Antal djur",'G&amp;D slakt'!$L$3,"Djur2",$A5,"Ras2",H$4)</f>
        <v>62.2183249727372</v>
      </c>
      <c r="I5" s="204" t="n">
        <f aca="false">GETPIVOTDATA("Sum of Ålder*Antal",'G&amp;D slakt'!$L$3,"Djur2",$A5,"Ras2",I$4)/GETPIVOTDATA("Sum of Antal djur",'G&amp;D slakt'!$L$3,"Djur2",$A5,"Ras2",I$4)</f>
        <v>80.9455098267479</v>
      </c>
      <c r="J5" s="204" t="n">
        <f aca="false">GETPIVOTDATA("Sum of Ålder*Antal",'G&amp;D slakt'!$L$3,"Djur2",$A5,"Ras2",J$4)/GETPIVOTDATA("Sum of Antal djur",'G&amp;D slakt'!$L$3,"Djur2",$A5,"Ras2",J$4)</f>
        <v>73.9760219707314</v>
      </c>
      <c r="K5" s="230" t="n">
        <f aca="false">(I5*$O5+J5*$P5)/SUM($O5,$P5)</f>
        <v>76.4872346305307</v>
      </c>
      <c r="L5" s="204" t="n">
        <f aca="false">(H5*$N5+I5*$O5+J5*$P5)/SUM($N5:$P5)</f>
        <v>66.5917884508926</v>
      </c>
      <c r="M5" s="204"/>
      <c r="N5" s="204" t="n">
        <f aca="false">GETPIVOTDATA("Sum of Antal djur",'G&amp;D slakt'!$L$3,"Djur2",$A5,"Ras2",N$4)/5</f>
        <v>91700</v>
      </c>
      <c r="O5" s="204" t="n">
        <f aca="false">GETPIVOTDATA("Sum of Antal djur",'G&amp;D slakt'!$L$3,"Djur2",$A5,"Ras2",O$4)/5</f>
        <v>14603</v>
      </c>
      <c r="P5" s="204" t="n">
        <f aca="false">GETPIVOTDATA("Sum of Antal djur",'G&amp;D slakt'!$L$3,"Djur2",$A5,"Ras2",P$4)/5</f>
        <v>25925.4</v>
      </c>
      <c r="Q5" s="204" t="n">
        <f aca="false">SUM(O5,P5)</f>
        <v>40528.4</v>
      </c>
      <c r="R5" s="204" t="n">
        <f aca="false">SUM(N5,O5,P5)</f>
        <v>132228.4</v>
      </c>
      <c r="S5" s="204"/>
    </row>
    <row r="6" customFormat="false" ht="15" hidden="false" customHeight="false" outlineLevel="0" collapsed="false">
      <c r="A6" s="0" t="s">
        <v>488</v>
      </c>
      <c r="B6" s="8" t="e">
        <f aca="false">GETPIVOTDATA("Sum of Slaktvikt*Antal",'G&amp;D slakt'!$L$3,"Djur",$A6,"Ras2",B$4)/GETPIVOTDATA("Sum of Antal djur",'G&amp;D slakt'!$L$3,"Djur",$A6,"Ras2",B$4)</f>
        <v>#REF!</v>
      </c>
      <c r="C6" s="8" t="e">
        <f aca="false">GETPIVOTDATA("Sum of Slaktvikt*Antal",'G&amp;D slakt'!$L$3,"Djur",$A6,"Ras2",C$4)/GETPIVOTDATA("Sum of Antal djur",'G&amp;D slakt'!$L$3,"Djur",$A6,"Ras2",C$4)</f>
        <v>#REF!</v>
      </c>
      <c r="D6" s="8" t="e">
        <f aca="false">GETPIVOTDATA("Sum of Slaktvikt*Antal",'G&amp;D slakt'!$L$3,"Djur",$A6,"Ras2",D$4)/GETPIVOTDATA("Sum of Antal djur",'G&amp;D slakt'!$L$3,"Djur",$A6,"Ras2",D$4)</f>
        <v>#REF!</v>
      </c>
      <c r="E6" s="231" t="e">
        <f aca="false">(C6*$O6+D6*$P6)/SUM($O6,$P6)</f>
        <v>#REF!</v>
      </c>
      <c r="F6" s="231" t="e">
        <f aca="false">(B6*$N6+C6*$O6+D6*$P6)/SUM($N6:$P6)</f>
        <v>#REF!</v>
      </c>
      <c r="G6" s="8"/>
      <c r="H6" s="8" t="e">
        <f aca="false">GETPIVOTDATA("Sum of Ålder*Antal",'G&amp;D slakt'!$L$3,"Djur",$A6,"Ras2",H$4)/GETPIVOTDATA("Sum of Antal djur",'G&amp;D slakt'!$L$3,"Djur",$A6,"Ras2",H$4)</f>
        <v>#REF!</v>
      </c>
      <c r="I6" s="8" t="e">
        <f aca="false">GETPIVOTDATA("Sum of Ålder*Antal",'G&amp;D slakt'!$L$3,"Djur",$A6,"Ras2",I$4)/GETPIVOTDATA("Sum of Antal djur",'G&amp;D slakt'!$L$3,"Djur",$A6,"Ras2",I$4)</f>
        <v>#REF!</v>
      </c>
      <c r="J6" s="8" t="e">
        <f aca="false">GETPIVOTDATA("Sum of Ålder*Antal",'G&amp;D slakt'!$L$3,"Djur",$A6,"Ras2",J$4)/GETPIVOTDATA("Sum of Antal djur",'G&amp;D slakt'!$L$3,"Djur",$A6,"Ras2",J$4)</f>
        <v>#REF!</v>
      </c>
      <c r="K6" s="231" t="e">
        <f aca="false">(I6*$O6+J6*$P6)/SUM($O6,$P6)</f>
        <v>#REF!</v>
      </c>
      <c r="L6" s="231" t="e">
        <f aca="false">(H6*$N6+I6*$O6+J6*$P6)/SUM($N6:$P6)</f>
        <v>#REF!</v>
      </c>
      <c r="M6" s="8"/>
      <c r="N6" s="8" t="e">
        <f aca="false">GETPIVOTDATA("Sum of Antal djur",'G&amp;D slakt'!$L$3,"Djur",$A6,"Ras2",N$4)/5</f>
        <v>#REF!</v>
      </c>
      <c r="O6" s="8" t="e">
        <f aca="false">GETPIVOTDATA("Sum of Antal djur",'G&amp;D slakt'!$L$3,"Djur",$A6,"Ras2",O$4)/5</f>
        <v>#REF!</v>
      </c>
      <c r="P6" s="8" t="e">
        <f aca="false">GETPIVOTDATA("Sum of Antal djur",'G&amp;D slakt'!$L$3,"Djur",$A6,"Ras2",P$4)/5</f>
        <v>#REF!</v>
      </c>
      <c r="Q6" s="8" t="e">
        <f aca="false">SUM(O6,P6)</f>
        <v>#REF!</v>
      </c>
      <c r="R6" s="8" t="e">
        <f aca="false">SUM(N6,O6,P6)</f>
        <v>#REF!</v>
      </c>
      <c r="S6" s="8"/>
    </row>
    <row r="7" customFormat="false" ht="15" hidden="false" customHeight="false" outlineLevel="0" collapsed="false">
      <c r="A7" s="0" t="s">
        <v>496</v>
      </c>
      <c r="B7" s="8" t="e">
        <f aca="false">GETPIVOTDATA("Sum of Slaktvikt*Antal",'G&amp;D slakt'!$L$3,"Djur",$A7,"Ras2",B$4)/GETPIVOTDATA("Sum of Antal djur",'G&amp;D slakt'!$L$3,"Djur",$A7,"Ras2",B$4)</f>
        <v>#REF!</v>
      </c>
      <c r="C7" s="8" t="e">
        <f aca="false">GETPIVOTDATA("Sum of Slaktvikt*Antal",'G&amp;D slakt'!$L$3,"Djur",$A7,"Ras2",C$4)/GETPIVOTDATA("Sum of Antal djur",'G&amp;D slakt'!$L$3,"Djur",$A7,"Ras2",C$4)</f>
        <v>#REF!</v>
      </c>
      <c r="D7" s="8" t="e">
        <f aca="false">GETPIVOTDATA("Sum of Slaktvikt*Antal",'G&amp;D slakt'!$L$3,"Djur",$A7,"Ras2",D$4)/GETPIVOTDATA("Sum of Antal djur",'G&amp;D slakt'!$L$3,"Djur",$A7,"Ras2",D$4)</f>
        <v>#REF!</v>
      </c>
      <c r="E7" s="231" t="e">
        <f aca="false">(C7*$O7+D7*$P7)/SUM($O7,$P7)</f>
        <v>#REF!</v>
      </c>
      <c r="F7" s="231" t="e">
        <f aca="false">(B7*$N7+C7*$O7+D7*$P7)/SUM($N7:$P7)</f>
        <v>#REF!</v>
      </c>
      <c r="G7" s="8"/>
      <c r="H7" s="8" t="e">
        <f aca="false">GETPIVOTDATA("Sum of Ålder*Antal",'G&amp;D slakt'!$L$3,"Djur",$A7,"Ras2",H$4)/GETPIVOTDATA("Sum of Antal djur",'G&amp;D slakt'!$L$3,"Djur",$A7,"Ras2",H$4)</f>
        <v>#REF!</v>
      </c>
      <c r="I7" s="8" t="e">
        <f aca="false">GETPIVOTDATA("Sum of Ålder*Antal",'G&amp;D slakt'!$L$3,"Djur",$A7,"Ras2",I$4)/GETPIVOTDATA("Sum of Antal djur",'G&amp;D slakt'!$L$3,"Djur",$A7,"Ras2",I$4)</f>
        <v>#REF!</v>
      </c>
      <c r="J7" s="8" t="e">
        <f aca="false">GETPIVOTDATA("Sum of Ålder*Antal",'G&amp;D slakt'!$L$3,"Djur",$A7,"Ras2",J$4)/GETPIVOTDATA("Sum of Antal djur",'G&amp;D slakt'!$L$3,"Djur",$A7,"Ras2",J$4)</f>
        <v>#REF!</v>
      </c>
      <c r="K7" s="231" t="e">
        <f aca="false">(I7*$O7+J7*$P7)/SUM($O7,$P7)</f>
        <v>#REF!</v>
      </c>
      <c r="L7" s="231" t="e">
        <f aca="false">(H7*$N7+I7*$O7+J7*$P7)/SUM($N7:$P7)</f>
        <v>#REF!</v>
      </c>
      <c r="M7" s="8"/>
      <c r="N7" s="8" t="e">
        <f aca="false">GETPIVOTDATA("Sum of Antal djur",'G&amp;D slakt'!$L$3,"Djur",$A7,"Ras2",N$4)/5</f>
        <v>#REF!</v>
      </c>
      <c r="O7" s="8" t="e">
        <f aca="false">GETPIVOTDATA("Sum of Antal djur",'G&amp;D slakt'!$L$3,"Djur",$A7,"Ras2",O$4)/5</f>
        <v>#REF!</v>
      </c>
      <c r="P7" s="8" t="e">
        <f aca="false">GETPIVOTDATA("Sum of Antal djur",'G&amp;D slakt'!$L$3,"Djur",$A7,"Ras2",P$4)/5</f>
        <v>#REF!</v>
      </c>
      <c r="Q7" s="8" t="e">
        <f aca="false">SUM(O7,P7)</f>
        <v>#REF!</v>
      </c>
      <c r="R7" s="8" t="e">
        <f aca="false">SUM(N7,O7,P7)</f>
        <v>#REF!</v>
      </c>
      <c r="S7" s="8"/>
    </row>
    <row r="8" customFormat="false" ht="15" hidden="false" customHeight="false" outlineLevel="0" collapsed="false">
      <c r="A8" s="0" t="s">
        <v>498</v>
      </c>
      <c r="B8" s="8" t="e">
        <f aca="false">GETPIVOTDATA("Sum of Slaktvikt*Antal",'G&amp;D slakt'!$L$3,"Djur",$A8,"Ras2",B$4)/GETPIVOTDATA("Sum of Antal djur",'G&amp;D slakt'!$L$3,"Djur",$A8,"Ras2",B$4)</f>
        <v>#REF!</v>
      </c>
      <c r="C8" s="8" t="e">
        <f aca="false">GETPIVOTDATA("Sum of Slaktvikt*Antal",'G&amp;D slakt'!$L$3,"Djur",$A8,"Ras2",C$4)/GETPIVOTDATA("Sum of Antal djur",'G&amp;D slakt'!$L$3,"Djur",$A8,"Ras2",C$4)</f>
        <v>#REF!</v>
      </c>
      <c r="D8" s="8" t="e">
        <f aca="false">GETPIVOTDATA("Sum of Slaktvikt*Antal",'G&amp;D slakt'!$L$3,"Djur",$A8,"Ras2",D$4)/GETPIVOTDATA("Sum of Antal djur",'G&amp;D slakt'!$L$3,"Djur",$A8,"Ras2",D$4)</f>
        <v>#REF!</v>
      </c>
      <c r="E8" s="231" t="e">
        <f aca="false">(C8*$O8+D8*$P8)/SUM($O8,$P8)</f>
        <v>#REF!</v>
      </c>
      <c r="F8" s="231" t="e">
        <f aca="false">(B8*$N8+C8*$O8+D8*$P8)/SUM($N8:$P8)</f>
        <v>#REF!</v>
      </c>
      <c r="G8" s="8"/>
      <c r="H8" s="232" t="e">
        <f aca="false">GETPIVOTDATA("Sum of Ålder*Antal",'G&amp;D slakt'!$L$3,"Djur",$A8,"Ras2",H$4)/GETPIVOTDATA("Sum of Antal djur",'G&amp;D slakt'!$L$3,"Djur",$A8,"Ras2",H$4)</f>
        <v>#REF!</v>
      </c>
      <c r="I8" s="8" t="e">
        <f aca="false">GETPIVOTDATA("Sum of Ålder*Antal",'G&amp;D slakt'!$L$3,"Djur",$A8,"Ras2",I$4)/GETPIVOTDATA("Sum of Antal djur",'G&amp;D slakt'!$L$3,"Djur",$A8,"Ras2",I$4)</f>
        <v>#REF!</v>
      </c>
      <c r="J8" s="8" t="e">
        <f aca="false">GETPIVOTDATA("Sum of Ålder*Antal",'G&amp;D slakt'!$L$3,"Djur",$A8,"Ras2",J$4)/GETPIVOTDATA("Sum of Antal djur",'G&amp;D slakt'!$L$3,"Djur",$A8,"Ras2",J$4)</f>
        <v>#REF!</v>
      </c>
      <c r="K8" s="233" t="e">
        <f aca="false">(I8*$O8+J8*$P8)/SUM($O8,$P8)</f>
        <v>#REF!</v>
      </c>
      <c r="L8" s="231" t="e">
        <f aca="false">(H8*$N8+I8*$O8+J8*$P8)/SUM($N8:$P8)</f>
        <v>#REF!</v>
      </c>
      <c r="M8" s="8"/>
      <c r="N8" s="8" t="e">
        <f aca="false">GETPIVOTDATA("Sum of Antal djur",'G&amp;D slakt'!$L$3,"Djur",$A8,"Ras2",N$4)/5</f>
        <v>#REF!</v>
      </c>
      <c r="O8" s="8" t="e">
        <f aca="false">GETPIVOTDATA("Sum of Antal djur",'G&amp;D slakt'!$L$3,"Djur",$A8,"Ras2",O$4)/5</f>
        <v>#REF!</v>
      </c>
      <c r="P8" s="8" t="e">
        <f aca="false">GETPIVOTDATA("Sum of Antal djur",'G&amp;D slakt'!$L$3,"Djur",$A8,"Ras2",P$4)/5</f>
        <v>#REF!</v>
      </c>
      <c r="Q8" s="8" t="e">
        <f aca="false">SUM(O8,P8)</f>
        <v>#REF!</v>
      </c>
      <c r="R8" s="8" t="e">
        <f aca="false">SUM(N8,O8,P8)</f>
        <v>#REF!</v>
      </c>
      <c r="S8" s="8"/>
      <c r="T8" s="232" t="e">
        <f aca="false">N8/SUM(N$8:N$10,N$13)*100</f>
        <v>#REF!</v>
      </c>
      <c r="U8" s="8" t="e">
        <f aca="false">O8/SUM(O$8:O$10,O$13)*100</f>
        <v>#REF!</v>
      </c>
      <c r="V8" s="8" t="e">
        <f aca="false">P8/SUM(P$8:P$10,P$13)*100</f>
        <v>#REF!</v>
      </c>
      <c r="W8" s="232" t="e">
        <f aca="false">Q8/SUM(Q$8:Q$10,Q$13)*100</f>
        <v>#REF!</v>
      </c>
      <c r="X8" s="8" t="e">
        <f aca="false">R8/SUM(R$8:R$10,R$13)*100</f>
        <v>#REF!</v>
      </c>
    </row>
    <row r="9" customFormat="false" ht="15" hidden="false" customHeight="false" outlineLevel="0" collapsed="false">
      <c r="A9" s="0" t="s">
        <v>499</v>
      </c>
      <c r="B9" s="8" t="e">
        <f aca="false">GETPIVOTDATA("Sum of Slaktvikt*Antal",'G&amp;D slakt'!$L$3,"Djur",$A9,"Ras2",B$4)/GETPIVOTDATA("Sum of Antal djur",'G&amp;D slakt'!$L$3,"Djur",$A9,"Ras2",B$4)</f>
        <v>#REF!</v>
      </c>
      <c r="C9" s="8" t="e">
        <f aca="false">GETPIVOTDATA("Sum of Slaktvikt*Antal",'G&amp;D slakt'!$L$3,"Djur",$A9,"Ras2",C$4)/GETPIVOTDATA("Sum of Antal djur",'G&amp;D slakt'!$L$3,"Djur",$A9,"Ras2",C$4)</f>
        <v>#REF!</v>
      </c>
      <c r="D9" s="8" t="e">
        <f aca="false">GETPIVOTDATA("Sum of Slaktvikt*Antal",'G&amp;D slakt'!$L$3,"Djur",$A9,"Ras2",D$4)/GETPIVOTDATA("Sum of Antal djur",'G&amp;D slakt'!$L$3,"Djur",$A9,"Ras2",D$4)</f>
        <v>#REF!</v>
      </c>
      <c r="E9" s="231" t="e">
        <f aca="false">(C9*$O9+D9*$P9)/SUM($O9,$P9)</f>
        <v>#REF!</v>
      </c>
      <c r="F9" s="231" t="e">
        <f aca="false">(B9*$N9+C9*$O9+D9*$P9)/SUM($N9:$P9)</f>
        <v>#REF!</v>
      </c>
      <c r="G9" s="8"/>
      <c r="H9" s="232" t="e">
        <f aca="false">GETPIVOTDATA("Sum of Ålder*Antal",'G&amp;D slakt'!$L$3,"Djur",$A9,"Ras2",H$4)/GETPIVOTDATA("Sum of Antal djur",'G&amp;D slakt'!$L$3,"Djur",$A9,"Ras2",H$4)</f>
        <v>#REF!</v>
      </c>
      <c r="I9" s="8" t="e">
        <f aca="false">GETPIVOTDATA("Sum of Ålder*Antal",'G&amp;D slakt'!$L$3,"Djur",$A9,"Ras2",I$4)/GETPIVOTDATA("Sum of Antal djur",'G&amp;D slakt'!$L$3,"Djur",$A9,"Ras2",I$4)</f>
        <v>#REF!</v>
      </c>
      <c r="J9" s="8" t="e">
        <f aca="false">GETPIVOTDATA("Sum of Ålder*Antal",'G&amp;D slakt'!$L$3,"Djur",$A9,"Ras2",J$4)/GETPIVOTDATA("Sum of Antal djur",'G&amp;D slakt'!$L$3,"Djur",$A9,"Ras2",J$4)</f>
        <v>#REF!</v>
      </c>
      <c r="K9" s="233" t="e">
        <f aca="false">(I9*$O9+J9*$P9)/SUM($O9,$P9)</f>
        <v>#REF!</v>
      </c>
      <c r="L9" s="231" t="e">
        <f aca="false">(H9*$N9+I9*$O9+J9*$P9)/SUM($N9:$P9)</f>
        <v>#REF!</v>
      </c>
      <c r="M9" s="8"/>
      <c r="N9" s="8" t="e">
        <f aca="false">GETPIVOTDATA("Sum of Antal djur",'G&amp;D slakt'!$L$3,"Djur",$A9,"Ras2",N$4)/5</f>
        <v>#REF!</v>
      </c>
      <c r="O9" s="8" t="e">
        <f aca="false">GETPIVOTDATA("Sum of Antal djur",'G&amp;D slakt'!$L$3,"Djur",$A9,"Ras2",O$4)/5</f>
        <v>#REF!</v>
      </c>
      <c r="P9" s="8" t="e">
        <f aca="false">GETPIVOTDATA("Sum of Antal djur",'G&amp;D slakt'!$L$3,"Djur",$A9,"Ras2",P$4)/5</f>
        <v>#REF!</v>
      </c>
      <c r="Q9" s="8" t="e">
        <f aca="false">SUM(O9,P9)</f>
        <v>#REF!</v>
      </c>
      <c r="R9" s="8" t="e">
        <f aca="false">SUM(N9,O9,P9)</f>
        <v>#REF!</v>
      </c>
      <c r="S9" s="8"/>
      <c r="T9" s="232" t="e">
        <f aca="false">N9/SUM(N$8:N$10,N$13)*100</f>
        <v>#REF!</v>
      </c>
      <c r="U9" s="8" t="e">
        <f aca="false">O9/SUM(O$8:O$10,O$13)*100</f>
        <v>#REF!</v>
      </c>
      <c r="V9" s="8" t="e">
        <f aca="false">P9/SUM(P$8:P$10,P$13)*100</f>
        <v>#REF!</v>
      </c>
      <c r="W9" s="232" t="e">
        <f aca="false">Q9/SUM(Q$8:Q$10,Q$13)*100</f>
        <v>#REF!</v>
      </c>
      <c r="X9" s="8" t="e">
        <f aca="false">R9/SUM(R$8:R$10,R$13)*100</f>
        <v>#REF!</v>
      </c>
    </row>
    <row r="10" customFormat="false" ht="15" hidden="false" customHeight="false" outlineLevel="0" collapsed="false">
      <c r="A10" s="2" t="s">
        <v>500</v>
      </c>
      <c r="B10" s="204" t="n">
        <f aca="false">GETPIVOTDATA("Sum of Slaktvikt*Antal",'G&amp;D slakt'!$L$3,"Djur2",$A10,"Ras2",B$4)/GETPIVOTDATA("Sum of Antal djur",'G&amp;D slakt'!$L$3,"Djur2",$A10,"Ras2",B$4)</f>
        <v>328.876556540239</v>
      </c>
      <c r="C10" s="204" t="n">
        <f aca="false">GETPIVOTDATA("Sum of Slaktvikt*Antal",'G&amp;D slakt'!$L$3,"Djur2",$A10,"Ras2",C$4)/GETPIVOTDATA("Sum of Antal djur",'G&amp;D slakt'!$L$3,"Djur2",$A10,"Ras2",C$4)</f>
        <v>360.080850063697</v>
      </c>
      <c r="D10" s="204" t="n">
        <f aca="false">GETPIVOTDATA("Sum of Slaktvikt*Antal",'G&amp;D slakt'!$L$3,"Djur2",$A10,"Ras2",D$4)/GETPIVOTDATA("Sum of Antal djur",'G&amp;D slakt'!$L$3,"Djur2",$A10,"Ras2",D$4)</f>
        <v>357.553550811994</v>
      </c>
      <c r="E10" s="204" t="n">
        <f aca="false">(C10*$O10+D10*$P10)/SUM($O10,$P10)</f>
        <v>358.433984953484</v>
      </c>
      <c r="F10" s="204" t="n">
        <f aca="false">(B10*$N10+C10*$O10+D10*$P10)/SUM($N10:$P10)</f>
        <v>343.92765577925</v>
      </c>
      <c r="G10" s="204"/>
      <c r="H10" s="230" t="n">
        <f aca="false">GETPIVOTDATA("Sum of Ålder*Antal",'G&amp;D slakt'!$L$3,"Djur2",$A10,"Ras2",H$4)/GETPIVOTDATA("Sum of Antal djur",'G&amp;D slakt'!$L$3,"Djur2",$A10,"Ras2",H$4)</f>
        <v>22.5798832333191</v>
      </c>
      <c r="I10" s="204" t="n">
        <f aca="false">GETPIVOTDATA("Sum of Ålder*Antal",'G&amp;D slakt'!$L$3,"Djur2",$A10,"Ras2",I$4)/GETPIVOTDATA("Sum of Antal djur",'G&amp;D slakt'!$L$3,"Djur2",$A10,"Ras2",I$4)</f>
        <v>20.3142156428615</v>
      </c>
      <c r="J10" s="204" t="n">
        <f aca="false">GETPIVOTDATA("Sum of Ålder*Antal",'G&amp;D slakt'!$L$3,"Djur2",$A10,"Ras2",J$4)/GETPIVOTDATA("Sum of Antal djur",'G&amp;D slakt'!$L$3,"Djur2",$A10,"Ras2",J$4)</f>
        <v>19.9980973955735</v>
      </c>
      <c r="K10" s="230" t="n">
        <f aca="false">(I10*$O10+J10*$P10)/SUM($O10,$P10)</f>
        <v>20.1082233719385</v>
      </c>
      <c r="L10" s="204" t="n">
        <f aca="false">(H10*$N10+I10*$O10+J10*$P10)/SUM($N10:$P10)</f>
        <v>21.3212758423578</v>
      </c>
      <c r="M10" s="204"/>
      <c r="N10" s="204" t="n">
        <f aca="false">GETPIVOTDATA("Sum of Antal djur",'G&amp;D slakt'!$L$3,"Djur2",$A10,"Ras2",N$4)/5</f>
        <v>81221.8</v>
      </c>
      <c r="O10" s="204" t="n">
        <f aca="false">GETPIVOTDATA("Sum of Antal djur",'G&amp;D slakt'!$L$3,"Djur2",$A10,"Ras2",O$4)/5</f>
        <v>29357.8</v>
      </c>
      <c r="P10" s="204" t="n">
        <f aca="false">GETPIVOTDATA("Sum of Antal djur",'G&amp;D slakt'!$L$3,"Djur2",$A10,"Ras2",P$4)/5</f>
        <v>54914.2</v>
      </c>
      <c r="Q10" s="204" t="n">
        <f aca="false">SUM(O10,P10)</f>
        <v>84272</v>
      </c>
      <c r="R10" s="204" t="n">
        <f aca="false">SUM(N10,O10,P10)</f>
        <v>165493.8</v>
      </c>
      <c r="S10" s="204"/>
      <c r="T10" s="230" t="e">
        <f aca="false">N10/SUM(N$8:N$10,N$13)*100</f>
        <v>#REF!</v>
      </c>
      <c r="U10" s="204" t="e">
        <f aca="false">O10/SUM(O$8:O$10,O$13)*100</f>
        <v>#REF!</v>
      </c>
      <c r="V10" s="204" t="e">
        <f aca="false">P10/SUM(P$8:P$10,P$13)*100</f>
        <v>#REF!</v>
      </c>
      <c r="W10" s="230" t="e">
        <f aca="false">Q10/SUM(Q$8:Q$10,Q$13)*100</f>
        <v>#REF!</v>
      </c>
      <c r="X10" s="204" t="e">
        <f aca="false">R10/SUM(R$8:R$10,R$13)*100</f>
        <v>#REF!</v>
      </c>
    </row>
    <row r="11" customFormat="false" ht="15" hidden="false" customHeight="false" outlineLevel="0" collapsed="false">
      <c r="A11" s="0" t="s">
        <v>501</v>
      </c>
      <c r="B11" s="8" t="e">
        <f aca="false">GETPIVOTDATA("Sum of Slaktvikt*Antal",'G&amp;D slakt'!$L$3,"Djur",$A11,"Ras2",B$4)/GETPIVOTDATA("Sum of Antal djur",'G&amp;D slakt'!$L$3,"Djur",$A11,"Ras2",B$4)</f>
        <v>#REF!</v>
      </c>
      <c r="C11" s="8" t="e">
        <f aca="false">GETPIVOTDATA("Sum of Slaktvikt*Antal",'G&amp;D slakt'!$L$3,"Djur",$A11,"Ras2",C$4)/GETPIVOTDATA("Sum of Antal djur",'G&amp;D slakt'!$L$3,"Djur",$A11,"Ras2",C$4)</f>
        <v>#REF!</v>
      </c>
      <c r="D11" s="8" t="e">
        <f aca="false">GETPIVOTDATA("Sum of Slaktvikt*Antal",'G&amp;D slakt'!$L$3,"Djur",$A11,"Ras2",D$4)/GETPIVOTDATA("Sum of Antal djur",'G&amp;D slakt'!$L$3,"Djur",$A11,"Ras2",D$4)</f>
        <v>#REF!</v>
      </c>
      <c r="E11" s="231" t="e">
        <f aca="false">(C11*$O11+D11*$P11)/SUM($O11,$P11)</f>
        <v>#REF!</v>
      </c>
      <c r="F11" s="231" t="e">
        <f aca="false">(B11*$N11+C11*$O11+D11*$P11)/SUM($N11:$P11)</f>
        <v>#REF!</v>
      </c>
      <c r="G11" s="8"/>
      <c r="H11" s="8" t="e">
        <f aca="false">GETPIVOTDATA("Sum of Ålder*Antal",'G&amp;D slakt'!$L$3,"Djur",$A11,"Ras2",H$4)/GETPIVOTDATA("Sum of Antal djur",'G&amp;D slakt'!$L$3,"Djur",$A11,"Ras2",H$4)</f>
        <v>#REF!</v>
      </c>
      <c r="I11" s="8" t="e">
        <f aca="false">GETPIVOTDATA("Sum of Ålder*Antal",'G&amp;D slakt'!$L$3,"Djur",$A11,"Ras2",I$4)/GETPIVOTDATA("Sum of Antal djur",'G&amp;D slakt'!$L$3,"Djur",$A11,"Ras2",I$4)</f>
        <v>#REF!</v>
      </c>
      <c r="J11" s="8" t="e">
        <f aca="false">GETPIVOTDATA("Sum of Ålder*Antal",'G&amp;D slakt'!$L$3,"Djur",$A11,"Ras2",J$4)/GETPIVOTDATA("Sum of Antal djur",'G&amp;D slakt'!$L$3,"Djur",$A11,"Ras2",J$4)</f>
        <v>#REF!</v>
      </c>
      <c r="K11" s="231" t="e">
        <f aca="false">(I11*$O11+J11*$P11)/SUM($O11,$P11)</f>
        <v>#REF!</v>
      </c>
      <c r="L11" s="231" t="e">
        <f aca="false">(H11*$N11+I11*$O11+J11*$P11)/SUM($N11:$P11)</f>
        <v>#REF!</v>
      </c>
      <c r="M11" s="8"/>
      <c r="N11" s="8" t="e">
        <f aca="false">GETPIVOTDATA("Sum of Antal djur",'G&amp;D slakt'!$L$3,"Djur",$A11,"Ras2",N$4)/5</f>
        <v>#REF!</v>
      </c>
      <c r="O11" s="8" t="e">
        <f aca="false">GETPIVOTDATA("Sum of Antal djur",'G&amp;D slakt'!$L$3,"Djur",$A11,"Ras2",O$4)/5</f>
        <v>#REF!</v>
      </c>
      <c r="P11" s="8" t="e">
        <f aca="false">GETPIVOTDATA("Sum of Antal djur",'G&amp;D slakt'!$L$3,"Djur",$A11,"Ras2",P$4)/5</f>
        <v>#REF!</v>
      </c>
      <c r="Q11" s="8" t="e">
        <f aca="false">SUM(O11,P11)</f>
        <v>#REF!</v>
      </c>
      <c r="R11" s="8" t="e">
        <f aca="false">SUM(N11,O11,P11)</f>
        <v>#REF!</v>
      </c>
      <c r="S11" s="8"/>
      <c r="T11" s="8" t="e">
        <f aca="false">N11/SUM(N$8:N$10,N$13)*100</f>
        <v>#REF!</v>
      </c>
      <c r="U11" s="8" t="e">
        <f aca="false">O11/SUM(O$8:O$10,O$13)*100</f>
        <v>#REF!</v>
      </c>
      <c r="V11" s="8" t="e">
        <f aca="false">P11/SUM(P$8:P$10,P$13)*100</f>
        <v>#REF!</v>
      </c>
      <c r="W11" s="8" t="e">
        <f aca="false">Q11/SUM(Q$8:Q$10,Q$13)*100</f>
        <v>#REF!</v>
      </c>
      <c r="X11" s="8" t="e">
        <f aca="false">R11/SUM(R$8:R$10,R$13)*100</f>
        <v>#REF!</v>
      </c>
    </row>
    <row r="12" customFormat="false" ht="15" hidden="false" customHeight="false" outlineLevel="0" collapsed="false">
      <c r="A12" s="0" t="s">
        <v>503</v>
      </c>
      <c r="B12" s="8" t="e">
        <f aca="false">GETPIVOTDATA("Sum of Slaktvikt*Antal",'G&amp;D slakt'!$L$3,"Djur",$A12,"Ras2",B$4)/GETPIVOTDATA("Sum of Antal djur",'G&amp;D slakt'!$L$3,"Djur",$A12,"Ras2",B$4)</f>
        <v>#REF!</v>
      </c>
      <c r="C12" s="8" t="e">
        <f aca="false">GETPIVOTDATA("Sum of Slaktvikt*Antal",'G&amp;D slakt'!$L$3,"Djur",$A12,"Ras2",C$4)/GETPIVOTDATA("Sum of Antal djur",'G&amp;D slakt'!$L$3,"Djur",$A12,"Ras2",C$4)</f>
        <v>#REF!</v>
      </c>
      <c r="D12" s="8" t="e">
        <f aca="false">GETPIVOTDATA("Sum of Slaktvikt*Antal",'G&amp;D slakt'!$L$3,"Djur",$A12,"Ras2",D$4)/GETPIVOTDATA("Sum of Antal djur",'G&amp;D slakt'!$L$3,"Djur",$A12,"Ras2",D$4)</f>
        <v>#REF!</v>
      </c>
      <c r="E12" s="231" t="e">
        <f aca="false">(C12*$O12+D12*$P12)/SUM($O12,$P12)</f>
        <v>#REF!</v>
      </c>
      <c r="F12" s="231" t="e">
        <f aca="false">(B12*$N12+C12*$O12+D12*$P12)/SUM($N12:$P12)</f>
        <v>#REF!</v>
      </c>
      <c r="G12" s="8"/>
      <c r="H12" s="8" t="e">
        <f aca="false">GETPIVOTDATA("Sum of Ålder*Antal",'G&amp;D slakt'!$L$3,"Djur",$A12,"Ras2",H$4)/GETPIVOTDATA("Sum of Antal djur",'G&amp;D slakt'!$L$3,"Djur",$A12,"Ras2",H$4)</f>
        <v>#REF!</v>
      </c>
      <c r="I12" s="8" t="e">
        <f aca="false">GETPIVOTDATA("Sum of Ålder*Antal",'G&amp;D slakt'!$L$3,"Djur",$A12,"Ras2",I$4)/GETPIVOTDATA("Sum of Antal djur",'G&amp;D slakt'!$L$3,"Djur",$A12,"Ras2",I$4)</f>
        <v>#REF!</v>
      </c>
      <c r="J12" s="8" t="e">
        <f aca="false">GETPIVOTDATA("Sum of Ålder*Antal",'G&amp;D slakt'!$L$3,"Djur",$A12,"Ras2",J$4)/GETPIVOTDATA("Sum of Antal djur",'G&amp;D slakt'!$L$3,"Djur",$A12,"Ras2",J$4)</f>
        <v>#REF!</v>
      </c>
      <c r="K12" s="231" t="e">
        <f aca="false">(I12*$O12+J12*$P12)/SUM($O12,$P12)</f>
        <v>#REF!</v>
      </c>
      <c r="L12" s="231" t="e">
        <f aca="false">(H12*$N12+I12*$O12+J12*$P12)/SUM($N12:$P12)</f>
        <v>#REF!</v>
      </c>
      <c r="M12" s="8"/>
      <c r="N12" s="8" t="e">
        <f aca="false">GETPIVOTDATA("Sum of Antal djur",'G&amp;D slakt'!$L$3,"Djur",$A12,"Ras2",N$4)/5</f>
        <v>#REF!</v>
      </c>
      <c r="O12" s="8" t="e">
        <f aca="false">GETPIVOTDATA("Sum of Antal djur",'G&amp;D slakt'!$L$3,"Djur",$A12,"Ras2",O$4)/5</f>
        <v>#REF!</v>
      </c>
      <c r="P12" s="8" t="e">
        <f aca="false">GETPIVOTDATA("Sum of Antal djur",'G&amp;D slakt'!$L$3,"Djur",$A12,"Ras2",P$4)/5</f>
        <v>#REF!</v>
      </c>
      <c r="Q12" s="8" t="e">
        <f aca="false">SUM(O12,P12)</f>
        <v>#REF!</v>
      </c>
      <c r="R12" s="8" t="e">
        <f aca="false">SUM(N12,O12,P12)</f>
        <v>#REF!</v>
      </c>
      <c r="S12" s="8"/>
      <c r="T12" s="8" t="e">
        <f aca="false">N12/SUM(N$8:N$10,N$13)*100</f>
        <v>#REF!</v>
      </c>
      <c r="U12" s="8" t="e">
        <f aca="false">O12/SUM(O$8:O$10,O$13)*100</f>
        <v>#REF!</v>
      </c>
      <c r="V12" s="8" t="e">
        <f aca="false">P12/SUM(P$8:P$10,P$13)*100</f>
        <v>#REF!</v>
      </c>
      <c r="W12" s="8" t="e">
        <f aca="false">Q12/SUM(Q$8:Q$10,Q$13)*100</f>
        <v>#REF!</v>
      </c>
      <c r="X12" s="8" t="e">
        <f aca="false">R12/SUM(R$8:R$10,R$13)*100</f>
        <v>#REF!</v>
      </c>
    </row>
    <row r="13" customFormat="false" ht="15" hidden="false" customHeight="false" outlineLevel="0" collapsed="false">
      <c r="A13" s="0" t="s">
        <v>213</v>
      </c>
      <c r="B13" s="8" t="e">
        <f aca="false">GETPIVOTDATA("Sum of Slaktvikt*Antal",'G&amp;D slakt'!$L$3,"Djur",$A13,"Ras2",B$4)/GETPIVOTDATA("Sum of Antal djur",'G&amp;D slakt'!$L$3,"Djur",$A13,"Ras2",B$4)</f>
        <v>#REF!</v>
      </c>
      <c r="C13" s="8" t="e">
        <f aca="false">GETPIVOTDATA("Sum of Slaktvikt*Antal",'G&amp;D slakt'!$L$3,"Djur",$A13,"Ras2",C$4)/GETPIVOTDATA("Sum of Antal djur",'G&amp;D slakt'!$L$3,"Djur",$A13,"Ras2",C$4)</f>
        <v>#REF!</v>
      </c>
      <c r="D13" s="8" t="e">
        <f aca="false">GETPIVOTDATA("Sum of Slaktvikt*Antal",'G&amp;D slakt'!$L$3,"Djur",$A13,"Ras2",D$4)/GETPIVOTDATA("Sum of Antal djur",'G&amp;D slakt'!$L$3,"Djur",$A13,"Ras2",D$4)</f>
        <v>#REF!</v>
      </c>
      <c r="E13" s="231" t="e">
        <f aca="false">(C13*$O13+D13*$P13)/SUM($O13,$P13)</f>
        <v>#REF!</v>
      </c>
      <c r="F13" s="231" t="e">
        <f aca="false">(B13*$N13+C13*$O13+D13*$P13)/SUM($N13:$P13)</f>
        <v>#REF!</v>
      </c>
      <c r="G13" s="8"/>
      <c r="H13" s="232" t="e">
        <f aca="false">GETPIVOTDATA("Sum of Ålder*Antal",'G&amp;D slakt'!$L$3,"Djur",$A13,"Ras2",H$4)/GETPIVOTDATA("Sum of Antal djur",'G&amp;D slakt'!$L$3,"Djur",$A13,"Ras2",H$4)</f>
        <v>#REF!</v>
      </c>
      <c r="I13" s="8" t="e">
        <f aca="false">GETPIVOTDATA("Sum of Ålder*Antal",'G&amp;D slakt'!$L$3,"Djur",$A13,"Ras2",I$4)/GETPIVOTDATA("Sum of Antal djur",'G&amp;D slakt'!$L$3,"Djur",$A13,"Ras2",I$4)</f>
        <v>#REF!</v>
      </c>
      <c r="J13" s="8" t="e">
        <f aca="false">GETPIVOTDATA("Sum of Ålder*Antal",'G&amp;D slakt'!$L$3,"Djur",$A13,"Ras2",J$4)/GETPIVOTDATA("Sum of Antal djur",'G&amp;D slakt'!$L$3,"Djur",$A13,"Ras2",J$4)</f>
        <v>#REF!</v>
      </c>
      <c r="K13" s="233" t="e">
        <f aca="false">(I13*$O13+J13*$P13)/SUM($O13,$P13)</f>
        <v>#REF!</v>
      </c>
      <c r="L13" s="231" t="e">
        <f aca="false">(H13*$N13+I13*$O13+J13*$P13)/SUM($N13:$P13)</f>
        <v>#REF!</v>
      </c>
      <c r="M13" s="8"/>
      <c r="N13" s="8" t="e">
        <f aca="false">GETPIVOTDATA("Sum of Antal djur",'G&amp;D slakt'!$L$3,"Djur",$A13,"Ras2",N$4)/5</f>
        <v>#REF!</v>
      </c>
      <c r="O13" s="8" t="e">
        <f aca="false">GETPIVOTDATA("Sum of Antal djur",'G&amp;D slakt'!$L$3,"Djur",$A13,"Ras2",O$4)/5</f>
        <v>#REF!</v>
      </c>
      <c r="P13" s="8" t="e">
        <f aca="false">GETPIVOTDATA("Sum of Antal djur",'G&amp;D slakt'!$L$3,"Djur",$A13,"Ras2",P$4)/5</f>
        <v>#REF!</v>
      </c>
      <c r="Q13" s="8" t="e">
        <f aca="false">SUM(O13,P13)</f>
        <v>#REF!</v>
      </c>
      <c r="R13" s="8" t="e">
        <f aca="false">SUM(N13,O13,P13)</f>
        <v>#REF!</v>
      </c>
      <c r="S13" s="8"/>
      <c r="T13" s="232" t="e">
        <f aca="false">N13/SUM(N$8:N$10,N$13)*100</f>
        <v>#REF!</v>
      </c>
      <c r="U13" s="8" t="e">
        <f aca="false">O13/SUM(O$8:O$10,O$13)*100</f>
        <v>#REF!</v>
      </c>
      <c r="V13" s="8" t="e">
        <f aca="false">P13/SUM(P$8:P$10,P$13)*100</f>
        <v>#REF!</v>
      </c>
      <c r="W13" s="232" t="e">
        <f aca="false">Q13/SUM(Q$8:Q$10,Q$13)*100</f>
        <v>#REF!</v>
      </c>
      <c r="X13" s="8" t="e">
        <f aca="false">R13/SUM(R$8:R$10,R$13)*100</f>
        <v>#REF!</v>
      </c>
    </row>
    <row r="15" customFormat="false" ht="15" hidden="false" customHeight="false" outlineLevel="0" collapsed="false">
      <c r="H15" s="0" t="e">
        <f aca="false">H10/H11</f>
        <v>#REF!</v>
      </c>
      <c r="I15" s="0" t="e">
        <f aca="false">I10/I11</f>
        <v>#REF!</v>
      </c>
      <c r="J15" s="0" t="e">
        <f aca="false">J10/J11</f>
        <v>#REF!</v>
      </c>
      <c r="K15" s="0" t="e">
        <f aca="false">K10/K11</f>
        <v>#REF!</v>
      </c>
      <c r="L15" s="0" t="e">
        <f aca="false">L10/L11</f>
        <v>#REF!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0" activeCellId="0" sqref="O2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4.29"/>
    <col collapsed="false" customWidth="true" hidden="false" outlineLevel="0" max="2" min="2" style="0" width="10.86"/>
    <col collapsed="false" customWidth="true" hidden="false" outlineLevel="0" max="3" min="3" style="0" width="9.71"/>
    <col collapsed="false" customWidth="true" hidden="false" outlineLevel="0" max="4" min="4" style="0" width="15.28"/>
    <col collapsed="false" customWidth="true" hidden="false" outlineLevel="0" max="5" min="5" style="0" width="12.72"/>
    <col collapsed="false" customWidth="true" hidden="false" outlineLevel="0" max="7" min="6" style="0" width="9.57"/>
    <col collapsed="false" customWidth="true" hidden="false" outlineLevel="0" max="8" min="8" style="0" width="11.86"/>
    <col collapsed="false" customWidth="true" hidden="false" outlineLevel="0" max="9" min="9" style="0" width="11.72"/>
    <col collapsed="false" customWidth="true" hidden="false" outlineLevel="0" max="11" min="11" style="0" width="11.72"/>
  </cols>
  <sheetData>
    <row r="1" customFormat="false" ht="15" hidden="false" customHeight="false" outlineLevel="0" collapsed="false">
      <c r="A1" s="49" t="s">
        <v>521</v>
      </c>
    </row>
    <row r="2" customFormat="false" ht="15" hidden="false" customHeight="false" outlineLevel="0" collapsed="false">
      <c r="A2" s="49"/>
      <c r="B2" s="49"/>
    </row>
    <row r="4" customFormat="false" ht="15" hidden="false" customHeight="false" outlineLevel="0" collapsed="false">
      <c r="C4" s="2" t="s">
        <v>480</v>
      </c>
      <c r="D4" s="2" t="s">
        <v>522</v>
      </c>
      <c r="E4" s="2" t="s">
        <v>481</v>
      </c>
      <c r="F4" s="2" t="s">
        <v>523</v>
      </c>
      <c r="G4" s="2" t="s">
        <v>524</v>
      </c>
      <c r="H4" s="2" t="s">
        <v>515</v>
      </c>
      <c r="I4" s="2" t="s">
        <v>525</v>
      </c>
      <c r="N4" s="0" t="s">
        <v>480</v>
      </c>
      <c r="P4" s="0" t="s">
        <v>481</v>
      </c>
      <c r="R4" s="0" t="s">
        <v>515</v>
      </c>
    </row>
    <row r="5" customFormat="false" ht="15" hidden="false" customHeight="false" outlineLevel="0" collapsed="false">
      <c r="A5" s="234" t="s">
        <v>526</v>
      </c>
      <c r="B5" s="235" t="s">
        <v>527</v>
      </c>
      <c r="C5" s="236" t="n">
        <f aca="false">C11+C17+C23+C29+C35</f>
        <v>254237</v>
      </c>
      <c r="D5" s="235"/>
      <c r="E5" s="237" t="n">
        <f aca="false">($C11*E11+$C17*E17+$C23*E23+$C29*E29+$C35*E35)/$C5</f>
        <v>311.624677761301</v>
      </c>
      <c r="F5" s="237" t="n">
        <f aca="false">($C11*F11+$C17*F17+$C23*F23+$C29*F29+$C35*F35)/$C5</f>
        <v>4.02134347085593</v>
      </c>
      <c r="G5" s="237" t="n">
        <f aca="false">($C11*G11+$C17*G17+$C23*G23+$C29*G29+$C35*G35)/$C5</f>
        <v>7.30714058142599</v>
      </c>
      <c r="H5" s="237" t="n">
        <f aca="false">($C11*H11+$C17*H17+$C23*H23+$C29*H29+$C35*H35)/$C5</f>
        <v>69.2240751739519</v>
      </c>
      <c r="I5" s="237"/>
      <c r="K5" s="0" t="s">
        <v>528</v>
      </c>
      <c r="L5" s="13" t="n">
        <f aca="false">SUMPRODUCT(C5:C6,H5:H6)/SUM(C5:C6)/12</f>
        <v>5.05792541316643</v>
      </c>
      <c r="M5" s="0" t="s">
        <v>529</v>
      </c>
      <c r="N5" s="35" t="n">
        <f aca="false">C11+C17+C23+C29</f>
        <v>212411</v>
      </c>
      <c r="O5" s="48" t="n">
        <f aca="false">N5/C5</f>
        <v>0.835484213548775</v>
      </c>
      <c r="P5" s="0" t="n">
        <f aca="false">($C11*E11+$C17*E17+$C23*E23+$C29*E29)/$N5</f>
        <v>312.023358488967</v>
      </c>
      <c r="Q5" s="48" t="n">
        <f aca="false">P5/E5</f>
        <v>1.00127936186097</v>
      </c>
      <c r="R5" s="0" t="n">
        <f aca="false">($C11*H11+$C17*H17+$C23*H23+$C29*H29)/$N5</f>
        <v>69.7604747400088</v>
      </c>
      <c r="S5" s="48" t="n">
        <f aca="false">R5/H5</f>
        <v>1.00774874297286</v>
      </c>
    </row>
    <row r="6" customFormat="false" ht="15" hidden="false" customHeight="false" outlineLevel="0" collapsed="false">
      <c r="A6" s="234"/>
      <c r="B6" s="235" t="s">
        <v>291</v>
      </c>
      <c r="C6" s="236" t="n">
        <f aca="false">C12+C18+C24+C30+C36</f>
        <v>101572</v>
      </c>
      <c r="D6" s="235"/>
      <c r="E6" s="237" t="n">
        <f aca="false">($C12*E12+$C18*E18+$C24*E24+$C30*E30+$C36*E36)/$C6</f>
        <v>284.072219706218</v>
      </c>
      <c r="F6" s="237" t="n">
        <f aca="false">($C12*F12+$C18*F18+$C24*F24+$C30*F30+$C36*F36)/$C6</f>
        <v>3.80062320324499</v>
      </c>
      <c r="G6" s="237" t="n">
        <f aca="false">($C12*G12+$C18*G18+$C24*G24+$C30*G30+$C36*G36)/$C6</f>
        <v>6.92207596581735</v>
      </c>
      <c r="H6" s="237" t="n">
        <f aca="false">($C12*H12+$C18*H18+$C24*H24+$C30*H30+$C36*H36)/$C6</f>
        <v>39.3469007206711</v>
      </c>
      <c r="I6" s="237"/>
      <c r="K6" s="0" t="s">
        <v>168</v>
      </c>
      <c r="L6" s="48"/>
      <c r="N6" s="35" t="n">
        <f aca="false">C12+C18+C24+C30</f>
        <v>83208</v>
      </c>
      <c r="O6" s="48" t="n">
        <f aca="false">N6/C6</f>
        <v>0.819202142322687</v>
      </c>
      <c r="P6" s="0" t="n">
        <f aca="false">($C12*E12+$C18*E18+$C24*E24+$C30*E30)/$N6</f>
        <v>284.706118402077</v>
      </c>
      <c r="Q6" s="48" t="n">
        <f aca="false">P6/E6</f>
        <v>1.00223147021034</v>
      </c>
      <c r="R6" s="0" t="n">
        <f aca="false">($C12*H12+$C18*H18+$C24*H24+$C30*H30)/$N6</f>
        <v>39.5117416594558</v>
      </c>
      <c r="S6" s="48" t="n">
        <f aca="false">R6/H6</f>
        <v>1.00418942625126</v>
      </c>
    </row>
    <row r="7" customFormat="false" ht="15" hidden="false" customHeight="false" outlineLevel="0" collapsed="false">
      <c r="A7" s="234"/>
      <c r="B7" s="235" t="s">
        <v>530</v>
      </c>
      <c r="C7" s="236" t="n">
        <f aca="false">C13+C19+C25+C31+C37</f>
        <v>42815</v>
      </c>
      <c r="D7" s="235"/>
      <c r="E7" s="237" t="n">
        <f aca="false">($C13*E13+$C19*E19+$C25*E25+$C31*E31+$C37*E37)/$C7</f>
        <v>294.006672895013</v>
      </c>
      <c r="F7" s="237" t="n">
        <f aca="false">($C13*F13+$C19*F19+$C25*F25+$C31*F31+$C37*F37)/$C7</f>
        <v>4.52518509868037</v>
      </c>
      <c r="G7" s="237" t="n">
        <f aca="false">($C13*G13+$C19*G19+$C25*G25+$C31*G31+$C37*G37)/$C7</f>
        <v>8.32613102884503</v>
      </c>
      <c r="H7" s="237" t="n">
        <f aca="false">($C13*H13+$C19*H19+$C25*H25+$C31*H31+$C37*H37)/$C7</f>
        <v>28.4612355482892</v>
      </c>
      <c r="I7" s="237" t="n">
        <f aca="false">($C13*I13+$C19*I19+$C25*I25+$C31*I31+$C37*I37)/$C7</f>
        <v>316.447857059442</v>
      </c>
      <c r="K7" s="0" t="s">
        <v>531</v>
      </c>
      <c r="L7" s="48" t="n">
        <f aca="false">(C9*(I9/12))/(C9*(I9/12)+C10*(I10/12))</f>
        <v>0.223053032464757</v>
      </c>
      <c r="N7" s="35" t="n">
        <f aca="false">C13+C19+C25+C31</f>
        <v>34206</v>
      </c>
      <c r="O7" s="48" t="n">
        <f aca="false">N7/C7</f>
        <v>0.798925610183347</v>
      </c>
      <c r="P7" s="0" t="n">
        <f aca="false">($C13*E13+$C19*E19+$C25*E25+$C31*E31)/$N7</f>
        <v>294.461378120798</v>
      </c>
      <c r="Q7" s="48" t="n">
        <f aca="false">P7/E7</f>
        <v>1.0015465813116</v>
      </c>
      <c r="R7" s="0" t="n">
        <f aca="false">($C13*H13+$C19*H19+$C25*H25+$C31*H31)/$N7</f>
        <v>28.5269835701339</v>
      </c>
      <c r="S7" s="48" t="n">
        <f aca="false">R7/H7</f>
        <v>1.00231009021844</v>
      </c>
    </row>
    <row r="8" customFormat="false" ht="15" hidden="false" customHeight="false" outlineLevel="0" collapsed="false">
      <c r="A8" s="234"/>
      <c r="B8" s="235" t="s">
        <v>295</v>
      </c>
      <c r="C8" s="236" t="n">
        <f aca="false">C14+C20+C26+C32+C38</f>
        <v>8283</v>
      </c>
      <c r="D8" s="235"/>
      <c r="E8" s="237" t="n">
        <f aca="false">($C14*E14+$C20*E20+$C26*E26+$C32*E32+$C38*E38)/$C8</f>
        <v>167.414523723289</v>
      </c>
      <c r="F8" s="237" t="n">
        <f aca="false">($C14*F14+$C20*F20+$C26*F26+$C32*F32+$C38*F38)/$C8</f>
        <v>4.67374139804419</v>
      </c>
      <c r="G8" s="237" t="n">
        <f aca="false">($C14*G14+$C20*G20+$C26*G26+$C32*G32+$C38*G38)/$C8</f>
        <v>5.32241941325607</v>
      </c>
      <c r="H8" s="237" t="n">
        <f aca="false">($C14*H14+$C20*H20+$C26*H26+$C32*H32+$C38*H38)/$C8</f>
        <v>9.27871544126524</v>
      </c>
      <c r="I8" s="237" t="n">
        <f aca="false">($C14*I14+$C20*I20+$C26*I26+$C32*I32+$C38*I38)/$C8</f>
        <v>523.08378606785</v>
      </c>
      <c r="N8" s="35" t="n">
        <f aca="false">C14+C20+C26+C32</f>
        <v>6929</v>
      </c>
      <c r="O8" s="48" t="n">
        <f aca="false">N8/C8</f>
        <v>0.836532657249789</v>
      </c>
      <c r="P8" s="0" t="n">
        <f aca="false">($C14*E14+$C20*E20+$C26*E26+$C32*E32)/$N8</f>
        <v>168.042675710781</v>
      </c>
      <c r="Q8" s="48" t="n">
        <f aca="false">P8/E8</f>
        <v>1.00375207582665</v>
      </c>
      <c r="R8" s="0" t="n">
        <f aca="false">($C14*H14+$C20*H20+$C26*H26+$C32*H32)/$N8</f>
        <v>9.31363833164959</v>
      </c>
      <c r="S8" s="48" t="n">
        <f aca="false">R8/H8</f>
        <v>1.00376376348703</v>
      </c>
    </row>
    <row r="9" customFormat="false" ht="15" hidden="false" customHeight="false" outlineLevel="0" collapsed="false">
      <c r="A9" s="234"/>
      <c r="B9" s="235" t="s">
        <v>296</v>
      </c>
      <c r="C9" s="236" t="n">
        <f aca="false">C15+C21+C27+C33+C39</f>
        <v>39167</v>
      </c>
      <c r="D9" s="235"/>
      <c r="E9" s="237" t="n">
        <f aca="false">($C15*E15+$C21*E21+$C27*E27+$C33*E33+$C39*E39)/$C9</f>
        <v>323.460972247045</v>
      </c>
      <c r="F9" s="237" t="n">
        <f aca="false">($C15*F15+$C21*F21+$C27*F27+$C33*F33+$C39*F39)/$C9</f>
        <v>4.36427860188424</v>
      </c>
      <c r="G9" s="237" t="n">
        <f aca="false">($C15*G15+$C21*G21+$C27*G27+$C33*G33+$C39*G39)/$C9</f>
        <v>7.55422932570787</v>
      </c>
      <c r="H9" s="237" t="n">
        <f aca="false">($C15*H15+$C21*H21+$C27*H27+$C33*H33+$C39*H39)/$C9</f>
        <v>27.6852375724462</v>
      </c>
      <c r="I9" s="237" t="n">
        <f aca="false">($C15*I15+$C21*I21+$C27*I27+$C33*I33+$C39*I39)/$C9</f>
        <v>360.498046825133</v>
      </c>
      <c r="N9" s="35" t="n">
        <f aca="false">C15+C21+C27+C33</f>
        <v>30466</v>
      </c>
      <c r="O9" s="48" t="n">
        <f aca="false">N9/C9</f>
        <v>0.777848699160007</v>
      </c>
      <c r="P9" s="0" t="n">
        <f aca="false">($C15*E15+$C21*E21+$C27*E27+$C33*E33)/$N9</f>
        <v>323.735423094597</v>
      </c>
      <c r="Q9" s="48" t="n">
        <f aca="false">P9/E9</f>
        <v>1.00084848210789</v>
      </c>
      <c r="R9" s="0" t="n">
        <f aca="false">($C15*H15+$C21*H21+$C27*H27+$C33*H33)/$N9</f>
        <v>27.6810214665529</v>
      </c>
      <c r="S9" s="48" t="n">
        <f aca="false">R9/H9</f>
        <v>0.999847712851216</v>
      </c>
    </row>
    <row r="10" customFormat="false" ht="15" hidden="false" customHeight="false" outlineLevel="0" collapsed="false">
      <c r="A10" s="234"/>
      <c r="B10" s="235" t="s">
        <v>297</v>
      </c>
      <c r="C10" s="236" t="n">
        <f aca="false">C16+C22+C28+C34+C40</f>
        <v>97422</v>
      </c>
      <c r="D10" s="235"/>
      <c r="E10" s="237" t="n">
        <f aca="false">($C16*E16+$C22*E22+$C28*E28+$C34*E34+$C40*E40)/$C10</f>
        <v>328.448042536593</v>
      </c>
      <c r="F10" s="237" t="n">
        <f aca="false">($C16*F16+$C22*F22+$C28*F28+$C34*F34+$C40*F40)/$C10</f>
        <v>4.75093510706001</v>
      </c>
      <c r="G10" s="237" t="n">
        <f aca="false">($C16*G16+$C22*G22+$C28*G28+$C34*G34+$C40*G40)/$C10</f>
        <v>6.65207755948348</v>
      </c>
      <c r="H10" s="237" t="n">
        <f aca="false">($C16*H16+$C22*H22+$C28*H28+$C34*H34+$C40*H40)/$C10</f>
        <v>20.0489027119131</v>
      </c>
      <c r="I10" s="237" t="n">
        <f aca="false">($C16*I16+$C22*I22+$C28*I28+$C34*I34+$C40*I40)/$C10</f>
        <v>504.834965408224</v>
      </c>
      <c r="N10" s="35" t="n">
        <f aca="false">C16+C22+C28+C34</f>
        <v>77052</v>
      </c>
      <c r="O10" s="48" t="n">
        <f aca="false">N10/C10</f>
        <v>0.790909650797561</v>
      </c>
      <c r="P10" s="0" t="n">
        <f aca="false">($C16*E16+$C22*E22+$C28*E28+$C34*E34)/$N10</f>
        <v>328.592926854592</v>
      </c>
      <c r="Q10" s="48" t="n">
        <f aca="false">P10/E10</f>
        <v>1.00044111792197</v>
      </c>
      <c r="R10" s="0" t="n">
        <f aca="false">($C16*H16+$C22*H22+$C28*H28+$C34*H34)/$N10</f>
        <v>20.0882676633961</v>
      </c>
      <c r="S10" s="48" t="n">
        <f aca="false">R10/H10</f>
        <v>1.00196344668078</v>
      </c>
    </row>
    <row r="11" customFormat="false" ht="15" hidden="false" customHeight="false" outlineLevel="0" collapsed="false">
      <c r="A11" s="27" t="s">
        <v>532</v>
      </c>
      <c r="B11" s="25" t="s">
        <v>527</v>
      </c>
      <c r="C11" s="76" t="n">
        <v>1433</v>
      </c>
      <c r="D11" s="91" t="n">
        <v>40</v>
      </c>
      <c r="E11" s="91" t="n">
        <v>202.3</v>
      </c>
      <c r="F11" s="91" t="n">
        <v>3.5</v>
      </c>
      <c r="G11" s="91" t="n">
        <v>6.6</v>
      </c>
      <c r="H11" s="91" t="n">
        <v>69.6</v>
      </c>
      <c r="I11" s="238"/>
      <c r="S11" s="48"/>
    </row>
    <row r="12" customFormat="false" ht="15" hidden="false" customHeight="false" outlineLevel="0" collapsed="false">
      <c r="A12" s="27"/>
      <c r="B12" s="27" t="s">
        <v>291</v>
      </c>
      <c r="C12" s="76" t="n">
        <v>438</v>
      </c>
      <c r="D12" s="91" t="n">
        <v>40</v>
      </c>
      <c r="E12" s="91" t="n">
        <v>184.8</v>
      </c>
      <c r="F12" s="91" t="n">
        <v>2.9</v>
      </c>
      <c r="G12" s="91" t="n">
        <v>6.4</v>
      </c>
      <c r="H12" s="91" t="n">
        <v>36.4</v>
      </c>
      <c r="I12" s="238"/>
    </row>
    <row r="13" customFormat="false" ht="15" hidden="false" customHeight="false" outlineLevel="0" collapsed="false">
      <c r="A13" s="27"/>
      <c r="B13" s="27" t="s">
        <v>530</v>
      </c>
      <c r="C13" s="76" t="n">
        <v>205</v>
      </c>
      <c r="D13" s="91" t="n">
        <v>40</v>
      </c>
      <c r="E13" s="91" t="n">
        <v>205.2</v>
      </c>
      <c r="F13" s="91" t="n">
        <v>3.7</v>
      </c>
      <c r="G13" s="91" t="n">
        <v>8</v>
      </c>
      <c r="H13" s="91" t="n">
        <v>30.3</v>
      </c>
      <c r="I13" s="238" t="n">
        <v>201</v>
      </c>
    </row>
    <row r="14" customFormat="false" ht="15" hidden="false" customHeight="false" outlineLevel="0" collapsed="false">
      <c r="A14" s="27"/>
      <c r="B14" s="27" t="s">
        <v>295</v>
      </c>
      <c r="C14" s="76" t="n">
        <v>85</v>
      </c>
      <c r="D14" s="91" t="n">
        <v>40</v>
      </c>
      <c r="E14" s="91" t="n">
        <v>129.7</v>
      </c>
      <c r="F14" s="91" t="n">
        <v>4</v>
      </c>
      <c r="G14" s="91" t="n">
        <v>5</v>
      </c>
      <c r="H14" s="91" t="n">
        <v>10.6</v>
      </c>
      <c r="I14" s="238" t="n">
        <v>341</v>
      </c>
    </row>
    <row r="15" customFormat="false" ht="15" hidden="false" customHeight="false" outlineLevel="0" collapsed="false">
      <c r="A15" s="27"/>
      <c r="B15" s="27" t="s">
        <v>296</v>
      </c>
      <c r="C15" s="76" t="n">
        <v>235</v>
      </c>
      <c r="D15" s="91" t="n">
        <v>39.9</v>
      </c>
      <c r="E15" s="91" t="n">
        <v>255.3</v>
      </c>
      <c r="F15" s="91" t="n">
        <v>3.7</v>
      </c>
      <c r="G15" s="91" t="n">
        <v>7.7</v>
      </c>
      <c r="H15" s="91" t="n">
        <v>32</v>
      </c>
      <c r="I15" s="238" t="n">
        <v>242</v>
      </c>
    </row>
    <row r="16" customFormat="false" ht="15" hidden="false" customHeight="false" outlineLevel="0" collapsed="false">
      <c r="A16" s="27"/>
      <c r="B16" s="27" t="s">
        <v>297</v>
      </c>
      <c r="C16" s="76" t="n">
        <v>168</v>
      </c>
      <c r="D16" s="91" t="n">
        <v>40</v>
      </c>
      <c r="E16" s="91" t="n">
        <v>258.9</v>
      </c>
      <c r="F16" s="91" t="n">
        <v>4.3</v>
      </c>
      <c r="G16" s="91" t="n">
        <v>6.6</v>
      </c>
      <c r="H16" s="91" t="n">
        <v>21.6</v>
      </c>
      <c r="I16" s="238" t="n">
        <v>364</v>
      </c>
    </row>
    <row r="17" customFormat="false" ht="15" hidden="false" customHeight="false" outlineLevel="0" collapsed="false">
      <c r="A17" s="27" t="s">
        <v>533</v>
      </c>
      <c r="B17" s="25" t="s">
        <v>527</v>
      </c>
      <c r="C17" s="76" t="n">
        <v>681</v>
      </c>
      <c r="D17" s="91"/>
      <c r="E17" s="91" t="n">
        <v>247.2</v>
      </c>
      <c r="F17" s="91" t="n">
        <v>4</v>
      </c>
      <c r="G17" s="91" t="n">
        <v>9.9</v>
      </c>
      <c r="H17" s="91" t="n">
        <v>95.3</v>
      </c>
      <c r="I17" s="238"/>
    </row>
    <row r="18" customFormat="false" ht="15" hidden="false" customHeight="false" outlineLevel="0" collapsed="false">
      <c r="A18" s="27"/>
      <c r="B18" s="27" t="s">
        <v>291</v>
      </c>
      <c r="C18" s="76" t="n">
        <v>93</v>
      </c>
      <c r="D18" s="91"/>
      <c r="E18" s="91" t="n">
        <v>207.6</v>
      </c>
      <c r="F18" s="91" t="n">
        <v>3.5</v>
      </c>
      <c r="G18" s="91" t="n">
        <v>8.4</v>
      </c>
      <c r="H18" s="91" t="n">
        <v>35.9</v>
      </c>
      <c r="I18" s="238"/>
    </row>
    <row r="19" customFormat="false" ht="15" hidden="false" customHeight="false" outlineLevel="0" collapsed="false">
      <c r="A19" s="27"/>
      <c r="B19" s="27" t="s">
        <v>530</v>
      </c>
      <c r="C19" s="76" t="n">
        <v>106</v>
      </c>
      <c r="D19" s="91"/>
      <c r="E19" s="91" t="n">
        <v>212.2</v>
      </c>
      <c r="F19" s="91" t="n">
        <v>4.2</v>
      </c>
      <c r="G19" s="91" t="n">
        <v>8.9</v>
      </c>
      <c r="H19" s="91" t="n">
        <v>28.9</v>
      </c>
      <c r="I19" s="238" t="n">
        <v>219</v>
      </c>
    </row>
    <row r="20" customFormat="false" ht="15" hidden="false" customHeight="false" outlineLevel="0" collapsed="false">
      <c r="A20" s="27"/>
      <c r="B20" s="27" t="s">
        <v>295</v>
      </c>
      <c r="C20" s="76" t="n">
        <v>164</v>
      </c>
      <c r="D20" s="91"/>
      <c r="E20" s="91" t="n">
        <v>123.8</v>
      </c>
      <c r="F20" s="91" t="n">
        <v>4.1</v>
      </c>
      <c r="G20" s="91" t="n">
        <v>5.3</v>
      </c>
      <c r="H20" s="91" t="n">
        <v>9.3</v>
      </c>
      <c r="I20" s="238" t="n">
        <v>366</v>
      </c>
    </row>
    <row r="21" customFormat="false" ht="15" hidden="false" customHeight="false" outlineLevel="0" collapsed="false">
      <c r="A21" s="27"/>
      <c r="B21" s="27" t="s">
        <v>296</v>
      </c>
      <c r="C21" s="76" t="n">
        <v>224</v>
      </c>
      <c r="D21" s="91"/>
      <c r="E21" s="91" t="n">
        <v>242</v>
      </c>
      <c r="F21" s="91" t="n">
        <v>4</v>
      </c>
      <c r="G21" s="91" t="n">
        <v>7.8</v>
      </c>
      <c r="H21" s="91" t="n">
        <v>28.4</v>
      </c>
      <c r="I21" s="238" t="n">
        <v>257</v>
      </c>
    </row>
    <row r="22" customFormat="false" ht="15" hidden="false" customHeight="false" outlineLevel="0" collapsed="false">
      <c r="A22" s="27"/>
      <c r="B22" s="27" t="s">
        <v>297</v>
      </c>
      <c r="C22" s="76" t="n">
        <v>301</v>
      </c>
      <c r="D22" s="91"/>
      <c r="E22" s="91" t="n">
        <v>260.5</v>
      </c>
      <c r="F22" s="91" t="n">
        <v>4.6</v>
      </c>
      <c r="G22" s="91" t="n">
        <v>6</v>
      </c>
      <c r="H22" s="91" t="n">
        <v>23.1</v>
      </c>
      <c r="I22" s="238" t="n">
        <v>343</v>
      </c>
    </row>
    <row r="23" customFormat="false" ht="15" hidden="false" customHeight="false" outlineLevel="0" collapsed="false">
      <c r="A23" s="27" t="s">
        <v>534</v>
      </c>
      <c r="B23" s="25" t="s">
        <v>527</v>
      </c>
      <c r="C23" s="76" t="n">
        <v>130623</v>
      </c>
      <c r="D23" s="91"/>
      <c r="E23" s="91" t="n">
        <v>317.3</v>
      </c>
      <c r="F23" s="91" t="n">
        <v>3.8</v>
      </c>
      <c r="G23" s="91" t="n">
        <v>7</v>
      </c>
      <c r="H23" s="91" t="n">
        <v>69.3</v>
      </c>
      <c r="I23" s="238"/>
    </row>
    <row r="24" customFormat="false" ht="15" hidden="false" customHeight="false" outlineLevel="0" collapsed="false">
      <c r="A24" s="27"/>
      <c r="B24" s="27" t="s">
        <v>291</v>
      </c>
      <c r="C24" s="76" t="n">
        <v>55981</v>
      </c>
      <c r="D24" s="91"/>
      <c r="E24" s="91" t="n">
        <v>289.1</v>
      </c>
      <c r="F24" s="91" t="n">
        <v>3.6</v>
      </c>
      <c r="G24" s="91" t="n">
        <v>6.7</v>
      </c>
      <c r="H24" s="91" t="n">
        <v>39.5</v>
      </c>
      <c r="I24" s="238"/>
    </row>
    <row r="25" customFormat="false" ht="15" hidden="false" customHeight="false" outlineLevel="0" collapsed="false">
      <c r="A25" s="27"/>
      <c r="B25" s="27" t="s">
        <v>530</v>
      </c>
      <c r="C25" s="76" t="n">
        <v>21744</v>
      </c>
      <c r="D25" s="91"/>
      <c r="E25" s="91" t="n">
        <v>296.8</v>
      </c>
      <c r="F25" s="91" t="n">
        <v>4.2</v>
      </c>
      <c r="G25" s="91" t="n">
        <v>8.2</v>
      </c>
      <c r="H25" s="91" t="n">
        <v>28.3</v>
      </c>
      <c r="I25" s="238" t="n">
        <v>321</v>
      </c>
    </row>
    <row r="26" customFormat="false" ht="15" hidden="false" customHeight="false" outlineLevel="0" collapsed="false">
      <c r="A26" s="27"/>
      <c r="B26" s="27" t="s">
        <v>295</v>
      </c>
      <c r="C26" s="76" t="n">
        <v>5050</v>
      </c>
      <c r="D26" s="91"/>
      <c r="E26" s="91" t="n">
        <v>170.3</v>
      </c>
      <c r="F26" s="91" t="n">
        <v>4.5</v>
      </c>
      <c r="G26" s="91" t="n">
        <v>5.1</v>
      </c>
      <c r="H26" s="91" t="n">
        <v>9.2</v>
      </c>
      <c r="I26" s="238" t="n">
        <v>537</v>
      </c>
    </row>
    <row r="27" customFormat="false" ht="15" hidden="false" customHeight="false" outlineLevel="0" collapsed="false">
      <c r="A27" s="27"/>
      <c r="B27" s="27" t="s">
        <v>296</v>
      </c>
      <c r="C27" s="76" t="n">
        <v>18610</v>
      </c>
      <c r="D27" s="91"/>
      <c r="E27" s="91" t="n">
        <v>326.34</v>
      </c>
      <c r="F27" s="91" t="n">
        <v>4</v>
      </c>
      <c r="G27" s="91" t="n">
        <v>7.5</v>
      </c>
      <c r="H27" s="91" t="n">
        <v>27.3</v>
      </c>
      <c r="I27" s="238" t="n">
        <v>369</v>
      </c>
    </row>
    <row r="28" customFormat="false" ht="15" hidden="false" customHeight="false" outlineLevel="0" collapsed="false">
      <c r="A28" s="27"/>
      <c r="B28" s="27" t="s">
        <v>297</v>
      </c>
      <c r="C28" s="76" t="n">
        <v>54487</v>
      </c>
      <c r="D28" s="91"/>
      <c r="E28" s="91" t="n">
        <v>329.1</v>
      </c>
      <c r="F28" s="91" t="n">
        <v>4.4</v>
      </c>
      <c r="G28" s="91" t="n">
        <v>6.5</v>
      </c>
      <c r="H28" s="91" t="n">
        <v>19.9</v>
      </c>
      <c r="I28" s="238" t="n">
        <v>509</v>
      </c>
    </row>
    <row r="29" customFormat="false" ht="15" hidden="false" customHeight="false" outlineLevel="0" collapsed="false">
      <c r="A29" s="27" t="s">
        <v>535</v>
      </c>
      <c r="B29" s="25" t="s">
        <v>527</v>
      </c>
      <c r="C29" s="76" t="n">
        <v>79674</v>
      </c>
      <c r="D29" s="91"/>
      <c r="E29" s="91" t="n">
        <v>305.9</v>
      </c>
      <c r="F29" s="91" t="n">
        <v>4.3</v>
      </c>
      <c r="G29" s="91" t="n">
        <v>7.7</v>
      </c>
      <c r="H29" s="91" t="n">
        <v>70.3</v>
      </c>
      <c r="I29" s="238"/>
    </row>
    <row r="30" customFormat="false" ht="15" hidden="false" customHeight="false" outlineLevel="0" collapsed="false">
      <c r="A30" s="27"/>
      <c r="B30" s="27" t="s">
        <v>291</v>
      </c>
      <c r="C30" s="76" t="n">
        <v>26696</v>
      </c>
      <c r="D30" s="91"/>
      <c r="E30" s="91" t="n">
        <v>277.4</v>
      </c>
      <c r="F30" s="91" t="n">
        <v>4.1</v>
      </c>
      <c r="G30" s="91" t="n">
        <v>7.2</v>
      </c>
      <c r="H30" s="91" t="n">
        <v>39.6</v>
      </c>
      <c r="I30" s="238"/>
    </row>
    <row r="31" customFormat="false" ht="15" hidden="false" customHeight="false" outlineLevel="0" collapsed="false">
      <c r="A31" s="27"/>
      <c r="B31" s="27" t="s">
        <v>530</v>
      </c>
      <c r="C31" s="76" t="n">
        <v>12151</v>
      </c>
      <c r="D31" s="91"/>
      <c r="E31" s="91" t="n">
        <v>292.5</v>
      </c>
      <c r="F31" s="91" t="n">
        <v>5</v>
      </c>
      <c r="G31" s="91" t="n">
        <v>8.5</v>
      </c>
      <c r="H31" s="91" t="n">
        <v>28.9</v>
      </c>
      <c r="I31" s="238" t="n">
        <v>310</v>
      </c>
    </row>
    <row r="32" customFormat="false" ht="15" hidden="false" customHeight="false" outlineLevel="0" collapsed="false">
      <c r="A32" s="27"/>
      <c r="B32" s="27" t="s">
        <v>295</v>
      </c>
      <c r="C32" s="76" t="n">
        <v>1630</v>
      </c>
      <c r="D32" s="91"/>
      <c r="E32" s="91" t="n">
        <v>167.5</v>
      </c>
      <c r="F32" s="91" t="n">
        <v>5.2</v>
      </c>
      <c r="G32" s="91" t="n">
        <v>5.8</v>
      </c>
      <c r="H32" s="91" t="n">
        <v>9.6</v>
      </c>
      <c r="I32" s="238" t="n">
        <v>507</v>
      </c>
    </row>
    <row r="33" customFormat="false" ht="15" hidden="false" customHeight="false" outlineLevel="0" collapsed="false">
      <c r="A33" s="27"/>
      <c r="B33" s="27" t="s">
        <v>296</v>
      </c>
      <c r="C33" s="76" t="n">
        <v>11397</v>
      </c>
      <c r="D33" s="91"/>
      <c r="E33" s="91" t="n">
        <v>322.5</v>
      </c>
      <c r="F33" s="91" t="n">
        <v>4.8</v>
      </c>
      <c r="G33" s="91" t="n">
        <v>7.6</v>
      </c>
      <c r="H33" s="91" t="n">
        <v>28.2</v>
      </c>
      <c r="I33" s="238" t="n">
        <v>353</v>
      </c>
    </row>
    <row r="34" customFormat="false" ht="15" hidden="false" customHeight="false" outlineLevel="0" collapsed="false">
      <c r="A34" s="27"/>
      <c r="B34" s="27" t="s">
        <v>297</v>
      </c>
      <c r="C34" s="76" t="n">
        <v>22096</v>
      </c>
      <c r="D34" s="91"/>
      <c r="E34" s="91" t="n">
        <v>328.8</v>
      </c>
      <c r="F34" s="91" t="n">
        <v>5.3</v>
      </c>
      <c r="G34" s="91" t="n">
        <v>6.9</v>
      </c>
      <c r="H34" s="91" t="n">
        <v>20.5</v>
      </c>
      <c r="I34" s="238" t="n">
        <v>494</v>
      </c>
    </row>
    <row r="35" customFormat="false" ht="15" hidden="false" customHeight="false" outlineLevel="0" collapsed="false">
      <c r="A35" s="27" t="s">
        <v>536</v>
      </c>
      <c r="B35" s="25" t="s">
        <v>527</v>
      </c>
      <c r="C35" s="76" t="n">
        <v>41826</v>
      </c>
      <c r="D35" s="91"/>
      <c r="E35" s="91" t="n">
        <v>309.6</v>
      </c>
      <c r="F35" s="91" t="n">
        <v>4.2</v>
      </c>
      <c r="G35" s="91" t="n">
        <v>7.5</v>
      </c>
      <c r="H35" s="91" t="n">
        <v>66.5</v>
      </c>
      <c r="I35" s="238"/>
      <c r="J35" s="48" t="n">
        <f aca="false">C35/C5</f>
        <v>0.164515786451225</v>
      </c>
    </row>
    <row r="36" customFormat="false" ht="15" hidden="false" customHeight="false" outlineLevel="0" collapsed="false">
      <c r="A36" s="27"/>
      <c r="B36" s="27" t="s">
        <v>291</v>
      </c>
      <c r="C36" s="76" t="n">
        <v>18364</v>
      </c>
      <c r="D36" s="91"/>
      <c r="E36" s="91" t="n">
        <v>281.2</v>
      </c>
      <c r="F36" s="91" t="n">
        <v>4</v>
      </c>
      <c r="G36" s="91" t="n">
        <v>7.2</v>
      </c>
      <c r="H36" s="91" t="n">
        <v>38.6</v>
      </c>
      <c r="I36" s="238"/>
      <c r="J36" s="48" t="n">
        <f aca="false">C36/C6</f>
        <v>0.180797857677313</v>
      </c>
    </row>
    <row r="37" customFormat="false" ht="15" hidden="false" customHeight="false" outlineLevel="0" collapsed="false">
      <c r="A37" s="27"/>
      <c r="B37" s="27" t="s">
        <v>530</v>
      </c>
      <c r="C37" s="76" t="n">
        <v>8609</v>
      </c>
      <c r="D37" s="91"/>
      <c r="E37" s="91" t="n">
        <v>292.2</v>
      </c>
      <c r="F37" s="91" t="n">
        <v>4.7</v>
      </c>
      <c r="G37" s="91" t="n">
        <v>8.4</v>
      </c>
      <c r="H37" s="91" t="n">
        <v>28.2</v>
      </c>
      <c r="I37" s="238" t="n">
        <v>318</v>
      </c>
      <c r="J37" s="48" t="n">
        <f aca="false">C37/C7</f>
        <v>0.201074389816653</v>
      </c>
    </row>
    <row r="38" customFormat="false" ht="15" hidden="false" customHeight="false" outlineLevel="0" collapsed="false">
      <c r="A38" s="27"/>
      <c r="B38" s="27" t="s">
        <v>295</v>
      </c>
      <c r="C38" s="76" t="n">
        <v>1354</v>
      </c>
      <c r="D38" s="91"/>
      <c r="E38" s="91" t="n">
        <v>164.2</v>
      </c>
      <c r="F38" s="91" t="n">
        <v>4.8</v>
      </c>
      <c r="G38" s="91" t="n">
        <v>5.6</v>
      </c>
      <c r="H38" s="91" t="n">
        <v>9.1</v>
      </c>
      <c r="I38" s="238" t="n">
        <v>521</v>
      </c>
      <c r="J38" s="48" t="n">
        <f aca="false">C38/C8</f>
        <v>0.163467342750211</v>
      </c>
    </row>
    <row r="39" customFormat="false" ht="15" hidden="false" customHeight="false" outlineLevel="0" collapsed="false">
      <c r="A39" s="27"/>
      <c r="B39" s="27" t="s">
        <v>296</v>
      </c>
      <c r="C39" s="76" t="n">
        <v>8701</v>
      </c>
      <c r="D39" s="91"/>
      <c r="E39" s="91" t="n">
        <v>322.5</v>
      </c>
      <c r="F39" s="91" t="n">
        <v>4.6</v>
      </c>
      <c r="G39" s="91" t="n">
        <v>7.6</v>
      </c>
      <c r="H39" s="91" t="n">
        <v>27.7</v>
      </c>
      <c r="I39" s="238" t="n">
        <v>358</v>
      </c>
      <c r="J39" s="48" t="n">
        <f aca="false">C39/C9</f>
        <v>0.222151300839993</v>
      </c>
    </row>
    <row r="40" customFormat="false" ht="15" hidden="false" customHeight="false" outlineLevel="0" collapsed="false">
      <c r="A40" s="27"/>
      <c r="B40" s="27" t="s">
        <v>297</v>
      </c>
      <c r="C40" s="76" t="n">
        <v>20370</v>
      </c>
      <c r="D40" s="91"/>
      <c r="E40" s="91" t="n">
        <v>327.9</v>
      </c>
      <c r="F40" s="91" t="n">
        <v>5.1</v>
      </c>
      <c r="G40" s="91" t="n">
        <v>6.8</v>
      </c>
      <c r="H40" s="91" t="n">
        <v>19.9</v>
      </c>
      <c r="I40" s="238" t="n">
        <v>509</v>
      </c>
      <c r="J40" s="48" t="n">
        <f aca="false">C40/C10</f>
        <v>0.209090349202439</v>
      </c>
      <c r="N40" s="0" t="s">
        <v>480</v>
      </c>
      <c r="P40" s="0" t="s">
        <v>481</v>
      </c>
      <c r="R40" s="0" t="s">
        <v>515</v>
      </c>
    </row>
    <row r="41" customFormat="false" ht="15" hidden="false" customHeight="false" outlineLevel="0" collapsed="false">
      <c r="A41" s="161" t="s">
        <v>537</v>
      </c>
      <c r="B41" s="152" t="s">
        <v>527</v>
      </c>
      <c r="C41" s="239" t="n">
        <f aca="false">SUM(C47,C83)</f>
        <v>16927</v>
      </c>
      <c r="D41" s="240" t="n">
        <f aca="false">($C47*D47+$C83*D83)/$C41</f>
        <v>41.5748875953197</v>
      </c>
      <c r="E41" s="240" t="n">
        <f aca="false">($C47*E47+$C83*E83)/$C41</f>
        <v>379.161930643351</v>
      </c>
      <c r="F41" s="240" t="n">
        <f aca="false">($C47*F47+$C83*F83)/$C41</f>
        <v>6.75775979204821</v>
      </c>
      <c r="G41" s="240" t="n">
        <f aca="false">($C47*G47+$C83*G83)/$C41</f>
        <v>9.03944585573344</v>
      </c>
      <c r="H41" s="240" t="n">
        <f aca="false">($C47*H47+$C83*H83)/$C41</f>
        <v>91.6581437939387</v>
      </c>
      <c r="I41" s="240"/>
      <c r="K41" s="0" t="s">
        <v>528</v>
      </c>
      <c r="L41" s="13" t="n">
        <f aca="false">SUMPRODUCT(C41:C42,H41:H42)/SUM(C41:C42)/12</f>
        <v>6.41288313551585</v>
      </c>
      <c r="M41" s="0" t="s">
        <v>529</v>
      </c>
      <c r="N41" s="0" t="n">
        <f aca="false">SUM(N47,N83)</f>
        <v>10586</v>
      </c>
      <c r="O41" s="48" t="n">
        <f aca="false">N41/C41</f>
        <v>0.625391386542211</v>
      </c>
      <c r="P41" s="0" t="n">
        <f aca="false">($N47*P47+$N83*P83)/$N41</f>
        <v>389.656697525033</v>
      </c>
      <c r="Q41" s="48" t="n">
        <f aca="false">P41/E41</f>
        <v>1.02767885178735</v>
      </c>
      <c r="R41" s="0" t="n">
        <f aca="false">($N47*R47+$N83*R83)/$N41</f>
        <v>94.0445588513131</v>
      </c>
      <c r="S41" s="48" t="n">
        <f aca="false">R41/H41</f>
        <v>1.02603603955519</v>
      </c>
    </row>
    <row r="42" customFormat="false" ht="15" hidden="false" customHeight="false" outlineLevel="0" collapsed="false">
      <c r="A42" s="161"/>
      <c r="B42" s="152" t="s">
        <v>291</v>
      </c>
      <c r="C42" s="239" t="n">
        <f aca="false">SUM(C48,C84)</f>
        <v>6074</v>
      </c>
      <c r="D42" s="240" t="n">
        <f aca="false">($C48*D48+$C84*D84)/$C42</f>
        <v>40.8909303044873</v>
      </c>
      <c r="E42" s="240" t="n">
        <f aca="false">($C48*E48+$C84*E84)/$C42</f>
        <v>324.010108659862</v>
      </c>
      <c r="F42" s="240" t="n">
        <f aca="false">($C48*F48+$C84*F84)/$C42</f>
        <v>6.08699374382614</v>
      </c>
      <c r="G42" s="240" t="n">
        <f aca="false">($C48*G48+$C84*G84)/$C42</f>
        <v>8.27872900889035</v>
      </c>
      <c r="H42" s="240" t="n">
        <f aca="false">($C48*H48+$C84*H84)/$C42</f>
        <v>35.9788113269674</v>
      </c>
      <c r="I42" s="240"/>
      <c r="K42" s="0" t="s">
        <v>168</v>
      </c>
      <c r="L42" s="48" t="e">
        <f aca="false">1/(L41-'antal djur'!#ref!/12)</f>
        <v>#VALUE!</v>
      </c>
      <c r="N42" s="0" t="n">
        <f aca="false">SUM(N48,N84)</f>
        <v>2473</v>
      </c>
      <c r="O42" s="48" t="n">
        <f aca="false">N42/C42</f>
        <v>0.407145209087916</v>
      </c>
      <c r="P42" s="0" t="n">
        <f aca="false">($N48*P48+$N84*P84)/$N42</f>
        <v>331.887909421755</v>
      </c>
      <c r="Q42" s="48" t="n">
        <f aca="false">P42/E42</f>
        <v>1.02431344131353</v>
      </c>
      <c r="R42" s="0" t="n">
        <f aca="false">($N48*R48+$N84*R84)/$N42</f>
        <v>38.3785685402345</v>
      </c>
      <c r="S42" s="48" t="n">
        <f aca="false">R42/H42</f>
        <v>1.06669918001066</v>
      </c>
    </row>
    <row r="43" customFormat="false" ht="15" hidden="false" customHeight="false" outlineLevel="0" collapsed="false">
      <c r="A43" s="161"/>
      <c r="B43" s="152" t="s">
        <v>530</v>
      </c>
      <c r="C43" s="239" t="n">
        <f aca="false">SUM(C49,C85)</f>
        <v>22242</v>
      </c>
      <c r="D43" s="240" t="n">
        <f aca="false">($C49*D49+$C85*D85)/$C43</f>
        <v>40.3515241435123</v>
      </c>
      <c r="E43" s="240" t="n">
        <f aca="false">($C49*E49+$C85*E85)/$C43</f>
        <v>314.828554086863</v>
      </c>
      <c r="F43" s="240" t="n">
        <f aca="false">($C49*F49+$C85*F85)/$C43</f>
        <v>6.93609837244852</v>
      </c>
      <c r="G43" s="240" t="n">
        <f aca="false">($C49*G49+$C85*G85)/$C43</f>
        <v>9.09336390612355</v>
      </c>
      <c r="H43" s="240" t="n">
        <f aca="false">($C49*H49+$C85*H85)/$C43</f>
        <v>24.8045274705512</v>
      </c>
      <c r="I43" s="240" t="n">
        <f aca="false">($C49*I49+$C85*I85)/$C43</f>
        <v>390.969517129755</v>
      </c>
      <c r="K43" s="0" t="s">
        <v>531</v>
      </c>
      <c r="L43" s="48" t="n">
        <f aca="false">(C45*(I45/12))/(C45*(I45/12)+C46*(I46/12))</f>
        <v>0.111585823333316</v>
      </c>
      <c r="N43" s="0" t="n">
        <f aca="false">SUM(N49,N85)</f>
        <v>8319</v>
      </c>
      <c r="O43" s="48" t="n">
        <f aca="false">N43/C43</f>
        <v>0.374022120312922</v>
      </c>
      <c r="P43" s="0" t="n">
        <f aca="false">($N49*P49+$N85*P85)/$N43</f>
        <v>315.257482870537</v>
      </c>
      <c r="Q43" s="48" t="n">
        <f aca="false">P43/E43</f>
        <v>1.00136242020651</v>
      </c>
      <c r="R43" s="0" t="n">
        <f aca="false">($N49*R49+$N85*R85)/$N43</f>
        <v>24.422310373843</v>
      </c>
      <c r="S43" s="48" t="n">
        <f aca="false">R43/H43</f>
        <v>0.984590833380641</v>
      </c>
    </row>
    <row r="44" customFormat="false" ht="15" hidden="false" customHeight="false" outlineLevel="0" collapsed="false">
      <c r="A44" s="161"/>
      <c r="B44" s="152" t="s">
        <v>295</v>
      </c>
      <c r="C44" s="239" t="n">
        <f aca="false">SUM(C50,C86)</f>
        <v>830</v>
      </c>
      <c r="D44" s="240" t="n">
        <f aca="false">($C50*D50+$C86*D86)/$C44</f>
        <v>40.4740963855422</v>
      </c>
      <c r="E44" s="240" t="n">
        <f aca="false">($C50*E50+$C86*E86)/$C44</f>
        <v>176.077108433735</v>
      </c>
      <c r="F44" s="240" t="n">
        <f aca="false">($C50*F50+$C86*F86)/$C44</f>
        <v>6.5266265060241</v>
      </c>
      <c r="G44" s="240" t="n">
        <f aca="false">($C50*G50+$C86*G86)/$C44</f>
        <v>6.41192771084337</v>
      </c>
      <c r="H44" s="240" t="n">
        <f aca="false">($C50*H50+$C86*H86)/$C44</f>
        <v>9.28156626506024</v>
      </c>
      <c r="I44" s="240" t="n">
        <f aca="false">($C50*I50+$C86*I86)/$C44</f>
        <v>549.442168674699</v>
      </c>
      <c r="N44" s="0" t="n">
        <f aca="false">SUM(N50,N86)</f>
        <v>162</v>
      </c>
      <c r="O44" s="48" t="n">
        <f aca="false">N44/C44</f>
        <v>0.195180722891566</v>
      </c>
      <c r="P44" s="0" t="n">
        <f aca="false">($N50*P50+$N86*P86)/$N44</f>
        <v>194.714814814815</v>
      </c>
      <c r="Q44" s="48" t="n">
        <f aca="false">P44/E44</f>
        <v>1.10584968453235</v>
      </c>
      <c r="R44" s="0" t="n">
        <f aca="false">($N50*R50+$N86*R86)/$N44</f>
        <v>9.86111111111111</v>
      </c>
      <c r="S44" s="48" t="n">
        <f aca="false">R44/H44</f>
        <v>1.06244041463481</v>
      </c>
    </row>
    <row r="45" customFormat="false" ht="15" hidden="false" customHeight="false" outlineLevel="0" collapsed="false">
      <c r="A45" s="161"/>
      <c r="B45" s="152" t="s">
        <v>296</v>
      </c>
      <c r="C45" s="239" t="n">
        <f aca="false">SUM(C51,C87)</f>
        <v>5996</v>
      </c>
      <c r="D45" s="240" t="n">
        <f aca="false">($C51*D51+$C87*D87)/$C45</f>
        <v>40.1753002001334</v>
      </c>
      <c r="E45" s="240" t="n">
        <f aca="false">($C51*E51+$C87*E87)/$C45</f>
        <v>339.486107404937</v>
      </c>
      <c r="F45" s="240" t="n">
        <f aca="false">($C51*F51+$C87*F87)/$C45</f>
        <v>6.08070380253502</v>
      </c>
      <c r="G45" s="240" t="n">
        <f aca="false">($C51*G51+$C87*G87)/$C45</f>
        <v>8.0606404269513</v>
      </c>
      <c r="H45" s="240" t="n">
        <f aca="false">($C51*H51+$C87*H87)/$C45</f>
        <v>26.4324382921948</v>
      </c>
      <c r="I45" s="240" t="n">
        <f aca="false">($C51*I51+$C87*I87)/$C45</f>
        <v>398.931954636424</v>
      </c>
      <c r="N45" s="0" t="n">
        <f aca="false">SUM(N51,N87)</f>
        <v>707</v>
      </c>
      <c r="O45" s="48" t="n">
        <f aca="false">N45/C45</f>
        <v>0.117911941294196</v>
      </c>
      <c r="P45" s="0" t="n">
        <f aca="false">($N51*P51+$N87*P87)/$N45</f>
        <v>329.695332390382</v>
      </c>
      <c r="Q45" s="48" t="n">
        <f aca="false">P45/E45</f>
        <v>0.971160012733963</v>
      </c>
      <c r="R45" s="0" t="n">
        <f aca="false">($N51*R51+$N87*R87)/$N45</f>
        <v>27.5323903818953</v>
      </c>
      <c r="S45" s="48" t="n">
        <f aca="false">R45/H45</f>
        <v>1.04161372013967</v>
      </c>
    </row>
    <row r="46" customFormat="false" ht="15" hidden="false" customHeight="false" outlineLevel="0" collapsed="false">
      <c r="A46" s="161"/>
      <c r="B46" s="152" t="s">
        <v>297</v>
      </c>
      <c r="C46" s="239" t="n">
        <f aca="false">SUM(C52,C88)</f>
        <v>29580</v>
      </c>
      <c r="D46" s="240" t="n">
        <f aca="false">($C52*D52+$C88*D88)/$C46</f>
        <v>42.4632995267072</v>
      </c>
      <c r="E46" s="240" t="n">
        <f aca="false">($C52*E52+$C88*E88)/$C46</f>
        <v>363.960253549696</v>
      </c>
      <c r="F46" s="240" t="n">
        <f aca="false">($C52*F52+$C88*F88)/$C46</f>
        <v>9.83020283975659</v>
      </c>
      <c r="G46" s="240" t="n">
        <f aca="false">($C52*G52+$C88*G88)/$C46</f>
        <v>7.21286342123056</v>
      </c>
      <c r="H46" s="240" t="n">
        <f aca="false">($C52*H52+$C88*H88)/$C46</f>
        <v>17.6593035835024</v>
      </c>
      <c r="I46" s="240" t="n">
        <f aca="false">($C52*I52+$C88*I88)/$C46</f>
        <v>643.826335361731</v>
      </c>
      <c r="N46" s="0" t="n">
        <f aca="false">SUM(N52,N88)</f>
        <v>15148</v>
      </c>
      <c r="O46" s="48" t="n">
        <f aca="false">N46/C46</f>
        <v>0.51210277214334</v>
      </c>
      <c r="P46" s="0" t="n">
        <f aca="false">($N52*P52+$N88*P88)/$N46</f>
        <v>367.85721547399</v>
      </c>
      <c r="Q46" s="48" t="n">
        <f aca="false">P46/E46</f>
        <v>1.01070710849959</v>
      </c>
      <c r="R46" s="0" t="n">
        <f aca="false">($N52*R52+$N88*R88)/$N46</f>
        <v>17.0853578030103</v>
      </c>
      <c r="S46" s="48" t="n">
        <f aca="false">R46/H46</f>
        <v>0.967498957261924</v>
      </c>
    </row>
    <row r="47" customFormat="false" ht="15" hidden="false" customHeight="false" outlineLevel="0" collapsed="false">
      <c r="A47" s="164" t="s">
        <v>538</v>
      </c>
      <c r="B47" s="164" t="s">
        <v>527</v>
      </c>
      <c r="C47" s="241" t="n">
        <f aca="false">C53+C59+C65+C71+C77</f>
        <v>6087</v>
      </c>
      <c r="D47" s="242" t="n">
        <f aca="false">($C53*D53+$C59*D59+$C65*D65+$C71*D71+$C77*D77)/($C47-C77)</f>
        <v>39.7584889643464</v>
      </c>
      <c r="E47" s="242" t="n">
        <f aca="false">($C53*E53+$C59*E59+$C65*E65+$C71*E71+$C77*E77)/$C47</f>
        <v>358.558123870544</v>
      </c>
      <c r="F47" s="242" t="n">
        <f aca="false">($C53*F53+$C59*F59+$C65*F65+$C71*F71+$C77*F77)/$C47</f>
        <v>6.15952028914079</v>
      </c>
      <c r="G47" s="242" t="n">
        <f aca="false">($C53*G53+$C59*G59+$C65*G65+$C71*G71+$C77*G77)/$C47</f>
        <v>10.3226055528175</v>
      </c>
      <c r="H47" s="242" t="n">
        <f aca="false">($C53*H53+$C59*H59+$C65*H65+$C71*H71+$C77*H77)/$C47</f>
        <v>92.8994414325612</v>
      </c>
      <c r="I47" s="242"/>
      <c r="K47" s="0" t="s">
        <v>528</v>
      </c>
      <c r="L47" s="13" t="n">
        <f aca="false">SUMPRODUCT(C47:C48,H47:H48)/SUM(C47:C48)/12</f>
        <v>6.43927384907451</v>
      </c>
      <c r="M47" s="0" t="s">
        <v>529</v>
      </c>
      <c r="N47" s="35" t="n">
        <f aca="false">C53+C59+C65+C71</f>
        <v>3534</v>
      </c>
      <c r="O47" s="48" t="n">
        <f aca="false">N47/C47</f>
        <v>0.58058156727452</v>
      </c>
      <c r="P47" s="0" t="n">
        <f aca="false">($C53*E53+$C59*E59+$C65*E65+$C71*E71)/$N47</f>
        <v>359.394765138653</v>
      </c>
      <c r="Q47" s="48" t="n">
        <f aca="false">P47/E47</f>
        <v>1.00233334907902</v>
      </c>
      <c r="R47" s="0" t="n">
        <f aca="false">($C53*H53+$C59*H59+$C65*H65+$C71*H71)/$N47</f>
        <v>94.3438596491228</v>
      </c>
      <c r="S47" s="48" t="n">
        <f aca="false">R47/H47</f>
        <v>1.01554819054117</v>
      </c>
    </row>
    <row r="48" customFormat="false" ht="15" hidden="false" customHeight="false" outlineLevel="0" collapsed="false">
      <c r="A48" s="164"/>
      <c r="B48" s="164" t="s">
        <v>291</v>
      </c>
      <c r="C48" s="241" t="n">
        <f aca="false">C54+C60+C66+C72+C78</f>
        <v>2341</v>
      </c>
      <c r="D48" s="242" t="n">
        <f aca="false">($C54*D54+$C60*D60+$C66*D66+$C72*D72+$C78*D78)/($C48-C78)</f>
        <v>40.0161087866109</v>
      </c>
      <c r="E48" s="242" t="n">
        <f aca="false">($C54*E54+$C60*E60+$C66*E66+$C72*E72+$C78*E78)/$C48</f>
        <v>314.809141392567</v>
      </c>
      <c r="F48" s="242" t="n">
        <f aca="false">($C54*F54+$C60*F60+$C66*F66+$C72*F72+$C78*F78)/$C48</f>
        <v>5.76463049978642</v>
      </c>
      <c r="G48" s="242" t="n">
        <f aca="false">($C54*G54+$C60*G60+$C66*G66+$C72*G72+$C78*G78)/$C48</f>
        <v>9.30192225544639</v>
      </c>
      <c r="H48" s="242" t="n">
        <f aca="false">($C54*H54+$C60*H60+$C66*H66+$C72*H72+$C78*H78)/$C48</f>
        <v>36.6354122170013</v>
      </c>
      <c r="I48" s="242"/>
      <c r="K48" s="0" t="s">
        <v>168</v>
      </c>
      <c r="L48" s="48" t="e">
        <f aca="false">1/(L47-'antal djur'!#ref!/12)</f>
        <v>#VALUE!</v>
      </c>
      <c r="N48" s="35" t="n">
        <f aca="false">C54+C60+C66+C72</f>
        <v>956</v>
      </c>
      <c r="O48" s="48" t="n">
        <f aca="false">N48/C48</f>
        <v>0.408372490388723</v>
      </c>
      <c r="P48" s="0" t="n">
        <f aca="false">($C54*E54+$C60*E60+$C66*E66+$C72*E72)/$N48</f>
        <v>311.635146443515</v>
      </c>
      <c r="Q48" s="48" t="n">
        <f aca="false">P48/E48</f>
        <v>0.989917716699673</v>
      </c>
      <c r="R48" s="0" t="n">
        <f aca="false">($C54*H54+$C60*H60+$C66*H66+$C72*H72)/$N48</f>
        <v>39.4393305439331</v>
      </c>
      <c r="S48" s="48" t="n">
        <f aca="false">R48/H48</f>
        <v>1.0765357384359</v>
      </c>
    </row>
    <row r="49" customFormat="false" ht="15" hidden="false" customHeight="false" outlineLevel="0" collapsed="false">
      <c r="A49" s="164"/>
      <c r="B49" s="164" t="s">
        <v>530</v>
      </c>
      <c r="C49" s="241" t="n">
        <f aca="false">C55+C61+C67+C73+C79</f>
        <v>7952</v>
      </c>
      <c r="D49" s="242" t="n">
        <f aca="false">($C55*D55+$C61*D61+$C67*D67+$C73*D73+$C79*D79)/$C49</f>
        <v>39.908689637827</v>
      </c>
      <c r="E49" s="242" t="n">
        <f aca="false">($C55*E55+$C61*E61+$C67*E67+$C73*E73+$C79*E79)/$C49</f>
        <v>304.571956740443</v>
      </c>
      <c r="F49" s="242" t="n">
        <f aca="false">($C55*F55+$C61*F61+$C67*F67+$C73*F73+$C79*F79)/$C49</f>
        <v>6.49191398390342</v>
      </c>
      <c r="G49" s="242" t="n">
        <f aca="false">($C55*G55+$C61*G61+$C67*G67+$C73*G73+$C79*G79)/$C49</f>
        <v>9.95785965794769</v>
      </c>
      <c r="H49" s="242" t="n">
        <f aca="false">($C55*H55+$C61*H61+$C67*H67+$C73*H73+$C79*H79)/$C49</f>
        <v>25.8027162977867</v>
      </c>
      <c r="I49" s="242" t="n">
        <f aca="false">($C55*I55+$C61*I61+$C67*I67+$C73*I73+$C79*I79)/$C49</f>
        <v>362.364436619718</v>
      </c>
      <c r="K49" s="0" t="s">
        <v>531</v>
      </c>
      <c r="L49" s="48" t="n">
        <f aca="false">(C51*(I51/12))/(C51*(I51/12)+C52*(I52/12))</f>
        <v>0.162857254673236</v>
      </c>
      <c r="N49" s="35" t="n">
        <f aca="false">C55+C61+C67+C73</f>
        <v>2802</v>
      </c>
      <c r="O49" s="48" t="n">
        <f aca="false">N49/C49</f>
        <v>0.352364185110664</v>
      </c>
      <c r="P49" s="0" t="n">
        <f aca="false">($C55*E55+$C61*E61+$C67*E67+$C73*E73)/$N49</f>
        <v>299.741684511064</v>
      </c>
      <c r="Q49" s="48" t="n">
        <f aca="false">P49/E49</f>
        <v>0.984140784722687</v>
      </c>
      <c r="R49" s="0" t="n">
        <f aca="false">($C55*H55+$C61*H61+$C67*H67+$C73*H73)/$N49</f>
        <v>26.1753033547466</v>
      </c>
      <c r="S49" s="48" t="n">
        <f aca="false">R49/H49</f>
        <v>1.0144398385294</v>
      </c>
    </row>
    <row r="50" customFormat="false" ht="15" hidden="false" customHeight="false" outlineLevel="0" collapsed="false">
      <c r="A50" s="164"/>
      <c r="B50" s="164" t="s">
        <v>295</v>
      </c>
      <c r="C50" s="241" t="n">
        <f aca="false">C56+C62+C68+C74+C80</f>
        <v>388</v>
      </c>
      <c r="D50" s="242" t="n">
        <f aca="false">($C56*D56+$C62*D62+$C68*D68+$C74*D74+$C80*D80)/$C50</f>
        <v>39.9005154639175</v>
      </c>
      <c r="E50" s="242" t="n">
        <f aca="false">($C56*E56+$C62*E62+$C68*E68+$C74*E74+$C80*E80)/$C50</f>
        <v>157.119072164948</v>
      </c>
      <c r="F50" s="242" t="n">
        <f aca="false">($C56*F56+$C62*F62+$C68*F68+$C74*F74+$C80*F80)/$C50</f>
        <v>5.64639175257732</v>
      </c>
      <c r="G50" s="242" t="n">
        <f aca="false">($C56*G56+$C62*G62+$C68*G68+$C74*G74+$C80*G80)/$C50</f>
        <v>6.75567010309278</v>
      </c>
      <c r="H50" s="242" t="n">
        <f aca="false">($C56*H56+$C62*H62+$C68*H68+$C74*H74+$C80*H80)/$C50</f>
        <v>9.25721649484536</v>
      </c>
      <c r="I50" s="242" t="n">
        <f aca="false">($C56*I56+$C62*I62+$C68*I68+$C74*I74+$C80*I80)/$C50</f>
        <v>492.716494845361</v>
      </c>
      <c r="N50" s="35" t="n">
        <f aca="false">C56+C62+C68+C74</f>
        <v>66</v>
      </c>
      <c r="O50" s="48" t="n">
        <f aca="false">N50/C50</f>
        <v>0.170103092783505</v>
      </c>
      <c r="P50" s="0" t="n">
        <f aca="false">($C56*E56+$C62*E62+$C68*E68+$C74*E74)/$N50</f>
        <v>129.890909090909</v>
      </c>
      <c r="Q50" s="48" t="n">
        <f aca="false">P50/E50</f>
        <v>0.826703641392088</v>
      </c>
      <c r="R50" s="0" t="n">
        <f aca="false">($C56*H56+$C62*H62+$C68*H68+$C74*H74)/$N50</f>
        <v>8.56060606060606</v>
      </c>
      <c r="S50" s="48" t="n">
        <f aca="false">R50/H50</f>
        <v>0.924749471439154</v>
      </c>
    </row>
    <row r="51" customFormat="false" ht="15" hidden="false" customHeight="false" outlineLevel="0" collapsed="false">
      <c r="A51" s="164"/>
      <c r="B51" s="164" t="s">
        <v>296</v>
      </c>
      <c r="C51" s="241" t="n">
        <f aca="false">C57+C63+C69+C75+C81</f>
        <v>3017</v>
      </c>
      <c r="D51" s="242" t="n">
        <f aca="false">($C57*D57+$C63*D63+$C69*D69+$C75*D75+$C81*D81)/$C51</f>
        <v>40.0823997348359</v>
      </c>
      <c r="E51" s="242" t="n">
        <f aca="false">($C57*E57+$C63*E63+$C69*E69+$C75*E75+$C81*E81)/$C51</f>
        <v>335.680013258204</v>
      </c>
      <c r="F51" s="242" t="n">
        <f aca="false">($C57*F57+$C63*F63+$C69*F69+$C75*F75+$C81*F81)/$C51</f>
        <v>5.9614849187935</v>
      </c>
      <c r="G51" s="242" t="n">
        <f aca="false">($C57*G57+$C63*G63+$C69*G69+$C75*G75+$C81*G81)/$C51</f>
        <v>8.68853165396089</v>
      </c>
      <c r="H51" s="242" t="n">
        <f aca="false">($C57*H57+$C63*H63+$C69*H69+$C75*H75+$C81*H81)/$C51</f>
        <v>27.1223069274113</v>
      </c>
      <c r="I51" s="242" t="n">
        <f aca="false">($C57*I57+$C63*I63+$C69*I69+$C75*I75+$C81*I81)/$C51</f>
        <v>384.825323168711</v>
      </c>
      <c r="N51" s="35" t="n">
        <f aca="false">C57+C63+C69+C75</f>
        <v>469</v>
      </c>
      <c r="O51" s="48" t="n">
        <f aca="false">N51/C51</f>
        <v>0.155452436194896</v>
      </c>
      <c r="P51" s="0" t="n">
        <f aca="false">($C57*E57+$C63*E63+$C69*E69+$C75*E75)/$N51</f>
        <v>322.532622601279</v>
      </c>
      <c r="Q51" s="48" t="n">
        <f aca="false">P51/E51</f>
        <v>0.960833561315397</v>
      </c>
      <c r="R51" s="0" t="n">
        <f aca="false">($C57*H57+$C63*H63+$C69*H69+$C75*H75)/$N51</f>
        <v>29.416631130064</v>
      </c>
      <c r="S51" s="48" t="n">
        <f aca="false">R51/H51</f>
        <v>1.08459177933474</v>
      </c>
    </row>
    <row r="52" customFormat="false" ht="15" hidden="false" customHeight="false" outlineLevel="0" collapsed="false">
      <c r="A52" s="164"/>
      <c r="B52" s="164" t="s">
        <v>297</v>
      </c>
      <c r="C52" s="241" t="n">
        <f aca="false">C58+C64+C70+C76+C82</f>
        <v>10463</v>
      </c>
      <c r="D52" s="242" t="n">
        <f aca="false">($C58*D58+$C64*D64+$C70*D70+$C76*D76+$C82*D82)/$C52</f>
        <v>40.7796616649145</v>
      </c>
      <c r="E52" s="242" t="n">
        <f aca="false">($C58*E58+$C64*E64+$C70*E70+$C76*E76+$C82*E82)/$C52</f>
        <v>346.568565421007</v>
      </c>
      <c r="F52" s="242" t="n">
        <f aca="false">($C58*F58+$C64*F64+$C70*F70+$C76*F76+$C82*F82)/$C52</f>
        <v>12.0338430660422</v>
      </c>
      <c r="G52" s="242" t="n">
        <f aca="false">($C58*G58+$C64*G64+$C70*G70+$C76*G76+$C82*G82)/$C52</f>
        <v>7.96286915798528</v>
      </c>
      <c r="H52" s="242" t="n">
        <f aca="false">($C58*H58+$C64*H64+$C70*H70+$C76*H76+$C82*H82)/$C52</f>
        <v>18.8791742330116</v>
      </c>
      <c r="I52" s="242" t="n">
        <f aca="false">($C58*I58+$C64*I64+$C70*I70+$C76*I76+$C82*I82)/$C52</f>
        <v>570.394246392048</v>
      </c>
      <c r="N52" s="35" t="n">
        <f aca="false">C58+C64+C70+C76</f>
        <v>5067</v>
      </c>
      <c r="O52" s="48" t="n">
        <f aca="false">N52/C52</f>
        <v>0.484277931759534</v>
      </c>
      <c r="P52" s="0" t="n">
        <f aca="false">($C58*E58+$C64*E64+$C70*E70+$C76*E76)/$N52</f>
        <v>344.405229919084</v>
      </c>
      <c r="Q52" s="48" t="n">
        <f aca="false">P52/E52</f>
        <v>0.993757842696163</v>
      </c>
      <c r="R52" s="0" t="n">
        <f aca="false">($C58*H58+$C64*H64+$C70*H70+$C76*H76)/$N52</f>
        <v>19.0699822380107</v>
      </c>
      <c r="S52" s="48" t="n">
        <f aca="false">R52/H52</f>
        <v>1.01010679824467</v>
      </c>
    </row>
    <row r="53" customFormat="false" ht="15" hidden="false" customHeight="false" outlineLevel="0" collapsed="false">
      <c r="A53" s="243" t="s">
        <v>539</v>
      </c>
      <c r="B53" s="243" t="s">
        <v>527</v>
      </c>
      <c r="C53" s="177" t="n">
        <v>842</v>
      </c>
      <c r="D53" s="244" t="n">
        <v>37.7</v>
      </c>
      <c r="E53" s="244" t="n">
        <v>360.5</v>
      </c>
      <c r="F53" s="244" t="n">
        <v>6.6</v>
      </c>
      <c r="G53" s="244" t="n">
        <v>10.4</v>
      </c>
      <c r="H53" s="244" t="n">
        <v>92.6</v>
      </c>
      <c r="I53" s="244"/>
    </row>
    <row r="54" customFormat="false" ht="15" hidden="false" customHeight="false" outlineLevel="0" collapsed="false">
      <c r="A54" s="243"/>
      <c r="B54" s="243" t="s">
        <v>291</v>
      </c>
      <c r="C54" s="177" t="n">
        <v>190</v>
      </c>
      <c r="D54" s="244" t="n">
        <v>37.9</v>
      </c>
      <c r="E54" s="244" t="n">
        <v>307.1</v>
      </c>
      <c r="F54" s="244" t="n">
        <v>6</v>
      </c>
      <c r="G54" s="244" t="n">
        <v>9.1</v>
      </c>
      <c r="H54" s="244" t="n">
        <v>38.4</v>
      </c>
      <c r="I54" s="244"/>
    </row>
    <row r="55" customFormat="false" ht="15" hidden="false" customHeight="false" outlineLevel="0" collapsed="false">
      <c r="A55" s="243"/>
      <c r="B55" s="243" t="s">
        <v>530</v>
      </c>
      <c r="C55" s="177" t="n">
        <v>552</v>
      </c>
      <c r="D55" s="244" t="n">
        <v>38.7</v>
      </c>
      <c r="E55" s="244" t="n">
        <v>307.3</v>
      </c>
      <c r="F55" s="244" t="n">
        <v>7.2</v>
      </c>
      <c r="G55" s="244" t="n">
        <v>10.1</v>
      </c>
      <c r="H55" s="244" t="n">
        <v>27</v>
      </c>
      <c r="I55" s="244" t="n">
        <v>350</v>
      </c>
    </row>
    <row r="56" customFormat="false" ht="15" hidden="false" customHeight="false" outlineLevel="0" collapsed="false">
      <c r="A56" s="243"/>
      <c r="B56" s="243" t="s">
        <v>295</v>
      </c>
      <c r="C56" s="177" t="n">
        <v>32</v>
      </c>
      <c r="D56" s="244" t="n">
        <v>40</v>
      </c>
      <c r="E56" s="244" t="n">
        <v>132.9</v>
      </c>
      <c r="F56" s="244" t="n">
        <v>6.1</v>
      </c>
      <c r="G56" s="244" t="n">
        <v>4.8</v>
      </c>
      <c r="H56" s="244" t="n">
        <v>6.8</v>
      </c>
      <c r="I56" s="244" t="n">
        <v>544</v>
      </c>
    </row>
    <row r="57" customFormat="false" ht="15" hidden="false" customHeight="false" outlineLevel="0" collapsed="false">
      <c r="A57" s="243"/>
      <c r="B57" s="243" t="s">
        <v>296</v>
      </c>
      <c r="C57" s="177" t="n">
        <v>129</v>
      </c>
      <c r="D57" s="244" t="n">
        <v>39.4</v>
      </c>
      <c r="E57" s="244" t="n">
        <v>344.6</v>
      </c>
      <c r="F57" s="244" t="n">
        <v>6.6</v>
      </c>
      <c r="G57" s="244" t="n">
        <v>8.3</v>
      </c>
      <c r="H57" s="244" t="n">
        <v>31.2</v>
      </c>
      <c r="I57" s="244" t="n">
        <v>342</v>
      </c>
    </row>
    <row r="58" customFormat="false" ht="15" hidden="false" customHeight="false" outlineLevel="0" collapsed="false">
      <c r="A58" s="243"/>
      <c r="B58" s="243" t="s">
        <v>297</v>
      </c>
      <c r="C58" s="177" t="n">
        <v>1144</v>
      </c>
      <c r="D58" s="244" t="n">
        <v>40.1</v>
      </c>
      <c r="E58" s="244" t="n">
        <v>352.1</v>
      </c>
      <c r="F58" s="244" t="n">
        <v>7.9</v>
      </c>
      <c r="G58" s="244" t="n">
        <v>7.9</v>
      </c>
      <c r="H58" s="244" t="n">
        <v>18.9</v>
      </c>
      <c r="I58" s="244" t="n">
        <v>588</v>
      </c>
    </row>
    <row r="59" customFormat="false" ht="15" hidden="false" customHeight="false" outlineLevel="0" collapsed="false">
      <c r="A59" s="243" t="s">
        <v>540</v>
      </c>
      <c r="B59" s="243" t="s">
        <v>527</v>
      </c>
      <c r="C59" s="177" t="n">
        <v>2527</v>
      </c>
      <c r="D59" s="244" t="n">
        <v>40.7</v>
      </c>
      <c r="E59" s="244" t="n">
        <v>365.7</v>
      </c>
      <c r="F59" s="244" t="n">
        <v>6.2</v>
      </c>
      <c r="G59" s="244" t="n">
        <v>10.6</v>
      </c>
      <c r="H59" s="244" t="n">
        <v>93.4</v>
      </c>
      <c r="I59" s="244"/>
    </row>
    <row r="60" customFormat="false" ht="15" hidden="false" customHeight="false" outlineLevel="0" collapsed="false">
      <c r="A60" s="243"/>
      <c r="B60" s="243" t="s">
        <v>291</v>
      </c>
      <c r="C60" s="177" t="n">
        <v>734</v>
      </c>
      <c r="D60" s="244" t="n">
        <v>40.8</v>
      </c>
      <c r="E60" s="244" t="n">
        <v>318.5</v>
      </c>
      <c r="F60" s="244" t="n">
        <v>6.1</v>
      </c>
      <c r="G60" s="244" t="n">
        <v>9.3</v>
      </c>
      <c r="H60" s="244" t="n">
        <v>39.2</v>
      </c>
      <c r="I60" s="244"/>
    </row>
    <row r="61" customFormat="false" ht="15" hidden="false" customHeight="false" outlineLevel="0" collapsed="false">
      <c r="A61" s="243"/>
      <c r="B61" s="243" t="s">
        <v>530</v>
      </c>
      <c r="C61" s="177" t="n">
        <v>2183</v>
      </c>
      <c r="D61" s="244" t="n">
        <v>40.1</v>
      </c>
      <c r="E61" s="244" t="n">
        <v>300.4</v>
      </c>
      <c r="F61" s="244" t="n">
        <v>6.8</v>
      </c>
      <c r="G61" s="244" t="n">
        <v>10.1</v>
      </c>
      <c r="H61" s="244" t="n">
        <v>25.8</v>
      </c>
      <c r="I61" s="244" t="n">
        <v>357</v>
      </c>
    </row>
    <row r="62" customFormat="false" ht="15" hidden="false" customHeight="false" outlineLevel="0" collapsed="false">
      <c r="A62" s="243"/>
      <c r="B62" s="243" t="s">
        <v>295</v>
      </c>
      <c r="C62" s="177" t="n">
        <v>28</v>
      </c>
      <c r="D62" s="244" t="n">
        <v>39.3</v>
      </c>
      <c r="E62" s="244" t="n">
        <v>128.5</v>
      </c>
      <c r="F62" s="244" t="n">
        <v>4.9</v>
      </c>
      <c r="G62" s="244" t="n">
        <v>5.3</v>
      </c>
      <c r="H62" s="244" t="n">
        <v>9.1</v>
      </c>
      <c r="I62" s="244" t="n">
        <v>395</v>
      </c>
    </row>
    <row r="63" customFormat="false" ht="15" hidden="false" customHeight="false" outlineLevel="0" collapsed="false">
      <c r="A63" s="243"/>
      <c r="B63" s="243" t="s">
        <v>296</v>
      </c>
      <c r="C63" s="177" t="n">
        <v>238</v>
      </c>
      <c r="D63" s="244" t="n">
        <v>40.6</v>
      </c>
      <c r="E63" s="244" t="n">
        <v>333</v>
      </c>
      <c r="F63" s="244" t="n">
        <v>6.3</v>
      </c>
      <c r="G63" s="244" t="n">
        <v>8.9</v>
      </c>
      <c r="H63" s="244" t="n">
        <v>24.9</v>
      </c>
      <c r="I63" s="244" t="n">
        <v>413</v>
      </c>
    </row>
    <row r="64" customFormat="false" ht="15" hidden="false" customHeight="false" outlineLevel="0" collapsed="false">
      <c r="A64" s="243"/>
      <c r="B64" s="243" t="s">
        <v>297</v>
      </c>
      <c r="C64" s="177" t="n">
        <v>3824</v>
      </c>
      <c r="D64" s="244" t="n">
        <v>41.8</v>
      </c>
      <c r="E64" s="244" t="n">
        <v>344.2</v>
      </c>
      <c r="F64" s="244" t="n">
        <v>7.5</v>
      </c>
      <c r="G64" s="244" t="n">
        <v>8</v>
      </c>
      <c r="H64" s="244" t="n">
        <v>18.9</v>
      </c>
      <c r="I64" s="244" t="n">
        <v>563</v>
      </c>
    </row>
    <row r="65" customFormat="false" ht="15" hidden="false" customHeight="false" outlineLevel="0" collapsed="false">
      <c r="A65" s="243" t="s">
        <v>541</v>
      </c>
      <c r="B65" s="243" t="s">
        <v>527</v>
      </c>
      <c r="C65" s="177" t="n">
        <v>156</v>
      </c>
      <c r="D65" s="244" t="n">
        <v>36.1</v>
      </c>
      <c r="E65" s="244" t="n">
        <v>253.9</v>
      </c>
      <c r="F65" s="244" t="n">
        <v>5.7</v>
      </c>
      <c r="G65" s="244" t="n">
        <v>8.9</v>
      </c>
      <c r="H65" s="244" t="n">
        <v>119.4</v>
      </c>
      <c r="I65" s="244"/>
    </row>
    <row r="66" customFormat="false" ht="15" hidden="false" customHeight="false" outlineLevel="0" collapsed="false">
      <c r="A66" s="243"/>
      <c r="B66" s="243" t="s">
        <v>291</v>
      </c>
      <c r="C66" s="177" t="n">
        <v>32</v>
      </c>
      <c r="D66" s="244" t="n">
        <v>34.6</v>
      </c>
      <c r="E66" s="244" t="n">
        <v>181.1</v>
      </c>
      <c r="F66" s="244" t="n">
        <v>3.8</v>
      </c>
      <c r="G66" s="244" t="n">
        <v>6.3</v>
      </c>
      <c r="H66" s="244" t="n">
        <v>51.1</v>
      </c>
      <c r="I66" s="244"/>
    </row>
    <row r="67" customFormat="false" ht="15" hidden="false" customHeight="false" outlineLevel="0" collapsed="false">
      <c r="A67" s="243"/>
      <c r="B67" s="243" t="s">
        <v>530</v>
      </c>
      <c r="C67" s="177" t="n">
        <v>59</v>
      </c>
      <c r="D67" s="244" t="n">
        <v>36.4</v>
      </c>
      <c r="E67" s="244" t="n">
        <v>209</v>
      </c>
      <c r="F67" s="244" t="n">
        <v>5.3</v>
      </c>
      <c r="G67" s="244" t="n">
        <v>8.4</v>
      </c>
      <c r="H67" s="244" t="n">
        <v>31.8</v>
      </c>
      <c r="I67" s="244" t="n">
        <v>197</v>
      </c>
    </row>
    <row r="68" customFormat="false" ht="15" hidden="false" customHeight="false" outlineLevel="0" collapsed="false">
      <c r="A68" s="243"/>
      <c r="B68" s="243" t="s">
        <v>295</v>
      </c>
      <c r="C68" s="177" t="n">
        <v>4</v>
      </c>
      <c r="D68" s="244" t="n">
        <v>40</v>
      </c>
      <c r="E68" s="244" t="n">
        <v>106.8</v>
      </c>
      <c r="F68" s="244" t="n">
        <v>3</v>
      </c>
      <c r="G68" s="244" t="n">
        <v>5.5</v>
      </c>
      <c r="H68" s="244" t="n">
        <v>17.1</v>
      </c>
      <c r="I68" s="244" t="n">
        <v>167</v>
      </c>
    </row>
    <row r="69" customFormat="false" ht="15" hidden="false" customHeight="false" outlineLevel="0" collapsed="false">
      <c r="A69" s="243"/>
      <c r="B69" s="243" t="s">
        <v>296</v>
      </c>
      <c r="C69" s="177" t="n">
        <v>102</v>
      </c>
      <c r="D69" s="244" t="n">
        <v>36.8</v>
      </c>
      <c r="E69" s="244" t="n">
        <v>270.2</v>
      </c>
      <c r="F69" s="244" t="n">
        <v>5.9</v>
      </c>
      <c r="G69" s="244" t="n">
        <v>8.4</v>
      </c>
      <c r="H69" s="244" t="n">
        <v>37.7</v>
      </c>
      <c r="I69" s="244" t="n">
        <v>219</v>
      </c>
    </row>
    <row r="70" customFormat="false" ht="15" hidden="false" customHeight="false" outlineLevel="0" collapsed="false">
      <c r="A70" s="243"/>
      <c r="B70" s="243" t="s">
        <v>297</v>
      </c>
      <c r="C70" s="177" t="n">
        <v>94</v>
      </c>
      <c r="D70" s="244" t="n">
        <v>35.3</v>
      </c>
      <c r="E70" s="244" t="n">
        <v>257.9</v>
      </c>
      <c r="F70" s="244" t="n">
        <v>536</v>
      </c>
      <c r="G70" s="244" t="n">
        <v>5.1</v>
      </c>
      <c r="H70" s="244" t="n">
        <v>27.6</v>
      </c>
      <c r="I70" s="244" t="n">
        <v>286</v>
      </c>
    </row>
    <row r="71" customFormat="false" ht="15" hidden="false" customHeight="false" outlineLevel="0" collapsed="false">
      <c r="A71" s="243" t="s">
        <v>542</v>
      </c>
      <c r="B71" s="243" t="s">
        <v>527</v>
      </c>
      <c r="C71" s="177" t="n">
        <v>9</v>
      </c>
      <c r="D71" s="244" t="n">
        <v>31.4</v>
      </c>
      <c r="E71" s="244" t="n">
        <v>314.2</v>
      </c>
      <c r="F71" s="244" t="n">
        <v>6.8</v>
      </c>
      <c r="G71" s="244" t="n">
        <v>13</v>
      </c>
      <c r="H71" s="244" t="n">
        <v>88.2</v>
      </c>
      <c r="I71" s="244"/>
    </row>
    <row r="72" customFormat="false" ht="15" hidden="false" customHeight="false" outlineLevel="0" collapsed="false">
      <c r="A72" s="243"/>
      <c r="B72" s="243" t="s">
        <v>291</v>
      </c>
      <c r="C72" s="177"/>
      <c r="D72" s="244"/>
      <c r="E72" s="244"/>
      <c r="F72" s="244"/>
      <c r="G72" s="244"/>
      <c r="H72" s="244"/>
      <c r="I72" s="244"/>
    </row>
    <row r="73" customFormat="false" ht="15" hidden="false" customHeight="false" outlineLevel="0" collapsed="false">
      <c r="A73" s="243"/>
      <c r="B73" s="243" t="s">
        <v>530</v>
      </c>
      <c r="C73" s="177" t="n">
        <v>8</v>
      </c>
      <c r="D73" s="244" t="n">
        <v>38.2</v>
      </c>
      <c r="E73" s="244" t="n">
        <v>267.8</v>
      </c>
      <c r="F73" s="244" t="n">
        <v>5.9</v>
      </c>
      <c r="G73" s="244" t="n">
        <v>10.1</v>
      </c>
      <c r="H73" s="244" t="n">
        <v>30.2</v>
      </c>
      <c r="I73" s="244" t="n">
        <v>271</v>
      </c>
    </row>
    <row r="74" customFormat="false" ht="15" hidden="false" customHeight="false" outlineLevel="0" collapsed="false">
      <c r="A74" s="243"/>
      <c r="B74" s="243" t="s">
        <v>295</v>
      </c>
      <c r="C74" s="177" t="n">
        <v>2</v>
      </c>
      <c r="D74" s="244" t="n">
        <v>30.5</v>
      </c>
      <c r="E74" s="244" t="n">
        <v>147.4</v>
      </c>
      <c r="F74" s="244" t="n">
        <v>5.5</v>
      </c>
      <c r="G74" s="244" t="n">
        <v>5.5</v>
      </c>
      <c r="H74" s="244" t="n">
        <v>12.1</v>
      </c>
      <c r="I74" s="244" t="n">
        <v>358</v>
      </c>
    </row>
    <row r="75" customFormat="false" ht="15" hidden="false" customHeight="false" outlineLevel="0" collapsed="false">
      <c r="A75" s="243"/>
      <c r="B75" s="243" t="s">
        <v>296</v>
      </c>
      <c r="C75" s="177"/>
      <c r="D75" s="244"/>
      <c r="E75" s="244"/>
      <c r="F75" s="244"/>
      <c r="G75" s="244"/>
      <c r="H75" s="244"/>
      <c r="I75" s="244"/>
    </row>
    <row r="76" customFormat="false" ht="15" hidden="false" customHeight="false" outlineLevel="0" collapsed="false">
      <c r="A76" s="243"/>
      <c r="B76" s="243" t="s">
        <v>297</v>
      </c>
      <c r="C76" s="177" t="n">
        <v>5</v>
      </c>
      <c r="D76" s="244" t="n">
        <v>36.6</v>
      </c>
      <c r="E76" s="244" t="n">
        <v>367.1</v>
      </c>
      <c r="F76" s="244" t="n">
        <v>7.3</v>
      </c>
      <c r="G76" s="244" t="n">
        <v>7.7</v>
      </c>
      <c r="H76" s="244" t="n">
        <v>27.6</v>
      </c>
      <c r="I76" s="244" t="n">
        <v>415</v>
      </c>
    </row>
    <row r="77" customFormat="false" ht="15" hidden="false" customHeight="false" outlineLevel="0" collapsed="false">
      <c r="A77" s="243" t="s">
        <v>536</v>
      </c>
      <c r="B77" s="243" t="s">
        <v>527</v>
      </c>
      <c r="C77" s="177" t="n">
        <v>2553</v>
      </c>
      <c r="D77" s="244"/>
      <c r="E77" s="244" t="n">
        <v>357.4</v>
      </c>
      <c r="F77" s="244" t="n">
        <v>6</v>
      </c>
      <c r="G77" s="244" t="n">
        <v>10.1</v>
      </c>
      <c r="H77" s="244" t="n">
        <v>90.9</v>
      </c>
      <c r="I77" s="244"/>
      <c r="J77" s="48" t="n">
        <f aca="false">C77/C41</f>
        <v>0.150824127134164</v>
      </c>
    </row>
    <row r="78" customFormat="false" ht="15" hidden="false" customHeight="false" outlineLevel="0" collapsed="false">
      <c r="A78" s="243"/>
      <c r="B78" s="243" t="s">
        <v>291</v>
      </c>
      <c r="C78" s="177" t="n">
        <v>1385</v>
      </c>
      <c r="D78" s="244"/>
      <c r="E78" s="244" t="n">
        <v>317</v>
      </c>
      <c r="F78" s="244" t="n">
        <v>5.6</v>
      </c>
      <c r="G78" s="244" t="n">
        <v>9.4</v>
      </c>
      <c r="H78" s="244" t="n">
        <v>34.7</v>
      </c>
      <c r="I78" s="244"/>
      <c r="J78" s="48" t="n">
        <f aca="false">C78/C42</f>
        <v>0.228021073427725</v>
      </c>
    </row>
    <row r="79" customFormat="false" ht="15" hidden="false" customHeight="false" outlineLevel="0" collapsed="false">
      <c r="A79" s="243"/>
      <c r="B79" s="243" t="s">
        <v>530</v>
      </c>
      <c r="C79" s="177" t="n">
        <v>5150</v>
      </c>
      <c r="D79" s="244" t="n">
        <v>40</v>
      </c>
      <c r="E79" s="244" t="n">
        <v>307.2</v>
      </c>
      <c r="F79" s="244" t="n">
        <v>6.3</v>
      </c>
      <c r="G79" s="244" t="n">
        <v>9.9</v>
      </c>
      <c r="H79" s="244" t="n">
        <v>25.6</v>
      </c>
      <c r="I79" s="244" t="n">
        <v>368</v>
      </c>
      <c r="J79" s="48" t="n">
        <f aca="false">C79/C43</f>
        <v>0.231543925905944</v>
      </c>
    </row>
    <row r="80" customFormat="false" ht="15" hidden="false" customHeight="false" outlineLevel="0" collapsed="false">
      <c r="A80" s="243"/>
      <c r="B80" s="243" t="s">
        <v>295</v>
      </c>
      <c r="C80" s="177" t="n">
        <v>322</v>
      </c>
      <c r="D80" s="244" t="n">
        <v>40</v>
      </c>
      <c r="E80" s="244" t="n">
        <v>162.7</v>
      </c>
      <c r="F80" s="244" t="n">
        <v>5.7</v>
      </c>
      <c r="G80" s="244" t="n">
        <v>7.1</v>
      </c>
      <c r="H80" s="244" t="n">
        <v>9.4</v>
      </c>
      <c r="I80" s="244" t="n">
        <v>501</v>
      </c>
      <c r="J80" s="48" t="n">
        <f aca="false">C80/C44</f>
        <v>0.387951807228916</v>
      </c>
    </row>
    <row r="81" customFormat="false" ht="15" hidden="false" customHeight="false" outlineLevel="0" collapsed="false">
      <c r="A81" s="243"/>
      <c r="B81" s="243" t="s">
        <v>296</v>
      </c>
      <c r="C81" s="177" t="n">
        <v>2548</v>
      </c>
      <c r="D81" s="244" t="n">
        <v>40.2</v>
      </c>
      <c r="E81" s="244" t="n">
        <v>338.1</v>
      </c>
      <c r="F81" s="244" t="n">
        <v>5.9</v>
      </c>
      <c r="G81" s="244" t="n">
        <v>8.7</v>
      </c>
      <c r="H81" s="244" t="n">
        <v>26.7</v>
      </c>
      <c r="I81" s="244" t="n">
        <v>391</v>
      </c>
      <c r="J81" s="48" t="n">
        <f aca="false">C81/C45</f>
        <v>0.42494996664443</v>
      </c>
    </row>
    <row r="82" customFormat="false" ht="15" hidden="false" customHeight="false" outlineLevel="0" collapsed="false">
      <c r="A82" s="243"/>
      <c r="B82" s="243" t="s">
        <v>297</v>
      </c>
      <c r="C82" s="177" t="n">
        <v>5396</v>
      </c>
      <c r="D82" s="244" t="n">
        <v>40.3</v>
      </c>
      <c r="E82" s="244" t="n">
        <v>348.6</v>
      </c>
      <c r="F82" s="244" t="n">
        <v>7</v>
      </c>
      <c r="G82" s="244" t="n">
        <v>8</v>
      </c>
      <c r="H82" s="244" t="n">
        <v>18.7</v>
      </c>
      <c r="I82" s="244" t="n">
        <v>577</v>
      </c>
      <c r="J82" s="48" t="n">
        <f aca="false">C82/C46</f>
        <v>0.182420554428668</v>
      </c>
      <c r="N82" s="0" t="s">
        <v>480</v>
      </c>
      <c r="P82" s="0" t="s">
        <v>481</v>
      </c>
      <c r="R82" s="0" t="s">
        <v>515</v>
      </c>
    </row>
    <row r="83" customFormat="false" ht="15" hidden="false" customHeight="false" outlineLevel="0" collapsed="false">
      <c r="A83" s="164" t="s">
        <v>543</v>
      </c>
      <c r="B83" s="164" t="s">
        <v>527</v>
      </c>
      <c r="C83" s="241" t="n">
        <f aca="false">C89+C95+C101+C107+C113+C119+C125</f>
        <v>10840</v>
      </c>
      <c r="D83" s="242" t="n">
        <f aca="false">($C89*D89+$C95*D95+$C101*D101+$C107*D107+$C113*D113+$C119*D119+$C125*D125)/$C83</f>
        <v>42.594852398524</v>
      </c>
      <c r="E83" s="242" t="n">
        <f aca="false">($C89*E89+$C95*E95+$C101*E101+$C107*E107+$C113*E113+$C119*E119+$C125*E125)/$C83</f>
        <v>390.731614391144</v>
      </c>
      <c r="F83" s="242" t="n">
        <f aca="false">($C89*F89+$C95*F95+$C101*F101+$C107*F107+$C113*F113+$C119*F119+$C125*F125)/$C83</f>
        <v>7.09369003690037</v>
      </c>
      <c r="G83" s="242" t="n">
        <f aca="false">($C89*G89+$C95*G95+$C101*G101+$C107*G107+$C113*G113+$C119*G119+$C125*G125)/$C83</f>
        <v>8.31891143911439</v>
      </c>
      <c r="H83" s="242" t="n">
        <f aca="false">($C89*H89+$C95*H95+$C101*H101+$C107*H107+$C113*H113+$C119*H119+$C125*H125)/$C83</f>
        <v>90.9611162361624</v>
      </c>
      <c r="I83" s="242"/>
      <c r="K83" s="0" t="s">
        <v>528</v>
      </c>
      <c r="L83" s="13" t="n">
        <f aca="false">SUMPRODUCT(C83:C84,H83:H84)/SUM(C83:C84)/12</f>
        <v>6.39762059973924</v>
      </c>
      <c r="M83" s="0" t="s">
        <v>529</v>
      </c>
      <c r="N83" s="35" t="n">
        <f aca="false">C89+C95+C101+C107+C113+C119</f>
        <v>7052</v>
      </c>
      <c r="O83" s="48" t="n">
        <f aca="false">N83/C83</f>
        <v>0.650553505535055</v>
      </c>
      <c r="P83" s="0" t="n">
        <f aca="false">($C89*E89+$C95*E95+$C101*E101+$C107*E107+$C113*E113+$C119*E119)/$N83</f>
        <v>404.821993760635</v>
      </c>
      <c r="Q83" s="48" t="n">
        <f aca="false">P83/E83</f>
        <v>1.03606152881038</v>
      </c>
      <c r="R83" s="0" t="n">
        <f aca="false">($C89*H89+$C95*H95+$C101*H101+$C107*H107+$C113*H113+$C119*H119)/$N83</f>
        <v>93.8945689166194</v>
      </c>
      <c r="S83" s="48" t="n">
        <f aca="false">R83/H83</f>
        <v>1.03224952377278</v>
      </c>
    </row>
    <row r="84" customFormat="false" ht="15" hidden="false" customHeight="false" outlineLevel="0" collapsed="false">
      <c r="A84" s="164"/>
      <c r="B84" s="164" t="s">
        <v>291</v>
      </c>
      <c r="C84" s="241" t="n">
        <f aca="false">C90+C96+C102+C108+C114+C120+C126</f>
        <v>3733</v>
      </c>
      <c r="D84" s="242" t="n">
        <f aca="false">($C90*D90+$C96*D96+$C102*D102+$C108*D108+$C114*D114+$C120*D120+$C126*D126)/$C84</f>
        <v>41.4395392445754</v>
      </c>
      <c r="E84" s="242" t="n">
        <f aca="false">($C90*E90+$C96*E96+$C102*E102+$C108*E108+$C114*E114+$C120*E120+$C126*E126)/$C84</f>
        <v>329.780123225288</v>
      </c>
      <c r="F84" s="242" t="n">
        <f aca="false">($C90*F90+$C96*F96+$C102*F102+$C108*F108+$C114*F114+$C120*F120+$C126*F126)/$C84</f>
        <v>6.28915081703723</v>
      </c>
      <c r="G84" s="242" t="n">
        <f aca="false">($C90*G90+$C96*G96+$C102*G102+$C108*G108+$C114*G114+$C120*G120+$C126*G126)/$C84</f>
        <v>7.63707473881597</v>
      </c>
      <c r="H84" s="242" t="n">
        <f aca="false">($C90*H90+$C96*H96+$C102*H102+$C108*H108+$C114*H114+$C120*H120+$C126*H126)/$C84</f>
        <v>35.5670506295205</v>
      </c>
      <c r="I84" s="242"/>
      <c r="K84" s="0" t="s">
        <v>168</v>
      </c>
      <c r="L84" s="48" t="e">
        <f aca="false">1/(L83-'antal djur'!#ref!/12)</f>
        <v>#VALUE!</v>
      </c>
      <c r="N84" s="35" t="n">
        <f aca="false">C90+C96+C102+C108+C114+C120</f>
        <v>1517</v>
      </c>
      <c r="O84" s="48" t="n">
        <f aca="false">N84/C84</f>
        <v>0.406375569247254</v>
      </c>
      <c r="P84" s="0" t="n">
        <f aca="false">($C90*E90+$C96*E96+$C102*E102+$C108*E108+$C114*E114+$C120*E120)/$N84</f>
        <v>344.651021753461</v>
      </c>
      <c r="Q84" s="48" t="n">
        <f aca="false">P84/E84</f>
        <v>1.04509337428446</v>
      </c>
      <c r="R84" s="0" t="n">
        <f aca="false">($C90*H90+$C96*H96+$C102*H102+$C108*H108+$C114*H114+$C120*H120)/$N84</f>
        <v>37.7100856954515</v>
      </c>
      <c r="S84" s="48" t="n">
        <f aca="false">R84/H84</f>
        <v>1.06025338137406</v>
      </c>
    </row>
    <row r="85" customFormat="false" ht="15" hidden="false" customHeight="false" outlineLevel="0" collapsed="false">
      <c r="A85" s="164"/>
      <c r="B85" s="164" t="s">
        <v>530</v>
      </c>
      <c r="C85" s="241" t="n">
        <f aca="false">C91+C97+C103+C109+C115+C121+C127</f>
        <v>14290</v>
      </c>
      <c r="D85" s="242" t="n">
        <f aca="false">($C91*D91+$C97*D97+$C103*D103+$C109*D109+$C115*D115+$C121*D121+$C127*D127)/$C85</f>
        <v>40.5979496151155</v>
      </c>
      <c r="E85" s="242" t="n">
        <f aca="false">($C91*E91+$C97*E97+$C103*E103+$C109*E109+$C115*E115+$C121*E121+$C127*E127)/$C85</f>
        <v>320.536074177747</v>
      </c>
      <c r="F85" s="242" t="n">
        <f aca="false">($C91*F91+$C97*F97+$C103*F103+$C109*F109+$C115*F115+$C121*F121+$C127*F127)/$C85</f>
        <v>7.18327501749475</v>
      </c>
      <c r="G85" s="242" t="n">
        <f aca="false">($C91*G91+$C97*G97+$C103*G103+$C109*G109+$C115*G115+$C121*G121+$C127*G127)/$C85</f>
        <v>8.61229531140658</v>
      </c>
      <c r="H85" s="242" t="n">
        <f aca="false">($C91*H91+$C97*H97+$C103*H103+$C109*H109+$C115*H115+$C121*H121+$C127*H127)/$C85</f>
        <v>24.2490622813156</v>
      </c>
      <c r="I85" s="242" t="n">
        <f aca="false">($C91*I91+$C97*I97+$C103*I103+$C109*I109+$C115*I115+$C121*I121+$C127*I127)/$C85</f>
        <v>406.887473757873</v>
      </c>
      <c r="K85" s="0" t="s">
        <v>531</v>
      </c>
      <c r="L85" s="48" t="n">
        <f aca="false">(C87*(I87/12))/(C87*(I87/12)+C88*(I88/12))</f>
        <v>0.0860382995396904</v>
      </c>
      <c r="N85" s="35" t="n">
        <f aca="false">C91+C97+C103+C109+C115+C121</f>
        <v>5517</v>
      </c>
      <c r="O85" s="48" t="n">
        <f aca="false">N85/C85</f>
        <v>0.386074177746676</v>
      </c>
      <c r="P85" s="0" t="n">
        <f aca="false">($C91*E91+$C97*E97+$C103*E103+$C109*E109+$C115*E115+$C121*E121)/$N85</f>
        <v>323.13771977524</v>
      </c>
      <c r="Q85" s="48" t="n">
        <f aca="false">P85/E85</f>
        <v>1.00811654539717</v>
      </c>
      <c r="R85" s="0" t="n">
        <f aca="false">($C91*H91+$C97*H97+$C103*H103+$C109*H109+$C115*H115+$C121*H121)/$N85</f>
        <v>23.5319920246511</v>
      </c>
      <c r="S85" s="48" t="n">
        <f aca="false">R85/H85</f>
        <v>0.970428949031277</v>
      </c>
    </row>
    <row r="86" customFormat="false" ht="15" hidden="false" customHeight="false" outlineLevel="0" collapsed="false">
      <c r="A86" s="164"/>
      <c r="B86" s="164" t="s">
        <v>295</v>
      </c>
      <c r="C86" s="241" t="n">
        <f aca="false">C92+C98+C104+C110+C116+C122+C128</f>
        <v>442</v>
      </c>
      <c r="D86" s="242" t="n">
        <f aca="false">($C92*D92+$C98*D98+$C104*D104+$C110*D110+$C116*D116+$C122*D122+$C128*D128)/$C86</f>
        <v>40.9776018099548</v>
      </c>
      <c r="E86" s="242" t="n">
        <f aca="false">($C92*E92+$C98*E98+$C104*E104+$C110*E110+$C116*E116+$C122*E122+$C128*E128)/$C86</f>
        <v>192.719004524887</v>
      </c>
      <c r="F86" s="242" t="n">
        <f aca="false">($C92*F92+$C98*F98+$C104*F104+$C110*F110+$C116*F116+$C122*F122+$C128*F128)/$C86</f>
        <v>7.29932126696833</v>
      </c>
      <c r="G86" s="242" t="n">
        <f aca="false">($C92*G92+$C98*G98+$C104*G104+$C110*G110+$C116*G116+$C122*G122+$C128*G128)/$C86</f>
        <v>6.11018099547511</v>
      </c>
      <c r="H86" s="242" t="n">
        <f aca="false">($C92*H92+$C98*H98+$C104*H104+$C110*H110+$C116*H116+$C122*H122+$C128*H128)/$C86</f>
        <v>9.30294117647059</v>
      </c>
      <c r="I86" s="242" t="n">
        <f aca="false">($C92*I92+$C98*I98+$C104*I104+$C110*I110+$C116*I116+$C122*I122+$C128*I128)/$C86</f>
        <v>599.237556561086</v>
      </c>
      <c r="N86" s="35" t="n">
        <f aca="false">C92+C98+C104+C110+C116+C122</f>
        <v>96</v>
      </c>
      <c r="O86" s="48" t="n">
        <f aca="false">N86/C86</f>
        <v>0.217194570135747</v>
      </c>
      <c r="P86" s="0" t="n">
        <f aca="false">($C92*E92+$C98*E98+$C104*E104+$C110*E110+$C116*E116+$C122*E122)/$N86</f>
        <v>239.28125</v>
      </c>
      <c r="Q86" s="48" t="n">
        <f aca="false">P86/E86</f>
        <v>1.24160692190116</v>
      </c>
      <c r="R86" s="0" t="n">
        <f aca="false">($C92*H92+$C98*H98+$C104*H104+$C110*H110+$C116*H116+$C122*H122)/$N86</f>
        <v>10.7552083333333</v>
      </c>
      <c r="S86" s="48" t="n">
        <f aca="false">R86/H86</f>
        <v>1.15610838866055</v>
      </c>
    </row>
    <row r="87" customFormat="false" ht="15" hidden="false" customHeight="false" outlineLevel="0" collapsed="false">
      <c r="A87" s="164"/>
      <c r="B87" s="164" t="s">
        <v>296</v>
      </c>
      <c r="C87" s="241" t="n">
        <f aca="false">C93+C99+C105+C111+C117+C123+C129</f>
        <v>2979</v>
      </c>
      <c r="D87" s="242" t="n">
        <f aca="false">($C93*D93+$C99*D99+$C105*D105+$C111*D111+$C117*D117+$C123*D123+$C129*D129)/$C87</f>
        <v>40.2693856998993</v>
      </c>
      <c r="E87" s="242" t="n">
        <f aca="false">($C93*E93+$C99*E99+$C105*E105+$C111*E111+$C117*E117+$C123*E123+$C129*E129)/$C87</f>
        <v>343.340751930178</v>
      </c>
      <c r="F87" s="242" t="n">
        <f aca="false">($C93*F93+$C99*F99+$C105*F105+$C111*F111+$C117*F117+$C123*F123+$C129*F129)/$C87</f>
        <v>6.2014434373951</v>
      </c>
      <c r="G87" s="242" t="n">
        <f aca="false">($C93*G93+$C99*G99+$C105*G105+$C111*G111+$C117*G117+$C123*G123+$C129*G129)/$C87</f>
        <v>7.42473984558577</v>
      </c>
      <c r="H87" s="242" t="n">
        <f aca="false">($C93*H93+$C99*H99+$C105*H105+$C111*H111+$C117*H117+$C123*H123+$C129*H129)/$C87</f>
        <v>25.733769721383</v>
      </c>
      <c r="I87" s="242" t="n">
        <f aca="false">($C93*I93+$C99*I99+$C105*I105+$C111*I111+$C117*I117+$C123*I123+$C129*I129)/$C87</f>
        <v>413.218529707956</v>
      </c>
      <c r="N87" s="35" t="n">
        <f aca="false">C93+C99+C105+C111+C117+C123</f>
        <v>238</v>
      </c>
      <c r="O87" s="48" t="n">
        <f aca="false">N87/C87</f>
        <v>0.0798925814031554</v>
      </c>
      <c r="P87" s="0" t="n">
        <f aca="false">($C93*E93+$C99*E99+$C105*E105+$C111*E111+$C117*E117+$C123*E123)/$N87</f>
        <v>343.810084033613</v>
      </c>
      <c r="Q87" s="48" t="n">
        <f aca="false">P87/E87</f>
        <v>1.00136695717242</v>
      </c>
      <c r="R87" s="0" t="n">
        <f aca="false">($C93*H93+$C99*H99+$C105*H105+$C111*H111+$C117*H117+$C123*H123)/$N87</f>
        <v>23.8193277310924</v>
      </c>
      <c r="S87" s="48" t="n">
        <f aca="false">R87/H87</f>
        <v>0.925605847451887</v>
      </c>
    </row>
    <row r="88" customFormat="false" ht="15" hidden="false" customHeight="false" outlineLevel="0" collapsed="false">
      <c r="A88" s="164"/>
      <c r="B88" s="164" t="s">
        <v>297</v>
      </c>
      <c r="C88" s="241" t="n">
        <f aca="false">C94+C100+C106+C112+C118+C124+C130</f>
        <v>19117</v>
      </c>
      <c r="D88" s="242" t="n">
        <f aca="false">($C94*D94+$C100*D100+$C106*D106+$C112*D112+$C118*D118+$C124*D124+$C130*D130)/$C88</f>
        <v>43.3847779463305</v>
      </c>
      <c r="E88" s="242" t="n">
        <f aca="false">($C94*E94+$C100*E100+$C106*E106+$C112*E112+$C118*E118+$C124*E124+$C130*E130)/$C88</f>
        <v>373.478966365015</v>
      </c>
      <c r="F88" s="242" t="n">
        <f aca="false">($C94*F94+$C100*F100+$C106*F106+$C112*F112+$C118*F118+$C124*F124+$C130*F130)/$C88</f>
        <v>8.6241198932887</v>
      </c>
      <c r="G88" s="242" t="n">
        <f aca="false">($C94*G94+$C100*G100+$C106*G106+$C112*G112+$C118*G118+$C124*G124+$C130*G130)/$C88</f>
        <v>6.80237484961029</v>
      </c>
      <c r="H88" s="242" t="n">
        <f aca="false">($C94*H94+$C100*H100+$C106*H106+$C112*H112+$C118*H118+$C124*H124+$C130*H130)/$C88</f>
        <v>16.99165140974</v>
      </c>
      <c r="I88" s="242" t="n">
        <f aca="false">($C94*I94+$C100*I100+$C106*I106+$C112*I112+$C118*I118+$C124*I124+$C130*I130)/$C88</f>
        <v>684.01673902809</v>
      </c>
      <c r="N88" s="35" t="n">
        <f aca="false">C94+C100+C106+C112+C118+C124</f>
        <v>10081</v>
      </c>
      <c r="O88" s="48" t="n">
        <f aca="false">N88/C88</f>
        <v>0.5273316943035</v>
      </c>
      <c r="P88" s="0" t="n">
        <f aca="false">($C94*E94+$C100*E100+$C106*E106+$C112*E112+$C118*E118+$C124*E124)/$N88</f>
        <v>379.644856661046</v>
      </c>
      <c r="Q88" s="48" t="n">
        <f aca="false">P88/E88</f>
        <v>1.01650933747633</v>
      </c>
      <c r="R88" s="0" t="n">
        <f aca="false">($C94*H94+$C100*H100+$C106*H106+$C112*H112+$C118*H118+$C124*H124)/$N88</f>
        <v>16.0878285884337</v>
      </c>
      <c r="S88" s="48" t="n">
        <f aca="false">R88/H88</f>
        <v>0.946807829356231</v>
      </c>
    </row>
    <row r="89" customFormat="false" ht="15" hidden="false" customHeight="false" outlineLevel="0" collapsed="false">
      <c r="A89" s="243" t="s">
        <v>544</v>
      </c>
      <c r="B89" s="243" t="s">
        <v>527</v>
      </c>
      <c r="C89" s="177" t="n">
        <v>123</v>
      </c>
      <c r="D89" s="244" t="n">
        <v>43.5</v>
      </c>
      <c r="E89" s="244" t="n">
        <v>417.1</v>
      </c>
      <c r="F89" s="244" t="n">
        <v>9.1</v>
      </c>
      <c r="G89" s="244" t="n">
        <v>7</v>
      </c>
      <c r="H89" s="244" t="n">
        <v>112.8</v>
      </c>
      <c r="I89" s="244"/>
    </row>
    <row r="90" customFormat="false" ht="15" hidden="false" customHeight="false" outlineLevel="0" collapsed="false">
      <c r="A90" s="243"/>
      <c r="B90" s="243" t="s">
        <v>291</v>
      </c>
      <c r="C90" s="177" t="n">
        <v>20</v>
      </c>
      <c r="D90" s="244" t="n">
        <v>43.4</v>
      </c>
      <c r="E90" s="244" t="n">
        <v>343.2</v>
      </c>
      <c r="F90" s="244" t="n">
        <v>8.3</v>
      </c>
      <c r="G90" s="244" t="n">
        <v>5.4</v>
      </c>
      <c r="H90" s="244" t="n">
        <v>36.2</v>
      </c>
      <c r="I90" s="244"/>
    </row>
    <row r="91" customFormat="false" ht="15" hidden="false" customHeight="false" outlineLevel="0" collapsed="false">
      <c r="A91" s="243"/>
      <c r="B91" s="243" t="s">
        <v>530</v>
      </c>
      <c r="C91" s="177" t="n">
        <v>79</v>
      </c>
      <c r="D91" s="244" t="n">
        <v>8</v>
      </c>
      <c r="E91" s="244" t="n">
        <v>344.7</v>
      </c>
      <c r="F91" s="244" t="n">
        <v>9.5</v>
      </c>
      <c r="G91" s="244" t="n">
        <v>7.1</v>
      </c>
      <c r="H91" s="244" t="n">
        <v>23.9</v>
      </c>
      <c r="I91" s="244" t="n">
        <v>443</v>
      </c>
    </row>
    <row r="92" customFormat="false" ht="15" hidden="false" customHeight="false" outlineLevel="0" collapsed="false">
      <c r="A92" s="243"/>
      <c r="B92" s="243" t="s">
        <v>295</v>
      </c>
      <c r="C92" s="177" t="n">
        <v>5</v>
      </c>
      <c r="D92" s="244" t="n">
        <v>44.4</v>
      </c>
      <c r="E92" s="244" t="n">
        <v>177.3</v>
      </c>
      <c r="F92" s="244" t="n">
        <v>10.2</v>
      </c>
      <c r="G92" s="244" t="n">
        <v>4.6</v>
      </c>
      <c r="H92" s="244" t="n">
        <v>8.5</v>
      </c>
      <c r="I92" s="244" t="n">
        <v>597</v>
      </c>
    </row>
    <row r="93" customFormat="false" ht="15" hidden="false" customHeight="false" outlineLevel="0" collapsed="false">
      <c r="A93" s="243"/>
      <c r="B93" s="243" t="s">
        <v>296</v>
      </c>
      <c r="C93" s="177"/>
      <c r="D93" s="244"/>
      <c r="E93" s="244"/>
      <c r="F93" s="244"/>
      <c r="G93" s="244"/>
      <c r="H93" s="244"/>
      <c r="I93" s="244"/>
    </row>
    <row r="94" customFormat="false" ht="15" hidden="false" customHeight="false" outlineLevel="0" collapsed="false">
      <c r="A94" s="243"/>
      <c r="B94" s="243" t="s">
        <v>297</v>
      </c>
      <c r="C94" s="177" t="n">
        <v>129</v>
      </c>
      <c r="D94" s="244" t="n">
        <v>47.9</v>
      </c>
      <c r="E94" s="244" t="n">
        <v>394.5</v>
      </c>
      <c r="F94" s="244" t="n">
        <v>11.8</v>
      </c>
      <c r="G94" s="244" t="n">
        <v>4.5</v>
      </c>
      <c r="H94" s="244" t="n">
        <v>15.7</v>
      </c>
      <c r="I94" s="244" t="n">
        <v>774</v>
      </c>
    </row>
    <row r="95" customFormat="false" ht="15" hidden="false" customHeight="false" outlineLevel="0" collapsed="false">
      <c r="A95" s="243" t="s">
        <v>545</v>
      </c>
      <c r="B95" s="243" t="s">
        <v>527</v>
      </c>
      <c r="C95" s="177" t="n">
        <v>3815</v>
      </c>
      <c r="D95" s="244" t="n">
        <v>44.3</v>
      </c>
      <c r="E95" s="244" t="n">
        <v>419.1</v>
      </c>
      <c r="F95" s="244" t="n">
        <v>7.7</v>
      </c>
      <c r="G95" s="244" t="n">
        <v>8.6</v>
      </c>
      <c r="H95" s="244" t="n">
        <v>94.8</v>
      </c>
      <c r="I95" s="244"/>
    </row>
    <row r="96" customFormat="false" ht="15" hidden="false" customHeight="false" outlineLevel="0" collapsed="false">
      <c r="A96" s="243"/>
      <c r="B96" s="243" t="s">
        <v>291</v>
      </c>
      <c r="C96" s="177" t="n">
        <v>782</v>
      </c>
      <c r="D96" s="244" t="n">
        <v>44.2</v>
      </c>
      <c r="E96" s="244" t="n">
        <v>352.4</v>
      </c>
      <c r="F96" s="244" t="n">
        <v>7.1</v>
      </c>
      <c r="G96" s="244" t="n">
        <v>7.4</v>
      </c>
      <c r="H96" s="244" t="n">
        <v>37.3</v>
      </c>
      <c r="I96" s="244"/>
    </row>
    <row r="97" customFormat="false" ht="15" hidden="false" customHeight="false" outlineLevel="0" collapsed="false">
      <c r="A97" s="243"/>
      <c r="B97" s="243" t="s">
        <v>530</v>
      </c>
      <c r="C97" s="177" t="n">
        <v>3366</v>
      </c>
      <c r="D97" s="244" t="n">
        <v>42.1</v>
      </c>
      <c r="E97" s="244" t="n">
        <v>325.9</v>
      </c>
      <c r="F97" s="244" t="n">
        <v>7.8</v>
      </c>
      <c r="G97" s="244" t="n">
        <v>8.4</v>
      </c>
      <c r="H97" s="244" t="n">
        <v>22.9</v>
      </c>
      <c r="I97" s="244" t="n">
        <v>437</v>
      </c>
    </row>
    <row r="98" customFormat="false" ht="15" hidden="false" customHeight="false" outlineLevel="0" collapsed="false">
      <c r="A98" s="243"/>
      <c r="B98" s="243" t="s">
        <v>295</v>
      </c>
      <c r="C98" s="177" t="n">
        <v>10</v>
      </c>
      <c r="D98" s="244" t="n">
        <v>41.3</v>
      </c>
      <c r="E98" s="244" t="n">
        <v>167.5</v>
      </c>
      <c r="F98" s="244" t="n">
        <v>6.8</v>
      </c>
      <c r="G98" s="244" t="n">
        <v>5.2</v>
      </c>
      <c r="H98" s="244" t="n">
        <v>10.2</v>
      </c>
      <c r="I98" s="244" t="n">
        <v>471</v>
      </c>
    </row>
    <row r="99" customFormat="false" ht="15" hidden="false" customHeight="false" outlineLevel="0" collapsed="false">
      <c r="A99" s="243"/>
      <c r="B99" s="243" t="s">
        <v>296</v>
      </c>
      <c r="C99" s="177" t="n">
        <v>74</v>
      </c>
      <c r="D99" s="244" t="n">
        <v>42.2</v>
      </c>
      <c r="E99" s="244" t="n">
        <v>366.8</v>
      </c>
      <c r="F99" s="244" t="n">
        <v>8.1</v>
      </c>
      <c r="G99" s="244" t="n">
        <v>6.7</v>
      </c>
      <c r="H99" s="244" t="n">
        <v>20.8</v>
      </c>
      <c r="I99" s="244" t="n">
        <v>546</v>
      </c>
    </row>
    <row r="100" customFormat="false" ht="15" hidden="false" customHeight="false" outlineLevel="0" collapsed="false">
      <c r="A100" s="243"/>
      <c r="B100" s="243" t="s">
        <v>297</v>
      </c>
      <c r="C100" s="177" t="n">
        <v>5889</v>
      </c>
      <c r="D100" s="244" t="n">
        <v>46.2</v>
      </c>
      <c r="E100" s="244" t="n">
        <v>382.6</v>
      </c>
      <c r="F100" s="244" t="n">
        <v>9.5</v>
      </c>
      <c r="G100" s="244" t="n">
        <v>6.8</v>
      </c>
      <c r="H100" s="244" t="n">
        <v>15.7</v>
      </c>
      <c r="I100" s="244" t="n">
        <v>751</v>
      </c>
    </row>
    <row r="101" customFormat="false" ht="15" hidden="false" customHeight="false" outlineLevel="0" collapsed="false">
      <c r="A101" s="243" t="s">
        <v>546</v>
      </c>
      <c r="B101" s="243" t="s">
        <v>527</v>
      </c>
      <c r="C101" s="177" t="n">
        <v>11</v>
      </c>
      <c r="D101" s="244" t="n">
        <v>49.5</v>
      </c>
      <c r="E101" s="244" t="n">
        <v>467.2</v>
      </c>
      <c r="F101" s="244" t="n">
        <v>6.7</v>
      </c>
      <c r="G101" s="244" t="n">
        <v>9.5</v>
      </c>
      <c r="H101" s="244" t="n">
        <v>88.4</v>
      </c>
      <c r="I101" s="244"/>
    </row>
    <row r="102" customFormat="false" ht="15" hidden="false" customHeight="false" outlineLevel="0" collapsed="false">
      <c r="A102" s="243"/>
      <c r="B102" s="243" t="s">
        <v>291</v>
      </c>
      <c r="C102" s="177" t="n">
        <v>3</v>
      </c>
      <c r="D102" s="244" t="n">
        <v>49.7</v>
      </c>
      <c r="E102" s="244" t="n">
        <v>370.3</v>
      </c>
      <c r="F102" s="244" t="n">
        <v>8</v>
      </c>
      <c r="G102" s="244" t="n">
        <v>7</v>
      </c>
      <c r="H102" s="244" t="n">
        <v>33.1</v>
      </c>
      <c r="I102" s="244"/>
    </row>
    <row r="103" customFormat="false" ht="15" hidden="false" customHeight="false" outlineLevel="0" collapsed="false">
      <c r="A103" s="243"/>
      <c r="B103" s="243" t="s">
        <v>530</v>
      </c>
      <c r="C103" s="177" t="n">
        <v>5</v>
      </c>
      <c r="D103" s="244" t="n">
        <v>43.6</v>
      </c>
      <c r="E103" s="244" t="n">
        <v>376.9</v>
      </c>
      <c r="F103" s="244" t="n">
        <v>8</v>
      </c>
      <c r="G103" s="244" t="n">
        <v>7.4</v>
      </c>
      <c r="H103" s="244" t="n">
        <v>27.6</v>
      </c>
      <c r="I103" s="244" t="n">
        <v>422</v>
      </c>
    </row>
    <row r="104" customFormat="false" ht="15" hidden="false" customHeight="false" outlineLevel="0" collapsed="false">
      <c r="A104" s="243"/>
      <c r="B104" s="243" t="s">
        <v>295</v>
      </c>
      <c r="C104" s="177" t="n">
        <v>30</v>
      </c>
      <c r="D104" s="244" t="n">
        <v>53.8</v>
      </c>
      <c r="E104" s="244" t="n">
        <v>403.7</v>
      </c>
      <c r="F104" s="244" t="n">
        <v>9.9</v>
      </c>
      <c r="G104" s="244" t="n">
        <v>6.4</v>
      </c>
      <c r="H104" s="244" t="n">
        <v>14.6</v>
      </c>
      <c r="I104" s="244" t="n">
        <v>847</v>
      </c>
    </row>
    <row r="105" customFormat="false" ht="15" hidden="false" customHeight="false" outlineLevel="0" collapsed="false">
      <c r="A105" s="243"/>
      <c r="B105" s="243" t="s">
        <v>296</v>
      </c>
      <c r="C105" s="177"/>
      <c r="D105" s="244"/>
      <c r="E105" s="244"/>
      <c r="F105" s="244"/>
      <c r="G105" s="244"/>
      <c r="H105" s="244"/>
      <c r="I105" s="244"/>
    </row>
    <row r="106" customFormat="false" ht="15" hidden="false" customHeight="false" outlineLevel="0" collapsed="false">
      <c r="A106" s="243"/>
      <c r="B106" s="243" t="s">
        <v>297</v>
      </c>
      <c r="C106" s="177" t="n">
        <v>8</v>
      </c>
      <c r="D106" s="244" t="n">
        <v>53.5</v>
      </c>
      <c r="E106" s="244" t="n">
        <v>381.1</v>
      </c>
      <c r="F106" s="244" t="n">
        <v>7.6</v>
      </c>
      <c r="G106" s="244" t="n">
        <v>6.1</v>
      </c>
      <c r="H106" s="244" t="n">
        <v>17.3</v>
      </c>
      <c r="I106" s="244" t="n">
        <v>671</v>
      </c>
    </row>
    <row r="107" customFormat="false" ht="15" hidden="false" customHeight="false" outlineLevel="0" collapsed="false">
      <c r="A107" s="243" t="s">
        <v>547</v>
      </c>
      <c r="B107" s="243" t="s">
        <v>527</v>
      </c>
      <c r="C107" s="177" t="n">
        <v>3</v>
      </c>
      <c r="D107" s="244" t="n">
        <v>40</v>
      </c>
      <c r="E107" s="244" t="n">
        <v>176.9</v>
      </c>
      <c r="F107" s="244" t="n">
        <v>5</v>
      </c>
      <c r="G107" s="244" t="n">
        <v>11.3</v>
      </c>
      <c r="H107" s="244" t="n">
        <v>212.4</v>
      </c>
      <c r="I107" s="244"/>
    </row>
    <row r="108" customFormat="false" ht="15" hidden="false" customHeight="false" outlineLevel="0" collapsed="false">
      <c r="A108" s="243"/>
      <c r="B108" s="243" t="s">
        <v>291</v>
      </c>
      <c r="C108" s="177"/>
      <c r="D108" s="244"/>
      <c r="E108" s="244"/>
      <c r="F108" s="244"/>
      <c r="G108" s="244"/>
      <c r="H108" s="244"/>
      <c r="I108" s="244"/>
    </row>
    <row r="109" customFormat="false" ht="15" hidden="false" customHeight="false" outlineLevel="0" collapsed="false">
      <c r="A109" s="243"/>
      <c r="B109" s="243" t="s">
        <v>530</v>
      </c>
      <c r="C109" s="177"/>
      <c r="D109" s="244"/>
      <c r="E109" s="244"/>
      <c r="F109" s="244"/>
      <c r="G109" s="244"/>
      <c r="H109" s="244"/>
      <c r="I109" s="244"/>
    </row>
    <row r="110" customFormat="false" ht="15" hidden="false" customHeight="false" outlineLevel="0" collapsed="false">
      <c r="A110" s="243"/>
      <c r="B110" s="243" t="s">
        <v>295</v>
      </c>
      <c r="C110" s="177" t="n">
        <v>1</v>
      </c>
      <c r="D110" s="244" t="n">
        <v>22</v>
      </c>
      <c r="E110" s="244" t="n">
        <v>91.5</v>
      </c>
      <c r="F110" s="244" t="n">
        <v>4</v>
      </c>
      <c r="G110" s="244" t="n">
        <v>2</v>
      </c>
      <c r="H110" s="244" t="n">
        <v>11.9</v>
      </c>
      <c r="I110" s="244" t="n">
        <v>222</v>
      </c>
    </row>
    <row r="111" customFormat="false" ht="15" hidden="false" customHeight="false" outlineLevel="0" collapsed="false">
      <c r="A111" s="243"/>
      <c r="B111" s="243" t="s">
        <v>296</v>
      </c>
      <c r="C111" s="177"/>
      <c r="D111" s="244"/>
      <c r="E111" s="244"/>
      <c r="F111" s="244"/>
      <c r="G111" s="244"/>
      <c r="H111" s="244"/>
      <c r="I111" s="244"/>
    </row>
    <row r="112" customFormat="false" ht="15" hidden="false" customHeight="false" outlineLevel="0" collapsed="false">
      <c r="A112" s="243"/>
      <c r="B112" s="243" t="s">
        <v>297</v>
      </c>
      <c r="C112" s="177" t="n">
        <v>2</v>
      </c>
      <c r="D112" s="244" t="n">
        <v>31.5</v>
      </c>
      <c r="E112" s="244" t="n">
        <v>148.5</v>
      </c>
      <c r="F112" s="244" t="n">
        <v>6</v>
      </c>
      <c r="G112" s="244" t="n">
        <v>3.5</v>
      </c>
      <c r="H112" s="244" t="n">
        <v>21.8</v>
      </c>
      <c r="I112" s="244" t="n">
        <v>200</v>
      </c>
    </row>
    <row r="113" customFormat="false" ht="15" hidden="false" customHeight="false" outlineLevel="0" collapsed="false">
      <c r="A113" s="243" t="s">
        <v>548</v>
      </c>
      <c r="B113" s="243" t="s">
        <v>527</v>
      </c>
      <c r="C113" s="177" t="n">
        <v>845</v>
      </c>
      <c r="D113" s="244" t="n">
        <v>40.4</v>
      </c>
      <c r="E113" s="244" t="n">
        <v>390.4</v>
      </c>
      <c r="F113" s="244" t="n">
        <v>8.6</v>
      </c>
      <c r="G113" s="244" t="n">
        <v>8.6</v>
      </c>
      <c r="H113" s="244" t="n">
        <v>98.7</v>
      </c>
      <c r="I113" s="244"/>
    </row>
    <row r="114" customFormat="false" ht="15" hidden="false" customHeight="false" outlineLevel="0" collapsed="false">
      <c r="A114" s="243"/>
      <c r="B114" s="243" t="s">
        <v>291</v>
      </c>
      <c r="C114" s="177" t="n">
        <v>159</v>
      </c>
      <c r="D114" s="244" t="n">
        <v>40.7</v>
      </c>
      <c r="E114" s="244" t="n">
        <v>340.5</v>
      </c>
      <c r="F114" s="244" t="n">
        <v>8.1</v>
      </c>
      <c r="G114" s="244" t="n">
        <v>7.3</v>
      </c>
      <c r="H114" s="244" t="n">
        <v>38.3</v>
      </c>
      <c r="I114" s="244"/>
    </row>
    <row r="115" customFormat="false" ht="15" hidden="false" customHeight="false" outlineLevel="0" collapsed="false">
      <c r="A115" s="243"/>
      <c r="B115" s="243" t="s">
        <v>530</v>
      </c>
      <c r="C115" s="177" t="n">
        <v>613</v>
      </c>
      <c r="D115" s="244" t="n">
        <v>39.6</v>
      </c>
      <c r="E115" s="244" t="n">
        <v>308.4</v>
      </c>
      <c r="F115" s="244" t="n">
        <v>8.7</v>
      </c>
      <c r="G115" s="244" t="n">
        <v>7.8</v>
      </c>
      <c r="H115" s="244" t="n">
        <v>25.1</v>
      </c>
      <c r="I115" s="244" t="n">
        <v>378</v>
      </c>
    </row>
    <row r="116" customFormat="false" ht="15" hidden="false" customHeight="false" outlineLevel="0" collapsed="false">
      <c r="A116" s="243"/>
      <c r="B116" s="243" t="s">
        <v>295</v>
      </c>
      <c r="C116" s="177" t="n">
        <v>41</v>
      </c>
      <c r="D116" s="244" t="n">
        <v>39.5</v>
      </c>
      <c r="E116" s="244" t="n">
        <v>166.3</v>
      </c>
      <c r="F116" s="244" t="n">
        <v>10.5</v>
      </c>
      <c r="G116" s="244" t="n">
        <v>4.4</v>
      </c>
      <c r="H116" s="244" t="n">
        <v>8.6</v>
      </c>
      <c r="I116" s="244" t="n">
        <v>567</v>
      </c>
    </row>
    <row r="117" customFormat="false" ht="15" hidden="false" customHeight="false" outlineLevel="0" collapsed="false">
      <c r="A117" s="243"/>
      <c r="B117" s="243" t="s">
        <v>296</v>
      </c>
      <c r="C117" s="177" t="n">
        <v>10</v>
      </c>
      <c r="D117" s="244" t="n">
        <v>39.6</v>
      </c>
      <c r="E117" s="244" t="n">
        <v>341.7</v>
      </c>
      <c r="F117" s="244" t="n">
        <v>9.2</v>
      </c>
      <c r="G117" s="244" t="n">
        <v>6.4</v>
      </c>
      <c r="H117" s="244" t="n">
        <v>24.9</v>
      </c>
      <c r="I117" s="244" t="n">
        <v>424</v>
      </c>
    </row>
    <row r="118" customFormat="false" ht="15" hidden="false" customHeight="false" outlineLevel="0" collapsed="false">
      <c r="A118" s="243"/>
      <c r="B118" s="243" t="s">
        <v>297</v>
      </c>
      <c r="C118" s="177" t="n">
        <v>1185</v>
      </c>
      <c r="D118" s="244" t="n">
        <v>42.5</v>
      </c>
      <c r="E118" s="244" t="n">
        <v>376.9</v>
      </c>
      <c r="F118" s="244" t="n">
        <v>10.8</v>
      </c>
      <c r="G118" s="244" t="n">
        <v>6.3</v>
      </c>
      <c r="H118" s="244" t="n">
        <v>16.8</v>
      </c>
      <c r="I118" s="244" t="n">
        <v>695</v>
      </c>
    </row>
    <row r="119" customFormat="false" ht="15" hidden="false" customHeight="false" outlineLevel="0" collapsed="false">
      <c r="A119" s="243" t="s">
        <v>549</v>
      </c>
      <c r="B119" s="243" t="s">
        <v>527</v>
      </c>
      <c r="C119" s="177" t="n">
        <v>2255</v>
      </c>
      <c r="D119" s="244" t="n">
        <v>43.3</v>
      </c>
      <c r="E119" s="244" t="n">
        <v>385.4</v>
      </c>
      <c r="F119" s="244" t="n">
        <v>6.9</v>
      </c>
      <c r="G119" s="244" t="n">
        <v>8</v>
      </c>
      <c r="H119" s="244" t="n">
        <v>89.4</v>
      </c>
      <c r="I119" s="244"/>
    </row>
    <row r="120" customFormat="false" ht="15" hidden="false" customHeight="false" outlineLevel="0" collapsed="false">
      <c r="A120" s="243"/>
      <c r="B120" s="243" t="s">
        <v>291</v>
      </c>
      <c r="C120" s="177" t="n">
        <v>553</v>
      </c>
      <c r="D120" s="244" t="n">
        <v>42.6</v>
      </c>
      <c r="E120" s="244" t="n">
        <v>334.8</v>
      </c>
      <c r="F120" s="244" t="n">
        <v>6.5</v>
      </c>
      <c r="G120" s="244" t="n">
        <v>7.1</v>
      </c>
      <c r="H120" s="244" t="n">
        <v>38.2</v>
      </c>
      <c r="I120" s="244"/>
    </row>
    <row r="121" customFormat="false" ht="15" hidden="false" customHeight="false" outlineLevel="0" collapsed="false">
      <c r="A121" s="243"/>
      <c r="B121" s="243" t="s">
        <v>530</v>
      </c>
      <c r="C121" s="177" t="n">
        <v>1454</v>
      </c>
      <c r="D121" s="244" t="n">
        <v>41.1</v>
      </c>
      <c r="E121" s="244" t="n">
        <v>321.6</v>
      </c>
      <c r="F121" s="244" t="n">
        <v>7.3</v>
      </c>
      <c r="G121" s="244" t="n">
        <v>8.4</v>
      </c>
      <c r="H121" s="244" t="n">
        <v>24.3</v>
      </c>
      <c r="I121" s="244" t="n">
        <v>407</v>
      </c>
    </row>
    <row r="122" customFormat="false" ht="15" hidden="false" customHeight="false" outlineLevel="0" collapsed="false">
      <c r="A122" s="243"/>
      <c r="B122" s="243" t="s">
        <v>295</v>
      </c>
      <c r="C122" s="177" t="n">
        <v>9</v>
      </c>
      <c r="D122" s="244" t="n">
        <v>42.4</v>
      </c>
      <c r="E122" s="244" t="n">
        <v>154.3</v>
      </c>
      <c r="F122" s="244" t="n">
        <v>6.4</v>
      </c>
      <c r="G122" s="244" t="n">
        <v>4.1</v>
      </c>
      <c r="H122" s="244" t="n">
        <v>9.5</v>
      </c>
      <c r="I122" s="244" t="n">
        <v>461</v>
      </c>
    </row>
    <row r="123" customFormat="false" ht="15" hidden="false" customHeight="false" outlineLevel="0" collapsed="false">
      <c r="A123" s="243"/>
      <c r="B123" s="243" t="s">
        <v>296</v>
      </c>
      <c r="C123" s="177" t="n">
        <v>154</v>
      </c>
      <c r="D123" s="244" t="n">
        <v>42.4</v>
      </c>
      <c r="E123" s="244" t="n">
        <v>332.9</v>
      </c>
      <c r="F123" s="244" t="n">
        <v>6.9</v>
      </c>
      <c r="G123" s="244" t="n">
        <v>6.5</v>
      </c>
      <c r="H123" s="244" t="n">
        <v>25.2</v>
      </c>
      <c r="I123" s="244" t="n">
        <v>406</v>
      </c>
    </row>
    <row r="124" customFormat="false" ht="15" hidden="false" customHeight="false" outlineLevel="0" collapsed="false">
      <c r="A124" s="243"/>
      <c r="B124" s="243" t="s">
        <v>297</v>
      </c>
      <c r="C124" s="177" t="n">
        <v>2868</v>
      </c>
      <c r="D124" s="244" t="n">
        <v>44</v>
      </c>
      <c r="E124" s="244" t="n">
        <v>374.2</v>
      </c>
      <c r="F124" s="244" t="n">
        <v>8.7</v>
      </c>
      <c r="G124" s="244" t="n">
        <v>6.5</v>
      </c>
      <c r="H124" s="244" t="n">
        <v>16.6</v>
      </c>
      <c r="I124" s="244" t="n">
        <v>699</v>
      </c>
    </row>
    <row r="125" customFormat="false" ht="15" hidden="false" customHeight="false" outlineLevel="0" collapsed="false">
      <c r="A125" s="243" t="s">
        <v>536</v>
      </c>
      <c r="B125" s="243" t="s">
        <v>527</v>
      </c>
      <c r="C125" s="177" t="n">
        <v>3788</v>
      </c>
      <c r="D125" s="244" t="n">
        <v>40.9</v>
      </c>
      <c r="E125" s="244" t="n">
        <v>364.5</v>
      </c>
      <c r="F125" s="244" t="n">
        <v>6.2</v>
      </c>
      <c r="G125" s="244" t="n">
        <v>8.2</v>
      </c>
      <c r="H125" s="244" t="n">
        <v>85.5</v>
      </c>
      <c r="I125" s="244"/>
      <c r="J125" s="48" t="n">
        <f aca="false">C125/C41</f>
        <v>0.223784486323625</v>
      </c>
    </row>
    <row r="126" customFormat="false" ht="15" hidden="false" customHeight="false" outlineLevel="0" collapsed="false">
      <c r="A126" s="243"/>
      <c r="B126" s="243" t="s">
        <v>291</v>
      </c>
      <c r="C126" s="177" t="n">
        <v>2216</v>
      </c>
      <c r="D126" s="244" t="n">
        <v>40.2</v>
      </c>
      <c r="E126" s="244" t="n">
        <v>319.6</v>
      </c>
      <c r="F126" s="244" t="n">
        <v>5.8</v>
      </c>
      <c r="G126" s="244" t="n">
        <v>7.9</v>
      </c>
      <c r="H126" s="244" t="n">
        <v>34.1</v>
      </c>
      <c r="I126" s="244"/>
      <c r="J126" s="48" t="n">
        <f aca="false">C126/C42</f>
        <v>0.36483371748436</v>
      </c>
    </row>
    <row r="127" customFormat="false" ht="15" hidden="false" customHeight="false" outlineLevel="0" collapsed="false">
      <c r="A127" s="243"/>
      <c r="B127" s="243" t="s">
        <v>530</v>
      </c>
      <c r="C127" s="177" t="n">
        <v>8773</v>
      </c>
      <c r="D127" s="244" t="n">
        <v>40.3</v>
      </c>
      <c r="E127" s="244" t="n">
        <v>318.9</v>
      </c>
      <c r="F127" s="244" t="n">
        <v>6.8</v>
      </c>
      <c r="G127" s="244" t="n">
        <v>8.8</v>
      </c>
      <c r="H127" s="244" t="n">
        <v>24.7</v>
      </c>
      <c r="I127" s="244" t="n">
        <v>397</v>
      </c>
      <c r="J127" s="48" t="n">
        <f aca="false">C127/C43</f>
        <v>0.394433953781135</v>
      </c>
    </row>
    <row r="128" customFormat="false" ht="15" hidden="false" customHeight="false" outlineLevel="0" collapsed="false">
      <c r="A128" s="243"/>
      <c r="B128" s="243" t="s">
        <v>295</v>
      </c>
      <c r="C128" s="177" t="n">
        <v>346</v>
      </c>
      <c r="D128" s="244" t="n">
        <v>40</v>
      </c>
      <c r="E128" s="244" t="n">
        <v>179.8</v>
      </c>
      <c r="F128" s="244" t="n">
        <v>6.7</v>
      </c>
      <c r="G128" s="244" t="n">
        <v>6.4</v>
      </c>
      <c r="H128" s="244" t="n">
        <v>8.9</v>
      </c>
      <c r="I128" s="244" t="n">
        <v>590</v>
      </c>
      <c r="J128" s="48" t="n">
        <f aca="false">C128/C44</f>
        <v>0.416867469879518</v>
      </c>
    </row>
    <row r="129" customFormat="false" ht="15" hidden="false" customHeight="false" outlineLevel="0" collapsed="false">
      <c r="A129" s="243"/>
      <c r="B129" s="243" t="s">
        <v>296</v>
      </c>
      <c r="C129" s="177" t="n">
        <v>2741</v>
      </c>
      <c r="D129" s="244" t="n">
        <v>40.1</v>
      </c>
      <c r="E129" s="244" t="n">
        <v>343.3</v>
      </c>
      <c r="F129" s="244" t="n">
        <v>6.1</v>
      </c>
      <c r="G129" s="244" t="n">
        <v>7.5</v>
      </c>
      <c r="H129" s="244" t="n">
        <v>25.9</v>
      </c>
      <c r="I129" s="244" t="n">
        <v>410</v>
      </c>
      <c r="J129" s="48" t="n">
        <f aca="false">C129/C45</f>
        <v>0.457138092061374</v>
      </c>
    </row>
    <row r="130" customFormat="false" ht="15" hidden="false" customHeight="false" outlineLevel="0" collapsed="false">
      <c r="A130" s="243"/>
      <c r="B130" s="243" t="s">
        <v>297</v>
      </c>
      <c r="C130" s="177" t="n">
        <v>9036</v>
      </c>
      <c r="D130" s="244" t="n">
        <v>41.4</v>
      </c>
      <c r="E130" s="244" t="n">
        <v>366.6</v>
      </c>
      <c r="F130" s="244" t="n">
        <v>7.7</v>
      </c>
      <c r="G130" s="244" t="n">
        <v>7</v>
      </c>
      <c r="H130" s="244" t="n">
        <v>18</v>
      </c>
      <c r="I130" s="244" t="n">
        <v>633</v>
      </c>
      <c r="J130" s="48" t="n">
        <f aca="false">C130/C46</f>
        <v>0.305476673427992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C1" s="0" t="s">
        <v>550</v>
      </c>
      <c r="G1" s="0" t="s">
        <v>551</v>
      </c>
    </row>
    <row r="2" customFormat="false" ht="15" hidden="false" customHeight="false" outlineLevel="0" collapsed="false">
      <c r="C2" s="0" t="s">
        <v>552</v>
      </c>
      <c r="D2" s="0" t="s">
        <v>553</v>
      </c>
      <c r="E2" s="0" t="s">
        <v>554</v>
      </c>
      <c r="G2" s="0" t="s">
        <v>231</v>
      </c>
      <c r="H2" s="0" t="s">
        <v>555</v>
      </c>
      <c r="I2" s="0" t="s">
        <v>232</v>
      </c>
      <c r="J2" s="0" t="s">
        <v>556</v>
      </c>
      <c r="K2" s="0" t="s">
        <v>231</v>
      </c>
      <c r="L2" s="0" t="s">
        <v>555</v>
      </c>
      <c r="M2" s="0" t="s">
        <v>232</v>
      </c>
      <c r="O2" s="0" t="s">
        <v>557</v>
      </c>
    </row>
    <row r="3" customFormat="false" ht="15" hidden="false" customHeight="false" outlineLevel="0" collapsed="false">
      <c r="B3" s="0" t="n">
        <v>2016</v>
      </c>
      <c r="C3" s="35" t="n">
        <v>330833</v>
      </c>
      <c r="D3" s="35" t="n">
        <v>2862.23</v>
      </c>
      <c r="E3" s="35" t="n">
        <f aca="false">D3*1000000/C3</f>
        <v>8651.58554315924</v>
      </c>
      <c r="F3" s="35"/>
      <c r="G3" s="35" t="n">
        <v>9759</v>
      </c>
      <c r="H3" s="35" t="n">
        <v>9829</v>
      </c>
      <c r="I3" s="35" t="n">
        <v>9135</v>
      </c>
      <c r="J3" s="48" t="n">
        <v>0.927</v>
      </c>
      <c r="K3" s="35" t="n">
        <f aca="false">G3*$J3</f>
        <v>9046.593</v>
      </c>
      <c r="L3" s="35" t="n">
        <f aca="false">H3*$J3</f>
        <v>9111.483</v>
      </c>
      <c r="M3" s="35" t="n">
        <f aca="false">I3*$J3</f>
        <v>8468.145</v>
      </c>
      <c r="O3" s="0" t="n">
        <f aca="false">E3/G3</f>
        <v>0.88652377735006</v>
      </c>
    </row>
    <row r="4" customFormat="false" ht="15" hidden="false" customHeight="false" outlineLevel="0" collapsed="false">
      <c r="B4" s="0" t="n">
        <v>2017</v>
      </c>
      <c r="C4" s="35" t="n">
        <v>322010</v>
      </c>
      <c r="D4" s="35" t="n">
        <v>2816.66</v>
      </c>
      <c r="E4" s="35" t="n">
        <f aca="false">D4*1000000/C4</f>
        <v>8747.11965466911</v>
      </c>
      <c r="F4" s="35"/>
      <c r="G4" s="35" t="n">
        <v>9801</v>
      </c>
      <c r="H4" s="35" t="n">
        <v>9903</v>
      </c>
      <c r="I4" s="35" t="n">
        <v>9246</v>
      </c>
      <c r="J4" s="48" t="n">
        <v>0.925</v>
      </c>
      <c r="K4" s="35" t="n">
        <f aca="false">G4*$J4</f>
        <v>9065.925</v>
      </c>
      <c r="L4" s="35" t="n">
        <f aca="false">H4*$J4</f>
        <v>9160.275</v>
      </c>
      <c r="M4" s="35" t="n">
        <f aca="false">I4*$J4</f>
        <v>8552.55</v>
      </c>
      <c r="O4" s="0" t="n">
        <f aca="false">E4/G4</f>
        <v>0.89247216148037</v>
      </c>
    </row>
    <row r="5" customFormat="false" ht="15" hidden="false" customHeight="false" outlineLevel="0" collapsed="false">
      <c r="B5" s="0" t="n">
        <v>2018</v>
      </c>
      <c r="C5" s="35" t="n">
        <v>319387</v>
      </c>
      <c r="D5" s="35" t="n">
        <v>2760.23</v>
      </c>
      <c r="E5" s="35" t="n">
        <f aca="false">D5*1000000/C5</f>
        <v>8642.27410633495</v>
      </c>
      <c r="F5" s="35"/>
      <c r="G5" s="35" t="n">
        <v>9827</v>
      </c>
      <c r="H5" s="35" t="n">
        <v>9953</v>
      </c>
      <c r="I5" s="35" t="n">
        <v>9280</v>
      </c>
      <c r="J5" s="48" t="n">
        <v>0.923</v>
      </c>
      <c r="K5" s="35" t="n">
        <f aca="false">G5*$J5</f>
        <v>9070.321</v>
      </c>
      <c r="L5" s="35" t="n">
        <f aca="false">H5*$J5</f>
        <v>9186.619</v>
      </c>
      <c r="M5" s="35" t="n">
        <f aca="false">I5*$J5</f>
        <v>8565.44</v>
      </c>
      <c r="O5" s="0" t="n">
        <f aca="false">E5/G5</f>
        <v>0.879441752959698</v>
      </c>
    </row>
    <row r="6" customFormat="false" ht="15" hidden="false" customHeight="false" outlineLevel="0" collapsed="false">
      <c r="B6" s="0" t="n">
        <v>2019</v>
      </c>
      <c r="C6" s="35" t="n">
        <v>305570</v>
      </c>
      <c r="D6" s="35" t="n">
        <v>2704.39</v>
      </c>
      <c r="E6" s="35" t="n">
        <f aca="false">D6*1000000/C6</f>
        <v>8850.31253068037</v>
      </c>
      <c r="F6" s="35"/>
      <c r="G6" s="35" t="n">
        <v>9996</v>
      </c>
      <c r="H6" s="35" t="n">
        <v>10112</v>
      </c>
      <c r="I6" s="35" t="n">
        <v>9499</v>
      </c>
      <c r="J6" s="48" t="n">
        <v>0.921</v>
      </c>
      <c r="K6" s="35" t="n">
        <f aca="false">G6*$J6</f>
        <v>9206.316</v>
      </c>
      <c r="L6" s="35" t="n">
        <f aca="false">H6*$J6</f>
        <v>9313.152</v>
      </c>
      <c r="M6" s="35" t="n">
        <f aca="false">I6*$J6</f>
        <v>8748.579</v>
      </c>
      <c r="O6" s="0" t="n">
        <f aca="false">E6/G6</f>
        <v>0.885385407230929</v>
      </c>
    </row>
    <row r="7" customFormat="false" ht="15" hidden="false" customHeight="false" outlineLevel="0" collapsed="false">
      <c r="B7" s="0" t="n">
        <v>2020</v>
      </c>
      <c r="C7" s="35" t="n">
        <v>303390</v>
      </c>
      <c r="D7" s="35" t="n">
        <v>2772.74</v>
      </c>
      <c r="E7" s="35" t="n">
        <f aca="false">D7*1000000/C7</f>
        <v>9139.19377698672</v>
      </c>
      <c r="F7" s="35"/>
      <c r="G7" s="35" t="n">
        <v>10232</v>
      </c>
      <c r="H7" s="35" t="n">
        <v>10330</v>
      </c>
      <c r="I7" s="35" t="n">
        <v>9676</v>
      </c>
      <c r="J7" s="48" t="n">
        <v>0.92</v>
      </c>
      <c r="K7" s="35" t="n">
        <f aca="false">G7*$J7</f>
        <v>9413.44</v>
      </c>
      <c r="L7" s="35" t="n">
        <f aca="false">H7*$J7</f>
        <v>9503.6</v>
      </c>
      <c r="M7" s="35" t="n">
        <f aca="false">I7*$J7</f>
        <v>8901.92</v>
      </c>
      <c r="O7" s="0" t="n">
        <f aca="false">E7/G7</f>
        <v>0.893197202598389</v>
      </c>
    </row>
    <row r="8" customFormat="false" ht="15" hidden="false" customHeight="false" outlineLevel="0" collapsed="false">
      <c r="G8" s="2" t="s">
        <v>558</v>
      </c>
    </row>
    <row r="9" customFormat="false" ht="15" hidden="false" customHeight="false" outlineLevel="0" collapsed="false">
      <c r="E9" s="35" t="n">
        <f aca="false">AVERAGE(E3:E7)</f>
        <v>8806.09712236608</v>
      </c>
      <c r="G9" s="35" t="n">
        <f aca="false">SUMPRODUCT(G3:G7,$O3:$O7)/5</f>
        <v>8806.09712236608</v>
      </c>
      <c r="H9" s="35" t="n">
        <f aca="false">SUMPRODUCT(H3:H7,$O3:$O7)/5</f>
        <v>8896.92442613645</v>
      </c>
      <c r="I9" s="35" t="n">
        <f aca="false">SUMPRODUCT(I3:I7,$O3:$O7)/5</f>
        <v>8312.85277884698</v>
      </c>
      <c r="O9" s="48" t="n">
        <f aca="false">AVERAGE(O3:O7)</f>
        <v>0.887404060323889</v>
      </c>
    </row>
    <row r="11" customFormat="false" ht="15" hidden="false" customHeight="false" outlineLevel="0" collapsed="false">
      <c r="K11" s="2" t="s">
        <v>559</v>
      </c>
    </row>
    <row r="12" customFormat="false" ht="15" hidden="false" customHeight="false" outlineLevel="0" collapsed="false">
      <c r="B12" s="2" t="s">
        <v>560</v>
      </c>
      <c r="L12" s="0" t="s">
        <v>561</v>
      </c>
      <c r="N12" s="0" t="s">
        <v>562</v>
      </c>
    </row>
    <row r="13" customFormat="false" ht="15" hidden="false" customHeight="false" outlineLevel="0" collapsed="false">
      <c r="B13" s="0" t="s">
        <v>479</v>
      </c>
      <c r="C13" s="0" t="s">
        <v>563</v>
      </c>
      <c r="D13" s="0" t="s">
        <v>564</v>
      </c>
      <c r="E13" s="0" t="s">
        <v>565</v>
      </c>
      <c r="F13" s="0" t="s">
        <v>566</v>
      </c>
      <c r="G13" s="0" t="s">
        <v>284</v>
      </c>
      <c r="H13" s="0" t="s">
        <v>567</v>
      </c>
      <c r="I13" s="0" t="s">
        <v>562</v>
      </c>
      <c r="K13" s="0" t="s">
        <v>479</v>
      </c>
      <c r="L13" s="0" t="s">
        <v>156</v>
      </c>
      <c r="M13" s="0" t="s">
        <v>157</v>
      </c>
      <c r="N13" s="0" t="s">
        <v>156</v>
      </c>
      <c r="O13" s="0" t="s">
        <v>157</v>
      </c>
    </row>
    <row r="14" customFormat="false" ht="15" hidden="false" customHeight="false" outlineLevel="0" collapsed="false">
      <c r="B14" s="0" t="n">
        <v>1995</v>
      </c>
      <c r="C14" s="0" t="n">
        <v>3243</v>
      </c>
      <c r="D14" s="0" t="n">
        <v>4.33</v>
      </c>
      <c r="E14" s="0" t="n">
        <v>3.34</v>
      </c>
      <c r="F14" s="8" t="n">
        <f aca="false">C14*(0.25+D14/100*12.2+E14/100*7.7)</f>
        <v>3357.93192</v>
      </c>
      <c r="G14" s="35" t="n">
        <v>482118</v>
      </c>
      <c r="H14" s="35" t="n">
        <f aca="false">C14*1000000/G14</f>
        <v>6726.56901422473</v>
      </c>
      <c r="K14" s="0" t="n">
        <v>2015</v>
      </c>
      <c r="L14" s="35" t="n">
        <v>9716</v>
      </c>
      <c r="M14" s="35" t="n">
        <v>8916</v>
      </c>
    </row>
    <row r="15" customFormat="false" ht="15" hidden="false" customHeight="false" outlineLevel="0" collapsed="false">
      <c r="B15" s="0" t="n">
        <v>1996</v>
      </c>
      <c r="C15" s="0" t="n">
        <v>3258</v>
      </c>
      <c r="D15" s="0" t="n">
        <v>4.29</v>
      </c>
      <c r="E15" s="0" t="n">
        <v>3.33</v>
      </c>
      <c r="F15" s="8" t="n">
        <f aca="false">C15*(0.25+D15/100*12.2+E15/100*7.7)</f>
        <v>3355.05582</v>
      </c>
      <c r="G15" s="35" t="n">
        <v>466265</v>
      </c>
      <c r="H15" s="35" t="n">
        <f aca="false">C15*1000000/G15</f>
        <v>6987.4427632355</v>
      </c>
      <c r="K15" s="0" t="n">
        <v>2016</v>
      </c>
      <c r="L15" s="35" t="n">
        <v>9829</v>
      </c>
      <c r="M15" s="35" t="n">
        <v>9135</v>
      </c>
    </row>
    <row r="16" customFormat="false" ht="15" hidden="false" customHeight="false" outlineLevel="0" collapsed="false">
      <c r="B16" s="0" t="n">
        <v>1997</v>
      </c>
      <c r="C16" s="0" t="n">
        <v>3276</v>
      </c>
      <c r="D16" s="0" t="n">
        <v>4.28</v>
      </c>
      <c r="E16" s="0" t="n">
        <v>3.32</v>
      </c>
      <c r="F16" s="8" t="n">
        <f aca="false">C16*(0.25+D16/100*12.2+E16/100*7.7)</f>
        <v>3367.0728</v>
      </c>
      <c r="G16" s="35" t="n">
        <v>467981</v>
      </c>
      <c r="H16" s="35" t="n">
        <f aca="false">C16*1000000/G16</f>
        <v>7000.28419957221</v>
      </c>
      <c r="K16" s="0" t="n">
        <v>2017</v>
      </c>
      <c r="L16" s="35" t="n">
        <v>9903</v>
      </c>
      <c r="M16" s="35" t="n">
        <v>9246</v>
      </c>
    </row>
    <row r="17" customFormat="false" ht="15" hidden="false" customHeight="false" outlineLevel="0" collapsed="false">
      <c r="B17" s="0" t="n">
        <v>1998</v>
      </c>
      <c r="C17" s="0" t="n">
        <v>3277</v>
      </c>
      <c r="D17" s="0" t="n">
        <v>4.26</v>
      </c>
      <c r="E17" s="0" t="n">
        <v>3.31</v>
      </c>
      <c r="F17" s="8" t="n">
        <f aca="false">C17*(0.25+D17/100*12.2+E17/100*7.7)</f>
        <v>3357.58143</v>
      </c>
      <c r="G17" s="35" t="n">
        <v>449130</v>
      </c>
      <c r="H17" s="35" t="n">
        <f aca="false">C17*1000000/G17</f>
        <v>7296.32845723955</v>
      </c>
      <c r="K17" s="0" t="n">
        <v>2018</v>
      </c>
      <c r="L17" s="35" t="n">
        <v>9953</v>
      </c>
      <c r="M17" s="35" t="n">
        <v>9280</v>
      </c>
    </row>
    <row r="18" customFormat="false" ht="15" hidden="false" customHeight="false" outlineLevel="0" collapsed="false">
      <c r="B18" s="0" t="n">
        <v>1999</v>
      </c>
      <c r="C18" s="0" t="n">
        <v>3299</v>
      </c>
      <c r="D18" s="0" t="n">
        <v>4.19</v>
      </c>
      <c r="E18" s="0" t="n">
        <v>3.3</v>
      </c>
      <c r="F18" s="8" t="n">
        <f aca="false">C18*(0.25+D18/100*12.2+E18/100*7.7)</f>
        <v>3349.40872</v>
      </c>
      <c r="G18" s="35" t="n">
        <v>448520</v>
      </c>
      <c r="H18" s="35" t="n">
        <f aca="false">C18*1000000/G18</f>
        <v>7355.3018817444</v>
      </c>
      <c r="K18" s="0" t="n">
        <v>2019</v>
      </c>
      <c r="L18" s="35" t="n">
        <v>10112</v>
      </c>
      <c r="M18" s="35" t="n">
        <v>9499</v>
      </c>
    </row>
    <row r="19" customFormat="false" ht="15" hidden="false" customHeight="false" outlineLevel="0" collapsed="false">
      <c r="B19" s="0" t="n">
        <v>2000</v>
      </c>
      <c r="C19" s="0" t="n">
        <v>3297</v>
      </c>
      <c r="D19" s="0" t="n">
        <v>4.18</v>
      </c>
      <c r="E19" s="0" t="n">
        <v>3.28</v>
      </c>
      <c r="F19" s="8" t="n">
        <f aca="false">C19*(0.25+D19/100*12.2+E19/100*7.7)</f>
        <v>3338.27844</v>
      </c>
      <c r="G19" s="35" t="n">
        <v>427621</v>
      </c>
      <c r="H19" s="35" t="n">
        <f aca="false">C19*1000000/G19</f>
        <v>7710.09842828112</v>
      </c>
      <c r="I19" s="11" t="n">
        <f aca="false">H19/H14</f>
        <v>1.14621561333519</v>
      </c>
      <c r="K19" s="0" t="n">
        <v>2020</v>
      </c>
      <c r="L19" s="35" t="n">
        <v>10330</v>
      </c>
      <c r="M19" s="35" t="n">
        <v>9676</v>
      </c>
      <c r="N19" s="11" t="n">
        <f aca="false">L19/L14</f>
        <v>1.0631947303417</v>
      </c>
      <c r="O19" s="11" t="n">
        <f aca="false">M19/M14</f>
        <v>1.08524001794527</v>
      </c>
    </row>
    <row r="20" customFormat="false" ht="15" hidden="false" customHeight="false" outlineLevel="0" collapsed="false">
      <c r="B20" s="0" t="n">
        <v>2001</v>
      </c>
      <c r="C20" s="0" t="n">
        <v>3290</v>
      </c>
      <c r="D20" s="0" t="n">
        <v>4.2</v>
      </c>
      <c r="E20" s="0" t="n">
        <v>3.28</v>
      </c>
      <c r="F20" s="8" t="n">
        <f aca="false">C20*(0.25+D20/100*12.2+E20/100*7.7)</f>
        <v>3339.2184</v>
      </c>
      <c r="G20" s="35" t="n">
        <v>418471</v>
      </c>
      <c r="H20" s="35" t="n">
        <f aca="false">C20*1000000/G20</f>
        <v>7861.95459183552</v>
      </c>
      <c r="I20" s="11" t="n">
        <f aca="false">H20/H15</f>
        <v>1.12515477524929</v>
      </c>
    </row>
    <row r="21" customFormat="false" ht="15" hidden="false" customHeight="false" outlineLevel="0" collapsed="false">
      <c r="B21" s="0" t="n">
        <v>2002</v>
      </c>
      <c r="C21" s="0" t="n">
        <v>3226</v>
      </c>
      <c r="D21" s="0" t="n">
        <v>4.17</v>
      </c>
      <c r="E21" s="0" t="n">
        <v>3.32</v>
      </c>
      <c r="F21" s="8" t="n">
        <f aca="false">C21*(0.25+D21/100*12.2+E21/100*7.7)</f>
        <v>3272.38988</v>
      </c>
      <c r="G21" s="35" t="n">
        <v>417082</v>
      </c>
      <c r="H21" s="35" t="n">
        <f aca="false">C21*1000000/G21</f>
        <v>7734.69006094725</v>
      </c>
      <c r="I21" s="11" t="n">
        <f aca="false">H21/H16</f>
        <v>1.10491086367892</v>
      </c>
    </row>
    <row r="22" customFormat="false" ht="15" hidden="false" customHeight="false" outlineLevel="0" collapsed="false">
      <c r="B22" s="0" t="n">
        <v>2003</v>
      </c>
      <c r="C22" s="0" t="n">
        <v>3206</v>
      </c>
      <c r="D22" s="0" t="n">
        <v>4.22</v>
      </c>
      <c r="E22" s="0" t="n">
        <v>3.35</v>
      </c>
      <c r="F22" s="8" t="n">
        <f aca="false">C22*(0.25+D22/100*12.2+E22/100*7.7)</f>
        <v>3279.06474</v>
      </c>
      <c r="G22" s="35" t="n">
        <v>402520</v>
      </c>
      <c r="H22" s="35" t="n">
        <f aca="false">C22*1000000/G22</f>
        <v>7964.82162377025</v>
      </c>
      <c r="I22" s="11" t="n">
        <f aca="false">H22/H17</f>
        <v>1.0916204869954</v>
      </c>
    </row>
    <row r="23" customFormat="false" ht="15" hidden="false" customHeight="false" outlineLevel="0" collapsed="false">
      <c r="B23" s="0" t="n">
        <v>2004</v>
      </c>
      <c r="C23" s="0" t="n">
        <v>3229</v>
      </c>
      <c r="D23" s="0" t="n">
        <v>4.25</v>
      </c>
      <c r="E23" s="0" t="n">
        <v>3.38</v>
      </c>
      <c r="F23" s="8" t="n">
        <f aca="false">C23*(0.25+D23/100*12.2+E23/100*7.7)</f>
        <v>3321.86604</v>
      </c>
      <c r="G23" s="35" t="n">
        <v>403702</v>
      </c>
      <c r="H23" s="35" t="n">
        <f aca="false">C23*1000000/G23</f>
        <v>7998.47412200088</v>
      </c>
      <c r="I23" s="11" t="n">
        <f aca="false">H23/H18</f>
        <v>1.08744335046979</v>
      </c>
    </row>
    <row r="24" customFormat="false" ht="15" hidden="false" customHeight="false" outlineLevel="0" collapsed="false">
      <c r="B24" s="0" t="n">
        <v>2005</v>
      </c>
      <c r="C24" s="0" t="n">
        <v>3163</v>
      </c>
      <c r="D24" s="0" t="n">
        <v>4.25</v>
      </c>
      <c r="E24" s="0" t="n">
        <v>3.38</v>
      </c>
      <c r="F24" s="8" t="n">
        <f aca="false">C24*(0.25+D24/100*12.2+E24/100*7.7)</f>
        <v>3253.96788</v>
      </c>
      <c r="G24" s="35" t="n">
        <v>393263</v>
      </c>
      <c r="H24" s="35" t="n">
        <f aca="false">C24*1000000/G24</f>
        <v>8042.96361468025</v>
      </c>
      <c r="I24" s="11" t="n">
        <f aca="false">H24/H19</f>
        <v>1.04317262477197</v>
      </c>
    </row>
    <row r="25" customFormat="false" ht="15" hidden="false" customHeight="false" outlineLevel="0" collapsed="false">
      <c r="B25" s="0" t="n">
        <v>2006</v>
      </c>
      <c r="C25" s="0" t="n">
        <v>3130</v>
      </c>
      <c r="D25" s="0" t="n">
        <v>4.22</v>
      </c>
      <c r="E25" s="0" t="n">
        <v>3.38</v>
      </c>
      <c r="F25" s="8" t="n">
        <f aca="false">C25*(0.25+D25/100*12.2+E25/100*7.7)</f>
        <v>3208.563</v>
      </c>
      <c r="G25" s="35" t="n">
        <v>387530</v>
      </c>
      <c r="H25" s="35" t="n">
        <f aca="false">C25*1000000/G25</f>
        <v>8076.79405465383</v>
      </c>
      <c r="I25" s="11" t="n">
        <f aca="false">H25/H20</f>
        <v>1.02732646955776</v>
      </c>
    </row>
    <row r="26" customFormat="false" ht="15" hidden="false" customHeight="false" outlineLevel="0" collapsed="false">
      <c r="B26" s="0" t="n">
        <v>2007</v>
      </c>
      <c r="C26" s="0" t="n">
        <v>2986</v>
      </c>
      <c r="D26" s="0" t="n">
        <v>4.23</v>
      </c>
      <c r="E26" s="0" t="n">
        <v>3.4</v>
      </c>
      <c r="F26" s="8" t="n">
        <f aca="false">C26*(0.25+D26/100*12.2+E26/100*7.7)</f>
        <v>3069.18996</v>
      </c>
      <c r="G26" s="35" t="n">
        <v>369646</v>
      </c>
      <c r="H26" s="35" t="n">
        <f aca="false">C26*1000000/G26</f>
        <v>8077.99895034709</v>
      </c>
      <c r="I26" s="11" t="n">
        <f aca="false">H26/H21</f>
        <v>1.04438560390845</v>
      </c>
    </row>
    <row r="27" customFormat="false" ht="15" hidden="false" customHeight="false" outlineLevel="0" collapsed="false">
      <c r="B27" s="0" t="n">
        <v>2008</v>
      </c>
      <c r="C27" s="0" t="n">
        <v>2987</v>
      </c>
      <c r="D27" s="0" t="n">
        <v>4.21</v>
      </c>
      <c r="E27" s="0" t="n">
        <v>3.38</v>
      </c>
      <c r="F27" s="8" t="n">
        <f aca="false">C27*(0.25+D27/100*12.2+E27/100*7.7)</f>
        <v>3058.32956</v>
      </c>
      <c r="G27" s="35" t="n">
        <v>357194</v>
      </c>
      <c r="H27" s="35" t="n">
        <f aca="false">C27*1000000/G27</f>
        <v>8362.40250396143</v>
      </c>
      <c r="I27" s="11" t="n">
        <f aca="false">H27/H22</f>
        <v>1.04991711038508</v>
      </c>
    </row>
    <row r="28" customFormat="false" ht="15" hidden="false" customHeight="false" outlineLevel="0" collapsed="false">
      <c r="B28" s="0" t="n">
        <v>2009</v>
      </c>
      <c r="C28" s="0" t="n">
        <v>2933</v>
      </c>
      <c r="D28" s="0" t="n">
        <v>4.24</v>
      </c>
      <c r="E28" s="0" t="n">
        <v>3.4</v>
      </c>
      <c r="F28" s="8" t="n">
        <f aca="false">C28*(0.25+D28/100*12.2+E28/100*7.7)</f>
        <v>3018.29164</v>
      </c>
      <c r="G28" s="35" t="n">
        <v>356776</v>
      </c>
      <c r="H28" s="35" t="n">
        <f aca="false">C28*1000000/G28</f>
        <v>8220.8444514205</v>
      </c>
      <c r="I28" s="11" t="n">
        <f aca="false">H28/H23</f>
        <v>1.02780159390751</v>
      </c>
    </row>
    <row r="29" customFormat="false" ht="15" hidden="false" customHeight="false" outlineLevel="0" collapsed="false">
      <c r="B29" s="0" t="n">
        <v>2010</v>
      </c>
      <c r="C29" s="0" t="n">
        <v>2862</v>
      </c>
      <c r="D29" s="0" t="n">
        <v>4.23</v>
      </c>
      <c r="E29" s="0" t="n">
        <v>3.41</v>
      </c>
      <c r="F29" s="8" t="n">
        <f aca="false">C29*(0.25+D29/100*12.2+E29/100*7.7)</f>
        <v>2943.93906</v>
      </c>
      <c r="G29" s="35" t="n">
        <v>348095</v>
      </c>
      <c r="H29" s="35" t="n">
        <f aca="false">C29*1000000/G29</f>
        <v>8221.89344862753</v>
      </c>
      <c r="I29" s="11" t="n">
        <f aca="false">H29/H24</f>
        <v>1.02224675412191</v>
      </c>
    </row>
    <row r="30" customFormat="false" ht="15" hidden="false" customHeight="false" outlineLevel="0" collapsed="false">
      <c r="B30" s="0" t="n">
        <v>2011</v>
      </c>
      <c r="C30" s="0" t="n">
        <v>2850</v>
      </c>
      <c r="D30" s="0" t="n">
        <v>4.2</v>
      </c>
      <c r="E30" s="0" t="n">
        <v>3.41</v>
      </c>
      <c r="F30" s="8" t="n">
        <f aca="false">C30*(0.25+D30/100*12.2+E30/100*7.7)</f>
        <v>2921.1645</v>
      </c>
      <c r="G30" s="35" t="n">
        <v>346495</v>
      </c>
      <c r="H30" s="35" t="n">
        <f aca="false">C30*1000000/G30</f>
        <v>8225.2269152513</v>
      </c>
      <c r="I30" s="11" t="n">
        <f aca="false">H30/H25</f>
        <v>1.01837769535698</v>
      </c>
    </row>
    <row r="31" customFormat="false" ht="15" hidden="false" customHeight="false" outlineLevel="0" collapsed="false">
      <c r="B31" s="0" t="n">
        <v>2012</v>
      </c>
      <c r="C31" s="0" t="n">
        <v>2861</v>
      </c>
      <c r="D31" s="0" t="n">
        <v>4.22</v>
      </c>
      <c r="E31" s="0" t="n">
        <v>3.42</v>
      </c>
      <c r="F31" s="8" t="n">
        <f aca="false">C31*(0.25+D31/100*12.2+E31/100*7.7)</f>
        <v>2941.62298</v>
      </c>
      <c r="G31" s="35" t="n">
        <v>347969</v>
      </c>
      <c r="H31" s="35" t="n">
        <f aca="false">C31*1000000/G31</f>
        <v>8221.99678707011</v>
      </c>
      <c r="I31" s="11" t="n">
        <f aca="false">H31/H26</f>
        <v>1.01782592912033</v>
      </c>
    </row>
    <row r="32" customFormat="false" ht="15" hidden="false" customHeight="false" outlineLevel="0" collapsed="false">
      <c r="B32" s="0" t="n">
        <v>2013</v>
      </c>
      <c r="C32" s="0" t="n">
        <v>2868</v>
      </c>
      <c r="D32" s="0" t="n">
        <v>4.26</v>
      </c>
      <c r="E32" s="0" t="n">
        <v>3.42</v>
      </c>
      <c r="F32" s="8" t="n">
        <f aca="false">C32*(0.25+D32/100*12.2+E32/100*7.7)</f>
        <v>2962.81608</v>
      </c>
      <c r="G32" s="35" t="n">
        <v>344021</v>
      </c>
      <c r="H32" s="35" t="n">
        <f aca="false">C32*1000000/G32</f>
        <v>8336.70037584915</v>
      </c>
      <c r="I32" s="11" t="n">
        <f aca="false">H32/H27</f>
        <v>0.996926466036512</v>
      </c>
    </row>
    <row r="33" customFormat="false" ht="15" hidden="false" customHeight="false" outlineLevel="0" collapsed="false">
      <c r="B33" s="0" t="n">
        <v>2014</v>
      </c>
      <c r="C33" s="0" t="n">
        <v>2931.25</v>
      </c>
      <c r="D33" s="0" t="n">
        <v>4.25</v>
      </c>
      <c r="E33" s="0" t="n">
        <v>3.42</v>
      </c>
      <c r="F33" s="8" t="n">
        <f aca="false">C33*(0.25+D33/100*12.2+E33/100*7.7)</f>
        <v>3024.581</v>
      </c>
      <c r="G33" s="35" t="n">
        <v>344339</v>
      </c>
      <c r="H33" s="35" t="n">
        <f aca="false">C33*1000000/G33</f>
        <v>8512.68662567993</v>
      </c>
      <c r="I33" s="11" t="n">
        <f aca="false">H33/H28</f>
        <v>1.03550026715431</v>
      </c>
    </row>
    <row r="34" customFormat="false" ht="15" hidden="false" customHeight="false" outlineLevel="0" collapsed="false">
      <c r="B34" s="0" t="n">
        <v>2015</v>
      </c>
      <c r="C34" s="0" t="n">
        <v>2933.16</v>
      </c>
      <c r="D34" s="0" t="n">
        <v>4.25</v>
      </c>
      <c r="E34" s="0" t="n">
        <v>3.42</v>
      </c>
      <c r="F34" s="8" t="n">
        <f aca="false">C34*(0.25+D34/100*12.2+E34/100*7.7)</f>
        <v>3026.5518144</v>
      </c>
      <c r="G34" s="35" t="n">
        <v>339823</v>
      </c>
      <c r="H34" s="35" t="n">
        <f aca="false">C34*1000000/G34</f>
        <v>8631.43459977694</v>
      </c>
      <c r="I34" s="11" t="n">
        <f aca="false">H34/H29</f>
        <v>1.04981105066714</v>
      </c>
    </row>
    <row r="35" customFormat="false" ht="15" hidden="false" customHeight="false" outlineLevel="0" collapsed="false">
      <c r="B35" s="0" t="n">
        <v>2016</v>
      </c>
      <c r="C35" s="0" t="n">
        <v>2862.23</v>
      </c>
      <c r="D35" s="0" t="n">
        <v>4.24</v>
      </c>
      <c r="E35" s="0" t="n">
        <v>3.45</v>
      </c>
      <c r="F35" s="8" t="n">
        <f aca="false">C35*(0.25+D35/100*12.2+E35/100*7.7)</f>
        <v>2956.4832339</v>
      </c>
      <c r="G35" s="35" t="n">
        <v>330833</v>
      </c>
      <c r="H35" s="35" t="n">
        <f aca="false">C35*1000000/G35</f>
        <v>8651.58554315924</v>
      </c>
      <c r="I35" s="11" t="n">
        <f aca="false">H35/H30</f>
        <v>1.0518354851849</v>
      </c>
    </row>
    <row r="36" customFormat="false" ht="15" hidden="false" customHeight="false" outlineLevel="0" collapsed="false">
      <c r="B36" s="0" t="n">
        <v>2017</v>
      </c>
      <c r="C36" s="0" t="n">
        <v>2816.66</v>
      </c>
      <c r="D36" s="0" t="n">
        <v>4.21</v>
      </c>
      <c r="E36" s="0" t="n">
        <v>3.47</v>
      </c>
      <c r="F36" s="8" t="n">
        <f aca="false">C36*(0.25+D36/100*12.2+E36/100*7.7)</f>
        <v>2903.4412946</v>
      </c>
      <c r="G36" s="35" t="n">
        <v>322010</v>
      </c>
      <c r="H36" s="35" t="n">
        <f aca="false">C36*1000000/G36</f>
        <v>8747.11965466911</v>
      </c>
      <c r="I36" s="11" t="n">
        <f aca="false">H36/H31</f>
        <v>1.06386804582858</v>
      </c>
    </row>
    <row r="37" customFormat="false" ht="15" hidden="false" customHeight="false" outlineLevel="0" collapsed="false">
      <c r="B37" s="0" t="n">
        <v>2018</v>
      </c>
      <c r="C37" s="0" t="n">
        <v>2760.23</v>
      </c>
      <c r="D37" s="0" t="n">
        <v>4.2</v>
      </c>
      <c r="E37" s="0" t="n">
        <v>3.46</v>
      </c>
      <c r="F37" s="8" t="n">
        <f aca="false">C37*(0.25+D37/100*12.2+E37/100*7.7)</f>
        <v>2839.7798286</v>
      </c>
      <c r="G37" s="35" t="n">
        <v>319387</v>
      </c>
      <c r="H37" s="35" t="n">
        <f aca="false">C37*1000000/G37</f>
        <v>8642.27410633495</v>
      </c>
      <c r="I37" s="11" t="n">
        <f aca="false">H37/H32</f>
        <v>1.03665403777387</v>
      </c>
    </row>
    <row r="38" customFormat="false" ht="15" hidden="false" customHeight="false" outlineLevel="0" collapsed="false">
      <c r="B38" s="0" t="n">
        <v>2019</v>
      </c>
      <c r="C38" s="0" t="n">
        <v>2704.39</v>
      </c>
      <c r="D38" s="0" t="n">
        <v>4.24</v>
      </c>
      <c r="E38" s="0" t="n">
        <v>3.5</v>
      </c>
      <c r="F38" s="8" t="n">
        <f aca="false">C38*(0.25+D38/100*12.2+E38/100*7.7)</f>
        <v>2803.8574642</v>
      </c>
      <c r="G38" s="35" t="n">
        <v>305570</v>
      </c>
      <c r="H38" s="35" t="n">
        <f aca="false">C38*1000000/G38</f>
        <v>8850.31253068037</v>
      </c>
      <c r="I38" s="11" t="n">
        <f aca="false">H38/H33</f>
        <v>1.03966149816698</v>
      </c>
    </row>
    <row r="39" customFormat="false" ht="15" hidden="false" customHeight="false" outlineLevel="0" collapsed="false">
      <c r="B39" s="0" t="n">
        <v>2020</v>
      </c>
      <c r="C39" s="0" t="n">
        <v>2772.74</v>
      </c>
      <c r="D39" s="0" t="n">
        <v>4.23</v>
      </c>
      <c r="E39" s="0" t="n">
        <v>3.51</v>
      </c>
      <c r="F39" s="8" t="n">
        <f aca="false">C39*(0.25+D39/100*12.2+E39/100*7.7)</f>
        <v>2873.4736442</v>
      </c>
      <c r="G39" s="35" t="n">
        <v>303390</v>
      </c>
      <c r="H39" s="35" t="n">
        <f aca="false">C39*1000000/G39</f>
        <v>9139.19377698672</v>
      </c>
      <c r="I39" s="11" t="n">
        <f aca="false">H39/H34</f>
        <v>1.05882674210645</v>
      </c>
    </row>
    <row r="40" customFormat="false" ht="15" hidden="false" customHeight="false" outlineLevel="0" collapsed="false">
      <c r="B40" s="0" t="n">
        <v>2021</v>
      </c>
      <c r="C40" s="0" t="n">
        <v>2782.22</v>
      </c>
      <c r="D40" s="0" t="n">
        <v>4.26</v>
      </c>
      <c r="E40" s="0" t="n">
        <v>3.51</v>
      </c>
      <c r="F40" s="8" t="n">
        <f aca="false">C40*(0.25+D40/100*12.2+E40/100*7.7)</f>
        <v>2893.4809778</v>
      </c>
      <c r="G40" s="35" t="n">
        <v>301850</v>
      </c>
      <c r="H40" s="35" t="n">
        <f aca="false">C40*1000000/G40</f>
        <v>9217.22709955276</v>
      </c>
      <c r="I40" s="11" t="n">
        <f aca="false">H40/H35</f>
        <v>1.06538010328532</v>
      </c>
    </row>
    <row r="41" customFormat="false" ht="15" hidden="false" customHeight="false" outlineLevel="0" collapsed="false">
      <c r="I41" s="11" t="n">
        <f aca="false">AVERAGE(I30:I40)</f>
        <v>1.03951521097103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1:AE32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P9" activeCellId="0" sqref="P9"/>
    </sheetView>
  </sheetViews>
  <sheetFormatPr defaultColWidth="8.59765625" defaultRowHeight="15" zeroHeight="false" outlineLevelRow="0" outlineLevelCol="0"/>
  <cols>
    <col collapsed="false" customWidth="true" hidden="false" outlineLevel="0" max="18" min="18" style="0" width="15.43"/>
  </cols>
  <sheetData>
    <row r="1" customFormat="false" ht="15" hidden="false" customHeight="false" outlineLevel="0" collapsed="false">
      <c r="F1" s="17" t="s">
        <v>568</v>
      </c>
      <c r="R1" s="17" t="s">
        <v>569</v>
      </c>
    </row>
    <row r="2" customFormat="false" ht="15" hidden="false" customHeight="false" outlineLevel="0" collapsed="false">
      <c r="G2" s="0" t="s">
        <v>570</v>
      </c>
    </row>
    <row r="3" customFormat="false" ht="15" hidden="false" customHeight="false" outlineLevel="0" collapsed="false">
      <c r="F3" s="0" t="s">
        <v>571</v>
      </c>
      <c r="G3" s="0" t="s">
        <v>572</v>
      </c>
      <c r="H3" s="0" t="s">
        <v>573</v>
      </c>
      <c r="I3" s="0" t="s">
        <v>574</v>
      </c>
    </row>
    <row r="4" customFormat="false" ht="15.75" hidden="false" customHeight="true" outlineLevel="0" collapsed="false">
      <c r="F4" s="0" t="n">
        <v>400</v>
      </c>
      <c r="G4" s="0" t="n">
        <v>5</v>
      </c>
      <c r="H4" s="0" t="n">
        <v>8</v>
      </c>
      <c r="I4" s="0" t="n">
        <v>15</v>
      </c>
      <c r="J4" s="8" t="n">
        <f aca="false">F4*0.013</f>
        <v>5.2</v>
      </c>
      <c r="K4" s="8" t="n">
        <f aca="false">F4*0.021</f>
        <v>8.4</v>
      </c>
      <c r="L4" s="8" t="n">
        <f aca="false">F4*0.038</f>
        <v>15.2</v>
      </c>
      <c r="M4" s="8" t="n">
        <f aca="false">F4*(0.013+0.021+0.038)</f>
        <v>28.8</v>
      </c>
      <c r="N4" s="0" t="n">
        <f aca="false">SUM(G4:I4)</f>
        <v>28</v>
      </c>
      <c r="R4" s="245" t="s">
        <v>575</v>
      </c>
      <c r="S4" s="246"/>
      <c r="T4" s="246"/>
      <c r="U4" s="246"/>
      <c r="V4" s="246"/>
      <c r="W4" s="246"/>
      <c r="X4" s="247"/>
      <c r="Y4" s="247"/>
      <c r="AB4" s="0" t="s">
        <v>571</v>
      </c>
      <c r="AC4" s="0" t="s">
        <v>576</v>
      </c>
      <c r="AD4" s="0" t="s">
        <v>577</v>
      </c>
      <c r="AE4" s="0" t="s">
        <v>578</v>
      </c>
    </row>
    <row r="5" customFormat="false" ht="15.75" hidden="false" customHeight="true" outlineLevel="0" collapsed="false">
      <c r="F5" s="0" t="n">
        <v>500</v>
      </c>
      <c r="G5" s="0" t="n">
        <v>7</v>
      </c>
      <c r="H5" s="0" t="n">
        <v>11</v>
      </c>
      <c r="I5" s="0" t="n">
        <v>19</v>
      </c>
      <c r="J5" s="8" t="n">
        <f aca="false">F5*0.013</f>
        <v>6.5</v>
      </c>
      <c r="K5" s="8" t="n">
        <f aca="false">F5*0.021</f>
        <v>10.5</v>
      </c>
      <c r="L5" s="8" t="n">
        <f aca="false">F5*0.038</f>
        <v>19</v>
      </c>
      <c r="M5" s="8" t="n">
        <f aca="false">F5*(0.013+0.021+0.038)</f>
        <v>36</v>
      </c>
      <c r="N5" s="0" t="n">
        <f aca="false">SUM(G5:I5)</f>
        <v>37</v>
      </c>
      <c r="R5" s="248" t="s">
        <v>579</v>
      </c>
      <c r="S5" s="248" t="s">
        <v>580</v>
      </c>
      <c r="T5" s="246"/>
      <c r="U5" s="246"/>
      <c r="V5" s="246"/>
      <c r="W5" s="246"/>
      <c r="X5" s="246"/>
      <c r="Y5" s="246"/>
      <c r="AB5" s="249" t="n">
        <v>30</v>
      </c>
      <c r="AC5" s="249" t="n">
        <f aca="false">AB5^0.75</f>
        <v>12.818610191887</v>
      </c>
      <c r="AD5" s="249" t="n">
        <v>0</v>
      </c>
      <c r="AE5" s="250" t="n">
        <v>6</v>
      </c>
    </row>
    <row r="6" customFormat="false" ht="15" hidden="false" customHeight="false" outlineLevel="0" collapsed="false">
      <c r="F6" s="0" t="n">
        <v>600</v>
      </c>
      <c r="G6" s="0" t="n">
        <v>8</v>
      </c>
      <c r="H6" s="0" t="n">
        <v>13</v>
      </c>
      <c r="I6" s="0" t="n">
        <v>23</v>
      </c>
      <c r="J6" s="8" t="n">
        <f aca="false">F6*0.013</f>
        <v>7.8</v>
      </c>
      <c r="K6" s="8" t="n">
        <f aca="false">F6*0.021</f>
        <v>12.6</v>
      </c>
      <c r="L6" s="8" t="n">
        <f aca="false">F6*0.038</f>
        <v>22.8</v>
      </c>
      <c r="M6" s="8" t="n">
        <f aca="false">F6*(0.013+0.021+0.038)</f>
        <v>43.2</v>
      </c>
      <c r="N6" s="0" t="n">
        <f aca="false">SUM(G6:I6)</f>
        <v>44</v>
      </c>
      <c r="R6" s="251" t="s">
        <v>49</v>
      </c>
      <c r="S6" s="252" t="n">
        <v>0</v>
      </c>
      <c r="T6" s="253" t="n">
        <v>250</v>
      </c>
      <c r="U6" s="253" t="n">
        <v>500</v>
      </c>
      <c r="V6" s="254" t="n">
        <v>1000</v>
      </c>
      <c r="W6" s="255"/>
      <c r="X6" s="255"/>
      <c r="Y6" s="255"/>
      <c r="AB6" s="256" t="n">
        <v>40</v>
      </c>
      <c r="AC6" s="256" t="n">
        <f aca="false">AB6^0.75</f>
        <v>15.905414575341</v>
      </c>
      <c r="AD6" s="256" t="n">
        <v>0</v>
      </c>
      <c r="AE6" s="257" t="n">
        <v>7</v>
      </c>
    </row>
    <row r="7" customFormat="false" ht="15" hidden="false" customHeight="false" outlineLevel="0" collapsed="false">
      <c r="F7" s="0" t="n">
        <v>700</v>
      </c>
      <c r="G7" s="0" t="n">
        <v>9</v>
      </c>
      <c r="H7" s="0" t="n">
        <v>15</v>
      </c>
      <c r="I7" s="0" t="n">
        <v>27</v>
      </c>
      <c r="J7" s="8" t="n">
        <f aca="false">F7*0.013</f>
        <v>9.1</v>
      </c>
      <c r="K7" s="8" t="n">
        <f aca="false">F7*0.021</f>
        <v>14.7</v>
      </c>
      <c r="L7" s="8" t="n">
        <f aca="false">F7*0.038</f>
        <v>26.6</v>
      </c>
      <c r="M7" s="8" t="n">
        <f aca="false">F7*(0.013+0.021+0.038)</f>
        <v>50.4</v>
      </c>
      <c r="N7" s="0" t="n">
        <f aca="false">SUM(G7:I7)</f>
        <v>51</v>
      </c>
      <c r="R7" s="258" t="n">
        <v>30</v>
      </c>
      <c r="S7" s="259" t="n">
        <v>6</v>
      </c>
      <c r="T7" s="250" t="n">
        <v>8</v>
      </c>
      <c r="U7" s="250" t="n">
        <v>11</v>
      </c>
      <c r="V7" s="260" t="n">
        <v>17.5</v>
      </c>
      <c r="W7" s="261"/>
      <c r="X7" s="262" t="s">
        <v>581</v>
      </c>
      <c r="Y7" s="261"/>
      <c r="AB7" s="256" t="n">
        <v>50</v>
      </c>
      <c r="AC7" s="256" t="n">
        <f aca="false">AB7^0.75</f>
        <v>18.803015465432</v>
      </c>
      <c r="AD7" s="256" t="n">
        <v>0</v>
      </c>
      <c r="AE7" s="257" t="n">
        <v>8.5</v>
      </c>
    </row>
    <row r="8" customFormat="false" ht="15" hidden="false" customHeight="false" outlineLevel="0" collapsed="false">
      <c r="R8" s="263" t="n">
        <v>40</v>
      </c>
      <c r="S8" s="264" t="n">
        <v>7</v>
      </c>
      <c r="T8" s="257" t="n">
        <v>9.5</v>
      </c>
      <c r="U8" s="257" t="n">
        <v>12.5</v>
      </c>
      <c r="V8" s="265" t="n">
        <v>19</v>
      </c>
      <c r="W8" s="261"/>
      <c r="X8" s="0" t="s">
        <v>582</v>
      </c>
      <c r="Y8" s="0" t="n">
        <v>0</v>
      </c>
      <c r="AB8" s="256" t="n">
        <v>60</v>
      </c>
      <c r="AC8" s="256" t="n">
        <f aca="false">AB8^0.75</f>
        <v>21.5582467177851</v>
      </c>
      <c r="AD8" s="256" t="n">
        <v>0</v>
      </c>
      <c r="AE8" s="257" t="n">
        <v>10</v>
      </c>
    </row>
    <row r="9" customFormat="false" ht="15" hidden="false" customHeight="false" outlineLevel="0" collapsed="false">
      <c r="R9" s="263" t="n">
        <v>50</v>
      </c>
      <c r="S9" s="264" t="n">
        <v>8.5</v>
      </c>
      <c r="T9" s="257" t="n">
        <v>11</v>
      </c>
      <c r="U9" s="257" t="n">
        <v>14</v>
      </c>
      <c r="V9" s="265" t="n">
        <v>21</v>
      </c>
      <c r="W9" s="261"/>
      <c r="X9" s="0" t="s">
        <v>571</v>
      </c>
      <c r="Y9" s="266" t="n">
        <v>0.16</v>
      </c>
      <c r="AB9" s="256" t="n">
        <v>70</v>
      </c>
      <c r="AC9" s="256" t="n">
        <f aca="false">AB9^0.75</f>
        <v>24.2004549249359</v>
      </c>
      <c r="AD9" s="256" t="n">
        <v>0</v>
      </c>
      <c r="AE9" s="257" t="n">
        <v>11.5</v>
      </c>
    </row>
    <row r="10" customFormat="false" ht="15" hidden="false" customHeight="false" outlineLevel="0" collapsed="false">
      <c r="R10" s="263" t="n">
        <v>60</v>
      </c>
      <c r="S10" s="264" t="n">
        <v>10</v>
      </c>
      <c r="T10" s="257" t="n">
        <v>12.5</v>
      </c>
      <c r="U10" s="257" t="n">
        <v>15.5</v>
      </c>
      <c r="V10" s="265" t="n">
        <v>23</v>
      </c>
      <c r="W10" s="261"/>
      <c r="X10" s="0" t="s">
        <v>577</v>
      </c>
      <c r="Y10" s="0" t="n">
        <v>12.5</v>
      </c>
      <c r="AB10" s="267" t="n">
        <v>80</v>
      </c>
      <c r="AC10" s="267" t="n">
        <f aca="false">AB10^0.75</f>
        <v>26.7496121990569</v>
      </c>
      <c r="AD10" s="267" t="n">
        <v>0</v>
      </c>
      <c r="AE10" s="268" t="n">
        <v>13</v>
      </c>
    </row>
    <row r="11" customFormat="false" ht="15" hidden="false" customHeight="false" outlineLevel="0" collapsed="false">
      <c r="R11" s="263" t="n">
        <v>70</v>
      </c>
      <c r="S11" s="264" t="n">
        <v>11.5</v>
      </c>
      <c r="T11" s="257" t="n">
        <v>14</v>
      </c>
      <c r="U11" s="257" t="n">
        <v>17.5</v>
      </c>
      <c r="V11" s="265" t="n">
        <v>25</v>
      </c>
      <c r="W11" s="255"/>
      <c r="X11" s="255"/>
      <c r="Y11" s="255"/>
      <c r="AB11" s="249" t="n">
        <v>30</v>
      </c>
      <c r="AC11" s="249" t="n">
        <f aca="false">AB11^0.75</f>
        <v>12.818610191887</v>
      </c>
      <c r="AD11" s="249" t="n">
        <v>250</v>
      </c>
      <c r="AE11" s="250" t="n">
        <v>8</v>
      </c>
    </row>
    <row r="12" customFormat="false" ht="15" hidden="false" customHeight="false" outlineLevel="0" collapsed="false">
      <c r="R12" s="269" t="n">
        <v>80</v>
      </c>
      <c r="S12" s="270" t="n">
        <v>13</v>
      </c>
      <c r="T12" s="268" t="n">
        <v>16</v>
      </c>
      <c r="U12" s="268" t="n">
        <v>19.5</v>
      </c>
      <c r="V12" s="271" t="n">
        <v>28</v>
      </c>
      <c r="AB12" s="256" t="n">
        <v>40</v>
      </c>
      <c r="AC12" s="256" t="n">
        <f aca="false">AB12^0.75</f>
        <v>15.905414575341</v>
      </c>
      <c r="AD12" s="256" t="n">
        <v>250</v>
      </c>
      <c r="AE12" s="257" t="n">
        <v>9.5</v>
      </c>
    </row>
    <row r="13" customFormat="false" ht="15" hidden="false" customHeight="false" outlineLevel="0" collapsed="false">
      <c r="AB13" s="256" t="n">
        <v>50</v>
      </c>
      <c r="AC13" s="256" t="n">
        <f aca="false">AB13^0.75</f>
        <v>18.803015465432</v>
      </c>
      <c r="AD13" s="256" t="n">
        <v>250</v>
      </c>
      <c r="AE13" s="257" t="n">
        <v>11</v>
      </c>
    </row>
    <row r="14" customFormat="false" ht="15" hidden="false" customHeight="false" outlineLevel="0" collapsed="false">
      <c r="R14" s="245" t="s">
        <v>583</v>
      </c>
      <c r="S14" s="246"/>
      <c r="T14" s="246"/>
      <c r="U14" s="246"/>
      <c r="V14" s="246"/>
      <c r="AB14" s="256" t="n">
        <v>60</v>
      </c>
      <c r="AC14" s="256" t="n">
        <f aca="false">AB14^0.75</f>
        <v>21.5582467177851</v>
      </c>
      <c r="AD14" s="256" t="n">
        <v>250</v>
      </c>
      <c r="AE14" s="257" t="n">
        <v>12.5</v>
      </c>
    </row>
    <row r="15" customFormat="false" ht="15" hidden="false" customHeight="false" outlineLevel="0" collapsed="false">
      <c r="R15" s="248" t="s">
        <v>579</v>
      </c>
      <c r="S15" s="248" t="s">
        <v>584</v>
      </c>
      <c r="T15" s="246"/>
      <c r="U15" s="246"/>
      <c r="V15" s="246"/>
      <c r="AB15" s="256" t="n">
        <v>70</v>
      </c>
      <c r="AC15" s="256" t="n">
        <f aca="false">AB15^0.75</f>
        <v>24.2004549249359</v>
      </c>
      <c r="AD15" s="256" t="n">
        <v>250</v>
      </c>
      <c r="AE15" s="257" t="n">
        <v>14</v>
      </c>
    </row>
    <row r="16" customFormat="false" ht="15" hidden="false" customHeight="false" outlineLevel="0" collapsed="false">
      <c r="R16" s="251" t="s">
        <v>49</v>
      </c>
      <c r="S16" s="272" t="n">
        <v>0</v>
      </c>
      <c r="T16" s="273" t="n">
        <v>0.25</v>
      </c>
      <c r="U16" s="273" t="n">
        <v>0.5</v>
      </c>
      <c r="V16" s="274" t="n">
        <v>1</v>
      </c>
      <c r="AB16" s="267" t="n">
        <v>80</v>
      </c>
      <c r="AC16" s="267" t="n">
        <f aca="false">AB16^0.75</f>
        <v>26.7496121990569</v>
      </c>
      <c r="AD16" s="267" t="n">
        <v>250</v>
      </c>
      <c r="AE16" s="268" t="n">
        <v>16</v>
      </c>
    </row>
    <row r="17" customFormat="false" ht="15" hidden="false" customHeight="false" outlineLevel="0" collapsed="false">
      <c r="R17" s="258" t="n">
        <v>30</v>
      </c>
      <c r="S17" s="275" t="n">
        <f aca="false">($Y$8+$R17*$Y$9+S$16*$Y$10)/S7</f>
        <v>0.8</v>
      </c>
      <c r="T17" s="276" t="n">
        <f aca="false">($Y$8+$R17*$Y$9+T$16*$Y$10)/T7</f>
        <v>0.990625</v>
      </c>
      <c r="U17" s="276" t="n">
        <f aca="false">($Y$8+$R17*$Y$9+U$16*$Y$10)/U7</f>
        <v>1.00454545454545</v>
      </c>
      <c r="V17" s="277" t="n">
        <f aca="false">($Y$8+$R17*$Y$9+V$16*$Y$10)/V7</f>
        <v>0.988571428571429</v>
      </c>
      <c r="AB17" s="249" t="n">
        <v>30</v>
      </c>
      <c r="AC17" s="249" t="n">
        <f aca="false">AB17^0.75</f>
        <v>12.818610191887</v>
      </c>
      <c r="AD17" s="249" t="n">
        <v>500</v>
      </c>
      <c r="AE17" s="250" t="n">
        <v>11</v>
      </c>
    </row>
    <row r="18" customFormat="false" ht="15" hidden="false" customHeight="false" outlineLevel="0" collapsed="false">
      <c r="R18" s="263" t="n">
        <v>40</v>
      </c>
      <c r="S18" s="278" t="n">
        <f aca="false">($Y$8+$R18*$Y$9+S$16*$Y$10)/S8</f>
        <v>0.914285714285714</v>
      </c>
      <c r="T18" s="279" t="n">
        <f aca="false">($Y$8+$R18*$Y$9+T$16*$Y$10)/T8</f>
        <v>1.00263157894737</v>
      </c>
      <c r="U18" s="279" t="n">
        <f aca="false">($Y$8+$R18*$Y$9+U$16*$Y$10)/U8</f>
        <v>1.012</v>
      </c>
      <c r="V18" s="280" t="n">
        <f aca="false">($Y$8+$R18*$Y$9+V$16*$Y$10)/V8</f>
        <v>0.994736842105263</v>
      </c>
      <c r="AB18" s="256" t="n">
        <v>40</v>
      </c>
      <c r="AC18" s="256" t="n">
        <f aca="false">AB18^0.75</f>
        <v>15.905414575341</v>
      </c>
      <c r="AD18" s="256" t="n">
        <v>500</v>
      </c>
      <c r="AE18" s="257" t="n">
        <v>12.5</v>
      </c>
    </row>
    <row r="19" customFormat="false" ht="15" hidden="false" customHeight="false" outlineLevel="0" collapsed="false">
      <c r="R19" s="263" t="n">
        <v>50</v>
      </c>
      <c r="S19" s="278" t="n">
        <f aca="false">($Y$8+$R19*$Y$9+S$16*$Y$10)/S9</f>
        <v>0.941176470588235</v>
      </c>
      <c r="T19" s="279" t="n">
        <f aca="false">($Y$8+$R19*$Y$9+T$16*$Y$10)/T9</f>
        <v>1.01136363636364</v>
      </c>
      <c r="U19" s="279" t="n">
        <f aca="false">($Y$8+$R19*$Y$9+U$16*$Y$10)/U9</f>
        <v>1.01785714285714</v>
      </c>
      <c r="V19" s="280" t="n">
        <f aca="false">($Y$8+$R19*$Y$9+V$16*$Y$10)/V9</f>
        <v>0.976190476190476</v>
      </c>
      <c r="AB19" s="256" t="n">
        <v>50</v>
      </c>
      <c r="AC19" s="256" t="n">
        <f aca="false">AB19^0.75</f>
        <v>18.803015465432</v>
      </c>
      <c r="AD19" s="256" t="n">
        <v>500</v>
      </c>
      <c r="AE19" s="257" t="n">
        <v>14</v>
      </c>
    </row>
    <row r="20" customFormat="false" ht="15" hidden="false" customHeight="false" outlineLevel="0" collapsed="false">
      <c r="R20" s="263" t="n">
        <v>60</v>
      </c>
      <c r="S20" s="278" t="n">
        <f aca="false">($Y$8+$R20*$Y$9+S$16*$Y$10)/S10</f>
        <v>0.96</v>
      </c>
      <c r="T20" s="279" t="n">
        <f aca="false">($Y$8+$R20*$Y$9+T$16*$Y$10)/T10</f>
        <v>1.018</v>
      </c>
      <c r="U20" s="279" t="n">
        <f aca="false">($Y$8+$R20*$Y$9+U$16*$Y$10)/U10</f>
        <v>1.02258064516129</v>
      </c>
      <c r="V20" s="280" t="n">
        <f aca="false">($Y$8+$R20*$Y$9+V$16*$Y$10)/V10</f>
        <v>0.960869565217391</v>
      </c>
      <c r="AB20" s="256" t="n">
        <v>60</v>
      </c>
      <c r="AC20" s="256" t="n">
        <f aca="false">AB20^0.75</f>
        <v>21.5582467177851</v>
      </c>
      <c r="AD20" s="256" t="n">
        <v>500</v>
      </c>
      <c r="AE20" s="257" t="n">
        <v>15.5</v>
      </c>
    </row>
    <row r="21" customFormat="false" ht="15" hidden="false" customHeight="false" outlineLevel="0" collapsed="false">
      <c r="R21" s="263" t="n">
        <v>70</v>
      </c>
      <c r="S21" s="278" t="n">
        <f aca="false">($Y$8+$R21*$Y$9+S$16*$Y$10)/S11</f>
        <v>0.973913043478261</v>
      </c>
      <c r="T21" s="279" t="n">
        <f aca="false">($Y$8+$R21*$Y$9+T$16*$Y$10)/T11</f>
        <v>1.02321428571429</v>
      </c>
      <c r="U21" s="279" t="n">
        <f aca="false">($Y$8+$R21*$Y$9+U$16*$Y$10)/U11</f>
        <v>0.997142857142857</v>
      </c>
      <c r="V21" s="280" t="n">
        <f aca="false">($Y$8+$R21*$Y$9+V$16*$Y$10)/V11</f>
        <v>0.948</v>
      </c>
      <c r="AB21" s="256" t="n">
        <v>70</v>
      </c>
      <c r="AC21" s="256" t="n">
        <f aca="false">AB21^0.75</f>
        <v>24.2004549249359</v>
      </c>
      <c r="AD21" s="256" t="n">
        <v>500</v>
      </c>
      <c r="AE21" s="257" t="n">
        <v>17.5</v>
      </c>
    </row>
    <row r="22" customFormat="false" ht="15" hidden="false" customHeight="false" outlineLevel="0" collapsed="false">
      <c r="R22" s="269" t="n">
        <v>80</v>
      </c>
      <c r="S22" s="281" t="n">
        <f aca="false">($Y$8+$R22*$Y$9+S$16*$Y$10)/S12</f>
        <v>0.984615384615385</v>
      </c>
      <c r="T22" s="282" t="n">
        <f aca="false">($Y$8+$R22*$Y$9+T$16*$Y$10)/T12</f>
        <v>0.9953125</v>
      </c>
      <c r="U22" s="282" t="n">
        <f aca="false">($Y$8+$R22*$Y$9+U$16*$Y$10)/U12</f>
        <v>0.976923076923077</v>
      </c>
      <c r="V22" s="283" t="n">
        <f aca="false">($Y$8+$R22*$Y$9+V$16*$Y$10)/V12</f>
        <v>0.903571428571429</v>
      </c>
      <c r="AB22" s="267" t="n">
        <v>80</v>
      </c>
      <c r="AC22" s="267" t="n">
        <f aca="false">AB22^0.75</f>
        <v>26.7496121990569</v>
      </c>
      <c r="AD22" s="267" t="n">
        <v>500</v>
      </c>
      <c r="AE22" s="268" t="n">
        <v>19.5</v>
      </c>
    </row>
    <row r="23" customFormat="false" ht="15" hidden="false" customHeight="false" outlineLevel="0" collapsed="false">
      <c r="AB23" s="249" t="n">
        <v>30</v>
      </c>
      <c r="AC23" s="249" t="n">
        <f aca="false">AB23^0.75</f>
        <v>12.818610191887</v>
      </c>
      <c r="AD23" s="249" t="n">
        <v>1000</v>
      </c>
      <c r="AE23" s="250" t="n">
        <v>17.5</v>
      </c>
    </row>
    <row r="24" customFormat="false" ht="15" hidden="false" customHeight="false" outlineLevel="0" collapsed="false">
      <c r="R24" s="245" t="s">
        <v>585</v>
      </c>
      <c r="S24" s="246"/>
      <c r="T24" s="246"/>
      <c r="U24" s="246"/>
      <c r="V24" s="246"/>
      <c r="AB24" s="256" t="n">
        <v>40</v>
      </c>
      <c r="AC24" s="256" t="n">
        <f aca="false">AB24^0.75</f>
        <v>15.905414575341</v>
      </c>
      <c r="AD24" s="256" t="n">
        <v>1000</v>
      </c>
      <c r="AE24" s="257" t="n">
        <v>19</v>
      </c>
    </row>
    <row r="25" customFormat="false" ht="15" hidden="false" customHeight="false" outlineLevel="0" collapsed="false">
      <c r="R25" s="248" t="s">
        <v>579</v>
      </c>
      <c r="S25" s="248" t="s">
        <v>584</v>
      </c>
      <c r="T25" s="246"/>
      <c r="U25" s="246"/>
      <c r="V25" s="246"/>
      <c r="AB25" s="256" t="n">
        <v>50</v>
      </c>
      <c r="AC25" s="256" t="n">
        <f aca="false">AB25^0.75</f>
        <v>18.803015465432</v>
      </c>
      <c r="AD25" s="256" t="n">
        <v>1000</v>
      </c>
      <c r="AE25" s="257" t="n">
        <v>21</v>
      </c>
    </row>
    <row r="26" customFormat="false" ht="15" hidden="false" customHeight="false" outlineLevel="0" collapsed="false">
      <c r="R26" s="251" t="s">
        <v>49</v>
      </c>
      <c r="S26" s="272" t="n">
        <v>0</v>
      </c>
      <c r="T26" s="273" t="n">
        <v>0.25</v>
      </c>
      <c r="U26" s="273" t="n">
        <v>0.5</v>
      </c>
      <c r="V26" s="274" t="n">
        <v>1</v>
      </c>
      <c r="AB26" s="256" t="n">
        <v>60</v>
      </c>
      <c r="AC26" s="256" t="n">
        <f aca="false">AB26^0.75</f>
        <v>21.5582467177851</v>
      </c>
      <c r="AD26" s="256" t="n">
        <v>1000</v>
      </c>
      <c r="AE26" s="257" t="n">
        <v>23</v>
      </c>
    </row>
    <row r="27" customFormat="false" ht="15" hidden="false" customHeight="false" outlineLevel="0" collapsed="false">
      <c r="R27" s="258" t="n">
        <v>30</v>
      </c>
      <c r="S27" s="275" t="n">
        <f aca="false">(0.475*$R27^0.75 + S$26*$X$27)/S7</f>
        <v>1.01480664019106</v>
      </c>
      <c r="T27" s="276" t="n">
        <f aca="false">(0.475*$R27^0.75 + T$26*$X$27)/T7</f>
        <v>1.13610498014329</v>
      </c>
      <c r="U27" s="276" t="n">
        <f aca="false">(0.475*$R27^0.75 + U$26*$X$27)/U7</f>
        <v>1.09898544010421</v>
      </c>
      <c r="V27" s="277" t="n">
        <f aca="false">(0.475*$R27^0.75 + V$26*$X$27)/V7</f>
        <v>1.03364799092265</v>
      </c>
      <c r="X27" s="0" t="n">
        <v>12</v>
      </c>
      <c r="AB27" s="256" t="n">
        <v>70</v>
      </c>
      <c r="AC27" s="256" t="n">
        <f aca="false">AB27^0.75</f>
        <v>24.2004549249359</v>
      </c>
      <c r="AD27" s="256" t="n">
        <v>1000</v>
      </c>
      <c r="AE27" s="257" t="n">
        <v>25</v>
      </c>
    </row>
    <row r="28" customFormat="false" ht="15" hidden="false" customHeight="false" outlineLevel="0" collapsed="false">
      <c r="R28" s="263" t="n">
        <v>40</v>
      </c>
      <c r="S28" s="278" t="n">
        <f aca="false">(0.475*$R28^0.75 + S$26*$X$27)/S8</f>
        <v>1.079295989041</v>
      </c>
      <c r="T28" s="279" t="n">
        <f aca="false">(0.475*$R28^0.75 + T$26*$X$27)/T8</f>
        <v>1.11106020245126</v>
      </c>
      <c r="U28" s="279" t="n">
        <f aca="false">(0.475*$R28^0.75 + U$26*$X$27)/U8</f>
        <v>1.08440575386296</v>
      </c>
      <c r="V28" s="280" t="n">
        <f aca="false">(0.475*$R28^0.75 + V$26*$X$27)/V8</f>
        <v>1.02921431175195</v>
      </c>
      <c r="X28" s="0" t="n">
        <v>0.2</v>
      </c>
      <c r="AB28" s="267" t="n">
        <v>80</v>
      </c>
      <c r="AC28" s="267" t="n">
        <f aca="false">AB28^0.75</f>
        <v>26.7496121990569</v>
      </c>
      <c r="AD28" s="267" t="n">
        <v>1000</v>
      </c>
      <c r="AE28" s="268" t="n">
        <v>28</v>
      </c>
    </row>
    <row r="29" customFormat="false" ht="15" hidden="false" customHeight="false" outlineLevel="0" collapsed="false">
      <c r="R29" s="263" t="n">
        <v>50</v>
      </c>
      <c r="S29" s="278" t="n">
        <f aca="false">(0.475*$R29^0.75 + S$26*$X$27)/S9</f>
        <v>1.05075674659767</v>
      </c>
      <c r="T29" s="279" t="n">
        <f aca="false">(0.475*$R29^0.75 + T$26*$X$27)/T9</f>
        <v>1.08467566782547</v>
      </c>
      <c r="U29" s="279" t="n">
        <f aca="false">(0.475*$R29^0.75 + U$26*$X$27)/U9</f>
        <v>1.06653088186287</v>
      </c>
      <c r="V29" s="280" t="n">
        <f aca="false">(0.475*$R29^0.75 + V$26*$X$27)/V9</f>
        <v>0.996734873622866</v>
      </c>
    </row>
    <row r="30" customFormat="false" ht="15" hidden="false" customHeight="false" outlineLevel="0" collapsed="false">
      <c r="R30" s="263" t="n">
        <v>60</v>
      </c>
      <c r="S30" s="278" t="n">
        <f aca="false">(0.475*$R30^0.75 + S$26*$X$27)/S10</f>
        <v>1.02401671909479</v>
      </c>
      <c r="T30" s="279" t="n">
        <f aca="false">(0.475*$R30^0.75 + T$26*$X$27)/T10</f>
        <v>1.05921337527583</v>
      </c>
      <c r="U30" s="279" t="n">
        <f aca="false">(0.475*$R30^0.75 + U$26*$X$27)/U10</f>
        <v>1.04775272199664</v>
      </c>
      <c r="V30" s="280" t="n">
        <f aca="false">(0.475*$R30^0.75 + V$26*$X$27)/V10</f>
        <v>0.966963790910778</v>
      </c>
    </row>
    <row r="31" customFormat="false" ht="15" hidden="false" customHeight="false" outlineLevel="0" collapsed="false">
      <c r="R31" s="263" t="n">
        <v>70</v>
      </c>
      <c r="S31" s="278" t="n">
        <f aca="false">(0.475*$R31^0.75 + S$26*$X$27)/S11</f>
        <v>0.99958400776909</v>
      </c>
      <c r="T31" s="279" t="n">
        <f aca="false">(0.475*$R31^0.75 + T$26*$X$27)/T11</f>
        <v>1.03537257781032</v>
      </c>
      <c r="U31" s="279" t="n">
        <f aca="false">(0.475*$R31^0.75 + U$26*$X$27)/U11</f>
        <v>0.999726633676831</v>
      </c>
      <c r="V31" s="280" t="n">
        <f aca="false">(0.475*$R31^0.75 + V$26*$X$27)/V11</f>
        <v>0.939808643573782</v>
      </c>
    </row>
    <row r="32" customFormat="false" ht="15" hidden="false" customHeight="false" outlineLevel="0" collapsed="false">
      <c r="R32" s="269" t="n">
        <v>80</v>
      </c>
      <c r="S32" s="281" t="n">
        <f aca="false">(0.475*$R32^0.75 + S$26*$X$27)/S12</f>
        <v>0.977389676504001</v>
      </c>
      <c r="T32" s="282" t="n">
        <f aca="false">(0.475*$R32^0.75 + T$26*$X$27)/T12</f>
        <v>0.981629112159501</v>
      </c>
      <c r="U32" s="282" t="n">
        <f aca="false">(0.475*$R32^0.75 + U$26*$X$27)/U12</f>
        <v>0.959285425361642</v>
      </c>
      <c r="V32" s="283" t="n">
        <f aca="false">(0.475*$R32^0.75 + V$26*$X$27)/V12</f>
        <v>0.882359492662572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586</v>
      </c>
    </row>
    <row r="3" customFormat="false" ht="15" hidden="false" customHeight="false" outlineLevel="0" collapsed="false">
      <c r="A3" s="284" t="s">
        <v>587</v>
      </c>
      <c r="B3" s="284"/>
    </row>
    <row r="4" customFormat="false" ht="15" hidden="false" customHeight="false" outlineLevel="0" collapsed="false">
      <c r="A4" s="266" t="s">
        <v>588</v>
      </c>
      <c r="B4" s="266" t="n">
        <v>0.994343085089562</v>
      </c>
    </row>
    <row r="5" customFormat="false" ht="15" hidden="false" customHeight="false" outlineLevel="0" collapsed="false">
      <c r="A5" s="266" t="s">
        <v>589</v>
      </c>
      <c r="B5" s="266" t="n">
        <v>0.988718170865428</v>
      </c>
    </row>
    <row r="6" customFormat="false" ht="15" hidden="false" customHeight="false" outlineLevel="0" collapsed="false">
      <c r="A6" s="266" t="s">
        <v>590</v>
      </c>
      <c r="B6" s="285" t="n">
        <v>0.987643710947849</v>
      </c>
    </row>
    <row r="7" customFormat="false" ht="15" hidden="false" customHeight="false" outlineLevel="0" collapsed="false">
      <c r="A7" s="266" t="s">
        <v>591</v>
      </c>
      <c r="B7" s="266" t="n">
        <v>0.642956341552718</v>
      </c>
    </row>
    <row r="8" customFormat="false" ht="15" hidden="false" customHeight="false" outlineLevel="0" collapsed="false">
      <c r="A8" s="286" t="s">
        <v>592</v>
      </c>
      <c r="B8" s="286" t="n">
        <v>24</v>
      </c>
    </row>
    <row r="10" customFormat="false" ht="15" hidden="false" customHeight="false" outlineLevel="0" collapsed="false">
      <c r="A10" s="0" t="s">
        <v>593</v>
      </c>
    </row>
    <row r="11" customFormat="false" ht="15" hidden="false" customHeight="false" outlineLevel="0" collapsed="false">
      <c r="A11" s="284"/>
      <c r="B11" s="284" t="s">
        <v>594</v>
      </c>
      <c r="C11" s="284" t="s">
        <v>595</v>
      </c>
      <c r="D11" s="284" t="s">
        <v>596</v>
      </c>
      <c r="E11" s="284" t="s">
        <v>597</v>
      </c>
      <c r="F11" s="284" t="s">
        <v>598</v>
      </c>
    </row>
    <row r="12" customFormat="false" ht="15" hidden="false" customHeight="false" outlineLevel="0" collapsed="false">
      <c r="A12" s="266" t="s">
        <v>599</v>
      </c>
      <c r="B12" s="266" t="n">
        <v>2</v>
      </c>
      <c r="C12" s="266" t="n">
        <v>760.808333333333</v>
      </c>
      <c r="D12" s="266" t="n">
        <v>380.404166666667</v>
      </c>
      <c r="E12" s="266" t="n">
        <v>920.200143988486</v>
      </c>
      <c r="F12" s="266" t="n">
        <v>3.5480108451103E-021</v>
      </c>
    </row>
    <row r="13" customFormat="false" ht="15" hidden="false" customHeight="false" outlineLevel="0" collapsed="false">
      <c r="A13" s="266" t="s">
        <v>600</v>
      </c>
      <c r="B13" s="266" t="n">
        <v>21</v>
      </c>
      <c r="C13" s="266" t="n">
        <v>8.68124999999995</v>
      </c>
      <c r="D13" s="266" t="n">
        <v>0.413392857142855</v>
      </c>
      <c r="E13" s="266"/>
      <c r="F13" s="266"/>
    </row>
    <row r="14" customFormat="false" ht="15" hidden="false" customHeight="false" outlineLevel="0" collapsed="false">
      <c r="A14" s="286" t="s">
        <v>302</v>
      </c>
      <c r="B14" s="286" t="n">
        <v>23</v>
      </c>
      <c r="C14" s="286" t="n">
        <v>769.489583333333</v>
      </c>
      <c r="D14" s="286"/>
      <c r="E14" s="286"/>
      <c r="F14" s="286"/>
    </row>
    <row r="16" customFormat="false" ht="15" hidden="false" customHeight="false" outlineLevel="0" collapsed="false">
      <c r="A16" s="284"/>
      <c r="B16" s="284" t="s">
        <v>601</v>
      </c>
      <c r="C16" s="284" t="s">
        <v>591</v>
      </c>
      <c r="D16" s="284" t="s">
        <v>602</v>
      </c>
      <c r="E16" s="284" t="s">
        <v>603</v>
      </c>
      <c r="F16" s="284" t="s">
        <v>604</v>
      </c>
      <c r="G16" s="284" t="s">
        <v>605</v>
      </c>
      <c r="H16" s="284" t="s">
        <v>606</v>
      </c>
      <c r="I16" s="284" t="s">
        <v>607</v>
      </c>
    </row>
    <row r="17" customFormat="false" ht="15" hidden="false" customHeight="false" outlineLevel="0" collapsed="false">
      <c r="A17" s="266" t="s">
        <v>608</v>
      </c>
      <c r="B17" s="266" t="n">
        <v>-0.4077380952381</v>
      </c>
      <c r="C17" s="266" t="n">
        <v>0.469024579443815</v>
      </c>
      <c r="D17" s="266" t="n">
        <v>-0.869332041663167</v>
      </c>
      <c r="E17" s="266" t="n">
        <v>0.394493350370509</v>
      </c>
      <c r="F17" s="266" t="n">
        <v>-1.38312810416704</v>
      </c>
      <c r="G17" s="266" t="n">
        <v>0.567651913690836</v>
      </c>
      <c r="H17" s="266" t="n">
        <v>-1.38312810416704</v>
      </c>
      <c r="I17" s="266" t="n">
        <v>0.567651913690836</v>
      </c>
    </row>
    <row r="18" customFormat="false" ht="15" hidden="false" customHeight="false" outlineLevel="0" collapsed="false">
      <c r="A18" s="266" t="s">
        <v>571</v>
      </c>
      <c r="B18" s="266" t="n">
        <v>0.168928571428571</v>
      </c>
      <c r="C18" s="266" t="n">
        <v>0.00768479813976784</v>
      </c>
      <c r="D18" s="266" t="n">
        <v>21.9821742036903</v>
      </c>
      <c r="E18" s="266" t="n">
        <v>5.62226008943053E-016</v>
      </c>
      <c r="F18" s="266" t="n">
        <v>0.152947158823173</v>
      </c>
      <c r="G18" s="266" t="n">
        <v>0.18490998403397</v>
      </c>
      <c r="H18" s="266" t="n">
        <v>0.152947158823173</v>
      </c>
      <c r="I18" s="266" t="n">
        <v>0.18490998403397</v>
      </c>
    </row>
    <row r="19" customFormat="false" ht="15" hidden="false" customHeight="false" outlineLevel="0" collapsed="false">
      <c r="A19" s="286" t="s">
        <v>577</v>
      </c>
      <c r="B19" s="286" t="n">
        <v>0.0130761904761905</v>
      </c>
      <c r="C19" s="286" t="n">
        <v>0.000354945621973032</v>
      </c>
      <c r="D19" s="286" t="n">
        <v>36.8399824274604</v>
      </c>
      <c r="E19" s="286" t="n">
        <v>1.4430475578159E-020</v>
      </c>
      <c r="F19" s="286" t="n">
        <v>0.0123380406466099</v>
      </c>
      <c r="G19" s="286" t="n">
        <v>0.0138143403057711</v>
      </c>
      <c r="H19" s="286" t="n">
        <v>0.0123380406466099</v>
      </c>
      <c r="I19" s="286" t="n">
        <v>0.0138143403057711</v>
      </c>
    </row>
    <row r="23" customFormat="false" ht="15" hidden="false" customHeight="false" outlineLevel="0" collapsed="false">
      <c r="A23" s="0" t="s">
        <v>609</v>
      </c>
    </row>
    <row r="25" customFormat="false" ht="15" hidden="false" customHeight="false" outlineLevel="0" collapsed="false">
      <c r="A25" s="284" t="s">
        <v>610</v>
      </c>
      <c r="B25" s="284" t="s">
        <v>611</v>
      </c>
      <c r="C25" s="284" t="s">
        <v>612</v>
      </c>
      <c r="D25" s="284" t="s">
        <v>613</v>
      </c>
    </row>
    <row r="26" customFormat="false" ht="15" hidden="false" customHeight="false" outlineLevel="0" collapsed="false">
      <c r="A26" s="266" t="n">
        <v>1</v>
      </c>
      <c r="B26" s="266" t="n">
        <v>4.66011904761905</v>
      </c>
      <c r="C26" s="266" t="n">
        <v>1.33988095238096</v>
      </c>
      <c r="D26" s="266" t="n">
        <v>2.18091630680882</v>
      </c>
    </row>
    <row r="27" customFormat="false" ht="15" hidden="false" customHeight="false" outlineLevel="0" collapsed="false">
      <c r="A27" s="266" t="n">
        <v>2</v>
      </c>
      <c r="B27" s="266" t="n">
        <v>6.34940476190476</v>
      </c>
      <c r="C27" s="266" t="n">
        <v>0.65059523809524</v>
      </c>
      <c r="D27" s="266" t="n">
        <v>1.05897002369704</v>
      </c>
    </row>
    <row r="28" customFormat="false" ht="15" hidden="false" customHeight="false" outlineLevel="0" collapsed="false">
      <c r="A28" s="266" t="n">
        <v>3</v>
      </c>
      <c r="B28" s="266" t="n">
        <v>8.03869047619047</v>
      </c>
      <c r="C28" s="266" t="n">
        <v>0.461309523809526</v>
      </c>
      <c r="D28" s="266" t="n">
        <v>0.75087078532956</v>
      </c>
    </row>
    <row r="29" customFormat="false" ht="15" hidden="false" customHeight="false" outlineLevel="0" collapsed="false">
      <c r="A29" s="266" t="n">
        <v>4</v>
      </c>
      <c r="B29" s="266" t="n">
        <v>9.72797619047619</v>
      </c>
      <c r="C29" s="266" t="n">
        <v>0.272023809523811</v>
      </c>
      <c r="D29" s="266" t="n">
        <v>0.442771546962076</v>
      </c>
    </row>
    <row r="30" customFormat="false" ht="15" hidden="false" customHeight="false" outlineLevel="0" collapsed="false">
      <c r="A30" s="266" t="n">
        <v>5</v>
      </c>
      <c r="B30" s="266" t="n">
        <v>11.4172619047619</v>
      </c>
      <c r="C30" s="266" t="n">
        <v>0.0827380952380956</v>
      </c>
      <c r="D30" s="266" t="n">
        <v>0.134672308594592</v>
      </c>
    </row>
    <row r="31" customFormat="false" ht="15" hidden="false" customHeight="false" outlineLevel="0" collapsed="false">
      <c r="A31" s="266" t="n">
        <v>6</v>
      </c>
      <c r="B31" s="266" t="n">
        <v>13.1065476190476</v>
      </c>
      <c r="C31" s="266" t="n">
        <v>-0.106547619047619</v>
      </c>
      <c r="D31" s="266" t="n">
        <v>-0.173426929772892</v>
      </c>
    </row>
    <row r="32" customFormat="false" ht="15" hidden="false" customHeight="false" outlineLevel="0" collapsed="false">
      <c r="A32" s="266" t="n">
        <v>7</v>
      </c>
      <c r="B32" s="266" t="n">
        <v>7.92916666666666</v>
      </c>
      <c r="C32" s="266" t="n">
        <v>0.0708333333333355</v>
      </c>
      <c r="D32" s="266" t="n">
        <v>0.115294998005445</v>
      </c>
    </row>
    <row r="33" customFormat="false" ht="15" hidden="false" customHeight="false" outlineLevel="0" collapsed="false">
      <c r="A33" s="266" t="n">
        <v>8</v>
      </c>
      <c r="B33" s="266" t="n">
        <v>9.61845238095238</v>
      </c>
      <c r="C33" s="266" t="n">
        <v>-0.11845238095238</v>
      </c>
      <c r="D33" s="266" t="n">
        <v>-0.19280424036204</v>
      </c>
    </row>
    <row r="34" customFormat="false" ht="15" hidden="false" customHeight="false" outlineLevel="0" collapsed="false">
      <c r="A34" s="266" t="n">
        <v>9</v>
      </c>
      <c r="B34" s="266" t="n">
        <v>11.3077380952381</v>
      </c>
      <c r="C34" s="266" t="n">
        <v>-0.307738095238094</v>
      </c>
      <c r="D34" s="266" t="n">
        <v>-0.500903478729521</v>
      </c>
    </row>
    <row r="35" customFormat="false" ht="15" hidden="false" customHeight="false" outlineLevel="0" collapsed="false">
      <c r="A35" s="266" t="n">
        <v>10</v>
      </c>
      <c r="B35" s="266" t="n">
        <v>12.9970238095238</v>
      </c>
      <c r="C35" s="266" t="n">
        <v>-0.49702380952381</v>
      </c>
      <c r="D35" s="266" t="n">
        <v>-0.809002717097008</v>
      </c>
    </row>
    <row r="36" customFormat="false" ht="15" hidden="false" customHeight="false" outlineLevel="0" collapsed="false">
      <c r="A36" s="266" t="n">
        <v>11</v>
      </c>
      <c r="B36" s="266" t="n">
        <v>14.6863095238095</v>
      </c>
      <c r="C36" s="266" t="n">
        <v>-0.686309523809523</v>
      </c>
      <c r="D36" s="266" t="n">
        <v>-1.11710195546449</v>
      </c>
    </row>
    <row r="37" customFormat="false" ht="15" hidden="false" customHeight="false" outlineLevel="0" collapsed="false">
      <c r="A37" s="266" t="n">
        <v>12</v>
      </c>
      <c r="B37" s="266" t="n">
        <v>16.3755952380952</v>
      </c>
      <c r="C37" s="266" t="n">
        <v>-0.37559523809524</v>
      </c>
      <c r="D37" s="266" t="n">
        <v>-0.611354149087681</v>
      </c>
    </row>
    <row r="38" customFormat="false" ht="15" hidden="false" customHeight="false" outlineLevel="0" collapsed="false">
      <c r="A38" s="266" t="n">
        <v>13</v>
      </c>
      <c r="B38" s="266" t="n">
        <v>11.1982142857143</v>
      </c>
      <c r="C38" s="266" t="n">
        <v>-0.198214285714284</v>
      </c>
      <c r="D38" s="266" t="n">
        <v>-0.322632221309343</v>
      </c>
    </row>
    <row r="39" customFormat="false" ht="15" hidden="false" customHeight="false" outlineLevel="0" collapsed="false">
      <c r="A39" s="266" t="n">
        <v>14</v>
      </c>
      <c r="B39" s="266" t="n">
        <v>12.8875</v>
      </c>
      <c r="C39" s="266" t="n">
        <v>-0.387499999999999</v>
      </c>
      <c r="D39" s="266" t="n">
        <v>-0.630731459676827</v>
      </c>
    </row>
    <row r="40" customFormat="false" ht="15" hidden="false" customHeight="false" outlineLevel="0" collapsed="false">
      <c r="A40" s="266" t="n">
        <v>15</v>
      </c>
      <c r="B40" s="266" t="n">
        <v>14.5767857142857</v>
      </c>
      <c r="C40" s="266" t="n">
        <v>-0.576785714285714</v>
      </c>
      <c r="D40" s="266" t="n">
        <v>-0.938830698044311</v>
      </c>
    </row>
    <row r="41" customFormat="false" ht="15" hidden="false" customHeight="false" outlineLevel="0" collapsed="false">
      <c r="A41" s="266" t="n">
        <v>16</v>
      </c>
      <c r="B41" s="266" t="n">
        <v>16.2660714285714</v>
      </c>
      <c r="C41" s="266" t="n">
        <v>-0.766071428571429</v>
      </c>
      <c r="D41" s="266" t="n">
        <v>-1.24692993641179</v>
      </c>
    </row>
    <row r="42" customFormat="false" ht="15" hidden="false" customHeight="false" outlineLevel="0" collapsed="false">
      <c r="A42" s="266" t="n">
        <v>17</v>
      </c>
      <c r="B42" s="266" t="n">
        <v>17.9553571428571</v>
      </c>
      <c r="C42" s="266" t="n">
        <v>-0.455357142857146</v>
      </c>
      <c r="D42" s="266" t="n">
        <v>-0.741182130034987</v>
      </c>
    </row>
    <row r="43" customFormat="false" ht="15" hidden="false" customHeight="false" outlineLevel="0" collapsed="false">
      <c r="A43" s="266" t="n">
        <v>18</v>
      </c>
      <c r="B43" s="266" t="n">
        <v>19.6446428571429</v>
      </c>
      <c r="C43" s="266" t="n">
        <v>-0.144642857142859</v>
      </c>
      <c r="D43" s="266" t="n">
        <v>-0.235434323658174</v>
      </c>
    </row>
    <row r="44" customFormat="false" ht="15" hidden="false" customHeight="false" outlineLevel="0" collapsed="false">
      <c r="A44" s="266" t="n">
        <v>19</v>
      </c>
      <c r="B44" s="266" t="n">
        <v>17.7363095238095</v>
      </c>
      <c r="C44" s="266" t="n">
        <v>-0.236309523809524</v>
      </c>
      <c r="D44" s="266" t="n">
        <v>-0.384639615194625</v>
      </c>
    </row>
    <row r="45" customFormat="false" ht="15" hidden="false" customHeight="false" outlineLevel="0" collapsed="false">
      <c r="A45" s="266" t="n">
        <v>20</v>
      </c>
      <c r="B45" s="266" t="n">
        <v>19.4255952380952</v>
      </c>
      <c r="C45" s="266" t="n">
        <v>-0.425595238095241</v>
      </c>
      <c r="D45" s="266" t="n">
        <v>-0.692738853562112</v>
      </c>
    </row>
    <row r="46" customFormat="false" ht="15" hidden="false" customHeight="false" outlineLevel="0" collapsed="false">
      <c r="A46" s="266" t="n">
        <v>21</v>
      </c>
      <c r="B46" s="266" t="n">
        <v>21.114880952381</v>
      </c>
      <c r="C46" s="266" t="n">
        <v>-0.114880952380954</v>
      </c>
      <c r="D46" s="266" t="n">
        <v>-0.186991047185299</v>
      </c>
    </row>
    <row r="47" customFormat="false" ht="15" hidden="false" customHeight="false" outlineLevel="0" collapsed="false">
      <c r="A47" s="266" t="n">
        <v>22</v>
      </c>
      <c r="B47" s="266" t="n">
        <v>22.8041666666667</v>
      </c>
      <c r="C47" s="266" t="n">
        <v>0.195833333333333</v>
      </c>
      <c r="D47" s="266" t="n">
        <v>0.318756759191514</v>
      </c>
    </row>
    <row r="48" customFormat="false" ht="15" hidden="false" customHeight="false" outlineLevel="0" collapsed="false">
      <c r="A48" s="266" t="n">
        <v>23</v>
      </c>
      <c r="B48" s="266" t="n">
        <v>24.4934523809524</v>
      </c>
      <c r="C48" s="266" t="n">
        <v>0.506547619047616</v>
      </c>
      <c r="D48" s="266" t="n">
        <v>0.824504565568322</v>
      </c>
    </row>
    <row r="49" customFormat="false" ht="15" hidden="false" customHeight="false" outlineLevel="0" collapsed="false">
      <c r="A49" s="286" t="n">
        <v>24</v>
      </c>
      <c r="B49" s="286" t="n">
        <v>26.1827380952381</v>
      </c>
      <c r="C49" s="286" t="n">
        <v>1.8172619047619</v>
      </c>
      <c r="D49" s="286" t="n">
        <v>2.95794646143372</v>
      </c>
    </row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s">
        <v>586</v>
      </c>
    </row>
    <row r="3" customFormat="false" ht="15" hidden="false" customHeight="false" outlineLevel="0" collapsed="false">
      <c r="A3" s="284" t="s">
        <v>587</v>
      </c>
      <c r="B3" s="284"/>
    </row>
    <row r="4" customFormat="false" ht="15" hidden="false" customHeight="false" outlineLevel="0" collapsed="false">
      <c r="A4" s="266" t="s">
        <v>588</v>
      </c>
      <c r="B4" s="266" t="n">
        <v>0.999236012090826</v>
      </c>
    </row>
    <row r="5" customFormat="false" ht="15" hidden="false" customHeight="false" outlineLevel="0" collapsed="false">
      <c r="A5" s="266" t="s">
        <v>589</v>
      </c>
      <c r="B5" s="266" t="n">
        <v>0.998472607859178</v>
      </c>
    </row>
    <row r="6" customFormat="false" ht="15" hidden="false" customHeight="false" outlineLevel="0" collapsed="false">
      <c r="A6" s="266" t="s">
        <v>590</v>
      </c>
      <c r="B6" s="285" t="n">
        <v>0.95294863548914</v>
      </c>
    </row>
    <row r="7" customFormat="false" ht="15" hidden="false" customHeight="false" outlineLevel="0" collapsed="false">
      <c r="A7" s="266" t="s">
        <v>591</v>
      </c>
      <c r="B7" s="266" t="n">
        <v>0.639377068047734</v>
      </c>
    </row>
    <row r="8" customFormat="false" ht="15" hidden="false" customHeight="false" outlineLevel="0" collapsed="false">
      <c r="A8" s="286" t="s">
        <v>592</v>
      </c>
      <c r="B8" s="286" t="n">
        <v>24</v>
      </c>
    </row>
    <row r="10" customFormat="false" ht="15" hidden="false" customHeight="false" outlineLevel="0" collapsed="false">
      <c r="A10" s="0" t="s">
        <v>593</v>
      </c>
    </row>
    <row r="11" customFormat="false" ht="15" hidden="false" customHeight="false" outlineLevel="0" collapsed="false">
      <c r="A11" s="284"/>
      <c r="B11" s="284" t="s">
        <v>594</v>
      </c>
      <c r="C11" s="284" t="s">
        <v>595</v>
      </c>
      <c r="D11" s="284" t="s">
        <v>596</v>
      </c>
      <c r="E11" s="284" t="s">
        <v>597</v>
      </c>
      <c r="F11" s="284" t="s">
        <v>598</v>
      </c>
    </row>
    <row r="12" customFormat="false" ht="15" hidden="false" customHeight="false" outlineLevel="0" collapsed="false">
      <c r="A12" s="266" t="s">
        <v>599</v>
      </c>
      <c r="B12" s="266" t="n">
        <v>2</v>
      </c>
      <c r="C12" s="266" t="n">
        <v>5879.2563332268</v>
      </c>
      <c r="D12" s="266" t="n">
        <v>2939.6281666134</v>
      </c>
      <c r="E12" s="266" t="n">
        <v>7190.81786065618</v>
      </c>
      <c r="F12" s="266" t="n">
        <v>1.65829519425054E-030</v>
      </c>
    </row>
    <row r="13" customFormat="false" ht="15" hidden="false" customHeight="false" outlineLevel="0" collapsed="false">
      <c r="A13" s="266" t="s">
        <v>600</v>
      </c>
      <c r="B13" s="266" t="n">
        <v>22</v>
      </c>
      <c r="C13" s="266" t="n">
        <v>8.99366677319697</v>
      </c>
      <c r="D13" s="266" t="n">
        <v>0.408803035145317</v>
      </c>
      <c r="E13" s="266"/>
      <c r="F13" s="266"/>
    </row>
    <row r="14" customFormat="false" ht="15" hidden="false" customHeight="false" outlineLevel="0" collapsed="false">
      <c r="A14" s="286" t="s">
        <v>302</v>
      </c>
      <c r="B14" s="286" t="n">
        <v>24</v>
      </c>
      <c r="C14" s="286" t="n">
        <v>5888.25</v>
      </c>
      <c r="D14" s="286"/>
      <c r="E14" s="286"/>
      <c r="F14" s="286"/>
    </row>
    <row r="16" customFormat="false" ht="15" hidden="false" customHeight="false" outlineLevel="0" collapsed="false">
      <c r="A16" s="284"/>
      <c r="B16" s="284" t="s">
        <v>601</v>
      </c>
      <c r="C16" s="284" t="s">
        <v>591</v>
      </c>
      <c r="D16" s="284" t="s">
        <v>602</v>
      </c>
      <c r="E16" s="284" t="s">
        <v>603</v>
      </c>
      <c r="F16" s="284" t="s">
        <v>604</v>
      </c>
      <c r="G16" s="284" t="s">
        <v>605</v>
      </c>
      <c r="H16" s="284" t="s">
        <v>606</v>
      </c>
      <c r="I16" s="284" t="s">
        <v>607</v>
      </c>
    </row>
    <row r="17" customFormat="false" ht="15" hidden="false" customHeight="false" outlineLevel="0" collapsed="false">
      <c r="A17" s="266" t="s">
        <v>608</v>
      </c>
      <c r="B17" s="266" t="n">
        <v>0</v>
      </c>
      <c r="C17" s="266" t="e">
        <f aca="false">#N/A</f>
        <v>#N/A</v>
      </c>
      <c r="D17" s="266" t="e">
        <f aca="false">#N/A</f>
        <v>#N/A</v>
      </c>
      <c r="E17" s="266" t="e">
        <f aca="false">#N/A</f>
        <v>#N/A</v>
      </c>
      <c r="F17" s="266" t="e">
        <f aca="false">#N/A</f>
        <v>#N/A</v>
      </c>
      <c r="G17" s="266" t="e">
        <f aca="false">#N/A</f>
        <v>#N/A</v>
      </c>
      <c r="H17" s="266" t="e">
        <f aca="false">#N/A</f>
        <v>#N/A</v>
      </c>
      <c r="I17" s="266" t="e">
        <f aca="false">#N/A</f>
        <v>#N/A</v>
      </c>
    </row>
    <row r="18" customFormat="false" ht="15" hidden="false" customHeight="false" outlineLevel="0" collapsed="false">
      <c r="A18" s="266" t="s">
        <v>571</v>
      </c>
      <c r="B18" s="266" t="n">
        <v>0.162908277404922</v>
      </c>
      <c r="C18" s="266" t="n">
        <v>0.00331279008159384</v>
      </c>
      <c r="D18" s="266" t="n">
        <v>49.175550938182</v>
      </c>
      <c r="E18" s="266" t="n">
        <v>5.40130911732678E-024</v>
      </c>
      <c r="F18" s="266" t="n">
        <v>0.156037971275085</v>
      </c>
      <c r="G18" s="266" t="n">
        <v>0.169778583534759</v>
      </c>
      <c r="H18" s="266" t="n">
        <v>0.156037971275085</v>
      </c>
      <c r="I18" s="266" t="n">
        <v>0.169778583534759</v>
      </c>
    </row>
    <row r="19" customFormat="false" ht="15" hidden="false" customHeight="false" outlineLevel="0" collapsed="false">
      <c r="A19" s="286" t="s">
        <v>577</v>
      </c>
      <c r="B19" s="286" t="n">
        <v>0.0129740279109407</v>
      </c>
      <c r="C19" s="286" t="n">
        <v>0.000333062064615474</v>
      </c>
      <c r="D19" s="286" t="n">
        <v>38.9537845624041</v>
      </c>
      <c r="E19" s="286" t="n">
        <v>8.59904898598706E-022</v>
      </c>
      <c r="F19" s="286" t="n">
        <v>0.0122832994651941</v>
      </c>
      <c r="G19" s="286" t="n">
        <v>0.0136647563566872</v>
      </c>
      <c r="H19" s="286" t="n">
        <v>0.0122832994651941</v>
      </c>
      <c r="I19" s="286" t="n">
        <v>0.0136647563566872</v>
      </c>
    </row>
    <row r="23" customFormat="false" ht="15" hidden="false" customHeight="false" outlineLevel="0" collapsed="false">
      <c r="A23" s="0" t="s">
        <v>609</v>
      </c>
    </row>
    <row r="25" customFormat="false" ht="15" hidden="false" customHeight="false" outlineLevel="0" collapsed="false">
      <c r="A25" s="284" t="s">
        <v>610</v>
      </c>
      <c r="B25" s="284" t="s">
        <v>611</v>
      </c>
      <c r="C25" s="284" t="s">
        <v>612</v>
      </c>
      <c r="D25" s="284" t="s">
        <v>613</v>
      </c>
    </row>
    <row r="26" customFormat="false" ht="15" hidden="false" customHeight="false" outlineLevel="0" collapsed="false">
      <c r="A26" s="266" t="n">
        <v>1</v>
      </c>
      <c r="B26" s="266" t="n">
        <v>4.88724832214765</v>
      </c>
      <c r="C26" s="266" t="n">
        <v>1.11275167785235</v>
      </c>
      <c r="D26" s="266" t="n">
        <v>1.81775556323373</v>
      </c>
    </row>
    <row r="27" customFormat="false" ht="15" hidden="false" customHeight="false" outlineLevel="0" collapsed="false">
      <c r="A27" s="266" t="n">
        <v>2</v>
      </c>
      <c r="B27" s="266" t="n">
        <v>6.51633109619687</v>
      </c>
      <c r="C27" s="266" t="n">
        <v>0.483668903803132</v>
      </c>
      <c r="D27" s="266" t="n">
        <v>0.790106057038867</v>
      </c>
    </row>
    <row r="28" customFormat="false" ht="15" hidden="false" customHeight="false" outlineLevel="0" collapsed="false">
      <c r="A28" s="266" t="n">
        <v>3</v>
      </c>
      <c r="B28" s="266" t="n">
        <v>8.14541387024609</v>
      </c>
      <c r="C28" s="266" t="n">
        <v>0.354586129753915</v>
      </c>
      <c r="D28" s="266" t="n">
        <v>0.579240564480392</v>
      </c>
    </row>
    <row r="29" customFormat="false" ht="15" hidden="false" customHeight="false" outlineLevel="0" collapsed="false">
      <c r="A29" s="266" t="n">
        <v>4</v>
      </c>
      <c r="B29" s="266" t="n">
        <v>9.7744966442953</v>
      </c>
      <c r="C29" s="266" t="n">
        <v>0.225503355704697</v>
      </c>
      <c r="D29" s="266" t="n">
        <v>0.368375071921913</v>
      </c>
    </row>
    <row r="30" customFormat="false" ht="15" hidden="false" customHeight="false" outlineLevel="0" collapsed="false">
      <c r="A30" s="266" t="n">
        <v>5</v>
      </c>
      <c r="B30" s="266" t="n">
        <v>11.4035794183445</v>
      </c>
      <c r="C30" s="266" t="n">
        <v>0.0964205816554813</v>
      </c>
      <c r="D30" s="266" t="n">
        <v>0.157509579363438</v>
      </c>
    </row>
    <row r="31" customFormat="false" ht="15" hidden="false" customHeight="false" outlineLevel="0" collapsed="false">
      <c r="A31" s="266" t="n">
        <v>6</v>
      </c>
      <c r="B31" s="266" t="n">
        <v>13.0326621923937</v>
      </c>
      <c r="C31" s="266" t="n">
        <v>-0.0326621923937367</v>
      </c>
      <c r="D31" s="266" t="n">
        <v>-0.0533559131950403</v>
      </c>
    </row>
    <row r="32" customFormat="false" ht="15" hidden="false" customHeight="false" outlineLevel="0" collapsed="false">
      <c r="A32" s="266" t="n">
        <v>7</v>
      </c>
      <c r="B32" s="266" t="n">
        <v>8.13075529988282</v>
      </c>
      <c r="C32" s="266" t="n">
        <v>-0.130755299882818</v>
      </c>
      <c r="D32" s="266" t="n">
        <v>-0.213597677285035</v>
      </c>
    </row>
    <row r="33" customFormat="false" ht="15" hidden="false" customHeight="false" outlineLevel="0" collapsed="false">
      <c r="A33" s="266" t="n">
        <v>8</v>
      </c>
      <c r="B33" s="266" t="n">
        <v>9.75983807393204</v>
      </c>
      <c r="C33" s="266" t="n">
        <v>-0.259838073932036</v>
      </c>
      <c r="D33" s="266" t="n">
        <v>-0.424463169843513</v>
      </c>
    </row>
    <row r="34" customFormat="false" ht="15" hidden="false" customHeight="false" outlineLevel="0" collapsed="false">
      <c r="A34" s="266" t="n">
        <v>9</v>
      </c>
      <c r="B34" s="266" t="n">
        <v>11.3889208479813</v>
      </c>
      <c r="C34" s="266" t="n">
        <v>-0.388920847981252</v>
      </c>
      <c r="D34" s="266" t="n">
        <v>-0.635328662401989</v>
      </c>
    </row>
    <row r="35" customFormat="false" ht="15" hidden="false" customHeight="false" outlineLevel="0" collapsed="false">
      <c r="A35" s="266" t="n">
        <v>10</v>
      </c>
      <c r="B35" s="266" t="n">
        <v>13.0180036220305</v>
      </c>
      <c r="C35" s="266" t="n">
        <v>-0.51800362203047</v>
      </c>
      <c r="D35" s="266" t="n">
        <v>-0.846194154960467</v>
      </c>
    </row>
    <row r="36" customFormat="false" ht="15" hidden="false" customHeight="false" outlineLevel="0" collapsed="false">
      <c r="A36" s="266" t="n">
        <v>11</v>
      </c>
      <c r="B36" s="266" t="n">
        <v>14.6470863960797</v>
      </c>
      <c r="C36" s="266" t="n">
        <v>-0.647086396079686</v>
      </c>
      <c r="D36" s="266" t="n">
        <v>-1.05705964751894</v>
      </c>
    </row>
    <row r="37" customFormat="false" ht="15" hidden="false" customHeight="false" outlineLevel="0" collapsed="false">
      <c r="A37" s="266" t="n">
        <v>12</v>
      </c>
      <c r="B37" s="266" t="n">
        <v>16.2761691701289</v>
      </c>
      <c r="C37" s="266" t="n">
        <v>-0.276169170128902</v>
      </c>
      <c r="D37" s="266" t="n">
        <v>-0.45114112644103</v>
      </c>
    </row>
    <row r="38" customFormat="false" ht="15" hidden="false" customHeight="false" outlineLevel="0" collapsed="false">
      <c r="A38" s="266" t="n">
        <v>13</v>
      </c>
      <c r="B38" s="266" t="n">
        <v>11.374262277618</v>
      </c>
      <c r="C38" s="266" t="n">
        <v>-0.374262277617985</v>
      </c>
      <c r="D38" s="266" t="n">
        <v>-0.611382890531028</v>
      </c>
    </row>
    <row r="39" customFormat="false" ht="15" hidden="false" customHeight="false" outlineLevel="0" collapsed="false">
      <c r="A39" s="266" t="n">
        <v>14</v>
      </c>
      <c r="B39" s="266" t="n">
        <v>13.0033450516672</v>
      </c>
      <c r="C39" s="266" t="n">
        <v>-0.503345051667203</v>
      </c>
      <c r="D39" s="266" t="n">
        <v>-0.822248383089506</v>
      </c>
    </row>
    <row r="40" customFormat="false" ht="15" hidden="false" customHeight="false" outlineLevel="0" collapsed="false">
      <c r="A40" s="266" t="n">
        <v>15</v>
      </c>
      <c r="B40" s="266" t="n">
        <v>14.6324278257164</v>
      </c>
      <c r="C40" s="266" t="n">
        <v>-0.63242782571642</v>
      </c>
      <c r="D40" s="266" t="n">
        <v>-1.03311387564798</v>
      </c>
    </row>
    <row r="41" customFormat="false" ht="15" hidden="false" customHeight="false" outlineLevel="0" collapsed="false">
      <c r="A41" s="266" t="n">
        <v>16</v>
      </c>
      <c r="B41" s="266" t="n">
        <v>16.2615105997656</v>
      </c>
      <c r="C41" s="266" t="n">
        <v>-0.761510599765636</v>
      </c>
      <c r="D41" s="266" t="n">
        <v>-1.24397936820646</v>
      </c>
    </row>
    <row r="42" customFormat="false" ht="15" hidden="false" customHeight="false" outlineLevel="0" collapsed="false">
      <c r="A42" s="266" t="n">
        <v>17</v>
      </c>
      <c r="B42" s="266" t="n">
        <v>17.8905933738149</v>
      </c>
      <c r="C42" s="266" t="n">
        <v>-0.390593373814852</v>
      </c>
      <c r="D42" s="266" t="n">
        <v>-0.638060847128545</v>
      </c>
    </row>
    <row r="43" customFormat="false" ht="15" hidden="false" customHeight="false" outlineLevel="0" collapsed="false">
      <c r="A43" s="266" t="n">
        <v>18</v>
      </c>
      <c r="B43" s="266" t="n">
        <v>19.5196761478641</v>
      </c>
      <c r="C43" s="266" t="n">
        <v>-0.0196761478640717</v>
      </c>
      <c r="D43" s="266" t="n">
        <v>-0.032142326050639</v>
      </c>
    </row>
    <row r="44" customFormat="false" ht="15" hidden="false" customHeight="false" outlineLevel="0" collapsed="false">
      <c r="A44" s="266" t="n">
        <v>19</v>
      </c>
      <c r="B44" s="266" t="n">
        <v>17.8612762330883</v>
      </c>
      <c r="C44" s="266" t="n">
        <v>-0.361276233088319</v>
      </c>
      <c r="D44" s="266" t="n">
        <v>-0.590169303386624</v>
      </c>
    </row>
    <row r="45" customFormat="false" ht="15" hidden="false" customHeight="false" outlineLevel="0" collapsed="false">
      <c r="A45" s="266" t="n">
        <v>20</v>
      </c>
      <c r="B45" s="266" t="n">
        <v>19.4903590071375</v>
      </c>
      <c r="C45" s="266" t="n">
        <v>-0.490359007137535</v>
      </c>
      <c r="D45" s="266" t="n">
        <v>-0.801034795945099</v>
      </c>
    </row>
    <row r="46" customFormat="false" ht="15" hidden="false" customHeight="false" outlineLevel="0" collapsed="false">
      <c r="A46" s="266" t="n">
        <v>21</v>
      </c>
      <c r="B46" s="266" t="n">
        <v>21.1194417811868</v>
      </c>
      <c r="C46" s="266" t="n">
        <v>-0.119441781186751</v>
      </c>
      <c r="D46" s="266" t="n">
        <v>-0.195116274867187</v>
      </c>
    </row>
    <row r="47" customFormat="false" ht="15" hidden="false" customHeight="false" outlineLevel="0" collapsed="false">
      <c r="A47" s="266" t="n">
        <v>22</v>
      </c>
      <c r="B47" s="266" t="n">
        <v>22.748524555236</v>
      </c>
      <c r="C47" s="266" t="n">
        <v>0.251475444764029</v>
      </c>
      <c r="D47" s="266" t="n">
        <v>0.410802246210719</v>
      </c>
    </row>
    <row r="48" customFormat="false" ht="15" hidden="false" customHeight="false" outlineLevel="0" collapsed="false">
      <c r="A48" s="266" t="n">
        <v>23</v>
      </c>
      <c r="B48" s="266" t="n">
        <v>24.3776073292852</v>
      </c>
      <c r="C48" s="266" t="n">
        <v>0.622392670714813</v>
      </c>
      <c r="D48" s="266" t="n">
        <v>1.01672076728863</v>
      </c>
    </row>
    <row r="49" customFormat="false" ht="15" hidden="false" customHeight="false" outlineLevel="0" collapsed="false">
      <c r="A49" s="286" t="n">
        <v>24</v>
      </c>
      <c r="B49" s="286" t="n">
        <v>26.0066901033344</v>
      </c>
      <c r="C49" s="286" t="n">
        <v>1.99330989666559</v>
      </c>
      <c r="D49" s="286" t="n">
        <v>3.25620731563931</v>
      </c>
    </row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477</v>
      </c>
      <c r="B1" s="0" t="s">
        <v>478</v>
      </c>
      <c r="C1" s="0" t="s">
        <v>479</v>
      </c>
      <c r="D1" s="0" t="s">
        <v>480</v>
      </c>
      <c r="E1" s="0" t="s">
        <v>481</v>
      </c>
      <c r="F1" s="0" t="s">
        <v>482</v>
      </c>
      <c r="G1" s="0" t="s">
        <v>483</v>
      </c>
      <c r="H1" s="0" t="s">
        <v>484</v>
      </c>
      <c r="I1" s="0" t="s">
        <v>485</v>
      </c>
      <c r="J1" s="0" t="s">
        <v>486</v>
      </c>
    </row>
    <row r="2" customFormat="false" ht="13.8" hidden="false" customHeight="false" outlineLevel="0" collapsed="false">
      <c r="A2" s="0" t="s">
        <v>488</v>
      </c>
      <c r="B2" s="0" t="s">
        <v>489</v>
      </c>
      <c r="C2" s="0" t="n">
        <v>2016</v>
      </c>
      <c r="D2" s="0" t="n">
        <v>30638</v>
      </c>
      <c r="E2" s="0" t="n">
        <v>302.7</v>
      </c>
      <c r="F2" s="0" t="n">
        <v>7.7</v>
      </c>
      <c r="G2" s="0" t="n">
        <v>4</v>
      </c>
      <c r="H2" s="0" t="n">
        <v>68.6</v>
      </c>
      <c r="I2" s="0" t="n">
        <v>9274122.6</v>
      </c>
      <c r="J2" s="0" t="n">
        <v>2101766.8</v>
      </c>
    </row>
    <row r="3" customFormat="false" ht="13.8" hidden="false" customHeight="false" outlineLevel="0" collapsed="false">
      <c r="A3" s="0" t="s">
        <v>488</v>
      </c>
      <c r="B3" s="0" t="s">
        <v>489</v>
      </c>
      <c r="C3" s="0" t="n">
        <v>2017</v>
      </c>
      <c r="D3" s="0" t="n">
        <v>26251</v>
      </c>
      <c r="E3" s="0" t="n">
        <v>308.5</v>
      </c>
      <c r="F3" s="0" t="n">
        <v>7.8</v>
      </c>
      <c r="G3" s="0" t="n">
        <v>4.1</v>
      </c>
      <c r="H3" s="0" t="n">
        <v>68.9</v>
      </c>
      <c r="I3" s="0" t="n">
        <v>8098433.5</v>
      </c>
      <c r="J3" s="0" t="n">
        <v>1808693.9</v>
      </c>
    </row>
    <row r="4" customFormat="false" ht="13.8" hidden="false" customHeight="false" outlineLevel="0" collapsed="false">
      <c r="A4" s="0" t="s">
        <v>488</v>
      </c>
      <c r="B4" s="0" t="s">
        <v>489</v>
      </c>
      <c r="C4" s="0" t="n">
        <v>2018</v>
      </c>
      <c r="D4" s="0" t="n">
        <v>26489</v>
      </c>
      <c r="E4" s="0" t="n">
        <v>306.2</v>
      </c>
      <c r="F4" s="0" t="n">
        <v>7.5</v>
      </c>
      <c r="G4" s="0" t="n">
        <v>4</v>
      </c>
      <c r="H4" s="0" t="n">
        <v>69.3</v>
      </c>
      <c r="I4" s="0" t="n">
        <v>8110931.8</v>
      </c>
      <c r="J4" s="0" t="n">
        <v>1835687.7</v>
      </c>
    </row>
    <row r="5" customFormat="false" ht="13.8" hidden="false" customHeight="false" outlineLevel="0" collapsed="false">
      <c r="A5" s="0" t="s">
        <v>488</v>
      </c>
      <c r="B5" s="0" t="s">
        <v>489</v>
      </c>
      <c r="C5" s="0" t="n">
        <v>2019</v>
      </c>
      <c r="D5" s="0" t="n">
        <v>25859</v>
      </c>
      <c r="E5" s="0" t="n">
        <v>310.4</v>
      </c>
      <c r="F5" s="0" t="n">
        <v>7.6</v>
      </c>
      <c r="G5" s="0" t="n">
        <v>4.1</v>
      </c>
      <c r="H5" s="0" t="n">
        <v>70.1</v>
      </c>
      <c r="I5" s="0" t="n">
        <v>8026633.6</v>
      </c>
      <c r="J5" s="0" t="n">
        <v>1812715.9</v>
      </c>
    </row>
    <row r="6" customFormat="false" ht="13.8" hidden="false" customHeight="false" outlineLevel="0" collapsed="false">
      <c r="A6" s="0" t="s">
        <v>488</v>
      </c>
      <c r="B6" s="0" t="s">
        <v>489</v>
      </c>
      <c r="C6" s="0" t="n">
        <v>2020</v>
      </c>
      <c r="D6" s="0" t="n">
        <v>23718</v>
      </c>
      <c r="E6" s="0" t="n">
        <v>311.7</v>
      </c>
      <c r="F6" s="0" t="n">
        <v>7.4</v>
      </c>
      <c r="G6" s="0" t="n">
        <v>4</v>
      </c>
      <c r="H6" s="0" t="n">
        <v>71.6</v>
      </c>
      <c r="I6" s="0" t="n">
        <v>7392900.6</v>
      </c>
      <c r="J6" s="0" t="n">
        <v>1698208.8</v>
      </c>
    </row>
    <row r="7" customFormat="false" ht="13.8" hidden="false" customHeight="false" outlineLevel="0" collapsed="false">
      <c r="A7" s="0" t="s">
        <v>488</v>
      </c>
      <c r="B7" s="0" t="s">
        <v>489</v>
      </c>
      <c r="C7" s="0" t="n">
        <v>2021</v>
      </c>
      <c r="D7" s="0" t="n">
        <v>21589</v>
      </c>
      <c r="E7" s="0" t="n">
        <v>313.4</v>
      </c>
      <c r="F7" s="0" t="n">
        <v>7.3</v>
      </c>
      <c r="G7" s="0" t="n">
        <v>4</v>
      </c>
      <c r="H7" s="0" t="n">
        <v>72.9</v>
      </c>
      <c r="I7" s="0" t="n">
        <v>6765992.6</v>
      </c>
      <c r="J7" s="0" t="n">
        <v>1573838.1</v>
      </c>
    </row>
    <row r="8" customFormat="false" ht="13.8" hidden="false" customHeight="false" outlineLevel="0" collapsed="false">
      <c r="A8" s="0" t="s">
        <v>488</v>
      </c>
      <c r="B8" s="0" t="s">
        <v>497</v>
      </c>
      <c r="C8" s="0" t="n">
        <v>2016</v>
      </c>
      <c r="D8" s="0" t="n">
        <v>41922</v>
      </c>
      <c r="E8" s="0" t="n">
        <v>310.8</v>
      </c>
      <c r="F8" s="0" t="n">
        <v>7</v>
      </c>
      <c r="G8" s="0" t="n">
        <v>3.4</v>
      </c>
      <c r="H8" s="0" t="n">
        <v>69.2</v>
      </c>
      <c r="I8" s="0" t="n">
        <v>13029357.6</v>
      </c>
      <c r="J8" s="0" t="n">
        <v>2901002.4</v>
      </c>
    </row>
    <row r="9" customFormat="false" ht="13.8" hidden="false" customHeight="false" outlineLevel="0" collapsed="false">
      <c r="A9" s="0" t="s">
        <v>488</v>
      </c>
      <c r="B9" s="0" t="s">
        <v>497</v>
      </c>
      <c r="C9" s="0" t="n">
        <v>2017</v>
      </c>
      <c r="D9" s="0" t="n">
        <v>38032</v>
      </c>
      <c r="E9" s="0" t="n">
        <v>316.9</v>
      </c>
      <c r="F9" s="0" t="n">
        <v>7.2</v>
      </c>
      <c r="G9" s="0" t="n">
        <v>3.5</v>
      </c>
      <c r="H9" s="0" t="n">
        <v>68.9</v>
      </c>
      <c r="I9" s="0" t="n">
        <v>12052340.8</v>
      </c>
      <c r="J9" s="0" t="n">
        <v>2620404.8</v>
      </c>
    </row>
    <row r="10" customFormat="false" ht="13.8" hidden="false" customHeight="false" outlineLevel="0" collapsed="false">
      <c r="A10" s="0" t="s">
        <v>488</v>
      </c>
      <c r="B10" s="0" t="s">
        <v>497</v>
      </c>
      <c r="C10" s="0" t="n">
        <v>2018</v>
      </c>
      <c r="D10" s="0" t="n">
        <v>40654</v>
      </c>
      <c r="E10" s="0" t="n">
        <v>317</v>
      </c>
      <c r="F10" s="0" t="n">
        <v>7</v>
      </c>
      <c r="G10" s="0" t="n">
        <v>3.4</v>
      </c>
      <c r="H10" s="0" t="n">
        <v>69.4</v>
      </c>
      <c r="I10" s="0" t="n">
        <v>12887318</v>
      </c>
      <c r="J10" s="0" t="n">
        <v>2821387.6</v>
      </c>
    </row>
    <row r="11" customFormat="false" ht="13.8" hidden="false" customHeight="false" outlineLevel="0" collapsed="false">
      <c r="A11" s="0" t="s">
        <v>488</v>
      </c>
      <c r="B11" s="0" t="s">
        <v>497</v>
      </c>
      <c r="C11" s="0" t="n">
        <v>2019</v>
      </c>
      <c r="D11" s="0" t="n">
        <v>40784</v>
      </c>
      <c r="E11" s="0" t="n">
        <v>321.4</v>
      </c>
      <c r="F11" s="0" t="n">
        <v>7.1</v>
      </c>
      <c r="G11" s="0" t="n">
        <v>3.5</v>
      </c>
      <c r="H11" s="0" t="n">
        <v>70.2</v>
      </c>
      <c r="I11" s="0" t="n">
        <v>13107977.6</v>
      </c>
      <c r="J11" s="0" t="n">
        <v>2863036.8</v>
      </c>
    </row>
    <row r="12" customFormat="false" ht="13.8" hidden="false" customHeight="false" outlineLevel="0" collapsed="false">
      <c r="A12" s="0" t="s">
        <v>488</v>
      </c>
      <c r="B12" s="0" t="s">
        <v>497</v>
      </c>
      <c r="C12" s="0" t="n">
        <v>2020</v>
      </c>
      <c r="D12" s="0" t="n">
        <v>40218</v>
      </c>
      <c r="E12" s="0" t="n">
        <v>322.6</v>
      </c>
      <c r="F12" s="0" t="n">
        <v>7</v>
      </c>
      <c r="G12" s="0" t="n">
        <v>3.4</v>
      </c>
      <c r="H12" s="0" t="n">
        <v>71.6</v>
      </c>
      <c r="I12" s="0" t="n">
        <v>12974326.8</v>
      </c>
      <c r="J12" s="0" t="n">
        <v>2879608.8</v>
      </c>
    </row>
    <row r="13" customFormat="false" ht="13.8" hidden="false" customHeight="false" outlineLevel="0" collapsed="false">
      <c r="A13" s="0" t="s">
        <v>488</v>
      </c>
      <c r="B13" s="0" t="s">
        <v>497</v>
      </c>
      <c r="C13" s="0" t="n">
        <v>2021</v>
      </c>
      <c r="D13" s="0" t="n">
        <v>38776</v>
      </c>
      <c r="E13" s="0" t="n">
        <v>324.9</v>
      </c>
      <c r="F13" s="0" t="n">
        <v>6.9</v>
      </c>
      <c r="G13" s="0" t="n">
        <v>3.4</v>
      </c>
      <c r="H13" s="0" t="n">
        <v>73.2</v>
      </c>
      <c r="I13" s="0" t="n">
        <v>12598322.4</v>
      </c>
      <c r="J13" s="0" t="n">
        <v>2838403.2</v>
      </c>
    </row>
    <row r="14" customFormat="false" ht="13.8" hidden="false" customHeight="false" outlineLevel="0" collapsed="false">
      <c r="A14" s="0" t="s">
        <v>488</v>
      </c>
      <c r="B14" s="0" t="s">
        <v>502</v>
      </c>
      <c r="C14" s="0" t="n">
        <v>2016</v>
      </c>
      <c r="D14" s="0" t="n">
        <v>2843</v>
      </c>
      <c r="E14" s="0" t="n">
        <v>368.4</v>
      </c>
      <c r="F14" s="0" t="n">
        <v>11.3</v>
      </c>
      <c r="G14" s="0" t="n">
        <v>6.2</v>
      </c>
      <c r="H14" s="0" t="n">
        <v>92.6</v>
      </c>
      <c r="I14" s="0" t="n">
        <v>1047361.2</v>
      </c>
      <c r="J14" s="0" t="n">
        <v>263261.8</v>
      </c>
    </row>
    <row r="15" customFormat="false" ht="13.8" hidden="false" customHeight="false" outlineLevel="0" collapsed="false">
      <c r="A15" s="0" t="s">
        <v>488</v>
      </c>
      <c r="B15" s="0" t="s">
        <v>502</v>
      </c>
      <c r="C15" s="0" t="n">
        <v>2017</v>
      </c>
      <c r="D15" s="0" t="n">
        <v>3147</v>
      </c>
      <c r="E15" s="0" t="n">
        <v>365</v>
      </c>
      <c r="F15" s="0" t="n">
        <v>11.1</v>
      </c>
      <c r="G15" s="0" t="n">
        <v>6.1</v>
      </c>
      <c r="H15" s="0" t="n">
        <v>94</v>
      </c>
      <c r="I15" s="0" t="n">
        <v>1148655</v>
      </c>
      <c r="J15" s="0" t="n">
        <v>295818</v>
      </c>
    </row>
    <row r="16" customFormat="false" ht="13.8" hidden="false" customHeight="false" outlineLevel="0" collapsed="false">
      <c r="A16" s="0" t="s">
        <v>488</v>
      </c>
      <c r="B16" s="0" t="s">
        <v>502</v>
      </c>
      <c r="C16" s="0" t="n">
        <v>2018</v>
      </c>
      <c r="D16" s="0" t="n">
        <v>4193</v>
      </c>
      <c r="E16" s="0" t="n">
        <v>352.3</v>
      </c>
      <c r="F16" s="0" t="n">
        <v>10.2</v>
      </c>
      <c r="G16" s="0" t="n">
        <v>5.9</v>
      </c>
      <c r="H16" s="0" t="n">
        <v>91.3</v>
      </c>
      <c r="I16" s="0" t="n">
        <v>1477193.9</v>
      </c>
      <c r="J16" s="0" t="n">
        <v>382820.9</v>
      </c>
    </row>
    <row r="17" customFormat="false" ht="13.8" hidden="false" customHeight="false" outlineLevel="0" collapsed="false">
      <c r="A17" s="0" t="s">
        <v>488</v>
      </c>
      <c r="B17" s="0" t="s">
        <v>502</v>
      </c>
      <c r="C17" s="0" t="n">
        <v>2019</v>
      </c>
      <c r="D17" s="0" t="n">
        <v>4427</v>
      </c>
      <c r="E17" s="0" t="n">
        <v>348.6</v>
      </c>
      <c r="F17" s="0" t="n">
        <v>9.9</v>
      </c>
      <c r="G17" s="0" t="n">
        <v>5.8</v>
      </c>
      <c r="H17" s="0" t="n">
        <v>91.1</v>
      </c>
      <c r="I17" s="0" t="n">
        <v>1543252.2</v>
      </c>
      <c r="J17" s="0" t="n">
        <v>403299.7</v>
      </c>
    </row>
    <row r="18" customFormat="false" ht="13.8" hidden="false" customHeight="false" outlineLevel="0" collapsed="false">
      <c r="A18" s="0" t="s">
        <v>488</v>
      </c>
      <c r="B18" s="0" t="s">
        <v>502</v>
      </c>
      <c r="C18" s="0" t="n">
        <v>2020</v>
      </c>
      <c r="D18" s="0" t="n">
        <v>4642</v>
      </c>
      <c r="E18" s="0" t="n">
        <v>355.5</v>
      </c>
      <c r="F18" s="0" t="n">
        <v>10.1</v>
      </c>
      <c r="G18" s="0" t="n">
        <v>5.9</v>
      </c>
      <c r="H18" s="0" t="n">
        <v>89.2</v>
      </c>
      <c r="I18" s="0" t="n">
        <v>1650231</v>
      </c>
      <c r="J18" s="0" t="n">
        <v>414066.4</v>
      </c>
    </row>
    <row r="19" customFormat="false" ht="13.8" hidden="false" customHeight="false" outlineLevel="0" collapsed="false">
      <c r="A19" s="0" t="s">
        <v>488</v>
      </c>
      <c r="B19" s="0" t="s">
        <v>502</v>
      </c>
      <c r="C19" s="0" t="n">
        <v>2021</v>
      </c>
      <c r="D19" s="0" t="n">
        <v>4235</v>
      </c>
      <c r="E19" s="0" t="n">
        <v>364.2</v>
      </c>
      <c r="F19" s="0" t="n">
        <v>10.1</v>
      </c>
      <c r="G19" s="0" t="n">
        <v>6.2</v>
      </c>
      <c r="H19" s="0" t="n">
        <v>89.6</v>
      </c>
      <c r="I19" s="0" t="n">
        <v>1542387</v>
      </c>
      <c r="J19" s="0" t="n">
        <v>379456</v>
      </c>
    </row>
    <row r="20" customFormat="false" ht="13.8" hidden="false" customHeight="false" outlineLevel="0" collapsed="false">
      <c r="A20" s="0" t="s">
        <v>488</v>
      </c>
      <c r="B20" s="0" t="s">
        <v>505</v>
      </c>
      <c r="C20" s="0" t="n">
        <v>2016</v>
      </c>
      <c r="D20" s="0" t="n">
        <v>2485</v>
      </c>
      <c r="E20" s="0" t="n">
        <v>408.3</v>
      </c>
      <c r="F20" s="0" t="n">
        <v>9.3</v>
      </c>
      <c r="G20" s="0" t="n">
        <v>7.4</v>
      </c>
      <c r="H20" s="0" t="n">
        <v>98.5</v>
      </c>
      <c r="I20" s="0" t="n">
        <v>1014625.5</v>
      </c>
      <c r="J20" s="0" t="n">
        <v>244772.5</v>
      </c>
    </row>
    <row r="21" customFormat="false" ht="13.8" hidden="false" customHeight="false" outlineLevel="0" collapsed="false">
      <c r="A21" s="0" t="s">
        <v>488</v>
      </c>
      <c r="B21" s="0" t="s">
        <v>505</v>
      </c>
      <c r="C21" s="0" t="n">
        <v>2017</v>
      </c>
      <c r="D21" s="0" t="n">
        <v>2981</v>
      </c>
      <c r="E21" s="0" t="n">
        <v>405.9</v>
      </c>
      <c r="F21" s="0" t="n">
        <v>9.1</v>
      </c>
      <c r="G21" s="0" t="n">
        <v>7.4</v>
      </c>
      <c r="H21" s="0" t="n">
        <v>99.1</v>
      </c>
      <c r="I21" s="0" t="n">
        <v>1209987.9</v>
      </c>
      <c r="J21" s="0" t="n">
        <v>295417.1</v>
      </c>
    </row>
    <row r="22" customFormat="false" ht="13.8" hidden="false" customHeight="false" outlineLevel="0" collapsed="false">
      <c r="A22" s="0" t="s">
        <v>488</v>
      </c>
      <c r="B22" s="0" t="s">
        <v>505</v>
      </c>
      <c r="C22" s="0" t="n">
        <v>2018</v>
      </c>
      <c r="D22" s="0" t="n">
        <v>3573</v>
      </c>
      <c r="E22" s="0" t="n">
        <v>393</v>
      </c>
      <c r="F22" s="0" t="n">
        <v>8.3</v>
      </c>
      <c r="G22" s="0" t="n">
        <v>7.1</v>
      </c>
      <c r="H22" s="0" t="n">
        <v>94.2</v>
      </c>
      <c r="I22" s="0" t="n">
        <v>1404189</v>
      </c>
      <c r="J22" s="0" t="n">
        <v>336576.6</v>
      </c>
    </row>
    <row r="23" customFormat="false" ht="13.8" hidden="false" customHeight="false" outlineLevel="0" collapsed="false">
      <c r="A23" s="0" t="s">
        <v>488</v>
      </c>
      <c r="B23" s="0" t="s">
        <v>505</v>
      </c>
      <c r="C23" s="0" t="n">
        <v>2019</v>
      </c>
      <c r="D23" s="0" t="n">
        <v>3426</v>
      </c>
      <c r="E23" s="0" t="n">
        <v>387.3</v>
      </c>
      <c r="F23" s="0" t="n">
        <v>8.1</v>
      </c>
      <c r="G23" s="0" t="n">
        <v>6.9</v>
      </c>
      <c r="H23" s="0" t="n">
        <v>94.6</v>
      </c>
      <c r="I23" s="0" t="n">
        <v>1326889.8</v>
      </c>
      <c r="J23" s="0" t="n">
        <v>324099.6</v>
      </c>
    </row>
    <row r="24" customFormat="false" ht="13.8" hidden="false" customHeight="false" outlineLevel="0" collapsed="false">
      <c r="A24" s="0" t="s">
        <v>488</v>
      </c>
      <c r="B24" s="0" t="s">
        <v>505</v>
      </c>
      <c r="C24" s="0" t="n">
        <v>2020</v>
      </c>
      <c r="D24" s="0" t="n">
        <v>3258</v>
      </c>
      <c r="E24" s="0" t="n">
        <v>396.6</v>
      </c>
      <c r="F24" s="0" t="n">
        <v>8.2</v>
      </c>
      <c r="G24" s="0" t="n">
        <v>7.1</v>
      </c>
      <c r="H24" s="0" t="n">
        <v>96.2</v>
      </c>
      <c r="I24" s="0" t="n">
        <v>1292122.8</v>
      </c>
      <c r="J24" s="0" t="n">
        <v>313419.6</v>
      </c>
    </row>
    <row r="25" customFormat="false" ht="13.8" hidden="false" customHeight="false" outlineLevel="0" collapsed="false">
      <c r="A25" s="0" t="s">
        <v>488</v>
      </c>
      <c r="B25" s="0" t="s">
        <v>505</v>
      </c>
      <c r="C25" s="0" t="n">
        <v>2021</v>
      </c>
      <c r="D25" s="0" t="n">
        <v>2898</v>
      </c>
      <c r="E25" s="0" t="n">
        <v>409.9</v>
      </c>
      <c r="F25" s="0" t="n">
        <v>8.3</v>
      </c>
      <c r="G25" s="0" t="n">
        <v>7.5</v>
      </c>
      <c r="H25" s="0" t="n">
        <v>96.2</v>
      </c>
      <c r="I25" s="0" t="n">
        <v>1187890.2</v>
      </c>
      <c r="J25" s="0" t="n">
        <v>278787.6</v>
      </c>
    </row>
    <row r="26" customFormat="false" ht="13.8" hidden="false" customHeight="false" outlineLevel="0" collapsed="false">
      <c r="A26" s="0" t="s">
        <v>488</v>
      </c>
      <c r="B26" s="0" t="s">
        <v>506</v>
      </c>
      <c r="C26" s="0" t="n">
        <v>2016</v>
      </c>
      <c r="D26" s="0" t="n">
        <v>820</v>
      </c>
      <c r="E26" s="0" t="n">
        <v>363.4</v>
      </c>
      <c r="F26" s="0" t="n">
        <v>11.1</v>
      </c>
      <c r="G26" s="0" t="n">
        <v>6.4</v>
      </c>
      <c r="H26" s="0" t="n">
        <v>88.1</v>
      </c>
      <c r="I26" s="0" t="n">
        <v>297988</v>
      </c>
      <c r="J26" s="0" t="n">
        <v>72242</v>
      </c>
    </row>
    <row r="27" customFormat="false" ht="13.8" hidden="false" customHeight="false" outlineLevel="0" collapsed="false">
      <c r="A27" s="0" t="s">
        <v>488</v>
      </c>
      <c r="B27" s="0" t="s">
        <v>506</v>
      </c>
      <c r="C27" s="0" t="n">
        <v>2017</v>
      </c>
      <c r="D27" s="0" t="n">
        <v>800</v>
      </c>
      <c r="E27" s="0" t="n">
        <v>359.4</v>
      </c>
      <c r="F27" s="0" t="n">
        <v>10.8</v>
      </c>
      <c r="G27" s="0" t="n">
        <v>6.3</v>
      </c>
      <c r="H27" s="0" t="n">
        <v>89</v>
      </c>
      <c r="I27" s="0" t="n">
        <v>287520</v>
      </c>
      <c r="J27" s="0" t="n">
        <v>71200</v>
      </c>
    </row>
    <row r="28" customFormat="false" ht="13.8" hidden="false" customHeight="false" outlineLevel="0" collapsed="false">
      <c r="A28" s="0" t="s">
        <v>488</v>
      </c>
      <c r="B28" s="0" t="s">
        <v>506</v>
      </c>
      <c r="C28" s="0" t="n">
        <v>2018</v>
      </c>
      <c r="D28" s="0" t="n">
        <v>1144</v>
      </c>
      <c r="E28" s="0" t="n">
        <v>353.4</v>
      </c>
      <c r="F28" s="0" t="n">
        <v>10.2</v>
      </c>
      <c r="G28" s="0" t="n">
        <v>6.3</v>
      </c>
      <c r="H28" s="0" t="n">
        <v>85</v>
      </c>
      <c r="I28" s="0" t="n">
        <v>404289.6</v>
      </c>
      <c r="J28" s="0" t="n">
        <v>97240</v>
      </c>
    </row>
    <row r="29" customFormat="false" ht="13.8" hidden="false" customHeight="false" outlineLevel="0" collapsed="false">
      <c r="A29" s="0" t="s">
        <v>488</v>
      </c>
      <c r="B29" s="0" t="s">
        <v>506</v>
      </c>
      <c r="C29" s="0" t="n">
        <v>2019</v>
      </c>
      <c r="D29" s="0" t="n">
        <v>1352</v>
      </c>
      <c r="E29" s="0" t="n">
        <v>348.2</v>
      </c>
      <c r="F29" s="0" t="n">
        <v>10.1</v>
      </c>
      <c r="G29" s="0" t="n">
        <v>6.1</v>
      </c>
      <c r="H29" s="0" t="n">
        <v>87.3</v>
      </c>
      <c r="I29" s="0" t="n">
        <v>470766.4</v>
      </c>
      <c r="J29" s="0" t="n">
        <v>118029.6</v>
      </c>
    </row>
    <row r="30" customFormat="false" ht="13.8" hidden="false" customHeight="false" outlineLevel="0" collapsed="false">
      <c r="A30" s="0" t="s">
        <v>488</v>
      </c>
      <c r="B30" s="0" t="s">
        <v>506</v>
      </c>
      <c r="C30" s="0" t="n">
        <v>2020</v>
      </c>
      <c r="D30" s="0" t="n">
        <v>1390</v>
      </c>
      <c r="E30" s="0" t="n">
        <v>351.6</v>
      </c>
      <c r="F30" s="0" t="n">
        <v>9.9</v>
      </c>
      <c r="G30" s="0" t="n">
        <v>6.1</v>
      </c>
      <c r="H30" s="0" t="n">
        <v>84.5</v>
      </c>
      <c r="I30" s="0" t="n">
        <v>488724</v>
      </c>
      <c r="J30" s="0" t="n">
        <v>117455</v>
      </c>
    </row>
    <row r="31" customFormat="false" ht="13.8" hidden="false" customHeight="false" outlineLevel="0" collapsed="false">
      <c r="A31" s="0" t="s">
        <v>488</v>
      </c>
      <c r="B31" s="0" t="s">
        <v>506</v>
      </c>
      <c r="C31" s="0" t="n">
        <v>2021</v>
      </c>
      <c r="D31" s="0" t="n">
        <v>1184</v>
      </c>
      <c r="E31" s="0" t="n">
        <v>357.6</v>
      </c>
      <c r="F31" s="0" t="n">
        <v>9.9</v>
      </c>
      <c r="G31" s="0" t="n">
        <v>6.3</v>
      </c>
      <c r="H31" s="0" t="n">
        <v>82.1</v>
      </c>
      <c r="I31" s="0" t="n">
        <v>423398.4</v>
      </c>
      <c r="J31" s="0" t="n">
        <v>97206.4</v>
      </c>
    </row>
    <row r="32" customFormat="false" ht="13.8" hidden="false" customHeight="false" outlineLevel="0" collapsed="false">
      <c r="A32" s="0" t="s">
        <v>488</v>
      </c>
      <c r="B32" s="0" t="s">
        <v>508</v>
      </c>
      <c r="C32" s="0" t="n">
        <v>2016</v>
      </c>
      <c r="D32" s="0" t="n">
        <v>376</v>
      </c>
      <c r="E32" s="0" t="n">
        <v>387.2</v>
      </c>
      <c r="F32" s="0" t="n">
        <v>9.3</v>
      </c>
      <c r="G32" s="0" t="n">
        <v>8.3</v>
      </c>
      <c r="H32" s="0" t="n">
        <v>96.2</v>
      </c>
      <c r="I32" s="0" t="n">
        <v>145587.2</v>
      </c>
      <c r="J32" s="0" t="n">
        <v>36171.2</v>
      </c>
    </row>
    <row r="33" customFormat="false" ht="13.8" hidden="false" customHeight="false" outlineLevel="0" collapsed="false">
      <c r="A33" s="0" t="s">
        <v>488</v>
      </c>
      <c r="B33" s="0" t="s">
        <v>508</v>
      </c>
      <c r="C33" s="0" t="n">
        <v>2017</v>
      </c>
      <c r="D33" s="0" t="n">
        <v>438</v>
      </c>
      <c r="E33" s="0" t="n">
        <v>381.2</v>
      </c>
      <c r="F33" s="0" t="n">
        <v>9</v>
      </c>
      <c r="G33" s="0" t="n">
        <v>8.3</v>
      </c>
      <c r="H33" s="0" t="n">
        <v>93</v>
      </c>
      <c r="I33" s="0" t="n">
        <v>166965.6</v>
      </c>
      <c r="J33" s="0" t="n">
        <v>40734</v>
      </c>
    </row>
    <row r="34" customFormat="false" ht="13.8" hidden="false" customHeight="false" outlineLevel="0" collapsed="false">
      <c r="A34" s="0" t="s">
        <v>488</v>
      </c>
      <c r="B34" s="0" t="s">
        <v>508</v>
      </c>
      <c r="C34" s="0" t="n">
        <v>2018</v>
      </c>
      <c r="D34" s="0" t="n">
        <v>621</v>
      </c>
      <c r="E34" s="0" t="n">
        <v>372.9</v>
      </c>
      <c r="F34" s="0" t="n">
        <v>8.3</v>
      </c>
      <c r="G34" s="0" t="n">
        <v>8.1</v>
      </c>
      <c r="H34" s="0" t="n">
        <v>89.5</v>
      </c>
      <c r="I34" s="0" t="n">
        <v>231570.9</v>
      </c>
      <c r="J34" s="0" t="n">
        <v>55579.5</v>
      </c>
    </row>
    <row r="35" customFormat="false" ht="13.8" hidden="false" customHeight="false" outlineLevel="0" collapsed="false">
      <c r="A35" s="0" t="s">
        <v>488</v>
      </c>
      <c r="B35" s="0" t="s">
        <v>508</v>
      </c>
      <c r="C35" s="0" t="n">
        <v>2019</v>
      </c>
      <c r="D35" s="0" t="n">
        <v>507</v>
      </c>
      <c r="E35" s="0" t="n">
        <v>365.3</v>
      </c>
      <c r="F35" s="0" t="n">
        <v>7.9</v>
      </c>
      <c r="G35" s="0" t="n">
        <v>7.7</v>
      </c>
      <c r="H35" s="0" t="n">
        <v>92.1</v>
      </c>
      <c r="I35" s="0" t="n">
        <v>185207.1</v>
      </c>
      <c r="J35" s="0" t="n">
        <v>46694.7</v>
      </c>
    </row>
    <row r="36" customFormat="false" ht="13.8" hidden="false" customHeight="false" outlineLevel="0" collapsed="false">
      <c r="A36" s="0" t="s">
        <v>488</v>
      </c>
      <c r="B36" s="0" t="s">
        <v>508</v>
      </c>
      <c r="C36" s="0" t="n">
        <v>2020</v>
      </c>
      <c r="D36" s="0" t="n">
        <v>692</v>
      </c>
      <c r="E36" s="0" t="n">
        <v>372</v>
      </c>
      <c r="F36" s="0" t="n">
        <v>7.7</v>
      </c>
      <c r="G36" s="0" t="n">
        <v>7.8</v>
      </c>
      <c r="H36" s="0" t="n">
        <v>100.2</v>
      </c>
      <c r="I36" s="0" t="n">
        <v>257424</v>
      </c>
      <c r="J36" s="0" t="n">
        <v>69338.4</v>
      </c>
    </row>
    <row r="37" customFormat="false" ht="13.8" hidden="false" customHeight="false" outlineLevel="0" collapsed="false">
      <c r="A37" s="0" t="s">
        <v>488</v>
      </c>
      <c r="B37" s="0" t="s">
        <v>508</v>
      </c>
      <c r="C37" s="0" t="n">
        <v>2021</v>
      </c>
      <c r="D37" s="0" t="n">
        <v>549</v>
      </c>
      <c r="E37" s="0" t="n">
        <v>381.3</v>
      </c>
      <c r="F37" s="0" t="n">
        <v>8.3</v>
      </c>
      <c r="G37" s="0" t="n">
        <v>8</v>
      </c>
      <c r="H37" s="0" t="n">
        <v>89</v>
      </c>
      <c r="I37" s="0" t="n">
        <v>209333.7</v>
      </c>
      <c r="J37" s="0" t="n">
        <v>48861</v>
      </c>
    </row>
    <row r="38" customFormat="false" ht="13.8" hidden="false" customHeight="false" outlineLevel="0" collapsed="false">
      <c r="A38" s="0" t="s">
        <v>488</v>
      </c>
      <c r="B38" s="0" t="s">
        <v>509</v>
      </c>
      <c r="C38" s="0" t="n">
        <v>2016</v>
      </c>
      <c r="D38" s="0" t="n">
        <v>1709</v>
      </c>
      <c r="E38" s="0" t="n">
        <v>374.6</v>
      </c>
      <c r="F38" s="0" t="n">
        <v>8.8</v>
      </c>
      <c r="G38" s="0" t="n">
        <v>6.6</v>
      </c>
      <c r="H38" s="0" t="n">
        <v>91.2</v>
      </c>
      <c r="I38" s="0" t="n">
        <v>640191.4</v>
      </c>
      <c r="J38" s="0" t="n">
        <v>155860.8</v>
      </c>
    </row>
    <row r="39" customFormat="false" ht="13.8" hidden="false" customHeight="false" outlineLevel="0" collapsed="false">
      <c r="A39" s="0" t="s">
        <v>488</v>
      </c>
      <c r="B39" s="0" t="s">
        <v>509</v>
      </c>
      <c r="C39" s="0" t="n">
        <v>2017</v>
      </c>
      <c r="D39" s="0" t="n">
        <v>1951</v>
      </c>
      <c r="E39" s="0" t="n">
        <v>379.3</v>
      </c>
      <c r="F39" s="0" t="n">
        <v>8.7</v>
      </c>
      <c r="G39" s="0" t="n">
        <v>6.7</v>
      </c>
      <c r="H39" s="0" t="n">
        <v>92.5</v>
      </c>
      <c r="I39" s="0" t="n">
        <v>740014.3</v>
      </c>
      <c r="J39" s="0" t="n">
        <v>180467.5</v>
      </c>
    </row>
    <row r="40" customFormat="false" ht="13.8" hidden="false" customHeight="false" outlineLevel="0" collapsed="false">
      <c r="A40" s="0" t="s">
        <v>488</v>
      </c>
      <c r="B40" s="0" t="s">
        <v>509</v>
      </c>
      <c r="C40" s="0" t="n">
        <v>2018</v>
      </c>
      <c r="D40" s="0" t="n">
        <v>2598</v>
      </c>
      <c r="E40" s="0" t="n">
        <v>358.3</v>
      </c>
      <c r="F40" s="0" t="n">
        <v>7.6</v>
      </c>
      <c r="G40" s="0" t="n">
        <v>6.2</v>
      </c>
      <c r="H40" s="0" t="n">
        <v>89.8</v>
      </c>
      <c r="I40" s="0" t="n">
        <v>930863.4</v>
      </c>
      <c r="J40" s="0" t="n">
        <v>233300.4</v>
      </c>
    </row>
    <row r="41" customFormat="false" ht="13.8" hidden="false" customHeight="false" outlineLevel="0" collapsed="false">
      <c r="A41" s="0" t="s">
        <v>488</v>
      </c>
      <c r="B41" s="0" t="s">
        <v>509</v>
      </c>
      <c r="C41" s="0" t="n">
        <v>2019</v>
      </c>
      <c r="D41" s="0" t="n">
        <v>2584</v>
      </c>
      <c r="E41" s="0" t="n">
        <v>359.2</v>
      </c>
      <c r="F41" s="0" t="n">
        <v>7.5</v>
      </c>
      <c r="G41" s="0" t="n">
        <v>6.3</v>
      </c>
      <c r="H41" s="0" t="n">
        <v>87.9</v>
      </c>
      <c r="I41" s="0" t="n">
        <v>928172.8</v>
      </c>
      <c r="J41" s="0" t="n">
        <v>227133.6</v>
      </c>
    </row>
    <row r="42" customFormat="false" ht="13.8" hidden="false" customHeight="false" outlineLevel="0" collapsed="false">
      <c r="A42" s="0" t="s">
        <v>488</v>
      </c>
      <c r="B42" s="0" t="s">
        <v>509</v>
      </c>
      <c r="C42" s="0" t="n">
        <v>2020</v>
      </c>
      <c r="D42" s="0" t="n">
        <v>2416</v>
      </c>
      <c r="E42" s="0" t="n">
        <v>363.9</v>
      </c>
      <c r="F42" s="0" t="n">
        <v>7.6</v>
      </c>
      <c r="G42" s="0" t="n">
        <v>6.3</v>
      </c>
      <c r="H42" s="0" t="n">
        <v>88.8</v>
      </c>
      <c r="I42" s="0" t="n">
        <v>879182.4</v>
      </c>
      <c r="J42" s="0" t="n">
        <v>214540.8</v>
      </c>
    </row>
    <row r="43" customFormat="false" ht="13.8" hidden="false" customHeight="false" outlineLevel="0" collapsed="false">
      <c r="A43" s="0" t="s">
        <v>488</v>
      </c>
      <c r="B43" s="0" t="s">
        <v>509</v>
      </c>
      <c r="C43" s="0" t="n">
        <v>2021</v>
      </c>
      <c r="D43" s="0" t="n">
        <v>2357</v>
      </c>
      <c r="E43" s="0" t="n">
        <v>374</v>
      </c>
      <c r="F43" s="0" t="n">
        <v>7.9</v>
      </c>
      <c r="G43" s="0" t="n">
        <v>6.6</v>
      </c>
      <c r="H43" s="0" t="n">
        <v>87.8</v>
      </c>
      <c r="I43" s="0" t="n">
        <v>881518</v>
      </c>
      <c r="J43" s="0" t="n">
        <v>206944.6</v>
      </c>
    </row>
    <row r="44" customFormat="false" ht="13.8" hidden="false" customHeight="false" outlineLevel="0" collapsed="false">
      <c r="A44" s="0" t="s">
        <v>488</v>
      </c>
      <c r="B44" s="0" t="s">
        <v>511</v>
      </c>
      <c r="C44" s="0" t="n">
        <v>2016</v>
      </c>
      <c r="D44" s="0" t="n">
        <v>483</v>
      </c>
      <c r="E44" s="0" t="n">
        <v>230.7</v>
      </c>
      <c r="F44" s="0" t="n">
        <v>8.2</v>
      </c>
      <c r="G44" s="0" t="n">
        <v>4.6</v>
      </c>
      <c r="H44" s="0" t="n">
        <v>108.5</v>
      </c>
      <c r="I44" s="0" t="n">
        <v>111428.1</v>
      </c>
      <c r="J44" s="0" t="n">
        <v>52405.5</v>
      </c>
    </row>
    <row r="45" customFormat="false" ht="13.8" hidden="false" customHeight="false" outlineLevel="0" collapsed="false">
      <c r="A45" s="0" t="s">
        <v>488</v>
      </c>
      <c r="B45" s="0" t="s">
        <v>511</v>
      </c>
      <c r="C45" s="0" t="n">
        <v>2017</v>
      </c>
      <c r="D45" s="0" t="n">
        <v>427</v>
      </c>
      <c r="E45" s="0" t="n">
        <v>231.8</v>
      </c>
      <c r="F45" s="0" t="n">
        <v>8.1</v>
      </c>
      <c r="G45" s="0" t="n">
        <v>4.7</v>
      </c>
      <c r="H45" s="0" t="n">
        <v>98</v>
      </c>
      <c r="I45" s="0" t="n">
        <v>98978.6</v>
      </c>
      <c r="J45" s="0" t="n">
        <v>41846</v>
      </c>
    </row>
    <row r="46" customFormat="false" ht="13.8" hidden="false" customHeight="false" outlineLevel="0" collapsed="false">
      <c r="A46" s="0" t="s">
        <v>488</v>
      </c>
      <c r="B46" s="0" t="s">
        <v>511</v>
      </c>
      <c r="C46" s="0" t="n">
        <v>2018</v>
      </c>
      <c r="D46" s="0" t="n">
        <v>546</v>
      </c>
      <c r="E46" s="0" t="n">
        <v>224.4</v>
      </c>
      <c r="F46" s="0" t="n">
        <v>7.6</v>
      </c>
      <c r="G46" s="0" t="n">
        <v>4.4</v>
      </c>
      <c r="H46" s="0" t="n">
        <v>100.9</v>
      </c>
      <c r="I46" s="0" t="n">
        <v>122522.4</v>
      </c>
      <c r="J46" s="0" t="n">
        <v>55091.4</v>
      </c>
    </row>
    <row r="47" customFormat="false" ht="13.8" hidden="false" customHeight="false" outlineLevel="0" collapsed="false">
      <c r="A47" s="0" t="s">
        <v>488</v>
      </c>
      <c r="B47" s="0" t="s">
        <v>511</v>
      </c>
      <c r="C47" s="0" t="n">
        <v>2019</v>
      </c>
      <c r="D47" s="0" t="n">
        <v>408</v>
      </c>
      <c r="E47" s="0" t="n">
        <v>224.2</v>
      </c>
      <c r="F47" s="0" t="n">
        <v>7.3</v>
      </c>
      <c r="G47" s="0" t="n">
        <v>4.3</v>
      </c>
      <c r="H47" s="0" t="n">
        <v>105.8</v>
      </c>
      <c r="I47" s="0" t="n">
        <v>91473.6</v>
      </c>
      <c r="J47" s="0" t="n">
        <v>43166.4</v>
      </c>
    </row>
    <row r="48" customFormat="false" ht="13.8" hidden="false" customHeight="false" outlineLevel="0" collapsed="false">
      <c r="A48" s="0" t="s">
        <v>488</v>
      </c>
      <c r="B48" s="0" t="s">
        <v>511</v>
      </c>
      <c r="C48" s="0" t="n">
        <v>2020</v>
      </c>
      <c r="D48" s="0" t="n">
        <v>428</v>
      </c>
      <c r="E48" s="0" t="n">
        <v>232.7</v>
      </c>
      <c r="F48" s="0" t="n">
        <v>7.8</v>
      </c>
      <c r="G48" s="0" t="n">
        <v>4.6</v>
      </c>
      <c r="H48" s="0" t="n">
        <v>106.7</v>
      </c>
      <c r="I48" s="0" t="n">
        <v>99595.6</v>
      </c>
      <c r="J48" s="0" t="n">
        <v>45667.6</v>
      </c>
    </row>
    <row r="49" customFormat="false" ht="13.8" hidden="false" customHeight="false" outlineLevel="0" collapsed="false">
      <c r="A49" s="0" t="s">
        <v>488</v>
      </c>
      <c r="B49" s="0" t="s">
        <v>511</v>
      </c>
      <c r="C49" s="0" t="n">
        <v>2021</v>
      </c>
      <c r="D49" s="0" t="n">
        <v>305</v>
      </c>
      <c r="E49" s="0" t="n">
        <v>227.8</v>
      </c>
      <c r="F49" s="0" t="n">
        <v>7.56</v>
      </c>
      <c r="G49" s="0" t="n">
        <v>4.5</v>
      </c>
      <c r="H49" s="0" t="n">
        <v>108.4</v>
      </c>
      <c r="I49" s="0" t="n">
        <v>69479</v>
      </c>
      <c r="J49" s="0" t="n">
        <v>33062</v>
      </c>
    </row>
    <row r="50" customFormat="false" ht="13.8" hidden="false" customHeight="false" outlineLevel="0" collapsed="false">
      <c r="A50" s="0" t="s">
        <v>488</v>
      </c>
      <c r="B50" s="0" t="s">
        <v>512</v>
      </c>
      <c r="C50" s="0" t="n">
        <v>2016</v>
      </c>
      <c r="D50" s="0" t="n">
        <v>110</v>
      </c>
      <c r="E50" s="0" t="n">
        <v>389.5</v>
      </c>
      <c r="F50" s="0" t="n">
        <v>7.1</v>
      </c>
      <c r="G50" s="0" t="n">
        <v>7.8</v>
      </c>
      <c r="H50" s="0" t="n">
        <v>109.9</v>
      </c>
      <c r="I50" s="0" t="n">
        <v>42845</v>
      </c>
      <c r="J50" s="0" t="n">
        <v>12089</v>
      </c>
    </row>
    <row r="51" customFormat="false" ht="13.8" hidden="false" customHeight="false" outlineLevel="0" collapsed="false">
      <c r="A51" s="0" t="s">
        <v>488</v>
      </c>
      <c r="B51" s="0" t="s">
        <v>512</v>
      </c>
      <c r="C51" s="0" t="n">
        <v>2017</v>
      </c>
      <c r="D51" s="0" t="n">
        <v>98</v>
      </c>
      <c r="E51" s="0" t="n">
        <v>427.9</v>
      </c>
      <c r="F51" s="0" t="n">
        <v>8</v>
      </c>
      <c r="G51" s="0" t="n">
        <v>8.4</v>
      </c>
      <c r="H51" s="0" t="n">
        <v>103.3</v>
      </c>
      <c r="I51" s="0" t="n">
        <v>41934.2</v>
      </c>
      <c r="J51" s="0" t="n">
        <v>10123.4</v>
      </c>
    </row>
    <row r="52" customFormat="false" ht="13.8" hidden="false" customHeight="false" outlineLevel="0" collapsed="false">
      <c r="A52" s="0" t="s">
        <v>488</v>
      </c>
      <c r="B52" s="0" t="s">
        <v>512</v>
      </c>
      <c r="C52" s="0" t="n">
        <v>2018</v>
      </c>
      <c r="D52" s="0" t="n">
        <v>139</v>
      </c>
      <c r="E52" s="0" t="n">
        <v>394.5</v>
      </c>
      <c r="F52" s="0" t="n">
        <v>6.7</v>
      </c>
      <c r="G52" s="0" t="n">
        <v>8.1</v>
      </c>
      <c r="H52" s="0" t="n">
        <v>101</v>
      </c>
      <c r="I52" s="0" t="n">
        <v>54835.5</v>
      </c>
      <c r="J52" s="0" t="n">
        <v>14039</v>
      </c>
    </row>
    <row r="53" customFormat="false" ht="13.8" hidden="false" customHeight="false" outlineLevel="0" collapsed="false">
      <c r="A53" s="0" t="s">
        <v>488</v>
      </c>
      <c r="B53" s="0" t="s">
        <v>512</v>
      </c>
      <c r="C53" s="0" t="n">
        <v>2019</v>
      </c>
      <c r="D53" s="0" t="n">
        <v>162</v>
      </c>
      <c r="E53" s="0" t="n">
        <v>402.6</v>
      </c>
      <c r="F53" s="0" t="n">
        <v>7.1</v>
      </c>
      <c r="G53" s="0" t="n">
        <v>7.7</v>
      </c>
      <c r="H53" s="0" t="n">
        <v>105.8</v>
      </c>
      <c r="I53" s="0" t="n">
        <v>65221.2</v>
      </c>
      <c r="J53" s="0" t="n">
        <v>17139.6</v>
      </c>
    </row>
    <row r="54" customFormat="false" ht="13.8" hidden="false" customHeight="false" outlineLevel="0" collapsed="false">
      <c r="A54" s="0" t="s">
        <v>488</v>
      </c>
      <c r="B54" s="0" t="s">
        <v>512</v>
      </c>
      <c r="C54" s="0" t="n">
        <v>2020</v>
      </c>
      <c r="D54" s="0" t="n">
        <v>127</v>
      </c>
      <c r="E54" s="0" t="n">
        <v>407.7</v>
      </c>
      <c r="F54" s="0" t="n">
        <v>6.7</v>
      </c>
      <c r="G54" s="0" t="n">
        <v>7.9</v>
      </c>
      <c r="H54" s="0" t="n">
        <v>103.6</v>
      </c>
      <c r="I54" s="0" t="n">
        <v>51777.9</v>
      </c>
      <c r="J54" s="0" t="n">
        <v>13157.2</v>
      </c>
    </row>
    <row r="55" customFormat="false" ht="13.8" hidden="false" customHeight="false" outlineLevel="0" collapsed="false">
      <c r="A55" s="0" t="s">
        <v>488</v>
      </c>
      <c r="B55" s="0" t="s">
        <v>512</v>
      </c>
      <c r="C55" s="0" t="n">
        <v>2021</v>
      </c>
      <c r="D55" s="0" t="n">
        <v>135</v>
      </c>
      <c r="E55" s="0" t="n">
        <v>427.1</v>
      </c>
      <c r="F55" s="0" t="n">
        <v>6.7</v>
      </c>
      <c r="G55" s="0" t="n">
        <v>8.1</v>
      </c>
      <c r="H55" s="0" t="n">
        <v>93.9</v>
      </c>
      <c r="I55" s="0" t="n">
        <v>57658.5</v>
      </c>
      <c r="J55" s="0" t="n">
        <v>12676.5</v>
      </c>
    </row>
    <row r="56" customFormat="false" ht="13.8" hidden="false" customHeight="false" outlineLevel="0" collapsed="false">
      <c r="A56" s="0" t="s">
        <v>488</v>
      </c>
      <c r="B56" s="0" t="s">
        <v>513</v>
      </c>
      <c r="C56" s="0" t="n">
        <v>2016</v>
      </c>
      <c r="D56" s="0" t="n">
        <v>15724</v>
      </c>
      <c r="E56" s="0" t="n">
        <v>345</v>
      </c>
      <c r="F56" s="0" t="n">
        <v>9</v>
      </c>
      <c r="G56" s="0" t="n">
        <v>5.6</v>
      </c>
      <c r="H56" s="0" t="n">
        <v>87.3</v>
      </c>
      <c r="I56" s="0" t="n">
        <v>5424780</v>
      </c>
      <c r="J56" s="0" t="n">
        <v>1372705.2</v>
      </c>
    </row>
    <row r="57" customFormat="false" ht="13.8" hidden="false" customHeight="false" outlineLevel="0" collapsed="false">
      <c r="A57" s="0" t="s">
        <v>488</v>
      </c>
      <c r="B57" s="0" t="s">
        <v>513</v>
      </c>
      <c r="C57" s="0" t="n">
        <v>2017</v>
      </c>
      <c r="D57" s="0" t="n">
        <v>15992</v>
      </c>
      <c r="E57" s="0" t="n">
        <v>345.7</v>
      </c>
      <c r="F57" s="0" t="n">
        <v>8.8</v>
      </c>
      <c r="G57" s="0" t="n">
        <v>5.7</v>
      </c>
      <c r="H57" s="0" t="n">
        <v>87.1</v>
      </c>
      <c r="I57" s="0" t="n">
        <v>5528434.4</v>
      </c>
      <c r="J57" s="0" t="n">
        <v>1392903.2</v>
      </c>
    </row>
    <row r="58" customFormat="false" ht="13.8" hidden="false" customHeight="false" outlineLevel="0" collapsed="false">
      <c r="A58" s="0" t="s">
        <v>488</v>
      </c>
      <c r="B58" s="0" t="s">
        <v>513</v>
      </c>
      <c r="C58" s="0" t="n">
        <v>2018</v>
      </c>
      <c r="D58" s="0" t="n">
        <v>20874</v>
      </c>
      <c r="E58" s="0" t="n">
        <v>339.3</v>
      </c>
      <c r="F58" s="0" t="n">
        <v>8.3</v>
      </c>
      <c r="G58" s="0" t="n">
        <v>5.6</v>
      </c>
      <c r="H58" s="0" t="n">
        <v>86.5</v>
      </c>
      <c r="I58" s="0" t="n">
        <v>7082548.2</v>
      </c>
      <c r="J58" s="0" t="n">
        <v>1805601</v>
      </c>
    </row>
    <row r="59" customFormat="false" ht="13.8" hidden="false" customHeight="false" outlineLevel="0" collapsed="false">
      <c r="A59" s="0" t="s">
        <v>488</v>
      </c>
      <c r="B59" s="0" t="s">
        <v>513</v>
      </c>
      <c r="C59" s="0" t="n">
        <v>2019</v>
      </c>
      <c r="D59" s="0" t="n">
        <v>21397</v>
      </c>
      <c r="E59" s="0" t="n">
        <v>338.8</v>
      </c>
      <c r="F59" s="0" t="n">
        <v>8.2</v>
      </c>
      <c r="G59" s="0" t="n">
        <v>5.5</v>
      </c>
      <c r="H59" s="0" t="n">
        <v>86.2</v>
      </c>
      <c r="I59" s="0" t="n">
        <v>7249303.6</v>
      </c>
      <c r="J59" s="0" t="n">
        <v>1844421.4</v>
      </c>
    </row>
    <row r="60" customFormat="false" ht="13.8" hidden="false" customHeight="false" outlineLevel="0" collapsed="false">
      <c r="A60" s="0" t="s">
        <v>488</v>
      </c>
      <c r="B60" s="0" t="s">
        <v>513</v>
      </c>
      <c r="C60" s="0" t="n">
        <v>2020</v>
      </c>
      <c r="D60" s="0" t="n">
        <v>21847</v>
      </c>
      <c r="E60" s="0" t="n">
        <v>343.8</v>
      </c>
      <c r="F60" s="0" t="n">
        <v>8.2</v>
      </c>
      <c r="G60" s="0" t="n">
        <v>5.6</v>
      </c>
      <c r="H60" s="0" t="n">
        <v>86.3</v>
      </c>
      <c r="I60" s="0" t="n">
        <v>7510998.6</v>
      </c>
      <c r="J60" s="0" t="n">
        <v>1885396.1</v>
      </c>
    </row>
    <row r="61" customFormat="false" ht="13.8" hidden="false" customHeight="false" outlineLevel="0" collapsed="false">
      <c r="A61" s="0" t="s">
        <v>488</v>
      </c>
      <c r="B61" s="0" t="s">
        <v>513</v>
      </c>
      <c r="C61" s="0" t="n">
        <v>2021</v>
      </c>
      <c r="D61" s="0" t="n">
        <v>19983</v>
      </c>
      <c r="E61" s="0" t="n">
        <v>350.4</v>
      </c>
      <c r="F61" s="0" t="n">
        <v>8.3</v>
      </c>
      <c r="G61" s="0" t="n">
        <v>5.8</v>
      </c>
      <c r="H61" s="0" t="n">
        <v>84.9</v>
      </c>
      <c r="I61" s="0" t="n">
        <v>7002043.2</v>
      </c>
      <c r="J61" s="0" t="n">
        <v>1696556.7</v>
      </c>
    </row>
    <row r="62" customFormat="false" ht="13.8" hidden="false" customHeight="false" outlineLevel="0" collapsed="false">
      <c r="A62" s="0" t="s">
        <v>496</v>
      </c>
      <c r="B62" s="0" t="s">
        <v>489</v>
      </c>
      <c r="C62" s="0" t="n">
        <v>2016</v>
      </c>
      <c r="D62" s="0" t="n">
        <v>10952</v>
      </c>
      <c r="E62" s="0" t="n">
        <v>274.4</v>
      </c>
      <c r="F62" s="0" t="n">
        <v>7.2</v>
      </c>
      <c r="G62" s="0" t="n">
        <v>3.9</v>
      </c>
      <c r="H62" s="0" t="n">
        <v>39.8</v>
      </c>
      <c r="I62" s="0" t="n">
        <v>3005228.8</v>
      </c>
      <c r="J62" s="0" t="n">
        <v>435889.6</v>
      </c>
    </row>
    <row r="63" customFormat="false" ht="13.8" hidden="false" customHeight="false" outlineLevel="0" collapsed="false">
      <c r="A63" s="0" t="s">
        <v>496</v>
      </c>
      <c r="B63" s="0" t="s">
        <v>489</v>
      </c>
      <c r="C63" s="0" t="n">
        <v>2017</v>
      </c>
      <c r="D63" s="0" t="n">
        <v>9142</v>
      </c>
      <c r="E63" s="0" t="n">
        <v>282</v>
      </c>
      <c r="F63" s="0" t="n">
        <v>7.5</v>
      </c>
      <c r="G63" s="0" t="n">
        <v>4</v>
      </c>
      <c r="H63" s="0" t="n">
        <v>39.9</v>
      </c>
      <c r="I63" s="0" t="n">
        <v>2578044</v>
      </c>
      <c r="J63" s="0" t="n">
        <v>364765.8</v>
      </c>
    </row>
    <row r="64" customFormat="false" ht="13.8" hidden="false" customHeight="false" outlineLevel="0" collapsed="false">
      <c r="A64" s="0" t="s">
        <v>496</v>
      </c>
      <c r="B64" s="0" t="s">
        <v>489</v>
      </c>
      <c r="C64" s="0" t="n">
        <v>2018</v>
      </c>
      <c r="D64" s="0" t="n">
        <v>8988</v>
      </c>
      <c r="E64" s="0" t="n">
        <v>277.8</v>
      </c>
      <c r="F64" s="0" t="n">
        <v>7.2</v>
      </c>
      <c r="G64" s="0" t="n">
        <v>3.9</v>
      </c>
      <c r="H64" s="0" t="n">
        <v>40.5</v>
      </c>
      <c r="I64" s="0" t="n">
        <v>2496866.4</v>
      </c>
      <c r="J64" s="0" t="n">
        <v>364014</v>
      </c>
    </row>
    <row r="65" customFormat="false" ht="13.8" hidden="false" customHeight="false" outlineLevel="0" collapsed="false">
      <c r="A65" s="0" t="s">
        <v>496</v>
      </c>
      <c r="B65" s="0" t="s">
        <v>489</v>
      </c>
      <c r="C65" s="0" t="n">
        <v>2019</v>
      </c>
      <c r="D65" s="0" t="n">
        <v>8439</v>
      </c>
      <c r="E65" s="0" t="n">
        <v>280.4</v>
      </c>
      <c r="F65" s="0" t="n">
        <v>7.2</v>
      </c>
      <c r="G65" s="0" t="n">
        <v>4</v>
      </c>
      <c r="H65" s="0" t="n">
        <v>42</v>
      </c>
      <c r="I65" s="0" t="n">
        <v>2366295.6</v>
      </c>
      <c r="J65" s="0" t="n">
        <v>354438</v>
      </c>
    </row>
    <row r="66" customFormat="false" ht="13.8" hidden="false" customHeight="false" outlineLevel="0" collapsed="false">
      <c r="A66" s="0" t="s">
        <v>496</v>
      </c>
      <c r="B66" s="0" t="s">
        <v>489</v>
      </c>
      <c r="C66" s="0" t="n">
        <v>2020</v>
      </c>
      <c r="D66" s="0" t="n">
        <v>7515</v>
      </c>
      <c r="E66" s="0" t="n">
        <v>280.8</v>
      </c>
      <c r="F66" s="0" t="n">
        <v>7.1</v>
      </c>
      <c r="G66" s="0" t="n">
        <v>3.9</v>
      </c>
      <c r="H66" s="0" t="n">
        <v>44.9</v>
      </c>
      <c r="I66" s="0" t="n">
        <v>2110212</v>
      </c>
      <c r="J66" s="0" t="n">
        <v>337423.5</v>
      </c>
    </row>
    <row r="67" customFormat="false" ht="13.8" hidden="false" customHeight="false" outlineLevel="0" collapsed="false">
      <c r="A67" s="0" t="s">
        <v>496</v>
      </c>
      <c r="B67" s="0" t="s">
        <v>489</v>
      </c>
      <c r="C67" s="0" t="n">
        <v>2021</v>
      </c>
      <c r="D67" s="0" t="n">
        <v>6789</v>
      </c>
      <c r="E67" s="0" t="n">
        <v>283</v>
      </c>
      <c r="F67" s="0" t="n">
        <v>7</v>
      </c>
      <c r="G67" s="0" t="n">
        <v>4</v>
      </c>
      <c r="H67" s="0" t="n">
        <v>47.5</v>
      </c>
      <c r="I67" s="0" t="n">
        <v>1921287</v>
      </c>
      <c r="J67" s="0" t="n">
        <v>322477.5</v>
      </c>
    </row>
    <row r="68" customFormat="false" ht="13.8" hidden="false" customHeight="false" outlineLevel="0" collapsed="false">
      <c r="A68" s="0" t="s">
        <v>496</v>
      </c>
      <c r="B68" s="0" t="s">
        <v>497</v>
      </c>
      <c r="C68" s="0" t="n">
        <v>2016</v>
      </c>
      <c r="D68" s="0" t="n">
        <v>18177</v>
      </c>
      <c r="E68" s="0" t="n">
        <v>284.2</v>
      </c>
      <c r="F68" s="0" t="n">
        <v>6.7</v>
      </c>
      <c r="G68" s="0" t="n">
        <v>3.3</v>
      </c>
      <c r="H68" s="0" t="n">
        <v>40.2</v>
      </c>
      <c r="I68" s="0" t="n">
        <v>5165903.4</v>
      </c>
      <c r="J68" s="0" t="n">
        <v>730715.4</v>
      </c>
    </row>
    <row r="69" customFormat="false" ht="13.8" hidden="false" customHeight="false" outlineLevel="0" collapsed="false">
      <c r="A69" s="0" t="s">
        <v>496</v>
      </c>
      <c r="B69" s="0" t="s">
        <v>497</v>
      </c>
      <c r="C69" s="0" t="n">
        <v>2017</v>
      </c>
      <c r="D69" s="0" t="n">
        <v>15414</v>
      </c>
      <c r="E69" s="0" t="n">
        <v>291.8</v>
      </c>
      <c r="F69" s="0" t="n">
        <v>7</v>
      </c>
      <c r="G69" s="0" t="n">
        <v>3.5</v>
      </c>
      <c r="H69" s="0" t="n">
        <v>40.6</v>
      </c>
      <c r="I69" s="0" t="n">
        <v>4497805.2</v>
      </c>
      <c r="J69" s="0" t="n">
        <v>625808.4</v>
      </c>
    </row>
    <row r="70" customFormat="false" ht="13.8" hidden="false" customHeight="false" outlineLevel="0" collapsed="false">
      <c r="A70" s="0" t="s">
        <v>496</v>
      </c>
      <c r="B70" s="0" t="s">
        <v>497</v>
      </c>
      <c r="C70" s="0" t="n">
        <v>2018</v>
      </c>
      <c r="D70" s="0" t="n">
        <v>15987</v>
      </c>
      <c r="E70" s="0" t="n">
        <v>289.9</v>
      </c>
      <c r="F70" s="0" t="n">
        <v>6.8</v>
      </c>
      <c r="G70" s="0" t="n">
        <v>3.4</v>
      </c>
      <c r="H70" s="0" t="n">
        <v>41.6</v>
      </c>
      <c r="I70" s="0" t="n">
        <v>4634631.3</v>
      </c>
      <c r="J70" s="0" t="n">
        <v>665059.2</v>
      </c>
    </row>
    <row r="71" customFormat="false" ht="13.8" hidden="false" customHeight="false" outlineLevel="0" collapsed="false">
      <c r="A71" s="0" t="s">
        <v>496</v>
      </c>
      <c r="B71" s="0" t="s">
        <v>497</v>
      </c>
      <c r="C71" s="0" t="n">
        <v>2019</v>
      </c>
      <c r="D71" s="0" t="n">
        <v>15178</v>
      </c>
      <c r="E71" s="0" t="n">
        <v>292.3</v>
      </c>
      <c r="F71" s="0" t="n">
        <v>6.8</v>
      </c>
      <c r="G71" s="0" t="n">
        <v>3.4</v>
      </c>
      <c r="H71" s="0" t="n">
        <v>43.4</v>
      </c>
      <c r="I71" s="0" t="n">
        <v>4436529.4</v>
      </c>
      <c r="J71" s="0" t="n">
        <v>658725.2</v>
      </c>
    </row>
    <row r="72" customFormat="false" ht="13.8" hidden="false" customHeight="false" outlineLevel="0" collapsed="false">
      <c r="A72" s="0" t="s">
        <v>496</v>
      </c>
      <c r="B72" s="0" t="s">
        <v>497</v>
      </c>
      <c r="C72" s="0" t="n">
        <v>2020</v>
      </c>
      <c r="D72" s="0" t="n">
        <v>14143</v>
      </c>
      <c r="E72" s="0" t="n">
        <v>293.8</v>
      </c>
      <c r="F72" s="0" t="n">
        <v>6.8</v>
      </c>
      <c r="G72" s="0" t="n">
        <v>3.4</v>
      </c>
      <c r="H72" s="0" t="n">
        <v>45.8</v>
      </c>
      <c r="I72" s="0" t="n">
        <v>4155213.4</v>
      </c>
      <c r="J72" s="0" t="n">
        <v>647749.4</v>
      </c>
    </row>
    <row r="73" customFormat="false" ht="13.8" hidden="false" customHeight="false" outlineLevel="0" collapsed="false">
      <c r="A73" s="0" t="s">
        <v>496</v>
      </c>
      <c r="B73" s="0" t="s">
        <v>497</v>
      </c>
      <c r="C73" s="0" t="n">
        <v>2021</v>
      </c>
      <c r="D73" s="0" t="n">
        <v>13017</v>
      </c>
      <c r="E73" s="0" t="n">
        <v>296</v>
      </c>
      <c r="F73" s="0" t="n">
        <v>6.7</v>
      </c>
      <c r="G73" s="0" t="n">
        <v>3.4</v>
      </c>
      <c r="H73" s="0" t="n">
        <v>50.2</v>
      </c>
      <c r="I73" s="0" t="n">
        <v>3853032</v>
      </c>
      <c r="J73" s="0" t="n">
        <v>653453.4</v>
      </c>
    </row>
    <row r="74" customFormat="false" ht="13.8" hidden="false" customHeight="false" outlineLevel="0" collapsed="false">
      <c r="A74" s="0" t="s">
        <v>496</v>
      </c>
      <c r="B74" s="0" t="s">
        <v>502</v>
      </c>
      <c r="C74" s="0" t="n">
        <v>2016</v>
      </c>
      <c r="D74" s="0" t="n">
        <v>897</v>
      </c>
      <c r="E74" s="0" t="n">
        <v>319.2</v>
      </c>
      <c r="F74" s="0" t="n">
        <v>10.1</v>
      </c>
      <c r="G74" s="0" t="n">
        <v>6</v>
      </c>
      <c r="H74" s="0" t="n">
        <v>38.5</v>
      </c>
      <c r="I74" s="0" t="n">
        <v>286322.4</v>
      </c>
      <c r="J74" s="0" t="n">
        <v>34534.5</v>
      </c>
    </row>
    <row r="75" customFormat="false" ht="13.8" hidden="false" customHeight="false" outlineLevel="0" collapsed="false">
      <c r="A75" s="0" t="s">
        <v>496</v>
      </c>
      <c r="B75" s="0" t="s">
        <v>502</v>
      </c>
      <c r="C75" s="0" t="n">
        <v>2017</v>
      </c>
      <c r="D75" s="0" t="n">
        <v>936</v>
      </c>
      <c r="E75" s="0" t="n">
        <v>317</v>
      </c>
      <c r="F75" s="0" t="n">
        <v>9.8</v>
      </c>
      <c r="G75" s="0" t="n">
        <v>6</v>
      </c>
      <c r="H75" s="0" t="n">
        <v>38.5</v>
      </c>
      <c r="I75" s="0" t="n">
        <v>296712</v>
      </c>
      <c r="J75" s="0" t="n">
        <v>36036</v>
      </c>
    </row>
    <row r="76" customFormat="false" ht="13.8" hidden="false" customHeight="false" outlineLevel="0" collapsed="false">
      <c r="A76" s="0" t="s">
        <v>496</v>
      </c>
      <c r="B76" s="0" t="s">
        <v>502</v>
      </c>
      <c r="C76" s="0" t="n">
        <v>2018</v>
      </c>
      <c r="D76" s="0" t="n">
        <v>1167</v>
      </c>
      <c r="E76" s="0" t="n">
        <v>307.7</v>
      </c>
      <c r="F76" s="0" t="n">
        <v>9.1</v>
      </c>
      <c r="G76" s="0" t="n">
        <v>5.8</v>
      </c>
      <c r="H76" s="0" t="n">
        <v>38.1</v>
      </c>
      <c r="I76" s="0" t="n">
        <v>359085.9</v>
      </c>
      <c r="J76" s="0" t="n">
        <v>44462.7</v>
      </c>
    </row>
    <row r="77" customFormat="false" ht="13.8" hidden="false" customHeight="false" outlineLevel="0" collapsed="false">
      <c r="A77" s="0" t="s">
        <v>496</v>
      </c>
      <c r="B77" s="0" t="s">
        <v>502</v>
      </c>
      <c r="C77" s="0" t="n">
        <v>2019</v>
      </c>
      <c r="D77" s="0" t="n">
        <v>1454</v>
      </c>
      <c r="E77" s="0" t="n">
        <v>310.5</v>
      </c>
      <c r="F77" s="0" t="n">
        <v>9.2</v>
      </c>
      <c r="G77" s="0" t="n">
        <v>5.9</v>
      </c>
      <c r="H77" s="0" t="n">
        <v>37.7</v>
      </c>
      <c r="I77" s="0" t="n">
        <v>451467</v>
      </c>
      <c r="J77" s="0" t="n">
        <v>54815.8</v>
      </c>
    </row>
    <row r="78" customFormat="false" ht="13.8" hidden="false" customHeight="false" outlineLevel="0" collapsed="false">
      <c r="A78" s="0" t="s">
        <v>496</v>
      </c>
      <c r="B78" s="0" t="s">
        <v>502</v>
      </c>
      <c r="C78" s="0" t="n">
        <v>2020</v>
      </c>
      <c r="D78" s="0" t="n">
        <v>1537</v>
      </c>
      <c r="E78" s="0" t="n">
        <v>310.7</v>
      </c>
      <c r="F78" s="0" t="n">
        <v>9</v>
      </c>
      <c r="G78" s="0" t="n">
        <v>5.9</v>
      </c>
      <c r="H78" s="0" t="n">
        <v>38.1</v>
      </c>
      <c r="I78" s="0" t="n">
        <v>477545.9</v>
      </c>
      <c r="J78" s="0" t="n">
        <v>58559.7</v>
      </c>
    </row>
    <row r="79" customFormat="false" ht="13.8" hidden="false" customHeight="false" outlineLevel="0" collapsed="false">
      <c r="A79" s="0" t="s">
        <v>496</v>
      </c>
      <c r="B79" s="0" t="s">
        <v>502</v>
      </c>
      <c r="C79" s="0" t="n">
        <v>2021</v>
      </c>
      <c r="D79" s="0" t="n">
        <v>1543</v>
      </c>
      <c r="E79" s="0" t="n">
        <v>322</v>
      </c>
      <c r="F79" s="0" t="n">
        <v>9.1</v>
      </c>
      <c r="G79" s="0" t="n">
        <v>6.1</v>
      </c>
      <c r="H79" s="0" t="n">
        <v>39.6</v>
      </c>
      <c r="I79" s="0" t="n">
        <v>496846</v>
      </c>
      <c r="J79" s="0" t="n">
        <v>61102.8</v>
      </c>
    </row>
    <row r="80" customFormat="false" ht="13.8" hidden="false" customHeight="false" outlineLevel="0" collapsed="false">
      <c r="A80" s="0" t="s">
        <v>496</v>
      </c>
      <c r="B80" s="0" t="s">
        <v>505</v>
      </c>
      <c r="C80" s="0" t="n">
        <v>2016</v>
      </c>
      <c r="D80" s="0" t="n">
        <v>506</v>
      </c>
      <c r="E80" s="0" t="n">
        <v>346</v>
      </c>
      <c r="F80" s="0" t="n">
        <v>8.2</v>
      </c>
      <c r="G80" s="0" t="n">
        <v>7</v>
      </c>
      <c r="H80" s="0" t="n">
        <v>38.2</v>
      </c>
      <c r="I80" s="0" t="n">
        <v>175076</v>
      </c>
      <c r="J80" s="0" t="n">
        <v>19329.2</v>
      </c>
    </row>
    <row r="81" customFormat="false" ht="13.8" hidden="false" customHeight="false" outlineLevel="0" collapsed="false">
      <c r="A81" s="0" t="s">
        <v>496</v>
      </c>
      <c r="B81" s="0" t="s">
        <v>505</v>
      </c>
      <c r="C81" s="0" t="n">
        <v>2017</v>
      </c>
      <c r="D81" s="0" t="n">
        <v>585</v>
      </c>
      <c r="E81" s="0" t="n">
        <v>345.8</v>
      </c>
      <c r="F81" s="0" t="n">
        <v>8</v>
      </c>
      <c r="G81" s="0" t="n">
        <v>6.9</v>
      </c>
      <c r="H81" s="0" t="n">
        <v>37.9</v>
      </c>
      <c r="I81" s="0" t="n">
        <v>202293</v>
      </c>
      <c r="J81" s="0" t="n">
        <v>22171.5</v>
      </c>
    </row>
    <row r="82" customFormat="false" ht="13.8" hidden="false" customHeight="false" outlineLevel="0" collapsed="false">
      <c r="A82" s="0" t="s">
        <v>496</v>
      </c>
      <c r="B82" s="0" t="s">
        <v>505</v>
      </c>
      <c r="C82" s="0" t="n">
        <v>2018</v>
      </c>
      <c r="D82" s="0" t="n">
        <v>657</v>
      </c>
      <c r="E82" s="0" t="n">
        <v>334.7</v>
      </c>
      <c r="F82" s="0" t="n">
        <v>7.2</v>
      </c>
      <c r="G82" s="0" t="n">
        <v>6.6</v>
      </c>
      <c r="H82" s="0" t="n">
        <v>38</v>
      </c>
      <c r="I82" s="0" t="n">
        <v>219897.9</v>
      </c>
      <c r="J82" s="0" t="n">
        <v>24966</v>
      </c>
    </row>
    <row r="83" customFormat="false" ht="13.8" hidden="false" customHeight="false" outlineLevel="0" collapsed="false">
      <c r="A83" s="0" t="s">
        <v>496</v>
      </c>
      <c r="B83" s="0" t="s">
        <v>505</v>
      </c>
      <c r="C83" s="0" t="n">
        <v>2019</v>
      </c>
      <c r="D83" s="0" t="n">
        <v>758</v>
      </c>
      <c r="E83" s="0" t="n">
        <v>326.2</v>
      </c>
      <c r="F83" s="0" t="n">
        <v>7</v>
      </c>
      <c r="G83" s="0" t="n">
        <v>6.5</v>
      </c>
      <c r="H83" s="0" t="n">
        <v>36.7</v>
      </c>
      <c r="I83" s="0" t="n">
        <v>247259.6</v>
      </c>
      <c r="J83" s="0" t="n">
        <v>27818.6</v>
      </c>
    </row>
    <row r="84" customFormat="false" ht="13.8" hidden="false" customHeight="false" outlineLevel="0" collapsed="false">
      <c r="A84" s="0" t="s">
        <v>496</v>
      </c>
      <c r="B84" s="0" t="s">
        <v>505</v>
      </c>
      <c r="C84" s="0" t="n">
        <v>2020</v>
      </c>
      <c r="D84" s="0" t="n">
        <v>744</v>
      </c>
      <c r="E84" s="0" t="n">
        <v>335.2</v>
      </c>
      <c r="F84" s="0" t="n">
        <v>7.3</v>
      </c>
      <c r="G84" s="0" t="n">
        <v>6.8</v>
      </c>
      <c r="H84" s="0" t="n">
        <v>37.9</v>
      </c>
      <c r="I84" s="0" t="n">
        <v>249388.8</v>
      </c>
      <c r="J84" s="0" t="n">
        <v>28197.6</v>
      </c>
    </row>
    <row r="85" customFormat="false" ht="13.8" hidden="false" customHeight="false" outlineLevel="0" collapsed="false">
      <c r="A85" s="0" t="s">
        <v>496</v>
      </c>
      <c r="B85" s="0" t="s">
        <v>505</v>
      </c>
      <c r="C85" s="0" t="n">
        <v>2021</v>
      </c>
      <c r="D85" s="0" t="n">
        <v>653</v>
      </c>
      <c r="E85" s="0" t="n">
        <v>346</v>
      </c>
      <c r="F85" s="0" t="n">
        <v>7.5</v>
      </c>
      <c r="G85" s="0" t="n">
        <v>7.1</v>
      </c>
      <c r="H85" s="0" t="n">
        <v>41.6</v>
      </c>
      <c r="I85" s="0" t="n">
        <v>225938</v>
      </c>
      <c r="J85" s="0" t="n">
        <v>27164.8</v>
      </c>
    </row>
    <row r="86" customFormat="false" ht="13.8" hidden="false" customHeight="false" outlineLevel="0" collapsed="false">
      <c r="A86" s="0" t="s">
        <v>496</v>
      </c>
      <c r="B86" s="0" t="s">
        <v>506</v>
      </c>
      <c r="C86" s="0" t="n">
        <v>2016</v>
      </c>
      <c r="D86" s="0" t="n">
        <v>258</v>
      </c>
      <c r="E86" s="0" t="n">
        <v>311.2</v>
      </c>
      <c r="F86" s="0" t="n">
        <v>9.5</v>
      </c>
      <c r="G86" s="0" t="n">
        <v>6</v>
      </c>
      <c r="H86" s="0" t="n">
        <v>38</v>
      </c>
      <c r="I86" s="0" t="n">
        <v>80289.6</v>
      </c>
      <c r="J86" s="0" t="n">
        <v>9804</v>
      </c>
    </row>
    <row r="87" customFormat="false" ht="13.8" hidden="false" customHeight="false" outlineLevel="0" collapsed="false">
      <c r="A87" s="0" t="s">
        <v>496</v>
      </c>
      <c r="B87" s="0" t="s">
        <v>506</v>
      </c>
      <c r="C87" s="0" t="n">
        <v>2017</v>
      </c>
      <c r="D87" s="0" t="n">
        <v>216</v>
      </c>
      <c r="E87" s="0" t="n">
        <v>318.5</v>
      </c>
      <c r="F87" s="0" t="n">
        <v>9.8</v>
      </c>
      <c r="G87" s="0" t="n">
        <v>6</v>
      </c>
      <c r="H87" s="0" t="n">
        <v>37.9</v>
      </c>
      <c r="I87" s="0" t="n">
        <v>68796</v>
      </c>
      <c r="J87" s="0" t="n">
        <v>8186.4</v>
      </c>
    </row>
    <row r="88" customFormat="false" ht="13.8" hidden="false" customHeight="false" outlineLevel="0" collapsed="false">
      <c r="A88" s="0" t="s">
        <v>496</v>
      </c>
      <c r="B88" s="0" t="s">
        <v>506</v>
      </c>
      <c r="C88" s="0" t="n">
        <v>2018</v>
      </c>
      <c r="D88" s="0" t="n">
        <v>318</v>
      </c>
      <c r="E88" s="0" t="n">
        <v>303.3</v>
      </c>
      <c r="F88" s="0" t="n">
        <v>9.1</v>
      </c>
      <c r="G88" s="0" t="n">
        <v>5.9</v>
      </c>
      <c r="H88" s="0" t="n">
        <v>36.8</v>
      </c>
      <c r="I88" s="0" t="n">
        <v>96449.4</v>
      </c>
      <c r="J88" s="0" t="n">
        <v>11702.4</v>
      </c>
    </row>
    <row r="89" customFormat="false" ht="13.8" hidden="false" customHeight="false" outlineLevel="0" collapsed="false">
      <c r="A89" s="0" t="s">
        <v>496</v>
      </c>
      <c r="B89" s="0" t="s">
        <v>506</v>
      </c>
      <c r="C89" s="0" t="n">
        <v>2019</v>
      </c>
      <c r="D89" s="0" t="n">
        <v>403</v>
      </c>
      <c r="E89" s="0" t="n">
        <v>304.7</v>
      </c>
      <c r="F89" s="0" t="n">
        <v>9</v>
      </c>
      <c r="G89" s="0" t="n">
        <v>5.8</v>
      </c>
      <c r="H89" s="0" t="n">
        <v>38</v>
      </c>
      <c r="I89" s="0" t="n">
        <v>122794.1</v>
      </c>
      <c r="J89" s="0" t="n">
        <v>15314</v>
      </c>
    </row>
    <row r="90" customFormat="false" ht="13.8" hidden="false" customHeight="false" outlineLevel="0" collapsed="false">
      <c r="A90" s="0" t="s">
        <v>496</v>
      </c>
      <c r="B90" s="0" t="s">
        <v>506</v>
      </c>
      <c r="C90" s="0" t="n">
        <v>2020</v>
      </c>
      <c r="D90" s="0" t="n">
        <v>524</v>
      </c>
      <c r="E90" s="0" t="n">
        <v>319.8</v>
      </c>
      <c r="F90" s="0" t="n">
        <v>9.2</v>
      </c>
      <c r="G90" s="0" t="n">
        <v>6.2</v>
      </c>
      <c r="H90" s="0" t="n">
        <v>36</v>
      </c>
      <c r="I90" s="0" t="n">
        <v>167575.2</v>
      </c>
      <c r="J90" s="0" t="n">
        <v>18864</v>
      </c>
    </row>
    <row r="91" customFormat="false" ht="13.8" hidden="false" customHeight="false" outlineLevel="0" collapsed="false">
      <c r="A91" s="0" t="s">
        <v>496</v>
      </c>
      <c r="B91" s="0" t="s">
        <v>506</v>
      </c>
      <c r="C91" s="0" t="n">
        <v>2021</v>
      </c>
      <c r="D91" s="0" t="n">
        <v>469</v>
      </c>
      <c r="E91" s="0" t="n">
        <v>316</v>
      </c>
      <c r="F91" s="0" t="n">
        <v>8.8</v>
      </c>
      <c r="G91" s="0" t="n">
        <v>6.1</v>
      </c>
      <c r="H91" s="0" t="n">
        <v>36.2</v>
      </c>
      <c r="I91" s="0" t="n">
        <v>148204</v>
      </c>
      <c r="J91" s="0" t="n">
        <v>16977.8</v>
      </c>
    </row>
    <row r="92" customFormat="false" ht="13.8" hidden="false" customHeight="false" outlineLevel="0" collapsed="false">
      <c r="A92" s="0" t="s">
        <v>496</v>
      </c>
      <c r="B92" s="0" t="s">
        <v>508</v>
      </c>
      <c r="C92" s="0" t="n">
        <v>2016</v>
      </c>
      <c r="D92" s="0" t="n">
        <v>133</v>
      </c>
      <c r="E92" s="0" t="n">
        <v>350</v>
      </c>
      <c r="F92" s="0" t="n">
        <v>8.5</v>
      </c>
      <c r="G92" s="0" t="n">
        <v>8</v>
      </c>
      <c r="H92" s="0" t="n">
        <v>37.2</v>
      </c>
      <c r="I92" s="0" t="n">
        <v>46550</v>
      </c>
      <c r="J92" s="0" t="n">
        <v>4947.6</v>
      </c>
    </row>
    <row r="93" customFormat="false" ht="13.8" hidden="false" customHeight="false" outlineLevel="0" collapsed="false">
      <c r="A93" s="0" t="s">
        <v>496</v>
      </c>
      <c r="B93" s="0" t="s">
        <v>508</v>
      </c>
      <c r="C93" s="0" t="n">
        <v>2017</v>
      </c>
      <c r="D93" s="0" t="n">
        <v>115</v>
      </c>
      <c r="E93" s="0" t="n">
        <v>332.6</v>
      </c>
      <c r="F93" s="0" t="n">
        <v>8.1</v>
      </c>
      <c r="G93" s="0" t="n">
        <v>7.3</v>
      </c>
      <c r="H93" s="0" t="n">
        <v>36.2</v>
      </c>
      <c r="I93" s="0" t="n">
        <v>38249</v>
      </c>
      <c r="J93" s="0" t="n">
        <v>4163</v>
      </c>
    </row>
    <row r="94" customFormat="false" ht="13.8" hidden="false" customHeight="false" outlineLevel="0" collapsed="false">
      <c r="A94" s="0" t="s">
        <v>496</v>
      </c>
      <c r="B94" s="0" t="s">
        <v>508</v>
      </c>
      <c r="C94" s="0" t="n">
        <v>2018</v>
      </c>
      <c r="D94" s="0" t="n">
        <v>131</v>
      </c>
      <c r="E94" s="0" t="n">
        <v>326.5</v>
      </c>
      <c r="F94" s="0" t="n">
        <v>7.1</v>
      </c>
      <c r="G94" s="0" t="n">
        <v>7</v>
      </c>
      <c r="H94" s="0" t="n">
        <v>36.8</v>
      </c>
      <c r="I94" s="0" t="n">
        <v>42771.5</v>
      </c>
      <c r="J94" s="0" t="n">
        <v>4820.8</v>
      </c>
    </row>
    <row r="95" customFormat="false" ht="13.8" hidden="false" customHeight="false" outlineLevel="0" collapsed="false">
      <c r="A95" s="0" t="s">
        <v>496</v>
      </c>
      <c r="B95" s="0" t="s">
        <v>508</v>
      </c>
      <c r="C95" s="0" t="n">
        <v>2019</v>
      </c>
      <c r="D95" s="0" t="n">
        <v>176</v>
      </c>
      <c r="E95" s="0" t="n">
        <v>313.9</v>
      </c>
      <c r="F95" s="0" t="n">
        <v>7.3</v>
      </c>
      <c r="G95" s="0" t="n">
        <v>7.1</v>
      </c>
      <c r="H95" s="0" t="n">
        <v>37.6</v>
      </c>
      <c r="I95" s="0" t="n">
        <v>55246.4</v>
      </c>
      <c r="J95" s="0" t="n">
        <v>6617.6</v>
      </c>
    </row>
    <row r="96" customFormat="false" ht="13.8" hidden="false" customHeight="false" outlineLevel="0" collapsed="false">
      <c r="A96" s="0" t="s">
        <v>496</v>
      </c>
      <c r="B96" s="0" t="s">
        <v>508</v>
      </c>
      <c r="C96" s="0" t="n">
        <v>2020</v>
      </c>
      <c r="D96" s="0" t="n">
        <v>216</v>
      </c>
      <c r="E96" s="0" t="n">
        <v>316.3</v>
      </c>
      <c r="F96" s="0" t="n">
        <v>7.2</v>
      </c>
      <c r="G96" s="0" t="n">
        <v>6.9</v>
      </c>
      <c r="H96" s="0" t="n">
        <v>38.4</v>
      </c>
      <c r="I96" s="0" t="n">
        <v>68320.8</v>
      </c>
      <c r="J96" s="0" t="n">
        <v>8294.4</v>
      </c>
    </row>
    <row r="97" customFormat="false" ht="13.8" hidden="false" customHeight="false" outlineLevel="0" collapsed="false">
      <c r="A97" s="0" t="s">
        <v>496</v>
      </c>
      <c r="B97" s="0" t="s">
        <v>508</v>
      </c>
      <c r="C97" s="0" t="n">
        <v>2021</v>
      </c>
      <c r="D97" s="0" t="n">
        <v>193</v>
      </c>
      <c r="E97" s="0" t="n">
        <v>333</v>
      </c>
      <c r="F97" s="0" t="n">
        <v>7.7</v>
      </c>
      <c r="G97" s="0" t="n">
        <v>7.6</v>
      </c>
      <c r="H97" s="0" t="n">
        <v>39.2</v>
      </c>
      <c r="I97" s="0" t="n">
        <v>64269</v>
      </c>
      <c r="J97" s="0" t="n">
        <v>7565.6</v>
      </c>
    </row>
    <row r="98" customFormat="false" ht="13.8" hidden="false" customHeight="false" outlineLevel="0" collapsed="false">
      <c r="A98" s="0" t="s">
        <v>496</v>
      </c>
      <c r="B98" s="0" t="s">
        <v>509</v>
      </c>
      <c r="C98" s="0" t="n">
        <v>2016</v>
      </c>
      <c r="D98" s="0" t="n">
        <v>524</v>
      </c>
      <c r="E98" s="0" t="n">
        <v>333.5</v>
      </c>
      <c r="F98" s="0" t="n">
        <v>8.1</v>
      </c>
      <c r="G98" s="0" t="n">
        <v>6.2</v>
      </c>
      <c r="H98" s="0" t="n">
        <v>37.4</v>
      </c>
      <c r="I98" s="0" t="n">
        <v>174754</v>
      </c>
      <c r="J98" s="0" t="n">
        <v>19597.6</v>
      </c>
    </row>
    <row r="99" customFormat="false" ht="13.8" hidden="false" customHeight="false" outlineLevel="0" collapsed="false">
      <c r="A99" s="0" t="s">
        <v>496</v>
      </c>
      <c r="B99" s="0" t="s">
        <v>509</v>
      </c>
      <c r="C99" s="0" t="n">
        <v>2017</v>
      </c>
      <c r="D99" s="0" t="n">
        <v>578</v>
      </c>
      <c r="E99" s="0" t="n">
        <v>327.5</v>
      </c>
      <c r="F99" s="0" t="n">
        <v>8</v>
      </c>
      <c r="G99" s="0" t="n">
        <v>6.2</v>
      </c>
      <c r="H99" s="0" t="n">
        <v>36.7</v>
      </c>
      <c r="I99" s="0" t="n">
        <v>189295</v>
      </c>
      <c r="J99" s="0" t="n">
        <v>21212.6</v>
      </c>
    </row>
    <row r="100" customFormat="false" ht="13.8" hidden="false" customHeight="false" outlineLevel="0" collapsed="false">
      <c r="A100" s="0" t="s">
        <v>496</v>
      </c>
      <c r="B100" s="0" t="s">
        <v>509</v>
      </c>
      <c r="C100" s="0" t="n">
        <v>2018</v>
      </c>
      <c r="D100" s="0" t="n">
        <v>781</v>
      </c>
      <c r="E100" s="0" t="n">
        <v>317.5</v>
      </c>
      <c r="F100" s="0" t="n">
        <v>7</v>
      </c>
      <c r="G100" s="0" t="n">
        <v>5.9</v>
      </c>
      <c r="H100" s="0" t="n">
        <v>37.3</v>
      </c>
      <c r="I100" s="0" t="n">
        <v>247967.5</v>
      </c>
      <c r="J100" s="0" t="n">
        <v>29131.3</v>
      </c>
    </row>
    <row r="101" customFormat="false" ht="13.8" hidden="false" customHeight="false" outlineLevel="0" collapsed="false">
      <c r="A101" s="0" t="s">
        <v>496</v>
      </c>
      <c r="B101" s="0" t="s">
        <v>509</v>
      </c>
      <c r="C101" s="0" t="n">
        <v>2019</v>
      </c>
      <c r="D101" s="0" t="n">
        <v>861</v>
      </c>
      <c r="E101" s="0" t="n">
        <v>314</v>
      </c>
      <c r="F101" s="0" t="n">
        <v>7</v>
      </c>
      <c r="G101" s="0" t="n">
        <v>5.9</v>
      </c>
      <c r="H101" s="0" t="n">
        <v>38.5</v>
      </c>
      <c r="I101" s="0" t="n">
        <v>270354</v>
      </c>
      <c r="J101" s="0" t="n">
        <v>33148.5</v>
      </c>
    </row>
    <row r="102" customFormat="false" ht="13.8" hidden="false" customHeight="false" outlineLevel="0" collapsed="false">
      <c r="A102" s="0" t="s">
        <v>496</v>
      </c>
      <c r="B102" s="0" t="s">
        <v>509</v>
      </c>
      <c r="C102" s="0" t="n">
        <v>2020</v>
      </c>
      <c r="D102" s="0" t="n">
        <v>822</v>
      </c>
      <c r="E102" s="0" t="n">
        <v>316.6</v>
      </c>
      <c r="F102" s="0" t="n">
        <v>7.1</v>
      </c>
      <c r="G102" s="0" t="n">
        <v>6</v>
      </c>
      <c r="H102" s="0" t="n">
        <v>37.6</v>
      </c>
      <c r="I102" s="0" t="n">
        <v>260245.2</v>
      </c>
      <c r="J102" s="0" t="n">
        <v>30907.2</v>
      </c>
    </row>
    <row r="103" customFormat="false" ht="13.8" hidden="false" customHeight="false" outlineLevel="0" collapsed="false">
      <c r="A103" s="0" t="s">
        <v>496</v>
      </c>
      <c r="B103" s="0" t="s">
        <v>509</v>
      </c>
      <c r="C103" s="0" t="n">
        <v>2021</v>
      </c>
      <c r="D103" s="0" t="n">
        <v>772</v>
      </c>
      <c r="E103" s="0" t="n">
        <v>322</v>
      </c>
      <c r="F103" s="0" t="n">
        <v>7.1</v>
      </c>
      <c r="G103" s="0" t="n">
        <v>6.2</v>
      </c>
      <c r="H103" s="0" t="n">
        <v>37.3</v>
      </c>
      <c r="I103" s="0" t="n">
        <v>248584</v>
      </c>
      <c r="J103" s="0" t="n">
        <v>28795.6</v>
      </c>
    </row>
    <row r="104" customFormat="false" ht="13.8" hidden="false" customHeight="false" outlineLevel="0" collapsed="false">
      <c r="A104" s="0" t="s">
        <v>496</v>
      </c>
      <c r="B104" s="0" t="s">
        <v>511</v>
      </c>
      <c r="C104" s="0" t="n">
        <v>2016</v>
      </c>
      <c r="D104" s="0" t="n">
        <v>94</v>
      </c>
      <c r="E104" s="0" t="n">
        <v>197.6</v>
      </c>
      <c r="F104" s="0" t="n">
        <v>7.7</v>
      </c>
      <c r="G104" s="0" t="n">
        <v>4.7</v>
      </c>
      <c r="H104" s="0" t="n">
        <v>44.8</v>
      </c>
      <c r="I104" s="0" t="n">
        <v>18574.4</v>
      </c>
      <c r="J104" s="0" t="n">
        <v>4211.2</v>
      </c>
    </row>
    <row r="105" customFormat="false" ht="13.8" hidden="false" customHeight="false" outlineLevel="0" collapsed="false">
      <c r="A105" s="0" t="s">
        <v>496</v>
      </c>
      <c r="B105" s="0" t="s">
        <v>511</v>
      </c>
      <c r="C105" s="0" t="n">
        <v>2017</v>
      </c>
      <c r="D105" s="0" t="n">
        <v>68</v>
      </c>
      <c r="E105" s="0" t="n">
        <v>191.3</v>
      </c>
      <c r="F105" s="0" t="n">
        <v>6.7</v>
      </c>
      <c r="G105" s="0" t="n">
        <v>3.7</v>
      </c>
      <c r="H105" s="0" t="n">
        <v>44.3</v>
      </c>
      <c r="I105" s="0" t="n">
        <v>13008.4</v>
      </c>
      <c r="J105" s="0" t="n">
        <v>3012.4</v>
      </c>
    </row>
    <row r="106" customFormat="false" ht="13.8" hidden="false" customHeight="false" outlineLevel="0" collapsed="false">
      <c r="A106" s="0" t="s">
        <v>496</v>
      </c>
      <c r="B106" s="0" t="s">
        <v>511</v>
      </c>
      <c r="C106" s="0" t="n">
        <v>2018</v>
      </c>
      <c r="D106" s="0" t="n">
        <v>51</v>
      </c>
      <c r="E106" s="0" t="n">
        <v>174.7</v>
      </c>
      <c r="F106" s="0" t="n">
        <v>5.9</v>
      </c>
      <c r="G106" s="0" t="n">
        <v>3.9</v>
      </c>
      <c r="H106" s="0" t="n">
        <v>56.1</v>
      </c>
      <c r="I106" s="0" t="n">
        <v>8909.7</v>
      </c>
      <c r="J106" s="0" t="n">
        <v>2861.1</v>
      </c>
    </row>
    <row r="107" customFormat="false" ht="13.8" hidden="false" customHeight="false" outlineLevel="0" collapsed="false">
      <c r="A107" s="0" t="s">
        <v>496</v>
      </c>
      <c r="B107" s="0" t="s">
        <v>511</v>
      </c>
      <c r="C107" s="0" t="n">
        <v>2019</v>
      </c>
      <c r="D107" s="0" t="n">
        <v>41</v>
      </c>
      <c r="E107" s="0" t="n">
        <v>195.2</v>
      </c>
      <c r="F107" s="0" t="n">
        <v>6</v>
      </c>
      <c r="G107" s="0" t="n">
        <v>3.8</v>
      </c>
      <c r="H107" s="0" t="n">
        <v>42.1</v>
      </c>
      <c r="I107" s="0" t="n">
        <v>8003.2</v>
      </c>
      <c r="J107" s="0" t="n">
        <v>1726.1</v>
      </c>
    </row>
    <row r="108" customFormat="false" ht="13.8" hidden="false" customHeight="false" outlineLevel="0" collapsed="false">
      <c r="A108" s="0" t="s">
        <v>496</v>
      </c>
      <c r="B108" s="0" t="s">
        <v>511</v>
      </c>
      <c r="C108" s="0" t="n">
        <v>2020</v>
      </c>
      <c r="D108" s="0" t="n">
        <v>33</v>
      </c>
      <c r="E108" s="0" t="n">
        <v>203.5</v>
      </c>
      <c r="F108" s="0" t="n">
        <v>6</v>
      </c>
      <c r="G108" s="0" t="n">
        <v>4.1</v>
      </c>
      <c r="H108" s="0" t="n">
        <v>47.2</v>
      </c>
      <c r="I108" s="0" t="n">
        <v>6715.5</v>
      </c>
      <c r="J108" s="0" t="n">
        <v>1557.6</v>
      </c>
    </row>
    <row r="109" customFormat="false" ht="13.8" hidden="false" customHeight="false" outlineLevel="0" collapsed="false">
      <c r="A109" s="0" t="s">
        <v>496</v>
      </c>
      <c r="B109" s="0" t="s">
        <v>511</v>
      </c>
      <c r="C109" s="0" t="n">
        <v>2021</v>
      </c>
      <c r="D109" s="0" t="n">
        <v>31</v>
      </c>
      <c r="E109" s="0" t="n">
        <v>193</v>
      </c>
      <c r="F109" s="0" t="n">
        <v>6.3</v>
      </c>
      <c r="G109" s="0" t="n">
        <v>4</v>
      </c>
      <c r="H109" s="0" t="n">
        <v>43.3</v>
      </c>
      <c r="I109" s="0" t="n">
        <v>5983</v>
      </c>
      <c r="J109" s="0" t="n">
        <v>1342.3</v>
      </c>
    </row>
    <row r="110" customFormat="false" ht="13.8" hidden="false" customHeight="false" outlineLevel="0" collapsed="false">
      <c r="A110" s="0" t="s">
        <v>496</v>
      </c>
      <c r="B110" s="0" t="s">
        <v>512</v>
      </c>
      <c r="C110" s="0" t="n">
        <v>2016</v>
      </c>
      <c r="D110" s="0" t="n">
        <v>30</v>
      </c>
      <c r="E110" s="0" t="n">
        <v>353</v>
      </c>
      <c r="F110" s="0" t="n">
        <v>7.1</v>
      </c>
      <c r="G110" s="0" t="n">
        <v>8.1</v>
      </c>
      <c r="H110" s="0" t="n">
        <v>40.6</v>
      </c>
      <c r="I110" s="0" t="n">
        <v>10590</v>
      </c>
      <c r="J110" s="0" t="n">
        <v>1218</v>
      </c>
    </row>
    <row r="111" customFormat="false" ht="13.8" hidden="false" customHeight="false" outlineLevel="0" collapsed="false">
      <c r="A111" s="0" t="s">
        <v>496</v>
      </c>
      <c r="B111" s="0" t="s">
        <v>512</v>
      </c>
      <c r="C111" s="0" t="n">
        <v>2017</v>
      </c>
      <c r="D111" s="0" t="n">
        <v>37</v>
      </c>
      <c r="E111" s="0" t="n">
        <v>348.1</v>
      </c>
      <c r="F111" s="0" t="n">
        <v>8</v>
      </c>
      <c r="G111" s="0" t="n">
        <v>7.3</v>
      </c>
      <c r="H111" s="0" t="n">
        <v>36</v>
      </c>
      <c r="I111" s="0" t="n">
        <v>12879.7</v>
      </c>
      <c r="J111" s="0" t="n">
        <v>1332</v>
      </c>
    </row>
    <row r="112" customFormat="false" ht="13.8" hidden="false" customHeight="false" outlineLevel="0" collapsed="false">
      <c r="A112" s="0" t="s">
        <v>496</v>
      </c>
      <c r="B112" s="0" t="s">
        <v>512</v>
      </c>
      <c r="C112" s="0" t="n">
        <v>2018</v>
      </c>
      <c r="D112" s="0" t="n">
        <v>17</v>
      </c>
      <c r="E112" s="0" t="n">
        <v>334.9</v>
      </c>
      <c r="F112" s="0" t="n">
        <v>5.8</v>
      </c>
      <c r="G112" s="0" t="n">
        <v>6.7</v>
      </c>
      <c r="H112" s="0" t="n">
        <v>39.2</v>
      </c>
      <c r="I112" s="0" t="n">
        <v>5693.3</v>
      </c>
      <c r="J112" s="0" t="n">
        <v>666.4</v>
      </c>
    </row>
    <row r="113" customFormat="false" ht="13.8" hidden="false" customHeight="false" outlineLevel="0" collapsed="false">
      <c r="A113" s="0" t="s">
        <v>496</v>
      </c>
      <c r="B113" s="0" t="s">
        <v>512</v>
      </c>
      <c r="C113" s="0" t="n">
        <v>2019</v>
      </c>
      <c r="D113" s="0" t="n">
        <v>12</v>
      </c>
      <c r="E113" s="0" t="n">
        <v>291</v>
      </c>
      <c r="F113" s="0" t="n">
        <v>5</v>
      </c>
      <c r="G113" s="0" t="n">
        <v>5.9</v>
      </c>
      <c r="H113" s="0" t="n">
        <v>35.6</v>
      </c>
      <c r="I113" s="0" t="n">
        <v>3492</v>
      </c>
      <c r="J113" s="0" t="n">
        <v>427.2</v>
      </c>
    </row>
    <row r="114" customFormat="false" ht="13.8" hidden="false" customHeight="false" outlineLevel="0" collapsed="false">
      <c r="A114" s="0" t="s">
        <v>496</v>
      </c>
      <c r="B114" s="0" t="s">
        <v>512</v>
      </c>
      <c r="C114" s="0" t="n">
        <v>2020</v>
      </c>
      <c r="D114" s="0" t="n">
        <v>34</v>
      </c>
      <c r="E114" s="0" t="n">
        <v>360.3</v>
      </c>
      <c r="F114" s="0" t="n">
        <v>5.6</v>
      </c>
      <c r="G114" s="0" t="n">
        <v>7.8</v>
      </c>
      <c r="H114" s="0" t="n">
        <v>39.9</v>
      </c>
      <c r="I114" s="0" t="n">
        <v>12250.2</v>
      </c>
      <c r="J114" s="0" t="n">
        <v>1356.6</v>
      </c>
    </row>
    <row r="115" customFormat="false" ht="13.8" hidden="false" customHeight="false" outlineLevel="0" collapsed="false">
      <c r="A115" s="0" t="s">
        <v>496</v>
      </c>
      <c r="B115" s="0" t="s">
        <v>512</v>
      </c>
      <c r="C115" s="0" t="n">
        <v>2021</v>
      </c>
      <c r="D115" s="0" t="n">
        <v>46</v>
      </c>
      <c r="E115" s="0" t="n">
        <v>373</v>
      </c>
      <c r="F115" s="0" t="n">
        <v>5.7</v>
      </c>
      <c r="G115" s="0" t="n">
        <v>7.7</v>
      </c>
      <c r="H115" s="0" t="n">
        <v>36</v>
      </c>
      <c r="I115" s="0" t="n">
        <v>17158</v>
      </c>
      <c r="J115" s="0" t="n">
        <v>1656</v>
      </c>
    </row>
    <row r="116" customFormat="false" ht="13.8" hidden="false" customHeight="false" outlineLevel="0" collapsed="false">
      <c r="A116" s="0" t="s">
        <v>496</v>
      </c>
      <c r="B116" s="0" t="s">
        <v>513</v>
      </c>
      <c r="C116" s="0" t="n">
        <v>2016</v>
      </c>
      <c r="D116" s="0" t="n">
        <v>5470</v>
      </c>
      <c r="E116" s="0" t="n">
        <v>306.9</v>
      </c>
      <c r="F116" s="0" t="n">
        <v>8.2</v>
      </c>
      <c r="G116" s="0" t="n">
        <v>5.4</v>
      </c>
      <c r="H116" s="0" t="n">
        <v>38.7</v>
      </c>
      <c r="I116" s="0" t="n">
        <v>1678743</v>
      </c>
      <c r="J116" s="0" t="n">
        <v>211689</v>
      </c>
    </row>
    <row r="117" customFormat="false" ht="13.8" hidden="false" customHeight="false" outlineLevel="0" collapsed="false">
      <c r="A117" s="0" t="s">
        <v>496</v>
      </c>
      <c r="B117" s="0" t="s">
        <v>513</v>
      </c>
      <c r="C117" s="0" t="n">
        <v>2017</v>
      </c>
      <c r="D117" s="0" t="n">
        <v>5847</v>
      </c>
      <c r="E117" s="0" t="n">
        <v>306.4</v>
      </c>
      <c r="F117" s="0" t="n">
        <v>8.1</v>
      </c>
      <c r="G117" s="0" t="n">
        <v>5.4</v>
      </c>
      <c r="H117" s="0" t="n">
        <v>37.6</v>
      </c>
      <c r="I117" s="0" t="n">
        <v>1791520.8</v>
      </c>
      <c r="J117" s="0" t="n">
        <v>219847.2</v>
      </c>
    </row>
    <row r="118" customFormat="false" ht="13.8" hidden="false" customHeight="false" outlineLevel="0" collapsed="false">
      <c r="A118" s="0" t="s">
        <v>496</v>
      </c>
      <c r="B118" s="0" t="s">
        <v>513</v>
      </c>
      <c r="C118" s="0" t="n">
        <v>2018</v>
      </c>
      <c r="D118" s="0" t="n">
        <v>7027</v>
      </c>
      <c r="E118" s="0" t="n">
        <v>298.8</v>
      </c>
      <c r="F118" s="0" t="n">
        <v>7.5</v>
      </c>
      <c r="G118" s="0" t="n">
        <v>5.2</v>
      </c>
      <c r="H118" s="0" t="n">
        <v>38.8</v>
      </c>
      <c r="I118" s="0" t="n">
        <v>2099667.6</v>
      </c>
      <c r="J118" s="0" t="n">
        <v>272647.6</v>
      </c>
    </row>
    <row r="119" customFormat="false" ht="13.8" hidden="false" customHeight="false" outlineLevel="0" collapsed="false">
      <c r="A119" s="0" t="s">
        <v>496</v>
      </c>
      <c r="B119" s="0" t="s">
        <v>513</v>
      </c>
      <c r="C119" s="0" t="n">
        <v>2019</v>
      </c>
      <c r="D119" s="0" t="n">
        <v>7190</v>
      </c>
      <c r="E119" s="0" t="n">
        <v>301.2</v>
      </c>
      <c r="F119" s="0" t="n">
        <v>7.6</v>
      </c>
      <c r="G119" s="0" t="n">
        <v>5.4</v>
      </c>
      <c r="H119" s="0" t="n">
        <v>37.7</v>
      </c>
      <c r="I119" s="0" t="n">
        <v>2165628</v>
      </c>
      <c r="J119" s="0" t="n">
        <v>271063</v>
      </c>
    </row>
    <row r="120" customFormat="false" ht="13.8" hidden="false" customHeight="false" outlineLevel="0" collapsed="false">
      <c r="A120" s="0" t="s">
        <v>496</v>
      </c>
      <c r="B120" s="0" t="s">
        <v>513</v>
      </c>
      <c r="C120" s="0" t="n">
        <v>2020</v>
      </c>
      <c r="D120" s="0" t="n">
        <v>8259</v>
      </c>
      <c r="E120" s="0" t="n">
        <v>308</v>
      </c>
      <c r="F120" s="0" t="n">
        <v>7.8</v>
      </c>
      <c r="G120" s="0" t="n">
        <v>5.6</v>
      </c>
      <c r="H120" s="0" t="n">
        <v>37.9</v>
      </c>
      <c r="I120" s="0" t="n">
        <v>2543772</v>
      </c>
      <c r="J120" s="0" t="n">
        <v>313016.1</v>
      </c>
    </row>
    <row r="121" customFormat="false" ht="13.8" hidden="false" customHeight="false" outlineLevel="0" collapsed="false">
      <c r="A121" s="0" t="s">
        <v>496</v>
      </c>
      <c r="B121" s="0" t="s">
        <v>513</v>
      </c>
      <c r="C121" s="0" t="n">
        <v>2021</v>
      </c>
      <c r="D121" s="0" t="n">
        <v>7350</v>
      </c>
      <c r="E121" s="0" t="n">
        <v>314</v>
      </c>
      <c r="F121" s="0" t="n">
        <v>7.9</v>
      </c>
      <c r="G121" s="0" t="n">
        <v>5.8</v>
      </c>
      <c r="H121" s="0" t="n">
        <v>39.2</v>
      </c>
      <c r="I121" s="0" t="n">
        <v>2307900</v>
      </c>
      <c r="J121" s="0" t="n">
        <v>288120</v>
      </c>
    </row>
    <row r="122" customFormat="false" ht="13.8" hidden="false" customHeight="false" outlineLevel="0" collapsed="false">
      <c r="A122" s="0" t="s">
        <v>498</v>
      </c>
      <c r="B122" s="0" t="s">
        <v>489</v>
      </c>
      <c r="C122" s="0" t="n">
        <v>2016</v>
      </c>
      <c r="D122" s="0" t="n">
        <v>7408</v>
      </c>
      <c r="E122" s="0" t="n">
        <v>295.2</v>
      </c>
      <c r="F122" s="0" t="n">
        <v>8.7</v>
      </c>
      <c r="G122" s="0" t="n">
        <v>5</v>
      </c>
      <c r="H122" s="0" t="n">
        <v>29.3</v>
      </c>
      <c r="I122" s="0" t="n">
        <v>2186841.6</v>
      </c>
      <c r="J122" s="0" t="n">
        <v>217054.4</v>
      </c>
    </row>
    <row r="123" customFormat="false" ht="13.8" hidden="false" customHeight="false" outlineLevel="0" collapsed="false">
      <c r="A123" s="0" t="s">
        <v>498</v>
      </c>
      <c r="B123" s="0" t="s">
        <v>489</v>
      </c>
      <c r="C123" s="0" t="n">
        <v>2017</v>
      </c>
      <c r="D123" s="0" t="n">
        <v>6518</v>
      </c>
      <c r="E123" s="0" t="n">
        <v>299.8</v>
      </c>
      <c r="F123" s="0" t="n">
        <v>8.8</v>
      </c>
      <c r="G123" s="0" t="n">
        <v>5.1</v>
      </c>
      <c r="H123" s="0" t="n">
        <v>30</v>
      </c>
      <c r="I123" s="0" t="n">
        <v>1954096.4</v>
      </c>
      <c r="J123" s="0" t="n">
        <v>195540</v>
      </c>
    </row>
    <row r="124" customFormat="false" ht="13.8" hidden="false" customHeight="false" outlineLevel="0" collapsed="false">
      <c r="A124" s="0" t="s">
        <v>498</v>
      </c>
      <c r="B124" s="0" t="s">
        <v>489</v>
      </c>
      <c r="C124" s="0" t="n">
        <v>2018</v>
      </c>
      <c r="D124" s="0" t="n">
        <v>5892</v>
      </c>
      <c r="E124" s="0" t="n">
        <v>293.3</v>
      </c>
      <c r="F124" s="0" t="n">
        <v>8.4</v>
      </c>
      <c r="G124" s="0" t="n">
        <v>5</v>
      </c>
      <c r="H124" s="0" t="n">
        <v>31.3</v>
      </c>
      <c r="I124" s="0" t="n">
        <v>1728123.6</v>
      </c>
      <c r="J124" s="0" t="n">
        <v>184419.6</v>
      </c>
    </row>
    <row r="125" customFormat="false" ht="13.8" hidden="false" customHeight="false" outlineLevel="0" collapsed="false">
      <c r="A125" s="0" t="s">
        <v>498</v>
      </c>
      <c r="B125" s="0" t="s">
        <v>489</v>
      </c>
      <c r="C125" s="0" t="n">
        <v>2019</v>
      </c>
      <c r="D125" s="0" t="n">
        <v>5421</v>
      </c>
      <c r="E125" s="0" t="n">
        <v>297.5</v>
      </c>
      <c r="F125" s="0" t="n">
        <v>8.3</v>
      </c>
      <c r="G125" s="0" t="n">
        <v>5.1</v>
      </c>
      <c r="H125" s="0" t="n">
        <v>33.8</v>
      </c>
      <c r="I125" s="0" t="n">
        <v>1612747.5</v>
      </c>
      <c r="J125" s="0" t="n">
        <v>183229.8</v>
      </c>
    </row>
    <row r="126" customFormat="false" ht="13.8" hidden="false" customHeight="false" outlineLevel="0" collapsed="false">
      <c r="A126" s="0" t="s">
        <v>498</v>
      </c>
      <c r="B126" s="0" t="s">
        <v>489</v>
      </c>
      <c r="C126" s="0" t="n">
        <v>2020</v>
      </c>
      <c r="D126" s="0" t="n">
        <v>5504</v>
      </c>
      <c r="E126" s="0" t="n">
        <v>294.7</v>
      </c>
      <c r="F126" s="0" t="n">
        <v>8.2</v>
      </c>
      <c r="G126" s="0" t="n">
        <v>5.1</v>
      </c>
      <c r="H126" s="0" t="n">
        <v>36.5</v>
      </c>
      <c r="I126" s="0" t="n">
        <v>1622028.8</v>
      </c>
      <c r="J126" s="0" t="n">
        <v>200896</v>
      </c>
    </row>
    <row r="127" customFormat="false" ht="13.8" hidden="false" customHeight="false" outlineLevel="0" collapsed="false">
      <c r="A127" s="0" t="s">
        <v>498</v>
      </c>
      <c r="B127" s="0" t="s">
        <v>489</v>
      </c>
      <c r="C127" s="0" t="n">
        <v>2021</v>
      </c>
      <c r="D127" s="0" t="n">
        <v>5122</v>
      </c>
      <c r="E127" s="0" t="n">
        <v>302.5</v>
      </c>
      <c r="F127" s="0" t="n">
        <v>8.3</v>
      </c>
      <c r="G127" s="0" t="n">
        <v>5.3</v>
      </c>
      <c r="H127" s="0" t="n">
        <v>37.6</v>
      </c>
      <c r="I127" s="0" t="n">
        <v>1549405</v>
      </c>
      <c r="J127" s="0" t="n">
        <v>192587.2</v>
      </c>
    </row>
    <row r="128" customFormat="false" ht="13.8" hidden="false" customHeight="false" outlineLevel="0" collapsed="false">
      <c r="A128" s="0" t="s">
        <v>498</v>
      </c>
      <c r="B128" s="0" t="s">
        <v>497</v>
      </c>
      <c r="C128" s="0" t="n">
        <v>2016</v>
      </c>
      <c r="D128" s="0" t="n">
        <v>9600</v>
      </c>
      <c r="E128" s="0" t="n">
        <v>296.1</v>
      </c>
      <c r="F128" s="0" t="n">
        <v>8.4</v>
      </c>
      <c r="G128" s="0" t="n">
        <v>4.3</v>
      </c>
      <c r="H128" s="0" t="n">
        <v>29.7</v>
      </c>
      <c r="I128" s="0" t="n">
        <v>2842560</v>
      </c>
      <c r="J128" s="0" t="n">
        <v>285120</v>
      </c>
    </row>
    <row r="129" customFormat="false" ht="13.8" hidden="false" customHeight="false" outlineLevel="0" collapsed="false">
      <c r="A129" s="0" t="s">
        <v>498</v>
      </c>
      <c r="B129" s="0" t="s">
        <v>497</v>
      </c>
      <c r="C129" s="0" t="n">
        <v>2017</v>
      </c>
      <c r="D129" s="0" t="n">
        <v>9297</v>
      </c>
      <c r="E129" s="0" t="n">
        <v>301.5</v>
      </c>
      <c r="F129" s="0" t="n">
        <v>8.5</v>
      </c>
      <c r="G129" s="0" t="n">
        <v>4.4</v>
      </c>
      <c r="H129" s="0" t="n">
        <v>30.4</v>
      </c>
      <c r="I129" s="0" t="n">
        <v>2803045.5</v>
      </c>
      <c r="J129" s="0" t="n">
        <v>282628.8</v>
      </c>
    </row>
    <row r="130" customFormat="false" ht="13.8" hidden="false" customHeight="false" outlineLevel="0" collapsed="false">
      <c r="A130" s="0" t="s">
        <v>498</v>
      </c>
      <c r="B130" s="0" t="s">
        <v>497</v>
      </c>
      <c r="C130" s="0" t="n">
        <v>2018</v>
      </c>
      <c r="D130" s="0" t="n">
        <v>8696</v>
      </c>
      <c r="E130" s="0" t="n">
        <v>299.4</v>
      </c>
      <c r="F130" s="0" t="n">
        <v>8.2</v>
      </c>
      <c r="G130" s="0" t="n">
        <v>4.4</v>
      </c>
      <c r="H130" s="0" t="n">
        <v>31.3</v>
      </c>
      <c r="I130" s="0" t="n">
        <v>2603582.4</v>
      </c>
      <c r="J130" s="0" t="n">
        <v>272184.8</v>
      </c>
    </row>
    <row r="131" customFormat="false" ht="13.8" hidden="false" customHeight="false" outlineLevel="0" collapsed="false">
      <c r="A131" s="0" t="s">
        <v>498</v>
      </c>
      <c r="B131" s="0" t="s">
        <v>497</v>
      </c>
      <c r="C131" s="0" t="n">
        <v>2019</v>
      </c>
      <c r="D131" s="0" t="n">
        <v>8276</v>
      </c>
      <c r="E131" s="0" t="n">
        <v>299.8</v>
      </c>
      <c r="F131" s="0" t="n">
        <v>8.1</v>
      </c>
      <c r="G131" s="0" t="n">
        <v>4.4</v>
      </c>
      <c r="H131" s="0" t="n">
        <v>34.4</v>
      </c>
      <c r="I131" s="0" t="n">
        <v>2481144.8</v>
      </c>
      <c r="J131" s="0" t="n">
        <v>284694.4</v>
      </c>
    </row>
    <row r="132" customFormat="false" ht="13.8" hidden="false" customHeight="false" outlineLevel="0" collapsed="false">
      <c r="A132" s="0" t="s">
        <v>498</v>
      </c>
      <c r="B132" s="0" t="s">
        <v>497</v>
      </c>
      <c r="C132" s="0" t="n">
        <v>2020</v>
      </c>
      <c r="D132" s="0" t="n">
        <v>8258</v>
      </c>
      <c r="E132" s="0" t="n">
        <v>300.4</v>
      </c>
      <c r="F132" s="0" t="n">
        <v>8</v>
      </c>
      <c r="G132" s="0" t="n">
        <v>4.4</v>
      </c>
      <c r="H132" s="0" t="n">
        <v>37.5</v>
      </c>
      <c r="I132" s="0" t="n">
        <v>2480703.2</v>
      </c>
      <c r="J132" s="0" t="n">
        <v>309675</v>
      </c>
    </row>
    <row r="133" customFormat="false" ht="13.8" hidden="false" customHeight="false" outlineLevel="0" collapsed="false">
      <c r="A133" s="0" t="s">
        <v>498</v>
      </c>
      <c r="B133" s="0" t="s">
        <v>497</v>
      </c>
      <c r="C133" s="0" t="n">
        <v>2021</v>
      </c>
      <c r="D133" s="0" t="n">
        <v>8360</v>
      </c>
      <c r="E133" s="0" t="n">
        <v>304</v>
      </c>
      <c r="F133" s="0" t="n">
        <v>8</v>
      </c>
      <c r="G133" s="0" t="n">
        <v>4.5</v>
      </c>
      <c r="H133" s="0" t="n">
        <v>40.9</v>
      </c>
      <c r="I133" s="0" t="n">
        <v>2541440</v>
      </c>
      <c r="J133" s="0" t="n">
        <v>341924</v>
      </c>
    </row>
    <row r="134" customFormat="false" ht="13.8" hidden="false" customHeight="false" outlineLevel="0" collapsed="false">
      <c r="A134" s="0" t="s">
        <v>498</v>
      </c>
      <c r="B134" s="0" t="s">
        <v>502</v>
      </c>
      <c r="C134" s="0" t="n">
        <v>2016</v>
      </c>
      <c r="D134" s="0" t="n">
        <v>3740</v>
      </c>
      <c r="E134" s="0" t="n">
        <v>303</v>
      </c>
      <c r="F134" s="0" t="n">
        <v>10.4</v>
      </c>
      <c r="G134" s="0" t="n">
        <v>6.6</v>
      </c>
      <c r="H134" s="0" t="n">
        <v>26.5</v>
      </c>
      <c r="I134" s="0" t="n">
        <v>1133220</v>
      </c>
      <c r="J134" s="0" t="n">
        <v>99110</v>
      </c>
    </row>
    <row r="135" customFormat="false" ht="13.8" hidden="false" customHeight="false" outlineLevel="0" collapsed="false">
      <c r="A135" s="0" t="s">
        <v>498</v>
      </c>
      <c r="B135" s="0" t="s">
        <v>502</v>
      </c>
      <c r="C135" s="0" t="n">
        <v>2017</v>
      </c>
      <c r="D135" s="0" t="n">
        <v>3729</v>
      </c>
      <c r="E135" s="0" t="n">
        <v>303</v>
      </c>
      <c r="F135" s="0" t="n">
        <v>10.3</v>
      </c>
      <c r="G135" s="0" t="n">
        <v>6.6</v>
      </c>
      <c r="H135" s="0" t="n">
        <v>26.4</v>
      </c>
      <c r="I135" s="0" t="n">
        <v>1129887</v>
      </c>
      <c r="J135" s="0" t="n">
        <v>98445.6</v>
      </c>
    </row>
    <row r="136" customFormat="false" ht="13.8" hidden="false" customHeight="false" outlineLevel="0" collapsed="false">
      <c r="A136" s="0" t="s">
        <v>498</v>
      </c>
      <c r="B136" s="0" t="s">
        <v>502</v>
      </c>
      <c r="C136" s="0" t="n">
        <v>2018</v>
      </c>
      <c r="D136" s="0" t="n">
        <v>4243</v>
      </c>
      <c r="E136" s="0" t="n">
        <v>295</v>
      </c>
      <c r="F136" s="0" t="n">
        <v>9.6</v>
      </c>
      <c r="G136" s="0" t="n">
        <v>6.4</v>
      </c>
      <c r="H136" s="0" t="n">
        <v>27.5</v>
      </c>
      <c r="I136" s="0" t="n">
        <v>1251685</v>
      </c>
      <c r="J136" s="0" t="n">
        <v>116682.5</v>
      </c>
    </row>
    <row r="137" customFormat="false" ht="13.8" hidden="false" customHeight="false" outlineLevel="0" collapsed="false">
      <c r="A137" s="0" t="s">
        <v>498</v>
      </c>
      <c r="B137" s="0" t="s">
        <v>502</v>
      </c>
      <c r="C137" s="0" t="n">
        <v>2019</v>
      </c>
      <c r="D137" s="0" t="n">
        <v>5097</v>
      </c>
      <c r="E137" s="0" t="n">
        <v>296.8</v>
      </c>
      <c r="F137" s="0" t="n">
        <v>9.5</v>
      </c>
      <c r="G137" s="0" t="n">
        <v>6.4</v>
      </c>
      <c r="H137" s="0" t="n">
        <v>28.2</v>
      </c>
      <c r="I137" s="0" t="n">
        <v>1512789.6</v>
      </c>
      <c r="J137" s="0" t="n">
        <v>143735.4</v>
      </c>
    </row>
    <row r="138" customFormat="false" ht="13.8" hidden="false" customHeight="false" outlineLevel="0" collapsed="false">
      <c r="A138" s="0" t="s">
        <v>498</v>
      </c>
      <c r="B138" s="0" t="s">
        <v>502</v>
      </c>
      <c r="C138" s="0" t="n">
        <v>2020</v>
      </c>
      <c r="D138" s="0" t="n">
        <v>5929</v>
      </c>
      <c r="E138" s="0" t="n">
        <v>297.1</v>
      </c>
      <c r="F138" s="0" t="n">
        <v>9.4</v>
      </c>
      <c r="G138" s="0" t="n">
        <v>6.5</v>
      </c>
      <c r="H138" s="0" t="n">
        <v>27.8</v>
      </c>
      <c r="I138" s="0" t="n">
        <v>1761505.9</v>
      </c>
      <c r="J138" s="0" t="n">
        <v>164826.2</v>
      </c>
    </row>
    <row r="139" customFormat="false" ht="13.8" hidden="false" customHeight="false" outlineLevel="0" collapsed="false">
      <c r="A139" s="0" t="s">
        <v>498</v>
      </c>
      <c r="B139" s="0" t="s">
        <v>502</v>
      </c>
      <c r="C139" s="0" t="n">
        <v>2021</v>
      </c>
      <c r="D139" s="0" t="n">
        <v>5881</v>
      </c>
      <c r="E139" s="0" t="n">
        <v>303.4</v>
      </c>
      <c r="F139" s="0" t="n">
        <v>9.5</v>
      </c>
      <c r="G139" s="0" t="n">
        <v>6.6</v>
      </c>
      <c r="H139" s="0" t="n">
        <v>28.4</v>
      </c>
      <c r="I139" s="0" t="n">
        <v>1784295.4</v>
      </c>
      <c r="J139" s="0" t="n">
        <v>167020.4</v>
      </c>
    </row>
    <row r="140" customFormat="false" ht="13.8" hidden="false" customHeight="false" outlineLevel="0" collapsed="false">
      <c r="A140" s="0" t="s">
        <v>498</v>
      </c>
      <c r="B140" s="0" t="s">
        <v>505</v>
      </c>
      <c r="C140" s="0" t="n">
        <v>2016</v>
      </c>
      <c r="D140" s="0" t="n">
        <v>3143</v>
      </c>
      <c r="E140" s="0" t="n">
        <v>323</v>
      </c>
      <c r="F140" s="0" t="n">
        <v>8.7</v>
      </c>
      <c r="G140" s="0" t="n">
        <v>7.6</v>
      </c>
      <c r="H140" s="0" t="n">
        <v>25.4</v>
      </c>
      <c r="I140" s="0" t="n">
        <v>1015189</v>
      </c>
      <c r="J140" s="0" t="n">
        <v>79832.2</v>
      </c>
    </row>
    <row r="141" customFormat="false" ht="13.8" hidden="false" customHeight="false" outlineLevel="0" collapsed="false">
      <c r="A141" s="0" t="s">
        <v>498</v>
      </c>
      <c r="B141" s="0" t="s">
        <v>505</v>
      </c>
      <c r="C141" s="0" t="n">
        <v>2017</v>
      </c>
      <c r="D141" s="0" t="n">
        <v>3122</v>
      </c>
      <c r="E141" s="0" t="n">
        <v>323.8</v>
      </c>
      <c r="F141" s="0" t="n">
        <v>8.5</v>
      </c>
      <c r="G141" s="0" t="n">
        <v>7.6</v>
      </c>
      <c r="H141" s="0" t="n">
        <v>25.8</v>
      </c>
      <c r="I141" s="0" t="n">
        <v>1010903.6</v>
      </c>
      <c r="J141" s="0" t="n">
        <v>80547.6</v>
      </c>
    </row>
    <row r="142" customFormat="false" ht="13.8" hidden="false" customHeight="false" outlineLevel="0" collapsed="false">
      <c r="A142" s="0" t="s">
        <v>498</v>
      </c>
      <c r="B142" s="0" t="s">
        <v>505</v>
      </c>
      <c r="C142" s="0" t="n">
        <v>2018</v>
      </c>
      <c r="D142" s="0" t="n">
        <v>3455</v>
      </c>
      <c r="E142" s="0" t="n">
        <v>319.3</v>
      </c>
      <c r="F142" s="0" t="n">
        <v>8.2</v>
      </c>
      <c r="G142" s="0" t="n">
        <v>7.5</v>
      </c>
      <c r="H142" s="0" t="n">
        <v>26.2</v>
      </c>
      <c r="I142" s="0" t="n">
        <v>1103181.5</v>
      </c>
      <c r="J142" s="0" t="n">
        <v>90521</v>
      </c>
    </row>
    <row r="143" customFormat="false" ht="13.8" hidden="false" customHeight="false" outlineLevel="0" collapsed="false">
      <c r="A143" s="0" t="s">
        <v>498</v>
      </c>
      <c r="B143" s="0" t="s">
        <v>505</v>
      </c>
      <c r="C143" s="0" t="n">
        <v>2019</v>
      </c>
      <c r="D143" s="0" t="n">
        <v>4053</v>
      </c>
      <c r="E143" s="0" t="n">
        <v>321.1</v>
      </c>
      <c r="F143" s="0" t="n">
        <v>8.1</v>
      </c>
      <c r="G143" s="0" t="n">
        <v>7.5</v>
      </c>
      <c r="H143" s="0" t="n">
        <v>27.4</v>
      </c>
      <c r="I143" s="0" t="n">
        <v>1301418.3</v>
      </c>
      <c r="J143" s="0" t="n">
        <v>111052.2</v>
      </c>
    </row>
    <row r="144" customFormat="false" ht="13.8" hidden="false" customHeight="false" outlineLevel="0" collapsed="false">
      <c r="A144" s="0" t="s">
        <v>498</v>
      </c>
      <c r="B144" s="0" t="s">
        <v>505</v>
      </c>
      <c r="C144" s="0" t="n">
        <v>2020</v>
      </c>
      <c r="D144" s="0" t="n">
        <v>3983</v>
      </c>
      <c r="E144" s="0" t="n">
        <v>324.2</v>
      </c>
      <c r="F144" s="0" t="n">
        <v>8</v>
      </c>
      <c r="G144" s="0" t="n">
        <v>7.6</v>
      </c>
      <c r="H144" s="0" t="n">
        <v>31.5</v>
      </c>
      <c r="I144" s="0" t="n">
        <v>1291288.6</v>
      </c>
      <c r="J144" s="0" t="n">
        <v>125464.5</v>
      </c>
    </row>
    <row r="145" customFormat="false" ht="13.8" hidden="false" customHeight="false" outlineLevel="0" collapsed="false">
      <c r="A145" s="0" t="s">
        <v>498</v>
      </c>
      <c r="B145" s="0" t="s">
        <v>505</v>
      </c>
      <c r="C145" s="0" t="n">
        <v>2021</v>
      </c>
      <c r="D145" s="0" t="n">
        <v>3778</v>
      </c>
      <c r="E145" s="0" t="n">
        <v>332.1</v>
      </c>
      <c r="F145" s="0" t="n">
        <v>8.1</v>
      </c>
      <c r="G145" s="0" t="n">
        <v>7.8</v>
      </c>
      <c r="H145" s="0" t="n">
        <v>31.5</v>
      </c>
      <c r="I145" s="0" t="n">
        <v>1254673.8</v>
      </c>
      <c r="J145" s="0" t="n">
        <v>119007</v>
      </c>
    </row>
    <row r="146" customFormat="false" ht="13.8" hidden="false" customHeight="false" outlineLevel="0" collapsed="false">
      <c r="A146" s="0" t="s">
        <v>498</v>
      </c>
      <c r="B146" s="0" t="s">
        <v>506</v>
      </c>
      <c r="C146" s="0" t="n">
        <v>2016</v>
      </c>
      <c r="D146" s="0" t="n">
        <v>1103</v>
      </c>
      <c r="E146" s="0" t="n">
        <v>304.3</v>
      </c>
      <c r="F146" s="0" t="n">
        <v>10.3</v>
      </c>
      <c r="G146" s="0" t="n">
        <v>6.9</v>
      </c>
      <c r="H146" s="0" t="n">
        <v>25.6</v>
      </c>
      <c r="I146" s="0" t="n">
        <v>335642.9</v>
      </c>
      <c r="J146" s="0" t="n">
        <v>28236.8</v>
      </c>
    </row>
    <row r="147" customFormat="false" ht="13.8" hidden="false" customHeight="false" outlineLevel="0" collapsed="false">
      <c r="A147" s="0" t="s">
        <v>498</v>
      </c>
      <c r="B147" s="0" t="s">
        <v>506</v>
      </c>
      <c r="C147" s="0" t="n">
        <v>2017</v>
      </c>
      <c r="D147" s="0" t="n">
        <v>1215</v>
      </c>
      <c r="E147" s="0" t="n">
        <v>306.7</v>
      </c>
      <c r="F147" s="0" t="n">
        <v>10.4</v>
      </c>
      <c r="G147" s="0" t="n">
        <v>7</v>
      </c>
      <c r="H147" s="0" t="n">
        <v>25.7</v>
      </c>
      <c r="I147" s="0" t="n">
        <v>372640.5</v>
      </c>
      <c r="J147" s="0" t="n">
        <v>31225.5</v>
      </c>
    </row>
    <row r="148" customFormat="false" ht="13.8" hidden="false" customHeight="false" outlineLevel="0" collapsed="false">
      <c r="A148" s="0" t="s">
        <v>498</v>
      </c>
      <c r="B148" s="0" t="s">
        <v>506</v>
      </c>
      <c r="C148" s="0" t="n">
        <v>2018</v>
      </c>
      <c r="D148" s="0" t="n">
        <v>1464</v>
      </c>
      <c r="E148" s="0" t="n">
        <v>297</v>
      </c>
      <c r="F148" s="0" t="n">
        <v>9.7</v>
      </c>
      <c r="G148" s="0" t="n">
        <v>6.7</v>
      </c>
      <c r="H148" s="0" t="n">
        <v>26.1</v>
      </c>
      <c r="I148" s="0" t="n">
        <v>434808</v>
      </c>
      <c r="J148" s="0" t="n">
        <v>38210.4</v>
      </c>
    </row>
    <row r="149" customFormat="false" ht="13.8" hidden="false" customHeight="false" outlineLevel="0" collapsed="false">
      <c r="A149" s="0" t="s">
        <v>498</v>
      </c>
      <c r="B149" s="0" t="s">
        <v>506</v>
      </c>
      <c r="C149" s="0" t="n">
        <v>2019</v>
      </c>
      <c r="D149" s="0" t="n">
        <v>1764</v>
      </c>
      <c r="E149" s="0" t="n">
        <v>300.4</v>
      </c>
      <c r="F149" s="0" t="n">
        <v>9.5</v>
      </c>
      <c r="G149" s="0" t="n">
        <v>6.6</v>
      </c>
      <c r="H149" s="0" t="n">
        <v>26.9</v>
      </c>
      <c r="I149" s="0" t="n">
        <v>529905.6</v>
      </c>
      <c r="J149" s="0" t="n">
        <v>47451.6</v>
      </c>
    </row>
    <row r="150" customFormat="false" ht="13.8" hidden="false" customHeight="false" outlineLevel="0" collapsed="false">
      <c r="A150" s="0" t="s">
        <v>498</v>
      </c>
      <c r="B150" s="0" t="s">
        <v>506</v>
      </c>
      <c r="C150" s="0" t="n">
        <v>2020</v>
      </c>
      <c r="D150" s="0" t="n">
        <v>2183</v>
      </c>
      <c r="E150" s="0" t="n">
        <v>305</v>
      </c>
      <c r="F150" s="0" t="n">
        <v>9.4</v>
      </c>
      <c r="G150" s="0" t="n">
        <v>6.8</v>
      </c>
      <c r="H150" s="0" t="n">
        <v>27.9</v>
      </c>
      <c r="I150" s="0" t="n">
        <v>665815</v>
      </c>
      <c r="J150" s="0" t="n">
        <v>60905.7</v>
      </c>
    </row>
    <row r="151" customFormat="false" ht="13.8" hidden="false" customHeight="false" outlineLevel="0" collapsed="false">
      <c r="A151" s="0" t="s">
        <v>498</v>
      </c>
      <c r="B151" s="0" t="s">
        <v>506</v>
      </c>
      <c r="C151" s="0" t="n">
        <v>2021</v>
      </c>
      <c r="D151" s="0" t="n">
        <v>2144</v>
      </c>
      <c r="E151" s="0" t="n">
        <v>308</v>
      </c>
      <c r="F151" s="0" t="n">
        <v>9.5</v>
      </c>
      <c r="G151" s="0" t="n">
        <v>6.8</v>
      </c>
      <c r="H151" s="0" t="n">
        <v>28.2</v>
      </c>
      <c r="I151" s="0" t="n">
        <v>660352</v>
      </c>
      <c r="J151" s="0" t="n">
        <v>60460.8</v>
      </c>
    </row>
    <row r="152" customFormat="false" ht="13.8" hidden="false" customHeight="false" outlineLevel="0" collapsed="false">
      <c r="A152" s="0" t="s">
        <v>498</v>
      </c>
      <c r="B152" s="0" t="s">
        <v>508</v>
      </c>
      <c r="C152" s="0" t="n">
        <v>2016</v>
      </c>
      <c r="D152" s="0" t="n">
        <v>870</v>
      </c>
      <c r="E152" s="0" t="n">
        <v>319.3</v>
      </c>
      <c r="F152" s="0" t="n">
        <v>8.8</v>
      </c>
      <c r="G152" s="0" t="n">
        <v>8.7</v>
      </c>
      <c r="H152" s="0" t="n">
        <v>24.3</v>
      </c>
      <c r="I152" s="0" t="n">
        <v>277791</v>
      </c>
      <c r="J152" s="0" t="n">
        <v>21141</v>
      </c>
    </row>
    <row r="153" customFormat="false" ht="13.8" hidden="false" customHeight="false" outlineLevel="0" collapsed="false">
      <c r="A153" s="0" t="s">
        <v>498</v>
      </c>
      <c r="B153" s="0" t="s">
        <v>508</v>
      </c>
      <c r="C153" s="0" t="n">
        <v>2017</v>
      </c>
      <c r="D153" s="0" t="n">
        <v>865</v>
      </c>
      <c r="E153" s="0" t="n">
        <v>321.1</v>
      </c>
      <c r="F153" s="0" t="n">
        <v>8.8</v>
      </c>
      <c r="G153" s="0" t="n">
        <v>8.7</v>
      </c>
      <c r="H153" s="0" t="n">
        <v>24.6</v>
      </c>
      <c r="I153" s="0" t="n">
        <v>277751.5</v>
      </c>
      <c r="J153" s="0" t="n">
        <v>21279</v>
      </c>
    </row>
    <row r="154" customFormat="false" ht="13.8" hidden="false" customHeight="false" outlineLevel="0" collapsed="false">
      <c r="A154" s="0" t="s">
        <v>498</v>
      </c>
      <c r="B154" s="0" t="s">
        <v>508</v>
      </c>
      <c r="C154" s="0" t="n">
        <v>2018</v>
      </c>
      <c r="D154" s="0" t="n">
        <v>1016</v>
      </c>
      <c r="E154" s="0" t="n">
        <v>315.6</v>
      </c>
      <c r="F154" s="0" t="n">
        <v>8.4</v>
      </c>
      <c r="G154" s="0" t="n">
        <v>8.3</v>
      </c>
      <c r="H154" s="0" t="n">
        <v>24.6</v>
      </c>
      <c r="I154" s="0" t="n">
        <v>320649.6</v>
      </c>
      <c r="J154" s="0" t="n">
        <v>24993.6</v>
      </c>
    </row>
    <row r="155" customFormat="false" ht="13.8" hidden="false" customHeight="false" outlineLevel="0" collapsed="false">
      <c r="A155" s="0" t="s">
        <v>498</v>
      </c>
      <c r="B155" s="0" t="s">
        <v>508</v>
      </c>
      <c r="C155" s="0" t="n">
        <v>2019</v>
      </c>
      <c r="D155" s="0" t="n">
        <v>1106</v>
      </c>
      <c r="E155" s="0" t="n">
        <v>317</v>
      </c>
      <c r="F155" s="0" t="n">
        <v>8.3</v>
      </c>
      <c r="G155" s="0" t="n">
        <v>8.1</v>
      </c>
      <c r="H155" s="0" t="n">
        <v>29.1</v>
      </c>
      <c r="I155" s="0" t="n">
        <v>350602</v>
      </c>
      <c r="J155" s="0" t="n">
        <v>32184.6</v>
      </c>
    </row>
    <row r="156" customFormat="false" ht="13.8" hidden="false" customHeight="false" outlineLevel="0" collapsed="false">
      <c r="A156" s="0" t="s">
        <v>498</v>
      </c>
      <c r="B156" s="0" t="s">
        <v>508</v>
      </c>
      <c r="C156" s="0" t="n">
        <v>2020</v>
      </c>
      <c r="D156" s="0" t="n">
        <v>1249</v>
      </c>
      <c r="E156" s="0" t="n">
        <v>314.3</v>
      </c>
      <c r="F156" s="0" t="n">
        <v>8.1</v>
      </c>
      <c r="G156" s="0" t="n">
        <v>8.3</v>
      </c>
      <c r="H156" s="0" t="n">
        <v>28.2</v>
      </c>
      <c r="I156" s="0" t="n">
        <v>392560.7</v>
      </c>
      <c r="J156" s="0" t="n">
        <v>35221.8</v>
      </c>
    </row>
    <row r="157" customFormat="false" ht="13.8" hidden="false" customHeight="false" outlineLevel="0" collapsed="false">
      <c r="A157" s="0" t="s">
        <v>498</v>
      </c>
      <c r="B157" s="0" t="s">
        <v>508</v>
      </c>
      <c r="C157" s="0" t="n">
        <v>2021</v>
      </c>
      <c r="D157" s="0" t="n">
        <v>1265</v>
      </c>
      <c r="E157" s="0" t="n">
        <v>313.3</v>
      </c>
      <c r="F157" s="0" t="n">
        <v>8</v>
      </c>
      <c r="G157" s="0" t="n">
        <v>8.1</v>
      </c>
      <c r="H157" s="0" t="n">
        <v>28.1</v>
      </c>
      <c r="I157" s="0" t="n">
        <v>396324.5</v>
      </c>
      <c r="J157" s="0" t="n">
        <v>35546.5</v>
      </c>
    </row>
    <row r="158" customFormat="false" ht="13.8" hidden="false" customHeight="false" outlineLevel="0" collapsed="false">
      <c r="A158" s="0" t="s">
        <v>498</v>
      </c>
      <c r="B158" s="0" t="s">
        <v>509</v>
      </c>
      <c r="C158" s="0" t="n">
        <v>2016</v>
      </c>
      <c r="D158" s="0" t="n">
        <v>2468</v>
      </c>
      <c r="E158" s="0" t="n">
        <v>315.8</v>
      </c>
      <c r="F158" s="0" t="n">
        <v>8.8</v>
      </c>
      <c r="G158" s="0" t="n">
        <v>7.1</v>
      </c>
      <c r="H158" s="0" t="n">
        <v>24.4</v>
      </c>
      <c r="I158" s="0" t="n">
        <v>779394.4</v>
      </c>
      <c r="J158" s="0" t="n">
        <v>60219.2</v>
      </c>
    </row>
    <row r="159" customFormat="false" ht="13.8" hidden="false" customHeight="false" outlineLevel="0" collapsed="false">
      <c r="A159" s="0" t="s">
        <v>498</v>
      </c>
      <c r="B159" s="0" t="s">
        <v>509</v>
      </c>
      <c r="C159" s="0" t="n">
        <v>2017</v>
      </c>
      <c r="D159" s="0" t="n">
        <v>2484</v>
      </c>
      <c r="E159" s="0" t="n">
        <v>317.2</v>
      </c>
      <c r="F159" s="0" t="n">
        <v>8.7</v>
      </c>
      <c r="G159" s="0" t="n">
        <v>7.1</v>
      </c>
      <c r="H159" s="0" t="n">
        <v>24.4</v>
      </c>
      <c r="I159" s="0" t="n">
        <v>787924.8</v>
      </c>
      <c r="J159" s="0" t="n">
        <v>60609.6</v>
      </c>
    </row>
    <row r="160" customFormat="false" ht="13.8" hidden="false" customHeight="false" outlineLevel="0" collapsed="false">
      <c r="A160" s="0" t="s">
        <v>498</v>
      </c>
      <c r="B160" s="0" t="s">
        <v>509</v>
      </c>
      <c r="C160" s="0" t="n">
        <v>2018</v>
      </c>
      <c r="D160" s="0" t="n">
        <v>2820</v>
      </c>
      <c r="E160" s="0" t="n">
        <v>311.2</v>
      </c>
      <c r="F160" s="0" t="n">
        <v>8.2</v>
      </c>
      <c r="G160" s="0" t="n">
        <v>7</v>
      </c>
      <c r="H160" s="0" t="n">
        <v>25.3</v>
      </c>
      <c r="I160" s="0" t="n">
        <v>877584</v>
      </c>
      <c r="J160" s="0" t="n">
        <v>71346</v>
      </c>
    </row>
    <row r="161" customFormat="false" ht="13.8" hidden="false" customHeight="false" outlineLevel="0" collapsed="false">
      <c r="A161" s="0" t="s">
        <v>498</v>
      </c>
      <c r="B161" s="0" t="s">
        <v>509</v>
      </c>
      <c r="C161" s="0" t="n">
        <v>2019</v>
      </c>
      <c r="D161" s="0" t="n">
        <v>3088</v>
      </c>
      <c r="E161" s="0" t="n">
        <v>309.8</v>
      </c>
      <c r="F161" s="0" t="n">
        <v>8.1</v>
      </c>
      <c r="G161" s="0" t="n">
        <v>7</v>
      </c>
      <c r="H161" s="0" t="n">
        <v>25.2</v>
      </c>
      <c r="I161" s="0" t="n">
        <v>956662.4</v>
      </c>
      <c r="J161" s="0" t="n">
        <v>77817.6</v>
      </c>
    </row>
    <row r="162" customFormat="false" ht="13.8" hidden="false" customHeight="false" outlineLevel="0" collapsed="false">
      <c r="A162" s="0" t="s">
        <v>498</v>
      </c>
      <c r="B162" s="0" t="s">
        <v>509</v>
      </c>
      <c r="C162" s="0" t="n">
        <v>2020</v>
      </c>
      <c r="D162" s="0" t="n">
        <v>3594</v>
      </c>
      <c r="E162" s="0" t="n">
        <v>312.7</v>
      </c>
      <c r="F162" s="0" t="n">
        <v>8</v>
      </c>
      <c r="G162" s="0" t="n">
        <v>7</v>
      </c>
      <c r="H162" s="0" t="n">
        <v>27.1</v>
      </c>
      <c r="I162" s="0" t="n">
        <v>1123843.8</v>
      </c>
      <c r="J162" s="0" t="n">
        <v>97397.4</v>
      </c>
    </row>
    <row r="163" customFormat="false" ht="13.8" hidden="false" customHeight="false" outlineLevel="0" collapsed="false">
      <c r="A163" s="0" t="s">
        <v>498</v>
      </c>
      <c r="B163" s="0" t="s">
        <v>509</v>
      </c>
      <c r="C163" s="0" t="n">
        <v>2021</v>
      </c>
      <c r="D163" s="0" t="n">
        <v>3319</v>
      </c>
      <c r="E163" s="0" t="n">
        <v>322.1</v>
      </c>
      <c r="F163" s="0" t="n">
        <v>8.2</v>
      </c>
      <c r="G163" s="0" t="n">
        <v>7.3</v>
      </c>
      <c r="H163" s="0" t="n">
        <v>26.9</v>
      </c>
      <c r="I163" s="0" t="n">
        <v>1069049.9</v>
      </c>
      <c r="J163" s="0" t="n">
        <v>89281.1</v>
      </c>
    </row>
    <row r="164" customFormat="false" ht="13.8" hidden="false" customHeight="false" outlineLevel="0" collapsed="false">
      <c r="A164" s="0" t="s">
        <v>498</v>
      </c>
      <c r="B164" s="0" t="s">
        <v>511</v>
      </c>
      <c r="C164" s="0" t="n">
        <v>2016</v>
      </c>
      <c r="D164" s="0" t="n">
        <v>284</v>
      </c>
      <c r="E164" s="0" t="n">
        <v>177</v>
      </c>
      <c r="F164" s="0" t="n">
        <v>7.1</v>
      </c>
      <c r="G164" s="0" t="n">
        <v>4.5</v>
      </c>
      <c r="H164" s="0" t="n">
        <v>31</v>
      </c>
      <c r="I164" s="0" t="n">
        <v>50268</v>
      </c>
      <c r="J164" s="0" t="n">
        <v>8804</v>
      </c>
    </row>
    <row r="165" customFormat="false" ht="13.8" hidden="false" customHeight="false" outlineLevel="0" collapsed="false">
      <c r="A165" s="0" t="s">
        <v>498</v>
      </c>
      <c r="B165" s="0" t="s">
        <v>511</v>
      </c>
      <c r="C165" s="0" t="n">
        <v>2017</v>
      </c>
      <c r="D165" s="0" t="n">
        <v>237</v>
      </c>
      <c r="E165" s="0" t="n">
        <v>191.4</v>
      </c>
      <c r="F165" s="0" t="n">
        <v>7.3</v>
      </c>
      <c r="G165" s="0" t="n">
        <v>4.7</v>
      </c>
      <c r="H165" s="0" t="n">
        <v>34.2</v>
      </c>
      <c r="I165" s="0" t="n">
        <v>45361.8</v>
      </c>
      <c r="J165" s="0" t="n">
        <v>8105.4</v>
      </c>
    </row>
    <row r="166" customFormat="false" ht="13.8" hidden="false" customHeight="false" outlineLevel="0" collapsed="false">
      <c r="A166" s="0" t="s">
        <v>498</v>
      </c>
      <c r="B166" s="0" t="s">
        <v>511</v>
      </c>
      <c r="C166" s="0" t="n">
        <v>2018</v>
      </c>
      <c r="D166" s="0" t="n">
        <v>273</v>
      </c>
      <c r="E166" s="0" t="n">
        <v>168.9</v>
      </c>
      <c r="F166" s="0" t="n">
        <v>6.1</v>
      </c>
      <c r="G166" s="0" t="n">
        <v>4.3</v>
      </c>
      <c r="H166" s="0" t="n">
        <v>33.7</v>
      </c>
      <c r="I166" s="0" t="n">
        <v>46109.7</v>
      </c>
      <c r="J166" s="0" t="n">
        <v>9200.1</v>
      </c>
    </row>
    <row r="167" customFormat="false" ht="13.8" hidden="false" customHeight="false" outlineLevel="0" collapsed="false">
      <c r="A167" s="0" t="s">
        <v>498</v>
      </c>
      <c r="B167" s="0" t="s">
        <v>511</v>
      </c>
      <c r="C167" s="0" t="n">
        <v>2019</v>
      </c>
      <c r="D167" s="0" t="n">
        <v>221</v>
      </c>
      <c r="E167" s="0" t="n">
        <v>175.3</v>
      </c>
      <c r="F167" s="0" t="n">
        <v>6.3</v>
      </c>
      <c r="G167" s="0" t="n">
        <v>4.3</v>
      </c>
      <c r="H167" s="0" t="n">
        <v>37.5</v>
      </c>
      <c r="I167" s="0" t="n">
        <v>38741.3</v>
      </c>
      <c r="J167" s="0" t="n">
        <v>8287.5</v>
      </c>
    </row>
    <row r="168" customFormat="false" ht="13.8" hidden="false" customHeight="false" outlineLevel="0" collapsed="false">
      <c r="A168" s="0" t="s">
        <v>498</v>
      </c>
      <c r="B168" s="0" t="s">
        <v>511</v>
      </c>
      <c r="C168" s="0" t="n">
        <v>2020</v>
      </c>
      <c r="D168" s="0" t="n">
        <v>163</v>
      </c>
      <c r="E168" s="0" t="n">
        <v>192.3</v>
      </c>
      <c r="F168" s="0" t="n">
        <v>7.3</v>
      </c>
      <c r="G168" s="0" t="n">
        <v>4.6</v>
      </c>
      <c r="H168" s="0" t="n">
        <v>38.7</v>
      </c>
      <c r="I168" s="0" t="n">
        <v>31344.9</v>
      </c>
      <c r="J168" s="0" t="n">
        <v>6308.1</v>
      </c>
    </row>
    <row r="169" customFormat="false" ht="13.8" hidden="false" customHeight="false" outlineLevel="0" collapsed="false">
      <c r="A169" s="0" t="s">
        <v>498</v>
      </c>
      <c r="B169" s="0" t="s">
        <v>511</v>
      </c>
      <c r="C169" s="0" t="n">
        <v>2021</v>
      </c>
      <c r="D169" s="0" t="n">
        <v>179</v>
      </c>
      <c r="E169" s="0" t="n">
        <v>193.2</v>
      </c>
      <c r="F169" s="0" t="n">
        <v>6.5</v>
      </c>
      <c r="G169" s="0" t="n">
        <v>4.6</v>
      </c>
      <c r="H169" s="0" t="n">
        <v>43.4</v>
      </c>
      <c r="I169" s="0" t="n">
        <v>34582.8</v>
      </c>
      <c r="J169" s="0" t="n">
        <v>7768.6</v>
      </c>
    </row>
    <row r="170" customFormat="false" ht="13.8" hidden="false" customHeight="false" outlineLevel="0" collapsed="false">
      <c r="A170" s="0" t="s">
        <v>498</v>
      </c>
      <c r="B170" s="0" t="s">
        <v>512</v>
      </c>
      <c r="C170" s="0" t="n">
        <v>2016</v>
      </c>
      <c r="D170" s="0" t="n">
        <v>176</v>
      </c>
      <c r="E170" s="0" t="n">
        <v>330.6</v>
      </c>
      <c r="F170" s="0" t="n">
        <v>7.5</v>
      </c>
      <c r="G170" s="0" t="n">
        <v>9.3</v>
      </c>
      <c r="H170" s="0" t="n">
        <v>21.9</v>
      </c>
      <c r="I170" s="0" t="n">
        <v>58185.6</v>
      </c>
      <c r="J170" s="0" t="n">
        <v>3854.4</v>
      </c>
    </row>
    <row r="171" customFormat="false" ht="13.8" hidden="false" customHeight="false" outlineLevel="0" collapsed="false">
      <c r="A171" s="0" t="s">
        <v>498</v>
      </c>
      <c r="B171" s="0" t="s">
        <v>512</v>
      </c>
      <c r="C171" s="0" t="n">
        <v>2017</v>
      </c>
      <c r="D171" s="0" t="n">
        <v>159</v>
      </c>
      <c r="E171" s="0" t="n">
        <v>315.8</v>
      </c>
      <c r="F171" s="0" t="n">
        <v>7.2</v>
      </c>
      <c r="G171" s="0" t="n">
        <v>9.1</v>
      </c>
      <c r="H171" s="0" t="n">
        <v>21.6</v>
      </c>
      <c r="I171" s="0" t="n">
        <v>50212.2</v>
      </c>
      <c r="J171" s="0" t="n">
        <v>3434.4</v>
      </c>
    </row>
    <row r="172" customFormat="false" ht="13.8" hidden="false" customHeight="false" outlineLevel="0" collapsed="false">
      <c r="A172" s="0" t="s">
        <v>498</v>
      </c>
      <c r="B172" s="0" t="s">
        <v>512</v>
      </c>
      <c r="C172" s="0" t="n">
        <v>2018</v>
      </c>
      <c r="D172" s="0" t="n">
        <v>174</v>
      </c>
      <c r="E172" s="0" t="n">
        <v>318.9</v>
      </c>
      <c r="F172" s="0" t="n">
        <v>6.7</v>
      </c>
      <c r="G172" s="0" t="n">
        <v>8.9</v>
      </c>
      <c r="H172" s="0" t="n">
        <v>22.7</v>
      </c>
      <c r="I172" s="0" t="n">
        <v>55488.6</v>
      </c>
      <c r="J172" s="0" t="n">
        <v>3949.8</v>
      </c>
    </row>
    <row r="173" customFormat="false" ht="13.8" hidden="false" customHeight="false" outlineLevel="0" collapsed="false">
      <c r="A173" s="0" t="s">
        <v>498</v>
      </c>
      <c r="B173" s="0" t="s">
        <v>512</v>
      </c>
      <c r="C173" s="0" t="n">
        <v>2019</v>
      </c>
      <c r="D173" s="0" t="n">
        <v>213</v>
      </c>
      <c r="E173" s="0" t="n">
        <v>330.7</v>
      </c>
      <c r="F173" s="0" t="n">
        <v>6.6</v>
      </c>
      <c r="G173" s="0" t="n">
        <v>9.3</v>
      </c>
      <c r="H173" s="0" t="n">
        <v>22.7</v>
      </c>
      <c r="I173" s="0" t="n">
        <v>70439.1</v>
      </c>
      <c r="J173" s="0" t="n">
        <v>4835.1</v>
      </c>
    </row>
    <row r="174" customFormat="false" ht="13.8" hidden="false" customHeight="false" outlineLevel="0" collapsed="false">
      <c r="A174" s="0" t="s">
        <v>498</v>
      </c>
      <c r="B174" s="0" t="s">
        <v>512</v>
      </c>
      <c r="C174" s="0" t="n">
        <v>2020</v>
      </c>
      <c r="D174" s="0" t="n">
        <v>200</v>
      </c>
      <c r="E174" s="0" t="n">
        <v>316.4</v>
      </c>
      <c r="F174" s="0" t="n">
        <v>6.8</v>
      </c>
      <c r="G174" s="0" t="n">
        <v>8.6</v>
      </c>
      <c r="H174" s="0" t="n">
        <v>21.5</v>
      </c>
      <c r="I174" s="0" t="n">
        <v>63280</v>
      </c>
      <c r="J174" s="0" t="n">
        <v>4300</v>
      </c>
    </row>
    <row r="175" customFormat="false" ht="13.8" hidden="false" customHeight="false" outlineLevel="0" collapsed="false">
      <c r="A175" s="0" t="s">
        <v>498</v>
      </c>
      <c r="B175" s="0" t="s">
        <v>512</v>
      </c>
      <c r="C175" s="0" t="n">
        <v>2021</v>
      </c>
      <c r="D175" s="0" t="n">
        <v>257</v>
      </c>
      <c r="E175" s="0" t="n">
        <v>323.6</v>
      </c>
      <c r="F175" s="0" t="n">
        <v>6.7</v>
      </c>
      <c r="G175" s="0" t="n">
        <v>8.7</v>
      </c>
      <c r="H175" s="0" t="n">
        <v>23</v>
      </c>
      <c r="I175" s="0" t="n">
        <v>83165.2</v>
      </c>
      <c r="J175" s="0" t="n">
        <v>5911</v>
      </c>
    </row>
    <row r="176" customFormat="false" ht="13.8" hidden="false" customHeight="false" outlineLevel="0" collapsed="false">
      <c r="A176" s="0" t="s">
        <v>498</v>
      </c>
      <c r="B176" s="0" t="s">
        <v>513</v>
      </c>
      <c r="C176" s="0" t="n">
        <v>2016</v>
      </c>
      <c r="D176" s="0" t="n">
        <v>23158</v>
      </c>
      <c r="E176" s="0" t="n">
        <v>311.8</v>
      </c>
      <c r="F176" s="0" t="n">
        <v>9.4</v>
      </c>
      <c r="G176" s="0" t="n">
        <v>7</v>
      </c>
      <c r="H176" s="0" t="n">
        <v>26.3</v>
      </c>
      <c r="I176" s="0" t="n">
        <v>7220664.4</v>
      </c>
      <c r="J176" s="0" t="n">
        <v>609055.4</v>
      </c>
    </row>
    <row r="177" customFormat="false" ht="13.8" hidden="false" customHeight="false" outlineLevel="0" collapsed="false">
      <c r="A177" s="0" t="s">
        <v>498</v>
      </c>
      <c r="B177" s="0" t="s">
        <v>513</v>
      </c>
      <c r="C177" s="0" t="n">
        <v>2017</v>
      </c>
      <c r="D177" s="0" t="n">
        <v>22888</v>
      </c>
      <c r="E177" s="0" t="n">
        <v>313.8</v>
      </c>
      <c r="F177" s="0" t="n">
        <v>9.3</v>
      </c>
      <c r="G177" s="0" t="n">
        <v>7</v>
      </c>
      <c r="H177" s="0" t="n">
        <v>26.5</v>
      </c>
      <c r="I177" s="0" t="n">
        <v>7182254.4</v>
      </c>
      <c r="J177" s="0" t="n">
        <v>606532</v>
      </c>
    </row>
    <row r="178" customFormat="false" ht="13.8" hidden="false" customHeight="false" outlineLevel="0" collapsed="false">
      <c r="A178" s="0" t="s">
        <v>498</v>
      </c>
      <c r="B178" s="0" t="s">
        <v>513</v>
      </c>
      <c r="C178" s="0" t="n">
        <v>2018</v>
      </c>
      <c r="D178" s="0" t="n">
        <v>27050</v>
      </c>
      <c r="E178" s="0" t="n">
        <v>307.9</v>
      </c>
      <c r="F178" s="0" t="n">
        <v>8.9</v>
      </c>
      <c r="G178" s="0" t="n">
        <v>6.9</v>
      </c>
      <c r="H178" s="0" t="n">
        <v>27.5</v>
      </c>
      <c r="I178" s="0" t="n">
        <v>8328695</v>
      </c>
      <c r="J178" s="0" t="n">
        <v>743875</v>
      </c>
    </row>
    <row r="179" customFormat="false" ht="13.8" hidden="false" customHeight="false" outlineLevel="0" collapsed="false">
      <c r="A179" s="0" t="s">
        <v>498</v>
      </c>
      <c r="B179" s="0" t="s">
        <v>513</v>
      </c>
      <c r="C179" s="0" t="n">
        <v>2019</v>
      </c>
      <c r="D179" s="0" t="n">
        <v>29484</v>
      </c>
      <c r="E179" s="0" t="n">
        <v>307.5</v>
      </c>
      <c r="F179" s="0" t="n">
        <v>8.8</v>
      </c>
      <c r="G179" s="0" t="n">
        <v>6.8</v>
      </c>
      <c r="H179" s="0" t="n">
        <v>27.1</v>
      </c>
      <c r="I179" s="0" t="n">
        <v>9066330</v>
      </c>
      <c r="J179" s="0" t="n">
        <v>799016.4</v>
      </c>
    </row>
    <row r="180" customFormat="false" ht="13.8" hidden="false" customHeight="false" outlineLevel="0" collapsed="false">
      <c r="A180" s="0" t="s">
        <v>498</v>
      </c>
      <c r="B180" s="0" t="s">
        <v>513</v>
      </c>
      <c r="C180" s="0" t="n">
        <v>2020</v>
      </c>
      <c r="D180" s="0" t="n">
        <v>33134</v>
      </c>
      <c r="E180" s="0" t="n">
        <v>309.7</v>
      </c>
      <c r="F180" s="0" t="n">
        <v>8.7</v>
      </c>
      <c r="G180" s="0" t="n">
        <v>6.9</v>
      </c>
      <c r="H180" s="0" t="n">
        <v>27.4</v>
      </c>
      <c r="I180" s="0" t="n">
        <v>10261599.8</v>
      </c>
      <c r="J180" s="0" t="n">
        <v>907871.6</v>
      </c>
    </row>
    <row r="181" customFormat="false" ht="13.8" hidden="false" customHeight="false" outlineLevel="0" collapsed="false">
      <c r="A181" s="0" t="s">
        <v>498</v>
      </c>
      <c r="B181" s="0" t="s">
        <v>513</v>
      </c>
      <c r="C181" s="0" t="n">
        <v>2021</v>
      </c>
      <c r="D181" s="0" t="n">
        <v>31140</v>
      </c>
      <c r="E181" s="0" t="n">
        <v>316.2</v>
      </c>
      <c r="F181" s="0" t="n">
        <v>8.8</v>
      </c>
      <c r="G181" s="0" t="n">
        <v>7.1</v>
      </c>
      <c r="H181" s="0" t="n">
        <v>28.2</v>
      </c>
      <c r="I181" s="0" t="n">
        <v>9846468</v>
      </c>
      <c r="J181" s="0" t="n">
        <v>878148</v>
      </c>
    </row>
    <row r="182" customFormat="false" ht="13.8" hidden="false" customHeight="false" outlineLevel="0" collapsed="false">
      <c r="A182" s="0" t="s">
        <v>499</v>
      </c>
      <c r="B182" s="0" t="s">
        <v>489</v>
      </c>
      <c r="C182" s="0" t="n">
        <v>2016</v>
      </c>
      <c r="D182" s="0" t="n">
        <v>11185</v>
      </c>
      <c r="E182" s="0" t="n">
        <v>326.5</v>
      </c>
      <c r="F182" s="0" t="n">
        <v>7.9</v>
      </c>
      <c r="G182" s="0" t="n">
        <v>4.8</v>
      </c>
      <c r="H182" s="0" t="n">
        <v>28</v>
      </c>
      <c r="I182" s="0" t="n">
        <v>3651902.5</v>
      </c>
      <c r="J182" s="0" t="n">
        <v>313180</v>
      </c>
    </row>
    <row r="183" customFormat="false" ht="13.8" hidden="false" customHeight="false" outlineLevel="0" collapsed="false">
      <c r="A183" s="0" t="s">
        <v>499</v>
      </c>
      <c r="B183" s="0" t="s">
        <v>489</v>
      </c>
      <c r="C183" s="0" t="n">
        <v>2017</v>
      </c>
      <c r="D183" s="0" t="n">
        <v>10763</v>
      </c>
      <c r="E183" s="0" t="n">
        <v>327.4</v>
      </c>
      <c r="F183" s="0" t="n">
        <v>7.9</v>
      </c>
      <c r="G183" s="0" t="n">
        <v>4.8</v>
      </c>
      <c r="H183" s="0" t="n">
        <v>28.7</v>
      </c>
      <c r="I183" s="0" t="n">
        <v>3523806.2</v>
      </c>
      <c r="J183" s="0" t="n">
        <v>308898.1</v>
      </c>
    </row>
    <row r="184" customFormat="false" ht="13.8" hidden="false" customHeight="false" outlineLevel="0" collapsed="false">
      <c r="A184" s="0" t="s">
        <v>499</v>
      </c>
      <c r="B184" s="0" t="s">
        <v>489</v>
      </c>
      <c r="C184" s="0" t="n">
        <v>2018</v>
      </c>
      <c r="D184" s="0" t="n">
        <v>10031</v>
      </c>
      <c r="E184" s="0" t="n">
        <v>324.7</v>
      </c>
      <c r="F184" s="0" t="n">
        <v>7.5</v>
      </c>
      <c r="G184" s="0" t="n">
        <v>4.7</v>
      </c>
      <c r="H184" s="0" t="n">
        <v>29.8</v>
      </c>
      <c r="I184" s="0" t="n">
        <v>3257065.7</v>
      </c>
      <c r="J184" s="0" t="n">
        <v>298923.8</v>
      </c>
    </row>
    <row r="185" customFormat="false" ht="13.8" hidden="false" customHeight="false" outlineLevel="0" collapsed="false">
      <c r="A185" s="0" t="s">
        <v>499</v>
      </c>
      <c r="B185" s="0" t="s">
        <v>489</v>
      </c>
      <c r="C185" s="0" t="n">
        <v>2019</v>
      </c>
      <c r="D185" s="0" t="n">
        <v>8586</v>
      </c>
      <c r="E185" s="0" t="n">
        <v>324.9</v>
      </c>
      <c r="F185" s="0" t="n">
        <v>7.3</v>
      </c>
      <c r="G185" s="0" t="n">
        <v>4.6</v>
      </c>
      <c r="H185" s="0" t="n">
        <v>30.9</v>
      </c>
      <c r="I185" s="0" t="n">
        <v>2789591.4</v>
      </c>
      <c r="J185" s="0" t="n">
        <v>265307.4</v>
      </c>
    </row>
    <row r="186" customFormat="false" ht="13.8" hidden="false" customHeight="false" outlineLevel="0" collapsed="false">
      <c r="A186" s="0" t="s">
        <v>499</v>
      </c>
      <c r="B186" s="0" t="s">
        <v>489</v>
      </c>
      <c r="C186" s="0" t="n">
        <v>2020</v>
      </c>
      <c r="D186" s="0" t="n">
        <v>8434</v>
      </c>
      <c r="E186" s="0" t="n">
        <v>326.7</v>
      </c>
      <c r="F186" s="0" t="n">
        <v>7.3</v>
      </c>
      <c r="G186" s="0" t="n">
        <v>4.6</v>
      </c>
      <c r="H186" s="0" t="n">
        <v>31.9</v>
      </c>
      <c r="I186" s="0" t="n">
        <v>2755387.8</v>
      </c>
      <c r="J186" s="0" t="n">
        <v>269044.6</v>
      </c>
    </row>
    <row r="187" customFormat="false" ht="13.8" hidden="false" customHeight="false" outlineLevel="0" collapsed="false">
      <c r="A187" s="0" t="s">
        <v>499</v>
      </c>
      <c r="B187" s="0" t="s">
        <v>489</v>
      </c>
      <c r="C187" s="0" t="n">
        <v>2021</v>
      </c>
      <c r="D187" s="0" t="n">
        <v>7586</v>
      </c>
      <c r="E187" s="0" t="n">
        <v>332.4</v>
      </c>
      <c r="F187" s="0" t="n">
        <v>7.4</v>
      </c>
      <c r="G187" s="0" t="n">
        <v>4.8</v>
      </c>
      <c r="H187" s="0" t="n">
        <v>33.4</v>
      </c>
      <c r="I187" s="0" t="n">
        <v>2521586.4</v>
      </c>
      <c r="J187" s="0" t="n">
        <v>253372.4</v>
      </c>
    </row>
    <row r="188" customFormat="false" ht="13.8" hidden="false" customHeight="false" outlineLevel="0" collapsed="false">
      <c r="A188" s="0" t="s">
        <v>499</v>
      </c>
      <c r="B188" s="0" t="s">
        <v>497</v>
      </c>
      <c r="C188" s="0" t="n">
        <v>2016</v>
      </c>
      <c r="D188" s="0" t="n">
        <v>12148</v>
      </c>
      <c r="E188" s="0" t="n">
        <v>325.7</v>
      </c>
      <c r="F188" s="0" t="n">
        <v>7.7</v>
      </c>
      <c r="G188" s="0" t="n">
        <v>4.2</v>
      </c>
      <c r="H188" s="0" t="n">
        <v>27.8</v>
      </c>
      <c r="I188" s="0" t="n">
        <v>3956603.6</v>
      </c>
      <c r="J188" s="0" t="n">
        <v>337714.4</v>
      </c>
    </row>
    <row r="189" customFormat="false" ht="13.8" hidden="false" customHeight="false" outlineLevel="0" collapsed="false">
      <c r="A189" s="0" t="s">
        <v>499</v>
      </c>
      <c r="B189" s="0" t="s">
        <v>497</v>
      </c>
      <c r="C189" s="0" t="n">
        <v>2017</v>
      </c>
      <c r="D189" s="0" t="n">
        <v>12969</v>
      </c>
      <c r="E189" s="0" t="n">
        <v>326.9</v>
      </c>
      <c r="F189" s="0" t="n">
        <v>7.6</v>
      </c>
      <c r="G189" s="0" t="n">
        <v>4.1</v>
      </c>
      <c r="H189" s="0" t="n">
        <v>28.4</v>
      </c>
      <c r="I189" s="0" t="n">
        <v>4239566.1</v>
      </c>
      <c r="J189" s="0" t="n">
        <v>368319.6</v>
      </c>
    </row>
    <row r="190" customFormat="false" ht="13.8" hidden="false" customHeight="false" outlineLevel="0" collapsed="false">
      <c r="A190" s="0" t="s">
        <v>499</v>
      </c>
      <c r="B190" s="0" t="s">
        <v>497</v>
      </c>
      <c r="C190" s="0" t="n">
        <v>2018</v>
      </c>
      <c r="D190" s="0" t="n">
        <v>12251</v>
      </c>
      <c r="E190" s="0" t="n">
        <v>322.2</v>
      </c>
      <c r="F190" s="0" t="n">
        <v>7.2</v>
      </c>
      <c r="G190" s="0" t="n">
        <v>4</v>
      </c>
      <c r="H190" s="0" t="n">
        <v>29.5</v>
      </c>
      <c r="I190" s="0" t="n">
        <v>3947272.2</v>
      </c>
      <c r="J190" s="0" t="n">
        <v>361404.5</v>
      </c>
    </row>
    <row r="191" customFormat="false" ht="13.8" hidden="false" customHeight="false" outlineLevel="0" collapsed="false">
      <c r="A191" s="0" t="s">
        <v>499</v>
      </c>
      <c r="B191" s="0" t="s">
        <v>497</v>
      </c>
      <c r="C191" s="0" t="n">
        <v>2019</v>
      </c>
      <c r="D191" s="0" t="n">
        <v>11456</v>
      </c>
      <c r="E191" s="0" t="n">
        <v>323.8</v>
      </c>
      <c r="F191" s="0" t="n">
        <v>7.1</v>
      </c>
      <c r="G191" s="0" t="n">
        <v>4</v>
      </c>
      <c r="H191" s="0" t="n">
        <v>31.5</v>
      </c>
      <c r="I191" s="0" t="n">
        <v>3709452.8</v>
      </c>
      <c r="J191" s="0" t="n">
        <v>360864</v>
      </c>
    </row>
    <row r="192" customFormat="false" ht="13.8" hidden="false" customHeight="false" outlineLevel="0" collapsed="false">
      <c r="A192" s="0" t="s">
        <v>499</v>
      </c>
      <c r="B192" s="0" t="s">
        <v>497</v>
      </c>
      <c r="C192" s="0" t="n">
        <v>2020</v>
      </c>
      <c r="D192" s="0" t="n">
        <v>11044</v>
      </c>
      <c r="E192" s="0" t="n">
        <v>329.5</v>
      </c>
      <c r="F192" s="0" t="n">
        <v>7.2</v>
      </c>
      <c r="G192" s="0" t="n">
        <v>4.1</v>
      </c>
      <c r="H192" s="0" t="n">
        <v>31.6</v>
      </c>
      <c r="I192" s="0" t="n">
        <v>3638998</v>
      </c>
      <c r="J192" s="0" t="n">
        <v>348990.4</v>
      </c>
    </row>
    <row r="193" customFormat="false" ht="13.8" hidden="false" customHeight="false" outlineLevel="0" collapsed="false">
      <c r="A193" s="0" t="s">
        <v>499</v>
      </c>
      <c r="B193" s="0" t="s">
        <v>497</v>
      </c>
      <c r="C193" s="0" t="n">
        <v>2021</v>
      </c>
      <c r="D193" s="0" t="n">
        <v>10036</v>
      </c>
      <c r="E193" s="0" t="n">
        <v>332.4</v>
      </c>
      <c r="F193" s="0" t="n">
        <v>7.2</v>
      </c>
      <c r="G193" s="0" t="n">
        <v>4.1</v>
      </c>
      <c r="H193" s="0" t="n">
        <v>32.4</v>
      </c>
      <c r="I193" s="0" t="n">
        <v>3335966.4</v>
      </c>
      <c r="J193" s="0" t="n">
        <v>325166.4</v>
      </c>
    </row>
    <row r="194" customFormat="false" ht="13.8" hidden="false" customHeight="false" outlineLevel="0" collapsed="false">
      <c r="A194" s="0" t="s">
        <v>499</v>
      </c>
      <c r="B194" s="0" t="s">
        <v>502</v>
      </c>
      <c r="C194" s="0" t="n">
        <v>2016</v>
      </c>
      <c r="D194" s="0" t="n">
        <v>1478</v>
      </c>
      <c r="E194" s="0" t="n">
        <v>334.4</v>
      </c>
      <c r="F194" s="0" t="n">
        <v>9.1</v>
      </c>
      <c r="G194" s="0" t="n">
        <v>6.5</v>
      </c>
      <c r="H194" s="0" t="n">
        <v>26.4</v>
      </c>
      <c r="I194" s="0" t="n">
        <v>494243.2</v>
      </c>
      <c r="J194" s="0" t="n">
        <v>39019.2</v>
      </c>
    </row>
    <row r="195" customFormat="false" ht="13.8" hidden="false" customHeight="false" outlineLevel="0" collapsed="false">
      <c r="A195" s="0" t="s">
        <v>499</v>
      </c>
      <c r="B195" s="0" t="s">
        <v>502</v>
      </c>
      <c r="C195" s="0" t="n">
        <v>2017</v>
      </c>
      <c r="D195" s="0" t="n">
        <v>1420</v>
      </c>
      <c r="E195" s="0" t="n">
        <v>343.6</v>
      </c>
      <c r="F195" s="0" t="n">
        <v>9.2</v>
      </c>
      <c r="G195" s="0" t="n">
        <v>6.6</v>
      </c>
      <c r="H195" s="0" t="n">
        <v>27.8</v>
      </c>
      <c r="I195" s="0" t="n">
        <v>487912</v>
      </c>
      <c r="J195" s="0" t="n">
        <v>39476</v>
      </c>
    </row>
    <row r="196" customFormat="false" ht="13.8" hidden="false" customHeight="false" outlineLevel="0" collapsed="false">
      <c r="A196" s="0" t="s">
        <v>499</v>
      </c>
      <c r="B196" s="0" t="s">
        <v>502</v>
      </c>
      <c r="C196" s="0" t="n">
        <v>2018</v>
      </c>
      <c r="D196" s="0" t="n">
        <v>1536</v>
      </c>
      <c r="E196" s="0" t="n">
        <v>330.1</v>
      </c>
      <c r="F196" s="0" t="n">
        <v>8.4</v>
      </c>
      <c r="G196" s="0" t="n">
        <v>6.4</v>
      </c>
      <c r="H196" s="0" t="n">
        <v>27.9</v>
      </c>
      <c r="I196" s="0" t="n">
        <v>507033.6</v>
      </c>
      <c r="J196" s="0" t="n">
        <v>42854.4</v>
      </c>
    </row>
    <row r="197" customFormat="false" ht="13.8" hidden="false" customHeight="false" outlineLevel="0" collapsed="false">
      <c r="A197" s="0" t="s">
        <v>499</v>
      </c>
      <c r="B197" s="0" t="s">
        <v>502</v>
      </c>
      <c r="C197" s="0" t="n">
        <v>2019</v>
      </c>
      <c r="D197" s="0" t="n">
        <v>1608</v>
      </c>
      <c r="E197" s="0" t="n">
        <v>330.2</v>
      </c>
      <c r="F197" s="0" t="n">
        <v>8.3</v>
      </c>
      <c r="G197" s="0" t="n">
        <v>6.2</v>
      </c>
      <c r="H197" s="0" t="n">
        <v>28.8</v>
      </c>
      <c r="I197" s="0" t="n">
        <v>530961.6</v>
      </c>
      <c r="J197" s="0" t="n">
        <v>46310.4</v>
      </c>
    </row>
    <row r="198" customFormat="false" ht="13.8" hidden="false" customHeight="false" outlineLevel="0" collapsed="false">
      <c r="A198" s="0" t="s">
        <v>499</v>
      </c>
      <c r="B198" s="0" t="s">
        <v>502</v>
      </c>
      <c r="C198" s="0" t="n">
        <v>2020</v>
      </c>
      <c r="D198" s="0" t="n">
        <v>1848</v>
      </c>
      <c r="E198" s="0" t="n">
        <v>328</v>
      </c>
      <c r="F198" s="0" t="n">
        <v>8.2</v>
      </c>
      <c r="G198" s="0" t="n">
        <v>6.2</v>
      </c>
      <c r="H198" s="0" t="n">
        <v>28.6</v>
      </c>
      <c r="I198" s="0" t="n">
        <v>606144</v>
      </c>
      <c r="J198" s="0" t="n">
        <v>52852.8</v>
      </c>
    </row>
    <row r="199" customFormat="false" ht="13.8" hidden="false" customHeight="false" outlineLevel="0" collapsed="false">
      <c r="A199" s="0" t="s">
        <v>499</v>
      </c>
      <c r="B199" s="0" t="s">
        <v>502</v>
      </c>
      <c r="C199" s="0" t="n">
        <v>2021</v>
      </c>
      <c r="D199" s="0" t="n">
        <v>1857</v>
      </c>
      <c r="E199" s="0" t="n">
        <v>335.7</v>
      </c>
      <c r="F199" s="0" t="n">
        <v>8.4</v>
      </c>
      <c r="G199" s="0" t="n">
        <v>6.4</v>
      </c>
      <c r="H199" s="0" t="n">
        <v>28.7</v>
      </c>
      <c r="I199" s="0" t="n">
        <v>623394.9</v>
      </c>
      <c r="J199" s="0" t="n">
        <v>53295.9</v>
      </c>
    </row>
    <row r="200" customFormat="false" ht="13.8" hidden="false" customHeight="false" outlineLevel="0" collapsed="false">
      <c r="A200" s="0" t="s">
        <v>499</v>
      </c>
      <c r="B200" s="0" t="s">
        <v>505</v>
      </c>
      <c r="C200" s="0" t="n">
        <v>2016</v>
      </c>
      <c r="D200" s="0" t="n">
        <v>293</v>
      </c>
      <c r="E200" s="0" t="n">
        <v>359.8</v>
      </c>
      <c r="F200" s="0" t="n">
        <v>7.6</v>
      </c>
      <c r="G200" s="0" t="n">
        <v>7.5</v>
      </c>
      <c r="H200" s="0" t="n">
        <v>23.9</v>
      </c>
      <c r="I200" s="0" t="n">
        <v>105421.4</v>
      </c>
      <c r="J200" s="0" t="n">
        <v>7002.7</v>
      </c>
    </row>
    <row r="201" customFormat="false" ht="13.8" hidden="false" customHeight="false" outlineLevel="0" collapsed="false">
      <c r="A201" s="0" t="s">
        <v>499</v>
      </c>
      <c r="B201" s="0" t="s">
        <v>505</v>
      </c>
      <c r="C201" s="0" t="n">
        <v>2017</v>
      </c>
      <c r="D201" s="0" t="n">
        <v>280</v>
      </c>
      <c r="E201" s="0" t="n">
        <v>360</v>
      </c>
      <c r="F201" s="0" t="n">
        <v>7.5</v>
      </c>
      <c r="G201" s="0" t="n">
        <v>7.4</v>
      </c>
      <c r="H201" s="0" t="n">
        <v>29.4</v>
      </c>
      <c r="I201" s="0" t="n">
        <v>100800</v>
      </c>
      <c r="J201" s="0" t="n">
        <v>8232</v>
      </c>
    </row>
    <row r="202" customFormat="false" ht="13.8" hidden="false" customHeight="false" outlineLevel="0" collapsed="false">
      <c r="A202" s="0" t="s">
        <v>499</v>
      </c>
      <c r="B202" s="0" t="s">
        <v>505</v>
      </c>
      <c r="C202" s="0" t="n">
        <v>2018</v>
      </c>
      <c r="D202" s="0" t="n">
        <v>211</v>
      </c>
      <c r="E202" s="0" t="n">
        <v>372.1</v>
      </c>
      <c r="F202" s="0" t="n">
        <v>7.3</v>
      </c>
      <c r="G202" s="0" t="n">
        <v>7.3</v>
      </c>
      <c r="H202" s="0" t="n">
        <v>25.3</v>
      </c>
      <c r="I202" s="0" t="n">
        <v>78513.1</v>
      </c>
      <c r="J202" s="0" t="n">
        <v>5338.3</v>
      </c>
    </row>
    <row r="203" customFormat="false" ht="13.8" hidden="false" customHeight="false" outlineLevel="0" collapsed="false">
      <c r="A203" s="0" t="s">
        <v>499</v>
      </c>
      <c r="B203" s="0" t="s">
        <v>505</v>
      </c>
      <c r="C203" s="0" t="n">
        <v>2019</v>
      </c>
      <c r="D203" s="0" t="n">
        <v>223</v>
      </c>
      <c r="E203" s="0" t="n">
        <v>357.2</v>
      </c>
      <c r="F203" s="0" t="n">
        <v>7.3</v>
      </c>
      <c r="G203" s="0" t="n">
        <v>6.9</v>
      </c>
      <c r="H203" s="0" t="n">
        <v>26.5</v>
      </c>
      <c r="I203" s="0" t="n">
        <v>79655.6</v>
      </c>
      <c r="J203" s="0" t="n">
        <v>5909.5</v>
      </c>
    </row>
    <row r="204" customFormat="false" ht="13.8" hidden="false" customHeight="false" outlineLevel="0" collapsed="false">
      <c r="A204" s="0" t="s">
        <v>499</v>
      </c>
      <c r="B204" s="0" t="s">
        <v>505</v>
      </c>
      <c r="C204" s="0" t="n">
        <v>2020</v>
      </c>
      <c r="D204" s="0" t="n">
        <v>224</v>
      </c>
      <c r="E204" s="0" t="n">
        <v>358.9</v>
      </c>
      <c r="F204" s="0" t="n">
        <v>6.8</v>
      </c>
      <c r="G204" s="0" t="n">
        <v>7</v>
      </c>
      <c r="H204" s="0" t="n">
        <v>26.5</v>
      </c>
      <c r="I204" s="0" t="n">
        <v>80393.6</v>
      </c>
      <c r="J204" s="0" t="n">
        <v>5936</v>
      </c>
    </row>
    <row r="205" customFormat="false" ht="13.8" hidden="false" customHeight="false" outlineLevel="0" collapsed="false">
      <c r="A205" s="0" t="s">
        <v>499</v>
      </c>
      <c r="B205" s="0" t="s">
        <v>505</v>
      </c>
      <c r="C205" s="0" t="n">
        <v>2021</v>
      </c>
      <c r="D205" s="0" t="n">
        <v>213</v>
      </c>
      <c r="E205" s="0" t="n">
        <v>353.4</v>
      </c>
      <c r="F205" s="0" t="n">
        <v>6.9</v>
      </c>
      <c r="G205" s="0" t="n">
        <v>6.9</v>
      </c>
      <c r="H205" s="0" t="n">
        <v>25.2</v>
      </c>
      <c r="I205" s="0" t="n">
        <v>75274.2</v>
      </c>
      <c r="J205" s="0" t="n">
        <v>5367.6</v>
      </c>
    </row>
    <row r="206" customFormat="false" ht="13.8" hidden="false" customHeight="false" outlineLevel="0" collapsed="false">
      <c r="A206" s="0" t="s">
        <v>499</v>
      </c>
      <c r="B206" s="0" t="s">
        <v>506</v>
      </c>
      <c r="C206" s="0" t="n">
        <v>2016</v>
      </c>
      <c r="D206" s="0" t="n">
        <v>436</v>
      </c>
      <c r="E206" s="0" t="n">
        <v>334.1</v>
      </c>
      <c r="F206" s="0" t="n">
        <v>9.4</v>
      </c>
      <c r="G206" s="0" t="n">
        <v>6.6</v>
      </c>
      <c r="H206" s="0" t="n">
        <v>26</v>
      </c>
      <c r="I206" s="0" t="n">
        <v>145667.6</v>
      </c>
      <c r="J206" s="0" t="n">
        <v>11336</v>
      </c>
    </row>
    <row r="207" customFormat="false" ht="13.8" hidden="false" customHeight="false" outlineLevel="0" collapsed="false">
      <c r="A207" s="0" t="s">
        <v>499</v>
      </c>
      <c r="B207" s="0" t="s">
        <v>506</v>
      </c>
      <c r="C207" s="0" t="n">
        <v>2017</v>
      </c>
      <c r="D207" s="0" t="n">
        <v>518</v>
      </c>
      <c r="E207" s="0" t="n">
        <v>344.4</v>
      </c>
      <c r="F207" s="0" t="n">
        <v>9.3</v>
      </c>
      <c r="G207" s="0" t="n">
        <v>6.7</v>
      </c>
      <c r="H207" s="0" t="n">
        <v>27.2</v>
      </c>
      <c r="I207" s="0" t="n">
        <v>178399.2</v>
      </c>
      <c r="J207" s="0" t="n">
        <v>14089.6</v>
      </c>
    </row>
    <row r="208" customFormat="false" ht="13.8" hidden="false" customHeight="false" outlineLevel="0" collapsed="false">
      <c r="A208" s="0" t="s">
        <v>499</v>
      </c>
      <c r="B208" s="0" t="s">
        <v>506</v>
      </c>
      <c r="C208" s="0" t="n">
        <v>2018</v>
      </c>
      <c r="D208" s="0" t="n">
        <v>651</v>
      </c>
      <c r="E208" s="0" t="n">
        <v>334.2</v>
      </c>
      <c r="F208" s="0" t="n">
        <v>8.9</v>
      </c>
      <c r="G208" s="0" t="n">
        <v>6.5</v>
      </c>
      <c r="H208" s="0" t="n">
        <v>27.4</v>
      </c>
      <c r="I208" s="0" t="n">
        <v>217564.2</v>
      </c>
      <c r="J208" s="0" t="n">
        <v>17837.4</v>
      </c>
    </row>
    <row r="209" customFormat="false" ht="13.8" hidden="false" customHeight="false" outlineLevel="0" collapsed="false">
      <c r="A209" s="0" t="s">
        <v>499</v>
      </c>
      <c r="B209" s="0" t="s">
        <v>506</v>
      </c>
      <c r="C209" s="0" t="n">
        <v>2019</v>
      </c>
      <c r="D209" s="0" t="n">
        <v>659</v>
      </c>
      <c r="E209" s="0" t="n">
        <v>333.2</v>
      </c>
      <c r="F209" s="0" t="n">
        <v>8.6</v>
      </c>
      <c r="G209" s="0" t="n">
        <v>6.4</v>
      </c>
      <c r="H209" s="0" t="n">
        <v>28.1</v>
      </c>
      <c r="I209" s="0" t="n">
        <v>219578.8</v>
      </c>
      <c r="J209" s="0" t="n">
        <v>18517.9</v>
      </c>
    </row>
    <row r="210" customFormat="false" ht="13.8" hidden="false" customHeight="false" outlineLevel="0" collapsed="false">
      <c r="A210" s="0" t="s">
        <v>499</v>
      </c>
      <c r="B210" s="0" t="s">
        <v>506</v>
      </c>
      <c r="C210" s="0" t="n">
        <v>2020</v>
      </c>
      <c r="D210" s="0" t="n">
        <v>786</v>
      </c>
      <c r="E210" s="0" t="n">
        <v>334.4</v>
      </c>
      <c r="F210" s="0" t="n">
        <v>8.4</v>
      </c>
      <c r="G210" s="0" t="n">
        <v>6.5</v>
      </c>
      <c r="H210" s="0" t="n">
        <v>33.4</v>
      </c>
      <c r="I210" s="0" t="n">
        <v>262838.4</v>
      </c>
      <c r="J210" s="0" t="n">
        <v>26252.4</v>
      </c>
    </row>
    <row r="211" customFormat="false" ht="13.8" hidden="false" customHeight="false" outlineLevel="0" collapsed="false">
      <c r="A211" s="0" t="s">
        <v>499</v>
      </c>
      <c r="B211" s="0" t="s">
        <v>506</v>
      </c>
      <c r="C211" s="0" t="n">
        <v>2021</v>
      </c>
      <c r="D211" s="0" t="n">
        <v>820</v>
      </c>
      <c r="E211" s="0" t="n">
        <v>340.2</v>
      </c>
      <c r="F211" s="0" t="n">
        <v>8.6</v>
      </c>
      <c r="G211" s="0" t="n">
        <v>6.7</v>
      </c>
      <c r="H211" s="0" t="n">
        <v>32.6</v>
      </c>
      <c r="I211" s="0" t="n">
        <v>278964</v>
      </c>
      <c r="J211" s="0" t="n">
        <v>26732</v>
      </c>
    </row>
    <row r="212" customFormat="false" ht="13.8" hidden="false" customHeight="false" outlineLevel="0" collapsed="false">
      <c r="A212" s="0" t="s">
        <v>499</v>
      </c>
      <c r="B212" s="0" t="s">
        <v>508</v>
      </c>
      <c r="C212" s="0" t="n">
        <v>2016</v>
      </c>
      <c r="D212" s="0" t="n">
        <v>79</v>
      </c>
      <c r="E212" s="0" t="n">
        <v>332.2</v>
      </c>
      <c r="F212" s="0" t="n">
        <v>7.6</v>
      </c>
      <c r="G212" s="0" t="n">
        <v>7.7</v>
      </c>
      <c r="H212" s="0" t="n">
        <v>22.8</v>
      </c>
      <c r="I212" s="0" t="n">
        <v>26243.8</v>
      </c>
      <c r="J212" s="0" t="n">
        <v>1801.2</v>
      </c>
    </row>
    <row r="213" customFormat="false" ht="13.8" hidden="false" customHeight="false" outlineLevel="0" collapsed="false">
      <c r="A213" s="0" t="s">
        <v>499</v>
      </c>
      <c r="B213" s="0" t="s">
        <v>508</v>
      </c>
      <c r="C213" s="0" t="n">
        <v>2017</v>
      </c>
      <c r="D213" s="0" t="n">
        <v>116</v>
      </c>
      <c r="E213" s="0" t="n">
        <v>355.4</v>
      </c>
      <c r="F213" s="0" t="n">
        <v>8</v>
      </c>
      <c r="G213" s="0" t="n">
        <v>8</v>
      </c>
      <c r="H213" s="0" t="n">
        <v>23.5</v>
      </c>
      <c r="I213" s="0" t="n">
        <v>41226.4</v>
      </c>
      <c r="J213" s="0" t="n">
        <v>2726</v>
      </c>
    </row>
    <row r="214" customFormat="false" ht="13.8" hidden="false" customHeight="false" outlineLevel="0" collapsed="false">
      <c r="A214" s="0" t="s">
        <v>499</v>
      </c>
      <c r="B214" s="0" t="s">
        <v>508</v>
      </c>
      <c r="C214" s="0" t="n">
        <v>2018</v>
      </c>
      <c r="D214" s="0" t="n">
        <v>93</v>
      </c>
      <c r="E214" s="0" t="n">
        <v>338.5</v>
      </c>
      <c r="F214" s="0" t="n">
        <v>7.8</v>
      </c>
      <c r="G214" s="0" t="n">
        <v>7</v>
      </c>
      <c r="H214" s="0" t="n">
        <v>24.6</v>
      </c>
      <c r="I214" s="0" t="n">
        <v>31480.5</v>
      </c>
      <c r="J214" s="0" t="n">
        <v>2287.8</v>
      </c>
    </row>
    <row r="215" customFormat="false" ht="13.8" hidden="false" customHeight="false" outlineLevel="0" collapsed="false">
      <c r="A215" s="0" t="s">
        <v>499</v>
      </c>
      <c r="B215" s="0" t="s">
        <v>508</v>
      </c>
      <c r="C215" s="0" t="n">
        <v>2019</v>
      </c>
      <c r="D215" s="0" t="n">
        <v>136</v>
      </c>
      <c r="E215" s="0" t="n">
        <v>351.3</v>
      </c>
      <c r="F215" s="0" t="n">
        <v>8.1</v>
      </c>
      <c r="G215" s="0" t="n">
        <v>6.7</v>
      </c>
      <c r="H215" s="0" t="n">
        <v>25.9</v>
      </c>
      <c r="I215" s="0" t="n">
        <v>47776.8</v>
      </c>
      <c r="J215" s="0" t="n">
        <v>3522.4</v>
      </c>
    </row>
    <row r="216" customFormat="false" ht="13.8" hidden="false" customHeight="false" outlineLevel="0" collapsed="false">
      <c r="A216" s="0" t="s">
        <v>499</v>
      </c>
      <c r="B216" s="0" t="s">
        <v>508</v>
      </c>
      <c r="C216" s="0" t="n">
        <v>2020</v>
      </c>
      <c r="D216" s="0" t="n">
        <v>183</v>
      </c>
      <c r="E216" s="0" t="n">
        <v>345.4</v>
      </c>
      <c r="F216" s="0" t="n">
        <v>7.8</v>
      </c>
      <c r="G216" s="0" t="n">
        <v>6.8</v>
      </c>
      <c r="H216" s="0" t="n">
        <v>25.7</v>
      </c>
      <c r="I216" s="0" t="n">
        <v>63208.2</v>
      </c>
      <c r="J216" s="0" t="n">
        <v>4703.1</v>
      </c>
    </row>
    <row r="217" customFormat="false" ht="13.8" hidden="false" customHeight="false" outlineLevel="0" collapsed="false">
      <c r="A217" s="0" t="s">
        <v>499</v>
      </c>
      <c r="B217" s="0" t="s">
        <v>508</v>
      </c>
      <c r="C217" s="0" t="n">
        <v>2021</v>
      </c>
      <c r="D217" s="0" t="n">
        <v>185</v>
      </c>
      <c r="E217" s="0" t="n">
        <v>352</v>
      </c>
      <c r="F217" s="0" t="n">
        <v>7.6</v>
      </c>
      <c r="G217" s="0" t="n">
        <v>7.2</v>
      </c>
      <c r="H217" s="0" t="n">
        <v>26.3</v>
      </c>
      <c r="I217" s="0" t="n">
        <v>65120</v>
      </c>
      <c r="J217" s="0" t="n">
        <v>4865.5</v>
      </c>
    </row>
    <row r="218" customFormat="false" ht="13.8" hidden="false" customHeight="false" outlineLevel="0" collapsed="false">
      <c r="A218" s="0" t="s">
        <v>499</v>
      </c>
      <c r="B218" s="0" t="s">
        <v>509</v>
      </c>
      <c r="C218" s="0" t="n">
        <v>2016</v>
      </c>
      <c r="D218" s="0" t="n">
        <v>318</v>
      </c>
      <c r="E218" s="0" t="n">
        <v>345.7</v>
      </c>
      <c r="F218" s="0" t="n">
        <v>7.8</v>
      </c>
      <c r="G218" s="0" t="n">
        <v>6.8</v>
      </c>
      <c r="H218" s="0" t="n">
        <v>25.1</v>
      </c>
      <c r="I218" s="0" t="n">
        <v>109932.6</v>
      </c>
      <c r="J218" s="0" t="n">
        <v>7981.8</v>
      </c>
    </row>
    <row r="219" customFormat="false" ht="13.8" hidden="false" customHeight="false" outlineLevel="0" collapsed="false">
      <c r="A219" s="0" t="s">
        <v>499</v>
      </c>
      <c r="B219" s="0" t="s">
        <v>509</v>
      </c>
      <c r="C219" s="0" t="n">
        <v>2017</v>
      </c>
      <c r="D219" s="0" t="n">
        <v>408</v>
      </c>
      <c r="E219" s="0" t="n">
        <v>353.3</v>
      </c>
      <c r="F219" s="0" t="n">
        <v>7.7</v>
      </c>
      <c r="G219" s="0" t="n">
        <v>6.9</v>
      </c>
      <c r="H219" s="0" t="n">
        <v>25.1</v>
      </c>
      <c r="I219" s="0" t="n">
        <v>144146.4</v>
      </c>
      <c r="J219" s="0" t="n">
        <v>10240.8</v>
      </c>
    </row>
    <row r="220" customFormat="false" ht="13.8" hidden="false" customHeight="false" outlineLevel="0" collapsed="false">
      <c r="A220" s="0" t="s">
        <v>499</v>
      </c>
      <c r="B220" s="0" t="s">
        <v>509</v>
      </c>
      <c r="C220" s="0" t="n">
        <v>2018</v>
      </c>
      <c r="D220" s="0" t="n">
        <v>353</v>
      </c>
      <c r="E220" s="0" t="n">
        <v>340.4</v>
      </c>
      <c r="F220" s="0" t="n">
        <v>7.1</v>
      </c>
      <c r="G220" s="0" t="n">
        <v>6.5</v>
      </c>
      <c r="H220" s="0" t="n">
        <v>25</v>
      </c>
      <c r="I220" s="0" t="n">
        <v>120161.2</v>
      </c>
      <c r="J220" s="0" t="n">
        <v>8825</v>
      </c>
    </row>
    <row r="221" customFormat="false" ht="13.8" hidden="false" customHeight="false" outlineLevel="0" collapsed="false">
      <c r="A221" s="0" t="s">
        <v>499</v>
      </c>
      <c r="B221" s="0" t="s">
        <v>509</v>
      </c>
      <c r="C221" s="0" t="n">
        <v>2019</v>
      </c>
      <c r="D221" s="0" t="n">
        <v>387</v>
      </c>
      <c r="E221" s="0" t="n">
        <v>337.6</v>
      </c>
      <c r="F221" s="0" t="n">
        <v>7.1</v>
      </c>
      <c r="G221" s="0" t="n">
        <v>6.3</v>
      </c>
      <c r="H221" s="0" t="n">
        <v>25.3</v>
      </c>
      <c r="I221" s="0" t="n">
        <v>130651.2</v>
      </c>
      <c r="J221" s="0" t="n">
        <v>9791.1</v>
      </c>
    </row>
    <row r="222" customFormat="false" ht="13.8" hidden="false" customHeight="false" outlineLevel="0" collapsed="false">
      <c r="A222" s="0" t="s">
        <v>499</v>
      </c>
      <c r="B222" s="0" t="s">
        <v>509</v>
      </c>
      <c r="C222" s="0" t="n">
        <v>2020</v>
      </c>
      <c r="D222" s="0" t="n">
        <v>410</v>
      </c>
      <c r="E222" s="0" t="n">
        <v>343.7</v>
      </c>
      <c r="F222" s="0" t="n">
        <v>7.2</v>
      </c>
      <c r="G222" s="0" t="n">
        <v>6.4</v>
      </c>
      <c r="H222" s="0" t="n">
        <v>27</v>
      </c>
      <c r="I222" s="0" t="n">
        <v>140917</v>
      </c>
      <c r="J222" s="0" t="n">
        <v>11070</v>
      </c>
    </row>
    <row r="223" customFormat="false" ht="13.8" hidden="false" customHeight="false" outlineLevel="0" collapsed="false">
      <c r="A223" s="0" t="s">
        <v>499</v>
      </c>
      <c r="B223" s="0" t="s">
        <v>509</v>
      </c>
      <c r="C223" s="0" t="n">
        <v>2021</v>
      </c>
      <c r="D223" s="0" t="n">
        <v>405</v>
      </c>
      <c r="E223" s="0" t="n">
        <v>356.7</v>
      </c>
      <c r="F223" s="0" t="n">
        <v>7.3</v>
      </c>
      <c r="G223" s="0" t="n">
        <v>6.7</v>
      </c>
      <c r="H223" s="0" t="n">
        <v>26.8</v>
      </c>
      <c r="I223" s="0" t="n">
        <v>144463.5</v>
      </c>
      <c r="J223" s="0" t="n">
        <v>10854</v>
      </c>
    </row>
    <row r="224" customFormat="false" ht="13.8" hidden="false" customHeight="false" outlineLevel="0" collapsed="false">
      <c r="A224" s="0" t="s">
        <v>499</v>
      </c>
      <c r="B224" s="0" t="s">
        <v>511</v>
      </c>
      <c r="C224" s="0" t="n">
        <v>2016</v>
      </c>
      <c r="D224" s="0" t="n">
        <v>179</v>
      </c>
      <c r="E224" s="0" t="n">
        <v>256.1</v>
      </c>
      <c r="F224" s="0" t="n">
        <v>7.9</v>
      </c>
      <c r="G224" s="0" t="n">
        <v>5.2</v>
      </c>
      <c r="H224" s="0" t="n">
        <v>40.1</v>
      </c>
      <c r="I224" s="0" t="n">
        <v>45841.9</v>
      </c>
      <c r="J224" s="0" t="n">
        <v>7177.9</v>
      </c>
    </row>
    <row r="225" customFormat="false" ht="13.8" hidden="false" customHeight="false" outlineLevel="0" collapsed="false">
      <c r="A225" s="0" t="s">
        <v>499</v>
      </c>
      <c r="B225" s="0" t="s">
        <v>511</v>
      </c>
      <c r="C225" s="0" t="n">
        <v>2017</v>
      </c>
      <c r="D225" s="0" t="n">
        <v>148</v>
      </c>
      <c r="E225" s="0" t="n">
        <v>229.3</v>
      </c>
      <c r="F225" s="0" t="n">
        <v>6.8</v>
      </c>
      <c r="G225" s="0" t="n">
        <v>4.5</v>
      </c>
      <c r="H225" s="0" t="n">
        <v>49</v>
      </c>
      <c r="I225" s="0" t="n">
        <v>33936.4</v>
      </c>
      <c r="J225" s="0" t="n">
        <v>7252</v>
      </c>
    </row>
    <row r="226" customFormat="false" ht="13.8" hidden="false" customHeight="false" outlineLevel="0" collapsed="false">
      <c r="A226" s="0" t="s">
        <v>499</v>
      </c>
      <c r="B226" s="0" t="s">
        <v>511</v>
      </c>
      <c r="C226" s="0" t="n">
        <v>2018</v>
      </c>
      <c r="D226" s="0" t="n">
        <v>164</v>
      </c>
      <c r="E226" s="0" t="n">
        <v>230.8</v>
      </c>
      <c r="F226" s="0" t="n">
        <v>6.8</v>
      </c>
      <c r="G226" s="0" t="n">
        <v>4.5</v>
      </c>
      <c r="H226" s="0" t="n">
        <v>40.3</v>
      </c>
      <c r="I226" s="0" t="n">
        <v>37851.2</v>
      </c>
      <c r="J226" s="0" t="n">
        <v>6609.2</v>
      </c>
    </row>
    <row r="227" customFormat="false" ht="13.8" hidden="false" customHeight="false" outlineLevel="0" collapsed="false">
      <c r="A227" s="0" t="s">
        <v>499</v>
      </c>
      <c r="B227" s="0" t="s">
        <v>511</v>
      </c>
      <c r="C227" s="0" t="n">
        <v>2019</v>
      </c>
      <c r="D227" s="0" t="n">
        <v>143</v>
      </c>
      <c r="E227" s="0" t="n">
        <v>245.2</v>
      </c>
      <c r="F227" s="0" t="n">
        <v>6.7</v>
      </c>
      <c r="G227" s="0" t="n">
        <v>4.5</v>
      </c>
      <c r="H227" s="0" t="n">
        <v>47</v>
      </c>
      <c r="I227" s="0" t="n">
        <v>35063.6</v>
      </c>
      <c r="J227" s="0" t="n">
        <v>6721</v>
      </c>
    </row>
    <row r="228" customFormat="false" ht="13.8" hidden="false" customHeight="false" outlineLevel="0" collapsed="false">
      <c r="A228" s="0" t="s">
        <v>499</v>
      </c>
      <c r="B228" s="0" t="s">
        <v>511</v>
      </c>
      <c r="C228" s="0" t="n">
        <v>2020</v>
      </c>
      <c r="D228" s="0" t="n">
        <v>92</v>
      </c>
      <c r="E228" s="0" t="n">
        <v>246.3</v>
      </c>
      <c r="F228" s="0" t="n">
        <v>6.9</v>
      </c>
      <c r="G228" s="0" t="n">
        <v>5.1</v>
      </c>
      <c r="H228" s="0" t="n">
        <v>36.4</v>
      </c>
      <c r="I228" s="0" t="n">
        <v>22659.6</v>
      </c>
      <c r="J228" s="0" t="n">
        <v>3348.8</v>
      </c>
    </row>
    <row r="229" customFormat="false" ht="13.8" hidden="false" customHeight="false" outlineLevel="0" collapsed="false">
      <c r="A229" s="0" t="s">
        <v>499</v>
      </c>
      <c r="B229" s="0" t="s">
        <v>511</v>
      </c>
      <c r="C229" s="0" t="n">
        <v>2021</v>
      </c>
      <c r="D229" s="0" t="n">
        <v>97</v>
      </c>
      <c r="E229" s="0" t="n">
        <v>238.7</v>
      </c>
      <c r="F229" s="0" t="n">
        <v>6.6</v>
      </c>
      <c r="G229" s="0" t="n">
        <v>4.9</v>
      </c>
      <c r="H229" s="0" t="n">
        <v>35.8</v>
      </c>
      <c r="I229" s="0" t="n">
        <v>23153.9</v>
      </c>
      <c r="J229" s="0" t="n">
        <v>3472.6</v>
      </c>
    </row>
    <row r="230" customFormat="false" ht="13.8" hidden="false" customHeight="false" outlineLevel="0" collapsed="false">
      <c r="A230" s="0" t="s">
        <v>499</v>
      </c>
      <c r="B230" s="0" t="s">
        <v>512</v>
      </c>
      <c r="C230" s="0" t="n">
        <v>2016</v>
      </c>
      <c r="D230" s="0" t="n">
        <v>6</v>
      </c>
      <c r="E230" s="0" t="n">
        <v>323.2</v>
      </c>
      <c r="F230" s="0" t="n">
        <v>7</v>
      </c>
      <c r="G230" s="0" t="n">
        <v>6</v>
      </c>
      <c r="H230" s="0" t="n">
        <v>25</v>
      </c>
      <c r="I230" s="0" t="n">
        <v>1939.2</v>
      </c>
      <c r="J230" s="0" t="n">
        <v>150</v>
      </c>
    </row>
    <row r="231" customFormat="false" ht="13.8" hidden="false" customHeight="false" outlineLevel="0" collapsed="false">
      <c r="A231" s="0" t="s">
        <v>499</v>
      </c>
      <c r="B231" s="0" t="s">
        <v>512</v>
      </c>
      <c r="C231" s="0" t="n">
        <v>2017</v>
      </c>
      <c r="D231" s="0" t="n">
        <v>18</v>
      </c>
      <c r="E231" s="0" t="n">
        <v>341</v>
      </c>
      <c r="F231" s="0" t="n">
        <v>8.2</v>
      </c>
      <c r="G231" s="0" t="n">
        <v>5.7</v>
      </c>
      <c r="H231" s="0" t="n">
        <v>32.5</v>
      </c>
      <c r="I231" s="0" t="n">
        <v>6138</v>
      </c>
      <c r="J231" s="0" t="n">
        <v>585</v>
      </c>
    </row>
    <row r="232" customFormat="false" ht="13.8" hidden="false" customHeight="false" outlineLevel="0" collapsed="false">
      <c r="A232" s="0" t="s">
        <v>499</v>
      </c>
      <c r="B232" s="0" t="s">
        <v>512</v>
      </c>
      <c r="C232" s="0" t="n">
        <v>2018</v>
      </c>
      <c r="D232" s="0" t="n">
        <v>12</v>
      </c>
      <c r="E232" s="0" t="n">
        <v>351.8</v>
      </c>
      <c r="F232" s="0" t="n">
        <v>7.8</v>
      </c>
      <c r="G232" s="0" t="n">
        <v>6.8</v>
      </c>
      <c r="H232" s="0" t="n">
        <v>32.4</v>
      </c>
      <c r="I232" s="0" t="n">
        <v>4221.6</v>
      </c>
      <c r="J232" s="0" t="n">
        <v>388.8</v>
      </c>
    </row>
    <row r="233" customFormat="false" ht="13.8" hidden="false" customHeight="false" outlineLevel="0" collapsed="false">
      <c r="A233" s="0" t="s">
        <v>499</v>
      </c>
      <c r="B233" s="0" t="s">
        <v>512</v>
      </c>
      <c r="C233" s="0" t="n">
        <v>2019</v>
      </c>
      <c r="D233" s="0" t="n">
        <v>14</v>
      </c>
      <c r="E233" s="0" t="n">
        <v>319.9</v>
      </c>
      <c r="F233" s="0" t="n">
        <v>7.1</v>
      </c>
      <c r="G233" s="0" t="n">
        <v>6.4</v>
      </c>
      <c r="H233" s="0" t="n">
        <v>22.7</v>
      </c>
      <c r="I233" s="0" t="n">
        <v>4478.6</v>
      </c>
      <c r="J233" s="0" t="n">
        <v>317.8</v>
      </c>
    </row>
    <row r="234" customFormat="false" ht="13.8" hidden="false" customHeight="false" outlineLevel="0" collapsed="false">
      <c r="A234" s="0" t="s">
        <v>499</v>
      </c>
      <c r="B234" s="0" t="s">
        <v>512</v>
      </c>
      <c r="C234" s="0" t="n">
        <v>2020</v>
      </c>
      <c r="D234" s="0" t="n">
        <v>21</v>
      </c>
      <c r="E234" s="0" t="n">
        <v>333.7</v>
      </c>
      <c r="F234" s="0" t="n">
        <v>7</v>
      </c>
      <c r="G234" s="0" t="n">
        <v>5.9</v>
      </c>
      <c r="H234" s="0" t="n">
        <v>26.4</v>
      </c>
      <c r="I234" s="0" t="n">
        <v>7007.7</v>
      </c>
      <c r="J234" s="0" t="n">
        <v>554.4</v>
      </c>
    </row>
    <row r="235" customFormat="false" ht="13.8" hidden="false" customHeight="false" outlineLevel="0" collapsed="false">
      <c r="A235" s="0" t="s">
        <v>499</v>
      </c>
      <c r="B235" s="0" t="s">
        <v>512</v>
      </c>
      <c r="C235" s="0" t="n">
        <v>2021</v>
      </c>
      <c r="D235" s="0" t="n">
        <v>31</v>
      </c>
      <c r="E235" s="0" t="n">
        <v>342.8</v>
      </c>
      <c r="F235" s="0" t="n">
        <v>7.6</v>
      </c>
      <c r="G235" s="0" t="n">
        <v>6.6</v>
      </c>
      <c r="H235" s="0" t="n">
        <v>30.9</v>
      </c>
      <c r="I235" s="0" t="n">
        <v>10626.8</v>
      </c>
      <c r="J235" s="0" t="n">
        <v>957.9</v>
      </c>
    </row>
    <row r="236" customFormat="false" ht="13.8" hidden="false" customHeight="false" outlineLevel="0" collapsed="false">
      <c r="A236" s="0" t="s">
        <v>499</v>
      </c>
      <c r="B236" s="0" t="s">
        <v>513</v>
      </c>
      <c r="C236" s="0" t="n">
        <v>2016</v>
      </c>
      <c r="D236" s="0" t="n">
        <v>6598</v>
      </c>
      <c r="E236" s="0" t="n">
        <v>338.6</v>
      </c>
      <c r="F236" s="0" t="n">
        <v>8.3</v>
      </c>
      <c r="G236" s="0" t="n">
        <v>6.2</v>
      </c>
      <c r="H236" s="0" t="n">
        <v>26.8</v>
      </c>
      <c r="I236" s="0" t="n">
        <v>2234082.8</v>
      </c>
      <c r="J236" s="0" t="n">
        <v>176826.4</v>
      </c>
    </row>
    <row r="237" customFormat="false" ht="13.8" hidden="false" customHeight="false" outlineLevel="0" collapsed="false">
      <c r="A237" s="0" t="s">
        <v>499</v>
      </c>
      <c r="B237" s="0" t="s">
        <v>513</v>
      </c>
      <c r="C237" s="0" t="n">
        <v>2017</v>
      </c>
      <c r="D237" s="0" t="n">
        <v>7805</v>
      </c>
      <c r="E237" s="0" t="n">
        <v>341.7</v>
      </c>
      <c r="F237" s="0" t="n">
        <v>8.3</v>
      </c>
      <c r="G237" s="0" t="n">
        <v>6.2</v>
      </c>
      <c r="H237" s="0" t="n">
        <v>27.7</v>
      </c>
      <c r="I237" s="0" t="n">
        <v>2666968.5</v>
      </c>
      <c r="J237" s="0" t="n">
        <v>216198.5</v>
      </c>
    </row>
    <row r="238" customFormat="false" ht="13.8" hidden="false" customHeight="false" outlineLevel="0" collapsed="false">
      <c r="A238" s="0" t="s">
        <v>499</v>
      </c>
      <c r="B238" s="0" t="s">
        <v>513</v>
      </c>
      <c r="C238" s="0" t="n">
        <v>2018</v>
      </c>
      <c r="D238" s="0" t="n">
        <v>8365</v>
      </c>
      <c r="E238" s="0" t="n">
        <v>333.1</v>
      </c>
      <c r="F238" s="0" t="n">
        <v>7.9</v>
      </c>
      <c r="G238" s="0" t="n">
        <v>6</v>
      </c>
      <c r="H238" s="0" t="n">
        <v>28.9</v>
      </c>
      <c r="I238" s="0" t="n">
        <v>2786381.5</v>
      </c>
      <c r="J238" s="0" t="n">
        <v>241748.5</v>
      </c>
    </row>
    <row r="239" customFormat="false" ht="13.8" hidden="false" customHeight="false" outlineLevel="0" collapsed="false">
      <c r="A239" s="0" t="s">
        <v>499</v>
      </c>
      <c r="B239" s="0" t="s">
        <v>513</v>
      </c>
      <c r="C239" s="0" t="n">
        <v>2019</v>
      </c>
      <c r="D239" s="0" t="n">
        <v>8272</v>
      </c>
      <c r="E239" s="0" t="n">
        <v>333.8</v>
      </c>
      <c r="F239" s="0" t="n">
        <v>7.7</v>
      </c>
      <c r="G239" s="0" t="n">
        <v>5.9</v>
      </c>
      <c r="H239" s="0" t="n">
        <v>29.2</v>
      </c>
      <c r="I239" s="0" t="n">
        <v>2761193.6</v>
      </c>
      <c r="J239" s="0" t="n">
        <v>241542.4</v>
      </c>
    </row>
    <row r="240" customFormat="false" ht="13.8" hidden="false" customHeight="false" outlineLevel="0" collapsed="false">
      <c r="A240" s="0" t="s">
        <v>499</v>
      </c>
      <c r="B240" s="0" t="s">
        <v>513</v>
      </c>
      <c r="C240" s="0" t="n">
        <v>2020</v>
      </c>
      <c r="D240" s="0" t="n">
        <v>8766</v>
      </c>
      <c r="E240" s="0" t="n">
        <v>336</v>
      </c>
      <c r="F240" s="0" t="n">
        <v>7.7</v>
      </c>
      <c r="G240" s="0" t="n">
        <v>6</v>
      </c>
      <c r="H240" s="0" t="n">
        <v>29.5</v>
      </c>
      <c r="I240" s="0" t="n">
        <v>2945376</v>
      </c>
      <c r="J240" s="0" t="n">
        <v>258597</v>
      </c>
    </row>
    <row r="241" customFormat="false" ht="13.8" hidden="false" customHeight="false" outlineLevel="0" collapsed="false">
      <c r="A241" s="0" t="s">
        <v>499</v>
      </c>
      <c r="B241" s="0" t="s">
        <v>513</v>
      </c>
      <c r="C241" s="0" t="n">
        <v>2021</v>
      </c>
      <c r="D241" s="0" t="n">
        <v>8674</v>
      </c>
      <c r="E241" s="0" t="n">
        <v>342.1</v>
      </c>
      <c r="F241" s="0" t="n">
        <v>7.8</v>
      </c>
      <c r="G241" s="0" t="n">
        <v>6.3</v>
      </c>
      <c r="H241" s="0" t="n">
        <v>29.6</v>
      </c>
      <c r="I241" s="0" t="n">
        <v>2967375.4</v>
      </c>
      <c r="J241" s="0" t="n">
        <v>256750.4</v>
      </c>
    </row>
    <row r="242" customFormat="false" ht="13.8" hidden="false" customHeight="false" outlineLevel="0" collapsed="false">
      <c r="A242" s="0" t="s">
        <v>501</v>
      </c>
      <c r="B242" s="0" t="s">
        <v>489</v>
      </c>
      <c r="C242" s="0" t="n">
        <v>2016</v>
      </c>
      <c r="D242" s="0" t="n">
        <v>24950</v>
      </c>
      <c r="E242" s="0" t="n">
        <v>326.4</v>
      </c>
      <c r="F242" s="0" t="n">
        <v>7.1</v>
      </c>
      <c r="G242" s="0" t="n">
        <v>5.4</v>
      </c>
      <c r="H242" s="0" t="n">
        <v>19.7</v>
      </c>
      <c r="I242" s="0" t="n">
        <v>8143680</v>
      </c>
      <c r="J242" s="0" t="n">
        <v>491515</v>
      </c>
    </row>
    <row r="243" customFormat="false" ht="13.8" hidden="false" customHeight="false" outlineLevel="0" collapsed="false">
      <c r="A243" s="0" t="s">
        <v>501</v>
      </c>
      <c r="B243" s="0" t="s">
        <v>489</v>
      </c>
      <c r="C243" s="0" t="n">
        <v>2017</v>
      </c>
      <c r="D243" s="0" t="n">
        <v>24916</v>
      </c>
      <c r="E243" s="0" t="n">
        <v>330.2</v>
      </c>
      <c r="F243" s="0" t="n">
        <v>7.1</v>
      </c>
      <c r="G243" s="0" t="n">
        <v>5.3</v>
      </c>
      <c r="H243" s="0" t="n">
        <v>20.3</v>
      </c>
      <c r="I243" s="0" t="n">
        <v>8227263.2</v>
      </c>
      <c r="J243" s="0" t="n">
        <v>505794.8</v>
      </c>
    </row>
    <row r="244" customFormat="false" ht="13.8" hidden="false" customHeight="false" outlineLevel="0" collapsed="false">
      <c r="A244" s="0" t="s">
        <v>501</v>
      </c>
      <c r="B244" s="0" t="s">
        <v>489</v>
      </c>
      <c r="C244" s="0" t="n">
        <v>2018</v>
      </c>
      <c r="D244" s="0" t="n">
        <v>22985</v>
      </c>
      <c r="E244" s="0" t="n">
        <v>327.6</v>
      </c>
      <c r="F244" s="0" t="n">
        <v>7</v>
      </c>
      <c r="G244" s="0" t="n">
        <v>5.3</v>
      </c>
      <c r="H244" s="0" t="n">
        <v>20.6</v>
      </c>
      <c r="I244" s="0" t="n">
        <v>7529886</v>
      </c>
      <c r="J244" s="0" t="n">
        <v>473491</v>
      </c>
    </row>
    <row r="245" customFormat="false" ht="13.8" hidden="false" customHeight="false" outlineLevel="0" collapsed="false">
      <c r="A245" s="0" t="s">
        <v>501</v>
      </c>
      <c r="B245" s="0" t="s">
        <v>489</v>
      </c>
      <c r="C245" s="0" t="n">
        <v>2019</v>
      </c>
      <c r="D245" s="0" t="n">
        <v>20980</v>
      </c>
      <c r="E245" s="0" t="n">
        <v>325.8</v>
      </c>
      <c r="F245" s="0" t="n">
        <v>6.8</v>
      </c>
      <c r="G245" s="0" t="n">
        <v>5.2</v>
      </c>
      <c r="H245" s="0" t="n">
        <v>22.2</v>
      </c>
      <c r="I245" s="0" t="n">
        <v>6835284</v>
      </c>
      <c r="J245" s="0" t="n">
        <v>465756</v>
      </c>
    </row>
    <row r="246" customFormat="false" ht="13.8" hidden="false" customHeight="false" outlineLevel="0" collapsed="false">
      <c r="A246" s="0" t="s">
        <v>501</v>
      </c>
      <c r="B246" s="0" t="s">
        <v>489</v>
      </c>
      <c r="C246" s="0" t="n">
        <v>2020</v>
      </c>
      <c r="D246" s="0" t="n">
        <v>20762</v>
      </c>
      <c r="E246" s="0" t="n">
        <v>325.9</v>
      </c>
      <c r="F246" s="0" t="n">
        <v>6.8</v>
      </c>
      <c r="G246" s="0" t="n">
        <v>5.2</v>
      </c>
      <c r="H246" s="0" t="n">
        <v>22.3</v>
      </c>
      <c r="I246" s="0" t="n">
        <v>6766335.8</v>
      </c>
      <c r="J246" s="0" t="n">
        <v>462992.6</v>
      </c>
    </row>
    <row r="247" customFormat="false" ht="13.8" hidden="false" customHeight="false" outlineLevel="0" collapsed="false">
      <c r="A247" s="0" t="s">
        <v>501</v>
      </c>
      <c r="B247" s="0" t="s">
        <v>489</v>
      </c>
      <c r="C247" s="0" t="n">
        <v>2021</v>
      </c>
      <c r="D247" s="0" t="n">
        <v>19790</v>
      </c>
      <c r="E247" s="0" t="n">
        <v>327.3</v>
      </c>
      <c r="F247" s="0" t="n">
        <v>6.5</v>
      </c>
      <c r="G247" s="0" t="n">
        <v>5.2</v>
      </c>
      <c r="H247" s="0" t="n">
        <v>23.3</v>
      </c>
      <c r="I247" s="0" t="n">
        <v>6477267</v>
      </c>
      <c r="J247" s="0" t="n">
        <v>461107</v>
      </c>
    </row>
    <row r="248" customFormat="false" ht="13.8" hidden="false" customHeight="false" outlineLevel="0" collapsed="false">
      <c r="A248" s="0" t="s">
        <v>501</v>
      </c>
      <c r="B248" s="0" t="s">
        <v>497</v>
      </c>
      <c r="C248" s="0" t="n">
        <v>2016</v>
      </c>
      <c r="D248" s="0" t="n">
        <v>47500</v>
      </c>
      <c r="E248" s="0" t="n">
        <v>323.2</v>
      </c>
      <c r="F248" s="0" t="n">
        <v>6.7</v>
      </c>
      <c r="G248" s="0" t="n">
        <v>4.6</v>
      </c>
      <c r="H248" s="0" t="n">
        <v>19.9</v>
      </c>
      <c r="I248" s="0" t="n">
        <v>15352000</v>
      </c>
      <c r="J248" s="0" t="n">
        <v>945250</v>
      </c>
    </row>
    <row r="249" customFormat="false" ht="13.8" hidden="false" customHeight="false" outlineLevel="0" collapsed="false">
      <c r="A249" s="0" t="s">
        <v>501</v>
      </c>
      <c r="B249" s="0" t="s">
        <v>497</v>
      </c>
      <c r="C249" s="0" t="n">
        <v>2017</v>
      </c>
      <c r="D249" s="0" t="n">
        <v>48665</v>
      </c>
      <c r="E249" s="0" t="n">
        <v>326.5</v>
      </c>
      <c r="F249" s="0" t="n">
        <v>6.6</v>
      </c>
      <c r="G249" s="0" t="n">
        <v>4.5</v>
      </c>
      <c r="H249" s="0" t="n">
        <v>20.6</v>
      </c>
      <c r="I249" s="0" t="n">
        <v>15889122.5</v>
      </c>
      <c r="J249" s="0" t="n">
        <v>1002499</v>
      </c>
    </row>
    <row r="250" customFormat="false" ht="13.8" hidden="false" customHeight="false" outlineLevel="0" collapsed="false">
      <c r="A250" s="0" t="s">
        <v>501</v>
      </c>
      <c r="B250" s="0" t="s">
        <v>497</v>
      </c>
      <c r="C250" s="0" t="n">
        <v>2018</v>
      </c>
      <c r="D250" s="0" t="n">
        <v>47030</v>
      </c>
      <c r="E250" s="0" t="n">
        <v>325.5</v>
      </c>
      <c r="F250" s="0" t="n">
        <v>6.6</v>
      </c>
      <c r="G250" s="0" t="n">
        <v>4.5</v>
      </c>
      <c r="H250" s="0" t="n">
        <v>21.2</v>
      </c>
      <c r="I250" s="0" t="n">
        <v>15308265</v>
      </c>
      <c r="J250" s="0" t="n">
        <v>997036</v>
      </c>
    </row>
    <row r="251" customFormat="false" ht="13.8" hidden="false" customHeight="false" outlineLevel="0" collapsed="false">
      <c r="A251" s="0" t="s">
        <v>501</v>
      </c>
      <c r="B251" s="0" t="s">
        <v>497</v>
      </c>
      <c r="C251" s="0" t="n">
        <v>2019</v>
      </c>
      <c r="D251" s="0" t="n">
        <v>46699</v>
      </c>
      <c r="E251" s="0" t="n">
        <v>323.2</v>
      </c>
      <c r="F251" s="0" t="n">
        <v>6.4</v>
      </c>
      <c r="G251" s="0" t="n">
        <v>4.4</v>
      </c>
      <c r="H251" s="0" t="n">
        <v>24</v>
      </c>
      <c r="I251" s="0" t="n">
        <v>15093116.8</v>
      </c>
      <c r="J251" s="0" t="n">
        <v>1120776</v>
      </c>
    </row>
    <row r="252" customFormat="false" ht="13.8" hidden="false" customHeight="false" outlineLevel="0" collapsed="false">
      <c r="A252" s="0" t="s">
        <v>501</v>
      </c>
      <c r="B252" s="0" t="s">
        <v>497</v>
      </c>
      <c r="C252" s="0" t="n">
        <v>2020</v>
      </c>
      <c r="D252" s="0" t="n">
        <v>47003</v>
      </c>
      <c r="E252" s="0" t="n">
        <v>323.1</v>
      </c>
      <c r="F252" s="0" t="n">
        <v>6.3</v>
      </c>
      <c r="G252" s="0" t="n">
        <v>4.4</v>
      </c>
      <c r="H252" s="0" t="n">
        <v>23.7</v>
      </c>
      <c r="I252" s="0" t="n">
        <v>15186669.3</v>
      </c>
      <c r="J252" s="0" t="n">
        <v>1113971.1</v>
      </c>
    </row>
    <row r="253" customFormat="false" ht="13.8" hidden="false" customHeight="false" outlineLevel="0" collapsed="false">
      <c r="A253" s="0" t="s">
        <v>501</v>
      </c>
      <c r="B253" s="0" t="s">
        <v>497</v>
      </c>
      <c r="C253" s="0" t="n">
        <v>2021</v>
      </c>
      <c r="D253" s="0" t="n">
        <v>47112</v>
      </c>
      <c r="E253" s="0" t="n">
        <v>325</v>
      </c>
      <c r="F253" s="0" t="n">
        <v>6.2</v>
      </c>
      <c r="G253" s="0" t="n">
        <v>4.5</v>
      </c>
      <c r="H253" s="0" t="n">
        <v>25.9</v>
      </c>
      <c r="I253" s="0" t="n">
        <v>15311400</v>
      </c>
      <c r="J253" s="0" t="n">
        <v>1220200.8</v>
      </c>
    </row>
    <row r="254" customFormat="false" ht="13.8" hidden="false" customHeight="false" outlineLevel="0" collapsed="false">
      <c r="A254" s="0" t="s">
        <v>501</v>
      </c>
      <c r="B254" s="0" t="s">
        <v>502</v>
      </c>
      <c r="C254" s="0" t="n">
        <v>2016</v>
      </c>
      <c r="D254" s="0" t="n">
        <v>6973</v>
      </c>
      <c r="E254" s="0" t="n">
        <v>340.5</v>
      </c>
      <c r="F254" s="0" t="n">
        <v>8.2</v>
      </c>
      <c r="G254" s="0" t="n">
        <v>7.4</v>
      </c>
      <c r="H254" s="0" t="n">
        <v>18.7</v>
      </c>
      <c r="I254" s="0" t="n">
        <v>2374306.5</v>
      </c>
      <c r="J254" s="0" t="n">
        <v>130395.1</v>
      </c>
    </row>
    <row r="255" customFormat="false" ht="13.8" hidden="false" customHeight="false" outlineLevel="0" collapsed="false">
      <c r="A255" s="0" t="s">
        <v>501</v>
      </c>
      <c r="B255" s="0" t="s">
        <v>502</v>
      </c>
      <c r="C255" s="0" t="n">
        <v>2017</v>
      </c>
      <c r="D255" s="0" t="n">
        <v>7820</v>
      </c>
      <c r="E255" s="0" t="n">
        <v>347.2</v>
      </c>
      <c r="F255" s="0" t="n">
        <v>8.1</v>
      </c>
      <c r="G255" s="0" t="n">
        <v>7.5</v>
      </c>
      <c r="H255" s="0" t="n">
        <v>19.1</v>
      </c>
      <c r="I255" s="0" t="n">
        <v>2715104</v>
      </c>
      <c r="J255" s="0" t="n">
        <v>149362</v>
      </c>
    </row>
    <row r="256" customFormat="false" ht="13.8" hidden="false" customHeight="false" outlineLevel="0" collapsed="false">
      <c r="A256" s="0" t="s">
        <v>501</v>
      </c>
      <c r="B256" s="0" t="s">
        <v>502</v>
      </c>
      <c r="C256" s="0" t="n">
        <v>2018</v>
      </c>
      <c r="D256" s="0" t="n">
        <v>8849</v>
      </c>
      <c r="E256" s="0" t="n">
        <v>340.3</v>
      </c>
      <c r="F256" s="0" t="n">
        <v>7.8</v>
      </c>
      <c r="G256" s="0" t="n">
        <v>7.3</v>
      </c>
      <c r="H256" s="0" t="n">
        <v>19.5</v>
      </c>
      <c r="I256" s="0" t="n">
        <v>3011314.7</v>
      </c>
      <c r="J256" s="0" t="n">
        <v>172555.5</v>
      </c>
    </row>
    <row r="257" customFormat="false" ht="13.8" hidden="false" customHeight="false" outlineLevel="0" collapsed="false">
      <c r="A257" s="0" t="s">
        <v>501</v>
      </c>
      <c r="B257" s="0" t="s">
        <v>502</v>
      </c>
      <c r="C257" s="0" t="n">
        <v>2019</v>
      </c>
      <c r="D257" s="0" t="n">
        <v>9669</v>
      </c>
      <c r="E257" s="0" t="n">
        <v>340.1</v>
      </c>
      <c r="F257" s="0" t="n">
        <v>7.7</v>
      </c>
      <c r="G257" s="0" t="n">
        <v>7.3</v>
      </c>
      <c r="H257" s="0" t="n">
        <v>21.8</v>
      </c>
      <c r="I257" s="0" t="n">
        <v>3288426.9</v>
      </c>
      <c r="J257" s="0" t="n">
        <v>210784.2</v>
      </c>
    </row>
    <row r="258" customFormat="false" ht="13.8" hidden="false" customHeight="false" outlineLevel="0" collapsed="false">
      <c r="A258" s="0" t="s">
        <v>501</v>
      </c>
      <c r="B258" s="0" t="s">
        <v>502</v>
      </c>
      <c r="C258" s="0" t="n">
        <v>2020</v>
      </c>
      <c r="D258" s="0" t="n">
        <v>9814</v>
      </c>
      <c r="E258" s="0" t="n">
        <v>342.8</v>
      </c>
      <c r="F258" s="0" t="n">
        <v>7.7</v>
      </c>
      <c r="G258" s="0" t="n">
        <v>7.3</v>
      </c>
      <c r="H258" s="0" t="n">
        <v>22.1</v>
      </c>
      <c r="I258" s="0" t="n">
        <v>3364239.2</v>
      </c>
      <c r="J258" s="0" t="n">
        <v>216889.4</v>
      </c>
    </row>
    <row r="259" customFormat="false" ht="13.8" hidden="false" customHeight="false" outlineLevel="0" collapsed="false">
      <c r="A259" s="0" t="s">
        <v>501</v>
      </c>
      <c r="B259" s="0" t="s">
        <v>502</v>
      </c>
      <c r="C259" s="0" t="n">
        <v>2021</v>
      </c>
      <c r="D259" s="0" t="n">
        <v>9953</v>
      </c>
      <c r="E259" s="0" t="n">
        <v>349.4</v>
      </c>
      <c r="F259" s="0" t="n">
        <v>7.8</v>
      </c>
      <c r="G259" s="0" t="n">
        <v>7.4</v>
      </c>
      <c r="H259" s="0" t="n">
        <v>22.1</v>
      </c>
      <c r="I259" s="0" t="n">
        <v>3477578.2</v>
      </c>
      <c r="J259" s="0" t="n">
        <v>219961.3</v>
      </c>
    </row>
    <row r="260" customFormat="false" ht="13.8" hidden="false" customHeight="false" outlineLevel="0" collapsed="false">
      <c r="A260" s="0" t="s">
        <v>501</v>
      </c>
      <c r="B260" s="0" t="s">
        <v>505</v>
      </c>
      <c r="C260" s="0" t="n">
        <v>2016</v>
      </c>
      <c r="D260" s="0" t="n">
        <v>6430</v>
      </c>
      <c r="E260" s="0" t="n">
        <v>374</v>
      </c>
      <c r="F260" s="0" t="n">
        <v>6.9</v>
      </c>
      <c r="G260" s="0" t="n">
        <v>9</v>
      </c>
      <c r="H260" s="0" t="n">
        <v>17.3</v>
      </c>
      <c r="I260" s="0" t="n">
        <v>2404820</v>
      </c>
      <c r="J260" s="0" t="n">
        <v>111239</v>
      </c>
    </row>
    <row r="261" customFormat="false" ht="13.8" hidden="false" customHeight="false" outlineLevel="0" collapsed="false">
      <c r="A261" s="0" t="s">
        <v>501</v>
      </c>
      <c r="B261" s="0" t="s">
        <v>505</v>
      </c>
      <c r="C261" s="0" t="n">
        <v>2017</v>
      </c>
      <c r="D261" s="0" t="n">
        <v>6453</v>
      </c>
      <c r="E261" s="0" t="n">
        <v>379.2</v>
      </c>
      <c r="F261" s="0" t="n">
        <v>6.7</v>
      </c>
      <c r="G261" s="0" t="n">
        <v>9.1</v>
      </c>
      <c r="H261" s="0" t="n">
        <v>18.2</v>
      </c>
      <c r="I261" s="0" t="n">
        <v>2446977.6</v>
      </c>
      <c r="J261" s="0" t="n">
        <v>117444.6</v>
      </c>
    </row>
    <row r="262" customFormat="false" ht="13.8" hidden="false" customHeight="false" outlineLevel="0" collapsed="false">
      <c r="A262" s="0" t="s">
        <v>501</v>
      </c>
      <c r="B262" s="0" t="s">
        <v>505</v>
      </c>
      <c r="C262" s="0" t="n">
        <v>2018</v>
      </c>
      <c r="D262" s="0" t="n">
        <v>6897</v>
      </c>
      <c r="E262" s="0" t="n">
        <v>370.2</v>
      </c>
      <c r="F262" s="0" t="n">
        <v>6.6</v>
      </c>
      <c r="G262" s="0" t="n">
        <v>8.8</v>
      </c>
      <c r="H262" s="0" t="n">
        <v>18.3</v>
      </c>
      <c r="I262" s="0" t="n">
        <v>2553269.4</v>
      </c>
      <c r="J262" s="0" t="n">
        <v>126215.1</v>
      </c>
    </row>
    <row r="263" customFormat="false" ht="13.8" hidden="false" customHeight="false" outlineLevel="0" collapsed="false">
      <c r="A263" s="0" t="s">
        <v>501</v>
      </c>
      <c r="B263" s="0" t="s">
        <v>505</v>
      </c>
      <c r="C263" s="0" t="n">
        <v>2019</v>
      </c>
      <c r="D263" s="0" t="n">
        <v>6858</v>
      </c>
      <c r="E263" s="0" t="n">
        <v>373</v>
      </c>
      <c r="F263" s="0" t="n">
        <v>6.4</v>
      </c>
      <c r="G263" s="0" t="n">
        <v>8.8</v>
      </c>
      <c r="H263" s="0" t="n">
        <v>18.5</v>
      </c>
      <c r="I263" s="0" t="n">
        <v>2558034</v>
      </c>
      <c r="J263" s="0" t="n">
        <v>126873</v>
      </c>
    </row>
    <row r="264" customFormat="false" ht="13.8" hidden="false" customHeight="false" outlineLevel="0" collapsed="false">
      <c r="A264" s="0" t="s">
        <v>501</v>
      </c>
      <c r="B264" s="0" t="s">
        <v>505</v>
      </c>
      <c r="C264" s="0" t="n">
        <v>2020</v>
      </c>
      <c r="D264" s="0" t="n">
        <v>6610</v>
      </c>
      <c r="E264" s="0" t="n">
        <v>370.5</v>
      </c>
      <c r="F264" s="0" t="n">
        <v>6.3</v>
      </c>
      <c r="G264" s="0" t="n">
        <v>8.8</v>
      </c>
      <c r="H264" s="0" t="n">
        <v>18.6</v>
      </c>
      <c r="I264" s="0" t="n">
        <v>2449005</v>
      </c>
      <c r="J264" s="0" t="n">
        <v>122946</v>
      </c>
    </row>
    <row r="265" customFormat="false" ht="13.8" hidden="false" customHeight="false" outlineLevel="0" collapsed="false">
      <c r="A265" s="0" t="s">
        <v>501</v>
      </c>
      <c r="B265" s="0" t="s">
        <v>505</v>
      </c>
      <c r="C265" s="0" t="n">
        <v>2021</v>
      </c>
      <c r="D265" s="0" t="n">
        <v>6329</v>
      </c>
      <c r="E265" s="0" t="n">
        <v>381.4</v>
      </c>
      <c r="F265" s="0" t="n">
        <v>6.4</v>
      </c>
      <c r="G265" s="0" t="n">
        <v>8.9</v>
      </c>
      <c r="H265" s="0" t="n">
        <v>19</v>
      </c>
      <c r="I265" s="0" t="n">
        <v>2413880.6</v>
      </c>
      <c r="J265" s="0" t="n">
        <v>120251</v>
      </c>
    </row>
    <row r="266" customFormat="false" ht="13.8" hidden="false" customHeight="false" outlineLevel="0" collapsed="false">
      <c r="A266" s="0" t="s">
        <v>501</v>
      </c>
      <c r="B266" s="0" t="s">
        <v>506</v>
      </c>
      <c r="C266" s="0" t="n">
        <v>2016</v>
      </c>
      <c r="D266" s="0" t="n">
        <v>1988</v>
      </c>
      <c r="E266" s="0" t="n">
        <v>347</v>
      </c>
      <c r="F266" s="0" t="n">
        <v>8.2</v>
      </c>
      <c r="G266" s="0" t="n">
        <v>7.8</v>
      </c>
      <c r="H266" s="0" t="n">
        <v>18.4</v>
      </c>
      <c r="I266" s="0" t="n">
        <v>689836</v>
      </c>
      <c r="J266" s="0" t="n">
        <v>36579.2</v>
      </c>
    </row>
    <row r="267" customFormat="false" ht="13.8" hidden="false" customHeight="false" outlineLevel="0" collapsed="false">
      <c r="A267" s="0" t="s">
        <v>501</v>
      </c>
      <c r="B267" s="0" t="s">
        <v>506</v>
      </c>
      <c r="C267" s="0" t="n">
        <v>2017</v>
      </c>
      <c r="D267" s="0" t="n">
        <v>2383</v>
      </c>
      <c r="E267" s="0" t="n">
        <v>354.8</v>
      </c>
      <c r="F267" s="0" t="n">
        <v>8.3</v>
      </c>
      <c r="G267" s="0" t="n">
        <v>7.9</v>
      </c>
      <c r="H267" s="0" t="n">
        <v>18.2</v>
      </c>
      <c r="I267" s="0" t="n">
        <v>845488.4</v>
      </c>
      <c r="J267" s="0" t="n">
        <v>43370.6</v>
      </c>
    </row>
    <row r="268" customFormat="false" ht="13.8" hidden="false" customHeight="false" outlineLevel="0" collapsed="false">
      <c r="A268" s="0" t="s">
        <v>501</v>
      </c>
      <c r="B268" s="0" t="s">
        <v>506</v>
      </c>
      <c r="C268" s="0" t="n">
        <v>2018</v>
      </c>
      <c r="D268" s="0" t="n">
        <v>2750</v>
      </c>
      <c r="E268" s="0" t="n">
        <v>349.2</v>
      </c>
      <c r="F268" s="0" t="n">
        <v>7.9</v>
      </c>
      <c r="G268" s="0" t="n">
        <v>7.7</v>
      </c>
      <c r="H268" s="0" t="n">
        <v>19.6</v>
      </c>
      <c r="I268" s="0" t="n">
        <v>960300</v>
      </c>
      <c r="J268" s="0" t="n">
        <v>53900</v>
      </c>
    </row>
    <row r="269" customFormat="false" ht="13.8" hidden="false" customHeight="false" outlineLevel="0" collapsed="false">
      <c r="A269" s="0" t="s">
        <v>501</v>
      </c>
      <c r="B269" s="0" t="s">
        <v>506</v>
      </c>
      <c r="C269" s="0" t="n">
        <v>2019</v>
      </c>
      <c r="D269" s="0" t="n">
        <v>3256</v>
      </c>
      <c r="E269" s="0" t="n">
        <v>345.4</v>
      </c>
      <c r="F269" s="0" t="n">
        <v>7.8</v>
      </c>
      <c r="G269" s="0" t="n">
        <v>7.6</v>
      </c>
      <c r="H269" s="0" t="n">
        <v>19.9</v>
      </c>
      <c r="I269" s="0" t="n">
        <v>1124622.4</v>
      </c>
      <c r="J269" s="0" t="n">
        <v>64794.4</v>
      </c>
    </row>
    <row r="270" customFormat="false" ht="13.8" hidden="false" customHeight="false" outlineLevel="0" collapsed="false">
      <c r="A270" s="0" t="s">
        <v>501</v>
      </c>
      <c r="B270" s="0" t="s">
        <v>506</v>
      </c>
      <c r="C270" s="0" t="n">
        <v>2020</v>
      </c>
      <c r="D270" s="0" t="n">
        <v>3414</v>
      </c>
      <c r="E270" s="0" t="n">
        <v>347.5</v>
      </c>
      <c r="F270" s="0" t="n">
        <v>7.8</v>
      </c>
      <c r="G270" s="0" t="n">
        <v>7.7</v>
      </c>
      <c r="H270" s="0" t="n">
        <v>19.5</v>
      </c>
      <c r="I270" s="0" t="n">
        <v>1186365</v>
      </c>
      <c r="J270" s="0" t="n">
        <v>66573</v>
      </c>
    </row>
    <row r="271" customFormat="false" ht="13.8" hidden="false" customHeight="false" outlineLevel="0" collapsed="false">
      <c r="A271" s="0" t="s">
        <v>501</v>
      </c>
      <c r="B271" s="0" t="s">
        <v>506</v>
      </c>
      <c r="C271" s="0" t="n">
        <v>2021</v>
      </c>
      <c r="D271" s="0" t="n">
        <v>3337</v>
      </c>
      <c r="E271" s="0" t="n">
        <v>355.5</v>
      </c>
      <c r="F271" s="0" t="n">
        <v>7.7</v>
      </c>
      <c r="G271" s="0" t="n">
        <v>7.8</v>
      </c>
      <c r="H271" s="0" t="n">
        <v>21</v>
      </c>
      <c r="I271" s="0" t="n">
        <v>1186303.5</v>
      </c>
      <c r="J271" s="0" t="n">
        <v>70077</v>
      </c>
    </row>
    <row r="272" customFormat="false" ht="13.8" hidden="false" customHeight="false" outlineLevel="0" collapsed="false">
      <c r="A272" s="0" t="s">
        <v>501</v>
      </c>
      <c r="B272" s="0" t="s">
        <v>508</v>
      </c>
      <c r="C272" s="0" t="n">
        <v>2016</v>
      </c>
      <c r="D272" s="0" t="n">
        <v>1404</v>
      </c>
      <c r="E272" s="0" t="n">
        <v>368.3</v>
      </c>
      <c r="F272" s="0" t="n">
        <v>6.7</v>
      </c>
      <c r="G272" s="0" t="n">
        <v>10.3</v>
      </c>
      <c r="H272" s="0" t="n">
        <v>17.2</v>
      </c>
      <c r="I272" s="0" t="n">
        <v>517093.2</v>
      </c>
      <c r="J272" s="0" t="n">
        <v>24148.8</v>
      </c>
    </row>
    <row r="273" customFormat="false" ht="13.8" hidden="false" customHeight="false" outlineLevel="0" collapsed="false">
      <c r="A273" s="0" t="s">
        <v>501</v>
      </c>
      <c r="B273" s="0" t="s">
        <v>508</v>
      </c>
      <c r="C273" s="0" t="n">
        <v>2017</v>
      </c>
      <c r="D273" s="0" t="n">
        <v>1302</v>
      </c>
      <c r="E273" s="0" t="n">
        <v>372.9</v>
      </c>
      <c r="F273" s="0" t="n">
        <v>6.6</v>
      </c>
      <c r="G273" s="0" t="n">
        <v>10.2</v>
      </c>
      <c r="H273" s="0" t="n">
        <v>17.4</v>
      </c>
      <c r="I273" s="0" t="n">
        <v>485515.8</v>
      </c>
      <c r="J273" s="0" t="n">
        <v>22654.8</v>
      </c>
    </row>
    <row r="274" customFormat="false" ht="13.8" hidden="false" customHeight="false" outlineLevel="0" collapsed="false">
      <c r="A274" s="0" t="s">
        <v>501</v>
      </c>
      <c r="B274" s="0" t="s">
        <v>508</v>
      </c>
      <c r="C274" s="0" t="n">
        <v>2018</v>
      </c>
      <c r="D274" s="0" t="n">
        <v>1588</v>
      </c>
      <c r="E274" s="0" t="n">
        <v>370.9</v>
      </c>
      <c r="F274" s="0" t="n">
        <v>6.6</v>
      </c>
      <c r="G274" s="0" t="n">
        <v>9.8</v>
      </c>
      <c r="H274" s="0" t="n">
        <v>18.2</v>
      </c>
      <c r="I274" s="0" t="n">
        <v>588989.2</v>
      </c>
      <c r="J274" s="0" t="n">
        <v>28901.6</v>
      </c>
    </row>
    <row r="275" customFormat="false" ht="13.8" hidden="false" customHeight="false" outlineLevel="0" collapsed="false">
      <c r="A275" s="0" t="s">
        <v>501</v>
      </c>
      <c r="B275" s="0" t="s">
        <v>508</v>
      </c>
      <c r="C275" s="0" t="n">
        <v>2019</v>
      </c>
      <c r="D275" s="0" t="n">
        <v>1658</v>
      </c>
      <c r="E275" s="0" t="n">
        <v>367.7</v>
      </c>
      <c r="F275" s="0" t="n">
        <v>6.4</v>
      </c>
      <c r="G275" s="0" t="n">
        <v>9.5</v>
      </c>
      <c r="H275" s="0" t="n">
        <v>18.6</v>
      </c>
      <c r="I275" s="0" t="n">
        <v>609646.6</v>
      </c>
      <c r="J275" s="0" t="n">
        <v>30838.8</v>
      </c>
    </row>
    <row r="276" customFormat="false" ht="13.8" hidden="false" customHeight="false" outlineLevel="0" collapsed="false">
      <c r="A276" s="0" t="s">
        <v>501</v>
      </c>
      <c r="B276" s="0" t="s">
        <v>508</v>
      </c>
      <c r="C276" s="0" t="n">
        <v>2020</v>
      </c>
      <c r="D276" s="0" t="n">
        <v>1787</v>
      </c>
      <c r="E276" s="0" t="n">
        <v>365.3</v>
      </c>
      <c r="F276" s="0" t="n">
        <v>6.3</v>
      </c>
      <c r="G276" s="0" t="n">
        <v>9.6</v>
      </c>
      <c r="H276" s="0" t="n">
        <v>18</v>
      </c>
      <c r="I276" s="0" t="n">
        <v>652791.1</v>
      </c>
      <c r="J276" s="0" t="n">
        <v>32166</v>
      </c>
    </row>
    <row r="277" customFormat="false" ht="13.8" hidden="false" customHeight="false" outlineLevel="0" collapsed="false">
      <c r="A277" s="0" t="s">
        <v>501</v>
      </c>
      <c r="B277" s="0" t="s">
        <v>508</v>
      </c>
      <c r="C277" s="0" t="n">
        <v>2021</v>
      </c>
      <c r="D277" s="0" t="n">
        <v>1890</v>
      </c>
      <c r="E277" s="0" t="n">
        <v>370</v>
      </c>
      <c r="F277" s="0" t="n">
        <v>6.4</v>
      </c>
      <c r="G277" s="0" t="n">
        <v>9.5</v>
      </c>
      <c r="H277" s="0" t="n">
        <v>18.8</v>
      </c>
      <c r="I277" s="0" t="n">
        <v>699300</v>
      </c>
      <c r="J277" s="0" t="n">
        <v>35532</v>
      </c>
    </row>
    <row r="278" customFormat="false" ht="13.8" hidden="false" customHeight="false" outlineLevel="0" collapsed="false">
      <c r="A278" s="0" t="s">
        <v>501</v>
      </c>
      <c r="B278" s="0" t="s">
        <v>509</v>
      </c>
      <c r="C278" s="0" t="n">
        <v>2016</v>
      </c>
      <c r="D278" s="0" t="n">
        <v>5253</v>
      </c>
      <c r="E278" s="0" t="n">
        <v>370.1</v>
      </c>
      <c r="F278" s="0" t="n">
        <v>7.1</v>
      </c>
      <c r="G278" s="0" t="n">
        <v>8.5</v>
      </c>
      <c r="H278" s="0" t="n">
        <v>17.7</v>
      </c>
      <c r="I278" s="0" t="n">
        <v>1944135.3</v>
      </c>
      <c r="J278" s="0" t="n">
        <v>92978.1</v>
      </c>
    </row>
    <row r="279" customFormat="false" ht="13.8" hidden="false" customHeight="false" outlineLevel="0" collapsed="false">
      <c r="A279" s="0" t="s">
        <v>501</v>
      </c>
      <c r="B279" s="0" t="s">
        <v>509</v>
      </c>
      <c r="C279" s="0" t="n">
        <v>2017</v>
      </c>
      <c r="D279" s="0" t="n">
        <v>5678</v>
      </c>
      <c r="E279" s="0" t="n">
        <v>376.8</v>
      </c>
      <c r="F279" s="0" t="n">
        <v>7</v>
      </c>
      <c r="G279" s="0" t="n">
        <v>8.6</v>
      </c>
      <c r="H279" s="0" t="n">
        <v>17.5</v>
      </c>
      <c r="I279" s="0" t="n">
        <v>2139470.4</v>
      </c>
      <c r="J279" s="0" t="n">
        <v>99365</v>
      </c>
    </row>
    <row r="280" customFormat="false" ht="13.8" hidden="false" customHeight="false" outlineLevel="0" collapsed="false">
      <c r="A280" s="0" t="s">
        <v>501</v>
      </c>
      <c r="B280" s="0" t="s">
        <v>509</v>
      </c>
      <c r="C280" s="0" t="n">
        <v>2018</v>
      </c>
      <c r="D280" s="0" t="n">
        <v>5954</v>
      </c>
      <c r="E280" s="0" t="n">
        <v>370.1</v>
      </c>
      <c r="F280" s="0" t="n">
        <v>6.8</v>
      </c>
      <c r="G280" s="0" t="n">
        <v>8.3</v>
      </c>
      <c r="H280" s="0" t="n">
        <v>17.8</v>
      </c>
      <c r="I280" s="0" t="n">
        <v>2203575.4</v>
      </c>
      <c r="J280" s="0" t="n">
        <v>105981.2</v>
      </c>
    </row>
    <row r="281" customFormat="false" ht="13.8" hidden="false" customHeight="false" outlineLevel="0" collapsed="false">
      <c r="A281" s="0" t="s">
        <v>501</v>
      </c>
      <c r="B281" s="0" t="s">
        <v>509</v>
      </c>
      <c r="C281" s="0" t="n">
        <v>2019</v>
      </c>
      <c r="D281" s="0" t="n">
        <v>6320</v>
      </c>
      <c r="E281" s="0" t="n">
        <v>363.8</v>
      </c>
      <c r="F281" s="0" t="n">
        <v>6.5</v>
      </c>
      <c r="G281" s="0" t="n">
        <v>8.3</v>
      </c>
      <c r="H281" s="0" t="n">
        <v>18.4</v>
      </c>
      <c r="I281" s="0" t="n">
        <v>2299216</v>
      </c>
      <c r="J281" s="0" t="n">
        <v>116288</v>
      </c>
    </row>
    <row r="282" customFormat="false" ht="13.8" hidden="false" customHeight="false" outlineLevel="0" collapsed="false">
      <c r="A282" s="0" t="s">
        <v>501</v>
      </c>
      <c r="B282" s="0" t="s">
        <v>509</v>
      </c>
      <c r="C282" s="0" t="n">
        <v>2020</v>
      </c>
      <c r="D282" s="0" t="n">
        <v>6471</v>
      </c>
      <c r="E282" s="0" t="n">
        <v>365.6</v>
      </c>
      <c r="F282" s="0" t="n">
        <v>6.5</v>
      </c>
      <c r="G282" s="0" t="n">
        <v>8.3</v>
      </c>
      <c r="H282" s="0" t="n">
        <v>18.3</v>
      </c>
      <c r="I282" s="0" t="n">
        <v>2365797.6</v>
      </c>
      <c r="J282" s="0" t="n">
        <v>118419.3</v>
      </c>
    </row>
    <row r="283" customFormat="false" ht="13.8" hidden="false" customHeight="false" outlineLevel="0" collapsed="false">
      <c r="A283" s="0" t="s">
        <v>501</v>
      </c>
      <c r="B283" s="0" t="s">
        <v>509</v>
      </c>
      <c r="C283" s="0" t="n">
        <v>2021</v>
      </c>
      <c r="D283" s="0" t="n">
        <v>6677</v>
      </c>
      <c r="E283" s="0" t="n">
        <v>374.3</v>
      </c>
      <c r="F283" s="0" t="n">
        <v>6.5</v>
      </c>
      <c r="G283" s="0" t="n">
        <v>8.4</v>
      </c>
      <c r="H283" s="0" t="n">
        <v>18.2</v>
      </c>
      <c r="I283" s="0" t="n">
        <v>2499201.1</v>
      </c>
      <c r="J283" s="0" t="n">
        <v>121521.4</v>
      </c>
    </row>
    <row r="284" customFormat="false" ht="13.8" hidden="false" customHeight="false" outlineLevel="0" collapsed="false">
      <c r="A284" s="0" t="s">
        <v>501</v>
      </c>
      <c r="B284" s="0" t="s">
        <v>511</v>
      </c>
      <c r="C284" s="0" t="n">
        <v>2016</v>
      </c>
      <c r="D284" s="0" t="n">
        <v>254</v>
      </c>
      <c r="E284" s="0" t="n">
        <v>192.8</v>
      </c>
      <c r="F284" s="0" t="n">
        <v>4.9</v>
      </c>
      <c r="G284" s="0" t="n">
        <v>4.6</v>
      </c>
      <c r="H284" s="0" t="n">
        <v>23.6</v>
      </c>
      <c r="I284" s="0" t="n">
        <v>48971.2</v>
      </c>
      <c r="J284" s="0" t="n">
        <v>5994.4</v>
      </c>
    </row>
    <row r="285" customFormat="false" ht="13.8" hidden="false" customHeight="false" outlineLevel="0" collapsed="false">
      <c r="A285" s="0" t="s">
        <v>501</v>
      </c>
      <c r="B285" s="0" t="s">
        <v>511</v>
      </c>
      <c r="C285" s="0" t="n">
        <v>2017</v>
      </c>
      <c r="D285" s="0" t="n">
        <v>201</v>
      </c>
      <c r="E285" s="0" t="n">
        <v>209.6</v>
      </c>
      <c r="F285" s="0" t="n">
        <v>4.8</v>
      </c>
      <c r="G285" s="0" t="n">
        <v>5.1</v>
      </c>
      <c r="H285" s="0" t="n">
        <v>22.9</v>
      </c>
      <c r="I285" s="0" t="n">
        <v>42129.6</v>
      </c>
      <c r="J285" s="0" t="n">
        <v>4602.9</v>
      </c>
    </row>
    <row r="286" customFormat="false" ht="13.8" hidden="false" customHeight="false" outlineLevel="0" collapsed="false">
      <c r="A286" s="0" t="s">
        <v>501</v>
      </c>
      <c r="B286" s="0" t="s">
        <v>511</v>
      </c>
      <c r="C286" s="0" t="n">
        <v>2018</v>
      </c>
      <c r="D286" s="0" t="n">
        <v>229</v>
      </c>
      <c r="E286" s="0" t="n">
        <v>190.4</v>
      </c>
      <c r="F286" s="0" t="n">
        <v>4.5</v>
      </c>
      <c r="G286" s="0" t="n">
        <v>4.5</v>
      </c>
      <c r="H286" s="0" t="n">
        <v>23.6</v>
      </c>
      <c r="I286" s="0" t="n">
        <v>43601.6</v>
      </c>
      <c r="J286" s="0" t="n">
        <v>5404.4</v>
      </c>
    </row>
    <row r="287" customFormat="false" ht="13.8" hidden="false" customHeight="false" outlineLevel="0" collapsed="false">
      <c r="A287" s="0" t="s">
        <v>501</v>
      </c>
      <c r="B287" s="0" t="s">
        <v>511</v>
      </c>
      <c r="C287" s="0" t="n">
        <v>2019</v>
      </c>
      <c r="D287" s="0" t="n">
        <v>198</v>
      </c>
      <c r="E287" s="0" t="n">
        <v>202.6</v>
      </c>
      <c r="F287" s="0" t="n">
        <v>4.6</v>
      </c>
      <c r="G287" s="0" t="n">
        <v>4.8</v>
      </c>
      <c r="H287" s="0" t="n">
        <v>27.6</v>
      </c>
      <c r="I287" s="0" t="n">
        <v>40114.8</v>
      </c>
      <c r="J287" s="0" t="n">
        <v>5464.8</v>
      </c>
    </row>
    <row r="288" customFormat="false" ht="13.8" hidden="false" customHeight="false" outlineLevel="0" collapsed="false">
      <c r="A288" s="0" t="s">
        <v>501</v>
      </c>
      <c r="B288" s="0" t="s">
        <v>511</v>
      </c>
      <c r="C288" s="0" t="n">
        <v>2020</v>
      </c>
      <c r="D288" s="0" t="n">
        <v>173</v>
      </c>
      <c r="E288" s="0" t="n">
        <v>212.6</v>
      </c>
      <c r="F288" s="0" t="n">
        <v>4.7</v>
      </c>
      <c r="G288" s="0" t="n">
        <v>5</v>
      </c>
      <c r="H288" s="0" t="n">
        <v>29.4</v>
      </c>
      <c r="I288" s="0" t="n">
        <v>36779.8</v>
      </c>
      <c r="J288" s="0" t="n">
        <v>5086.2</v>
      </c>
    </row>
    <row r="289" customFormat="false" ht="13.8" hidden="false" customHeight="false" outlineLevel="0" collapsed="false">
      <c r="A289" s="0" t="s">
        <v>501</v>
      </c>
      <c r="B289" s="0" t="s">
        <v>511</v>
      </c>
      <c r="C289" s="0" t="n">
        <v>2021</v>
      </c>
      <c r="D289" s="0" t="n">
        <v>110</v>
      </c>
      <c r="E289" s="0" t="n">
        <v>225.5</v>
      </c>
      <c r="F289" s="0" t="n">
        <v>4.6</v>
      </c>
      <c r="G289" s="0" t="n">
        <v>5.2</v>
      </c>
      <c r="H289" s="0" t="n">
        <v>24.8</v>
      </c>
      <c r="I289" s="0" t="n">
        <v>24805</v>
      </c>
      <c r="J289" s="0" t="n">
        <v>2728</v>
      </c>
    </row>
    <row r="290" customFormat="false" ht="13.8" hidden="false" customHeight="false" outlineLevel="0" collapsed="false">
      <c r="A290" s="0" t="s">
        <v>501</v>
      </c>
      <c r="B290" s="0" t="s">
        <v>512</v>
      </c>
      <c r="C290" s="0" t="n">
        <v>2016</v>
      </c>
      <c r="D290" s="0" t="n">
        <v>306</v>
      </c>
      <c r="E290" s="0" t="n">
        <v>391.6</v>
      </c>
      <c r="F290" s="0" t="n">
        <v>5.4</v>
      </c>
      <c r="G290" s="0" t="n">
        <v>10.8</v>
      </c>
      <c r="H290" s="0" t="n">
        <v>17</v>
      </c>
      <c r="I290" s="0" t="n">
        <v>119829.6</v>
      </c>
      <c r="J290" s="0" t="n">
        <v>5202</v>
      </c>
    </row>
    <row r="291" customFormat="false" ht="13.8" hidden="false" customHeight="false" outlineLevel="0" collapsed="false">
      <c r="A291" s="0" t="s">
        <v>501</v>
      </c>
      <c r="B291" s="0" t="s">
        <v>512</v>
      </c>
      <c r="C291" s="0" t="n">
        <v>2017</v>
      </c>
      <c r="D291" s="0" t="n">
        <v>285</v>
      </c>
      <c r="E291" s="0" t="n">
        <v>386</v>
      </c>
      <c r="F291" s="0" t="n">
        <v>5.2</v>
      </c>
      <c r="G291" s="0" t="n">
        <v>11</v>
      </c>
      <c r="H291" s="0" t="n">
        <v>17.1</v>
      </c>
      <c r="I291" s="0" t="n">
        <v>110010</v>
      </c>
      <c r="J291" s="0" t="n">
        <v>4873.5</v>
      </c>
    </row>
    <row r="292" customFormat="false" ht="13.8" hidden="false" customHeight="false" outlineLevel="0" collapsed="false">
      <c r="A292" s="0" t="s">
        <v>501</v>
      </c>
      <c r="B292" s="0" t="s">
        <v>512</v>
      </c>
      <c r="C292" s="0" t="n">
        <v>2018</v>
      </c>
      <c r="D292" s="0" t="n">
        <v>288</v>
      </c>
      <c r="E292" s="0" t="n">
        <v>379.6</v>
      </c>
      <c r="F292" s="0" t="n">
        <v>5.3</v>
      </c>
      <c r="G292" s="0" t="n">
        <v>10.6</v>
      </c>
      <c r="H292" s="0" t="n">
        <v>17.2</v>
      </c>
      <c r="I292" s="0" t="n">
        <v>109324.8</v>
      </c>
      <c r="J292" s="0" t="n">
        <v>4953.6</v>
      </c>
    </row>
    <row r="293" customFormat="false" ht="13.8" hidden="false" customHeight="false" outlineLevel="0" collapsed="false">
      <c r="A293" s="0" t="s">
        <v>501</v>
      </c>
      <c r="B293" s="0" t="s">
        <v>512</v>
      </c>
      <c r="C293" s="0" t="n">
        <v>2019</v>
      </c>
      <c r="D293" s="0" t="n">
        <v>311</v>
      </c>
      <c r="E293" s="0" t="n">
        <v>381</v>
      </c>
      <c r="F293" s="0" t="n">
        <v>4.7</v>
      </c>
      <c r="G293" s="0" t="n">
        <v>10.8</v>
      </c>
      <c r="H293" s="0" t="n">
        <v>16.1</v>
      </c>
      <c r="I293" s="0" t="n">
        <v>118491</v>
      </c>
      <c r="J293" s="0" t="n">
        <v>5007.1</v>
      </c>
    </row>
    <row r="294" customFormat="false" ht="13.8" hidden="false" customHeight="false" outlineLevel="0" collapsed="false">
      <c r="A294" s="0" t="s">
        <v>501</v>
      </c>
      <c r="B294" s="0" t="s">
        <v>512</v>
      </c>
      <c r="C294" s="0" t="n">
        <v>2020</v>
      </c>
      <c r="D294" s="0" t="n">
        <v>423</v>
      </c>
      <c r="E294" s="0" t="n">
        <v>366.7</v>
      </c>
      <c r="F294" s="0" t="n">
        <v>5</v>
      </c>
      <c r="G294" s="0" t="n">
        <v>10.1</v>
      </c>
      <c r="H294" s="0" t="n">
        <v>15.6</v>
      </c>
      <c r="I294" s="0" t="n">
        <v>155114.1</v>
      </c>
      <c r="J294" s="0" t="n">
        <v>6598.8</v>
      </c>
    </row>
    <row r="295" customFormat="false" ht="13.8" hidden="false" customHeight="false" outlineLevel="0" collapsed="false">
      <c r="A295" s="0" t="s">
        <v>501</v>
      </c>
      <c r="B295" s="0" t="s">
        <v>512</v>
      </c>
      <c r="C295" s="0" t="n">
        <v>2021</v>
      </c>
      <c r="D295" s="0" t="n">
        <v>424</v>
      </c>
      <c r="E295" s="0" t="n">
        <v>374</v>
      </c>
      <c r="F295" s="0" t="n">
        <v>5.1</v>
      </c>
      <c r="G295" s="0" t="n">
        <v>10</v>
      </c>
      <c r="H295" s="0" t="n">
        <v>15.2</v>
      </c>
      <c r="I295" s="0" t="n">
        <v>158576</v>
      </c>
      <c r="J295" s="0" t="n">
        <v>6444.8</v>
      </c>
    </row>
    <row r="296" customFormat="false" ht="13.8" hidden="false" customHeight="false" outlineLevel="0" collapsed="false">
      <c r="A296" s="0" t="s">
        <v>501</v>
      </c>
      <c r="B296" s="0" t="s">
        <v>513</v>
      </c>
      <c r="C296" s="0" t="n">
        <v>2016</v>
      </c>
      <c r="D296" s="0" t="n">
        <v>43969</v>
      </c>
      <c r="E296" s="0" t="n">
        <v>356.9</v>
      </c>
      <c r="F296" s="0" t="n">
        <v>7.4</v>
      </c>
      <c r="G296" s="0" t="n">
        <v>7.8</v>
      </c>
      <c r="H296" s="0" t="n">
        <v>18.7</v>
      </c>
      <c r="I296" s="0" t="n">
        <v>15692536.1</v>
      </c>
      <c r="J296" s="0" t="n">
        <v>822220.3</v>
      </c>
    </row>
    <row r="297" customFormat="false" ht="13.8" hidden="false" customHeight="false" outlineLevel="0" collapsed="false">
      <c r="A297" s="0" t="s">
        <v>501</v>
      </c>
      <c r="B297" s="0" t="s">
        <v>513</v>
      </c>
      <c r="C297" s="0" t="n">
        <v>2017</v>
      </c>
      <c r="D297" s="0" t="n">
        <v>46967</v>
      </c>
      <c r="E297" s="0" t="n">
        <v>360.4</v>
      </c>
      <c r="F297" s="0" t="n">
        <v>7.3</v>
      </c>
      <c r="G297" s="0" t="n">
        <v>7.8</v>
      </c>
      <c r="H297" s="0" t="n">
        <v>18.8</v>
      </c>
      <c r="I297" s="0" t="n">
        <v>16926906.8</v>
      </c>
      <c r="J297" s="0" t="n">
        <v>882979.6</v>
      </c>
    </row>
    <row r="298" customFormat="false" ht="13.8" hidden="false" customHeight="false" outlineLevel="0" collapsed="false">
      <c r="A298" s="0" t="s">
        <v>501</v>
      </c>
      <c r="B298" s="0" t="s">
        <v>513</v>
      </c>
      <c r="C298" s="0" t="n">
        <v>2018</v>
      </c>
      <c r="D298" s="0" t="n">
        <v>49412</v>
      </c>
      <c r="E298" s="0" t="n">
        <v>355.9</v>
      </c>
      <c r="F298" s="0" t="n">
        <v>7.1</v>
      </c>
      <c r="G298" s="0" t="n">
        <v>7.7</v>
      </c>
      <c r="H298" s="0" t="n">
        <v>18.7</v>
      </c>
      <c r="I298" s="0" t="n">
        <v>17585730.8</v>
      </c>
      <c r="J298" s="0" t="n">
        <v>924004.4</v>
      </c>
    </row>
    <row r="299" customFormat="false" ht="13.8" hidden="false" customHeight="false" outlineLevel="0" collapsed="false">
      <c r="A299" s="0" t="s">
        <v>501</v>
      </c>
      <c r="B299" s="0" t="s">
        <v>513</v>
      </c>
      <c r="C299" s="0" t="n">
        <v>2019</v>
      </c>
      <c r="D299" s="0" t="n">
        <v>52654</v>
      </c>
      <c r="E299" s="0" t="n">
        <v>356</v>
      </c>
      <c r="F299" s="0" t="n">
        <v>7</v>
      </c>
      <c r="G299" s="0" t="n">
        <v>7.8</v>
      </c>
      <c r="H299" s="0" t="n">
        <v>19</v>
      </c>
      <c r="I299" s="0" t="n">
        <v>18744824</v>
      </c>
      <c r="J299" s="0" t="n">
        <v>1000426</v>
      </c>
    </row>
    <row r="300" customFormat="false" ht="13.8" hidden="false" customHeight="false" outlineLevel="0" collapsed="false">
      <c r="A300" s="0" t="s">
        <v>501</v>
      </c>
      <c r="B300" s="0" t="s">
        <v>513</v>
      </c>
      <c r="C300" s="0" t="n">
        <v>2020</v>
      </c>
      <c r="D300" s="0" t="n">
        <v>52664</v>
      </c>
      <c r="E300" s="0" t="n">
        <v>354.9</v>
      </c>
      <c r="F300" s="0" t="n">
        <v>6.9</v>
      </c>
      <c r="G300" s="0" t="n">
        <v>7.8</v>
      </c>
      <c r="H300" s="0" t="n">
        <v>19.2</v>
      </c>
      <c r="I300" s="0" t="n">
        <v>18690453.6</v>
      </c>
      <c r="J300" s="0" t="n">
        <v>1011148.8</v>
      </c>
    </row>
    <row r="301" customFormat="false" ht="13.8" hidden="false" customHeight="false" outlineLevel="0" collapsed="false">
      <c r="A301" s="0" t="s">
        <v>501</v>
      </c>
      <c r="B301" s="0" t="s">
        <v>513</v>
      </c>
      <c r="C301" s="0" t="n">
        <v>2021</v>
      </c>
      <c r="D301" s="0" t="n">
        <v>50606</v>
      </c>
      <c r="E301" s="0" t="n">
        <v>362.1</v>
      </c>
      <c r="F301" s="0" t="n">
        <v>6.9</v>
      </c>
      <c r="G301" s="0" t="n">
        <v>7.8</v>
      </c>
      <c r="H301" s="0" t="n">
        <v>20.6</v>
      </c>
      <c r="I301" s="0" t="n">
        <v>18324432.6</v>
      </c>
      <c r="J301" s="0" t="n">
        <v>1042483.6</v>
      </c>
    </row>
    <row r="302" customFormat="false" ht="13.8" hidden="false" customHeight="false" outlineLevel="0" collapsed="false">
      <c r="A302" s="0" t="s">
        <v>503</v>
      </c>
      <c r="B302" s="0" t="s">
        <v>489</v>
      </c>
      <c r="C302" s="0" t="n">
        <v>2016</v>
      </c>
      <c r="D302" s="0" t="n">
        <v>4295</v>
      </c>
      <c r="E302" s="0" t="n">
        <v>344.1</v>
      </c>
      <c r="F302" s="0" t="n">
        <v>6.4</v>
      </c>
      <c r="G302" s="0" t="n">
        <v>5.1</v>
      </c>
      <c r="H302" s="0" t="n">
        <v>28.9</v>
      </c>
      <c r="I302" s="0" t="n">
        <v>1477909.5</v>
      </c>
      <c r="J302" s="0" t="n">
        <v>124125.5</v>
      </c>
    </row>
    <row r="303" customFormat="false" ht="13.8" hidden="false" customHeight="false" outlineLevel="0" collapsed="false">
      <c r="A303" s="0" t="s">
        <v>503</v>
      </c>
      <c r="B303" s="0" t="s">
        <v>489</v>
      </c>
      <c r="C303" s="0" t="n">
        <v>2017</v>
      </c>
      <c r="D303" s="0" t="n">
        <v>4428</v>
      </c>
      <c r="E303" s="0" t="n">
        <v>349.4</v>
      </c>
      <c r="F303" s="0" t="n">
        <v>6.5</v>
      </c>
      <c r="G303" s="0" t="n">
        <v>5.1</v>
      </c>
      <c r="H303" s="0" t="n">
        <v>28.8</v>
      </c>
      <c r="I303" s="0" t="n">
        <v>1547143.2</v>
      </c>
      <c r="J303" s="0" t="n">
        <v>127526.4</v>
      </c>
    </row>
    <row r="304" customFormat="false" ht="13.8" hidden="false" customHeight="false" outlineLevel="0" collapsed="false">
      <c r="A304" s="0" t="s">
        <v>503</v>
      </c>
      <c r="B304" s="0" t="s">
        <v>489</v>
      </c>
      <c r="C304" s="0" t="n">
        <v>2018</v>
      </c>
      <c r="D304" s="0" t="n">
        <v>4079</v>
      </c>
      <c r="E304" s="0" t="n">
        <v>352.5</v>
      </c>
      <c r="F304" s="0" t="n">
        <v>6.4</v>
      </c>
      <c r="G304" s="0" t="n">
        <v>5.1</v>
      </c>
      <c r="H304" s="0" t="n">
        <v>28.6</v>
      </c>
      <c r="I304" s="0" t="n">
        <v>1437847.5</v>
      </c>
      <c r="J304" s="0" t="n">
        <v>116659.4</v>
      </c>
    </row>
    <row r="305" customFormat="false" ht="13.8" hidden="false" customHeight="false" outlineLevel="0" collapsed="false">
      <c r="A305" s="0" t="s">
        <v>503</v>
      </c>
      <c r="B305" s="0" t="s">
        <v>489</v>
      </c>
      <c r="C305" s="0" t="n">
        <v>2019</v>
      </c>
      <c r="D305" s="0" t="n">
        <v>3985</v>
      </c>
      <c r="E305" s="0" t="n">
        <v>345.8</v>
      </c>
      <c r="F305" s="0" t="n">
        <v>6</v>
      </c>
      <c r="G305" s="0" t="n">
        <v>5</v>
      </c>
      <c r="H305" s="0" t="n">
        <v>29.3</v>
      </c>
      <c r="I305" s="0" t="n">
        <v>1378013</v>
      </c>
      <c r="J305" s="0" t="n">
        <v>116760.5</v>
      </c>
    </row>
    <row r="306" customFormat="false" ht="13.8" hidden="false" customHeight="false" outlineLevel="0" collapsed="false">
      <c r="A306" s="0" t="s">
        <v>503</v>
      </c>
      <c r="B306" s="0" t="s">
        <v>489</v>
      </c>
      <c r="C306" s="0" t="n">
        <v>2020</v>
      </c>
      <c r="D306" s="0" t="n">
        <v>3856</v>
      </c>
      <c r="E306" s="0" t="n">
        <v>347</v>
      </c>
      <c r="F306" s="0" t="n">
        <v>6.1</v>
      </c>
      <c r="G306" s="0" t="n">
        <v>5</v>
      </c>
      <c r="H306" s="0" t="n">
        <v>29.2</v>
      </c>
      <c r="I306" s="0" t="n">
        <v>1338032</v>
      </c>
      <c r="J306" s="0" t="n">
        <v>112595.2</v>
      </c>
    </row>
    <row r="307" customFormat="false" ht="13.8" hidden="false" customHeight="false" outlineLevel="0" collapsed="false">
      <c r="A307" s="0" t="s">
        <v>503</v>
      </c>
      <c r="B307" s="0" t="s">
        <v>489</v>
      </c>
      <c r="C307" s="0" t="n">
        <v>2021</v>
      </c>
      <c r="D307" s="0" t="n">
        <v>2996</v>
      </c>
      <c r="E307" s="0" t="n">
        <v>356.7</v>
      </c>
      <c r="F307" s="0" t="n">
        <v>6.1</v>
      </c>
      <c r="G307" s="0" t="n">
        <v>5.1</v>
      </c>
      <c r="H307" s="0" t="n">
        <v>29.7</v>
      </c>
      <c r="I307" s="0" t="n">
        <v>1068673.2</v>
      </c>
      <c r="J307" s="0" t="n">
        <v>88981.2</v>
      </c>
    </row>
    <row r="308" customFormat="false" ht="13.8" hidden="false" customHeight="false" outlineLevel="0" collapsed="false">
      <c r="A308" s="0" t="s">
        <v>503</v>
      </c>
      <c r="B308" s="0" t="s">
        <v>497</v>
      </c>
      <c r="C308" s="0" t="n">
        <v>2016</v>
      </c>
      <c r="D308" s="0" t="n">
        <v>6740</v>
      </c>
      <c r="E308" s="0" t="n">
        <v>352.8</v>
      </c>
      <c r="F308" s="0" t="n">
        <v>6</v>
      </c>
      <c r="G308" s="0" t="n">
        <v>4.4</v>
      </c>
      <c r="H308" s="0" t="n">
        <v>28.5</v>
      </c>
      <c r="I308" s="0" t="n">
        <v>2377872</v>
      </c>
      <c r="J308" s="0" t="n">
        <v>192090</v>
      </c>
    </row>
    <row r="309" customFormat="false" ht="13.8" hidden="false" customHeight="false" outlineLevel="0" collapsed="false">
      <c r="A309" s="0" t="s">
        <v>503</v>
      </c>
      <c r="B309" s="0" t="s">
        <v>497</v>
      </c>
      <c r="C309" s="0" t="n">
        <v>2017</v>
      </c>
      <c r="D309" s="0" t="n">
        <v>7005</v>
      </c>
      <c r="E309" s="0" t="n">
        <v>358.6</v>
      </c>
      <c r="F309" s="0" t="n">
        <v>6.1</v>
      </c>
      <c r="G309" s="0" t="n">
        <v>4.4</v>
      </c>
      <c r="H309" s="0" t="n">
        <v>28.5</v>
      </c>
      <c r="I309" s="0" t="n">
        <v>2511993</v>
      </c>
      <c r="J309" s="0" t="n">
        <v>199642.5</v>
      </c>
    </row>
    <row r="310" customFormat="false" ht="13.8" hidden="false" customHeight="false" outlineLevel="0" collapsed="false">
      <c r="A310" s="0" t="s">
        <v>503</v>
      </c>
      <c r="B310" s="0" t="s">
        <v>497</v>
      </c>
      <c r="C310" s="0" t="n">
        <v>2018</v>
      </c>
      <c r="D310" s="0" t="n">
        <v>6873</v>
      </c>
      <c r="E310" s="0" t="n">
        <v>356.7</v>
      </c>
      <c r="F310" s="0" t="n">
        <v>5.9</v>
      </c>
      <c r="G310" s="0" t="n">
        <v>4.4</v>
      </c>
      <c r="H310" s="0" t="n">
        <v>29.2</v>
      </c>
      <c r="I310" s="0" t="n">
        <v>2451599.1</v>
      </c>
      <c r="J310" s="0" t="n">
        <v>200691.6</v>
      </c>
    </row>
    <row r="311" customFormat="false" ht="13.8" hidden="false" customHeight="false" outlineLevel="0" collapsed="false">
      <c r="A311" s="0" t="s">
        <v>503</v>
      </c>
      <c r="B311" s="0" t="s">
        <v>497</v>
      </c>
      <c r="C311" s="0" t="n">
        <v>2019</v>
      </c>
      <c r="D311" s="0" t="n">
        <v>6585</v>
      </c>
      <c r="E311" s="0" t="n">
        <v>350.6</v>
      </c>
      <c r="F311" s="0" t="n">
        <v>5.5</v>
      </c>
      <c r="G311" s="0" t="n">
        <v>4.3</v>
      </c>
      <c r="H311" s="0" t="n">
        <v>30.1</v>
      </c>
      <c r="I311" s="0" t="n">
        <v>2308701</v>
      </c>
      <c r="J311" s="0" t="n">
        <v>198208.5</v>
      </c>
    </row>
    <row r="312" customFormat="false" ht="13.8" hidden="false" customHeight="false" outlineLevel="0" collapsed="false">
      <c r="A312" s="0" t="s">
        <v>503</v>
      </c>
      <c r="B312" s="0" t="s">
        <v>497</v>
      </c>
      <c r="C312" s="0" t="n">
        <v>2020</v>
      </c>
      <c r="D312" s="0" t="n">
        <v>6773</v>
      </c>
      <c r="E312" s="0" t="n">
        <v>354.2</v>
      </c>
      <c r="F312" s="0" t="n">
        <v>5.7</v>
      </c>
      <c r="G312" s="0" t="n">
        <v>4.3</v>
      </c>
      <c r="H312" s="0" t="n">
        <v>29.9</v>
      </c>
      <c r="I312" s="0" t="n">
        <v>2398996.6</v>
      </c>
      <c r="J312" s="0" t="n">
        <v>202512.7</v>
      </c>
    </row>
    <row r="313" customFormat="false" ht="13.8" hidden="false" customHeight="false" outlineLevel="0" collapsed="false">
      <c r="A313" s="0" t="s">
        <v>503</v>
      </c>
      <c r="B313" s="0" t="s">
        <v>497</v>
      </c>
      <c r="C313" s="0" t="n">
        <v>2021</v>
      </c>
      <c r="D313" s="0" t="n">
        <v>5484</v>
      </c>
      <c r="E313" s="0" t="n">
        <v>363.7</v>
      </c>
      <c r="F313" s="0" t="n">
        <v>5.7</v>
      </c>
      <c r="G313" s="0" t="n">
        <v>4.4</v>
      </c>
      <c r="H313" s="0" t="n">
        <v>31.8</v>
      </c>
      <c r="I313" s="0" t="n">
        <v>1994530.8</v>
      </c>
      <c r="J313" s="0" t="n">
        <v>174391.2</v>
      </c>
    </row>
    <row r="314" customFormat="false" ht="13.8" hidden="false" customHeight="false" outlineLevel="0" collapsed="false">
      <c r="A314" s="0" t="s">
        <v>503</v>
      </c>
      <c r="B314" s="0" t="s">
        <v>502</v>
      </c>
      <c r="C314" s="0" t="n">
        <v>2016</v>
      </c>
      <c r="D314" s="0" t="n">
        <v>1540</v>
      </c>
      <c r="E314" s="0" t="n">
        <v>373.4</v>
      </c>
      <c r="F314" s="0" t="n">
        <v>7.1</v>
      </c>
      <c r="G314" s="0" t="n">
        <v>7</v>
      </c>
      <c r="H314" s="0" t="n">
        <v>30.3</v>
      </c>
      <c r="I314" s="0" t="n">
        <v>575036</v>
      </c>
      <c r="J314" s="0" t="n">
        <v>46662</v>
      </c>
    </row>
    <row r="315" customFormat="false" ht="13.8" hidden="false" customHeight="false" outlineLevel="0" collapsed="false">
      <c r="A315" s="0" t="s">
        <v>503</v>
      </c>
      <c r="B315" s="0" t="s">
        <v>502</v>
      </c>
      <c r="C315" s="0" t="n">
        <v>2017</v>
      </c>
      <c r="D315" s="0" t="n">
        <v>1587</v>
      </c>
      <c r="E315" s="0" t="n">
        <v>374.6</v>
      </c>
      <c r="F315" s="0" t="n">
        <v>7.2</v>
      </c>
      <c r="G315" s="0" t="n">
        <v>7</v>
      </c>
      <c r="H315" s="0" t="n">
        <v>30</v>
      </c>
      <c r="I315" s="0" t="n">
        <v>594490.2</v>
      </c>
      <c r="J315" s="0" t="n">
        <v>47610</v>
      </c>
    </row>
    <row r="316" customFormat="false" ht="13.8" hidden="false" customHeight="false" outlineLevel="0" collapsed="false">
      <c r="A316" s="0" t="s">
        <v>503</v>
      </c>
      <c r="B316" s="0" t="s">
        <v>502</v>
      </c>
      <c r="C316" s="0" t="n">
        <v>2018</v>
      </c>
      <c r="D316" s="0" t="n">
        <v>1633</v>
      </c>
      <c r="E316" s="0" t="n">
        <v>370.7</v>
      </c>
      <c r="F316" s="0" t="n">
        <v>6.8</v>
      </c>
      <c r="G316" s="0" t="n">
        <v>6.9</v>
      </c>
      <c r="H316" s="0" t="n">
        <v>29.5</v>
      </c>
      <c r="I316" s="0" t="n">
        <v>605353.1</v>
      </c>
      <c r="J316" s="0" t="n">
        <v>48173.5</v>
      </c>
    </row>
    <row r="317" customFormat="false" ht="13.8" hidden="false" customHeight="false" outlineLevel="0" collapsed="false">
      <c r="A317" s="0" t="s">
        <v>503</v>
      </c>
      <c r="B317" s="0" t="s">
        <v>502</v>
      </c>
      <c r="C317" s="0" t="n">
        <v>2019</v>
      </c>
      <c r="D317" s="0" t="n">
        <v>1806</v>
      </c>
      <c r="E317" s="0" t="n">
        <v>368.8</v>
      </c>
      <c r="F317" s="0" t="n">
        <v>6.7</v>
      </c>
      <c r="G317" s="0" t="n">
        <v>6.7</v>
      </c>
      <c r="H317" s="0" t="n">
        <v>30.4</v>
      </c>
      <c r="I317" s="0" t="n">
        <v>666052.8</v>
      </c>
      <c r="J317" s="0" t="n">
        <v>54902.4</v>
      </c>
    </row>
    <row r="318" customFormat="false" ht="13.8" hidden="false" customHeight="false" outlineLevel="0" collapsed="false">
      <c r="A318" s="0" t="s">
        <v>503</v>
      </c>
      <c r="B318" s="0" t="s">
        <v>502</v>
      </c>
      <c r="C318" s="0" t="n">
        <v>2020</v>
      </c>
      <c r="D318" s="0" t="n">
        <v>1771</v>
      </c>
      <c r="E318" s="0" t="n">
        <v>368.3</v>
      </c>
      <c r="F318" s="0" t="n">
        <v>6.7</v>
      </c>
      <c r="G318" s="0" t="n">
        <v>6.9</v>
      </c>
      <c r="H318" s="0" t="n">
        <v>30.6</v>
      </c>
      <c r="I318" s="0" t="n">
        <v>652259.3</v>
      </c>
      <c r="J318" s="0" t="n">
        <v>54192.6</v>
      </c>
    </row>
    <row r="319" customFormat="false" ht="13.8" hidden="false" customHeight="false" outlineLevel="0" collapsed="false">
      <c r="A319" s="0" t="s">
        <v>503</v>
      </c>
      <c r="B319" s="0" t="s">
        <v>502</v>
      </c>
      <c r="C319" s="0" t="n">
        <v>2021</v>
      </c>
      <c r="D319" s="0" t="n">
        <v>1686</v>
      </c>
      <c r="E319" s="0" t="n">
        <v>374.7</v>
      </c>
      <c r="F319" s="0" t="n">
        <v>6.6</v>
      </c>
      <c r="G319" s="0" t="n">
        <v>7</v>
      </c>
      <c r="H319" s="0" t="n">
        <v>31.1</v>
      </c>
      <c r="I319" s="0" t="n">
        <v>631744.2</v>
      </c>
      <c r="J319" s="0" t="n">
        <v>52434.6</v>
      </c>
    </row>
    <row r="320" customFormat="false" ht="13.8" hidden="false" customHeight="false" outlineLevel="0" collapsed="false">
      <c r="A320" s="0" t="s">
        <v>503</v>
      </c>
      <c r="B320" s="0" t="s">
        <v>505</v>
      </c>
      <c r="C320" s="0" t="n">
        <v>2016</v>
      </c>
      <c r="D320" s="0" t="n">
        <v>463</v>
      </c>
      <c r="E320" s="0" t="n">
        <v>414</v>
      </c>
      <c r="F320" s="0" t="n">
        <v>6</v>
      </c>
      <c r="G320" s="0" t="n">
        <v>8.2</v>
      </c>
      <c r="H320" s="0" t="n">
        <v>29.9</v>
      </c>
      <c r="I320" s="0" t="n">
        <v>191682</v>
      </c>
      <c r="J320" s="0" t="n">
        <v>13843.7</v>
      </c>
    </row>
    <row r="321" customFormat="false" ht="13.8" hidden="false" customHeight="false" outlineLevel="0" collapsed="false">
      <c r="A321" s="0" t="s">
        <v>503</v>
      </c>
      <c r="B321" s="0" t="s">
        <v>505</v>
      </c>
      <c r="C321" s="0" t="n">
        <v>2017</v>
      </c>
      <c r="D321" s="0" t="n">
        <v>406</v>
      </c>
      <c r="E321" s="0" t="n">
        <v>410.4</v>
      </c>
      <c r="F321" s="0" t="n">
        <v>5.8</v>
      </c>
      <c r="G321" s="0" t="n">
        <v>8.1</v>
      </c>
      <c r="H321" s="0" t="n">
        <v>31.4</v>
      </c>
      <c r="I321" s="0" t="n">
        <v>166622.4</v>
      </c>
      <c r="J321" s="0" t="n">
        <v>12748.4</v>
      </c>
    </row>
    <row r="322" customFormat="false" ht="13.8" hidden="false" customHeight="false" outlineLevel="0" collapsed="false">
      <c r="A322" s="0" t="s">
        <v>503</v>
      </c>
      <c r="B322" s="0" t="s">
        <v>505</v>
      </c>
      <c r="C322" s="0" t="n">
        <v>2018</v>
      </c>
      <c r="D322" s="0" t="n">
        <v>429</v>
      </c>
      <c r="E322" s="0" t="n">
        <v>417.1</v>
      </c>
      <c r="F322" s="0" t="n">
        <v>5.3</v>
      </c>
      <c r="G322" s="0" t="n">
        <v>8.1</v>
      </c>
      <c r="H322" s="0" t="n">
        <v>29.7</v>
      </c>
      <c r="I322" s="0" t="n">
        <v>178935.9</v>
      </c>
      <c r="J322" s="0" t="n">
        <v>12741.3</v>
      </c>
    </row>
    <row r="323" customFormat="false" ht="13.8" hidden="false" customHeight="false" outlineLevel="0" collapsed="false">
      <c r="A323" s="0" t="s">
        <v>503</v>
      </c>
      <c r="B323" s="0" t="s">
        <v>505</v>
      </c>
      <c r="C323" s="0" t="n">
        <v>2019</v>
      </c>
      <c r="D323" s="0" t="n">
        <v>507</v>
      </c>
      <c r="E323" s="0" t="n">
        <v>416.6</v>
      </c>
      <c r="F323" s="0" t="n">
        <v>5.4</v>
      </c>
      <c r="G323" s="0" t="n">
        <v>8.3</v>
      </c>
      <c r="H323" s="0" t="n">
        <v>30</v>
      </c>
      <c r="I323" s="0" t="n">
        <v>211216.2</v>
      </c>
      <c r="J323" s="0" t="n">
        <v>15210</v>
      </c>
    </row>
    <row r="324" customFormat="false" ht="13.8" hidden="false" customHeight="false" outlineLevel="0" collapsed="false">
      <c r="A324" s="0" t="s">
        <v>503</v>
      </c>
      <c r="B324" s="0" t="s">
        <v>505</v>
      </c>
      <c r="C324" s="0" t="n">
        <v>2020</v>
      </c>
      <c r="D324" s="0" t="n">
        <v>452</v>
      </c>
      <c r="E324" s="0" t="n">
        <v>396.3</v>
      </c>
      <c r="F324" s="0" t="n">
        <v>5.2</v>
      </c>
      <c r="G324" s="0" t="n">
        <v>8</v>
      </c>
      <c r="H324" s="0" t="n">
        <v>31.7</v>
      </c>
      <c r="I324" s="0" t="n">
        <v>179127.6</v>
      </c>
      <c r="J324" s="0" t="n">
        <v>14328.4</v>
      </c>
    </row>
    <row r="325" customFormat="false" ht="13.8" hidden="false" customHeight="false" outlineLevel="0" collapsed="false">
      <c r="A325" s="0" t="s">
        <v>503</v>
      </c>
      <c r="B325" s="0" t="s">
        <v>505</v>
      </c>
      <c r="C325" s="0" t="n">
        <v>2021</v>
      </c>
      <c r="D325" s="0" t="n">
        <v>402</v>
      </c>
      <c r="E325" s="0" t="n">
        <v>405.1</v>
      </c>
      <c r="F325" s="0" t="n">
        <v>5.4</v>
      </c>
      <c r="G325" s="0" t="n">
        <v>8.3</v>
      </c>
      <c r="H325" s="0" t="n">
        <v>30.5</v>
      </c>
      <c r="I325" s="0" t="n">
        <v>162850.2</v>
      </c>
      <c r="J325" s="0" t="n">
        <v>12261</v>
      </c>
    </row>
    <row r="326" customFormat="false" ht="13.8" hidden="false" customHeight="false" outlineLevel="0" collapsed="false">
      <c r="A326" s="0" t="s">
        <v>503</v>
      </c>
      <c r="B326" s="0" t="s">
        <v>506</v>
      </c>
      <c r="C326" s="0" t="n">
        <v>2016</v>
      </c>
      <c r="D326" s="0" t="n">
        <v>284</v>
      </c>
      <c r="E326" s="0" t="n">
        <v>386.3</v>
      </c>
      <c r="F326" s="0" t="n">
        <v>7.2</v>
      </c>
      <c r="G326" s="0" t="n">
        <v>7.2</v>
      </c>
      <c r="H326" s="0" t="n">
        <v>30.4</v>
      </c>
      <c r="I326" s="0" t="n">
        <v>109709.2</v>
      </c>
      <c r="J326" s="0" t="n">
        <v>8633.6</v>
      </c>
    </row>
    <row r="327" customFormat="false" ht="13.8" hidden="false" customHeight="false" outlineLevel="0" collapsed="false">
      <c r="A327" s="0" t="s">
        <v>503</v>
      </c>
      <c r="B327" s="0" t="s">
        <v>506</v>
      </c>
      <c r="C327" s="0" t="n">
        <v>2017</v>
      </c>
      <c r="D327" s="0" t="n">
        <v>273</v>
      </c>
      <c r="E327" s="0" t="n">
        <v>391.2</v>
      </c>
      <c r="F327" s="0" t="n">
        <v>7.4</v>
      </c>
      <c r="G327" s="0" t="n">
        <v>7.5</v>
      </c>
      <c r="H327" s="0" t="n">
        <v>29.2</v>
      </c>
      <c r="I327" s="0" t="n">
        <v>106797.6</v>
      </c>
      <c r="J327" s="0" t="n">
        <v>7971.6</v>
      </c>
    </row>
    <row r="328" customFormat="false" ht="13.8" hidden="false" customHeight="false" outlineLevel="0" collapsed="false">
      <c r="A328" s="0" t="s">
        <v>503</v>
      </c>
      <c r="B328" s="0" t="s">
        <v>506</v>
      </c>
      <c r="C328" s="0" t="n">
        <v>2018</v>
      </c>
      <c r="D328" s="0" t="n">
        <v>299</v>
      </c>
      <c r="E328" s="0" t="n">
        <v>391.2</v>
      </c>
      <c r="F328" s="0" t="n">
        <v>7.1</v>
      </c>
      <c r="G328" s="0" t="n">
        <v>7.3</v>
      </c>
      <c r="H328" s="0" t="n">
        <v>29</v>
      </c>
      <c r="I328" s="0" t="n">
        <v>116968.8</v>
      </c>
      <c r="J328" s="0" t="n">
        <v>8671</v>
      </c>
    </row>
    <row r="329" customFormat="false" ht="13.8" hidden="false" customHeight="false" outlineLevel="0" collapsed="false">
      <c r="A329" s="0" t="s">
        <v>503</v>
      </c>
      <c r="B329" s="0" t="s">
        <v>506</v>
      </c>
      <c r="C329" s="0" t="n">
        <v>2019</v>
      </c>
      <c r="D329" s="0" t="n">
        <v>446</v>
      </c>
      <c r="E329" s="0" t="n">
        <v>383.4</v>
      </c>
      <c r="F329" s="0" t="n">
        <v>6.9</v>
      </c>
      <c r="G329" s="0" t="n">
        <v>7</v>
      </c>
      <c r="H329" s="0" t="n">
        <v>30</v>
      </c>
      <c r="I329" s="0" t="n">
        <v>170996.4</v>
      </c>
      <c r="J329" s="0" t="n">
        <v>13380</v>
      </c>
    </row>
    <row r="330" customFormat="false" ht="13.8" hidden="false" customHeight="false" outlineLevel="0" collapsed="false">
      <c r="A330" s="0" t="s">
        <v>503</v>
      </c>
      <c r="B330" s="0" t="s">
        <v>506</v>
      </c>
      <c r="C330" s="0" t="n">
        <v>2020</v>
      </c>
      <c r="D330" s="0" t="n">
        <v>434</v>
      </c>
      <c r="E330" s="0" t="n">
        <v>376.9</v>
      </c>
      <c r="F330" s="0" t="n">
        <v>6.6</v>
      </c>
      <c r="G330" s="0" t="n">
        <v>7.1</v>
      </c>
      <c r="H330" s="0" t="n">
        <v>33</v>
      </c>
      <c r="I330" s="0" t="n">
        <v>163574.6</v>
      </c>
      <c r="J330" s="0" t="n">
        <v>14322</v>
      </c>
    </row>
    <row r="331" customFormat="false" ht="13.8" hidden="false" customHeight="false" outlineLevel="0" collapsed="false">
      <c r="A331" s="0" t="s">
        <v>503</v>
      </c>
      <c r="B331" s="0" t="s">
        <v>506</v>
      </c>
      <c r="C331" s="0" t="n">
        <v>2021</v>
      </c>
      <c r="D331" s="0" t="n">
        <v>372</v>
      </c>
      <c r="E331" s="0" t="n">
        <v>380</v>
      </c>
      <c r="F331" s="0" t="n">
        <v>6.7</v>
      </c>
      <c r="G331" s="0" t="n">
        <v>7.2</v>
      </c>
      <c r="H331" s="0" t="n">
        <v>33.1</v>
      </c>
      <c r="I331" s="0" t="n">
        <v>141360</v>
      </c>
      <c r="J331" s="0" t="n">
        <v>12313.2</v>
      </c>
    </row>
    <row r="332" customFormat="false" ht="13.8" hidden="false" customHeight="false" outlineLevel="0" collapsed="false">
      <c r="A332" s="0" t="s">
        <v>503</v>
      </c>
      <c r="B332" s="0" t="s">
        <v>508</v>
      </c>
      <c r="C332" s="0" t="n">
        <v>2016</v>
      </c>
      <c r="D332" s="0" t="n">
        <v>100</v>
      </c>
      <c r="E332" s="0" t="n">
        <v>407.8</v>
      </c>
      <c r="F332" s="0" t="n">
        <v>6</v>
      </c>
      <c r="G332" s="0" t="n">
        <v>9.3</v>
      </c>
      <c r="H332" s="0" t="n">
        <v>30.1</v>
      </c>
      <c r="I332" s="0" t="n">
        <v>40780</v>
      </c>
      <c r="J332" s="0" t="n">
        <v>3010</v>
      </c>
    </row>
    <row r="333" customFormat="false" ht="13.8" hidden="false" customHeight="false" outlineLevel="0" collapsed="false">
      <c r="A333" s="0" t="s">
        <v>503</v>
      </c>
      <c r="B333" s="0" t="s">
        <v>508</v>
      </c>
      <c r="C333" s="0" t="n">
        <v>2017</v>
      </c>
      <c r="D333" s="0" t="n">
        <v>104</v>
      </c>
      <c r="E333" s="0" t="n">
        <v>409.1</v>
      </c>
      <c r="F333" s="0" t="n">
        <v>5.5</v>
      </c>
      <c r="G333" s="0" t="n">
        <v>9.4</v>
      </c>
      <c r="H333" s="0" t="n">
        <v>29.1</v>
      </c>
      <c r="I333" s="0" t="n">
        <v>42546.4</v>
      </c>
      <c r="J333" s="0" t="n">
        <v>3026.4</v>
      </c>
    </row>
    <row r="334" customFormat="false" ht="13.8" hidden="false" customHeight="false" outlineLevel="0" collapsed="false">
      <c r="A334" s="0" t="s">
        <v>503</v>
      </c>
      <c r="B334" s="0" t="s">
        <v>508</v>
      </c>
      <c r="C334" s="0" t="n">
        <v>2018</v>
      </c>
      <c r="D334" s="0" t="n">
        <v>161</v>
      </c>
      <c r="E334" s="0" t="n">
        <v>415.9</v>
      </c>
      <c r="F334" s="0" t="n">
        <v>5.1</v>
      </c>
      <c r="G334" s="0" t="n">
        <v>9.2</v>
      </c>
      <c r="H334" s="0" t="n">
        <v>30.9</v>
      </c>
      <c r="I334" s="0" t="n">
        <v>66959.9</v>
      </c>
      <c r="J334" s="0" t="n">
        <v>4974.9</v>
      </c>
    </row>
    <row r="335" customFormat="false" ht="13.8" hidden="false" customHeight="false" outlineLevel="0" collapsed="false">
      <c r="A335" s="0" t="s">
        <v>503</v>
      </c>
      <c r="B335" s="0" t="s">
        <v>508</v>
      </c>
      <c r="C335" s="0" t="n">
        <v>2019</v>
      </c>
      <c r="D335" s="0" t="n">
        <v>193</v>
      </c>
      <c r="E335" s="0" t="n">
        <v>407.1</v>
      </c>
      <c r="F335" s="0" t="n">
        <v>5.4</v>
      </c>
      <c r="G335" s="0" t="n">
        <v>8.8</v>
      </c>
      <c r="H335" s="0" t="n">
        <v>31.5</v>
      </c>
      <c r="I335" s="0" t="n">
        <v>78570.3</v>
      </c>
      <c r="J335" s="0" t="n">
        <v>6079.5</v>
      </c>
    </row>
    <row r="336" customFormat="false" ht="13.8" hidden="false" customHeight="false" outlineLevel="0" collapsed="false">
      <c r="A336" s="0" t="s">
        <v>503</v>
      </c>
      <c r="B336" s="0" t="s">
        <v>508</v>
      </c>
      <c r="C336" s="0" t="n">
        <v>2020</v>
      </c>
      <c r="D336" s="0" t="n">
        <v>151</v>
      </c>
      <c r="E336" s="0" t="n">
        <v>401.7</v>
      </c>
      <c r="F336" s="0" t="n">
        <v>5.1</v>
      </c>
      <c r="G336" s="0" t="n">
        <v>9</v>
      </c>
      <c r="H336" s="0" t="n">
        <v>36.8</v>
      </c>
      <c r="I336" s="0" t="n">
        <v>60656.7</v>
      </c>
      <c r="J336" s="0" t="n">
        <v>5556.8</v>
      </c>
    </row>
    <row r="337" customFormat="false" ht="13.8" hidden="false" customHeight="false" outlineLevel="0" collapsed="false">
      <c r="A337" s="0" t="s">
        <v>503</v>
      </c>
      <c r="B337" s="0" t="s">
        <v>508</v>
      </c>
      <c r="C337" s="0" t="n">
        <v>2021</v>
      </c>
      <c r="D337" s="0" t="n">
        <v>154</v>
      </c>
      <c r="E337" s="0" t="n">
        <v>405.2</v>
      </c>
      <c r="F337" s="0" t="n">
        <v>5.2</v>
      </c>
      <c r="G337" s="0" t="n">
        <v>9.2</v>
      </c>
      <c r="H337" s="0" t="n">
        <v>30.6</v>
      </c>
      <c r="I337" s="0" t="n">
        <v>62400.8</v>
      </c>
      <c r="J337" s="0" t="n">
        <v>4712.4</v>
      </c>
    </row>
    <row r="338" customFormat="false" ht="13.8" hidden="false" customHeight="false" outlineLevel="0" collapsed="false">
      <c r="A338" s="0" t="s">
        <v>503</v>
      </c>
      <c r="B338" s="0" t="s">
        <v>509</v>
      </c>
      <c r="C338" s="0" t="n">
        <v>2016</v>
      </c>
      <c r="D338" s="0" t="n">
        <v>414</v>
      </c>
      <c r="E338" s="0" t="n">
        <v>417</v>
      </c>
      <c r="F338" s="0" t="n">
        <v>5.8</v>
      </c>
      <c r="G338" s="0" t="n">
        <v>7.9</v>
      </c>
      <c r="H338" s="0" t="n">
        <v>30</v>
      </c>
      <c r="I338" s="0" t="n">
        <v>172638</v>
      </c>
      <c r="J338" s="0" t="n">
        <v>12420</v>
      </c>
    </row>
    <row r="339" customFormat="false" ht="13.8" hidden="false" customHeight="false" outlineLevel="0" collapsed="false">
      <c r="A339" s="0" t="s">
        <v>503</v>
      </c>
      <c r="B339" s="0" t="s">
        <v>509</v>
      </c>
      <c r="C339" s="0" t="n">
        <v>2017</v>
      </c>
      <c r="D339" s="0" t="n">
        <v>424</v>
      </c>
      <c r="E339" s="0" t="n">
        <v>411.4</v>
      </c>
      <c r="F339" s="0" t="n">
        <v>5.8</v>
      </c>
      <c r="G339" s="0" t="n">
        <v>7.9</v>
      </c>
      <c r="H339" s="0" t="n">
        <v>29.9</v>
      </c>
      <c r="I339" s="0" t="n">
        <v>174433.6</v>
      </c>
      <c r="J339" s="0" t="n">
        <v>12677.6</v>
      </c>
    </row>
    <row r="340" customFormat="false" ht="13.8" hidden="false" customHeight="false" outlineLevel="0" collapsed="false">
      <c r="A340" s="0" t="s">
        <v>503</v>
      </c>
      <c r="B340" s="0" t="s">
        <v>509</v>
      </c>
      <c r="C340" s="0" t="n">
        <v>2018</v>
      </c>
      <c r="D340" s="0" t="n">
        <v>489</v>
      </c>
      <c r="E340" s="0" t="n">
        <v>404.6</v>
      </c>
      <c r="F340" s="0" t="n">
        <v>5.3</v>
      </c>
      <c r="G340" s="0" t="n">
        <v>7.6</v>
      </c>
      <c r="H340" s="0" t="n">
        <v>30.1</v>
      </c>
      <c r="I340" s="0" t="n">
        <v>197849.4</v>
      </c>
      <c r="J340" s="0" t="n">
        <v>14718.9</v>
      </c>
    </row>
    <row r="341" customFormat="false" ht="13.8" hidden="false" customHeight="false" outlineLevel="0" collapsed="false">
      <c r="A341" s="0" t="s">
        <v>503</v>
      </c>
      <c r="B341" s="0" t="s">
        <v>509</v>
      </c>
      <c r="C341" s="0" t="n">
        <v>2019</v>
      </c>
      <c r="D341" s="0" t="n">
        <v>631</v>
      </c>
      <c r="E341" s="0" t="n">
        <v>390.9</v>
      </c>
      <c r="F341" s="0" t="n">
        <v>5.1</v>
      </c>
      <c r="G341" s="0" t="n">
        <v>7.5</v>
      </c>
      <c r="H341" s="0" t="n">
        <v>31.1</v>
      </c>
      <c r="I341" s="0" t="n">
        <v>246657.9</v>
      </c>
      <c r="J341" s="0" t="n">
        <v>19624.1</v>
      </c>
    </row>
    <row r="342" customFormat="false" ht="13.8" hidden="false" customHeight="false" outlineLevel="0" collapsed="false">
      <c r="A342" s="0" t="s">
        <v>503</v>
      </c>
      <c r="B342" s="0" t="s">
        <v>509</v>
      </c>
      <c r="C342" s="0" t="n">
        <v>2020</v>
      </c>
      <c r="D342" s="0" t="n">
        <v>592</v>
      </c>
      <c r="E342" s="0" t="n">
        <v>386.3</v>
      </c>
      <c r="F342" s="0" t="n">
        <v>5.3</v>
      </c>
      <c r="G342" s="0" t="n">
        <v>7.7</v>
      </c>
      <c r="H342" s="0" t="n">
        <v>31.9</v>
      </c>
      <c r="I342" s="0" t="n">
        <v>228689.6</v>
      </c>
      <c r="J342" s="0" t="n">
        <v>18884.8</v>
      </c>
    </row>
    <row r="343" customFormat="false" ht="13.8" hidden="false" customHeight="false" outlineLevel="0" collapsed="false">
      <c r="A343" s="0" t="s">
        <v>503</v>
      </c>
      <c r="B343" s="0" t="s">
        <v>509</v>
      </c>
      <c r="C343" s="0" t="n">
        <v>2021</v>
      </c>
      <c r="D343" s="0" t="n">
        <v>511</v>
      </c>
      <c r="E343" s="0" t="n">
        <v>408.2</v>
      </c>
      <c r="F343" s="0" t="n">
        <v>5.4</v>
      </c>
      <c r="G343" s="0" t="n">
        <v>7.9</v>
      </c>
      <c r="H343" s="0" t="n">
        <v>31.5</v>
      </c>
      <c r="I343" s="0" t="n">
        <v>208590.2</v>
      </c>
      <c r="J343" s="0" t="n">
        <v>16096.5</v>
      </c>
    </row>
    <row r="344" customFormat="false" ht="13.8" hidden="false" customHeight="false" outlineLevel="0" collapsed="false">
      <c r="A344" s="0" t="s">
        <v>503</v>
      </c>
      <c r="B344" s="0" t="s">
        <v>511</v>
      </c>
      <c r="C344" s="0" t="n">
        <v>2016</v>
      </c>
      <c r="D344" s="0" t="n">
        <v>251</v>
      </c>
      <c r="E344" s="0" t="n">
        <v>244.4</v>
      </c>
      <c r="F344" s="0" t="n">
        <v>5.4</v>
      </c>
      <c r="G344" s="0" t="n">
        <v>5.1</v>
      </c>
      <c r="H344" s="0" t="n">
        <v>35.4</v>
      </c>
      <c r="I344" s="0" t="n">
        <v>61344.4</v>
      </c>
      <c r="J344" s="0" t="n">
        <v>8885.4</v>
      </c>
    </row>
    <row r="345" customFormat="false" ht="13.8" hidden="false" customHeight="false" outlineLevel="0" collapsed="false">
      <c r="A345" s="0" t="s">
        <v>503</v>
      </c>
      <c r="B345" s="0" t="s">
        <v>511</v>
      </c>
      <c r="C345" s="0" t="n">
        <v>2017</v>
      </c>
      <c r="D345" s="0" t="n">
        <v>207</v>
      </c>
      <c r="E345" s="0" t="n">
        <v>235</v>
      </c>
      <c r="F345" s="0" t="n">
        <v>5.2</v>
      </c>
      <c r="G345" s="0" t="n">
        <v>5.1</v>
      </c>
      <c r="H345" s="0" t="n">
        <v>32.5</v>
      </c>
      <c r="I345" s="0" t="n">
        <v>48645</v>
      </c>
      <c r="J345" s="0" t="n">
        <v>6727.5</v>
      </c>
    </row>
    <row r="346" customFormat="false" ht="13.8" hidden="false" customHeight="false" outlineLevel="0" collapsed="false">
      <c r="A346" s="0" t="s">
        <v>503</v>
      </c>
      <c r="B346" s="0" t="s">
        <v>511</v>
      </c>
      <c r="C346" s="0" t="n">
        <v>2018</v>
      </c>
      <c r="D346" s="0" t="n">
        <v>154</v>
      </c>
      <c r="E346" s="0" t="n">
        <v>234.3</v>
      </c>
      <c r="F346" s="0" t="n">
        <v>4.7</v>
      </c>
      <c r="G346" s="0" t="n">
        <v>5.4</v>
      </c>
      <c r="H346" s="0" t="n">
        <v>34.4</v>
      </c>
      <c r="I346" s="0" t="n">
        <v>36082.2</v>
      </c>
      <c r="J346" s="0" t="n">
        <v>5297.6</v>
      </c>
    </row>
    <row r="347" customFormat="false" ht="13.8" hidden="false" customHeight="false" outlineLevel="0" collapsed="false">
      <c r="A347" s="0" t="s">
        <v>503</v>
      </c>
      <c r="B347" s="0" t="s">
        <v>511</v>
      </c>
      <c r="C347" s="0" t="n">
        <v>2019</v>
      </c>
      <c r="D347" s="0" t="n">
        <v>106</v>
      </c>
      <c r="E347" s="0" t="n">
        <v>257.5</v>
      </c>
      <c r="F347" s="0" t="n">
        <v>4.6</v>
      </c>
      <c r="G347" s="0" t="n">
        <v>5.7</v>
      </c>
      <c r="H347" s="0" t="n">
        <v>35.4</v>
      </c>
      <c r="I347" s="0" t="n">
        <v>27295</v>
      </c>
      <c r="J347" s="0" t="n">
        <v>3752.4</v>
      </c>
    </row>
    <row r="348" customFormat="false" ht="13.8" hidden="false" customHeight="false" outlineLevel="0" collapsed="false">
      <c r="A348" s="0" t="s">
        <v>503</v>
      </c>
      <c r="B348" s="0" t="s">
        <v>511</v>
      </c>
      <c r="C348" s="0" t="n">
        <v>2020</v>
      </c>
      <c r="D348" s="0" t="n">
        <v>98</v>
      </c>
      <c r="E348" s="0" t="n">
        <v>235.6</v>
      </c>
      <c r="F348" s="0" t="n">
        <v>4.7</v>
      </c>
      <c r="G348" s="0" t="n">
        <v>4.9</v>
      </c>
      <c r="H348" s="0" t="n">
        <v>37.9</v>
      </c>
      <c r="I348" s="0" t="n">
        <v>23088.8</v>
      </c>
      <c r="J348" s="0" t="n">
        <v>3714.2</v>
      </c>
    </row>
    <row r="349" customFormat="false" ht="13.8" hidden="false" customHeight="false" outlineLevel="0" collapsed="false">
      <c r="A349" s="0" t="s">
        <v>503</v>
      </c>
      <c r="B349" s="0" t="s">
        <v>511</v>
      </c>
      <c r="C349" s="0" t="n">
        <v>2021</v>
      </c>
      <c r="D349" s="0" t="n">
        <v>76</v>
      </c>
      <c r="E349" s="0" t="n">
        <v>268.5</v>
      </c>
      <c r="F349" s="0" t="n">
        <v>5</v>
      </c>
      <c r="G349" s="0" t="n">
        <v>5.5</v>
      </c>
      <c r="H349" s="0" t="n">
        <v>34.8</v>
      </c>
      <c r="I349" s="0" t="n">
        <v>20406</v>
      </c>
      <c r="J349" s="0" t="n">
        <v>2644.8</v>
      </c>
    </row>
    <row r="350" customFormat="false" ht="13.8" hidden="false" customHeight="false" outlineLevel="0" collapsed="false">
      <c r="A350" s="0" t="s">
        <v>503</v>
      </c>
      <c r="B350" s="0" t="s">
        <v>512</v>
      </c>
      <c r="C350" s="0" t="n">
        <v>2016</v>
      </c>
      <c r="D350" s="0" t="n">
        <v>26</v>
      </c>
      <c r="E350" s="0" t="n">
        <v>441.5</v>
      </c>
      <c r="F350" s="0" t="n">
        <v>4.2</v>
      </c>
      <c r="G350" s="0" t="n">
        <v>10.2</v>
      </c>
      <c r="H350" s="0" t="n">
        <v>32.7</v>
      </c>
      <c r="I350" s="0" t="n">
        <v>11479</v>
      </c>
      <c r="J350" s="0" t="n">
        <v>850.2</v>
      </c>
    </row>
    <row r="351" customFormat="false" ht="13.8" hidden="false" customHeight="false" outlineLevel="0" collapsed="false">
      <c r="A351" s="0" t="s">
        <v>503</v>
      </c>
      <c r="B351" s="0" t="s">
        <v>512</v>
      </c>
      <c r="C351" s="0" t="n">
        <v>2017</v>
      </c>
      <c r="D351" s="0" t="n">
        <v>40</v>
      </c>
      <c r="E351" s="0" t="n">
        <v>365.1</v>
      </c>
      <c r="F351" s="0" t="n">
        <v>4.9</v>
      </c>
      <c r="G351" s="0" t="n">
        <v>9.6</v>
      </c>
      <c r="H351" s="0" t="n">
        <v>22.6</v>
      </c>
      <c r="I351" s="0" t="n">
        <v>14604</v>
      </c>
      <c r="J351" s="0" t="n">
        <v>904</v>
      </c>
    </row>
    <row r="352" customFormat="false" ht="13.8" hidden="false" customHeight="false" outlineLevel="0" collapsed="false">
      <c r="A352" s="0" t="s">
        <v>503</v>
      </c>
      <c r="B352" s="0" t="s">
        <v>512</v>
      </c>
      <c r="C352" s="0" t="n">
        <v>2018</v>
      </c>
      <c r="D352" s="0" t="n">
        <v>29</v>
      </c>
      <c r="E352" s="0" t="n">
        <v>456.2</v>
      </c>
      <c r="F352" s="0" t="n">
        <v>5</v>
      </c>
      <c r="G352" s="0" t="n">
        <v>10</v>
      </c>
      <c r="H352" s="0" t="n">
        <v>40.6</v>
      </c>
      <c r="I352" s="0" t="n">
        <v>13229.8</v>
      </c>
      <c r="J352" s="0" t="n">
        <v>1177.4</v>
      </c>
    </row>
    <row r="353" customFormat="false" ht="13.8" hidden="false" customHeight="false" outlineLevel="0" collapsed="false">
      <c r="A353" s="0" t="s">
        <v>503</v>
      </c>
      <c r="B353" s="0" t="s">
        <v>512</v>
      </c>
      <c r="C353" s="0" t="n">
        <v>2019</v>
      </c>
      <c r="D353" s="0" t="n">
        <v>16</v>
      </c>
      <c r="E353" s="0" t="n">
        <v>453.4</v>
      </c>
      <c r="F353" s="0" t="n">
        <v>4.3</v>
      </c>
      <c r="G353" s="0" t="n">
        <v>9.6</v>
      </c>
      <c r="H353" s="0" t="n">
        <v>36.9</v>
      </c>
      <c r="I353" s="0" t="n">
        <v>7254.4</v>
      </c>
      <c r="J353" s="0" t="n">
        <v>590.4</v>
      </c>
    </row>
    <row r="354" customFormat="false" ht="13.8" hidden="false" customHeight="false" outlineLevel="0" collapsed="false">
      <c r="A354" s="0" t="s">
        <v>503</v>
      </c>
      <c r="B354" s="0" t="s">
        <v>512</v>
      </c>
      <c r="C354" s="0" t="n">
        <v>2020</v>
      </c>
      <c r="D354" s="0" t="n">
        <v>26</v>
      </c>
      <c r="E354" s="0" t="n">
        <v>445.2</v>
      </c>
      <c r="F354" s="0" t="n">
        <v>4.3</v>
      </c>
      <c r="G354" s="0" t="n">
        <v>10.4</v>
      </c>
      <c r="H354" s="0" t="n">
        <v>30.4</v>
      </c>
      <c r="I354" s="0" t="n">
        <v>11575.2</v>
      </c>
      <c r="J354" s="0" t="n">
        <v>790.4</v>
      </c>
    </row>
    <row r="355" customFormat="false" ht="13.8" hidden="false" customHeight="false" outlineLevel="0" collapsed="false">
      <c r="A355" s="0" t="s">
        <v>503</v>
      </c>
      <c r="B355" s="0" t="s">
        <v>512</v>
      </c>
      <c r="C355" s="0" t="n">
        <v>2021</v>
      </c>
      <c r="D355" s="0" t="n">
        <v>15</v>
      </c>
      <c r="E355" s="0" t="n">
        <v>467.9</v>
      </c>
      <c r="F355" s="0" t="n">
        <v>4.4</v>
      </c>
      <c r="G355" s="0" t="n">
        <v>9.3</v>
      </c>
      <c r="H355" s="0" t="n">
        <v>28.6</v>
      </c>
      <c r="I355" s="0" t="n">
        <v>7018.5</v>
      </c>
      <c r="J355" s="0" t="n">
        <v>429</v>
      </c>
    </row>
    <row r="356" customFormat="false" ht="13.8" hidden="false" customHeight="false" outlineLevel="0" collapsed="false">
      <c r="A356" s="0" t="s">
        <v>503</v>
      </c>
      <c r="B356" s="0" t="s">
        <v>513</v>
      </c>
      <c r="C356" s="0" t="n">
        <v>2016</v>
      </c>
      <c r="D356" s="0" t="n">
        <v>5075</v>
      </c>
      <c r="E356" s="0" t="n">
        <v>365.4</v>
      </c>
      <c r="F356" s="0" t="n">
        <v>6.4</v>
      </c>
      <c r="G356" s="0" t="n">
        <v>6.8</v>
      </c>
      <c r="H356" s="0" t="n">
        <v>28.9</v>
      </c>
      <c r="I356" s="0" t="n">
        <v>1854405</v>
      </c>
      <c r="J356" s="0" t="n">
        <v>146667.5</v>
      </c>
    </row>
    <row r="357" customFormat="false" ht="13.8" hidden="false" customHeight="false" outlineLevel="0" collapsed="false">
      <c r="A357" s="0" t="s">
        <v>503</v>
      </c>
      <c r="B357" s="0" t="s">
        <v>513</v>
      </c>
      <c r="C357" s="0" t="n">
        <v>2017</v>
      </c>
      <c r="D357" s="0" t="n">
        <v>5279</v>
      </c>
      <c r="E357" s="0" t="n">
        <v>370.3</v>
      </c>
      <c r="F357" s="0" t="n">
        <v>6.3</v>
      </c>
      <c r="G357" s="0" t="n">
        <v>6.9</v>
      </c>
      <c r="H357" s="0" t="n">
        <v>29</v>
      </c>
      <c r="I357" s="0" t="n">
        <v>1954813.7</v>
      </c>
      <c r="J357" s="0" t="n">
        <v>153091</v>
      </c>
    </row>
    <row r="358" customFormat="false" ht="13.8" hidden="false" customHeight="false" outlineLevel="0" collapsed="false">
      <c r="A358" s="0" t="s">
        <v>503</v>
      </c>
      <c r="B358" s="0" t="s">
        <v>513</v>
      </c>
      <c r="C358" s="0" t="n">
        <v>2018</v>
      </c>
      <c r="D358" s="0" t="n">
        <v>5478</v>
      </c>
      <c r="E358" s="0" t="n">
        <v>366</v>
      </c>
      <c r="F358" s="0" t="n">
        <v>6</v>
      </c>
      <c r="G358" s="0" t="n">
        <v>6.8</v>
      </c>
      <c r="H358" s="0" t="n">
        <v>29.1</v>
      </c>
      <c r="I358" s="0" t="n">
        <v>2004948</v>
      </c>
      <c r="J358" s="0" t="n">
        <v>159409.8</v>
      </c>
    </row>
    <row r="359" customFormat="false" ht="13.8" hidden="false" customHeight="false" outlineLevel="0" collapsed="false">
      <c r="A359" s="0" t="s">
        <v>503</v>
      </c>
      <c r="B359" s="0" t="s">
        <v>513</v>
      </c>
      <c r="C359" s="0" t="n">
        <v>2019</v>
      </c>
      <c r="D359" s="0" t="n">
        <v>6424</v>
      </c>
      <c r="E359" s="0" t="n">
        <v>361.6</v>
      </c>
      <c r="F359" s="0" t="n">
        <v>5.8</v>
      </c>
      <c r="G359" s="0" t="n">
        <v>6.7</v>
      </c>
      <c r="H359" s="0" t="n">
        <v>29.6</v>
      </c>
      <c r="I359" s="0" t="n">
        <v>2322918.4</v>
      </c>
      <c r="J359" s="0" t="n">
        <v>190150.4</v>
      </c>
    </row>
    <row r="360" customFormat="false" ht="13.8" hidden="false" customHeight="false" outlineLevel="0" collapsed="false">
      <c r="A360" s="0" t="s">
        <v>503</v>
      </c>
      <c r="B360" s="0" t="s">
        <v>513</v>
      </c>
      <c r="C360" s="0" t="n">
        <v>2020</v>
      </c>
      <c r="D360" s="0" t="n">
        <v>6649</v>
      </c>
      <c r="E360" s="0" t="n">
        <v>360.4</v>
      </c>
      <c r="F360" s="0" t="n">
        <v>5.8</v>
      </c>
      <c r="G360" s="0" t="n">
        <v>6.8</v>
      </c>
      <c r="H360" s="0" t="n">
        <v>30.2</v>
      </c>
      <c r="I360" s="0" t="n">
        <v>2396299.6</v>
      </c>
      <c r="J360" s="0" t="n">
        <v>200799.8</v>
      </c>
    </row>
    <row r="361" customFormat="false" ht="13.8" hidden="false" customHeight="false" outlineLevel="0" collapsed="false">
      <c r="A361" s="0" t="s">
        <v>503</v>
      </c>
      <c r="B361" s="0" t="s">
        <v>513</v>
      </c>
      <c r="C361" s="0" t="n">
        <v>2021</v>
      </c>
      <c r="D361" s="0" t="n">
        <v>6017</v>
      </c>
      <c r="E361" s="0" t="n">
        <v>367.3</v>
      </c>
      <c r="F361" s="0" t="n">
        <v>5.9</v>
      </c>
      <c r="G361" s="0" t="n">
        <v>7</v>
      </c>
      <c r="H361" s="0" t="n">
        <v>30.9</v>
      </c>
      <c r="I361" s="0" t="n">
        <v>2210044.1</v>
      </c>
      <c r="J361" s="0" t="n">
        <v>185925.3</v>
      </c>
    </row>
    <row r="362" customFormat="false" ht="13.8" hidden="false" customHeight="false" outlineLevel="0" collapsed="false">
      <c r="A362" s="0" t="s">
        <v>213</v>
      </c>
      <c r="B362" s="0" t="s">
        <v>489</v>
      </c>
      <c r="C362" s="0" t="n">
        <v>2016</v>
      </c>
      <c r="D362" s="0" t="n">
        <v>3715</v>
      </c>
      <c r="E362" s="0" t="n">
        <v>167.6</v>
      </c>
      <c r="F362" s="0" t="n">
        <v>5.7</v>
      </c>
      <c r="G362" s="0" t="n">
        <v>5.1</v>
      </c>
      <c r="H362" s="0" t="n">
        <v>10.6</v>
      </c>
      <c r="I362" s="0" t="n">
        <v>622634</v>
      </c>
      <c r="J362" s="0" t="n">
        <v>39379</v>
      </c>
    </row>
    <row r="363" customFormat="false" ht="13.8" hidden="false" customHeight="false" outlineLevel="0" collapsed="false">
      <c r="A363" s="0" t="s">
        <v>213</v>
      </c>
      <c r="B363" s="0" t="s">
        <v>489</v>
      </c>
      <c r="C363" s="0" t="n">
        <v>2017</v>
      </c>
      <c r="D363" s="0" t="n">
        <v>2935</v>
      </c>
      <c r="E363" s="0" t="n">
        <v>170.7</v>
      </c>
      <c r="F363" s="0" t="n">
        <v>5.7</v>
      </c>
      <c r="G363" s="0" t="n">
        <v>5.1</v>
      </c>
      <c r="H363" s="0" t="n">
        <v>9.6</v>
      </c>
      <c r="I363" s="0" t="n">
        <v>501004.5</v>
      </c>
      <c r="J363" s="0" t="n">
        <v>28176</v>
      </c>
    </row>
    <row r="364" customFormat="false" ht="13.8" hidden="false" customHeight="false" outlineLevel="0" collapsed="false">
      <c r="A364" s="0" t="s">
        <v>213</v>
      </c>
      <c r="B364" s="0" t="s">
        <v>489</v>
      </c>
      <c r="C364" s="0" t="n">
        <v>2018</v>
      </c>
      <c r="D364" s="0" t="n">
        <v>2645</v>
      </c>
      <c r="E364" s="0" t="n">
        <v>170.1</v>
      </c>
      <c r="F364" s="0" t="n">
        <v>5.5</v>
      </c>
      <c r="G364" s="0" t="n">
        <v>5.1</v>
      </c>
      <c r="H364" s="0" t="n">
        <v>10.3</v>
      </c>
      <c r="I364" s="0" t="n">
        <v>449914.5</v>
      </c>
      <c r="J364" s="0" t="n">
        <v>27243.5</v>
      </c>
    </row>
    <row r="365" customFormat="false" ht="13.8" hidden="false" customHeight="false" outlineLevel="0" collapsed="false">
      <c r="A365" s="0" t="s">
        <v>213</v>
      </c>
      <c r="B365" s="0" t="s">
        <v>489</v>
      </c>
      <c r="C365" s="0" t="n">
        <v>2019</v>
      </c>
      <c r="D365" s="0" t="n">
        <v>2526</v>
      </c>
      <c r="E365" s="0" t="n">
        <v>169.6</v>
      </c>
      <c r="F365" s="0" t="n">
        <v>5.5</v>
      </c>
      <c r="G365" s="0" t="n">
        <v>4.9</v>
      </c>
      <c r="H365" s="0" t="n">
        <v>11.2</v>
      </c>
      <c r="I365" s="0" t="n">
        <v>428409.6</v>
      </c>
      <c r="J365" s="0" t="n">
        <v>28291.2</v>
      </c>
    </row>
    <row r="366" customFormat="false" ht="13.8" hidden="false" customHeight="false" outlineLevel="0" collapsed="false">
      <c r="A366" s="0" t="s">
        <v>213</v>
      </c>
      <c r="B366" s="0" t="s">
        <v>489</v>
      </c>
      <c r="C366" s="0" t="n">
        <v>2020</v>
      </c>
      <c r="D366" s="0" t="n">
        <v>2237</v>
      </c>
      <c r="E366" s="0" t="n">
        <v>168.3</v>
      </c>
      <c r="F366" s="0" t="n">
        <v>5.6</v>
      </c>
      <c r="G366" s="0" t="n">
        <v>4.9</v>
      </c>
      <c r="H366" s="0" t="n">
        <v>11.1</v>
      </c>
      <c r="I366" s="0" t="n">
        <v>376487.1</v>
      </c>
      <c r="J366" s="0" t="n">
        <v>24830.7</v>
      </c>
    </row>
    <row r="367" customFormat="false" ht="13.8" hidden="false" customHeight="false" outlineLevel="0" collapsed="false">
      <c r="A367" s="0" t="s">
        <v>213</v>
      </c>
      <c r="B367" s="0" t="s">
        <v>489</v>
      </c>
      <c r="C367" s="0" t="n">
        <v>2021</v>
      </c>
      <c r="D367" s="0" t="n">
        <v>2281</v>
      </c>
      <c r="E367" s="0" t="n">
        <v>172</v>
      </c>
      <c r="F367" s="0" t="n">
        <v>5.5</v>
      </c>
      <c r="G367" s="0" t="n">
        <v>5.1</v>
      </c>
      <c r="H367" s="0" t="n">
        <v>12.4</v>
      </c>
      <c r="I367" s="0" t="n">
        <v>392332</v>
      </c>
      <c r="J367" s="0" t="n">
        <v>28284.4</v>
      </c>
    </row>
    <row r="368" customFormat="false" ht="13.8" hidden="false" customHeight="false" outlineLevel="0" collapsed="false">
      <c r="A368" s="0" t="s">
        <v>213</v>
      </c>
      <c r="B368" s="0" t="s">
        <v>497</v>
      </c>
      <c r="C368" s="0" t="n">
        <v>2016</v>
      </c>
      <c r="D368" s="0" t="n">
        <v>8472</v>
      </c>
      <c r="E368" s="0" t="n">
        <v>169.2</v>
      </c>
      <c r="F368" s="0" t="n">
        <v>5.1</v>
      </c>
      <c r="G368" s="0" t="n">
        <v>4.5</v>
      </c>
      <c r="H368" s="0" t="n">
        <v>9.5</v>
      </c>
      <c r="I368" s="0" t="n">
        <v>1433462.4</v>
      </c>
      <c r="J368" s="0" t="n">
        <v>80484</v>
      </c>
    </row>
    <row r="369" customFormat="false" ht="13.8" hidden="false" customHeight="false" outlineLevel="0" collapsed="false">
      <c r="A369" s="0" t="s">
        <v>213</v>
      </c>
      <c r="B369" s="0" t="s">
        <v>497</v>
      </c>
      <c r="C369" s="0" t="n">
        <v>2017</v>
      </c>
      <c r="D369" s="0" t="n">
        <v>7393</v>
      </c>
      <c r="E369" s="0" t="n">
        <v>171.7</v>
      </c>
      <c r="F369" s="0" t="n">
        <v>5.1</v>
      </c>
      <c r="G369" s="0" t="n">
        <v>4.4</v>
      </c>
      <c r="H369" s="0" t="n">
        <v>9.9</v>
      </c>
      <c r="I369" s="0" t="n">
        <v>1269378.1</v>
      </c>
      <c r="J369" s="0" t="n">
        <v>73190.7</v>
      </c>
    </row>
    <row r="370" customFormat="false" ht="13.8" hidden="false" customHeight="false" outlineLevel="0" collapsed="false">
      <c r="A370" s="0" t="s">
        <v>213</v>
      </c>
      <c r="B370" s="0" t="s">
        <v>497</v>
      </c>
      <c r="C370" s="0" t="n">
        <v>2018</v>
      </c>
      <c r="D370" s="0" t="n">
        <v>7577</v>
      </c>
      <c r="E370" s="0" t="n">
        <v>169.8</v>
      </c>
      <c r="F370" s="0" t="n">
        <v>5.1</v>
      </c>
      <c r="G370" s="0" t="n">
        <v>4.4</v>
      </c>
      <c r="H370" s="0" t="n">
        <v>12</v>
      </c>
      <c r="I370" s="0" t="n">
        <v>1286574.6</v>
      </c>
      <c r="J370" s="0" t="n">
        <v>90924</v>
      </c>
    </row>
    <row r="371" customFormat="false" ht="13.8" hidden="false" customHeight="false" outlineLevel="0" collapsed="false">
      <c r="A371" s="0" t="s">
        <v>213</v>
      </c>
      <c r="B371" s="0" t="s">
        <v>497</v>
      </c>
      <c r="C371" s="0" t="n">
        <v>2019</v>
      </c>
      <c r="D371" s="0" t="n">
        <v>7329</v>
      </c>
      <c r="E371" s="0" t="n">
        <v>169.1</v>
      </c>
      <c r="F371" s="0" t="n">
        <v>5</v>
      </c>
      <c r="G371" s="0" t="n">
        <v>4.4</v>
      </c>
      <c r="H371" s="0" t="n">
        <v>12.5</v>
      </c>
      <c r="I371" s="0" t="n">
        <v>1239333.9</v>
      </c>
      <c r="J371" s="0" t="n">
        <v>91612.5</v>
      </c>
    </row>
    <row r="372" customFormat="false" ht="13.8" hidden="false" customHeight="false" outlineLevel="0" collapsed="false">
      <c r="A372" s="0" t="s">
        <v>213</v>
      </c>
      <c r="B372" s="0" t="s">
        <v>497</v>
      </c>
      <c r="C372" s="0" t="n">
        <v>2020</v>
      </c>
      <c r="D372" s="0" t="n">
        <v>7258</v>
      </c>
      <c r="E372" s="0" t="n">
        <v>168.4</v>
      </c>
      <c r="F372" s="0" t="n">
        <v>5.1</v>
      </c>
      <c r="G372" s="0" t="n">
        <v>4.4</v>
      </c>
      <c r="H372" s="0" t="n">
        <v>11.5</v>
      </c>
      <c r="I372" s="0" t="n">
        <v>1222247.2</v>
      </c>
      <c r="J372" s="0" t="n">
        <v>83467</v>
      </c>
    </row>
    <row r="373" customFormat="false" ht="13.8" hidden="false" customHeight="false" outlineLevel="0" collapsed="false">
      <c r="A373" s="0" t="s">
        <v>213</v>
      </c>
      <c r="B373" s="0" t="s">
        <v>497</v>
      </c>
      <c r="C373" s="0" t="n">
        <v>2021</v>
      </c>
      <c r="D373" s="0" t="n">
        <v>5700</v>
      </c>
      <c r="E373" s="0" t="n">
        <v>170.5</v>
      </c>
      <c r="F373" s="0" t="n">
        <v>5.1</v>
      </c>
      <c r="G373" s="0" t="n">
        <v>4.4</v>
      </c>
      <c r="H373" s="0" t="n">
        <v>13.7</v>
      </c>
      <c r="I373" s="0" t="n">
        <v>971850</v>
      </c>
      <c r="J373" s="0" t="n">
        <v>78090</v>
      </c>
    </row>
    <row r="374" customFormat="false" ht="13.8" hidden="false" customHeight="false" outlineLevel="0" collapsed="false">
      <c r="A374" s="0" t="s">
        <v>213</v>
      </c>
      <c r="B374" s="0" t="s">
        <v>502</v>
      </c>
      <c r="C374" s="0" t="n">
        <v>2016</v>
      </c>
      <c r="D374" s="0" t="n">
        <v>253</v>
      </c>
      <c r="E374" s="0" t="n">
        <v>152</v>
      </c>
      <c r="F374" s="0" t="n">
        <v>5.9</v>
      </c>
      <c r="G374" s="0" t="n">
        <v>5.6</v>
      </c>
      <c r="H374" s="0" t="n">
        <v>10.6</v>
      </c>
      <c r="I374" s="0" t="n">
        <v>38456</v>
      </c>
      <c r="J374" s="0" t="n">
        <v>2681.8</v>
      </c>
    </row>
    <row r="375" customFormat="false" ht="13.8" hidden="false" customHeight="false" outlineLevel="0" collapsed="false">
      <c r="A375" s="0" t="s">
        <v>213</v>
      </c>
      <c r="B375" s="0" t="s">
        <v>502</v>
      </c>
      <c r="C375" s="0" t="n">
        <v>2017</v>
      </c>
      <c r="D375" s="0" t="n">
        <v>269</v>
      </c>
      <c r="E375" s="0" t="n">
        <v>155.8</v>
      </c>
      <c r="F375" s="0" t="n">
        <v>6.6</v>
      </c>
      <c r="G375" s="0" t="n">
        <v>5.6</v>
      </c>
      <c r="H375" s="0" t="n">
        <v>10.3</v>
      </c>
      <c r="I375" s="0" t="n">
        <v>41910.2</v>
      </c>
      <c r="J375" s="0" t="n">
        <v>2770.7</v>
      </c>
    </row>
    <row r="376" customFormat="false" ht="13.8" hidden="false" customHeight="false" outlineLevel="0" collapsed="false">
      <c r="A376" s="0" t="s">
        <v>213</v>
      </c>
      <c r="B376" s="0" t="s">
        <v>502</v>
      </c>
      <c r="C376" s="0" t="n">
        <v>2018</v>
      </c>
      <c r="D376" s="0" t="n">
        <v>408</v>
      </c>
      <c r="E376" s="0" t="n">
        <v>156</v>
      </c>
      <c r="F376" s="0" t="n">
        <v>6.4</v>
      </c>
      <c r="G376" s="0" t="n">
        <v>5.7</v>
      </c>
      <c r="H376" s="0" t="n">
        <v>11.8</v>
      </c>
      <c r="I376" s="0" t="n">
        <v>63648</v>
      </c>
      <c r="J376" s="0" t="n">
        <v>4814.4</v>
      </c>
    </row>
    <row r="377" customFormat="false" ht="13.8" hidden="false" customHeight="false" outlineLevel="0" collapsed="false">
      <c r="A377" s="0" t="s">
        <v>213</v>
      </c>
      <c r="B377" s="0" t="s">
        <v>502</v>
      </c>
      <c r="C377" s="0" t="n">
        <v>2019</v>
      </c>
      <c r="D377" s="0" t="n">
        <v>411</v>
      </c>
      <c r="E377" s="0" t="n">
        <v>158.8</v>
      </c>
      <c r="F377" s="0" t="n">
        <v>6.2</v>
      </c>
      <c r="G377" s="0" t="n">
        <v>5.4</v>
      </c>
      <c r="H377" s="0" t="n">
        <v>9.5</v>
      </c>
      <c r="I377" s="0" t="n">
        <v>65266.8</v>
      </c>
      <c r="J377" s="0" t="n">
        <v>3904.5</v>
      </c>
    </row>
    <row r="378" customFormat="false" ht="13.8" hidden="false" customHeight="false" outlineLevel="0" collapsed="false">
      <c r="A378" s="0" t="s">
        <v>213</v>
      </c>
      <c r="B378" s="0" t="s">
        <v>502</v>
      </c>
      <c r="C378" s="0" t="n">
        <v>2020</v>
      </c>
      <c r="D378" s="0" t="n">
        <v>320</v>
      </c>
      <c r="E378" s="0" t="n">
        <v>156.1</v>
      </c>
      <c r="F378" s="0" t="n">
        <v>5.9</v>
      </c>
      <c r="G378" s="0" t="n">
        <v>5.5</v>
      </c>
      <c r="H378" s="0" t="n">
        <v>12.2</v>
      </c>
      <c r="I378" s="0" t="n">
        <v>49952</v>
      </c>
      <c r="J378" s="0" t="n">
        <v>3904</v>
      </c>
    </row>
    <row r="379" customFormat="false" ht="13.8" hidden="false" customHeight="false" outlineLevel="0" collapsed="false">
      <c r="A379" s="0" t="s">
        <v>213</v>
      </c>
      <c r="B379" s="0" t="s">
        <v>502</v>
      </c>
      <c r="C379" s="0" t="n">
        <v>2021</v>
      </c>
      <c r="D379" s="0" t="n">
        <v>290</v>
      </c>
      <c r="E379" s="0" t="n">
        <v>155.5</v>
      </c>
      <c r="F379" s="0" t="n">
        <v>5.5</v>
      </c>
      <c r="G379" s="0" t="n">
        <v>5.5</v>
      </c>
      <c r="H379" s="0" t="n">
        <v>22.7</v>
      </c>
      <c r="I379" s="0" t="n">
        <v>45095</v>
      </c>
      <c r="J379" s="0" t="n">
        <v>6583</v>
      </c>
    </row>
    <row r="380" customFormat="false" ht="13.8" hidden="false" customHeight="false" outlineLevel="0" collapsed="false">
      <c r="A380" s="0" t="s">
        <v>213</v>
      </c>
      <c r="B380" s="0" t="s">
        <v>505</v>
      </c>
      <c r="C380" s="0" t="n">
        <v>2016</v>
      </c>
      <c r="D380" s="0" t="n">
        <v>70</v>
      </c>
      <c r="E380" s="0" t="n">
        <v>166.9</v>
      </c>
      <c r="F380" s="0" t="n">
        <v>5</v>
      </c>
      <c r="G380" s="0" t="n">
        <v>6.4</v>
      </c>
      <c r="H380" s="0" t="n">
        <v>9.9</v>
      </c>
      <c r="I380" s="0" t="n">
        <v>11683</v>
      </c>
      <c r="J380" s="0" t="n">
        <v>693</v>
      </c>
    </row>
    <row r="381" customFormat="false" ht="13.8" hidden="false" customHeight="false" outlineLevel="0" collapsed="false">
      <c r="A381" s="0" t="s">
        <v>213</v>
      </c>
      <c r="B381" s="0" t="s">
        <v>505</v>
      </c>
      <c r="C381" s="0" t="n">
        <v>2017</v>
      </c>
      <c r="D381" s="0" t="n">
        <v>56</v>
      </c>
      <c r="E381" s="0" t="n">
        <v>170.6</v>
      </c>
      <c r="F381" s="0" t="n">
        <v>5</v>
      </c>
      <c r="G381" s="0" t="n">
        <v>6.3</v>
      </c>
      <c r="H381" s="0" t="n">
        <v>11.3</v>
      </c>
      <c r="I381" s="0" t="n">
        <v>9553.6</v>
      </c>
      <c r="J381" s="0" t="n">
        <v>632.8</v>
      </c>
    </row>
    <row r="382" customFormat="false" ht="13.8" hidden="false" customHeight="false" outlineLevel="0" collapsed="false">
      <c r="A382" s="0" t="s">
        <v>213</v>
      </c>
      <c r="B382" s="0" t="s">
        <v>505</v>
      </c>
      <c r="C382" s="0" t="n">
        <v>2018</v>
      </c>
      <c r="D382" s="0" t="n">
        <v>111</v>
      </c>
      <c r="E382" s="0" t="n">
        <v>174.2</v>
      </c>
      <c r="F382" s="0" t="n">
        <v>5</v>
      </c>
      <c r="G382" s="0" t="n">
        <v>6.6</v>
      </c>
      <c r="H382" s="0" t="n">
        <v>10.5</v>
      </c>
      <c r="I382" s="0" t="n">
        <v>19336.2</v>
      </c>
      <c r="J382" s="0" t="n">
        <v>1165.5</v>
      </c>
    </row>
    <row r="383" customFormat="false" ht="13.8" hidden="false" customHeight="false" outlineLevel="0" collapsed="false">
      <c r="A383" s="0" t="s">
        <v>213</v>
      </c>
      <c r="B383" s="0" t="s">
        <v>505</v>
      </c>
      <c r="C383" s="0" t="n">
        <v>2019</v>
      </c>
      <c r="D383" s="0" t="n">
        <v>109</v>
      </c>
      <c r="E383" s="0" t="n">
        <v>169.1</v>
      </c>
      <c r="F383" s="0" t="n">
        <v>5.8</v>
      </c>
      <c r="G383" s="0" t="n">
        <v>6.3</v>
      </c>
      <c r="H383" s="0" t="n">
        <v>11</v>
      </c>
      <c r="I383" s="0" t="n">
        <v>18431.9</v>
      </c>
      <c r="J383" s="0" t="n">
        <v>1199</v>
      </c>
    </row>
    <row r="384" customFormat="false" ht="13.8" hidden="false" customHeight="false" outlineLevel="0" collapsed="false">
      <c r="A384" s="0" t="s">
        <v>213</v>
      </c>
      <c r="B384" s="0" t="s">
        <v>505</v>
      </c>
      <c r="C384" s="0" t="n">
        <v>2020</v>
      </c>
      <c r="D384" s="0" t="n">
        <v>127</v>
      </c>
      <c r="E384" s="0" t="n">
        <v>172.4</v>
      </c>
      <c r="F384" s="0" t="n">
        <v>5.7</v>
      </c>
      <c r="G384" s="0" t="n">
        <v>6.5</v>
      </c>
      <c r="H384" s="0" t="n">
        <v>9.5</v>
      </c>
      <c r="I384" s="0" t="n">
        <v>21894.8</v>
      </c>
      <c r="J384" s="0" t="n">
        <v>1206.5</v>
      </c>
    </row>
    <row r="385" customFormat="false" ht="13.8" hidden="false" customHeight="false" outlineLevel="0" collapsed="false">
      <c r="A385" s="0" t="s">
        <v>213</v>
      </c>
      <c r="B385" s="0" t="s">
        <v>505</v>
      </c>
      <c r="C385" s="0" t="n">
        <v>2021</v>
      </c>
      <c r="D385" s="0" t="n">
        <v>92</v>
      </c>
      <c r="E385" s="0" t="n">
        <v>184</v>
      </c>
      <c r="F385" s="0" t="n">
        <v>6</v>
      </c>
      <c r="G385" s="0" t="n">
        <v>6.6</v>
      </c>
      <c r="H385" s="0" t="n">
        <v>16.8</v>
      </c>
      <c r="I385" s="0" t="n">
        <v>16928</v>
      </c>
      <c r="J385" s="0" t="n">
        <v>1545.6</v>
      </c>
    </row>
    <row r="386" customFormat="false" ht="13.8" hidden="false" customHeight="false" outlineLevel="0" collapsed="false">
      <c r="A386" s="0" t="s">
        <v>213</v>
      </c>
      <c r="B386" s="0" t="s">
        <v>506</v>
      </c>
      <c r="C386" s="0" t="n">
        <v>2016</v>
      </c>
      <c r="D386" s="0" t="n">
        <v>234</v>
      </c>
      <c r="E386" s="0" t="n">
        <v>149</v>
      </c>
      <c r="F386" s="0" t="n">
        <v>6.5</v>
      </c>
      <c r="G386" s="0" t="n">
        <v>6.3</v>
      </c>
      <c r="H386" s="0" t="n">
        <v>8.5</v>
      </c>
      <c r="I386" s="0" t="n">
        <v>34866</v>
      </c>
      <c r="J386" s="0" t="n">
        <v>1989</v>
      </c>
    </row>
    <row r="387" customFormat="false" ht="13.8" hidden="false" customHeight="false" outlineLevel="0" collapsed="false">
      <c r="A387" s="0" t="s">
        <v>213</v>
      </c>
      <c r="B387" s="0" t="s">
        <v>506</v>
      </c>
      <c r="C387" s="0" t="n">
        <v>2017</v>
      </c>
      <c r="D387" s="0" t="n">
        <v>247</v>
      </c>
      <c r="E387" s="0" t="n">
        <v>157.4</v>
      </c>
      <c r="F387" s="0" t="n">
        <v>6.5</v>
      </c>
      <c r="G387" s="0" t="n">
        <v>6.3</v>
      </c>
      <c r="H387" s="0" t="n">
        <v>10.3</v>
      </c>
      <c r="I387" s="0" t="n">
        <v>38877.8</v>
      </c>
      <c r="J387" s="0" t="n">
        <v>2544.1</v>
      </c>
    </row>
    <row r="388" customFormat="false" ht="13.8" hidden="false" customHeight="false" outlineLevel="0" collapsed="false">
      <c r="A388" s="0" t="s">
        <v>213</v>
      </c>
      <c r="B388" s="0" t="s">
        <v>506</v>
      </c>
      <c r="C388" s="0" t="n">
        <v>2018</v>
      </c>
      <c r="D388" s="0" t="n">
        <v>297</v>
      </c>
      <c r="E388" s="0" t="n">
        <v>157.6</v>
      </c>
      <c r="F388" s="0" t="n">
        <v>6.4</v>
      </c>
      <c r="G388" s="0" t="n">
        <v>6.2</v>
      </c>
      <c r="H388" s="0" t="n">
        <v>10.7</v>
      </c>
      <c r="I388" s="0" t="n">
        <v>46807.2</v>
      </c>
      <c r="J388" s="0" t="n">
        <v>3177.9</v>
      </c>
    </row>
    <row r="389" customFormat="false" ht="13.8" hidden="false" customHeight="false" outlineLevel="0" collapsed="false">
      <c r="A389" s="0" t="s">
        <v>213</v>
      </c>
      <c r="B389" s="0" t="s">
        <v>506</v>
      </c>
      <c r="C389" s="0" t="n">
        <v>2019</v>
      </c>
      <c r="D389" s="0" t="n">
        <v>281</v>
      </c>
      <c r="E389" s="0" t="n">
        <v>134.9</v>
      </c>
      <c r="F389" s="0" t="n">
        <v>5.5</v>
      </c>
      <c r="G389" s="0" t="n">
        <v>5.7</v>
      </c>
      <c r="H389" s="0" t="n">
        <v>12.7</v>
      </c>
      <c r="I389" s="0" t="n">
        <v>37906.9</v>
      </c>
      <c r="J389" s="0" t="n">
        <v>3568.7</v>
      </c>
    </row>
    <row r="390" customFormat="false" ht="13.8" hidden="false" customHeight="false" outlineLevel="0" collapsed="false">
      <c r="A390" s="0" t="s">
        <v>213</v>
      </c>
      <c r="B390" s="0" t="s">
        <v>506</v>
      </c>
      <c r="C390" s="0" t="n">
        <v>2020</v>
      </c>
      <c r="D390" s="0" t="n">
        <v>260</v>
      </c>
      <c r="E390" s="0" t="n">
        <v>138.1</v>
      </c>
      <c r="F390" s="0" t="n">
        <v>5.6</v>
      </c>
      <c r="G390" s="0" t="n">
        <v>5.3</v>
      </c>
      <c r="H390" s="0" t="n">
        <v>10.2</v>
      </c>
      <c r="I390" s="0" t="n">
        <v>35906</v>
      </c>
      <c r="J390" s="0" t="n">
        <v>2652</v>
      </c>
    </row>
    <row r="391" customFormat="false" ht="13.8" hidden="false" customHeight="false" outlineLevel="0" collapsed="false">
      <c r="A391" s="0" t="s">
        <v>213</v>
      </c>
      <c r="B391" s="0" t="s">
        <v>506</v>
      </c>
      <c r="C391" s="0" t="n">
        <v>2021</v>
      </c>
      <c r="D391" s="0" t="n">
        <v>271</v>
      </c>
      <c r="E391" s="0" t="n">
        <v>137.1</v>
      </c>
      <c r="F391" s="0" t="n">
        <v>5.2</v>
      </c>
      <c r="G391" s="0" t="n">
        <v>5.6</v>
      </c>
      <c r="H391" s="0" t="n">
        <v>11.6</v>
      </c>
      <c r="I391" s="0" t="n">
        <v>37154.1</v>
      </c>
      <c r="J391" s="0" t="n">
        <v>3143.6</v>
      </c>
    </row>
    <row r="392" customFormat="false" ht="13.8" hidden="false" customHeight="false" outlineLevel="0" collapsed="false">
      <c r="A392" s="0" t="s">
        <v>213</v>
      </c>
      <c r="B392" s="0" t="s">
        <v>508</v>
      </c>
      <c r="C392" s="0" t="n">
        <v>2016</v>
      </c>
      <c r="D392" s="0" t="n">
        <v>81</v>
      </c>
      <c r="E392" s="0" t="n">
        <v>175.1</v>
      </c>
      <c r="F392" s="0" t="n">
        <v>5.5</v>
      </c>
      <c r="G392" s="0" t="n">
        <v>8.4</v>
      </c>
      <c r="H392" s="0" t="n">
        <v>9.4</v>
      </c>
      <c r="I392" s="0" t="n">
        <v>14183.1</v>
      </c>
      <c r="J392" s="0" t="n">
        <v>761.4</v>
      </c>
    </row>
    <row r="393" customFormat="false" ht="13.8" hidden="false" customHeight="false" outlineLevel="0" collapsed="false">
      <c r="A393" s="0" t="s">
        <v>213</v>
      </c>
      <c r="B393" s="0" t="s">
        <v>508</v>
      </c>
      <c r="C393" s="0" t="n">
        <v>2017</v>
      </c>
      <c r="D393" s="0" t="n">
        <v>74</v>
      </c>
      <c r="E393" s="0" t="n">
        <v>177.7</v>
      </c>
      <c r="F393" s="0" t="n">
        <v>5.3</v>
      </c>
      <c r="G393" s="0" t="n">
        <v>7.9</v>
      </c>
      <c r="H393" s="0" t="n">
        <v>9.1</v>
      </c>
      <c r="I393" s="0" t="n">
        <v>13149.8</v>
      </c>
      <c r="J393" s="0" t="n">
        <v>673.4</v>
      </c>
    </row>
    <row r="394" customFormat="false" ht="13.8" hidden="false" customHeight="false" outlineLevel="0" collapsed="false">
      <c r="A394" s="0" t="s">
        <v>213</v>
      </c>
      <c r="B394" s="0" t="s">
        <v>508</v>
      </c>
      <c r="C394" s="0" t="n">
        <v>2018</v>
      </c>
      <c r="D394" s="0" t="n">
        <v>93</v>
      </c>
      <c r="E394" s="0" t="n">
        <v>176.8</v>
      </c>
      <c r="F394" s="0" t="n">
        <v>5.5</v>
      </c>
      <c r="G394" s="0" t="n">
        <v>7.8</v>
      </c>
      <c r="H394" s="0" t="n">
        <v>9.3</v>
      </c>
      <c r="I394" s="0" t="n">
        <v>16442.4</v>
      </c>
      <c r="J394" s="0" t="n">
        <v>864.9</v>
      </c>
    </row>
    <row r="395" customFormat="false" ht="13.8" hidden="false" customHeight="false" outlineLevel="0" collapsed="false">
      <c r="A395" s="0" t="s">
        <v>213</v>
      </c>
      <c r="B395" s="0" t="s">
        <v>508</v>
      </c>
      <c r="C395" s="0" t="n">
        <v>2019</v>
      </c>
      <c r="D395" s="0" t="n">
        <v>69</v>
      </c>
      <c r="E395" s="0" t="n">
        <v>163</v>
      </c>
      <c r="F395" s="0" t="n">
        <v>4.9</v>
      </c>
      <c r="G395" s="0" t="n">
        <v>8</v>
      </c>
      <c r="H395" s="0" t="n">
        <v>11.1</v>
      </c>
      <c r="I395" s="0" t="n">
        <v>11247</v>
      </c>
      <c r="J395" s="0" t="n">
        <v>765.9</v>
      </c>
    </row>
    <row r="396" customFormat="false" ht="13.8" hidden="false" customHeight="false" outlineLevel="0" collapsed="false">
      <c r="A396" s="0" t="s">
        <v>213</v>
      </c>
      <c r="B396" s="0" t="s">
        <v>508</v>
      </c>
      <c r="C396" s="0" t="n">
        <v>2020</v>
      </c>
      <c r="D396" s="0" t="n">
        <v>78</v>
      </c>
      <c r="E396" s="0" t="n">
        <v>156.2</v>
      </c>
      <c r="F396" s="0" t="n">
        <v>5</v>
      </c>
      <c r="G396" s="0" t="n">
        <v>6.7</v>
      </c>
      <c r="H396" s="0" t="n">
        <v>15.3</v>
      </c>
      <c r="I396" s="0" t="n">
        <v>12183.6</v>
      </c>
      <c r="J396" s="0" t="n">
        <v>1193.4</v>
      </c>
    </row>
    <row r="397" customFormat="false" ht="13.8" hidden="false" customHeight="false" outlineLevel="0" collapsed="false">
      <c r="A397" s="0" t="s">
        <v>213</v>
      </c>
      <c r="B397" s="0" t="s">
        <v>508</v>
      </c>
      <c r="C397" s="0" t="n">
        <v>2021</v>
      </c>
      <c r="D397" s="0" t="n">
        <v>102</v>
      </c>
      <c r="E397" s="0" t="n">
        <v>181.1</v>
      </c>
      <c r="F397" s="0" t="n">
        <v>5.3</v>
      </c>
      <c r="G397" s="0" t="n">
        <v>8</v>
      </c>
      <c r="H397" s="0" t="n">
        <v>15.3</v>
      </c>
      <c r="I397" s="0" t="n">
        <v>18472.2</v>
      </c>
      <c r="J397" s="0" t="n">
        <v>1560.6</v>
      </c>
    </row>
    <row r="398" customFormat="false" ht="13.8" hidden="false" customHeight="false" outlineLevel="0" collapsed="false">
      <c r="A398" s="0" t="s">
        <v>213</v>
      </c>
      <c r="B398" s="0" t="s">
        <v>509</v>
      </c>
      <c r="C398" s="0" t="n">
        <v>2016</v>
      </c>
      <c r="D398" s="0" t="n">
        <v>127</v>
      </c>
      <c r="E398" s="0" t="n">
        <v>174.5</v>
      </c>
      <c r="F398" s="0" t="n">
        <v>5.7</v>
      </c>
      <c r="G398" s="0" t="n">
        <v>6.2</v>
      </c>
      <c r="H398" s="0" t="n">
        <v>11.7</v>
      </c>
      <c r="I398" s="0" t="n">
        <v>22161.5</v>
      </c>
      <c r="J398" s="0" t="n">
        <v>1485.9</v>
      </c>
    </row>
    <row r="399" customFormat="false" ht="13.8" hidden="false" customHeight="false" outlineLevel="0" collapsed="false">
      <c r="A399" s="0" t="s">
        <v>213</v>
      </c>
      <c r="B399" s="0" t="s">
        <v>509</v>
      </c>
      <c r="C399" s="0" t="n">
        <v>2017</v>
      </c>
      <c r="D399" s="0" t="n">
        <v>108</v>
      </c>
      <c r="E399" s="0" t="n">
        <v>169.9</v>
      </c>
      <c r="F399" s="0" t="n">
        <v>5.5</v>
      </c>
      <c r="G399" s="0" t="n">
        <v>6.2</v>
      </c>
      <c r="H399" s="0" t="n">
        <v>14.4</v>
      </c>
      <c r="I399" s="0" t="n">
        <v>18349.2</v>
      </c>
      <c r="J399" s="0" t="n">
        <v>1555.2</v>
      </c>
    </row>
    <row r="400" customFormat="false" ht="13.8" hidden="false" customHeight="false" outlineLevel="0" collapsed="false">
      <c r="A400" s="0" t="s">
        <v>213</v>
      </c>
      <c r="B400" s="0" t="s">
        <v>509</v>
      </c>
      <c r="C400" s="0" t="n">
        <v>2018</v>
      </c>
      <c r="D400" s="0" t="n">
        <v>168</v>
      </c>
      <c r="E400" s="0" t="n">
        <v>163.4</v>
      </c>
      <c r="F400" s="0" t="n">
        <v>5</v>
      </c>
      <c r="G400" s="0" t="n">
        <v>5.9</v>
      </c>
      <c r="H400" s="0" t="n">
        <v>9</v>
      </c>
      <c r="I400" s="0" t="n">
        <v>27451.2</v>
      </c>
      <c r="J400" s="0" t="n">
        <v>1512</v>
      </c>
    </row>
    <row r="401" customFormat="false" ht="13.8" hidden="false" customHeight="false" outlineLevel="0" collapsed="false">
      <c r="A401" s="0" t="s">
        <v>213</v>
      </c>
      <c r="B401" s="0" t="s">
        <v>509</v>
      </c>
      <c r="C401" s="0" t="n">
        <v>2019</v>
      </c>
      <c r="D401" s="0" t="n">
        <v>136</v>
      </c>
      <c r="E401" s="0" t="n">
        <v>160.6</v>
      </c>
      <c r="F401" s="0" t="n">
        <v>4.7</v>
      </c>
      <c r="G401" s="0" t="n">
        <v>5.4</v>
      </c>
      <c r="H401" s="0" t="n">
        <v>9.5</v>
      </c>
      <c r="I401" s="0" t="n">
        <v>21841.6</v>
      </c>
      <c r="J401" s="0" t="n">
        <v>1292</v>
      </c>
    </row>
    <row r="402" customFormat="false" ht="13.8" hidden="false" customHeight="false" outlineLevel="0" collapsed="false">
      <c r="A402" s="0" t="s">
        <v>213</v>
      </c>
      <c r="B402" s="0" t="s">
        <v>509</v>
      </c>
      <c r="C402" s="0" t="n">
        <v>2020</v>
      </c>
      <c r="D402" s="0" t="n">
        <v>105</v>
      </c>
      <c r="E402" s="0" t="n">
        <v>169.8</v>
      </c>
      <c r="F402" s="0" t="n">
        <v>4.9</v>
      </c>
      <c r="G402" s="0" t="n">
        <v>5.8</v>
      </c>
      <c r="H402" s="0" t="n">
        <v>12.9</v>
      </c>
      <c r="I402" s="0" t="n">
        <v>17829</v>
      </c>
      <c r="J402" s="0" t="n">
        <v>1354.5</v>
      </c>
    </row>
    <row r="403" customFormat="false" ht="13.8" hidden="false" customHeight="false" outlineLevel="0" collapsed="false">
      <c r="A403" s="0" t="s">
        <v>213</v>
      </c>
      <c r="B403" s="0" t="s">
        <v>509</v>
      </c>
      <c r="C403" s="0" t="n">
        <v>2021</v>
      </c>
      <c r="D403" s="0" t="n">
        <v>85</v>
      </c>
      <c r="E403" s="0" t="n">
        <v>176.8</v>
      </c>
      <c r="F403" s="0" t="n">
        <v>5.4</v>
      </c>
      <c r="G403" s="0" t="n">
        <v>6.2</v>
      </c>
      <c r="H403" s="0" t="n">
        <v>14.1</v>
      </c>
      <c r="I403" s="0" t="n">
        <v>15028</v>
      </c>
      <c r="J403" s="0" t="n">
        <v>1198.5</v>
      </c>
    </row>
    <row r="404" customFormat="false" ht="13.8" hidden="false" customHeight="false" outlineLevel="0" collapsed="false">
      <c r="A404" s="0" t="s">
        <v>213</v>
      </c>
      <c r="B404" s="0" t="s">
        <v>511</v>
      </c>
      <c r="C404" s="0" t="n">
        <v>2016</v>
      </c>
      <c r="D404" s="0" t="n">
        <v>100</v>
      </c>
      <c r="E404" s="0" t="n">
        <v>95.4</v>
      </c>
      <c r="F404" s="0" t="n">
        <v>4</v>
      </c>
      <c r="G404" s="0" t="n">
        <v>3.7</v>
      </c>
      <c r="H404" s="0" t="n">
        <v>11.3</v>
      </c>
      <c r="I404" s="0" t="n">
        <v>9540</v>
      </c>
      <c r="J404" s="0" t="n">
        <v>1130</v>
      </c>
    </row>
    <row r="405" customFormat="false" ht="13.8" hidden="false" customHeight="false" outlineLevel="0" collapsed="false">
      <c r="A405" s="0" t="s">
        <v>213</v>
      </c>
      <c r="B405" s="0" t="s">
        <v>511</v>
      </c>
      <c r="C405" s="0" t="n">
        <v>2017</v>
      </c>
      <c r="D405" s="0" t="n">
        <v>78</v>
      </c>
      <c r="E405" s="0" t="n">
        <v>97.7</v>
      </c>
      <c r="F405" s="0" t="n">
        <v>3.5</v>
      </c>
      <c r="G405" s="0" t="n">
        <v>3.6</v>
      </c>
      <c r="H405" s="0" t="n">
        <v>11.6</v>
      </c>
      <c r="I405" s="0" t="n">
        <v>7620.6</v>
      </c>
      <c r="J405" s="0" t="n">
        <v>904.8</v>
      </c>
    </row>
    <row r="406" customFormat="false" ht="13.8" hidden="false" customHeight="false" outlineLevel="0" collapsed="false">
      <c r="A406" s="0" t="s">
        <v>213</v>
      </c>
      <c r="B406" s="0" t="s">
        <v>511</v>
      </c>
      <c r="C406" s="0" t="n">
        <v>2018</v>
      </c>
      <c r="D406" s="0" t="n">
        <v>82</v>
      </c>
      <c r="E406" s="0" t="n">
        <v>98.1</v>
      </c>
      <c r="F406" s="0" t="n">
        <v>4.2</v>
      </c>
      <c r="G406" s="0" t="n">
        <v>3.8</v>
      </c>
      <c r="H406" s="0" t="n">
        <v>11.5</v>
      </c>
      <c r="I406" s="0" t="n">
        <v>8044.2</v>
      </c>
      <c r="J406" s="0" t="n">
        <v>943</v>
      </c>
    </row>
    <row r="407" customFormat="false" ht="13.8" hidden="false" customHeight="false" outlineLevel="0" collapsed="false">
      <c r="A407" s="0" t="s">
        <v>213</v>
      </c>
      <c r="B407" s="0" t="s">
        <v>511</v>
      </c>
      <c r="C407" s="0" t="n">
        <v>2019</v>
      </c>
      <c r="D407" s="0" t="n">
        <v>76</v>
      </c>
      <c r="E407" s="0" t="n">
        <v>95.3</v>
      </c>
      <c r="F407" s="0" t="n">
        <v>4.4</v>
      </c>
      <c r="G407" s="0" t="n">
        <v>3.8</v>
      </c>
      <c r="H407" s="0" t="n">
        <v>11</v>
      </c>
      <c r="I407" s="0" t="n">
        <v>7242.8</v>
      </c>
      <c r="J407" s="0" t="n">
        <v>836</v>
      </c>
    </row>
    <row r="408" customFormat="false" ht="13.8" hidden="false" customHeight="false" outlineLevel="0" collapsed="false">
      <c r="A408" s="0" t="s">
        <v>213</v>
      </c>
      <c r="B408" s="0" t="s">
        <v>511</v>
      </c>
      <c r="C408" s="0" t="n">
        <v>2020</v>
      </c>
      <c r="D408" s="0" t="n">
        <v>51</v>
      </c>
      <c r="E408" s="0" t="n">
        <v>98.8</v>
      </c>
      <c r="F408" s="0" t="n">
        <v>4.4</v>
      </c>
      <c r="G408" s="0" t="n">
        <v>3.9</v>
      </c>
      <c r="H408" s="0" t="n">
        <v>14</v>
      </c>
      <c r="I408" s="0" t="n">
        <v>5038.8</v>
      </c>
      <c r="J408" s="0" t="n">
        <v>714</v>
      </c>
    </row>
    <row r="409" customFormat="false" ht="13.8" hidden="false" customHeight="false" outlineLevel="0" collapsed="false">
      <c r="A409" s="0" t="s">
        <v>213</v>
      </c>
      <c r="B409" s="0" t="s">
        <v>511</v>
      </c>
      <c r="C409" s="0" t="n">
        <v>2021</v>
      </c>
      <c r="D409" s="0" t="n">
        <v>43</v>
      </c>
      <c r="E409" s="0" t="n">
        <v>98.2</v>
      </c>
      <c r="F409" s="0" t="n">
        <v>4.6</v>
      </c>
      <c r="G409" s="0" t="n">
        <v>3.7</v>
      </c>
      <c r="H409" s="0" t="n">
        <v>12.5</v>
      </c>
      <c r="I409" s="0" t="n">
        <v>4222.6</v>
      </c>
      <c r="J409" s="0" t="n">
        <v>537.5</v>
      </c>
    </row>
    <row r="410" customFormat="false" ht="13.8" hidden="false" customHeight="false" outlineLevel="0" collapsed="false">
      <c r="A410" s="0" t="s">
        <v>213</v>
      </c>
      <c r="B410" s="0" t="s">
        <v>512</v>
      </c>
      <c r="C410" s="0" t="n">
        <v>2016</v>
      </c>
      <c r="D410" s="0" t="n">
        <v>36</v>
      </c>
      <c r="E410" s="0" t="n">
        <v>169.4</v>
      </c>
      <c r="F410" s="0" t="n">
        <v>4.4</v>
      </c>
      <c r="G410" s="0" t="n">
        <v>8.2</v>
      </c>
      <c r="H410" s="0" t="n">
        <v>7.3</v>
      </c>
      <c r="I410" s="0" t="n">
        <v>6098.4</v>
      </c>
      <c r="J410" s="0" t="n">
        <v>262.8</v>
      </c>
    </row>
    <row r="411" customFormat="false" ht="13.8" hidden="false" customHeight="false" outlineLevel="0" collapsed="false">
      <c r="A411" s="0" t="s">
        <v>213</v>
      </c>
      <c r="B411" s="0" t="s">
        <v>512</v>
      </c>
      <c r="C411" s="0" t="n">
        <v>2017</v>
      </c>
      <c r="D411" s="0" t="n">
        <v>39</v>
      </c>
      <c r="E411" s="0" t="n">
        <v>192</v>
      </c>
      <c r="F411" s="0" t="n">
        <v>4.2</v>
      </c>
      <c r="G411" s="0" t="n">
        <v>9.2</v>
      </c>
      <c r="H411" s="0" t="n">
        <v>10</v>
      </c>
      <c r="I411" s="0" t="n">
        <v>7488</v>
      </c>
      <c r="J411" s="0" t="n">
        <v>390</v>
      </c>
    </row>
    <row r="412" customFormat="false" ht="13.8" hidden="false" customHeight="false" outlineLevel="0" collapsed="false">
      <c r="A412" s="0" t="s">
        <v>213</v>
      </c>
      <c r="B412" s="0" t="s">
        <v>512</v>
      </c>
      <c r="C412" s="0" t="n">
        <v>2018</v>
      </c>
      <c r="D412" s="0" t="n">
        <v>59</v>
      </c>
      <c r="E412" s="0" t="n">
        <v>215.8</v>
      </c>
      <c r="F412" s="0" t="n">
        <v>4.6</v>
      </c>
      <c r="G412" s="0" t="n">
        <v>9.3</v>
      </c>
      <c r="H412" s="0" t="n">
        <v>9.2</v>
      </c>
      <c r="I412" s="0" t="n">
        <v>12732.2</v>
      </c>
      <c r="J412" s="0" t="n">
        <v>542.8</v>
      </c>
    </row>
    <row r="413" customFormat="false" ht="13.8" hidden="false" customHeight="false" outlineLevel="0" collapsed="false">
      <c r="A413" s="0" t="s">
        <v>213</v>
      </c>
      <c r="B413" s="0" t="s">
        <v>512</v>
      </c>
      <c r="C413" s="0" t="n">
        <v>2019</v>
      </c>
      <c r="D413" s="0" t="n">
        <v>36</v>
      </c>
      <c r="E413" s="0" t="n">
        <v>210</v>
      </c>
      <c r="F413" s="0" t="n">
        <v>4.3</v>
      </c>
      <c r="G413" s="0" t="n">
        <v>9.9</v>
      </c>
      <c r="H413" s="0" t="n">
        <v>8</v>
      </c>
      <c r="I413" s="0" t="n">
        <v>7560</v>
      </c>
      <c r="J413" s="0" t="n">
        <v>288</v>
      </c>
    </row>
    <row r="414" customFormat="false" ht="13.8" hidden="false" customHeight="false" outlineLevel="0" collapsed="false">
      <c r="A414" s="0" t="s">
        <v>213</v>
      </c>
      <c r="B414" s="0" t="s">
        <v>512</v>
      </c>
      <c r="C414" s="0" t="n">
        <v>2020</v>
      </c>
      <c r="D414" s="0" t="n">
        <v>37</v>
      </c>
      <c r="E414" s="0" t="n">
        <v>212.7</v>
      </c>
      <c r="F414" s="0" t="n">
        <v>4.2</v>
      </c>
      <c r="G414" s="0" t="n">
        <v>9.4</v>
      </c>
      <c r="H414" s="0" t="n">
        <v>9.1</v>
      </c>
      <c r="I414" s="0" t="n">
        <v>7869.9</v>
      </c>
      <c r="J414" s="0" t="n">
        <v>336.7</v>
      </c>
    </row>
    <row r="415" customFormat="false" ht="13.8" hidden="false" customHeight="false" outlineLevel="0" collapsed="false">
      <c r="A415" s="0" t="s">
        <v>213</v>
      </c>
      <c r="B415" s="0" t="s">
        <v>512</v>
      </c>
      <c r="C415" s="0" t="n">
        <v>2021</v>
      </c>
      <c r="D415" s="0" t="n">
        <v>18</v>
      </c>
      <c r="E415" s="0" t="n">
        <v>208.4</v>
      </c>
      <c r="F415" s="0" t="n">
        <v>4.5</v>
      </c>
      <c r="G415" s="0" t="n">
        <v>9.7</v>
      </c>
      <c r="H415" s="0" t="n">
        <v>15.9</v>
      </c>
      <c r="I415" s="0" t="n">
        <v>3751.2</v>
      </c>
      <c r="J415" s="0" t="n">
        <v>286.2</v>
      </c>
    </row>
    <row r="416" customFormat="false" ht="13.8" hidden="false" customHeight="false" outlineLevel="0" collapsed="false">
      <c r="A416" s="0" t="s">
        <v>213</v>
      </c>
      <c r="B416" s="0" t="s">
        <v>513</v>
      </c>
      <c r="C416" s="0" t="n">
        <v>2016</v>
      </c>
      <c r="D416" s="0" t="n">
        <v>2397</v>
      </c>
      <c r="E416" s="0" t="n">
        <v>159.1</v>
      </c>
      <c r="F416" s="0" t="n">
        <v>5.7</v>
      </c>
      <c r="G416" s="0" t="n">
        <v>5.3</v>
      </c>
      <c r="H416" s="0" t="n">
        <v>10</v>
      </c>
      <c r="I416" s="0" t="n">
        <v>381362.7</v>
      </c>
      <c r="J416" s="0" t="n">
        <v>23970</v>
      </c>
    </row>
    <row r="417" customFormat="false" ht="13.8" hidden="false" customHeight="false" outlineLevel="0" collapsed="false">
      <c r="A417" s="0" t="s">
        <v>213</v>
      </c>
      <c r="B417" s="0" t="s">
        <v>513</v>
      </c>
      <c r="C417" s="0" t="n">
        <v>2017</v>
      </c>
      <c r="D417" s="0" t="n">
        <v>2396</v>
      </c>
      <c r="E417" s="0" t="n">
        <v>160</v>
      </c>
      <c r="F417" s="0" t="n">
        <v>5.6</v>
      </c>
      <c r="G417" s="0" t="n">
        <v>5.4</v>
      </c>
      <c r="H417" s="0" t="n">
        <v>10.5</v>
      </c>
      <c r="I417" s="0" t="n">
        <v>383360</v>
      </c>
      <c r="J417" s="0" t="n">
        <v>25158</v>
      </c>
    </row>
    <row r="418" customFormat="false" ht="13.8" hidden="false" customHeight="false" outlineLevel="0" collapsed="false">
      <c r="A418" s="0" t="s">
        <v>213</v>
      </c>
      <c r="B418" s="0" t="s">
        <v>513</v>
      </c>
      <c r="C418" s="0" t="n">
        <v>2018</v>
      </c>
      <c r="D418" s="0" t="n">
        <v>3182</v>
      </c>
      <c r="E418" s="0" t="n">
        <v>156.3</v>
      </c>
      <c r="F418" s="0" t="n">
        <v>5.6</v>
      </c>
      <c r="G418" s="0" t="n">
        <v>5.5</v>
      </c>
      <c r="H418" s="0" t="n">
        <v>10.8</v>
      </c>
      <c r="I418" s="0" t="n">
        <v>497346.6</v>
      </c>
      <c r="J418" s="0" t="n">
        <v>34365.6</v>
      </c>
    </row>
    <row r="419" customFormat="false" ht="13.8" hidden="false" customHeight="false" outlineLevel="0" collapsed="false">
      <c r="A419" s="0" t="s">
        <v>213</v>
      </c>
      <c r="B419" s="0" t="s">
        <v>513</v>
      </c>
      <c r="C419" s="0" t="n">
        <v>2019</v>
      </c>
      <c r="D419" s="0" t="n">
        <v>2754</v>
      </c>
      <c r="E419" s="0" t="n">
        <v>157.3</v>
      </c>
      <c r="F419" s="0" t="n">
        <v>5.5</v>
      </c>
      <c r="G419" s="0" t="n">
        <v>5.4</v>
      </c>
      <c r="H419" s="0" t="n">
        <v>10.8</v>
      </c>
      <c r="I419" s="0" t="n">
        <v>433204.2</v>
      </c>
      <c r="J419" s="0" t="n">
        <v>29743.2</v>
      </c>
    </row>
    <row r="420" customFormat="false" ht="13.8" hidden="false" customHeight="false" outlineLevel="0" collapsed="false">
      <c r="A420" s="0" t="s">
        <v>213</v>
      </c>
      <c r="B420" s="0" t="s">
        <v>513</v>
      </c>
      <c r="C420" s="0" t="n">
        <v>2020</v>
      </c>
      <c r="D420" s="0" t="n">
        <v>2305</v>
      </c>
      <c r="E420" s="0" t="n">
        <v>159.1</v>
      </c>
      <c r="F420" s="0" t="n">
        <v>5.5</v>
      </c>
      <c r="G420" s="0" t="n">
        <v>5.4</v>
      </c>
      <c r="H420" s="0" t="n">
        <v>13.1</v>
      </c>
      <c r="I420" s="0" t="n">
        <v>366725.5</v>
      </c>
      <c r="J420" s="0" t="n">
        <v>30195.5</v>
      </c>
    </row>
    <row r="421" customFormat="false" ht="13.8" hidden="false" customHeight="false" outlineLevel="0" collapsed="false">
      <c r="A421" s="0" t="s">
        <v>213</v>
      </c>
      <c r="B421" s="0" t="s">
        <v>513</v>
      </c>
      <c r="C421" s="0" t="n">
        <v>2021</v>
      </c>
      <c r="D421" s="0" t="n">
        <v>1961</v>
      </c>
      <c r="E421" s="0" t="n">
        <v>164.3</v>
      </c>
      <c r="F421" s="0" t="n">
        <v>5.6</v>
      </c>
      <c r="G421" s="0" t="n">
        <v>5.5</v>
      </c>
      <c r="H421" s="0" t="n">
        <v>14.1</v>
      </c>
      <c r="I421" s="0" t="n">
        <v>322192.3</v>
      </c>
      <c r="J421" s="0" t="n">
        <v>27650.1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LibreOffice/24.8.1.2$Linux_X86_64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2023-01-11T08:28:08Z</dcterms:created>
  <dc:creator>Johan Karlsson</dc:creator>
  <dc:description/>
  <dc:language>en-GB</dc:language>
  <cp:lastModifiedBy>WW</cp:lastModifiedBy>
  <dcterms:modified xsi:type="dcterms:W3CDTF">2024-11-13T15:10:47Z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