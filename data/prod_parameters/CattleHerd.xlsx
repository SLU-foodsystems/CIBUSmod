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 iterate="1"/>
  <pivotCaches>
    <pivotCache cacheId="1" r:id="rId12"/>
  </pivotCaches>
</workbook>
</file>

<file path=xl/calcChain.xml><?xml version="1.0" encoding="utf-8"?>
<calcChain xmlns="http://schemas.openxmlformats.org/spreadsheetml/2006/main"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sharedStrings.xml><?xml version="1.0" encoding="utf-8"?>
<sst xmlns="http://schemas.openxmlformats.org/spreadsheetml/2006/main" count="2476" uniqueCount="435">
  <si>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</si>
  <si>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</si>
  <si>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</si>
  <si>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</si>
  <si>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</si>
  <si>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</si>
  <si>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</si>
  <si>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</si>
  <si>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</si>
  <si>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</si>
  <si>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</si>
  <si>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</si>
  <si>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</si>
  <si>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</si>
  <si>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</si>
  <si>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</si>
  <si>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</si>
  <si>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</si>
  <si>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</si>
  <si>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</si>
  <si>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</si>
  <si>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</si>
  <si>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</si>
  <si>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</si>
  <si>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</si>
  <si>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</si>
  <si>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</si>
  <si>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</si>
  <si>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</si>
  <si>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</si>
  <si>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</si>
  <si>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</si>
  <si>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</si>
  <si>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</si>
  <si>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</si>
  <si>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</si>
  <si>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</si>
  <si>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</si>
  <si>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</si>
  <si>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</si>
  <si>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</si>
  <si>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</si>
  <si>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</si>
  <si>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</si>
  <si>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</si>
  <si>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</si>
  <si>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</si>
  <si>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</si>
  <si>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</si>
  <si>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</si>
  <si>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</si>
  <si>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</si>
  <si>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</si>
  <si>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</si>
  <si>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</si>
  <si>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</si>
  <si>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</si>
  <si>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</si>
  <si>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</si>
  <si>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</si>
  <si>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</si>
  <si>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</si>
  <si>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</si>
  <si>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</si>
  <si>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</si>
  <si>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</si>
  <si>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</si>
  <si>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</si>
  <si>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</si>
  <si>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</si>
  <si>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</si>
  <si>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</si>
  <si>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</si>
  <si>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</si>
  <si>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</si>
  <si>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</si>
  <si>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</si>
  <si>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</si>
  <si>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</si>
  <si>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</si>
  <si>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</si>
  <si>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</si>
  <si>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</si>
  <si>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</si>
  <si>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</si>
  <si>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</si>
  <si>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</si>
  <si>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</si>
  <si>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</si>
  <si>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</si>
  <si>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</si>
  <si>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</si>
  <si>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</si>
  <si>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</si>
  <si>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</si>
  <si>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</si>
  <si>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</si>
  <si>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</si>
  <si>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</si>
  <si>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</si>
  <si>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</si>
  <si>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</si>
  <si>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</si>
  <si>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</si>
  <si>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</si>
  <si>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</si>
  <si>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</si>
  <si>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</si>
  <si>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</si>
  <si>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</si>
  <si>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</si>
  <si>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</si>
  <si>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</si>
  <si>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</si>
  <si>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</si>
  <si>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</si>
  <si>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</si>
  <si>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</si>
  <si>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</si>
  <si>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</si>
  <si>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</si>
  <si>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</si>
  <si>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</si>
  <si>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</si>
  <si>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</si>
  <si>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</si>
  <si>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</si>
  <si>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</si>
  <si>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</si>
  <si>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</si>
  <si>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</si>
  <si>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</si>
  <si>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</si>
  <si>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</si>
  <si>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</si>
  <si>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</si>
  <si>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</si>
  <si>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</si>
  <si>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</si>
  <si>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</si>
  <si>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</si>
  <si>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</si>
  <si>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</si>
  <si>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</si>
  <si>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</si>
  <si>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</si>
  <si>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</si>
  <si>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</si>
  <si>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</si>
  <si>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</si>
  <si>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</si>
  <si>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</si>
  <si>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</si>
  <si>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</si>
  <si>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</si>
  <si>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</si>
  <si>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</si>
  <si>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</si>
  <si>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</si>
  <si>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</si>
  <si>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</si>
  <si>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</si>
  <si>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</si>
  <si>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</si>
  <si>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</si>
  <si>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</si>
  <si>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</si>
  <si>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</si>
  <si>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</si>
  <si>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</si>
  <si>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</si>
  <si>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</si>
  <si>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</si>
  <si>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</si>
  <si>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</si>
  <si>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</si>
  <si>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</si>
  <si>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</si>
  <si>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</si>
  <si>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</si>
  <si>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</si>
  <si>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</si>
  <si>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</si>
  <si>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</si>
  <si>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</si>
  <si>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</si>
  <si>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</si>
  <si>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</si>
  <si>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</si>
  <si>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</si>
  <si>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</si>
  <si>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</si>
  <si>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</si>
  <si>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</si>
  <si>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</si>
  <si>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</si>
  <si>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</si>
  <si>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</si>
  <si>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</si>
  <si>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</si>
  <si>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</si>
  <si>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</si>
  <si>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</si>
  <si>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</si>
  <si>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</si>
  <si>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</si>
  <si>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</si>
  <si>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</si>
  <si>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</si>
  <si>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</si>
  <si>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</si>
  <si>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</si>
  <si>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</si>
  <si>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</si>
  <si>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</si>
  <si>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</si>
  <si>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</si>
  <si>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</si>
  <si>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</si>
  <si>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</si>
  <si>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</si>
  <si>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</si>
  <si>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</si>
  <si>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</si>
  <si>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</si>
  <si>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</si>
  <si>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</si>
  <si>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</si>
  <si>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</si>
  <si>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</si>
  <si>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</si>
  <si>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</si>
  <si>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</si>
  <si>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</si>
  <si>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</si>
  <si>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</si>
  <si>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</si>
  <si>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</si>
  <si>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</si>
  <si>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</si>
  <si>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</si>
  <si>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</si>
  <si>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</si>
  <si>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</si>
  <si>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</si>
  <si>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</si>
  <si>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</si>
  <si>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</si>
  <si>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</si>
  <si>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</si>
  <si>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</si>
  <si>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</si>
  <si>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</si>
  <si>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</si>
  <si>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</si>
  <si>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</si>
  <si>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</si>
  <si>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</si>
  <si>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</si>
  <si>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</si>
  <si>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</si>
  <si>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</si>
  <si>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</si>
  <si>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</si>
  <si>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</si>
  <si>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</si>
  <si>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</si>
  <si>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</si>
  <si>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</si>
  <si>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</si>
  <si>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</si>
  <si>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</si>
  <si>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</si>
  <si>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</si>
  <si>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</si>
  <si>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</si>
  <si>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</si>
  <si>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</si>
  <si>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</si>
  <si>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</si>
  <si>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</si>
  <si>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</si>
  <si>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</si>
  <si>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</si>
  <si>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</si>
  <si>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</si>
  <si>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</si>
  <si>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</si>
  <si>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</si>
  <si>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</si>
  <si>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</si>
  <si>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</si>
  <si>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</si>
  <si>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</si>
  <si>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</si>
  <si>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</si>
  <si>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</si>
  <si>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</si>
  <si>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</si>
  <si>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</si>
  <si>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</si>
  <si>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</si>
  <si>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</si>
  <si>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</si>
  <si>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</si>
  <si>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</si>
  <si>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</si>
  <si>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</si>
  <si>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</si>
  <si>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</si>
  <si>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</si>
  <si>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</si>
  <si>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</si>
  <si>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</si>
  <si>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</si>
  <si>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</si>
  <si>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</si>
  <si>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</si>
  <si>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</si>
  <si>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</si>
  <si>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</si>
  <si>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</si>
  <si>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</si>
  <si>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</si>
  <si>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</si>
  <si>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</si>
  <si>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</si>
  <si>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</si>
  <si>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</si>
  <si>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silage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</si>
  <si>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</si>
  <si>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</si>
  <si>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</si>
  <si>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</si>
  <si>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</si>
  <si>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</si>
  <si>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</si>
  <si>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</si>
  <si>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</si>
  <si>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</si>
  <si>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</si>
  <si>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</si>
  <si>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</si>
  <si>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</si>
  <si>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</si>
  <si>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</si>
  <si>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</si>
  <si>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</si>
  <si>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</si>
  <si>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</si>
  <si>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</si>
  <si>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</si>
  <si>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</si>
  <si>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</si>
  <si>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</si>
  <si>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</si>
  <si>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</si>
  <si>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</si>
  <si>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</si>
  <si>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</si>
  <si>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</si>
  <si>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</si>
  <si>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</si>
  <si>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</si>
  <si>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</si>
  <si>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</si>
  <si>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</si>
  <si>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</si>
  <si>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</si>
  <si>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</si>
  <si>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</si>
  <si>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</si>
  <si>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</si>
  <si>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</si>
  <si>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</si>
  <si>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</si>
  <si>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</si>
  <si>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</si>
  <si>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</si>
  <si>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</si>
  <si>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</si>
  <si>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</si>
  <si>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</si>
  <si>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</si>
  <si>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</si>
  <si>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</si>
  <si>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</si>
  <si>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</si>
  <si>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</si>
  <si>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</si>
  <si>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</si>
  <si>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</si>
  <si>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</si>
  <si>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</si>
  <si>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</si>
  <si>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</si>
  <si>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</si>
  <si>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rapeseed meal/cake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</si>
  <si>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</si>
  <si>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</si>
  <si>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</si>
  <si>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</si>
  <si>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</si>
  <si>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</si>
  <si>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</si>
  <si>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</si>
  <si>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</si>
  <si>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</si>
  <si>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</si>
  <si>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</si>
  <si>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</si>
  <si>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</si>
  <si>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</si>
  <si>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</si>
  <si>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</si>
  <si>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</si>
  <si>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</si>
  <si>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</si>
  <si>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</si>
  <si>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</si>
  <si>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</si>
  <si>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</si>
  <si>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</si>
  <si>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</si>
  <si>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</si>
  <si>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</si>
  <si>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</si>
  <si>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</si>
  <si>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</si>
  <si>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</si>
  <si>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</si>
  <si>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</si>
  <si>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Maximum share of grazing in semi-natural grasslands</t>
  </si>
  <si>
    <t>max_sng_grazing</t>
  </si>
  <si>
    <t>This parameter specifies the maximum share of grazing demand that can be met from grazing in semi-natural grasslands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</si>
</sst>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1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201"/>
  <sheetViews>
    <sheetView tabSelected="1" workbookViewId="0">
      <pane ySplit="1" topLeftCell="A126" activePane="bottomLeft" state="frozen"/>
      <selection pane="bottomLeft" activeCell="K147" sqref="K147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2.570312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398</v>
      </c>
      <c r="D1" s="6" t="s">
        <v>53</v>
      </c>
      <c r="E1" s="6" t="s">
        <v>326</v>
      </c>
      <c r="F1" s="6" t="s">
        <v>336</v>
      </c>
      <c r="G1" s="6" t="s">
        <v>337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396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335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1">
        <v>0</v>
      </c>
      <c r="J12" t="s">
        <v>45</v>
      </c>
      <c r="K12" s="93" t="s">
        <v>395</v>
      </c>
    </row>
    <row r="13" spans="1:12" x14ac:dyDescent="0.25">
      <c r="A13" t="s">
        <v>39</v>
      </c>
      <c r="H13" t="s">
        <v>46</v>
      </c>
      <c r="I13" s="157">
        <v>0</v>
      </c>
      <c r="J13" t="s">
        <v>9</v>
      </c>
    </row>
    <row r="14" spans="1:12" x14ac:dyDescent="0.25">
      <c r="A14" t="s">
        <v>39</v>
      </c>
      <c r="H14" t="s">
        <v>47</v>
      </c>
      <c r="I14" s="157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407</v>
      </c>
      <c r="I30">
        <v>0</v>
      </c>
      <c r="J30" t="s">
        <v>408</v>
      </c>
    </row>
    <row r="31" spans="1:12" x14ac:dyDescent="0.25">
      <c r="A31" t="s">
        <v>2</v>
      </c>
      <c r="B31" t="s">
        <v>5</v>
      </c>
      <c r="H31" t="s">
        <v>407</v>
      </c>
      <c r="I31">
        <v>0</v>
      </c>
      <c r="J31" t="s">
        <v>408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</row>
    <row r="42" spans="1:12" x14ac:dyDescent="0.25">
      <c r="A42" t="s">
        <v>39</v>
      </c>
      <c r="B42" t="s">
        <v>5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301</v>
      </c>
      <c r="I46" s="2">
        <f>I94/(47/100)</f>
        <v>651.52821361702138</v>
      </c>
      <c r="J46" t="s">
        <v>134</v>
      </c>
      <c r="K46" s="109" t="s">
        <v>334</v>
      </c>
      <c r="L46" t="s">
        <v>333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344</v>
      </c>
      <c r="I47" s="93">
        <v>40</v>
      </c>
      <c r="J47" t="s">
        <v>134</v>
      </c>
      <c r="K47" s="93" t="s">
        <v>391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389</v>
      </c>
      <c r="I48" s="111">
        <f>I47+(I95/0.5-I47)/(I90*30.4)*I29</f>
        <v>130.26609162869005</v>
      </c>
      <c r="J48" t="s">
        <v>134</v>
      </c>
      <c r="K48" s="93" t="s">
        <v>392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330</v>
      </c>
      <c r="I49" s="111">
        <f>I$50</f>
        <v>339.02685500000001</v>
      </c>
      <c r="J49" t="s">
        <v>134</v>
      </c>
      <c r="K49" s="93" t="s">
        <v>350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297</v>
      </c>
      <c r="I50" s="2">
        <f>I95/(50/100)</f>
        <v>339.02685500000001</v>
      </c>
      <c r="J50" t="s">
        <v>134</v>
      </c>
      <c r="K50" s="109" t="s">
        <v>332</v>
      </c>
      <c r="L50" t="s">
        <v>333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297</v>
      </c>
      <c r="I51" s="2">
        <f>I96/(50/100)</f>
        <v>596.09653539999999</v>
      </c>
      <c r="J51" t="s">
        <v>134</v>
      </c>
      <c r="K51" s="109" t="s">
        <v>332</v>
      </c>
      <c r="L51" t="s">
        <v>333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297</v>
      </c>
      <c r="I52" s="2">
        <f>I97/(50/100)</f>
        <v>651.61428720000004</v>
      </c>
      <c r="J52" t="s">
        <v>134</v>
      </c>
      <c r="K52" s="109" t="s">
        <v>332</v>
      </c>
      <c r="L52" t="s">
        <v>333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297</v>
      </c>
      <c r="I53" s="2">
        <f>I98/(50/100)</f>
        <v>657.75311299999998</v>
      </c>
      <c r="J53" t="s">
        <v>134</v>
      </c>
      <c r="K53" s="109" t="s">
        <v>332</v>
      </c>
      <c r="L53" t="s">
        <v>333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0" t="s">
        <v>18</v>
      </c>
      <c r="E55" s="110"/>
      <c r="F55" s="110"/>
      <c r="G55" s="110"/>
      <c r="H55" s="110" t="s">
        <v>301</v>
      </c>
      <c r="I55" s="2">
        <f>I114/(47/100)</f>
        <v>724.68023255319144</v>
      </c>
      <c r="J55" t="s">
        <v>134</v>
      </c>
      <c r="K55" s="109" t="s">
        <v>334</v>
      </c>
      <c r="L55" t="s">
        <v>333</v>
      </c>
    </row>
    <row r="56" spans="1:12" x14ac:dyDescent="0.25">
      <c r="A56" t="s">
        <v>39</v>
      </c>
      <c r="D56" s="110" t="s">
        <v>20</v>
      </c>
      <c r="E56" s="110"/>
      <c r="F56" s="110"/>
      <c r="G56" s="110"/>
      <c r="H56" s="110" t="s">
        <v>344</v>
      </c>
      <c r="I56" s="93">
        <v>40</v>
      </c>
      <c r="J56" t="s">
        <v>134</v>
      </c>
      <c r="K56" s="93" t="s">
        <v>391</v>
      </c>
    </row>
    <row r="57" spans="1:12" x14ac:dyDescent="0.25">
      <c r="A57" t="s">
        <v>39</v>
      </c>
      <c r="D57" s="110" t="s">
        <v>20</v>
      </c>
      <c r="E57" s="110"/>
      <c r="F57" s="110"/>
      <c r="G57" s="110"/>
      <c r="H57" s="110" t="s">
        <v>389</v>
      </c>
      <c r="I57" s="111">
        <f>I56+(I115/0.5-I56)/(I110*30.4)*I40</f>
        <v>215.80423925763492</v>
      </c>
      <c r="J57" t="s">
        <v>134</v>
      </c>
      <c r="K57" s="93" t="s">
        <v>392</v>
      </c>
    </row>
    <row r="58" spans="1:12" x14ac:dyDescent="0.25">
      <c r="A58" t="s">
        <v>39</v>
      </c>
      <c r="D58" s="110" t="s">
        <v>20</v>
      </c>
      <c r="E58" s="110"/>
      <c r="F58" s="110"/>
      <c r="G58" s="110"/>
      <c r="H58" s="110" t="s">
        <v>330</v>
      </c>
      <c r="I58" s="111">
        <f>I$59</f>
        <v>314.63230679999998</v>
      </c>
      <c r="J58" t="s">
        <v>134</v>
      </c>
      <c r="K58" s="93" t="s">
        <v>350</v>
      </c>
    </row>
    <row r="59" spans="1:12" x14ac:dyDescent="0.25">
      <c r="A59" t="s">
        <v>39</v>
      </c>
      <c r="D59" s="110" t="s">
        <v>20</v>
      </c>
      <c r="E59" s="110"/>
      <c r="F59" s="110"/>
      <c r="G59" s="110"/>
      <c r="H59" s="110" t="s">
        <v>297</v>
      </c>
      <c r="I59" s="2">
        <f>I115/(50/100)</f>
        <v>314.63230679999998</v>
      </c>
      <c r="J59" t="s">
        <v>134</v>
      </c>
      <c r="K59" s="109" t="s">
        <v>332</v>
      </c>
      <c r="L59" t="s">
        <v>333</v>
      </c>
    </row>
    <row r="60" spans="1:12" x14ac:dyDescent="0.25">
      <c r="A60" t="s">
        <v>39</v>
      </c>
      <c r="D60" s="110" t="s">
        <v>33</v>
      </c>
      <c r="E60" s="110"/>
      <c r="F60" s="110"/>
      <c r="G60" s="110"/>
      <c r="H60" s="110" t="s">
        <v>297</v>
      </c>
      <c r="I60" s="2">
        <f t="shared" ref="I60:I62" si="0">I116/(50/100)</f>
        <v>618.33216919999995</v>
      </c>
      <c r="J60" t="s">
        <v>134</v>
      </c>
      <c r="K60" s="109" t="s">
        <v>332</v>
      </c>
      <c r="L60" t="s">
        <v>333</v>
      </c>
    </row>
    <row r="61" spans="1:12" x14ac:dyDescent="0.25">
      <c r="A61" t="s">
        <v>39</v>
      </c>
      <c r="D61" s="110" t="s">
        <v>34</v>
      </c>
      <c r="E61" s="110"/>
      <c r="F61" s="110"/>
      <c r="G61" s="110"/>
      <c r="H61" s="110" t="s">
        <v>297</v>
      </c>
      <c r="I61" s="2">
        <f t="shared" si="0"/>
        <v>671.19136400000002</v>
      </c>
      <c r="J61" t="s">
        <v>134</v>
      </c>
      <c r="K61" s="109" t="s">
        <v>332</v>
      </c>
      <c r="L61" t="s">
        <v>333</v>
      </c>
    </row>
    <row r="62" spans="1:12" x14ac:dyDescent="0.25">
      <c r="A62" t="s">
        <v>39</v>
      </c>
      <c r="D62" s="110" t="s">
        <v>35</v>
      </c>
      <c r="E62" s="110"/>
      <c r="F62" s="110"/>
      <c r="G62" s="110"/>
      <c r="H62" s="110" t="s">
        <v>297</v>
      </c>
      <c r="I62" s="2">
        <f t="shared" si="0"/>
        <v>716.86797000000001</v>
      </c>
      <c r="J62" t="s">
        <v>134</v>
      </c>
      <c r="K62" s="109" t="s">
        <v>332</v>
      </c>
      <c r="L62" t="s">
        <v>333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431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409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409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409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409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409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409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409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409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431</v>
      </c>
      <c r="H119" t="s">
        <v>36</v>
      </c>
      <c r="I119" s="158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409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409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409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409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409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409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409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409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338</v>
      </c>
      <c r="I131">
        <v>89</v>
      </c>
      <c r="J131" t="s">
        <v>9</v>
      </c>
      <c r="K131" t="s">
        <v>341</v>
      </c>
    </row>
    <row r="132" spans="1:12" x14ac:dyDescent="0.25">
      <c r="A132" t="s">
        <v>2</v>
      </c>
      <c r="F132" t="s">
        <v>5</v>
      </c>
      <c r="G132" t="s">
        <v>1</v>
      </c>
      <c r="H132" t="s">
        <v>339</v>
      </c>
      <c r="I132">
        <v>8.5</v>
      </c>
      <c r="J132" t="s">
        <v>9</v>
      </c>
      <c r="K132" t="s">
        <v>341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338</v>
      </c>
      <c r="I134">
        <v>14</v>
      </c>
      <c r="J134" t="s">
        <v>9</v>
      </c>
      <c r="K134" t="s">
        <v>341</v>
      </c>
    </row>
    <row r="135" spans="1:12" x14ac:dyDescent="0.25">
      <c r="A135" t="s">
        <v>39</v>
      </c>
      <c r="F135" t="s">
        <v>5</v>
      </c>
      <c r="G135" t="s">
        <v>1</v>
      </c>
      <c r="H135" t="s">
        <v>339</v>
      </c>
      <c r="I135">
        <v>8.5</v>
      </c>
      <c r="J135" t="s">
        <v>9</v>
      </c>
      <c r="K135" t="s">
        <v>341</v>
      </c>
    </row>
    <row r="137" spans="1:12" x14ac:dyDescent="0.25">
      <c r="A137" s="94" t="s">
        <v>411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412</v>
      </c>
      <c r="I138">
        <v>0.50700000000000001</v>
      </c>
      <c r="J138" t="s">
        <v>413</v>
      </c>
      <c r="L138" t="s">
        <v>415</v>
      </c>
    </row>
    <row r="139" spans="1:12" x14ac:dyDescent="0.25">
      <c r="H139" t="s">
        <v>412</v>
      </c>
      <c r="I139">
        <v>0.47499999999999998</v>
      </c>
      <c r="J139" t="s">
        <v>413</v>
      </c>
      <c r="L139" t="s">
        <v>416</v>
      </c>
    </row>
    <row r="140" spans="1:12" x14ac:dyDescent="0.25">
      <c r="D140" t="s">
        <v>18</v>
      </c>
      <c r="H140" t="s">
        <v>427</v>
      </c>
      <c r="I140" s="13">
        <v>5</v>
      </c>
      <c r="J140" t="s">
        <v>426</v>
      </c>
      <c r="L140" t="s">
        <v>415</v>
      </c>
    </row>
    <row r="141" spans="1:12" x14ac:dyDescent="0.25">
      <c r="A141" t="s">
        <v>2</v>
      </c>
      <c r="D141" t="s">
        <v>18</v>
      </c>
      <c r="H141" t="s">
        <v>417</v>
      </c>
      <c r="I141" s="13">
        <f>(0.013+0.021+0.038) * 30.4</f>
        <v>2.1888000000000001</v>
      </c>
      <c r="J141" t="s">
        <v>418</v>
      </c>
      <c r="K141" t="s">
        <v>419</v>
      </c>
      <c r="L141" t="s">
        <v>414</v>
      </c>
    </row>
    <row r="142" spans="1:12" x14ac:dyDescent="0.25">
      <c r="A142" t="s">
        <v>39</v>
      </c>
      <c r="D142" t="s">
        <v>18</v>
      </c>
      <c r="H142" t="s">
        <v>417</v>
      </c>
      <c r="I142" s="13">
        <f>(8 * 7 * 3.6)/100</f>
        <v>2.016</v>
      </c>
      <c r="J142" t="s">
        <v>418</v>
      </c>
      <c r="K142" t="s">
        <v>420</v>
      </c>
      <c r="L142" t="s">
        <v>421</v>
      </c>
    </row>
    <row r="143" spans="1:12" x14ac:dyDescent="0.25">
      <c r="H143" t="s">
        <v>422</v>
      </c>
      <c r="I143" s="1">
        <v>1</v>
      </c>
      <c r="J143" t="s">
        <v>428</v>
      </c>
    </row>
    <row r="144" spans="1:12" x14ac:dyDescent="0.25">
      <c r="A144" t="s">
        <v>2</v>
      </c>
      <c r="D144" t="s">
        <v>18</v>
      </c>
      <c r="H144" t="s">
        <v>422</v>
      </c>
      <c r="I144" s="1">
        <v>1.1100000000000001</v>
      </c>
      <c r="J144" t="s">
        <v>428</v>
      </c>
      <c r="L144" t="s">
        <v>414</v>
      </c>
    </row>
    <row r="145" spans="1:12" x14ac:dyDescent="0.25">
      <c r="A145" t="s">
        <v>39</v>
      </c>
      <c r="D145" t="s">
        <v>35</v>
      </c>
      <c r="H145" t="s">
        <v>422</v>
      </c>
      <c r="I145" s="1">
        <v>0.9</v>
      </c>
      <c r="J145" t="s">
        <v>428</v>
      </c>
      <c r="K145" t="s">
        <v>424</v>
      </c>
      <c r="L145" t="s">
        <v>423</v>
      </c>
    </row>
    <row r="146" spans="1:12" x14ac:dyDescent="0.25">
      <c r="D146" t="s">
        <v>33</v>
      </c>
      <c r="H146" t="s">
        <v>422</v>
      </c>
      <c r="I146" s="1">
        <v>1.05</v>
      </c>
      <c r="J146" t="s">
        <v>428</v>
      </c>
      <c r="L146" t="s">
        <v>423</v>
      </c>
    </row>
    <row r="147" spans="1:12" x14ac:dyDescent="0.25">
      <c r="A147" t="s">
        <v>2</v>
      </c>
      <c r="D147" t="s">
        <v>34</v>
      </c>
      <c r="H147" t="s">
        <v>422</v>
      </c>
      <c r="I147" s="1">
        <v>1.05</v>
      </c>
      <c r="J147" t="s">
        <v>428</v>
      </c>
      <c r="L147" t="s">
        <v>423</v>
      </c>
    </row>
    <row r="148" spans="1:12" x14ac:dyDescent="0.25">
      <c r="H148" t="s">
        <v>425</v>
      </c>
      <c r="I148" s="13">
        <v>0</v>
      </c>
      <c r="J148" t="s">
        <v>428</v>
      </c>
    </row>
    <row r="149" spans="1:12" x14ac:dyDescent="0.25">
      <c r="A149" t="s">
        <v>2</v>
      </c>
      <c r="D149" t="s">
        <v>18</v>
      </c>
      <c r="H149" t="s">
        <v>425</v>
      </c>
      <c r="I149" s="13">
        <v>-13.6</v>
      </c>
      <c r="J149" t="s">
        <v>428</v>
      </c>
      <c r="L149" t="s">
        <v>414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410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A154" s="97" t="s">
        <v>304</v>
      </c>
      <c r="B154" s="97"/>
      <c r="C154" s="97"/>
      <c r="D154" s="98"/>
      <c r="E154" s="98"/>
      <c r="F154" s="98"/>
      <c r="G154" s="98"/>
      <c r="H154" s="98"/>
      <c r="I154" s="99"/>
      <c r="J154" s="98"/>
      <c r="K154" s="98"/>
      <c r="L154" s="98"/>
    </row>
    <row r="155" spans="1:12" x14ac:dyDescent="0.25">
      <c r="A155" t="s">
        <v>2</v>
      </c>
      <c r="D155" t="s">
        <v>18</v>
      </c>
      <c r="E155" t="s">
        <v>329</v>
      </c>
      <c r="H155" t="s">
        <v>327</v>
      </c>
      <c r="I155">
        <v>40</v>
      </c>
    </row>
    <row r="156" spans="1:12" x14ac:dyDescent="0.25">
      <c r="A156" t="s">
        <v>2</v>
      </c>
      <c r="D156" t="s">
        <v>18</v>
      </c>
      <c r="E156" t="s">
        <v>429</v>
      </c>
      <c r="H156" t="s">
        <v>327</v>
      </c>
      <c r="I156">
        <v>10</v>
      </c>
    </row>
    <row r="157" spans="1:12" x14ac:dyDescent="0.25">
      <c r="A157" t="s">
        <v>2</v>
      </c>
      <c r="D157" t="s">
        <v>18</v>
      </c>
      <c r="E157" t="s">
        <v>399</v>
      </c>
      <c r="H157" t="s">
        <v>327</v>
      </c>
      <c r="I157">
        <v>35</v>
      </c>
    </row>
    <row r="158" spans="1:12" x14ac:dyDescent="0.25">
      <c r="A158" t="s">
        <v>2</v>
      </c>
      <c r="D158" t="s">
        <v>18</v>
      </c>
      <c r="E158" t="s">
        <v>397</v>
      </c>
      <c r="H158" t="s">
        <v>327</v>
      </c>
      <c r="I158">
        <v>15</v>
      </c>
    </row>
    <row r="159" spans="1:12" x14ac:dyDescent="0.25">
      <c r="A159" t="s">
        <v>2</v>
      </c>
      <c r="E159" t="s">
        <v>329</v>
      </c>
      <c r="H159" t="s">
        <v>327</v>
      </c>
      <c r="I159">
        <v>50</v>
      </c>
    </row>
    <row r="160" spans="1:12" x14ac:dyDescent="0.25">
      <c r="A160" t="s">
        <v>2</v>
      </c>
      <c r="E160" t="s">
        <v>429</v>
      </c>
      <c r="H160" t="s">
        <v>327</v>
      </c>
      <c r="I160">
        <v>25</v>
      </c>
    </row>
    <row r="161" spans="1:12" x14ac:dyDescent="0.25">
      <c r="A161" t="s">
        <v>2</v>
      </c>
      <c r="E161" t="s">
        <v>399</v>
      </c>
      <c r="H161" t="s">
        <v>327</v>
      </c>
      <c r="I161">
        <v>25</v>
      </c>
    </row>
    <row r="162" spans="1:12" x14ac:dyDescent="0.25">
      <c r="A162" t="s">
        <v>2</v>
      </c>
      <c r="E162" t="s">
        <v>397</v>
      </c>
      <c r="H162" t="s">
        <v>327</v>
      </c>
      <c r="I162">
        <v>0</v>
      </c>
    </row>
    <row r="163" spans="1:12" x14ac:dyDescent="0.25">
      <c r="A163" t="s">
        <v>2</v>
      </c>
      <c r="D163" t="s">
        <v>35</v>
      </c>
      <c r="E163" t="s">
        <v>329</v>
      </c>
      <c r="H163" t="s">
        <v>327</v>
      </c>
      <c r="I163">
        <v>50</v>
      </c>
    </row>
    <row r="164" spans="1:12" x14ac:dyDescent="0.25">
      <c r="A164" t="s">
        <v>2</v>
      </c>
      <c r="D164" t="s">
        <v>35</v>
      </c>
      <c r="E164" t="s">
        <v>429</v>
      </c>
      <c r="H164" t="s">
        <v>327</v>
      </c>
      <c r="I164">
        <v>0</v>
      </c>
    </row>
    <row r="165" spans="1:12" x14ac:dyDescent="0.25">
      <c r="A165" t="s">
        <v>2</v>
      </c>
      <c r="D165" t="s">
        <v>35</v>
      </c>
      <c r="E165" t="s">
        <v>399</v>
      </c>
      <c r="H165" t="s">
        <v>327</v>
      </c>
      <c r="I165">
        <v>50</v>
      </c>
    </row>
    <row r="166" spans="1:12" x14ac:dyDescent="0.25">
      <c r="A166" t="s">
        <v>2</v>
      </c>
      <c r="D166" t="s">
        <v>35</v>
      </c>
      <c r="E166" t="s">
        <v>397</v>
      </c>
      <c r="H166" t="s">
        <v>327</v>
      </c>
      <c r="I166">
        <v>0</v>
      </c>
    </row>
    <row r="168" spans="1:12" x14ac:dyDescent="0.25">
      <c r="A168" s="100" t="s">
        <v>305</v>
      </c>
      <c r="B168" s="100"/>
      <c r="C168" s="100"/>
      <c r="D168" s="101"/>
      <c r="E168" s="101"/>
      <c r="F168" s="101"/>
      <c r="G168" s="101"/>
      <c r="H168" s="101"/>
      <c r="I168" s="101"/>
      <c r="J168" s="101"/>
      <c r="K168" s="101"/>
      <c r="L168" s="101"/>
    </row>
    <row r="169" spans="1:12" x14ac:dyDescent="0.25">
      <c r="A169" t="s">
        <v>39</v>
      </c>
      <c r="E169" t="s">
        <v>329</v>
      </c>
      <c r="H169" t="s">
        <v>327</v>
      </c>
      <c r="I169">
        <v>60</v>
      </c>
      <c r="J169" t="s">
        <v>328</v>
      </c>
    </row>
    <row r="170" spans="1:12" x14ac:dyDescent="0.25">
      <c r="A170" t="s">
        <v>39</v>
      </c>
      <c r="E170" t="s">
        <v>429</v>
      </c>
      <c r="H170" t="s">
        <v>327</v>
      </c>
      <c r="I170">
        <v>30</v>
      </c>
      <c r="J170" t="s">
        <v>328</v>
      </c>
    </row>
    <row r="171" spans="1:12" x14ac:dyDescent="0.25">
      <c r="A171" t="s">
        <v>39</v>
      </c>
      <c r="E171" t="s">
        <v>399</v>
      </c>
      <c r="H171" t="s">
        <v>327</v>
      </c>
      <c r="I171">
        <v>10</v>
      </c>
      <c r="J171" t="s">
        <v>328</v>
      </c>
    </row>
    <row r="172" spans="1:12" x14ac:dyDescent="0.25">
      <c r="A172" t="s">
        <v>39</v>
      </c>
      <c r="D172" t="s">
        <v>35</v>
      </c>
      <c r="E172" t="s">
        <v>329</v>
      </c>
      <c r="H172" t="s">
        <v>327</v>
      </c>
      <c r="I172">
        <v>50</v>
      </c>
      <c r="J172" t="s">
        <v>328</v>
      </c>
    </row>
    <row r="173" spans="1:12" x14ac:dyDescent="0.25">
      <c r="A173" t="s">
        <v>39</v>
      </c>
      <c r="D173" t="s">
        <v>35</v>
      </c>
      <c r="E173" t="s">
        <v>429</v>
      </c>
      <c r="H173" t="s">
        <v>327</v>
      </c>
      <c r="I173">
        <v>0</v>
      </c>
      <c r="J173" t="s">
        <v>328</v>
      </c>
    </row>
    <row r="174" spans="1:12" x14ac:dyDescent="0.25">
      <c r="A174" t="s">
        <v>39</v>
      </c>
      <c r="D174" t="s">
        <v>35</v>
      </c>
      <c r="E174" t="s">
        <v>399</v>
      </c>
      <c r="H174" t="s">
        <v>327</v>
      </c>
      <c r="I174">
        <v>50</v>
      </c>
      <c r="J174" t="s">
        <v>328</v>
      </c>
    </row>
    <row r="176" spans="1:12" x14ac:dyDescent="0.25">
      <c r="H176" s="160" t="s">
        <v>327</v>
      </c>
      <c r="I176" s="160">
        <v>0</v>
      </c>
      <c r="J176" s="160" t="s">
        <v>328</v>
      </c>
      <c r="K176" s="160" t="s">
        <v>430</v>
      </c>
    </row>
    <row r="177" spans="1:12" x14ac:dyDescent="0.25">
      <c r="H177" s="93"/>
      <c r="I177" s="93"/>
      <c r="J177" s="93"/>
      <c r="K177" s="93"/>
    </row>
    <row r="178" spans="1:12" x14ac:dyDescent="0.25">
      <c r="A178" s="94" t="s">
        <v>432</v>
      </c>
      <c r="B178" s="94"/>
      <c r="C178" s="94"/>
      <c r="D178" s="95"/>
      <c r="E178" s="95"/>
      <c r="F178" s="95"/>
      <c r="G178" s="95"/>
      <c r="H178" s="95"/>
      <c r="I178" s="95"/>
      <c r="J178" s="95" t="s">
        <v>9</v>
      </c>
      <c r="K178" s="95" t="s">
        <v>434</v>
      </c>
      <c r="L178" s="95"/>
    </row>
    <row r="179" spans="1:12" x14ac:dyDescent="0.25">
      <c r="A179" s="97" t="s">
        <v>304</v>
      </c>
      <c r="B179" s="97"/>
      <c r="C179" s="97"/>
      <c r="D179" s="98"/>
      <c r="E179" s="98"/>
      <c r="F179" s="98"/>
      <c r="G179" s="98"/>
      <c r="H179" s="98"/>
      <c r="I179" s="99"/>
      <c r="J179" s="98"/>
      <c r="K179" s="98"/>
      <c r="L179" s="98"/>
    </row>
    <row r="180" spans="1:12" x14ac:dyDescent="0.25">
      <c r="A180" t="s">
        <v>2</v>
      </c>
      <c r="D180" t="s">
        <v>18</v>
      </c>
      <c r="H180" t="s">
        <v>433</v>
      </c>
      <c r="J180" s="93">
        <v>5</v>
      </c>
    </row>
    <row r="181" spans="1:12" x14ac:dyDescent="0.25">
      <c r="A181" t="s">
        <v>2</v>
      </c>
      <c r="D181" t="s">
        <v>20</v>
      </c>
      <c r="H181" t="s">
        <v>433</v>
      </c>
      <c r="J181" s="93">
        <v>5</v>
      </c>
    </row>
    <row r="182" spans="1:12" x14ac:dyDescent="0.25">
      <c r="A182" t="s">
        <v>2</v>
      </c>
      <c r="D182" t="s">
        <v>35</v>
      </c>
      <c r="H182" t="s">
        <v>433</v>
      </c>
      <c r="J182" s="93">
        <v>0</v>
      </c>
    </row>
    <row r="183" spans="1:12" x14ac:dyDescent="0.25">
      <c r="A183" t="s">
        <v>2</v>
      </c>
      <c r="D183" t="s">
        <v>33</v>
      </c>
      <c r="H183" t="s">
        <v>433</v>
      </c>
      <c r="J183" s="93">
        <v>100</v>
      </c>
    </row>
    <row r="184" spans="1:12" x14ac:dyDescent="0.25">
      <c r="A184" t="s">
        <v>2</v>
      </c>
      <c r="D184" t="s">
        <v>34</v>
      </c>
      <c r="H184" t="s">
        <v>433</v>
      </c>
      <c r="J184" s="93">
        <v>100</v>
      </c>
    </row>
    <row r="185" spans="1:12" x14ac:dyDescent="0.25">
      <c r="A185" t="s">
        <v>2</v>
      </c>
      <c r="D185" t="s">
        <v>431</v>
      </c>
      <c r="H185" t="s">
        <v>433</v>
      </c>
      <c r="J185" s="93">
        <v>0</v>
      </c>
    </row>
    <row r="187" spans="1:12" x14ac:dyDescent="0.25">
      <c r="A187" s="100" t="s">
        <v>305</v>
      </c>
      <c r="B187" s="100"/>
      <c r="C187" s="100"/>
      <c r="D187" s="101"/>
      <c r="E187" s="101"/>
      <c r="F187" s="101"/>
      <c r="G187" s="101"/>
      <c r="H187" s="101"/>
      <c r="I187" s="101"/>
      <c r="J187" s="101"/>
      <c r="K187" s="101"/>
      <c r="L187" s="101"/>
    </row>
    <row r="188" spans="1:12" x14ac:dyDescent="0.25">
      <c r="A188" t="s">
        <v>39</v>
      </c>
      <c r="D188" t="s">
        <v>18</v>
      </c>
      <c r="H188" t="s">
        <v>433</v>
      </c>
      <c r="J188" s="93">
        <v>100</v>
      </c>
    </row>
    <row r="189" spans="1:12" x14ac:dyDescent="0.25">
      <c r="A189" t="s">
        <v>39</v>
      </c>
      <c r="D189" t="s">
        <v>20</v>
      </c>
      <c r="H189" t="s">
        <v>433</v>
      </c>
      <c r="J189" s="93">
        <v>100</v>
      </c>
    </row>
    <row r="190" spans="1:12" x14ac:dyDescent="0.25">
      <c r="A190" t="s">
        <v>39</v>
      </c>
      <c r="D190" t="s">
        <v>35</v>
      </c>
      <c r="H190" t="s">
        <v>433</v>
      </c>
      <c r="J190" s="93">
        <v>0</v>
      </c>
    </row>
    <row r="191" spans="1:12" x14ac:dyDescent="0.25">
      <c r="A191" t="s">
        <v>39</v>
      </c>
      <c r="D191" t="s">
        <v>33</v>
      </c>
      <c r="H191" t="s">
        <v>433</v>
      </c>
      <c r="J191" s="93">
        <v>100</v>
      </c>
    </row>
    <row r="192" spans="1:12" x14ac:dyDescent="0.25">
      <c r="A192" t="s">
        <v>39</v>
      </c>
      <c r="D192" t="s">
        <v>34</v>
      </c>
      <c r="H192" t="s">
        <v>433</v>
      </c>
      <c r="J192" s="93">
        <v>100</v>
      </c>
    </row>
    <row r="193" spans="1:12" x14ac:dyDescent="0.25">
      <c r="A193" t="s">
        <v>39</v>
      </c>
      <c r="D193" t="s">
        <v>431</v>
      </c>
      <c r="H193" t="s">
        <v>433</v>
      </c>
      <c r="J193" s="93">
        <v>100</v>
      </c>
    </row>
    <row r="195" spans="1:12" x14ac:dyDescent="0.25">
      <c r="A195" s="159" t="s">
        <v>306</v>
      </c>
      <c r="B195" s="159"/>
      <c r="C195" s="159"/>
      <c r="D195" s="95"/>
      <c r="E195" s="95"/>
      <c r="F195" s="95"/>
      <c r="G195" s="95"/>
      <c r="H195" s="95"/>
      <c r="I195" s="95"/>
      <c r="J195" s="95"/>
      <c r="K195" s="95"/>
      <c r="L195" s="95"/>
    </row>
    <row r="196" spans="1:12" x14ac:dyDescent="0.25">
      <c r="A196" s="93" t="s">
        <v>2</v>
      </c>
      <c r="D196" s="93" t="s">
        <v>18</v>
      </c>
      <c r="E196" s="93"/>
      <c r="F196" s="93"/>
      <c r="G196" s="93"/>
      <c r="H196" s="93" t="s">
        <v>41</v>
      </c>
      <c r="I196" s="93">
        <v>7.1</v>
      </c>
      <c r="J196" s="93" t="s">
        <v>4</v>
      </c>
      <c r="K196" s="93"/>
      <c r="L196" s="93" t="s">
        <v>42</v>
      </c>
    </row>
    <row r="197" spans="1:12" x14ac:dyDescent="0.25">
      <c r="A197" s="93" t="s">
        <v>39</v>
      </c>
      <c r="D197" s="93" t="s">
        <v>18</v>
      </c>
      <c r="E197" s="93"/>
      <c r="F197" s="93"/>
      <c r="G197" s="93"/>
      <c r="H197" s="93" t="s">
        <v>41</v>
      </c>
      <c r="I197" s="93">
        <v>5.0999999999999996</v>
      </c>
      <c r="J197" s="93" t="s">
        <v>4</v>
      </c>
      <c r="K197" s="93"/>
      <c r="L197" s="93" t="s">
        <v>42</v>
      </c>
    </row>
    <row r="198" spans="1:12" x14ac:dyDescent="0.25">
      <c r="A198" s="93"/>
      <c r="D198" s="93" t="s">
        <v>33</v>
      </c>
      <c r="E198" s="93"/>
      <c r="F198" s="93"/>
      <c r="G198" s="93"/>
      <c r="H198" s="93" t="s">
        <v>41</v>
      </c>
      <c r="I198" s="93">
        <v>5.7</v>
      </c>
      <c r="J198" s="93" t="s">
        <v>4</v>
      </c>
      <c r="K198" s="93"/>
      <c r="L198" s="93" t="s">
        <v>42</v>
      </c>
    </row>
    <row r="199" spans="1:12" x14ac:dyDescent="0.25">
      <c r="A199" s="93"/>
      <c r="D199" s="93" t="s">
        <v>20</v>
      </c>
      <c r="E199" s="93"/>
      <c r="F199" s="93"/>
      <c r="G199" s="93"/>
      <c r="H199" s="93" t="s">
        <v>41</v>
      </c>
      <c r="I199" s="93">
        <v>7.7</v>
      </c>
      <c r="J199" s="93" t="s">
        <v>4</v>
      </c>
      <c r="K199" s="93"/>
      <c r="L199" s="93" t="s">
        <v>42</v>
      </c>
    </row>
    <row r="200" spans="1:12" x14ac:dyDescent="0.25">
      <c r="A200" s="93"/>
      <c r="D200" s="93" t="s">
        <v>34</v>
      </c>
      <c r="E200" s="93"/>
      <c r="F200" s="93"/>
      <c r="G200" s="93"/>
      <c r="H200" s="93" t="s">
        <v>41</v>
      </c>
      <c r="I200" s="93">
        <v>9.1</v>
      </c>
      <c r="J200" s="93" t="s">
        <v>4</v>
      </c>
      <c r="K200" s="93" t="s">
        <v>43</v>
      </c>
      <c r="L200" s="93" t="s">
        <v>42</v>
      </c>
    </row>
    <row r="201" spans="1:12" x14ac:dyDescent="0.25">
      <c r="A201" s="93"/>
      <c r="D201" s="93" t="s">
        <v>35</v>
      </c>
      <c r="E201" s="93"/>
      <c r="F201" s="93"/>
      <c r="G201" s="93"/>
      <c r="H201" s="93" t="s">
        <v>41</v>
      </c>
      <c r="I201" s="93">
        <v>9.1</v>
      </c>
      <c r="J201" s="93" t="s">
        <v>4</v>
      </c>
      <c r="K201" s="93" t="s">
        <v>43</v>
      </c>
      <c r="L201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342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343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3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3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6"/>
    </row>
    <row r="41" spans="2:46" x14ac:dyDescent="0.25">
      <c r="D41" s="12"/>
      <c r="E41" s="42"/>
      <c r="J41" s="15"/>
      <c r="K41" s="21"/>
      <c r="L41" s="22"/>
      <c r="M41" s="104" t="s">
        <v>319</v>
      </c>
      <c r="N41" s="15"/>
      <c r="O41" s="19"/>
      <c r="P41" s="19">
        <v>89</v>
      </c>
      <c r="Q41" s="15"/>
      <c r="R41" s="108" t="s">
        <v>9</v>
      </c>
      <c r="S41" s="15"/>
      <c r="T41" s="15" t="s">
        <v>321</v>
      </c>
      <c r="U41" s="15"/>
      <c r="V41" s="15"/>
      <c r="W41" s="106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4" t="s">
        <v>319</v>
      </c>
      <c r="AK41" s="15"/>
      <c r="AL41" s="19"/>
      <c r="AM41" s="19">
        <v>14</v>
      </c>
      <c r="AN41" s="15"/>
      <c r="AO41" s="108" t="s">
        <v>9</v>
      </c>
      <c r="AP41" s="15"/>
      <c r="AQ41" s="15"/>
      <c r="AR41" s="15"/>
      <c r="AS41" s="15"/>
      <c r="AT41" s="106"/>
    </row>
    <row r="42" spans="2:46" x14ac:dyDescent="0.25">
      <c r="D42" s="12"/>
      <c r="E42" s="42"/>
      <c r="J42" s="15"/>
      <c r="K42" s="21"/>
      <c r="L42" s="22"/>
      <c r="M42" s="105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7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5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7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340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2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2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2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2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2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2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2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2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406</v>
      </c>
    </row>
    <row r="98" spans="2:11" x14ac:dyDescent="0.25">
      <c r="C98" t="s">
        <v>317</v>
      </c>
      <c r="F98" t="s">
        <v>401</v>
      </c>
      <c r="I98" t="s">
        <v>404</v>
      </c>
    </row>
    <row r="99" spans="2:11" x14ac:dyDescent="0.25">
      <c r="C99" t="s">
        <v>18</v>
      </c>
      <c r="D99" t="s">
        <v>402</v>
      </c>
      <c r="E99" t="s">
        <v>403</v>
      </c>
      <c r="F99" t="s">
        <v>18</v>
      </c>
      <c r="G99" t="s">
        <v>402</v>
      </c>
      <c r="H99" t="s">
        <v>403</v>
      </c>
      <c r="I99" t="s">
        <v>18</v>
      </c>
      <c r="J99" t="s">
        <v>402</v>
      </c>
      <c r="K99" t="s">
        <v>403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5" t="s">
        <v>400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5" t="s">
        <v>405</v>
      </c>
      <c r="E106" s="156">
        <f>1/E105</f>
        <v>4.9969493593654671E-2</v>
      </c>
      <c r="H106" s="156">
        <f>1/H105</f>
        <v>3.1568577532293592E-2</v>
      </c>
      <c r="K106" s="156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351</v>
      </c>
      <c r="R1" s="4" t="s">
        <v>352</v>
      </c>
    </row>
    <row r="2" spans="6:31" x14ac:dyDescent="0.25">
      <c r="G2" t="s">
        <v>348</v>
      </c>
    </row>
    <row r="3" spans="6:31" x14ac:dyDescent="0.25">
      <c r="F3" t="s">
        <v>349</v>
      </c>
      <c r="G3" t="s">
        <v>345</v>
      </c>
      <c r="H3" t="s">
        <v>346</v>
      </c>
      <c r="I3" t="s">
        <v>347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353</v>
      </c>
      <c r="S4" s="118"/>
      <c r="T4" s="118"/>
      <c r="U4" s="118"/>
      <c r="V4" s="118"/>
      <c r="W4" s="118"/>
      <c r="X4" s="112"/>
      <c r="Y4" s="112"/>
      <c r="AB4" t="s">
        <v>349</v>
      </c>
      <c r="AC4" t="s">
        <v>386</v>
      </c>
      <c r="AD4" t="s">
        <v>356</v>
      </c>
      <c r="AE4" t="s">
        <v>357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355</v>
      </c>
      <c r="S5" s="119" t="s">
        <v>354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134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390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387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349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356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394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355</v>
      </c>
      <c r="S15" s="119" t="s">
        <v>388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134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393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355</v>
      </c>
      <c r="S25" s="119" t="s">
        <v>388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134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0.99434308508956182</v>
      </c>
    </row>
    <row r="5" spans="1:9" x14ac:dyDescent="0.25">
      <c r="A5" s="136" t="s">
        <v>361</v>
      </c>
      <c r="B5" s="136">
        <v>0.98871817086542757</v>
      </c>
    </row>
    <row r="6" spans="1:9" x14ac:dyDescent="0.25">
      <c r="A6" s="136" t="s">
        <v>362</v>
      </c>
      <c r="B6" s="141">
        <v>0.9876437109478492</v>
      </c>
    </row>
    <row r="7" spans="1:9" x14ac:dyDescent="0.25">
      <c r="A7" s="136" t="s">
        <v>363</v>
      </c>
      <c r="B7" s="136">
        <v>0.64295634155271764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367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317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349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356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0.99923601209082613</v>
      </c>
    </row>
    <row r="5" spans="1:9" x14ac:dyDescent="0.25">
      <c r="A5" s="136" t="s">
        <v>361</v>
      </c>
      <c r="B5" s="136">
        <v>0.99847260785917769</v>
      </c>
    </row>
    <row r="6" spans="1:9" x14ac:dyDescent="0.25">
      <c r="A6" s="136" t="s">
        <v>362</v>
      </c>
      <c r="B6" s="141">
        <v>0.95294863548914033</v>
      </c>
    </row>
    <row r="7" spans="1:9" x14ac:dyDescent="0.25">
      <c r="A7" s="136" t="s">
        <v>363</v>
      </c>
      <c r="B7" s="136">
        <v>0.63937706804773409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367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317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349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356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scn_baseline</vt:lpstr>
      <vt:lpstr>Antal djur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2023-04-20T11:41:21Z</dcterms:modified>
</cp:coreProperties>
</file>