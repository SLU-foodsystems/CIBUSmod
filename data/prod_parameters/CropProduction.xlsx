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1520" activeTab="2"/>
  </bookViews>
  <sheets>
    <sheet name="description" sheetId="2" r:id="rId1"/>
    <sheet name="relations" sheetId="4" r:id="rId2"/>
    <sheet name="default" sheetId="1" r:id="rId3"/>
    <sheet name="scn_baseline" sheetId="3" r:id="rId4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134" i="1" l="1"/>
  <c r="G135" i="1"/>
  <c r="G133" i="1"/>
  <c r="G132" i="1"/>
  <c r="G92" i="1" l="1"/>
  <c r="G90" i="1"/>
</calcChain>
</file>

<file path=xl/sharedStrings.xml><?xml version="1.0" encoding="utf-8"?>
<sst xmlns="http://schemas.openxmlformats.org/spreadsheetml/2006/main" count="699" uniqueCount="209">
  <si>
    <t>f_crop</t>
  </si>
  <si>
    <t>f_crop_prod</t>
  </si>
  <si>
    <t>parameter</t>
  </si>
  <si>
    <t>value</t>
  </si>
  <si>
    <t>unit</t>
  </si>
  <si>
    <t>description</t>
  </si>
  <si>
    <t>source</t>
  </si>
  <si>
    <t>yield</t>
  </si>
  <si>
    <t>calculated from national statistics</t>
  </si>
  <si>
    <t>f_prod_system</t>
  </si>
  <si>
    <t>Apples</t>
  </si>
  <si>
    <t>conventional</t>
  </si>
  <si>
    <t>organic</t>
  </si>
  <si>
    <t>Barley, spring</t>
  </si>
  <si>
    <t>Barley, winter</t>
  </si>
  <si>
    <t>Broad beans and horse beans, dry</t>
  </si>
  <si>
    <t>Cabbages, cauliflowers and broccoli</t>
  </si>
  <si>
    <t>Cereals for fodder</t>
  </si>
  <si>
    <t>Fallow</t>
  </si>
  <si>
    <t>Green manure</t>
  </si>
  <si>
    <t>Herbs</t>
  </si>
  <si>
    <t>Lettuce and spinach</t>
  </si>
  <si>
    <t>Ley for fodder</t>
  </si>
  <si>
    <t>Ley for grazing</t>
  </si>
  <si>
    <t>Ley for seed</t>
  </si>
  <si>
    <t>Maize (corn)</t>
  </si>
  <si>
    <t>Maize for forage and silage</t>
  </si>
  <si>
    <t>Oats</t>
  </si>
  <si>
    <t>Other berries</t>
  </si>
  <si>
    <t>Other crops for fodder</t>
  </si>
  <si>
    <t>Other fruit</t>
  </si>
  <si>
    <t>Other vegetables</t>
  </si>
  <si>
    <t>Peas, dry</t>
  </si>
  <si>
    <t>Peas, green</t>
  </si>
  <si>
    <t>Potatoes</t>
  </si>
  <si>
    <t>Rye</t>
  </si>
  <si>
    <t>Semi-natural meadows</t>
  </si>
  <si>
    <t>Semi-natural pastures</t>
  </si>
  <si>
    <t>Strawberries</t>
  </si>
  <si>
    <t>Sugar beet</t>
  </si>
  <si>
    <t>Triticale, spring</t>
  </si>
  <si>
    <t>Triticale, winter</t>
  </si>
  <si>
    <t>Wheat, spring</t>
  </si>
  <si>
    <t>Wheat, winter</t>
  </si>
  <si>
    <t>fodder</t>
  </si>
  <si>
    <t>wheat</t>
  </si>
  <si>
    <t>straw</t>
  </si>
  <si>
    <t>f_by_prod</t>
  </si>
  <si>
    <r>
      <t>Yields</t>
    </r>
    <r>
      <rPr>
        <sz val="11"/>
        <color theme="1"/>
        <rFont val="Calibri"/>
        <family val="2"/>
        <scheme val="minor"/>
      </rPr>
      <t xml:space="preserve"> (parameter = yield)</t>
    </r>
  </si>
  <si>
    <t>maize fodder</t>
  </si>
  <si>
    <t>y_2020</t>
  </si>
  <si>
    <t>y_2050</t>
  </si>
  <si>
    <t>grazing</t>
  </si>
  <si>
    <t>crop_to_prod</t>
  </si>
  <si>
    <t>crop</t>
  </si>
  <si>
    <t>crop_group</t>
  </si>
  <si>
    <t>land_use</t>
  </si>
  <si>
    <t>cropland</t>
  </si>
  <si>
    <t>Grain legumes</t>
  </si>
  <si>
    <t>Brassicaceae</t>
  </si>
  <si>
    <t>Beets</t>
  </si>
  <si>
    <t>Berries</t>
  </si>
  <si>
    <t>Fruit trees</t>
  </si>
  <si>
    <t>Vegetables</t>
  </si>
  <si>
    <t>Fodder crops</t>
  </si>
  <si>
    <t>Ley</t>
  </si>
  <si>
    <t>Energy crops</t>
  </si>
  <si>
    <t>Cereals, winter</t>
  </si>
  <si>
    <t>Cereals, spring</t>
  </si>
  <si>
    <t>CPC</t>
  </si>
  <si>
    <t>0111.S</t>
  </si>
  <si>
    <t>0111.W</t>
  </si>
  <si>
    <t>0112</t>
  </si>
  <si>
    <t>0115.S</t>
  </si>
  <si>
    <t>0115.W</t>
  </si>
  <si>
    <t>0116</t>
  </si>
  <si>
    <t>0117</t>
  </si>
  <si>
    <t>01191.S</t>
  </si>
  <si>
    <t>01191.W</t>
  </si>
  <si>
    <t>01199.02</t>
  </si>
  <si>
    <t>012.O</t>
  </si>
  <si>
    <t>0121.C</t>
  </si>
  <si>
    <t>0121.H</t>
  </si>
  <si>
    <t>0121.L</t>
  </si>
  <si>
    <t>01232</t>
  </si>
  <si>
    <t>01235</t>
  </si>
  <si>
    <t>01242</t>
  </si>
  <si>
    <t>01251</t>
  </si>
  <si>
    <t>01259</t>
  </si>
  <si>
    <t>0134.O</t>
  </si>
  <si>
    <t>01341</t>
  </si>
  <si>
    <t>0135.O</t>
  </si>
  <si>
    <t>01354</t>
  </si>
  <si>
    <t>01443.S</t>
  </si>
  <si>
    <t>01443.W</t>
  </si>
  <si>
    <t>01701</t>
  </si>
  <si>
    <t>01702</t>
  </si>
  <si>
    <t>01705</t>
  </si>
  <si>
    <t>01801</t>
  </si>
  <si>
    <t>01911</t>
  </si>
  <si>
    <t>01919.C</t>
  </si>
  <si>
    <t>01919.FAL</t>
  </si>
  <si>
    <t>01919.GM</t>
  </si>
  <si>
    <t>01919.L.F</t>
  </si>
  <si>
    <t>01919.L.G</t>
  </si>
  <si>
    <t>01919.L.S</t>
  </si>
  <si>
    <t>01919.O</t>
  </si>
  <si>
    <t>01919.SNG.F</t>
  </si>
  <si>
    <t>01919.SNG.G</t>
  </si>
  <si>
    <t>kg DM or WW/ha or m2 (depending on crop)</t>
  </si>
  <si>
    <t>Carrots</t>
  </si>
  <si>
    <t>Cucumbers</t>
  </si>
  <si>
    <t>Currants</t>
  </si>
  <si>
    <t>Energy grass</t>
  </si>
  <si>
    <t>Herbs, greenhouse</t>
  </si>
  <si>
    <t>Lettuce, greenhouse</t>
  </si>
  <si>
    <t>Ley not harvested</t>
  </si>
  <si>
    <t>Mixed cereals</t>
  </si>
  <si>
    <t>Onions</t>
  </si>
  <si>
    <t>Other berries, greenhouse</t>
  </si>
  <si>
    <t>Other root vegetables</t>
  </si>
  <si>
    <t>Other vegetables, greenhouse</t>
  </si>
  <si>
    <t>Pears</t>
  </si>
  <si>
    <t>Potatoes, starch</t>
  </si>
  <si>
    <t>Potatoes, table</t>
  </si>
  <si>
    <t>Pumpkins and squash</t>
  </si>
  <si>
    <t>Rapeseed, spring</t>
  </si>
  <si>
    <t>Rapeseed, winter</t>
  </si>
  <si>
    <t>Short rotation coppice</t>
  </si>
  <si>
    <t>Strawberries, greenhouse</t>
  </si>
  <si>
    <t>Tomatoes, greenhouse</t>
  </si>
  <si>
    <t>01510.T</t>
  </si>
  <si>
    <t>01510.S</t>
  </si>
  <si>
    <t>0199.EG</t>
  </si>
  <si>
    <t>0199.SRC</t>
  </si>
  <si>
    <t>01919.L.NH</t>
  </si>
  <si>
    <t>Semi-natural grasslands</t>
  </si>
  <si>
    <t>semi-natural grasslands</t>
  </si>
  <si>
    <t>01253</t>
  </si>
  <si>
    <t>01351</t>
  </si>
  <si>
    <t>01342</t>
  </si>
  <si>
    <t>01234.GH</t>
  </si>
  <si>
    <t>01232.GH</t>
  </si>
  <si>
    <t>01214.GH</t>
  </si>
  <si>
    <t>012.O.GH</t>
  </si>
  <si>
    <t>0121.H.GH</t>
  </si>
  <si>
    <t>01354.GH</t>
  </si>
  <si>
    <t>0135.O.GH</t>
  </si>
  <si>
    <t>Vegetables, greenhouse</t>
  </si>
  <si>
    <t>Berries, greenhouse</t>
  </si>
  <si>
    <t>greenhouse</t>
  </si>
  <si>
    <r>
      <t>Crops to products</t>
    </r>
    <r>
      <rPr>
        <sz val="11"/>
        <color theme="1"/>
        <rFont val="Calibri"/>
        <family val="2"/>
        <scheme val="minor"/>
      </rPr>
      <t xml:space="preserve"> (Note: Several crops may supply one crop product but one crop may not supply several crop products if these are not co-produced)</t>
    </r>
  </si>
  <si>
    <t>barley</t>
  </si>
  <si>
    <t>Fallback</t>
  </si>
  <si>
    <t>Beans, dry</t>
  </si>
  <si>
    <t>rye</t>
  </si>
  <si>
    <t>oats</t>
  </si>
  <si>
    <t>potatoes starch</t>
  </si>
  <si>
    <t>potatoes table</t>
  </si>
  <si>
    <t>tomatoes</t>
  </si>
  <si>
    <t>Cucumbers, greenhouse</t>
  </si>
  <si>
    <t>cucumbers</t>
  </si>
  <si>
    <t>rapeseed</t>
  </si>
  <si>
    <t>triticale</t>
  </si>
  <si>
    <t>peas</t>
  </si>
  <si>
    <t>broad beans</t>
  </si>
  <si>
    <t>carrots</t>
  </si>
  <si>
    <t>onions</t>
  </si>
  <si>
    <t>cabbages etc</t>
  </si>
  <si>
    <t>lettuce and spinach</t>
  </si>
  <si>
    <t>pumpkins and squash</t>
  </si>
  <si>
    <t>peas green</t>
  </si>
  <si>
    <t>maize</t>
  </si>
  <si>
    <t>beans</t>
  </si>
  <si>
    <t>sugar beet</t>
  </si>
  <si>
    <t>ley seed</t>
  </si>
  <si>
    <t>How to handle these?</t>
  </si>
  <si>
    <t>strawberries</t>
  </si>
  <si>
    <t>apples</t>
  </si>
  <si>
    <t>pears</t>
  </si>
  <si>
    <t>currants</t>
  </si>
  <si>
    <t>other vegetables</t>
  </si>
  <si>
    <t>other fruit</t>
  </si>
  <si>
    <t>other berries</t>
  </si>
  <si>
    <t>herbs</t>
  </si>
  <si>
    <t>kg/ha</t>
  </si>
  <si>
    <t>Seed demand</t>
  </si>
  <si>
    <t>seed</t>
  </si>
  <si>
    <t>Bidragskalkyler konv. 2020</t>
  </si>
  <si>
    <t>Bidragskalkyler eko 2020</t>
  </si>
  <si>
    <t>avg. raps/rybs</t>
  </si>
  <si>
    <t>foder</t>
  </si>
  <si>
    <t>1800-3000</t>
  </si>
  <si>
    <t>https://stud.epsilon.slu.se/1264/1/martensson_andreas_100604.pdf</t>
  </si>
  <si>
    <t>assume same as spring barley</t>
  </si>
  <si>
    <t>assume same as winter triticale</t>
  </si>
  <si>
    <t>From seeds. How to handle?</t>
  </si>
  <si>
    <t>Assumes 3yr ley</t>
  </si>
  <si>
    <t>No seed??</t>
  </si>
  <si>
    <t>Assumes 6yr ley</t>
  </si>
  <si>
    <t>Maximum share in rotation</t>
  </si>
  <si>
    <t>f_crop_group</t>
  </si>
  <si>
    <t>max_in_rot</t>
  </si>
  <si>
    <t>%</t>
  </si>
  <si>
    <t>CropProduction_yields.csv</t>
  </si>
  <si>
    <t>read from csv</t>
  </si>
  <si>
    <t>min_GDD5</t>
  </si>
  <si>
    <r>
      <t>Minimum growing degree days</t>
    </r>
    <r>
      <rPr>
        <sz val="11"/>
        <color theme="1"/>
        <rFont val="Calibri"/>
        <family val="2"/>
        <scheme val="minor"/>
      </rPr>
      <t xml:space="preserve"> Based on the number of growing degree days in the "coldest" region where the crop is currently (2016-2020) grown</t>
    </r>
  </si>
  <si>
    <t>C*days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</si>
</sst>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"/>
  </numFmts>
  <fonts count="8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7030A0"/>
      <name val="Calibri"/>
      <family val="2"/>
      <scheme val="minor"/>
    </font>
    <font>
      <u/>
      <sz val="11"/>
      <color rgb="FFFF0000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13">
    <xf numFmtId="0" fontId="0" fillId="0" borderId="0" xfId="0"/>
    <xf numFmtId="0" fontId="2" fillId="2" borderId="0" xfId="0" applyFont="1" applyFill="1"/>
    <xf numFmtId="0" fontId="0" fillId="2" borderId="0" xfId="0" applyFill="1"/>
    <xf numFmtId="0" fontId="3" fillId="0" borderId="0" xfId="0" applyFont="1" applyFill="1" applyBorder="1"/>
    <xf numFmtId="0" fontId="1" fillId="0" borderId="0" xfId="0" applyFont="1"/>
    <xf numFmtId="0" fontId="4" fillId="0" borderId="0" xfId="0" applyFont="1"/>
    <xf numFmtId="0" fontId="5" fillId="0" borderId="0" xfId="0" applyFont="1"/>
    <xf numFmtId="0" fontId="0" fillId="0" borderId="0" xfId="0" applyFill="1" applyBorder="1"/>
    <xf numFmtId="0" fontId="1" fillId="0" borderId="0" xfId="0" applyFont="1" applyFill="1" applyBorder="1"/>
    <xf numFmtId="0" fontId="6" fillId="0" borderId="0" xfId="0" applyFont="1"/>
    <xf numFmtId="0" fontId="3" fillId="0" borderId="0" xfId="0" applyFont="1"/>
    <xf numFmtId="0" fontId="7" fillId="0" borderId="0" xfId="1"/>
    <xf numFmtId="164" fontId="1" fillId="0" borderId="0" xfId="0" applyNumberFormat="1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stud.epsilon.slu.se/1264/1/martensson_andreas_100604.pdf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>
      <selection activeCell="B2" sqref="B2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55"/>
  <sheetViews>
    <sheetView workbookViewId="0">
      <selection activeCell="C15" sqref="C15"/>
    </sheetView>
  </sheetViews>
  <sheetFormatPr defaultRowHeight="15" x14ac:dyDescent="0.25"/>
  <cols>
    <col min="1" max="1" width="12.140625" bestFit="1" customWidth="1"/>
    <col min="2" max="2" width="44.5703125" bestFit="1" customWidth="1"/>
    <col min="3" max="3" width="21.5703125" bestFit="1" customWidth="1"/>
    <col min="4" max="4" width="21.42578125" bestFit="1" customWidth="1"/>
  </cols>
  <sheetData>
    <row r="1" spans="1:4" x14ac:dyDescent="0.25">
      <c r="A1" t="s">
        <v>69</v>
      </c>
      <c r="B1" t="s">
        <v>54</v>
      </c>
      <c r="C1" t="s">
        <v>55</v>
      </c>
      <c r="D1" t="s">
        <v>56</v>
      </c>
    </row>
    <row r="2" spans="1:4" x14ac:dyDescent="0.25">
      <c r="A2" t="s">
        <v>71</v>
      </c>
      <c r="B2" t="s">
        <v>43</v>
      </c>
      <c r="C2" t="s">
        <v>67</v>
      </c>
      <c r="D2" t="s">
        <v>57</v>
      </c>
    </row>
    <row r="3" spans="1:4" x14ac:dyDescent="0.25">
      <c r="A3" t="s">
        <v>70</v>
      </c>
      <c r="B3" t="s">
        <v>42</v>
      </c>
      <c r="C3" t="s">
        <v>68</v>
      </c>
      <c r="D3" t="s">
        <v>57</v>
      </c>
    </row>
    <row r="4" spans="1:4" x14ac:dyDescent="0.25">
      <c r="A4" t="s">
        <v>75</v>
      </c>
      <c r="B4" t="s">
        <v>35</v>
      </c>
      <c r="C4" t="s">
        <v>67</v>
      </c>
      <c r="D4" t="s">
        <v>57</v>
      </c>
    </row>
    <row r="5" spans="1:4" x14ac:dyDescent="0.25">
      <c r="A5" t="s">
        <v>74</v>
      </c>
      <c r="B5" t="s">
        <v>14</v>
      </c>
      <c r="C5" t="s">
        <v>67</v>
      </c>
      <c r="D5" t="s">
        <v>57</v>
      </c>
    </row>
    <row r="6" spans="1:4" x14ac:dyDescent="0.25">
      <c r="A6" t="s">
        <v>73</v>
      </c>
      <c r="B6" t="s">
        <v>13</v>
      </c>
      <c r="C6" t="s">
        <v>68</v>
      </c>
      <c r="D6" t="s">
        <v>57</v>
      </c>
    </row>
    <row r="7" spans="1:4" x14ac:dyDescent="0.25">
      <c r="A7" t="s">
        <v>76</v>
      </c>
      <c r="B7" t="s">
        <v>27</v>
      </c>
      <c r="C7" t="s">
        <v>68</v>
      </c>
      <c r="D7" t="s">
        <v>57</v>
      </c>
    </row>
    <row r="8" spans="1:4" x14ac:dyDescent="0.25">
      <c r="A8" t="s">
        <v>78</v>
      </c>
      <c r="B8" t="s">
        <v>41</v>
      </c>
      <c r="C8" t="s">
        <v>67</v>
      </c>
      <c r="D8" t="s">
        <v>57</v>
      </c>
    </row>
    <row r="9" spans="1:4" x14ac:dyDescent="0.25">
      <c r="A9" t="s">
        <v>77</v>
      </c>
      <c r="B9" t="s">
        <v>40</v>
      </c>
      <c r="C9" t="s">
        <v>68</v>
      </c>
      <c r="D9" t="s">
        <v>57</v>
      </c>
    </row>
    <row r="10" spans="1:4" x14ac:dyDescent="0.25">
      <c r="A10" t="s">
        <v>72</v>
      </c>
      <c r="B10" t="s">
        <v>25</v>
      </c>
      <c r="C10" t="s">
        <v>68</v>
      </c>
      <c r="D10" t="s">
        <v>57</v>
      </c>
    </row>
    <row r="11" spans="1:4" x14ac:dyDescent="0.25">
      <c r="A11" t="s">
        <v>79</v>
      </c>
      <c r="B11" t="s">
        <v>117</v>
      </c>
      <c r="C11" t="s">
        <v>68</v>
      </c>
      <c r="D11" t="s">
        <v>57</v>
      </c>
    </row>
    <row r="12" spans="1:4" x14ac:dyDescent="0.25">
      <c r="A12" t="s">
        <v>97</v>
      </c>
      <c r="B12" t="s">
        <v>32</v>
      </c>
      <c r="C12" t="s">
        <v>58</v>
      </c>
      <c r="D12" t="s">
        <v>57</v>
      </c>
    </row>
    <row r="13" spans="1:4" x14ac:dyDescent="0.25">
      <c r="A13" t="s">
        <v>86</v>
      </c>
      <c r="B13" t="s">
        <v>33</v>
      </c>
      <c r="C13" t="s">
        <v>58</v>
      </c>
      <c r="D13" t="s">
        <v>57</v>
      </c>
    </row>
    <row r="14" spans="1:4" x14ac:dyDescent="0.25">
      <c r="A14" t="s">
        <v>96</v>
      </c>
      <c r="B14" t="s">
        <v>15</v>
      </c>
      <c r="C14" t="s">
        <v>58</v>
      </c>
      <c r="D14" t="s">
        <v>57</v>
      </c>
    </row>
    <row r="15" spans="1:4" x14ac:dyDescent="0.25">
      <c r="A15" t="s">
        <v>95</v>
      </c>
      <c r="B15" t="s">
        <v>154</v>
      </c>
      <c r="C15" t="s">
        <v>58</v>
      </c>
      <c r="D15" t="s">
        <v>57</v>
      </c>
    </row>
    <row r="16" spans="1:4" x14ac:dyDescent="0.25">
      <c r="A16" t="s">
        <v>94</v>
      </c>
      <c r="B16" t="s">
        <v>127</v>
      </c>
      <c r="C16" t="s">
        <v>59</v>
      </c>
      <c r="D16" t="s">
        <v>57</v>
      </c>
    </row>
    <row r="17" spans="1:4" x14ac:dyDescent="0.25">
      <c r="A17" t="s">
        <v>93</v>
      </c>
      <c r="B17" t="s">
        <v>126</v>
      </c>
      <c r="C17" t="s">
        <v>59</v>
      </c>
      <c r="D17" t="s">
        <v>57</v>
      </c>
    </row>
    <row r="18" spans="1:4" x14ac:dyDescent="0.25">
      <c r="A18" t="s">
        <v>131</v>
      </c>
      <c r="B18" t="s">
        <v>124</v>
      </c>
      <c r="C18" t="s">
        <v>34</v>
      </c>
      <c r="D18" t="s">
        <v>57</v>
      </c>
    </row>
    <row r="19" spans="1:4" x14ac:dyDescent="0.25">
      <c r="A19" t="s">
        <v>132</v>
      </c>
      <c r="B19" t="s">
        <v>123</v>
      </c>
      <c r="C19" t="s">
        <v>34</v>
      </c>
      <c r="D19" t="s">
        <v>57</v>
      </c>
    </row>
    <row r="20" spans="1:4" x14ac:dyDescent="0.25">
      <c r="A20" t="s">
        <v>98</v>
      </c>
      <c r="B20" t="s">
        <v>39</v>
      </c>
      <c r="C20" t="s">
        <v>60</v>
      </c>
      <c r="D20" t="s">
        <v>57</v>
      </c>
    </row>
    <row r="21" spans="1:4" x14ac:dyDescent="0.25">
      <c r="A21" t="s">
        <v>105</v>
      </c>
      <c r="B21" t="s">
        <v>24</v>
      </c>
      <c r="C21" t="s">
        <v>65</v>
      </c>
      <c r="D21" t="s">
        <v>57</v>
      </c>
    </row>
    <row r="22" spans="1:4" x14ac:dyDescent="0.25">
      <c r="A22" t="s">
        <v>101</v>
      </c>
      <c r="B22" t="s">
        <v>18</v>
      </c>
      <c r="C22" t="s">
        <v>18</v>
      </c>
      <c r="D22" t="s">
        <v>57</v>
      </c>
    </row>
    <row r="23" spans="1:4" x14ac:dyDescent="0.25">
      <c r="A23" t="s">
        <v>133</v>
      </c>
      <c r="B23" t="s">
        <v>113</v>
      </c>
      <c r="C23" t="s">
        <v>66</v>
      </c>
      <c r="D23" t="s">
        <v>57</v>
      </c>
    </row>
    <row r="24" spans="1:4" x14ac:dyDescent="0.25">
      <c r="A24" t="s">
        <v>134</v>
      </c>
      <c r="B24" t="s">
        <v>128</v>
      </c>
      <c r="C24" t="s">
        <v>66</v>
      </c>
      <c r="D24" t="s">
        <v>57</v>
      </c>
    </row>
    <row r="25" spans="1:4" x14ac:dyDescent="0.25">
      <c r="A25" t="s">
        <v>102</v>
      </c>
      <c r="B25" t="s">
        <v>19</v>
      </c>
      <c r="C25" t="s">
        <v>19</v>
      </c>
      <c r="D25" t="s">
        <v>57</v>
      </c>
    </row>
    <row r="26" spans="1:4" x14ac:dyDescent="0.25">
      <c r="A26" t="s">
        <v>103</v>
      </c>
      <c r="B26" t="s">
        <v>22</v>
      </c>
      <c r="C26" t="s">
        <v>65</v>
      </c>
      <c r="D26" t="s">
        <v>57</v>
      </c>
    </row>
    <row r="27" spans="1:4" x14ac:dyDescent="0.25">
      <c r="A27" t="s">
        <v>104</v>
      </c>
      <c r="B27" t="s">
        <v>23</v>
      </c>
      <c r="C27" t="s">
        <v>65</v>
      </c>
      <c r="D27" t="s">
        <v>57</v>
      </c>
    </row>
    <row r="28" spans="1:4" x14ac:dyDescent="0.25">
      <c r="A28" t="s">
        <v>135</v>
      </c>
      <c r="B28" t="s">
        <v>116</v>
      </c>
      <c r="C28" t="s">
        <v>65</v>
      </c>
      <c r="D28" t="s">
        <v>57</v>
      </c>
    </row>
    <row r="29" spans="1:4" x14ac:dyDescent="0.25">
      <c r="A29" t="s">
        <v>99</v>
      </c>
      <c r="B29" t="s">
        <v>26</v>
      </c>
      <c r="C29" t="s">
        <v>64</v>
      </c>
      <c r="D29" t="s">
        <v>57</v>
      </c>
    </row>
    <row r="30" spans="1:4" x14ac:dyDescent="0.25">
      <c r="A30" t="s">
        <v>100</v>
      </c>
      <c r="B30" t="s">
        <v>17</v>
      </c>
      <c r="C30" t="s">
        <v>64</v>
      </c>
      <c r="D30" t="s">
        <v>57</v>
      </c>
    </row>
    <row r="31" spans="1:4" x14ac:dyDescent="0.25">
      <c r="A31" t="s">
        <v>106</v>
      </c>
      <c r="B31" t="s">
        <v>29</v>
      </c>
      <c r="C31" t="s">
        <v>64</v>
      </c>
      <c r="D31" t="s">
        <v>57</v>
      </c>
    </row>
    <row r="32" spans="1:4" x14ac:dyDescent="0.25">
      <c r="A32" t="s">
        <v>108</v>
      </c>
      <c r="B32" t="s">
        <v>37</v>
      </c>
      <c r="C32" t="s">
        <v>136</v>
      </c>
      <c r="D32" t="s">
        <v>137</v>
      </c>
    </row>
    <row r="33" spans="1:4" x14ac:dyDescent="0.25">
      <c r="A33" t="s">
        <v>107</v>
      </c>
      <c r="B33" t="s">
        <v>36</v>
      </c>
      <c r="C33" t="s">
        <v>136</v>
      </c>
      <c r="D33" t="s">
        <v>137</v>
      </c>
    </row>
    <row r="34" spans="1:4" x14ac:dyDescent="0.25">
      <c r="A34" t="s">
        <v>138</v>
      </c>
      <c r="B34" t="s">
        <v>118</v>
      </c>
      <c r="C34" t="s">
        <v>63</v>
      </c>
      <c r="D34" t="s">
        <v>57</v>
      </c>
    </row>
    <row r="35" spans="1:4" x14ac:dyDescent="0.25">
      <c r="A35" t="s">
        <v>87</v>
      </c>
      <c r="B35" t="s">
        <v>110</v>
      </c>
      <c r="C35" t="s">
        <v>63</v>
      </c>
      <c r="D35" t="s">
        <v>57</v>
      </c>
    </row>
    <row r="36" spans="1:4" x14ac:dyDescent="0.25">
      <c r="A36" t="s">
        <v>88</v>
      </c>
      <c r="B36" t="s">
        <v>120</v>
      </c>
      <c r="C36" t="s">
        <v>63</v>
      </c>
      <c r="D36" t="s">
        <v>57</v>
      </c>
    </row>
    <row r="37" spans="1:4" x14ac:dyDescent="0.25">
      <c r="A37" t="s">
        <v>83</v>
      </c>
      <c r="B37" t="s">
        <v>21</v>
      </c>
      <c r="C37" t="s">
        <v>63</v>
      </c>
      <c r="D37" t="s">
        <v>57</v>
      </c>
    </row>
    <row r="38" spans="1:4" x14ac:dyDescent="0.25">
      <c r="A38" t="s">
        <v>81</v>
      </c>
      <c r="B38" t="s">
        <v>16</v>
      </c>
      <c r="C38" t="s">
        <v>63</v>
      </c>
      <c r="D38" t="s">
        <v>57</v>
      </c>
    </row>
    <row r="39" spans="1:4" x14ac:dyDescent="0.25">
      <c r="A39" t="s">
        <v>84</v>
      </c>
      <c r="B39" t="s">
        <v>111</v>
      </c>
      <c r="C39" t="s">
        <v>63</v>
      </c>
      <c r="D39" t="s">
        <v>57</v>
      </c>
    </row>
    <row r="40" spans="1:4" x14ac:dyDescent="0.25">
      <c r="A40" t="s">
        <v>85</v>
      </c>
      <c r="B40" t="s">
        <v>125</v>
      </c>
      <c r="C40" t="s">
        <v>63</v>
      </c>
      <c r="D40" t="s">
        <v>57</v>
      </c>
    </row>
    <row r="41" spans="1:4" x14ac:dyDescent="0.25">
      <c r="A41" t="s">
        <v>82</v>
      </c>
      <c r="B41" t="s">
        <v>20</v>
      </c>
      <c r="C41" t="s">
        <v>63</v>
      </c>
      <c r="D41" t="s">
        <v>57</v>
      </c>
    </row>
    <row r="42" spans="1:4" x14ac:dyDescent="0.25">
      <c r="A42" t="s">
        <v>80</v>
      </c>
      <c r="B42" t="s">
        <v>31</v>
      </c>
      <c r="C42" t="s">
        <v>63</v>
      </c>
      <c r="D42" t="s">
        <v>57</v>
      </c>
    </row>
    <row r="43" spans="1:4" x14ac:dyDescent="0.25">
      <c r="A43" t="s">
        <v>92</v>
      </c>
      <c r="B43" t="s">
        <v>38</v>
      </c>
      <c r="C43" t="s">
        <v>61</v>
      </c>
      <c r="D43" t="s">
        <v>57</v>
      </c>
    </row>
    <row r="44" spans="1:4" x14ac:dyDescent="0.25">
      <c r="A44" t="s">
        <v>139</v>
      </c>
      <c r="B44" t="s">
        <v>112</v>
      </c>
      <c r="C44" t="s">
        <v>61</v>
      </c>
      <c r="D44" t="s">
        <v>57</v>
      </c>
    </row>
    <row r="45" spans="1:4" x14ac:dyDescent="0.25">
      <c r="A45" t="s">
        <v>91</v>
      </c>
      <c r="B45" t="s">
        <v>28</v>
      </c>
      <c r="C45" t="s">
        <v>61</v>
      </c>
      <c r="D45" t="s">
        <v>57</v>
      </c>
    </row>
    <row r="46" spans="1:4" x14ac:dyDescent="0.25">
      <c r="A46" t="s">
        <v>90</v>
      </c>
      <c r="B46" t="s">
        <v>10</v>
      </c>
      <c r="C46" t="s">
        <v>62</v>
      </c>
      <c r="D46" t="s">
        <v>57</v>
      </c>
    </row>
    <row r="47" spans="1:4" x14ac:dyDescent="0.25">
      <c r="A47" t="s">
        <v>140</v>
      </c>
      <c r="B47" t="s">
        <v>122</v>
      </c>
      <c r="C47" t="s">
        <v>62</v>
      </c>
      <c r="D47" t="s">
        <v>57</v>
      </c>
    </row>
    <row r="48" spans="1:4" x14ac:dyDescent="0.25">
      <c r="A48" t="s">
        <v>89</v>
      </c>
      <c r="B48" t="s">
        <v>30</v>
      </c>
      <c r="C48" t="s">
        <v>62</v>
      </c>
      <c r="D48" t="s">
        <v>57</v>
      </c>
    </row>
    <row r="49" spans="1:4" x14ac:dyDescent="0.25">
      <c r="A49" t="s">
        <v>141</v>
      </c>
      <c r="B49" t="s">
        <v>130</v>
      </c>
      <c r="C49" t="s">
        <v>148</v>
      </c>
      <c r="D49" t="s">
        <v>150</v>
      </c>
    </row>
    <row r="50" spans="1:4" x14ac:dyDescent="0.25">
      <c r="A50" t="s">
        <v>142</v>
      </c>
      <c r="B50" t="s">
        <v>160</v>
      </c>
      <c r="C50" t="s">
        <v>148</v>
      </c>
      <c r="D50" t="s">
        <v>150</v>
      </c>
    </row>
    <row r="51" spans="1:4" x14ac:dyDescent="0.25">
      <c r="A51" t="s">
        <v>143</v>
      </c>
      <c r="B51" t="s">
        <v>115</v>
      </c>
      <c r="C51" t="s">
        <v>148</v>
      </c>
      <c r="D51" t="s">
        <v>150</v>
      </c>
    </row>
    <row r="52" spans="1:4" x14ac:dyDescent="0.25">
      <c r="A52" t="s">
        <v>144</v>
      </c>
      <c r="B52" t="s">
        <v>121</v>
      </c>
      <c r="C52" t="s">
        <v>148</v>
      </c>
      <c r="D52" t="s">
        <v>150</v>
      </c>
    </row>
    <row r="53" spans="1:4" x14ac:dyDescent="0.25">
      <c r="A53" t="s">
        <v>145</v>
      </c>
      <c r="B53" t="s">
        <v>114</v>
      </c>
      <c r="C53" t="s">
        <v>148</v>
      </c>
      <c r="D53" t="s">
        <v>150</v>
      </c>
    </row>
    <row r="54" spans="1:4" x14ac:dyDescent="0.25">
      <c r="A54" t="s">
        <v>146</v>
      </c>
      <c r="B54" t="s">
        <v>129</v>
      </c>
      <c r="C54" t="s">
        <v>149</v>
      </c>
      <c r="D54" t="s">
        <v>150</v>
      </c>
    </row>
    <row r="55" spans="1:4" x14ac:dyDescent="0.25">
      <c r="A55" t="s">
        <v>147</v>
      </c>
      <c r="B55" t="s">
        <v>119</v>
      </c>
      <c r="C55" t="s">
        <v>149</v>
      </c>
      <c r="D55" t="s">
        <v>150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96"/>
  <sheetViews>
    <sheetView tabSelected="1" zoomScale="80" zoomScaleNormal="80" workbookViewId="0">
      <pane ySplit="1" topLeftCell="A2" activePane="bottomLeft" state="frozen"/>
      <selection pane="bottomLeft" activeCell="I14" sqref="I14"/>
    </sheetView>
  </sheetViews>
  <sheetFormatPr defaultRowHeight="15" x14ac:dyDescent="0.25"/>
  <cols>
    <col min="1" max="2" width="30.42578125" customWidth="1"/>
    <col min="3" max="3" width="14.28515625" bestFit="1" customWidth="1"/>
    <col min="4" max="4" width="11.7109375" bestFit="1" customWidth="1"/>
    <col min="5" max="5" width="11.7109375" customWidth="1"/>
    <col min="6" max="6" width="19.7109375" customWidth="1"/>
    <col min="7" max="7" width="12.7109375" bestFit="1" customWidth="1"/>
    <col min="8" max="8" width="19" bestFit="1" customWidth="1"/>
    <col min="9" max="9" width="39" customWidth="1"/>
    <col min="10" max="10" width="37.7109375" customWidth="1"/>
  </cols>
  <sheetData>
    <row r="1" spans="1:10" x14ac:dyDescent="0.25">
      <c r="A1" t="s">
        <v>0</v>
      </c>
      <c r="B1" t="s">
        <v>201</v>
      </c>
      <c r="C1" t="s">
        <v>9</v>
      </c>
      <c r="D1" t="s">
        <v>1</v>
      </c>
      <c r="E1" t="s">
        <v>47</v>
      </c>
      <c r="F1" t="s">
        <v>2</v>
      </c>
      <c r="G1" t="s">
        <v>3</v>
      </c>
      <c r="H1" t="s">
        <v>4</v>
      </c>
      <c r="I1" t="s">
        <v>5</v>
      </c>
      <c r="J1" t="s">
        <v>6</v>
      </c>
    </row>
    <row r="2" spans="1:10" x14ac:dyDescent="0.25">
      <c r="A2" s="1" t="s">
        <v>151</v>
      </c>
      <c r="B2" s="1"/>
      <c r="C2" s="1"/>
      <c r="D2" s="1"/>
      <c r="E2" s="1"/>
      <c r="F2" s="2"/>
      <c r="G2" s="2"/>
      <c r="H2" s="2"/>
      <c r="I2" s="2"/>
      <c r="J2" s="2"/>
    </row>
    <row r="3" spans="1:10" x14ac:dyDescent="0.25">
      <c r="F3" s="6" t="s">
        <v>53</v>
      </c>
      <c r="G3" s="6">
        <v>0</v>
      </c>
      <c r="H3" s="6"/>
      <c r="I3" s="6" t="s">
        <v>153</v>
      </c>
    </row>
    <row r="4" spans="1:10" x14ac:dyDescent="0.25">
      <c r="A4" t="s">
        <v>43</v>
      </c>
      <c r="D4" t="s">
        <v>45</v>
      </c>
      <c r="F4" t="s">
        <v>53</v>
      </c>
      <c r="G4">
        <v>1</v>
      </c>
    </row>
    <row r="5" spans="1:10" x14ac:dyDescent="0.25">
      <c r="A5" s="3" t="s">
        <v>42</v>
      </c>
      <c r="B5" s="3"/>
      <c r="D5" t="s">
        <v>45</v>
      </c>
      <c r="F5" t="s">
        <v>53</v>
      </c>
      <c r="G5">
        <v>1</v>
      </c>
    </row>
    <row r="6" spans="1:10" x14ac:dyDescent="0.25">
      <c r="A6" t="s">
        <v>35</v>
      </c>
      <c r="D6" t="s">
        <v>155</v>
      </c>
      <c r="F6" t="s">
        <v>53</v>
      </c>
      <c r="G6">
        <v>1</v>
      </c>
    </row>
    <row r="7" spans="1:10" x14ac:dyDescent="0.25">
      <c r="A7" s="3" t="s">
        <v>14</v>
      </c>
      <c r="B7" s="3"/>
      <c r="D7" t="s">
        <v>152</v>
      </c>
      <c r="F7" t="s">
        <v>53</v>
      </c>
      <c r="G7">
        <v>1</v>
      </c>
    </row>
    <row r="8" spans="1:10" x14ac:dyDescent="0.25">
      <c r="A8" s="3" t="s">
        <v>13</v>
      </c>
      <c r="B8" s="3"/>
      <c r="D8" t="s">
        <v>152</v>
      </c>
      <c r="F8" t="s">
        <v>53</v>
      </c>
      <c r="G8">
        <v>1</v>
      </c>
    </row>
    <row r="9" spans="1:10" x14ac:dyDescent="0.25">
      <c r="A9" t="s">
        <v>27</v>
      </c>
      <c r="D9" t="s">
        <v>156</v>
      </c>
      <c r="F9" t="s">
        <v>53</v>
      </c>
      <c r="G9">
        <v>1</v>
      </c>
    </row>
    <row r="10" spans="1:10" x14ac:dyDescent="0.25">
      <c r="A10" t="s">
        <v>41</v>
      </c>
      <c r="D10" t="s">
        <v>163</v>
      </c>
      <c r="F10" t="s">
        <v>53</v>
      </c>
      <c r="G10">
        <v>1</v>
      </c>
    </row>
    <row r="11" spans="1:10" x14ac:dyDescent="0.25">
      <c r="A11" t="s">
        <v>40</v>
      </c>
      <c r="D11" t="s">
        <v>163</v>
      </c>
      <c r="F11" t="s">
        <v>53</v>
      </c>
      <c r="G11">
        <v>1</v>
      </c>
    </row>
    <row r="12" spans="1:10" x14ac:dyDescent="0.25">
      <c r="A12" t="s">
        <v>25</v>
      </c>
      <c r="D12" t="s">
        <v>172</v>
      </c>
      <c r="F12" t="s">
        <v>53</v>
      </c>
      <c r="G12">
        <v>1</v>
      </c>
    </row>
    <row r="13" spans="1:10" x14ac:dyDescent="0.25">
      <c r="A13" t="s">
        <v>117</v>
      </c>
      <c r="D13" s="4" t="s">
        <v>164</v>
      </c>
      <c r="F13" t="s">
        <v>53</v>
      </c>
      <c r="G13" s="4">
        <v>0.2</v>
      </c>
    </row>
    <row r="14" spans="1:10" x14ac:dyDescent="0.25">
      <c r="A14" t="s">
        <v>117</v>
      </c>
      <c r="D14" s="4" t="s">
        <v>156</v>
      </c>
      <c r="F14" t="s">
        <v>53</v>
      </c>
      <c r="G14" s="4">
        <v>0.8</v>
      </c>
    </row>
    <row r="15" spans="1:10" x14ac:dyDescent="0.25">
      <c r="A15" t="s">
        <v>32</v>
      </c>
      <c r="D15" t="s">
        <v>164</v>
      </c>
      <c r="F15" t="s">
        <v>53</v>
      </c>
      <c r="G15">
        <v>1</v>
      </c>
    </row>
    <row r="16" spans="1:10" x14ac:dyDescent="0.25">
      <c r="A16" t="s">
        <v>33</v>
      </c>
      <c r="D16" s="7" t="s">
        <v>171</v>
      </c>
      <c r="F16" t="s">
        <v>53</v>
      </c>
      <c r="G16">
        <v>1</v>
      </c>
    </row>
    <row r="17" spans="1:7" x14ac:dyDescent="0.25">
      <c r="A17" t="s">
        <v>15</v>
      </c>
      <c r="D17" t="s">
        <v>165</v>
      </c>
      <c r="F17" t="s">
        <v>53</v>
      </c>
      <c r="G17">
        <v>1</v>
      </c>
    </row>
    <row r="18" spans="1:7" x14ac:dyDescent="0.25">
      <c r="A18" t="s">
        <v>154</v>
      </c>
      <c r="D18" t="s">
        <v>173</v>
      </c>
      <c r="F18" t="s">
        <v>53</v>
      </c>
      <c r="G18">
        <v>1</v>
      </c>
    </row>
    <row r="19" spans="1:7" x14ac:dyDescent="0.25">
      <c r="A19" t="s">
        <v>127</v>
      </c>
      <c r="D19" t="s">
        <v>162</v>
      </c>
      <c r="F19" t="s">
        <v>53</v>
      </c>
      <c r="G19">
        <v>1</v>
      </c>
    </row>
    <row r="20" spans="1:7" x14ac:dyDescent="0.25">
      <c r="A20" t="s">
        <v>126</v>
      </c>
      <c r="D20" t="s">
        <v>162</v>
      </c>
      <c r="F20" t="s">
        <v>53</v>
      </c>
      <c r="G20">
        <v>1</v>
      </c>
    </row>
    <row r="21" spans="1:7" x14ac:dyDescent="0.25">
      <c r="A21" t="s">
        <v>124</v>
      </c>
      <c r="D21" t="s">
        <v>158</v>
      </c>
      <c r="F21" t="s">
        <v>53</v>
      </c>
      <c r="G21">
        <v>1</v>
      </c>
    </row>
    <row r="22" spans="1:7" x14ac:dyDescent="0.25">
      <c r="A22" t="s">
        <v>123</v>
      </c>
      <c r="D22" t="s">
        <v>157</v>
      </c>
      <c r="F22" t="s">
        <v>53</v>
      </c>
      <c r="G22">
        <v>1</v>
      </c>
    </row>
    <row r="23" spans="1:7" x14ac:dyDescent="0.25">
      <c r="A23" t="s">
        <v>39</v>
      </c>
      <c r="D23" t="s">
        <v>174</v>
      </c>
      <c r="F23" t="s">
        <v>53</v>
      </c>
      <c r="G23">
        <v>1</v>
      </c>
    </row>
    <row r="24" spans="1:7" x14ac:dyDescent="0.25">
      <c r="A24" t="s">
        <v>24</v>
      </c>
      <c r="D24" t="s">
        <v>175</v>
      </c>
      <c r="F24" t="s">
        <v>53</v>
      </c>
      <c r="G24">
        <v>1</v>
      </c>
    </row>
    <row r="25" spans="1:7" x14ac:dyDescent="0.25">
      <c r="A25" s="3" t="s">
        <v>22</v>
      </c>
      <c r="B25" s="3"/>
      <c r="D25" t="s">
        <v>44</v>
      </c>
      <c r="F25" t="s">
        <v>53</v>
      </c>
      <c r="G25">
        <v>1</v>
      </c>
    </row>
    <row r="26" spans="1:7" x14ac:dyDescent="0.25">
      <c r="A26" s="3" t="s">
        <v>23</v>
      </c>
      <c r="B26" s="3"/>
      <c r="D26" t="s">
        <v>52</v>
      </c>
      <c r="F26" t="s">
        <v>53</v>
      </c>
      <c r="G26">
        <v>1</v>
      </c>
    </row>
    <row r="27" spans="1:7" x14ac:dyDescent="0.25">
      <c r="A27" s="3" t="s">
        <v>26</v>
      </c>
      <c r="B27" s="3"/>
      <c r="D27" t="s">
        <v>49</v>
      </c>
      <c r="F27" t="s">
        <v>53</v>
      </c>
      <c r="G27">
        <v>1</v>
      </c>
    </row>
    <row r="28" spans="1:7" x14ac:dyDescent="0.25">
      <c r="A28" s="3" t="s">
        <v>17</v>
      </c>
      <c r="B28" s="3"/>
      <c r="D28" t="s">
        <v>44</v>
      </c>
      <c r="F28" t="s">
        <v>53</v>
      </c>
      <c r="G28">
        <v>1</v>
      </c>
    </row>
    <row r="29" spans="1:7" x14ac:dyDescent="0.25">
      <c r="A29" s="3" t="s">
        <v>29</v>
      </c>
      <c r="B29" s="3"/>
      <c r="D29" t="s">
        <v>44</v>
      </c>
      <c r="F29" t="s">
        <v>53</v>
      </c>
      <c r="G29">
        <v>1</v>
      </c>
    </row>
    <row r="30" spans="1:7" x14ac:dyDescent="0.25">
      <c r="A30" s="3" t="s">
        <v>37</v>
      </c>
      <c r="B30" s="3"/>
      <c r="D30" t="s">
        <v>52</v>
      </c>
      <c r="F30" t="s">
        <v>53</v>
      </c>
      <c r="G30">
        <v>1</v>
      </c>
    </row>
    <row r="31" spans="1:7" x14ac:dyDescent="0.25">
      <c r="A31" s="3" t="s">
        <v>36</v>
      </c>
      <c r="B31" s="3"/>
      <c r="D31" t="s">
        <v>44</v>
      </c>
      <c r="F31" t="s">
        <v>53</v>
      </c>
      <c r="G31">
        <v>1</v>
      </c>
    </row>
    <row r="32" spans="1:7" x14ac:dyDescent="0.25">
      <c r="A32" t="s">
        <v>118</v>
      </c>
      <c r="D32" s="7" t="s">
        <v>167</v>
      </c>
      <c r="F32" t="s">
        <v>53</v>
      </c>
      <c r="G32">
        <v>1</v>
      </c>
    </row>
    <row r="33" spans="1:7" x14ac:dyDescent="0.25">
      <c r="A33" t="s">
        <v>110</v>
      </c>
      <c r="D33" t="s">
        <v>166</v>
      </c>
      <c r="F33" t="s">
        <v>53</v>
      </c>
      <c r="G33">
        <v>1</v>
      </c>
    </row>
    <row r="34" spans="1:7" x14ac:dyDescent="0.25">
      <c r="A34" s="4" t="s">
        <v>120</v>
      </c>
      <c r="B34" s="4"/>
      <c r="D34" s="4" t="s">
        <v>166</v>
      </c>
      <c r="F34" t="s">
        <v>53</v>
      </c>
      <c r="G34">
        <v>1</v>
      </c>
    </row>
    <row r="35" spans="1:7" x14ac:dyDescent="0.25">
      <c r="A35" t="s">
        <v>21</v>
      </c>
      <c r="D35" s="7" t="s">
        <v>169</v>
      </c>
      <c r="F35" t="s">
        <v>53</v>
      </c>
      <c r="G35">
        <v>1</v>
      </c>
    </row>
    <row r="36" spans="1:7" x14ac:dyDescent="0.25">
      <c r="A36" t="s">
        <v>16</v>
      </c>
      <c r="D36" s="7" t="s">
        <v>168</v>
      </c>
      <c r="F36" t="s">
        <v>53</v>
      </c>
      <c r="G36">
        <v>1</v>
      </c>
    </row>
    <row r="37" spans="1:7" x14ac:dyDescent="0.25">
      <c r="A37" t="s">
        <v>111</v>
      </c>
      <c r="D37" t="s">
        <v>161</v>
      </c>
      <c r="F37" t="s">
        <v>53</v>
      </c>
      <c r="G37">
        <v>1</v>
      </c>
    </row>
    <row r="38" spans="1:7" x14ac:dyDescent="0.25">
      <c r="A38" t="s">
        <v>125</v>
      </c>
      <c r="D38" s="7" t="s">
        <v>170</v>
      </c>
      <c r="F38" t="s">
        <v>53</v>
      </c>
      <c r="G38">
        <v>1</v>
      </c>
    </row>
    <row r="39" spans="1:7" x14ac:dyDescent="0.25">
      <c r="A39" s="4" t="s">
        <v>20</v>
      </c>
      <c r="B39" s="4"/>
      <c r="D39" s="8" t="s">
        <v>184</v>
      </c>
      <c r="F39" t="s">
        <v>53</v>
      </c>
      <c r="G39">
        <v>1</v>
      </c>
    </row>
    <row r="40" spans="1:7" x14ac:dyDescent="0.25">
      <c r="A40" s="4" t="s">
        <v>31</v>
      </c>
      <c r="B40" s="4"/>
      <c r="D40" s="8" t="s">
        <v>181</v>
      </c>
      <c r="F40" t="s">
        <v>53</v>
      </c>
      <c r="G40">
        <v>1</v>
      </c>
    </row>
    <row r="41" spans="1:7" x14ac:dyDescent="0.25">
      <c r="A41" t="s">
        <v>38</v>
      </c>
      <c r="D41" s="7" t="s">
        <v>177</v>
      </c>
      <c r="F41" t="s">
        <v>53</v>
      </c>
      <c r="G41">
        <v>1</v>
      </c>
    </row>
    <row r="42" spans="1:7" x14ac:dyDescent="0.25">
      <c r="A42" t="s">
        <v>112</v>
      </c>
      <c r="D42" s="7" t="s">
        <v>180</v>
      </c>
      <c r="F42" t="s">
        <v>53</v>
      </c>
      <c r="G42">
        <v>1</v>
      </c>
    </row>
    <row r="43" spans="1:7" x14ac:dyDescent="0.25">
      <c r="A43" t="s">
        <v>28</v>
      </c>
      <c r="D43" s="7" t="s">
        <v>183</v>
      </c>
      <c r="F43" t="s">
        <v>53</v>
      </c>
      <c r="G43">
        <v>1</v>
      </c>
    </row>
    <row r="44" spans="1:7" x14ac:dyDescent="0.25">
      <c r="A44" t="s">
        <v>10</v>
      </c>
      <c r="D44" s="7" t="s">
        <v>178</v>
      </c>
      <c r="F44" t="s">
        <v>53</v>
      </c>
      <c r="G44">
        <v>1</v>
      </c>
    </row>
    <row r="45" spans="1:7" x14ac:dyDescent="0.25">
      <c r="A45" t="s">
        <v>122</v>
      </c>
      <c r="D45" s="7" t="s">
        <v>179</v>
      </c>
      <c r="F45" t="s">
        <v>53</v>
      </c>
      <c r="G45">
        <v>1</v>
      </c>
    </row>
    <row r="46" spans="1:7" x14ac:dyDescent="0.25">
      <c r="A46" t="s">
        <v>30</v>
      </c>
      <c r="D46" s="7" t="s">
        <v>182</v>
      </c>
      <c r="F46" t="s">
        <v>53</v>
      </c>
      <c r="G46">
        <v>1</v>
      </c>
    </row>
    <row r="47" spans="1:7" x14ac:dyDescent="0.25">
      <c r="A47" t="s">
        <v>130</v>
      </c>
      <c r="D47" t="s">
        <v>159</v>
      </c>
      <c r="F47" t="s">
        <v>53</v>
      </c>
      <c r="G47">
        <v>1</v>
      </c>
    </row>
    <row r="48" spans="1:7" x14ac:dyDescent="0.25">
      <c r="A48" t="s">
        <v>160</v>
      </c>
      <c r="D48" t="s">
        <v>161</v>
      </c>
      <c r="F48" t="s">
        <v>53</v>
      </c>
      <c r="G48">
        <v>1</v>
      </c>
    </row>
    <row r="49" spans="1:7" x14ac:dyDescent="0.25">
      <c r="A49" t="s">
        <v>115</v>
      </c>
      <c r="D49" s="7" t="s">
        <v>169</v>
      </c>
      <c r="F49" t="s">
        <v>53</v>
      </c>
      <c r="G49">
        <v>1</v>
      </c>
    </row>
    <row r="50" spans="1:7" x14ac:dyDescent="0.25">
      <c r="A50" t="s">
        <v>121</v>
      </c>
      <c r="D50" s="8" t="s">
        <v>181</v>
      </c>
      <c r="F50" t="s">
        <v>53</v>
      </c>
      <c r="G50">
        <v>1</v>
      </c>
    </row>
    <row r="51" spans="1:7" x14ac:dyDescent="0.25">
      <c r="A51" s="4" t="s">
        <v>114</v>
      </c>
      <c r="B51" s="4"/>
      <c r="D51" s="8" t="s">
        <v>184</v>
      </c>
      <c r="F51" t="s">
        <v>53</v>
      </c>
      <c r="G51">
        <v>1</v>
      </c>
    </row>
    <row r="52" spans="1:7" x14ac:dyDescent="0.25">
      <c r="A52" t="s">
        <v>129</v>
      </c>
      <c r="D52" s="7" t="s">
        <v>177</v>
      </c>
      <c r="F52" t="s">
        <v>53</v>
      </c>
      <c r="G52">
        <v>1</v>
      </c>
    </row>
    <row r="53" spans="1:7" x14ac:dyDescent="0.25">
      <c r="A53" t="s">
        <v>119</v>
      </c>
      <c r="D53" s="7" t="s">
        <v>183</v>
      </c>
      <c r="F53" t="s">
        <v>53</v>
      </c>
      <c r="G53">
        <v>1</v>
      </c>
    </row>
    <row r="55" spans="1:7" x14ac:dyDescent="0.25">
      <c r="A55" s="9" t="s">
        <v>176</v>
      </c>
      <c r="B55" s="9"/>
      <c r="G55" s="4"/>
    </row>
    <row r="56" spans="1:7" x14ac:dyDescent="0.25">
      <c r="A56" s="4" t="s">
        <v>18</v>
      </c>
      <c r="B56" s="4"/>
      <c r="G56" s="4"/>
    </row>
    <row r="57" spans="1:7" x14ac:dyDescent="0.25">
      <c r="A57" s="4" t="s">
        <v>113</v>
      </c>
      <c r="B57" s="4"/>
      <c r="G57" s="4"/>
    </row>
    <row r="58" spans="1:7" x14ac:dyDescent="0.25">
      <c r="A58" s="4" t="s">
        <v>128</v>
      </c>
      <c r="B58" s="4"/>
      <c r="G58" s="4"/>
    </row>
    <row r="59" spans="1:7" x14ac:dyDescent="0.25">
      <c r="A59" s="4" t="s">
        <v>19</v>
      </c>
      <c r="B59" s="4"/>
      <c r="G59" s="4"/>
    </row>
    <row r="60" spans="1:7" x14ac:dyDescent="0.25">
      <c r="A60" s="4" t="s">
        <v>116</v>
      </c>
      <c r="B60" s="4"/>
      <c r="G60" s="4"/>
    </row>
    <row r="61" spans="1:7" x14ac:dyDescent="0.25">
      <c r="A61" s="4"/>
      <c r="B61" s="4"/>
      <c r="G61" s="4"/>
    </row>
    <row r="62" spans="1:7" x14ac:dyDescent="0.25">
      <c r="A62" s="3" t="s">
        <v>42</v>
      </c>
      <c r="B62" s="3"/>
      <c r="E62" t="s">
        <v>46</v>
      </c>
      <c r="F62" t="s">
        <v>53</v>
      </c>
      <c r="G62" s="4">
        <v>0.6</v>
      </c>
    </row>
    <row r="63" spans="1:7" x14ac:dyDescent="0.25">
      <c r="A63" t="s">
        <v>43</v>
      </c>
      <c r="E63" t="s">
        <v>46</v>
      </c>
      <c r="F63" t="s">
        <v>53</v>
      </c>
      <c r="G63" s="4">
        <v>0.6</v>
      </c>
    </row>
    <row r="64" spans="1:7" x14ac:dyDescent="0.25">
      <c r="G64" s="4"/>
    </row>
    <row r="65" spans="1:10" x14ac:dyDescent="0.25">
      <c r="A65" s="1" t="s">
        <v>186</v>
      </c>
      <c r="B65" s="1"/>
      <c r="C65" s="1"/>
      <c r="D65" s="1"/>
      <c r="E65" s="1"/>
      <c r="F65" s="2"/>
      <c r="G65" s="2"/>
      <c r="H65" s="2" t="s">
        <v>185</v>
      </c>
      <c r="I65" s="2"/>
      <c r="J65" s="2"/>
    </row>
    <row r="66" spans="1:10" x14ac:dyDescent="0.25">
      <c r="F66" s="6" t="s">
        <v>187</v>
      </c>
      <c r="G66" s="6">
        <v>0</v>
      </c>
      <c r="H66" s="6"/>
      <c r="I66" s="6" t="s">
        <v>153</v>
      </c>
    </row>
    <row r="67" spans="1:10" x14ac:dyDescent="0.25">
      <c r="A67" t="s">
        <v>43</v>
      </c>
      <c r="C67" t="s">
        <v>11</v>
      </c>
      <c r="D67" t="s">
        <v>45</v>
      </c>
      <c r="F67" t="s">
        <v>187</v>
      </c>
      <c r="G67">
        <v>210</v>
      </c>
      <c r="J67" t="s">
        <v>188</v>
      </c>
    </row>
    <row r="68" spans="1:10" x14ac:dyDescent="0.25">
      <c r="A68" t="s">
        <v>42</v>
      </c>
      <c r="C68" t="s">
        <v>11</v>
      </c>
      <c r="D68" t="s">
        <v>45</v>
      </c>
      <c r="F68" t="s">
        <v>187</v>
      </c>
      <c r="G68" s="10">
        <v>235</v>
      </c>
      <c r="J68" t="s">
        <v>188</v>
      </c>
    </row>
    <row r="69" spans="1:10" x14ac:dyDescent="0.25">
      <c r="A69" t="s">
        <v>43</v>
      </c>
      <c r="C69" t="s">
        <v>12</v>
      </c>
      <c r="D69" t="s">
        <v>45</v>
      </c>
      <c r="F69" t="s">
        <v>187</v>
      </c>
      <c r="G69" s="10">
        <v>230</v>
      </c>
      <c r="J69" t="s">
        <v>189</v>
      </c>
    </row>
    <row r="70" spans="1:10" x14ac:dyDescent="0.25">
      <c r="A70" t="s">
        <v>42</v>
      </c>
      <c r="C70" t="s">
        <v>12</v>
      </c>
      <c r="D70" t="s">
        <v>45</v>
      </c>
      <c r="F70" t="s">
        <v>187</v>
      </c>
      <c r="G70" s="10">
        <v>230</v>
      </c>
      <c r="J70" t="s">
        <v>189</v>
      </c>
    </row>
    <row r="71" spans="1:10" x14ac:dyDescent="0.25">
      <c r="A71" t="s">
        <v>35</v>
      </c>
      <c r="D71" t="s">
        <v>155</v>
      </c>
      <c r="F71" t="s">
        <v>187</v>
      </c>
      <c r="G71" s="10">
        <v>140</v>
      </c>
      <c r="J71" t="s">
        <v>188</v>
      </c>
    </row>
    <row r="72" spans="1:10" x14ac:dyDescent="0.25">
      <c r="A72" t="s">
        <v>14</v>
      </c>
      <c r="D72" t="s">
        <v>152</v>
      </c>
      <c r="F72" t="s">
        <v>187</v>
      </c>
      <c r="G72" s="10">
        <v>180</v>
      </c>
      <c r="J72" t="s">
        <v>188</v>
      </c>
    </row>
    <row r="73" spans="1:10" x14ac:dyDescent="0.25">
      <c r="A73" t="s">
        <v>13</v>
      </c>
      <c r="C73" t="s">
        <v>11</v>
      </c>
      <c r="D73" t="s">
        <v>152</v>
      </c>
      <c r="F73" t="s">
        <v>187</v>
      </c>
      <c r="G73" s="10">
        <v>180</v>
      </c>
      <c r="J73" t="s">
        <v>188</v>
      </c>
    </row>
    <row r="74" spans="1:10" x14ac:dyDescent="0.25">
      <c r="A74" t="s">
        <v>14</v>
      </c>
      <c r="C74" t="s">
        <v>12</v>
      </c>
      <c r="D74" t="s">
        <v>152</v>
      </c>
      <c r="F74" t="s">
        <v>187</v>
      </c>
      <c r="G74" s="10">
        <v>210</v>
      </c>
      <c r="I74" t="s">
        <v>194</v>
      </c>
    </row>
    <row r="75" spans="1:10" x14ac:dyDescent="0.25">
      <c r="A75" t="s">
        <v>13</v>
      </c>
      <c r="C75" t="s">
        <v>12</v>
      </c>
      <c r="D75" t="s">
        <v>152</v>
      </c>
      <c r="F75" t="s">
        <v>187</v>
      </c>
      <c r="G75" s="10">
        <v>210</v>
      </c>
      <c r="J75" t="s">
        <v>189</v>
      </c>
    </row>
    <row r="76" spans="1:10" x14ac:dyDescent="0.25">
      <c r="A76" t="s">
        <v>27</v>
      </c>
      <c r="C76" t="s">
        <v>11</v>
      </c>
      <c r="D76" t="s">
        <v>156</v>
      </c>
      <c r="F76" t="s">
        <v>187</v>
      </c>
      <c r="G76" s="10">
        <v>190</v>
      </c>
      <c r="J76" t="s">
        <v>188</v>
      </c>
    </row>
    <row r="77" spans="1:10" x14ac:dyDescent="0.25">
      <c r="A77" t="s">
        <v>27</v>
      </c>
      <c r="C77" t="s">
        <v>12</v>
      </c>
      <c r="D77" t="s">
        <v>156</v>
      </c>
      <c r="F77" t="s">
        <v>187</v>
      </c>
      <c r="G77" s="10">
        <v>230</v>
      </c>
      <c r="J77" t="s">
        <v>189</v>
      </c>
    </row>
    <row r="78" spans="1:10" x14ac:dyDescent="0.25">
      <c r="A78" t="s">
        <v>41</v>
      </c>
      <c r="D78" t="s">
        <v>163</v>
      </c>
      <c r="F78" t="s">
        <v>187</v>
      </c>
      <c r="G78">
        <v>180</v>
      </c>
      <c r="J78" t="s">
        <v>188</v>
      </c>
    </row>
    <row r="79" spans="1:10" x14ac:dyDescent="0.25">
      <c r="A79" t="s">
        <v>40</v>
      </c>
      <c r="D79" t="s">
        <v>163</v>
      </c>
      <c r="F79" t="s">
        <v>187</v>
      </c>
      <c r="G79">
        <v>180</v>
      </c>
      <c r="I79" t="s">
        <v>195</v>
      </c>
    </row>
    <row r="80" spans="1:10" x14ac:dyDescent="0.25">
      <c r="A80" s="4" t="s">
        <v>25</v>
      </c>
      <c r="B80" s="4"/>
    </row>
    <row r="81" spans="1:10" x14ac:dyDescent="0.25">
      <c r="A81" s="4" t="s">
        <v>117</v>
      </c>
      <c r="B81" s="4"/>
      <c r="D81" s="4" t="s">
        <v>156</v>
      </c>
      <c r="F81" t="s">
        <v>187</v>
      </c>
      <c r="G81" s="4">
        <v>100</v>
      </c>
    </row>
    <row r="82" spans="1:10" x14ac:dyDescent="0.25">
      <c r="A82" s="4" t="s">
        <v>117</v>
      </c>
      <c r="B82" s="4"/>
      <c r="D82" s="4" t="s">
        <v>155</v>
      </c>
      <c r="F82" t="s">
        <v>187</v>
      </c>
      <c r="G82" s="4">
        <v>100</v>
      </c>
    </row>
    <row r="83" spans="1:10" x14ac:dyDescent="0.25">
      <c r="A83" t="s">
        <v>32</v>
      </c>
      <c r="C83" t="s">
        <v>11</v>
      </c>
      <c r="D83" t="s">
        <v>164</v>
      </c>
      <c r="F83" t="s">
        <v>187</v>
      </c>
      <c r="G83">
        <v>20</v>
      </c>
      <c r="I83" t="s">
        <v>191</v>
      </c>
      <c r="J83" t="s">
        <v>188</v>
      </c>
    </row>
    <row r="84" spans="1:10" x14ac:dyDescent="0.25">
      <c r="A84" t="s">
        <v>32</v>
      </c>
      <c r="C84" t="s">
        <v>12</v>
      </c>
      <c r="D84" t="s">
        <v>164</v>
      </c>
      <c r="F84" t="s">
        <v>187</v>
      </c>
      <c r="G84">
        <v>21</v>
      </c>
      <c r="I84" t="s">
        <v>191</v>
      </c>
      <c r="J84" t="s">
        <v>189</v>
      </c>
    </row>
    <row r="85" spans="1:10" x14ac:dyDescent="0.25">
      <c r="A85" s="4" t="s">
        <v>33</v>
      </c>
      <c r="B85" s="4"/>
    </row>
    <row r="86" spans="1:10" x14ac:dyDescent="0.25">
      <c r="A86" t="s">
        <v>15</v>
      </c>
      <c r="C86" t="s">
        <v>11</v>
      </c>
      <c r="D86" t="s">
        <v>165</v>
      </c>
      <c r="F86" t="s">
        <v>187</v>
      </c>
      <c r="G86">
        <v>9</v>
      </c>
      <c r="J86" t="s">
        <v>188</v>
      </c>
    </row>
    <row r="87" spans="1:10" x14ac:dyDescent="0.25">
      <c r="A87" t="s">
        <v>15</v>
      </c>
      <c r="C87" t="s">
        <v>12</v>
      </c>
      <c r="D87" t="s">
        <v>165</v>
      </c>
      <c r="F87" t="s">
        <v>187</v>
      </c>
      <c r="G87">
        <v>9.5</v>
      </c>
      <c r="J87" t="s">
        <v>189</v>
      </c>
    </row>
    <row r="88" spans="1:10" x14ac:dyDescent="0.25">
      <c r="A88" s="4" t="s">
        <v>154</v>
      </c>
      <c r="B88" s="4"/>
    </row>
    <row r="89" spans="1:10" x14ac:dyDescent="0.25">
      <c r="A89" t="s">
        <v>127</v>
      </c>
      <c r="C89" t="s">
        <v>11</v>
      </c>
      <c r="D89" t="s">
        <v>162</v>
      </c>
      <c r="F89" t="s">
        <v>187</v>
      </c>
      <c r="G89">
        <v>0.33</v>
      </c>
      <c r="J89" t="s">
        <v>188</v>
      </c>
    </row>
    <row r="90" spans="1:10" x14ac:dyDescent="0.25">
      <c r="A90" t="s">
        <v>127</v>
      </c>
      <c r="C90" t="s">
        <v>12</v>
      </c>
      <c r="D90" t="s">
        <v>162</v>
      </c>
      <c r="F90" t="s">
        <v>187</v>
      </c>
      <c r="G90">
        <f>(5+0.4)/2</f>
        <v>2.7</v>
      </c>
      <c r="I90" t="s">
        <v>190</v>
      </c>
      <c r="J90" t="s">
        <v>189</v>
      </c>
    </row>
    <row r="91" spans="1:10" x14ac:dyDescent="0.25">
      <c r="A91" t="s">
        <v>126</v>
      </c>
      <c r="D91" t="s">
        <v>162</v>
      </c>
      <c r="F91" t="s">
        <v>187</v>
      </c>
      <c r="G91">
        <v>0.67</v>
      </c>
      <c r="J91" t="s">
        <v>188</v>
      </c>
    </row>
    <row r="92" spans="1:10" x14ac:dyDescent="0.25">
      <c r="A92" t="s">
        <v>124</v>
      </c>
      <c r="D92" t="s">
        <v>158</v>
      </c>
      <c r="F92" t="s">
        <v>187</v>
      </c>
      <c r="G92">
        <f>900+1800</f>
        <v>2700</v>
      </c>
    </row>
    <row r="93" spans="1:10" x14ac:dyDescent="0.25">
      <c r="A93" t="s">
        <v>123</v>
      </c>
      <c r="D93" t="s">
        <v>157</v>
      </c>
      <c r="F93" t="s">
        <v>187</v>
      </c>
      <c r="G93">
        <v>2000</v>
      </c>
      <c r="I93" t="s">
        <v>192</v>
      </c>
      <c r="J93" s="11" t="s">
        <v>193</v>
      </c>
    </row>
    <row r="94" spans="1:10" x14ac:dyDescent="0.25">
      <c r="A94" s="4" t="s">
        <v>39</v>
      </c>
      <c r="B94" s="4"/>
      <c r="I94" s="4" t="s">
        <v>196</v>
      </c>
    </row>
    <row r="95" spans="1:10" x14ac:dyDescent="0.25">
      <c r="A95" s="4" t="s">
        <v>24</v>
      </c>
      <c r="B95" s="4"/>
      <c r="D95" t="s">
        <v>175</v>
      </c>
      <c r="F95" t="s">
        <v>187</v>
      </c>
      <c r="G95" s="4">
        <v>5</v>
      </c>
    </row>
    <row r="96" spans="1:10" x14ac:dyDescent="0.25">
      <c r="A96" s="4" t="s">
        <v>18</v>
      </c>
      <c r="B96" s="4"/>
    </row>
    <row r="97" spans="1:10" x14ac:dyDescent="0.25">
      <c r="A97" s="4" t="s">
        <v>113</v>
      </c>
      <c r="B97" s="4"/>
    </row>
    <row r="98" spans="1:10" x14ac:dyDescent="0.25">
      <c r="A98" s="4" t="s">
        <v>128</v>
      </c>
      <c r="B98" s="4"/>
    </row>
    <row r="99" spans="1:10" x14ac:dyDescent="0.25">
      <c r="A99" s="4" t="s">
        <v>19</v>
      </c>
      <c r="B99" s="4"/>
    </row>
    <row r="100" spans="1:10" x14ac:dyDescent="0.25">
      <c r="A100" s="4" t="s">
        <v>22</v>
      </c>
      <c r="B100" s="4"/>
      <c r="D100" t="s">
        <v>175</v>
      </c>
      <c r="F100" t="s">
        <v>187</v>
      </c>
      <c r="G100">
        <v>7</v>
      </c>
      <c r="I100" s="4" t="s">
        <v>197</v>
      </c>
      <c r="J100" t="s">
        <v>188</v>
      </c>
    </row>
    <row r="101" spans="1:10" x14ac:dyDescent="0.25">
      <c r="A101" s="4" t="s">
        <v>23</v>
      </c>
      <c r="B101" s="4"/>
      <c r="D101" t="s">
        <v>175</v>
      </c>
      <c r="F101" t="s">
        <v>187</v>
      </c>
      <c r="G101">
        <v>4</v>
      </c>
      <c r="I101" s="4" t="s">
        <v>199</v>
      </c>
      <c r="J101" t="s">
        <v>188</v>
      </c>
    </row>
    <row r="102" spans="1:10" x14ac:dyDescent="0.25">
      <c r="A102" s="4" t="s">
        <v>116</v>
      </c>
      <c r="B102" s="4"/>
      <c r="I102" s="4" t="s">
        <v>198</v>
      </c>
    </row>
    <row r="103" spans="1:10" x14ac:dyDescent="0.25">
      <c r="A103" s="4" t="s">
        <v>26</v>
      </c>
      <c r="B103" s="4"/>
    </row>
    <row r="104" spans="1:10" x14ac:dyDescent="0.25">
      <c r="A104" s="4" t="s">
        <v>17</v>
      </c>
      <c r="B104" s="4"/>
    </row>
    <row r="105" spans="1:10" x14ac:dyDescent="0.25">
      <c r="A105" s="4" t="s">
        <v>29</v>
      </c>
      <c r="B105" s="4"/>
    </row>
    <row r="106" spans="1:10" x14ac:dyDescent="0.25">
      <c r="A106" s="4" t="s">
        <v>37</v>
      </c>
      <c r="B106" s="4"/>
    </row>
    <row r="107" spans="1:10" x14ac:dyDescent="0.25">
      <c r="A107" s="4" t="s">
        <v>36</v>
      </c>
      <c r="B107" s="4"/>
    </row>
    <row r="108" spans="1:10" x14ac:dyDescent="0.25">
      <c r="A108" s="4" t="s">
        <v>118</v>
      </c>
      <c r="B108" s="4"/>
    </row>
    <row r="109" spans="1:10" x14ac:dyDescent="0.25">
      <c r="A109" s="4" t="s">
        <v>110</v>
      </c>
      <c r="B109" s="4"/>
    </row>
    <row r="110" spans="1:10" x14ac:dyDescent="0.25">
      <c r="A110" s="4" t="s">
        <v>120</v>
      </c>
      <c r="B110" s="4"/>
    </row>
    <row r="111" spans="1:10" x14ac:dyDescent="0.25">
      <c r="A111" s="4" t="s">
        <v>21</v>
      </c>
      <c r="B111" s="4"/>
    </row>
    <row r="112" spans="1:10" x14ac:dyDescent="0.25">
      <c r="A112" s="4" t="s">
        <v>16</v>
      </c>
      <c r="B112" s="4"/>
    </row>
    <row r="113" spans="1:2" x14ac:dyDescent="0.25">
      <c r="A113" s="4" t="s">
        <v>111</v>
      </c>
      <c r="B113" s="4"/>
    </row>
    <row r="114" spans="1:2" x14ac:dyDescent="0.25">
      <c r="A114" s="4" t="s">
        <v>125</v>
      </c>
      <c r="B114" s="4"/>
    </row>
    <row r="115" spans="1:2" x14ac:dyDescent="0.25">
      <c r="A115" s="4" t="s">
        <v>20</v>
      </c>
      <c r="B115" s="4"/>
    </row>
    <row r="116" spans="1:2" x14ac:dyDescent="0.25">
      <c r="A116" s="4" t="s">
        <v>31</v>
      </c>
      <c r="B116" s="4"/>
    </row>
    <row r="117" spans="1:2" x14ac:dyDescent="0.25">
      <c r="A117" s="4" t="s">
        <v>38</v>
      </c>
      <c r="B117" s="4"/>
    </row>
    <row r="118" spans="1:2" x14ac:dyDescent="0.25">
      <c r="A118" s="4" t="s">
        <v>112</v>
      </c>
      <c r="B118" s="4"/>
    </row>
    <row r="119" spans="1:2" x14ac:dyDescent="0.25">
      <c r="A119" s="4" t="s">
        <v>28</v>
      </c>
      <c r="B119" s="4"/>
    </row>
    <row r="120" spans="1:2" x14ac:dyDescent="0.25">
      <c r="A120" s="4" t="s">
        <v>10</v>
      </c>
      <c r="B120" s="4"/>
    </row>
    <row r="121" spans="1:2" x14ac:dyDescent="0.25">
      <c r="A121" s="4" t="s">
        <v>122</v>
      </c>
      <c r="B121" s="4"/>
    </row>
    <row r="122" spans="1:2" x14ac:dyDescent="0.25">
      <c r="A122" s="4" t="s">
        <v>30</v>
      </c>
      <c r="B122" s="4"/>
    </row>
    <row r="123" spans="1:2" x14ac:dyDescent="0.25">
      <c r="A123" s="4" t="s">
        <v>130</v>
      </c>
      <c r="B123" s="4"/>
    </row>
    <row r="124" spans="1:2" x14ac:dyDescent="0.25">
      <c r="A124" s="4" t="s">
        <v>160</v>
      </c>
      <c r="B124" s="4"/>
    </row>
    <row r="125" spans="1:2" x14ac:dyDescent="0.25">
      <c r="A125" s="4" t="s">
        <v>115</v>
      </c>
      <c r="B125" s="4"/>
    </row>
    <row r="126" spans="1:2" x14ac:dyDescent="0.25">
      <c r="A126" s="4" t="s">
        <v>121</v>
      </c>
      <c r="B126" s="4"/>
    </row>
    <row r="127" spans="1:2" x14ac:dyDescent="0.25">
      <c r="A127" s="4" t="s">
        <v>114</v>
      </c>
      <c r="B127" s="4"/>
    </row>
    <row r="128" spans="1:2" x14ac:dyDescent="0.25">
      <c r="A128" s="4" t="s">
        <v>129</v>
      </c>
      <c r="B128" s="4"/>
    </row>
    <row r="129" spans="1:10" x14ac:dyDescent="0.25">
      <c r="A129" s="4" t="s">
        <v>119</v>
      </c>
      <c r="B129" s="4"/>
    </row>
    <row r="130" spans="1:10" x14ac:dyDescent="0.25">
      <c r="G130" s="4"/>
    </row>
    <row r="131" spans="1:10" x14ac:dyDescent="0.25">
      <c r="A131" s="1" t="s">
        <v>200</v>
      </c>
      <c r="B131" s="1"/>
      <c r="C131" s="1"/>
      <c r="D131" s="1"/>
      <c r="E131" s="1"/>
      <c r="F131" s="2"/>
      <c r="G131" s="2"/>
      <c r="H131" s="2"/>
      <c r="I131" s="2"/>
      <c r="J131" s="2"/>
    </row>
    <row r="132" spans="1:10" x14ac:dyDescent="0.25">
      <c r="B132" t="s">
        <v>59</v>
      </c>
      <c r="F132" t="s">
        <v>202</v>
      </c>
      <c r="G132" s="12">
        <f>1/7*100</f>
        <v>14.285714285714285</v>
      </c>
      <c r="H132" t="s">
        <v>203</v>
      </c>
    </row>
    <row r="133" spans="1:10" x14ac:dyDescent="0.25">
      <c r="B133" t="s">
        <v>59</v>
      </c>
      <c r="C133" t="s">
        <v>12</v>
      </c>
      <c r="F133" t="s">
        <v>202</v>
      </c>
      <c r="G133" s="4">
        <f>1/8*100</f>
        <v>12.5</v>
      </c>
      <c r="H133" t="s">
        <v>203</v>
      </c>
    </row>
    <row r="134" spans="1:10" x14ac:dyDescent="0.25">
      <c r="B134" t="s">
        <v>58</v>
      </c>
      <c r="F134" t="s">
        <v>202</v>
      </c>
      <c r="G134" s="12">
        <f>1/6*100</f>
        <v>16.666666666666664</v>
      </c>
      <c r="H134" t="s">
        <v>203</v>
      </c>
    </row>
    <row r="135" spans="1:10" x14ac:dyDescent="0.25">
      <c r="B135" t="s">
        <v>58</v>
      </c>
      <c r="C135" t="s">
        <v>12</v>
      </c>
      <c r="F135" t="s">
        <v>202</v>
      </c>
      <c r="G135" s="12">
        <f>1/10*100</f>
        <v>10</v>
      </c>
      <c r="H135" t="s">
        <v>203</v>
      </c>
    </row>
    <row r="136" spans="1:10" x14ac:dyDescent="0.25">
      <c r="G136" s="4"/>
    </row>
    <row r="137" spans="1:10" x14ac:dyDescent="0.25">
      <c r="A137" s="1" t="s">
        <v>48</v>
      </c>
      <c r="B137" s="1"/>
      <c r="C137" s="1"/>
      <c r="D137" s="1"/>
      <c r="E137" s="1"/>
      <c r="F137" s="2"/>
      <c r="G137" s="2"/>
      <c r="H137" s="2" t="s">
        <v>109</v>
      </c>
      <c r="I137" s="2"/>
      <c r="J137" s="2" t="s">
        <v>8</v>
      </c>
    </row>
    <row r="138" spans="1:10" x14ac:dyDescent="0.25">
      <c r="F138" s="6" t="s">
        <v>7</v>
      </c>
      <c r="G138" s="6">
        <v>0</v>
      </c>
      <c r="H138" s="6"/>
      <c r="I138" s="6" t="s">
        <v>153</v>
      </c>
    </row>
    <row r="139" spans="1:10" x14ac:dyDescent="0.25">
      <c r="F139" t="s">
        <v>7</v>
      </c>
      <c r="G139" t="s">
        <v>204</v>
      </c>
      <c r="I139" t="s">
        <v>205</v>
      </c>
    </row>
    <row r="141" spans="1:10" x14ac:dyDescent="0.25">
      <c r="A141" s="1" t="s">
        <v>207</v>
      </c>
      <c r="B141" s="1"/>
      <c r="C141" s="1"/>
      <c r="D141" s="1"/>
      <c r="E141" s="1"/>
      <c r="F141" s="2"/>
      <c r="G141" s="2"/>
      <c r="H141" s="2"/>
      <c r="I141" s="2"/>
      <c r="J141" s="2"/>
    </row>
    <row r="143" spans="1:10" x14ac:dyDescent="0.25">
      <c r="A143" t="s">
        <v>10</v>
      </c>
      <c r="F143" t="s">
        <v>206</v>
      </c>
      <c r="G143">
        <v>1508</v>
      </c>
      <c r="H143" t="s">
        <v>208</v>
      </c>
    </row>
    <row r="144" spans="1:10" x14ac:dyDescent="0.25">
      <c r="A144" t="s">
        <v>13</v>
      </c>
      <c r="F144" t="s">
        <v>206</v>
      </c>
      <c r="G144">
        <v>980</v>
      </c>
    </row>
    <row r="145" spans="1:7" x14ac:dyDescent="0.25">
      <c r="A145" t="s">
        <v>14</v>
      </c>
      <c r="F145" t="s">
        <v>206</v>
      </c>
      <c r="G145">
        <v>1212</v>
      </c>
    </row>
    <row r="146" spans="1:7" x14ac:dyDescent="0.25">
      <c r="A146" t="s">
        <v>154</v>
      </c>
      <c r="F146" t="s">
        <v>206</v>
      </c>
      <c r="G146">
        <v>1779</v>
      </c>
    </row>
    <row r="147" spans="1:7" x14ac:dyDescent="0.25">
      <c r="A147" t="s">
        <v>15</v>
      </c>
      <c r="F147" t="s">
        <v>206</v>
      </c>
      <c r="G147">
        <v>1092</v>
      </c>
    </row>
    <row r="148" spans="1:7" x14ac:dyDescent="0.25">
      <c r="A148" t="s">
        <v>16</v>
      </c>
      <c r="F148" t="s">
        <v>206</v>
      </c>
      <c r="G148">
        <v>1016</v>
      </c>
    </row>
    <row r="149" spans="1:7" x14ac:dyDescent="0.25">
      <c r="A149" t="s">
        <v>110</v>
      </c>
      <c r="F149" t="s">
        <v>206</v>
      </c>
      <c r="G149">
        <v>1016</v>
      </c>
    </row>
    <row r="150" spans="1:7" x14ac:dyDescent="0.25">
      <c r="A150" t="s">
        <v>17</v>
      </c>
      <c r="F150" t="s">
        <v>206</v>
      </c>
      <c r="G150">
        <v>649</v>
      </c>
    </row>
    <row r="151" spans="1:7" x14ac:dyDescent="0.25">
      <c r="A151" t="s">
        <v>111</v>
      </c>
      <c r="F151" t="s">
        <v>206</v>
      </c>
      <c r="G151">
        <v>1185</v>
      </c>
    </row>
    <row r="152" spans="1:7" x14ac:dyDescent="0.25">
      <c r="A152" t="s">
        <v>160</v>
      </c>
      <c r="F152" t="s">
        <v>206</v>
      </c>
      <c r="G152">
        <v>1016</v>
      </c>
    </row>
    <row r="153" spans="1:7" x14ac:dyDescent="0.25">
      <c r="A153" t="s">
        <v>112</v>
      </c>
      <c r="F153" t="s">
        <v>206</v>
      </c>
      <c r="G153">
        <v>945</v>
      </c>
    </row>
    <row r="154" spans="1:7" x14ac:dyDescent="0.25">
      <c r="A154" t="s">
        <v>113</v>
      </c>
      <c r="F154" t="s">
        <v>206</v>
      </c>
      <c r="G154">
        <v>945</v>
      </c>
    </row>
    <row r="155" spans="1:7" x14ac:dyDescent="0.25">
      <c r="A155" t="s">
        <v>18</v>
      </c>
      <c r="F155" t="s">
        <v>206</v>
      </c>
      <c r="G155">
        <v>628</v>
      </c>
    </row>
    <row r="156" spans="1:7" x14ac:dyDescent="0.25">
      <c r="A156" t="s">
        <v>19</v>
      </c>
      <c r="F156" t="s">
        <v>206</v>
      </c>
      <c r="G156">
        <v>1016</v>
      </c>
    </row>
    <row r="157" spans="1:7" x14ac:dyDescent="0.25">
      <c r="A157" t="s">
        <v>20</v>
      </c>
      <c r="F157" t="s">
        <v>206</v>
      </c>
      <c r="G157">
        <v>1185</v>
      </c>
    </row>
    <row r="158" spans="1:7" x14ac:dyDescent="0.25">
      <c r="A158" t="s">
        <v>114</v>
      </c>
      <c r="F158" t="s">
        <v>206</v>
      </c>
      <c r="G158">
        <v>1092</v>
      </c>
    </row>
    <row r="159" spans="1:7" x14ac:dyDescent="0.25">
      <c r="A159" t="s">
        <v>21</v>
      </c>
      <c r="F159" t="s">
        <v>206</v>
      </c>
      <c r="G159">
        <v>1016</v>
      </c>
    </row>
    <row r="160" spans="1:7" x14ac:dyDescent="0.25">
      <c r="A160" t="s">
        <v>115</v>
      </c>
      <c r="F160" t="s">
        <v>206</v>
      </c>
      <c r="G160">
        <v>1475</v>
      </c>
    </row>
    <row r="161" spans="1:7" x14ac:dyDescent="0.25">
      <c r="A161" t="s">
        <v>22</v>
      </c>
      <c r="F161" t="s">
        <v>206</v>
      </c>
      <c r="G161">
        <v>628</v>
      </c>
    </row>
    <row r="162" spans="1:7" x14ac:dyDescent="0.25">
      <c r="A162" t="s">
        <v>23</v>
      </c>
      <c r="F162" t="s">
        <v>206</v>
      </c>
      <c r="G162">
        <v>628</v>
      </c>
    </row>
    <row r="163" spans="1:7" x14ac:dyDescent="0.25">
      <c r="A163" t="s">
        <v>24</v>
      </c>
      <c r="F163" t="s">
        <v>206</v>
      </c>
      <c r="G163">
        <v>1074</v>
      </c>
    </row>
    <row r="164" spans="1:7" x14ac:dyDescent="0.25">
      <c r="A164" t="s">
        <v>116</v>
      </c>
      <c r="F164" t="s">
        <v>206</v>
      </c>
      <c r="G164">
        <v>628</v>
      </c>
    </row>
    <row r="165" spans="1:7" x14ac:dyDescent="0.25">
      <c r="A165" t="s">
        <v>25</v>
      </c>
      <c r="F165" t="s">
        <v>206</v>
      </c>
      <c r="G165">
        <v>1487</v>
      </c>
    </row>
    <row r="166" spans="1:7" x14ac:dyDescent="0.25">
      <c r="A166" t="s">
        <v>26</v>
      </c>
      <c r="F166" t="s">
        <v>206</v>
      </c>
      <c r="G166">
        <v>1487</v>
      </c>
    </row>
    <row r="167" spans="1:7" x14ac:dyDescent="0.25">
      <c r="A167" t="s">
        <v>117</v>
      </c>
      <c r="F167" t="s">
        <v>206</v>
      </c>
      <c r="G167">
        <v>649</v>
      </c>
    </row>
    <row r="168" spans="1:7" x14ac:dyDescent="0.25">
      <c r="A168" t="s">
        <v>27</v>
      </c>
      <c r="F168" t="s">
        <v>206</v>
      </c>
      <c r="G168">
        <v>980</v>
      </c>
    </row>
    <row r="169" spans="1:7" x14ac:dyDescent="0.25">
      <c r="A169" t="s">
        <v>118</v>
      </c>
      <c r="F169" t="s">
        <v>206</v>
      </c>
      <c r="G169">
        <v>1074</v>
      </c>
    </row>
    <row r="170" spans="1:7" x14ac:dyDescent="0.25">
      <c r="A170" t="s">
        <v>28</v>
      </c>
      <c r="F170" t="s">
        <v>206</v>
      </c>
      <c r="G170">
        <v>945</v>
      </c>
    </row>
    <row r="171" spans="1:7" x14ac:dyDescent="0.25">
      <c r="A171" t="s">
        <v>119</v>
      </c>
      <c r="F171" t="s">
        <v>206</v>
      </c>
      <c r="G171">
        <v>1016</v>
      </c>
    </row>
    <row r="172" spans="1:7" x14ac:dyDescent="0.25">
      <c r="A172" t="s">
        <v>29</v>
      </c>
      <c r="F172" t="s">
        <v>206</v>
      </c>
      <c r="G172">
        <v>767</v>
      </c>
    </row>
    <row r="173" spans="1:7" x14ac:dyDescent="0.25">
      <c r="A173" t="s">
        <v>30</v>
      </c>
      <c r="F173" t="s">
        <v>206</v>
      </c>
      <c r="G173">
        <v>1508</v>
      </c>
    </row>
    <row r="174" spans="1:7" x14ac:dyDescent="0.25">
      <c r="A174" t="s">
        <v>120</v>
      </c>
      <c r="F174" t="s">
        <v>206</v>
      </c>
      <c r="G174">
        <v>1016</v>
      </c>
    </row>
    <row r="175" spans="1:7" x14ac:dyDescent="0.25">
      <c r="A175" t="s">
        <v>31</v>
      </c>
      <c r="F175" t="s">
        <v>206</v>
      </c>
      <c r="G175">
        <v>1016</v>
      </c>
    </row>
    <row r="176" spans="1:7" x14ac:dyDescent="0.25">
      <c r="A176" t="s">
        <v>121</v>
      </c>
      <c r="F176" t="s">
        <v>206</v>
      </c>
      <c r="G176">
        <v>1185</v>
      </c>
    </row>
    <row r="177" spans="1:7" x14ac:dyDescent="0.25">
      <c r="A177" t="s">
        <v>122</v>
      </c>
      <c r="F177" t="s">
        <v>206</v>
      </c>
      <c r="G177">
        <v>1508</v>
      </c>
    </row>
    <row r="178" spans="1:7" x14ac:dyDescent="0.25">
      <c r="A178" t="s">
        <v>32</v>
      </c>
      <c r="F178" t="s">
        <v>206</v>
      </c>
      <c r="G178">
        <v>1212</v>
      </c>
    </row>
    <row r="179" spans="1:7" x14ac:dyDescent="0.25">
      <c r="A179" t="s">
        <v>33</v>
      </c>
      <c r="F179" t="s">
        <v>206</v>
      </c>
      <c r="G179">
        <v>1569</v>
      </c>
    </row>
    <row r="180" spans="1:7" x14ac:dyDescent="0.25">
      <c r="A180" t="s">
        <v>123</v>
      </c>
      <c r="F180" t="s">
        <v>206</v>
      </c>
      <c r="G180">
        <v>1569</v>
      </c>
    </row>
    <row r="181" spans="1:7" x14ac:dyDescent="0.25">
      <c r="A181" t="s">
        <v>124</v>
      </c>
      <c r="F181" t="s">
        <v>206</v>
      </c>
      <c r="G181">
        <v>767</v>
      </c>
    </row>
    <row r="182" spans="1:7" x14ac:dyDescent="0.25">
      <c r="A182" t="s">
        <v>125</v>
      </c>
      <c r="F182" t="s">
        <v>206</v>
      </c>
      <c r="G182">
        <v>1185</v>
      </c>
    </row>
    <row r="183" spans="1:7" x14ac:dyDescent="0.25">
      <c r="A183" t="s">
        <v>126</v>
      </c>
      <c r="F183" t="s">
        <v>206</v>
      </c>
      <c r="G183">
        <v>1016</v>
      </c>
    </row>
    <row r="184" spans="1:7" x14ac:dyDescent="0.25">
      <c r="A184" t="s">
        <v>127</v>
      </c>
      <c r="F184" t="s">
        <v>206</v>
      </c>
      <c r="G184">
        <v>1212</v>
      </c>
    </row>
    <row r="185" spans="1:7" x14ac:dyDescent="0.25">
      <c r="A185" t="s">
        <v>35</v>
      </c>
      <c r="F185" t="s">
        <v>206</v>
      </c>
      <c r="G185">
        <v>1016</v>
      </c>
    </row>
    <row r="186" spans="1:7" x14ac:dyDescent="0.25">
      <c r="A186" t="s">
        <v>36</v>
      </c>
      <c r="F186" t="s">
        <v>206</v>
      </c>
      <c r="G186">
        <v>628</v>
      </c>
    </row>
    <row r="187" spans="1:7" x14ac:dyDescent="0.25">
      <c r="A187" t="s">
        <v>37</v>
      </c>
      <c r="F187" t="s">
        <v>206</v>
      </c>
      <c r="G187">
        <v>628</v>
      </c>
    </row>
    <row r="188" spans="1:7" x14ac:dyDescent="0.25">
      <c r="A188" t="s">
        <v>128</v>
      </c>
      <c r="F188" t="s">
        <v>206</v>
      </c>
      <c r="G188">
        <v>1225</v>
      </c>
    </row>
    <row r="189" spans="1:7" x14ac:dyDescent="0.25">
      <c r="A189" t="s">
        <v>38</v>
      </c>
      <c r="F189" t="s">
        <v>206</v>
      </c>
      <c r="G189">
        <v>1016</v>
      </c>
    </row>
    <row r="190" spans="1:7" x14ac:dyDescent="0.25">
      <c r="A190" t="s">
        <v>129</v>
      </c>
      <c r="F190" t="s">
        <v>206</v>
      </c>
      <c r="G190">
        <v>1016</v>
      </c>
    </row>
    <row r="191" spans="1:7" x14ac:dyDescent="0.25">
      <c r="A191" t="s">
        <v>39</v>
      </c>
      <c r="F191" t="s">
        <v>206</v>
      </c>
      <c r="G191">
        <v>1721</v>
      </c>
    </row>
    <row r="192" spans="1:7" x14ac:dyDescent="0.25">
      <c r="A192" t="s">
        <v>130</v>
      </c>
      <c r="F192" t="s">
        <v>206</v>
      </c>
      <c r="G192">
        <v>1016</v>
      </c>
    </row>
    <row r="193" spans="1:7" x14ac:dyDescent="0.25">
      <c r="A193" t="s">
        <v>40</v>
      </c>
      <c r="F193" t="s">
        <v>206</v>
      </c>
      <c r="G193">
        <v>1212</v>
      </c>
    </row>
    <row r="194" spans="1:7" x14ac:dyDescent="0.25">
      <c r="A194" t="s">
        <v>41</v>
      </c>
      <c r="F194" t="s">
        <v>206</v>
      </c>
      <c r="G194">
        <v>1212</v>
      </c>
    </row>
    <row r="195" spans="1:7" x14ac:dyDescent="0.25">
      <c r="A195" t="s">
        <v>42</v>
      </c>
      <c r="F195" t="s">
        <v>206</v>
      </c>
      <c r="G195">
        <v>980</v>
      </c>
    </row>
    <row r="196" spans="1:7" x14ac:dyDescent="0.25">
      <c r="A196" t="s">
        <v>43</v>
      </c>
      <c r="F196" t="s">
        <v>206</v>
      </c>
      <c r="G196">
        <v>1016</v>
      </c>
    </row>
  </sheetData>
  <sortState ref="A14:I9129">
    <sortCondition ref="A14:A9129"/>
    <sortCondition ref="C14:C9129"/>
  </sortState>
  <hyperlinks>
    <hyperlink ref="J93" r:id="rId1"/>
  </hyperlinks>
  <pageMargins left="0.7" right="0.7" top="0.75" bottom="0.75" header="0.3" footer="0.3"/>
  <pageSetup paperSize="9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"/>
  <sheetViews>
    <sheetView workbookViewId="0">
      <selection activeCell="F5" sqref="F5"/>
    </sheetView>
  </sheetViews>
  <sheetFormatPr defaultRowHeight="15" x14ac:dyDescent="0.25"/>
  <cols>
    <col min="1" max="1" width="10.28515625" bestFit="1" customWidth="1"/>
  </cols>
  <sheetData>
    <row r="1" spans="1:3" x14ac:dyDescent="0.25">
      <c r="A1" s="5" t="s">
        <v>2</v>
      </c>
      <c r="B1" s="5" t="s">
        <v>50</v>
      </c>
      <c r="C1" s="5" t="s">
        <v>51</v>
      </c>
    </row>
    <row r="2" spans="1:3" x14ac:dyDescent="0.25">
      <c r="A2" t="s">
        <v>7</v>
      </c>
      <c r="B2">
        <v>1</v>
      </c>
      <c r="C2">
        <v>1.05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description</vt:lpstr>
      <vt:lpstr>relations</vt:lpstr>
      <vt:lpstr>default</vt:lpstr>
      <vt:lpstr>scn_baseline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2023-06-21T08:35:35Z</dcterms:modified>
</cp:coreProperties>
</file>