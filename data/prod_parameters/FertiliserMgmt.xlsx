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9" i="1" l="1"/>
  <c r="G69" i="1"/>
  <c r="E70" i="1"/>
  <c r="E69" i="1"/>
  <c r="E122" i="1"/>
  <c r="E121" i="1"/>
  <c r="E44" i="1"/>
  <c r="E45" i="1"/>
  <c r="E43" i="1"/>
  <c r="E109" i="1"/>
  <c r="E108" i="1"/>
  <c r="E29" i="1"/>
  <c r="E28" i="1"/>
  <c r="E27" i="1"/>
  <c r="E26" i="1"/>
</calcChain>
</file>

<file path=xl/sharedStrings.xml><?xml version="1.0" encoding="utf-8"?>
<sst xmlns="http://schemas.openxmlformats.org/spreadsheetml/2006/main" count="372" uniqueCount="97">
  <si>
    <t>f_crop</t>
  </si>
  <si>
    <t>parameter</t>
  </si>
  <si>
    <t>value</t>
  </si>
  <si>
    <t>unit</t>
  </si>
  <si>
    <t>description</t>
  </si>
  <si>
    <t>source</t>
  </si>
  <si>
    <t>region</t>
  </si>
  <si>
    <t>fert_region</t>
  </si>
  <si>
    <t>f_fert_region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</si>
  <si>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</si>
  <si>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</si>
  <si>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</si>
  <si>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</si>
  <si>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</si>
  <si>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</si>
  <si>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</si>
  <si>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</si>
  <si>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Höstevete norra götaland och svealand</t>
  </si>
  <si>
    <r>
      <t xml:space="preserve">N recommendation [kg-N / ha (??)] as a function of yield </t>
    </r>
    <r>
      <rPr>
        <sz val="11"/>
        <color theme="1"/>
        <rFont val="Calibri"/>
        <family val="2"/>
        <scheme val="minor"/>
      </rPr>
      <t>( N_rec = N_rec_a*Y^2 + N_rec_b*Y + N_rec_m )</t>
    </r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</si>
  <si>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</si>
  <si>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</si>
  <si>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</si>
  <si>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</si>
  <si>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</si>
  <si>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</si>
  <si>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</si>
  <si>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</si>
  <si>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</si>
  <si>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</si>
  <si>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</si>
  <si>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</si>
  <si>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</si>
  <si>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</si>
  <si>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</si>
  <si>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</si>
  <si>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</si>
  <si>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</si>
  <si>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</si>
  <si>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</si>
  <si>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</si>
  <si>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</si>
  <si>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</si>
  <si>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</si>
  <si>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</si>
  <si>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</si>
  <si>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</si>
  <si>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</si>
  <si>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</si>
  <si>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</si>
  <si>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</si>
  <si>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</si>
  <si>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</si>
  <si>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</si>
  <si>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</si>
  <si>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</si>
  <si>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</si>
  <si>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</si>
  <si>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</si>
  <si>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</si>
  <si>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</si>
  <si>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</si>
  <si>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</si>
  <si>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</si>
  <si>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</si>
  <si>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</si>
  <si>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</si>
  <si>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</si>
  <si>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</si>
  <si>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</si>
  <si>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</si>
  <si>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</si>
  <si>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</si>
  <si>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</si>
  <si>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</si>
  <si>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</si>
  <si>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</si>
  <si>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</si>
  <si>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</si>
  <si>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</si>
  <si>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</si>
  <si>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</si>
  <si>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</si>
  <si>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</si>
  <si>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</si>
  <si>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inte minus i Hannas dokument??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</si>
  <si>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</si>
  <si>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</si>
  <si>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</si>
  <si>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</si>
  <si>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</si>
  <si>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</si>
  <si>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</si>
  <si>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</si>
  <si>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</si>
  <si>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r>
      <t xml:space="preserve">N application adjustment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</si>
  <si>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 xml:space="preserve">yield in fresh weight 5% DM </t>
  </si>
  <si>
    <t>same as table potatoes?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</si>
</sst>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9" formatCode="0E+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9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9"/>
  <sheetViews>
    <sheetView tabSelected="1" zoomScale="80" zoomScaleNormal="80" workbookViewId="0">
      <pane ySplit="1" topLeftCell="A21" activePane="bottomLeft" state="frozen"/>
      <selection pane="bottomLeft" activeCell="G111" sqref="G111"/>
    </sheetView>
  </sheetViews>
  <sheetFormatPr defaultRowHeight="15" x14ac:dyDescent="0.25"/>
  <cols>
    <col min="1" max="2" width="18.42578125" customWidth="1"/>
    <col min="3" max="3" width="13.5703125" customWidth="1"/>
    <col min="4" max="4" width="15" customWidth="1"/>
    <col min="5" max="5" width="11" customWidth="1"/>
    <col min="6" max="6" width="8.140625" customWidth="1"/>
    <col min="7" max="7" width="35.42578125" customWidth="1"/>
    <col min="8" max="8" width="27.42578125" customWidth="1"/>
  </cols>
  <sheetData>
    <row r="1" spans="1:8" x14ac:dyDescent="0.25">
      <c r="A1" s="1" t="s">
        <v>0</v>
      </c>
      <c r="B1" s="1" t="s">
        <v>10</v>
      </c>
      <c r="C1" s="1" t="s">
        <v>8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</row>
    <row r="2" spans="1:8" x14ac:dyDescent="0.25">
      <c r="A2" s="2" t="s">
        <v>18</v>
      </c>
      <c r="B2" s="2"/>
      <c r="C2" s="2"/>
      <c r="D2" s="2"/>
      <c r="E2" s="2"/>
      <c r="F2" s="2"/>
      <c r="G2" s="3"/>
      <c r="H2" s="3"/>
    </row>
    <row r="3" spans="1:8" x14ac:dyDescent="0.25">
      <c r="D3" s="6" t="s">
        <v>12</v>
      </c>
      <c r="E3" s="6">
        <v>0</v>
      </c>
      <c r="F3" s="6"/>
      <c r="G3" s="6" t="s">
        <v>19</v>
      </c>
    </row>
    <row r="4" spans="1:8" x14ac:dyDescent="0.25">
      <c r="D4" s="6" t="s">
        <v>13</v>
      </c>
      <c r="E4" s="6">
        <v>0</v>
      </c>
      <c r="F4" s="6"/>
      <c r="G4" s="6" t="s">
        <v>19</v>
      </c>
    </row>
    <row r="5" spans="1:8" x14ac:dyDescent="0.25">
      <c r="D5" s="6" t="s">
        <v>14</v>
      </c>
      <c r="E5" s="6">
        <v>0</v>
      </c>
      <c r="F5" s="6"/>
      <c r="G5" s="6" t="s">
        <v>19</v>
      </c>
    </row>
    <row r="6" spans="1:8" x14ac:dyDescent="0.25">
      <c r="A6" t="s">
        <v>20</v>
      </c>
      <c r="D6" t="s">
        <v>13</v>
      </c>
      <c r="E6">
        <v>20</v>
      </c>
    </row>
    <row r="7" spans="1:8" x14ac:dyDescent="0.25">
      <c r="A7" t="s">
        <v>20</v>
      </c>
      <c r="D7" t="s">
        <v>14</v>
      </c>
      <c r="E7">
        <v>70</v>
      </c>
    </row>
    <row r="8" spans="1:8" x14ac:dyDescent="0.25">
      <c r="A8" t="s">
        <v>9</v>
      </c>
      <c r="D8" t="s">
        <v>12</v>
      </c>
      <c r="E8">
        <v>-0.80359999999999998</v>
      </c>
      <c r="G8" t="s">
        <v>17</v>
      </c>
    </row>
    <row r="9" spans="1:8" x14ac:dyDescent="0.25">
      <c r="A9" t="s">
        <v>9</v>
      </c>
      <c r="D9" t="s">
        <v>13</v>
      </c>
      <c r="E9">
        <v>24.088999999999999</v>
      </c>
    </row>
    <row r="10" spans="1:8" x14ac:dyDescent="0.25">
      <c r="A10" t="s">
        <v>9</v>
      </c>
      <c r="B10" t="s">
        <v>11</v>
      </c>
      <c r="D10" t="s">
        <v>14</v>
      </c>
      <c r="E10">
        <v>55.213999999999999</v>
      </c>
    </row>
    <row r="11" spans="1:8" x14ac:dyDescent="0.25">
      <c r="A11" t="s">
        <v>9</v>
      </c>
      <c r="D11" t="s">
        <v>14</v>
      </c>
      <c r="E11">
        <v>50.213999999999999</v>
      </c>
    </row>
    <row r="12" spans="1:8" x14ac:dyDescent="0.25">
      <c r="A12" t="s">
        <v>31</v>
      </c>
      <c r="D12" t="s">
        <v>12</v>
      </c>
      <c r="E12">
        <v>-1.7857000000000001</v>
      </c>
      <c r="G12" t="s">
        <v>30</v>
      </c>
    </row>
    <row r="13" spans="1:8" x14ac:dyDescent="0.25">
      <c r="A13" t="s">
        <v>31</v>
      </c>
      <c r="D13" t="s">
        <v>13</v>
      </c>
      <c r="E13">
        <v>30.786000000000001</v>
      </c>
    </row>
    <row r="14" spans="1:8" x14ac:dyDescent="0.25">
      <c r="A14" t="s">
        <v>31</v>
      </c>
      <c r="D14" t="s">
        <v>14</v>
      </c>
      <c r="E14">
        <v>25</v>
      </c>
    </row>
    <row r="15" spans="1:8" x14ac:dyDescent="0.25">
      <c r="A15" t="s">
        <v>21</v>
      </c>
      <c r="D15" t="s">
        <v>12</v>
      </c>
      <c r="E15">
        <v>-1.0713999999999999</v>
      </c>
      <c r="G15" t="s">
        <v>22</v>
      </c>
    </row>
    <row r="16" spans="1:8" x14ac:dyDescent="0.25">
      <c r="A16" t="s">
        <v>21</v>
      </c>
      <c r="D16" t="s">
        <v>13</v>
      </c>
      <c r="E16">
        <v>23.928999999999998</v>
      </c>
    </row>
    <row r="17" spans="1:7" x14ac:dyDescent="0.25">
      <c r="A17" t="s">
        <v>21</v>
      </c>
      <c r="D17" t="s">
        <v>14</v>
      </c>
      <c r="E17">
        <v>32</v>
      </c>
    </row>
    <row r="18" spans="1:7" x14ac:dyDescent="0.25">
      <c r="A18" t="s">
        <v>21</v>
      </c>
      <c r="B18" t="s">
        <v>11</v>
      </c>
      <c r="D18" t="s">
        <v>12</v>
      </c>
      <c r="E18" s="8">
        <v>1E-13</v>
      </c>
      <c r="G18" t="s">
        <v>23</v>
      </c>
    </row>
    <row r="19" spans="1:7" x14ac:dyDescent="0.25">
      <c r="A19" t="s">
        <v>21</v>
      </c>
      <c r="B19" t="s">
        <v>11</v>
      </c>
      <c r="D19" t="s">
        <v>13</v>
      </c>
      <c r="E19">
        <v>15</v>
      </c>
    </row>
    <row r="20" spans="1:7" x14ac:dyDescent="0.25">
      <c r="A20" t="s">
        <v>21</v>
      </c>
      <c r="B20" t="s">
        <v>11</v>
      </c>
      <c r="D20" t="s">
        <v>14</v>
      </c>
      <c r="E20">
        <v>45</v>
      </c>
    </row>
    <row r="21" spans="1:7" x14ac:dyDescent="0.25">
      <c r="A21" t="s">
        <v>27</v>
      </c>
      <c r="D21" t="s">
        <v>13</v>
      </c>
      <c r="E21">
        <v>16.856999999999999</v>
      </c>
      <c r="G21" t="s">
        <v>26</v>
      </c>
    </row>
    <row r="22" spans="1:7" x14ac:dyDescent="0.25">
      <c r="A22" t="s">
        <v>27</v>
      </c>
      <c r="D22" t="s">
        <v>14</v>
      </c>
      <c r="E22">
        <v>59.143000000000001</v>
      </c>
    </row>
    <row r="23" spans="1:7" x14ac:dyDescent="0.25">
      <c r="A23" t="s">
        <v>25</v>
      </c>
      <c r="D23" t="s">
        <v>12</v>
      </c>
      <c r="E23">
        <v>-1.0713999999999999</v>
      </c>
      <c r="G23" t="s">
        <v>24</v>
      </c>
    </row>
    <row r="24" spans="1:7" x14ac:dyDescent="0.25">
      <c r="A24" t="s">
        <v>25</v>
      </c>
      <c r="D24" t="s">
        <v>13</v>
      </c>
      <c r="E24">
        <v>23.928999999999998</v>
      </c>
    </row>
    <row r="25" spans="1:7" x14ac:dyDescent="0.25">
      <c r="A25" t="s">
        <v>25</v>
      </c>
      <c r="D25" t="s">
        <v>14</v>
      </c>
      <c r="E25">
        <v>22</v>
      </c>
    </row>
    <row r="26" spans="1:7" x14ac:dyDescent="0.25">
      <c r="A26" t="s">
        <v>28</v>
      </c>
      <c r="D26" t="s">
        <v>13</v>
      </c>
      <c r="E26" s="9">
        <f>E21</f>
        <v>16.856999999999999</v>
      </c>
      <c r="G26" s="9" t="s">
        <v>26</v>
      </c>
    </row>
    <row r="27" spans="1:7" x14ac:dyDescent="0.25">
      <c r="A27" t="s">
        <v>28</v>
      </c>
      <c r="D27" t="s">
        <v>14</v>
      </c>
      <c r="E27" s="9">
        <f>E22</f>
        <v>59.143000000000001</v>
      </c>
      <c r="G27" s="9"/>
    </row>
    <row r="28" spans="1:7" x14ac:dyDescent="0.25">
      <c r="A28" t="s">
        <v>29</v>
      </c>
      <c r="D28" t="s">
        <v>13</v>
      </c>
      <c r="E28" s="9">
        <f>E21</f>
        <v>16.856999999999999</v>
      </c>
      <c r="G28" s="9" t="s">
        <v>26</v>
      </c>
    </row>
    <row r="29" spans="1:7" x14ac:dyDescent="0.25">
      <c r="A29" t="s">
        <v>29</v>
      </c>
      <c r="D29" t="s">
        <v>14</v>
      </c>
      <c r="E29" s="9">
        <f>E22</f>
        <v>59.143000000000001</v>
      </c>
    </row>
    <row r="30" spans="1:7" x14ac:dyDescent="0.25">
      <c r="A30" s="7" t="s">
        <v>33</v>
      </c>
    </row>
    <row r="31" spans="1:7" x14ac:dyDescent="0.25">
      <c r="A31" t="s">
        <v>32</v>
      </c>
      <c r="D31" t="s">
        <v>14</v>
      </c>
      <c r="E31">
        <v>50</v>
      </c>
      <c r="G31" t="s">
        <v>80</v>
      </c>
    </row>
    <row r="32" spans="1:7" x14ac:dyDescent="0.25">
      <c r="A32" t="s">
        <v>34</v>
      </c>
      <c r="D32" t="s">
        <v>14</v>
      </c>
      <c r="E32">
        <v>0</v>
      </c>
      <c r="G32" t="s">
        <v>79</v>
      </c>
    </row>
    <row r="33" spans="1:7" x14ac:dyDescent="0.25">
      <c r="A33" t="s">
        <v>35</v>
      </c>
      <c r="D33" t="s">
        <v>14</v>
      </c>
      <c r="E33">
        <v>0</v>
      </c>
      <c r="G33" t="s">
        <v>79</v>
      </c>
    </row>
    <row r="34" spans="1:7" x14ac:dyDescent="0.25">
      <c r="A34" t="s">
        <v>36</v>
      </c>
      <c r="D34" t="s">
        <v>14</v>
      </c>
      <c r="E34">
        <v>0</v>
      </c>
      <c r="G34" t="s">
        <v>79</v>
      </c>
    </row>
    <row r="35" spans="1:7" x14ac:dyDescent="0.25">
      <c r="A35" t="s">
        <v>37</v>
      </c>
      <c r="D35" t="s">
        <v>14</v>
      </c>
      <c r="E35">
        <v>30</v>
      </c>
      <c r="G35" t="s">
        <v>81</v>
      </c>
    </row>
    <row r="36" spans="1:7" x14ac:dyDescent="0.25">
      <c r="A36" t="s">
        <v>38</v>
      </c>
      <c r="D36" t="s">
        <v>13</v>
      </c>
      <c r="E36">
        <v>20</v>
      </c>
    </row>
    <row r="37" spans="1:7" x14ac:dyDescent="0.25">
      <c r="A37" t="s">
        <v>38</v>
      </c>
      <c r="D37" t="s">
        <v>14</v>
      </c>
      <c r="E37">
        <v>65</v>
      </c>
    </row>
    <row r="38" spans="1:7" x14ac:dyDescent="0.25">
      <c r="A38" t="s">
        <v>39</v>
      </c>
      <c r="D38" t="s">
        <v>13</v>
      </c>
      <c r="E38">
        <v>20</v>
      </c>
    </row>
    <row r="39" spans="1:7" x14ac:dyDescent="0.25">
      <c r="A39" t="s">
        <v>39</v>
      </c>
      <c r="D39" t="s">
        <v>14</v>
      </c>
      <c r="E39">
        <v>70</v>
      </c>
    </row>
    <row r="40" spans="1:7" x14ac:dyDescent="0.25">
      <c r="A40" t="s">
        <v>40</v>
      </c>
      <c r="D40" t="s">
        <v>12</v>
      </c>
      <c r="E40">
        <v>-2.5000000000000001E-2</v>
      </c>
    </row>
    <row r="41" spans="1:7" x14ac:dyDescent="0.25">
      <c r="A41" t="s">
        <v>40</v>
      </c>
      <c r="D41" t="s">
        <v>13</v>
      </c>
      <c r="E41">
        <v>4.95</v>
      </c>
    </row>
    <row r="42" spans="1:7" x14ac:dyDescent="0.25">
      <c r="A42" t="s">
        <v>40</v>
      </c>
      <c r="D42" t="s">
        <v>14</v>
      </c>
      <c r="E42">
        <v>31.5</v>
      </c>
    </row>
    <row r="43" spans="1:7" x14ac:dyDescent="0.25">
      <c r="A43" t="s">
        <v>41</v>
      </c>
      <c r="D43" t="s">
        <v>12</v>
      </c>
      <c r="E43" s="9">
        <f>E40</f>
        <v>-2.5000000000000001E-2</v>
      </c>
      <c r="G43" s="7" t="s">
        <v>96</v>
      </c>
    </row>
    <row r="44" spans="1:7" x14ac:dyDescent="0.25">
      <c r="A44" t="s">
        <v>41</v>
      </c>
      <c r="D44" t="s">
        <v>13</v>
      </c>
      <c r="E44" s="9">
        <f t="shared" ref="E44:E45" si="0">E41</f>
        <v>4.95</v>
      </c>
    </row>
    <row r="45" spans="1:7" x14ac:dyDescent="0.25">
      <c r="A45" t="s">
        <v>41</v>
      </c>
      <c r="D45" t="s">
        <v>14</v>
      </c>
      <c r="E45" s="9">
        <f t="shared" si="0"/>
        <v>31.5</v>
      </c>
    </row>
    <row r="46" spans="1:7" x14ac:dyDescent="0.25">
      <c r="A46" t="s">
        <v>42</v>
      </c>
      <c r="D46" t="s">
        <v>14</v>
      </c>
      <c r="E46">
        <v>110</v>
      </c>
      <c r="G46" t="s">
        <v>85</v>
      </c>
    </row>
    <row r="47" spans="1:7" x14ac:dyDescent="0.25">
      <c r="A47" s="7" t="s">
        <v>43</v>
      </c>
    </row>
    <row r="48" spans="1:7" x14ac:dyDescent="0.25">
      <c r="A48" s="10" t="s">
        <v>44</v>
      </c>
      <c r="D48" t="s">
        <v>12</v>
      </c>
      <c r="E48">
        <v>-1.4286000000000001</v>
      </c>
      <c r="G48" t="s">
        <v>86</v>
      </c>
    </row>
    <row r="49" spans="1:8" x14ac:dyDescent="0.25">
      <c r="A49" s="10" t="s">
        <v>44</v>
      </c>
      <c r="D49" t="s">
        <v>13</v>
      </c>
      <c r="E49">
        <v>40.713999999999999</v>
      </c>
    </row>
    <row r="50" spans="1:8" x14ac:dyDescent="0.25">
      <c r="A50" s="10" t="s">
        <v>44</v>
      </c>
      <c r="D50" t="s">
        <v>14</v>
      </c>
      <c r="E50">
        <v>74.856999999999999</v>
      </c>
    </row>
    <row r="51" spans="1:8" x14ac:dyDescent="0.25">
      <c r="A51" s="11" t="s">
        <v>45</v>
      </c>
    </row>
    <row r="52" spans="1:8" x14ac:dyDescent="0.25">
      <c r="A52" s="5" t="s">
        <v>77</v>
      </c>
      <c r="D52" t="s">
        <v>14</v>
      </c>
      <c r="E52">
        <v>0</v>
      </c>
      <c r="G52" t="s">
        <v>78</v>
      </c>
    </row>
    <row r="53" spans="1:8" x14ac:dyDescent="0.25">
      <c r="A53" s="11" t="s">
        <v>46</v>
      </c>
    </row>
    <row r="54" spans="1:8" x14ac:dyDescent="0.25">
      <c r="A54" s="11" t="s">
        <v>47</v>
      </c>
    </row>
    <row r="55" spans="1:8" x14ac:dyDescent="0.25">
      <c r="A55" s="11" t="s">
        <v>48</v>
      </c>
    </row>
    <row r="56" spans="1:8" x14ac:dyDescent="0.25">
      <c r="A56" s="10" t="s">
        <v>49</v>
      </c>
      <c r="D56" t="s">
        <v>14</v>
      </c>
      <c r="E56">
        <v>0</v>
      </c>
      <c r="G56" t="s">
        <v>78</v>
      </c>
    </row>
    <row r="57" spans="1:8" x14ac:dyDescent="0.25">
      <c r="A57" s="10" t="s">
        <v>50</v>
      </c>
      <c r="D57" t="s">
        <v>14</v>
      </c>
      <c r="E57">
        <v>0</v>
      </c>
      <c r="G57" t="s">
        <v>78</v>
      </c>
    </row>
    <row r="58" spans="1:8" x14ac:dyDescent="0.25">
      <c r="A58" t="s">
        <v>51</v>
      </c>
      <c r="D58" t="s">
        <v>13</v>
      </c>
      <c r="E58">
        <v>2.5</v>
      </c>
      <c r="G58" t="s">
        <v>90</v>
      </c>
      <c r="H58" t="s">
        <v>91</v>
      </c>
    </row>
    <row r="59" spans="1:8" x14ac:dyDescent="0.25">
      <c r="A59" t="s">
        <v>51</v>
      </c>
      <c r="D59" t="s">
        <v>14</v>
      </c>
      <c r="E59">
        <v>25</v>
      </c>
    </row>
    <row r="60" spans="1:8" x14ac:dyDescent="0.25">
      <c r="A60" t="s">
        <v>52</v>
      </c>
      <c r="D60" t="s">
        <v>13</v>
      </c>
      <c r="E60">
        <v>1.3846000000000001</v>
      </c>
      <c r="G60" t="s">
        <v>90</v>
      </c>
      <c r="H60" t="s">
        <v>91</v>
      </c>
    </row>
    <row r="61" spans="1:8" x14ac:dyDescent="0.25">
      <c r="A61" t="s">
        <v>52</v>
      </c>
      <c r="D61" t="s">
        <v>14</v>
      </c>
      <c r="E61">
        <v>11.538</v>
      </c>
    </row>
    <row r="62" spans="1:8" x14ac:dyDescent="0.25">
      <c r="A62" s="7" t="s">
        <v>53</v>
      </c>
    </row>
    <row r="63" spans="1:8" x14ac:dyDescent="0.25">
      <c r="A63" s="5" t="s">
        <v>54</v>
      </c>
      <c r="D63" t="s">
        <v>13</v>
      </c>
      <c r="E63">
        <v>3.3332999999999999</v>
      </c>
      <c r="G63" t="s">
        <v>92</v>
      </c>
      <c r="H63" t="s">
        <v>91</v>
      </c>
    </row>
    <row r="64" spans="1:8" x14ac:dyDescent="0.25">
      <c r="A64" s="5" t="s">
        <v>54</v>
      </c>
      <c r="D64" t="s">
        <v>14</v>
      </c>
      <c r="E64">
        <v>33.332999999999998</v>
      </c>
    </row>
    <row r="65" spans="1:8" x14ac:dyDescent="0.25">
      <c r="A65" s="5" t="s">
        <v>55</v>
      </c>
      <c r="D65" t="s">
        <v>13</v>
      </c>
      <c r="E65">
        <v>3</v>
      </c>
      <c r="G65" t="s">
        <v>93</v>
      </c>
      <c r="H65" t="s">
        <v>91</v>
      </c>
    </row>
    <row r="66" spans="1:8" x14ac:dyDescent="0.25">
      <c r="A66" s="5" t="s">
        <v>55</v>
      </c>
      <c r="D66" t="s">
        <v>14</v>
      </c>
      <c r="E66">
        <v>90</v>
      </c>
    </row>
    <row r="67" spans="1:8" x14ac:dyDescent="0.25">
      <c r="A67" s="5" t="s">
        <v>56</v>
      </c>
      <c r="D67" t="s">
        <v>13</v>
      </c>
      <c r="E67">
        <v>2.6667000000000001</v>
      </c>
      <c r="G67" t="s">
        <v>95</v>
      </c>
      <c r="H67" t="s">
        <v>91</v>
      </c>
    </row>
    <row r="68" spans="1:8" x14ac:dyDescent="0.25">
      <c r="A68" s="5" t="s">
        <v>56</v>
      </c>
      <c r="D68" t="s">
        <v>14</v>
      </c>
      <c r="E68">
        <v>43.332999999999998</v>
      </c>
    </row>
    <row r="69" spans="1:8" x14ac:dyDescent="0.25">
      <c r="A69" s="5" t="s">
        <v>57</v>
      </c>
      <c r="D69" t="s">
        <v>13</v>
      </c>
      <c r="E69" s="9">
        <f>E67</f>
        <v>2.6667000000000001</v>
      </c>
      <c r="F69" s="9"/>
      <c r="G69" s="9" t="str">
        <f>G67</f>
        <v xml:space="preserve">yield in fresh weight 5% DM </v>
      </c>
      <c r="H69" s="9" t="str">
        <f>H67</f>
        <v>Yara (2018)</v>
      </c>
    </row>
    <row r="70" spans="1:8" x14ac:dyDescent="0.25">
      <c r="A70" s="5" t="s">
        <v>57</v>
      </c>
      <c r="D70" t="s">
        <v>14</v>
      </c>
      <c r="E70" s="9">
        <f>E68</f>
        <v>43.332999999999998</v>
      </c>
      <c r="F70" s="9"/>
      <c r="G70" s="9"/>
      <c r="H70" s="9"/>
    </row>
    <row r="71" spans="1:8" x14ac:dyDescent="0.25">
      <c r="A71" s="7" t="s">
        <v>58</v>
      </c>
    </row>
    <row r="72" spans="1:8" x14ac:dyDescent="0.25">
      <c r="A72" s="7" t="s">
        <v>59</v>
      </c>
    </row>
    <row r="73" spans="1:8" x14ac:dyDescent="0.25">
      <c r="A73" s="5" t="s">
        <v>60</v>
      </c>
      <c r="D73" t="s">
        <v>14</v>
      </c>
      <c r="E73">
        <v>65</v>
      </c>
      <c r="G73" t="s">
        <v>87</v>
      </c>
    </row>
    <row r="74" spans="1:8" x14ac:dyDescent="0.25">
      <c r="A74" s="7" t="s">
        <v>61</v>
      </c>
    </row>
    <row r="75" spans="1:8" x14ac:dyDescent="0.25">
      <c r="A75" s="5" t="s">
        <v>62</v>
      </c>
      <c r="D75" t="s">
        <v>14</v>
      </c>
      <c r="E75">
        <v>65</v>
      </c>
      <c r="G75" t="s">
        <v>88</v>
      </c>
    </row>
    <row r="76" spans="1:8" x14ac:dyDescent="0.25">
      <c r="A76" s="5" t="s">
        <v>63</v>
      </c>
      <c r="D76" t="s">
        <v>14</v>
      </c>
      <c r="E76">
        <v>100</v>
      </c>
      <c r="G76" t="s">
        <v>89</v>
      </c>
    </row>
    <row r="77" spans="1:8" x14ac:dyDescent="0.25">
      <c r="A77" s="5" t="s">
        <v>64</v>
      </c>
      <c r="D77" t="s">
        <v>14</v>
      </c>
      <c r="E77">
        <v>110</v>
      </c>
    </row>
    <row r="78" spans="1:8" x14ac:dyDescent="0.25">
      <c r="A78" s="7" t="s">
        <v>65</v>
      </c>
    </row>
    <row r="79" spans="1:8" x14ac:dyDescent="0.25">
      <c r="A79" s="7" t="s">
        <v>66</v>
      </c>
    </row>
    <row r="80" spans="1:8" x14ac:dyDescent="0.25">
      <c r="A80" s="7" t="s">
        <v>67</v>
      </c>
    </row>
    <row r="81" spans="1:8" x14ac:dyDescent="0.25">
      <c r="A81" s="7" t="s">
        <v>68</v>
      </c>
    </row>
    <row r="82" spans="1:8" x14ac:dyDescent="0.25">
      <c r="A82" s="7" t="s">
        <v>69</v>
      </c>
    </row>
    <row r="83" spans="1:8" x14ac:dyDescent="0.25">
      <c r="A83" s="7" t="s">
        <v>70</v>
      </c>
    </row>
    <row r="84" spans="1:8" x14ac:dyDescent="0.25">
      <c r="A84" s="7" t="s">
        <v>71</v>
      </c>
    </row>
    <row r="85" spans="1:8" x14ac:dyDescent="0.25">
      <c r="A85" s="7" t="s">
        <v>72</v>
      </c>
    </row>
    <row r="86" spans="1:8" x14ac:dyDescent="0.25">
      <c r="A86" s="5" t="s">
        <v>73</v>
      </c>
      <c r="D86" t="s">
        <v>14</v>
      </c>
      <c r="E86">
        <v>0</v>
      </c>
      <c r="G86" t="s">
        <v>78</v>
      </c>
    </row>
    <row r="87" spans="1:8" x14ac:dyDescent="0.25">
      <c r="A87" s="7" t="s">
        <v>74</v>
      </c>
    </row>
    <row r="88" spans="1:8" x14ac:dyDescent="0.25">
      <c r="A88" s="7" t="s">
        <v>75</v>
      </c>
    </row>
    <row r="89" spans="1:8" x14ac:dyDescent="0.25">
      <c r="A89" s="5" t="s">
        <v>76</v>
      </c>
      <c r="D89" t="s">
        <v>14</v>
      </c>
      <c r="E89">
        <v>0</v>
      </c>
      <c r="G89" t="s">
        <v>78</v>
      </c>
    </row>
    <row r="91" spans="1:8" x14ac:dyDescent="0.25">
      <c r="A91" s="2" t="s">
        <v>94</v>
      </c>
      <c r="B91" s="2"/>
      <c r="C91" s="2"/>
      <c r="D91" s="2"/>
      <c r="E91" s="2"/>
      <c r="F91" s="2"/>
      <c r="G91" s="3"/>
      <c r="H91" s="3"/>
    </row>
    <row r="92" spans="1:8" x14ac:dyDescent="0.25">
      <c r="D92" s="6" t="s">
        <v>15</v>
      </c>
      <c r="E92" s="6">
        <v>0</v>
      </c>
      <c r="F92" s="6"/>
      <c r="G92" s="6" t="s">
        <v>19</v>
      </c>
    </row>
    <row r="93" spans="1:8" x14ac:dyDescent="0.25">
      <c r="D93" s="6" t="s">
        <v>16</v>
      </c>
      <c r="E93" s="6">
        <v>0</v>
      </c>
      <c r="F93" s="6"/>
      <c r="G93" s="6" t="s">
        <v>19</v>
      </c>
    </row>
    <row r="94" spans="1:8" x14ac:dyDescent="0.25">
      <c r="A94" t="s">
        <v>20</v>
      </c>
      <c r="D94" t="s">
        <v>15</v>
      </c>
      <c r="E94">
        <v>-0.32500000000000001</v>
      </c>
    </row>
    <row r="95" spans="1:8" x14ac:dyDescent="0.25">
      <c r="A95" t="s">
        <v>20</v>
      </c>
      <c r="D95" t="s">
        <v>16</v>
      </c>
      <c r="E95">
        <v>0.81369999999999998</v>
      </c>
    </row>
    <row r="96" spans="1:8" x14ac:dyDescent="0.25">
      <c r="A96" t="s">
        <v>9</v>
      </c>
      <c r="D96" t="s">
        <v>15</v>
      </c>
      <c r="E96">
        <v>-0.32340000000000002</v>
      </c>
    </row>
    <row r="97" spans="1:7" x14ac:dyDescent="0.25">
      <c r="A97" t="s">
        <v>9</v>
      </c>
      <c r="D97" t="s">
        <v>16</v>
      </c>
      <c r="E97">
        <v>0.97240000000000004</v>
      </c>
    </row>
    <row r="98" spans="1:7" x14ac:dyDescent="0.25">
      <c r="A98" t="s">
        <v>31</v>
      </c>
      <c r="D98" t="s">
        <v>15</v>
      </c>
      <c r="E98">
        <v>-0.58699999999999997</v>
      </c>
    </row>
    <row r="99" spans="1:7" x14ac:dyDescent="0.25">
      <c r="A99" t="s">
        <v>31</v>
      </c>
      <c r="D99" t="s">
        <v>16</v>
      </c>
      <c r="E99">
        <v>0.82350000000000001</v>
      </c>
    </row>
    <row r="100" spans="1:7" x14ac:dyDescent="0.25">
      <c r="A100" t="s">
        <v>21</v>
      </c>
      <c r="D100" t="s">
        <v>15</v>
      </c>
      <c r="E100">
        <v>-0.41710000000000003</v>
      </c>
    </row>
    <row r="101" spans="1:7" x14ac:dyDescent="0.25">
      <c r="A101" t="s">
        <v>21</v>
      </c>
      <c r="D101" t="s">
        <v>16</v>
      </c>
      <c r="E101">
        <v>0.91610000000000003</v>
      </c>
    </row>
    <row r="102" spans="1:7" x14ac:dyDescent="0.25">
      <c r="A102" t="s">
        <v>27</v>
      </c>
      <c r="D102" t="s">
        <v>15</v>
      </c>
      <c r="E102">
        <v>-0.35070000000000001</v>
      </c>
    </row>
    <row r="103" spans="1:7" x14ac:dyDescent="0.25">
      <c r="A103" t="s">
        <v>27</v>
      </c>
      <c r="D103" t="s">
        <v>16</v>
      </c>
      <c r="E103">
        <v>0.9234</v>
      </c>
    </row>
    <row r="104" spans="1:7" x14ac:dyDescent="0.25">
      <c r="A104" t="s">
        <v>25</v>
      </c>
      <c r="D104" t="s">
        <v>15</v>
      </c>
      <c r="E104">
        <v>-0.74150000000000005</v>
      </c>
    </row>
    <row r="105" spans="1:7" x14ac:dyDescent="0.25">
      <c r="A105" t="s">
        <v>25</v>
      </c>
      <c r="D105" t="s">
        <v>16</v>
      </c>
      <c r="E105">
        <v>0.96550000000000002</v>
      </c>
    </row>
    <row r="106" spans="1:7" x14ac:dyDescent="0.25">
      <c r="A106" t="s">
        <v>28</v>
      </c>
      <c r="D106" t="s">
        <v>15</v>
      </c>
      <c r="E106">
        <v>-0.58699999999999997</v>
      </c>
    </row>
    <row r="107" spans="1:7" x14ac:dyDescent="0.25">
      <c r="A107" t="s">
        <v>28</v>
      </c>
      <c r="D107" t="s">
        <v>16</v>
      </c>
      <c r="E107">
        <v>0.82350000000000001</v>
      </c>
    </row>
    <row r="108" spans="1:7" x14ac:dyDescent="0.25">
      <c r="A108" t="s">
        <v>29</v>
      </c>
      <c r="D108" t="s">
        <v>15</v>
      </c>
      <c r="E108" s="9">
        <f>E106</f>
        <v>-0.58699999999999997</v>
      </c>
    </row>
    <row r="109" spans="1:7" x14ac:dyDescent="0.25">
      <c r="A109" t="s">
        <v>29</v>
      </c>
      <c r="D109" t="s">
        <v>16</v>
      </c>
      <c r="E109" s="9">
        <f>E107</f>
        <v>0.82350000000000001</v>
      </c>
    </row>
    <row r="110" spans="1:7" x14ac:dyDescent="0.25">
      <c r="A110" s="7" t="s">
        <v>33</v>
      </c>
      <c r="E110" s="9"/>
    </row>
    <row r="111" spans="1:7" x14ac:dyDescent="0.25">
      <c r="A111" s="5" t="s">
        <v>32</v>
      </c>
      <c r="D111" t="s">
        <v>16</v>
      </c>
      <c r="E111" s="5">
        <v>1</v>
      </c>
      <c r="F111" s="5"/>
      <c r="G111" s="5" t="s">
        <v>82</v>
      </c>
    </row>
    <row r="112" spans="1:7" x14ac:dyDescent="0.25">
      <c r="A112" t="s">
        <v>34</v>
      </c>
      <c r="D112" t="s">
        <v>16</v>
      </c>
      <c r="E112">
        <v>1</v>
      </c>
      <c r="G112" s="5" t="s">
        <v>82</v>
      </c>
    </row>
    <row r="113" spans="1:11" x14ac:dyDescent="0.25">
      <c r="A113" t="s">
        <v>35</v>
      </c>
      <c r="D113" t="s">
        <v>16</v>
      </c>
      <c r="E113">
        <v>1</v>
      </c>
      <c r="G113" s="5" t="s">
        <v>82</v>
      </c>
    </row>
    <row r="114" spans="1:11" x14ac:dyDescent="0.25">
      <c r="A114" t="s">
        <v>36</v>
      </c>
      <c r="D114" t="s">
        <v>16</v>
      </c>
      <c r="E114">
        <v>1</v>
      </c>
      <c r="G114" s="5" t="s">
        <v>82</v>
      </c>
    </row>
    <row r="115" spans="1:11" x14ac:dyDescent="0.25">
      <c r="A115" t="s">
        <v>37</v>
      </c>
      <c r="D115" t="s">
        <v>16</v>
      </c>
      <c r="E115">
        <v>1</v>
      </c>
      <c r="G115" s="5" t="s">
        <v>82</v>
      </c>
    </row>
    <row r="116" spans="1:11" x14ac:dyDescent="0.25">
      <c r="A116" t="s">
        <v>38</v>
      </c>
      <c r="D116" t="s">
        <v>15</v>
      </c>
      <c r="E116">
        <v>-9.2499999999999999E-2</v>
      </c>
    </row>
    <row r="117" spans="1:11" x14ac:dyDescent="0.25">
      <c r="A117" t="s">
        <v>38</v>
      </c>
      <c r="D117" t="s">
        <v>16</v>
      </c>
      <c r="E117">
        <v>1.2939000000000001</v>
      </c>
    </row>
    <row r="118" spans="1:11" x14ac:dyDescent="0.25">
      <c r="A118" t="s">
        <v>39</v>
      </c>
      <c r="D118" t="s">
        <v>16</v>
      </c>
      <c r="E118">
        <v>0.94</v>
      </c>
      <c r="G118" s="5" t="s">
        <v>83</v>
      </c>
    </row>
    <row r="119" spans="1:11" x14ac:dyDescent="0.25">
      <c r="A119" t="s">
        <v>40</v>
      </c>
      <c r="D119" t="s">
        <v>15</v>
      </c>
      <c r="E119" s="7">
        <v>-6.83E-2</v>
      </c>
      <c r="G119" s="7" t="s">
        <v>84</v>
      </c>
    </row>
    <row r="120" spans="1:11" x14ac:dyDescent="0.25">
      <c r="A120" t="s">
        <v>40</v>
      </c>
      <c r="D120" t="s">
        <v>16</v>
      </c>
      <c r="E120">
        <v>0.74670000000000003</v>
      </c>
    </row>
    <row r="121" spans="1:11" x14ac:dyDescent="0.25">
      <c r="A121" t="s">
        <v>41</v>
      </c>
      <c r="D121" t="s">
        <v>15</v>
      </c>
      <c r="E121" s="9">
        <f>E119</f>
        <v>-6.83E-2</v>
      </c>
      <c r="G121" s="7" t="s">
        <v>96</v>
      </c>
    </row>
    <row r="122" spans="1:11" x14ac:dyDescent="0.25">
      <c r="A122" t="s">
        <v>41</v>
      </c>
      <c r="D122" t="s">
        <v>16</v>
      </c>
      <c r="E122" s="9">
        <f>E120</f>
        <v>0.74670000000000003</v>
      </c>
    </row>
    <row r="123" spans="1:11" x14ac:dyDescent="0.25">
      <c r="A123" t="s">
        <v>42</v>
      </c>
      <c r="D123" t="s">
        <v>16</v>
      </c>
      <c r="E123">
        <v>1</v>
      </c>
      <c r="G123" s="5" t="s">
        <v>82</v>
      </c>
    </row>
    <row r="124" spans="1:11" x14ac:dyDescent="0.25">
      <c r="A124" s="7" t="s">
        <v>43</v>
      </c>
      <c r="K124" s="4"/>
    </row>
    <row r="125" spans="1:11" x14ac:dyDescent="0.25">
      <c r="A125" s="10" t="s">
        <v>44</v>
      </c>
      <c r="D125" t="s">
        <v>15</v>
      </c>
      <c r="E125">
        <v>-8.2500000000000004E-2</v>
      </c>
    </row>
    <row r="126" spans="1:11" x14ac:dyDescent="0.25">
      <c r="A126" s="10" t="s">
        <v>44</v>
      </c>
      <c r="D126" t="s">
        <v>16</v>
      </c>
      <c r="E126">
        <v>0.72799999999999998</v>
      </c>
    </row>
    <row r="127" spans="1:11" x14ac:dyDescent="0.25">
      <c r="A127" s="11" t="s">
        <v>45</v>
      </c>
    </row>
    <row r="128" spans="1:11" x14ac:dyDescent="0.25">
      <c r="A128" s="5" t="s">
        <v>77</v>
      </c>
      <c r="D128" t="s">
        <v>16</v>
      </c>
      <c r="E128">
        <v>1</v>
      </c>
      <c r="G128" s="5" t="s">
        <v>82</v>
      </c>
    </row>
    <row r="129" spans="1:7" x14ac:dyDescent="0.25">
      <c r="A129" s="11" t="s">
        <v>46</v>
      </c>
    </row>
    <row r="130" spans="1:7" x14ac:dyDescent="0.25">
      <c r="A130" s="11" t="s">
        <v>47</v>
      </c>
    </row>
    <row r="131" spans="1:7" x14ac:dyDescent="0.25">
      <c r="A131" s="11" t="s">
        <v>48</v>
      </c>
    </row>
    <row r="132" spans="1:7" x14ac:dyDescent="0.25">
      <c r="A132" s="10" t="s">
        <v>49</v>
      </c>
      <c r="D132" t="s">
        <v>16</v>
      </c>
      <c r="E132">
        <v>1</v>
      </c>
      <c r="G132" s="5" t="s">
        <v>82</v>
      </c>
    </row>
    <row r="133" spans="1:7" x14ac:dyDescent="0.25">
      <c r="A133" s="10" t="s">
        <v>50</v>
      </c>
      <c r="D133" t="s">
        <v>16</v>
      </c>
      <c r="E133">
        <v>1</v>
      </c>
      <c r="G133" s="5" t="s">
        <v>82</v>
      </c>
    </row>
    <row r="134" spans="1:7" x14ac:dyDescent="0.25">
      <c r="A134" t="s">
        <v>51</v>
      </c>
      <c r="D134" t="s">
        <v>16</v>
      </c>
      <c r="E134">
        <v>1</v>
      </c>
      <c r="G134" s="5" t="s">
        <v>82</v>
      </c>
    </row>
    <row r="135" spans="1:7" x14ac:dyDescent="0.25">
      <c r="A135" t="s">
        <v>52</v>
      </c>
      <c r="D135" t="s">
        <v>16</v>
      </c>
      <c r="E135">
        <v>1</v>
      </c>
      <c r="G135" s="5" t="s">
        <v>82</v>
      </c>
    </row>
    <row r="136" spans="1:7" x14ac:dyDescent="0.25">
      <c r="A136" s="5" t="s">
        <v>53</v>
      </c>
      <c r="D136" t="s">
        <v>16</v>
      </c>
      <c r="E136">
        <v>1</v>
      </c>
      <c r="G136" s="5" t="s">
        <v>82</v>
      </c>
    </row>
    <row r="137" spans="1:7" x14ac:dyDescent="0.25">
      <c r="A137" s="5" t="s">
        <v>54</v>
      </c>
      <c r="D137" t="s">
        <v>16</v>
      </c>
      <c r="E137">
        <v>1</v>
      </c>
      <c r="G137" s="5" t="s">
        <v>82</v>
      </c>
    </row>
    <row r="138" spans="1:7" x14ac:dyDescent="0.25">
      <c r="A138" s="5" t="s">
        <v>55</v>
      </c>
      <c r="D138" t="s">
        <v>16</v>
      </c>
      <c r="E138">
        <v>1</v>
      </c>
      <c r="G138" s="5" t="s">
        <v>82</v>
      </c>
    </row>
    <row r="139" spans="1:7" x14ac:dyDescent="0.25">
      <c r="A139" s="5" t="s">
        <v>56</v>
      </c>
      <c r="D139" t="s">
        <v>16</v>
      </c>
      <c r="E139">
        <v>1</v>
      </c>
      <c r="G139" s="5" t="s">
        <v>82</v>
      </c>
    </row>
    <row r="140" spans="1:7" x14ac:dyDescent="0.25">
      <c r="A140" s="5" t="s">
        <v>57</v>
      </c>
      <c r="D140" t="s">
        <v>16</v>
      </c>
      <c r="E140">
        <v>1</v>
      </c>
      <c r="G140" s="5" t="s">
        <v>82</v>
      </c>
    </row>
    <row r="141" spans="1:7" x14ac:dyDescent="0.25">
      <c r="A141" s="5" t="s">
        <v>58</v>
      </c>
      <c r="D141" t="s">
        <v>16</v>
      </c>
      <c r="E141">
        <v>1</v>
      </c>
      <c r="G141" s="5" t="s">
        <v>82</v>
      </c>
    </row>
    <row r="142" spans="1:7" x14ac:dyDescent="0.25">
      <c r="A142" s="5" t="s">
        <v>59</v>
      </c>
      <c r="D142" t="s">
        <v>16</v>
      </c>
      <c r="E142">
        <v>1</v>
      </c>
      <c r="G142" s="5" t="s">
        <v>82</v>
      </c>
    </row>
    <row r="143" spans="1:7" x14ac:dyDescent="0.25">
      <c r="A143" s="5" t="s">
        <v>60</v>
      </c>
      <c r="D143" t="s">
        <v>16</v>
      </c>
      <c r="E143">
        <v>1</v>
      </c>
      <c r="G143" s="5" t="s">
        <v>82</v>
      </c>
    </row>
    <row r="144" spans="1:7" x14ac:dyDescent="0.25">
      <c r="A144" s="5" t="s">
        <v>61</v>
      </c>
      <c r="D144" t="s">
        <v>16</v>
      </c>
      <c r="E144">
        <v>1</v>
      </c>
      <c r="G144" s="5" t="s">
        <v>82</v>
      </c>
    </row>
    <row r="145" spans="1:7" x14ac:dyDescent="0.25">
      <c r="A145" s="5" t="s">
        <v>62</v>
      </c>
      <c r="D145" t="s">
        <v>16</v>
      </c>
      <c r="E145">
        <v>1</v>
      </c>
      <c r="G145" s="5" t="s">
        <v>82</v>
      </c>
    </row>
    <row r="146" spans="1:7" x14ac:dyDescent="0.25">
      <c r="A146" s="5" t="s">
        <v>63</v>
      </c>
      <c r="D146" t="s">
        <v>16</v>
      </c>
      <c r="E146">
        <v>1</v>
      </c>
      <c r="G146" s="5" t="s">
        <v>82</v>
      </c>
    </row>
    <row r="147" spans="1:7" x14ac:dyDescent="0.25">
      <c r="A147" s="5" t="s">
        <v>64</v>
      </c>
      <c r="D147" t="s">
        <v>16</v>
      </c>
      <c r="E147">
        <v>1</v>
      </c>
      <c r="G147" s="5" t="s">
        <v>82</v>
      </c>
    </row>
    <row r="148" spans="1:7" x14ac:dyDescent="0.25">
      <c r="A148" s="5" t="s">
        <v>65</v>
      </c>
      <c r="D148" t="s">
        <v>16</v>
      </c>
      <c r="E148">
        <v>1</v>
      </c>
      <c r="G148" s="5" t="s">
        <v>82</v>
      </c>
    </row>
    <row r="149" spans="1:7" x14ac:dyDescent="0.25">
      <c r="A149" s="5" t="s">
        <v>66</v>
      </c>
      <c r="D149" t="s">
        <v>16</v>
      </c>
      <c r="E149">
        <v>1</v>
      </c>
      <c r="G149" s="5" t="s">
        <v>82</v>
      </c>
    </row>
    <row r="150" spans="1:7" x14ac:dyDescent="0.25">
      <c r="A150" s="5" t="s">
        <v>67</v>
      </c>
      <c r="D150" t="s">
        <v>16</v>
      </c>
      <c r="E150">
        <v>1</v>
      </c>
      <c r="G150" s="5" t="s">
        <v>82</v>
      </c>
    </row>
    <row r="151" spans="1:7" x14ac:dyDescent="0.25">
      <c r="A151" s="5" t="s">
        <v>68</v>
      </c>
      <c r="D151" t="s">
        <v>16</v>
      </c>
      <c r="E151">
        <v>1</v>
      </c>
      <c r="G151" s="5" t="s">
        <v>82</v>
      </c>
    </row>
    <row r="152" spans="1:7" x14ac:dyDescent="0.25">
      <c r="A152" s="5" t="s">
        <v>69</v>
      </c>
      <c r="D152" t="s">
        <v>16</v>
      </c>
      <c r="E152">
        <v>1</v>
      </c>
      <c r="G152" s="5" t="s">
        <v>82</v>
      </c>
    </row>
    <row r="153" spans="1:7" x14ac:dyDescent="0.25">
      <c r="A153" s="5" t="s">
        <v>70</v>
      </c>
      <c r="D153" t="s">
        <v>16</v>
      </c>
      <c r="E153">
        <v>1</v>
      </c>
      <c r="G153" s="5" t="s">
        <v>82</v>
      </c>
    </row>
    <row r="154" spans="1:7" x14ac:dyDescent="0.25">
      <c r="A154" s="5" t="s">
        <v>71</v>
      </c>
      <c r="D154" t="s">
        <v>16</v>
      </c>
      <c r="E154">
        <v>1</v>
      </c>
      <c r="G154" s="5" t="s">
        <v>82</v>
      </c>
    </row>
    <row r="155" spans="1:7" x14ac:dyDescent="0.25">
      <c r="A155" s="5" t="s">
        <v>72</v>
      </c>
      <c r="D155" t="s">
        <v>16</v>
      </c>
      <c r="E155">
        <v>1</v>
      </c>
      <c r="G155" s="5" t="s">
        <v>82</v>
      </c>
    </row>
    <row r="156" spans="1:7" x14ac:dyDescent="0.25">
      <c r="A156" s="5" t="s">
        <v>73</v>
      </c>
      <c r="D156" t="s">
        <v>16</v>
      </c>
      <c r="E156">
        <v>1</v>
      </c>
      <c r="G156" s="5" t="s">
        <v>82</v>
      </c>
    </row>
    <row r="157" spans="1:7" x14ac:dyDescent="0.25">
      <c r="A157" s="5" t="s">
        <v>74</v>
      </c>
      <c r="D157" t="s">
        <v>16</v>
      </c>
      <c r="E157">
        <v>1</v>
      </c>
      <c r="G157" s="5" t="s">
        <v>82</v>
      </c>
    </row>
    <row r="158" spans="1:7" x14ac:dyDescent="0.25">
      <c r="A158" s="5" t="s">
        <v>75</v>
      </c>
      <c r="D158" t="s">
        <v>16</v>
      </c>
      <c r="E158">
        <v>1</v>
      </c>
      <c r="G158" s="5" t="s">
        <v>82</v>
      </c>
    </row>
    <row r="159" spans="1:7" x14ac:dyDescent="0.25">
      <c r="A159" s="5" t="s">
        <v>76</v>
      </c>
      <c r="D159" t="s">
        <v>16</v>
      </c>
      <c r="E159">
        <v>1</v>
      </c>
      <c r="G159" s="5" t="s">
        <v>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6</v>
      </c>
      <c r="B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2023-05-22T19:55:31Z</dcterms:modified>
</cp:coreProperties>
</file>