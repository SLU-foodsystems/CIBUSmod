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000" activeTab="1"/>
  </bookViews>
  <sheets>
    <sheet name="relations" sheetId="2" r:id="rId1"/>
    <sheet name="default" sheetId="1" r:id="rId2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2" i="1" l="1"/>
  <c r="K91" i="1"/>
  <c r="K90" i="1"/>
  <c r="K106" i="1"/>
  <c r="K105" i="1"/>
  <c r="K107" i="1" l="1"/>
  <c r="K112" i="1"/>
  <c r="K50" i="1"/>
  <c r="K20" i="1"/>
  <c r="K21" i="1"/>
  <c r="K83" i="1" l="1"/>
  <c r="K82" i="1"/>
  <c r="K70" i="1"/>
  <c r="K104" i="1"/>
  <c r="K19" i="1"/>
  <c r="K81" i="1" l="1"/>
  <c r="K80" i="1"/>
  <c r="K79" i="1"/>
  <c r="K78" i="1"/>
  <c r="K76" i="1" l="1"/>
  <c r="K77" i="1" s="1"/>
  <c r="K74" i="1"/>
  <c r="K73" i="1" s="1"/>
  <c r="K72" i="1"/>
  <c r="K71" i="1" s="1"/>
  <c r="K69" i="1"/>
  <c r="K75" i="1" l="1"/>
  <c r="K87" i="1"/>
  <c r="K86" i="1"/>
  <c r="K85" i="1"/>
  <c r="K3" i="1" l="1"/>
</calcChain>
</file>

<file path=xl/sharedStrings.xml><?xml version="1.0" encoding="utf-8"?>
<sst xmlns="http://schemas.openxmlformats.org/spreadsheetml/2006/main" count="538" uniqueCount="120">
  <si>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</si>
  <si>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</si>
  <si>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</si>
  <si>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</si>
  <si>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</si>
  <si>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</si>
  <si>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</si>
  <si>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</si>
  <si>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</si>
  <si>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</si>
  <si>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</si>
  <si>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</si>
  <si>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</si>
  <si>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</si>
  <si>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</si>
  <si>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</si>
  <si>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</si>
  <si>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</si>
  <si>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</si>
  <si>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</si>
  <si>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</si>
  <si>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</si>
  <si>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</si>
  <si>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</si>
  <si>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</si>
  <si>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</si>
  <si>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</si>
  <si>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</si>
  <si>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</si>
  <si>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</si>
  <si>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</si>
  <si>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</si>
  <si>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</si>
  <si>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</si>
  <si>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</si>
  <si>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</si>
  <si>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</si>
  <si>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</si>
  <si>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</si>
  <si>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</si>
  <si>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</si>
  <si>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</si>
  <si>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</si>
  <si>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</si>
  <si>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</si>
  <si>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</si>
  <si>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</si>
  <si>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</si>
  <si>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</si>
  <si>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</si>
  <si>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</si>
  <si>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Barley and products</t>
  </si>
  <si>
    <t>barley</t>
  </si>
  <si>
    <t>food</t>
  </si>
  <si>
    <t>food_group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</si>
  <si>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</si>
  <si>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</si>
  <si>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</si>
  <si>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</si>
  <si>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</si>
  <si>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</si>
  <si>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</si>
  <si>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</si>
  <si>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</si>
  <si>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t>offals</t>
  </si>
  <si>
    <t>skins</t>
  </si>
  <si>
    <t>butcher fat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</si>
  <si>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</si>
  <si>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</si>
  <si>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bran</t>
  </si>
  <si>
    <t>germ</t>
  </si>
  <si>
    <t>hulls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</si>
  <si>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</si>
  <si>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</si>
  <si>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</si>
  <si>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</si>
  <si>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</si>
  <si>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</si>
  <si>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</si>
  <si>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</si>
  <si>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</si>
  <si>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</si>
  <si>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</si>
  <si>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</si>
  <si>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</si>
  <si>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</si>
  <si>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</si>
  <si>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</si>
  <si>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</si>
  <si>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</si>
  <si>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</si>
  <si>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</si>
  <si>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</si>
  <si>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</si>
  <si>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</si>
  <si>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</si>
  <si>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</si>
  <si>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</si>
  <si>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</si>
  <si>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Share conventional is calculated as what remains (value should be -100)</t>
  </si>
  <si>
    <t>domestic</t>
  </si>
  <si>
    <t>split whole grain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</si>
  <si>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</si>
  <si>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</si>
  <si>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</si>
  <si>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</si>
  <si>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</si>
  <si>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</si>
  <si>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</si>
  <si>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</si>
  <si>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</si>
  <si>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</si>
  <si>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Share organic raw milk to dairies. Using product level shares difficult</t>
  </si>
  <si>
    <t>Bovine meat and products</t>
  </si>
  <si>
    <t>(1/0.76)=carcass weight--&gt;live weight</t>
  </si>
  <si>
    <t>(1/0.52)=carcass weight--&gt;live weight</t>
  </si>
  <si>
    <t>slaughterhouse fat</t>
  </si>
  <si>
    <t>flour of mixed grain. split whole grain</t>
  </si>
  <si>
    <t>SJV stat (2016-2020)</t>
  </si>
  <si>
    <t>64% in Hannas table.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</si>
</sst>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G13" sqref="G13"/>
    </sheetView>
  </sheetViews>
  <sheetFormatPr defaultRowHeight="15" x14ac:dyDescent="0.25"/>
  <cols>
    <col min="1" max="1" width="19" bestFit="1" customWidth="1"/>
    <col min="2" max="2" width="11.28515625" bestFit="1" customWidth="1"/>
  </cols>
  <sheetData>
    <row r="1" spans="1:2" x14ac:dyDescent="0.25">
      <c r="A1" t="s">
        <v>53</v>
      </c>
      <c r="B1" t="s">
        <v>54</v>
      </c>
    </row>
    <row r="2" spans="1:2" x14ac:dyDescent="0.25">
      <c r="A2" t="s">
        <v>35</v>
      </c>
      <c r="B2" t="s">
        <v>26</v>
      </c>
    </row>
    <row r="3" spans="1:2" x14ac:dyDescent="0.25">
      <c r="A3" t="s">
        <v>44</v>
      </c>
      <c r="B3" t="s">
        <v>26</v>
      </c>
    </row>
    <row r="4" spans="1:2" x14ac:dyDescent="0.25">
      <c r="A4" t="s">
        <v>51</v>
      </c>
      <c r="B4" t="s">
        <v>26</v>
      </c>
    </row>
    <row r="5" spans="1:2" x14ac:dyDescent="0.25">
      <c r="A5" t="s">
        <v>60</v>
      </c>
      <c r="B5" t="s">
        <v>61</v>
      </c>
    </row>
    <row r="6" spans="1:2" x14ac:dyDescent="0.25">
      <c r="A6" s="7" t="s">
        <v>74</v>
      </c>
      <c r="B6" t="s">
        <v>93</v>
      </c>
    </row>
    <row r="7" spans="1:2" x14ac:dyDescent="0.25">
      <c r="A7" s="7" t="s">
        <v>73</v>
      </c>
      <c r="B7" t="s">
        <v>93</v>
      </c>
    </row>
    <row r="8" spans="1:2" x14ac:dyDescent="0.25">
      <c r="A8" s="7" t="s">
        <v>75</v>
      </c>
      <c r="B8" t="s">
        <v>93</v>
      </c>
    </row>
    <row r="9" spans="1:2" x14ac:dyDescent="0.25">
      <c r="A9" s="7" t="s">
        <v>76</v>
      </c>
      <c r="B9" t="s">
        <v>93</v>
      </c>
    </row>
    <row r="10" spans="1:2" x14ac:dyDescent="0.25">
      <c r="A10" s="7" t="s">
        <v>80</v>
      </c>
      <c r="B10" t="s">
        <v>93</v>
      </c>
    </row>
    <row r="11" spans="1:2" x14ac:dyDescent="0.25">
      <c r="A11" s="7" t="s">
        <v>81</v>
      </c>
      <c r="B11" t="s">
        <v>93</v>
      </c>
    </row>
    <row r="12" spans="1:2" x14ac:dyDescent="0.25">
      <c r="A12" s="7" t="s">
        <v>78</v>
      </c>
      <c r="B12" t="s">
        <v>93</v>
      </c>
    </row>
    <row r="13" spans="1:2" x14ac:dyDescent="0.25">
      <c r="A13" s="7" t="s">
        <v>79</v>
      </c>
      <c r="B13" t="s">
        <v>93</v>
      </c>
    </row>
    <row r="14" spans="1:2" x14ac:dyDescent="0.25">
      <c r="A14" s="7" t="s">
        <v>77</v>
      </c>
      <c r="B14" t="s">
        <v>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7"/>
  <sheetViews>
    <sheetView tabSelected="1" zoomScale="80" zoomScaleNormal="80" zoomScaleSheetLayoutView="80" workbookViewId="0">
      <pane ySplit="1" topLeftCell="A80" activePane="bottomLeft" state="frozen"/>
      <selection pane="bottomLeft" activeCell="G109" sqref="G109"/>
    </sheetView>
  </sheetViews>
  <sheetFormatPr defaultRowHeight="15" x14ac:dyDescent="0.25"/>
  <cols>
    <col min="1" max="1" width="37.285156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39.5703125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62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55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35</v>
      </c>
      <c r="B7" t="s">
        <v>26</v>
      </c>
      <c r="J7" t="s">
        <v>18</v>
      </c>
      <c r="K7">
        <v>93.1</v>
      </c>
      <c r="L7" t="s">
        <v>19</v>
      </c>
      <c r="M7" s="7" t="s">
        <v>101</v>
      </c>
    </row>
    <row r="8" spans="1:14" x14ac:dyDescent="0.25">
      <c r="A8" t="s">
        <v>44</v>
      </c>
      <c r="B8" t="s">
        <v>26</v>
      </c>
      <c r="J8" t="s">
        <v>18</v>
      </c>
      <c r="K8">
        <v>14.1</v>
      </c>
      <c r="L8" t="s">
        <v>19</v>
      </c>
      <c r="M8" s="7"/>
    </row>
    <row r="9" spans="1:14" x14ac:dyDescent="0.25">
      <c r="A9" t="s">
        <v>51</v>
      </c>
      <c r="B9" t="s">
        <v>26</v>
      </c>
      <c r="J9" t="s">
        <v>18</v>
      </c>
      <c r="K9">
        <v>3.5</v>
      </c>
      <c r="L9" t="s">
        <v>19</v>
      </c>
      <c r="M9" s="7" t="s">
        <v>101</v>
      </c>
    </row>
    <row r="10" spans="1:14" x14ac:dyDescent="0.25">
      <c r="A10" t="s">
        <v>105</v>
      </c>
      <c r="B10" t="s">
        <v>26</v>
      </c>
      <c r="J10" t="s">
        <v>18</v>
      </c>
      <c r="K10">
        <v>3.8</v>
      </c>
      <c r="L10" t="s">
        <v>19</v>
      </c>
    </row>
    <row r="11" spans="1:14" x14ac:dyDescent="0.25">
      <c r="A11" t="s">
        <v>104</v>
      </c>
      <c r="B11" t="s">
        <v>26</v>
      </c>
      <c r="J11" t="s">
        <v>18</v>
      </c>
      <c r="K11">
        <v>12.8</v>
      </c>
      <c r="L11" t="s">
        <v>19</v>
      </c>
      <c r="M11" s="7" t="s">
        <v>101</v>
      </c>
    </row>
    <row r="12" spans="1:14" x14ac:dyDescent="0.25">
      <c r="A12" t="s">
        <v>103</v>
      </c>
      <c r="B12" t="s">
        <v>26</v>
      </c>
      <c r="J12" t="s">
        <v>18</v>
      </c>
      <c r="K12">
        <v>5.2</v>
      </c>
      <c r="L12" t="s">
        <v>19</v>
      </c>
      <c r="M12" s="7" t="s">
        <v>101</v>
      </c>
    </row>
    <row r="13" spans="1:14" x14ac:dyDescent="0.25">
      <c r="A13" t="s">
        <v>102</v>
      </c>
      <c r="B13" t="s">
        <v>26</v>
      </c>
      <c r="J13" t="s">
        <v>18</v>
      </c>
      <c r="K13" s="7">
        <v>0.5</v>
      </c>
      <c r="L13" t="s">
        <v>19</v>
      </c>
      <c r="M13" s="7" t="s">
        <v>117</v>
      </c>
    </row>
    <row r="15" spans="1:14" x14ac:dyDescent="0.25">
      <c r="A15" s="5" t="s">
        <v>11</v>
      </c>
      <c r="B15" s="5"/>
      <c r="C15" s="5"/>
      <c r="D15" s="5"/>
      <c r="E15" s="5"/>
      <c r="F15" s="5"/>
      <c r="G15" s="5"/>
      <c r="H15" s="5"/>
      <c r="I15" s="5"/>
      <c r="J15" s="6"/>
      <c r="K15" s="6"/>
      <c r="L15" s="6"/>
      <c r="M15" s="6"/>
      <c r="N15" s="6"/>
    </row>
    <row r="16" spans="1:14" x14ac:dyDescent="0.25">
      <c r="A16" s="5" t="s">
        <v>12</v>
      </c>
      <c r="B16" s="5"/>
      <c r="C16" s="5"/>
      <c r="D16" s="5"/>
      <c r="E16" s="5"/>
      <c r="F16" s="5"/>
      <c r="G16" s="5"/>
      <c r="H16" s="5"/>
      <c r="I16" s="5"/>
      <c r="J16" s="6"/>
      <c r="K16" s="6"/>
      <c r="L16" s="6"/>
      <c r="M16" s="6"/>
      <c r="N16" s="6"/>
    </row>
    <row r="17" spans="1:14" x14ac:dyDescent="0.25">
      <c r="A17" s="5" t="s">
        <v>13</v>
      </c>
      <c r="B17" s="5"/>
      <c r="C17" s="5"/>
      <c r="D17" s="5"/>
      <c r="E17" s="5"/>
      <c r="F17" s="5"/>
      <c r="G17" s="5"/>
      <c r="H17" s="5"/>
      <c r="I17" s="5"/>
      <c r="J17" s="6"/>
      <c r="K17" s="6"/>
      <c r="L17" s="6"/>
      <c r="M17" s="6"/>
      <c r="N17" s="6"/>
    </row>
    <row r="18" spans="1:14" x14ac:dyDescent="0.25">
      <c r="A18" s="5" t="s">
        <v>14</v>
      </c>
      <c r="B18" s="5"/>
      <c r="C18" s="5"/>
      <c r="D18" s="5"/>
      <c r="E18" s="5"/>
      <c r="F18" s="5"/>
      <c r="G18" s="5"/>
      <c r="H18" s="5"/>
      <c r="I18" s="5"/>
      <c r="J18" s="6"/>
      <c r="K18" s="6"/>
      <c r="L18" s="6"/>
      <c r="M18" s="6"/>
      <c r="N18" s="6"/>
    </row>
    <row r="19" spans="1:14" x14ac:dyDescent="0.25">
      <c r="A19" s="7" t="s">
        <v>74</v>
      </c>
      <c r="B19" t="s">
        <v>93</v>
      </c>
      <c r="J19" t="s">
        <v>18</v>
      </c>
      <c r="K19" s="7">
        <f>29.5+8.5</f>
        <v>38</v>
      </c>
      <c r="L19" t="s">
        <v>19</v>
      </c>
      <c r="M19" s="7" t="s">
        <v>96</v>
      </c>
    </row>
    <row r="20" spans="1:14" x14ac:dyDescent="0.25">
      <c r="A20" s="7" t="s">
        <v>73</v>
      </c>
      <c r="B20" t="s">
        <v>93</v>
      </c>
      <c r="J20" t="s">
        <v>18</v>
      </c>
      <c r="K20" s="7">
        <f>80.7+14.4+0.3*5</f>
        <v>96.600000000000009</v>
      </c>
      <c r="L20" t="s">
        <v>19</v>
      </c>
      <c r="M20" s="7" t="s">
        <v>96</v>
      </c>
    </row>
    <row r="21" spans="1:14" x14ac:dyDescent="0.25">
      <c r="A21" s="7" t="s">
        <v>75</v>
      </c>
      <c r="B21" t="s">
        <v>93</v>
      </c>
      <c r="J21" t="s">
        <v>18</v>
      </c>
      <c r="K21" s="7">
        <f>45.6+44.1+1.3*5+1.8*10</f>
        <v>114.2</v>
      </c>
      <c r="L21" t="s">
        <v>19</v>
      </c>
      <c r="M21" s="7" t="s">
        <v>96</v>
      </c>
    </row>
    <row r="22" spans="1:14" x14ac:dyDescent="0.25">
      <c r="A22" s="7" t="s">
        <v>76</v>
      </c>
      <c r="B22" t="s">
        <v>93</v>
      </c>
      <c r="J22" t="s">
        <v>18</v>
      </c>
      <c r="K22">
        <v>46.8</v>
      </c>
      <c r="L22" t="s">
        <v>19</v>
      </c>
    </row>
    <row r="23" spans="1:14" x14ac:dyDescent="0.25">
      <c r="A23" s="7" t="s">
        <v>80</v>
      </c>
      <c r="B23" t="s">
        <v>93</v>
      </c>
      <c r="J23" t="s">
        <v>18</v>
      </c>
      <c r="K23">
        <v>8.1</v>
      </c>
      <c r="L23" t="s">
        <v>19</v>
      </c>
    </row>
    <row r="24" spans="1:14" x14ac:dyDescent="0.25">
      <c r="A24" s="7" t="s">
        <v>81</v>
      </c>
      <c r="B24" t="s">
        <v>93</v>
      </c>
      <c r="J24" t="s">
        <v>18</v>
      </c>
      <c r="K24">
        <v>1</v>
      </c>
      <c r="L24" t="s">
        <v>19</v>
      </c>
    </row>
    <row r="25" spans="1:14" x14ac:dyDescent="0.25">
      <c r="A25" s="7" t="s">
        <v>78</v>
      </c>
      <c r="B25" t="s">
        <v>93</v>
      </c>
      <c r="J25" t="s">
        <v>18</v>
      </c>
      <c r="K25">
        <v>6.6</v>
      </c>
      <c r="L25" t="s">
        <v>19</v>
      </c>
    </row>
    <row r="26" spans="1:14" x14ac:dyDescent="0.25">
      <c r="A26" s="7" t="s">
        <v>79</v>
      </c>
      <c r="B26" t="s">
        <v>93</v>
      </c>
      <c r="J26" t="s">
        <v>18</v>
      </c>
      <c r="K26">
        <v>8.3000000000000007</v>
      </c>
      <c r="L26" t="s">
        <v>19</v>
      </c>
    </row>
    <row r="27" spans="1:14" x14ac:dyDescent="0.25">
      <c r="A27" s="7" t="s">
        <v>77</v>
      </c>
      <c r="B27" t="s">
        <v>93</v>
      </c>
      <c r="J27" t="s">
        <v>18</v>
      </c>
      <c r="K27">
        <v>15.3</v>
      </c>
      <c r="L27" t="s">
        <v>19</v>
      </c>
    </row>
    <row r="28" spans="1:14" x14ac:dyDescent="0.25">
      <c r="A28" s="7"/>
    </row>
    <row r="29" spans="1:14" x14ac:dyDescent="0.25">
      <c r="A29" s="5" t="s">
        <v>23</v>
      </c>
      <c r="B29" s="5"/>
      <c r="C29" s="5"/>
      <c r="D29" s="5"/>
      <c r="E29" s="5"/>
      <c r="F29" s="5"/>
      <c r="G29" s="5"/>
      <c r="H29" s="5"/>
      <c r="I29" s="5"/>
      <c r="J29" s="6"/>
      <c r="K29" s="6"/>
      <c r="L29" s="6"/>
      <c r="M29" s="6"/>
      <c r="N29" s="6"/>
    </row>
    <row r="30" spans="1:14" x14ac:dyDescent="0.25">
      <c r="A30" t="s">
        <v>60</v>
      </c>
      <c r="B30" t="s">
        <v>61</v>
      </c>
      <c r="J30" t="s">
        <v>18</v>
      </c>
      <c r="K30">
        <v>60.6</v>
      </c>
      <c r="L30" t="s">
        <v>19</v>
      </c>
    </row>
    <row r="31" spans="1:14" x14ac:dyDescent="0.25">
      <c r="A31" t="s">
        <v>113</v>
      </c>
      <c r="B31" t="s">
        <v>61</v>
      </c>
      <c r="J31" t="s">
        <v>18</v>
      </c>
      <c r="K31">
        <v>39.9</v>
      </c>
      <c r="L31" t="s">
        <v>19</v>
      </c>
    </row>
    <row r="33" spans="1:14" x14ac:dyDescent="0.25">
      <c r="A33" s="5" t="s">
        <v>15</v>
      </c>
      <c r="B33" s="5"/>
      <c r="C33" s="5"/>
      <c r="D33" s="5"/>
      <c r="E33" s="5"/>
      <c r="F33" s="5"/>
      <c r="G33" s="5"/>
      <c r="H33" s="5"/>
      <c r="I33" s="5"/>
      <c r="J33" s="6"/>
      <c r="K33" s="6"/>
      <c r="L33" s="6"/>
      <c r="M33" s="6"/>
      <c r="N33" s="6"/>
    </row>
    <row r="34" spans="1:14" x14ac:dyDescent="0.25">
      <c r="A34" s="5" t="s">
        <v>16</v>
      </c>
      <c r="B34" s="5"/>
      <c r="C34" s="5"/>
      <c r="D34" s="5"/>
      <c r="E34" s="5"/>
      <c r="F34" s="5"/>
      <c r="G34" s="5"/>
      <c r="H34" s="5"/>
      <c r="I34" s="5"/>
      <c r="J34" s="6"/>
      <c r="K34" s="6"/>
      <c r="L34" s="6"/>
      <c r="M34" s="6"/>
      <c r="N34" s="6"/>
    </row>
    <row r="35" spans="1:14" x14ac:dyDescent="0.25">
      <c r="A35" s="5" t="s">
        <v>20</v>
      </c>
      <c r="B35" s="5"/>
      <c r="C35" s="5"/>
      <c r="D35" s="5"/>
      <c r="E35" s="5"/>
      <c r="F35" s="5"/>
      <c r="G35" s="5"/>
      <c r="H35" s="5"/>
      <c r="I35" s="5"/>
      <c r="J35" s="6"/>
      <c r="K35" s="6"/>
      <c r="L35" s="6"/>
      <c r="M35" s="6"/>
      <c r="N35" s="6"/>
    </row>
    <row r="36" spans="1:14" x14ac:dyDescent="0.25">
      <c r="A36" s="5" t="s">
        <v>21</v>
      </c>
      <c r="B36" s="5"/>
      <c r="C36" s="5"/>
      <c r="D36" s="5"/>
      <c r="E36" s="5"/>
      <c r="F36" s="5"/>
      <c r="G36" s="5"/>
      <c r="H36" s="5"/>
      <c r="I36" s="5"/>
      <c r="J36" s="6"/>
      <c r="K36" s="6"/>
      <c r="L36" s="6"/>
      <c r="M36" s="6"/>
      <c r="N36" s="6"/>
    </row>
    <row r="37" spans="1:14" x14ac:dyDescent="0.25">
      <c r="A37" s="5" t="s">
        <v>22</v>
      </c>
      <c r="B37" s="5"/>
      <c r="C37" s="5"/>
      <c r="D37" s="5"/>
      <c r="E37" s="5"/>
      <c r="F37" s="5"/>
      <c r="G37" s="5"/>
      <c r="H37" s="5"/>
      <c r="I37" s="5"/>
      <c r="J37" s="6"/>
      <c r="K37" s="6"/>
      <c r="L37" s="6"/>
      <c r="M37" s="6"/>
      <c r="N37" s="6"/>
    </row>
    <row r="38" spans="1:14" x14ac:dyDescent="0.25">
      <c r="A38" s="5" t="s">
        <v>24</v>
      </c>
      <c r="B38" s="5"/>
      <c r="C38" s="5"/>
      <c r="D38" s="5"/>
      <c r="E38" s="5"/>
      <c r="F38" s="5"/>
      <c r="G38" s="5"/>
      <c r="H38" s="5"/>
      <c r="I38" s="5"/>
      <c r="J38" s="6"/>
      <c r="K38" s="6"/>
      <c r="L38" s="6"/>
      <c r="M38" s="6"/>
      <c r="N38" s="6"/>
    </row>
    <row r="39" spans="1:14" x14ac:dyDescent="0.25">
      <c r="A39" s="5" t="s">
        <v>29</v>
      </c>
      <c r="B39" s="5"/>
      <c r="C39" s="5"/>
      <c r="D39" s="5"/>
      <c r="E39" s="5"/>
      <c r="F39" s="5"/>
      <c r="G39" s="5"/>
      <c r="H39" s="5"/>
      <c r="I39" s="5"/>
      <c r="J39" s="6"/>
      <c r="K39" s="6"/>
      <c r="L39" s="6"/>
      <c r="M39" s="6"/>
      <c r="N39" s="6"/>
    </row>
    <row r="40" spans="1:14" x14ac:dyDescent="0.25">
      <c r="A40" s="5" t="s">
        <v>30</v>
      </c>
      <c r="B40" s="5"/>
      <c r="C40" s="5"/>
      <c r="D40" s="5"/>
      <c r="E40" s="5"/>
      <c r="F40" s="5"/>
      <c r="G40" s="5"/>
      <c r="H40" s="5"/>
      <c r="I40" s="5"/>
      <c r="J40" s="6"/>
      <c r="K40" s="6"/>
      <c r="L40" s="6"/>
      <c r="M40" s="6"/>
      <c r="N40" s="6"/>
    </row>
    <row r="41" spans="1:14" x14ac:dyDescent="0.25">
      <c r="A41" s="5" t="s">
        <v>31</v>
      </c>
      <c r="B41" s="5"/>
      <c r="C41" s="5"/>
      <c r="D41" s="5"/>
      <c r="E41" s="5"/>
      <c r="F41" s="5"/>
      <c r="G41" s="5"/>
      <c r="H41" s="5"/>
      <c r="I41" s="5"/>
      <c r="J41" s="6"/>
      <c r="K41" s="6"/>
      <c r="L41" s="6"/>
      <c r="M41" s="6"/>
      <c r="N41" s="6"/>
    </row>
    <row r="42" spans="1:14" x14ac:dyDescent="0.25">
      <c r="A42" s="5" t="s">
        <v>32</v>
      </c>
      <c r="B42" s="5"/>
      <c r="C42" s="5"/>
      <c r="D42" s="5"/>
      <c r="E42" s="5"/>
      <c r="F42" s="5"/>
      <c r="G42" s="5"/>
      <c r="H42" s="5"/>
      <c r="I42" s="5"/>
      <c r="J42" s="6"/>
      <c r="K42" s="6"/>
      <c r="L42" s="6"/>
      <c r="M42" s="6"/>
      <c r="N42" s="6"/>
    </row>
    <row r="43" spans="1:14" x14ac:dyDescent="0.25">
      <c r="A43" s="5" t="s">
        <v>33</v>
      </c>
      <c r="B43" s="5"/>
      <c r="C43" s="5"/>
      <c r="D43" s="5"/>
      <c r="E43" s="5"/>
      <c r="F43" s="5"/>
      <c r="G43" s="5"/>
      <c r="H43" s="5"/>
      <c r="I43" s="5"/>
      <c r="J43" s="6"/>
      <c r="K43" s="6"/>
      <c r="L43" s="6"/>
      <c r="M43" s="6"/>
      <c r="N43" s="6"/>
    </row>
    <row r="45" spans="1:14" x14ac:dyDescent="0.25">
      <c r="A45" s="3" t="s">
        <v>34</v>
      </c>
      <c r="B45" s="3"/>
      <c r="C45" s="3"/>
      <c r="D45" s="3"/>
      <c r="E45" s="3"/>
      <c r="F45" s="3"/>
      <c r="G45" s="3"/>
      <c r="H45" s="3"/>
      <c r="I45" s="3"/>
      <c r="J45" s="4"/>
      <c r="K45" s="4"/>
      <c r="L45" s="4"/>
      <c r="M45" s="4"/>
      <c r="N45" s="4"/>
    </row>
    <row r="46" spans="1:14" x14ac:dyDescent="0.25">
      <c r="B46" t="s">
        <v>26</v>
      </c>
      <c r="I46" t="s">
        <v>56</v>
      </c>
      <c r="J46" t="s">
        <v>59</v>
      </c>
      <c r="K46">
        <v>25</v>
      </c>
      <c r="L46" t="s">
        <v>39</v>
      </c>
    </row>
    <row r="47" spans="1:14" x14ac:dyDescent="0.25">
      <c r="B47" t="s">
        <v>26</v>
      </c>
      <c r="I47" t="s">
        <v>57</v>
      </c>
      <c r="J47" t="s">
        <v>59</v>
      </c>
      <c r="K47">
        <v>2</v>
      </c>
      <c r="L47" t="s">
        <v>39</v>
      </c>
    </row>
    <row r="48" spans="1:14" x14ac:dyDescent="0.25">
      <c r="B48" t="s">
        <v>26</v>
      </c>
      <c r="I48" t="s">
        <v>58</v>
      </c>
      <c r="J48" t="s">
        <v>59</v>
      </c>
      <c r="K48" s="7">
        <v>10.5</v>
      </c>
      <c r="L48" t="s">
        <v>39</v>
      </c>
      <c r="M48" s="7" t="s">
        <v>106</v>
      </c>
    </row>
    <row r="49" spans="1:14" x14ac:dyDescent="0.25">
      <c r="B49" t="s">
        <v>93</v>
      </c>
      <c r="I49" t="s">
        <v>56</v>
      </c>
      <c r="J49" t="s">
        <v>59</v>
      </c>
      <c r="K49">
        <v>11</v>
      </c>
      <c r="L49" t="s">
        <v>39</v>
      </c>
    </row>
    <row r="50" spans="1:14" x14ac:dyDescent="0.25">
      <c r="B50" t="s">
        <v>93</v>
      </c>
      <c r="I50" t="s">
        <v>57</v>
      </c>
      <c r="J50" t="s">
        <v>59</v>
      </c>
      <c r="K50">
        <f>0.5</f>
        <v>0.5</v>
      </c>
      <c r="L50" t="s">
        <v>39</v>
      </c>
    </row>
    <row r="51" spans="1:14" x14ac:dyDescent="0.25">
      <c r="B51" t="s">
        <v>93</v>
      </c>
      <c r="I51" t="s">
        <v>58</v>
      </c>
      <c r="J51" t="s">
        <v>59</v>
      </c>
      <c r="K51" s="7">
        <v>1</v>
      </c>
      <c r="L51" t="s">
        <v>39</v>
      </c>
      <c r="M51" s="7" t="s">
        <v>106</v>
      </c>
    </row>
    <row r="52" spans="1:14" x14ac:dyDescent="0.25">
      <c r="B52" t="s">
        <v>61</v>
      </c>
      <c r="I52" t="s">
        <v>56</v>
      </c>
      <c r="J52" t="s">
        <v>59</v>
      </c>
      <c r="K52">
        <v>11</v>
      </c>
      <c r="L52" t="s">
        <v>39</v>
      </c>
    </row>
    <row r="53" spans="1:14" x14ac:dyDescent="0.25">
      <c r="B53" t="s">
        <v>61</v>
      </c>
      <c r="I53" t="s">
        <v>57</v>
      </c>
      <c r="J53" t="s">
        <v>59</v>
      </c>
      <c r="K53">
        <v>4</v>
      </c>
      <c r="L53" t="s">
        <v>39</v>
      </c>
    </row>
    <row r="54" spans="1:14" x14ac:dyDescent="0.25">
      <c r="B54" t="s">
        <v>61</v>
      </c>
      <c r="I54" t="s">
        <v>58</v>
      </c>
      <c r="J54" t="s">
        <v>59</v>
      </c>
      <c r="K54" s="7">
        <v>5</v>
      </c>
      <c r="L54" t="s">
        <v>39</v>
      </c>
      <c r="M54" s="7" t="s">
        <v>106</v>
      </c>
    </row>
    <row r="56" spans="1:14" x14ac:dyDescent="0.25">
      <c r="A56" s="3" t="s">
        <v>67</v>
      </c>
      <c r="B56" s="3"/>
      <c r="C56" s="3"/>
      <c r="D56" s="3"/>
      <c r="E56" s="3"/>
      <c r="F56" s="3"/>
      <c r="G56" s="3"/>
      <c r="H56" s="3"/>
      <c r="I56" s="3"/>
      <c r="J56" s="4"/>
      <c r="K56" s="4"/>
      <c r="L56" s="4"/>
      <c r="M56" s="4"/>
      <c r="N56" s="4"/>
    </row>
    <row r="57" spans="1:14" x14ac:dyDescent="0.25">
      <c r="J57" s="8" t="s">
        <v>97</v>
      </c>
      <c r="K57" s="8">
        <v>0</v>
      </c>
      <c r="L57" s="8" t="s">
        <v>39</v>
      </c>
      <c r="M57" s="8" t="s">
        <v>46</v>
      </c>
    </row>
    <row r="58" spans="1:14" x14ac:dyDescent="0.25">
      <c r="J58" s="8" t="s">
        <v>98</v>
      </c>
      <c r="K58" s="8">
        <v>0</v>
      </c>
      <c r="L58" s="8" t="s">
        <v>39</v>
      </c>
      <c r="M58" s="8" t="s">
        <v>46</v>
      </c>
    </row>
    <row r="59" spans="1:14" x14ac:dyDescent="0.25">
      <c r="A59" t="s">
        <v>35</v>
      </c>
      <c r="C59" t="s">
        <v>38</v>
      </c>
      <c r="J59" t="s">
        <v>97</v>
      </c>
      <c r="K59">
        <v>79</v>
      </c>
      <c r="L59" t="s">
        <v>39</v>
      </c>
      <c r="N59" t="s">
        <v>109</v>
      </c>
    </row>
    <row r="60" spans="1:14" x14ac:dyDescent="0.25">
      <c r="A60" t="s">
        <v>35</v>
      </c>
      <c r="C60" t="s">
        <v>38</v>
      </c>
      <c r="F60" t="s">
        <v>69</v>
      </c>
      <c r="J60" t="s">
        <v>98</v>
      </c>
      <c r="K60">
        <v>19</v>
      </c>
      <c r="L60" t="s">
        <v>39</v>
      </c>
      <c r="N60" t="s">
        <v>109</v>
      </c>
    </row>
    <row r="61" spans="1:14" x14ac:dyDescent="0.25">
      <c r="A61" t="s">
        <v>35</v>
      </c>
      <c r="C61" t="s">
        <v>38</v>
      </c>
      <c r="F61" t="s">
        <v>70</v>
      </c>
      <c r="J61" t="s">
        <v>98</v>
      </c>
      <c r="K61">
        <v>2</v>
      </c>
      <c r="L61" t="s">
        <v>39</v>
      </c>
      <c r="N61" t="s">
        <v>109</v>
      </c>
    </row>
    <row r="62" spans="1:14" x14ac:dyDescent="0.25">
      <c r="A62" s="9" t="s">
        <v>51</v>
      </c>
      <c r="B62" s="9"/>
      <c r="C62" s="9" t="s">
        <v>52</v>
      </c>
      <c r="D62" s="9"/>
      <c r="E62" s="9"/>
      <c r="F62" s="9"/>
      <c r="G62" s="9"/>
      <c r="H62" s="9"/>
      <c r="I62" s="9"/>
      <c r="J62" t="s">
        <v>97</v>
      </c>
      <c r="K62" s="9">
        <v>91</v>
      </c>
      <c r="L62" s="9" t="s">
        <v>39</v>
      </c>
      <c r="M62" s="9"/>
      <c r="N62" t="s">
        <v>109</v>
      </c>
    </row>
    <row r="63" spans="1:14" x14ac:dyDescent="0.25">
      <c r="A63" s="9" t="s">
        <v>51</v>
      </c>
      <c r="B63" s="9"/>
      <c r="C63" s="9" t="s">
        <v>52</v>
      </c>
      <c r="D63" s="9"/>
      <c r="E63" s="9"/>
      <c r="F63" s="9" t="s">
        <v>69</v>
      </c>
      <c r="G63" s="9"/>
      <c r="H63" s="9"/>
      <c r="I63" s="9"/>
      <c r="J63" t="s">
        <v>98</v>
      </c>
      <c r="K63" s="9">
        <v>0</v>
      </c>
      <c r="L63" s="9" t="s">
        <v>39</v>
      </c>
      <c r="M63" s="9"/>
      <c r="N63" t="s">
        <v>109</v>
      </c>
    </row>
    <row r="64" spans="1:14" x14ac:dyDescent="0.25">
      <c r="A64" s="9" t="s">
        <v>51</v>
      </c>
      <c r="B64" s="9"/>
      <c r="C64" s="9" t="s">
        <v>52</v>
      </c>
      <c r="D64" s="9"/>
      <c r="E64" s="9"/>
      <c r="F64" s="9" t="s">
        <v>71</v>
      </c>
      <c r="G64" s="9"/>
      <c r="H64" s="9"/>
      <c r="I64" s="9"/>
      <c r="J64" t="s">
        <v>98</v>
      </c>
      <c r="K64" s="9">
        <v>9</v>
      </c>
      <c r="L64" s="9" t="s">
        <v>39</v>
      </c>
      <c r="M64" s="9"/>
      <c r="N64" t="s">
        <v>109</v>
      </c>
    </row>
    <row r="65" spans="1:14" x14ac:dyDescent="0.25">
      <c r="A65" t="s">
        <v>104</v>
      </c>
      <c r="B65" s="9"/>
      <c r="C65" s="10" t="s">
        <v>107</v>
      </c>
      <c r="D65" s="9"/>
      <c r="E65" s="9"/>
      <c r="F65" s="9"/>
      <c r="G65" s="9"/>
      <c r="H65" s="9"/>
      <c r="I65" s="9"/>
      <c r="J65" t="s">
        <v>97</v>
      </c>
      <c r="K65" s="10">
        <v>80</v>
      </c>
      <c r="L65" s="10" t="s">
        <v>39</v>
      </c>
      <c r="M65" s="9"/>
      <c r="N65" t="s">
        <v>109</v>
      </c>
    </row>
    <row r="66" spans="1:14" x14ac:dyDescent="0.25">
      <c r="A66" t="s">
        <v>104</v>
      </c>
      <c r="B66" s="9"/>
      <c r="C66" s="10" t="s">
        <v>107</v>
      </c>
      <c r="D66" s="9"/>
      <c r="E66" s="9"/>
      <c r="F66" s="10" t="s">
        <v>69</v>
      </c>
      <c r="G66" s="9"/>
      <c r="H66" s="9"/>
      <c r="I66" s="9"/>
      <c r="J66" t="s">
        <v>98</v>
      </c>
      <c r="K66" s="10">
        <v>20</v>
      </c>
      <c r="L66" s="10" t="s">
        <v>39</v>
      </c>
      <c r="M66" s="9"/>
      <c r="N66" t="s">
        <v>109</v>
      </c>
    </row>
    <row r="67" spans="1:14" x14ac:dyDescent="0.25">
      <c r="A67" t="s">
        <v>103</v>
      </c>
      <c r="B67" s="9"/>
      <c r="C67" s="10" t="s">
        <v>108</v>
      </c>
      <c r="D67" s="9"/>
      <c r="E67" s="9"/>
      <c r="F67" s="9"/>
      <c r="G67" s="9"/>
      <c r="H67" s="9"/>
      <c r="I67" s="9"/>
      <c r="J67" t="s">
        <v>97</v>
      </c>
      <c r="K67" s="10">
        <v>53</v>
      </c>
      <c r="L67" s="10" t="s">
        <v>39</v>
      </c>
      <c r="M67" s="9"/>
      <c r="N67" t="s">
        <v>109</v>
      </c>
    </row>
    <row r="68" spans="1:14" x14ac:dyDescent="0.25">
      <c r="A68" t="s">
        <v>103</v>
      </c>
      <c r="B68" s="9"/>
      <c r="C68" s="10" t="s">
        <v>108</v>
      </c>
      <c r="D68" s="9"/>
      <c r="E68" s="9"/>
      <c r="F68" s="10" t="s">
        <v>64</v>
      </c>
      <c r="G68" s="9"/>
      <c r="H68" s="9"/>
      <c r="I68" s="9"/>
      <c r="J68" t="s">
        <v>98</v>
      </c>
      <c r="K68" s="10">
        <v>47</v>
      </c>
      <c r="L68" s="10" t="s">
        <v>39</v>
      </c>
      <c r="M68" s="9"/>
      <c r="N68" t="s">
        <v>109</v>
      </c>
    </row>
    <row r="69" spans="1:14" x14ac:dyDescent="0.25">
      <c r="A69" s="11" t="s">
        <v>74</v>
      </c>
      <c r="B69" s="11"/>
      <c r="C69" s="11"/>
      <c r="D69" s="11" t="s">
        <v>91</v>
      </c>
      <c r="E69" s="11" t="s">
        <v>68</v>
      </c>
      <c r="F69" s="11"/>
      <c r="G69" s="11"/>
      <c r="H69" s="11"/>
      <c r="I69" s="11"/>
      <c r="J69" t="s">
        <v>97</v>
      </c>
      <c r="K69" s="13">
        <f>100-K70</f>
        <v>90.75</v>
      </c>
      <c r="L69" s="11" t="s">
        <v>39</v>
      </c>
      <c r="M69" t="s">
        <v>83</v>
      </c>
      <c r="N69" s="9" t="s">
        <v>110</v>
      </c>
    </row>
    <row r="70" spans="1:14" x14ac:dyDescent="0.25">
      <c r="A70" s="11" t="s">
        <v>74</v>
      </c>
      <c r="B70" s="11"/>
      <c r="C70" s="11"/>
      <c r="D70" s="11" t="s">
        <v>91</v>
      </c>
      <c r="E70" s="11" t="s">
        <v>68</v>
      </c>
      <c r="F70" s="11" t="s">
        <v>72</v>
      </c>
      <c r="G70" s="11"/>
      <c r="H70" s="11"/>
      <c r="I70" s="11"/>
      <c r="J70" t="s">
        <v>98</v>
      </c>
      <c r="K70" s="13">
        <f>(0.042-0.005)/0.4*100</f>
        <v>9.2500000000000018</v>
      </c>
      <c r="L70" s="11" t="s">
        <v>39</v>
      </c>
      <c r="N70" s="9" t="s">
        <v>110</v>
      </c>
    </row>
    <row r="71" spans="1:14" x14ac:dyDescent="0.25">
      <c r="A71" s="11" t="s">
        <v>73</v>
      </c>
      <c r="B71" s="11"/>
      <c r="C71" s="11"/>
      <c r="D71" s="11" t="s">
        <v>91</v>
      </c>
      <c r="E71" s="11" t="s">
        <v>68</v>
      </c>
      <c r="F71" s="11"/>
      <c r="G71" s="11"/>
      <c r="H71" s="11"/>
      <c r="I71" s="11"/>
      <c r="J71" t="s">
        <v>97</v>
      </c>
      <c r="K71" s="13">
        <f>100-K72</f>
        <v>93.25</v>
      </c>
      <c r="L71" s="11" t="s">
        <v>39</v>
      </c>
      <c r="M71" t="s">
        <v>84</v>
      </c>
      <c r="N71" s="9" t="s">
        <v>110</v>
      </c>
    </row>
    <row r="72" spans="1:14" x14ac:dyDescent="0.25">
      <c r="A72" s="11" t="s">
        <v>73</v>
      </c>
      <c r="B72" s="11"/>
      <c r="C72" s="11"/>
      <c r="D72" s="11" t="s">
        <v>91</v>
      </c>
      <c r="E72" s="11" t="s">
        <v>68</v>
      </c>
      <c r="F72" s="11" t="s">
        <v>72</v>
      </c>
      <c r="G72" s="11"/>
      <c r="H72" s="11"/>
      <c r="I72" s="11"/>
      <c r="J72" t="s">
        <v>98</v>
      </c>
      <c r="K72" s="13">
        <f>(0.042-0.015)/0.4*100</f>
        <v>6.75</v>
      </c>
      <c r="L72" s="11" t="s">
        <v>39</v>
      </c>
      <c r="N72" s="9" t="s">
        <v>110</v>
      </c>
    </row>
    <row r="73" spans="1:14" x14ac:dyDescent="0.25">
      <c r="A73" s="11" t="s">
        <v>75</v>
      </c>
      <c r="B73" s="11"/>
      <c r="C73" s="11"/>
      <c r="D73" s="11" t="s">
        <v>91</v>
      </c>
      <c r="E73" s="11" t="s">
        <v>68</v>
      </c>
      <c r="F73" s="11"/>
      <c r="G73" s="11"/>
      <c r="H73" s="11"/>
      <c r="I73" s="11"/>
      <c r="J73" t="s">
        <v>97</v>
      </c>
      <c r="K73" s="13">
        <f>100-K74</f>
        <v>93.25</v>
      </c>
      <c r="L73" s="11" t="s">
        <v>39</v>
      </c>
      <c r="M73" t="s">
        <v>85</v>
      </c>
      <c r="N73" s="9" t="s">
        <v>110</v>
      </c>
    </row>
    <row r="74" spans="1:14" x14ac:dyDescent="0.25">
      <c r="A74" s="11" t="s">
        <v>75</v>
      </c>
      <c r="B74" s="11"/>
      <c r="C74" s="11"/>
      <c r="D74" s="11" t="s">
        <v>91</v>
      </c>
      <c r="E74" s="11" t="s">
        <v>68</v>
      </c>
      <c r="F74" s="11" t="s">
        <v>72</v>
      </c>
      <c r="G74" s="11"/>
      <c r="H74" s="11"/>
      <c r="I74" s="11"/>
      <c r="J74" t="s">
        <v>98</v>
      </c>
      <c r="K74" s="13">
        <f>(0.042-0.015)/0.4*100</f>
        <v>6.75</v>
      </c>
      <c r="L74" s="11" t="s">
        <v>39</v>
      </c>
      <c r="N74" s="9" t="s">
        <v>110</v>
      </c>
    </row>
    <row r="75" spans="1:14" x14ac:dyDescent="0.25">
      <c r="A75" s="11" t="s">
        <v>76</v>
      </c>
      <c r="B75" s="11"/>
      <c r="C75" s="11"/>
      <c r="D75" s="11" t="s">
        <v>91</v>
      </c>
      <c r="E75" s="11" t="s">
        <v>68</v>
      </c>
      <c r="F75" s="11"/>
      <c r="G75" s="11"/>
      <c r="H75" s="11"/>
      <c r="I75" s="11"/>
      <c r="J75" t="s">
        <v>97</v>
      </c>
      <c r="K75" s="13">
        <f>(100-K76)*0.1</f>
        <v>9.3250000000000011</v>
      </c>
      <c r="L75" s="11" t="s">
        <v>39</v>
      </c>
      <c r="M75" t="s">
        <v>92</v>
      </c>
      <c r="N75" s="9" t="s">
        <v>110</v>
      </c>
    </row>
    <row r="76" spans="1:14" x14ac:dyDescent="0.25">
      <c r="A76" s="11" t="s">
        <v>76</v>
      </c>
      <c r="B76" s="11"/>
      <c r="C76" s="11"/>
      <c r="D76" s="11" t="s">
        <v>91</v>
      </c>
      <c r="E76" s="11" t="s">
        <v>68</v>
      </c>
      <c r="F76" s="11" t="s">
        <v>72</v>
      </c>
      <c r="G76" s="11"/>
      <c r="H76" s="11"/>
      <c r="I76" s="11"/>
      <c r="J76" t="s">
        <v>98</v>
      </c>
      <c r="K76" s="13">
        <f>(0.042-0.015)/0.4*100</f>
        <v>6.75</v>
      </c>
      <c r="L76" s="11" t="s">
        <v>39</v>
      </c>
      <c r="N76" s="9" t="s">
        <v>110</v>
      </c>
    </row>
    <row r="77" spans="1:14" x14ac:dyDescent="0.25">
      <c r="A77" s="11" t="s">
        <v>76</v>
      </c>
      <c r="B77" s="11"/>
      <c r="C77" s="11"/>
      <c r="D77" s="11" t="s">
        <v>91</v>
      </c>
      <c r="E77" s="11" t="s">
        <v>68</v>
      </c>
      <c r="F77" s="11" t="s">
        <v>82</v>
      </c>
      <c r="G77" s="11"/>
      <c r="H77" s="11"/>
      <c r="I77" s="11"/>
      <c r="J77" t="s">
        <v>98</v>
      </c>
      <c r="K77" s="13">
        <f>(100-K76)*0.9</f>
        <v>83.924999999999997</v>
      </c>
      <c r="L77" s="11" t="s">
        <v>39</v>
      </c>
      <c r="N77" s="9" t="s">
        <v>110</v>
      </c>
    </row>
    <row r="78" spans="1:14" x14ac:dyDescent="0.25">
      <c r="A78" s="11" t="s">
        <v>80</v>
      </c>
      <c r="B78" s="11"/>
      <c r="C78" s="11"/>
      <c r="D78" s="11" t="s">
        <v>91</v>
      </c>
      <c r="E78" s="11" t="s">
        <v>72</v>
      </c>
      <c r="F78" s="11"/>
      <c r="G78" s="11"/>
      <c r="H78" s="11"/>
      <c r="I78" s="11"/>
      <c r="J78" t="s">
        <v>97</v>
      </c>
      <c r="K78" s="11">
        <f>1/(0.1/0.4)*100</f>
        <v>400</v>
      </c>
      <c r="L78" s="11" t="s">
        <v>39</v>
      </c>
      <c r="M78" t="s">
        <v>90</v>
      </c>
      <c r="N78" s="9" t="s">
        <v>110</v>
      </c>
    </row>
    <row r="79" spans="1:14" x14ac:dyDescent="0.25">
      <c r="A79" s="12" t="s">
        <v>81</v>
      </c>
      <c r="B79" s="11"/>
      <c r="C79" s="11"/>
      <c r="D79" s="11" t="s">
        <v>91</v>
      </c>
      <c r="E79" s="11" t="s">
        <v>72</v>
      </c>
      <c r="F79" s="11"/>
      <c r="G79" s="11"/>
      <c r="H79" s="11"/>
      <c r="I79" s="11"/>
      <c r="J79" t="s">
        <v>97</v>
      </c>
      <c r="K79" s="13">
        <f>1/(0.12/0.4)*100</f>
        <v>333.33333333333337</v>
      </c>
      <c r="L79" s="11" t="s">
        <v>39</v>
      </c>
      <c r="M79" t="s">
        <v>86</v>
      </c>
      <c r="N79" s="9" t="s">
        <v>110</v>
      </c>
    </row>
    <row r="80" spans="1:14" x14ac:dyDescent="0.25">
      <c r="A80" s="11" t="s">
        <v>78</v>
      </c>
      <c r="B80" s="11"/>
      <c r="C80" s="11"/>
      <c r="D80" s="11" t="s">
        <v>91</v>
      </c>
      <c r="E80" s="11" t="s">
        <v>72</v>
      </c>
      <c r="F80" s="11"/>
      <c r="G80" s="11"/>
      <c r="H80" s="11"/>
      <c r="I80" s="11"/>
      <c r="J80" t="s">
        <v>97</v>
      </c>
      <c r="K80" s="13">
        <f>1/(0.13/0.4)*100</f>
        <v>307.69230769230768</v>
      </c>
      <c r="L80" s="11" t="s">
        <v>39</v>
      </c>
      <c r="M80" t="s">
        <v>87</v>
      </c>
      <c r="N80" s="9" t="s">
        <v>110</v>
      </c>
    </row>
    <row r="81" spans="1:14" x14ac:dyDescent="0.25">
      <c r="A81" s="11" t="s">
        <v>79</v>
      </c>
      <c r="B81" s="11"/>
      <c r="C81" s="11"/>
      <c r="D81" s="11" t="s">
        <v>91</v>
      </c>
      <c r="E81" s="11" t="s">
        <v>72</v>
      </c>
      <c r="F81" s="11"/>
      <c r="G81" s="11"/>
      <c r="H81" s="11"/>
      <c r="I81" s="11"/>
      <c r="J81" t="s">
        <v>97</v>
      </c>
      <c r="K81" s="11">
        <f>1/(0.4/0.4)*100</f>
        <v>100</v>
      </c>
      <c r="L81" s="11" t="s">
        <v>39</v>
      </c>
      <c r="M81" t="s">
        <v>88</v>
      </c>
      <c r="N81" s="9" t="s">
        <v>110</v>
      </c>
    </row>
    <row r="82" spans="1:14" x14ac:dyDescent="0.25">
      <c r="A82" s="11" t="s">
        <v>77</v>
      </c>
      <c r="B82" s="11"/>
      <c r="C82" s="11"/>
      <c r="D82" s="11" t="s">
        <v>91</v>
      </c>
      <c r="E82" s="11" t="s">
        <v>72</v>
      </c>
      <c r="F82" s="11"/>
      <c r="G82" s="11"/>
      <c r="H82" s="11"/>
      <c r="I82" s="11"/>
      <c r="J82" t="s">
        <v>97</v>
      </c>
      <c r="K82" s="13">
        <f>1/((0.4-0.8)/(0.01-0.4)+1)*100</f>
        <v>49.367088607594937</v>
      </c>
      <c r="L82" s="11" t="s">
        <v>39</v>
      </c>
      <c r="M82" t="s">
        <v>89</v>
      </c>
      <c r="N82" s="9" t="s">
        <v>110</v>
      </c>
    </row>
    <row r="83" spans="1:14" x14ac:dyDescent="0.25">
      <c r="A83" s="11" t="s">
        <v>77</v>
      </c>
      <c r="B83" s="9"/>
      <c r="C83" s="9"/>
      <c r="D83" s="11" t="s">
        <v>91</v>
      </c>
      <c r="E83" s="11" t="s">
        <v>72</v>
      </c>
      <c r="F83" s="11" t="s">
        <v>94</v>
      </c>
      <c r="G83" s="9"/>
      <c r="H83" s="9"/>
      <c r="I83" s="9"/>
      <c r="J83" t="s">
        <v>98</v>
      </c>
      <c r="K83" s="15">
        <f>1/((0.01-0.4)/(0.4-0.8)+1)*100</f>
        <v>50.632911392405056</v>
      </c>
      <c r="L83" s="11" t="s">
        <v>39</v>
      </c>
      <c r="M83" s="9" t="s">
        <v>95</v>
      </c>
      <c r="N83" s="9" t="s">
        <v>110</v>
      </c>
    </row>
    <row r="84" spans="1:14" x14ac:dyDescent="0.25">
      <c r="A84" s="9" t="s">
        <v>60</v>
      </c>
      <c r="B84" s="9"/>
      <c r="C84" s="9"/>
      <c r="D84" s="9" t="s">
        <v>63</v>
      </c>
      <c r="E84" s="9" t="s">
        <v>61</v>
      </c>
      <c r="F84" s="9"/>
      <c r="G84" s="9"/>
      <c r="H84" s="9"/>
      <c r="I84" s="9"/>
      <c r="J84" t="s">
        <v>97</v>
      </c>
      <c r="K84" s="10">
        <v>73</v>
      </c>
      <c r="L84" s="9" t="s">
        <v>39</v>
      </c>
      <c r="M84" s="9"/>
      <c r="N84" s="9" t="s">
        <v>109</v>
      </c>
    </row>
    <row r="85" spans="1:14" x14ac:dyDescent="0.25">
      <c r="A85" s="9" t="s">
        <v>60</v>
      </c>
      <c r="B85" s="9"/>
      <c r="C85" s="9"/>
      <c r="D85" s="9" t="s">
        <v>63</v>
      </c>
      <c r="E85" s="9" t="s">
        <v>61</v>
      </c>
      <c r="F85" s="9" t="s">
        <v>64</v>
      </c>
      <c r="G85" s="9"/>
      <c r="H85" s="9"/>
      <c r="I85" s="9"/>
      <c r="J85" t="s">
        <v>98</v>
      </c>
      <c r="K85" s="17">
        <f>(1/0.76)*4</f>
        <v>5.2631578947368425</v>
      </c>
      <c r="L85" s="9" t="s">
        <v>39</v>
      </c>
      <c r="M85" s="10" t="s">
        <v>114</v>
      </c>
      <c r="N85" s="9" t="s">
        <v>109</v>
      </c>
    </row>
    <row r="86" spans="1:14" x14ac:dyDescent="0.25">
      <c r="A86" s="9" t="s">
        <v>60</v>
      </c>
      <c r="B86" s="9"/>
      <c r="C86" s="9"/>
      <c r="D86" s="9" t="s">
        <v>63</v>
      </c>
      <c r="E86" s="9" t="s">
        <v>61</v>
      </c>
      <c r="F86" s="9" t="s">
        <v>116</v>
      </c>
      <c r="G86" s="9"/>
      <c r="H86" s="9"/>
      <c r="I86" s="9"/>
      <c r="J86" t="s">
        <v>98</v>
      </c>
      <c r="K86" s="17">
        <f>(1/0.76)*6</f>
        <v>7.8947368421052637</v>
      </c>
      <c r="L86" s="9" t="s">
        <v>39</v>
      </c>
      <c r="M86" s="10" t="s">
        <v>114</v>
      </c>
      <c r="N86" s="9" t="s">
        <v>109</v>
      </c>
    </row>
    <row r="87" spans="1:14" x14ac:dyDescent="0.25">
      <c r="A87" s="9" t="s">
        <v>60</v>
      </c>
      <c r="B87" s="9"/>
      <c r="C87" s="9"/>
      <c r="D87" s="9" t="s">
        <v>63</v>
      </c>
      <c r="E87" s="9" t="s">
        <v>61</v>
      </c>
      <c r="F87" s="9" t="s">
        <v>65</v>
      </c>
      <c r="G87" s="9"/>
      <c r="H87" s="9"/>
      <c r="I87" s="9"/>
      <c r="J87" t="s">
        <v>98</v>
      </c>
      <c r="K87" s="17">
        <f>(1/0.76)*5</f>
        <v>6.5789473684210531</v>
      </c>
      <c r="L87" s="9" t="s">
        <v>39</v>
      </c>
      <c r="M87" s="10" t="s">
        <v>114</v>
      </c>
      <c r="N87" s="9" t="s">
        <v>109</v>
      </c>
    </row>
    <row r="88" spans="1:14" x14ac:dyDescent="0.25">
      <c r="A88" s="9" t="s">
        <v>60</v>
      </c>
      <c r="B88" s="9"/>
      <c r="C88" s="9"/>
      <c r="D88" s="9" t="s">
        <v>63</v>
      </c>
      <c r="E88" s="9" t="s">
        <v>61</v>
      </c>
      <c r="F88" s="9" t="s">
        <v>66</v>
      </c>
      <c r="G88" s="9"/>
      <c r="H88" s="9"/>
      <c r="I88" s="9"/>
      <c r="J88" t="s">
        <v>98</v>
      </c>
      <c r="K88" s="10">
        <v>18</v>
      </c>
      <c r="L88" s="9" t="s">
        <v>39</v>
      </c>
      <c r="M88" s="9"/>
      <c r="N88" s="9" t="s">
        <v>109</v>
      </c>
    </row>
    <row r="89" spans="1:14" x14ac:dyDescent="0.25">
      <c r="A89" t="s">
        <v>113</v>
      </c>
      <c r="B89" s="9"/>
      <c r="C89" s="9"/>
      <c r="D89" s="10" t="s">
        <v>91</v>
      </c>
      <c r="E89" s="10" t="s">
        <v>61</v>
      </c>
      <c r="F89" s="9"/>
      <c r="G89" s="9"/>
      <c r="H89" s="9"/>
      <c r="I89" s="9"/>
      <c r="J89" t="s">
        <v>97</v>
      </c>
      <c r="K89" s="10">
        <v>71</v>
      </c>
      <c r="L89" s="10" t="s">
        <v>39</v>
      </c>
      <c r="M89" s="9"/>
      <c r="N89" s="9" t="s">
        <v>109</v>
      </c>
    </row>
    <row r="90" spans="1:14" x14ac:dyDescent="0.25">
      <c r="A90" t="s">
        <v>113</v>
      </c>
      <c r="B90" s="9"/>
      <c r="C90" s="9"/>
      <c r="D90" s="10" t="s">
        <v>91</v>
      </c>
      <c r="E90" s="10" t="s">
        <v>61</v>
      </c>
      <c r="F90" s="10" t="s">
        <v>64</v>
      </c>
      <c r="G90" s="9"/>
      <c r="H90" s="9"/>
      <c r="I90" s="9"/>
      <c r="J90" t="s">
        <v>98</v>
      </c>
      <c r="K90" s="17">
        <f>(1/0.52)*7</f>
        <v>13.46153846153846</v>
      </c>
      <c r="L90" s="10" t="s">
        <v>39</v>
      </c>
      <c r="M90" s="10" t="s">
        <v>115</v>
      </c>
      <c r="N90" s="9"/>
    </row>
    <row r="91" spans="1:14" x14ac:dyDescent="0.25">
      <c r="A91" t="s">
        <v>113</v>
      </c>
      <c r="B91" s="9"/>
      <c r="C91" s="9"/>
      <c r="D91" s="10" t="s">
        <v>91</v>
      </c>
      <c r="E91" s="10" t="s">
        <v>61</v>
      </c>
      <c r="F91" s="9" t="s">
        <v>116</v>
      </c>
      <c r="G91" s="9"/>
      <c r="H91" s="9"/>
      <c r="I91" s="9"/>
      <c r="J91" t="s">
        <v>98</v>
      </c>
      <c r="K91" s="17">
        <f>(1/0.52)*3</f>
        <v>5.7692307692307683</v>
      </c>
      <c r="L91" s="10" t="s">
        <v>39</v>
      </c>
      <c r="M91" s="10" t="s">
        <v>115</v>
      </c>
      <c r="N91" s="9"/>
    </row>
    <row r="92" spans="1:14" x14ac:dyDescent="0.25">
      <c r="A92" t="s">
        <v>113</v>
      </c>
      <c r="B92" s="9"/>
      <c r="C92" s="9"/>
      <c r="D92" s="10" t="s">
        <v>91</v>
      </c>
      <c r="E92" s="10" t="s">
        <v>61</v>
      </c>
      <c r="F92" s="10" t="s">
        <v>65</v>
      </c>
      <c r="G92" s="9"/>
      <c r="H92" s="9"/>
      <c r="I92" s="9"/>
      <c r="J92" t="s">
        <v>98</v>
      </c>
      <c r="K92" s="17">
        <f>(1/0.52)*6</f>
        <v>11.538461538461537</v>
      </c>
      <c r="L92" s="10" t="s">
        <v>39</v>
      </c>
      <c r="M92" s="10" t="s">
        <v>115</v>
      </c>
      <c r="N92" s="9"/>
    </row>
    <row r="93" spans="1:14" x14ac:dyDescent="0.25">
      <c r="A93" t="s">
        <v>113</v>
      </c>
      <c r="B93" s="9"/>
      <c r="C93" s="9"/>
      <c r="D93" s="10" t="s">
        <v>91</v>
      </c>
      <c r="E93" s="10" t="s">
        <v>61</v>
      </c>
      <c r="F93" s="9" t="s">
        <v>66</v>
      </c>
      <c r="G93" s="9"/>
      <c r="H93" s="9"/>
      <c r="I93" s="9"/>
      <c r="J93" t="s">
        <v>98</v>
      </c>
      <c r="K93" s="10">
        <v>12</v>
      </c>
      <c r="L93" s="10" t="s">
        <v>39</v>
      </c>
      <c r="M93" s="9"/>
      <c r="N93" s="9"/>
    </row>
    <row r="94" spans="1:14" x14ac:dyDescent="0.2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9"/>
      <c r="M94" s="9"/>
      <c r="N94" s="9"/>
    </row>
    <row r="95" spans="1:14" x14ac:dyDescent="0.25">
      <c r="A95" s="3" t="s">
        <v>40</v>
      </c>
      <c r="B95" s="3"/>
      <c r="C95" s="3"/>
      <c r="D95" s="3"/>
      <c r="E95" s="3"/>
      <c r="F95" s="3"/>
      <c r="G95" s="3"/>
      <c r="H95" s="3"/>
      <c r="I95" s="3"/>
      <c r="J95" s="4"/>
      <c r="K95" s="4"/>
      <c r="L95" s="4"/>
      <c r="M95" s="4"/>
      <c r="N95" s="4"/>
    </row>
    <row r="96" spans="1:14" x14ac:dyDescent="0.25">
      <c r="J96" s="8" t="s">
        <v>41</v>
      </c>
      <c r="K96" s="8">
        <v>100</v>
      </c>
      <c r="L96" s="8" t="s">
        <v>39</v>
      </c>
      <c r="M96" s="8" t="s">
        <v>46</v>
      </c>
    </row>
    <row r="97" spans="1:12" x14ac:dyDescent="0.25">
      <c r="A97" t="s">
        <v>35</v>
      </c>
      <c r="J97" t="s">
        <v>41</v>
      </c>
      <c r="K97">
        <v>22</v>
      </c>
      <c r="L97" t="s">
        <v>39</v>
      </c>
    </row>
    <row r="98" spans="1:12" x14ac:dyDescent="0.25">
      <c r="A98" t="s">
        <v>44</v>
      </c>
      <c r="J98" t="s">
        <v>41</v>
      </c>
      <c r="K98">
        <v>100</v>
      </c>
      <c r="L98" t="s">
        <v>39</v>
      </c>
    </row>
    <row r="99" spans="1:12" x14ac:dyDescent="0.25">
      <c r="A99" t="s">
        <v>51</v>
      </c>
      <c r="J99" t="s">
        <v>41</v>
      </c>
      <c r="K99">
        <v>4</v>
      </c>
      <c r="L99" t="s">
        <v>39</v>
      </c>
    </row>
    <row r="100" spans="1:12" x14ac:dyDescent="0.25">
      <c r="A100" t="s">
        <v>105</v>
      </c>
      <c r="J100" t="s">
        <v>41</v>
      </c>
      <c r="K100">
        <v>100</v>
      </c>
      <c r="L100" t="s">
        <v>39</v>
      </c>
    </row>
    <row r="101" spans="1:12" x14ac:dyDescent="0.25">
      <c r="A101" t="s">
        <v>104</v>
      </c>
      <c r="J101" t="s">
        <v>41</v>
      </c>
      <c r="K101">
        <v>8</v>
      </c>
      <c r="L101" t="s">
        <v>39</v>
      </c>
    </row>
    <row r="102" spans="1:12" x14ac:dyDescent="0.25">
      <c r="A102" t="s">
        <v>103</v>
      </c>
      <c r="J102" t="s">
        <v>41</v>
      </c>
      <c r="K102">
        <v>1</v>
      </c>
      <c r="L102" t="s">
        <v>39</v>
      </c>
    </row>
    <row r="103" spans="1:12" x14ac:dyDescent="0.25">
      <c r="A103" t="s">
        <v>102</v>
      </c>
      <c r="J103" t="s">
        <v>41</v>
      </c>
      <c r="K103" s="7">
        <v>22</v>
      </c>
      <c r="L103" s="7" t="s">
        <v>39</v>
      </c>
    </row>
    <row r="104" spans="1:12" x14ac:dyDescent="0.25">
      <c r="A104" s="7" t="s">
        <v>74</v>
      </c>
      <c r="J104" t="s">
        <v>41</v>
      </c>
      <c r="K104" s="14">
        <f>8.5*20/(29.5+8.5)</f>
        <v>4.4736842105263159</v>
      </c>
      <c r="L104" t="s">
        <v>39</v>
      </c>
    </row>
    <row r="105" spans="1:12" x14ac:dyDescent="0.25">
      <c r="A105" s="7" t="s">
        <v>73</v>
      </c>
      <c r="J105" t="s">
        <v>41</v>
      </c>
      <c r="K105" s="14">
        <f>(80.7*0+14.4*20+0.3*5*0)/(80.7+14.4+0.3*5)</f>
        <v>2.981366459627329</v>
      </c>
      <c r="L105" t="s">
        <v>39</v>
      </c>
    </row>
    <row r="106" spans="1:12" x14ac:dyDescent="0.25">
      <c r="A106" s="7" t="s">
        <v>75</v>
      </c>
      <c r="J106" t="s">
        <v>41</v>
      </c>
      <c r="K106" s="14">
        <f>(45.6*0+44.1*20+1.3*5*0+1.8*10*0)/(45.6+44.1+1.3*5+1.8*10)</f>
        <v>7.723292469352014</v>
      </c>
      <c r="L106" t="s">
        <v>39</v>
      </c>
    </row>
    <row r="107" spans="1:12" x14ac:dyDescent="0.25">
      <c r="A107" s="7" t="s">
        <v>76</v>
      </c>
      <c r="J107" t="s">
        <v>41</v>
      </c>
      <c r="K107">
        <f>60</f>
        <v>60</v>
      </c>
      <c r="L107" t="s">
        <v>39</v>
      </c>
    </row>
    <row r="108" spans="1:12" x14ac:dyDescent="0.25">
      <c r="A108" s="7" t="s">
        <v>80</v>
      </c>
      <c r="J108" t="s">
        <v>41</v>
      </c>
      <c r="K108">
        <v>0</v>
      </c>
      <c r="L108" t="s">
        <v>39</v>
      </c>
    </row>
    <row r="109" spans="1:12" x14ac:dyDescent="0.25">
      <c r="A109" s="7" t="s">
        <v>81</v>
      </c>
      <c r="J109" t="s">
        <v>41</v>
      </c>
      <c r="K109">
        <v>20</v>
      </c>
      <c r="L109" t="s">
        <v>39</v>
      </c>
    </row>
    <row r="110" spans="1:12" x14ac:dyDescent="0.25">
      <c r="A110" s="7" t="s">
        <v>78</v>
      </c>
      <c r="J110" t="s">
        <v>41</v>
      </c>
      <c r="K110">
        <v>20</v>
      </c>
      <c r="L110" t="s">
        <v>39</v>
      </c>
    </row>
    <row r="111" spans="1:12" x14ac:dyDescent="0.25">
      <c r="A111" s="7" t="s">
        <v>79</v>
      </c>
      <c r="J111" t="s">
        <v>41</v>
      </c>
      <c r="K111">
        <v>20</v>
      </c>
      <c r="L111" t="s">
        <v>39</v>
      </c>
    </row>
    <row r="112" spans="1:12" x14ac:dyDescent="0.25">
      <c r="A112" s="7" t="s">
        <v>77</v>
      </c>
      <c r="J112" t="s">
        <v>41</v>
      </c>
      <c r="K112">
        <f>43</f>
        <v>43</v>
      </c>
      <c r="L112" t="s">
        <v>39</v>
      </c>
    </row>
    <row r="113" spans="1:14" x14ac:dyDescent="0.25">
      <c r="A113" t="s">
        <v>60</v>
      </c>
      <c r="J113" t="s">
        <v>41</v>
      </c>
      <c r="K113">
        <v>36</v>
      </c>
      <c r="L113" t="s">
        <v>39</v>
      </c>
    </row>
    <row r="114" spans="1:14" x14ac:dyDescent="0.25">
      <c r="A114" t="s">
        <v>113</v>
      </c>
      <c r="J114" t="s">
        <v>41</v>
      </c>
      <c r="K114" s="7">
        <v>40</v>
      </c>
      <c r="L114" t="s">
        <v>39</v>
      </c>
      <c r="M114" t="s">
        <v>119</v>
      </c>
    </row>
    <row r="117" spans="1:14" x14ac:dyDescent="0.25">
      <c r="A117" s="3" t="s">
        <v>50</v>
      </c>
      <c r="B117" s="3"/>
      <c r="C117" s="3"/>
      <c r="D117" s="3"/>
      <c r="E117" s="3"/>
      <c r="F117" s="3"/>
      <c r="G117" s="3"/>
      <c r="H117" s="3"/>
      <c r="I117" s="3"/>
      <c r="J117" s="4"/>
      <c r="K117" s="4"/>
      <c r="L117" s="4"/>
      <c r="M117" s="4"/>
      <c r="N117" s="4"/>
    </row>
    <row r="118" spans="1:14" x14ac:dyDescent="0.25">
      <c r="G118" s="8"/>
      <c r="H118" s="8" t="s">
        <v>47</v>
      </c>
      <c r="I118" s="8"/>
      <c r="J118" s="8" t="s">
        <v>42</v>
      </c>
      <c r="K118" s="8">
        <v>-100</v>
      </c>
      <c r="L118" s="8" t="s">
        <v>48</v>
      </c>
      <c r="M118" s="8" t="s">
        <v>99</v>
      </c>
    </row>
    <row r="119" spans="1:14" x14ac:dyDescent="0.25">
      <c r="G119" s="8"/>
      <c r="H119" s="8" t="s">
        <v>45</v>
      </c>
      <c r="I119" s="8"/>
      <c r="J119" s="8" t="s">
        <v>42</v>
      </c>
      <c r="K119" s="8">
        <v>0</v>
      </c>
      <c r="L119" s="8" t="s">
        <v>39</v>
      </c>
      <c r="M119" s="8" t="s">
        <v>46</v>
      </c>
    </row>
    <row r="120" spans="1:14" x14ac:dyDescent="0.25">
      <c r="A120" t="s">
        <v>35</v>
      </c>
      <c r="G120" t="s">
        <v>100</v>
      </c>
      <c r="H120" t="s">
        <v>45</v>
      </c>
      <c r="J120" t="s">
        <v>42</v>
      </c>
      <c r="K120" s="18">
        <v>5.3</v>
      </c>
      <c r="L120" t="s">
        <v>39</v>
      </c>
      <c r="N120" t="s">
        <v>118</v>
      </c>
    </row>
    <row r="121" spans="1:14" x14ac:dyDescent="0.25">
      <c r="A121" t="s">
        <v>51</v>
      </c>
      <c r="G121" t="s">
        <v>100</v>
      </c>
      <c r="H121" t="s">
        <v>45</v>
      </c>
      <c r="J121" t="s">
        <v>42</v>
      </c>
      <c r="K121" s="18">
        <v>4.9000000000000004</v>
      </c>
      <c r="L121" t="s">
        <v>39</v>
      </c>
      <c r="N121" t="s">
        <v>118</v>
      </c>
    </row>
    <row r="122" spans="1:14" x14ac:dyDescent="0.25">
      <c r="A122" t="s">
        <v>104</v>
      </c>
      <c r="G122" t="s">
        <v>100</v>
      </c>
      <c r="H122" t="s">
        <v>45</v>
      </c>
      <c r="J122" t="s">
        <v>42</v>
      </c>
      <c r="K122" s="18">
        <v>12.7</v>
      </c>
      <c r="L122" t="s">
        <v>39</v>
      </c>
      <c r="N122" t="s">
        <v>118</v>
      </c>
    </row>
    <row r="123" spans="1:14" x14ac:dyDescent="0.25">
      <c r="A123" t="s">
        <v>103</v>
      </c>
      <c r="G123" t="s">
        <v>100</v>
      </c>
      <c r="H123" t="s">
        <v>45</v>
      </c>
      <c r="J123" t="s">
        <v>42</v>
      </c>
      <c r="K123" s="18">
        <v>15.7</v>
      </c>
      <c r="L123" t="s">
        <v>39</v>
      </c>
      <c r="N123" t="s">
        <v>118</v>
      </c>
    </row>
    <row r="124" spans="1:14" x14ac:dyDescent="0.25">
      <c r="A124" t="s">
        <v>102</v>
      </c>
      <c r="G124" t="s">
        <v>100</v>
      </c>
      <c r="H124" t="s">
        <v>45</v>
      </c>
      <c r="J124" t="s">
        <v>42</v>
      </c>
      <c r="K124" s="7">
        <v>10</v>
      </c>
      <c r="L124" t="s">
        <v>39</v>
      </c>
    </row>
    <row r="125" spans="1:14" x14ac:dyDescent="0.25">
      <c r="A125" s="7"/>
      <c r="B125" t="s">
        <v>93</v>
      </c>
      <c r="G125" t="s">
        <v>100</v>
      </c>
      <c r="H125" t="s">
        <v>45</v>
      </c>
      <c r="J125" t="s">
        <v>42</v>
      </c>
      <c r="K125" s="16">
        <v>17</v>
      </c>
      <c r="L125" t="s">
        <v>39</v>
      </c>
      <c r="M125" t="s">
        <v>112</v>
      </c>
      <c r="N125" t="s">
        <v>111</v>
      </c>
    </row>
    <row r="126" spans="1:14" x14ac:dyDescent="0.25">
      <c r="A126" t="s">
        <v>60</v>
      </c>
      <c r="G126" t="s">
        <v>100</v>
      </c>
      <c r="H126" t="s">
        <v>45</v>
      </c>
      <c r="J126" t="s">
        <v>42</v>
      </c>
      <c r="K126" s="7">
        <v>2.4</v>
      </c>
      <c r="L126" t="s">
        <v>39</v>
      </c>
    </row>
    <row r="127" spans="1:14" x14ac:dyDescent="0.25">
      <c r="A127" t="s">
        <v>113</v>
      </c>
      <c r="G127" t="s">
        <v>100</v>
      </c>
      <c r="H127" t="s">
        <v>45</v>
      </c>
      <c r="J127" t="s">
        <v>42</v>
      </c>
      <c r="K127">
        <v>15.4</v>
      </c>
      <c r="L127" t="s">
        <v>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relations</vt:lpstr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2023-04-28T14:03:42Z</dcterms:modified>
</cp:coreProperties>
</file>