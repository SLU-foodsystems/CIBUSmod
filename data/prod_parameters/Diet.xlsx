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heet1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3" i="1" l="1"/>
  <c r="K188" i="1" l="1"/>
  <c r="K186" i="1"/>
  <c r="K184" i="1"/>
  <c r="K181" i="1"/>
  <c r="K178" i="1"/>
  <c r="K53" i="1" l="1"/>
  <c r="K55" i="1" l="1"/>
  <c r="K54" i="1"/>
  <c r="K167" i="1" l="1"/>
  <c r="K168" i="1" s="1"/>
  <c r="K159" i="1" l="1"/>
  <c r="K158" i="1"/>
  <c r="K157" i="1"/>
  <c r="K207" i="1"/>
  <c r="K206" i="1"/>
  <c r="K208" i="1" l="1"/>
  <c r="K213" i="1"/>
  <c r="K84" i="1"/>
  <c r="K37" i="1"/>
  <c r="K38" i="1"/>
  <c r="K149" i="1" l="1"/>
  <c r="K148" i="1"/>
  <c r="K136" i="1"/>
  <c r="K205" i="1"/>
  <c r="K36" i="1"/>
  <c r="K147" i="1" l="1"/>
  <c r="K146" i="1"/>
  <c r="K145" i="1"/>
  <c r="K144" i="1"/>
  <c r="K142" i="1" l="1"/>
  <c r="K143" i="1" s="1"/>
  <c r="K140" i="1"/>
  <c r="K139" i="1" s="1"/>
  <c r="K138" i="1"/>
  <c r="K137" i="1" s="1"/>
  <c r="K135" i="1"/>
  <c r="K141" i="1" l="1"/>
  <c r="K154" i="1"/>
  <c r="K153" i="1"/>
  <c r="K152" i="1"/>
  <c r="K3" i="1" l="1"/>
</calcChain>
</file>

<file path=xl/sharedStrings.xml><?xml version="1.0" encoding="utf-8"?>
<sst xmlns="http://schemas.openxmlformats.org/spreadsheetml/2006/main" count="1001" uniqueCount="222">
  <si>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</si>
  <si>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</si>
  <si>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</si>
  <si>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</si>
  <si>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</si>
  <si>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</si>
  <si>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</si>
  <si>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</si>
  <si>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</si>
  <si>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</si>
  <si>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</si>
  <si>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</si>
  <si>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</si>
  <si>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</si>
  <si>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</si>
  <si>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</si>
  <si>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</si>
  <si>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</si>
  <si>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</si>
  <si>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</si>
  <si>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</si>
  <si>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</si>
  <si>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</si>
  <si>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</si>
  <si>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</si>
  <si>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</si>
  <si>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</si>
  <si>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</si>
  <si>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</si>
  <si>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</si>
  <si>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</si>
  <si>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</si>
  <si>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</si>
  <si>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</si>
  <si>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</si>
  <si>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</si>
  <si>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</si>
  <si>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</si>
  <si>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</si>
  <si>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</si>
  <si>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</si>
  <si>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</si>
  <si>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</si>
  <si>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</si>
  <si>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</si>
  <si>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</si>
  <si>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</si>
  <si>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</si>
  <si>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</si>
  <si>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</si>
  <si>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</si>
  <si>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</si>
  <si>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</si>
  <si>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</si>
  <si>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</si>
  <si>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</si>
  <si>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</si>
  <si>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</si>
  <si>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</si>
  <si>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</si>
  <si>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</si>
  <si>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</si>
  <si>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</si>
  <si>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</si>
  <si>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</si>
  <si>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</si>
  <si>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</si>
  <si>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</si>
  <si>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</si>
  <si>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</si>
  <si>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</si>
  <si>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</si>
  <si>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</si>
  <si>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</si>
  <si>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</si>
  <si>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</si>
  <si>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</si>
  <si>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</si>
  <si>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</si>
  <si>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</si>
  <si>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</si>
  <si>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</si>
  <si>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</si>
  <si>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</si>
  <si>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</si>
  <si>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</si>
  <si>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</si>
  <si>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</si>
  <si>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</si>
  <si>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</si>
  <si>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</si>
  <si>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</si>
  <si>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</si>
  <si>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</si>
  <si>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</si>
  <si>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</si>
  <si>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</si>
  <si>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</si>
  <si>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</si>
  <si>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</si>
  <si>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</si>
  <si>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</si>
  <si>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</si>
  <si>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</si>
  <si>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</si>
  <si>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</si>
  <si>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</si>
  <si>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</si>
  <si>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</si>
  <si>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</si>
  <si>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</si>
  <si>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</si>
  <si>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</si>
  <si>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</si>
  <si>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</si>
  <si>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</si>
  <si>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</si>
  <si>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</si>
  <si>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</si>
  <si>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</si>
  <si>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</si>
  <si>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</si>
  <si>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</si>
  <si>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</si>
  <si>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</si>
  <si>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</si>
  <si>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</si>
  <si>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</si>
  <si>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</si>
  <si>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</si>
  <si>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</si>
  <si>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</si>
  <si>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</si>
  <si>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</si>
  <si>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</si>
  <si>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</si>
  <si>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</si>
  <si>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</si>
  <si>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</si>
  <si>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</si>
  <si>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</si>
  <si>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</si>
  <si>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</si>
  <si>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</si>
  <si>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</si>
  <si>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</si>
  <si>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</si>
  <si>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</si>
  <si>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</si>
  <si>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</si>
  <si>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</si>
  <si>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</si>
  <si>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</si>
  <si>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</si>
  <si>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</si>
  <si>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</si>
  <si>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</si>
  <si>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</si>
  <si>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</si>
  <si>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</si>
  <si>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</si>
  <si>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</si>
  <si>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</si>
  <si>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</si>
  <si>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</si>
  <si>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</si>
  <si>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</si>
  <si>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</si>
  <si>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</si>
  <si>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</si>
  <si>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</si>
  <si>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</si>
  <si>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</si>
  <si>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</si>
  <si>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</si>
  <si>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</si>
  <si>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</si>
  <si>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</si>
  <si>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</si>
  <si>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</si>
  <si>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</si>
  <si>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</si>
  <si>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</si>
  <si>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</si>
  <si>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</si>
  <si>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</si>
  <si>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</si>
  <si>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</si>
  <si>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</si>
  <si>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</si>
  <si>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add protein by-prod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</si>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</sst>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1"/>
  <sheetViews>
    <sheetView tabSelected="1" topLeftCell="B1" zoomScale="80" zoomScaleNormal="80" zoomScaleSheetLayoutView="80" workbookViewId="0">
      <pane ySplit="1" topLeftCell="A150" activePane="bottomLeft" state="frozen"/>
      <selection pane="bottomLeft" activeCell="J176" sqref="J176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195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200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196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201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197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202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198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203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199</v>
      </c>
      <c r="B17" t="s">
        <v>26</v>
      </c>
      <c r="J17" t="s">
        <v>18</v>
      </c>
      <c r="K17" s="7">
        <v>0.5</v>
      </c>
      <c r="L17" t="s">
        <v>19</v>
      </c>
      <c r="M17" s="7" t="s">
        <v>204</v>
      </c>
    </row>
    <row r="18" spans="1:14" x14ac:dyDescent="0.25">
      <c r="A18" s="7" t="s">
        <v>205</v>
      </c>
      <c r="B18" t="s">
        <v>26</v>
      </c>
      <c r="J18" t="s">
        <v>18</v>
      </c>
      <c r="K18" s="7">
        <v>0</v>
      </c>
      <c r="L18" t="s">
        <v>19</v>
      </c>
      <c r="M18" s="7" t="s">
        <v>204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7" t="s">
        <v>105</v>
      </c>
      <c r="B20" t="s">
        <v>110</v>
      </c>
      <c r="J20" t="s">
        <v>18</v>
      </c>
      <c r="K20">
        <v>108.1</v>
      </c>
      <c r="L20" t="s">
        <v>19</v>
      </c>
    </row>
    <row r="21" spans="1:14" x14ac:dyDescent="0.25">
      <c r="A21" s="7" t="s">
        <v>106</v>
      </c>
      <c r="B21" t="s">
        <v>110</v>
      </c>
      <c r="J21" t="s">
        <v>18</v>
      </c>
      <c r="K21">
        <v>24.1</v>
      </c>
      <c r="L21" t="s">
        <v>19</v>
      </c>
    </row>
    <row r="22" spans="1:14" x14ac:dyDescent="0.25">
      <c r="A22" s="7" t="s">
        <v>108</v>
      </c>
      <c r="B22" t="s">
        <v>110</v>
      </c>
      <c r="J22" t="s">
        <v>18</v>
      </c>
      <c r="K22">
        <v>0.9</v>
      </c>
      <c r="L22" t="s">
        <v>19</v>
      </c>
      <c r="M22" t="s">
        <v>109</v>
      </c>
    </row>
    <row r="23" spans="1:14" x14ac:dyDescent="0.25">
      <c r="A23" s="18" t="s">
        <v>107</v>
      </c>
      <c r="B23" t="s">
        <v>110</v>
      </c>
      <c r="J23" t="s">
        <v>18</v>
      </c>
      <c r="K23">
        <v>0.3</v>
      </c>
      <c r="L23" t="s">
        <v>19</v>
      </c>
    </row>
    <row r="24" spans="1:14" x14ac:dyDescent="0.25">
      <c r="A24" s="5" t="s">
        <v>12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149</v>
      </c>
      <c r="B25" t="s">
        <v>115</v>
      </c>
      <c r="J25" t="s">
        <v>18</v>
      </c>
      <c r="K25">
        <v>25</v>
      </c>
      <c r="L25" t="s">
        <v>19</v>
      </c>
    </row>
    <row r="26" spans="1:14" x14ac:dyDescent="0.25">
      <c r="A26" s="18" t="s">
        <v>155</v>
      </c>
      <c r="B26" t="s">
        <v>115</v>
      </c>
      <c r="J26" t="s">
        <v>18</v>
      </c>
      <c r="K26">
        <v>19.3</v>
      </c>
      <c r="L26" t="s">
        <v>19</v>
      </c>
    </row>
    <row r="27" spans="1:14" x14ac:dyDescent="0.25">
      <c r="A27" s="18" t="s">
        <v>151</v>
      </c>
      <c r="B27" t="s">
        <v>115</v>
      </c>
      <c r="J27" t="s">
        <v>18</v>
      </c>
      <c r="K27">
        <v>14.6</v>
      </c>
      <c r="L27" t="s">
        <v>19</v>
      </c>
    </row>
    <row r="28" spans="1:14" x14ac:dyDescent="0.25">
      <c r="A28" s="18" t="s">
        <v>152</v>
      </c>
      <c r="B28" t="s">
        <v>115</v>
      </c>
      <c r="J28" t="s">
        <v>18</v>
      </c>
      <c r="K28">
        <v>11.3</v>
      </c>
      <c r="L28" t="s">
        <v>19</v>
      </c>
    </row>
    <row r="29" spans="1:14" x14ac:dyDescent="0.25">
      <c r="A29" s="18" t="s">
        <v>153</v>
      </c>
      <c r="B29" t="s">
        <v>115</v>
      </c>
      <c r="J29" t="s">
        <v>18</v>
      </c>
      <c r="K29">
        <v>3.8</v>
      </c>
      <c r="L29" t="s">
        <v>19</v>
      </c>
    </row>
    <row r="30" spans="1:14" x14ac:dyDescent="0.25">
      <c r="A30" s="18" t="s">
        <v>154</v>
      </c>
      <c r="B30" t="s">
        <v>115</v>
      </c>
      <c r="J30" t="s">
        <v>18</v>
      </c>
      <c r="K30">
        <v>3.5</v>
      </c>
      <c r="L30" t="s">
        <v>19</v>
      </c>
    </row>
    <row r="31" spans="1:14" x14ac:dyDescent="0.25">
      <c r="A31" s="18" t="s">
        <v>114</v>
      </c>
      <c r="B31" t="s">
        <v>115</v>
      </c>
      <c r="J31" t="s">
        <v>18</v>
      </c>
      <c r="K31">
        <v>37</v>
      </c>
      <c r="L31" t="s">
        <v>19</v>
      </c>
    </row>
    <row r="32" spans="1:14" x14ac:dyDescent="0.25">
      <c r="A32" s="18" t="s">
        <v>117</v>
      </c>
      <c r="B32" t="s">
        <v>115</v>
      </c>
      <c r="J32" t="s">
        <v>18</v>
      </c>
      <c r="K32">
        <v>14.3</v>
      </c>
      <c r="L32" t="s">
        <v>19</v>
      </c>
    </row>
    <row r="33" spans="1:14" x14ac:dyDescent="0.25">
      <c r="A33" s="18" t="s">
        <v>162</v>
      </c>
      <c r="B33" t="s">
        <v>115</v>
      </c>
      <c r="J33" t="s">
        <v>18</v>
      </c>
      <c r="K33" s="7">
        <v>0</v>
      </c>
      <c r="L33" t="s">
        <v>19</v>
      </c>
    </row>
    <row r="34" spans="1:14" x14ac:dyDescent="0.25">
      <c r="A34" s="5" t="s">
        <v>13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14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6" spans="1:14" x14ac:dyDescent="0.25">
      <c r="A36" s="7" t="s">
        <v>65</v>
      </c>
      <c r="B36" t="s">
        <v>84</v>
      </c>
      <c r="J36" t="s">
        <v>18</v>
      </c>
      <c r="K36" s="7">
        <f>29.5+8.5</f>
        <v>38</v>
      </c>
      <c r="L36" t="s">
        <v>19</v>
      </c>
      <c r="M36" s="7" t="s">
        <v>87</v>
      </c>
    </row>
    <row r="37" spans="1:14" x14ac:dyDescent="0.25">
      <c r="A37" s="7" t="s">
        <v>64</v>
      </c>
      <c r="B37" t="s">
        <v>84</v>
      </c>
      <c r="J37" t="s">
        <v>18</v>
      </c>
      <c r="K37" s="7">
        <f>80.7+14.4+0.3*5</f>
        <v>96.600000000000009</v>
      </c>
      <c r="L37" t="s">
        <v>19</v>
      </c>
      <c r="M37" s="7" t="s">
        <v>87</v>
      </c>
    </row>
    <row r="38" spans="1:14" x14ac:dyDescent="0.25">
      <c r="A38" s="7" t="s">
        <v>66</v>
      </c>
      <c r="B38" t="s">
        <v>84</v>
      </c>
      <c r="J38" t="s">
        <v>18</v>
      </c>
      <c r="K38" s="7">
        <f>45.6+44.1+1.3*5+1.8*10</f>
        <v>114.2</v>
      </c>
      <c r="L38" t="s">
        <v>19</v>
      </c>
      <c r="M38" s="7" t="s">
        <v>87</v>
      </c>
    </row>
    <row r="39" spans="1:14" x14ac:dyDescent="0.25">
      <c r="A39" s="7" t="s">
        <v>67</v>
      </c>
      <c r="B39" t="s">
        <v>84</v>
      </c>
      <c r="J39" t="s">
        <v>18</v>
      </c>
      <c r="K39">
        <v>46.8</v>
      </c>
      <c r="L39" t="s">
        <v>19</v>
      </c>
    </row>
    <row r="40" spans="1:14" x14ac:dyDescent="0.25">
      <c r="A40" s="7" t="s">
        <v>71</v>
      </c>
      <c r="B40" t="s">
        <v>84</v>
      </c>
      <c r="J40" t="s">
        <v>18</v>
      </c>
      <c r="K40">
        <v>8.1</v>
      </c>
      <c r="L40" t="s">
        <v>19</v>
      </c>
    </row>
    <row r="41" spans="1:14" x14ac:dyDescent="0.25">
      <c r="A41" s="7" t="s">
        <v>72</v>
      </c>
      <c r="B41" t="s">
        <v>84</v>
      </c>
      <c r="J41" t="s">
        <v>18</v>
      </c>
      <c r="K41">
        <v>1</v>
      </c>
      <c r="L41" t="s">
        <v>19</v>
      </c>
    </row>
    <row r="42" spans="1:14" x14ac:dyDescent="0.25">
      <c r="A42" s="7" t="s">
        <v>69</v>
      </c>
      <c r="B42" t="s">
        <v>84</v>
      </c>
      <c r="J42" t="s">
        <v>18</v>
      </c>
      <c r="K42">
        <v>6.6</v>
      </c>
      <c r="L42" t="s">
        <v>19</v>
      </c>
    </row>
    <row r="43" spans="1:14" x14ac:dyDescent="0.25">
      <c r="A43" s="7" t="s">
        <v>70</v>
      </c>
      <c r="B43" t="s">
        <v>84</v>
      </c>
      <c r="J43" t="s">
        <v>18</v>
      </c>
      <c r="K43">
        <v>8.3000000000000007</v>
      </c>
      <c r="L43" t="s">
        <v>19</v>
      </c>
    </row>
    <row r="44" spans="1:14" x14ac:dyDescent="0.25">
      <c r="A44" s="7" t="s">
        <v>68</v>
      </c>
      <c r="B44" t="s">
        <v>84</v>
      </c>
      <c r="J44" t="s">
        <v>18</v>
      </c>
      <c r="K44">
        <v>15.3</v>
      </c>
      <c r="L44" t="s">
        <v>19</v>
      </c>
    </row>
    <row r="45" spans="1:14" x14ac:dyDescent="0.25">
      <c r="A45" s="5" t="s">
        <v>23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t="s">
        <v>57</v>
      </c>
      <c r="B46" t="s">
        <v>58</v>
      </c>
      <c r="J46" t="s">
        <v>18</v>
      </c>
      <c r="K46">
        <v>60.6</v>
      </c>
      <c r="L46" t="s">
        <v>19</v>
      </c>
    </row>
    <row r="47" spans="1:14" x14ac:dyDescent="0.25">
      <c r="A47" t="s">
        <v>101</v>
      </c>
      <c r="B47" t="s">
        <v>58</v>
      </c>
      <c r="J47" t="s">
        <v>18</v>
      </c>
      <c r="K47">
        <v>39.9</v>
      </c>
      <c r="L47" t="s">
        <v>19</v>
      </c>
    </row>
    <row r="48" spans="1:14" x14ac:dyDescent="0.25">
      <c r="A48" s="5" t="s">
        <v>15</v>
      </c>
      <c r="B48" s="5"/>
      <c r="C48" s="5"/>
      <c r="D48" s="5"/>
      <c r="E48" s="5"/>
      <c r="F48" s="5"/>
      <c r="G48" s="5"/>
      <c r="H48" s="5"/>
      <c r="I48" s="5"/>
      <c r="J48" s="6"/>
      <c r="K48" s="6"/>
      <c r="L48" s="6"/>
      <c r="M48" s="6"/>
      <c r="N48" s="6"/>
    </row>
    <row r="49" spans="1:14" x14ac:dyDescent="0.25">
      <c r="A49" s="5" t="s">
        <v>16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s="5" t="s">
        <v>20</v>
      </c>
      <c r="B50" s="5"/>
      <c r="C50" s="5"/>
      <c r="D50" s="5"/>
      <c r="E50" s="5"/>
      <c r="F50" s="5"/>
      <c r="G50" s="5"/>
      <c r="H50" s="5"/>
      <c r="I50" s="5"/>
      <c r="J50" s="6"/>
      <c r="K50" s="6"/>
      <c r="L50" s="6"/>
      <c r="M50" s="6"/>
      <c r="N50" s="6"/>
    </row>
    <row r="51" spans="1:14" x14ac:dyDescent="0.25">
      <c r="A51" s="5" t="s">
        <v>21</v>
      </c>
      <c r="B51" s="5"/>
      <c r="C51" s="5"/>
      <c r="D51" s="5"/>
      <c r="E51" s="5"/>
      <c r="F51" s="5"/>
      <c r="G51" s="5"/>
      <c r="H51" s="5"/>
      <c r="I51" s="5"/>
      <c r="J51" s="6"/>
      <c r="K51" s="6"/>
      <c r="L51" s="6"/>
      <c r="M51" s="6"/>
      <c r="N51" s="6"/>
    </row>
    <row r="52" spans="1:14" x14ac:dyDescent="0.25">
      <c r="A52" s="5" t="s">
        <v>22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t="s">
        <v>140</v>
      </c>
      <c r="B53" t="s">
        <v>141</v>
      </c>
      <c r="J53" t="s">
        <v>18</v>
      </c>
      <c r="K53" s="23">
        <f>6+4.4/3+13</f>
        <v>20.466666666666669</v>
      </c>
      <c r="L53" t="s">
        <v>19</v>
      </c>
      <c r="M53" t="s">
        <v>146</v>
      </c>
    </row>
    <row r="54" spans="1:14" x14ac:dyDescent="0.25">
      <c r="A54" t="s">
        <v>147</v>
      </c>
      <c r="B54" t="s">
        <v>141</v>
      </c>
      <c r="J54" t="s">
        <v>18</v>
      </c>
      <c r="K54" s="23">
        <f>8.2+4.4/3</f>
        <v>9.6666666666666661</v>
      </c>
      <c r="L54" t="s">
        <v>19</v>
      </c>
      <c r="M54" t="s">
        <v>146</v>
      </c>
    </row>
    <row r="55" spans="1:14" x14ac:dyDescent="0.25">
      <c r="A55" t="s">
        <v>148</v>
      </c>
      <c r="B55" t="s">
        <v>141</v>
      </c>
      <c r="J55" t="s">
        <v>18</v>
      </c>
      <c r="K55" s="23">
        <f>2.8+4.4/3</f>
        <v>4.2666666666666666</v>
      </c>
      <c r="L55" t="s">
        <v>19</v>
      </c>
      <c r="M55" t="s">
        <v>146</v>
      </c>
    </row>
    <row r="56" spans="1:14" x14ac:dyDescent="0.25">
      <c r="A56" s="5" t="s">
        <v>24</v>
      </c>
      <c r="B56" s="5"/>
      <c r="C56" s="5"/>
      <c r="D56" s="5"/>
      <c r="E56" s="5"/>
      <c r="F56" s="5"/>
      <c r="G56" s="5"/>
      <c r="H56" s="5"/>
      <c r="I56" s="5"/>
      <c r="J56" s="6"/>
      <c r="K56" s="6"/>
      <c r="L56" s="6"/>
      <c r="M56" s="6"/>
      <c r="N56" s="6"/>
    </row>
    <row r="57" spans="1:14" x14ac:dyDescent="0.25">
      <c r="A57" s="5" t="s">
        <v>29</v>
      </c>
      <c r="B57" s="5"/>
      <c r="C57" s="5"/>
      <c r="D57" s="5"/>
      <c r="E57" s="5"/>
      <c r="F57" s="5"/>
      <c r="G57" s="5"/>
      <c r="H57" s="5"/>
      <c r="I57" s="5"/>
      <c r="J57" s="6"/>
      <c r="K57" s="6"/>
      <c r="L57" s="6"/>
      <c r="M57" s="6"/>
      <c r="N57" s="6"/>
    </row>
    <row r="58" spans="1:14" x14ac:dyDescent="0.25">
      <c r="A58" t="s">
        <v>119</v>
      </c>
      <c r="B58" t="s">
        <v>120</v>
      </c>
      <c r="J58" t="s">
        <v>18</v>
      </c>
      <c r="K58">
        <v>125.5</v>
      </c>
      <c r="L58" t="s">
        <v>19</v>
      </c>
    </row>
    <row r="59" spans="1:14" x14ac:dyDescent="0.25">
      <c r="A59" s="5" t="s">
        <v>30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31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32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s="5" t="s">
        <v>33</v>
      </c>
      <c r="B62" s="5"/>
      <c r="C62" s="5"/>
      <c r="D62" s="5"/>
      <c r="E62" s="5"/>
      <c r="F62" s="5"/>
      <c r="G62" s="5"/>
      <c r="H62" s="5"/>
      <c r="I62" s="5"/>
      <c r="J62" s="6"/>
      <c r="K62" s="6"/>
      <c r="L62" s="6"/>
      <c r="M62" s="6"/>
      <c r="N62" s="6"/>
    </row>
    <row r="64" spans="1:14" x14ac:dyDescent="0.25">
      <c r="A64" s="3" t="s">
        <v>218</v>
      </c>
      <c r="B64" s="3"/>
      <c r="C64" s="3"/>
      <c r="D64" s="3"/>
      <c r="E64" s="3"/>
      <c r="F64" s="3"/>
      <c r="G64" s="3"/>
      <c r="H64" s="3"/>
      <c r="I64" s="3"/>
      <c r="J64" s="4"/>
      <c r="K64" s="4"/>
      <c r="L64" s="4"/>
      <c r="M64" s="4"/>
      <c r="N64" s="4"/>
    </row>
    <row r="65" spans="1:14" x14ac:dyDescent="0.25">
      <c r="A65" t="s">
        <v>211</v>
      </c>
      <c r="B65" t="s">
        <v>220</v>
      </c>
      <c r="J65" t="s">
        <v>216</v>
      </c>
      <c r="K65" s="7">
        <v>0</v>
      </c>
      <c r="L65" t="s">
        <v>207</v>
      </c>
    </row>
    <row r="66" spans="1:14" x14ac:dyDescent="0.25">
      <c r="A66" t="s">
        <v>212</v>
      </c>
      <c r="B66" t="s">
        <v>220</v>
      </c>
      <c r="J66" t="s">
        <v>216</v>
      </c>
      <c r="K66">
        <v>10000</v>
      </c>
      <c r="L66" t="s">
        <v>207</v>
      </c>
      <c r="M66" t="s">
        <v>215</v>
      </c>
    </row>
    <row r="68" spans="1:14" x14ac:dyDescent="0.25">
      <c r="A68" t="s">
        <v>107</v>
      </c>
      <c r="B68" t="s">
        <v>220</v>
      </c>
      <c r="J68" t="s">
        <v>216</v>
      </c>
      <c r="K68">
        <v>30000</v>
      </c>
      <c r="L68" t="s">
        <v>207</v>
      </c>
      <c r="M68" t="s">
        <v>214</v>
      </c>
      <c r="N68" t="s">
        <v>213</v>
      </c>
    </row>
    <row r="70" spans="1:14" x14ac:dyDescent="0.25">
      <c r="A70" s="3" t="s">
        <v>206</v>
      </c>
      <c r="B70" s="3"/>
      <c r="C70" s="3"/>
      <c r="D70" s="3"/>
      <c r="E70" s="3"/>
      <c r="F70" s="3"/>
      <c r="G70" s="3"/>
      <c r="H70" s="3"/>
      <c r="I70" s="3"/>
      <c r="J70" s="4"/>
      <c r="K70" s="4"/>
      <c r="L70" s="4"/>
      <c r="M70" s="4"/>
      <c r="N70" s="4"/>
    </row>
    <row r="71" spans="1:14" x14ac:dyDescent="0.25">
      <c r="J71" t="s">
        <v>217</v>
      </c>
      <c r="L71" t="s">
        <v>207</v>
      </c>
    </row>
    <row r="73" spans="1:14" x14ac:dyDescent="0.25">
      <c r="A73" s="3" t="s">
        <v>34</v>
      </c>
      <c r="B73" s="3"/>
      <c r="C73" s="3"/>
      <c r="D73" s="3"/>
      <c r="E73" s="3"/>
      <c r="F73" s="3"/>
      <c r="G73" s="3"/>
      <c r="H73" s="3"/>
      <c r="I73" s="3"/>
      <c r="J73" s="4"/>
      <c r="K73" s="4"/>
      <c r="L73" s="4"/>
      <c r="M73" s="4"/>
      <c r="N73" s="4"/>
    </row>
    <row r="74" spans="1:14" x14ac:dyDescent="0.25">
      <c r="B74" t="s">
        <v>26</v>
      </c>
      <c r="I74" t="s">
        <v>53</v>
      </c>
      <c r="J74" t="s">
        <v>56</v>
      </c>
      <c r="K74">
        <v>25</v>
      </c>
      <c r="L74" t="s">
        <v>39</v>
      </c>
    </row>
    <row r="75" spans="1:14" x14ac:dyDescent="0.25">
      <c r="B75" t="s">
        <v>26</v>
      </c>
      <c r="I75" t="s">
        <v>54</v>
      </c>
      <c r="J75" t="s">
        <v>56</v>
      </c>
      <c r="K75">
        <v>2</v>
      </c>
      <c r="L75" t="s">
        <v>39</v>
      </c>
    </row>
    <row r="76" spans="1:14" x14ac:dyDescent="0.25">
      <c r="B76" t="s">
        <v>26</v>
      </c>
      <c r="I76" t="s">
        <v>55</v>
      </c>
      <c r="J76" t="s">
        <v>56</v>
      </c>
      <c r="K76" s="7">
        <v>10.5</v>
      </c>
      <c r="L76" t="s">
        <v>39</v>
      </c>
      <c r="M76" s="7" t="s">
        <v>95</v>
      </c>
    </row>
    <row r="77" spans="1:14" x14ac:dyDescent="0.25">
      <c r="B77" t="s">
        <v>110</v>
      </c>
      <c r="I77" t="s">
        <v>53</v>
      </c>
      <c r="J77" t="s">
        <v>56</v>
      </c>
      <c r="K77">
        <v>17</v>
      </c>
      <c r="L77" t="s">
        <v>39</v>
      </c>
    </row>
    <row r="78" spans="1:14" x14ac:dyDescent="0.25">
      <c r="B78" t="s">
        <v>110</v>
      </c>
      <c r="I78" t="s">
        <v>54</v>
      </c>
      <c r="J78" t="s">
        <v>56</v>
      </c>
      <c r="K78">
        <v>7</v>
      </c>
      <c r="L78" t="s">
        <v>39</v>
      </c>
    </row>
    <row r="79" spans="1:14" x14ac:dyDescent="0.25">
      <c r="B79" t="s">
        <v>110</v>
      </c>
      <c r="I79" t="s">
        <v>55</v>
      </c>
      <c r="J79" t="s">
        <v>56</v>
      </c>
      <c r="K79" s="7">
        <v>15</v>
      </c>
      <c r="L79" t="s">
        <v>39</v>
      </c>
      <c r="M79" s="7" t="s">
        <v>95</v>
      </c>
    </row>
    <row r="80" spans="1:14" x14ac:dyDescent="0.25">
      <c r="B80" t="s">
        <v>115</v>
      </c>
      <c r="I80" t="s">
        <v>53</v>
      </c>
      <c r="J80" t="s">
        <v>56</v>
      </c>
      <c r="K80">
        <v>19</v>
      </c>
      <c r="L80" t="s">
        <v>39</v>
      </c>
    </row>
    <row r="81" spans="1:14" x14ac:dyDescent="0.25">
      <c r="B81" t="s">
        <v>115</v>
      </c>
      <c r="I81" t="s">
        <v>54</v>
      </c>
      <c r="J81" t="s">
        <v>56</v>
      </c>
      <c r="K81">
        <v>10</v>
      </c>
      <c r="L81" t="s">
        <v>39</v>
      </c>
    </row>
    <row r="82" spans="1:14" x14ac:dyDescent="0.25">
      <c r="B82" t="s">
        <v>115</v>
      </c>
      <c r="I82" t="s">
        <v>55</v>
      </c>
      <c r="J82" t="s">
        <v>56</v>
      </c>
      <c r="K82" s="7">
        <v>2</v>
      </c>
      <c r="L82" t="s">
        <v>39</v>
      </c>
      <c r="M82" s="7" t="s">
        <v>95</v>
      </c>
    </row>
    <row r="83" spans="1:14" x14ac:dyDescent="0.25">
      <c r="B83" t="s">
        <v>84</v>
      </c>
      <c r="I83" t="s">
        <v>53</v>
      </c>
      <c r="J83" t="s">
        <v>56</v>
      </c>
      <c r="K83">
        <v>11</v>
      </c>
      <c r="L83" t="s">
        <v>39</v>
      </c>
    </row>
    <row r="84" spans="1:14" x14ac:dyDescent="0.25">
      <c r="B84" t="s">
        <v>84</v>
      </c>
      <c r="I84" t="s">
        <v>54</v>
      </c>
      <c r="J84" t="s">
        <v>56</v>
      </c>
      <c r="K84">
        <f>0.5</f>
        <v>0.5</v>
      </c>
      <c r="L84" t="s">
        <v>39</v>
      </c>
    </row>
    <row r="85" spans="1:14" x14ac:dyDescent="0.25">
      <c r="B85" t="s">
        <v>84</v>
      </c>
      <c r="I85" t="s">
        <v>55</v>
      </c>
      <c r="J85" t="s">
        <v>56</v>
      </c>
      <c r="K85" s="7">
        <v>1</v>
      </c>
      <c r="L85" t="s">
        <v>39</v>
      </c>
      <c r="M85" s="7" t="s">
        <v>95</v>
      </c>
    </row>
    <row r="86" spans="1:14" x14ac:dyDescent="0.25">
      <c r="B86" t="s">
        <v>58</v>
      </c>
      <c r="I86" t="s">
        <v>53</v>
      </c>
      <c r="J86" t="s">
        <v>56</v>
      </c>
      <c r="K86">
        <v>11</v>
      </c>
      <c r="L86" t="s">
        <v>39</v>
      </c>
    </row>
    <row r="87" spans="1:14" x14ac:dyDescent="0.25">
      <c r="B87" t="s">
        <v>58</v>
      </c>
      <c r="I87" t="s">
        <v>54</v>
      </c>
      <c r="J87" t="s">
        <v>56</v>
      </c>
      <c r="K87">
        <v>4</v>
      </c>
      <c r="L87" t="s">
        <v>39</v>
      </c>
    </row>
    <row r="88" spans="1:14" x14ac:dyDescent="0.25">
      <c r="B88" t="s">
        <v>58</v>
      </c>
      <c r="I88" t="s">
        <v>55</v>
      </c>
      <c r="J88" t="s">
        <v>56</v>
      </c>
      <c r="K88" s="7">
        <v>5</v>
      </c>
      <c r="L88" t="s">
        <v>39</v>
      </c>
      <c r="M88" s="7" t="s">
        <v>95</v>
      </c>
    </row>
    <row r="89" spans="1:14" x14ac:dyDescent="0.25">
      <c r="B89" t="s">
        <v>141</v>
      </c>
      <c r="I89" t="s">
        <v>53</v>
      </c>
      <c r="J89" t="s">
        <v>56</v>
      </c>
      <c r="K89">
        <v>4</v>
      </c>
      <c r="L89" t="s">
        <v>39</v>
      </c>
    </row>
    <row r="90" spans="1:14" x14ac:dyDescent="0.25">
      <c r="B90" t="s">
        <v>141</v>
      </c>
      <c r="I90" t="s">
        <v>54</v>
      </c>
      <c r="J90" t="s">
        <v>56</v>
      </c>
      <c r="K90">
        <v>1</v>
      </c>
      <c r="L90" t="s">
        <v>39</v>
      </c>
    </row>
    <row r="91" spans="1:14" x14ac:dyDescent="0.25">
      <c r="B91" t="s">
        <v>141</v>
      </c>
      <c r="I91" t="s">
        <v>55</v>
      </c>
      <c r="J91" t="s">
        <v>56</v>
      </c>
      <c r="K91" s="7">
        <v>5</v>
      </c>
      <c r="L91" t="s">
        <v>39</v>
      </c>
      <c r="M91" s="7" t="s">
        <v>95</v>
      </c>
    </row>
    <row r="92" spans="1:14" x14ac:dyDescent="0.25">
      <c r="B92" t="s">
        <v>120</v>
      </c>
      <c r="I92" t="s">
        <v>53</v>
      </c>
      <c r="J92" t="s">
        <v>56</v>
      </c>
      <c r="K92">
        <v>0</v>
      </c>
      <c r="L92" t="s">
        <v>39</v>
      </c>
    </row>
    <row r="93" spans="1:14" x14ac:dyDescent="0.25">
      <c r="B93" t="s">
        <v>120</v>
      </c>
      <c r="I93" t="s">
        <v>54</v>
      </c>
      <c r="J93" t="s">
        <v>56</v>
      </c>
      <c r="K93">
        <v>5</v>
      </c>
      <c r="L93" t="s">
        <v>39</v>
      </c>
    </row>
    <row r="94" spans="1:14" x14ac:dyDescent="0.25">
      <c r="B94" t="s">
        <v>120</v>
      </c>
      <c r="I94" t="s">
        <v>55</v>
      </c>
      <c r="J94" t="s">
        <v>56</v>
      </c>
      <c r="K94" s="7">
        <v>5</v>
      </c>
      <c r="L94" t="s">
        <v>39</v>
      </c>
      <c r="M94" s="7" t="s">
        <v>95</v>
      </c>
    </row>
    <row r="96" spans="1:14" x14ac:dyDescent="0.25">
      <c r="A96" s="3" t="s">
        <v>61</v>
      </c>
      <c r="B96" s="3"/>
      <c r="C96" s="3"/>
      <c r="D96" s="3"/>
      <c r="E96" s="3"/>
      <c r="F96" s="3"/>
      <c r="G96" s="3"/>
      <c r="H96" s="3"/>
      <c r="I96" s="3"/>
      <c r="J96" s="4"/>
      <c r="K96" s="4"/>
      <c r="L96" s="4"/>
      <c r="M96" s="4"/>
      <c r="N96" s="4"/>
    </row>
    <row r="97" spans="1:14" x14ac:dyDescent="0.25">
      <c r="J97" s="8" t="s">
        <v>88</v>
      </c>
      <c r="K97" s="8">
        <v>0</v>
      </c>
      <c r="L97" s="8" t="s">
        <v>39</v>
      </c>
      <c r="M97" s="8" t="s">
        <v>46</v>
      </c>
    </row>
    <row r="98" spans="1:14" x14ac:dyDescent="0.25">
      <c r="J98" s="8" t="s">
        <v>89</v>
      </c>
      <c r="K98" s="8">
        <v>0</v>
      </c>
      <c r="L98" s="8" t="s">
        <v>39</v>
      </c>
      <c r="M98" s="8" t="s">
        <v>46</v>
      </c>
    </row>
    <row r="99" spans="1:14" x14ac:dyDescent="0.25">
      <c r="A99" s="5" t="s">
        <v>10</v>
      </c>
      <c r="B99" s="5"/>
      <c r="C99" s="5"/>
      <c r="D99" s="5"/>
      <c r="E99" s="5"/>
      <c r="F99" s="5"/>
      <c r="G99" s="5"/>
      <c r="H99" s="5"/>
      <c r="I99" s="5"/>
      <c r="J99" s="6"/>
      <c r="K99" s="6"/>
      <c r="L99" s="6"/>
      <c r="M99" s="6"/>
      <c r="N99" s="6"/>
    </row>
    <row r="100" spans="1:14" x14ac:dyDescent="0.25">
      <c r="A100" t="s">
        <v>195</v>
      </c>
      <c r="C100" t="s">
        <v>38</v>
      </c>
      <c r="J100" t="s">
        <v>88</v>
      </c>
      <c r="K100">
        <v>79</v>
      </c>
      <c r="L100" t="s">
        <v>39</v>
      </c>
      <c r="N100" t="s">
        <v>98</v>
      </c>
    </row>
    <row r="101" spans="1:14" x14ac:dyDescent="0.25">
      <c r="A101" t="s">
        <v>195</v>
      </c>
      <c r="C101" t="s">
        <v>38</v>
      </c>
      <c r="F101" t="s">
        <v>124</v>
      </c>
      <c r="J101" t="s">
        <v>89</v>
      </c>
      <c r="K101">
        <v>19</v>
      </c>
      <c r="L101" t="s">
        <v>39</v>
      </c>
      <c r="N101" t="s">
        <v>98</v>
      </c>
    </row>
    <row r="102" spans="1:14" x14ac:dyDescent="0.25">
      <c r="A102" t="s">
        <v>195</v>
      </c>
      <c r="C102" t="s">
        <v>38</v>
      </c>
      <c r="F102" t="s">
        <v>125</v>
      </c>
      <c r="J102" t="s">
        <v>89</v>
      </c>
      <c r="K102">
        <v>2</v>
      </c>
      <c r="L102" t="s">
        <v>39</v>
      </c>
      <c r="N102" t="s">
        <v>98</v>
      </c>
    </row>
    <row r="103" spans="1:14" x14ac:dyDescent="0.25">
      <c r="A103" t="s">
        <v>200</v>
      </c>
      <c r="C103" t="s">
        <v>38</v>
      </c>
      <c r="J103" t="s">
        <v>88</v>
      </c>
      <c r="K103">
        <v>100</v>
      </c>
      <c r="L103" t="s">
        <v>39</v>
      </c>
      <c r="N103" t="s">
        <v>98</v>
      </c>
    </row>
    <row r="104" spans="1:14" x14ac:dyDescent="0.25">
      <c r="A104" s="9" t="s">
        <v>196</v>
      </c>
      <c r="B104" s="9"/>
      <c r="C104" s="9" t="s">
        <v>51</v>
      </c>
      <c r="D104" s="9"/>
      <c r="E104" s="9"/>
      <c r="F104" s="9"/>
      <c r="G104" s="9"/>
      <c r="H104" s="9"/>
      <c r="I104" s="9"/>
      <c r="J104" t="s">
        <v>88</v>
      </c>
      <c r="K104" s="9">
        <v>72</v>
      </c>
      <c r="L104" s="9" t="s">
        <v>39</v>
      </c>
      <c r="M104" s="9"/>
      <c r="N104" t="s">
        <v>98</v>
      </c>
    </row>
    <row r="105" spans="1:14" x14ac:dyDescent="0.25">
      <c r="A105" s="9" t="s">
        <v>196</v>
      </c>
      <c r="B105" s="9"/>
      <c r="C105" s="9" t="s">
        <v>51</v>
      </c>
      <c r="D105" s="9"/>
      <c r="E105" s="9"/>
      <c r="F105" s="9" t="s">
        <v>126</v>
      </c>
      <c r="G105" s="9"/>
      <c r="H105" s="9"/>
      <c r="I105" s="9"/>
      <c r="J105" t="s">
        <v>89</v>
      </c>
      <c r="K105" s="9">
        <v>19</v>
      </c>
      <c r="L105" s="9" t="s">
        <v>39</v>
      </c>
      <c r="M105" s="9"/>
      <c r="N105" t="s">
        <v>98</v>
      </c>
    </row>
    <row r="106" spans="1:14" x14ac:dyDescent="0.25">
      <c r="A106" s="9" t="s">
        <v>196</v>
      </c>
      <c r="B106" s="9"/>
      <c r="C106" s="9" t="s">
        <v>51</v>
      </c>
      <c r="D106" s="9"/>
      <c r="E106" s="9"/>
      <c r="F106" s="9" t="s">
        <v>127</v>
      </c>
      <c r="G106" s="9"/>
      <c r="H106" s="9"/>
      <c r="I106" s="9"/>
      <c r="J106" t="s">
        <v>89</v>
      </c>
      <c r="K106" s="9">
        <v>9</v>
      </c>
      <c r="L106" s="9" t="s">
        <v>39</v>
      </c>
      <c r="M106" s="9"/>
      <c r="N106" t="s">
        <v>98</v>
      </c>
    </row>
    <row r="107" spans="1:14" x14ac:dyDescent="0.25">
      <c r="A107" s="9" t="s">
        <v>201</v>
      </c>
      <c r="B107" s="9"/>
      <c r="C107" s="9" t="s">
        <v>51</v>
      </c>
      <c r="D107" s="9"/>
      <c r="E107" s="9"/>
      <c r="F107" s="9"/>
      <c r="G107" s="9"/>
      <c r="H107" s="9"/>
      <c r="I107" s="9"/>
      <c r="J107" t="s">
        <v>88</v>
      </c>
      <c r="K107" s="10">
        <v>91</v>
      </c>
      <c r="L107" s="9" t="s">
        <v>39</v>
      </c>
      <c r="M107" s="9"/>
      <c r="N107" t="s">
        <v>98</v>
      </c>
    </row>
    <row r="108" spans="1:14" x14ac:dyDescent="0.25">
      <c r="A108" s="9" t="s">
        <v>201</v>
      </c>
      <c r="B108" s="9"/>
      <c r="C108" s="9" t="s">
        <v>51</v>
      </c>
      <c r="D108" s="9"/>
      <c r="E108" s="9"/>
      <c r="F108" s="9" t="s">
        <v>127</v>
      </c>
      <c r="G108" s="9"/>
      <c r="H108" s="9"/>
      <c r="I108" s="9"/>
      <c r="J108" t="s">
        <v>89</v>
      </c>
      <c r="K108" s="10">
        <v>9</v>
      </c>
      <c r="L108" s="10" t="s">
        <v>39</v>
      </c>
      <c r="M108" s="9"/>
      <c r="N108" t="s">
        <v>98</v>
      </c>
    </row>
    <row r="109" spans="1:14" x14ac:dyDescent="0.25">
      <c r="A109" t="s">
        <v>197</v>
      </c>
      <c r="B109" s="9"/>
      <c r="C109" s="10" t="s">
        <v>96</v>
      </c>
      <c r="D109" s="9"/>
      <c r="E109" s="9"/>
      <c r="F109" s="9"/>
      <c r="G109" s="9"/>
      <c r="H109" s="9"/>
      <c r="I109" s="9"/>
      <c r="J109" t="s">
        <v>88</v>
      </c>
      <c r="K109" s="10">
        <v>80</v>
      </c>
      <c r="L109" s="10" t="s">
        <v>39</v>
      </c>
      <c r="M109" s="9"/>
      <c r="N109" t="s">
        <v>98</v>
      </c>
    </row>
    <row r="110" spans="1:14" x14ac:dyDescent="0.25">
      <c r="A110" t="s">
        <v>197</v>
      </c>
      <c r="B110" s="9"/>
      <c r="C110" s="10" t="s">
        <v>96</v>
      </c>
      <c r="D110" s="9"/>
      <c r="E110" s="9"/>
      <c r="F110" s="10" t="s">
        <v>128</v>
      </c>
      <c r="G110" s="9"/>
      <c r="H110" s="9"/>
      <c r="I110" s="9"/>
      <c r="J110" t="s">
        <v>89</v>
      </c>
      <c r="K110" s="10">
        <v>20</v>
      </c>
      <c r="L110" s="10" t="s">
        <v>39</v>
      </c>
      <c r="M110" s="9"/>
      <c r="N110" t="s">
        <v>98</v>
      </c>
    </row>
    <row r="111" spans="1:14" x14ac:dyDescent="0.25">
      <c r="A111" t="s">
        <v>202</v>
      </c>
      <c r="B111" s="9"/>
      <c r="C111" s="10" t="s">
        <v>96</v>
      </c>
      <c r="D111" s="9"/>
      <c r="E111" s="9"/>
      <c r="F111" s="10"/>
      <c r="G111" s="9"/>
      <c r="H111" s="9"/>
      <c r="I111" s="9"/>
      <c r="J111" t="s">
        <v>88</v>
      </c>
      <c r="K111" s="10">
        <v>100</v>
      </c>
      <c r="L111" s="10" t="s">
        <v>39</v>
      </c>
      <c r="M111" s="9"/>
      <c r="N111" t="s">
        <v>98</v>
      </c>
    </row>
    <row r="112" spans="1:14" x14ac:dyDescent="0.25">
      <c r="A112" t="s">
        <v>198</v>
      </c>
      <c r="B112" s="9"/>
      <c r="C112" s="10" t="s">
        <v>97</v>
      </c>
      <c r="D112" s="9"/>
      <c r="E112" s="9"/>
      <c r="F112" s="9"/>
      <c r="G112" s="9"/>
      <c r="H112" s="9"/>
      <c r="I112" s="9"/>
      <c r="J112" t="s">
        <v>88</v>
      </c>
      <c r="K112" s="10">
        <v>53</v>
      </c>
      <c r="L112" s="10" t="s">
        <v>39</v>
      </c>
      <c r="M112" s="9"/>
      <c r="N112" t="s">
        <v>98</v>
      </c>
    </row>
    <row r="113" spans="1:14" x14ac:dyDescent="0.25">
      <c r="A113" t="s">
        <v>198</v>
      </c>
      <c r="B113" s="9"/>
      <c r="C113" s="10" t="s">
        <v>97</v>
      </c>
      <c r="D113" s="9"/>
      <c r="E113" s="9"/>
      <c r="F113" s="10" t="s">
        <v>129</v>
      </c>
      <c r="G113" s="9"/>
      <c r="H113" s="9"/>
      <c r="I113" s="9"/>
      <c r="J113" t="s">
        <v>89</v>
      </c>
      <c r="K113" s="10">
        <v>20</v>
      </c>
      <c r="L113" s="10" t="s">
        <v>39</v>
      </c>
      <c r="M113" s="9"/>
      <c r="N113" t="s">
        <v>98</v>
      </c>
    </row>
    <row r="114" spans="1:14" x14ac:dyDescent="0.25">
      <c r="A114" t="s">
        <v>198</v>
      </c>
      <c r="B114" s="9"/>
      <c r="C114" s="10" t="s">
        <v>97</v>
      </c>
      <c r="D114" s="9"/>
      <c r="E114" s="9"/>
      <c r="F114" s="10" t="s">
        <v>194</v>
      </c>
      <c r="G114" s="9"/>
      <c r="H114" s="9"/>
      <c r="I114" s="9"/>
      <c r="J114" t="s">
        <v>89</v>
      </c>
      <c r="K114" s="10">
        <v>27</v>
      </c>
      <c r="L114" s="10" t="s">
        <v>39</v>
      </c>
      <c r="M114" s="9"/>
      <c r="N114" t="s">
        <v>98</v>
      </c>
    </row>
    <row r="115" spans="1:14" x14ac:dyDescent="0.25">
      <c r="A115" t="s">
        <v>203</v>
      </c>
      <c r="B115" s="9"/>
      <c r="C115" s="10" t="s">
        <v>97</v>
      </c>
      <c r="D115" s="9"/>
      <c r="E115" s="9"/>
      <c r="F115" s="10"/>
      <c r="G115" s="9"/>
      <c r="H115" s="9"/>
      <c r="I115" s="9"/>
      <c r="J115" t="s">
        <v>88</v>
      </c>
      <c r="K115" s="10">
        <v>73</v>
      </c>
      <c r="L115" s="10" t="s">
        <v>39</v>
      </c>
      <c r="M115" s="9"/>
      <c r="N115" t="s">
        <v>98</v>
      </c>
    </row>
    <row r="116" spans="1:14" x14ac:dyDescent="0.25">
      <c r="A116" t="s">
        <v>203</v>
      </c>
      <c r="B116" s="9"/>
      <c r="C116" s="10" t="s">
        <v>97</v>
      </c>
      <c r="D116" s="9"/>
      <c r="E116" s="9"/>
      <c r="F116" s="10" t="s">
        <v>194</v>
      </c>
      <c r="G116" s="9"/>
      <c r="H116" s="9"/>
      <c r="I116" s="9"/>
      <c r="J116" t="s">
        <v>89</v>
      </c>
      <c r="K116" s="10">
        <v>27</v>
      </c>
      <c r="L116" s="10" t="s">
        <v>39</v>
      </c>
      <c r="M116" s="9"/>
      <c r="N116" t="s">
        <v>98</v>
      </c>
    </row>
    <row r="117" spans="1:14" x14ac:dyDescent="0.25">
      <c r="A117" s="5" t="s">
        <v>11</v>
      </c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6"/>
      <c r="M117" s="6"/>
      <c r="N117" s="6"/>
    </row>
    <row r="118" spans="1:14" x14ac:dyDescent="0.25">
      <c r="A118" s="7" t="s">
        <v>105</v>
      </c>
      <c r="B118" s="9"/>
      <c r="C118" s="10" t="s">
        <v>112</v>
      </c>
      <c r="D118" s="9"/>
      <c r="E118" s="9"/>
      <c r="F118" s="10"/>
      <c r="G118" s="9"/>
      <c r="H118" s="9"/>
      <c r="I118" s="9"/>
      <c r="J118" t="s">
        <v>88</v>
      </c>
      <c r="K118" s="12">
        <v>100</v>
      </c>
      <c r="L118" s="10" t="s">
        <v>39</v>
      </c>
      <c r="M118" s="11" t="s">
        <v>111</v>
      </c>
    </row>
    <row r="119" spans="1:14" x14ac:dyDescent="0.25">
      <c r="A119" s="7" t="s">
        <v>106</v>
      </c>
      <c r="B119" s="9"/>
      <c r="C119" s="10" t="s">
        <v>112</v>
      </c>
      <c r="D119" s="9"/>
      <c r="E119" s="9"/>
      <c r="F119" s="10"/>
      <c r="G119" s="9"/>
      <c r="H119" s="9"/>
      <c r="I119" s="9"/>
      <c r="J119" t="s">
        <v>88</v>
      </c>
      <c r="K119" s="10">
        <v>50</v>
      </c>
      <c r="L119" s="10" t="s">
        <v>39</v>
      </c>
      <c r="M119" s="9"/>
    </row>
    <row r="120" spans="1:14" x14ac:dyDescent="0.25">
      <c r="A120" s="7" t="s">
        <v>106</v>
      </c>
      <c r="B120" s="9"/>
      <c r="C120" s="10" t="s">
        <v>112</v>
      </c>
      <c r="D120" s="9"/>
      <c r="E120" s="9"/>
      <c r="F120" s="10" t="s">
        <v>130</v>
      </c>
      <c r="G120" s="9"/>
      <c r="H120" s="9"/>
      <c r="I120" s="9"/>
      <c r="J120" t="s">
        <v>89</v>
      </c>
      <c r="K120" s="10">
        <v>50</v>
      </c>
      <c r="L120" s="10" t="s">
        <v>39</v>
      </c>
      <c r="M120" s="9"/>
    </row>
    <row r="121" spans="1:14" x14ac:dyDescent="0.25">
      <c r="A121" s="7" t="s">
        <v>108</v>
      </c>
      <c r="B121" s="9"/>
      <c r="C121" s="12" t="s">
        <v>113</v>
      </c>
      <c r="D121" s="9"/>
      <c r="E121" s="9"/>
      <c r="F121" s="10"/>
      <c r="G121" s="9"/>
      <c r="H121" s="9"/>
      <c r="I121" s="9"/>
      <c r="J121" t="s">
        <v>88</v>
      </c>
      <c r="K121" s="19">
        <v>20</v>
      </c>
      <c r="L121" s="10" t="s">
        <v>39</v>
      </c>
      <c r="M121" s="20" t="s">
        <v>190</v>
      </c>
    </row>
    <row r="122" spans="1:14" x14ac:dyDescent="0.25">
      <c r="A122" s="18" t="s">
        <v>107</v>
      </c>
      <c r="B122" s="9"/>
      <c r="C122" s="10" t="s">
        <v>113</v>
      </c>
      <c r="D122" s="9"/>
      <c r="E122" s="9"/>
      <c r="F122" s="10"/>
      <c r="G122" s="9"/>
      <c r="H122" s="9"/>
      <c r="I122" s="9"/>
      <c r="J122" t="s">
        <v>88</v>
      </c>
      <c r="K122" s="19">
        <v>19</v>
      </c>
      <c r="L122" s="10" t="s">
        <v>39</v>
      </c>
      <c r="M122" s="20" t="s">
        <v>190</v>
      </c>
    </row>
    <row r="123" spans="1:14" x14ac:dyDescent="0.25">
      <c r="A123" s="18" t="s">
        <v>107</v>
      </c>
      <c r="B123" s="9"/>
      <c r="C123" s="10" t="s">
        <v>113</v>
      </c>
      <c r="D123" s="9"/>
      <c r="E123" s="9"/>
      <c r="F123" t="s">
        <v>208</v>
      </c>
      <c r="G123" s="9"/>
      <c r="H123" s="9"/>
      <c r="I123" s="9"/>
      <c r="J123" t="s">
        <v>89</v>
      </c>
      <c r="K123" s="29">
        <f>0.02*0.5*100/(844/1000)/0.9</f>
        <v>1.3164823591363877</v>
      </c>
      <c r="L123" s="10" t="s">
        <v>39</v>
      </c>
      <c r="M123" s="20" t="s">
        <v>209</v>
      </c>
      <c r="N123" s="10" t="s">
        <v>210</v>
      </c>
    </row>
    <row r="124" spans="1:14" x14ac:dyDescent="0.25">
      <c r="A124" s="5" t="s">
        <v>12</v>
      </c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6"/>
      <c r="M124" s="6"/>
      <c r="N124" s="6"/>
    </row>
    <row r="125" spans="1:14" x14ac:dyDescent="0.25">
      <c r="A125" s="18" t="s">
        <v>149</v>
      </c>
      <c r="C125" s="10" t="s">
        <v>150</v>
      </c>
      <c r="J125" t="s">
        <v>88</v>
      </c>
      <c r="K125" s="19">
        <v>100</v>
      </c>
      <c r="L125" s="18" t="s">
        <v>39</v>
      </c>
    </row>
    <row r="126" spans="1:14" x14ac:dyDescent="0.25">
      <c r="A126" s="18" t="s">
        <v>155</v>
      </c>
      <c r="C126" s="10" t="s">
        <v>161</v>
      </c>
      <c r="J126" t="s">
        <v>88</v>
      </c>
      <c r="K126" s="19">
        <v>100</v>
      </c>
      <c r="L126" s="18" t="s">
        <v>39</v>
      </c>
    </row>
    <row r="127" spans="1:14" x14ac:dyDescent="0.25">
      <c r="A127" s="18" t="s">
        <v>151</v>
      </c>
      <c r="C127" s="10" t="s">
        <v>157</v>
      </c>
      <c r="J127" t="s">
        <v>88</v>
      </c>
      <c r="K127" s="19">
        <v>100</v>
      </c>
      <c r="L127" s="18" t="s">
        <v>39</v>
      </c>
    </row>
    <row r="128" spans="1:14" x14ac:dyDescent="0.25">
      <c r="A128" s="18" t="s">
        <v>152</v>
      </c>
      <c r="C128" s="10" t="s">
        <v>158</v>
      </c>
      <c r="J128" t="s">
        <v>88</v>
      </c>
      <c r="K128" s="19">
        <v>100</v>
      </c>
      <c r="L128" s="18" t="s">
        <v>39</v>
      </c>
    </row>
    <row r="129" spans="1:14" x14ac:dyDescent="0.25">
      <c r="A129" s="18" t="s">
        <v>153</v>
      </c>
      <c r="C129" s="10" t="s">
        <v>159</v>
      </c>
      <c r="J129" t="s">
        <v>88</v>
      </c>
      <c r="K129" s="19">
        <v>100</v>
      </c>
      <c r="L129" s="18" t="s">
        <v>39</v>
      </c>
    </row>
    <row r="130" spans="1:14" x14ac:dyDescent="0.25">
      <c r="A130" s="18" t="s">
        <v>154</v>
      </c>
      <c r="C130" s="10" t="s">
        <v>156</v>
      </c>
      <c r="J130" t="s">
        <v>88</v>
      </c>
      <c r="K130" s="19">
        <v>100</v>
      </c>
      <c r="L130" s="18" t="s">
        <v>39</v>
      </c>
    </row>
    <row r="131" spans="1:14" x14ac:dyDescent="0.25">
      <c r="A131" s="18" t="s">
        <v>114</v>
      </c>
      <c r="B131" s="9"/>
      <c r="C131" s="10" t="s">
        <v>116</v>
      </c>
      <c r="D131" s="9"/>
      <c r="E131" s="9"/>
      <c r="F131" s="10"/>
      <c r="G131" s="9"/>
      <c r="H131" s="9"/>
      <c r="I131" s="9"/>
      <c r="J131" t="s">
        <v>88</v>
      </c>
      <c r="K131" s="19">
        <v>100</v>
      </c>
      <c r="L131" s="18" t="s">
        <v>39</v>
      </c>
      <c r="M131" s="11"/>
    </row>
    <row r="132" spans="1:14" x14ac:dyDescent="0.25">
      <c r="A132" s="18" t="s">
        <v>117</v>
      </c>
      <c r="B132" s="9"/>
      <c r="C132" s="10" t="s">
        <v>118</v>
      </c>
      <c r="D132" s="9"/>
      <c r="E132" s="9"/>
      <c r="F132" s="10"/>
      <c r="G132" s="9"/>
      <c r="H132" s="9"/>
      <c r="I132" s="9"/>
      <c r="J132" t="s">
        <v>88</v>
      </c>
      <c r="K132" s="19">
        <v>100</v>
      </c>
      <c r="L132" s="18" t="s">
        <v>39</v>
      </c>
      <c r="M132" s="11"/>
    </row>
    <row r="133" spans="1:14" x14ac:dyDescent="0.25">
      <c r="A133" s="18" t="s">
        <v>162</v>
      </c>
      <c r="B133" s="9"/>
      <c r="C133" s="10" t="s">
        <v>160</v>
      </c>
      <c r="D133" s="9"/>
      <c r="E133" s="9"/>
      <c r="F133" s="10"/>
      <c r="G133" s="9"/>
      <c r="H133" s="9"/>
      <c r="I133" s="9"/>
      <c r="J133" t="s">
        <v>88</v>
      </c>
      <c r="K133" s="19">
        <v>100</v>
      </c>
      <c r="L133" s="18" t="s">
        <v>39</v>
      </c>
      <c r="M133" s="11"/>
    </row>
    <row r="134" spans="1:14" x14ac:dyDescent="0.25">
      <c r="A134" s="5" t="s">
        <v>14</v>
      </c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6"/>
      <c r="M134" s="6"/>
      <c r="N134" s="6"/>
    </row>
    <row r="135" spans="1:14" x14ac:dyDescent="0.25">
      <c r="A135" s="11" t="s">
        <v>65</v>
      </c>
      <c r="B135" s="11"/>
      <c r="C135" s="11"/>
      <c r="D135" s="11" t="s">
        <v>82</v>
      </c>
      <c r="E135" s="11" t="s">
        <v>62</v>
      </c>
      <c r="F135" s="11"/>
      <c r="G135" s="11"/>
      <c r="H135" s="11"/>
      <c r="I135" s="11"/>
      <c r="J135" t="s">
        <v>88</v>
      </c>
      <c r="K135" s="13">
        <f>100-K136</f>
        <v>90.75</v>
      </c>
      <c r="L135" s="11" t="s">
        <v>39</v>
      </c>
      <c r="M135" t="s">
        <v>74</v>
      </c>
      <c r="N135" s="9" t="s">
        <v>99</v>
      </c>
    </row>
    <row r="136" spans="1:14" x14ac:dyDescent="0.25">
      <c r="A136" s="11" t="s">
        <v>65</v>
      </c>
      <c r="B136" s="11"/>
      <c r="C136" s="11"/>
      <c r="D136" s="11" t="s">
        <v>82</v>
      </c>
      <c r="E136" s="11" t="s">
        <v>62</v>
      </c>
      <c r="F136" s="11" t="s">
        <v>63</v>
      </c>
      <c r="G136" s="11"/>
      <c r="H136" s="11"/>
      <c r="I136" s="11"/>
      <c r="J136" t="s">
        <v>89</v>
      </c>
      <c r="K136" s="13">
        <f>(0.042-0.005)/0.4*100</f>
        <v>9.2500000000000018</v>
      </c>
      <c r="L136" s="11" t="s">
        <v>39</v>
      </c>
      <c r="N136" s="9" t="s">
        <v>99</v>
      </c>
    </row>
    <row r="137" spans="1:14" x14ac:dyDescent="0.25">
      <c r="A137" s="11" t="s">
        <v>64</v>
      </c>
      <c r="B137" s="11"/>
      <c r="C137" s="11"/>
      <c r="D137" s="11" t="s">
        <v>82</v>
      </c>
      <c r="E137" s="11" t="s">
        <v>62</v>
      </c>
      <c r="F137" s="11"/>
      <c r="G137" s="11"/>
      <c r="H137" s="11"/>
      <c r="I137" s="11"/>
      <c r="J137" t="s">
        <v>88</v>
      </c>
      <c r="K137" s="13">
        <f>100-K138</f>
        <v>93.25</v>
      </c>
      <c r="L137" s="11" t="s">
        <v>39</v>
      </c>
      <c r="M137" t="s">
        <v>75</v>
      </c>
      <c r="N137" s="9" t="s">
        <v>99</v>
      </c>
    </row>
    <row r="138" spans="1:14" x14ac:dyDescent="0.25">
      <c r="A138" s="11" t="s">
        <v>64</v>
      </c>
      <c r="B138" s="11"/>
      <c r="C138" s="11"/>
      <c r="D138" s="11" t="s">
        <v>82</v>
      </c>
      <c r="E138" s="11" t="s">
        <v>62</v>
      </c>
      <c r="F138" s="11" t="s">
        <v>63</v>
      </c>
      <c r="G138" s="11"/>
      <c r="H138" s="11"/>
      <c r="I138" s="11"/>
      <c r="J138" t="s">
        <v>89</v>
      </c>
      <c r="K138" s="13">
        <f>(0.042-0.015)/0.4*100</f>
        <v>6.75</v>
      </c>
      <c r="L138" s="11" t="s">
        <v>39</v>
      </c>
      <c r="N138" s="9" t="s">
        <v>99</v>
      </c>
    </row>
    <row r="139" spans="1:14" x14ac:dyDescent="0.25">
      <c r="A139" s="11" t="s">
        <v>66</v>
      </c>
      <c r="B139" s="11"/>
      <c r="C139" s="11"/>
      <c r="D139" s="11" t="s">
        <v>82</v>
      </c>
      <c r="E139" s="11" t="s">
        <v>62</v>
      </c>
      <c r="F139" s="11"/>
      <c r="G139" s="11"/>
      <c r="H139" s="11"/>
      <c r="I139" s="11"/>
      <c r="J139" t="s">
        <v>88</v>
      </c>
      <c r="K139" s="13">
        <f>100-K140</f>
        <v>93.25</v>
      </c>
      <c r="L139" s="11" t="s">
        <v>39</v>
      </c>
      <c r="M139" t="s">
        <v>76</v>
      </c>
      <c r="N139" s="9" t="s">
        <v>99</v>
      </c>
    </row>
    <row r="140" spans="1:14" x14ac:dyDescent="0.25">
      <c r="A140" s="11" t="s">
        <v>66</v>
      </c>
      <c r="B140" s="11"/>
      <c r="C140" s="11"/>
      <c r="D140" s="11" t="s">
        <v>82</v>
      </c>
      <c r="E140" s="11" t="s">
        <v>62</v>
      </c>
      <c r="F140" s="11" t="s">
        <v>63</v>
      </c>
      <c r="G140" s="11"/>
      <c r="H140" s="11"/>
      <c r="I140" s="11"/>
      <c r="J140" t="s">
        <v>89</v>
      </c>
      <c r="K140" s="13">
        <f>(0.042-0.015)/0.4*100</f>
        <v>6.75</v>
      </c>
      <c r="L140" s="11" t="s">
        <v>39</v>
      </c>
      <c r="N140" s="9" t="s">
        <v>99</v>
      </c>
    </row>
    <row r="141" spans="1:14" x14ac:dyDescent="0.25">
      <c r="A141" s="11" t="s">
        <v>67</v>
      </c>
      <c r="B141" s="11"/>
      <c r="C141" s="11"/>
      <c r="D141" s="11" t="s">
        <v>82</v>
      </c>
      <c r="E141" s="11" t="s">
        <v>62</v>
      </c>
      <c r="F141" s="11"/>
      <c r="G141" s="11"/>
      <c r="H141" s="11"/>
      <c r="I141" s="11"/>
      <c r="J141" t="s">
        <v>88</v>
      </c>
      <c r="K141" s="13">
        <f>(100-K142)*0.1</f>
        <v>9.3250000000000011</v>
      </c>
      <c r="L141" s="11" t="s">
        <v>39</v>
      </c>
      <c r="M141" t="s">
        <v>83</v>
      </c>
      <c r="N141" s="9" t="s">
        <v>99</v>
      </c>
    </row>
    <row r="142" spans="1:14" x14ac:dyDescent="0.25">
      <c r="A142" s="11" t="s">
        <v>67</v>
      </c>
      <c r="B142" s="11"/>
      <c r="C142" s="11"/>
      <c r="D142" s="11" t="s">
        <v>82</v>
      </c>
      <c r="E142" s="11" t="s">
        <v>62</v>
      </c>
      <c r="F142" s="11" t="s">
        <v>63</v>
      </c>
      <c r="G142" s="11"/>
      <c r="H142" s="11"/>
      <c r="I142" s="11"/>
      <c r="J142" t="s">
        <v>89</v>
      </c>
      <c r="K142" s="13">
        <f>(0.042-0.015)/0.4*100</f>
        <v>6.75</v>
      </c>
      <c r="L142" s="11" t="s">
        <v>39</v>
      </c>
      <c r="N142" s="9" t="s">
        <v>99</v>
      </c>
    </row>
    <row r="143" spans="1:14" x14ac:dyDescent="0.25">
      <c r="A143" s="11" t="s">
        <v>67</v>
      </c>
      <c r="B143" s="11"/>
      <c r="C143" s="11"/>
      <c r="D143" s="11" t="s">
        <v>82</v>
      </c>
      <c r="E143" s="11" t="s">
        <v>62</v>
      </c>
      <c r="F143" s="11" t="s">
        <v>73</v>
      </c>
      <c r="G143" s="11"/>
      <c r="H143" s="11"/>
      <c r="I143" s="11"/>
      <c r="J143" t="s">
        <v>89</v>
      </c>
      <c r="K143" s="13">
        <f>(100-K142)*0.9</f>
        <v>83.924999999999997</v>
      </c>
      <c r="L143" s="11" t="s">
        <v>39</v>
      </c>
      <c r="N143" s="9" t="s">
        <v>99</v>
      </c>
    </row>
    <row r="144" spans="1:14" x14ac:dyDescent="0.25">
      <c r="A144" s="11" t="s">
        <v>71</v>
      </c>
      <c r="B144" s="11"/>
      <c r="C144" s="11"/>
      <c r="D144" s="11" t="s">
        <v>82</v>
      </c>
      <c r="E144" s="11" t="s">
        <v>63</v>
      </c>
      <c r="F144" s="11"/>
      <c r="G144" s="11"/>
      <c r="H144" s="11"/>
      <c r="I144" s="11"/>
      <c r="J144" t="s">
        <v>88</v>
      </c>
      <c r="K144" s="11">
        <f>1/(0.1/0.4)*100</f>
        <v>400</v>
      </c>
      <c r="L144" s="11" t="s">
        <v>39</v>
      </c>
      <c r="M144" t="s">
        <v>81</v>
      </c>
      <c r="N144" s="9" t="s">
        <v>99</v>
      </c>
    </row>
    <row r="145" spans="1:14" x14ac:dyDescent="0.25">
      <c r="A145" s="12" t="s">
        <v>72</v>
      </c>
      <c r="B145" s="11"/>
      <c r="C145" s="11"/>
      <c r="D145" s="11" t="s">
        <v>82</v>
      </c>
      <c r="E145" s="11" t="s">
        <v>63</v>
      </c>
      <c r="F145" s="11"/>
      <c r="G145" s="11"/>
      <c r="H145" s="11"/>
      <c r="I145" s="11"/>
      <c r="J145" t="s">
        <v>88</v>
      </c>
      <c r="K145" s="13">
        <f>1/(0.12/0.4)*100</f>
        <v>333.33333333333337</v>
      </c>
      <c r="L145" s="11" t="s">
        <v>39</v>
      </c>
      <c r="M145" t="s">
        <v>77</v>
      </c>
      <c r="N145" s="9" t="s">
        <v>99</v>
      </c>
    </row>
    <row r="146" spans="1:14" x14ac:dyDescent="0.25">
      <c r="A146" s="11" t="s">
        <v>69</v>
      </c>
      <c r="B146" s="11"/>
      <c r="C146" s="11"/>
      <c r="D146" s="11" t="s">
        <v>82</v>
      </c>
      <c r="E146" s="11" t="s">
        <v>63</v>
      </c>
      <c r="F146" s="11"/>
      <c r="G146" s="11"/>
      <c r="H146" s="11"/>
      <c r="I146" s="11"/>
      <c r="J146" t="s">
        <v>88</v>
      </c>
      <c r="K146" s="13">
        <f>1/(0.13/0.4)*100</f>
        <v>307.69230769230768</v>
      </c>
      <c r="L146" s="11" t="s">
        <v>39</v>
      </c>
      <c r="M146" t="s">
        <v>78</v>
      </c>
      <c r="N146" s="9" t="s">
        <v>99</v>
      </c>
    </row>
    <row r="147" spans="1:14" x14ac:dyDescent="0.25">
      <c r="A147" s="11" t="s">
        <v>70</v>
      </c>
      <c r="B147" s="11"/>
      <c r="C147" s="11"/>
      <c r="D147" s="11" t="s">
        <v>82</v>
      </c>
      <c r="E147" s="11" t="s">
        <v>63</v>
      </c>
      <c r="F147" s="11"/>
      <c r="G147" s="11"/>
      <c r="H147" s="11"/>
      <c r="I147" s="11"/>
      <c r="J147" t="s">
        <v>88</v>
      </c>
      <c r="K147" s="11">
        <f>1/(0.4/0.4)*100</f>
        <v>100</v>
      </c>
      <c r="L147" s="11" t="s">
        <v>39</v>
      </c>
      <c r="M147" t="s">
        <v>79</v>
      </c>
      <c r="N147" s="9" t="s">
        <v>99</v>
      </c>
    </row>
    <row r="148" spans="1:14" x14ac:dyDescent="0.25">
      <c r="A148" s="11" t="s">
        <v>68</v>
      </c>
      <c r="B148" s="11"/>
      <c r="C148" s="11"/>
      <c r="D148" s="11" t="s">
        <v>82</v>
      </c>
      <c r="E148" s="11" t="s">
        <v>63</v>
      </c>
      <c r="F148" s="11"/>
      <c r="G148" s="11"/>
      <c r="H148" s="11"/>
      <c r="I148" s="11"/>
      <c r="J148" t="s">
        <v>88</v>
      </c>
      <c r="K148" s="13">
        <f>1/((0.4-0.8)/(0.01-0.4)+1)*100</f>
        <v>49.367088607594937</v>
      </c>
      <c r="L148" s="11" t="s">
        <v>39</v>
      </c>
      <c r="M148" t="s">
        <v>80</v>
      </c>
      <c r="N148" s="9" t="s">
        <v>99</v>
      </c>
    </row>
    <row r="149" spans="1:14" x14ac:dyDescent="0.25">
      <c r="A149" s="11" t="s">
        <v>68</v>
      </c>
      <c r="B149" s="9"/>
      <c r="C149" s="9"/>
      <c r="D149" s="11" t="s">
        <v>82</v>
      </c>
      <c r="E149" s="11" t="s">
        <v>63</v>
      </c>
      <c r="F149" s="11" t="s">
        <v>85</v>
      </c>
      <c r="G149" s="9"/>
      <c r="H149" s="9"/>
      <c r="I149" s="9"/>
      <c r="J149" t="s">
        <v>89</v>
      </c>
      <c r="K149" s="15">
        <f>1/((0.01-0.4)/(0.4-0.8)+1)*100</f>
        <v>50.632911392405056</v>
      </c>
      <c r="L149" s="11" t="s">
        <v>39</v>
      </c>
      <c r="M149" s="9" t="s">
        <v>86</v>
      </c>
      <c r="N149" s="9" t="s">
        <v>99</v>
      </c>
    </row>
    <row r="150" spans="1:14" x14ac:dyDescent="0.25">
      <c r="A150" s="5" t="s">
        <v>23</v>
      </c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6"/>
      <c r="M150" s="6"/>
      <c r="N150" s="6"/>
    </row>
    <row r="151" spans="1:14" x14ac:dyDescent="0.25">
      <c r="A151" s="9" t="s">
        <v>57</v>
      </c>
      <c r="B151" s="9"/>
      <c r="C151" s="9"/>
      <c r="D151" s="9" t="s">
        <v>60</v>
      </c>
      <c r="E151" s="9" t="s">
        <v>58</v>
      </c>
      <c r="F151" s="9"/>
      <c r="G151" s="9"/>
      <c r="H151" s="9"/>
      <c r="I151" s="9"/>
      <c r="J151" t="s">
        <v>88</v>
      </c>
      <c r="K151" s="10">
        <v>73</v>
      </c>
      <c r="L151" s="9" t="s">
        <v>39</v>
      </c>
      <c r="M151" s="9"/>
      <c r="N151" s="9" t="s">
        <v>98</v>
      </c>
    </row>
    <row r="152" spans="1:14" x14ac:dyDescent="0.25">
      <c r="A152" s="9" t="s">
        <v>57</v>
      </c>
      <c r="B152" s="9"/>
      <c r="C152" s="9"/>
      <c r="D152" s="9" t="s">
        <v>60</v>
      </c>
      <c r="E152" s="9" t="s">
        <v>58</v>
      </c>
      <c r="F152" s="9" t="s">
        <v>131</v>
      </c>
      <c r="G152" s="9"/>
      <c r="H152" s="9"/>
      <c r="I152" s="9"/>
      <c r="J152" t="s">
        <v>89</v>
      </c>
      <c r="K152" s="17">
        <f>(1/0.76)*4</f>
        <v>5.2631578947368425</v>
      </c>
      <c r="L152" s="9" t="s">
        <v>39</v>
      </c>
      <c r="M152" s="10" t="s">
        <v>102</v>
      </c>
      <c r="N152" s="9" t="s">
        <v>98</v>
      </c>
    </row>
    <row r="153" spans="1:14" x14ac:dyDescent="0.25">
      <c r="A153" s="9" t="s">
        <v>57</v>
      </c>
      <c r="B153" s="9"/>
      <c r="C153" s="9"/>
      <c r="D153" s="9" t="s">
        <v>60</v>
      </c>
      <c r="E153" s="9" t="s">
        <v>58</v>
      </c>
      <c r="F153" s="9" t="s">
        <v>132</v>
      </c>
      <c r="G153" s="9"/>
      <c r="H153" s="9"/>
      <c r="I153" s="9"/>
      <c r="J153" t="s">
        <v>89</v>
      </c>
      <c r="K153" s="17">
        <f>(1/0.76)*6</f>
        <v>7.8947368421052637</v>
      </c>
      <c r="L153" s="9" t="s">
        <v>39</v>
      </c>
      <c r="M153" s="10" t="s">
        <v>102</v>
      </c>
      <c r="N153" s="9" t="s">
        <v>98</v>
      </c>
    </row>
    <row r="154" spans="1:14" x14ac:dyDescent="0.25">
      <c r="A154" s="9" t="s">
        <v>57</v>
      </c>
      <c r="B154" s="9"/>
      <c r="C154" s="9"/>
      <c r="D154" s="9" t="s">
        <v>60</v>
      </c>
      <c r="E154" s="9" t="s">
        <v>58</v>
      </c>
      <c r="F154" s="9" t="s">
        <v>133</v>
      </c>
      <c r="G154" s="9"/>
      <c r="H154" s="9"/>
      <c r="I154" s="9"/>
      <c r="J154" t="s">
        <v>89</v>
      </c>
      <c r="K154" s="17">
        <f>(1/0.76)*5</f>
        <v>6.5789473684210531</v>
      </c>
      <c r="L154" s="9" t="s">
        <v>39</v>
      </c>
      <c r="M154" s="10" t="s">
        <v>102</v>
      </c>
      <c r="N154" s="9" t="s">
        <v>98</v>
      </c>
    </row>
    <row r="155" spans="1:14" x14ac:dyDescent="0.25">
      <c r="A155" s="9" t="s">
        <v>57</v>
      </c>
      <c r="B155" s="9"/>
      <c r="C155" s="9"/>
      <c r="D155" s="9" t="s">
        <v>60</v>
      </c>
      <c r="E155" s="9" t="s">
        <v>58</v>
      </c>
      <c r="F155" s="9" t="s">
        <v>134</v>
      </c>
      <c r="G155" s="9"/>
      <c r="H155" s="9"/>
      <c r="I155" s="9"/>
      <c r="J155" t="s">
        <v>89</v>
      </c>
      <c r="K155" s="10">
        <v>18</v>
      </c>
      <c r="L155" s="9" t="s">
        <v>39</v>
      </c>
      <c r="M155" s="9"/>
      <c r="N155" s="9" t="s">
        <v>98</v>
      </c>
    </row>
    <row r="156" spans="1:14" x14ac:dyDescent="0.25">
      <c r="A156" t="s">
        <v>101</v>
      </c>
      <c r="B156" s="9"/>
      <c r="C156" s="9"/>
      <c r="D156" s="10" t="s">
        <v>82</v>
      </c>
      <c r="E156" s="10" t="s">
        <v>58</v>
      </c>
      <c r="F156" s="9"/>
      <c r="G156" s="9"/>
      <c r="H156" s="9"/>
      <c r="I156" s="9"/>
      <c r="J156" t="s">
        <v>88</v>
      </c>
      <c r="K156" s="10">
        <v>71</v>
      </c>
      <c r="L156" s="10" t="s">
        <v>39</v>
      </c>
      <c r="M156" s="9"/>
      <c r="N156" s="9" t="s">
        <v>98</v>
      </c>
    </row>
    <row r="157" spans="1:14" x14ac:dyDescent="0.25">
      <c r="A157" t="s">
        <v>101</v>
      </c>
      <c r="B157" s="9"/>
      <c r="C157" s="9"/>
      <c r="D157" s="10" t="s">
        <v>82</v>
      </c>
      <c r="E157" s="10" t="s">
        <v>58</v>
      </c>
      <c r="F157" s="10" t="s">
        <v>135</v>
      </c>
      <c r="G157" s="9"/>
      <c r="H157" s="9"/>
      <c r="I157" s="9"/>
      <c r="J157" t="s">
        <v>89</v>
      </c>
      <c r="K157" s="17">
        <f>(1/0.52)*7</f>
        <v>13.46153846153846</v>
      </c>
      <c r="L157" s="10" t="s">
        <v>39</v>
      </c>
      <c r="M157" s="10" t="s">
        <v>103</v>
      </c>
      <c r="N157" s="9" t="s">
        <v>98</v>
      </c>
    </row>
    <row r="158" spans="1:14" x14ac:dyDescent="0.25">
      <c r="A158" t="s">
        <v>101</v>
      </c>
      <c r="B158" s="9"/>
      <c r="C158" s="9"/>
      <c r="D158" s="10" t="s">
        <v>82</v>
      </c>
      <c r="E158" s="10" t="s">
        <v>58</v>
      </c>
      <c r="F158" s="9" t="s">
        <v>136</v>
      </c>
      <c r="G158" s="9"/>
      <c r="H158" s="9"/>
      <c r="I158" s="9"/>
      <c r="J158" t="s">
        <v>89</v>
      </c>
      <c r="K158" s="17">
        <f>(1/0.52)*3</f>
        <v>5.7692307692307683</v>
      </c>
      <c r="L158" s="10" t="s">
        <v>39</v>
      </c>
      <c r="M158" s="10" t="s">
        <v>103</v>
      </c>
      <c r="N158" s="9" t="s">
        <v>98</v>
      </c>
    </row>
    <row r="159" spans="1:14" x14ac:dyDescent="0.25">
      <c r="A159" t="s">
        <v>101</v>
      </c>
      <c r="B159" s="9"/>
      <c r="C159" s="9"/>
      <c r="D159" s="10" t="s">
        <v>82</v>
      </c>
      <c r="E159" s="10" t="s">
        <v>58</v>
      </c>
      <c r="F159" s="10" t="s">
        <v>137</v>
      </c>
      <c r="G159" s="9"/>
      <c r="H159" s="9"/>
      <c r="I159" s="9"/>
      <c r="J159" t="s">
        <v>89</v>
      </c>
      <c r="K159" s="17">
        <f>(1/0.52)*6</f>
        <v>11.538461538461537</v>
      </c>
      <c r="L159" s="10" t="s">
        <v>39</v>
      </c>
      <c r="M159" s="10" t="s">
        <v>103</v>
      </c>
      <c r="N159" s="9" t="s">
        <v>98</v>
      </c>
    </row>
    <row r="160" spans="1:14" x14ac:dyDescent="0.25">
      <c r="A160" t="s">
        <v>101</v>
      </c>
      <c r="B160" s="9"/>
      <c r="C160" s="9"/>
      <c r="D160" s="10" t="s">
        <v>82</v>
      </c>
      <c r="E160" s="10" t="s">
        <v>58</v>
      </c>
      <c r="F160" s="9" t="s">
        <v>138</v>
      </c>
      <c r="G160" s="9"/>
      <c r="H160" s="9"/>
      <c r="I160" s="9"/>
      <c r="J160" t="s">
        <v>89</v>
      </c>
      <c r="K160" s="10">
        <v>12</v>
      </c>
      <c r="L160" s="10" t="s">
        <v>39</v>
      </c>
      <c r="M160" s="9"/>
      <c r="N160" s="9" t="s">
        <v>98</v>
      </c>
    </row>
    <row r="161" spans="1:14" x14ac:dyDescent="0.25">
      <c r="A161" s="5" t="s">
        <v>22</v>
      </c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6"/>
      <c r="M161" s="6"/>
      <c r="N161" s="6"/>
    </row>
    <row r="162" spans="1:14" x14ac:dyDescent="0.25">
      <c r="A162" t="s">
        <v>140</v>
      </c>
      <c r="C162" t="s">
        <v>142</v>
      </c>
      <c r="H162" t="s">
        <v>47</v>
      </c>
      <c r="J162" t="s">
        <v>88</v>
      </c>
      <c r="K162" s="22">
        <v>38</v>
      </c>
      <c r="L162" t="s">
        <v>39</v>
      </c>
      <c r="M162" s="12"/>
      <c r="N162" s="9" t="s">
        <v>98</v>
      </c>
    </row>
    <row r="163" spans="1:14" x14ac:dyDescent="0.25">
      <c r="A163" t="s">
        <v>140</v>
      </c>
      <c r="C163" t="s">
        <v>142</v>
      </c>
      <c r="F163" t="s">
        <v>143</v>
      </c>
      <c r="H163" t="s">
        <v>47</v>
      </c>
      <c r="J163" t="s">
        <v>89</v>
      </c>
      <c r="K163" s="22">
        <v>60</v>
      </c>
      <c r="L163" t="s">
        <v>39</v>
      </c>
      <c r="N163" s="9" t="s">
        <v>98</v>
      </c>
    </row>
    <row r="164" spans="1:14" x14ac:dyDescent="0.25">
      <c r="A164" t="s">
        <v>140</v>
      </c>
      <c r="C164" t="s">
        <v>142</v>
      </c>
      <c r="H164" t="s">
        <v>45</v>
      </c>
      <c r="J164" t="s">
        <v>88</v>
      </c>
      <c r="K164" s="22">
        <v>32</v>
      </c>
      <c r="L164" t="s">
        <v>39</v>
      </c>
      <c r="M164" t="s">
        <v>145</v>
      </c>
      <c r="N164" s="9"/>
    </row>
    <row r="165" spans="1:14" x14ac:dyDescent="0.25">
      <c r="A165" t="s">
        <v>140</v>
      </c>
      <c r="C165" t="s">
        <v>142</v>
      </c>
      <c r="F165" t="s">
        <v>144</v>
      </c>
      <c r="H165" t="s">
        <v>45</v>
      </c>
      <c r="J165" t="s">
        <v>89</v>
      </c>
      <c r="K165" s="22">
        <v>68</v>
      </c>
      <c r="L165" t="s">
        <v>39</v>
      </c>
      <c r="N165" s="9"/>
    </row>
    <row r="166" spans="1:14" x14ac:dyDescent="0.25">
      <c r="A166" s="5" t="s">
        <v>29</v>
      </c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6"/>
      <c r="M166" s="6"/>
      <c r="N166" s="6"/>
    </row>
    <row r="167" spans="1:14" x14ac:dyDescent="0.25">
      <c r="A167" t="s">
        <v>119</v>
      </c>
      <c r="B167" s="11"/>
      <c r="C167" s="9" t="s">
        <v>51</v>
      </c>
      <c r="D167" s="11"/>
      <c r="E167" s="11"/>
      <c r="F167" s="11"/>
      <c r="G167" s="11"/>
      <c r="H167" s="11"/>
      <c r="I167" s="11"/>
      <c r="J167" t="s">
        <v>88</v>
      </c>
      <c r="K167" s="21">
        <f>655*0.7</f>
        <v>458.49999999999994</v>
      </c>
      <c r="L167" s="10" t="s">
        <v>39</v>
      </c>
      <c r="M167" s="9"/>
      <c r="N167" s="9" t="s">
        <v>98</v>
      </c>
    </row>
    <row r="168" spans="1:14" x14ac:dyDescent="0.25">
      <c r="A168" t="s">
        <v>119</v>
      </c>
      <c r="B168" s="11"/>
      <c r="C168" s="9" t="s">
        <v>51</v>
      </c>
      <c r="D168" s="11"/>
      <c r="E168" s="11"/>
      <c r="F168" s="20" t="s">
        <v>139</v>
      </c>
      <c r="G168" s="11"/>
      <c r="H168" s="11"/>
      <c r="I168" s="11"/>
      <c r="J168" t="s">
        <v>89</v>
      </c>
      <c r="K168" s="21">
        <f>1*(K167/100)*0.2*100</f>
        <v>91.699999999999989</v>
      </c>
      <c r="L168" s="10" t="s">
        <v>39</v>
      </c>
      <c r="M168" s="9" t="s">
        <v>123</v>
      </c>
      <c r="N168" s="9" t="s">
        <v>122</v>
      </c>
    </row>
    <row r="169" spans="1:14" x14ac:dyDescent="0.25">
      <c r="B169" s="11"/>
      <c r="C169" s="9"/>
      <c r="D169" s="11"/>
      <c r="E169" s="11"/>
      <c r="F169" s="11" t="s">
        <v>191</v>
      </c>
      <c r="G169" s="11"/>
      <c r="H169" s="11"/>
      <c r="I169" s="11"/>
      <c r="K169" s="21"/>
      <c r="L169" s="10"/>
      <c r="M169" s="11" t="s">
        <v>192</v>
      </c>
      <c r="N169" s="9"/>
    </row>
    <row r="170" spans="1:14" x14ac:dyDescent="0.25">
      <c r="A170" s="5" t="s">
        <v>219</v>
      </c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6"/>
      <c r="M170" s="6"/>
      <c r="N170" s="6"/>
    </row>
    <row r="171" spans="1:14" x14ac:dyDescent="0.25">
      <c r="A171" t="s">
        <v>212</v>
      </c>
      <c r="B171" s="11"/>
      <c r="C171" t="s">
        <v>142</v>
      </c>
      <c r="J171" t="s">
        <v>88</v>
      </c>
      <c r="K171" s="22">
        <v>38</v>
      </c>
      <c r="L171" t="s">
        <v>39</v>
      </c>
      <c r="M171" s="12" t="s">
        <v>221</v>
      </c>
      <c r="N171" s="9" t="s">
        <v>98</v>
      </c>
    </row>
    <row r="172" spans="1:14" x14ac:dyDescent="0.25">
      <c r="A172" t="s">
        <v>212</v>
      </c>
      <c r="B172" s="11"/>
      <c r="C172" t="s">
        <v>142</v>
      </c>
      <c r="F172" t="s">
        <v>143</v>
      </c>
      <c r="J172" t="s">
        <v>89</v>
      </c>
      <c r="K172" s="22">
        <v>60</v>
      </c>
      <c r="L172" t="s">
        <v>39</v>
      </c>
      <c r="N172" s="9" t="s">
        <v>98</v>
      </c>
    </row>
    <row r="173" spans="1:14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9"/>
      <c r="M173" s="9"/>
      <c r="N173" s="9"/>
    </row>
    <row r="174" spans="1:14" x14ac:dyDescent="0.25">
      <c r="A174" s="3" t="s">
        <v>40</v>
      </c>
      <c r="B174" s="3"/>
      <c r="C174" s="3"/>
      <c r="D174" s="3"/>
      <c r="E174" s="3"/>
      <c r="F174" s="3"/>
      <c r="G174" s="3"/>
      <c r="H174" s="3"/>
      <c r="I174" s="3"/>
      <c r="J174" s="4"/>
      <c r="K174" s="4"/>
      <c r="L174" s="4"/>
      <c r="M174" s="4"/>
      <c r="N174" s="4"/>
    </row>
    <row r="175" spans="1:14" x14ac:dyDescent="0.25">
      <c r="J175" s="8" t="s">
        <v>41</v>
      </c>
      <c r="K175" s="8">
        <v>100</v>
      </c>
      <c r="L175" s="8" t="s">
        <v>39</v>
      </c>
      <c r="M175" s="8" t="s">
        <v>46</v>
      </c>
    </row>
    <row r="176" spans="1:14" x14ac:dyDescent="0.25">
      <c r="A176" s="5" t="s">
        <v>10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t="s">
        <v>195</v>
      </c>
      <c r="J177" t="s">
        <v>41</v>
      </c>
      <c r="K177">
        <v>22</v>
      </c>
      <c r="L177" t="s">
        <v>39</v>
      </c>
    </row>
    <row r="178" spans="1:14" x14ac:dyDescent="0.25">
      <c r="A178" t="s">
        <v>200</v>
      </c>
      <c r="J178" t="s">
        <v>41</v>
      </c>
      <c r="K178" s="28">
        <f>K177</f>
        <v>22</v>
      </c>
      <c r="L178" s="28" t="s">
        <v>39</v>
      </c>
    </row>
    <row r="179" spans="1:14" x14ac:dyDescent="0.25">
      <c r="A179" t="s">
        <v>44</v>
      </c>
      <c r="J179" t="s">
        <v>41</v>
      </c>
      <c r="K179">
        <v>100</v>
      </c>
      <c r="L179" t="s">
        <v>39</v>
      </c>
    </row>
    <row r="180" spans="1:14" x14ac:dyDescent="0.25">
      <c r="A180" t="s">
        <v>196</v>
      </c>
      <c r="J180" t="s">
        <v>41</v>
      </c>
      <c r="K180">
        <v>4</v>
      </c>
      <c r="L180" t="s">
        <v>39</v>
      </c>
    </row>
    <row r="181" spans="1:14" x14ac:dyDescent="0.25">
      <c r="A181" t="s">
        <v>201</v>
      </c>
      <c r="J181" t="s">
        <v>41</v>
      </c>
      <c r="K181" s="28">
        <f>K180</f>
        <v>4</v>
      </c>
      <c r="L181" s="28" t="s">
        <v>39</v>
      </c>
    </row>
    <row r="182" spans="1:14" x14ac:dyDescent="0.25">
      <c r="A182" t="s">
        <v>94</v>
      </c>
      <c r="J182" t="s">
        <v>41</v>
      </c>
      <c r="K182">
        <v>100</v>
      </c>
      <c r="L182" t="s">
        <v>39</v>
      </c>
    </row>
    <row r="183" spans="1:14" x14ac:dyDescent="0.25">
      <c r="A183" t="s">
        <v>197</v>
      </c>
      <c r="J183" t="s">
        <v>41</v>
      </c>
      <c r="K183">
        <v>8</v>
      </c>
      <c r="L183" t="s">
        <v>39</v>
      </c>
    </row>
    <row r="184" spans="1:14" x14ac:dyDescent="0.25">
      <c r="A184" t="s">
        <v>202</v>
      </c>
      <c r="J184" t="s">
        <v>41</v>
      </c>
      <c r="K184" s="28">
        <f>K183</f>
        <v>8</v>
      </c>
      <c r="L184" s="28" t="s">
        <v>39</v>
      </c>
    </row>
    <row r="185" spans="1:14" x14ac:dyDescent="0.25">
      <c r="A185" t="s">
        <v>198</v>
      </c>
      <c r="J185" t="s">
        <v>41</v>
      </c>
      <c r="K185">
        <v>1</v>
      </c>
      <c r="L185" t="s">
        <v>39</v>
      </c>
    </row>
    <row r="186" spans="1:14" x14ac:dyDescent="0.25">
      <c r="A186" t="s">
        <v>203</v>
      </c>
      <c r="J186" t="s">
        <v>41</v>
      </c>
      <c r="K186" s="28">
        <f>K185</f>
        <v>1</v>
      </c>
      <c r="L186" s="28" t="s">
        <v>39</v>
      </c>
    </row>
    <row r="187" spans="1:14" x14ac:dyDescent="0.25">
      <c r="A187" t="s">
        <v>199</v>
      </c>
      <c r="J187" t="s">
        <v>41</v>
      </c>
      <c r="K187" s="7">
        <v>22</v>
      </c>
      <c r="L187" s="18" t="s">
        <v>39</v>
      </c>
      <c r="M187" t="s">
        <v>163</v>
      </c>
    </row>
    <row r="188" spans="1:14" x14ac:dyDescent="0.25">
      <c r="A188" t="s">
        <v>205</v>
      </c>
      <c r="J188" t="s">
        <v>41</v>
      </c>
      <c r="K188" s="28">
        <f>K187</f>
        <v>22</v>
      </c>
      <c r="L188" s="28" t="s">
        <v>39</v>
      </c>
    </row>
    <row r="189" spans="1:14" x14ac:dyDescent="0.25">
      <c r="A189" s="5" t="s">
        <v>11</v>
      </c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6"/>
      <c r="M189" s="6"/>
      <c r="N189" s="6"/>
    </row>
    <row r="190" spans="1:14" x14ac:dyDescent="0.25">
      <c r="A190" s="7" t="s">
        <v>105</v>
      </c>
      <c r="J190" t="s">
        <v>41</v>
      </c>
      <c r="K190" s="18">
        <v>16</v>
      </c>
      <c r="L190" s="18" t="s">
        <v>39</v>
      </c>
    </row>
    <row r="191" spans="1:14" x14ac:dyDescent="0.25">
      <c r="A191" s="7" t="s">
        <v>106</v>
      </c>
      <c r="J191" t="s">
        <v>41</v>
      </c>
      <c r="K191" s="18">
        <v>16</v>
      </c>
      <c r="L191" s="18" t="s">
        <v>39</v>
      </c>
    </row>
    <row r="192" spans="1:14" x14ac:dyDescent="0.25">
      <c r="A192" s="7" t="s">
        <v>108</v>
      </c>
      <c r="J192" t="s">
        <v>41</v>
      </c>
      <c r="K192" s="18">
        <v>16</v>
      </c>
      <c r="L192" s="18" t="s">
        <v>39</v>
      </c>
    </row>
    <row r="193" spans="1:14" x14ac:dyDescent="0.25">
      <c r="A193" s="7" t="s">
        <v>107</v>
      </c>
      <c r="J193" t="s">
        <v>41</v>
      </c>
      <c r="K193" s="18">
        <v>16</v>
      </c>
      <c r="L193" s="18" t="s">
        <v>39</v>
      </c>
    </row>
    <row r="194" spans="1:14" x14ac:dyDescent="0.25">
      <c r="A194" s="5" t="s">
        <v>12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s="18" t="s">
        <v>149</v>
      </c>
      <c r="J195" t="s">
        <v>41</v>
      </c>
      <c r="K195">
        <v>7</v>
      </c>
      <c r="L195" s="18" t="s">
        <v>39</v>
      </c>
    </row>
    <row r="196" spans="1:14" x14ac:dyDescent="0.25">
      <c r="A196" s="18" t="s">
        <v>155</v>
      </c>
      <c r="J196" t="s">
        <v>41</v>
      </c>
      <c r="K196" s="18">
        <v>35</v>
      </c>
      <c r="L196" s="18" t="s">
        <v>39</v>
      </c>
    </row>
    <row r="197" spans="1:14" x14ac:dyDescent="0.25">
      <c r="A197" s="18" t="s">
        <v>151</v>
      </c>
      <c r="J197" t="s">
        <v>41</v>
      </c>
      <c r="K197" s="18">
        <v>63</v>
      </c>
      <c r="L197" s="18" t="s">
        <v>39</v>
      </c>
    </row>
    <row r="198" spans="1:14" x14ac:dyDescent="0.25">
      <c r="A198" s="18" t="s">
        <v>152</v>
      </c>
      <c r="J198" t="s">
        <v>41</v>
      </c>
      <c r="K198" s="18">
        <v>54</v>
      </c>
      <c r="L198" s="18" t="s">
        <v>39</v>
      </c>
      <c r="M198" s="7"/>
    </row>
    <row r="199" spans="1:14" x14ac:dyDescent="0.25">
      <c r="A199" s="18" t="s">
        <v>153</v>
      </c>
      <c r="J199" t="s">
        <v>41</v>
      </c>
      <c r="K199" s="7">
        <v>70</v>
      </c>
      <c r="L199" s="18" t="s">
        <v>39</v>
      </c>
      <c r="M199" s="7" t="s">
        <v>164</v>
      </c>
    </row>
    <row r="200" spans="1:14" x14ac:dyDescent="0.25">
      <c r="A200" s="18" t="s">
        <v>154</v>
      </c>
      <c r="J200" t="s">
        <v>41</v>
      </c>
      <c r="K200" s="18">
        <v>10</v>
      </c>
      <c r="L200" s="18" t="s">
        <v>39</v>
      </c>
    </row>
    <row r="201" spans="1:14" x14ac:dyDescent="0.25">
      <c r="A201" s="18" t="s">
        <v>114</v>
      </c>
      <c r="J201" t="s">
        <v>41</v>
      </c>
      <c r="K201" s="18">
        <v>90</v>
      </c>
      <c r="L201" s="18" t="s">
        <v>39</v>
      </c>
    </row>
    <row r="202" spans="1:14" x14ac:dyDescent="0.25">
      <c r="A202" s="18" t="s">
        <v>117</v>
      </c>
      <c r="J202" t="s">
        <v>41</v>
      </c>
      <c r="K202" s="18">
        <v>46</v>
      </c>
      <c r="L202" s="18" t="s">
        <v>39</v>
      </c>
    </row>
    <row r="203" spans="1:14" x14ac:dyDescent="0.25">
      <c r="A203" s="18" t="s">
        <v>162</v>
      </c>
      <c r="J203" t="s">
        <v>41</v>
      </c>
      <c r="K203" s="7">
        <v>0</v>
      </c>
      <c r="L203" s="18" t="s">
        <v>39</v>
      </c>
    </row>
    <row r="204" spans="1:14" x14ac:dyDescent="0.25">
      <c r="A204" s="5" t="s">
        <v>14</v>
      </c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6"/>
      <c r="M204" s="6"/>
      <c r="N204" s="6"/>
    </row>
    <row r="205" spans="1:14" x14ac:dyDescent="0.25">
      <c r="A205" s="7" t="s">
        <v>65</v>
      </c>
      <c r="J205" t="s">
        <v>41</v>
      </c>
      <c r="K205" s="14">
        <f>8.5*20/(29.5+8.5)</f>
        <v>4.4736842105263159</v>
      </c>
      <c r="L205" t="s">
        <v>39</v>
      </c>
    </row>
    <row r="206" spans="1:14" x14ac:dyDescent="0.25">
      <c r="A206" s="7" t="s">
        <v>64</v>
      </c>
      <c r="J206" t="s">
        <v>41</v>
      </c>
      <c r="K206" s="14">
        <f>(80.7*0+14.4*20+0.3*5*0)/(80.7+14.4+0.3*5)</f>
        <v>2.981366459627329</v>
      </c>
      <c r="L206" t="s">
        <v>39</v>
      </c>
    </row>
    <row r="207" spans="1:14" x14ac:dyDescent="0.25">
      <c r="A207" s="7" t="s">
        <v>66</v>
      </c>
      <c r="J207" t="s">
        <v>41</v>
      </c>
      <c r="K207" s="14">
        <f>(45.6*0+44.1*20+1.3*5*0+1.8*10*0)/(45.6+44.1+1.3*5+1.8*10)</f>
        <v>7.723292469352014</v>
      </c>
      <c r="L207" t="s">
        <v>39</v>
      </c>
    </row>
    <row r="208" spans="1:14" x14ac:dyDescent="0.25">
      <c r="A208" s="7" t="s">
        <v>67</v>
      </c>
      <c r="J208" t="s">
        <v>41</v>
      </c>
      <c r="K208">
        <f>60</f>
        <v>60</v>
      </c>
      <c r="L208" t="s">
        <v>39</v>
      </c>
    </row>
    <row r="209" spans="1:14" x14ac:dyDescent="0.25">
      <c r="A209" s="7" t="s">
        <v>71</v>
      </c>
      <c r="J209" t="s">
        <v>41</v>
      </c>
      <c r="K209">
        <v>0</v>
      </c>
      <c r="L209" t="s">
        <v>39</v>
      </c>
    </row>
    <row r="210" spans="1:14" x14ac:dyDescent="0.25">
      <c r="A210" s="7" t="s">
        <v>72</v>
      </c>
      <c r="J210" t="s">
        <v>41</v>
      </c>
      <c r="K210">
        <v>20</v>
      </c>
      <c r="L210" t="s">
        <v>39</v>
      </c>
    </row>
    <row r="211" spans="1:14" x14ac:dyDescent="0.25">
      <c r="A211" s="7" t="s">
        <v>69</v>
      </c>
      <c r="J211" t="s">
        <v>41</v>
      </c>
      <c r="K211">
        <v>20</v>
      </c>
      <c r="L211" t="s">
        <v>39</v>
      </c>
    </row>
    <row r="212" spans="1:14" x14ac:dyDescent="0.25">
      <c r="A212" s="7" t="s">
        <v>70</v>
      </c>
      <c r="J212" t="s">
        <v>41</v>
      </c>
      <c r="K212">
        <v>20</v>
      </c>
      <c r="L212" t="s">
        <v>39</v>
      </c>
    </row>
    <row r="213" spans="1:14" x14ac:dyDescent="0.25">
      <c r="A213" s="7" t="s">
        <v>68</v>
      </c>
      <c r="J213" t="s">
        <v>41</v>
      </c>
      <c r="K213">
        <f>43</f>
        <v>43</v>
      </c>
      <c r="L213" t="s">
        <v>39</v>
      </c>
    </row>
    <row r="214" spans="1:14" x14ac:dyDescent="0.25">
      <c r="A214" s="5" t="s">
        <v>23</v>
      </c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6"/>
      <c r="M214" s="6"/>
      <c r="N214" s="6"/>
    </row>
    <row r="215" spans="1:14" x14ac:dyDescent="0.25">
      <c r="A215" t="s">
        <v>57</v>
      </c>
      <c r="J215" t="s">
        <v>41</v>
      </c>
      <c r="K215">
        <v>36</v>
      </c>
      <c r="L215" t="s">
        <v>39</v>
      </c>
    </row>
    <row r="216" spans="1:14" x14ac:dyDescent="0.25">
      <c r="A216" t="s">
        <v>101</v>
      </c>
      <c r="J216" t="s">
        <v>41</v>
      </c>
      <c r="K216" s="18">
        <v>43</v>
      </c>
      <c r="L216" t="s">
        <v>39</v>
      </c>
    </row>
    <row r="217" spans="1:14" x14ac:dyDescent="0.25">
      <c r="A217" s="5" t="s">
        <v>22</v>
      </c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6"/>
      <c r="M217" s="6"/>
      <c r="N217" s="6"/>
    </row>
    <row r="218" spans="1:14" x14ac:dyDescent="0.25">
      <c r="A218" t="s">
        <v>140</v>
      </c>
      <c r="J218" t="s">
        <v>41</v>
      </c>
      <c r="K218" s="16">
        <v>52</v>
      </c>
      <c r="L218" t="s">
        <v>39</v>
      </c>
      <c r="M218" s="25"/>
    </row>
    <row r="219" spans="1:14" x14ac:dyDescent="0.25">
      <c r="A219" s="5" t="s">
        <v>29</v>
      </c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6"/>
      <c r="M219" s="6"/>
      <c r="N219" s="6"/>
    </row>
    <row r="220" spans="1:14" x14ac:dyDescent="0.25">
      <c r="A220" t="s">
        <v>119</v>
      </c>
      <c r="J220" t="s">
        <v>41</v>
      </c>
      <c r="K220">
        <v>4</v>
      </c>
      <c r="L220" t="s">
        <v>39</v>
      </c>
      <c r="M220" t="s">
        <v>121</v>
      </c>
    </row>
    <row r="222" spans="1:14" x14ac:dyDescent="0.25">
      <c r="A222" s="3" t="s">
        <v>165</v>
      </c>
      <c r="B222" s="3"/>
      <c r="C222" s="3"/>
      <c r="D222" s="3"/>
      <c r="E222" s="3"/>
      <c r="F222" s="3"/>
      <c r="G222" s="3"/>
      <c r="H222" s="3"/>
      <c r="I222" s="3"/>
      <c r="J222" s="4"/>
      <c r="K222" s="4"/>
      <c r="L222" s="4"/>
      <c r="M222" s="4"/>
      <c r="N222" s="4"/>
    </row>
    <row r="223" spans="1:14" x14ac:dyDescent="0.25">
      <c r="G223" s="8"/>
      <c r="H223" s="8" t="s">
        <v>47</v>
      </c>
      <c r="I223" s="8"/>
      <c r="J223" s="8" t="s">
        <v>42</v>
      </c>
      <c r="K223" s="8">
        <v>-100</v>
      </c>
      <c r="L223" s="8" t="s">
        <v>48</v>
      </c>
      <c r="M223" s="8" t="s">
        <v>193</v>
      </c>
    </row>
    <row r="224" spans="1:14" x14ac:dyDescent="0.25">
      <c r="G224" s="8"/>
      <c r="H224" s="8" t="s">
        <v>45</v>
      </c>
      <c r="I224" s="8"/>
      <c r="J224" s="8" t="s">
        <v>42</v>
      </c>
      <c r="K224" s="8">
        <v>0</v>
      </c>
      <c r="L224" s="8" t="s">
        <v>39</v>
      </c>
      <c r="M224" s="8" t="s">
        <v>46</v>
      </c>
    </row>
    <row r="225" spans="1:14" x14ac:dyDescent="0.25">
      <c r="A225" s="5" t="s">
        <v>10</v>
      </c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6"/>
      <c r="M225" s="6"/>
      <c r="N225" s="6"/>
    </row>
    <row r="226" spans="1:14" x14ac:dyDescent="0.25">
      <c r="A226" t="s">
        <v>35</v>
      </c>
      <c r="G226" t="s">
        <v>90</v>
      </c>
      <c r="H226" t="s">
        <v>45</v>
      </c>
      <c r="J226" t="s">
        <v>42</v>
      </c>
      <c r="K226" s="18">
        <v>5.3</v>
      </c>
      <c r="L226" t="s">
        <v>39</v>
      </c>
      <c r="M226" t="s">
        <v>183</v>
      </c>
      <c r="N226" t="s">
        <v>104</v>
      </c>
    </row>
    <row r="227" spans="1:14" x14ac:dyDescent="0.25">
      <c r="A227" t="s">
        <v>50</v>
      </c>
      <c r="G227" t="s">
        <v>90</v>
      </c>
      <c r="H227" t="s">
        <v>45</v>
      </c>
      <c r="J227" t="s">
        <v>42</v>
      </c>
      <c r="K227" s="18">
        <v>4.9000000000000004</v>
      </c>
      <c r="L227" t="s">
        <v>39</v>
      </c>
      <c r="M227" t="s">
        <v>183</v>
      </c>
      <c r="N227" t="s">
        <v>104</v>
      </c>
    </row>
    <row r="228" spans="1:14" x14ac:dyDescent="0.25">
      <c r="A228" t="s">
        <v>93</v>
      </c>
      <c r="G228" t="s">
        <v>90</v>
      </c>
      <c r="H228" t="s">
        <v>45</v>
      </c>
      <c r="J228" t="s">
        <v>42</v>
      </c>
      <c r="K228" s="18">
        <v>12.7</v>
      </c>
      <c r="L228" t="s">
        <v>39</v>
      </c>
      <c r="M228" t="s">
        <v>183</v>
      </c>
      <c r="N228" t="s">
        <v>104</v>
      </c>
    </row>
    <row r="229" spans="1:14" x14ac:dyDescent="0.25">
      <c r="A229" t="s">
        <v>92</v>
      </c>
      <c r="G229" t="s">
        <v>90</v>
      </c>
      <c r="H229" t="s">
        <v>45</v>
      </c>
      <c r="J229" t="s">
        <v>42</v>
      </c>
      <c r="K229" s="18">
        <v>24</v>
      </c>
      <c r="L229" t="s">
        <v>39</v>
      </c>
      <c r="M229" t="s">
        <v>184</v>
      </c>
      <c r="N229" s="27" t="s">
        <v>181</v>
      </c>
    </row>
    <row r="230" spans="1:14" x14ac:dyDescent="0.25">
      <c r="A230" t="s">
        <v>91</v>
      </c>
      <c r="G230" t="s">
        <v>90</v>
      </c>
      <c r="H230" t="s">
        <v>45</v>
      </c>
      <c r="J230" t="s">
        <v>42</v>
      </c>
      <c r="K230" s="7">
        <v>10</v>
      </c>
      <c r="L230" t="s">
        <v>39</v>
      </c>
    </row>
    <row r="231" spans="1:14" x14ac:dyDescent="0.25">
      <c r="A231" s="5" t="s">
        <v>11</v>
      </c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6"/>
      <c r="M231" s="6"/>
      <c r="N231" s="6"/>
    </row>
    <row r="232" spans="1:14" x14ac:dyDescent="0.25">
      <c r="A232" s="7" t="s">
        <v>105</v>
      </c>
      <c r="G232" t="s">
        <v>90</v>
      </c>
      <c r="H232" t="s">
        <v>45</v>
      </c>
      <c r="J232" t="s">
        <v>42</v>
      </c>
      <c r="K232" s="18">
        <v>12</v>
      </c>
      <c r="L232" t="s">
        <v>39</v>
      </c>
      <c r="N232" s="27" t="s">
        <v>181</v>
      </c>
    </row>
    <row r="233" spans="1:14" x14ac:dyDescent="0.25">
      <c r="A233" s="7" t="s">
        <v>106</v>
      </c>
      <c r="G233" t="s">
        <v>90</v>
      </c>
      <c r="H233" t="s">
        <v>45</v>
      </c>
      <c r="J233" t="s">
        <v>42</v>
      </c>
      <c r="K233" s="18">
        <v>12</v>
      </c>
      <c r="L233" t="s">
        <v>39</v>
      </c>
      <c r="N233" s="27" t="s">
        <v>181</v>
      </c>
    </row>
    <row r="234" spans="1:14" x14ac:dyDescent="0.25">
      <c r="A234" s="7" t="s">
        <v>108</v>
      </c>
      <c r="G234" t="s">
        <v>90</v>
      </c>
      <c r="H234" t="s">
        <v>45</v>
      </c>
      <c r="J234" t="s">
        <v>42</v>
      </c>
      <c r="K234" s="18">
        <v>0</v>
      </c>
      <c r="L234" t="s">
        <v>39</v>
      </c>
    </row>
    <row r="235" spans="1:14" x14ac:dyDescent="0.25">
      <c r="A235" s="7" t="s">
        <v>107</v>
      </c>
      <c r="G235" t="s">
        <v>90</v>
      </c>
      <c r="H235" t="s">
        <v>45</v>
      </c>
      <c r="J235" t="s">
        <v>42</v>
      </c>
      <c r="K235" s="18">
        <v>0</v>
      </c>
      <c r="L235" t="s">
        <v>39</v>
      </c>
    </row>
    <row r="236" spans="1:14" x14ac:dyDescent="0.25">
      <c r="A236" s="5" t="s">
        <v>12</v>
      </c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6"/>
      <c r="M236" s="6"/>
      <c r="N236" s="6"/>
    </row>
    <row r="237" spans="1:14" x14ac:dyDescent="0.25">
      <c r="A237" s="18" t="s">
        <v>149</v>
      </c>
      <c r="G237" t="s">
        <v>90</v>
      </c>
      <c r="H237" t="s">
        <v>45</v>
      </c>
      <c r="J237" t="s">
        <v>42</v>
      </c>
      <c r="K237" s="18">
        <v>25</v>
      </c>
      <c r="L237" t="s">
        <v>39</v>
      </c>
      <c r="M237" t="s">
        <v>186</v>
      </c>
      <c r="N237" s="27" t="s">
        <v>181</v>
      </c>
    </row>
    <row r="238" spans="1:14" x14ac:dyDescent="0.25">
      <c r="A238" s="18" t="s">
        <v>155</v>
      </c>
      <c r="G238" t="s">
        <v>90</v>
      </c>
      <c r="H238" t="s">
        <v>45</v>
      </c>
      <c r="J238" t="s">
        <v>42</v>
      </c>
      <c r="K238" s="18">
        <v>13</v>
      </c>
      <c r="L238" t="s">
        <v>39</v>
      </c>
      <c r="M238" t="s">
        <v>187</v>
      </c>
      <c r="N238" s="27" t="s">
        <v>181</v>
      </c>
    </row>
    <row r="239" spans="1:14" x14ac:dyDescent="0.25">
      <c r="A239" s="18"/>
      <c r="K239" s="18"/>
      <c r="N239" s="27"/>
    </row>
    <row r="240" spans="1:14" x14ac:dyDescent="0.25">
      <c r="A240" s="18" t="s">
        <v>152</v>
      </c>
      <c r="G240" t="s">
        <v>90</v>
      </c>
      <c r="H240" t="s">
        <v>45</v>
      </c>
      <c r="J240" t="s">
        <v>42</v>
      </c>
      <c r="K240" s="18">
        <v>19</v>
      </c>
      <c r="L240" t="s">
        <v>39</v>
      </c>
      <c r="M240" t="s">
        <v>185</v>
      </c>
      <c r="N240" s="27" t="s">
        <v>181</v>
      </c>
    </row>
    <row r="241" spans="1:14" x14ac:dyDescent="0.25">
      <c r="A241" s="18" t="s">
        <v>114</v>
      </c>
      <c r="G241" t="s">
        <v>90</v>
      </c>
      <c r="H241" t="s">
        <v>45</v>
      </c>
      <c r="J241" t="s">
        <v>42</v>
      </c>
      <c r="K241" s="18">
        <v>9</v>
      </c>
      <c r="L241" t="s">
        <v>39</v>
      </c>
      <c r="M241" t="s">
        <v>189</v>
      </c>
      <c r="N241" s="27" t="s">
        <v>181</v>
      </c>
    </row>
    <row r="242" spans="1:14" x14ac:dyDescent="0.25">
      <c r="A242" s="18" t="s">
        <v>117</v>
      </c>
      <c r="G242" t="s">
        <v>90</v>
      </c>
      <c r="H242" t="s">
        <v>45</v>
      </c>
      <c r="J242" t="s">
        <v>42</v>
      </c>
      <c r="K242" s="18">
        <v>11</v>
      </c>
      <c r="L242" t="s">
        <v>39</v>
      </c>
      <c r="M242" s="27" t="s">
        <v>188</v>
      </c>
      <c r="N242" s="27" t="s">
        <v>181</v>
      </c>
    </row>
    <row r="243" spans="1:14" x14ac:dyDescent="0.25">
      <c r="A243" s="5" t="s">
        <v>14</v>
      </c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6"/>
      <c r="M243" s="6"/>
      <c r="N243" s="6"/>
    </row>
    <row r="244" spans="1:14" x14ac:dyDescent="0.25">
      <c r="A244" s="7"/>
      <c r="B244" t="s">
        <v>84</v>
      </c>
      <c r="G244" t="s">
        <v>90</v>
      </c>
      <c r="H244" t="s">
        <v>45</v>
      </c>
      <c r="J244" t="s">
        <v>42</v>
      </c>
      <c r="K244" s="16">
        <v>17</v>
      </c>
      <c r="L244" t="s">
        <v>39</v>
      </c>
      <c r="M244" t="s">
        <v>182</v>
      </c>
      <c r="N244" t="s">
        <v>100</v>
      </c>
    </row>
    <row r="245" spans="1:14" x14ac:dyDescent="0.25">
      <c r="A245" s="5" t="s">
        <v>23</v>
      </c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6"/>
      <c r="M245" s="6"/>
      <c r="N245" s="6"/>
    </row>
    <row r="246" spans="1:14" x14ac:dyDescent="0.25">
      <c r="A246" t="s">
        <v>57</v>
      </c>
      <c r="G246" t="s">
        <v>90</v>
      </c>
      <c r="H246" t="s">
        <v>45</v>
      </c>
      <c r="J246" t="s">
        <v>42</v>
      </c>
      <c r="K246" s="7">
        <v>2.4</v>
      </c>
      <c r="L246" t="s">
        <v>39</v>
      </c>
    </row>
    <row r="247" spans="1:14" x14ac:dyDescent="0.25">
      <c r="A247" t="s">
        <v>101</v>
      </c>
      <c r="G247" t="s">
        <v>90</v>
      </c>
      <c r="H247" t="s">
        <v>45</v>
      </c>
      <c r="J247" t="s">
        <v>42</v>
      </c>
      <c r="K247" s="7">
        <v>15.4</v>
      </c>
      <c r="L247" t="s">
        <v>39</v>
      </c>
    </row>
    <row r="248" spans="1:14" x14ac:dyDescent="0.25">
      <c r="A248" s="5" t="s">
        <v>22</v>
      </c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6"/>
      <c r="M248" s="6"/>
      <c r="N248" s="6"/>
    </row>
    <row r="249" spans="1:14" x14ac:dyDescent="0.25">
      <c r="A249" t="s">
        <v>140</v>
      </c>
      <c r="G249" t="s">
        <v>90</v>
      </c>
      <c r="H249" t="s">
        <v>45</v>
      </c>
      <c r="J249" t="s">
        <v>42</v>
      </c>
      <c r="K249" s="24">
        <v>1</v>
      </c>
      <c r="L249" t="s">
        <v>39</v>
      </c>
    </row>
    <row r="250" spans="1:14" x14ac:dyDescent="0.25">
      <c r="A250" s="5" t="s">
        <v>29</v>
      </c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6"/>
      <c r="M250" s="6"/>
      <c r="N250" s="6"/>
    </row>
    <row r="251" spans="1:14" x14ac:dyDescent="0.25">
      <c r="A251" t="s">
        <v>119</v>
      </c>
      <c r="G251" t="s">
        <v>90</v>
      </c>
      <c r="H251" t="s">
        <v>45</v>
      </c>
      <c r="J251" t="s">
        <v>42</v>
      </c>
      <c r="K251" s="18">
        <v>8</v>
      </c>
      <c r="L251" t="s">
        <v>39</v>
      </c>
      <c r="M251" t="s">
        <v>180</v>
      </c>
      <c r="N251" s="27" t="s">
        <v>181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166</v>
      </c>
    </row>
    <row r="9" spans="5:5" x14ac:dyDescent="0.25">
      <c r="E9" t="s">
        <v>169</v>
      </c>
    </row>
    <row r="10" spans="5:5" x14ac:dyDescent="0.25">
      <c r="E10" t="s">
        <v>167</v>
      </c>
    </row>
    <row r="11" spans="5:5" x14ac:dyDescent="0.25">
      <c r="E11" t="s">
        <v>168</v>
      </c>
    </row>
    <row r="12" spans="5:5" x14ac:dyDescent="0.25">
      <c r="E12" t="s">
        <v>171</v>
      </c>
    </row>
    <row r="13" spans="5:5" x14ac:dyDescent="0.25">
      <c r="E13" t="s">
        <v>170</v>
      </c>
    </row>
    <row r="15" spans="5:5" x14ac:dyDescent="0.25">
      <c r="E15" s="26" t="s">
        <v>172</v>
      </c>
    </row>
    <row r="16" spans="5:5" x14ac:dyDescent="0.25">
      <c r="E16" t="s">
        <v>173</v>
      </c>
    </row>
    <row r="17" spans="5:5" x14ac:dyDescent="0.25">
      <c r="E17" t="s">
        <v>174</v>
      </c>
    </row>
    <row r="19" spans="5:5" x14ac:dyDescent="0.25">
      <c r="E19" s="26" t="s">
        <v>175</v>
      </c>
    </row>
    <row r="20" spans="5:5" x14ac:dyDescent="0.25">
      <c r="E20" t="s">
        <v>177</v>
      </c>
    </row>
    <row r="21" spans="5:5" x14ac:dyDescent="0.25">
      <c r="E21" t="s">
        <v>176</v>
      </c>
    </row>
    <row r="23" spans="5:5" x14ac:dyDescent="0.25">
      <c r="E23" s="26" t="s">
        <v>178</v>
      </c>
    </row>
    <row r="24" spans="5:5" x14ac:dyDescent="0.25">
      <c r="E24" t="s">
        <v>179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2023-05-15T08:57:40Z</dcterms:modified>
</cp:coreProperties>
</file>