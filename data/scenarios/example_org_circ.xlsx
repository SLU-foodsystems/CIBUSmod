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tabRatio="746" activeTab="2"/>
  </bookViews>
  <sheets>
    <sheet name="Regions" sheetId="5" r:id="rId1"/>
    <sheet name="DemandAndConversions" sheetId="1" r:id="rId2"/>
    <sheet name="CropProduction" sheetId="10" r:id="rId3"/>
    <sheet name="CattleHerd" sheetId="2" r:id="rId4"/>
    <sheet name="PigHerd" sheetId="7" r:id="rId5"/>
    <sheet name="BroilerHerd" sheetId="8" r:id="rId6"/>
    <sheet name="LayerHerd" sheetId="9" r:id="rId7"/>
    <sheet name="WasteAndCircularity" sheetId="3" r:id="rId8"/>
    <sheet name="PlantNutrientMgmt" sheetId="4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2" i="5" l="1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5" i="5"/>
  <c r="G7" i="5"/>
  <c r="G8" i="5"/>
  <c r="G9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2" i="5"/>
  <c r="G34" i="5"/>
  <c r="G35" i="5"/>
  <c r="G33" i="5"/>
  <c r="M3" i="5"/>
  <c r="G4" i="5" s="1"/>
  <c r="I76" i="1"/>
  <c r="I82" i="1"/>
  <c r="I81" i="1"/>
  <c r="I80" i="1"/>
  <c r="I78" i="1"/>
  <c r="I74" i="1"/>
  <c r="I73" i="1"/>
  <c r="I71" i="1"/>
  <c r="I70" i="1"/>
  <c r="I69" i="1"/>
  <c r="I68" i="1"/>
  <c r="I67" i="1"/>
  <c r="I66" i="1"/>
  <c r="I64" i="1"/>
  <c r="I62" i="1"/>
  <c r="I61" i="1"/>
  <c r="I60" i="1"/>
  <c r="I59" i="1"/>
  <c r="I57" i="1"/>
  <c r="I56" i="1"/>
  <c r="I55" i="1"/>
  <c r="I54" i="1"/>
  <c r="I53" i="1"/>
  <c r="I52" i="1"/>
  <c r="I51" i="1"/>
  <c r="I49" i="1"/>
  <c r="I48" i="1"/>
  <c r="I47" i="1"/>
  <c r="I37" i="1"/>
  <c r="I38" i="1"/>
  <c r="I39" i="1"/>
  <c r="I40" i="1"/>
  <c r="I41" i="1"/>
  <c r="I42" i="1"/>
  <c r="I43" i="1"/>
  <c r="I44" i="1"/>
  <c r="I45" i="1"/>
  <c r="I36" i="1"/>
  <c r="G6" i="5" l="1"/>
  <c r="G10" i="5"/>
  <c r="G81" i="5"/>
  <c r="I31" i="1" l="1"/>
  <c r="I30" i="1"/>
  <c r="I29" i="1"/>
  <c r="I28" i="1"/>
  <c r="I16" i="2"/>
  <c r="I15" i="2"/>
  <c r="I14" i="2"/>
  <c r="I13" i="2"/>
  <c r="I12" i="2"/>
  <c r="I11" i="2"/>
  <c r="I18" i="1" l="1"/>
  <c r="I16" i="1"/>
  <c r="I17" i="1" l="1"/>
  <c r="K18" i="1" s="1"/>
</calcChain>
</file>

<file path=xl/sharedStrings.xml><?xml version="1.0" encoding="utf-8"?>
<sst xmlns="http://schemas.openxmlformats.org/spreadsheetml/2006/main" count="1153" uniqueCount="151">
  <si>
    <t>val_is</t>
  </si>
  <si>
    <t>parameter</t>
  </si>
  <si>
    <t>f_breed</t>
  </si>
  <si>
    <t>f_prod_system</t>
  </si>
  <si>
    <t>dairy</t>
  </si>
  <si>
    <t>beef</t>
  </si>
  <si>
    <t>conventional</t>
  </si>
  <si>
    <t>y_2020</t>
  </si>
  <si>
    <t>organic</t>
  </si>
  <si>
    <t>share_in_prod_system</t>
  </si>
  <si>
    <t>rel</t>
  </si>
  <si>
    <t>Animal redistribution</t>
  </si>
  <si>
    <t>redist_male_calves</t>
  </si>
  <si>
    <t>redist_female_calves</t>
  </si>
  <si>
    <t>f_from_ps</t>
  </si>
  <si>
    <t>f_to_ps</t>
  </si>
  <si>
    <t>y_2050</t>
  </si>
  <si>
    <t>Pig meat and products</t>
  </si>
  <si>
    <t>Poultry meat and products</t>
  </si>
  <si>
    <t>f_food</t>
  </si>
  <si>
    <t>non_food_demand</t>
  </si>
  <si>
    <t>Ley, biogas feedstock</t>
  </si>
  <si>
    <t>f_food_group</t>
  </si>
  <si>
    <t>non-food</t>
  </si>
  <si>
    <t>new</t>
  </si>
  <si>
    <t>unit</t>
  </si>
  <si>
    <t>tonnes DM</t>
  </si>
  <si>
    <t>f_feedstock_type</t>
  </si>
  <si>
    <t>f_treatment</t>
  </si>
  <si>
    <t>treatment_share</t>
  </si>
  <si>
    <t>food waste, household</t>
  </si>
  <si>
    <t>anaerobic digestion</t>
  </si>
  <si>
    <t>composting</t>
  </si>
  <si>
    <t>incineration</t>
  </si>
  <si>
    <t>landfill</t>
  </si>
  <si>
    <t>food waste, retail</t>
  </si>
  <si>
    <t>food waste, processing</t>
  </si>
  <si>
    <t>abs</t>
  </si>
  <si>
    <t>manure_TAN_max</t>
  </si>
  <si>
    <t>f_crop</t>
  </si>
  <si>
    <t>Green manure</t>
  </si>
  <si>
    <t>x0_crops</t>
  </si>
  <si>
    <t>f_region</t>
  </si>
  <si>
    <t>consumption</t>
  </si>
  <si>
    <t>Peas, dry</t>
  </si>
  <si>
    <t>Broad beans and horse beans, dry</t>
  </si>
  <si>
    <t>Beans, dry</t>
  </si>
  <si>
    <t>Rape and mustard oil and products</t>
  </si>
  <si>
    <t>pulses</t>
  </si>
  <si>
    <t>tubers</t>
  </si>
  <si>
    <t>vegetables</t>
  </si>
  <si>
    <t>fruits</t>
  </si>
  <si>
    <t>Butter</t>
  </si>
  <si>
    <t>Bovine meat and products</t>
  </si>
  <si>
    <t>Mutton/goat meat</t>
  </si>
  <si>
    <t>Eggs</t>
  </si>
  <si>
    <t>heifers</t>
  </si>
  <si>
    <t>live_weight_slaughter</t>
  </si>
  <si>
    <t>steers</t>
  </si>
  <si>
    <t>bulls</t>
  </si>
  <si>
    <t>f_animal</t>
  </si>
  <si>
    <t>slaughter_weight</t>
  </si>
  <si>
    <t>milk_prod</t>
  </si>
  <si>
    <t>finishing pigs</t>
  </si>
  <si>
    <t>broilers</t>
  </si>
  <si>
    <t>feed_conversion_ratio</t>
  </si>
  <si>
    <t>egg_production</t>
  </si>
  <si>
    <t>f_crop_group:crop</t>
  </si>
  <si>
    <t>Wheat, winter</t>
  </si>
  <si>
    <t>yield</t>
  </si>
  <si>
    <t>Wheat, spring</t>
  </si>
  <si>
    <t>Rye</t>
  </si>
  <si>
    <t>Barley, winter</t>
  </si>
  <si>
    <t>Barley, spring</t>
  </si>
  <si>
    <t>Oats</t>
  </si>
  <si>
    <t>Apples</t>
  </si>
  <si>
    <t>Potatoes, table</t>
  </si>
  <si>
    <t>Potatoes, starch</t>
  </si>
  <si>
    <t>Sugar beet</t>
  </si>
  <si>
    <t>Rapeseed, winter</t>
  </si>
  <si>
    <t>Rapeseed, spring</t>
  </si>
  <si>
    <t>Vegetables</t>
  </si>
  <si>
    <t>Vegetables, greenhouse</t>
  </si>
  <si>
    <t>Wheat grains</t>
  </si>
  <si>
    <t>cereals</t>
  </si>
  <si>
    <t>export_demand</t>
  </si>
  <si>
    <t>Barley grains</t>
  </si>
  <si>
    <t>Rye grains</t>
  </si>
  <si>
    <t>Oat grains</t>
  </si>
  <si>
    <t>tonnes</t>
  </si>
  <si>
    <t>0.2 in Basnet et al (2023). Increased  to avoid cream balance problems</t>
  </si>
  <si>
    <t>household</t>
  </si>
  <si>
    <t>waste_share</t>
  </si>
  <si>
    <t>f_waste_level</t>
  </si>
  <si>
    <t>non-manure organic fertilisers to organic areas</t>
  </si>
  <si>
    <t>as possible</t>
  </si>
  <si>
    <t>Set to limit N deficits while distributing as much</t>
  </si>
  <si>
    <t>Sugar and products</t>
  </si>
  <si>
    <t>Wheat and products, refined</t>
  </si>
  <si>
    <t>domestic</t>
  </si>
  <si>
    <t>Wheat and products, whole grain</t>
  </si>
  <si>
    <t>Barley and products, refined</t>
  </si>
  <si>
    <t>Barley and products, whole grain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</si>
  <si>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</si>
  <si>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</si>
  <si>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</si>
  <si>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</si>
  <si>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</si>
  <si>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</si>
  <si>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</si>
  <si>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</si>
  <si>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</si>
  <si>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</si>
  <si>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Carrots and turnips</t>
  </si>
  <si>
    <t>Beetroot</t>
  </si>
  <si>
    <t>Onions, dry</t>
  </si>
  <si>
    <t>Lettuce and spinach</t>
  </si>
  <si>
    <t>Tomatoes and products</t>
  </si>
  <si>
    <t>Cucumbers and gherkins</t>
  </si>
  <si>
    <t>Other vegetables</t>
  </si>
  <si>
    <t>Fruits (excl. wine)</t>
  </si>
  <si>
    <t>Apple juice</t>
  </si>
  <si>
    <t>Apple juice concentrate</t>
  </si>
  <si>
    <t>Pears</t>
  </si>
  <si>
    <t>Dairy foods</t>
  </si>
  <si>
    <t>Meat, offals and animal fats</t>
  </si>
  <si>
    <t>Offals</t>
  </si>
  <si>
    <t>share_imported</t>
  </si>
  <si>
    <t>Blood in food</t>
  </si>
  <si>
    <t>Eggs novel foods</t>
  </si>
  <si>
    <t>Pulses and oil seeds</t>
  </si>
  <si>
    <t>Vegetable oils</t>
  </si>
  <si>
    <t>Alcoholic beverages</t>
  </si>
  <si>
    <t>Barley beer</t>
  </si>
  <si>
    <t>Beverages, fermented and products</t>
  </si>
  <si>
    <t>Beverages, alcoholic</t>
  </si>
  <si>
    <t>f_origin</t>
  </si>
  <si>
    <t>Cereals</t>
  </si>
  <si>
    <t>f</t>
  </si>
  <si>
    <t>min</t>
  </si>
  <si>
    <t>max</t>
  </si>
  <si>
    <t>Share organic</t>
  </si>
  <si>
    <t>max cropland</t>
  </si>
  <si>
    <t>x</t>
  </si>
  <si>
    <t>General factor</t>
  </si>
  <si>
    <t>High factor</t>
  </si>
  <si>
    <t>use high factor</t>
  </si>
  <si>
    <t>max_in_rot</t>
  </si>
  <si>
    <t>f_crop_group</t>
  </si>
  <si>
    <t>Cereals, winter</t>
  </si>
  <si>
    <t>Cereals, spring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</si>
</sst>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0" fillId="0" borderId="0" xfId="0" applyFont="1"/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3" fillId="0" borderId="0" xfId="0" applyFont="1" applyFill="1"/>
    <xf numFmtId="0" fontId="2" fillId="0" borderId="0" xfId="0" applyFont="1"/>
    <xf numFmtId="0" fontId="5" fillId="0" borderId="0" xfId="0" applyFont="1"/>
    <xf numFmtId="164" fontId="0" fillId="0" borderId="0" xfId="0" applyNumberFormat="1"/>
    <xf numFmtId="1" fontId="0" fillId="0" borderId="0" xfId="0" applyNumberFormat="1" applyFont="1"/>
    <xf numFmtId="2" fontId="0" fillId="0" borderId="0" xfId="1" applyNumberFormat="1" applyFont="1"/>
    <xf numFmtId="164" fontId="1" fillId="0" borderId="0" xfId="0" applyNumberFormat="1" applyFont="1" applyFill="1" applyBorder="1"/>
    <xf numFmtId="0" fontId="0" fillId="0" borderId="0" xfId="0" applyFill="1" applyBorder="1"/>
    <xf numFmtId="0" fontId="1" fillId="0" borderId="0" xfId="0" applyFont="1" applyFill="1" applyBorder="1"/>
    <xf numFmtId="0" fontId="5" fillId="0" borderId="0" xfId="0" applyFont="1" applyFill="1" applyBorder="1"/>
    <xf numFmtId="0" fontId="6" fillId="0" borderId="0" xfId="0" applyFont="1" applyFill="1" applyBorder="1"/>
    <xf numFmtId="164" fontId="6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1" fillId="2" borderId="0" xfId="0" applyFont="1" applyFill="1"/>
    <xf numFmtId="0" fontId="1" fillId="0" borderId="0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7"/>
  <sheetViews>
    <sheetView workbookViewId="0">
      <selection activeCell="K5" sqref="K5"/>
    </sheetView>
  </sheetViews>
  <sheetFormatPr defaultRowHeight="15" x14ac:dyDescent="0.25"/>
  <cols>
    <col min="2" max="2" width="13.85546875" bestFit="1" customWidth="1"/>
    <col min="3" max="3" width="13.85546875" customWidth="1"/>
    <col min="4" max="4" width="20.140625" bestFit="1" customWidth="1"/>
  </cols>
  <sheetData>
    <row r="1" spans="1:13" x14ac:dyDescent="0.25">
      <c r="A1" s="1" t="s">
        <v>42</v>
      </c>
      <c r="B1" s="1" t="s">
        <v>39</v>
      </c>
      <c r="C1" s="1" t="s">
        <v>3</v>
      </c>
      <c r="D1" s="1" t="s">
        <v>1</v>
      </c>
      <c r="E1" s="1" t="s">
        <v>0</v>
      </c>
      <c r="F1" s="1" t="s">
        <v>7</v>
      </c>
      <c r="G1" s="1" t="s">
        <v>16</v>
      </c>
      <c r="I1" s="1" t="s">
        <v>142</v>
      </c>
      <c r="J1" s="1" t="s">
        <v>146</v>
      </c>
    </row>
    <row r="2" spans="1:13" x14ac:dyDescent="0.25">
      <c r="A2">
        <v>111</v>
      </c>
      <c r="B2" t="s">
        <v>40</v>
      </c>
      <c r="C2" t="s">
        <v>8</v>
      </c>
      <c r="D2" t="s">
        <v>41</v>
      </c>
      <c r="E2" t="s">
        <v>37</v>
      </c>
      <c r="F2">
        <v>3.85524386673332</v>
      </c>
      <c r="G2">
        <f t="shared" ref="G2:G33" si="0">IF(J2="x",I2*$M$3,I2*$M$2)</f>
        <v>365.65108718379503</v>
      </c>
      <c r="I2">
        <v>36565.108718379503</v>
      </c>
      <c r="K2" t="s">
        <v>144</v>
      </c>
      <c r="M2">
        <v>0.01</v>
      </c>
    </row>
    <row r="3" spans="1:13" x14ac:dyDescent="0.25">
      <c r="A3">
        <v>112</v>
      </c>
      <c r="B3" t="s">
        <v>40</v>
      </c>
      <c r="C3" t="s">
        <v>8</v>
      </c>
      <c r="D3" t="s">
        <v>41</v>
      </c>
      <c r="E3" t="s">
        <v>37</v>
      </c>
      <c r="F3">
        <v>3.12157615521265</v>
      </c>
      <c r="G3">
        <f t="shared" si="0"/>
        <v>325.79675858532102</v>
      </c>
      <c r="I3">
        <v>32579.6758585321</v>
      </c>
      <c r="K3" t="s">
        <v>145</v>
      </c>
      <c r="M3">
        <f>0.5</f>
        <v>0.5</v>
      </c>
    </row>
    <row r="4" spans="1:13" x14ac:dyDescent="0.25">
      <c r="A4" s="25">
        <v>311</v>
      </c>
      <c r="B4" t="s">
        <v>40</v>
      </c>
      <c r="C4" t="s">
        <v>8</v>
      </c>
      <c r="D4" t="s">
        <v>41</v>
      </c>
      <c r="E4" t="s">
        <v>37</v>
      </c>
      <c r="F4">
        <v>86.191315172757598</v>
      </c>
      <c r="G4">
        <f t="shared" si="0"/>
        <v>32328.861113856052</v>
      </c>
      <c r="I4">
        <v>64657.722227712104</v>
      </c>
      <c r="J4" t="s">
        <v>143</v>
      </c>
    </row>
    <row r="5" spans="1:13" x14ac:dyDescent="0.25">
      <c r="A5">
        <v>312</v>
      </c>
      <c r="B5" t="s">
        <v>40</v>
      </c>
      <c r="C5" t="s">
        <v>8</v>
      </c>
      <c r="D5" t="s">
        <v>41</v>
      </c>
      <c r="E5" t="s">
        <v>37</v>
      </c>
      <c r="F5">
        <v>51.547613856836101</v>
      </c>
      <c r="G5">
        <f t="shared" si="0"/>
        <v>259.63654133650203</v>
      </c>
      <c r="I5">
        <v>25963.654133650201</v>
      </c>
    </row>
    <row r="6" spans="1:13" x14ac:dyDescent="0.25">
      <c r="A6" s="25">
        <v>321</v>
      </c>
      <c r="B6" t="s">
        <v>40</v>
      </c>
      <c r="C6" t="s">
        <v>8</v>
      </c>
      <c r="D6" t="s">
        <v>41</v>
      </c>
      <c r="E6" t="s">
        <v>37</v>
      </c>
      <c r="F6">
        <v>174.451971174862</v>
      </c>
      <c r="G6">
        <f t="shared" si="0"/>
        <v>30511.40276393645</v>
      </c>
      <c r="I6">
        <v>61022.805527872901</v>
      </c>
      <c r="J6" t="s">
        <v>143</v>
      </c>
    </row>
    <row r="7" spans="1:13" x14ac:dyDescent="0.25">
      <c r="A7">
        <v>322</v>
      </c>
      <c r="B7" t="s">
        <v>40</v>
      </c>
      <c r="C7" t="s">
        <v>8</v>
      </c>
      <c r="D7" t="s">
        <v>41</v>
      </c>
      <c r="E7" t="s">
        <v>37</v>
      </c>
      <c r="F7">
        <v>12.2023910226289</v>
      </c>
      <c r="G7">
        <f t="shared" si="0"/>
        <v>142.986378429263</v>
      </c>
      <c r="I7">
        <v>14298.6378429263</v>
      </c>
    </row>
    <row r="8" spans="1:13" x14ac:dyDescent="0.25">
      <c r="A8">
        <v>411</v>
      </c>
      <c r="B8" t="s">
        <v>40</v>
      </c>
      <c r="C8" t="s">
        <v>8</v>
      </c>
      <c r="D8" t="s">
        <v>41</v>
      </c>
      <c r="E8" t="s">
        <v>37</v>
      </c>
      <c r="F8">
        <v>27.514925098187501</v>
      </c>
      <c r="G8">
        <f t="shared" si="0"/>
        <v>431.40482026774998</v>
      </c>
      <c r="I8">
        <v>43140.482026774996</v>
      </c>
    </row>
    <row r="9" spans="1:13" x14ac:dyDescent="0.25">
      <c r="A9">
        <v>421</v>
      </c>
      <c r="B9" t="s">
        <v>40</v>
      </c>
      <c r="C9" t="s">
        <v>8</v>
      </c>
      <c r="D9" t="s">
        <v>41</v>
      </c>
      <c r="E9" t="s">
        <v>37</v>
      </c>
      <c r="F9">
        <v>28.865765763490401</v>
      </c>
      <c r="G9">
        <f t="shared" si="0"/>
        <v>425.94471431222303</v>
      </c>
      <c r="I9">
        <v>42594.4714312223</v>
      </c>
    </row>
    <row r="10" spans="1:13" x14ac:dyDescent="0.25">
      <c r="A10" s="25">
        <v>422</v>
      </c>
      <c r="B10" t="s">
        <v>40</v>
      </c>
      <c r="C10" t="s">
        <v>8</v>
      </c>
      <c r="D10" t="s">
        <v>41</v>
      </c>
      <c r="E10" t="s">
        <v>37</v>
      </c>
      <c r="F10">
        <v>37.582730679716597</v>
      </c>
      <c r="G10">
        <f t="shared" si="0"/>
        <v>14763.841399668299</v>
      </c>
      <c r="I10">
        <v>29527.682799336599</v>
      </c>
      <c r="J10" t="s">
        <v>143</v>
      </c>
    </row>
    <row r="11" spans="1:13" x14ac:dyDescent="0.25">
      <c r="A11">
        <v>431</v>
      </c>
      <c r="B11" t="s">
        <v>40</v>
      </c>
      <c r="C11" t="s">
        <v>8</v>
      </c>
      <c r="D11" t="s">
        <v>41</v>
      </c>
      <c r="E11" t="s">
        <v>37</v>
      </c>
      <c r="F11">
        <v>22.0288663629415</v>
      </c>
      <c r="G11">
        <f t="shared" si="0"/>
        <v>409.82180120495701</v>
      </c>
      <c r="I11">
        <v>40982.180120495701</v>
      </c>
    </row>
    <row r="12" spans="1:13" x14ac:dyDescent="0.25">
      <c r="A12">
        <v>511</v>
      </c>
      <c r="B12" t="s">
        <v>40</v>
      </c>
      <c r="C12" t="s">
        <v>8</v>
      </c>
      <c r="D12" t="s">
        <v>41</v>
      </c>
      <c r="E12" t="s">
        <v>37</v>
      </c>
      <c r="F12">
        <v>0</v>
      </c>
      <c r="G12">
        <f t="shared" si="0"/>
        <v>134.05294314160599</v>
      </c>
      <c r="I12">
        <v>13405.294314160599</v>
      </c>
    </row>
    <row r="13" spans="1:13" x14ac:dyDescent="0.25">
      <c r="A13">
        <v>512</v>
      </c>
      <c r="B13" t="s">
        <v>40</v>
      </c>
      <c r="C13" t="s">
        <v>8</v>
      </c>
      <c r="D13" t="s">
        <v>41</v>
      </c>
      <c r="E13" t="s">
        <v>37</v>
      </c>
      <c r="F13">
        <v>0</v>
      </c>
      <c r="G13">
        <f t="shared" si="0"/>
        <v>184.163816977717</v>
      </c>
      <c r="I13">
        <v>18416.3816977717</v>
      </c>
    </row>
    <row r="14" spans="1:13" x14ac:dyDescent="0.25">
      <c r="A14" s="25">
        <v>513</v>
      </c>
      <c r="B14" t="s">
        <v>40</v>
      </c>
      <c r="C14" t="s">
        <v>8</v>
      </c>
      <c r="D14" t="s">
        <v>41</v>
      </c>
      <c r="E14" t="s">
        <v>37</v>
      </c>
      <c r="F14">
        <v>3.09395637198622</v>
      </c>
      <c r="G14">
        <f t="shared" si="0"/>
        <v>27592.080225636801</v>
      </c>
      <c r="I14">
        <v>55184.160451273601</v>
      </c>
      <c r="J14" t="s">
        <v>143</v>
      </c>
    </row>
    <row r="15" spans="1:13" x14ac:dyDescent="0.25">
      <c r="A15" s="25">
        <v>514</v>
      </c>
      <c r="B15" t="s">
        <v>40</v>
      </c>
      <c r="C15" t="s">
        <v>8</v>
      </c>
      <c r="D15" t="s">
        <v>41</v>
      </c>
      <c r="E15" t="s">
        <v>37</v>
      </c>
      <c r="F15">
        <v>0</v>
      </c>
      <c r="G15">
        <f t="shared" si="0"/>
        <v>28567.304018356052</v>
      </c>
      <c r="I15">
        <v>57134.608036712103</v>
      </c>
      <c r="J15" t="s">
        <v>143</v>
      </c>
    </row>
    <row r="16" spans="1:13" x14ac:dyDescent="0.25">
      <c r="A16">
        <v>515</v>
      </c>
      <c r="B16" t="s">
        <v>40</v>
      </c>
      <c r="C16" t="s">
        <v>8</v>
      </c>
      <c r="D16" t="s">
        <v>41</v>
      </c>
      <c r="E16" t="s">
        <v>37</v>
      </c>
      <c r="F16">
        <v>3.5611492537313398</v>
      </c>
      <c r="G16">
        <f t="shared" si="0"/>
        <v>526.16417637237498</v>
      </c>
      <c r="I16">
        <v>52616.4176372375</v>
      </c>
    </row>
    <row r="17" spans="1:9" x14ac:dyDescent="0.25">
      <c r="A17">
        <v>521</v>
      </c>
      <c r="B17" t="s">
        <v>40</v>
      </c>
      <c r="C17" t="s">
        <v>8</v>
      </c>
      <c r="D17" t="s">
        <v>41</v>
      </c>
      <c r="E17" t="s">
        <v>37</v>
      </c>
      <c r="F17">
        <v>0.37522538636098002</v>
      </c>
      <c r="G17">
        <f t="shared" si="0"/>
        <v>272.33049022645997</v>
      </c>
      <c r="I17">
        <v>27233.049022645999</v>
      </c>
    </row>
    <row r="18" spans="1:9" x14ac:dyDescent="0.25">
      <c r="A18">
        <v>611</v>
      </c>
      <c r="B18" t="s">
        <v>40</v>
      </c>
      <c r="C18" t="s">
        <v>8</v>
      </c>
      <c r="D18" t="s">
        <v>41</v>
      </c>
      <c r="E18" t="s">
        <v>37</v>
      </c>
      <c r="F18">
        <v>0</v>
      </c>
      <c r="G18">
        <f t="shared" si="0"/>
        <v>178.78588861302899</v>
      </c>
      <c r="I18">
        <v>17878.588861302898</v>
      </c>
    </row>
    <row r="19" spans="1:9" x14ac:dyDescent="0.25">
      <c r="A19">
        <v>612</v>
      </c>
      <c r="B19" t="s">
        <v>40</v>
      </c>
      <c r="C19" t="s">
        <v>8</v>
      </c>
      <c r="D19" t="s">
        <v>41</v>
      </c>
      <c r="E19" t="s">
        <v>37</v>
      </c>
      <c r="F19">
        <v>0</v>
      </c>
      <c r="G19">
        <f t="shared" si="0"/>
        <v>275.06122682972403</v>
      </c>
      <c r="I19">
        <v>27506.1226829724</v>
      </c>
    </row>
    <row r="20" spans="1:9" x14ac:dyDescent="0.25">
      <c r="A20">
        <v>621</v>
      </c>
      <c r="B20" t="s">
        <v>40</v>
      </c>
      <c r="C20" t="s">
        <v>8</v>
      </c>
      <c r="D20" t="s">
        <v>41</v>
      </c>
      <c r="E20" t="s">
        <v>37</v>
      </c>
      <c r="F20">
        <v>0.24597514250772301</v>
      </c>
      <c r="G20">
        <f t="shared" si="0"/>
        <v>252.45840740656402</v>
      </c>
      <c r="I20">
        <v>25245.8407406564</v>
      </c>
    </row>
    <row r="21" spans="1:9" x14ac:dyDescent="0.25">
      <c r="A21">
        <v>622</v>
      </c>
      <c r="B21" t="s">
        <v>40</v>
      </c>
      <c r="C21" t="s">
        <v>8</v>
      </c>
      <c r="D21" t="s">
        <v>41</v>
      </c>
      <c r="E21" t="s">
        <v>37</v>
      </c>
      <c r="F21">
        <v>0</v>
      </c>
      <c r="G21">
        <f t="shared" si="0"/>
        <v>368.672017181684</v>
      </c>
      <c r="I21">
        <v>36867.201718168399</v>
      </c>
    </row>
    <row r="22" spans="1:9" x14ac:dyDescent="0.25">
      <c r="A22">
        <v>711</v>
      </c>
      <c r="B22" t="s">
        <v>40</v>
      </c>
      <c r="C22" t="s">
        <v>8</v>
      </c>
      <c r="D22" t="s">
        <v>41</v>
      </c>
      <c r="E22" t="s">
        <v>37</v>
      </c>
      <c r="F22">
        <v>0.119259259259259</v>
      </c>
      <c r="G22">
        <f t="shared" si="0"/>
        <v>232.44183421615398</v>
      </c>
      <c r="I22">
        <v>23244.183421615398</v>
      </c>
    </row>
    <row r="23" spans="1:9" x14ac:dyDescent="0.25">
      <c r="A23">
        <v>731</v>
      </c>
      <c r="B23" t="s">
        <v>40</v>
      </c>
      <c r="C23" t="s">
        <v>8</v>
      </c>
      <c r="D23" t="s">
        <v>41</v>
      </c>
      <c r="E23" t="s">
        <v>37</v>
      </c>
      <c r="F23">
        <v>0</v>
      </c>
      <c r="G23">
        <f t="shared" si="0"/>
        <v>121.93772908663001</v>
      </c>
      <c r="I23">
        <v>12193.772908663001</v>
      </c>
    </row>
    <row r="24" spans="1:9" x14ac:dyDescent="0.25">
      <c r="A24">
        <v>811</v>
      </c>
      <c r="B24" t="s">
        <v>40</v>
      </c>
      <c r="C24" t="s">
        <v>8</v>
      </c>
      <c r="D24" t="s">
        <v>41</v>
      </c>
      <c r="E24" t="s">
        <v>37</v>
      </c>
      <c r="F24">
        <v>0.23198026054161699</v>
      </c>
      <c r="G24">
        <f t="shared" si="0"/>
        <v>455.50058965954202</v>
      </c>
      <c r="I24">
        <v>45550.058965954202</v>
      </c>
    </row>
    <row r="25" spans="1:9" x14ac:dyDescent="0.25">
      <c r="A25">
        <v>812</v>
      </c>
      <c r="B25" t="s">
        <v>40</v>
      </c>
      <c r="C25" t="s">
        <v>8</v>
      </c>
      <c r="D25" t="s">
        <v>41</v>
      </c>
      <c r="E25" t="s">
        <v>37</v>
      </c>
      <c r="F25">
        <v>0</v>
      </c>
      <c r="G25">
        <f t="shared" si="0"/>
        <v>329.44293815047803</v>
      </c>
      <c r="I25">
        <v>32944.2938150478</v>
      </c>
    </row>
    <row r="26" spans="1:9" x14ac:dyDescent="0.25">
      <c r="A26">
        <v>813</v>
      </c>
      <c r="B26" t="s">
        <v>40</v>
      </c>
      <c r="C26" t="s">
        <v>8</v>
      </c>
      <c r="D26" t="s">
        <v>41</v>
      </c>
      <c r="E26" t="s">
        <v>37</v>
      </c>
      <c r="F26">
        <v>0</v>
      </c>
      <c r="G26">
        <f t="shared" si="0"/>
        <v>150.66919984338901</v>
      </c>
      <c r="I26">
        <v>15066.9199843389</v>
      </c>
    </row>
    <row r="27" spans="1:9" x14ac:dyDescent="0.25">
      <c r="A27">
        <v>814</v>
      </c>
      <c r="B27" t="s">
        <v>40</v>
      </c>
      <c r="C27" t="s">
        <v>8</v>
      </c>
      <c r="D27" t="s">
        <v>41</v>
      </c>
      <c r="E27" t="s">
        <v>37</v>
      </c>
      <c r="F27">
        <v>0</v>
      </c>
      <c r="G27">
        <f t="shared" si="0"/>
        <v>168.89010617934801</v>
      </c>
      <c r="I27">
        <v>16889.0106179348</v>
      </c>
    </row>
    <row r="28" spans="1:9" x14ac:dyDescent="0.25">
      <c r="A28">
        <v>821</v>
      </c>
      <c r="B28" t="s">
        <v>40</v>
      </c>
      <c r="C28" t="s">
        <v>8</v>
      </c>
      <c r="D28" t="s">
        <v>41</v>
      </c>
      <c r="E28" t="s">
        <v>37</v>
      </c>
      <c r="F28">
        <v>0</v>
      </c>
      <c r="G28">
        <f t="shared" si="0"/>
        <v>373.02646895921498</v>
      </c>
      <c r="I28">
        <v>37302.646895921498</v>
      </c>
    </row>
    <row r="29" spans="1:9" x14ac:dyDescent="0.25">
      <c r="A29">
        <v>831</v>
      </c>
      <c r="B29" t="s">
        <v>40</v>
      </c>
      <c r="C29" t="s">
        <v>8</v>
      </c>
      <c r="D29" t="s">
        <v>41</v>
      </c>
      <c r="E29" t="s">
        <v>37</v>
      </c>
      <c r="F29">
        <v>0</v>
      </c>
      <c r="G29">
        <f t="shared" si="0"/>
        <v>193.78297215067101</v>
      </c>
      <c r="I29">
        <v>19378.297215067101</v>
      </c>
    </row>
    <row r="30" spans="1:9" x14ac:dyDescent="0.25">
      <c r="A30">
        <v>911</v>
      </c>
      <c r="B30" t="s">
        <v>40</v>
      </c>
      <c r="C30" t="s">
        <v>8</v>
      </c>
      <c r="D30" t="s">
        <v>41</v>
      </c>
      <c r="E30" t="s">
        <v>37</v>
      </c>
      <c r="F30">
        <v>2.06691937765205</v>
      </c>
      <c r="G30">
        <f t="shared" si="0"/>
        <v>231.83222148184799</v>
      </c>
      <c r="I30">
        <v>23183.222148184799</v>
      </c>
    </row>
    <row r="31" spans="1:9" x14ac:dyDescent="0.25">
      <c r="A31">
        <v>912</v>
      </c>
      <c r="B31" t="s">
        <v>40</v>
      </c>
      <c r="C31" t="s">
        <v>8</v>
      </c>
      <c r="D31" t="s">
        <v>41</v>
      </c>
      <c r="E31" t="s">
        <v>37</v>
      </c>
      <c r="F31">
        <v>64.281776520509098</v>
      </c>
      <c r="G31">
        <f t="shared" si="0"/>
        <v>561.98062279385692</v>
      </c>
      <c r="I31">
        <v>56198.062279385696</v>
      </c>
    </row>
    <row r="32" spans="1:9" x14ac:dyDescent="0.25">
      <c r="A32">
        <v>913</v>
      </c>
      <c r="B32" t="s">
        <v>40</v>
      </c>
      <c r="C32" t="s">
        <v>8</v>
      </c>
      <c r="D32" t="s">
        <v>41</v>
      </c>
      <c r="E32" t="s">
        <v>37</v>
      </c>
      <c r="F32">
        <v>0</v>
      </c>
      <c r="G32">
        <f t="shared" si="0"/>
        <v>228.35913172429301</v>
      </c>
      <c r="I32">
        <v>22835.9131724293</v>
      </c>
    </row>
    <row r="33" spans="1:10" x14ac:dyDescent="0.25">
      <c r="A33">
        <v>1011</v>
      </c>
      <c r="B33" t="s">
        <v>40</v>
      </c>
      <c r="C33" t="s">
        <v>8</v>
      </c>
      <c r="D33" t="s">
        <v>41</v>
      </c>
      <c r="E33" t="s">
        <v>37</v>
      </c>
      <c r="F33">
        <v>28.390559677419301</v>
      </c>
      <c r="G33">
        <f t="shared" si="0"/>
        <v>307.13686160993598</v>
      </c>
      <c r="I33">
        <v>30713.686160993599</v>
      </c>
    </row>
    <row r="34" spans="1:10" x14ac:dyDescent="0.25">
      <c r="A34" s="25">
        <v>1111</v>
      </c>
      <c r="B34" t="s">
        <v>40</v>
      </c>
      <c r="C34" t="s">
        <v>8</v>
      </c>
      <c r="D34" t="s">
        <v>41</v>
      </c>
      <c r="E34" t="s">
        <v>37</v>
      </c>
      <c r="F34">
        <v>1.4568746404970101</v>
      </c>
      <c r="G34">
        <f t="shared" ref="G34:G65" si="1">IF(J34="x",I34*$M$3,I34*$M$2)</f>
        <v>17997.18970882045</v>
      </c>
      <c r="I34">
        <v>35994.379417640899</v>
      </c>
      <c r="J34" t="s">
        <v>143</v>
      </c>
    </row>
    <row r="35" spans="1:10" x14ac:dyDescent="0.25">
      <c r="A35">
        <v>1112</v>
      </c>
      <c r="B35" t="s">
        <v>40</v>
      </c>
      <c r="C35" t="s">
        <v>8</v>
      </c>
      <c r="D35" t="s">
        <v>41</v>
      </c>
      <c r="E35" t="s">
        <v>37</v>
      </c>
      <c r="F35">
        <v>2.2833822580645098</v>
      </c>
      <c r="G35">
        <f t="shared" si="1"/>
        <v>249.15071803787799</v>
      </c>
      <c r="I35">
        <v>24915.0718037878</v>
      </c>
    </row>
    <row r="36" spans="1:10" x14ac:dyDescent="0.25">
      <c r="A36">
        <v>1121</v>
      </c>
      <c r="B36" t="s">
        <v>40</v>
      </c>
      <c r="C36" t="s">
        <v>8</v>
      </c>
      <c r="D36" t="s">
        <v>41</v>
      </c>
      <c r="E36" t="s">
        <v>37</v>
      </c>
      <c r="F36">
        <v>0</v>
      </c>
      <c r="G36">
        <f t="shared" si="1"/>
        <v>487.55674268879102</v>
      </c>
      <c r="I36">
        <v>48755.674268879098</v>
      </c>
    </row>
    <row r="37" spans="1:10" x14ac:dyDescent="0.25">
      <c r="A37">
        <v>1122</v>
      </c>
      <c r="B37" t="s">
        <v>40</v>
      </c>
      <c r="C37" t="s">
        <v>8</v>
      </c>
      <c r="D37" t="s">
        <v>41</v>
      </c>
      <c r="E37" t="s">
        <v>37</v>
      </c>
      <c r="F37">
        <v>3.33418709677419</v>
      </c>
      <c r="G37">
        <f t="shared" si="1"/>
        <v>351.09894799503303</v>
      </c>
      <c r="I37">
        <v>35109.894799503301</v>
      </c>
    </row>
    <row r="38" spans="1:10" x14ac:dyDescent="0.25">
      <c r="A38">
        <v>1123</v>
      </c>
      <c r="B38" t="s">
        <v>40</v>
      </c>
      <c r="C38" t="s">
        <v>8</v>
      </c>
      <c r="D38" t="s">
        <v>41</v>
      </c>
      <c r="E38" t="s">
        <v>37</v>
      </c>
      <c r="F38">
        <v>0</v>
      </c>
      <c r="G38">
        <f t="shared" si="1"/>
        <v>387.13569224345099</v>
      </c>
      <c r="I38">
        <v>38713.569224345098</v>
      </c>
    </row>
    <row r="39" spans="1:10" x14ac:dyDescent="0.25">
      <c r="A39">
        <v>1124</v>
      </c>
      <c r="B39" t="s">
        <v>40</v>
      </c>
      <c r="C39" t="s">
        <v>8</v>
      </c>
      <c r="D39" t="s">
        <v>41</v>
      </c>
      <c r="E39" t="s">
        <v>37</v>
      </c>
      <c r="F39">
        <v>5.0568120791127803E-2</v>
      </c>
      <c r="G39">
        <f t="shared" si="1"/>
        <v>178.91871992216599</v>
      </c>
      <c r="I39">
        <v>17891.871992216598</v>
      </c>
    </row>
    <row r="40" spans="1:10" x14ac:dyDescent="0.25">
      <c r="A40">
        <v>1131</v>
      </c>
      <c r="B40" t="s">
        <v>40</v>
      </c>
      <c r="C40" t="s">
        <v>8</v>
      </c>
      <c r="D40" t="s">
        <v>41</v>
      </c>
      <c r="E40" t="s">
        <v>37</v>
      </c>
      <c r="F40">
        <v>9.5731145161290296</v>
      </c>
      <c r="G40">
        <f t="shared" si="1"/>
        <v>130.61788027953901</v>
      </c>
      <c r="I40">
        <v>13061.7880279539</v>
      </c>
    </row>
    <row r="41" spans="1:10" x14ac:dyDescent="0.25">
      <c r="A41" s="25">
        <v>1211</v>
      </c>
      <c r="B41" t="s">
        <v>40</v>
      </c>
      <c r="C41" t="s">
        <v>8</v>
      </c>
      <c r="D41" t="s">
        <v>41</v>
      </c>
      <c r="E41" t="s">
        <v>37</v>
      </c>
      <c r="F41">
        <v>0</v>
      </c>
      <c r="G41">
        <f t="shared" si="1"/>
        <v>25547.417285624651</v>
      </c>
      <c r="I41">
        <v>51094.834571249303</v>
      </c>
      <c r="J41" t="s">
        <v>143</v>
      </c>
    </row>
    <row r="42" spans="1:10" x14ac:dyDescent="0.25">
      <c r="A42">
        <v>1212</v>
      </c>
      <c r="B42" t="s">
        <v>40</v>
      </c>
      <c r="C42" t="s">
        <v>8</v>
      </c>
      <c r="D42" t="s">
        <v>41</v>
      </c>
      <c r="E42" t="s">
        <v>37</v>
      </c>
      <c r="F42">
        <v>0</v>
      </c>
      <c r="G42">
        <f t="shared" si="1"/>
        <v>328.68027316214</v>
      </c>
      <c r="I42">
        <v>32868.027316214</v>
      </c>
    </row>
    <row r="43" spans="1:10" x14ac:dyDescent="0.25">
      <c r="A43">
        <v>1213</v>
      </c>
      <c r="B43" t="s">
        <v>40</v>
      </c>
      <c r="C43" t="s">
        <v>8</v>
      </c>
      <c r="D43" t="s">
        <v>41</v>
      </c>
      <c r="E43" t="s">
        <v>37</v>
      </c>
      <c r="F43">
        <v>5.0765967741935398</v>
      </c>
      <c r="G43">
        <f t="shared" si="1"/>
        <v>281.19382266840302</v>
      </c>
      <c r="I43">
        <v>28119.382266840301</v>
      </c>
    </row>
    <row r="44" spans="1:10" x14ac:dyDescent="0.25">
      <c r="A44">
        <v>1214</v>
      </c>
      <c r="B44" t="s">
        <v>40</v>
      </c>
      <c r="C44" t="s">
        <v>8</v>
      </c>
      <c r="D44" t="s">
        <v>41</v>
      </c>
      <c r="E44" t="s">
        <v>37</v>
      </c>
      <c r="F44">
        <v>2.9858499999999899</v>
      </c>
      <c r="G44">
        <f t="shared" si="1"/>
        <v>382.97191887110802</v>
      </c>
      <c r="I44">
        <v>38297.191887110799</v>
      </c>
    </row>
    <row r="45" spans="1:10" x14ac:dyDescent="0.25">
      <c r="A45">
        <v>1215</v>
      </c>
      <c r="B45" t="s">
        <v>40</v>
      </c>
      <c r="C45" t="s">
        <v>8</v>
      </c>
      <c r="D45" t="s">
        <v>41</v>
      </c>
      <c r="E45" t="s">
        <v>37</v>
      </c>
      <c r="F45">
        <v>5.4973532258064504</v>
      </c>
      <c r="G45">
        <f t="shared" si="1"/>
        <v>616.92548975109798</v>
      </c>
      <c r="I45">
        <v>61692.548975109799</v>
      </c>
    </row>
    <row r="46" spans="1:10" x14ac:dyDescent="0.25">
      <c r="A46">
        <v>1216</v>
      </c>
      <c r="B46" t="s">
        <v>40</v>
      </c>
      <c r="C46" t="s">
        <v>8</v>
      </c>
      <c r="D46" t="s">
        <v>41</v>
      </c>
      <c r="E46" t="s">
        <v>37</v>
      </c>
      <c r="F46">
        <v>10.3921774193548</v>
      </c>
      <c r="G46">
        <f t="shared" si="1"/>
        <v>533.47457325364906</v>
      </c>
      <c r="I46">
        <v>53347.4573253649</v>
      </c>
    </row>
    <row r="47" spans="1:10" x14ac:dyDescent="0.25">
      <c r="A47">
        <v>1221</v>
      </c>
      <c r="B47" t="s">
        <v>40</v>
      </c>
      <c r="C47" t="s">
        <v>8</v>
      </c>
      <c r="D47" t="s">
        <v>41</v>
      </c>
      <c r="E47" t="s">
        <v>37</v>
      </c>
      <c r="F47">
        <v>9.9996645161290303</v>
      </c>
      <c r="G47">
        <f t="shared" si="1"/>
        <v>208.71123609759201</v>
      </c>
      <c r="I47">
        <v>20871.123609759201</v>
      </c>
    </row>
    <row r="48" spans="1:10" x14ac:dyDescent="0.25">
      <c r="A48" s="25">
        <v>1222</v>
      </c>
      <c r="B48" t="s">
        <v>40</v>
      </c>
      <c r="C48" t="s">
        <v>8</v>
      </c>
      <c r="D48" t="s">
        <v>41</v>
      </c>
      <c r="E48" t="s">
        <v>37</v>
      </c>
      <c r="F48">
        <v>7.9666243654822297</v>
      </c>
      <c r="G48">
        <f t="shared" si="1"/>
        <v>12706.409065874201</v>
      </c>
      <c r="I48">
        <v>25412.818131748401</v>
      </c>
      <c r="J48" t="s">
        <v>143</v>
      </c>
    </row>
    <row r="49" spans="1:10" x14ac:dyDescent="0.25">
      <c r="A49">
        <v>1311</v>
      </c>
      <c r="B49" t="s">
        <v>40</v>
      </c>
      <c r="C49" t="s">
        <v>8</v>
      </c>
      <c r="D49" t="s">
        <v>41</v>
      </c>
      <c r="E49" t="s">
        <v>37</v>
      </c>
      <c r="F49">
        <v>0</v>
      </c>
      <c r="G49">
        <f t="shared" si="1"/>
        <v>435.01863187955303</v>
      </c>
      <c r="I49">
        <v>43501.8631879553</v>
      </c>
    </row>
    <row r="50" spans="1:10" x14ac:dyDescent="0.25">
      <c r="A50">
        <v>1321</v>
      </c>
      <c r="B50" t="s">
        <v>40</v>
      </c>
      <c r="C50" t="s">
        <v>8</v>
      </c>
      <c r="D50" t="s">
        <v>41</v>
      </c>
      <c r="E50" t="s">
        <v>37</v>
      </c>
      <c r="F50">
        <v>5.9847792665449498E-2</v>
      </c>
      <c r="G50">
        <f t="shared" si="1"/>
        <v>442.82343024689101</v>
      </c>
      <c r="I50">
        <v>44282.3430246891</v>
      </c>
    </row>
    <row r="51" spans="1:10" x14ac:dyDescent="0.25">
      <c r="A51">
        <v>1322</v>
      </c>
      <c r="B51" t="s">
        <v>40</v>
      </c>
      <c r="C51" t="s">
        <v>8</v>
      </c>
      <c r="D51" t="s">
        <v>41</v>
      </c>
      <c r="E51" t="s">
        <v>37</v>
      </c>
      <c r="F51">
        <v>5.6030911976997197</v>
      </c>
      <c r="G51">
        <f t="shared" si="1"/>
        <v>131.285502596795</v>
      </c>
      <c r="I51">
        <v>13128.5502596795</v>
      </c>
    </row>
    <row r="52" spans="1:10" x14ac:dyDescent="0.25">
      <c r="A52">
        <v>1331</v>
      </c>
      <c r="B52" t="s">
        <v>40</v>
      </c>
      <c r="C52" t="s">
        <v>8</v>
      </c>
      <c r="D52" t="s">
        <v>41</v>
      </c>
      <c r="E52" t="s">
        <v>37</v>
      </c>
      <c r="F52">
        <v>19.649878857142799</v>
      </c>
      <c r="G52">
        <f t="shared" si="1"/>
        <v>312.910302782977</v>
      </c>
      <c r="I52">
        <v>31291.030278297701</v>
      </c>
    </row>
    <row r="53" spans="1:10" x14ac:dyDescent="0.25">
      <c r="A53">
        <v>1411</v>
      </c>
      <c r="B53" t="s">
        <v>40</v>
      </c>
      <c r="C53" t="s">
        <v>8</v>
      </c>
      <c r="D53" t="s">
        <v>41</v>
      </c>
      <c r="E53" t="s">
        <v>37</v>
      </c>
      <c r="F53">
        <v>23.407983238095198</v>
      </c>
      <c r="G53">
        <f t="shared" si="1"/>
        <v>188.22881734323201</v>
      </c>
      <c r="I53">
        <v>18822.8817343232</v>
      </c>
    </row>
    <row r="54" spans="1:10" x14ac:dyDescent="0.25">
      <c r="A54">
        <v>1412</v>
      </c>
      <c r="B54" t="s">
        <v>40</v>
      </c>
      <c r="C54" t="s">
        <v>8</v>
      </c>
      <c r="D54" t="s">
        <v>41</v>
      </c>
      <c r="E54" t="s">
        <v>37</v>
      </c>
      <c r="F54">
        <v>21.919931428571399</v>
      </c>
      <c r="G54">
        <f t="shared" si="1"/>
        <v>279.83284569949001</v>
      </c>
      <c r="I54">
        <v>27983.284569948999</v>
      </c>
    </row>
    <row r="55" spans="1:10" x14ac:dyDescent="0.25">
      <c r="A55">
        <v>1421</v>
      </c>
      <c r="B55" t="s">
        <v>40</v>
      </c>
      <c r="C55" t="s">
        <v>8</v>
      </c>
      <c r="D55" t="s">
        <v>41</v>
      </c>
      <c r="E55" t="s">
        <v>37</v>
      </c>
      <c r="F55">
        <v>0.198347796192821</v>
      </c>
      <c r="G55">
        <f t="shared" si="1"/>
        <v>191.64790149104303</v>
      </c>
      <c r="I55">
        <v>19164.790149104301</v>
      </c>
    </row>
    <row r="56" spans="1:10" x14ac:dyDescent="0.25">
      <c r="A56">
        <v>1511</v>
      </c>
      <c r="B56" t="s">
        <v>40</v>
      </c>
      <c r="C56" t="s">
        <v>8</v>
      </c>
      <c r="D56" t="s">
        <v>41</v>
      </c>
      <c r="E56" t="s">
        <v>37</v>
      </c>
      <c r="F56">
        <v>16.805983999999999</v>
      </c>
      <c r="G56">
        <f t="shared" si="1"/>
        <v>402.15551393695506</v>
      </c>
      <c r="I56">
        <v>40215.551393695503</v>
      </c>
    </row>
    <row r="57" spans="1:10" x14ac:dyDescent="0.25">
      <c r="A57" s="25">
        <v>1512</v>
      </c>
      <c r="B57" t="s">
        <v>40</v>
      </c>
      <c r="C57" t="s">
        <v>8</v>
      </c>
      <c r="D57" t="s">
        <v>41</v>
      </c>
      <c r="E57" t="s">
        <v>37</v>
      </c>
      <c r="F57">
        <v>1.43265506464887</v>
      </c>
      <c r="G57">
        <f t="shared" si="1"/>
        <v>19691.808136221851</v>
      </c>
      <c r="I57">
        <v>39383.616272443702</v>
      </c>
      <c r="J57" t="s">
        <v>143</v>
      </c>
    </row>
    <row r="58" spans="1:10" x14ac:dyDescent="0.25">
      <c r="A58">
        <v>1521</v>
      </c>
      <c r="B58" t="s">
        <v>40</v>
      </c>
      <c r="C58" t="s">
        <v>8</v>
      </c>
      <c r="D58" t="s">
        <v>41</v>
      </c>
      <c r="E58" t="s">
        <v>37</v>
      </c>
      <c r="F58">
        <v>13.6976716190476</v>
      </c>
      <c r="G58">
        <f t="shared" si="1"/>
        <v>189.74572485821702</v>
      </c>
      <c r="I58">
        <v>18974.5724858217</v>
      </c>
    </row>
    <row r="59" spans="1:10" x14ac:dyDescent="0.25">
      <c r="A59">
        <v>1522</v>
      </c>
      <c r="B59" t="s">
        <v>40</v>
      </c>
      <c r="C59" t="s">
        <v>8</v>
      </c>
      <c r="D59" t="s">
        <v>41</v>
      </c>
      <c r="E59" t="s">
        <v>37</v>
      </c>
      <c r="F59">
        <v>0</v>
      </c>
      <c r="G59">
        <f t="shared" si="1"/>
        <v>235.68549844844901</v>
      </c>
      <c r="I59">
        <v>23568.5498448449</v>
      </c>
    </row>
    <row r="60" spans="1:10" x14ac:dyDescent="0.25">
      <c r="A60">
        <v>1611</v>
      </c>
      <c r="B60" t="s">
        <v>40</v>
      </c>
      <c r="C60" t="s">
        <v>8</v>
      </c>
      <c r="D60" t="s">
        <v>41</v>
      </c>
      <c r="E60" t="s">
        <v>37</v>
      </c>
      <c r="F60">
        <v>6.1342695113458996</v>
      </c>
      <c r="G60">
        <f t="shared" si="1"/>
        <v>108.93673043032601</v>
      </c>
      <c r="I60">
        <v>10893.673043032601</v>
      </c>
    </row>
    <row r="61" spans="1:10" x14ac:dyDescent="0.25">
      <c r="A61">
        <v>1612</v>
      </c>
      <c r="B61" t="s">
        <v>40</v>
      </c>
      <c r="C61" t="s">
        <v>8</v>
      </c>
      <c r="D61" t="s">
        <v>41</v>
      </c>
      <c r="E61" t="s">
        <v>37</v>
      </c>
      <c r="F61">
        <v>0</v>
      </c>
      <c r="G61">
        <f t="shared" si="1"/>
        <v>334.94928143422806</v>
      </c>
      <c r="I61">
        <v>33494.928143422803</v>
      </c>
    </row>
    <row r="62" spans="1:10" x14ac:dyDescent="0.25">
      <c r="A62">
        <v>1613</v>
      </c>
      <c r="B62" t="s">
        <v>40</v>
      </c>
      <c r="C62" t="s">
        <v>8</v>
      </c>
      <c r="D62" t="s">
        <v>41</v>
      </c>
      <c r="E62" t="s">
        <v>37</v>
      </c>
      <c r="F62">
        <v>0</v>
      </c>
      <c r="G62">
        <f t="shared" si="1"/>
        <v>289.27095609517204</v>
      </c>
      <c r="I62">
        <v>28927.095609517201</v>
      </c>
    </row>
    <row r="63" spans="1:10" x14ac:dyDescent="0.25">
      <c r="A63">
        <v>1614</v>
      </c>
      <c r="B63" t="s">
        <v>40</v>
      </c>
      <c r="C63" t="s">
        <v>8</v>
      </c>
      <c r="D63" t="s">
        <v>41</v>
      </c>
      <c r="E63" t="s">
        <v>37</v>
      </c>
      <c r="F63">
        <v>19.395306666666599</v>
      </c>
      <c r="G63">
        <f t="shared" si="1"/>
        <v>305.29393828966602</v>
      </c>
      <c r="I63">
        <v>30529.3938289666</v>
      </c>
    </row>
    <row r="64" spans="1:10" x14ac:dyDescent="0.25">
      <c r="A64" s="25">
        <v>1615</v>
      </c>
      <c r="B64" t="s">
        <v>40</v>
      </c>
      <c r="C64" t="s">
        <v>8</v>
      </c>
      <c r="D64" t="s">
        <v>41</v>
      </c>
      <c r="E64" t="s">
        <v>37</v>
      </c>
      <c r="F64">
        <v>0</v>
      </c>
      <c r="G64">
        <f t="shared" si="1"/>
        <v>15011.89854828545</v>
      </c>
      <c r="I64">
        <v>30023.797096570899</v>
      </c>
      <c r="J64" t="s">
        <v>143</v>
      </c>
    </row>
    <row r="65" spans="1:10" x14ac:dyDescent="0.25">
      <c r="A65">
        <v>1616</v>
      </c>
      <c r="B65" t="s">
        <v>40</v>
      </c>
      <c r="C65" t="s">
        <v>8</v>
      </c>
      <c r="D65" t="s">
        <v>41</v>
      </c>
      <c r="E65" t="s">
        <v>37</v>
      </c>
      <c r="F65">
        <v>0</v>
      </c>
      <c r="G65">
        <f t="shared" si="1"/>
        <v>420.47211500189502</v>
      </c>
      <c r="I65">
        <v>42047.2115001895</v>
      </c>
    </row>
    <row r="66" spans="1:10" x14ac:dyDescent="0.25">
      <c r="A66">
        <v>1617</v>
      </c>
      <c r="B66" t="s">
        <v>40</v>
      </c>
      <c r="C66" t="s">
        <v>8</v>
      </c>
      <c r="D66" t="s">
        <v>41</v>
      </c>
      <c r="E66" t="s">
        <v>37</v>
      </c>
      <c r="F66">
        <v>68.060789333333304</v>
      </c>
      <c r="G66">
        <f t="shared" ref="G66:G97" si="2">IF(J66="x",I66*$M$3,I66*$M$2)</f>
        <v>150.563479285515</v>
      </c>
      <c r="I66">
        <v>15056.3479285515</v>
      </c>
    </row>
    <row r="67" spans="1:10" x14ac:dyDescent="0.25">
      <c r="A67">
        <v>1621</v>
      </c>
      <c r="B67" t="s">
        <v>40</v>
      </c>
      <c r="C67" t="s">
        <v>8</v>
      </c>
      <c r="D67" t="s">
        <v>41</v>
      </c>
      <c r="E67" t="s">
        <v>37</v>
      </c>
      <c r="F67">
        <v>100.45756190476099</v>
      </c>
      <c r="G67">
        <f t="shared" si="2"/>
        <v>513.60269006026397</v>
      </c>
      <c r="I67">
        <v>51360.269006026399</v>
      </c>
    </row>
    <row r="68" spans="1:10" x14ac:dyDescent="0.25">
      <c r="A68" s="25">
        <v>1622</v>
      </c>
      <c r="B68" t="s">
        <v>40</v>
      </c>
      <c r="C68" t="s">
        <v>8</v>
      </c>
      <c r="D68" t="s">
        <v>41</v>
      </c>
      <c r="E68" t="s">
        <v>37</v>
      </c>
      <c r="F68">
        <v>112.987858285714</v>
      </c>
      <c r="G68">
        <f t="shared" si="2"/>
        <v>32313.992036746451</v>
      </c>
      <c r="I68">
        <v>64627.984073492902</v>
      </c>
      <c r="J68" t="s">
        <v>143</v>
      </c>
    </row>
    <row r="69" spans="1:10" x14ac:dyDescent="0.25">
      <c r="A69" s="25">
        <v>1623</v>
      </c>
      <c r="B69" t="s">
        <v>40</v>
      </c>
      <c r="C69" t="s">
        <v>8</v>
      </c>
      <c r="D69" t="s">
        <v>41</v>
      </c>
      <c r="E69" t="s">
        <v>37</v>
      </c>
      <c r="F69">
        <v>10.4030963132426</v>
      </c>
      <c r="G69">
        <f t="shared" si="2"/>
        <v>20782.083237961098</v>
      </c>
      <c r="I69">
        <v>41564.166475922197</v>
      </c>
      <c r="J69" t="s">
        <v>143</v>
      </c>
    </row>
    <row r="70" spans="1:10" x14ac:dyDescent="0.25">
      <c r="A70">
        <v>1711</v>
      </c>
      <c r="B70" t="s">
        <v>40</v>
      </c>
      <c r="C70" t="s">
        <v>8</v>
      </c>
      <c r="D70" t="s">
        <v>41</v>
      </c>
      <c r="E70" t="s">
        <v>37</v>
      </c>
      <c r="F70">
        <v>0.48703902992513498</v>
      </c>
      <c r="G70">
        <f t="shared" si="2"/>
        <v>270.16873857329398</v>
      </c>
      <c r="I70">
        <v>27016.873857329399</v>
      </c>
    </row>
    <row r="71" spans="1:10" x14ac:dyDescent="0.25">
      <c r="A71">
        <v>1712</v>
      </c>
      <c r="B71" t="s">
        <v>40</v>
      </c>
      <c r="C71" t="s">
        <v>8</v>
      </c>
      <c r="D71" t="s">
        <v>41</v>
      </c>
      <c r="E71" t="s">
        <v>37</v>
      </c>
      <c r="F71">
        <v>0</v>
      </c>
      <c r="G71">
        <f t="shared" si="2"/>
        <v>318.88695268644801</v>
      </c>
      <c r="I71">
        <v>31888.695268644798</v>
      </c>
    </row>
    <row r="72" spans="1:10" x14ac:dyDescent="0.25">
      <c r="A72">
        <v>1713</v>
      </c>
      <c r="B72" t="s">
        <v>40</v>
      </c>
      <c r="C72" t="s">
        <v>8</v>
      </c>
      <c r="D72" t="s">
        <v>41</v>
      </c>
      <c r="E72" t="s">
        <v>37</v>
      </c>
      <c r="F72">
        <v>65.799477398392099</v>
      </c>
      <c r="G72">
        <f t="shared" si="2"/>
        <v>223.010857657499</v>
      </c>
      <c r="I72">
        <v>22301.0857657499</v>
      </c>
    </row>
    <row r="73" spans="1:10" x14ac:dyDescent="0.25">
      <c r="A73">
        <v>1721</v>
      </c>
      <c r="B73" t="s">
        <v>40</v>
      </c>
      <c r="C73" t="s">
        <v>8</v>
      </c>
      <c r="D73" t="s">
        <v>41</v>
      </c>
      <c r="E73" t="s">
        <v>37</v>
      </c>
      <c r="F73">
        <v>26.162650446065999</v>
      </c>
      <c r="G73">
        <f t="shared" si="2"/>
        <v>158.412983999999</v>
      </c>
      <c r="I73">
        <v>15841.2983999999</v>
      </c>
    </row>
    <row r="74" spans="1:10" x14ac:dyDescent="0.25">
      <c r="A74" s="25">
        <v>1722</v>
      </c>
      <c r="B74" t="s">
        <v>40</v>
      </c>
      <c r="C74" t="s">
        <v>8</v>
      </c>
      <c r="D74" t="s">
        <v>41</v>
      </c>
      <c r="E74" t="s">
        <v>37</v>
      </c>
      <c r="F74">
        <v>4.3498798658230298</v>
      </c>
      <c r="G74">
        <f t="shared" si="2"/>
        <v>12661.726057243999</v>
      </c>
      <c r="I74">
        <v>25323.452114487998</v>
      </c>
      <c r="J74" t="s">
        <v>143</v>
      </c>
    </row>
    <row r="75" spans="1:10" x14ac:dyDescent="0.25">
      <c r="A75">
        <v>1723</v>
      </c>
      <c r="B75" t="s">
        <v>40</v>
      </c>
      <c r="C75" t="s">
        <v>8</v>
      </c>
      <c r="D75" t="s">
        <v>41</v>
      </c>
      <c r="E75" t="s">
        <v>37</v>
      </c>
      <c r="F75">
        <v>0</v>
      </c>
      <c r="G75">
        <f t="shared" si="2"/>
        <v>79.796094146428402</v>
      </c>
      <c r="I75">
        <v>7979.6094146428404</v>
      </c>
    </row>
    <row r="76" spans="1:10" x14ac:dyDescent="0.25">
      <c r="A76">
        <v>1724</v>
      </c>
      <c r="B76" t="s">
        <v>40</v>
      </c>
      <c r="C76" t="s">
        <v>8</v>
      </c>
      <c r="D76" t="s">
        <v>41</v>
      </c>
      <c r="E76" t="s">
        <v>37</v>
      </c>
      <c r="F76">
        <v>0.97926309520096899</v>
      </c>
      <c r="G76">
        <f t="shared" si="2"/>
        <v>91.067586535118906</v>
      </c>
      <c r="I76">
        <v>9106.7586535118899</v>
      </c>
    </row>
    <row r="77" spans="1:10" x14ac:dyDescent="0.25">
      <c r="A77">
        <v>1811</v>
      </c>
      <c r="B77" t="s">
        <v>40</v>
      </c>
      <c r="C77" t="s">
        <v>8</v>
      </c>
      <c r="D77" t="s">
        <v>41</v>
      </c>
      <c r="E77" t="s">
        <v>37</v>
      </c>
      <c r="F77">
        <v>27.699412429378501</v>
      </c>
      <c r="G77">
        <f t="shared" si="2"/>
        <v>196.10334933542302</v>
      </c>
      <c r="I77">
        <v>19610.334933542301</v>
      </c>
    </row>
    <row r="78" spans="1:10" x14ac:dyDescent="0.25">
      <c r="A78">
        <v>1812</v>
      </c>
      <c r="B78" t="s">
        <v>40</v>
      </c>
      <c r="C78" t="s">
        <v>8</v>
      </c>
      <c r="D78" t="s">
        <v>41</v>
      </c>
      <c r="E78" t="s">
        <v>37</v>
      </c>
      <c r="F78">
        <v>7.4069864686597597</v>
      </c>
      <c r="G78">
        <f t="shared" si="2"/>
        <v>567.43220445643703</v>
      </c>
      <c r="I78">
        <v>56743.220445643703</v>
      </c>
    </row>
    <row r="79" spans="1:10" x14ac:dyDescent="0.25">
      <c r="A79">
        <v>1813</v>
      </c>
      <c r="B79" t="s">
        <v>40</v>
      </c>
      <c r="C79" t="s">
        <v>8</v>
      </c>
      <c r="D79" t="s">
        <v>41</v>
      </c>
      <c r="E79" t="s">
        <v>37</v>
      </c>
      <c r="F79">
        <v>60.650818142207399</v>
      </c>
      <c r="G79">
        <f t="shared" si="2"/>
        <v>145.32686250982601</v>
      </c>
      <c r="I79">
        <v>14532.686250982601</v>
      </c>
    </row>
    <row r="80" spans="1:10" x14ac:dyDescent="0.25">
      <c r="A80">
        <v>1821</v>
      </c>
      <c r="B80" t="s">
        <v>40</v>
      </c>
      <c r="C80" t="s">
        <v>8</v>
      </c>
      <c r="D80" t="s">
        <v>41</v>
      </c>
      <c r="E80" t="s">
        <v>37</v>
      </c>
      <c r="F80">
        <v>234.198886227743</v>
      </c>
      <c r="G80">
        <f t="shared" si="2"/>
        <v>329.49233330093602</v>
      </c>
      <c r="I80">
        <v>32949.233330093601</v>
      </c>
    </row>
    <row r="81" spans="1:12" x14ac:dyDescent="0.25">
      <c r="A81" s="25">
        <v>1911</v>
      </c>
      <c r="B81" t="s">
        <v>40</v>
      </c>
      <c r="C81" t="s">
        <v>8</v>
      </c>
      <c r="D81" t="s">
        <v>41</v>
      </c>
      <c r="E81" t="s">
        <v>37</v>
      </c>
      <c r="F81">
        <v>175.95729233572899</v>
      </c>
      <c r="G81">
        <f t="shared" si="2"/>
        <v>25579.651789912899</v>
      </c>
      <c r="I81">
        <v>51159.303579825799</v>
      </c>
      <c r="J81" t="s">
        <v>143</v>
      </c>
    </row>
    <row r="82" spans="1:12" x14ac:dyDescent="0.25">
      <c r="A82">
        <v>1912</v>
      </c>
      <c r="B82" t="s">
        <v>40</v>
      </c>
      <c r="C82" t="s">
        <v>8</v>
      </c>
      <c r="D82" t="s">
        <v>41</v>
      </c>
      <c r="E82" t="s">
        <v>37</v>
      </c>
      <c r="F82">
        <v>430.30658760609498</v>
      </c>
      <c r="G82">
        <f t="shared" si="2"/>
        <v>248.92352725825302</v>
      </c>
      <c r="I82">
        <v>24892.352725825302</v>
      </c>
    </row>
    <row r="83" spans="1:12" x14ac:dyDescent="0.25">
      <c r="A83" s="25">
        <v>1921</v>
      </c>
      <c r="B83" t="s">
        <v>40</v>
      </c>
      <c r="C83" t="s">
        <v>8</v>
      </c>
      <c r="D83" t="s">
        <v>41</v>
      </c>
      <c r="E83" t="s">
        <v>37</v>
      </c>
      <c r="F83">
        <v>68.298017007517501</v>
      </c>
      <c r="G83">
        <f t="shared" si="2"/>
        <v>25640.53583556935</v>
      </c>
      <c r="I83">
        <v>51281.071671138699</v>
      </c>
      <c r="J83" t="s">
        <v>143</v>
      </c>
      <c r="L83" s="1"/>
    </row>
    <row r="84" spans="1:12" x14ac:dyDescent="0.25">
      <c r="A84">
        <v>1922</v>
      </c>
      <c r="B84" t="s">
        <v>40</v>
      </c>
      <c r="C84" t="s">
        <v>8</v>
      </c>
      <c r="D84" t="s">
        <v>41</v>
      </c>
      <c r="E84" t="s">
        <v>37</v>
      </c>
      <c r="F84">
        <v>171.24747479030401</v>
      </c>
      <c r="G84">
        <f t="shared" si="2"/>
        <v>280.77696416725001</v>
      </c>
      <c r="I84">
        <v>28077.696416725001</v>
      </c>
      <c r="L84" s="1"/>
    </row>
    <row r="85" spans="1:12" x14ac:dyDescent="0.25">
      <c r="A85">
        <v>2011</v>
      </c>
      <c r="B85" t="s">
        <v>40</v>
      </c>
      <c r="C85" t="s">
        <v>8</v>
      </c>
      <c r="D85" t="s">
        <v>41</v>
      </c>
      <c r="E85" t="s">
        <v>37</v>
      </c>
      <c r="F85">
        <v>22.9929761166253</v>
      </c>
      <c r="G85">
        <f t="shared" si="2"/>
        <v>479.445440391082</v>
      </c>
      <c r="I85">
        <v>47944.544039108201</v>
      </c>
      <c r="L85" s="1"/>
    </row>
    <row r="86" spans="1:12" x14ac:dyDescent="0.25">
      <c r="A86">
        <v>2012</v>
      </c>
      <c r="B86" t="s">
        <v>40</v>
      </c>
      <c r="C86" t="s">
        <v>8</v>
      </c>
      <c r="D86" t="s">
        <v>41</v>
      </c>
      <c r="E86" t="s">
        <v>37</v>
      </c>
      <c r="F86">
        <v>0</v>
      </c>
      <c r="G86">
        <f t="shared" si="2"/>
        <v>180.48821912332201</v>
      </c>
      <c r="I86">
        <v>18048.821912332201</v>
      </c>
      <c r="L86" s="1"/>
    </row>
    <row r="87" spans="1:12" x14ac:dyDescent="0.25">
      <c r="A87">
        <v>2019</v>
      </c>
      <c r="B87" t="s">
        <v>40</v>
      </c>
      <c r="C87" t="s">
        <v>8</v>
      </c>
      <c r="D87" t="s">
        <v>41</v>
      </c>
      <c r="E87" t="s">
        <v>37</v>
      </c>
      <c r="F87">
        <v>12.4091051901664</v>
      </c>
      <c r="G87">
        <f t="shared" si="2"/>
        <v>0.77709600000000001</v>
      </c>
      <c r="I87">
        <v>77.709599999999995</v>
      </c>
      <c r="L87" s="1"/>
    </row>
    <row r="88" spans="1:12" x14ac:dyDescent="0.25">
      <c r="A88">
        <v>2111</v>
      </c>
      <c r="B88" t="s">
        <v>40</v>
      </c>
      <c r="C88" t="s">
        <v>8</v>
      </c>
      <c r="D88" t="s">
        <v>41</v>
      </c>
      <c r="E88" t="s">
        <v>37</v>
      </c>
      <c r="F88">
        <v>106.282471783687</v>
      </c>
      <c r="G88">
        <f t="shared" si="2"/>
        <v>391.364493385716</v>
      </c>
      <c r="I88">
        <v>39136.449338571598</v>
      </c>
      <c r="L88" s="1"/>
    </row>
    <row r="89" spans="1:12" x14ac:dyDescent="0.25">
      <c r="A89">
        <v>2121</v>
      </c>
      <c r="B89" t="s">
        <v>40</v>
      </c>
      <c r="C89" t="s">
        <v>8</v>
      </c>
      <c r="D89" t="s">
        <v>41</v>
      </c>
      <c r="E89" t="s">
        <v>37</v>
      </c>
      <c r="F89">
        <v>33.7829500714153</v>
      </c>
      <c r="G89">
        <f t="shared" si="2"/>
        <v>279.63012166833801</v>
      </c>
      <c r="I89">
        <v>27963.0121668338</v>
      </c>
      <c r="L89" s="1"/>
    </row>
    <row r="90" spans="1:12" x14ac:dyDescent="0.25">
      <c r="A90">
        <v>2122</v>
      </c>
      <c r="B90" t="s">
        <v>40</v>
      </c>
      <c r="C90" t="s">
        <v>8</v>
      </c>
      <c r="D90" t="s">
        <v>41</v>
      </c>
      <c r="E90" t="s">
        <v>37</v>
      </c>
      <c r="F90">
        <v>0</v>
      </c>
      <c r="G90">
        <f t="shared" si="2"/>
        <v>79.243980168829111</v>
      </c>
      <c r="I90">
        <v>7924.3980168829103</v>
      </c>
      <c r="L90" s="1"/>
    </row>
    <row r="91" spans="1:12" x14ac:dyDescent="0.25">
      <c r="A91">
        <v>2211</v>
      </c>
      <c r="B91" t="s">
        <v>40</v>
      </c>
      <c r="C91" t="s">
        <v>8</v>
      </c>
      <c r="D91" t="s">
        <v>41</v>
      </c>
      <c r="E91" t="s">
        <v>37</v>
      </c>
      <c r="F91">
        <v>28.51</v>
      </c>
      <c r="G91">
        <f t="shared" si="2"/>
        <v>156.108796725383</v>
      </c>
      <c r="I91">
        <v>15610.8796725383</v>
      </c>
      <c r="L91" s="1"/>
    </row>
    <row r="92" spans="1:12" x14ac:dyDescent="0.25">
      <c r="A92">
        <v>2212</v>
      </c>
      <c r="B92" t="s">
        <v>40</v>
      </c>
      <c r="C92" t="s">
        <v>8</v>
      </c>
      <c r="D92" t="s">
        <v>41</v>
      </c>
      <c r="E92" t="s">
        <v>37</v>
      </c>
      <c r="F92">
        <v>3.0161733742290799</v>
      </c>
      <c r="G92">
        <f t="shared" si="2"/>
        <v>237.40376585650401</v>
      </c>
      <c r="I92">
        <v>23740.3765856504</v>
      </c>
      <c r="L92" s="1"/>
    </row>
    <row r="93" spans="1:12" x14ac:dyDescent="0.25">
      <c r="A93">
        <v>2221</v>
      </c>
      <c r="B93" t="s">
        <v>40</v>
      </c>
      <c r="C93" t="s">
        <v>8</v>
      </c>
      <c r="D93" t="s">
        <v>41</v>
      </c>
      <c r="E93" t="s">
        <v>37</v>
      </c>
      <c r="F93">
        <v>9.6434617202012003</v>
      </c>
      <c r="G93">
        <f t="shared" si="2"/>
        <v>214.54479389415201</v>
      </c>
      <c r="I93">
        <v>21454.479389415199</v>
      </c>
      <c r="L93" s="1"/>
    </row>
    <row r="94" spans="1:12" x14ac:dyDescent="0.25">
      <c r="A94">
        <v>2311</v>
      </c>
      <c r="B94" t="s">
        <v>40</v>
      </c>
      <c r="C94" t="s">
        <v>8</v>
      </c>
      <c r="D94" t="s">
        <v>41</v>
      </c>
      <c r="E94" t="s">
        <v>37</v>
      </c>
      <c r="F94">
        <v>0</v>
      </c>
      <c r="G94">
        <f t="shared" si="2"/>
        <v>279.64667035945104</v>
      </c>
      <c r="I94">
        <v>27964.667035945102</v>
      </c>
      <c r="L94" s="1"/>
    </row>
    <row r="95" spans="1:12" x14ac:dyDescent="0.25">
      <c r="A95">
        <v>2312</v>
      </c>
      <c r="B95" t="s">
        <v>40</v>
      </c>
      <c r="C95" t="s">
        <v>8</v>
      </c>
      <c r="D95" t="s">
        <v>41</v>
      </c>
      <c r="E95" t="s">
        <v>37</v>
      </c>
      <c r="F95">
        <v>0</v>
      </c>
      <c r="G95">
        <f t="shared" si="2"/>
        <v>122.75784</v>
      </c>
      <c r="I95">
        <v>12275.784</v>
      </c>
      <c r="L95" s="1"/>
    </row>
    <row r="96" spans="1:12" x14ac:dyDescent="0.25">
      <c r="A96">
        <v>2319</v>
      </c>
      <c r="B96" t="s">
        <v>40</v>
      </c>
      <c r="C96" t="s">
        <v>8</v>
      </c>
      <c r="D96" t="s">
        <v>41</v>
      </c>
      <c r="E96" t="s">
        <v>37</v>
      </c>
      <c r="F96">
        <v>0</v>
      </c>
      <c r="G96">
        <f t="shared" si="2"/>
        <v>32.400024000000002</v>
      </c>
      <c r="I96">
        <v>3240.0023999999999</v>
      </c>
      <c r="L96" s="1"/>
    </row>
    <row r="97" spans="1:12" x14ac:dyDescent="0.25">
      <c r="A97">
        <v>2331</v>
      </c>
      <c r="B97" t="s">
        <v>40</v>
      </c>
      <c r="C97" t="s">
        <v>8</v>
      </c>
      <c r="D97" t="s">
        <v>41</v>
      </c>
      <c r="E97" t="s">
        <v>37</v>
      </c>
      <c r="F97">
        <v>0.30171428571428499</v>
      </c>
      <c r="G97">
        <f t="shared" si="2"/>
        <v>37.4321306388577</v>
      </c>
      <c r="I97">
        <v>3743.2130638857702</v>
      </c>
      <c r="L97" s="1"/>
    </row>
    <row r="98" spans="1:12" x14ac:dyDescent="0.25">
      <c r="A98">
        <v>2411</v>
      </c>
      <c r="B98" t="s">
        <v>40</v>
      </c>
      <c r="C98" t="s">
        <v>8</v>
      </c>
      <c r="D98" t="s">
        <v>41</v>
      </c>
      <c r="E98" t="s">
        <v>37</v>
      </c>
      <c r="F98">
        <v>0</v>
      </c>
      <c r="G98">
        <f t="shared" ref="G98:G107" si="3">IF(J98="x",I98*$M$3,I98*$M$2)</f>
        <v>220.39627722815399</v>
      </c>
      <c r="I98">
        <v>22039.627722815399</v>
      </c>
    </row>
    <row r="99" spans="1:12" x14ac:dyDescent="0.25">
      <c r="A99">
        <v>2412</v>
      </c>
      <c r="B99" t="s">
        <v>40</v>
      </c>
      <c r="C99" t="s">
        <v>8</v>
      </c>
      <c r="D99" t="s">
        <v>41</v>
      </c>
      <c r="E99" t="s">
        <v>37</v>
      </c>
      <c r="F99">
        <v>0</v>
      </c>
      <c r="G99">
        <f t="shared" si="3"/>
        <v>113.703429284986</v>
      </c>
      <c r="I99">
        <v>11370.3429284986</v>
      </c>
    </row>
    <row r="100" spans="1:12" x14ac:dyDescent="0.25">
      <c r="A100">
        <v>2413</v>
      </c>
      <c r="B100" t="s">
        <v>40</v>
      </c>
      <c r="C100" t="s">
        <v>8</v>
      </c>
      <c r="D100" t="s">
        <v>41</v>
      </c>
      <c r="E100" t="s">
        <v>37</v>
      </c>
      <c r="F100">
        <v>1.1792942624009599</v>
      </c>
      <c r="G100">
        <f t="shared" si="3"/>
        <v>209.595187500919</v>
      </c>
      <c r="I100">
        <v>20959.518750091898</v>
      </c>
    </row>
    <row r="101" spans="1:12" x14ac:dyDescent="0.25">
      <c r="A101">
        <v>2414</v>
      </c>
      <c r="B101" t="s">
        <v>40</v>
      </c>
      <c r="C101" t="s">
        <v>8</v>
      </c>
      <c r="D101" t="s">
        <v>41</v>
      </c>
      <c r="E101" t="s">
        <v>37</v>
      </c>
      <c r="F101">
        <v>0</v>
      </c>
      <c r="G101">
        <f t="shared" si="3"/>
        <v>206.29764827074501</v>
      </c>
      <c r="I101">
        <v>20629.764827074501</v>
      </c>
    </row>
    <row r="102" spans="1:12" x14ac:dyDescent="0.25">
      <c r="A102">
        <v>2415</v>
      </c>
      <c r="B102" t="s">
        <v>40</v>
      </c>
      <c r="C102" t="s">
        <v>8</v>
      </c>
      <c r="D102" t="s">
        <v>41</v>
      </c>
      <c r="E102" t="s">
        <v>37</v>
      </c>
      <c r="F102">
        <v>0</v>
      </c>
      <c r="G102">
        <f t="shared" si="3"/>
        <v>39.3655919999999</v>
      </c>
      <c r="I102">
        <v>3936.5591999999901</v>
      </c>
    </row>
    <row r="103" spans="1:12" x14ac:dyDescent="0.25">
      <c r="A103">
        <v>2419</v>
      </c>
      <c r="B103" t="s">
        <v>40</v>
      </c>
      <c r="C103" t="s">
        <v>8</v>
      </c>
      <c r="D103" t="s">
        <v>41</v>
      </c>
      <c r="E103" t="s">
        <v>37</v>
      </c>
      <c r="F103">
        <v>0.59030541775922296</v>
      </c>
      <c r="G103">
        <f t="shared" si="3"/>
        <v>3.7376399999999901</v>
      </c>
      <c r="I103">
        <v>373.76399999999899</v>
      </c>
    </row>
    <row r="104" spans="1:12" x14ac:dyDescent="0.25">
      <c r="A104">
        <v>2511</v>
      </c>
      <c r="B104" t="s">
        <v>40</v>
      </c>
      <c r="C104" t="s">
        <v>8</v>
      </c>
      <c r="D104" t="s">
        <v>41</v>
      </c>
      <c r="E104" t="s">
        <v>37</v>
      </c>
      <c r="F104">
        <v>0</v>
      </c>
      <c r="G104">
        <f t="shared" si="3"/>
        <v>233.03707136792698</v>
      </c>
      <c r="I104">
        <v>23303.707136792698</v>
      </c>
    </row>
    <row r="105" spans="1:12" x14ac:dyDescent="0.25">
      <c r="A105">
        <v>2512</v>
      </c>
      <c r="B105" t="s">
        <v>40</v>
      </c>
      <c r="C105" t="s">
        <v>8</v>
      </c>
      <c r="D105" t="s">
        <v>41</v>
      </c>
      <c r="E105" t="s">
        <v>37</v>
      </c>
      <c r="F105">
        <v>0</v>
      </c>
      <c r="G105">
        <f t="shared" si="3"/>
        <v>124.670295471499</v>
      </c>
      <c r="I105">
        <v>12467.029547149899</v>
      </c>
    </row>
    <row r="106" spans="1:12" x14ac:dyDescent="0.25">
      <c r="A106">
        <v>2519</v>
      </c>
      <c r="B106" t="s">
        <v>40</v>
      </c>
      <c r="C106" t="s">
        <v>8</v>
      </c>
      <c r="D106" t="s">
        <v>41</v>
      </c>
      <c r="E106" t="s">
        <v>37</v>
      </c>
      <c r="F106">
        <v>0</v>
      </c>
      <c r="G106">
        <f t="shared" si="3"/>
        <v>3.5152319999999997</v>
      </c>
      <c r="I106">
        <v>351.52319999999997</v>
      </c>
    </row>
    <row r="107" spans="1:12" x14ac:dyDescent="0.25">
      <c r="A107">
        <v>2521</v>
      </c>
      <c r="B107" t="s">
        <v>40</v>
      </c>
      <c r="C107" t="s">
        <v>8</v>
      </c>
      <c r="D107" t="s">
        <v>41</v>
      </c>
      <c r="E107" t="s">
        <v>37</v>
      </c>
      <c r="F107">
        <v>0</v>
      </c>
      <c r="G107">
        <f t="shared" si="3"/>
        <v>21.7849287870417</v>
      </c>
      <c r="I107">
        <v>2178.4928787041699</v>
      </c>
    </row>
  </sheetData>
  <sortState ref="A2:J107">
    <sortCondition ref="A2:A107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2"/>
  <sheetViews>
    <sheetView workbookViewId="0">
      <pane ySplit="1" topLeftCell="A65" activePane="bottomLeft" state="frozen"/>
      <selection pane="bottomLeft" activeCell="B76" sqref="B76:I76"/>
    </sheetView>
  </sheetViews>
  <sheetFormatPr defaultRowHeight="15" x14ac:dyDescent="0.25"/>
  <cols>
    <col min="1" max="1" width="33.7109375" customWidth="1"/>
    <col min="2" max="2" width="13.140625" bestFit="1" customWidth="1"/>
    <col min="3" max="3" width="13.140625" customWidth="1"/>
    <col min="4" max="4" width="14.28515625" bestFit="1" customWidth="1"/>
    <col min="5" max="5" width="14.28515625" customWidth="1"/>
    <col min="6" max="6" width="21.42578125" bestFit="1" customWidth="1"/>
    <col min="9" max="9" width="9.5703125" bestFit="1" customWidth="1"/>
  </cols>
  <sheetData>
    <row r="1" spans="1:19" x14ac:dyDescent="0.25">
      <c r="A1" s="1" t="s">
        <v>19</v>
      </c>
      <c r="B1" s="1" t="s">
        <v>22</v>
      </c>
      <c r="C1" s="1" t="s">
        <v>136</v>
      </c>
      <c r="D1" s="1" t="s">
        <v>3</v>
      </c>
      <c r="E1" s="1" t="s">
        <v>93</v>
      </c>
      <c r="F1" s="1" t="s">
        <v>1</v>
      </c>
      <c r="G1" s="1" t="s">
        <v>0</v>
      </c>
      <c r="H1" s="1" t="s">
        <v>7</v>
      </c>
      <c r="I1" s="1" t="s">
        <v>16</v>
      </c>
      <c r="K1" s="1" t="s">
        <v>25</v>
      </c>
    </row>
    <row r="2" spans="1:19" x14ac:dyDescent="0.25">
      <c r="D2" s="1"/>
      <c r="E2" s="1"/>
      <c r="G2" s="2"/>
      <c r="H2" s="2"/>
      <c r="I2" s="3"/>
      <c r="P2" s="13"/>
      <c r="Q2" s="13"/>
      <c r="R2" s="13"/>
      <c r="S2" s="13"/>
    </row>
    <row r="3" spans="1:19" x14ac:dyDescent="0.25">
      <c r="B3" t="s">
        <v>49</v>
      </c>
      <c r="D3" s="1"/>
      <c r="E3" s="1"/>
      <c r="F3" t="s">
        <v>43</v>
      </c>
      <c r="G3" s="2" t="s">
        <v>10</v>
      </c>
      <c r="H3" s="2">
        <v>1</v>
      </c>
      <c r="I3" s="3">
        <v>1.39</v>
      </c>
      <c r="P3" s="13"/>
      <c r="Q3" s="14"/>
      <c r="R3" s="14"/>
      <c r="S3" s="13"/>
    </row>
    <row r="4" spans="1:19" x14ac:dyDescent="0.25">
      <c r="B4" t="s">
        <v>50</v>
      </c>
      <c r="D4" s="1"/>
      <c r="E4" s="1"/>
      <c r="F4" t="s">
        <v>43</v>
      </c>
      <c r="G4" s="2" t="s">
        <v>10</v>
      </c>
      <c r="H4" s="2">
        <v>1</v>
      </c>
      <c r="I4" s="3">
        <v>1.58</v>
      </c>
      <c r="P4" s="13"/>
      <c r="Q4" s="14"/>
      <c r="R4" s="14"/>
      <c r="S4" s="13"/>
    </row>
    <row r="5" spans="1:19" x14ac:dyDescent="0.25">
      <c r="B5" t="s">
        <v>51</v>
      </c>
      <c r="D5" s="1"/>
      <c r="E5" s="1"/>
      <c r="F5" t="s">
        <v>43</v>
      </c>
      <c r="G5" s="2" t="s">
        <v>10</v>
      </c>
      <c r="H5" s="2">
        <v>1</v>
      </c>
      <c r="I5" s="3">
        <v>1.58</v>
      </c>
      <c r="P5" s="13"/>
      <c r="Q5" s="14"/>
      <c r="R5" s="14"/>
      <c r="S5" s="13"/>
    </row>
    <row r="6" spans="1:19" x14ac:dyDescent="0.25">
      <c r="D6" s="1"/>
      <c r="E6" s="1"/>
      <c r="G6" s="2"/>
      <c r="H6" s="2"/>
      <c r="I6" s="3"/>
      <c r="P6" s="13"/>
      <c r="Q6" s="14"/>
      <c r="R6" s="14"/>
      <c r="S6" s="13"/>
    </row>
    <row r="7" spans="1:19" x14ac:dyDescent="0.25">
      <c r="B7" t="s">
        <v>4</v>
      </c>
      <c r="D7" s="1"/>
      <c r="E7" s="1"/>
      <c r="F7" t="s">
        <v>43</v>
      </c>
      <c r="G7" s="2" t="s">
        <v>10</v>
      </c>
      <c r="H7" s="2">
        <v>1</v>
      </c>
      <c r="I7" s="3">
        <v>0.85</v>
      </c>
      <c r="P7" s="13"/>
      <c r="Q7" s="14"/>
      <c r="R7" s="14"/>
      <c r="S7" s="13"/>
    </row>
    <row r="8" spans="1:19" x14ac:dyDescent="0.25">
      <c r="A8" t="s">
        <v>52</v>
      </c>
      <c r="B8" t="s">
        <v>4</v>
      </c>
      <c r="D8" s="1"/>
      <c r="E8" s="1"/>
      <c r="F8" t="s">
        <v>43</v>
      </c>
      <c r="G8" s="2" t="s">
        <v>10</v>
      </c>
      <c r="H8" s="2">
        <v>1</v>
      </c>
      <c r="I8" s="3">
        <v>0.5</v>
      </c>
      <c r="K8" t="s">
        <v>90</v>
      </c>
      <c r="P8" s="13"/>
      <c r="Q8" s="14"/>
      <c r="R8" s="14"/>
      <c r="S8" s="13"/>
    </row>
    <row r="9" spans="1:19" x14ac:dyDescent="0.25">
      <c r="D9" s="1"/>
      <c r="E9" s="1"/>
      <c r="G9" s="2"/>
      <c r="H9" s="2"/>
      <c r="I9" s="3"/>
      <c r="P9" s="13"/>
      <c r="Q9" s="14"/>
      <c r="R9" s="14"/>
      <c r="S9" s="13"/>
    </row>
    <row r="10" spans="1:19" x14ac:dyDescent="0.25">
      <c r="A10" t="s">
        <v>17</v>
      </c>
      <c r="F10" t="s">
        <v>43</v>
      </c>
      <c r="G10" s="2" t="s">
        <v>10</v>
      </c>
      <c r="H10">
        <v>1</v>
      </c>
      <c r="I10" s="3">
        <v>0.59</v>
      </c>
      <c r="P10" s="13"/>
      <c r="Q10" s="15"/>
      <c r="R10" s="15"/>
      <c r="S10" s="16"/>
    </row>
    <row r="11" spans="1:19" x14ac:dyDescent="0.25">
      <c r="A11" t="s">
        <v>53</v>
      </c>
      <c r="F11" t="s">
        <v>43</v>
      </c>
      <c r="G11" s="2" t="s">
        <v>10</v>
      </c>
      <c r="H11">
        <v>1</v>
      </c>
      <c r="I11" s="3">
        <v>0.59</v>
      </c>
      <c r="P11" s="13"/>
      <c r="Q11" s="15"/>
      <c r="R11" s="15"/>
      <c r="S11" s="16"/>
    </row>
    <row r="12" spans="1:19" x14ac:dyDescent="0.25">
      <c r="A12" t="s">
        <v>54</v>
      </c>
      <c r="F12" t="s">
        <v>43</v>
      </c>
      <c r="G12" s="2" t="s">
        <v>10</v>
      </c>
      <c r="H12">
        <v>1</v>
      </c>
      <c r="I12" s="3">
        <v>0.59</v>
      </c>
      <c r="P12" s="13"/>
      <c r="Q12" s="15"/>
      <c r="R12" s="15"/>
      <c r="S12" s="16"/>
    </row>
    <row r="13" spans="1:19" x14ac:dyDescent="0.25">
      <c r="A13" t="s">
        <v>18</v>
      </c>
      <c r="F13" t="s">
        <v>43</v>
      </c>
      <c r="G13" s="2" t="s">
        <v>10</v>
      </c>
      <c r="H13">
        <v>1</v>
      </c>
      <c r="I13" s="3">
        <v>0.86</v>
      </c>
      <c r="P13" s="13"/>
      <c r="Q13" s="15"/>
      <c r="R13" s="15"/>
      <c r="S13" s="13"/>
    </row>
    <row r="14" spans="1:19" x14ac:dyDescent="0.25">
      <c r="A14" t="s">
        <v>55</v>
      </c>
      <c r="F14" t="s">
        <v>43</v>
      </c>
      <c r="G14" s="2" t="s">
        <v>10</v>
      </c>
      <c r="H14">
        <v>1</v>
      </c>
      <c r="I14" s="3">
        <v>0.5</v>
      </c>
      <c r="P14" s="13"/>
      <c r="Q14" s="15"/>
      <c r="R14" s="15"/>
      <c r="S14" s="13"/>
    </row>
    <row r="15" spans="1:19" x14ac:dyDescent="0.25">
      <c r="G15" s="2"/>
      <c r="I15" s="9"/>
      <c r="P15" s="13"/>
      <c r="Q15" s="13"/>
      <c r="R15" s="13"/>
      <c r="S15" s="13"/>
    </row>
    <row r="16" spans="1:19" x14ac:dyDescent="0.25">
      <c r="A16" t="s">
        <v>44</v>
      </c>
      <c r="F16" t="s">
        <v>43</v>
      </c>
      <c r="G16" s="2" t="s">
        <v>37</v>
      </c>
      <c r="H16">
        <v>4.5</v>
      </c>
      <c r="I16" s="9">
        <f>H16*$K$17</f>
        <v>15.525</v>
      </c>
      <c r="P16" s="13"/>
      <c r="Q16" s="15"/>
      <c r="R16" s="15"/>
      <c r="S16" s="17"/>
    </row>
    <row r="17" spans="1:19" x14ac:dyDescent="0.25">
      <c r="A17" s="8" t="s">
        <v>45</v>
      </c>
      <c r="F17" t="s">
        <v>43</v>
      </c>
      <c r="G17" s="2" t="s">
        <v>37</v>
      </c>
      <c r="H17" s="2">
        <v>0</v>
      </c>
      <c r="I17" s="9">
        <f>I16</f>
        <v>15.525</v>
      </c>
      <c r="K17">
        <v>3.45</v>
      </c>
      <c r="P17" s="13"/>
      <c r="Q17" s="15"/>
      <c r="R17" s="15"/>
      <c r="S17" s="13"/>
    </row>
    <row r="18" spans="1:19" x14ac:dyDescent="0.25">
      <c r="A18" s="8" t="s">
        <v>46</v>
      </c>
      <c r="F18" t="s">
        <v>43</v>
      </c>
      <c r="G18" s="2" t="s">
        <v>37</v>
      </c>
      <c r="H18" s="2">
        <v>0.7</v>
      </c>
      <c r="I18" s="9">
        <f>H18*$K$17</f>
        <v>2.415</v>
      </c>
      <c r="K18" s="11">
        <f>(SUM(I16:I18)-SUM(H16:H18))/SUM(H16:H18)</f>
        <v>5.4355769230769235</v>
      </c>
      <c r="P18" s="13"/>
      <c r="Q18" s="15"/>
      <c r="R18" s="15"/>
      <c r="S18" s="13"/>
    </row>
    <row r="19" spans="1:19" x14ac:dyDescent="0.25">
      <c r="A19" s="8"/>
      <c r="G19" s="2"/>
      <c r="H19" s="2"/>
      <c r="I19" s="9"/>
      <c r="P19" s="13"/>
      <c r="Q19" s="13"/>
      <c r="R19" s="13"/>
      <c r="S19" s="13"/>
    </row>
    <row r="20" spans="1:19" x14ac:dyDescent="0.25">
      <c r="A20" t="s">
        <v>47</v>
      </c>
      <c r="F20" t="s">
        <v>43</v>
      </c>
      <c r="G20" s="2" t="s">
        <v>10</v>
      </c>
      <c r="H20" s="10">
        <v>1</v>
      </c>
      <c r="I20" s="3">
        <v>1.05</v>
      </c>
      <c r="P20" s="13"/>
      <c r="Q20" s="15"/>
      <c r="R20" s="15"/>
      <c r="S20" s="16"/>
    </row>
    <row r="21" spans="1:19" x14ac:dyDescent="0.25">
      <c r="G21" s="2"/>
      <c r="H21" s="10"/>
      <c r="I21" s="3"/>
      <c r="P21" s="13"/>
      <c r="Q21" s="15"/>
      <c r="R21" s="15"/>
      <c r="S21" s="16"/>
    </row>
    <row r="22" spans="1:19" x14ac:dyDescent="0.25">
      <c r="A22" t="s">
        <v>97</v>
      </c>
      <c r="F22" t="s">
        <v>43</v>
      </c>
      <c r="G22" s="2" t="s">
        <v>10</v>
      </c>
      <c r="H22" s="10">
        <v>1</v>
      </c>
      <c r="I22" s="3">
        <v>0.34</v>
      </c>
      <c r="P22" s="13"/>
      <c r="Q22" s="15"/>
      <c r="R22" s="15"/>
      <c r="S22" s="16"/>
    </row>
    <row r="23" spans="1:19" x14ac:dyDescent="0.25">
      <c r="G23" s="2"/>
      <c r="H23" s="10"/>
      <c r="I23" s="3"/>
      <c r="P23" s="13"/>
      <c r="Q23" s="15"/>
      <c r="R23" s="15"/>
      <c r="S23" s="16"/>
    </row>
    <row r="24" spans="1:19" x14ac:dyDescent="0.25">
      <c r="A24" s="8"/>
      <c r="E24" t="s">
        <v>91</v>
      </c>
      <c r="F24" t="s">
        <v>92</v>
      </c>
      <c r="G24" s="2" t="s">
        <v>10</v>
      </c>
      <c r="H24" s="2">
        <v>1</v>
      </c>
      <c r="I24" s="3">
        <v>0.5</v>
      </c>
      <c r="P24" s="13"/>
      <c r="Q24" s="26"/>
      <c r="R24" s="26"/>
      <c r="S24" s="13"/>
    </row>
    <row r="25" spans="1:19" x14ac:dyDescent="0.25">
      <c r="A25" s="8"/>
      <c r="H25" s="2"/>
      <c r="I25" s="3"/>
      <c r="P25" s="13"/>
      <c r="Q25" s="18"/>
      <c r="R25" s="18"/>
      <c r="S25" s="13"/>
    </row>
    <row r="26" spans="1:19" x14ac:dyDescent="0.25">
      <c r="A26" s="4" t="s">
        <v>21</v>
      </c>
      <c r="B26" t="s">
        <v>23</v>
      </c>
      <c r="D26" t="s">
        <v>8</v>
      </c>
      <c r="F26" t="s">
        <v>20</v>
      </c>
      <c r="G26" t="s">
        <v>24</v>
      </c>
      <c r="H26">
        <v>0</v>
      </c>
      <c r="I26" s="5">
        <v>1000000</v>
      </c>
      <c r="K26" t="s">
        <v>26</v>
      </c>
      <c r="P26" s="13"/>
      <c r="Q26" s="13"/>
      <c r="R26" s="13"/>
      <c r="S26" s="13"/>
    </row>
    <row r="27" spans="1:19" x14ac:dyDescent="0.25">
      <c r="K27" s="6"/>
      <c r="P27" s="13"/>
      <c r="Q27" s="13"/>
      <c r="R27" s="13"/>
      <c r="S27" s="13"/>
    </row>
    <row r="28" spans="1:19" x14ac:dyDescent="0.25">
      <c r="A28" t="s">
        <v>83</v>
      </c>
      <c r="B28" t="s">
        <v>84</v>
      </c>
      <c r="D28" t="s">
        <v>8</v>
      </c>
      <c r="F28" t="s">
        <v>85</v>
      </c>
      <c r="G28" t="s">
        <v>24</v>
      </c>
      <c r="H28">
        <v>0</v>
      </c>
      <c r="I28" s="5">
        <f>558250*0.3</f>
        <v>167475</v>
      </c>
      <c r="K28" s="6" t="s">
        <v>89</v>
      </c>
      <c r="P28" s="13"/>
      <c r="Q28" s="13"/>
      <c r="R28" s="13"/>
      <c r="S28" s="13"/>
    </row>
    <row r="29" spans="1:19" x14ac:dyDescent="0.25">
      <c r="A29" t="s">
        <v>86</v>
      </c>
      <c r="B29" t="s">
        <v>84</v>
      </c>
      <c r="D29" t="s">
        <v>8</v>
      </c>
      <c r="F29" t="s">
        <v>85</v>
      </c>
      <c r="G29" t="s">
        <v>24</v>
      </c>
      <c r="H29">
        <v>0</v>
      </c>
      <c r="I29" s="5">
        <f>518197*0.25</f>
        <v>129549.25</v>
      </c>
      <c r="K29" s="6" t="s">
        <v>89</v>
      </c>
      <c r="P29" s="13"/>
      <c r="Q29" s="13"/>
      <c r="R29" s="13"/>
      <c r="S29" s="13"/>
    </row>
    <row r="30" spans="1:19" x14ac:dyDescent="0.25">
      <c r="A30" t="s">
        <v>87</v>
      </c>
      <c r="B30" t="s">
        <v>84</v>
      </c>
      <c r="D30" t="s">
        <v>8</v>
      </c>
      <c r="F30" t="s">
        <v>85</v>
      </c>
      <c r="G30" t="s">
        <v>24</v>
      </c>
      <c r="H30">
        <v>0</v>
      </c>
      <c r="I30" s="5">
        <f>32966*0.3</f>
        <v>9889.7999999999993</v>
      </c>
      <c r="K30" s="6" t="s">
        <v>89</v>
      </c>
      <c r="P30" s="13"/>
      <c r="Q30" s="13"/>
      <c r="R30" s="13"/>
      <c r="S30" s="13"/>
    </row>
    <row r="31" spans="1:19" x14ac:dyDescent="0.25">
      <c r="A31" t="s">
        <v>88</v>
      </c>
      <c r="B31" t="s">
        <v>84</v>
      </c>
      <c r="D31" t="s">
        <v>8</v>
      </c>
      <c r="F31" t="s">
        <v>85</v>
      </c>
      <c r="G31" t="s">
        <v>24</v>
      </c>
      <c r="H31">
        <v>0</v>
      </c>
      <c r="I31" s="5">
        <f>196581*0.3</f>
        <v>58974.299999999996</v>
      </c>
      <c r="K31" s="6" t="s">
        <v>89</v>
      </c>
      <c r="P31" s="13"/>
      <c r="Q31" s="13"/>
      <c r="R31" s="13"/>
      <c r="S31" s="13"/>
    </row>
    <row r="32" spans="1:19" x14ac:dyDescent="0.25">
      <c r="K32" s="6"/>
      <c r="P32" s="13"/>
      <c r="Q32" s="13"/>
      <c r="R32" s="13"/>
      <c r="S32" s="13"/>
    </row>
    <row r="33" spans="1:19" x14ac:dyDescent="0.25">
      <c r="P33" s="13"/>
      <c r="Q33" s="12"/>
      <c r="R33" s="12"/>
      <c r="S33" s="13"/>
    </row>
    <row r="34" spans="1:19" x14ac:dyDescent="0.25">
      <c r="A34" s="7" t="s">
        <v>141</v>
      </c>
      <c r="P34" s="13"/>
      <c r="Q34" s="12"/>
      <c r="R34" s="12"/>
      <c r="S34" s="13"/>
    </row>
    <row r="35" spans="1:19" x14ac:dyDescent="0.25">
      <c r="A35" s="1" t="s">
        <v>137</v>
      </c>
      <c r="K35" s="19" t="s">
        <v>138</v>
      </c>
      <c r="L35" s="20" t="s">
        <v>139</v>
      </c>
      <c r="M35" s="21" t="s">
        <v>140</v>
      </c>
      <c r="P35" s="13"/>
      <c r="Q35" s="12"/>
      <c r="R35" s="12"/>
      <c r="S35" s="13"/>
    </row>
    <row r="36" spans="1:19" x14ac:dyDescent="0.25">
      <c r="A36" t="s">
        <v>98</v>
      </c>
      <c r="C36" t="s">
        <v>99</v>
      </c>
      <c r="D36" t="s">
        <v>8</v>
      </c>
      <c r="F36" t="s">
        <v>9</v>
      </c>
      <c r="G36" t="s">
        <v>37</v>
      </c>
      <c r="H36">
        <v>5.3</v>
      </c>
      <c r="I36">
        <f t="shared" ref="I36:I45" si="0">MIN(MAX(H36*$K$36,$L$36),$M$36)</f>
        <v>40</v>
      </c>
      <c r="K36" s="24">
        <v>3</v>
      </c>
      <c r="L36" s="22">
        <v>40</v>
      </c>
      <c r="M36" s="23">
        <v>100</v>
      </c>
      <c r="P36" s="13"/>
      <c r="Q36" s="13"/>
      <c r="R36" s="13"/>
      <c r="S36" s="13"/>
    </row>
    <row r="37" spans="1:19" x14ac:dyDescent="0.25">
      <c r="A37" t="s">
        <v>100</v>
      </c>
      <c r="C37" t="s">
        <v>99</v>
      </c>
      <c r="D37" t="s">
        <v>8</v>
      </c>
      <c r="F37" t="s">
        <v>9</v>
      </c>
      <c r="G37" t="s">
        <v>37</v>
      </c>
      <c r="H37">
        <v>5.3</v>
      </c>
      <c r="I37">
        <f t="shared" si="0"/>
        <v>40</v>
      </c>
    </row>
    <row r="38" spans="1:19" x14ac:dyDescent="0.25">
      <c r="A38" t="s">
        <v>101</v>
      </c>
      <c r="C38" t="s">
        <v>99</v>
      </c>
      <c r="D38" t="s">
        <v>8</v>
      </c>
      <c r="F38" t="s">
        <v>9</v>
      </c>
      <c r="G38" t="s">
        <v>37</v>
      </c>
      <c r="H38">
        <v>4.9000000000000004</v>
      </c>
      <c r="I38">
        <f t="shared" si="0"/>
        <v>40</v>
      </c>
    </row>
    <row r="39" spans="1:19" x14ac:dyDescent="0.25">
      <c r="A39" t="s">
        <v>102</v>
      </c>
      <c r="C39" t="s">
        <v>99</v>
      </c>
      <c r="D39" t="s">
        <v>8</v>
      </c>
      <c r="F39" t="s">
        <v>9</v>
      </c>
      <c r="G39" t="s">
        <v>37</v>
      </c>
      <c r="H39">
        <v>4.9000000000000004</v>
      </c>
      <c r="I39">
        <f t="shared" si="0"/>
        <v>40</v>
      </c>
    </row>
    <row r="40" spans="1:19" x14ac:dyDescent="0.25">
      <c r="A40" t="s">
        <v>103</v>
      </c>
      <c r="C40" t="s">
        <v>99</v>
      </c>
      <c r="D40" t="s">
        <v>8</v>
      </c>
      <c r="F40" t="s">
        <v>9</v>
      </c>
      <c r="G40" t="s">
        <v>37</v>
      </c>
      <c r="H40">
        <v>12.7</v>
      </c>
      <c r="I40">
        <f t="shared" si="0"/>
        <v>40</v>
      </c>
    </row>
    <row r="41" spans="1:19" x14ac:dyDescent="0.25">
      <c r="A41" t="s">
        <v>104</v>
      </c>
      <c r="C41" t="s">
        <v>99</v>
      </c>
      <c r="D41" t="s">
        <v>8</v>
      </c>
      <c r="F41" t="s">
        <v>9</v>
      </c>
      <c r="G41" t="s">
        <v>37</v>
      </c>
      <c r="H41">
        <v>12.7</v>
      </c>
      <c r="I41">
        <f t="shared" si="0"/>
        <v>40</v>
      </c>
    </row>
    <row r="42" spans="1:19" x14ac:dyDescent="0.25">
      <c r="A42" t="s">
        <v>105</v>
      </c>
      <c r="C42" t="s">
        <v>99</v>
      </c>
      <c r="D42" t="s">
        <v>8</v>
      </c>
      <c r="F42" t="s">
        <v>9</v>
      </c>
      <c r="G42" t="s">
        <v>37</v>
      </c>
      <c r="H42">
        <v>24</v>
      </c>
      <c r="I42">
        <f t="shared" si="0"/>
        <v>72</v>
      </c>
    </row>
    <row r="43" spans="1:19" x14ac:dyDescent="0.25">
      <c r="A43" t="s">
        <v>106</v>
      </c>
      <c r="C43" t="s">
        <v>99</v>
      </c>
      <c r="D43" t="s">
        <v>8</v>
      </c>
      <c r="F43" t="s">
        <v>9</v>
      </c>
      <c r="G43" t="s">
        <v>37</v>
      </c>
      <c r="H43">
        <v>24</v>
      </c>
      <c r="I43">
        <f t="shared" si="0"/>
        <v>72</v>
      </c>
    </row>
    <row r="44" spans="1:19" x14ac:dyDescent="0.25">
      <c r="A44" t="s">
        <v>107</v>
      </c>
      <c r="C44" t="s">
        <v>99</v>
      </c>
      <c r="D44" t="s">
        <v>8</v>
      </c>
      <c r="F44" t="s">
        <v>9</v>
      </c>
      <c r="G44" t="s">
        <v>37</v>
      </c>
      <c r="H44">
        <v>10</v>
      </c>
      <c r="I44">
        <f t="shared" si="0"/>
        <v>40</v>
      </c>
    </row>
    <row r="45" spans="1:19" x14ac:dyDescent="0.25">
      <c r="A45" t="s">
        <v>108</v>
      </c>
      <c r="C45" t="s">
        <v>99</v>
      </c>
      <c r="D45" t="s">
        <v>8</v>
      </c>
      <c r="F45" t="s">
        <v>9</v>
      </c>
      <c r="G45" t="s">
        <v>37</v>
      </c>
      <c r="H45">
        <v>10</v>
      </c>
      <c r="I45">
        <f t="shared" si="0"/>
        <v>40</v>
      </c>
    </row>
    <row r="46" spans="1:19" x14ac:dyDescent="0.25">
      <c r="A46" s="1" t="s">
        <v>109</v>
      </c>
    </row>
    <row r="47" spans="1:19" x14ac:dyDescent="0.25">
      <c r="A47" t="s">
        <v>110</v>
      </c>
      <c r="C47" t="s">
        <v>99</v>
      </c>
      <c r="D47" t="s">
        <v>8</v>
      </c>
      <c r="F47" t="s">
        <v>9</v>
      </c>
      <c r="G47" t="s">
        <v>37</v>
      </c>
      <c r="H47">
        <v>12</v>
      </c>
      <c r="I47">
        <f>MIN(MAX(H47*$K$36,$L$36),$M$36)</f>
        <v>40</v>
      </c>
    </row>
    <row r="48" spans="1:19" x14ac:dyDescent="0.25">
      <c r="A48" t="s">
        <v>111</v>
      </c>
      <c r="C48" t="s">
        <v>99</v>
      </c>
      <c r="D48" t="s">
        <v>8</v>
      </c>
      <c r="F48" t="s">
        <v>9</v>
      </c>
      <c r="G48" t="s">
        <v>37</v>
      </c>
      <c r="H48">
        <v>12</v>
      </c>
      <c r="I48">
        <f>MIN(MAX(H48*$K$36,$L$36),$M$36)</f>
        <v>40</v>
      </c>
    </row>
    <row r="49" spans="1:9" x14ac:dyDescent="0.25">
      <c r="A49" t="s">
        <v>112</v>
      </c>
      <c r="C49" t="s">
        <v>99</v>
      </c>
      <c r="D49" t="s">
        <v>8</v>
      </c>
      <c r="F49" t="s">
        <v>9</v>
      </c>
      <c r="G49" t="s">
        <v>37</v>
      </c>
      <c r="H49">
        <v>0</v>
      </c>
      <c r="I49">
        <f>MIN(MAX(H49*$K$36,$L$36),$M$36)</f>
        <v>40</v>
      </c>
    </row>
    <row r="50" spans="1:9" x14ac:dyDescent="0.25">
      <c r="A50" s="1" t="s">
        <v>81</v>
      </c>
    </row>
    <row r="51" spans="1:9" x14ac:dyDescent="0.25">
      <c r="A51" t="s">
        <v>113</v>
      </c>
      <c r="C51" t="s">
        <v>99</v>
      </c>
      <c r="D51" t="s">
        <v>8</v>
      </c>
      <c r="F51" t="s">
        <v>9</v>
      </c>
      <c r="G51" t="s">
        <v>37</v>
      </c>
      <c r="H51">
        <v>25</v>
      </c>
      <c r="I51">
        <f t="shared" ref="I51:I57" si="1">MIN(MAX(H51*$K$36,$L$36),$M$36)</f>
        <v>75</v>
      </c>
    </row>
    <row r="52" spans="1:9" x14ac:dyDescent="0.25">
      <c r="A52" t="s">
        <v>114</v>
      </c>
      <c r="C52" t="s">
        <v>99</v>
      </c>
      <c r="D52" t="s">
        <v>8</v>
      </c>
      <c r="F52" t="s">
        <v>9</v>
      </c>
      <c r="G52" t="s">
        <v>37</v>
      </c>
      <c r="H52">
        <v>25</v>
      </c>
      <c r="I52">
        <f t="shared" si="1"/>
        <v>75</v>
      </c>
    </row>
    <row r="53" spans="1:9" x14ac:dyDescent="0.25">
      <c r="A53" t="s">
        <v>115</v>
      </c>
      <c r="C53" t="s">
        <v>99</v>
      </c>
      <c r="D53" t="s">
        <v>8</v>
      </c>
      <c r="F53" t="s">
        <v>9</v>
      </c>
      <c r="G53" t="s">
        <v>37</v>
      </c>
      <c r="H53">
        <v>13</v>
      </c>
      <c r="I53">
        <f t="shared" si="1"/>
        <v>40</v>
      </c>
    </row>
    <row r="54" spans="1:9" x14ac:dyDescent="0.25">
      <c r="A54" t="s">
        <v>116</v>
      </c>
      <c r="C54" t="s">
        <v>99</v>
      </c>
      <c r="D54" t="s">
        <v>8</v>
      </c>
      <c r="F54" t="s">
        <v>9</v>
      </c>
      <c r="G54" t="s">
        <v>37</v>
      </c>
      <c r="H54">
        <v>19</v>
      </c>
      <c r="I54">
        <f t="shared" si="1"/>
        <v>57</v>
      </c>
    </row>
    <row r="55" spans="1:9" x14ac:dyDescent="0.25">
      <c r="A55" t="s">
        <v>117</v>
      </c>
      <c r="C55" t="s">
        <v>99</v>
      </c>
      <c r="D55" t="s">
        <v>8</v>
      </c>
      <c r="F55" t="s">
        <v>9</v>
      </c>
      <c r="G55" t="s">
        <v>37</v>
      </c>
      <c r="H55">
        <v>9</v>
      </c>
      <c r="I55">
        <f t="shared" si="1"/>
        <v>40</v>
      </c>
    </row>
    <row r="56" spans="1:9" x14ac:dyDescent="0.25">
      <c r="A56" t="s">
        <v>118</v>
      </c>
      <c r="C56" t="s">
        <v>99</v>
      </c>
      <c r="D56" t="s">
        <v>8</v>
      </c>
      <c r="F56" t="s">
        <v>9</v>
      </c>
      <c r="G56" t="s">
        <v>37</v>
      </c>
      <c r="H56">
        <v>11</v>
      </c>
      <c r="I56">
        <f t="shared" si="1"/>
        <v>40</v>
      </c>
    </row>
    <row r="57" spans="1:9" x14ac:dyDescent="0.25">
      <c r="A57" t="s">
        <v>119</v>
      </c>
      <c r="C57" t="s">
        <v>99</v>
      </c>
      <c r="D57" t="s">
        <v>8</v>
      </c>
      <c r="F57" t="s">
        <v>9</v>
      </c>
      <c r="G57" t="s">
        <v>37</v>
      </c>
      <c r="H57">
        <v>13</v>
      </c>
      <c r="I57">
        <f t="shared" si="1"/>
        <v>40</v>
      </c>
    </row>
    <row r="58" spans="1:9" x14ac:dyDescent="0.25">
      <c r="A58" s="1" t="s">
        <v>120</v>
      </c>
    </row>
    <row r="59" spans="1:9" x14ac:dyDescent="0.25">
      <c r="A59" t="s">
        <v>75</v>
      </c>
      <c r="D59" t="s">
        <v>8</v>
      </c>
      <c r="F59" t="s">
        <v>9</v>
      </c>
      <c r="G59" t="s">
        <v>37</v>
      </c>
      <c r="H59">
        <v>7.9</v>
      </c>
      <c r="I59">
        <f>MIN(MAX(H59*$K$36,$L$36),$M$36)</f>
        <v>40</v>
      </c>
    </row>
    <row r="60" spans="1:9" x14ac:dyDescent="0.25">
      <c r="A60" t="s">
        <v>121</v>
      </c>
      <c r="D60" t="s">
        <v>8</v>
      </c>
      <c r="F60" t="s">
        <v>9</v>
      </c>
      <c r="G60" t="s">
        <v>37</v>
      </c>
      <c r="H60">
        <v>7.9</v>
      </c>
      <c r="I60">
        <f>MIN(MAX(H60*$K$36,$L$36),$M$36)</f>
        <v>40</v>
      </c>
    </row>
    <row r="61" spans="1:9" x14ac:dyDescent="0.25">
      <c r="A61" t="s">
        <v>122</v>
      </c>
      <c r="D61" t="s">
        <v>8</v>
      </c>
      <c r="F61" t="s">
        <v>9</v>
      </c>
      <c r="G61" t="s">
        <v>37</v>
      </c>
      <c r="H61">
        <v>7.9</v>
      </c>
      <c r="I61">
        <f>MIN(MAX(H61*$K$36,$L$36),$M$36)</f>
        <v>40</v>
      </c>
    </row>
    <row r="62" spans="1:9" x14ac:dyDescent="0.25">
      <c r="A62" t="s">
        <v>123</v>
      </c>
      <c r="D62" t="s">
        <v>8</v>
      </c>
      <c r="F62" t="s">
        <v>9</v>
      </c>
      <c r="G62" t="s">
        <v>37</v>
      </c>
      <c r="H62">
        <v>7.9</v>
      </c>
      <c r="I62">
        <f>MIN(MAX(H62*$K$36,$L$36),$M$36)</f>
        <v>40</v>
      </c>
    </row>
    <row r="63" spans="1:9" x14ac:dyDescent="0.25">
      <c r="A63" s="1" t="s">
        <v>124</v>
      </c>
    </row>
    <row r="64" spans="1:9" x14ac:dyDescent="0.25">
      <c r="B64" t="s">
        <v>4</v>
      </c>
      <c r="C64" t="s">
        <v>99</v>
      </c>
      <c r="D64" t="s">
        <v>8</v>
      </c>
      <c r="F64" t="s">
        <v>9</v>
      </c>
      <c r="G64" t="s">
        <v>37</v>
      </c>
      <c r="H64">
        <v>15.75</v>
      </c>
      <c r="I64">
        <f>MIN(MAX(H64*$K$36,$L$36),$M$36)</f>
        <v>47.25</v>
      </c>
    </row>
    <row r="65" spans="1:9" x14ac:dyDescent="0.25">
      <c r="A65" s="1" t="s">
        <v>125</v>
      </c>
    </row>
    <row r="66" spans="1:9" x14ac:dyDescent="0.25">
      <c r="A66" t="s">
        <v>17</v>
      </c>
      <c r="C66" t="s">
        <v>99</v>
      </c>
      <c r="D66" t="s">
        <v>8</v>
      </c>
      <c r="F66" t="s">
        <v>9</v>
      </c>
      <c r="G66" t="s">
        <v>37</v>
      </c>
      <c r="H66">
        <v>2.2999999999999998</v>
      </c>
      <c r="I66">
        <f t="shared" ref="I66:I71" si="2">MIN(MAX(H66*$K$36,$L$36),$M$36)</f>
        <v>40</v>
      </c>
    </row>
    <row r="67" spans="1:9" x14ac:dyDescent="0.25">
      <c r="A67" t="s">
        <v>53</v>
      </c>
      <c r="C67" t="s">
        <v>99</v>
      </c>
      <c r="D67" t="s">
        <v>8</v>
      </c>
      <c r="F67" t="s">
        <v>9</v>
      </c>
      <c r="G67" t="s">
        <v>37</v>
      </c>
      <c r="H67">
        <v>18.100000000000001</v>
      </c>
      <c r="I67">
        <f t="shared" si="2"/>
        <v>54.300000000000004</v>
      </c>
    </row>
    <row r="68" spans="1:9" x14ac:dyDescent="0.25">
      <c r="A68" t="s">
        <v>54</v>
      </c>
      <c r="C68" t="s">
        <v>99</v>
      </c>
      <c r="D68" t="s">
        <v>8</v>
      </c>
      <c r="F68" t="s">
        <v>9</v>
      </c>
      <c r="G68" t="s">
        <v>37</v>
      </c>
      <c r="H68">
        <v>21</v>
      </c>
      <c r="I68">
        <f t="shared" si="2"/>
        <v>63</v>
      </c>
    </row>
    <row r="69" spans="1:9" x14ac:dyDescent="0.25">
      <c r="A69" t="s">
        <v>18</v>
      </c>
      <c r="C69" t="s">
        <v>99</v>
      </c>
      <c r="D69" t="s">
        <v>8</v>
      </c>
      <c r="F69" t="s">
        <v>9</v>
      </c>
      <c r="G69" t="s">
        <v>37</v>
      </c>
      <c r="H69">
        <v>0.95</v>
      </c>
      <c r="I69">
        <f t="shared" si="2"/>
        <v>40</v>
      </c>
    </row>
    <row r="70" spans="1:9" x14ac:dyDescent="0.25">
      <c r="A70" t="s">
        <v>126</v>
      </c>
      <c r="C70" t="s">
        <v>99</v>
      </c>
      <c r="D70" t="s">
        <v>8</v>
      </c>
      <c r="F70" t="s">
        <v>127</v>
      </c>
      <c r="G70" t="s">
        <v>37</v>
      </c>
      <c r="H70">
        <v>8.620000000000001</v>
      </c>
      <c r="I70">
        <f t="shared" si="2"/>
        <v>40</v>
      </c>
    </row>
    <row r="71" spans="1:9" x14ac:dyDescent="0.25">
      <c r="A71" t="s">
        <v>128</v>
      </c>
      <c r="C71" t="s">
        <v>99</v>
      </c>
      <c r="D71" t="s">
        <v>8</v>
      </c>
      <c r="F71" t="s">
        <v>127</v>
      </c>
      <c r="G71" t="s">
        <v>37</v>
      </c>
      <c r="H71">
        <v>8.620000000000001</v>
      </c>
      <c r="I71">
        <f t="shared" si="2"/>
        <v>40</v>
      </c>
    </row>
    <row r="72" spans="1:9" x14ac:dyDescent="0.25">
      <c r="A72" t="s">
        <v>55</v>
      </c>
    </row>
    <row r="73" spans="1:9" x14ac:dyDescent="0.25">
      <c r="A73" t="s">
        <v>55</v>
      </c>
      <c r="C73" t="s">
        <v>99</v>
      </c>
      <c r="D73" t="s">
        <v>8</v>
      </c>
      <c r="F73" t="s">
        <v>9</v>
      </c>
      <c r="G73" t="s">
        <v>37</v>
      </c>
      <c r="H73">
        <v>16.5</v>
      </c>
      <c r="I73">
        <f>MIN(MAX(H73*$K$36,$L$36),$M$36)</f>
        <v>49.5</v>
      </c>
    </row>
    <row r="74" spans="1:9" x14ac:dyDescent="0.25">
      <c r="A74" t="s">
        <v>129</v>
      </c>
      <c r="C74" t="s">
        <v>99</v>
      </c>
      <c r="D74" t="s">
        <v>8</v>
      </c>
      <c r="F74" t="s">
        <v>9</v>
      </c>
      <c r="G74" t="s">
        <v>37</v>
      </c>
      <c r="H74">
        <v>16.5</v>
      </c>
      <c r="I74">
        <f>MIN(MAX(H74*$K$36,$L$36),$M$36)</f>
        <v>49.5</v>
      </c>
    </row>
    <row r="75" spans="1:9" x14ac:dyDescent="0.25">
      <c r="A75" s="1" t="s">
        <v>130</v>
      </c>
    </row>
    <row r="76" spans="1:9" x14ac:dyDescent="0.25">
      <c r="B76" t="s">
        <v>48</v>
      </c>
      <c r="D76" t="s">
        <v>8</v>
      </c>
      <c r="F76" t="s">
        <v>9</v>
      </c>
      <c r="G76" t="s">
        <v>37</v>
      </c>
      <c r="H76">
        <v>34.200000000000003</v>
      </c>
      <c r="I76">
        <f>MIN(MAX(H76*$K$36,$L$36),$M$36)</f>
        <v>100</v>
      </c>
    </row>
    <row r="77" spans="1:9" x14ac:dyDescent="0.25">
      <c r="A77" s="1" t="s">
        <v>131</v>
      </c>
    </row>
    <row r="78" spans="1:9" x14ac:dyDescent="0.25">
      <c r="A78" t="s">
        <v>47</v>
      </c>
      <c r="C78" t="s">
        <v>99</v>
      </c>
      <c r="D78" t="s">
        <v>8</v>
      </c>
      <c r="F78" t="s">
        <v>9</v>
      </c>
      <c r="G78" t="s">
        <v>37</v>
      </c>
      <c r="H78">
        <v>1</v>
      </c>
      <c r="I78">
        <f>MIN(MAX(H78*$K$36,$L$36),$M$36)</f>
        <v>40</v>
      </c>
    </row>
    <row r="79" spans="1:9" x14ac:dyDescent="0.25">
      <c r="A79" s="1" t="s">
        <v>132</v>
      </c>
    </row>
    <row r="80" spans="1:9" x14ac:dyDescent="0.25">
      <c r="A80" t="s">
        <v>133</v>
      </c>
      <c r="D80" t="s">
        <v>8</v>
      </c>
      <c r="F80" t="s">
        <v>9</v>
      </c>
      <c r="G80" t="s">
        <v>37</v>
      </c>
      <c r="H80">
        <v>8</v>
      </c>
      <c r="I80">
        <f>MIN(MAX(H80*$K$36,$L$36),$M$36)</f>
        <v>40</v>
      </c>
    </row>
    <row r="81" spans="1:9" x14ac:dyDescent="0.25">
      <c r="A81" t="s">
        <v>134</v>
      </c>
      <c r="D81" t="s">
        <v>8</v>
      </c>
      <c r="F81" t="s">
        <v>9</v>
      </c>
      <c r="G81" t="s">
        <v>37</v>
      </c>
      <c r="H81">
        <v>7.9</v>
      </c>
      <c r="I81">
        <f>MIN(MAX(H81*$K$36,$L$36),$M$36)</f>
        <v>40</v>
      </c>
    </row>
    <row r="82" spans="1:9" x14ac:dyDescent="0.25">
      <c r="A82" t="s">
        <v>135</v>
      </c>
      <c r="D82" t="s">
        <v>8</v>
      </c>
      <c r="F82" t="s">
        <v>9</v>
      </c>
      <c r="G82" t="s">
        <v>37</v>
      </c>
      <c r="H82">
        <v>4.7</v>
      </c>
      <c r="I82">
        <f>MIN(MAX(H82*$K$36,$L$36),$M$36)</f>
        <v>40</v>
      </c>
    </row>
  </sheetData>
  <mergeCells count="1">
    <mergeCell ref="Q24:R2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Views>
    <sheetView tabSelected="1" topLeftCell="A22" workbookViewId="0">
      <selection activeCell="G31" sqref="G31"/>
    </sheetView>
  </sheetViews>
  <sheetFormatPr defaultRowHeight="15" x14ac:dyDescent="0.25"/>
  <cols>
    <col min="1" max="1" width="23" bestFit="1" customWidth="1"/>
    <col min="2" max="2" width="18.42578125" bestFit="1" customWidth="1"/>
    <col min="3" max="3" width="23" customWidth="1"/>
    <col min="4" max="4" width="18.42578125" customWidth="1"/>
    <col min="5" max="5" width="11" bestFit="1" customWidth="1"/>
  </cols>
  <sheetData>
    <row r="1" spans="1:8" x14ac:dyDescent="0.25">
      <c r="A1" s="1" t="s">
        <v>67</v>
      </c>
      <c r="B1" s="1" t="s">
        <v>39</v>
      </c>
      <c r="C1" s="1" t="s">
        <v>148</v>
      </c>
      <c r="D1" s="1" t="s">
        <v>3</v>
      </c>
      <c r="E1" s="1" t="s">
        <v>1</v>
      </c>
      <c r="F1" s="1" t="s">
        <v>0</v>
      </c>
      <c r="G1" s="1" t="s">
        <v>7</v>
      </c>
      <c r="H1" s="1" t="s">
        <v>16</v>
      </c>
    </row>
    <row r="2" spans="1:8" x14ac:dyDescent="0.25">
      <c r="B2" t="s">
        <v>68</v>
      </c>
      <c r="D2" t="s">
        <v>6</v>
      </c>
      <c r="E2" t="s">
        <v>69</v>
      </c>
      <c r="F2" t="s">
        <v>10</v>
      </c>
      <c r="G2">
        <v>1</v>
      </c>
      <c r="H2" s="3">
        <v>1.4</v>
      </c>
    </row>
    <row r="3" spans="1:8" x14ac:dyDescent="0.25">
      <c r="B3" t="s">
        <v>70</v>
      </c>
      <c r="D3" t="s">
        <v>6</v>
      </c>
      <c r="E3" t="s">
        <v>69</v>
      </c>
      <c r="F3" t="s">
        <v>10</v>
      </c>
      <c r="G3">
        <v>1</v>
      </c>
      <c r="H3" s="3">
        <v>1.4</v>
      </c>
    </row>
    <row r="4" spans="1:8" x14ac:dyDescent="0.25">
      <c r="B4" t="s">
        <v>71</v>
      </c>
      <c r="D4" t="s">
        <v>6</v>
      </c>
      <c r="E4" t="s">
        <v>69</v>
      </c>
      <c r="F4" t="s">
        <v>10</v>
      </c>
      <c r="G4">
        <v>1</v>
      </c>
      <c r="H4" s="3">
        <v>1.36</v>
      </c>
    </row>
    <row r="5" spans="1:8" x14ac:dyDescent="0.25">
      <c r="B5" t="s">
        <v>72</v>
      </c>
      <c r="D5" t="s">
        <v>6</v>
      </c>
      <c r="E5" t="s">
        <v>69</v>
      </c>
      <c r="F5" t="s">
        <v>10</v>
      </c>
      <c r="G5">
        <v>1</v>
      </c>
      <c r="H5" s="3">
        <v>1.33</v>
      </c>
    </row>
    <row r="6" spans="1:8" x14ac:dyDescent="0.25">
      <c r="B6" t="s">
        <v>73</v>
      </c>
      <c r="D6" t="s">
        <v>6</v>
      </c>
      <c r="E6" t="s">
        <v>69</v>
      </c>
      <c r="F6" t="s">
        <v>10</v>
      </c>
      <c r="G6">
        <v>1</v>
      </c>
      <c r="H6" s="3">
        <v>1.33</v>
      </c>
    </row>
    <row r="7" spans="1:8" x14ac:dyDescent="0.25">
      <c r="B7" t="s">
        <v>74</v>
      </c>
      <c r="D7" t="s">
        <v>6</v>
      </c>
      <c r="E7" t="s">
        <v>69</v>
      </c>
      <c r="F7" t="s">
        <v>10</v>
      </c>
      <c r="G7">
        <v>1</v>
      </c>
      <c r="H7" s="3">
        <v>1.36</v>
      </c>
    </row>
    <row r="8" spans="1:8" x14ac:dyDescent="0.25">
      <c r="B8" t="s">
        <v>44</v>
      </c>
      <c r="D8" t="s">
        <v>6</v>
      </c>
      <c r="E8" t="s">
        <v>69</v>
      </c>
      <c r="F8" t="s">
        <v>10</v>
      </c>
      <c r="G8">
        <v>1</v>
      </c>
      <c r="H8" s="3">
        <v>1.36</v>
      </c>
    </row>
    <row r="9" spans="1:8" x14ac:dyDescent="0.25">
      <c r="B9" t="s">
        <v>45</v>
      </c>
      <c r="D9" t="s">
        <v>6</v>
      </c>
      <c r="E9" t="s">
        <v>69</v>
      </c>
      <c r="F9" t="s">
        <v>10</v>
      </c>
      <c r="G9">
        <v>1</v>
      </c>
      <c r="H9" s="3">
        <v>1.36</v>
      </c>
    </row>
    <row r="10" spans="1:8" x14ac:dyDescent="0.25">
      <c r="B10" t="s">
        <v>46</v>
      </c>
      <c r="D10" t="s">
        <v>6</v>
      </c>
      <c r="E10" t="s">
        <v>69</v>
      </c>
      <c r="F10" t="s">
        <v>10</v>
      </c>
      <c r="G10">
        <v>1</v>
      </c>
      <c r="H10" s="3">
        <v>1</v>
      </c>
    </row>
    <row r="11" spans="1:8" x14ac:dyDescent="0.25">
      <c r="B11" t="s">
        <v>75</v>
      </c>
      <c r="D11" t="s">
        <v>6</v>
      </c>
      <c r="E11" t="s">
        <v>69</v>
      </c>
      <c r="F11" t="s">
        <v>10</v>
      </c>
      <c r="G11">
        <v>1</v>
      </c>
      <c r="H11" s="3">
        <v>1.32</v>
      </c>
    </row>
    <row r="12" spans="1:8" x14ac:dyDescent="0.25">
      <c r="B12" t="s">
        <v>76</v>
      </c>
      <c r="D12" t="s">
        <v>6</v>
      </c>
      <c r="E12" t="s">
        <v>69</v>
      </c>
      <c r="F12" t="s">
        <v>10</v>
      </c>
      <c r="G12">
        <v>1</v>
      </c>
      <c r="H12" s="3">
        <v>1.35</v>
      </c>
    </row>
    <row r="13" spans="1:8" x14ac:dyDescent="0.25">
      <c r="B13" t="s">
        <v>77</v>
      </c>
      <c r="D13" t="s">
        <v>6</v>
      </c>
      <c r="E13" t="s">
        <v>69</v>
      </c>
      <c r="F13" t="s">
        <v>10</v>
      </c>
      <c r="G13">
        <v>1</v>
      </c>
      <c r="H13" s="3">
        <v>1.35</v>
      </c>
    </row>
    <row r="14" spans="1:8" x14ac:dyDescent="0.25">
      <c r="B14" t="s">
        <v>78</v>
      </c>
      <c r="D14" t="s">
        <v>6</v>
      </c>
      <c r="E14" t="s">
        <v>69</v>
      </c>
      <c r="F14" t="s">
        <v>10</v>
      </c>
      <c r="G14">
        <v>1</v>
      </c>
      <c r="H14" s="3">
        <v>1.33</v>
      </c>
    </row>
    <row r="15" spans="1:8" x14ac:dyDescent="0.25">
      <c r="B15" t="s">
        <v>79</v>
      </c>
      <c r="D15" t="s">
        <v>6</v>
      </c>
      <c r="E15" t="s">
        <v>69</v>
      </c>
      <c r="F15" t="s">
        <v>10</v>
      </c>
      <c r="G15">
        <v>1</v>
      </c>
      <c r="H15" s="3">
        <v>1.32</v>
      </c>
    </row>
    <row r="16" spans="1:8" x14ac:dyDescent="0.25">
      <c r="B16" t="s">
        <v>80</v>
      </c>
      <c r="D16" t="s">
        <v>6</v>
      </c>
      <c r="E16" t="s">
        <v>69</v>
      </c>
      <c r="F16" t="s">
        <v>10</v>
      </c>
      <c r="G16">
        <v>1</v>
      </c>
      <c r="H16" s="3">
        <v>1.32</v>
      </c>
    </row>
    <row r="17" spans="1:8" x14ac:dyDescent="0.25">
      <c r="A17" t="s">
        <v>81</v>
      </c>
      <c r="D17" t="s">
        <v>6</v>
      </c>
      <c r="E17" t="s">
        <v>69</v>
      </c>
      <c r="F17" t="s">
        <v>10</v>
      </c>
      <c r="G17">
        <v>1</v>
      </c>
      <c r="H17" s="3">
        <v>1.38</v>
      </c>
    </row>
    <row r="18" spans="1:8" x14ac:dyDescent="0.25">
      <c r="A18" t="s">
        <v>82</v>
      </c>
      <c r="D18" t="s">
        <v>6</v>
      </c>
      <c r="E18" t="s">
        <v>69</v>
      </c>
      <c r="F18" t="s">
        <v>10</v>
      </c>
      <c r="G18">
        <v>1</v>
      </c>
      <c r="H18" s="3">
        <v>1.38</v>
      </c>
    </row>
    <row r="20" spans="1:8" x14ac:dyDescent="0.25">
      <c r="B20" t="s">
        <v>68</v>
      </c>
      <c r="D20" t="s">
        <v>8</v>
      </c>
      <c r="E20" t="s">
        <v>69</v>
      </c>
      <c r="F20" t="s">
        <v>10</v>
      </c>
      <c r="G20">
        <v>1</v>
      </c>
      <c r="H20" s="3">
        <v>1.45</v>
      </c>
    </row>
    <row r="21" spans="1:8" x14ac:dyDescent="0.25">
      <c r="B21" t="s">
        <v>70</v>
      </c>
      <c r="D21" t="s">
        <v>8</v>
      </c>
      <c r="E21" t="s">
        <v>69</v>
      </c>
      <c r="F21" t="s">
        <v>10</v>
      </c>
      <c r="G21">
        <v>1</v>
      </c>
      <c r="H21" s="3">
        <v>1.45</v>
      </c>
    </row>
    <row r="22" spans="1:8" x14ac:dyDescent="0.25">
      <c r="B22" t="s">
        <v>71</v>
      </c>
      <c r="D22" t="s">
        <v>8</v>
      </c>
      <c r="E22" t="s">
        <v>69</v>
      </c>
      <c r="F22" t="s">
        <v>10</v>
      </c>
      <c r="G22">
        <v>1</v>
      </c>
      <c r="H22" s="3">
        <v>1.64</v>
      </c>
    </row>
    <row r="23" spans="1:8" x14ac:dyDescent="0.25">
      <c r="B23" t="s">
        <v>72</v>
      </c>
      <c r="D23" t="s">
        <v>8</v>
      </c>
      <c r="E23" t="s">
        <v>69</v>
      </c>
      <c r="F23" t="s">
        <v>10</v>
      </c>
      <c r="G23">
        <v>1</v>
      </c>
      <c r="H23" s="3">
        <v>1.33</v>
      </c>
    </row>
    <row r="24" spans="1:8" x14ac:dyDescent="0.25">
      <c r="B24" t="s">
        <v>73</v>
      </c>
      <c r="D24" t="s">
        <v>8</v>
      </c>
      <c r="E24" t="s">
        <v>69</v>
      </c>
      <c r="F24" t="s">
        <v>10</v>
      </c>
      <c r="G24">
        <v>1</v>
      </c>
      <c r="H24" s="3">
        <v>1.33</v>
      </c>
    </row>
    <row r="25" spans="1:8" x14ac:dyDescent="0.25">
      <c r="B25" t="s">
        <v>74</v>
      </c>
      <c r="D25" t="s">
        <v>8</v>
      </c>
      <c r="E25" t="s">
        <v>69</v>
      </c>
      <c r="F25" t="s">
        <v>10</v>
      </c>
      <c r="G25">
        <v>1</v>
      </c>
      <c r="H25" s="3">
        <v>1.35</v>
      </c>
    </row>
    <row r="26" spans="1:8" x14ac:dyDescent="0.25">
      <c r="B26" t="s">
        <v>44</v>
      </c>
      <c r="D26" t="s">
        <v>8</v>
      </c>
      <c r="E26" t="s">
        <v>69</v>
      </c>
      <c r="F26" t="s">
        <v>10</v>
      </c>
      <c r="G26">
        <v>1</v>
      </c>
      <c r="H26" s="3">
        <v>1.37</v>
      </c>
    </row>
    <row r="27" spans="1:8" x14ac:dyDescent="0.25">
      <c r="B27" t="s">
        <v>45</v>
      </c>
      <c r="D27" t="s">
        <v>8</v>
      </c>
      <c r="E27" t="s">
        <v>69</v>
      </c>
      <c r="F27" t="s">
        <v>10</v>
      </c>
      <c r="G27">
        <v>1</v>
      </c>
      <c r="H27" s="3">
        <v>1.37</v>
      </c>
    </row>
    <row r="28" spans="1:8" x14ac:dyDescent="0.25">
      <c r="B28" t="s">
        <v>46</v>
      </c>
      <c r="D28" t="s">
        <v>8</v>
      </c>
      <c r="E28" t="s">
        <v>69</v>
      </c>
      <c r="F28" t="s">
        <v>10</v>
      </c>
      <c r="G28">
        <v>1</v>
      </c>
      <c r="H28" s="3">
        <v>1.32</v>
      </c>
    </row>
    <row r="29" spans="1:8" x14ac:dyDescent="0.25">
      <c r="B29" t="s">
        <v>75</v>
      </c>
      <c r="D29" t="s">
        <v>8</v>
      </c>
      <c r="E29" t="s">
        <v>69</v>
      </c>
      <c r="F29" t="s">
        <v>10</v>
      </c>
      <c r="G29">
        <v>1</v>
      </c>
      <c r="H29" s="3">
        <v>1</v>
      </c>
    </row>
    <row r="30" spans="1:8" x14ac:dyDescent="0.25">
      <c r="B30" t="s">
        <v>76</v>
      </c>
      <c r="D30" t="s">
        <v>8</v>
      </c>
      <c r="E30" t="s">
        <v>69</v>
      </c>
      <c r="F30" t="s">
        <v>10</v>
      </c>
      <c r="G30">
        <v>1</v>
      </c>
      <c r="H30" s="3">
        <v>1.34</v>
      </c>
    </row>
    <row r="31" spans="1:8" x14ac:dyDescent="0.25">
      <c r="B31" t="s">
        <v>77</v>
      </c>
      <c r="D31" t="s">
        <v>8</v>
      </c>
      <c r="E31" t="s">
        <v>69</v>
      </c>
      <c r="F31" t="s">
        <v>10</v>
      </c>
      <c r="G31">
        <v>1</v>
      </c>
      <c r="H31" s="3">
        <v>1.34</v>
      </c>
    </row>
    <row r="32" spans="1:8" x14ac:dyDescent="0.25">
      <c r="B32" t="s">
        <v>78</v>
      </c>
      <c r="D32" t="s">
        <v>8</v>
      </c>
      <c r="E32" t="s">
        <v>69</v>
      </c>
      <c r="F32" t="s">
        <v>10</v>
      </c>
      <c r="G32">
        <v>1</v>
      </c>
      <c r="H32" s="3">
        <v>1</v>
      </c>
    </row>
    <row r="33" spans="1:8" x14ac:dyDescent="0.25">
      <c r="B33" t="s">
        <v>79</v>
      </c>
      <c r="D33" t="s">
        <v>8</v>
      </c>
      <c r="E33" t="s">
        <v>69</v>
      </c>
      <c r="F33" t="s">
        <v>10</v>
      </c>
      <c r="G33">
        <v>1</v>
      </c>
      <c r="H33" s="3">
        <v>1.54</v>
      </c>
    </row>
    <row r="34" spans="1:8" x14ac:dyDescent="0.25">
      <c r="B34" t="s">
        <v>80</v>
      </c>
      <c r="D34" t="s">
        <v>8</v>
      </c>
      <c r="E34" t="s">
        <v>69</v>
      </c>
      <c r="F34" t="s">
        <v>10</v>
      </c>
      <c r="G34">
        <v>1</v>
      </c>
      <c r="H34" s="3">
        <v>1.54</v>
      </c>
    </row>
    <row r="35" spans="1:8" x14ac:dyDescent="0.25">
      <c r="A35" t="s">
        <v>81</v>
      </c>
      <c r="D35" t="s">
        <v>8</v>
      </c>
      <c r="E35" t="s">
        <v>69</v>
      </c>
      <c r="F35" t="s">
        <v>10</v>
      </c>
      <c r="G35">
        <v>1</v>
      </c>
      <c r="H35" s="3">
        <v>1.38</v>
      </c>
    </row>
    <row r="36" spans="1:8" x14ac:dyDescent="0.25">
      <c r="A36" t="s">
        <v>82</v>
      </c>
      <c r="D36" t="s">
        <v>8</v>
      </c>
      <c r="E36" t="s">
        <v>69</v>
      </c>
      <c r="F36" t="s">
        <v>10</v>
      </c>
      <c r="G36">
        <v>1</v>
      </c>
      <c r="H36" s="3">
        <v>1.38</v>
      </c>
    </row>
    <row r="38" spans="1:8" x14ac:dyDescent="0.25">
      <c r="C38" t="s">
        <v>149</v>
      </c>
      <c r="D38" t="s">
        <v>8</v>
      </c>
      <c r="E38" t="s">
        <v>147</v>
      </c>
      <c r="F38" t="s">
        <v>24</v>
      </c>
      <c r="G38">
        <v>100</v>
      </c>
      <c r="H38" s="9">
        <v>8</v>
      </c>
    </row>
    <row r="39" spans="1:8" x14ac:dyDescent="0.25">
      <c r="C39" t="s">
        <v>150</v>
      </c>
      <c r="D39" t="s">
        <v>8</v>
      </c>
      <c r="E39" t="s">
        <v>147</v>
      </c>
      <c r="F39" t="s">
        <v>24</v>
      </c>
      <c r="G39">
        <v>100</v>
      </c>
      <c r="H39" s="9">
        <v>15</v>
      </c>
    </row>
    <row r="40" spans="1:8" x14ac:dyDescent="0.25">
      <c r="C40" t="s">
        <v>149</v>
      </c>
      <c r="D40" t="s">
        <v>6</v>
      </c>
      <c r="E40" t="s">
        <v>147</v>
      </c>
      <c r="F40" t="s">
        <v>24</v>
      </c>
      <c r="G40">
        <v>100</v>
      </c>
      <c r="H40" s="9">
        <v>100</v>
      </c>
    </row>
    <row r="41" spans="1:8" x14ac:dyDescent="0.25">
      <c r="C41" t="s">
        <v>150</v>
      </c>
      <c r="D41" t="s">
        <v>6</v>
      </c>
      <c r="E41" t="s">
        <v>147</v>
      </c>
      <c r="F41" t="s">
        <v>24</v>
      </c>
      <c r="G41">
        <v>100</v>
      </c>
      <c r="H41" s="9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K10" sqref="K10"/>
    </sheetView>
  </sheetViews>
  <sheetFormatPr defaultRowHeight="15" x14ac:dyDescent="0.25"/>
  <cols>
    <col min="2" max="2" width="14.28515625" bestFit="1" customWidth="1"/>
    <col min="3" max="3" width="10" bestFit="1" customWidth="1"/>
    <col min="4" max="4" width="12.5703125" bestFit="1" customWidth="1"/>
    <col min="5" max="5" width="12.5703125" customWidth="1"/>
    <col min="6" max="6" width="21" bestFit="1" customWidth="1"/>
  </cols>
  <sheetData>
    <row r="1" spans="1:9" x14ac:dyDescent="0.25">
      <c r="A1" s="1" t="s">
        <v>2</v>
      </c>
      <c r="B1" s="1" t="s">
        <v>3</v>
      </c>
      <c r="C1" s="1" t="s">
        <v>14</v>
      </c>
      <c r="D1" s="1" t="s">
        <v>15</v>
      </c>
      <c r="E1" s="1" t="s">
        <v>60</v>
      </c>
      <c r="F1" s="1" t="s">
        <v>1</v>
      </c>
      <c r="G1" s="1" t="s">
        <v>0</v>
      </c>
      <c r="H1" s="1" t="s">
        <v>7</v>
      </c>
      <c r="I1" s="1" t="s">
        <v>16</v>
      </c>
    </row>
    <row r="2" spans="1:9" x14ac:dyDescent="0.25">
      <c r="A2" s="7" t="s">
        <v>11</v>
      </c>
      <c r="B2" s="7"/>
    </row>
    <row r="3" spans="1:9" x14ac:dyDescent="0.25">
      <c r="A3" t="s">
        <v>4</v>
      </c>
      <c r="C3" t="s">
        <v>8</v>
      </c>
      <c r="D3" t="s">
        <v>6</v>
      </c>
      <c r="F3" t="s">
        <v>12</v>
      </c>
      <c r="G3" t="s">
        <v>10</v>
      </c>
      <c r="H3">
        <v>1</v>
      </c>
      <c r="I3">
        <v>0</v>
      </c>
    </row>
    <row r="4" spans="1:9" x14ac:dyDescent="0.25">
      <c r="A4" t="s">
        <v>4</v>
      </c>
      <c r="C4" t="s">
        <v>8</v>
      </c>
      <c r="D4" t="s">
        <v>6</v>
      </c>
      <c r="F4" t="s">
        <v>13</v>
      </c>
      <c r="G4" t="s">
        <v>10</v>
      </c>
      <c r="H4">
        <v>1</v>
      </c>
      <c r="I4">
        <v>0</v>
      </c>
    </row>
    <row r="5" spans="1:9" x14ac:dyDescent="0.25">
      <c r="A5" t="s">
        <v>5</v>
      </c>
      <c r="C5" t="s">
        <v>8</v>
      </c>
      <c r="D5" t="s">
        <v>6</v>
      </c>
      <c r="F5" t="s">
        <v>12</v>
      </c>
      <c r="G5" t="s">
        <v>10</v>
      </c>
      <c r="H5">
        <v>1</v>
      </c>
      <c r="I5">
        <v>0</v>
      </c>
    </row>
    <row r="6" spans="1:9" x14ac:dyDescent="0.25">
      <c r="A6" t="s">
        <v>5</v>
      </c>
      <c r="C6" t="s">
        <v>8</v>
      </c>
      <c r="D6" t="s">
        <v>6</v>
      </c>
      <c r="F6" t="s">
        <v>13</v>
      </c>
      <c r="G6" t="s">
        <v>10</v>
      </c>
      <c r="H6">
        <v>1</v>
      </c>
      <c r="I6">
        <v>0</v>
      </c>
    </row>
    <row r="8" spans="1:9" x14ac:dyDescent="0.25">
      <c r="B8" t="s">
        <v>6</v>
      </c>
      <c r="F8" t="s">
        <v>62</v>
      </c>
      <c r="G8" s="4" t="s">
        <v>10</v>
      </c>
      <c r="H8" s="4">
        <v>1</v>
      </c>
      <c r="I8">
        <v>1.41</v>
      </c>
    </row>
    <row r="9" spans="1:9" x14ac:dyDescent="0.25">
      <c r="B9" t="s">
        <v>8</v>
      </c>
      <c r="F9" t="s">
        <v>62</v>
      </c>
      <c r="G9" s="4" t="s">
        <v>10</v>
      </c>
      <c r="H9" s="4">
        <v>1</v>
      </c>
      <c r="I9">
        <v>1.33</v>
      </c>
    </row>
    <row r="11" spans="1:9" x14ac:dyDescent="0.25">
      <c r="E11" s="4" t="s">
        <v>56</v>
      </c>
      <c r="F11" s="4" t="s">
        <v>57</v>
      </c>
      <c r="G11" s="4" t="s">
        <v>10</v>
      </c>
      <c r="H11" s="4">
        <v>1</v>
      </c>
      <c r="I11" s="4">
        <f>AVERAGE(1.33,1.31)</f>
        <v>1.32</v>
      </c>
    </row>
    <row r="12" spans="1:9" x14ac:dyDescent="0.25">
      <c r="E12" s="4" t="s">
        <v>58</v>
      </c>
      <c r="F12" s="4" t="s">
        <v>57</v>
      </c>
      <c r="G12" s="4" t="s">
        <v>10</v>
      </c>
      <c r="H12" s="4">
        <v>1</v>
      </c>
      <c r="I12" s="4">
        <f t="shared" ref="I12:I16" si="0">AVERAGE(1.33,1.31)</f>
        <v>1.32</v>
      </c>
    </row>
    <row r="13" spans="1:9" x14ac:dyDescent="0.25">
      <c r="E13" s="4" t="s">
        <v>59</v>
      </c>
      <c r="F13" s="4" t="s">
        <v>57</v>
      </c>
      <c r="G13" s="4" t="s">
        <v>10</v>
      </c>
      <c r="H13" s="4">
        <v>1</v>
      </c>
      <c r="I13" s="4">
        <f t="shared" si="0"/>
        <v>1.32</v>
      </c>
    </row>
    <row r="14" spans="1:9" x14ac:dyDescent="0.25">
      <c r="E14" s="4" t="s">
        <v>56</v>
      </c>
      <c r="F14" t="s">
        <v>61</v>
      </c>
      <c r="G14" s="4" t="s">
        <v>10</v>
      </c>
      <c r="H14" s="4">
        <v>1</v>
      </c>
      <c r="I14" s="4">
        <f t="shared" si="0"/>
        <v>1.32</v>
      </c>
    </row>
    <row r="15" spans="1:9" x14ac:dyDescent="0.25">
      <c r="E15" s="4" t="s">
        <v>58</v>
      </c>
      <c r="F15" t="s">
        <v>61</v>
      </c>
      <c r="G15" s="4" t="s">
        <v>10</v>
      </c>
      <c r="H15" s="4">
        <v>1</v>
      </c>
      <c r="I15" s="4">
        <f t="shared" si="0"/>
        <v>1.32</v>
      </c>
    </row>
    <row r="16" spans="1:9" x14ac:dyDescent="0.25">
      <c r="E16" s="4" t="s">
        <v>59</v>
      </c>
      <c r="F16" t="s">
        <v>61</v>
      </c>
      <c r="G16" s="4" t="s">
        <v>10</v>
      </c>
      <c r="H16" s="4">
        <v>1</v>
      </c>
      <c r="I16" s="4">
        <f t="shared" si="0"/>
        <v>1.32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I9" sqref="I9"/>
    </sheetView>
  </sheetViews>
  <sheetFormatPr defaultRowHeight="15" x14ac:dyDescent="0.25"/>
  <cols>
    <col min="1" max="1" width="14.28515625" bestFit="1" customWidth="1"/>
    <col min="2" max="2" width="12.7109375" bestFit="1" customWidth="1"/>
    <col min="3" max="3" width="16.5703125" bestFit="1" customWidth="1"/>
  </cols>
  <sheetData>
    <row r="1" spans="1:6" x14ac:dyDescent="0.25">
      <c r="A1" s="1" t="s">
        <v>3</v>
      </c>
      <c r="B1" s="1" t="s">
        <v>60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6" x14ac:dyDescent="0.25">
      <c r="B2" t="s">
        <v>63</v>
      </c>
      <c r="C2" t="s">
        <v>61</v>
      </c>
      <c r="D2" t="s">
        <v>10</v>
      </c>
      <c r="E2">
        <v>1</v>
      </c>
      <c r="F2">
        <v>1.25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selection activeCell="F2" sqref="F2"/>
    </sheetView>
  </sheetViews>
  <sheetFormatPr defaultRowHeight="15" x14ac:dyDescent="0.25"/>
  <cols>
    <col min="3" max="3" width="21.42578125" bestFit="1" customWidth="1"/>
  </cols>
  <sheetData>
    <row r="1" spans="1:6" x14ac:dyDescent="0.25">
      <c r="A1" s="1" t="s">
        <v>3</v>
      </c>
      <c r="B1" s="1" t="s">
        <v>60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6" x14ac:dyDescent="0.25">
      <c r="B2" t="s">
        <v>64</v>
      </c>
      <c r="C2" t="s">
        <v>61</v>
      </c>
      <c r="D2" t="s">
        <v>10</v>
      </c>
      <c r="E2">
        <v>1</v>
      </c>
      <c r="F2">
        <v>1.27</v>
      </c>
    </row>
    <row r="3" spans="1:6" x14ac:dyDescent="0.25">
      <c r="B3" t="s">
        <v>64</v>
      </c>
      <c r="C3" t="s">
        <v>65</v>
      </c>
      <c r="D3" t="s">
        <v>10</v>
      </c>
      <c r="E3">
        <v>1</v>
      </c>
      <c r="F3">
        <v>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F21" sqref="F21"/>
    </sheetView>
  </sheetViews>
  <sheetFormatPr defaultRowHeight="15" x14ac:dyDescent="0.25"/>
  <cols>
    <col min="1" max="1" width="15" bestFit="1" customWidth="1"/>
  </cols>
  <sheetData>
    <row r="1" spans="1:4" x14ac:dyDescent="0.25">
      <c r="A1" s="1" t="s">
        <v>1</v>
      </c>
      <c r="B1" s="1" t="s">
        <v>0</v>
      </c>
      <c r="C1" s="1" t="s">
        <v>7</v>
      </c>
      <c r="D1" s="1" t="s">
        <v>16</v>
      </c>
    </row>
    <row r="2" spans="1:4" x14ac:dyDescent="0.25">
      <c r="A2" t="s">
        <v>66</v>
      </c>
      <c r="B2" t="s">
        <v>10</v>
      </c>
      <c r="C2">
        <v>1</v>
      </c>
      <c r="D2">
        <v>1.1499999999999999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F9" sqref="F9"/>
    </sheetView>
  </sheetViews>
  <sheetFormatPr defaultRowHeight="15" x14ac:dyDescent="0.25"/>
  <cols>
    <col min="1" max="1" width="21.7109375" bestFit="1" customWidth="1"/>
    <col min="2" max="2" width="18.7109375" bestFit="1" customWidth="1"/>
    <col min="3" max="3" width="16" bestFit="1" customWidth="1"/>
    <col min="4" max="4" width="7.42578125" customWidth="1"/>
    <col min="5" max="5" width="7" bestFit="1" customWidth="1"/>
  </cols>
  <sheetData>
    <row r="1" spans="1:6" x14ac:dyDescent="0.25">
      <c r="A1" s="1" t="s">
        <v>27</v>
      </c>
      <c r="B1" s="1" t="s">
        <v>28</v>
      </c>
      <c r="C1" s="1" t="s">
        <v>1</v>
      </c>
      <c r="D1" s="1" t="s">
        <v>0</v>
      </c>
      <c r="E1" s="1" t="s">
        <v>7</v>
      </c>
      <c r="F1" s="1" t="s">
        <v>16</v>
      </c>
    </row>
    <row r="3" spans="1:6" x14ac:dyDescent="0.25">
      <c r="A3" t="s">
        <v>30</v>
      </c>
      <c r="B3" t="s">
        <v>31</v>
      </c>
      <c r="C3" t="s">
        <v>29</v>
      </c>
      <c r="D3" t="s">
        <v>37</v>
      </c>
      <c r="E3">
        <v>40</v>
      </c>
      <c r="F3">
        <v>80</v>
      </c>
    </row>
    <row r="4" spans="1:6" x14ac:dyDescent="0.25">
      <c r="A4" t="s">
        <v>30</v>
      </c>
      <c r="B4" t="s">
        <v>32</v>
      </c>
      <c r="C4" t="s">
        <v>29</v>
      </c>
      <c r="D4" t="s">
        <v>37</v>
      </c>
      <c r="E4">
        <v>5</v>
      </c>
      <c r="F4">
        <v>0</v>
      </c>
    </row>
    <row r="5" spans="1:6" x14ac:dyDescent="0.25">
      <c r="A5" t="s">
        <v>30</v>
      </c>
      <c r="B5" t="s">
        <v>33</v>
      </c>
      <c r="C5" t="s">
        <v>29</v>
      </c>
      <c r="D5" t="s">
        <v>37</v>
      </c>
      <c r="E5">
        <v>50</v>
      </c>
      <c r="F5">
        <v>20</v>
      </c>
    </row>
    <row r="6" spans="1:6" x14ac:dyDescent="0.25">
      <c r="A6" t="s">
        <v>30</v>
      </c>
      <c r="B6" t="s">
        <v>34</v>
      </c>
      <c r="C6" t="s">
        <v>29</v>
      </c>
      <c r="D6" t="s">
        <v>37</v>
      </c>
      <c r="E6">
        <v>5</v>
      </c>
      <c r="F6">
        <v>0</v>
      </c>
    </row>
    <row r="8" spans="1:6" x14ac:dyDescent="0.25">
      <c r="A8" t="s">
        <v>35</v>
      </c>
      <c r="B8" t="s">
        <v>31</v>
      </c>
      <c r="C8" t="s">
        <v>29</v>
      </c>
      <c r="D8" t="s">
        <v>37</v>
      </c>
      <c r="E8">
        <v>40</v>
      </c>
      <c r="F8">
        <v>100</v>
      </c>
    </row>
    <row r="9" spans="1:6" x14ac:dyDescent="0.25">
      <c r="A9" t="s">
        <v>35</v>
      </c>
      <c r="B9" t="s">
        <v>32</v>
      </c>
      <c r="C9" t="s">
        <v>29</v>
      </c>
      <c r="D9" t="s">
        <v>37</v>
      </c>
      <c r="E9">
        <v>5</v>
      </c>
      <c r="F9">
        <v>0</v>
      </c>
    </row>
    <row r="10" spans="1:6" x14ac:dyDescent="0.25">
      <c r="A10" t="s">
        <v>35</v>
      </c>
      <c r="B10" t="s">
        <v>33</v>
      </c>
      <c r="C10" t="s">
        <v>29</v>
      </c>
      <c r="D10" t="s">
        <v>37</v>
      </c>
      <c r="E10">
        <v>50</v>
      </c>
      <c r="F10">
        <v>0</v>
      </c>
    </row>
    <row r="11" spans="1:6" x14ac:dyDescent="0.25">
      <c r="A11" t="s">
        <v>35</v>
      </c>
      <c r="B11" t="s">
        <v>34</v>
      </c>
      <c r="C11" t="s">
        <v>29</v>
      </c>
      <c r="D11" t="s">
        <v>37</v>
      </c>
      <c r="E11">
        <v>5</v>
      </c>
      <c r="F11">
        <v>0</v>
      </c>
    </row>
    <row r="13" spans="1:6" x14ac:dyDescent="0.25">
      <c r="A13" t="s">
        <v>36</v>
      </c>
      <c r="B13" t="s">
        <v>31</v>
      </c>
      <c r="C13" t="s">
        <v>29</v>
      </c>
      <c r="D13" t="s">
        <v>37</v>
      </c>
      <c r="E13">
        <v>40</v>
      </c>
      <c r="F13">
        <v>100</v>
      </c>
    </row>
    <row r="14" spans="1:6" x14ac:dyDescent="0.25">
      <c r="A14" t="s">
        <v>36</v>
      </c>
      <c r="B14" t="s">
        <v>32</v>
      </c>
      <c r="C14" t="s">
        <v>29</v>
      </c>
      <c r="D14" t="s">
        <v>37</v>
      </c>
      <c r="E14">
        <v>5</v>
      </c>
      <c r="F14">
        <v>0</v>
      </c>
    </row>
    <row r="15" spans="1:6" x14ac:dyDescent="0.25">
      <c r="A15" t="s">
        <v>36</v>
      </c>
      <c r="B15" t="s">
        <v>33</v>
      </c>
      <c r="C15" t="s">
        <v>29</v>
      </c>
      <c r="D15" t="s">
        <v>37</v>
      </c>
      <c r="E15">
        <v>50</v>
      </c>
      <c r="F15">
        <v>0</v>
      </c>
    </row>
    <row r="16" spans="1:6" x14ac:dyDescent="0.25">
      <c r="A16" t="s">
        <v>36</v>
      </c>
      <c r="B16" t="s">
        <v>34</v>
      </c>
      <c r="C16" t="s">
        <v>29</v>
      </c>
      <c r="D16" t="s">
        <v>37</v>
      </c>
      <c r="E16">
        <v>5</v>
      </c>
      <c r="F1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workbookViewId="0">
      <selection activeCell="K18" sqref="K18"/>
    </sheetView>
  </sheetViews>
  <sheetFormatPr defaultRowHeight="15" x14ac:dyDescent="0.25"/>
  <cols>
    <col min="1" max="1" width="14.28515625" bestFit="1" customWidth="1"/>
    <col min="3" max="3" width="17.5703125" bestFit="1" customWidth="1"/>
  </cols>
  <sheetData>
    <row r="1" spans="1:8" x14ac:dyDescent="0.25">
      <c r="A1" s="1" t="s">
        <v>3</v>
      </c>
      <c r="B1" s="1" t="s">
        <v>42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 x14ac:dyDescent="0.25">
      <c r="C2" t="s">
        <v>38</v>
      </c>
      <c r="D2" t="s">
        <v>37</v>
      </c>
      <c r="E2">
        <v>91</v>
      </c>
      <c r="F2">
        <v>0</v>
      </c>
      <c r="H2" t="s">
        <v>96</v>
      </c>
    </row>
    <row r="3" spans="1:8" x14ac:dyDescent="0.25">
      <c r="H3" t="s">
        <v>94</v>
      </c>
    </row>
    <row r="4" spans="1:8" x14ac:dyDescent="0.25">
      <c r="A4" t="s">
        <v>8</v>
      </c>
      <c r="B4">
        <v>1011</v>
      </c>
      <c r="C4" t="s">
        <v>38</v>
      </c>
      <c r="D4" t="s">
        <v>24</v>
      </c>
      <c r="E4">
        <v>91</v>
      </c>
      <c r="F4">
        <v>50</v>
      </c>
      <c r="H4" t="s">
        <v>95</v>
      </c>
    </row>
    <row r="5" spans="1:8" x14ac:dyDescent="0.25">
      <c r="A5" t="s">
        <v>8</v>
      </c>
      <c r="B5">
        <v>111</v>
      </c>
      <c r="C5" t="s">
        <v>38</v>
      </c>
      <c r="D5" t="s">
        <v>24</v>
      </c>
      <c r="E5">
        <v>91</v>
      </c>
      <c r="F5">
        <v>50</v>
      </c>
    </row>
    <row r="6" spans="1:8" x14ac:dyDescent="0.25">
      <c r="A6" t="s">
        <v>8</v>
      </c>
      <c r="B6">
        <v>1111</v>
      </c>
      <c r="C6" t="s">
        <v>38</v>
      </c>
      <c r="D6" t="s">
        <v>24</v>
      </c>
      <c r="E6">
        <v>91</v>
      </c>
      <c r="F6">
        <v>50</v>
      </c>
    </row>
    <row r="7" spans="1:8" x14ac:dyDescent="0.25">
      <c r="A7" t="s">
        <v>8</v>
      </c>
      <c r="B7">
        <v>1121</v>
      </c>
      <c r="C7" t="s">
        <v>38</v>
      </c>
      <c r="D7" t="s">
        <v>24</v>
      </c>
      <c r="E7">
        <v>91</v>
      </c>
      <c r="F7">
        <v>100</v>
      </c>
    </row>
    <row r="8" spans="1:8" x14ac:dyDescent="0.25">
      <c r="A8" t="s">
        <v>8</v>
      </c>
      <c r="B8">
        <v>1122</v>
      </c>
      <c r="C8" t="s">
        <v>38</v>
      </c>
      <c r="D8" t="s">
        <v>24</v>
      </c>
      <c r="E8">
        <v>91</v>
      </c>
      <c r="F8">
        <v>100</v>
      </c>
    </row>
    <row r="9" spans="1:8" x14ac:dyDescent="0.25">
      <c r="A9" t="s">
        <v>8</v>
      </c>
      <c r="B9">
        <v>1123</v>
      </c>
      <c r="C9" t="s">
        <v>38</v>
      </c>
      <c r="D9" t="s">
        <v>24</v>
      </c>
      <c r="E9">
        <v>91</v>
      </c>
      <c r="F9">
        <v>50</v>
      </c>
    </row>
    <row r="10" spans="1:8" x14ac:dyDescent="0.25">
      <c r="A10" t="s">
        <v>8</v>
      </c>
      <c r="B10">
        <v>1211</v>
      </c>
      <c r="C10" t="s">
        <v>38</v>
      </c>
      <c r="D10" t="s">
        <v>24</v>
      </c>
      <c r="E10">
        <v>91</v>
      </c>
      <c r="F10">
        <v>50</v>
      </c>
    </row>
    <row r="11" spans="1:8" x14ac:dyDescent="0.25">
      <c r="A11" t="s">
        <v>8</v>
      </c>
      <c r="B11">
        <v>1212</v>
      </c>
      <c r="C11" t="s">
        <v>38</v>
      </c>
      <c r="D11" t="s">
        <v>24</v>
      </c>
      <c r="E11">
        <v>91</v>
      </c>
      <c r="F11">
        <v>100</v>
      </c>
    </row>
    <row r="12" spans="1:8" x14ac:dyDescent="0.25">
      <c r="A12" t="s">
        <v>8</v>
      </c>
      <c r="B12">
        <v>1213</v>
      </c>
      <c r="C12" t="s">
        <v>38</v>
      </c>
      <c r="D12" t="s">
        <v>24</v>
      </c>
      <c r="E12">
        <v>91</v>
      </c>
      <c r="F12">
        <v>50</v>
      </c>
    </row>
    <row r="13" spans="1:8" x14ac:dyDescent="0.25">
      <c r="A13" t="s">
        <v>8</v>
      </c>
      <c r="B13">
        <v>1214</v>
      </c>
      <c r="C13" t="s">
        <v>38</v>
      </c>
      <c r="D13" t="s">
        <v>24</v>
      </c>
      <c r="E13">
        <v>91</v>
      </c>
      <c r="F13">
        <v>100</v>
      </c>
    </row>
    <row r="14" spans="1:8" x14ac:dyDescent="0.25">
      <c r="A14" t="s">
        <v>8</v>
      </c>
      <c r="B14">
        <v>1215</v>
      </c>
      <c r="C14" t="s">
        <v>38</v>
      </c>
      <c r="D14" t="s">
        <v>24</v>
      </c>
      <c r="E14">
        <v>91</v>
      </c>
      <c r="F14">
        <v>50</v>
      </c>
    </row>
    <row r="15" spans="1:8" x14ac:dyDescent="0.25">
      <c r="A15" t="s">
        <v>8</v>
      </c>
      <c r="B15">
        <v>1216</v>
      </c>
      <c r="C15" t="s">
        <v>38</v>
      </c>
      <c r="D15" t="s">
        <v>24</v>
      </c>
      <c r="E15">
        <v>91</v>
      </c>
      <c r="F15">
        <v>100</v>
      </c>
    </row>
    <row r="16" spans="1:8" x14ac:dyDescent="0.25">
      <c r="A16" t="s">
        <v>8</v>
      </c>
      <c r="B16">
        <v>1222</v>
      </c>
      <c r="C16" t="s">
        <v>38</v>
      </c>
      <c r="D16" t="s">
        <v>24</v>
      </c>
      <c r="E16">
        <v>91</v>
      </c>
      <c r="F16">
        <v>50</v>
      </c>
    </row>
    <row r="17" spans="1:6" x14ac:dyDescent="0.25">
      <c r="A17" t="s">
        <v>8</v>
      </c>
      <c r="B17">
        <v>1311</v>
      </c>
      <c r="C17" t="s">
        <v>38</v>
      </c>
      <c r="D17" t="s">
        <v>24</v>
      </c>
      <c r="E17">
        <v>91</v>
      </c>
      <c r="F17">
        <v>50</v>
      </c>
    </row>
    <row r="18" spans="1:6" x14ac:dyDescent="0.25">
      <c r="A18" t="s">
        <v>8</v>
      </c>
      <c r="B18">
        <v>1321</v>
      </c>
      <c r="C18" t="s">
        <v>38</v>
      </c>
      <c r="D18" t="s">
        <v>24</v>
      </c>
      <c r="E18">
        <v>91</v>
      </c>
      <c r="F18">
        <v>50</v>
      </c>
    </row>
    <row r="19" spans="1:6" x14ac:dyDescent="0.25">
      <c r="A19" t="s">
        <v>8</v>
      </c>
      <c r="B19">
        <v>1612</v>
      </c>
      <c r="C19" t="s">
        <v>38</v>
      </c>
      <c r="D19" t="s">
        <v>24</v>
      </c>
      <c r="E19">
        <v>91</v>
      </c>
      <c r="F19">
        <v>100</v>
      </c>
    </row>
    <row r="20" spans="1:6" x14ac:dyDescent="0.25">
      <c r="A20" t="s">
        <v>8</v>
      </c>
      <c r="B20">
        <v>1614</v>
      </c>
      <c r="C20" t="s">
        <v>38</v>
      </c>
      <c r="D20" t="s">
        <v>24</v>
      </c>
      <c r="E20">
        <v>91</v>
      </c>
      <c r="F20">
        <v>50</v>
      </c>
    </row>
    <row r="21" spans="1:6" x14ac:dyDescent="0.25">
      <c r="A21" t="s">
        <v>8</v>
      </c>
      <c r="B21">
        <v>1616</v>
      </c>
      <c r="C21" t="s">
        <v>38</v>
      </c>
      <c r="D21" t="s">
        <v>24</v>
      </c>
      <c r="E21">
        <v>91</v>
      </c>
      <c r="F21">
        <v>100</v>
      </c>
    </row>
    <row r="22" spans="1:6" x14ac:dyDescent="0.25">
      <c r="A22" t="s">
        <v>8</v>
      </c>
      <c r="B22">
        <v>1617</v>
      </c>
      <c r="C22" t="s">
        <v>38</v>
      </c>
      <c r="D22" t="s">
        <v>24</v>
      </c>
      <c r="E22">
        <v>91</v>
      </c>
      <c r="F22">
        <v>50</v>
      </c>
    </row>
    <row r="23" spans="1:6" x14ac:dyDescent="0.25">
      <c r="A23" t="s">
        <v>8</v>
      </c>
      <c r="B23">
        <v>1621</v>
      </c>
      <c r="C23" t="s">
        <v>38</v>
      </c>
      <c r="D23" t="s">
        <v>24</v>
      </c>
      <c r="E23">
        <v>91</v>
      </c>
      <c r="F23">
        <v>100</v>
      </c>
    </row>
    <row r="24" spans="1:6" x14ac:dyDescent="0.25">
      <c r="A24" t="s">
        <v>8</v>
      </c>
      <c r="B24">
        <v>1622</v>
      </c>
      <c r="C24" t="s">
        <v>38</v>
      </c>
      <c r="D24" t="s">
        <v>24</v>
      </c>
      <c r="E24">
        <v>91</v>
      </c>
      <c r="F24">
        <v>50</v>
      </c>
    </row>
    <row r="25" spans="1:6" x14ac:dyDescent="0.25">
      <c r="A25" t="s">
        <v>8</v>
      </c>
      <c r="B25">
        <v>1623</v>
      </c>
      <c r="C25" t="s">
        <v>38</v>
      </c>
      <c r="D25" t="s">
        <v>24</v>
      </c>
      <c r="E25">
        <v>91</v>
      </c>
      <c r="F25">
        <v>50</v>
      </c>
    </row>
    <row r="26" spans="1:6" x14ac:dyDescent="0.25">
      <c r="A26" t="s">
        <v>8</v>
      </c>
      <c r="B26">
        <v>1711</v>
      </c>
      <c r="C26" t="s">
        <v>38</v>
      </c>
      <c r="D26" t="s">
        <v>24</v>
      </c>
      <c r="E26">
        <v>91</v>
      </c>
      <c r="F26">
        <v>100</v>
      </c>
    </row>
    <row r="27" spans="1:6" x14ac:dyDescent="0.25">
      <c r="A27" t="s">
        <v>8</v>
      </c>
      <c r="B27">
        <v>1812</v>
      </c>
      <c r="C27" t="s">
        <v>38</v>
      </c>
      <c r="D27" t="s">
        <v>24</v>
      </c>
      <c r="E27">
        <v>91</v>
      </c>
      <c r="F27">
        <v>100</v>
      </c>
    </row>
    <row r="28" spans="1:6" x14ac:dyDescent="0.25">
      <c r="A28" t="s">
        <v>8</v>
      </c>
      <c r="B28">
        <v>1821</v>
      </c>
      <c r="C28" t="s">
        <v>38</v>
      </c>
      <c r="D28" t="s">
        <v>24</v>
      </c>
      <c r="E28">
        <v>91</v>
      </c>
      <c r="F28">
        <v>100</v>
      </c>
    </row>
    <row r="29" spans="1:6" x14ac:dyDescent="0.25">
      <c r="A29" t="s">
        <v>8</v>
      </c>
      <c r="B29">
        <v>1922</v>
      </c>
      <c r="C29" t="s">
        <v>38</v>
      </c>
      <c r="D29" t="s">
        <v>24</v>
      </c>
      <c r="E29">
        <v>91</v>
      </c>
      <c r="F29">
        <v>100</v>
      </c>
    </row>
    <row r="30" spans="1:6" x14ac:dyDescent="0.25">
      <c r="A30" t="s">
        <v>8</v>
      </c>
      <c r="B30">
        <v>2011</v>
      </c>
      <c r="C30" t="s">
        <v>38</v>
      </c>
      <c r="D30" t="s">
        <v>24</v>
      </c>
      <c r="E30">
        <v>91</v>
      </c>
      <c r="F30">
        <v>100</v>
      </c>
    </row>
    <row r="31" spans="1:6" x14ac:dyDescent="0.25">
      <c r="A31" t="s">
        <v>8</v>
      </c>
      <c r="B31">
        <v>312</v>
      </c>
      <c r="C31" t="s">
        <v>38</v>
      </c>
      <c r="D31" t="s">
        <v>24</v>
      </c>
      <c r="E31">
        <v>91</v>
      </c>
      <c r="F31">
        <v>50</v>
      </c>
    </row>
    <row r="32" spans="1:6" x14ac:dyDescent="0.25">
      <c r="A32" t="s">
        <v>8</v>
      </c>
      <c r="B32">
        <v>411</v>
      </c>
      <c r="C32" t="s">
        <v>38</v>
      </c>
      <c r="D32" t="s">
        <v>24</v>
      </c>
      <c r="E32">
        <v>91</v>
      </c>
      <c r="F32">
        <v>50</v>
      </c>
    </row>
    <row r="33" spans="1:6" x14ac:dyDescent="0.25">
      <c r="A33" t="s">
        <v>8</v>
      </c>
      <c r="B33">
        <v>421</v>
      </c>
      <c r="C33" t="s">
        <v>38</v>
      </c>
      <c r="D33" t="s">
        <v>24</v>
      </c>
      <c r="E33">
        <v>91</v>
      </c>
      <c r="F33">
        <v>100</v>
      </c>
    </row>
    <row r="34" spans="1:6" x14ac:dyDescent="0.25">
      <c r="A34" t="s">
        <v>8</v>
      </c>
      <c r="B34">
        <v>513</v>
      </c>
      <c r="C34" t="s">
        <v>38</v>
      </c>
      <c r="D34" t="s">
        <v>24</v>
      </c>
      <c r="E34">
        <v>91</v>
      </c>
      <c r="F34">
        <v>100</v>
      </c>
    </row>
    <row r="35" spans="1:6" x14ac:dyDescent="0.25">
      <c r="A35" t="s">
        <v>8</v>
      </c>
      <c r="B35">
        <v>515</v>
      </c>
      <c r="C35" t="s">
        <v>38</v>
      </c>
      <c r="D35" t="s">
        <v>24</v>
      </c>
      <c r="E35">
        <v>91</v>
      </c>
      <c r="F35">
        <v>100</v>
      </c>
    </row>
    <row r="36" spans="1:6" x14ac:dyDescent="0.25">
      <c r="A36" t="s">
        <v>8</v>
      </c>
      <c r="B36">
        <v>612</v>
      </c>
      <c r="C36" t="s">
        <v>38</v>
      </c>
      <c r="D36" t="s">
        <v>24</v>
      </c>
      <c r="E36">
        <v>91</v>
      </c>
      <c r="F36">
        <v>50</v>
      </c>
    </row>
    <row r="37" spans="1:6" x14ac:dyDescent="0.25">
      <c r="A37" t="s">
        <v>8</v>
      </c>
      <c r="B37">
        <v>811</v>
      </c>
      <c r="C37" t="s">
        <v>38</v>
      </c>
      <c r="D37" t="s">
        <v>24</v>
      </c>
      <c r="E37">
        <v>91</v>
      </c>
      <c r="F37">
        <v>50</v>
      </c>
    </row>
    <row r="38" spans="1:6" x14ac:dyDescent="0.25">
      <c r="A38" t="s">
        <v>8</v>
      </c>
      <c r="B38">
        <v>911</v>
      </c>
      <c r="C38" t="s">
        <v>38</v>
      </c>
      <c r="D38" t="s">
        <v>24</v>
      </c>
      <c r="E38">
        <v>91</v>
      </c>
      <c r="F38">
        <v>50</v>
      </c>
    </row>
    <row r="39" spans="1:6" x14ac:dyDescent="0.25">
      <c r="A39" t="s">
        <v>8</v>
      </c>
      <c r="B39">
        <v>912</v>
      </c>
      <c r="C39" t="s">
        <v>38</v>
      </c>
      <c r="D39" t="s">
        <v>24</v>
      </c>
      <c r="E39">
        <v>91</v>
      </c>
      <c r="F39">
        <v>100</v>
      </c>
    </row>
    <row r="40" spans="1:6" x14ac:dyDescent="0.25">
      <c r="A40" t="s">
        <v>8</v>
      </c>
      <c r="B40">
        <v>913</v>
      </c>
      <c r="C40" t="s">
        <v>38</v>
      </c>
      <c r="D40" t="s">
        <v>24</v>
      </c>
      <c r="E40">
        <v>91</v>
      </c>
      <c r="F40">
        <v>50</v>
      </c>
    </row>
  </sheetData>
  <sortState ref="A2:F19">
    <sortCondition ref="B2:B19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Regions</vt:lpstr>
      <vt:lpstr>DemandAndConversions</vt:lpstr>
      <vt:lpstr>CropProduction</vt:lpstr>
      <vt:lpstr>CattleHerd</vt:lpstr>
      <vt:lpstr>PigHerd</vt:lpstr>
      <vt:lpstr>BroilerHerd</vt:lpstr>
      <vt:lpstr>LayerHerd</vt:lpstr>
      <vt:lpstr>WasteAndCircularity</vt:lpstr>
      <vt:lpstr>PlantNutrientMgmt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2024-11-06T11:35:01Z</dcterms:modified>
</cp:coreProperties>
</file>