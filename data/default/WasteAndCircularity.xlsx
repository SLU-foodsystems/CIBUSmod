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94707B7A-9C7D-46A8-90DE-C208AF78F8A0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efault" sheetId="1" r:id="rId1"/>
    <sheet name="referen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4" i="1" l="1"/>
  <c r="R22" i="1"/>
  <c r="R21" i="1"/>
  <c r="R17" i="1"/>
  <c r="S17" i="1"/>
  <c r="R11" i="1"/>
  <c r="R13" i="1" s="1"/>
  <c r="L10" i="1"/>
  <c r="L12" i="1"/>
  <c r="L11" i="1"/>
  <c r="L8" i="1"/>
  <c r="L9" i="1"/>
  <c r="L25" i="1"/>
  <c r="L159" i="1"/>
  <c r="L97" i="1"/>
  <c r="L98" i="1"/>
  <c r="L96" i="1"/>
  <c r="L33" i="1" l="1"/>
  <c r="S18" i="1" s="1"/>
  <c r="V18" i="1" s="1"/>
  <c r="V17" i="1"/>
  <c r="S23" i="1"/>
  <c r="S21" i="1"/>
  <c r="V21" i="1" s="1"/>
  <c r="S22" i="1"/>
  <c r="V22" i="1" s="1"/>
  <c r="L218" i="1"/>
  <c r="L217" i="1"/>
  <c r="L215" i="1"/>
  <c r="L216" i="1"/>
  <c r="L213" i="1"/>
  <c r="L214" i="1"/>
  <c r="L212" i="1"/>
  <c r="L211" i="1"/>
  <c r="L206" i="1" l="1"/>
  <c r="L205" i="1"/>
  <c r="L204" i="1"/>
  <c r="L203" i="1"/>
  <c r="L200" i="1"/>
  <c r="L199" i="1"/>
  <c r="L196" i="1" l="1"/>
  <c r="L163" i="1" l="1"/>
  <c r="L120" i="1"/>
  <c r="L121" i="1"/>
  <c r="L122" i="1"/>
  <c r="L114" i="1"/>
  <c r="L113" i="1"/>
  <c r="L115" i="1"/>
  <c r="L108" i="1"/>
  <c r="L101" i="1" s="1"/>
  <c r="L107" i="1"/>
  <c r="L100" i="1" s="1"/>
  <c r="L106" i="1"/>
  <c r="L99" i="1" s="1"/>
  <c r="L125" i="1"/>
  <c r="L126" i="1"/>
  <c r="L124" i="1"/>
  <c r="L175" i="1" l="1"/>
  <c r="L144" i="1" l="1"/>
  <c r="L170" i="1"/>
  <c r="L169" i="1"/>
  <c r="L168" i="1"/>
  <c r="L177" i="1" l="1"/>
  <c r="L136" i="1" l="1"/>
  <c r="L135" i="1"/>
  <c r="L134" i="1"/>
  <c r="L87" i="1"/>
  <c r="L86" i="1"/>
  <c r="L85" i="1"/>
  <c r="L80" i="1"/>
  <c r="L79" i="1"/>
  <c r="L78" i="1"/>
  <c r="L91" i="1"/>
  <c r="L92" i="1" l="1"/>
  <c r="L127" i="1"/>
  <c r="L93" i="1"/>
  <c r="L128" i="1"/>
  <c r="L94" i="1"/>
  <c r="L129" i="1"/>
  <c r="L158" i="1"/>
  <c r="L89" i="1" l="1"/>
  <c r="L90" i="1"/>
</calcChain>
</file>

<file path=xl/sharedStrings.xml><?xml version="1.0" encoding="utf-8"?>
<sst xmlns="http://schemas.openxmlformats.org/spreadsheetml/2006/main" count="742" uniqueCount="228">
  <si>
    <t>parameter</t>
  </si>
  <si>
    <t>value</t>
  </si>
  <si>
    <t>unit</t>
  </si>
  <si>
    <t>description</t>
  </si>
  <si>
    <t>source</t>
  </si>
  <si>
    <t>treatment_share</t>
  </si>
  <si>
    <t>%</t>
  </si>
  <si>
    <t>fallback</t>
  </si>
  <si>
    <t>anaerobic digestion</t>
  </si>
  <si>
    <t>composting</t>
  </si>
  <si>
    <t>incineration</t>
  </si>
  <si>
    <t>landfill</t>
  </si>
  <si>
    <t>WASTE TREATMENT SHARES</t>
  </si>
  <si>
    <t>Livsmedelsavfall i Sverige 2022</t>
  </si>
  <si>
    <t>&gt;40% rötning &lt;50% rötning+kompostering</t>
  </si>
  <si>
    <t>Ley, biogas feedstock</t>
  </si>
  <si>
    <t>Non-waste feedstocks</t>
  </si>
  <si>
    <t>WASTE COMPOSITION</t>
  </si>
  <si>
    <t>kg C/kg VS</t>
  </si>
  <si>
    <t>kg DM/kg</t>
  </si>
  <si>
    <t>kg VS/kg DM</t>
  </si>
  <si>
    <t>kg N/kg DM</t>
  </si>
  <si>
    <t>kg P/kg DM</t>
  </si>
  <si>
    <t>kg K/kg DM</t>
  </si>
  <si>
    <t>ANAEROBIC DIGESTION</t>
  </si>
  <si>
    <t>biogas_CH4_frac</t>
  </si>
  <si>
    <t>Källsorterat matavfall - hushåll</t>
  </si>
  <si>
    <t>Assumed same as retail</t>
  </si>
  <si>
    <t>Avfall Sverige. (2009). Substrathandbok för biogasproduktion. RAPPORT U2009:14. BILAGA 1 – SUBSTRATLISTA</t>
  </si>
  <si>
    <t>Nm3 CH4/kg VS</t>
  </si>
  <si>
    <t>biogas_CH4_yield</t>
  </si>
  <si>
    <t>manure</t>
  </si>
  <si>
    <t>f_MMS</t>
  </si>
  <si>
    <t>Avfall Sverige (2009)</t>
  </si>
  <si>
    <t>biogas_flare_frac</t>
  </si>
  <si>
    <t>biogas_flare_slip</t>
  </si>
  <si>
    <t>biogas_CH4_slip</t>
  </si>
  <si>
    <t>% of CH4 prod</t>
  </si>
  <si>
    <t>% of CH4 to flare</t>
  </si>
  <si>
    <t>kWh/Nm3 CH4</t>
  </si>
  <si>
    <t>Samrötningsanläggningar med förbehandling av matavfall</t>
  </si>
  <si>
    <t>HBK Biogasredovisning, ver 4.2</t>
  </si>
  <si>
    <t>HBK Biogasredovisning, ver 4.2. https://www.energigas.se/publikationer/hallbarhetskriterier-for-biodrivmedel-och-biobranslen/excel-verktyg-for-hbk-redovisning-och-berakning-av-vaxthusgasutslapp-for-biogas-och-biogasol/</t>
  </si>
  <si>
    <t>crop feedstock</t>
  </si>
  <si>
    <t>Lindfors &amp; Feiz (2023)</t>
  </si>
  <si>
    <t>Lindfors, A. &amp; Feiz, R. (2023). The current Nordic biogas and biofertilizer potential: An inventory of established feedstock and current technology. Biogas Solutions Research Center, Linköping University. https://doi.org/10.3384/9789180752558</t>
  </si>
  <si>
    <t>Share of B0 yielded as biogas</t>
  </si>
  <si>
    <t>see FeedMgmt</t>
  </si>
  <si>
    <t>Note: This report states that N, P and K contents are given as "kg/ton DM" but should be "kg/ton wet weight" according to pers. comm. with Lindfors</t>
  </si>
  <si>
    <t>digestate_B0</t>
  </si>
  <si>
    <t>digestate_TAN_share</t>
  </si>
  <si>
    <t>% of total N</t>
  </si>
  <si>
    <t>Nilsson, J., Ernfors, M., Prade, T., &amp; Hansson, P. A. (2024). Cover crop cultivation strategies in a Scandinavian context for climate change mitigation and biogas production–Insights from a life cycle perspective. Science of The Total Environment, 170629.</t>
  </si>
  <si>
    <t>Nilsson et al (2024)</t>
  </si>
  <si>
    <t>vol. %</t>
  </si>
  <si>
    <t>GENERAL</t>
  </si>
  <si>
    <t>CH4_density</t>
  </si>
  <si>
    <t>kg/Nm3</t>
  </si>
  <si>
    <t>CO2_density</t>
  </si>
  <si>
    <t>digestate_MCF</t>
  </si>
  <si>
    <t>% of B0</t>
  </si>
  <si>
    <t>Same for "Nötflytgödsel" and "Svinflytgödsel"</t>
  </si>
  <si>
    <t>"Vall"</t>
  </si>
  <si>
    <t>f_element</t>
  </si>
  <si>
    <t>f_compound</t>
  </si>
  <si>
    <t>N</t>
  </si>
  <si>
    <t>digestate_loss_storage</t>
  </si>
  <si>
    <t>NH3-N</t>
  </si>
  <si>
    <t>NOx-N</t>
  </si>
  <si>
    <t>N2O-N</t>
  </si>
  <si>
    <t>N2</t>
  </si>
  <si>
    <t>% of TAN</t>
  </si>
  <si>
    <t>P</t>
  </si>
  <si>
    <t>K</t>
  </si>
  <si>
    <t>% of P</t>
  </si>
  <si>
    <t>% of K</t>
  </si>
  <si>
    <t>Biogas stat. Tabell 6</t>
  </si>
  <si>
    <t>f_energy_source</t>
  </si>
  <si>
    <t>Electricity</t>
  </si>
  <si>
    <t>District heating</t>
  </si>
  <si>
    <t>biogas_energy_use</t>
  </si>
  <si>
    <t>biogas_use_share</t>
  </si>
  <si>
    <t>biogas_use_CH4_slip</t>
  </si>
  <si>
    <t>biogas_use_energy_use</t>
  </si>
  <si>
    <t>Biomethane</t>
  </si>
  <si>
    <t>Biogas yield</t>
  </si>
  <si>
    <t>Reactor energy use</t>
  </si>
  <si>
    <t>Use of produced biogas</t>
  </si>
  <si>
    <t>Biogas methane fractions</t>
  </si>
  <si>
    <t>Digestate characteristics and losses</t>
  </si>
  <si>
    <t>share of energy</t>
  </si>
  <si>
    <t>50 MJ/kg</t>
  </si>
  <si>
    <t>kWh/kg</t>
  </si>
  <si>
    <t>Fallback</t>
  </si>
  <si>
    <t>Use phase CH4 slip and energy use</t>
  </si>
  <si>
    <t>f_energy_prod</t>
  </si>
  <si>
    <t>CH4_specific_energy</t>
  </si>
  <si>
    <t>kWh/kWh</t>
  </si>
  <si>
    <t>kWh/kg CH4</t>
  </si>
  <si>
    <t>Recalculated from 0.9 MJ/Nm3 raw biogas assuming 60%(vol) CH4 in biogas and 0.718 kg/Nm3 CH4</t>
  </si>
  <si>
    <t>% of CH4</t>
  </si>
  <si>
    <t>f_feedstock_type</t>
  </si>
  <si>
    <t>animal carcasses</t>
  </si>
  <si>
    <t>f_feedstock</t>
  </si>
  <si>
    <t>f_feedstock_group</t>
  </si>
  <si>
    <t>f_treatment</t>
  </si>
  <si>
    <t>feedstock_C</t>
  </si>
  <si>
    <t>feedstock_DM</t>
  </si>
  <si>
    <t>feedstock_VS</t>
  </si>
  <si>
    <t>feedstock_B0</t>
  </si>
  <si>
    <t>feedstock_N</t>
  </si>
  <si>
    <t>feedstock_P</t>
  </si>
  <si>
    <t>feedstock_K</t>
  </si>
  <si>
    <t>food waste, household</t>
  </si>
  <si>
    <t>food waste, retail</t>
  </si>
  <si>
    <t>food waste, processing</t>
  </si>
  <si>
    <t>Energigas Sverige (2023), Tabell 6</t>
  </si>
  <si>
    <t>Energigas Sverige (2023) Produktion av biogas och rötrester och dess användning år 2022</t>
  </si>
  <si>
    <t>NIR 2022, Table 5.18</t>
  </si>
  <si>
    <t>Swedish IIR 2023 Table 5-12</t>
  </si>
  <si>
    <t>Assumed same as anaerobically digested manure</t>
  </si>
  <si>
    <t>Slaughterhouse waste</t>
  </si>
  <si>
    <t>slaughterhouse by-products</t>
  </si>
  <si>
    <t>Dairy waste</t>
  </si>
  <si>
    <t>Brewaries spent grain</t>
  </si>
  <si>
    <t>cereal by-products</t>
  </si>
  <si>
    <t>dairy by-products</t>
  </si>
  <si>
    <t>by-product waste</t>
  </si>
  <si>
    <t>other by-products</t>
  </si>
  <si>
    <t>Food waste, grocery stores</t>
  </si>
  <si>
    <t>INCINERATION</t>
  </si>
  <si>
    <t>2.5 kWh/kg wet weight</t>
  </si>
  <si>
    <t>kWh/kg VS</t>
  </si>
  <si>
    <t>incineration_efficiency</t>
  </si>
  <si>
    <t>incineration_heating_value</t>
  </si>
  <si>
    <t>incineration_emissions</t>
  </si>
  <si>
    <t>kg/kWh</t>
  </si>
  <si>
    <t>N2O</t>
  </si>
  <si>
    <t>NOx</t>
  </si>
  <si>
    <t>NH3</t>
  </si>
  <si>
    <t>Miljöfaktaboken 2011, Tabell 17</t>
  </si>
  <si>
    <t>Miljöfaktaboken 2011, s. 43</t>
  </si>
  <si>
    <t>VS</t>
  </si>
  <si>
    <t>CH4bio</t>
  </si>
  <si>
    <t>LANDFILL</t>
  </si>
  <si>
    <t>kg/kg VS</t>
  </si>
  <si>
    <t>landfill_emissions</t>
  </si>
  <si>
    <t>NO3</t>
  </si>
  <si>
    <t>PO4</t>
  </si>
  <si>
    <t>Ecoinvent. treatment of municipal solid waste, sanitary landfill (SE).https://ecoquery.ecoinvent.org/3.11/cutoff/dataset/92891/documentation</t>
  </si>
  <si>
    <t>Emissions from ecoinvent</t>
  </si>
  <si>
    <t>landfill of municipal solid waste</t>
  </si>
  <si>
    <t>assuming 0.43 kg VS/kg</t>
  </si>
  <si>
    <t>0.54 kgDM/kg (ecoinvent) * 0.8 kgVS/kgDM</t>
  </si>
  <si>
    <t>NH4</t>
  </si>
  <si>
    <t>Live weight of animals lost before slughter</t>
  </si>
  <si>
    <t>wastewater sludge</t>
  </si>
  <si>
    <t>WASTEWATER TREATMENT</t>
  </si>
  <si>
    <t>wastewater_share_connected</t>
  </si>
  <si>
    <t>kg COD/pers/year</t>
  </si>
  <si>
    <t>wastewater_emissions</t>
  </si>
  <si>
    <t>kg/kg N</t>
  </si>
  <si>
    <t>Används av svenskt vatten beräkningsmall: www.svensktvatten.se/globalassets/dokument/klimat-och-hallbarhet/klimatberakningsverktyg-drift/sv-klimatberakningsmodell-for-va-anlaggningarn---anvandarmanual-april-25_eng.pdf</t>
  </si>
  <si>
    <t>Andrews &amp; de Haas, 2022</t>
  </si>
  <si>
    <t>COD</t>
  </si>
  <si>
    <t>kg/kg COD</t>
  </si>
  <si>
    <t>wastewater_energy_use</t>
  </si>
  <si>
    <t>kWh/kg N</t>
  </si>
  <si>
    <t>beräknat som medel för uppsala reningsverk 2020-2022</t>
  </si>
  <si>
    <t>Uppsala vatten 2023</t>
  </si>
  <si>
    <t>% of incomming</t>
  </si>
  <si>
    <t>13% to 34%</t>
  </si>
  <si>
    <t>Svenskt Vatten (2022), Tabell 3.1</t>
  </si>
  <si>
    <t>1.0% to 3.2%</t>
  </si>
  <si>
    <t>Svenskt Vatten (2022), Tabell 9.1</t>
  </si>
  <si>
    <t>Svenskt Vatten (2022) Återvinning av näringsämnen från avlopp. Rapport Nr 2022-6. https://vattenbokhandeln.svensktvatten.se/wp-content/uploads/2022/11/svu-rapport-2022-06.pdf</t>
  </si>
  <si>
    <t>Svenskt Vatten (2025) Karakterisering  av kommunalt  avlopps vatten för process modellering och  design. Rapport Nr 2025-10. https://vattenbokhandeln.svensktvatten.se/wp-content/uploads/2025/07/2025-10-SVU-rapport-Karakterisering-av-kommunalt-avloppsvatten-for-processmodellering-och-design.pdf</t>
  </si>
  <si>
    <t>Jönsson et al. (2005) Composition of urine, faeces, greywater and biowaste. Urban Water Report 2005:6. https://slunik.slu.se/kursfiler/TN0320/20107.1718/URWARE-Indata_2005-6_Jonsson.pdf</t>
  </si>
  <si>
    <t>Jönsson et al. (2005)</t>
  </si>
  <si>
    <t>The factors for 'wastewater_incomming_toilet' are used if these are not available from the food composition calculated in the DemandAndConversions module</t>
  </si>
  <si>
    <t>kg N/pers/year</t>
  </si>
  <si>
    <t>kg VS/pers/year</t>
  </si>
  <si>
    <t>kg P/pers/year</t>
  </si>
  <si>
    <t>kg K/pers/year</t>
  </si>
  <si>
    <t>VS in sludge per person</t>
  </si>
  <si>
    <t>sludge</t>
  </si>
  <si>
    <t>persons</t>
  </si>
  <si>
    <t>pe</t>
  </si>
  <si>
    <t>kt DM</t>
  </si>
  <si>
    <t>kg DM/pe</t>
  </si>
  <si>
    <t>sludge VS</t>
  </si>
  <si>
    <t>kg VS/pe</t>
  </si>
  <si>
    <t>SOU 2020:3, Tabell 3.4</t>
  </si>
  <si>
    <t>calc.</t>
  </si>
  <si>
    <t>calc. from incomming + VS in sludge per person</t>
  </si>
  <si>
    <t>ton N</t>
  </si>
  <si>
    <t>ton P</t>
  </si>
  <si>
    <t>Sludge control</t>
  </si>
  <si>
    <t>c_N</t>
  </si>
  <si>
    <t>c_P</t>
  </si>
  <si>
    <t>ton DM</t>
  </si>
  <si>
    <t>mil.</t>
  </si>
  <si>
    <t>mg/kg DM</t>
  </si>
  <si>
    <t>ton K</t>
  </si>
  <si>
    <t>Set to give nr connected in stat.</t>
  </si>
  <si>
    <t>% dif</t>
  </si>
  <si>
    <t>kg/kg P</t>
  </si>
  <si>
    <t>N released to water?</t>
  </si>
  <si>
    <t>P released to water?</t>
  </si>
  <si>
    <t>wastewater_incoming_toilet</t>
  </si>
  <si>
    <t>wastewater_incoming_grey</t>
  </si>
  <si>
    <t>wastewater_recovery_sludge</t>
  </si>
  <si>
    <t>Wastewater Sludge</t>
  </si>
  <si>
    <t>Share digestate returned to soils, remaining to landfill</t>
  </si>
  <si>
    <t>Too high?</t>
  </si>
  <si>
    <t>Energigas Sverige (2023), Tabell 14</t>
  </si>
  <si>
    <t>digestate</t>
  </si>
  <si>
    <t>digestate_share_as_fertiliser</t>
  </si>
  <si>
    <t>SCB(2022b) Kväve- och fosforbalanser för jordbruksmark 2022. https://www.scb.se/contentassets/6ac904ff74b04809be8575db06090ceb/mi1004_2022a01_sm_mi40sm2401.pdf</t>
  </si>
  <si>
    <t>SCB (2022a) Statistikdatabasen. Anslutning (pe) efter region/storleksklass, reningsmetoder och vartannat år. https://www.statistikdatabasen.scb.se/pxweb/sv/ssd/START__MI__MI0106/MI0106T04</t>
  </si>
  <si>
    <t>SCB (2022a)</t>
  </si>
  <si>
    <t>Gives N:P similar to SCB (2022b)</t>
  </si>
  <si>
    <t>SCB (2022b)</t>
  </si>
  <si>
    <t>wastewater_input_use</t>
  </si>
  <si>
    <t>Emissions, input use, and energy use are expressed per incomming element (N, P, K, etc.) and are added together if supplied for multiple elements</t>
  </si>
  <si>
    <t>f_input</t>
  </si>
  <si>
    <t>87% digested but not all returned. Share of digested sludge returned controlled with 'digestate_share_as_fertiliser'</t>
  </si>
  <si>
    <t>Assumes that digestate not used as fertiliser goes to landfill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</si>
</sst>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%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u/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9" fontId="9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/>
    <xf numFmtId="0" fontId="6" fillId="0" borderId="0" xfId="0" applyFont="1"/>
    <xf numFmtId="0" fontId="1" fillId="0" borderId="0" xfId="0" applyFont="1"/>
    <xf numFmtId="164" fontId="0" fillId="0" borderId="0" xfId="0" applyNumberFormat="1"/>
    <xf numFmtId="164" fontId="6" fillId="0" borderId="0" xfId="0" applyNumberFormat="1" applyFont="1"/>
    <xf numFmtId="2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0" fontId="7" fillId="0" borderId="0" xfId="0" applyFont="1"/>
    <xf numFmtId="2" fontId="6" fillId="0" borderId="0" xfId="0" applyNumberFormat="1" applyFont="1"/>
    <xf numFmtId="2" fontId="0" fillId="0" borderId="0" xfId="0" applyNumberFormat="1"/>
    <xf numFmtId="0" fontId="3" fillId="3" borderId="0" xfId="0" applyFont="1" applyFill="1"/>
    <xf numFmtId="0" fontId="3" fillId="4" borderId="0" xfId="0" applyFont="1" applyFill="1"/>
    <xf numFmtId="165" fontId="1" fillId="0" borderId="0" xfId="0" applyNumberFormat="1" applyFont="1"/>
    <xf numFmtId="11" fontId="1" fillId="0" borderId="0" xfId="0" applyNumberFormat="1" applyFont="1"/>
    <xf numFmtId="0" fontId="3" fillId="5" borderId="0" xfId="0" applyFont="1" applyFill="1"/>
    <xf numFmtId="0" fontId="0" fillId="5" borderId="0" xfId="0" applyFill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  <xf numFmtId="165" fontId="0" fillId="0" borderId="0" xfId="0" applyNumberFormat="1"/>
    <xf numFmtId="0" fontId="8" fillId="0" borderId="0" xfId="1"/>
    <xf numFmtId="0" fontId="11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165" fontId="0" fillId="0" borderId="7" xfId="0" applyNumberFormat="1" applyBorder="1"/>
    <xf numFmtId="0" fontId="0" fillId="0" borderId="7" xfId="0" applyBorder="1"/>
    <xf numFmtId="0" fontId="0" fillId="0" borderId="8" xfId="0" applyBorder="1"/>
    <xf numFmtId="0" fontId="3" fillId="6" borderId="1" xfId="0" applyFont="1" applyFill="1" applyBorder="1"/>
    <xf numFmtId="0" fontId="0" fillId="6" borderId="2" xfId="0" applyFill="1" applyBorder="1"/>
    <xf numFmtId="0" fontId="0" fillId="6" borderId="3" xfId="0" applyFill="1" applyBorder="1"/>
    <xf numFmtId="3" fontId="0" fillId="0" borderId="0" xfId="0" applyNumberFormat="1"/>
    <xf numFmtId="0" fontId="10" fillId="0" borderId="0" xfId="0" applyFont="1"/>
    <xf numFmtId="0" fontId="10" fillId="0" borderId="7" xfId="0" applyFont="1" applyBorder="1"/>
    <xf numFmtId="168" fontId="0" fillId="0" borderId="7" xfId="2" applyNumberFormat="1" applyFont="1" applyBorder="1"/>
    <xf numFmtId="0" fontId="2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7" xfId="0" applyNumberFormat="1" applyBorder="1" applyAlignment="1">
      <alignment horizontal="center"/>
    </xf>
    <xf numFmtId="168" fontId="0" fillId="0" borderId="0" xfId="2" applyNumberFormat="1" applyFont="1" applyBorder="1" applyAlignment="1">
      <alignment horizontal="center"/>
    </xf>
    <xf numFmtId="3" fontId="1" fillId="0" borderId="7" xfId="0" applyNumberFormat="1" applyFont="1" applyBorder="1" applyAlignment="1">
      <alignment horizontal="center"/>
    </xf>
    <xf numFmtId="164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218"/>
  <sheetViews>
    <sheetView tabSelected="1" zoomScale="80" zoomScaleNormal="80" workbookViewId="0">
      <pane ySplit="1" topLeftCell="A2" activePane="bottomLeft" state="frozen"/>
      <selection pane="bottomLeft" activeCell="G26" sqref="G26"/>
    </sheetView>
  </sheetViews>
  <sheetFormatPr defaultRowHeight="15" x14ac:dyDescent="0.25"/>
  <cols>
    <col min="1" max="1" width="15.42578125" customWidth="1"/>
    <col min="2" max="2" width="17.85546875" bestFit="1" customWidth="1"/>
    <col min="3" max="3" width="22" bestFit="1" customWidth="1"/>
    <col min="4" max="4" width="14" customWidth="1"/>
    <col min="5" max="5" width="21.28515625" bestFit="1" customWidth="1"/>
    <col min="6" max="7" width="21.28515625" customWidth="1"/>
    <col min="8" max="8" width="17.140625" customWidth="1"/>
    <col min="9" max="10" width="21.28515625" customWidth="1"/>
    <col min="11" max="11" width="37.7109375" bestFit="1" customWidth="1"/>
    <col min="12" max="12" width="13" bestFit="1" customWidth="1"/>
    <col min="13" max="13" width="16.7109375" bestFit="1" customWidth="1"/>
    <col min="14" max="14" width="32.42578125" customWidth="1"/>
    <col min="15" max="15" width="20.7109375" customWidth="1"/>
    <col min="17" max="17" width="10.5703125" customWidth="1"/>
    <col min="18" max="18" width="11.7109375" customWidth="1"/>
  </cols>
  <sheetData>
    <row r="1" spans="1:23" x14ac:dyDescent="0.25">
      <c r="A1" s="1" t="s">
        <v>103</v>
      </c>
      <c r="B1" s="1" t="s">
        <v>104</v>
      </c>
      <c r="C1" s="1" t="s">
        <v>101</v>
      </c>
      <c r="D1" s="1" t="s">
        <v>32</v>
      </c>
      <c r="E1" s="1" t="s">
        <v>105</v>
      </c>
      <c r="F1" s="1" t="s">
        <v>63</v>
      </c>
      <c r="G1" s="1" t="s">
        <v>64</v>
      </c>
      <c r="H1" s="1" t="s">
        <v>225</v>
      </c>
      <c r="I1" s="1" t="s">
        <v>95</v>
      </c>
      <c r="J1" s="1" t="s">
        <v>77</v>
      </c>
      <c r="K1" s="1" t="s">
        <v>0</v>
      </c>
      <c r="L1" s="1" t="s">
        <v>1</v>
      </c>
      <c r="M1" s="1" t="s">
        <v>2</v>
      </c>
      <c r="N1" s="1" t="s">
        <v>3</v>
      </c>
      <c r="O1" s="1" t="s">
        <v>4</v>
      </c>
    </row>
    <row r="3" spans="1:23" x14ac:dyDescent="0.25">
      <c r="A3" s="2" t="s">
        <v>157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23" x14ac:dyDescent="0.25">
      <c r="L4" s="26"/>
      <c r="O4" s="27"/>
    </row>
    <row r="5" spans="1:23" x14ac:dyDescent="0.25">
      <c r="K5" t="s">
        <v>158</v>
      </c>
      <c r="L5" s="25">
        <v>82.5</v>
      </c>
      <c r="M5" t="s">
        <v>6</v>
      </c>
      <c r="N5" t="s">
        <v>204</v>
      </c>
      <c r="O5" t="s">
        <v>220</v>
      </c>
    </row>
    <row r="6" spans="1:23" x14ac:dyDescent="0.25">
      <c r="L6" s="25"/>
    </row>
    <row r="7" spans="1:23" x14ac:dyDescent="0.25">
      <c r="A7" s="28" t="s">
        <v>179</v>
      </c>
      <c r="L7" s="25"/>
    </row>
    <row r="8" spans="1:23" x14ac:dyDescent="0.25">
      <c r="F8" t="s">
        <v>142</v>
      </c>
      <c r="K8" t="s">
        <v>209</v>
      </c>
      <c r="L8" s="25">
        <f>3+17</f>
        <v>20</v>
      </c>
      <c r="M8" t="s">
        <v>181</v>
      </c>
      <c r="O8" t="s">
        <v>178</v>
      </c>
      <c r="Q8" s="35" t="s">
        <v>184</v>
      </c>
      <c r="R8" s="36"/>
      <c r="S8" s="36"/>
      <c r="T8" s="36"/>
      <c r="U8" s="36"/>
      <c r="V8" s="36"/>
      <c r="W8" s="37"/>
    </row>
    <row r="9" spans="1:23" x14ac:dyDescent="0.25">
      <c r="F9" t="s">
        <v>164</v>
      </c>
      <c r="K9" t="s">
        <v>209</v>
      </c>
      <c r="L9" s="25">
        <f>3+23</f>
        <v>26</v>
      </c>
      <c r="M9" t="s">
        <v>159</v>
      </c>
      <c r="O9" t="s">
        <v>178</v>
      </c>
      <c r="Q9" s="29" t="s">
        <v>186</v>
      </c>
      <c r="R9" s="16">
        <v>8.6331450000000007</v>
      </c>
      <c r="S9" s="39" t="s">
        <v>187</v>
      </c>
      <c r="U9" t="s">
        <v>192</v>
      </c>
      <c r="W9" s="30"/>
    </row>
    <row r="10" spans="1:23" x14ac:dyDescent="0.25">
      <c r="F10" t="s">
        <v>65</v>
      </c>
      <c r="K10" t="s">
        <v>209</v>
      </c>
      <c r="L10" s="26">
        <f>4+0.5</f>
        <v>4.5</v>
      </c>
      <c r="M10" t="s">
        <v>180</v>
      </c>
      <c r="O10" t="s">
        <v>178</v>
      </c>
      <c r="Q10" s="29" t="s">
        <v>185</v>
      </c>
      <c r="R10">
        <v>204.3</v>
      </c>
      <c r="S10" s="39" t="s">
        <v>188</v>
      </c>
      <c r="U10" t="s">
        <v>192</v>
      </c>
      <c r="W10" s="30"/>
    </row>
    <row r="11" spans="1:23" x14ac:dyDescent="0.25">
      <c r="F11" t="s">
        <v>72</v>
      </c>
      <c r="K11" t="s">
        <v>209</v>
      </c>
      <c r="L11" s="16">
        <f>0.33+0.18</f>
        <v>0.51</v>
      </c>
      <c r="M11" t="s">
        <v>182</v>
      </c>
      <c r="O11" t="s">
        <v>178</v>
      </c>
      <c r="Q11" s="29"/>
      <c r="R11" s="26">
        <f>R10/R9</f>
        <v>23.664608899769433</v>
      </c>
      <c r="S11" s="39" t="s">
        <v>189</v>
      </c>
      <c r="U11" t="s">
        <v>193</v>
      </c>
      <c r="W11" s="30"/>
    </row>
    <row r="12" spans="1:23" x14ac:dyDescent="0.25">
      <c r="F12" t="s">
        <v>73</v>
      </c>
      <c r="K12" t="s">
        <v>209</v>
      </c>
      <c r="L12" s="16">
        <f>0.88+0.33</f>
        <v>1.21</v>
      </c>
      <c r="M12" t="s">
        <v>183</v>
      </c>
      <c r="O12" t="s">
        <v>178</v>
      </c>
      <c r="Q12" s="29" t="s">
        <v>190</v>
      </c>
      <c r="R12">
        <v>0.7</v>
      </c>
      <c r="S12" s="39" t="s">
        <v>20</v>
      </c>
      <c r="U12" t="s">
        <v>44</v>
      </c>
      <c r="W12" s="30"/>
    </row>
    <row r="13" spans="1:23" x14ac:dyDescent="0.25">
      <c r="L13" s="25"/>
      <c r="Q13" s="31"/>
      <c r="R13" s="32">
        <f>R11*R12</f>
        <v>16.565226229838604</v>
      </c>
      <c r="S13" s="40" t="s">
        <v>191</v>
      </c>
      <c r="T13" s="33"/>
      <c r="U13" s="33" t="s">
        <v>193</v>
      </c>
      <c r="V13" s="33"/>
      <c r="W13" s="34"/>
    </row>
    <row r="14" spans="1:23" x14ac:dyDescent="0.25">
      <c r="F14" t="s">
        <v>142</v>
      </c>
      <c r="K14" t="s">
        <v>210</v>
      </c>
      <c r="L14" s="25">
        <v>15</v>
      </c>
      <c r="M14" t="s">
        <v>181</v>
      </c>
      <c r="O14" t="s">
        <v>178</v>
      </c>
    </row>
    <row r="15" spans="1:23" x14ac:dyDescent="0.25">
      <c r="F15" t="s">
        <v>164</v>
      </c>
      <c r="K15" t="s">
        <v>210</v>
      </c>
      <c r="L15" s="25">
        <v>23</v>
      </c>
      <c r="M15" t="s">
        <v>159</v>
      </c>
      <c r="O15" t="s">
        <v>178</v>
      </c>
      <c r="Q15" s="35" t="s">
        <v>197</v>
      </c>
      <c r="R15" s="36"/>
      <c r="S15" s="36"/>
      <c r="T15" s="36"/>
      <c r="U15" s="36"/>
      <c r="V15" s="36"/>
      <c r="W15" s="37"/>
    </row>
    <row r="16" spans="1:23" x14ac:dyDescent="0.25">
      <c r="F16" t="s">
        <v>65</v>
      </c>
      <c r="K16" t="s">
        <v>210</v>
      </c>
      <c r="L16" s="26">
        <v>0.6</v>
      </c>
      <c r="M16" t="s">
        <v>180</v>
      </c>
      <c r="O16" t="s">
        <v>178</v>
      </c>
      <c r="Q16" s="29"/>
      <c r="R16" s="42" t="s">
        <v>220</v>
      </c>
      <c r="S16" s="42" t="s">
        <v>193</v>
      </c>
      <c r="T16" s="1"/>
      <c r="U16" s="1"/>
      <c r="V16" s="42" t="s">
        <v>205</v>
      </c>
      <c r="W16" s="30"/>
    </row>
    <row r="17" spans="1:23" x14ac:dyDescent="0.25">
      <c r="F17" t="s">
        <v>72</v>
      </c>
      <c r="K17" t="s">
        <v>210</v>
      </c>
      <c r="L17" s="16">
        <v>0.25</v>
      </c>
      <c r="M17" t="s">
        <v>182</v>
      </c>
      <c r="O17" t="s">
        <v>178</v>
      </c>
      <c r="Q17" s="29" t="s">
        <v>187</v>
      </c>
      <c r="R17" s="43">
        <f>(661848+480002+1158543+1002205+5055019)/1000000</f>
        <v>8.3576169999999994</v>
      </c>
      <c r="S17" s="43">
        <f>10.157655*(L5/100)</f>
        <v>8.3800653749999992</v>
      </c>
      <c r="T17" s="39" t="s">
        <v>201</v>
      </c>
      <c r="V17" s="47">
        <f>(S17-R17)/R17</f>
        <v>2.6859779528063733E-3</v>
      </c>
      <c r="W17" s="30"/>
    </row>
    <row r="18" spans="1:23" x14ac:dyDescent="0.25">
      <c r="F18" t="s">
        <v>73</v>
      </c>
      <c r="K18" t="s">
        <v>210</v>
      </c>
      <c r="L18" s="16">
        <v>0.28999999999999998</v>
      </c>
      <c r="M18" t="s">
        <v>183</v>
      </c>
      <c r="O18" t="s">
        <v>178</v>
      </c>
      <c r="Q18" s="29" t="s">
        <v>185</v>
      </c>
      <c r="R18" s="44">
        <v>197778</v>
      </c>
      <c r="S18" s="44">
        <f>(L8+L14)*(L33/100)*S17*1000/R12</f>
        <v>198310.96965387464</v>
      </c>
      <c r="T18" s="39" t="s">
        <v>200</v>
      </c>
      <c r="V18" s="47">
        <f t="shared" ref="V18" si="0">(S18-R18)/R18</f>
        <v>2.6947873569084313E-3</v>
      </c>
      <c r="W18" s="30"/>
    </row>
    <row r="19" spans="1:23" x14ac:dyDescent="0.25">
      <c r="L19" s="26"/>
      <c r="O19" s="27"/>
      <c r="Q19" s="29" t="s">
        <v>198</v>
      </c>
      <c r="R19" s="44">
        <v>47624.39</v>
      </c>
      <c r="S19" s="45"/>
      <c r="T19" s="39" t="s">
        <v>202</v>
      </c>
      <c r="V19" s="47"/>
      <c r="W19" s="30"/>
    </row>
    <row r="20" spans="1:23" x14ac:dyDescent="0.25">
      <c r="A20" s="28" t="s">
        <v>224</v>
      </c>
      <c r="L20" s="26"/>
      <c r="O20" s="27"/>
      <c r="Q20" s="29" t="s">
        <v>199</v>
      </c>
      <c r="R20" s="44">
        <v>26638.48</v>
      </c>
      <c r="S20" s="45"/>
      <c r="T20" s="39" t="s">
        <v>202</v>
      </c>
      <c r="V20" s="47"/>
      <c r="W20" s="30"/>
    </row>
    <row r="21" spans="1:23" x14ac:dyDescent="0.25">
      <c r="K21" s="3" t="s">
        <v>160</v>
      </c>
      <c r="L21" s="3">
        <v>0</v>
      </c>
      <c r="N21" s="28"/>
      <c r="Q21" s="29" t="s">
        <v>65</v>
      </c>
      <c r="R21" s="44">
        <f>R18*R19/1000000</f>
        <v>9419.0566054200008</v>
      </c>
      <c r="S21" s="44">
        <f>(L10+L16)*(L34/100)*S17*1000</f>
        <v>9402.4333507499978</v>
      </c>
      <c r="T21" s="39" t="s">
        <v>195</v>
      </c>
      <c r="V21" s="47">
        <f>(S21-R21)/R21</f>
        <v>-1.7648534631841473E-3</v>
      </c>
      <c r="W21" s="30"/>
    </row>
    <row r="22" spans="1:23" x14ac:dyDescent="0.25">
      <c r="F22" t="s">
        <v>65</v>
      </c>
      <c r="G22" t="s">
        <v>69</v>
      </c>
      <c r="K22" t="s">
        <v>160</v>
      </c>
      <c r="L22">
        <v>1.0999999999999999E-2</v>
      </c>
      <c r="M22" t="s">
        <v>161</v>
      </c>
      <c r="N22" t="s">
        <v>162</v>
      </c>
      <c r="O22" t="s">
        <v>163</v>
      </c>
      <c r="Q22" s="29" t="s">
        <v>72</v>
      </c>
      <c r="R22" s="44">
        <f>R18*R20/1000000</f>
        <v>5268.5052974399996</v>
      </c>
      <c r="S22" s="44">
        <f>(L11+L17)*(L35/100)*S17*1000</f>
        <v>5731.9647165000006</v>
      </c>
      <c r="T22" s="39" t="s">
        <v>196</v>
      </c>
      <c r="V22" s="47">
        <f>(S22-R22)/R22</f>
        <v>8.7967913648145879E-2</v>
      </c>
      <c r="W22" s="30"/>
    </row>
    <row r="23" spans="1:23" x14ac:dyDescent="0.25">
      <c r="F23" t="s">
        <v>65</v>
      </c>
      <c r="G23" t="s">
        <v>65</v>
      </c>
      <c r="M23" t="s">
        <v>161</v>
      </c>
      <c r="N23" s="7" t="s">
        <v>207</v>
      </c>
      <c r="Q23" s="31" t="s">
        <v>73</v>
      </c>
      <c r="R23" s="46"/>
      <c r="S23" s="48">
        <f>(L12+L18)*(L36/100)*S17*1000</f>
        <v>188.55147093749997</v>
      </c>
      <c r="T23" s="40" t="s">
        <v>203</v>
      </c>
      <c r="U23" s="33"/>
      <c r="V23" s="41"/>
      <c r="W23" s="34"/>
    </row>
    <row r="24" spans="1:23" x14ac:dyDescent="0.25">
      <c r="F24" t="s">
        <v>72</v>
      </c>
      <c r="G24" t="s">
        <v>72</v>
      </c>
      <c r="M24" t="s">
        <v>206</v>
      </c>
      <c r="N24" s="7" t="s">
        <v>208</v>
      </c>
    </row>
    <row r="25" spans="1:23" x14ac:dyDescent="0.25">
      <c r="F25" t="s">
        <v>164</v>
      </c>
      <c r="G25" t="s">
        <v>143</v>
      </c>
      <c r="K25" t="s">
        <v>160</v>
      </c>
      <c r="L25">
        <f>0.0027</f>
        <v>2.7000000000000001E-3</v>
      </c>
      <c r="M25" t="s">
        <v>165</v>
      </c>
    </row>
    <row r="26" spans="1:23" x14ac:dyDescent="0.25">
      <c r="T26" s="16"/>
    </row>
    <row r="27" spans="1:23" x14ac:dyDescent="0.25">
      <c r="K27" s="3" t="s">
        <v>223</v>
      </c>
      <c r="L27" s="3">
        <v>0</v>
      </c>
      <c r="T27" s="16"/>
    </row>
    <row r="28" spans="1:23" x14ac:dyDescent="0.25">
      <c r="T28" s="16"/>
    </row>
    <row r="29" spans="1:23" x14ac:dyDescent="0.25">
      <c r="K29" s="3" t="s">
        <v>166</v>
      </c>
      <c r="L29" s="3">
        <v>0</v>
      </c>
      <c r="N29" s="28"/>
      <c r="S29" s="16"/>
      <c r="T29" s="16"/>
    </row>
    <row r="30" spans="1:23" x14ac:dyDescent="0.25">
      <c r="F30" t="s">
        <v>65</v>
      </c>
      <c r="J30" t="s">
        <v>78</v>
      </c>
      <c r="K30" t="s">
        <v>166</v>
      </c>
      <c r="L30">
        <v>0.83399999999999996</v>
      </c>
      <c r="M30" t="s">
        <v>167</v>
      </c>
      <c r="N30" t="s">
        <v>168</v>
      </c>
      <c r="O30" t="s">
        <v>169</v>
      </c>
      <c r="S30" s="16"/>
      <c r="T30" s="16"/>
    </row>
    <row r="31" spans="1:23" x14ac:dyDescent="0.25">
      <c r="F31" t="s">
        <v>65</v>
      </c>
      <c r="J31" t="s">
        <v>79</v>
      </c>
      <c r="K31" t="s">
        <v>166</v>
      </c>
      <c r="L31">
        <v>0.50600000000000001</v>
      </c>
      <c r="M31" t="s">
        <v>167</v>
      </c>
      <c r="N31" t="s">
        <v>168</v>
      </c>
      <c r="O31" t="s">
        <v>169</v>
      </c>
      <c r="S31" s="16"/>
      <c r="T31" s="16"/>
    </row>
    <row r="32" spans="1:23" x14ac:dyDescent="0.25">
      <c r="S32" s="16"/>
      <c r="T32" s="16"/>
    </row>
    <row r="33" spans="1:20" x14ac:dyDescent="0.25">
      <c r="F33" t="s">
        <v>142</v>
      </c>
      <c r="K33" t="s">
        <v>211</v>
      </c>
      <c r="L33" s="25">
        <f>R13/(L8+L14)*100</f>
        <v>47.329217799538867</v>
      </c>
      <c r="M33" t="s">
        <v>170</v>
      </c>
      <c r="N33" t="s">
        <v>194</v>
      </c>
      <c r="S33" s="16"/>
    </row>
    <row r="34" spans="1:20" x14ac:dyDescent="0.25">
      <c r="F34" t="s">
        <v>65</v>
      </c>
      <c r="K34" t="s">
        <v>211</v>
      </c>
      <c r="L34">
        <v>22</v>
      </c>
      <c r="M34" t="s">
        <v>170</v>
      </c>
      <c r="N34" t="s">
        <v>171</v>
      </c>
      <c r="O34" t="s">
        <v>172</v>
      </c>
      <c r="S34" s="16"/>
      <c r="T34" s="38"/>
    </row>
    <row r="35" spans="1:20" x14ac:dyDescent="0.25">
      <c r="F35" t="s">
        <v>72</v>
      </c>
      <c r="K35" t="s">
        <v>211</v>
      </c>
      <c r="L35" s="4">
        <v>90</v>
      </c>
      <c r="M35" t="s">
        <v>170</v>
      </c>
      <c r="N35" s="4" t="s">
        <v>221</v>
      </c>
      <c r="O35" t="s">
        <v>222</v>
      </c>
      <c r="T35" s="38"/>
    </row>
    <row r="36" spans="1:20" x14ac:dyDescent="0.25">
      <c r="F36" t="s">
        <v>73</v>
      </c>
      <c r="K36" t="s">
        <v>211</v>
      </c>
      <c r="L36">
        <v>1.5</v>
      </c>
      <c r="M36" t="s">
        <v>170</v>
      </c>
      <c r="N36" t="s">
        <v>173</v>
      </c>
      <c r="O36" t="s">
        <v>174</v>
      </c>
      <c r="T36" s="38"/>
    </row>
    <row r="37" spans="1:20" x14ac:dyDescent="0.25">
      <c r="T37" s="38"/>
    </row>
    <row r="38" spans="1:20" x14ac:dyDescent="0.25">
      <c r="A38" s="2" t="s">
        <v>12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T38" s="38"/>
    </row>
    <row r="39" spans="1:20" x14ac:dyDescent="0.25">
      <c r="T39" s="38"/>
    </row>
    <row r="40" spans="1:20" x14ac:dyDescent="0.25">
      <c r="K40" s="3" t="s">
        <v>5</v>
      </c>
      <c r="L40" s="3">
        <v>0</v>
      </c>
      <c r="M40" s="3" t="s">
        <v>6</v>
      </c>
      <c r="N40" s="3" t="s">
        <v>7</v>
      </c>
      <c r="T40" s="38"/>
    </row>
    <row r="42" spans="1:20" x14ac:dyDescent="0.25">
      <c r="C42" t="s">
        <v>113</v>
      </c>
      <c r="E42" t="s">
        <v>8</v>
      </c>
      <c r="K42" t="s">
        <v>5</v>
      </c>
      <c r="L42">
        <v>40</v>
      </c>
      <c r="M42" t="s">
        <v>6</v>
      </c>
      <c r="N42" t="s">
        <v>14</v>
      </c>
      <c r="O42" t="s">
        <v>13</v>
      </c>
    </row>
    <row r="43" spans="1:20" x14ac:dyDescent="0.25">
      <c r="C43" t="s">
        <v>113</v>
      </c>
      <c r="E43" t="s">
        <v>9</v>
      </c>
      <c r="K43" t="s">
        <v>5</v>
      </c>
      <c r="L43">
        <v>5</v>
      </c>
      <c r="M43" t="s">
        <v>6</v>
      </c>
    </row>
    <row r="44" spans="1:20" x14ac:dyDescent="0.25">
      <c r="C44" t="s">
        <v>113</v>
      </c>
      <c r="E44" t="s">
        <v>10</v>
      </c>
      <c r="K44" t="s">
        <v>5</v>
      </c>
      <c r="L44">
        <v>50</v>
      </c>
      <c r="M44" t="s">
        <v>6</v>
      </c>
    </row>
    <row r="45" spans="1:20" x14ac:dyDescent="0.25">
      <c r="C45" t="s">
        <v>113</v>
      </c>
      <c r="E45" t="s">
        <v>11</v>
      </c>
      <c r="K45" t="s">
        <v>5</v>
      </c>
      <c r="L45">
        <v>5</v>
      </c>
      <c r="M45" t="s">
        <v>6</v>
      </c>
    </row>
    <row r="47" spans="1:20" x14ac:dyDescent="0.25">
      <c r="C47" t="s">
        <v>114</v>
      </c>
      <c r="E47" t="s">
        <v>8</v>
      </c>
      <c r="K47" t="s">
        <v>5</v>
      </c>
      <c r="L47">
        <v>40</v>
      </c>
      <c r="M47" t="s">
        <v>6</v>
      </c>
      <c r="N47" t="s">
        <v>14</v>
      </c>
      <c r="O47" t="s">
        <v>13</v>
      </c>
    </row>
    <row r="48" spans="1:20" x14ac:dyDescent="0.25">
      <c r="C48" t="s">
        <v>114</v>
      </c>
      <c r="E48" t="s">
        <v>9</v>
      </c>
      <c r="K48" t="s">
        <v>5</v>
      </c>
      <c r="L48">
        <v>5</v>
      </c>
      <c r="M48" t="s">
        <v>6</v>
      </c>
    </row>
    <row r="49" spans="1:15" x14ac:dyDescent="0.25">
      <c r="C49" t="s">
        <v>114</v>
      </c>
      <c r="E49" t="s">
        <v>10</v>
      </c>
      <c r="K49" t="s">
        <v>5</v>
      </c>
      <c r="L49">
        <v>50</v>
      </c>
      <c r="M49" t="s">
        <v>6</v>
      </c>
    </row>
    <row r="50" spans="1:15" x14ac:dyDescent="0.25">
      <c r="C50" t="s">
        <v>114</v>
      </c>
      <c r="E50" t="s">
        <v>11</v>
      </c>
      <c r="K50" t="s">
        <v>5</v>
      </c>
      <c r="L50">
        <v>5</v>
      </c>
      <c r="M50" t="s">
        <v>6</v>
      </c>
    </row>
    <row r="52" spans="1:15" x14ac:dyDescent="0.25">
      <c r="C52" t="s">
        <v>115</v>
      </c>
      <c r="E52" t="s">
        <v>8</v>
      </c>
      <c r="K52" t="s">
        <v>5</v>
      </c>
      <c r="L52">
        <v>40</v>
      </c>
      <c r="M52" t="s">
        <v>6</v>
      </c>
      <c r="N52" t="s">
        <v>14</v>
      </c>
      <c r="O52" t="s">
        <v>13</v>
      </c>
    </row>
    <row r="53" spans="1:15" x14ac:dyDescent="0.25">
      <c r="C53" t="s">
        <v>115</v>
      </c>
      <c r="E53" t="s">
        <v>9</v>
      </c>
      <c r="K53" t="s">
        <v>5</v>
      </c>
      <c r="L53">
        <v>5</v>
      </c>
      <c r="M53" t="s">
        <v>6</v>
      </c>
    </row>
    <row r="54" spans="1:15" x14ac:dyDescent="0.25">
      <c r="C54" t="s">
        <v>115</v>
      </c>
      <c r="E54" t="s">
        <v>10</v>
      </c>
      <c r="K54" t="s">
        <v>5</v>
      </c>
      <c r="L54">
        <v>50</v>
      </c>
      <c r="M54" t="s">
        <v>6</v>
      </c>
    </row>
    <row r="55" spans="1:15" x14ac:dyDescent="0.25">
      <c r="C55" t="s">
        <v>115</v>
      </c>
      <c r="E55" t="s">
        <v>11</v>
      </c>
      <c r="K55" t="s">
        <v>5</v>
      </c>
      <c r="L55">
        <v>5</v>
      </c>
      <c r="M55" t="s">
        <v>6</v>
      </c>
    </row>
    <row r="57" spans="1:15" x14ac:dyDescent="0.25">
      <c r="C57" s="7" t="s">
        <v>102</v>
      </c>
      <c r="D57" s="7"/>
      <c r="E57" s="7" t="s">
        <v>10</v>
      </c>
      <c r="F57" s="7"/>
      <c r="G57" s="7"/>
      <c r="H57" s="7"/>
      <c r="I57" s="7"/>
      <c r="J57" s="7"/>
      <c r="K57" s="7" t="s">
        <v>5</v>
      </c>
      <c r="L57" s="7">
        <v>100</v>
      </c>
      <c r="M57" s="7" t="s">
        <v>6</v>
      </c>
      <c r="N57" t="s">
        <v>155</v>
      </c>
    </row>
    <row r="59" spans="1:15" x14ac:dyDescent="0.25">
      <c r="C59" t="s">
        <v>31</v>
      </c>
      <c r="E59" t="s">
        <v>8</v>
      </c>
      <c r="K59" t="s">
        <v>5</v>
      </c>
      <c r="L59">
        <v>100</v>
      </c>
      <c r="M59" t="s">
        <v>6</v>
      </c>
    </row>
    <row r="61" spans="1:15" x14ac:dyDescent="0.25">
      <c r="C61" s="7" t="s">
        <v>127</v>
      </c>
      <c r="D61" s="7"/>
      <c r="E61" s="7" t="s">
        <v>8</v>
      </c>
      <c r="F61" s="7"/>
      <c r="G61" s="7"/>
      <c r="H61" s="7"/>
      <c r="I61" s="7"/>
      <c r="J61" s="7"/>
      <c r="K61" s="7" t="s">
        <v>5</v>
      </c>
      <c r="L61" s="7">
        <v>100</v>
      </c>
      <c r="M61" s="7" t="s">
        <v>6</v>
      </c>
    </row>
    <row r="63" spans="1:15" x14ac:dyDescent="0.25">
      <c r="A63" s="5"/>
      <c r="B63" s="5"/>
      <c r="C63" t="s">
        <v>156</v>
      </c>
      <c r="D63" s="5"/>
      <c r="E63" t="s">
        <v>8</v>
      </c>
      <c r="F63" s="5"/>
      <c r="G63" s="5"/>
      <c r="H63" s="5"/>
      <c r="I63" s="5"/>
      <c r="J63" s="5"/>
      <c r="K63" t="s">
        <v>5</v>
      </c>
      <c r="L63" s="7">
        <v>87</v>
      </c>
      <c r="M63" t="s">
        <v>6</v>
      </c>
      <c r="N63" s="7" t="s">
        <v>226</v>
      </c>
    </row>
    <row r="64" spans="1:15" x14ac:dyDescent="0.25">
      <c r="C64" t="s">
        <v>156</v>
      </c>
      <c r="E64" t="s">
        <v>11</v>
      </c>
      <c r="K64" t="s">
        <v>5</v>
      </c>
      <c r="L64" s="7">
        <f>100-L63</f>
        <v>13</v>
      </c>
      <c r="M64" t="s">
        <v>6</v>
      </c>
    </row>
    <row r="65" spans="1:16" x14ac:dyDescent="0.25">
      <c r="C65" t="s">
        <v>216</v>
      </c>
      <c r="E65" t="s">
        <v>11</v>
      </c>
      <c r="K65" t="s">
        <v>5</v>
      </c>
      <c r="L65" s="7">
        <v>100</v>
      </c>
      <c r="M65" t="s">
        <v>6</v>
      </c>
      <c r="N65" t="s">
        <v>227</v>
      </c>
    </row>
    <row r="67" spans="1:16" x14ac:dyDescent="0.25">
      <c r="A67" s="5" t="s">
        <v>16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9" spans="1:16" x14ac:dyDescent="0.25">
      <c r="A69" s="4" t="s">
        <v>15</v>
      </c>
      <c r="B69" s="4"/>
      <c r="C69" t="s">
        <v>43</v>
      </c>
      <c r="E69" t="s">
        <v>8</v>
      </c>
      <c r="K69" t="s">
        <v>5</v>
      </c>
      <c r="L69">
        <v>100</v>
      </c>
      <c r="M69" t="s">
        <v>6</v>
      </c>
    </row>
    <row r="70" spans="1:16" x14ac:dyDescent="0.25">
      <c r="A70" s="4"/>
      <c r="B70" s="4"/>
    </row>
    <row r="71" spans="1:16" x14ac:dyDescent="0.25">
      <c r="A71" s="2" t="s">
        <v>17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3" spans="1:16" x14ac:dyDescent="0.25">
      <c r="K73" s="3" t="s">
        <v>106</v>
      </c>
      <c r="L73" s="3">
        <v>0.5</v>
      </c>
      <c r="M73" s="3" t="s">
        <v>18</v>
      </c>
      <c r="N73" s="3" t="s">
        <v>7</v>
      </c>
    </row>
    <row r="75" spans="1:16" x14ac:dyDescent="0.25">
      <c r="A75" s="4"/>
      <c r="B75" s="4"/>
      <c r="C75" t="s">
        <v>113</v>
      </c>
      <c r="K75" t="s">
        <v>107</v>
      </c>
      <c r="L75">
        <v>0.33</v>
      </c>
      <c r="M75" t="s">
        <v>19</v>
      </c>
      <c r="N75" t="s">
        <v>26</v>
      </c>
      <c r="O75" t="s">
        <v>33</v>
      </c>
    </row>
    <row r="76" spans="1:16" x14ac:dyDescent="0.25">
      <c r="A76" s="4"/>
      <c r="B76" s="4"/>
      <c r="C76" t="s">
        <v>113</v>
      </c>
      <c r="K76" t="s">
        <v>108</v>
      </c>
      <c r="L76">
        <v>0.85</v>
      </c>
      <c r="M76" t="s">
        <v>20</v>
      </c>
      <c r="O76" t="s">
        <v>33</v>
      </c>
      <c r="P76" t="s">
        <v>48</v>
      </c>
    </row>
    <row r="77" spans="1:16" x14ac:dyDescent="0.25">
      <c r="C77" t="s">
        <v>113</v>
      </c>
      <c r="K77" t="s">
        <v>109</v>
      </c>
      <c r="L77">
        <v>0.46100000000000002</v>
      </c>
      <c r="M77" t="s">
        <v>29</v>
      </c>
      <c r="O77" t="s">
        <v>33</v>
      </c>
    </row>
    <row r="78" spans="1:16" x14ac:dyDescent="0.25">
      <c r="A78" s="4"/>
      <c r="B78" s="4"/>
      <c r="C78" t="s">
        <v>113</v>
      </c>
      <c r="K78" t="s">
        <v>110</v>
      </c>
      <c r="L78" s="8">
        <f>8.3/1000/0.33</f>
        <v>2.515151515151515E-2</v>
      </c>
      <c r="M78" t="s">
        <v>21</v>
      </c>
      <c r="O78" t="s">
        <v>44</v>
      </c>
    </row>
    <row r="79" spans="1:16" x14ac:dyDescent="0.25">
      <c r="A79" s="4"/>
      <c r="B79" s="4"/>
      <c r="C79" t="s">
        <v>113</v>
      </c>
      <c r="K79" t="s">
        <v>111</v>
      </c>
      <c r="L79" s="8">
        <f>1/1000/0.33</f>
        <v>3.0303030303030303E-3</v>
      </c>
      <c r="M79" t="s">
        <v>22</v>
      </c>
      <c r="O79" t="s">
        <v>44</v>
      </c>
    </row>
    <row r="80" spans="1:16" x14ac:dyDescent="0.25">
      <c r="A80" s="4"/>
      <c r="B80" s="4"/>
      <c r="C80" t="s">
        <v>113</v>
      </c>
      <c r="K80" t="s">
        <v>112</v>
      </c>
      <c r="L80" s="8">
        <f>2.6/1000/0.33</f>
        <v>7.8787878787878775E-3</v>
      </c>
      <c r="M80" t="s">
        <v>23</v>
      </c>
      <c r="O80" t="s">
        <v>44</v>
      </c>
    </row>
    <row r="82" spans="1:15" x14ac:dyDescent="0.25">
      <c r="A82" s="4"/>
      <c r="B82" s="4"/>
      <c r="C82" t="s">
        <v>114</v>
      </c>
      <c r="K82" t="s">
        <v>107</v>
      </c>
      <c r="L82">
        <v>0.15</v>
      </c>
      <c r="M82" t="s">
        <v>19</v>
      </c>
      <c r="N82" t="s">
        <v>129</v>
      </c>
      <c r="O82" t="s">
        <v>44</v>
      </c>
    </row>
    <row r="83" spans="1:15" x14ac:dyDescent="0.25">
      <c r="A83" s="4"/>
      <c r="B83" s="4"/>
      <c r="C83" t="s">
        <v>114</v>
      </c>
      <c r="K83" t="s">
        <v>108</v>
      </c>
      <c r="L83" s="10">
        <v>0.9</v>
      </c>
      <c r="M83" t="s">
        <v>20</v>
      </c>
      <c r="N83" s="7"/>
      <c r="O83" t="s">
        <v>44</v>
      </c>
    </row>
    <row r="84" spans="1:15" x14ac:dyDescent="0.25">
      <c r="C84" t="s">
        <v>114</v>
      </c>
      <c r="K84" t="s">
        <v>109</v>
      </c>
      <c r="L84" s="8">
        <v>0.55000000000000004</v>
      </c>
      <c r="M84" t="s">
        <v>29</v>
      </c>
      <c r="O84" t="s">
        <v>44</v>
      </c>
    </row>
    <row r="85" spans="1:15" x14ac:dyDescent="0.25">
      <c r="A85" s="4"/>
      <c r="B85" s="4"/>
      <c r="C85" t="s">
        <v>114</v>
      </c>
      <c r="K85" t="s">
        <v>110</v>
      </c>
      <c r="L85" s="8">
        <f>3.8/1000/0.15</f>
        <v>2.5333333333333333E-2</v>
      </c>
      <c r="M85" t="s">
        <v>21</v>
      </c>
      <c r="O85" t="s">
        <v>44</v>
      </c>
    </row>
    <row r="86" spans="1:15" x14ac:dyDescent="0.25">
      <c r="A86" s="4"/>
      <c r="B86" s="4"/>
      <c r="C86" t="s">
        <v>114</v>
      </c>
      <c r="K86" t="s">
        <v>111</v>
      </c>
      <c r="L86" s="8">
        <f>0.5/1000/0.15</f>
        <v>3.3333333333333335E-3</v>
      </c>
      <c r="M86" t="s">
        <v>22</v>
      </c>
      <c r="O86" t="s">
        <v>44</v>
      </c>
    </row>
    <row r="87" spans="1:15" x14ac:dyDescent="0.25">
      <c r="A87" s="4"/>
      <c r="B87" s="4"/>
      <c r="C87" t="s">
        <v>114</v>
      </c>
      <c r="K87" t="s">
        <v>112</v>
      </c>
      <c r="L87" s="8">
        <f>1.2/1000/0.15</f>
        <v>8.0000000000000002E-3</v>
      </c>
      <c r="M87" t="s">
        <v>23</v>
      </c>
      <c r="O87" t="s">
        <v>44</v>
      </c>
    </row>
    <row r="89" spans="1:15" x14ac:dyDescent="0.25">
      <c r="A89" s="4"/>
      <c r="B89" s="4"/>
      <c r="C89" t="s">
        <v>115</v>
      </c>
      <c r="K89" t="s">
        <v>107</v>
      </c>
      <c r="L89" s="6">
        <f t="shared" ref="L89:L94" si="1">L82</f>
        <v>0.15</v>
      </c>
      <c r="M89" t="s">
        <v>19</v>
      </c>
      <c r="N89" s="4" t="s">
        <v>27</v>
      </c>
    </row>
    <row r="90" spans="1:15" x14ac:dyDescent="0.25">
      <c r="A90" s="4"/>
      <c r="B90" s="4"/>
      <c r="C90" t="s">
        <v>115</v>
      </c>
      <c r="K90" t="s">
        <v>108</v>
      </c>
      <c r="L90" s="15">
        <f t="shared" si="1"/>
        <v>0.9</v>
      </c>
      <c r="M90" t="s">
        <v>20</v>
      </c>
    </row>
    <row r="91" spans="1:15" x14ac:dyDescent="0.25">
      <c r="A91" s="4"/>
      <c r="B91" s="4"/>
      <c r="C91" t="s">
        <v>115</v>
      </c>
      <c r="K91" t="s">
        <v>109</v>
      </c>
      <c r="L91" s="9">
        <f t="shared" si="1"/>
        <v>0.55000000000000004</v>
      </c>
      <c r="M91" t="s">
        <v>29</v>
      </c>
    </row>
    <row r="92" spans="1:15" x14ac:dyDescent="0.25">
      <c r="A92" s="4"/>
      <c r="B92" s="4"/>
      <c r="C92" t="s">
        <v>115</v>
      </c>
      <c r="K92" t="s">
        <v>110</v>
      </c>
      <c r="L92" s="9">
        <f t="shared" si="1"/>
        <v>2.5333333333333333E-2</v>
      </c>
      <c r="M92" t="s">
        <v>21</v>
      </c>
    </row>
    <row r="93" spans="1:15" x14ac:dyDescent="0.25">
      <c r="A93" s="4"/>
      <c r="B93" s="4"/>
      <c r="C93" t="s">
        <v>115</v>
      </c>
      <c r="K93" t="s">
        <v>111</v>
      </c>
      <c r="L93" s="9">
        <f t="shared" si="1"/>
        <v>3.3333333333333335E-3</v>
      </c>
      <c r="M93" t="s">
        <v>22</v>
      </c>
    </row>
    <row r="94" spans="1:15" x14ac:dyDescent="0.25">
      <c r="A94" s="4"/>
      <c r="B94" s="4"/>
      <c r="C94" t="s">
        <v>115</v>
      </c>
      <c r="K94" t="s">
        <v>112</v>
      </c>
      <c r="L94" s="9">
        <f t="shared" si="1"/>
        <v>8.0000000000000002E-3</v>
      </c>
      <c r="M94" t="s">
        <v>23</v>
      </c>
    </row>
    <row r="96" spans="1:15" x14ac:dyDescent="0.25">
      <c r="C96" t="s">
        <v>102</v>
      </c>
      <c r="K96" t="s">
        <v>107</v>
      </c>
      <c r="L96" s="6">
        <f>L103</f>
        <v>0.16</v>
      </c>
      <c r="M96" t="s">
        <v>19</v>
      </c>
      <c r="N96" t="s">
        <v>121</v>
      </c>
      <c r="O96" t="s">
        <v>44</v>
      </c>
    </row>
    <row r="97" spans="2:15" x14ac:dyDescent="0.25">
      <c r="C97" t="s">
        <v>102</v>
      </c>
      <c r="K97" t="s">
        <v>108</v>
      </c>
      <c r="L97" s="6">
        <f t="shared" ref="L97:L101" si="2">L104</f>
        <v>0.9</v>
      </c>
      <c r="M97" t="s">
        <v>20</v>
      </c>
      <c r="O97" t="s">
        <v>44</v>
      </c>
    </row>
    <row r="98" spans="2:15" x14ac:dyDescent="0.25">
      <c r="C98" t="s">
        <v>102</v>
      </c>
      <c r="K98" t="s">
        <v>109</v>
      </c>
      <c r="L98" s="6">
        <f t="shared" si="2"/>
        <v>0.434</v>
      </c>
      <c r="M98" t="s">
        <v>29</v>
      </c>
      <c r="O98" t="s">
        <v>44</v>
      </c>
    </row>
    <row r="99" spans="2:15" x14ac:dyDescent="0.25">
      <c r="C99" t="s">
        <v>102</v>
      </c>
      <c r="K99" t="s">
        <v>110</v>
      </c>
      <c r="L99" s="6">
        <f t="shared" si="2"/>
        <v>2.375E-2</v>
      </c>
      <c r="M99" t="s">
        <v>21</v>
      </c>
      <c r="O99" t="s">
        <v>44</v>
      </c>
    </row>
    <row r="100" spans="2:15" x14ac:dyDescent="0.25">
      <c r="C100" t="s">
        <v>102</v>
      </c>
      <c r="K100" t="s">
        <v>111</v>
      </c>
      <c r="L100" s="6">
        <f t="shared" si="2"/>
        <v>2.5000000000000001E-3</v>
      </c>
      <c r="M100" t="s">
        <v>22</v>
      </c>
      <c r="O100" t="s">
        <v>44</v>
      </c>
    </row>
    <row r="101" spans="2:15" x14ac:dyDescent="0.25">
      <c r="C101" t="s">
        <v>102</v>
      </c>
      <c r="K101" t="s">
        <v>112</v>
      </c>
      <c r="L101" s="6">
        <f t="shared" si="2"/>
        <v>4.3749999999999995E-3</v>
      </c>
      <c r="M101" t="s">
        <v>23</v>
      </c>
      <c r="O101" t="s">
        <v>44</v>
      </c>
    </row>
    <row r="103" spans="2:15" x14ac:dyDescent="0.25">
      <c r="B103" t="s">
        <v>122</v>
      </c>
      <c r="C103" t="s">
        <v>127</v>
      </c>
      <c r="K103" t="s">
        <v>107</v>
      </c>
      <c r="L103">
        <v>0.16</v>
      </c>
      <c r="M103" t="s">
        <v>19</v>
      </c>
      <c r="N103" t="s">
        <v>121</v>
      </c>
      <c r="O103" t="s">
        <v>44</v>
      </c>
    </row>
    <row r="104" spans="2:15" x14ac:dyDescent="0.25">
      <c r="B104" t="s">
        <v>122</v>
      </c>
      <c r="C104" t="s">
        <v>127</v>
      </c>
      <c r="K104" t="s">
        <v>108</v>
      </c>
      <c r="L104" s="16">
        <v>0.9</v>
      </c>
      <c r="M104" t="s">
        <v>20</v>
      </c>
      <c r="O104" t="s">
        <v>44</v>
      </c>
    </row>
    <row r="105" spans="2:15" x14ac:dyDescent="0.25">
      <c r="B105" t="s">
        <v>122</v>
      </c>
      <c r="C105" t="s">
        <v>127</v>
      </c>
      <c r="K105" t="s">
        <v>109</v>
      </c>
      <c r="L105">
        <v>0.434</v>
      </c>
      <c r="M105" t="s">
        <v>29</v>
      </c>
      <c r="O105" t="s">
        <v>44</v>
      </c>
    </row>
    <row r="106" spans="2:15" x14ac:dyDescent="0.25">
      <c r="B106" t="s">
        <v>122</v>
      </c>
      <c r="C106" t="s">
        <v>127</v>
      </c>
      <c r="K106" t="s">
        <v>110</v>
      </c>
      <c r="L106" s="8">
        <f>3.8/1000/0.16</f>
        <v>2.375E-2</v>
      </c>
      <c r="M106" t="s">
        <v>21</v>
      </c>
      <c r="O106" t="s">
        <v>44</v>
      </c>
    </row>
    <row r="107" spans="2:15" x14ac:dyDescent="0.25">
      <c r="B107" t="s">
        <v>122</v>
      </c>
      <c r="C107" t="s">
        <v>127</v>
      </c>
      <c r="K107" t="s">
        <v>111</v>
      </c>
      <c r="L107" s="8">
        <f>0.4/1000/0.16</f>
        <v>2.5000000000000001E-3</v>
      </c>
      <c r="M107" t="s">
        <v>22</v>
      </c>
      <c r="O107" t="s">
        <v>44</v>
      </c>
    </row>
    <row r="108" spans="2:15" x14ac:dyDescent="0.25">
      <c r="B108" t="s">
        <v>122</v>
      </c>
      <c r="C108" t="s">
        <v>127</v>
      </c>
      <c r="K108" t="s">
        <v>112</v>
      </c>
      <c r="L108" s="8">
        <f>0.7/1000/0.16</f>
        <v>4.3749999999999995E-3</v>
      </c>
      <c r="M108" t="s">
        <v>23</v>
      </c>
      <c r="O108" t="s">
        <v>44</v>
      </c>
    </row>
    <row r="110" spans="2:15" x14ac:dyDescent="0.25">
      <c r="B110" t="s">
        <v>126</v>
      </c>
      <c r="C110" t="s">
        <v>127</v>
      </c>
      <c r="K110" t="s">
        <v>107</v>
      </c>
      <c r="L110">
        <v>0.06</v>
      </c>
      <c r="M110" t="s">
        <v>19</v>
      </c>
      <c r="N110" t="s">
        <v>123</v>
      </c>
      <c r="O110" t="s">
        <v>44</v>
      </c>
    </row>
    <row r="111" spans="2:15" x14ac:dyDescent="0.25">
      <c r="B111" t="s">
        <v>126</v>
      </c>
      <c r="C111" t="s">
        <v>127</v>
      </c>
      <c r="K111" t="s">
        <v>108</v>
      </c>
      <c r="L111" s="16">
        <v>0.95</v>
      </c>
      <c r="M111" t="s">
        <v>20</v>
      </c>
      <c r="O111" t="s">
        <v>44</v>
      </c>
    </row>
    <row r="112" spans="2:15" x14ac:dyDescent="0.25">
      <c r="B112" t="s">
        <v>126</v>
      </c>
      <c r="C112" t="s">
        <v>127</v>
      </c>
      <c r="K112" t="s">
        <v>109</v>
      </c>
      <c r="L112" s="8">
        <v>0.52</v>
      </c>
      <c r="M112" t="s">
        <v>29</v>
      </c>
      <c r="O112" t="s">
        <v>44</v>
      </c>
    </row>
    <row r="113" spans="2:15" x14ac:dyDescent="0.25">
      <c r="B113" t="s">
        <v>126</v>
      </c>
      <c r="C113" t="s">
        <v>127</v>
      </c>
      <c r="K113" t="s">
        <v>110</v>
      </c>
      <c r="L113" s="8">
        <f>3.5/1000/0.06</f>
        <v>5.8333333333333334E-2</v>
      </c>
      <c r="M113" t="s">
        <v>21</v>
      </c>
      <c r="O113" t="s">
        <v>44</v>
      </c>
    </row>
    <row r="114" spans="2:15" x14ac:dyDescent="0.25">
      <c r="B114" t="s">
        <v>126</v>
      </c>
      <c r="C114" t="s">
        <v>127</v>
      </c>
      <c r="K114" t="s">
        <v>111</v>
      </c>
      <c r="L114" s="8">
        <f>0.3/1000/0.06</f>
        <v>5.0000000000000001E-3</v>
      </c>
      <c r="M114" t="s">
        <v>22</v>
      </c>
      <c r="O114" t="s">
        <v>44</v>
      </c>
    </row>
    <row r="115" spans="2:15" x14ac:dyDescent="0.25">
      <c r="B115" t="s">
        <v>126</v>
      </c>
      <c r="C115" t="s">
        <v>127</v>
      </c>
      <c r="K115" t="s">
        <v>112</v>
      </c>
      <c r="L115" s="8">
        <f>0.6/1000/0.06</f>
        <v>0.01</v>
      </c>
      <c r="M115" t="s">
        <v>23</v>
      </c>
      <c r="O115" t="s">
        <v>44</v>
      </c>
    </row>
    <row r="117" spans="2:15" x14ac:dyDescent="0.25">
      <c r="B117" t="s">
        <v>125</v>
      </c>
      <c r="C117" t="s">
        <v>127</v>
      </c>
      <c r="K117" t="s">
        <v>107</v>
      </c>
      <c r="L117">
        <v>7.0000000000000007E-2</v>
      </c>
      <c r="M117" t="s">
        <v>19</v>
      </c>
      <c r="N117" t="s">
        <v>124</v>
      </c>
      <c r="O117" t="s">
        <v>44</v>
      </c>
    </row>
    <row r="118" spans="2:15" x14ac:dyDescent="0.25">
      <c r="B118" t="s">
        <v>125</v>
      </c>
      <c r="C118" t="s">
        <v>127</v>
      </c>
      <c r="K118" t="s">
        <v>108</v>
      </c>
      <c r="L118" s="16">
        <v>0.97</v>
      </c>
      <c r="M118" t="s">
        <v>20</v>
      </c>
      <c r="O118" t="s">
        <v>44</v>
      </c>
    </row>
    <row r="119" spans="2:15" x14ac:dyDescent="0.25">
      <c r="B119" t="s">
        <v>125</v>
      </c>
      <c r="C119" t="s">
        <v>127</v>
      </c>
      <c r="K119" t="s">
        <v>109</v>
      </c>
      <c r="L119">
        <v>0.32300000000000001</v>
      </c>
      <c r="M119" t="s">
        <v>29</v>
      </c>
      <c r="O119" t="s">
        <v>44</v>
      </c>
    </row>
    <row r="120" spans="2:15" x14ac:dyDescent="0.25">
      <c r="B120" t="s">
        <v>125</v>
      </c>
      <c r="C120" t="s">
        <v>127</v>
      </c>
      <c r="K120" t="s">
        <v>110</v>
      </c>
      <c r="L120" s="8">
        <f>3.7/1000/0.07</f>
        <v>5.2857142857142853E-2</v>
      </c>
      <c r="M120" t="s">
        <v>21</v>
      </c>
      <c r="O120" t="s">
        <v>44</v>
      </c>
    </row>
    <row r="121" spans="2:15" x14ac:dyDescent="0.25">
      <c r="B121" t="s">
        <v>125</v>
      </c>
      <c r="C121" t="s">
        <v>127</v>
      </c>
      <c r="K121" t="s">
        <v>111</v>
      </c>
      <c r="L121" s="8">
        <f>0.3/1000/0.07</f>
        <v>4.2857142857142851E-3</v>
      </c>
      <c r="M121" t="s">
        <v>22</v>
      </c>
      <c r="O121" t="s">
        <v>44</v>
      </c>
    </row>
    <row r="122" spans="2:15" x14ac:dyDescent="0.25">
      <c r="B122" t="s">
        <v>125</v>
      </c>
      <c r="C122" t="s">
        <v>127</v>
      </c>
      <c r="K122" t="s">
        <v>112</v>
      </c>
      <c r="L122" s="8">
        <f>0.5/1000/0.07</f>
        <v>7.1428571428571426E-3</v>
      </c>
      <c r="M122" t="s">
        <v>23</v>
      </c>
      <c r="O122" t="s">
        <v>44</v>
      </c>
    </row>
    <row r="124" spans="2:15" x14ac:dyDescent="0.25">
      <c r="B124" t="s">
        <v>128</v>
      </c>
      <c r="C124" t="s">
        <v>127</v>
      </c>
      <c r="K124" t="s">
        <v>107</v>
      </c>
      <c r="L124" s="6">
        <f>L82</f>
        <v>0.15</v>
      </c>
      <c r="M124" t="s">
        <v>19</v>
      </c>
      <c r="N124" s="4" t="s">
        <v>27</v>
      </c>
    </row>
    <row r="125" spans="2:15" x14ac:dyDescent="0.25">
      <c r="B125" t="s">
        <v>128</v>
      </c>
      <c r="C125" t="s">
        <v>127</v>
      </c>
      <c r="K125" t="s">
        <v>108</v>
      </c>
      <c r="L125" s="6">
        <f t="shared" ref="L125:L129" si="3">L83</f>
        <v>0.9</v>
      </c>
      <c r="M125" t="s">
        <v>20</v>
      </c>
    </row>
    <row r="126" spans="2:15" x14ac:dyDescent="0.25">
      <c r="B126" t="s">
        <v>128</v>
      </c>
      <c r="C126" t="s">
        <v>127</v>
      </c>
      <c r="K126" t="s">
        <v>109</v>
      </c>
      <c r="L126" s="9">
        <f t="shared" si="3"/>
        <v>0.55000000000000004</v>
      </c>
      <c r="M126" t="s">
        <v>29</v>
      </c>
    </row>
    <row r="127" spans="2:15" x14ac:dyDescent="0.25">
      <c r="B127" t="s">
        <v>128</v>
      </c>
      <c r="C127" t="s">
        <v>127</v>
      </c>
      <c r="K127" t="s">
        <v>110</v>
      </c>
      <c r="L127" s="9">
        <f t="shared" si="3"/>
        <v>2.5333333333333333E-2</v>
      </c>
      <c r="M127" t="s">
        <v>21</v>
      </c>
    </row>
    <row r="128" spans="2:15" x14ac:dyDescent="0.25">
      <c r="B128" t="s">
        <v>128</v>
      </c>
      <c r="C128" t="s">
        <v>127</v>
      </c>
      <c r="K128" t="s">
        <v>111</v>
      </c>
      <c r="L128" s="9">
        <f t="shared" si="3"/>
        <v>3.3333333333333335E-3</v>
      </c>
      <c r="M128" t="s">
        <v>22</v>
      </c>
    </row>
    <row r="129" spans="1:15" x14ac:dyDescent="0.25">
      <c r="B129" t="s">
        <v>128</v>
      </c>
      <c r="C129" t="s">
        <v>127</v>
      </c>
      <c r="K129" t="s">
        <v>112</v>
      </c>
      <c r="L129" s="9">
        <f t="shared" si="3"/>
        <v>8.0000000000000002E-3</v>
      </c>
      <c r="M129" t="s">
        <v>23</v>
      </c>
    </row>
    <row r="131" spans="1:15" x14ac:dyDescent="0.25">
      <c r="A131" s="4" t="s">
        <v>15</v>
      </c>
      <c r="B131" s="4"/>
      <c r="C131" t="s">
        <v>43</v>
      </c>
      <c r="K131" t="s">
        <v>107</v>
      </c>
      <c r="L131">
        <v>1</v>
      </c>
      <c r="M131" t="s">
        <v>19</v>
      </c>
    </row>
    <row r="132" spans="1:15" x14ac:dyDescent="0.25">
      <c r="A132" s="4" t="s">
        <v>15</v>
      </c>
      <c r="B132" s="4"/>
      <c r="C132" t="s">
        <v>43</v>
      </c>
      <c r="K132" t="s">
        <v>108</v>
      </c>
      <c r="L132">
        <v>0.88</v>
      </c>
      <c r="M132" t="s">
        <v>20</v>
      </c>
      <c r="O132" t="s">
        <v>33</v>
      </c>
    </row>
    <row r="133" spans="1:15" x14ac:dyDescent="0.25">
      <c r="A133" s="4" t="s">
        <v>15</v>
      </c>
      <c r="B133" s="4"/>
      <c r="C133" t="s">
        <v>43</v>
      </c>
      <c r="K133" t="s">
        <v>109</v>
      </c>
      <c r="L133" s="8">
        <v>0.3</v>
      </c>
      <c r="M133" t="s">
        <v>29</v>
      </c>
      <c r="O133" t="s">
        <v>33</v>
      </c>
    </row>
    <row r="134" spans="1:15" x14ac:dyDescent="0.25">
      <c r="A134" s="4" t="s">
        <v>15</v>
      </c>
      <c r="B134" s="4"/>
      <c r="C134" t="s">
        <v>43</v>
      </c>
      <c r="K134" t="s">
        <v>110</v>
      </c>
      <c r="L134" s="4">
        <f>2.1/100</f>
        <v>2.1000000000000001E-2</v>
      </c>
      <c r="M134" t="s">
        <v>21</v>
      </c>
      <c r="O134" t="s">
        <v>47</v>
      </c>
    </row>
    <row r="135" spans="1:15" x14ac:dyDescent="0.25">
      <c r="A135" s="4" t="s">
        <v>15</v>
      </c>
      <c r="B135" s="4"/>
      <c r="C135" t="s">
        <v>43</v>
      </c>
      <c r="K135" t="s">
        <v>111</v>
      </c>
      <c r="L135" s="11">
        <f>0.27/100</f>
        <v>2.7000000000000001E-3</v>
      </c>
      <c r="M135" t="s">
        <v>22</v>
      </c>
      <c r="O135" t="s">
        <v>47</v>
      </c>
    </row>
    <row r="136" spans="1:15" x14ac:dyDescent="0.25">
      <c r="A136" s="4" t="s">
        <v>15</v>
      </c>
      <c r="B136" s="4"/>
      <c r="C136" t="s">
        <v>43</v>
      </c>
      <c r="K136" t="s">
        <v>112</v>
      </c>
      <c r="L136" s="11">
        <f>2.34/100</f>
        <v>2.3399999999999997E-2</v>
      </c>
      <c r="M136" t="s">
        <v>23</v>
      </c>
      <c r="O136" t="s">
        <v>47</v>
      </c>
    </row>
    <row r="137" spans="1:15" x14ac:dyDescent="0.25">
      <c r="A137" s="4"/>
      <c r="B137" s="4"/>
      <c r="L137" s="11"/>
    </row>
    <row r="138" spans="1:15" x14ac:dyDescent="0.25">
      <c r="A138" s="4"/>
      <c r="B138" s="4"/>
      <c r="C138" t="s">
        <v>156</v>
      </c>
      <c r="K138" t="s">
        <v>109</v>
      </c>
      <c r="L138" s="11">
        <v>0.34300000000000003</v>
      </c>
      <c r="M138" t="s">
        <v>29</v>
      </c>
      <c r="N138" t="s">
        <v>212</v>
      </c>
      <c r="O138" t="s">
        <v>44</v>
      </c>
    </row>
    <row r="139" spans="1:15" x14ac:dyDescent="0.25">
      <c r="A139" s="4"/>
      <c r="B139" s="4"/>
      <c r="L139" s="11"/>
    </row>
    <row r="140" spans="1:15" x14ac:dyDescent="0.25">
      <c r="A140" s="2" t="s">
        <v>55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</row>
    <row r="142" spans="1:15" x14ac:dyDescent="0.25">
      <c r="A142" s="4"/>
      <c r="B142" s="4"/>
      <c r="K142" t="s">
        <v>56</v>
      </c>
      <c r="L142" s="11">
        <v>0.71750000000000003</v>
      </c>
      <c r="M142" t="s">
        <v>57</v>
      </c>
      <c r="O142" t="s">
        <v>41</v>
      </c>
    </row>
    <row r="143" spans="1:15" x14ac:dyDescent="0.25">
      <c r="A143" s="4"/>
      <c r="B143" s="4"/>
      <c r="K143" t="s">
        <v>58</v>
      </c>
      <c r="L143" s="11">
        <v>1.9496</v>
      </c>
      <c r="M143" t="s">
        <v>57</v>
      </c>
      <c r="O143" t="s">
        <v>41</v>
      </c>
    </row>
    <row r="144" spans="1:15" x14ac:dyDescent="0.25">
      <c r="A144" s="4"/>
      <c r="B144" s="4"/>
      <c r="K144" t="s">
        <v>96</v>
      </c>
      <c r="L144" s="13">
        <f>50*(1/3.6)</f>
        <v>13.888888888888889</v>
      </c>
      <c r="M144" t="s">
        <v>92</v>
      </c>
      <c r="N144" t="s">
        <v>91</v>
      </c>
      <c r="O144" t="s">
        <v>41</v>
      </c>
    </row>
    <row r="146" spans="1:15" x14ac:dyDescent="0.25">
      <c r="A146" s="18" t="s">
        <v>24</v>
      </c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</row>
    <row r="147" spans="1:15" x14ac:dyDescent="0.25">
      <c r="A147" s="5" t="s">
        <v>85</v>
      </c>
    </row>
    <row r="148" spans="1:15" x14ac:dyDescent="0.25">
      <c r="K148" t="s">
        <v>30</v>
      </c>
      <c r="L148" s="4">
        <v>90</v>
      </c>
      <c r="M148" s="4" t="s">
        <v>6</v>
      </c>
      <c r="N148" s="4" t="s">
        <v>46</v>
      </c>
      <c r="O148" t="s">
        <v>44</v>
      </c>
    </row>
    <row r="149" spans="1:15" x14ac:dyDescent="0.25">
      <c r="K149" t="s">
        <v>36</v>
      </c>
      <c r="L149" s="4">
        <v>0.22</v>
      </c>
      <c r="M149" s="4" t="s">
        <v>37</v>
      </c>
      <c r="N149" s="7"/>
      <c r="O149" t="s">
        <v>53</v>
      </c>
    </row>
    <row r="150" spans="1:15" x14ac:dyDescent="0.25">
      <c r="K150" t="s">
        <v>34</v>
      </c>
      <c r="L150" s="4">
        <v>3.4</v>
      </c>
      <c r="M150" s="4" t="s">
        <v>37</v>
      </c>
      <c r="N150" s="7"/>
      <c r="O150" t="s">
        <v>76</v>
      </c>
    </row>
    <row r="151" spans="1:15" x14ac:dyDescent="0.25">
      <c r="K151" t="s">
        <v>35</v>
      </c>
      <c r="L151" s="4">
        <v>5</v>
      </c>
      <c r="M151" s="4" t="s">
        <v>38</v>
      </c>
      <c r="N151" s="7"/>
      <c r="O151" t="s">
        <v>53</v>
      </c>
    </row>
    <row r="152" spans="1:15" x14ac:dyDescent="0.25">
      <c r="A152" s="5" t="s">
        <v>86</v>
      </c>
      <c r="L152" s="4"/>
      <c r="M152" s="4"/>
      <c r="N152" s="7"/>
    </row>
    <row r="153" spans="1:15" x14ac:dyDescent="0.25">
      <c r="J153" t="s">
        <v>78</v>
      </c>
      <c r="K153" t="s">
        <v>80</v>
      </c>
      <c r="L153" s="4">
        <v>0.61</v>
      </c>
      <c r="M153" s="4" t="s">
        <v>39</v>
      </c>
      <c r="N153" s="4" t="s">
        <v>40</v>
      </c>
      <c r="O153" t="s">
        <v>41</v>
      </c>
    </row>
    <row r="154" spans="1:15" x14ac:dyDescent="0.25">
      <c r="J154" t="s">
        <v>79</v>
      </c>
      <c r="K154" t="s">
        <v>80</v>
      </c>
      <c r="L154" s="4">
        <v>0.99</v>
      </c>
      <c r="M154" s="4" t="s">
        <v>39</v>
      </c>
      <c r="N154" s="7"/>
      <c r="O154" t="s">
        <v>41</v>
      </c>
    </row>
    <row r="155" spans="1:15" x14ac:dyDescent="0.25">
      <c r="A155" s="5" t="s">
        <v>88</v>
      </c>
    </row>
    <row r="156" spans="1:15" x14ac:dyDescent="0.25">
      <c r="C156" t="s">
        <v>113</v>
      </c>
      <c r="K156" t="s">
        <v>25</v>
      </c>
      <c r="L156">
        <v>63</v>
      </c>
      <c r="M156" t="s">
        <v>54</v>
      </c>
      <c r="O156" t="s">
        <v>33</v>
      </c>
    </row>
    <row r="157" spans="1:15" x14ac:dyDescent="0.25">
      <c r="C157" t="s">
        <v>114</v>
      </c>
      <c r="K157" t="s">
        <v>25</v>
      </c>
      <c r="L157">
        <v>59</v>
      </c>
      <c r="M157" t="s">
        <v>54</v>
      </c>
      <c r="O157" t="s">
        <v>33</v>
      </c>
    </row>
    <row r="158" spans="1:15" x14ac:dyDescent="0.25">
      <c r="C158" t="s">
        <v>115</v>
      </c>
      <c r="K158" t="s">
        <v>25</v>
      </c>
      <c r="L158" s="6">
        <f>L157</f>
        <v>59</v>
      </c>
      <c r="M158" t="s">
        <v>54</v>
      </c>
      <c r="N158" s="7" t="s">
        <v>27</v>
      </c>
    </row>
    <row r="159" spans="1:15" x14ac:dyDescent="0.25">
      <c r="C159" t="s">
        <v>102</v>
      </c>
      <c r="K159" t="s">
        <v>25</v>
      </c>
      <c r="L159" s="6">
        <f>L160</f>
        <v>65</v>
      </c>
      <c r="M159" t="s">
        <v>54</v>
      </c>
      <c r="N159" s="7"/>
    </row>
    <row r="160" spans="1:15" x14ac:dyDescent="0.25">
      <c r="B160" t="s">
        <v>122</v>
      </c>
      <c r="C160" t="s">
        <v>127</v>
      </c>
      <c r="K160" t="s">
        <v>25</v>
      </c>
      <c r="L160" s="4">
        <v>65</v>
      </c>
      <c r="M160" t="s">
        <v>54</v>
      </c>
      <c r="N160" s="7"/>
      <c r="O160" t="s">
        <v>44</v>
      </c>
    </row>
    <row r="161" spans="1:15" x14ac:dyDescent="0.25">
      <c r="B161" t="s">
        <v>126</v>
      </c>
      <c r="C161" t="s">
        <v>127</v>
      </c>
      <c r="K161" t="s">
        <v>25</v>
      </c>
      <c r="L161" s="4">
        <v>65</v>
      </c>
      <c r="M161" t="s">
        <v>54</v>
      </c>
      <c r="N161" s="7"/>
      <c r="O161" t="s">
        <v>44</v>
      </c>
    </row>
    <row r="162" spans="1:15" x14ac:dyDescent="0.25">
      <c r="B162" t="s">
        <v>125</v>
      </c>
      <c r="C162" t="s">
        <v>127</v>
      </c>
      <c r="K162" t="s">
        <v>25</v>
      </c>
      <c r="L162" s="4">
        <v>65</v>
      </c>
      <c r="M162" t="s">
        <v>54</v>
      </c>
      <c r="N162" s="7"/>
      <c r="O162" t="s">
        <v>44</v>
      </c>
    </row>
    <row r="163" spans="1:15" x14ac:dyDescent="0.25">
      <c r="B163" t="s">
        <v>128</v>
      </c>
      <c r="C163" t="s">
        <v>127</v>
      </c>
      <c r="K163" t="s">
        <v>25</v>
      </c>
      <c r="L163" s="6">
        <f>L157</f>
        <v>59</v>
      </c>
      <c r="M163" t="s">
        <v>54</v>
      </c>
      <c r="N163" s="7" t="s">
        <v>27</v>
      </c>
    </row>
    <row r="164" spans="1:15" x14ac:dyDescent="0.25">
      <c r="A164" s="4" t="s">
        <v>15</v>
      </c>
      <c r="B164" s="4"/>
      <c r="C164" t="s">
        <v>43</v>
      </c>
      <c r="K164" t="s">
        <v>25</v>
      </c>
      <c r="L164">
        <v>56</v>
      </c>
      <c r="M164" t="s">
        <v>54</v>
      </c>
      <c r="N164" t="s">
        <v>62</v>
      </c>
      <c r="O164" t="s">
        <v>33</v>
      </c>
    </row>
    <row r="165" spans="1:15" x14ac:dyDescent="0.25">
      <c r="C165" t="s">
        <v>31</v>
      </c>
      <c r="K165" t="s">
        <v>25</v>
      </c>
      <c r="L165" s="4">
        <v>65</v>
      </c>
      <c r="M165" t="s">
        <v>54</v>
      </c>
      <c r="N165" t="s">
        <v>61</v>
      </c>
      <c r="O165" t="s">
        <v>33</v>
      </c>
    </row>
    <row r="166" spans="1:15" x14ac:dyDescent="0.25">
      <c r="C166" t="s">
        <v>156</v>
      </c>
      <c r="K166" t="s">
        <v>25</v>
      </c>
      <c r="L166" s="4">
        <v>65</v>
      </c>
      <c r="M166" t="s">
        <v>54</v>
      </c>
      <c r="O166" t="s">
        <v>44</v>
      </c>
    </row>
    <row r="167" spans="1:15" x14ac:dyDescent="0.25">
      <c r="A167" s="5" t="s">
        <v>87</v>
      </c>
      <c r="L167" s="4"/>
      <c r="M167" s="4"/>
      <c r="N167" s="7"/>
    </row>
    <row r="168" spans="1:15" x14ac:dyDescent="0.25">
      <c r="I168" t="s">
        <v>84</v>
      </c>
      <c r="K168" t="s">
        <v>81</v>
      </c>
      <c r="L168" s="13">
        <f>1041/(50+3+1041)*100</f>
        <v>95.155393053016454</v>
      </c>
      <c r="M168" s="4" t="s">
        <v>6</v>
      </c>
      <c r="N168" s="4" t="s">
        <v>90</v>
      </c>
      <c r="O168" t="s">
        <v>116</v>
      </c>
    </row>
    <row r="169" spans="1:15" x14ac:dyDescent="0.25">
      <c r="I169" t="s">
        <v>79</v>
      </c>
      <c r="K169" t="s">
        <v>81</v>
      </c>
      <c r="L169" s="12">
        <f>50/(50+3+1041)*100</f>
        <v>4.5703839122486292</v>
      </c>
      <c r="M169" s="4" t="s">
        <v>6</v>
      </c>
      <c r="N169" s="4"/>
      <c r="O169" t="s">
        <v>116</v>
      </c>
    </row>
    <row r="170" spans="1:15" x14ac:dyDescent="0.25">
      <c r="I170" t="s">
        <v>78</v>
      </c>
      <c r="K170" t="s">
        <v>81</v>
      </c>
      <c r="L170" s="12">
        <f>3/(50+3+1041)*100</f>
        <v>0.27422303473491771</v>
      </c>
      <c r="M170" s="4" t="s">
        <v>6</v>
      </c>
      <c r="N170" s="4"/>
      <c r="O170" t="s">
        <v>116</v>
      </c>
    </row>
    <row r="171" spans="1:15" x14ac:dyDescent="0.25">
      <c r="A171" s="5" t="s">
        <v>94</v>
      </c>
      <c r="L171" s="4"/>
      <c r="M171" s="4"/>
      <c r="N171" s="4"/>
    </row>
    <row r="172" spans="1:15" x14ac:dyDescent="0.25">
      <c r="A172" s="14"/>
      <c r="B172" s="3"/>
      <c r="C172" s="3"/>
      <c r="D172" s="3"/>
      <c r="E172" s="3"/>
      <c r="F172" s="3"/>
      <c r="G172" s="3"/>
      <c r="H172" s="3"/>
      <c r="I172" s="3"/>
      <c r="J172" s="3"/>
      <c r="K172" s="3" t="s">
        <v>82</v>
      </c>
      <c r="L172" s="3">
        <v>0</v>
      </c>
      <c r="M172" s="3" t="s">
        <v>6</v>
      </c>
      <c r="N172" s="3" t="s">
        <v>93</v>
      </c>
    </row>
    <row r="173" spans="1:15" x14ac:dyDescent="0.25">
      <c r="A173" s="14"/>
      <c r="B173" s="3"/>
      <c r="C173" s="3"/>
      <c r="D173" s="3"/>
      <c r="E173" s="3"/>
      <c r="F173" s="3"/>
      <c r="G173" s="3"/>
      <c r="H173" s="3"/>
      <c r="I173" s="3"/>
      <c r="J173" s="3"/>
      <c r="K173" s="3" t="s">
        <v>83</v>
      </c>
      <c r="L173" s="3">
        <v>0</v>
      </c>
      <c r="M173" s="3" t="s">
        <v>97</v>
      </c>
      <c r="N173" s="3" t="s">
        <v>93</v>
      </c>
    </row>
    <row r="174" spans="1:15" x14ac:dyDescent="0.25">
      <c r="I174" t="s">
        <v>84</v>
      </c>
      <c r="K174" t="s">
        <v>82</v>
      </c>
      <c r="L174" s="4">
        <v>0.5</v>
      </c>
      <c r="M174" s="4" t="s">
        <v>100</v>
      </c>
      <c r="N174" s="7"/>
      <c r="O174" t="s">
        <v>53</v>
      </c>
    </row>
    <row r="175" spans="1:15" x14ac:dyDescent="0.25">
      <c r="I175" t="s">
        <v>84</v>
      </c>
      <c r="J175" t="s">
        <v>78</v>
      </c>
      <c r="K175" t="s">
        <v>83</v>
      </c>
      <c r="L175" s="10">
        <f>0.9 * (1/3.6) / 0.6 / 0.718</f>
        <v>0.5803156917363046</v>
      </c>
      <c r="M175" s="4" t="s">
        <v>98</v>
      </c>
      <c r="N175" s="4" t="s">
        <v>99</v>
      </c>
      <c r="O175" t="s">
        <v>53</v>
      </c>
    </row>
    <row r="176" spans="1:15" x14ac:dyDescent="0.25">
      <c r="A176" s="5" t="s">
        <v>89</v>
      </c>
      <c r="L176" s="4"/>
      <c r="M176" s="4"/>
      <c r="N176" s="7"/>
    </row>
    <row r="177" spans="1:15" x14ac:dyDescent="0.25">
      <c r="K177" t="s">
        <v>49</v>
      </c>
      <c r="L177" s="49">
        <f>238/0.74/1000</f>
        <v>0.32162162162162161</v>
      </c>
      <c r="M177" s="4" t="s">
        <v>29</v>
      </c>
      <c r="N177" s="7" t="s">
        <v>214</v>
      </c>
      <c r="O177" t="s">
        <v>53</v>
      </c>
    </row>
    <row r="178" spans="1:15" x14ac:dyDescent="0.25">
      <c r="K178" t="s">
        <v>59</v>
      </c>
      <c r="L178" s="12">
        <v>1.5</v>
      </c>
      <c r="M178" s="4" t="s">
        <v>60</v>
      </c>
      <c r="N178" s="7"/>
      <c r="O178" t="s">
        <v>53</v>
      </c>
    </row>
    <row r="179" spans="1:15" x14ac:dyDescent="0.25">
      <c r="K179" t="s">
        <v>50</v>
      </c>
      <c r="L179" s="13">
        <v>60</v>
      </c>
      <c r="M179" s="4" t="s">
        <v>51</v>
      </c>
      <c r="N179" s="7"/>
      <c r="O179" t="s">
        <v>53</v>
      </c>
    </row>
    <row r="181" spans="1:15" x14ac:dyDescent="0.25">
      <c r="K181" s="3" t="s">
        <v>66</v>
      </c>
      <c r="L181" s="3">
        <v>0</v>
      </c>
      <c r="M181" s="3"/>
      <c r="N181" s="3" t="s">
        <v>93</v>
      </c>
    </row>
    <row r="182" spans="1:15" x14ac:dyDescent="0.25">
      <c r="F182" t="s">
        <v>65</v>
      </c>
      <c r="G182" t="s">
        <v>67</v>
      </c>
      <c r="K182" t="s">
        <v>66</v>
      </c>
      <c r="L182">
        <v>2.75</v>
      </c>
      <c r="M182" t="s">
        <v>51</v>
      </c>
      <c r="N182" t="s">
        <v>120</v>
      </c>
      <c r="O182" t="s">
        <v>119</v>
      </c>
    </row>
    <row r="183" spans="1:15" x14ac:dyDescent="0.25">
      <c r="F183" t="s">
        <v>65</v>
      </c>
      <c r="G183" t="s">
        <v>68</v>
      </c>
      <c r="K183" t="s">
        <v>66</v>
      </c>
      <c r="L183">
        <v>0</v>
      </c>
      <c r="M183" t="s">
        <v>71</v>
      </c>
    </row>
    <row r="184" spans="1:15" x14ac:dyDescent="0.25">
      <c r="F184" t="s">
        <v>65</v>
      </c>
      <c r="G184" t="s">
        <v>69</v>
      </c>
      <c r="K184" t="s">
        <v>66</v>
      </c>
      <c r="L184">
        <v>0</v>
      </c>
      <c r="M184" t="s">
        <v>51</v>
      </c>
    </row>
    <row r="185" spans="1:15" x14ac:dyDescent="0.25">
      <c r="F185" t="s">
        <v>65</v>
      </c>
      <c r="G185" t="s">
        <v>70</v>
      </c>
      <c r="K185" t="s">
        <v>66</v>
      </c>
      <c r="L185">
        <v>0</v>
      </c>
      <c r="M185" t="s">
        <v>71</v>
      </c>
      <c r="O185" t="s">
        <v>118</v>
      </c>
    </row>
    <row r="187" spans="1:15" x14ac:dyDescent="0.25">
      <c r="F187" t="s">
        <v>72</v>
      </c>
      <c r="G187" t="s">
        <v>72</v>
      </c>
      <c r="K187" t="s">
        <v>66</v>
      </c>
      <c r="L187">
        <v>0</v>
      </c>
      <c r="M187" t="s">
        <v>74</v>
      </c>
    </row>
    <row r="188" spans="1:15" x14ac:dyDescent="0.25">
      <c r="F188" t="s">
        <v>73</v>
      </c>
      <c r="G188" t="s">
        <v>73</v>
      </c>
      <c r="K188" t="s">
        <v>66</v>
      </c>
      <c r="L188">
        <v>0</v>
      </c>
      <c r="M188" t="s">
        <v>75</v>
      </c>
    </row>
    <row r="190" spans="1:15" x14ac:dyDescent="0.25">
      <c r="A190" s="28" t="s">
        <v>213</v>
      </c>
    </row>
    <row r="191" spans="1:15" x14ac:dyDescent="0.25">
      <c r="K191" t="s">
        <v>217</v>
      </c>
      <c r="L191">
        <v>100</v>
      </c>
      <c r="M191" t="s">
        <v>6</v>
      </c>
      <c r="O191" t="s">
        <v>215</v>
      </c>
    </row>
    <row r="192" spans="1:15" x14ac:dyDescent="0.25">
      <c r="C192" t="s">
        <v>156</v>
      </c>
      <c r="K192" t="s">
        <v>217</v>
      </c>
      <c r="L192">
        <v>47</v>
      </c>
      <c r="M192" t="s">
        <v>6</v>
      </c>
      <c r="O192" t="s">
        <v>215</v>
      </c>
    </row>
    <row r="194" spans="1:15" x14ac:dyDescent="0.25">
      <c r="A194" s="17" t="s">
        <v>130</v>
      </c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6" spans="1:15" x14ac:dyDescent="0.25">
      <c r="K196" t="s">
        <v>134</v>
      </c>
      <c r="L196" s="19">
        <f>2.5/0.33/0.85</f>
        <v>8.9126559714795004</v>
      </c>
      <c r="M196" t="s">
        <v>132</v>
      </c>
      <c r="N196" t="s">
        <v>131</v>
      </c>
    </row>
    <row r="198" spans="1:15" x14ac:dyDescent="0.25">
      <c r="K198" s="3" t="s">
        <v>133</v>
      </c>
      <c r="L198" s="3">
        <v>0</v>
      </c>
      <c r="M198" s="3" t="s">
        <v>97</v>
      </c>
      <c r="N198" s="3" t="s">
        <v>93</v>
      </c>
    </row>
    <row r="199" spans="1:15" x14ac:dyDescent="0.25">
      <c r="I199" t="s">
        <v>78</v>
      </c>
      <c r="K199" t="s">
        <v>133</v>
      </c>
      <c r="L199" s="8">
        <f>0.94*0.184</f>
        <v>0.17295999999999997</v>
      </c>
      <c r="M199" t="s">
        <v>97</v>
      </c>
      <c r="O199" t="s">
        <v>141</v>
      </c>
    </row>
    <row r="200" spans="1:15" x14ac:dyDescent="0.25">
      <c r="I200" t="s">
        <v>79</v>
      </c>
      <c r="K200" t="s">
        <v>133</v>
      </c>
      <c r="L200" s="8">
        <f>0.94*0.816</f>
        <v>0.76703999999999994</v>
      </c>
      <c r="M200" t="s">
        <v>97</v>
      </c>
      <c r="O200" t="s">
        <v>141</v>
      </c>
    </row>
    <row r="202" spans="1:15" x14ac:dyDescent="0.25">
      <c r="K202" s="3" t="s">
        <v>135</v>
      </c>
      <c r="L202" s="3">
        <v>0</v>
      </c>
      <c r="M202" s="3" t="s">
        <v>136</v>
      </c>
      <c r="N202" s="3" t="s">
        <v>93</v>
      </c>
    </row>
    <row r="203" spans="1:15" x14ac:dyDescent="0.25">
      <c r="F203" t="s">
        <v>142</v>
      </c>
      <c r="G203" t="s">
        <v>143</v>
      </c>
      <c r="K203" t="s">
        <v>135</v>
      </c>
      <c r="L203" s="20">
        <f>(0.00234-0.000502)/1000/(1/3.6)</f>
        <v>6.6168000000000008E-6</v>
      </c>
      <c r="M203" t="s">
        <v>136</v>
      </c>
      <c r="O203" t="s">
        <v>140</v>
      </c>
    </row>
    <row r="204" spans="1:15" x14ac:dyDescent="0.25">
      <c r="F204" t="s">
        <v>65</v>
      </c>
      <c r="G204" t="s">
        <v>137</v>
      </c>
      <c r="K204" t="s">
        <v>135</v>
      </c>
      <c r="L204" s="20">
        <f>(0.000364 -0.00000236)/1000/(1/3.6)</f>
        <v>1.3019039999999999E-6</v>
      </c>
      <c r="M204" t="s">
        <v>136</v>
      </c>
      <c r="O204" t="s">
        <v>140</v>
      </c>
    </row>
    <row r="205" spans="1:15" x14ac:dyDescent="0.25">
      <c r="F205" t="s">
        <v>65</v>
      </c>
      <c r="G205" t="s">
        <v>138</v>
      </c>
      <c r="K205" t="s">
        <v>135</v>
      </c>
      <c r="L205" s="20">
        <f>(0.0376-0.00437)/1000/(1/3.6)</f>
        <v>1.1962800000000001E-4</v>
      </c>
      <c r="M205" t="s">
        <v>136</v>
      </c>
      <c r="O205" t="s">
        <v>140</v>
      </c>
    </row>
    <row r="206" spans="1:15" x14ac:dyDescent="0.25">
      <c r="F206" t="s">
        <v>65</v>
      </c>
      <c r="G206" t="s">
        <v>139</v>
      </c>
      <c r="K206" t="s">
        <v>135</v>
      </c>
      <c r="L206" s="20">
        <f>(0.00171-0.00000236)/1000/(1/3.6)</f>
        <v>6.1475039999999993E-6</v>
      </c>
      <c r="M206" t="s">
        <v>136</v>
      </c>
      <c r="O206" t="s">
        <v>140</v>
      </c>
    </row>
    <row r="208" spans="1:15" x14ac:dyDescent="0.25">
      <c r="A208" s="21" t="s">
        <v>144</v>
      </c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</row>
    <row r="210" spans="6:15" x14ac:dyDescent="0.25">
      <c r="K210" s="3" t="s">
        <v>146</v>
      </c>
      <c r="L210" s="3">
        <v>0</v>
      </c>
      <c r="M210" s="3" t="s">
        <v>145</v>
      </c>
    </row>
    <row r="211" spans="6:15" x14ac:dyDescent="0.25">
      <c r="F211" t="s">
        <v>142</v>
      </c>
      <c r="G211" t="s">
        <v>143</v>
      </c>
      <c r="K211" t="s">
        <v>146</v>
      </c>
      <c r="L211" s="16">
        <f>(0.00144+0.0129)/0.43</f>
        <v>3.3348837209302325E-2</v>
      </c>
      <c r="M211" t="s">
        <v>145</v>
      </c>
      <c r="N211" t="s">
        <v>150</v>
      </c>
      <c r="O211" t="s">
        <v>149</v>
      </c>
    </row>
    <row r="212" spans="6:15" x14ac:dyDescent="0.25">
      <c r="F212" t="s">
        <v>65</v>
      </c>
      <c r="G212" t="s">
        <v>137</v>
      </c>
      <c r="K212" t="s">
        <v>146</v>
      </c>
      <c r="L212" s="25">
        <f>(0)/0.43</f>
        <v>0</v>
      </c>
      <c r="M212" t="s">
        <v>145</v>
      </c>
      <c r="N212" t="s">
        <v>151</v>
      </c>
    </row>
    <row r="213" spans="6:15" x14ac:dyDescent="0.25">
      <c r="F213" t="s">
        <v>65</v>
      </c>
      <c r="G213" t="s">
        <v>138</v>
      </c>
      <c r="K213" t="s">
        <v>146</v>
      </c>
      <c r="L213" s="23">
        <f>(0.00000208)/0.43</f>
        <v>4.8372093023255818E-6</v>
      </c>
      <c r="M213" t="s">
        <v>145</v>
      </c>
      <c r="N213" t="s">
        <v>152</v>
      </c>
    </row>
    <row r="214" spans="6:15" x14ac:dyDescent="0.25">
      <c r="F214" t="s">
        <v>65</v>
      </c>
      <c r="G214" t="s">
        <v>139</v>
      </c>
      <c r="K214" t="s">
        <v>146</v>
      </c>
      <c r="L214" s="25">
        <f t="shared" ref="L214" si="4">(0)/0.43</f>
        <v>0</v>
      </c>
      <c r="M214" t="s">
        <v>145</v>
      </c>
      <c r="N214" t="s">
        <v>153</v>
      </c>
    </row>
    <row r="215" spans="6:15" x14ac:dyDescent="0.25">
      <c r="F215" t="s">
        <v>65</v>
      </c>
      <c r="G215" t="s">
        <v>154</v>
      </c>
      <c r="K215" t="s">
        <v>146</v>
      </c>
      <c r="L215" s="8">
        <f>(0.00152)/0.43</f>
        <v>3.534883720930233E-3</v>
      </c>
      <c r="M215" t="s">
        <v>145</v>
      </c>
    </row>
    <row r="216" spans="6:15" x14ac:dyDescent="0.25">
      <c r="F216" t="s">
        <v>65</v>
      </c>
      <c r="G216" t="s">
        <v>147</v>
      </c>
      <c r="K216" t="s">
        <v>146</v>
      </c>
      <c r="L216" s="24">
        <f>(0.00016)/0.43</f>
        <v>3.7209302325581399E-4</v>
      </c>
      <c r="M216" t="s">
        <v>145</v>
      </c>
    </row>
    <row r="217" spans="6:15" x14ac:dyDescent="0.25">
      <c r="F217" t="s">
        <v>72</v>
      </c>
      <c r="G217" t="s">
        <v>148</v>
      </c>
      <c r="K217" t="s">
        <v>146</v>
      </c>
      <c r="L217" s="8">
        <f>(0.000218)/0.43</f>
        <v>5.0697674418604657E-4</v>
      </c>
      <c r="M217" t="s">
        <v>145</v>
      </c>
    </row>
    <row r="218" spans="6:15" x14ac:dyDescent="0.25">
      <c r="F218" t="s">
        <v>73</v>
      </c>
      <c r="G218" t="s">
        <v>73</v>
      </c>
      <c r="K218" t="s">
        <v>146</v>
      </c>
      <c r="L218" s="16">
        <f>(0.00343)/0.43</f>
        <v>7.9767441860465107E-3</v>
      </c>
      <c r="M218" t="s">
        <v>145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A11"/>
  <sheetViews>
    <sheetView workbookViewId="0">
      <selection activeCell="A7" sqref="A7"/>
    </sheetView>
  </sheetViews>
  <sheetFormatPr defaultRowHeight="15" x14ac:dyDescent="0.25"/>
  <sheetData>
    <row r="2" spans="1:1" x14ac:dyDescent="0.25">
      <c r="A2" t="s">
        <v>28</v>
      </c>
    </row>
    <row r="3" spans="1:1" x14ac:dyDescent="0.25">
      <c r="A3" t="s">
        <v>117</v>
      </c>
    </row>
    <row r="4" spans="1:1" x14ac:dyDescent="0.25">
      <c r="A4" t="s">
        <v>42</v>
      </c>
    </row>
    <row r="5" spans="1:1" x14ac:dyDescent="0.25">
      <c r="A5" t="s">
        <v>45</v>
      </c>
    </row>
    <row r="6" spans="1:1" x14ac:dyDescent="0.25">
      <c r="A6" t="s">
        <v>52</v>
      </c>
    </row>
    <row r="7" spans="1:1" x14ac:dyDescent="0.25">
      <c r="A7" t="s">
        <v>175</v>
      </c>
    </row>
    <row r="8" spans="1:1" x14ac:dyDescent="0.25">
      <c r="A8" t="s">
        <v>176</v>
      </c>
    </row>
    <row r="9" spans="1:1" x14ac:dyDescent="0.25">
      <c r="A9" t="s">
        <v>177</v>
      </c>
    </row>
    <row r="10" spans="1:1" x14ac:dyDescent="0.25">
      <c r="A10" t="s">
        <v>219</v>
      </c>
    </row>
    <row r="11" spans="1:1" x14ac:dyDescent="0.25">
      <c r="A11" t="s">
        <v>218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 Karlsson</cp:lastModifiedBy>
  <dcterms:created xsi:type="dcterms:W3CDTF">2024-04-29T08:57:31Z</dcterms:created>
  <dcterms:modified xsi:type="dcterms:W3CDTF">2026-04-17T13:37:03Z</dcterms:modified>
</cp:coreProperties>
</file>