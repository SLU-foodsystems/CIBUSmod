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xr:revisionPtr revIDLastSave="0" documentId="13_ncr:1_{07ED0364-646A-4EB1-A155-16599CB20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ault" sheetId="1" r:id="rId1"/>
    <sheet name="check" sheetId="4" r:id="rId2"/>
    <sheet name="literature data" sheetId="3" r:id="rId3"/>
    <sheet name="referenc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Y9" i="4" s="1"/>
  <c r="U9" i="4"/>
  <c r="W9" i="4"/>
  <c r="AC9" i="4" l="1"/>
  <c r="AA9" i="4"/>
  <c r="AE9" i="4" s="1"/>
  <c r="AB9" i="4"/>
  <c r="AF9" i="4" s="1"/>
  <c r="Z9" i="4"/>
  <c r="AD9" i="4" s="1"/>
  <c r="AG9" i="4" l="1"/>
  <c r="AG11" i="4"/>
  <c r="AG12" i="4"/>
  <c r="V5" i="4"/>
  <c r="AC6" i="4"/>
  <c r="AC7" i="4"/>
  <c r="AD7" i="4"/>
  <c r="AC8" i="4"/>
  <c r="Y5" i="4"/>
  <c r="AB5" i="4" s="1"/>
  <c r="AF5" i="4" s="1"/>
  <c r="Y6" i="4"/>
  <c r="Z6" i="4" s="1"/>
  <c r="AD6" i="4" s="1"/>
  <c r="Y8" i="4"/>
  <c r="Z8" i="4" s="1"/>
  <c r="AD8" i="4" s="1"/>
  <c r="Y7" i="4"/>
  <c r="Z7" i="4" s="1"/>
  <c r="V6" i="4"/>
  <c r="M8" i="4"/>
  <c r="L8" i="4"/>
  <c r="K8" i="4"/>
  <c r="M7" i="4"/>
  <c r="L7" i="4"/>
  <c r="K7" i="4"/>
  <c r="M6" i="4"/>
  <c r="L6" i="4"/>
  <c r="K6" i="4"/>
  <c r="M5" i="4"/>
  <c r="L5" i="4"/>
  <c r="K5" i="4"/>
  <c r="J20" i="1"/>
  <c r="J23" i="1" s="1"/>
  <c r="J22" i="1"/>
  <c r="J21" i="1"/>
  <c r="Y91" i="3"/>
  <c r="J10" i="1" s="1"/>
  <c r="Y92" i="3"/>
  <c r="J11" i="1" s="1"/>
  <c r="Y93" i="3"/>
  <c r="J12" i="1" s="1"/>
  <c r="Y94" i="3"/>
  <c r="J13" i="1" s="1"/>
  <c r="Y95" i="3"/>
  <c r="J14" i="1" s="1"/>
  <c r="Y96" i="3"/>
  <c r="J15" i="1" s="1"/>
  <c r="Y97" i="3"/>
  <c r="J16" i="1" s="1"/>
  <c r="Y90" i="3"/>
  <c r="J9" i="1" s="1"/>
  <c r="S99" i="3"/>
  <c r="C99" i="3"/>
  <c r="D99" i="3"/>
  <c r="E99" i="3"/>
  <c r="F99" i="3"/>
  <c r="G99" i="3"/>
  <c r="H99" i="3"/>
  <c r="I99" i="3"/>
  <c r="J99" i="3"/>
  <c r="K99" i="3"/>
  <c r="L99" i="3"/>
  <c r="N99" i="3"/>
  <c r="O99" i="3"/>
  <c r="P99" i="3"/>
  <c r="Q99" i="3"/>
  <c r="R99" i="3"/>
  <c r="Z5" i="4" l="1"/>
  <c r="AC5" i="4"/>
  <c r="AD5" i="4"/>
  <c r="AG5" i="4" s="1"/>
  <c r="N6" i="4"/>
  <c r="AA5" i="4"/>
  <c r="AE5" i="4" s="1"/>
  <c r="AB8" i="4"/>
  <c r="AF8" i="4" s="1"/>
  <c r="AA8" i="4"/>
  <c r="AE8" i="4" s="1"/>
  <c r="AG8" i="4" s="1"/>
  <c r="AH8" i="4" s="1"/>
  <c r="AB7" i="4"/>
  <c r="AF7" i="4" s="1"/>
  <c r="AA7" i="4"/>
  <c r="AE7" i="4" s="1"/>
  <c r="AG7" i="4" s="1"/>
  <c r="AH7" i="4" s="1"/>
  <c r="AB6" i="4"/>
  <c r="AF6" i="4" s="1"/>
  <c r="AA6" i="4"/>
  <c r="AE6" i="4" s="1"/>
  <c r="AG6" i="4" s="1"/>
  <c r="AH6" i="4" s="1"/>
  <c r="N5" i="4"/>
  <c r="O6" i="4" s="1"/>
  <c r="N7" i="4"/>
  <c r="N8" i="4"/>
  <c r="O8" i="4" l="1"/>
  <c r="O7" i="4"/>
</calcChain>
</file>

<file path=xl/sharedStrings.xml><?xml version="1.0" encoding="utf-8"?>
<sst xmlns="http://schemas.openxmlformats.org/spreadsheetml/2006/main" count="230" uniqueCount="129">
  <si>
    <t>f_region</t>
  </si>
  <si>
    <t>f_prod_system</t>
  </si>
  <si>
    <t>f_MMS</t>
  </si>
  <si>
    <t>parameter</t>
  </si>
  <si>
    <t>value</t>
  </si>
  <si>
    <t>unit</t>
  </si>
  <si>
    <t>Description</t>
  </si>
  <si>
    <t>Source</t>
  </si>
  <si>
    <t>-</t>
  </si>
  <si>
    <t>Ley</t>
  </si>
  <si>
    <t>h</t>
  </si>
  <si>
    <t>ky</t>
  </si>
  <si>
    <t>ko</t>
  </si>
  <si>
    <r>
      <t>year</t>
    </r>
    <r>
      <rPr>
        <vertAlign val="superscript"/>
        <sz val="11"/>
        <color theme="1"/>
        <rFont val="Calibri"/>
        <family val="2"/>
        <scheme val="minor"/>
      </rPr>
      <t>-1</t>
    </r>
  </si>
  <si>
    <t>f_residue</t>
  </si>
  <si>
    <t>f_species</t>
  </si>
  <si>
    <t>above ground</t>
  </si>
  <si>
    <t>below ground</t>
  </si>
  <si>
    <t>re_crop</t>
  </si>
  <si>
    <t>f_po8:region</t>
  </si>
  <si>
    <t>re_clim</t>
  </si>
  <si>
    <t>1 Götalands södra slättbygder</t>
  </si>
  <si>
    <t>2 Götalands mellanbygder</t>
  </si>
  <si>
    <t>3 Götalands norra slättbygder</t>
  </si>
  <si>
    <t>4 Svealands slättbygder</t>
  </si>
  <si>
    <t>5 Götalands skogsbygder</t>
  </si>
  <si>
    <t>6 Mellersta Sveriges skogsbygder</t>
  </si>
  <si>
    <t>7 Nedre Norrland</t>
  </si>
  <si>
    <t>8 Övre Norrland</t>
  </si>
  <si>
    <t>Title</t>
  </si>
  <si>
    <t>doi</t>
  </si>
  <si>
    <t>Author (Year)</t>
  </si>
  <si>
    <t>ICBM regional model for estimations of dynamics of agricultural soil carbon pools</t>
  </si>
  <si>
    <t>https://doi.org/10.1023/B:FRES.0000048471.59164.ff</t>
  </si>
  <si>
    <t>Andrén et al. (2004)</t>
  </si>
  <si>
    <t>Soil C balances in Swedish agricultural soils 1990–2004, with preliminary projections</t>
  </si>
  <si>
    <t>Andrén et al. (2008)</t>
  </si>
  <si>
    <t>https://doi.org/10.1007/s10705-008-9177-z</t>
  </si>
  <si>
    <t>Kätterer et al. (2011)</t>
  </si>
  <si>
    <t>Roots contribute more to refractory soil organic matter than above-ground crop residues, as revealed by a long-term field experiment</t>
  </si>
  <si>
    <t>https://doi.org/10.1016/j.agee.2011.02.029</t>
  </si>
  <si>
    <t>rhizodeposition</t>
  </si>
  <si>
    <t>Andrén et al. 2008</t>
  </si>
  <si>
    <t>All texture classes</t>
  </si>
  <si>
    <t>High C soils excluded</t>
  </si>
  <si>
    <t>Area</t>
  </si>
  <si>
    <t>Region</t>
  </si>
  <si>
    <t>ic</t>
  </si>
  <si>
    <t>ic+im</t>
  </si>
  <si>
    <t>re</t>
  </si>
  <si>
    <t>Y</t>
  </si>
  <si>
    <t>O</t>
  </si>
  <si>
    <t>TotC</t>
  </si>
  <si>
    <t>Css</t>
  </si>
  <si>
    <t>Cm</t>
  </si>
  <si>
    <t>Cmu</t>
  </si>
  <si>
    <t>C conc</t>
  </si>
  <si>
    <t>Bulk dens</t>
  </si>
  <si>
    <t>High C</t>
  </si>
  <si>
    <t>ton C/ha</t>
  </si>
  <si>
    <t>%</t>
  </si>
  <si>
    <t>kg/dm3</t>
  </si>
  <si>
    <t>ha</t>
  </si>
  <si>
    <t>Riket (beräknat)</t>
  </si>
  <si>
    <t>Table 3</t>
  </si>
  <si>
    <t>Total åkermark</t>
  </si>
  <si>
    <t>Slåtter- och betesvall som utnyttjas</t>
  </si>
  <si>
    <t>re_reg</t>
  </si>
  <si>
    <t>Jordbruksverket 2001</t>
  </si>
  <si>
    <t>Menichetti et al. (2024)</t>
  </si>
  <si>
    <t>Bayesian calibration of the ICBM/3 soil organic carbon model constrained by data from long-term experiments and uncertainties of C inputs</t>
  </si>
  <si>
    <t>https://doi.org/10.1080/17583004.2024.2304749</t>
  </si>
  <si>
    <t>Thomas Kätterer, pers. com.</t>
  </si>
  <si>
    <t>Deduced from re and re_crop assumption</t>
  </si>
  <si>
    <t>Fraction of below ground biomass C</t>
  </si>
  <si>
    <t>Source:</t>
  </si>
  <si>
    <t>CIBUSmod nat. avg.</t>
  </si>
  <si>
    <t>NIR</t>
  </si>
  <si>
    <t>CIBUSmod calc.</t>
  </si>
  <si>
    <t>Hervest</t>
  </si>
  <si>
    <t>ag_resid</t>
  </si>
  <si>
    <t>bg_resid</t>
  </si>
  <si>
    <t>frac_removed</t>
  </si>
  <si>
    <t>frac_renew</t>
  </si>
  <si>
    <t>C_frac</t>
  </si>
  <si>
    <t>rhizodep</t>
  </si>
  <si>
    <t>ag_C</t>
  </si>
  <si>
    <t>bg_C</t>
  </si>
  <si>
    <t>rhizodep_C</t>
  </si>
  <si>
    <t>total_C</t>
  </si>
  <si>
    <t>kg DM/ha</t>
  </si>
  <si>
    <t>kg C/ha</t>
  </si>
  <si>
    <t>Wheat, winter</t>
  </si>
  <si>
    <t>Barley, spring</t>
  </si>
  <si>
    <t>Ley for fodder</t>
  </si>
  <si>
    <t>Ley for grazing</t>
  </si>
  <si>
    <t>of bg biomass</t>
  </si>
  <si>
    <t>NIR-factors + rhizodeposition</t>
  </si>
  <si>
    <t>anaerobic digestion</t>
  </si>
  <si>
    <t>https://doi.org/10.1016/j.agee.2006.05.013</t>
  </si>
  <si>
    <t>An approach for estimating net primary productivity and annual carbon inputs to soil for common agricultural crops in Canada</t>
  </si>
  <si>
    <t>Bolinder et al. (2007)</t>
  </si>
  <si>
    <t>R_P</t>
  </si>
  <si>
    <t>R_S</t>
  </si>
  <si>
    <t>R_R</t>
  </si>
  <si>
    <t>R_E</t>
  </si>
  <si>
    <t>S_P</t>
  </si>
  <si>
    <t>S_S</t>
  </si>
  <si>
    <t>S_R</t>
  </si>
  <si>
    <t>S_E</t>
  </si>
  <si>
    <t>C_P</t>
  </si>
  <si>
    <t>C_S</t>
  </si>
  <si>
    <t>C_R</t>
  </si>
  <si>
    <t>C_E</t>
  </si>
  <si>
    <t>Ci_P</t>
  </si>
  <si>
    <t>Ci_R</t>
  </si>
  <si>
    <t>Ci_E</t>
  </si>
  <si>
    <t>Ci_S</t>
  </si>
  <si>
    <t>Ci</t>
  </si>
  <si>
    <t>crop residues</t>
  </si>
  <si>
    <t>f_input</t>
  </si>
  <si>
    <t>cover crop residues</t>
  </si>
  <si>
    <t>manure</t>
  </si>
  <si>
    <t>organic fertiliser</t>
  </si>
  <si>
    <t>f_crop_group:crop</t>
  </si>
  <si>
    <t>Crop residue calculation</t>
  </si>
  <si>
    <t>SoilC-crop_resid.xlsx</t>
  </si>
  <si>
    <t>yield_to_biomass</t>
  </si>
  <si>
    <t>Same as manure?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</si>
</sst>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"/>
    <numFmt numFmtId="167" formatCode="0.0000000"/>
    <numFmt numFmtId="168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 applyBorder="0"/>
  </cellStyleXfs>
  <cellXfs count="42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3" fillId="0" borderId="0" xfId="1"/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horizontal="right"/>
    </xf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5" xfId="0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0" xfId="2"/>
    <xf numFmtId="0" fontId="8" fillId="0" borderId="0" xfId="2" applyFont="1"/>
    <xf numFmtId="0" fontId="9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/>
    </xf>
    <xf numFmtId="2" fontId="10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0" fillId="0" borderId="0" xfId="0" applyAlignment="1">
      <alignment horizontal="left"/>
    </xf>
    <xf numFmtId="168" fontId="0" fillId="0" borderId="0" xfId="0" applyNumberFormat="1"/>
  </cellXfs>
  <cellStyles count="3">
    <cellStyle name="Hyperlink" xfId="1" builtinId="8"/>
    <cellStyle name="Normal" xfId="0" builtinId="0"/>
    <cellStyle name="Normal 2" xfId="2" xr:uid="{A318E147-3391-4E59-AE77-12B29A64C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11907</xdr:colOff>
      <xdr:row>10</xdr:row>
      <xdr:rowOff>0</xdr:rowOff>
    </xdr:from>
    <xdr:to>
      <xdr:col>22</xdr:col>
      <xdr:colOff>493495</xdr:colOff>
      <xdr:row>12</xdr:row>
      <xdr:rowOff>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C65BC7-9C43-4A52-A2A8-A7BE2F2DE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0657" y="2095500"/>
          <a:ext cx="4124901" cy="381053"/>
        </a:xfrm>
        <a:prstGeom prst="rect">
          <a:avLst/>
        </a:prstGeom>
      </xdr:spPr>
    </xdr:pic>
    <xdr:clientData/>
  </xdr:twoCellAnchor>
  <xdr:twoCellAnchor editAs="oneCell">
    <xdr:from>
      <xdr:col>19</xdr:col>
      <xdr:colOff>178595</xdr:colOff>
      <xdr:row>12</xdr:row>
      <xdr:rowOff>130969</xdr:rowOff>
    </xdr:from>
    <xdr:to>
      <xdr:col>29</xdr:col>
      <xdr:colOff>450942</xdr:colOff>
      <xdr:row>19</xdr:row>
      <xdr:rowOff>102576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E9544F-A38B-4FF7-82F7-0A5935D3D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01" y="2607469"/>
          <a:ext cx="6344535" cy="130510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154782</xdr:rowOff>
    </xdr:from>
    <xdr:to>
      <xdr:col>19</xdr:col>
      <xdr:colOff>169347</xdr:colOff>
      <xdr:row>19</xdr:row>
      <xdr:rowOff>12073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5DAB87-E334-421A-A6E4-053E8D407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750" y="2631282"/>
          <a:ext cx="1991003" cy="1190791"/>
        </a:xfrm>
        <a:prstGeom prst="rect">
          <a:avLst/>
        </a:prstGeom>
      </xdr:spPr>
    </xdr:pic>
    <xdr:clientData/>
  </xdr:twoCellAnchor>
  <xdr:twoCellAnchor editAs="oneCell">
    <xdr:from>
      <xdr:col>16</xdr:col>
      <xdr:colOff>11907</xdr:colOff>
      <xdr:row>20</xdr:row>
      <xdr:rowOff>0</xdr:rowOff>
    </xdr:from>
    <xdr:to>
      <xdr:col>26</xdr:col>
      <xdr:colOff>484307</xdr:colOff>
      <xdr:row>52</xdr:row>
      <xdr:rowOff>48482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663106-B83C-46EB-B1AA-82EF38EC2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70657" y="4000500"/>
          <a:ext cx="6544588" cy="6144482"/>
        </a:xfrm>
        <a:prstGeom prst="rect">
          <a:avLst/>
        </a:prstGeom>
      </xdr:spPr>
    </xdr:pic>
    <xdr:clientData/>
  </xdr:twoCellAnchor>
  <xdr:twoCellAnchor editAs="oneCell">
    <xdr:from>
      <xdr:col>27</xdr:col>
      <xdr:colOff>166689</xdr:colOff>
      <xdr:row>20</xdr:row>
      <xdr:rowOff>0</xdr:rowOff>
    </xdr:from>
    <xdr:to>
      <xdr:col>38</xdr:col>
      <xdr:colOff>50923</xdr:colOff>
      <xdr:row>40</xdr:row>
      <xdr:rowOff>57690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6C270EF-F4E9-4F2A-AF5C-68D6EE820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04845" y="4000500"/>
          <a:ext cx="6563641" cy="3867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28576</xdr:rowOff>
    </xdr:from>
    <xdr:to>
      <xdr:col>13</xdr:col>
      <xdr:colOff>542925</xdr:colOff>
      <xdr:row>15</xdr:row>
      <xdr:rowOff>10140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0EA1E-BB5C-F02F-8579-383426539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09576"/>
          <a:ext cx="7858125" cy="24580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6</xdr:col>
      <xdr:colOff>476250</xdr:colOff>
      <xdr:row>20</xdr:row>
      <xdr:rowOff>28418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F7DE90-35FC-7D52-2004-C0C2C40A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048000"/>
          <a:ext cx="3524250" cy="79041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</xdr:row>
      <xdr:rowOff>38101</xdr:rowOff>
    </xdr:from>
    <xdr:to>
      <xdr:col>14</xdr:col>
      <xdr:colOff>571501</xdr:colOff>
      <xdr:row>47</xdr:row>
      <xdr:rowOff>23533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2D4112-2846-36CE-BA9C-DEED4FB1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4229101"/>
          <a:ext cx="8496300" cy="47479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11</xdr:col>
      <xdr:colOff>76200</xdr:colOff>
      <xdr:row>51</xdr:row>
      <xdr:rowOff>8123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BEEFD6-D968-E218-8047-225F59D9C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9144000"/>
          <a:ext cx="6172200" cy="5796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10</xdr:col>
      <xdr:colOff>523875</xdr:colOff>
      <xdr:row>57</xdr:row>
      <xdr:rowOff>59357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3C235B-78E6-03D8-D01F-9C04B45FC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6010275" cy="101185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60</xdr:row>
      <xdr:rowOff>0</xdr:rowOff>
    </xdr:from>
    <xdr:to>
      <xdr:col>8</xdr:col>
      <xdr:colOff>590551</xdr:colOff>
      <xdr:row>83</xdr:row>
      <xdr:rowOff>45262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316B4C-ECE2-02D9-5599-ABC703452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1" y="11430000"/>
          <a:ext cx="4857750" cy="44267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105</xdr:row>
      <xdr:rowOff>0</xdr:rowOff>
    </xdr:from>
    <xdr:to>
      <xdr:col>17</xdr:col>
      <xdr:colOff>247651</xdr:colOff>
      <xdr:row>130</xdr:row>
      <xdr:rowOff>169953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72679D-5A1F-67EB-8D07-B4930976B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20002500"/>
          <a:ext cx="10001250" cy="49324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9</xdr:col>
      <xdr:colOff>390525</xdr:colOff>
      <xdr:row>137</xdr:row>
      <xdr:rowOff>5743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34340B-919C-E72E-E883-200C0E7F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5146000"/>
          <a:ext cx="5267325" cy="958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gee.2011.02.029" TargetMode="External"/><Relationship Id="rId2" Type="http://schemas.openxmlformats.org/officeDocument/2006/relationships/hyperlink" Target="https://doi.org/10.1007/s10705-008-9177-z" TargetMode="External"/><Relationship Id="rId1" Type="http://schemas.openxmlformats.org/officeDocument/2006/relationships/hyperlink" Target="https://doi.org/10.1023/B:FRES.0000048471.59164.f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16/j.agee.2006.05.013" TargetMode="External"/><Relationship Id="rId4" Type="http://schemas.openxmlformats.org/officeDocument/2006/relationships/hyperlink" Target="https://doi.org/10.1080/17583004.2024.23047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D23" sqref="D23"/>
    </sheetView>
  </sheetViews>
  <sheetFormatPr defaultRowHeight="15" x14ac:dyDescent="0.25"/>
  <cols>
    <col min="1" max="1" width="30.42578125" bestFit="1" customWidth="1"/>
    <col min="2" max="3" width="20.28515625" customWidth="1"/>
    <col min="4" max="4" width="15.5703125" customWidth="1"/>
    <col min="5" max="6" width="18.28515625" customWidth="1"/>
    <col min="7" max="8" width="15.5703125" customWidth="1"/>
    <col min="9" max="9" width="18.140625" customWidth="1"/>
    <col min="12" max="12" width="37.85546875" customWidth="1"/>
    <col min="13" max="13" width="27.28515625" customWidth="1"/>
  </cols>
  <sheetData>
    <row r="1" spans="1:14" x14ac:dyDescent="0.25">
      <c r="A1" s="1" t="s">
        <v>120</v>
      </c>
      <c r="B1" s="1" t="s">
        <v>14</v>
      </c>
      <c r="C1" s="1" t="s">
        <v>15</v>
      </c>
      <c r="D1" s="1" t="s">
        <v>2</v>
      </c>
      <c r="E1" s="1" t="s">
        <v>124</v>
      </c>
      <c r="F1" s="1" t="s">
        <v>19</v>
      </c>
      <c r="G1" s="1" t="s">
        <v>0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3" spans="1:14" ht="17.25" x14ac:dyDescent="0.25">
      <c r="I3" t="s">
        <v>11</v>
      </c>
      <c r="J3">
        <v>0.26</v>
      </c>
      <c r="K3" t="s">
        <v>13</v>
      </c>
      <c r="M3" t="s">
        <v>69</v>
      </c>
    </row>
    <row r="4" spans="1:14" ht="17.25" x14ac:dyDescent="0.25">
      <c r="I4" t="s">
        <v>12</v>
      </c>
      <c r="J4" s="2">
        <v>9.7000000000000003E-3</v>
      </c>
      <c r="K4" t="s">
        <v>13</v>
      </c>
      <c r="M4" t="s">
        <v>69</v>
      </c>
      <c r="N4" s="2"/>
    </row>
    <row r="6" spans="1:14" x14ac:dyDescent="0.25">
      <c r="I6" t="s">
        <v>18</v>
      </c>
      <c r="J6">
        <v>1</v>
      </c>
      <c r="K6" t="s">
        <v>8</v>
      </c>
      <c r="M6" t="s">
        <v>72</v>
      </c>
    </row>
    <row r="7" spans="1:14" x14ac:dyDescent="0.25">
      <c r="E7" t="s">
        <v>9</v>
      </c>
      <c r="I7" t="s">
        <v>18</v>
      </c>
      <c r="J7">
        <v>0.8</v>
      </c>
      <c r="K7" t="s">
        <v>8</v>
      </c>
      <c r="M7" t="s">
        <v>72</v>
      </c>
    </row>
    <row r="9" spans="1:14" x14ac:dyDescent="0.25">
      <c r="F9" t="s">
        <v>21</v>
      </c>
      <c r="I9" t="s">
        <v>20</v>
      </c>
      <c r="J9" s="3">
        <f>'literature data'!Y90</f>
        <v>1.3301893968668552</v>
      </c>
      <c r="K9" t="s">
        <v>8</v>
      </c>
      <c r="L9" s="3" t="s">
        <v>73</v>
      </c>
      <c r="M9" t="s">
        <v>36</v>
      </c>
    </row>
    <row r="10" spans="1:14" x14ac:dyDescent="0.25">
      <c r="F10" t="s">
        <v>22</v>
      </c>
      <c r="I10" t="s">
        <v>20</v>
      </c>
      <c r="J10" s="3">
        <f>'literature data'!Y91</f>
        <v>1.1255120030157393</v>
      </c>
      <c r="K10" t="s">
        <v>8</v>
      </c>
      <c r="L10" s="3"/>
    </row>
    <row r="11" spans="1:14" x14ac:dyDescent="0.25">
      <c r="F11" t="s">
        <v>23</v>
      </c>
      <c r="I11" t="s">
        <v>20</v>
      </c>
      <c r="J11" s="3">
        <f>'literature data'!Y92</f>
        <v>1.081209522772449</v>
      </c>
      <c r="K11" t="s">
        <v>8</v>
      </c>
      <c r="L11" s="3"/>
    </row>
    <row r="12" spans="1:14" x14ac:dyDescent="0.25">
      <c r="F12" t="s">
        <v>24</v>
      </c>
      <c r="I12" t="s">
        <v>20</v>
      </c>
      <c r="J12" s="3">
        <f>'literature data'!Y93</f>
        <v>1.092531225341496</v>
      </c>
      <c r="K12" t="s">
        <v>8</v>
      </c>
      <c r="L12" s="3"/>
    </row>
    <row r="13" spans="1:14" x14ac:dyDescent="0.25">
      <c r="F13" t="s">
        <v>25</v>
      </c>
      <c r="I13" t="s">
        <v>20</v>
      </c>
      <c r="J13" s="3">
        <f>'literature data'!Y94</f>
        <v>1.1204131825001622</v>
      </c>
      <c r="K13" t="s">
        <v>8</v>
      </c>
      <c r="L13" s="3"/>
    </row>
    <row r="14" spans="1:14" x14ac:dyDescent="0.25">
      <c r="F14" t="s">
        <v>26</v>
      </c>
      <c r="I14" t="s">
        <v>20</v>
      </c>
      <c r="J14" s="3">
        <f>'literature data'!Y95</f>
        <v>0.97003505659264322</v>
      </c>
      <c r="K14" t="s">
        <v>8</v>
      </c>
      <c r="L14" s="3"/>
    </row>
    <row r="15" spans="1:14" x14ac:dyDescent="0.25">
      <c r="F15" t="s">
        <v>27</v>
      </c>
      <c r="I15" t="s">
        <v>20</v>
      </c>
      <c r="J15" s="3">
        <f>'literature data'!Y96</f>
        <v>0.78943193471572826</v>
      </c>
      <c r="K15" t="s">
        <v>8</v>
      </c>
      <c r="L15" s="3"/>
    </row>
    <row r="16" spans="1:14" x14ac:dyDescent="0.25">
      <c r="F16" t="s">
        <v>28</v>
      </c>
      <c r="I16" t="s">
        <v>20</v>
      </c>
      <c r="J16" s="3">
        <f>'literature data'!Y97</f>
        <v>0.7612582038754474</v>
      </c>
      <c r="K16" t="s">
        <v>8</v>
      </c>
      <c r="L16" s="3"/>
    </row>
    <row r="18" spans="1:13" x14ac:dyDescent="0.25">
      <c r="A18" t="s">
        <v>119</v>
      </c>
      <c r="B18" t="s">
        <v>16</v>
      </c>
      <c r="I18" t="s">
        <v>10</v>
      </c>
      <c r="J18">
        <v>0.09</v>
      </c>
      <c r="K18" t="s">
        <v>8</v>
      </c>
      <c r="M18" t="s">
        <v>69</v>
      </c>
    </row>
    <row r="19" spans="1:13" x14ac:dyDescent="0.25">
      <c r="A19" t="s">
        <v>119</v>
      </c>
      <c r="B19" t="s">
        <v>17</v>
      </c>
      <c r="I19" t="s">
        <v>10</v>
      </c>
      <c r="J19">
        <v>0.36</v>
      </c>
      <c r="K19" t="s">
        <v>8</v>
      </c>
      <c r="M19" t="s">
        <v>69</v>
      </c>
    </row>
    <row r="20" spans="1:13" x14ac:dyDescent="0.25">
      <c r="A20" t="s">
        <v>119</v>
      </c>
      <c r="B20" t="s">
        <v>41</v>
      </c>
      <c r="I20" t="s">
        <v>10</v>
      </c>
      <c r="J20" s="24">
        <f>J19</f>
        <v>0.36</v>
      </c>
      <c r="K20" t="s">
        <v>8</v>
      </c>
    </row>
    <row r="21" spans="1:13" x14ac:dyDescent="0.25">
      <c r="A21" t="s">
        <v>121</v>
      </c>
      <c r="B21" t="s">
        <v>16</v>
      </c>
      <c r="I21" t="s">
        <v>10</v>
      </c>
      <c r="J21" s="24">
        <f>J18</f>
        <v>0.09</v>
      </c>
      <c r="K21" t="s">
        <v>8</v>
      </c>
    </row>
    <row r="22" spans="1:13" x14ac:dyDescent="0.25">
      <c r="A22" t="s">
        <v>121</v>
      </c>
      <c r="B22" t="s">
        <v>17</v>
      </c>
      <c r="I22" t="s">
        <v>10</v>
      </c>
      <c r="J22" s="24">
        <f>J19</f>
        <v>0.36</v>
      </c>
      <c r="K22" t="s">
        <v>8</v>
      </c>
    </row>
    <row r="23" spans="1:13" x14ac:dyDescent="0.25">
      <c r="A23" t="s">
        <v>121</v>
      </c>
      <c r="B23" t="s">
        <v>41</v>
      </c>
      <c r="I23" t="s">
        <v>10</v>
      </c>
      <c r="J23" s="24">
        <f>J20</f>
        <v>0.36</v>
      </c>
      <c r="K23" t="s">
        <v>8</v>
      </c>
    </row>
    <row r="24" spans="1:13" x14ac:dyDescent="0.25">
      <c r="A24" t="s">
        <v>122</v>
      </c>
      <c r="I24" t="s">
        <v>10</v>
      </c>
      <c r="J24">
        <v>0.26</v>
      </c>
      <c r="K24" t="s">
        <v>8</v>
      </c>
      <c r="M24" t="s">
        <v>69</v>
      </c>
    </row>
    <row r="25" spans="1:13" x14ac:dyDescent="0.25">
      <c r="A25" t="s">
        <v>122</v>
      </c>
      <c r="D25" t="s">
        <v>98</v>
      </c>
      <c r="I25" t="s">
        <v>10</v>
      </c>
      <c r="J25">
        <v>0.26</v>
      </c>
      <c r="K25" t="s">
        <v>8</v>
      </c>
      <c r="L25" t="s">
        <v>128</v>
      </c>
      <c r="M25" t="s">
        <v>69</v>
      </c>
    </row>
    <row r="26" spans="1:13" x14ac:dyDescent="0.25">
      <c r="A26" t="s">
        <v>123</v>
      </c>
      <c r="I26" t="s">
        <v>10</v>
      </c>
      <c r="J26">
        <v>0.26</v>
      </c>
      <c r="K26" t="s">
        <v>8</v>
      </c>
      <c r="L26" t="s">
        <v>128</v>
      </c>
      <c r="M26" t="s">
        <v>69</v>
      </c>
    </row>
    <row r="28" spans="1:13" x14ac:dyDescent="0.25">
      <c r="I28" t="s">
        <v>41</v>
      </c>
      <c r="J28">
        <v>0.65</v>
      </c>
      <c r="L28" t="s">
        <v>74</v>
      </c>
      <c r="M28" t="s">
        <v>69</v>
      </c>
    </row>
    <row r="29" spans="1:13" x14ac:dyDescent="0.25">
      <c r="A29" s="33" t="s">
        <v>125</v>
      </c>
    </row>
    <row r="30" spans="1:13" x14ac:dyDescent="0.25">
      <c r="I30" t="s">
        <v>84</v>
      </c>
      <c r="J30" t="s">
        <v>126</v>
      </c>
    </row>
    <row r="31" spans="1:13" x14ac:dyDescent="0.25">
      <c r="I31" s="27" t="s">
        <v>127</v>
      </c>
      <c r="J31" t="s">
        <v>126</v>
      </c>
    </row>
    <row r="32" spans="1:13" x14ac:dyDescent="0.25">
      <c r="I32" s="40" t="s">
        <v>102</v>
      </c>
      <c r="J32" t="s">
        <v>126</v>
      </c>
    </row>
    <row r="33" spans="9:10" x14ac:dyDescent="0.25">
      <c r="I33" s="40" t="s">
        <v>103</v>
      </c>
      <c r="J33" t="s">
        <v>126</v>
      </c>
    </row>
    <row r="34" spans="9:10" x14ac:dyDescent="0.25">
      <c r="I34" s="40" t="s">
        <v>104</v>
      </c>
      <c r="J34" t="s">
        <v>126</v>
      </c>
    </row>
    <row r="35" spans="9:10" x14ac:dyDescent="0.25">
      <c r="I35" s="40" t="s">
        <v>105</v>
      </c>
      <c r="J35" t="s">
        <v>126</v>
      </c>
    </row>
    <row r="36" spans="9:10" x14ac:dyDescent="0.25">
      <c r="I36" s="40" t="s">
        <v>106</v>
      </c>
      <c r="J36" t="s">
        <v>126</v>
      </c>
    </row>
    <row r="37" spans="9:10" x14ac:dyDescent="0.25">
      <c r="I37" s="40" t="s">
        <v>107</v>
      </c>
      <c r="J37" t="s">
        <v>126</v>
      </c>
    </row>
    <row r="38" spans="9:10" x14ac:dyDescent="0.25">
      <c r="I38" s="40" t="s">
        <v>108</v>
      </c>
      <c r="J38" t="s">
        <v>126</v>
      </c>
    </row>
    <row r="39" spans="9:10" x14ac:dyDescent="0.25">
      <c r="I39" s="40" t="s">
        <v>109</v>
      </c>
      <c r="J39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DE01-1E87-4B17-BC4B-8072519CBDAB}">
  <dimension ref="A1:AK12"/>
  <sheetViews>
    <sheetView zoomScale="80" zoomScaleNormal="80" workbookViewId="0">
      <selection activeCell="K23" sqref="K23"/>
    </sheetView>
  </sheetViews>
  <sheetFormatPr defaultRowHeight="15" x14ac:dyDescent="0.25"/>
  <cols>
    <col min="1" max="1" width="16.140625" customWidth="1"/>
    <col min="2" max="2" width="11.7109375" customWidth="1"/>
    <col min="4" max="14" width="12.42578125" customWidth="1"/>
    <col min="15" max="15" width="9.28515625" customWidth="1"/>
  </cols>
  <sheetData>
    <row r="1" spans="1:37" x14ac:dyDescent="0.25">
      <c r="D1" s="33" t="s">
        <v>97</v>
      </c>
      <c r="Q1" s="33" t="s">
        <v>101</v>
      </c>
    </row>
    <row r="2" spans="1:37" ht="30" x14ac:dyDescent="0.25">
      <c r="A2" s="25" t="s">
        <v>75</v>
      </c>
      <c r="B2" s="31" t="s">
        <v>76</v>
      </c>
      <c r="C2" s="32"/>
      <c r="D2" s="32" t="s">
        <v>77</v>
      </c>
      <c r="E2" s="32" t="s">
        <v>77</v>
      </c>
      <c r="F2" s="31" t="s">
        <v>78</v>
      </c>
      <c r="G2" s="32" t="s">
        <v>77</v>
      </c>
      <c r="H2" s="32"/>
      <c r="I2" s="31" t="s">
        <v>69</v>
      </c>
      <c r="J2" s="32"/>
      <c r="K2" s="32"/>
      <c r="L2" s="32"/>
      <c r="M2" s="32"/>
      <c r="N2" s="32"/>
      <c r="O2" s="32"/>
      <c r="Q2" s="26" t="s">
        <v>102</v>
      </c>
      <c r="R2" s="26" t="s">
        <v>103</v>
      </c>
      <c r="S2" s="26" t="s">
        <v>104</v>
      </c>
      <c r="T2" s="26" t="s">
        <v>105</v>
      </c>
      <c r="U2" s="26" t="s">
        <v>106</v>
      </c>
      <c r="V2" s="26" t="s">
        <v>107</v>
      </c>
      <c r="W2" s="26" t="s">
        <v>108</v>
      </c>
      <c r="X2" s="26" t="s">
        <v>109</v>
      </c>
      <c r="Y2" s="26" t="s">
        <v>110</v>
      </c>
      <c r="Z2" s="26" t="s">
        <v>111</v>
      </c>
      <c r="AA2" s="26" t="s">
        <v>112</v>
      </c>
      <c r="AB2" s="26" t="s">
        <v>113</v>
      </c>
      <c r="AC2" s="26" t="s">
        <v>114</v>
      </c>
      <c r="AD2" s="26" t="s">
        <v>117</v>
      </c>
      <c r="AE2" s="26" t="s">
        <v>115</v>
      </c>
      <c r="AF2" s="26" t="s">
        <v>116</v>
      </c>
      <c r="AG2" s="26" t="s">
        <v>118</v>
      </c>
      <c r="AJ2" s="26"/>
      <c r="AK2" s="26"/>
    </row>
    <row r="3" spans="1:37" x14ac:dyDescent="0.25">
      <c r="B3" s="26" t="s">
        <v>79</v>
      </c>
      <c r="C3" s="27"/>
      <c r="D3" s="26" t="s">
        <v>80</v>
      </c>
      <c r="E3" s="26" t="s">
        <v>81</v>
      </c>
      <c r="F3" s="26" t="s">
        <v>82</v>
      </c>
      <c r="G3" s="26" t="s">
        <v>83</v>
      </c>
      <c r="H3" s="26" t="s">
        <v>84</v>
      </c>
      <c r="I3" s="26" t="s">
        <v>85</v>
      </c>
      <c r="J3" s="27"/>
      <c r="K3" s="26" t="s">
        <v>86</v>
      </c>
      <c r="L3" s="26" t="s">
        <v>87</v>
      </c>
      <c r="M3" s="26" t="s">
        <v>88</v>
      </c>
      <c r="N3" s="26" t="s">
        <v>89</v>
      </c>
      <c r="O3" s="26"/>
      <c r="Q3" s="27"/>
      <c r="R3" s="27"/>
      <c r="S3" s="27"/>
      <c r="T3" s="27"/>
      <c r="U3" s="27"/>
      <c r="V3" s="27"/>
      <c r="W3" s="27"/>
      <c r="X3" s="26"/>
      <c r="Y3" s="26"/>
      <c r="Z3" s="26"/>
      <c r="AA3" s="27"/>
      <c r="AB3" s="27"/>
      <c r="AC3" s="27"/>
      <c r="AD3" s="27"/>
      <c r="AE3" s="27"/>
      <c r="AF3" s="27"/>
    </row>
    <row r="4" spans="1:37" x14ac:dyDescent="0.25">
      <c r="B4" s="27" t="s">
        <v>90</v>
      </c>
      <c r="C4" s="27"/>
      <c r="D4" s="27"/>
      <c r="E4" s="27"/>
      <c r="F4" s="27"/>
      <c r="G4" s="27"/>
      <c r="H4" s="27"/>
      <c r="I4" s="27" t="s">
        <v>96</v>
      </c>
      <c r="J4" s="27"/>
      <c r="K4" s="27" t="s">
        <v>91</v>
      </c>
      <c r="L4" s="27" t="s">
        <v>91</v>
      </c>
      <c r="M4" s="27" t="s">
        <v>91</v>
      </c>
      <c r="N4" s="27" t="s">
        <v>91</v>
      </c>
      <c r="O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</row>
    <row r="5" spans="1:37" x14ac:dyDescent="0.25">
      <c r="A5" t="s">
        <v>92</v>
      </c>
      <c r="B5" s="28">
        <v>6116.38644635124</v>
      </c>
      <c r="C5" s="27"/>
      <c r="D5" s="27">
        <v>0.875</v>
      </c>
      <c r="E5" s="27">
        <v>0.23</v>
      </c>
      <c r="F5" s="29">
        <v>0.37664300000000001</v>
      </c>
      <c r="G5" s="30">
        <v>1</v>
      </c>
      <c r="H5" s="27">
        <v>0.45</v>
      </c>
      <c r="I5" s="27">
        <v>0.65</v>
      </c>
      <c r="J5" s="27"/>
      <c r="K5" s="28">
        <f>B5*D5*G5*(1-F5)*H5</f>
        <v>1501.2475955025293</v>
      </c>
      <c r="L5" s="28">
        <f>B5*(1+D5)*E5*G5*H5</f>
        <v>1186.9612447450377</v>
      </c>
      <c r="M5" s="28">
        <f>B5*(1+D5)*E5*H5*I5</f>
        <v>771.52480908427447</v>
      </c>
      <c r="N5" s="38">
        <f>SUM(K5:M5)</f>
        <v>3459.7336493318417</v>
      </c>
      <c r="O5" s="28"/>
      <c r="Q5" s="37">
        <v>0.32200000000000001</v>
      </c>
      <c r="R5" s="37">
        <v>0.48199999999999998</v>
      </c>
      <c r="S5" s="37">
        <v>0.11799999999999999</v>
      </c>
      <c r="T5" s="37">
        <v>7.8E-2</v>
      </c>
      <c r="U5" s="34">
        <v>0</v>
      </c>
      <c r="V5" s="29">
        <f>1-F5</f>
        <v>0.62335699999999994</v>
      </c>
      <c r="W5" s="27">
        <v>1</v>
      </c>
      <c r="X5" s="34">
        <v>1</v>
      </c>
      <c r="Y5" s="28">
        <f>B5*H5*(1+U5)</f>
        <v>2752.3739008580583</v>
      </c>
      <c r="Z5" s="28">
        <f>(R5/Q5)*Y5</f>
        <v>4120.0131062533665</v>
      </c>
      <c r="AA5" s="28">
        <f>(S5/Q5)*Y5</f>
        <v>1008.6339139790399</v>
      </c>
      <c r="AB5" s="28">
        <f>(T5/Q5)*Y5</f>
        <v>666.72411263021286</v>
      </c>
      <c r="AC5" s="28">
        <f>Y5*U5</f>
        <v>0</v>
      </c>
      <c r="AD5" s="28">
        <f t="shared" ref="AD5:AF5" si="0">Z5*V5</f>
        <v>2568.2390098747796</v>
      </c>
      <c r="AE5" s="28">
        <f t="shared" si="0"/>
        <v>1008.6339139790399</v>
      </c>
      <c r="AF5" s="28">
        <f t="shared" si="0"/>
        <v>666.72411263021286</v>
      </c>
      <c r="AG5" s="39">
        <f>SUM(AC5:AF5)</f>
        <v>4243.5970364840323</v>
      </c>
      <c r="AJ5" s="3"/>
      <c r="AK5" s="3"/>
    </row>
    <row r="6" spans="1:37" x14ac:dyDescent="0.25">
      <c r="A6" t="s">
        <v>93</v>
      </c>
      <c r="B6" s="28">
        <v>4173.7878388872596</v>
      </c>
      <c r="C6" s="27"/>
      <c r="D6" s="27">
        <v>0.82499999999999996</v>
      </c>
      <c r="E6" s="27">
        <v>0.22</v>
      </c>
      <c r="F6" s="29">
        <v>0.29683700000000002</v>
      </c>
      <c r="G6" s="30">
        <v>1</v>
      </c>
      <c r="H6" s="27">
        <v>0.45</v>
      </c>
      <c r="I6" s="27">
        <v>0.65</v>
      </c>
      <c r="J6" s="27"/>
      <c r="K6" s="28">
        <f t="shared" ref="K6:K8" si="1">B6*D6*G6*(1-F6)*H6</f>
        <v>1089.5642423902227</v>
      </c>
      <c r="L6" s="28">
        <f t="shared" ref="L6:L8" si="2">B6*(1+D6)*E6*G6*H6</f>
        <v>754.09911779095569</v>
      </c>
      <c r="M6" s="28">
        <f t="shared" ref="M6:M8" si="3">B6*(1+D6)*E6*H6*I6</f>
        <v>490.16442656412119</v>
      </c>
      <c r="N6" s="38">
        <f>SUM(K6:M6)</f>
        <v>2333.8277867452998</v>
      </c>
      <c r="O6" s="36">
        <f t="shared" ref="O6:O7" si="4">N6/N$5</f>
        <v>0.67456862963887942</v>
      </c>
      <c r="Q6" s="37">
        <v>0.45100000000000001</v>
      </c>
      <c r="R6" s="37">
        <v>0.4</v>
      </c>
      <c r="S6" s="37">
        <v>0.09</v>
      </c>
      <c r="T6" s="37">
        <v>5.8999999999999997E-2</v>
      </c>
      <c r="U6" s="34">
        <v>0</v>
      </c>
      <c r="V6" s="29">
        <f>1-F6</f>
        <v>0.70316299999999998</v>
      </c>
      <c r="W6" s="27">
        <v>1</v>
      </c>
      <c r="X6" s="34">
        <v>1</v>
      </c>
      <c r="Y6" s="28">
        <f>B6*H6*(1+U6)</f>
        <v>1878.2045274992668</v>
      </c>
      <c r="Z6" s="28">
        <f t="shared" ref="Z6:Z8" si="5">(R6/Q6)*Y6</f>
        <v>1665.8133281589951</v>
      </c>
      <c r="AA6" s="28">
        <f t="shared" ref="AA6:AA8" si="6">(S6/Q6)*Y6</f>
        <v>374.80799883577384</v>
      </c>
      <c r="AB6" s="28">
        <f t="shared" ref="AB6:AB8" si="7">(T6/Q6)*Y6</f>
        <v>245.70746590345172</v>
      </c>
      <c r="AC6" s="28">
        <f t="shared" ref="AC6:AC8" si="8">Y6*U6</f>
        <v>0</v>
      </c>
      <c r="AD6" s="28">
        <f t="shared" ref="AD6:AD8" si="9">Z6*V6</f>
        <v>1171.3382972682634</v>
      </c>
      <c r="AE6" s="28">
        <f t="shared" ref="AE6:AE8" si="10">AA6*W6</f>
        <v>374.80799883577384</v>
      </c>
      <c r="AF6" s="28">
        <f t="shared" ref="AF6:AF8" si="11">AB6*X6</f>
        <v>245.70746590345172</v>
      </c>
      <c r="AG6" s="39">
        <f t="shared" ref="AG6:AG8" si="12">SUM(AC6:AF6)</f>
        <v>1791.853762007489</v>
      </c>
      <c r="AH6" s="36">
        <f t="shared" ref="AH6:AH7" si="13">AG6/AG$5</f>
        <v>0.42224880133578896</v>
      </c>
      <c r="AJ6" s="3"/>
      <c r="AK6" s="3"/>
    </row>
    <row r="7" spans="1:37" x14ac:dyDescent="0.25">
      <c r="A7" t="s">
        <v>94</v>
      </c>
      <c r="B7" s="28">
        <v>5378.7223225365997</v>
      </c>
      <c r="C7" s="27"/>
      <c r="D7" s="27">
        <v>0.25</v>
      </c>
      <c r="E7" s="27">
        <v>0.54</v>
      </c>
      <c r="F7" s="29">
        <v>0</v>
      </c>
      <c r="G7" s="27">
        <v>0.2</v>
      </c>
      <c r="H7" s="27">
        <v>0.45</v>
      </c>
      <c r="I7" s="27">
        <v>0.65</v>
      </c>
      <c r="J7" s="27"/>
      <c r="K7" s="28">
        <f t="shared" si="1"/>
        <v>121.02125225707348</v>
      </c>
      <c r="L7" s="28">
        <f t="shared" si="2"/>
        <v>326.75738109409849</v>
      </c>
      <c r="M7" s="28">
        <f t="shared" si="3"/>
        <v>1061.9614885558201</v>
      </c>
      <c r="N7" s="38">
        <f>SUM(K7:M7)</f>
        <v>1509.740121906992</v>
      </c>
      <c r="O7" s="36">
        <f t="shared" si="4"/>
        <v>0.4363746678009619</v>
      </c>
      <c r="Q7" s="37">
        <v>0.29799999999999999</v>
      </c>
      <c r="R7" s="37">
        <v>0</v>
      </c>
      <c r="S7" s="37">
        <v>0.42599999999999999</v>
      </c>
      <c r="T7" s="37">
        <v>0.27700000000000002</v>
      </c>
      <c r="U7" s="35">
        <v>0.25</v>
      </c>
      <c r="V7" s="35">
        <v>0.2</v>
      </c>
      <c r="W7" s="35">
        <v>0.2</v>
      </c>
      <c r="X7" s="34">
        <v>1</v>
      </c>
      <c r="Y7" s="28">
        <f>B7*H7*(1+U7)</f>
        <v>3025.5313064268375</v>
      </c>
      <c r="Z7" s="28">
        <f t="shared" si="5"/>
        <v>0</v>
      </c>
      <c r="AA7" s="28">
        <f t="shared" si="6"/>
        <v>4325.088377643734</v>
      </c>
      <c r="AB7" s="28">
        <f t="shared" si="7"/>
        <v>2812.3227244303157</v>
      </c>
      <c r="AC7" s="28">
        <f t="shared" si="8"/>
        <v>756.38282660670939</v>
      </c>
      <c r="AD7" s="28">
        <f t="shared" si="9"/>
        <v>0</v>
      </c>
      <c r="AE7" s="28">
        <f t="shared" si="10"/>
        <v>865.01767552874685</v>
      </c>
      <c r="AF7" s="28">
        <f t="shared" si="11"/>
        <v>2812.3227244303157</v>
      </c>
      <c r="AG7" s="39">
        <f t="shared" si="12"/>
        <v>4433.7232265657722</v>
      </c>
      <c r="AH7" s="36">
        <f t="shared" si="13"/>
        <v>1.044803073535763</v>
      </c>
      <c r="AJ7" s="3"/>
      <c r="AK7" s="3"/>
    </row>
    <row r="8" spans="1:37" x14ac:dyDescent="0.25">
      <c r="A8" t="s">
        <v>95</v>
      </c>
      <c r="B8" s="28">
        <v>4336.6779665245904</v>
      </c>
      <c r="C8" s="27"/>
      <c r="D8" s="27">
        <v>0.4</v>
      </c>
      <c r="E8" s="27">
        <v>0.54</v>
      </c>
      <c r="F8" s="29">
        <v>0</v>
      </c>
      <c r="G8" s="27">
        <v>0.2</v>
      </c>
      <c r="H8" s="27">
        <v>0.45</v>
      </c>
      <c r="I8" s="27">
        <v>0.65</v>
      </c>
      <c r="J8" s="27"/>
      <c r="K8" s="28">
        <f t="shared" si="1"/>
        <v>156.12040679488527</v>
      </c>
      <c r="L8" s="28">
        <f t="shared" si="2"/>
        <v>295.06756884233317</v>
      </c>
      <c r="M8" s="28">
        <f t="shared" si="3"/>
        <v>958.96959873758271</v>
      </c>
      <c r="N8" s="38">
        <f>SUM(K8:M8)</f>
        <v>1410.1575743748012</v>
      </c>
      <c r="O8" s="36">
        <f>N8/N$5</f>
        <v>0.40759136896192483</v>
      </c>
      <c r="Q8" s="37">
        <v>0.23300000000000001</v>
      </c>
      <c r="R8" s="37">
        <v>0</v>
      </c>
      <c r="S8" s="37">
        <v>0.46500000000000002</v>
      </c>
      <c r="T8" s="37">
        <v>0.30199999999999999</v>
      </c>
      <c r="U8" s="35">
        <v>0.4</v>
      </c>
      <c r="V8" s="35">
        <v>0.2</v>
      </c>
      <c r="W8" s="35">
        <v>0.2</v>
      </c>
      <c r="X8" s="34">
        <v>1</v>
      </c>
      <c r="Y8" s="28">
        <f>B8*H8*(1+U8)</f>
        <v>2732.1071189104919</v>
      </c>
      <c r="Z8" s="28">
        <f t="shared" si="5"/>
        <v>0</v>
      </c>
      <c r="AA8" s="28">
        <f t="shared" si="6"/>
        <v>5452.4884561947583</v>
      </c>
      <c r="AB8" s="28">
        <f t="shared" si="7"/>
        <v>3541.1860511200366</v>
      </c>
      <c r="AC8" s="28">
        <f t="shared" si="8"/>
        <v>1092.8428475641967</v>
      </c>
      <c r="AD8" s="28">
        <f t="shared" si="9"/>
        <v>0</v>
      </c>
      <c r="AE8" s="28">
        <f t="shared" si="10"/>
        <v>1090.4976912389518</v>
      </c>
      <c r="AF8" s="28">
        <f t="shared" si="11"/>
        <v>3541.1860511200366</v>
      </c>
      <c r="AG8" s="39">
        <f t="shared" si="12"/>
        <v>5724.5265899231854</v>
      </c>
      <c r="AH8" s="36">
        <f>AG8/AG$5</f>
        <v>1.348979778406612</v>
      </c>
      <c r="AJ8" s="3"/>
      <c r="AK8" s="3"/>
    </row>
    <row r="9" spans="1:37" x14ac:dyDescent="0.25">
      <c r="B9">
        <f>2000*(1/0.45)</f>
        <v>4444.4444444444443</v>
      </c>
      <c r="H9" s="27">
        <v>0.45</v>
      </c>
      <c r="Q9">
        <v>0.49199999999999999</v>
      </c>
      <c r="R9">
        <v>0</v>
      </c>
      <c r="S9">
        <v>0.308</v>
      </c>
      <c r="T9">
        <v>0.2</v>
      </c>
      <c r="U9">
        <f>(1-0.25)+0.25*(1/25)</f>
        <v>0.76</v>
      </c>
      <c r="V9">
        <v>1</v>
      </c>
      <c r="W9">
        <f>1/25</f>
        <v>0.04</v>
      </c>
      <c r="X9">
        <v>1</v>
      </c>
      <c r="Y9" s="28">
        <f>B9*H9*(1+U9)</f>
        <v>3520</v>
      </c>
      <c r="Z9" s="28">
        <f t="shared" ref="Z9" si="14">(R9/Q9)*Y9</f>
        <v>0</v>
      </c>
      <c r="AA9" s="28">
        <f t="shared" ref="AA9" si="15">(S9/Q9)*Y9</f>
        <v>2203.5772357723577</v>
      </c>
      <c r="AB9" s="28">
        <f t="shared" ref="AB9" si="16">(T9/Q9)*Y9</f>
        <v>1430.8943089430895</v>
      </c>
      <c r="AC9" s="28">
        <f t="shared" ref="AC9" si="17">Y9*U9</f>
        <v>2675.2</v>
      </c>
      <c r="AD9" s="28">
        <f t="shared" ref="AD9" si="18">Z9*V9</f>
        <v>0</v>
      </c>
      <c r="AE9" s="28">
        <f t="shared" ref="AE9" si="19">AA9*W9</f>
        <v>88.143089430894307</v>
      </c>
      <c r="AF9" s="28">
        <f t="shared" ref="AF9" si="20">AB9*X9</f>
        <v>1430.8943089430895</v>
      </c>
      <c r="AG9" s="39">
        <f t="shared" ref="AG9" si="21">SUM(AC9:AF9)</f>
        <v>4194.2373983739835</v>
      </c>
    </row>
    <row r="11" spans="1:37" x14ac:dyDescent="0.25">
      <c r="AG11" s="41">
        <f>AF5/AE5</f>
        <v>0.66101694915254239</v>
      </c>
    </row>
    <row r="12" spans="1:37" x14ac:dyDescent="0.25">
      <c r="AG12" s="3">
        <f>AE5/AD5</f>
        <v>0.3927336630667479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9B03-2ECC-4CAC-921C-2F9BC74797BA}">
  <dimension ref="B2:Y104"/>
  <sheetViews>
    <sheetView topLeftCell="A101" workbookViewId="0">
      <selection activeCell="F90" sqref="F90:F97"/>
    </sheetView>
  </sheetViews>
  <sheetFormatPr defaultRowHeight="15" x14ac:dyDescent="0.25"/>
  <cols>
    <col min="25" max="25" width="12" bestFit="1" customWidth="1"/>
  </cols>
  <sheetData>
    <row r="2" spans="2:20" x14ac:dyDescent="0.25">
      <c r="B2" s="5" t="s">
        <v>34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22" spans="2:20" x14ac:dyDescent="0.25">
      <c r="B22" s="5" t="s">
        <v>36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59" spans="2:20" x14ac:dyDescent="0.25">
      <c r="B59" s="5" t="s">
        <v>38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86" spans="2:25" x14ac:dyDescent="0.25">
      <c r="B86" s="5" t="s">
        <v>42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2:25" x14ac:dyDescent="0.25">
      <c r="B87" s="12" t="s">
        <v>64</v>
      </c>
      <c r="N87" t="s">
        <v>43</v>
      </c>
      <c r="P87" t="s">
        <v>44</v>
      </c>
      <c r="R87" t="s">
        <v>45</v>
      </c>
      <c r="V87" s="1" t="s">
        <v>68</v>
      </c>
    </row>
    <row r="88" spans="2:25" x14ac:dyDescent="0.25">
      <c r="B88" s="13" t="s">
        <v>46</v>
      </c>
      <c r="C88" s="14" t="s">
        <v>47</v>
      </c>
      <c r="D88" s="14" t="s">
        <v>48</v>
      </c>
      <c r="E88" s="14" t="s">
        <v>10</v>
      </c>
      <c r="F88" s="14" t="s">
        <v>49</v>
      </c>
      <c r="G88" s="14" t="s">
        <v>50</v>
      </c>
      <c r="H88" s="14" t="s">
        <v>51</v>
      </c>
      <c r="I88" s="14" t="s">
        <v>52</v>
      </c>
      <c r="J88" s="14" t="s">
        <v>53</v>
      </c>
      <c r="K88" s="14" t="s">
        <v>54</v>
      </c>
      <c r="L88" s="15" t="s">
        <v>55</v>
      </c>
      <c r="N88" t="s">
        <v>56</v>
      </c>
      <c r="O88" t="s">
        <v>57</v>
      </c>
      <c r="P88" t="s">
        <v>56</v>
      </c>
      <c r="Q88" t="s">
        <v>57</v>
      </c>
      <c r="R88">
        <v>1990</v>
      </c>
      <c r="S88" t="s">
        <v>58</v>
      </c>
      <c r="V88" s="23" t="s">
        <v>65</v>
      </c>
      <c r="W88" s="23" t="s">
        <v>66</v>
      </c>
    </row>
    <row r="89" spans="2:25" x14ac:dyDescent="0.25">
      <c r="B89" s="16"/>
      <c r="C89" s="7" t="s">
        <v>59</v>
      </c>
      <c r="D89" s="7" t="s">
        <v>59</v>
      </c>
      <c r="E89" s="7" t="s">
        <v>8</v>
      </c>
      <c r="F89" s="7" t="s">
        <v>8</v>
      </c>
      <c r="G89" s="7" t="s">
        <v>59</v>
      </c>
      <c r="H89" s="7" t="s">
        <v>59</v>
      </c>
      <c r="I89" s="7" t="s">
        <v>59</v>
      </c>
      <c r="J89" s="7" t="s">
        <v>59</v>
      </c>
      <c r="K89" s="7" t="s">
        <v>59</v>
      </c>
      <c r="L89" s="17" t="s">
        <v>59</v>
      </c>
      <c r="N89" s="7" t="s">
        <v>60</v>
      </c>
      <c r="O89" s="7" t="s">
        <v>61</v>
      </c>
      <c r="P89" s="7" t="s">
        <v>60</v>
      </c>
      <c r="Q89" s="7" t="s">
        <v>61</v>
      </c>
      <c r="R89" s="7" t="s">
        <v>62</v>
      </c>
      <c r="S89" s="7" t="s">
        <v>60</v>
      </c>
      <c r="U89" s="22"/>
      <c r="Y89" t="s">
        <v>67</v>
      </c>
    </row>
    <row r="90" spans="2:25" x14ac:dyDescent="0.25">
      <c r="B90" s="16">
        <v>1</v>
      </c>
      <c r="C90" s="3">
        <v>3</v>
      </c>
      <c r="D90">
        <v>3.29</v>
      </c>
      <c r="E90">
        <v>0.14899999999999999</v>
      </c>
      <c r="F90" s="3">
        <v>1.3</v>
      </c>
      <c r="G90">
        <v>2.1</v>
      </c>
      <c r="H90">
        <v>67.7</v>
      </c>
      <c r="I90">
        <v>69.8</v>
      </c>
      <c r="J90">
        <v>70.3</v>
      </c>
      <c r="K90">
        <v>70.8</v>
      </c>
      <c r="L90" s="18">
        <v>72.099999999999994</v>
      </c>
      <c r="N90">
        <v>2.2000000000000002</v>
      </c>
      <c r="O90">
        <v>1.41</v>
      </c>
      <c r="P90" s="8">
        <v>2</v>
      </c>
      <c r="Q90">
        <v>1.42</v>
      </c>
      <c r="R90" s="9">
        <v>350346</v>
      </c>
      <c r="S90">
        <v>1.8</v>
      </c>
      <c r="U90" s="23"/>
      <c r="V90" s="9">
        <v>336286</v>
      </c>
      <c r="W90" s="9">
        <v>38161</v>
      </c>
      <c r="Y90" s="3">
        <f>F90/((W90*default!$J$7+(V90-W90)*1)/V90)</f>
        <v>1.3301893968668552</v>
      </c>
    </row>
    <row r="91" spans="2:25" x14ac:dyDescent="0.25">
      <c r="B91" s="16">
        <v>2</v>
      </c>
      <c r="C91">
        <v>2.58</v>
      </c>
      <c r="D91">
        <v>3.07</v>
      </c>
      <c r="E91">
        <v>0.16400000000000001</v>
      </c>
      <c r="F91">
        <v>1.05</v>
      </c>
      <c r="G91">
        <v>2.4</v>
      </c>
      <c r="H91">
        <v>76.8</v>
      </c>
      <c r="I91">
        <v>79.3</v>
      </c>
      <c r="J91">
        <v>83.5</v>
      </c>
      <c r="K91">
        <v>79.099999999999994</v>
      </c>
      <c r="L91" s="18">
        <v>80.599999999999994</v>
      </c>
      <c r="N91">
        <v>3.4</v>
      </c>
      <c r="O91">
        <v>1.32</v>
      </c>
      <c r="P91">
        <v>2.2999999999999998</v>
      </c>
      <c r="Q91">
        <v>1.38</v>
      </c>
      <c r="R91" s="9">
        <v>326990</v>
      </c>
      <c r="S91" s="8">
        <v>6</v>
      </c>
      <c r="U91" s="23"/>
      <c r="V91" s="9">
        <v>321887</v>
      </c>
      <c r="W91" s="9">
        <v>107979</v>
      </c>
      <c r="Y91" s="3">
        <f>F91/((W91*default!$J$7+(V91-W91)*1)/V91)</f>
        <v>1.1255120030157393</v>
      </c>
    </row>
    <row r="92" spans="2:25" x14ac:dyDescent="0.25">
      <c r="B92" s="16">
        <v>3</v>
      </c>
      <c r="C92">
        <v>2.81</v>
      </c>
      <c r="D92">
        <v>3.08</v>
      </c>
      <c r="E92">
        <v>0.14699999999999999</v>
      </c>
      <c r="F92">
        <v>1.04</v>
      </c>
      <c r="G92">
        <v>2.4</v>
      </c>
      <c r="H92">
        <v>79.099999999999994</v>
      </c>
      <c r="I92">
        <v>81.5</v>
      </c>
      <c r="J92">
        <v>76.599999999999994</v>
      </c>
      <c r="K92">
        <v>81.8</v>
      </c>
      <c r="L92" s="18">
        <v>82.9</v>
      </c>
      <c r="N92">
        <v>3.4</v>
      </c>
      <c r="O92">
        <v>1.32</v>
      </c>
      <c r="P92">
        <v>2.4</v>
      </c>
      <c r="Q92">
        <v>1.36</v>
      </c>
      <c r="R92" s="9">
        <v>460741</v>
      </c>
      <c r="S92">
        <v>5.4</v>
      </c>
      <c r="U92" s="23"/>
      <c r="V92" s="9">
        <v>450629</v>
      </c>
      <c r="W92" s="9">
        <v>85877</v>
      </c>
      <c r="Y92" s="3">
        <f>F92/((W92*default!$J$7+(V92-W92)*1)/V92)</f>
        <v>1.081209522772449</v>
      </c>
    </row>
    <row r="93" spans="2:25" x14ac:dyDescent="0.25">
      <c r="B93" s="16">
        <v>4</v>
      </c>
      <c r="C93">
        <v>2.52</v>
      </c>
      <c r="D93">
        <v>2.68</v>
      </c>
      <c r="E93">
        <v>0.14199999999999999</v>
      </c>
      <c r="F93">
        <v>1.04</v>
      </c>
      <c r="G93">
        <v>2.1</v>
      </c>
      <c r="H93">
        <v>77.900000000000006</v>
      </c>
      <c r="I93">
        <v>80</v>
      </c>
      <c r="J93">
        <v>64.2</v>
      </c>
      <c r="K93">
        <v>80.900000000000006</v>
      </c>
      <c r="L93" s="18">
        <v>81.599999999999994</v>
      </c>
      <c r="N93">
        <v>3.6</v>
      </c>
      <c r="O93" s="3">
        <v>1.3</v>
      </c>
      <c r="P93">
        <v>2.4</v>
      </c>
      <c r="Q93">
        <v>1.36</v>
      </c>
      <c r="R93" s="9">
        <v>656965</v>
      </c>
      <c r="S93">
        <v>8.1999999999999993</v>
      </c>
      <c r="U93" s="23"/>
      <c r="V93" s="9">
        <v>619332</v>
      </c>
      <c r="W93" s="9">
        <v>148894</v>
      </c>
      <c r="Y93" s="3">
        <f>F93/((W93*default!$J$7+(V93-W93)*1)/V93)</f>
        <v>1.092531225341496</v>
      </c>
    </row>
    <row r="94" spans="2:25" x14ac:dyDescent="0.25">
      <c r="B94" s="16">
        <v>5</v>
      </c>
      <c r="C94">
        <v>2.44</v>
      </c>
      <c r="D94">
        <v>3.01</v>
      </c>
      <c r="E94" s="10">
        <v>0.17</v>
      </c>
      <c r="F94">
        <v>0.99</v>
      </c>
      <c r="G94">
        <v>2.6</v>
      </c>
      <c r="H94">
        <v>88.9</v>
      </c>
      <c r="I94">
        <v>91.5</v>
      </c>
      <c r="J94">
        <v>90.2</v>
      </c>
      <c r="K94">
        <v>91.4</v>
      </c>
      <c r="L94" s="18">
        <v>93.7</v>
      </c>
      <c r="N94" s="8">
        <v>5</v>
      </c>
      <c r="O94">
        <v>1.22</v>
      </c>
      <c r="P94">
        <v>2.8</v>
      </c>
      <c r="Q94">
        <v>1.3</v>
      </c>
      <c r="R94" s="9">
        <v>704538</v>
      </c>
      <c r="S94">
        <v>10.7</v>
      </c>
      <c r="U94" s="23"/>
      <c r="V94" s="9">
        <v>495731</v>
      </c>
      <c r="W94" s="9">
        <v>288509</v>
      </c>
      <c r="Y94" s="3">
        <f>F94/((W94*default!$J$7+(V94-W94)*1)/V94)</f>
        <v>1.1204131825001622</v>
      </c>
    </row>
    <row r="95" spans="2:25" x14ac:dyDescent="0.25">
      <c r="B95" s="16">
        <v>6</v>
      </c>
      <c r="C95">
        <v>2.37</v>
      </c>
      <c r="D95">
        <v>2.63</v>
      </c>
      <c r="E95">
        <v>0.151</v>
      </c>
      <c r="F95">
        <v>0.88</v>
      </c>
      <c r="G95">
        <v>2.6</v>
      </c>
      <c r="H95">
        <v>80.599999999999994</v>
      </c>
      <c r="I95">
        <v>83.2</v>
      </c>
      <c r="J95" s="8">
        <v>79</v>
      </c>
      <c r="K95">
        <v>82.9</v>
      </c>
      <c r="L95" s="18">
        <v>83.6</v>
      </c>
      <c r="N95">
        <v>3.3</v>
      </c>
      <c r="O95">
        <v>1.27</v>
      </c>
      <c r="P95">
        <v>2.5</v>
      </c>
      <c r="Q95">
        <v>1.31</v>
      </c>
      <c r="R95" s="9">
        <v>208567</v>
      </c>
      <c r="S95">
        <v>5.5</v>
      </c>
      <c r="U95" s="23"/>
      <c r="V95" s="9">
        <v>195832</v>
      </c>
      <c r="W95" s="9">
        <v>90882</v>
      </c>
      <c r="Y95" s="3">
        <f>F95/((W95*default!$J$7+(V95-W95)*1)/V95)</f>
        <v>0.97003505659264322</v>
      </c>
    </row>
    <row r="96" spans="2:25" x14ac:dyDescent="0.25">
      <c r="B96" s="16">
        <v>7</v>
      </c>
      <c r="C96">
        <v>2.17</v>
      </c>
      <c r="D96">
        <v>2.59</v>
      </c>
      <c r="E96">
        <v>0.16400000000000001</v>
      </c>
      <c r="F96">
        <v>0.69</v>
      </c>
      <c r="G96">
        <v>3.4</v>
      </c>
      <c r="H96">
        <v>89</v>
      </c>
      <c r="I96">
        <v>92.4</v>
      </c>
      <c r="J96">
        <v>106.7</v>
      </c>
      <c r="K96">
        <v>90.3</v>
      </c>
      <c r="L96" s="18">
        <v>91.7</v>
      </c>
      <c r="N96">
        <v>3.3</v>
      </c>
      <c r="O96">
        <v>1.24</v>
      </c>
      <c r="P96">
        <v>2.8</v>
      </c>
      <c r="Q96">
        <v>1.27</v>
      </c>
      <c r="R96" s="9">
        <v>170995</v>
      </c>
      <c r="S96">
        <v>5.8</v>
      </c>
      <c r="U96" s="23"/>
      <c r="V96" s="9">
        <v>157977</v>
      </c>
      <c r="W96" s="9">
        <v>99489</v>
      </c>
      <c r="Y96" s="3">
        <f>F96/((W96*default!$J$7+(V96-W96)*1)/V96)</f>
        <v>0.78943193471572826</v>
      </c>
    </row>
    <row r="97" spans="2:25" x14ac:dyDescent="0.25">
      <c r="B97" s="19">
        <v>8</v>
      </c>
      <c r="C97" s="20">
        <v>2.17</v>
      </c>
      <c r="D97" s="20">
        <v>2.57</v>
      </c>
      <c r="E97" s="20">
        <v>0.16300000000000001</v>
      </c>
      <c r="F97" s="20">
        <v>0.67</v>
      </c>
      <c r="G97" s="20">
        <v>3.5</v>
      </c>
      <c r="H97" s="20">
        <v>89.9</v>
      </c>
      <c r="I97" s="20">
        <v>93.4</v>
      </c>
      <c r="J97" s="20">
        <v>109.1</v>
      </c>
      <c r="K97" s="20">
        <v>91.1</v>
      </c>
      <c r="L97" s="21">
        <v>92</v>
      </c>
      <c r="N97">
        <v>4.7</v>
      </c>
      <c r="O97">
        <v>1.18</v>
      </c>
      <c r="P97">
        <v>2.9</v>
      </c>
      <c r="Q97">
        <v>1.26</v>
      </c>
      <c r="R97" s="9">
        <v>131150</v>
      </c>
      <c r="S97">
        <v>11.2</v>
      </c>
      <c r="U97" s="23"/>
      <c r="V97" s="9">
        <v>116510</v>
      </c>
      <c r="W97" s="9">
        <v>69835</v>
      </c>
      <c r="Y97" s="3">
        <f>F97/((W97*default!$J$7+(V97-W97)*1)/V97)</f>
        <v>0.7612582038754474</v>
      </c>
    </row>
    <row r="99" spans="2:25" x14ac:dyDescent="0.25">
      <c r="B99" t="s">
        <v>63</v>
      </c>
      <c r="C99" s="3">
        <f t="shared" ref="C99:L99" si="0">SUMPRODUCT(C90:C97,$R90:$R97)/$R99</f>
        <v>2.562521300259244</v>
      </c>
      <c r="D99" s="3">
        <f t="shared" si="0"/>
        <v>2.91844421072773</v>
      </c>
      <c r="E99" s="3">
        <f t="shared" si="0"/>
        <v>0.15531103892911385</v>
      </c>
      <c r="F99" s="3">
        <f t="shared" si="0"/>
        <v>1.012556977861284</v>
      </c>
      <c r="G99" s="3">
        <f t="shared" si="0"/>
        <v>2.4650062186658306</v>
      </c>
      <c r="H99" s="3">
        <f t="shared" si="0"/>
        <v>80.691943240057768</v>
      </c>
      <c r="I99" s="3">
        <f t="shared" si="0"/>
        <v>83.167811860111911</v>
      </c>
      <c r="J99" s="3">
        <f t="shared" si="0"/>
        <v>80.385110314879753</v>
      </c>
      <c r="K99" s="3">
        <f t="shared" si="0"/>
        <v>83.24112049595189</v>
      </c>
      <c r="L99" s="3">
        <f t="shared" si="0"/>
        <v>84.582016229654798</v>
      </c>
      <c r="M99" s="3"/>
      <c r="N99" s="3">
        <f>SUMPRODUCT(N90:N97,$R90:$R97)/$R99</f>
        <v>3.7224861242696718</v>
      </c>
      <c r="O99" s="3">
        <f>SUMPRODUCT(O90:O97,$R90:$R97)/$R99</f>
        <v>1.2885974284222261</v>
      </c>
      <c r="P99" s="3">
        <f>SUMPRODUCT(P90:P97,$R90:$R97)/$R99</f>
        <v>2.4876351862211372</v>
      </c>
      <c r="Q99" s="3">
        <f>SUMPRODUCT(Q90:Q97,$R90:$R97)/$R99</f>
        <v>1.3421795958664473</v>
      </c>
      <c r="R99" s="9">
        <f>SUM(R90:R97)</f>
        <v>3010292</v>
      </c>
      <c r="S99" s="3">
        <f>SUMPRODUCT(S90:S97,$R90:$R97)/$R99</f>
        <v>7.1800354583542054</v>
      </c>
    </row>
    <row r="101" spans="2:25" x14ac:dyDescent="0.25">
      <c r="C101" t="s">
        <v>11</v>
      </c>
      <c r="D101">
        <v>0.8</v>
      </c>
    </row>
    <row r="102" spans="2:25" x14ac:dyDescent="0.25">
      <c r="C102" t="s">
        <v>12</v>
      </c>
      <c r="D102">
        <v>6.0000000000000001E-3</v>
      </c>
      <c r="H102" s="11"/>
      <c r="I102" s="11"/>
    </row>
    <row r="103" spans="2:25" x14ac:dyDescent="0.25">
      <c r="H103" s="11"/>
      <c r="I103" s="11"/>
    </row>
    <row r="104" spans="2:25" x14ac:dyDescent="0.25">
      <c r="B104" s="5" t="s">
        <v>69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D094-631D-453E-A869-C204F23B26C2}">
  <dimension ref="A1:C6"/>
  <sheetViews>
    <sheetView workbookViewId="0">
      <selection activeCell="C16" sqref="C16"/>
    </sheetView>
  </sheetViews>
  <sheetFormatPr defaultRowHeight="15" x14ac:dyDescent="0.25"/>
  <cols>
    <col min="1" max="1" width="21.85546875" bestFit="1" customWidth="1"/>
    <col min="2" max="2" width="76.140625" customWidth="1"/>
    <col min="3" max="3" width="35.7109375" customWidth="1"/>
  </cols>
  <sheetData>
    <row r="1" spans="1:3" x14ac:dyDescent="0.25">
      <c r="A1" t="s">
        <v>31</v>
      </c>
      <c r="B1" t="s">
        <v>29</v>
      </c>
      <c r="C1" t="s">
        <v>30</v>
      </c>
    </row>
    <row r="2" spans="1:3" x14ac:dyDescent="0.25">
      <c r="A2" t="s">
        <v>34</v>
      </c>
      <c r="B2" t="s">
        <v>32</v>
      </c>
      <c r="C2" s="4" t="s">
        <v>33</v>
      </c>
    </row>
    <row r="3" spans="1:3" x14ac:dyDescent="0.25">
      <c r="A3" t="s">
        <v>36</v>
      </c>
      <c r="B3" t="s">
        <v>35</v>
      </c>
      <c r="C3" s="4" t="s">
        <v>37</v>
      </c>
    </row>
    <row r="4" spans="1:3" x14ac:dyDescent="0.25">
      <c r="A4" t="s">
        <v>38</v>
      </c>
      <c r="B4" t="s">
        <v>39</v>
      </c>
      <c r="C4" s="4" t="s">
        <v>40</v>
      </c>
    </row>
    <row r="5" spans="1:3" x14ac:dyDescent="0.25">
      <c r="A5" t="s">
        <v>69</v>
      </c>
      <c r="B5" t="s">
        <v>70</v>
      </c>
      <c r="C5" s="4" t="s">
        <v>71</v>
      </c>
    </row>
    <row r="6" spans="1:3" x14ac:dyDescent="0.25">
      <c r="A6" t="s">
        <v>101</v>
      </c>
      <c r="B6" t="s">
        <v>100</v>
      </c>
      <c r="C6" s="4" t="s">
        <v>99</v>
      </c>
    </row>
  </sheetData>
  <hyperlinks>
    <hyperlink ref="C2" r:id="rId1" xr:uid="{4489D75A-EF6B-4737-82E7-BF06648DF452}"/>
    <hyperlink ref="C3" r:id="rId2" xr:uid="{347F45F2-FC45-48D9-B686-1FE80FF0641C}"/>
    <hyperlink ref="C4" r:id="rId3" xr:uid="{F8965DA1-9CE6-469E-83FC-D0A429356FE3}"/>
    <hyperlink ref="C5" r:id="rId4" xr:uid="{BE25FAC8-25B4-40E2-AB88-09CBDE02A04D}"/>
    <hyperlink ref="C6" r:id="rId5" xr:uid="{CC89F0FD-AD30-41B3-94C8-E4E52041EA30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</vt:lpstr>
      <vt:lpstr>check</vt:lpstr>
      <vt:lpstr>literature data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2015-06-05T18:17:20Z</dcterms:created>
  <dcterms:modified xsi:type="dcterms:W3CDTF">2026-03-19T14:01:42Z</dcterms:modified>
</cp:coreProperties>
</file>