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nka0003\Git repos\CIBUSmod\data\default\"/>
    </mc:Choice>
  </mc:AlternateContent>
  <bookViews>
    <workbookView xWindow="0" yWindow="0" windowWidth="19200" windowHeight="6900"/>
  </bookViews>
  <sheets>
    <sheet name="defaul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3" i="1" l="1"/>
  <c r="D21" i="1" l="1"/>
  <c r="D10" i="1" l="1"/>
  <c r="D13" i="1" l="1"/>
  <c r="D6" i="1" l="1"/>
  <c r="D3" i="1"/>
  <c r="D5" i="1"/>
</calcChain>
</file>

<file path=xl/sharedStrings.xml><?xml version="1.0" encoding="utf-8"?>
<sst xmlns="http://schemas.openxmlformats.org/spreadsheetml/2006/main" count="52" uniqueCount="37">
  <si>
    <t>f_input</t>
  </si>
  <si>
    <t>Ammonium nitrate</t>
  </si>
  <si>
    <t>Calcium ammonium nitrate</t>
  </si>
  <si>
    <t>f_ecoinvent_id</t>
  </si>
  <si>
    <t>parameter</t>
  </si>
  <si>
    <t>value</t>
  </si>
  <si>
    <t>unit</t>
  </si>
  <si>
    <t>description</t>
  </si>
  <si>
    <t>source</t>
  </si>
  <si>
    <t>kg/kg N</t>
  </si>
  <si>
    <t>Energy</t>
  </si>
  <si>
    <t>Diesel</t>
  </si>
  <si>
    <t>Biodiesel</t>
  </si>
  <si>
    <t>Fuel oil</t>
  </si>
  <si>
    <t>Natural gas</t>
  </si>
  <si>
    <t>Hydrogen</t>
  </si>
  <si>
    <t>Electricity</t>
  </si>
  <si>
    <t>District heating</t>
  </si>
  <si>
    <t>Geothermal</t>
  </si>
  <si>
    <t>Woody biofuels</t>
  </si>
  <si>
    <t>input_to_ecoinvent</t>
  </si>
  <si>
    <t>1 kg light fuel oil = 42.6 MJ --&gt; 11.8 kWh</t>
  </si>
  <si>
    <t>kg/kWh</t>
  </si>
  <si>
    <t>1 kg diesel = 42.8 MJ --&gt; 11.9 kWh</t>
  </si>
  <si>
    <t>1 m3 Natural Gas, High Pressure = 36 MJ --&gt; 10 kWh</t>
  </si>
  <si>
    <t>m3/kWh</t>
  </si>
  <si>
    <t>kWh/kWh</t>
  </si>
  <si>
    <t>Assumes 4.95 kWh/kg (https://en.wikipedia.org/wiki/Pellet_fuel) and 1.1 kg/kg DM (ecoinvent)</t>
  </si>
  <si>
    <t>MJ/kWh</t>
  </si>
  <si>
    <t>is "wood chips" good here?</t>
  </si>
  <si>
    <t>Compound fertiliser-N</t>
  </si>
  <si>
    <t>Compound fertiliser-P</t>
  </si>
  <si>
    <t>kg/kg P</t>
  </si>
  <si>
    <t>1 kg P2O5 = 0.436 kg of Phosphorous as P</t>
  </si>
  <si>
    <t>Fertilisers</t>
  </si>
  <si>
    <t>Compound fertiliser-K</t>
  </si>
  <si>
    <t>1 kg K2O = 0.436 kg of Phosphorous as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</si>
</sst>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0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pane ySplit="1" topLeftCell="A2" activePane="bottomLeft" state="frozen"/>
      <selection pane="bottomLeft" activeCell="C27" sqref="C27"/>
    </sheetView>
  </sheetViews>
  <sheetFormatPr defaultRowHeight="15" x14ac:dyDescent="0.25"/>
  <cols>
    <col min="1" max="1" width="25.5703125" bestFit="1" customWidth="1"/>
    <col min="2" max="2" width="19.28515625" bestFit="1" customWidth="1"/>
    <col min="3" max="3" width="18.7109375" bestFit="1" customWidth="1"/>
    <col min="4" max="4" width="6.5703125" bestFit="1" customWidth="1"/>
    <col min="5" max="5" width="9.5703125" customWidth="1"/>
    <col min="6" max="6" width="34.5703125" customWidth="1"/>
    <col min="7" max="7" width="31.7109375" customWidth="1"/>
  </cols>
  <sheetData>
    <row r="1" spans="1:7" x14ac:dyDescent="0.25">
      <c r="A1" s="3" t="s">
        <v>0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</row>
    <row r="2" spans="1:7" x14ac:dyDescent="0.25">
      <c r="A2" s="2" t="s">
        <v>10</v>
      </c>
      <c r="B2" s="2"/>
      <c r="C2" s="2"/>
      <c r="D2" s="2"/>
      <c r="E2" s="2"/>
      <c r="F2" s="2"/>
      <c r="G2" s="2"/>
    </row>
    <row r="3" spans="1:7" s="5" customFormat="1" x14ac:dyDescent="0.25">
      <c r="A3" t="s">
        <v>11</v>
      </c>
      <c r="B3">
        <v>368</v>
      </c>
      <c r="C3" t="s">
        <v>20</v>
      </c>
      <c r="D3" s="4">
        <f>1/11.9</f>
        <v>8.4033613445378144E-2</v>
      </c>
      <c r="E3" t="s">
        <v>22</v>
      </c>
      <c r="F3" s="6" t="s">
        <v>23</v>
      </c>
      <c r="G3"/>
    </row>
    <row r="4" spans="1:7" s="5" customFormat="1" x14ac:dyDescent="0.25">
      <c r="A4" t="s">
        <v>12</v>
      </c>
      <c r="B4"/>
      <c r="C4"/>
      <c r="D4" s="4"/>
      <c r="E4"/>
      <c r="F4" s="6"/>
      <c r="G4"/>
    </row>
    <row r="5" spans="1:7" s="5" customFormat="1" x14ac:dyDescent="0.25">
      <c r="A5" t="s">
        <v>13</v>
      </c>
      <c r="B5">
        <v>4575</v>
      </c>
      <c r="C5" t="s">
        <v>20</v>
      </c>
      <c r="D5" s="4">
        <f>1/11.8</f>
        <v>8.4745762711864403E-2</v>
      </c>
      <c r="E5" t="s">
        <v>22</v>
      </c>
      <c r="F5" s="6" t="s">
        <v>21</v>
      </c>
      <c r="G5"/>
    </row>
    <row r="6" spans="1:7" s="5" customFormat="1" x14ac:dyDescent="0.25">
      <c r="A6" t="s">
        <v>14</v>
      </c>
      <c r="B6">
        <v>482</v>
      </c>
      <c r="C6" t="s">
        <v>20</v>
      </c>
      <c r="D6" s="4">
        <f>1/10</f>
        <v>0.1</v>
      </c>
      <c r="E6" t="s">
        <v>25</v>
      </c>
      <c r="F6" s="6" t="s">
        <v>24</v>
      </c>
      <c r="G6"/>
    </row>
    <row r="7" spans="1:7" s="5" customFormat="1" x14ac:dyDescent="0.25">
      <c r="A7" t="s">
        <v>15</v>
      </c>
      <c r="B7"/>
      <c r="C7"/>
      <c r="D7" s="4"/>
      <c r="E7"/>
      <c r="F7" s="6"/>
      <c r="G7"/>
    </row>
    <row r="8" spans="1:7" s="5" customFormat="1" x14ac:dyDescent="0.25">
      <c r="A8"/>
      <c r="B8"/>
      <c r="C8"/>
      <c r="D8" s="4"/>
      <c r="E8"/>
      <c r="F8" s="6"/>
      <c r="G8"/>
    </row>
    <row r="9" spans="1:7" s="5" customFormat="1" x14ac:dyDescent="0.25">
      <c r="A9" t="s">
        <v>16</v>
      </c>
      <c r="B9">
        <v>8241</v>
      </c>
      <c r="C9" t="s">
        <v>20</v>
      </c>
      <c r="D9" s="4">
        <v>1</v>
      </c>
      <c r="E9" t="s">
        <v>26</v>
      </c>
      <c r="F9" s="6"/>
      <c r="G9"/>
    </row>
    <row r="10" spans="1:7" s="5" customFormat="1" x14ac:dyDescent="0.25">
      <c r="A10" t="s">
        <v>17</v>
      </c>
      <c r="B10">
        <v>306</v>
      </c>
      <c r="C10" t="s">
        <v>20</v>
      </c>
      <c r="D10" s="4">
        <f>3.6</f>
        <v>3.6</v>
      </c>
      <c r="E10" t="s">
        <v>28</v>
      </c>
      <c r="F10" s="8" t="s">
        <v>29</v>
      </c>
      <c r="G10"/>
    </row>
    <row r="11" spans="1:7" s="5" customFormat="1" x14ac:dyDescent="0.25">
      <c r="A11" t="s">
        <v>18</v>
      </c>
      <c r="B11"/>
      <c r="C11"/>
      <c r="D11" s="4"/>
      <c r="E11"/>
      <c r="F11" s="6"/>
      <c r="G11"/>
    </row>
    <row r="12" spans="1:7" s="5" customFormat="1" x14ac:dyDescent="0.25">
      <c r="A12"/>
      <c r="B12"/>
      <c r="C12"/>
      <c r="D12" s="4"/>
      <c r="E12"/>
      <c r="F12" s="6"/>
      <c r="G12"/>
    </row>
    <row r="13" spans="1:7" s="5" customFormat="1" x14ac:dyDescent="0.25">
      <c r="A13" t="s">
        <v>19</v>
      </c>
      <c r="B13">
        <v>5318</v>
      </c>
      <c r="C13" t="s">
        <v>20</v>
      </c>
      <c r="D13" s="4">
        <f>1.1/4.95</f>
        <v>0.22222222222222224</v>
      </c>
      <c r="E13" t="s">
        <v>22</v>
      </c>
      <c r="F13" s="6" t="s">
        <v>27</v>
      </c>
      <c r="G13"/>
    </row>
    <row r="14" spans="1:7" s="5" customFormat="1" x14ac:dyDescent="0.25">
      <c r="A14"/>
      <c r="B14"/>
      <c r="C14"/>
      <c r="D14" s="4"/>
      <c r="E14"/>
      <c r="F14" s="6"/>
      <c r="G14"/>
    </row>
    <row r="15" spans="1:7" s="5" customFormat="1" x14ac:dyDescent="0.25">
      <c r="A15"/>
      <c r="B15"/>
      <c r="C15"/>
      <c r="D15" s="4"/>
      <c r="E15"/>
      <c r="F15" s="6"/>
      <c r="G15"/>
    </row>
    <row r="16" spans="1:7" x14ac:dyDescent="0.25">
      <c r="A16" s="2" t="s">
        <v>34</v>
      </c>
      <c r="B16" s="1"/>
      <c r="C16" s="1"/>
      <c r="D16" s="1"/>
      <c r="E16" s="1"/>
      <c r="F16" s="7"/>
      <c r="G16" s="1"/>
    </row>
    <row r="17" spans="1:12" x14ac:dyDescent="0.25">
      <c r="A17" t="s">
        <v>1</v>
      </c>
      <c r="B17">
        <v>23100</v>
      </c>
      <c r="C17" t="s">
        <v>20</v>
      </c>
      <c r="D17" s="9">
        <v>1</v>
      </c>
      <c r="E17" t="s">
        <v>9</v>
      </c>
      <c r="F17" s="6"/>
    </row>
    <row r="18" spans="1:12" x14ac:dyDescent="0.25">
      <c r="A18" t="s">
        <v>2</v>
      </c>
      <c r="B18">
        <v>23100</v>
      </c>
      <c r="C18" t="s">
        <v>20</v>
      </c>
      <c r="D18" s="9">
        <v>1</v>
      </c>
      <c r="E18" t="s">
        <v>9</v>
      </c>
      <c r="F18" s="6"/>
    </row>
    <row r="19" spans="1:12" x14ac:dyDescent="0.25">
      <c r="A19" t="s">
        <v>30</v>
      </c>
      <c r="B19">
        <v>23100</v>
      </c>
      <c r="C19" t="s">
        <v>20</v>
      </c>
      <c r="D19" s="9">
        <v>1</v>
      </c>
      <c r="E19" t="s">
        <v>9</v>
      </c>
      <c r="F19" s="6"/>
    </row>
    <row r="20" spans="1:12" x14ac:dyDescent="0.25">
      <c r="D20" s="4"/>
      <c r="F20" s="6"/>
    </row>
    <row r="21" spans="1:12" x14ac:dyDescent="0.25">
      <c r="A21" t="s">
        <v>31</v>
      </c>
      <c r="B21">
        <v>23127</v>
      </c>
      <c r="C21" t="s">
        <v>20</v>
      </c>
      <c r="D21" s="4">
        <f>1/0.436</f>
        <v>2.2935779816513762</v>
      </c>
      <c r="E21" t="s">
        <v>32</v>
      </c>
      <c r="F21" s="6" t="s">
        <v>33</v>
      </c>
    </row>
    <row r="22" spans="1:12" x14ac:dyDescent="0.25">
      <c r="D22" s="4"/>
      <c r="F22" s="6"/>
      <c r="L22" s="4"/>
    </row>
    <row r="23" spans="1:12" x14ac:dyDescent="0.25">
      <c r="A23" t="s">
        <v>35</v>
      </c>
      <c r="B23">
        <v>22724</v>
      </c>
      <c r="C23" t="s">
        <v>20</v>
      </c>
      <c r="D23" s="4">
        <f>1/0.8301</f>
        <v>1.2046741356463078</v>
      </c>
      <c r="E23" t="s">
        <v>32</v>
      </c>
      <c r="F23" s="6" t="s">
        <v>36</v>
      </c>
    </row>
    <row r="24" spans="1:12" x14ac:dyDescent="0.25">
      <c r="D24" s="4"/>
    </row>
    <row r="25" spans="1:12" x14ac:dyDescent="0.25">
      <c r="D25" s="4"/>
    </row>
    <row r="26" spans="1:12" x14ac:dyDescent="0.25">
      <c r="D26" s="4"/>
    </row>
    <row r="27" spans="1:12" x14ac:dyDescent="0.25">
      <c r="D27" s="4"/>
    </row>
    <row r="28" spans="1:12" x14ac:dyDescent="0.25">
      <c r="D28" s="4"/>
    </row>
    <row r="29" spans="1:12" x14ac:dyDescent="0.25">
      <c r="D29" s="4"/>
    </row>
    <row r="30" spans="1:12" x14ac:dyDescent="0.25">
      <c r="D30" s="4"/>
    </row>
    <row r="31" spans="1:12" x14ac:dyDescent="0.25">
      <c r="D3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</vt:lpstr>
    </vt:vector>
  </TitlesOfParts>
  <Company>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Karlsson</dc:creator>
  <cp:lastModifiedBy>Johan Karlsson</cp:lastModifiedBy>
  <dcterms:created xsi:type="dcterms:W3CDTF">2023-10-31T13:10:39Z</dcterms:created>
  <dcterms:modified xsi:type="dcterms:W3CDTF">2024-09-11T20:08:40Z</dcterms:modified>
</cp:coreProperties>
</file>