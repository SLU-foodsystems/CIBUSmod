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1" l="1"/>
  <c r="I23" i="1"/>
  <c r="I22" i="1"/>
  <c r="I26" i="1"/>
  <c r="I27" i="1"/>
  <c r="I5" i="1" l="1"/>
  <c r="I4" i="1"/>
</calcChain>
</file>

<file path=xl/sharedStrings.xml><?xml version="1.0" encoding="utf-8"?>
<sst xmlns="http://schemas.openxmlformats.org/spreadsheetml/2006/main" count="474" uniqueCount="201">
  <si>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</si>
  <si>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</si>
  <si>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</si>
  <si>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</si>
  <si>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</si>
  <si>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</si>
  <si>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</si>
  <si>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</si>
  <si>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</si>
  <si>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</si>
  <si>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</si>
  <si>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</si>
  <si>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</si>
  <si>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</si>
  <si>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</si>
  <si>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</si>
  <si>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</si>
  <si>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</si>
  <si>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</si>
  <si>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</si>
  <si>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</si>
  <si>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</si>
  <si>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</si>
  <si>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</si>
  <si>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</si>
  <si>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</si>
  <si>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</si>
  <si>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</si>
  <si>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</si>
  <si>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</si>
  <si>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</si>
  <si>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</si>
  <si>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</si>
  <si>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</si>
  <si>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</si>
  <si>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</si>
  <si>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</si>
  <si>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</si>
  <si>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</si>
  <si>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</si>
  <si>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</si>
  <si>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</si>
  <si>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</si>
  <si>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</si>
  <si>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</si>
  <si>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</si>
  <si>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</si>
  <si>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</si>
  <si>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</si>
  <si>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</si>
  <si>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</si>
  <si>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</si>
  <si>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</si>
  <si>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</si>
  <si>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</si>
  <si>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</si>
  <si>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</si>
  <si>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</si>
  <si>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</si>
  <si>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</si>
  <si>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</si>
  <si>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</si>
  <si>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</si>
  <si>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</si>
  <si>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</si>
  <si>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</si>
  <si>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</si>
  <si>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</si>
  <si>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</si>
  <si>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</si>
  <si>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</si>
  <si>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</si>
  <si>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</si>
  <si>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</si>
  <si>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</si>
  <si>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</si>
  <si>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</si>
  <si>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</si>
  <si>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</si>
  <si>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</si>
  <si>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</si>
  <si>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</si>
  <si>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</si>
  <si>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</si>
  <si>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</si>
  <si>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</si>
  <si>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</si>
  <si>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</si>
  <si>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</si>
  <si>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</si>
  <si>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</si>
  <si>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</si>
  <si>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</si>
  <si>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</si>
  <si>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</si>
  <si>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</si>
  <si>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</si>
  <si>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</si>
  <si>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</si>
  <si>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</si>
  <si>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</si>
  <si>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</si>
  <si>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</si>
  <si>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</si>
  <si>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</si>
  <si>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</si>
  <si>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</si>
  <si>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</si>
  <si>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</si>
  <si>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</si>
  <si>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</si>
  <si>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</si>
  <si>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</si>
  <si>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</si>
  <si>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</si>
  <si>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</si>
  <si>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</si>
  <si>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</si>
  <si>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</si>
  <si>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</si>
  <si>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</si>
  <si>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</si>
  <si>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</si>
  <si>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</si>
  <si>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</si>
  <si>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</si>
  <si>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</si>
  <si>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</si>
  <si>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</si>
  <si>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</si>
  <si>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</si>
  <si>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</si>
  <si>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</si>
  <si>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</si>
  <si>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</si>
  <si>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</si>
  <si>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halm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</si>
  <si>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</si>
  <si>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</si>
  <si>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</si>
  <si>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</si>
  <si>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</si>
  <si>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</si>
  <si>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</si>
  <si>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</si>
  <si>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</si>
  <si>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</si>
  <si>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</si>
  <si>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</si>
  <si>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hydrogen</t>
  </si>
  <si>
    <t>electricity</t>
  </si>
  <si>
    <t>Energy in greenhouses</t>
  </si>
  <si>
    <t>f_activity</t>
  </si>
  <si>
    <t>field machinery</t>
  </si>
  <si>
    <t>fuel oil</t>
  </si>
  <si>
    <t>natural gas</t>
  </si>
  <si>
    <t>woody biofuels</t>
  </si>
  <si>
    <t>geothermal</t>
  </si>
  <si>
    <t>district heating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</si>
  <si>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</si>
  <si>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</si>
  <si>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</si>
  <si>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</si>
  <si>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</si>
  <si>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</si>
  <si>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</si>
  <si>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</si>
  <si>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</si>
  <si>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</si>
  <si>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</si>
  <si>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</si>
  <si>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</si>
  <si>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</si>
  <si>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</si>
  <si>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</si>
  <si>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</si>
  <si>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</si>
  <si>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</si>
  <si>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</si>
  <si>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</si>
  <si>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biodiesel</t>
  </si>
  <si>
    <t>MachineryAndEnergyMgmt-field_operations.csv</t>
  </si>
  <si>
    <t>f_compound</t>
  </si>
  <si>
    <t>combustion_EF</t>
  </si>
  <si>
    <t>CO2</t>
  </si>
  <si>
    <t>N2O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</si>
  <si>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compunds?)</t>
    </r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</si>
  <si>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</si>
  <si>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</si>
  <si>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</si>
  <si>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</si>
  <si>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</si>
  <si>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</si>
  <si>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</si>
  <si>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</si>
  <si>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</si>
  <si>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</si>
  <si>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</si>
  <si>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</si>
  <si>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grain drying</t>
  </si>
  <si>
    <t>Fallback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</si>
</sst>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8" formatCode="0.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8" fontId="7" fillId="0" borderId="0" xfId="0" applyNumberFormat="1" applyFont="1"/>
    <xf numFmtId="164" fontId="10" fillId="0" borderId="0" xfId="0" applyNumberFormat="1" applyFont="1"/>
    <xf numFmtId="0" fontId="8" fillId="0" borderId="0" xfId="0" applyFont="1" applyFill="1" applyBorder="1"/>
    <xf numFmtId="1" fontId="8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8"/>
  <sheetViews>
    <sheetView tabSelected="1" workbookViewId="0">
      <pane ySplit="1" topLeftCell="A20" activePane="bottomLeft" state="frozen"/>
      <selection pane="bottomLeft" activeCell="K28" sqref="K28"/>
    </sheetView>
  </sheetViews>
  <sheetFormatPr defaultRowHeight="15" x14ac:dyDescent="0.25"/>
  <cols>
    <col min="3" max="7" width="12.28515625" customWidth="1"/>
    <col min="8" max="8" width="31" bestFit="1" customWidth="1"/>
    <col min="9" max="9" width="9.28515625" customWidth="1"/>
    <col min="10" max="10" width="12.140625" customWidth="1"/>
    <col min="11" max="11" width="31.7109375" customWidth="1"/>
    <col min="12" max="12" width="22.7109375" customWidth="1"/>
  </cols>
  <sheetData>
    <row r="1" spans="1:12" x14ac:dyDescent="0.25">
      <c r="A1" t="s">
        <v>152</v>
      </c>
      <c r="B1" s="14" t="s">
        <v>0</v>
      </c>
      <c r="C1" s="14" t="s">
        <v>148</v>
      </c>
      <c r="D1" s="14" t="s">
        <v>52</v>
      </c>
      <c r="E1" s="14" t="s">
        <v>44</v>
      </c>
      <c r="F1" s="14" t="s">
        <v>129</v>
      </c>
      <c r="G1" s="14" t="s">
        <v>182</v>
      </c>
      <c r="H1" s="14" t="s">
        <v>1</v>
      </c>
      <c r="I1" s="14" t="s">
        <v>2</v>
      </c>
      <c r="J1" s="14" t="s">
        <v>3</v>
      </c>
      <c r="K1" s="14" t="s">
        <v>4</v>
      </c>
      <c r="L1" s="14" t="s">
        <v>5</v>
      </c>
    </row>
    <row r="2" spans="1:12" x14ac:dyDescent="0.25">
      <c r="H2" s="20" t="s">
        <v>160</v>
      </c>
      <c r="I2" s="9">
        <v>0</v>
      </c>
      <c r="J2" s="9" t="s">
        <v>128</v>
      </c>
      <c r="K2" s="9" t="s">
        <v>53</v>
      </c>
    </row>
    <row r="4" spans="1:12" x14ac:dyDescent="0.25">
      <c r="A4" t="s">
        <v>153</v>
      </c>
      <c r="C4" s="4" t="s">
        <v>26</v>
      </c>
      <c r="H4" s="6" t="s">
        <v>160</v>
      </c>
      <c r="I4" s="18">
        <f>(241822577+237201100)/(241822577+237201100+5856000+8368914)*100</f>
        <v>97.116076100458642</v>
      </c>
      <c r="J4" t="s">
        <v>128</v>
      </c>
      <c r="L4" t="s">
        <v>178</v>
      </c>
    </row>
    <row r="5" spans="1:12" x14ac:dyDescent="0.25">
      <c r="A5" t="s">
        <v>153</v>
      </c>
      <c r="C5" s="4" t="s">
        <v>180</v>
      </c>
      <c r="H5" s="6" t="s">
        <v>160</v>
      </c>
      <c r="I5" s="18">
        <f>100-I4</f>
        <v>2.8839238995413581</v>
      </c>
      <c r="J5" t="s">
        <v>128</v>
      </c>
      <c r="L5" t="s">
        <v>179</v>
      </c>
    </row>
    <row r="6" spans="1:12" x14ac:dyDescent="0.25">
      <c r="A6" t="s">
        <v>153</v>
      </c>
      <c r="C6" s="4" t="s">
        <v>149</v>
      </c>
      <c r="H6" s="6" t="s">
        <v>160</v>
      </c>
      <c r="I6" s="10">
        <v>0</v>
      </c>
      <c r="J6" t="s">
        <v>128</v>
      </c>
    </row>
    <row r="7" spans="1:12" x14ac:dyDescent="0.25">
      <c r="A7" t="s">
        <v>153</v>
      </c>
      <c r="C7" s="6" t="s">
        <v>150</v>
      </c>
      <c r="H7" s="6" t="s">
        <v>160</v>
      </c>
      <c r="I7" s="10">
        <v>0</v>
      </c>
      <c r="J7" t="s">
        <v>128</v>
      </c>
    </row>
    <row r="8" spans="1:12" x14ac:dyDescent="0.25">
      <c r="C8" s="6"/>
      <c r="H8" s="6"/>
      <c r="I8" s="15"/>
    </row>
    <row r="9" spans="1:12" x14ac:dyDescent="0.25">
      <c r="A9" t="s">
        <v>159</v>
      </c>
      <c r="C9" s="6" t="s">
        <v>154</v>
      </c>
      <c r="H9" s="6" t="s">
        <v>160</v>
      </c>
      <c r="I9" s="11">
        <v>6.4777062142923141</v>
      </c>
      <c r="J9" t="s">
        <v>128</v>
      </c>
      <c r="L9" t="s">
        <v>173</v>
      </c>
    </row>
    <row r="10" spans="1:12" x14ac:dyDescent="0.25">
      <c r="A10" t="s">
        <v>159</v>
      </c>
      <c r="C10" s="6" t="s">
        <v>155</v>
      </c>
      <c r="H10" s="6" t="s">
        <v>160</v>
      </c>
      <c r="I10" s="11">
        <v>8.7567853491111922</v>
      </c>
      <c r="J10" t="s">
        <v>128</v>
      </c>
      <c r="K10" t="s">
        <v>176</v>
      </c>
      <c r="L10" t="s">
        <v>174</v>
      </c>
    </row>
    <row r="11" spans="1:12" x14ac:dyDescent="0.25">
      <c r="A11" t="s">
        <v>159</v>
      </c>
      <c r="C11" s="6" t="s">
        <v>156</v>
      </c>
      <c r="H11" s="6" t="s">
        <v>160</v>
      </c>
      <c r="I11" s="18">
        <v>59.671114354829328</v>
      </c>
      <c r="J11" t="s">
        <v>128</v>
      </c>
      <c r="K11" s="19" t="s">
        <v>177</v>
      </c>
      <c r="L11" t="s">
        <v>175</v>
      </c>
    </row>
    <row r="12" spans="1:12" x14ac:dyDescent="0.25">
      <c r="A12" t="s">
        <v>159</v>
      </c>
      <c r="C12" s="6" t="s">
        <v>150</v>
      </c>
      <c r="H12" s="6" t="s">
        <v>160</v>
      </c>
      <c r="I12" s="18">
        <v>16.802918820320372</v>
      </c>
      <c r="J12" t="s">
        <v>128</v>
      </c>
    </row>
    <row r="13" spans="1:12" x14ac:dyDescent="0.25">
      <c r="A13" t="s">
        <v>159</v>
      </c>
      <c r="C13" s="6" t="s">
        <v>158</v>
      </c>
      <c r="H13" s="6" t="s">
        <v>160</v>
      </c>
      <c r="I13" s="11">
        <v>7.4851294970113242</v>
      </c>
      <c r="J13" t="s">
        <v>128</v>
      </c>
    </row>
    <row r="14" spans="1:12" x14ac:dyDescent="0.25">
      <c r="A14" t="s">
        <v>159</v>
      </c>
      <c r="C14" s="6" t="s">
        <v>157</v>
      </c>
      <c r="H14" s="6" t="s">
        <v>160</v>
      </c>
      <c r="I14" s="11">
        <v>0.80634576443547301</v>
      </c>
      <c r="J14" t="s">
        <v>128</v>
      </c>
    </row>
    <row r="16" spans="1:12" x14ac:dyDescent="0.25">
      <c r="F16" t="s">
        <v>121</v>
      </c>
      <c r="H16" t="s">
        <v>130</v>
      </c>
      <c r="I16" s="15">
        <v>80</v>
      </c>
      <c r="J16" t="s">
        <v>128</v>
      </c>
    </row>
    <row r="17" spans="1:12" x14ac:dyDescent="0.25">
      <c r="F17" t="s">
        <v>122</v>
      </c>
      <c r="H17" t="s">
        <v>130</v>
      </c>
      <c r="I17" s="15">
        <v>10</v>
      </c>
      <c r="J17" t="s">
        <v>128</v>
      </c>
    </row>
    <row r="18" spans="1:12" x14ac:dyDescent="0.25">
      <c r="F18" t="s">
        <v>123</v>
      </c>
      <c r="H18" t="s">
        <v>130</v>
      </c>
      <c r="I18" s="15">
        <v>10</v>
      </c>
      <c r="J18" t="s">
        <v>128</v>
      </c>
    </row>
    <row r="19" spans="1:12" x14ac:dyDescent="0.25">
      <c r="A19" s="1" t="s">
        <v>186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C20" s="4"/>
      <c r="H20" s="9" t="s">
        <v>183</v>
      </c>
      <c r="I20" s="26">
        <v>0</v>
      </c>
      <c r="J20" s="9"/>
      <c r="K20" s="9" t="s">
        <v>200</v>
      </c>
    </row>
    <row r="21" spans="1:12" x14ac:dyDescent="0.25">
      <c r="C21" s="4"/>
      <c r="I21" s="18"/>
    </row>
    <row r="22" spans="1:12" x14ac:dyDescent="0.25">
      <c r="A22" t="s">
        <v>153</v>
      </c>
      <c r="C22" s="4" t="s">
        <v>26</v>
      </c>
      <c r="G22" t="s">
        <v>184</v>
      </c>
      <c r="H22" t="s">
        <v>183</v>
      </c>
      <c r="I22" s="18">
        <f>74100</f>
        <v>74100</v>
      </c>
      <c r="J22" t="s">
        <v>194</v>
      </c>
      <c r="K22" t="s">
        <v>188</v>
      </c>
      <c r="L22" t="s">
        <v>187</v>
      </c>
    </row>
    <row r="23" spans="1:12" x14ac:dyDescent="0.25">
      <c r="A23" t="s">
        <v>153</v>
      </c>
      <c r="C23" s="4" t="s">
        <v>26</v>
      </c>
      <c r="G23" t="s">
        <v>192</v>
      </c>
      <c r="H23" t="s">
        <v>183</v>
      </c>
      <c r="I23" s="11">
        <f>3.9</f>
        <v>3.9</v>
      </c>
      <c r="J23" t="s">
        <v>194</v>
      </c>
      <c r="L23" t="s">
        <v>189</v>
      </c>
    </row>
    <row r="24" spans="1:12" x14ac:dyDescent="0.25">
      <c r="A24" t="s">
        <v>153</v>
      </c>
      <c r="C24" s="4" t="s">
        <v>26</v>
      </c>
      <c r="G24" t="s">
        <v>185</v>
      </c>
      <c r="H24" t="s">
        <v>183</v>
      </c>
      <c r="I24" s="11">
        <f>3.9</f>
        <v>3.9</v>
      </c>
      <c r="J24" t="s">
        <v>194</v>
      </c>
      <c r="L24" t="s">
        <v>189</v>
      </c>
    </row>
    <row r="25" spans="1:12" x14ac:dyDescent="0.25">
      <c r="A25" t="s">
        <v>153</v>
      </c>
      <c r="C25" s="4" t="s">
        <v>180</v>
      </c>
      <c r="G25" t="s">
        <v>184</v>
      </c>
      <c r="H25" t="s">
        <v>183</v>
      </c>
      <c r="I25" s="18">
        <v>0</v>
      </c>
      <c r="J25" t="s">
        <v>194</v>
      </c>
    </row>
    <row r="26" spans="1:12" x14ac:dyDescent="0.25">
      <c r="A26" t="s">
        <v>153</v>
      </c>
      <c r="C26" s="4" t="s">
        <v>180</v>
      </c>
      <c r="G26" t="s">
        <v>193</v>
      </c>
      <c r="H26" t="s">
        <v>183</v>
      </c>
      <c r="I26" s="23">
        <f t="shared" ref="I26:I27" si="0">I23</f>
        <v>3.9</v>
      </c>
      <c r="J26" t="s">
        <v>194</v>
      </c>
      <c r="K26" t="s">
        <v>190</v>
      </c>
    </row>
    <row r="27" spans="1:12" x14ac:dyDescent="0.25">
      <c r="A27" t="s">
        <v>153</v>
      </c>
      <c r="C27" s="4" t="s">
        <v>180</v>
      </c>
      <c r="G27" t="s">
        <v>185</v>
      </c>
      <c r="H27" t="s">
        <v>183</v>
      </c>
      <c r="I27" s="23">
        <f t="shared" si="0"/>
        <v>3.9</v>
      </c>
      <c r="J27" t="s">
        <v>194</v>
      </c>
      <c r="K27" t="s">
        <v>190</v>
      </c>
    </row>
    <row r="28" spans="1:12" x14ac:dyDescent="0.25">
      <c r="A28" t="s">
        <v>153</v>
      </c>
      <c r="C28" s="4" t="s">
        <v>149</v>
      </c>
      <c r="H28" t="s">
        <v>183</v>
      </c>
      <c r="I28" s="18">
        <v>0</v>
      </c>
      <c r="J28" t="s">
        <v>194</v>
      </c>
      <c r="K28" s="15" t="s">
        <v>191</v>
      </c>
    </row>
    <row r="29" spans="1:12" x14ac:dyDescent="0.25">
      <c r="A29" t="s">
        <v>153</v>
      </c>
      <c r="C29" s="6" t="s">
        <v>150</v>
      </c>
      <c r="H29" t="s">
        <v>183</v>
      </c>
      <c r="I29" s="18">
        <v>0</v>
      </c>
      <c r="J29" t="s">
        <v>194</v>
      </c>
      <c r="K29" s="15"/>
    </row>
    <row r="30" spans="1:12" x14ac:dyDescent="0.25">
      <c r="C30" s="4"/>
      <c r="I30" s="22"/>
    </row>
    <row r="31" spans="1:12" x14ac:dyDescent="0.25">
      <c r="A31" t="s">
        <v>159</v>
      </c>
      <c r="C31" s="6" t="s">
        <v>154</v>
      </c>
      <c r="G31" t="s">
        <v>184</v>
      </c>
      <c r="H31" t="s">
        <v>183</v>
      </c>
      <c r="I31" s="18">
        <v>73300</v>
      </c>
      <c r="J31" t="s">
        <v>194</v>
      </c>
      <c r="K31" t="s">
        <v>197</v>
      </c>
      <c r="L31" t="s">
        <v>198</v>
      </c>
    </row>
    <row r="32" spans="1:12" x14ac:dyDescent="0.25">
      <c r="A32" t="s">
        <v>159</v>
      </c>
      <c r="C32" s="6" t="s">
        <v>154</v>
      </c>
      <c r="G32" t="s">
        <v>192</v>
      </c>
      <c r="H32" t="s">
        <v>183</v>
      </c>
      <c r="I32">
        <v>10</v>
      </c>
      <c r="J32" t="s">
        <v>194</v>
      </c>
      <c r="L32" t="s">
        <v>198</v>
      </c>
    </row>
    <row r="33" spans="1:12" x14ac:dyDescent="0.25">
      <c r="A33" t="s">
        <v>159</v>
      </c>
      <c r="C33" s="6" t="s">
        <v>154</v>
      </c>
      <c r="G33" t="s">
        <v>185</v>
      </c>
      <c r="H33" t="s">
        <v>183</v>
      </c>
      <c r="I33">
        <v>0.6</v>
      </c>
      <c r="J33" t="s">
        <v>194</v>
      </c>
      <c r="L33" t="s">
        <v>198</v>
      </c>
    </row>
    <row r="34" spans="1:12" x14ac:dyDescent="0.25">
      <c r="A34" t="s">
        <v>159</v>
      </c>
      <c r="C34" s="6" t="s">
        <v>155</v>
      </c>
      <c r="G34" t="s">
        <v>184</v>
      </c>
      <c r="H34" t="s">
        <v>183</v>
      </c>
      <c r="I34" s="18">
        <v>56100</v>
      </c>
      <c r="J34" t="s">
        <v>194</v>
      </c>
      <c r="K34" t="s">
        <v>196</v>
      </c>
      <c r="L34" t="s">
        <v>198</v>
      </c>
    </row>
    <row r="35" spans="1:12" x14ac:dyDescent="0.25">
      <c r="A35" t="s">
        <v>159</v>
      </c>
      <c r="C35" s="6" t="s">
        <v>155</v>
      </c>
      <c r="G35" t="s">
        <v>192</v>
      </c>
      <c r="H35" t="s">
        <v>183</v>
      </c>
      <c r="I35">
        <v>5</v>
      </c>
      <c r="J35" t="s">
        <v>194</v>
      </c>
      <c r="L35" t="s">
        <v>198</v>
      </c>
    </row>
    <row r="36" spans="1:12" x14ac:dyDescent="0.25">
      <c r="A36" t="s">
        <v>159</v>
      </c>
      <c r="C36" s="6" t="s">
        <v>155</v>
      </c>
      <c r="G36" t="s">
        <v>185</v>
      </c>
      <c r="H36" t="s">
        <v>183</v>
      </c>
      <c r="I36">
        <v>0.1</v>
      </c>
      <c r="J36" t="s">
        <v>194</v>
      </c>
      <c r="L36" t="s">
        <v>198</v>
      </c>
    </row>
    <row r="37" spans="1:12" x14ac:dyDescent="0.25">
      <c r="A37" t="s">
        <v>159</v>
      </c>
      <c r="C37" s="6" t="s">
        <v>156</v>
      </c>
      <c r="G37" t="s">
        <v>184</v>
      </c>
      <c r="H37" t="s">
        <v>183</v>
      </c>
      <c r="I37" s="18">
        <v>0</v>
      </c>
      <c r="J37" t="s">
        <v>194</v>
      </c>
      <c r="K37" t="s">
        <v>195</v>
      </c>
      <c r="L37" t="s">
        <v>198</v>
      </c>
    </row>
    <row r="38" spans="1:12" x14ac:dyDescent="0.25">
      <c r="A38" t="s">
        <v>159</v>
      </c>
      <c r="C38" s="6" t="s">
        <v>156</v>
      </c>
      <c r="G38" t="s">
        <v>193</v>
      </c>
      <c r="H38" t="s">
        <v>183</v>
      </c>
      <c r="I38" s="18">
        <v>300</v>
      </c>
      <c r="J38" t="s">
        <v>194</v>
      </c>
      <c r="L38" t="s">
        <v>198</v>
      </c>
    </row>
    <row r="39" spans="1:12" x14ac:dyDescent="0.25">
      <c r="A39" t="s">
        <v>159</v>
      </c>
      <c r="C39" s="6" t="s">
        <v>156</v>
      </c>
      <c r="G39" t="s">
        <v>185</v>
      </c>
      <c r="H39" t="s">
        <v>183</v>
      </c>
      <c r="I39" s="18">
        <v>4</v>
      </c>
      <c r="J39" t="s">
        <v>194</v>
      </c>
      <c r="L39" t="s">
        <v>198</v>
      </c>
    </row>
    <row r="40" spans="1:12" x14ac:dyDescent="0.25">
      <c r="A40" t="s">
        <v>159</v>
      </c>
      <c r="C40" s="6" t="s">
        <v>150</v>
      </c>
      <c r="H40" t="s">
        <v>183</v>
      </c>
      <c r="I40" s="18">
        <v>0</v>
      </c>
      <c r="J40" t="s">
        <v>194</v>
      </c>
      <c r="K40" s="15"/>
    </row>
    <row r="41" spans="1:12" x14ac:dyDescent="0.25">
      <c r="A41" t="s">
        <v>159</v>
      </c>
      <c r="C41" s="6" t="s">
        <v>158</v>
      </c>
      <c r="H41" t="s">
        <v>183</v>
      </c>
      <c r="I41" s="18">
        <v>0</v>
      </c>
      <c r="J41" t="s">
        <v>194</v>
      </c>
      <c r="K41" s="15"/>
    </row>
    <row r="42" spans="1:12" x14ac:dyDescent="0.25">
      <c r="A42" t="s">
        <v>159</v>
      </c>
      <c r="C42" s="6" t="s">
        <v>157</v>
      </c>
      <c r="H42" t="s">
        <v>183</v>
      </c>
      <c r="I42" s="18">
        <v>0</v>
      </c>
      <c r="J42" t="s">
        <v>194</v>
      </c>
      <c r="K42" s="15"/>
    </row>
    <row r="43" spans="1:12" x14ac:dyDescent="0.25">
      <c r="C43" s="6"/>
      <c r="I43" s="18"/>
      <c r="K43" s="15"/>
    </row>
    <row r="44" spans="1:12" x14ac:dyDescent="0.25">
      <c r="A44" s="15" t="s">
        <v>199</v>
      </c>
      <c r="B44" s="15"/>
      <c r="C44" s="24"/>
      <c r="D44" s="15"/>
      <c r="E44" s="15"/>
      <c r="F44" s="15"/>
      <c r="G44" s="15"/>
      <c r="H44" s="15" t="s">
        <v>183</v>
      </c>
      <c r="I44" s="25">
        <v>0</v>
      </c>
      <c r="K44" s="15"/>
    </row>
    <row r="45" spans="1:12" x14ac:dyDescent="0.25">
      <c r="I45" s="22"/>
    </row>
    <row r="46" spans="1:12" x14ac:dyDescent="0.25">
      <c r="A46" s="1" t="s">
        <v>6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2" t="s">
        <v>7</v>
      </c>
      <c r="B47" s="2"/>
      <c r="C47" s="2"/>
      <c r="D47" s="2"/>
      <c r="E47" s="2"/>
      <c r="F47" s="2"/>
      <c r="G47" s="2"/>
      <c r="H47" s="3"/>
      <c r="I47" s="3"/>
      <c r="J47" s="3"/>
      <c r="K47" s="3"/>
      <c r="L47" s="3"/>
    </row>
    <row r="48" spans="1:12" x14ac:dyDescent="0.25">
      <c r="B48" s="4"/>
      <c r="C48" s="4"/>
      <c r="D48" s="4"/>
      <c r="E48" s="4"/>
      <c r="F48" s="4"/>
      <c r="G48" s="4"/>
      <c r="H48" s="4" t="s">
        <v>9</v>
      </c>
      <c r="I48">
        <v>10800</v>
      </c>
      <c r="J48" t="s">
        <v>11</v>
      </c>
      <c r="K48" s="4" t="s">
        <v>10</v>
      </c>
    </row>
    <row r="49" spans="1:16" x14ac:dyDescent="0.25">
      <c r="B49" s="4"/>
      <c r="C49" s="4"/>
      <c r="D49" s="4"/>
      <c r="E49" s="4"/>
      <c r="F49" s="4"/>
      <c r="G49" s="4"/>
      <c r="H49" s="4" t="s">
        <v>22</v>
      </c>
      <c r="I49">
        <v>5</v>
      </c>
      <c r="J49" t="s">
        <v>13</v>
      </c>
      <c r="K49" s="4" t="s">
        <v>12</v>
      </c>
    </row>
    <row r="50" spans="1:16" x14ac:dyDescent="0.25">
      <c r="B50" s="4"/>
      <c r="C50" s="4"/>
      <c r="D50" s="4"/>
      <c r="E50" s="4"/>
      <c r="F50" s="4"/>
      <c r="G50" s="4"/>
      <c r="H50" s="6" t="s">
        <v>125</v>
      </c>
      <c r="I50">
        <v>2</v>
      </c>
      <c r="J50" t="s">
        <v>126</v>
      </c>
      <c r="K50" s="7"/>
    </row>
    <row r="51" spans="1:16" x14ac:dyDescent="0.25">
      <c r="B51" s="4"/>
      <c r="C51" s="4"/>
      <c r="D51" s="4"/>
      <c r="E51" s="4"/>
      <c r="F51" s="4"/>
      <c r="G51" s="4"/>
      <c r="H51" s="4" t="s">
        <v>23</v>
      </c>
      <c r="I51">
        <v>0.2</v>
      </c>
      <c r="J51" t="s">
        <v>15</v>
      </c>
      <c r="K51" s="4" t="s">
        <v>14</v>
      </c>
    </row>
    <row r="52" spans="1:16" x14ac:dyDescent="0.25">
      <c r="B52" s="4"/>
      <c r="C52" s="4"/>
      <c r="D52" s="4"/>
      <c r="E52" s="4"/>
      <c r="F52" s="4"/>
      <c r="G52" s="4"/>
      <c r="H52" s="4" t="s">
        <v>24</v>
      </c>
      <c r="I52">
        <v>3.5000000000000003E-2</v>
      </c>
      <c r="J52" t="s">
        <v>17</v>
      </c>
      <c r="K52" s="5" t="s">
        <v>16</v>
      </c>
    </row>
    <row r="53" spans="1:16" x14ac:dyDescent="0.25">
      <c r="B53" s="4"/>
      <c r="C53" s="4"/>
      <c r="D53" s="4"/>
      <c r="E53" s="4"/>
      <c r="F53" s="4"/>
      <c r="G53" s="4"/>
      <c r="H53" s="6" t="s">
        <v>25</v>
      </c>
      <c r="I53">
        <v>250</v>
      </c>
      <c r="J53" t="s">
        <v>19</v>
      </c>
      <c r="K53" s="5" t="s">
        <v>18</v>
      </c>
    </row>
    <row r="54" spans="1:16" x14ac:dyDescent="0.25">
      <c r="B54" s="4"/>
      <c r="C54" s="4"/>
      <c r="D54" s="4"/>
      <c r="E54" s="4"/>
      <c r="F54" s="4"/>
      <c r="G54" s="4"/>
      <c r="H54" s="20" t="s">
        <v>50</v>
      </c>
      <c r="I54" s="9">
        <v>1</v>
      </c>
      <c r="J54" s="9"/>
      <c r="K54" s="21" t="s">
        <v>53</v>
      </c>
    </row>
    <row r="55" spans="1:16" ht="18" x14ac:dyDescent="0.35">
      <c r="B55" s="4"/>
      <c r="C55" s="4" t="s">
        <v>26</v>
      </c>
      <c r="D55" s="4"/>
      <c r="E55" s="4"/>
      <c r="F55" s="4"/>
      <c r="G55" s="4"/>
      <c r="H55" s="6" t="s">
        <v>50</v>
      </c>
      <c r="I55">
        <v>0.26</v>
      </c>
      <c r="K55" s="5" t="s">
        <v>51</v>
      </c>
    </row>
    <row r="56" spans="1:16" ht="18" x14ac:dyDescent="0.35">
      <c r="B56" s="4"/>
      <c r="C56" s="4" t="s">
        <v>180</v>
      </c>
      <c r="D56" s="4"/>
      <c r="E56" s="4"/>
      <c r="F56" s="4"/>
      <c r="G56" s="4"/>
      <c r="H56" s="6" t="s">
        <v>50</v>
      </c>
      <c r="I56">
        <v>0.26</v>
      </c>
      <c r="K56" s="5" t="s">
        <v>51</v>
      </c>
    </row>
    <row r="57" spans="1:16" ht="18" x14ac:dyDescent="0.35">
      <c r="B57" s="4"/>
      <c r="C57" s="4" t="s">
        <v>149</v>
      </c>
      <c r="D57" s="4"/>
      <c r="E57" s="4"/>
      <c r="F57" s="4"/>
      <c r="G57" s="4"/>
      <c r="H57" s="6" t="s">
        <v>50</v>
      </c>
      <c r="I57">
        <v>0.45</v>
      </c>
      <c r="K57" s="5" t="s">
        <v>51</v>
      </c>
    </row>
    <row r="58" spans="1:16" ht="18" x14ac:dyDescent="0.35">
      <c r="B58" s="4"/>
      <c r="C58" s="6" t="s">
        <v>150</v>
      </c>
      <c r="D58" s="6"/>
      <c r="E58" s="6"/>
      <c r="F58" s="6"/>
      <c r="G58" s="6"/>
      <c r="H58" s="6" t="s">
        <v>50</v>
      </c>
      <c r="I58">
        <v>0.76</v>
      </c>
      <c r="K58" s="5" t="s">
        <v>51</v>
      </c>
    </row>
    <row r="59" spans="1:16" x14ac:dyDescent="0.25">
      <c r="B59" s="4"/>
      <c r="C59" s="4"/>
      <c r="D59" s="4"/>
      <c r="E59" s="4"/>
      <c r="F59" s="4"/>
      <c r="G59" s="4"/>
      <c r="H59" s="6" t="s">
        <v>27</v>
      </c>
      <c r="I59">
        <v>4</v>
      </c>
      <c r="J59" t="s">
        <v>21</v>
      </c>
      <c r="K59" s="7" t="s">
        <v>20</v>
      </c>
    </row>
    <row r="61" spans="1:16" x14ac:dyDescent="0.25">
      <c r="A61" s="2" t="s">
        <v>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6" x14ac:dyDescent="0.25">
      <c r="H62" t="s">
        <v>127</v>
      </c>
      <c r="I62">
        <v>4</v>
      </c>
      <c r="J62" t="s">
        <v>29</v>
      </c>
      <c r="K62" t="s">
        <v>28</v>
      </c>
      <c r="P62" s="6"/>
    </row>
    <row r="63" spans="1:16" ht="18" x14ac:dyDescent="0.35">
      <c r="H63" t="s">
        <v>45</v>
      </c>
      <c r="I63">
        <v>0.9</v>
      </c>
      <c r="K63" t="s">
        <v>30</v>
      </c>
      <c r="P63" s="6"/>
    </row>
    <row r="64" spans="1:16" ht="18" x14ac:dyDescent="0.35">
      <c r="H64" t="s">
        <v>38</v>
      </c>
      <c r="I64">
        <v>1.2250000000000001</v>
      </c>
      <c r="J64" t="s">
        <v>32</v>
      </c>
      <c r="K64" t="s">
        <v>31</v>
      </c>
      <c r="P64" s="6"/>
    </row>
    <row r="65" spans="1:16" ht="18" x14ac:dyDescent="0.35">
      <c r="H65" t="s">
        <v>39</v>
      </c>
      <c r="I65">
        <v>0.1</v>
      </c>
      <c r="K65" t="s">
        <v>33</v>
      </c>
      <c r="P65" s="6"/>
    </row>
    <row r="66" spans="1:16" ht="18" x14ac:dyDescent="0.35">
      <c r="H66" t="s">
        <v>40</v>
      </c>
      <c r="I66">
        <v>0.01</v>
      </c>
      <c r="K66" t="s">
        <v>34</v>
      </c>
    </row>
    <row r="67" spans="1:16" x14ac:dyDescent="0.25">
      <c r="H67" t="s">
        <v>41</v>
      </c>
      <c r="I67">
        <v>0.2</v>
      </c>
      <c r="K67" t="s">
        <v>35</v>
      </c>
    </row>
    <row r="68" spans="1:16" ht="18" x14ac:dyDescent="0.35">
      <c r="H68" t="s">
        <v>42</v>
      </c>
      <c r="I68">
        <v>0.8</v>
      </c>
      <c r="K68" t="s">
        <v>36</v>
      </c>
    </row>
    <row r="69" spans="1:16" ht="18" x14ac:dyDescent="0.35">
      <c r="H69" t="s">
        <v>43</v>
      </c>
      <c r="I69">
        <v>55</v>
      </c>
      <c r="K69" t="s">
        <v>37</v>
      </c>
      <c r="O69" s="4"/>
    </row>
    <row r="71" spans="1:16" x14ac:dyDescent="0.25">
      <c r="A71" s="1" t="s">
        <v>46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6" x14ac:dyDescent="0.25">
      <c r="H72" s="9" t="s">
        <v>76</v>
      </c>
      <c r="I72" s="9">
        <v>0</v>
      </c>
      <c r="J72" s="9" t="s">
        <v>85</v>
      </c>
      <c r="K72" s="9"/>
    </row>
    <row r="73" spans="1:16" x14ac:dyDescent="0.25">
      <c r="H73" s="9" t="s">
        <v>77</v>
      </c>
      <c r="I73" s="9">
        <v>0</v>
      </c>
      <c r="J73" s="9" t="s">
        <v>85</v>
      </c>
      <c r="K73" s="9"/>
    </row>
    <row r="74" spans="1:16" x14ac:dyDescent="0.25">
      <c r="H74" s="9" t="s">
        <v>78</v>
      </c>
      <c r="I74" s="9">
        <v>0</v>
      </c>
      <c r="J74" s="9" t="s">
        <v>85</v>
      </c>
      <c r="K74" s="9"/>
    </row>
    <row r="75" spans="1:16" x14ac:dyDescent="0.25">
      <c r="H75" s="9" t="s">
        <v>75</v>
      </c>
      <c r="I75" s="9">
        <v>0</v>
      </c>
      <c r="J75" s="9" t="s">
        <v>86</v>
      </c>
      <c r="K75" s="9"/>
    </row>
    <row r="76" spans="1:16" x14ac:dyDescent="0.25">
      <c r="H76" s="9" t="s">
        <v>92</v>
      </c>
      <c r="I76" s="9">
        <v>0</v>
      </c>
      <c r="J76" s="9" t="s">
        <v>93</v>
      </c>
      <c r="K76" s="9"/>
    </row>
    <row r="77" spans="1:16" x14ac:dyDescent="0.25">
      <c r="H77" s="9" t="s">
        <v>79</v>
      </c>
      <c r="I77" s="9">
        <v>1</v>
      </c>
      <c r="J77" s="9" t="s">
        <v>87</v>
      </c>
      <c r="K77" s="9" t="s">
        <v>80</v>
      </c>
    </row>
    <row r="78" spans="1:16" x14ac:dyDescent="0.25">
      <c r="H78" s="9" t="s">
        <v>54</v>
      </c>
      <c r="I78" s="9">
        <v>0</v>
      </c>
      <c r="J78" s="9" t="s">
        <v>56</v>
      </c>
      <c r="K78" s="9"/>
    </row>
    <row r="79" spans="1:16" x14ac:dyDescent="0.25">
      <c r="H79" s="9" t="s">
        <v>55</v>
      </c>
      <c r="I79" s="9">
        <v>0</v>
      </c>
      <c r="J79" s="9" t="s">
        <v>57</v>
      </c>
      <c r="K79" s="9"/>
    </row>
    <row r="80" spans="1:16" x14ac:dyDescent="0.25">
      <c r="H80" s="9" t="s">
        <v>134</v>
      </c>
      <c r="I80" s="9">
        <v>0</v>
      </c>
      <c r="J80" s="9" t="s">
        <v>57</v>
      </c>
      <c r="K80" s="9"/>
    </row>
    <row r="81" spans="4:12" x14ac:dyDescent="0.25">
      <c r="H81" s="9" t="s">
        <v>58</v>
      </c>
      <c r="I81" s="9">
        <v>0</v>
      </c>
      <c r="J81" s="9" t="s">
        <v>59</v>
      </c>
      <c r="K81" s="9"/>
    </row>
    <row r="82" spans="4:12" x14ac:dyDescent="0.25">
      <c r="H82" s="9"/>
      <c r="I82" s="9"/>
      <c r="J82" s="9"/>
      <c r="K82" s="9"/>
    </row>
    <row r="83" spans="4:12" x14ac:dyDescent="0.25">
      <c r="D83" t="s">
        <v>60</v>
      </c>
      <c r="H83" s="10" t="s">
        <v>76</v>
      </c>
      <c r="I83" s="10">
        <v>364</v>
      </c>
      <c r="J83" s="10"/>
      <c r="K83" s="10" t="s">
        <v>84</v>
      </c>
      <c r="L83" s="10"/>
    </row>
    <row r="84" spans="4:12" x14ac:dyDescent="0.25">
      <c r="D84" t="s">
        <v>60</v>
      </c>
      <c r="H84" s="10" t="s">
        <v>77</v>
      </c>
      <c r="I84" s="10">
        <v>18.8</v>
      </c>
      <c r="J84" s="10"/>
      <c r="K84" s="10"/>
      <c r="L84" s="10"/>
    </row>
    <row r="85" spans="4:12" x14ac:dyDescent="0.25">
      <c r="D85" t="s">
        <v>60</v>
      </c>
      <c r="H85" s="10" t="s">
        <v>78</v>
      </c>
      <c r="I85" s="10">
        <v>0</v>
      </c>
      <c r="J85" s="10"/>
      <c r="K85" s="10"/>
      <c r="L85" s="10"/>
    </row>
    <row r="86" spans="4:12" x14ac:dyDescent="0.25">
      <c r="D86" t="s">
        <v>60</v>
      </c>
      <c r="H86" s="10" t="s">
        <v>75</v>
      </c>
      <c r="I86" s="10">
        <v>10</v>
      </c>
      <c r="J86" s="10"/>
      <c r="K86" s="10"/>
      <c r="L86" s="10"/>
    </row>
    <row r="87" spans="4:12" x14ac:dyDescent="0.25">
      <c r="D87" t="s">
        <v>60</v>
      </c>
      <c r="E87" t="s">
        <v>74</v>
      </c>
      <c r="H87" s="10" t="s">
        <v>79</v>
      </c>
      <c r="I87" s="12">
        <v>1</v>
      </c>
      <c r="J87" s="10"/>
      <c r="K87" s="10"/>
      <c r="L87" s="10"/>
    </row>
    <row r="88" spans="4:12" x14ac:dyDescent="0.25">
      <c r="D88" t="s">
        <v>60</v>
      </c>
      <c r="E88" t="s">
        <v>73</v>
      </c>
      <c r="H88" s="10" t="s">
        <v>79</v>
      </c>
      <c r="I88" s="10">
        <v>0.88</v>
      </c>
      <c r="J88" s="10"/>
      <c r="K88" s="10"/>
      <c r="L88" s="10"/>
    </row>
    <row r="89" spans="4:12" x14ac:dyDescent="0.25">
      <c r="D89" t="s">
        <v>60</v>
      </c>
      <c r="E89" t="s">
        <v>72</v>
      </c>
      <c r="H89" s="10" t="s">
        <v>79</v>
      </c>
      <c r="I89" s="10">
        <v>0.78</v>
      </c>
      <c r="J89" s="10"/>
      <c r="K89" s="10"/>
      <c r="L89" s="10"/>
    </row>
    <row r="90" spans="4:12" x14ac:dyDescent="0.25">
      <c r="H90" s="10"/>
      <c r="I90" s="10"/>
      <c r="J90" s="10"/>
      <c r="K90" s="10"/>
      <c r="L90" s="10"/>
    </row>
    <row r="91" spans="4:12" x14ac:dyDescent="0.25">
      <c r="D91" t="s">
        <v>63</v>
      </c>
      <c r="H91" s="10" t="s">
        <v>76</v>
      </c>
      <c r="I91" s="10">
        <v>652</v>
      </c>
      <c r="J91" s="10"/>
      <c r="K91" s="10" t="s">
        <v>82</v>
      </c>
      <c r="L91" s="10"/>
    </row>
    <row r="92" spans="4:12" x14ac:dyDescent="0.25">
      <c r="D92" t="s">
        <v>63</v>
      </c>
      <c r="H92" s="10" t="s">
        <v>77</v>
      </c>
      <c r="I92" s="10">
        <v>0</v>
      </c>
      <c r="J92" s="10"/>
      <c r="K92" s="10"/>
      <c r="L92" s="10"/>
    </row>
    <row r="93" spans="4:12" x14ac:dyDescent="0.25">
      <c r="D93" t="s">
        <v>63</v>
      </c>
      <c r="H93" s="10" t="s">
        <v>78</v>
      </c>
      <c r="I93" s="10">
        <v>5.0999999999999996</v>
      </c>
      <c r="J93" s="10"/>
      <c r="K93" s="10"/>
      <c r="L93" s="10"/>
    </row>
    <row r="94" spans="4:12" x14ac:dyDescent="0.25">
      <c r="D94" t="s">
        <v>63</v>
      </c>
      <c r="H94" s="10" t="s">
        <v>75</v>
      </c>
      <c r="I94" s="10">
        <v>20</v>
      </c>
      <c r="J94" s="10"/>
      <c r="K94" s="10"/>
      <c r="L94" s="10"/>
    </row>
    <row r="95" spans="4:12" x14ac:dyDescent="0.25">
      <c r="D95" t="s">
        <v>63</v>
      </c>
      <c r="E95" t="s">
        <v>74</v>
      </c>
      <c r="H95" s="10" t="s">
        <v>79</v>
      </c>
      <c r="I95" s="12">
        <v>1</v>
      </c>
      <c r="J95" s="10"/>
      <c r="K95" s="10"/>
      <c r="L95" s="10"/>
    </row>
    <row r="96" spans="4:12" x14ac:dyDescent="0.25">
      <c r="D96" t="s">
        <v>63</v>
      </c>
      <c r="E96" t="s">
        <v>73</v>
      </c>
      <c r="H96" s="10" t="s">
        <v>79</v>
      </c>
      <c r="I96" s="12">
        <v>0.7</v>
      </c>
      <c r="J96" s="10"/>
      <c r="K96" s="10"/>
      <c r="L96" s="10"/>
    </row>
    <row r="97" spans="4:12" x14ac:dyDescent="0.25">
      <c r="D97" t="s">
        <v>63</v>
      </c>
      <c r="E97" t="s">
        <v>72</v>
      </c>
      <c r="H97" s="10" t="s">
        <v>79</v>
      </c>
      <c r="I97" s="10">
        <v>0.45</v>
      </c>
      <c r="J97" s="10"/>
      <c r="K97" s="10"/>
      <c r="L97" s="10"/>
    </row>
    <row r="98" spans="4:12" x14ac:dyDescent="0.25">
      <c r="H98" s="10"/>
      <c r="I98" s="10"/>
      <c r="J98" s="10"/>
      <c r="K98" s="10"/>
      <c r="L98" s="10"/>
    </row>
    <row r="99" spans="4:12" x14ac:dyDescent="0.25">
      <c r="D99" t="s">
        <v>62</v>
      </c>
      <c r="H99" s="10" t="s">
        <v>76</v>
      </c>
      <c r="I99" s="10">
        <v>46</v>
      </c>
      <c r="J99" s="10"/>
      <c r="K99" s="10" t="s">
        <v>83</v>
      </c>
      <c r="L99" s="10"/>
    </row>
    <row r="100" spans="4:12" x14ac:dyDescent="0.25">
      <c r="D100" t="s">
        <v>62</v>
      </c>
      <c r="H100" s="10" t="s">
        <v>77</v>
      </c>
      <c r="I100" s="10">
        <v>2.8</v>
      </c>
      <c r="J100" s="10"/>
      <c r="K100" s="10"/>
      <c r="L100" s="10"/>
    </row>
    <row r="101" spans="4:12" x14ac:dyDescent="0.25">
      <c r="D101" t="s">
        <v>62</v>
      </c>
      <c r="H101" s="10" t="s">
        <v>78</v>
      </c>
      <c r="I101" s="10">
        <v>0</v>
      </c>
      <c r="J101" s="10"/>
      <c r="K101" s="10"/>
      <c r="L101" s="10"/>
    </row>
    <row r="102" spans="4:12" x14ac:dyDescent="0.25">
      <c r="D102" t="s">
        <v>62</v>
      </c>
      <c r="H102" s="10" t="s">
        <v>75</v>
      </c>
      <c r="I102" s="10">
        <v>5</v>
      </c>
      <c r="J102" s="10"/>
      <c r="K102" s="10"/>
      <c r="L102" s="10"/>
    </row>
    <row r="103" spans="4:12" x14ac:dyDescent="0.25">
      <c r="D103" t="s">
        <v>62</v>
      </c>
      <c r="E103" t="s">
        <v>74</v>
      </c>
      <c r="H103" s="10" t="s">
        <v>79</v>
      </c>
      <c r="I103" s="12">
        <v>1</v>
      </c>
      <c r="J103" s="10"/>
      <c r="K103" s="10"/>
      <c r="L103" s="10"/>
    </row>
    <row r="104" spans="4:12" x14ac:dyDescent="0.25">
      <c r="D104" t="s">
        <v>62</v>
      </c>
      <c r="E104" t="s">
        <v>73</v>
      </c>
      <c r="H104" s="10" t="s">
        <v>79</v>
      </c>
      <c r="I104" s="10">
        <v>0.85</v>
      </c>
      <c r="J104" s="10"/>
      <c r="K104" s="10"/>
      <c r="L104" s="10"/>
    </row>
    <row r="105" spans="4:12" x14ac:dyDescent="0.25">
      <c r="D105" t="s">
        <v>62</v>
      </c>
      <c r="E105" t="s">
        <v>72</v>
      </c>
      <c r="H105" s="10" t="s">
        <v>79</v>
      </c>
      <c r="I105" s="10">
        <v>0.65</v>
      </c>
      <c r="J105" s="10"/>
      <c r="K105" s="10"/>
      <c r="L105" s="10"/>
    </row>
    <row r="106" spans="4:12" x14ac:dyDescent="0.25">
      <c r="H106" s="10"/>
      <c r="I106" s="10"/>
      <c r="J106" s="10"/>
      <c r="K106" s="10"/>
      <c r="L106" s="10"/>
    </row>
    <row r="107" spans="4:12" x14ac:dyDescent="0.25">
      <c r="D107" t="s">
        <v>65</v>
      </c>
      <c r="H107" s="10" t="s">
        <v>92</v>
      </c>
      <c r="I107" s="12">
        <v>5.0999999999999996</v>
      </c>
      <c r="J107" s="10"/>
      <c r="K107" s="6" t="s">
        <v>94</v>
      </c>
      <c r="L107" s="4" t="s">
        <v>96</v>
      </c>
    </row>
    <row r="108" spans="4:12" x14ac:dyDescent="0.25">
      <c r="D108" t="s">
        <v>66</v>
      </c>
      <c r="H108" s="10" t="s">
        <v>92</v>
      </c>
      <c r="I108" s="12">
        <v>7.1</v>
      </c>
      <c r="J108" s="10"/>
      <c r="K108" s="6" t="s">
        <v>95</v>
      </c>
      <c r="L108" s="4" t="s">
        <v>96</v>
      </c>
    </row>
    <row r="109" spans="4:12" x14ac:dyDescent="0.25">
      <c r="H109" s="10"/>
      <c r="I109" s="10"/>
      <c r="J109" s="10"/>
      <c r="K109" s="10"/>
      <c r="L109" s="10"/>
    </row>
    <row r="110" spans="4:12" x14ac:dyDescent="0.25">
      <c r="D110" t="s">
        <v>61</v>
      </c>
      <c r="H110" s="10" t="s">
        <v>54</v>
      </c>
      <c r="I110" s="12">
        <v>3.7353333333333332</v>
      </c>
      <c r="J110" s="10"/>
      <c r="K110" s="10" t="s">
        <v>88</v>
      </c>
      <c r="L110" s="6" t="s">
        <v>89</v>
      </c>
    </row>
    <row r="111" spans="4:12" x14ac:dyDescent="0.25">
      <c r="D111" t="s">
        <v>64</v>
      </c>
      <c r="H111" s="10" t="s">
        <v>54</v>
      </c>
      <c r="I111" s="11">
        <v>17.096931944444446</v>
      </c>
      <c r="J111" s="10"/>
      <c r="K111" s="6" t="s">
        <v>90</v>
      </c>
      <c r="L111" s="4" t="s">
        <v>91</v>
      </c>
    </row>
    <row r="112" spans="4:12" x14ac:dyDescent="0.25">
      <c r="D112" t="s">
        <v>67</v>
      </c>
      <c r="H112" s="10" t="s">
        <v>54</v>
      </c>
      <c r="I112" s="12">
        <v>1.2451111111111113</v>
      </c>
      <c r="J112" s="10"/>
      <c r="K112" s="6" t="s">
        <v>47</v>
      </c>
      <c r="L112" s="10" t="s">
        <v>89</v>
      </c>
    </row>
    <row r="113" spans="2:12" x14ac:dyDescent="0.25">
      <c r="D113" t="s">
        <v>68</v>
      </c>
      <c r="H113" s="10" t="s">
        <v>54</v>
      </c>
      <c r="I113" s="12">
        <v>3.1127777777777781</v>
      </c>
      <c r="J113" s="10"/>
      <c r="K113" s="6" t="s">
        <v>48</v>
      </c>
      <c r="L113" s="10" t="s">
        <v>89</v>
      </c>
    </row>
    <row r="114" spans="2:12" x14ac:dyDescent="0.25">
      <c r="D114" t="s">
        <v>97</v>
      </c>
      <c r="H114" s="10" t="s">
        <v>54</v>
      </c>
      <c r="I114" s="12">
        <v>4.6691666666666665</v>
      </c>
      <c r="J114" s="10"/>
      <c r="K114" s="4" t="s">
        <v>98</v>
      </c>
      <c r="L114" s="10" t="s">
        <v>89</v>
      </c>
    </row>
    <row r="115" spans="2:12" x14ac:dyDescent="0.25">
      <c r="D115" t="s">
        <v>69</v>
      </c>
      <c r="H115" s="10" t="s">
        <v>54</v>
      </c>
      <c r="I115" s="12">
        <v>3.1127777777777781</v>
      </c>
      <c r="J115" s="10"/>
      <c r="K115" s="4" t="s">
        <v>99</v>
      </c>
      <c r="L115" s="6" t="s">
        <v>89</v>
      </c>
    </row>
    <row r="116" spans="2:12" x14ac:dyDescent="0.25">
      <c r="D116" t="s">
        <v>70</v>
      </c>
      <c r="H116" s="10" t="s">
        <v>54</v>
      </c>
      <c r="I116" s="11">
        <v>11.828555555555555</v>
      </c>
      <c r="J116" s="10"/>
      <c r="K116" s="4" t="s">
        <v>103</v>
      </c>
      <c r="L116" s="10" t="s">
        <v>89</v>
      </c>
    </row>
    <row r="117" spans="2:12" x14ac:dyDescent="0.25">
      <c r="D117" t="s">
        <v>100</v>
      </c>
      <c r="H117" s="10" t="s">
        <v>54</v>
      </c>
      <c r="I117" s="11">
        <v>26.302972222222223</v>
      </c>
      <c r="J117" s="10"/>
      <c r="K117" s="6" t="s">
        <v>104</v>
      </c>
      <c r="L117" s="10" t="s">
        <v>91</v>
      </c>
    </row>
    <row r="118" spans="2:12" x14ac:dyDescent="0.25">
      <c r="D118" t="s">
        <v>101</v>
      </c>
      <c r="H118" s="10" t="s">
        <v>54</v>
      </c>
      <c r="I118" s="11">
        <v>11.3</v>
      </c>
      <c r="J118" s="10"/>
      <c r="K118" s="6" t="s">
        <v>106</v>
      </c>
      <c r="L118" s="10" t="s">
        <v>107</v>
      </c>
    </row>
    <row r="119" spans="2:12" x14ac:dyDescent="0.25">
      <c r="D119" t="s">
        <v>102</v>
      </c>
      <c r="H119" s="10" t="s">
        <v>54</v>
      </c>
      <c r="I119" s="11">
        <v>23.278130416666666</v>
      </c>
      <c r="J119" s="10"/>
      <c r="K119" s="6" t="s">
        <v>105</v>
      </c>
      <c r="L119" s="10" t="s">
        <v>107</v>
      </c>
    </row>
    <row r="120" spans="2:12" x14ac:dyDescent="0.25">
      <c r="D120" t="s">
        <v>71</v>
      </c>
      <c r="H120" s="10" t="s">
        <v>54</v>
      </c>
      <c r="I120" s="10">
        <v>13.15</v>
      </c>
      <c r="J120" s="10"/>
      <c r="K120" s="10" t="s">
        <v>109</v>
      </c>
      <c r="L120" s="10" t="s">
        <v>108</v>
      </c>
    </row>
    <row r="121" spans="2:12" x14ac:dyDescent="0.25">
      <c r="D121" t="s">
        <v>71</v>
      </c>
      <c r="H121" s="10" t="s">
        <v>55</v>
      </c>
      <c r="I121" s="10">
        <v>5.26</v>
      </c>
      <c r="J121" s="10"/>
      <c r="K121" s="10" t="s">
        <v>109</v>
      </c>
      <c r="L121" s="10" t="s">
        <v>108</v>
      </c>
    </row>
    <row r="122" spans="2:12" x14ac:dyDescent="0.25">
      <c r="B122" t="s">
        <v>110</v>
      </c>
      <c r="D122" t="s">
        <v>71</v>
      </c>
      <c r="H122" s="10" t="s">
        <v>55</v>
      </c>
      <c r="I122" s="12">
        <v>1.7546281240590185</v>
      </c>
      <c r="J122" s="10"/>
      <c r="K122" s="10" t="s">
        <v>111</v>
      </c>
      <c r="L122" s="4" t="s">
        <v>112</v>
      </c>
    </row>
    <row r="123" spans="2:12" x14ac:dyDescent="0.25">
      <c r="B123" t="s">
        <v>113</v>
      </c>
      <c r="D123" t="s">
        <v>71</v>
      </c>
      <c r="H123" s="10" t="s">
        <v>55</v>
      </c>
      <c r="I123" s="12">
        <v>5.1828516694033944</v>
      </c>
      <c r="J123" s="10"/>
      <c r="K123" s="6" t="s">
        <v>115</v>
      </c>
      <c r="L123" s="4" t="s">
        <v>112</v>
      </c>
    </row>
    <row r="124" spans="2:12" x14ac:dyDescent="0.25">
      <c r="B124" t="s">
        <v>114</v>
      </c>
      <c r="D124" t="s">
        <v>71</v>
      </c>
      <c r="H124" s="10" t="s">
        <v>55</v>
      </c>
      <c r="I124" s="13">
        <v>4.0531064740502947</v>
      </c>
      <c r="K124" s="6" t="s">
        <v>116</v>
      </c>
      <c r="L124" s="4" t="s">
        <v>112</v>
      </c>
    </row>
    <row r="125" spans="2:12" x14ac:dyDescent="0.25">
      <c r="B125" t="s">
        <v>118</v>
      </c>
      <c r="D125" t="s">
        <v>71</v>
      </c>
      <c r="H125" s="10" t="s">
        <v>55</v>
      </c>
      <c r="I125" s="13">
        <v>4.3591310772039646</v>
      </c>
      <c r="K125" s="6" t="s">
        <v>117</v>
      </c>
      <c r="L125" s="6" t="s">
        <v>107</v>
      </c>
    </row>
    <row r="126" spans="2:12" x14ac:dyDescent="0.25">
      <c r="H126" s="10"/>
      <c r="I126" s="13"/>
      <c r="K126" s="6"/>
      <c r="L126" s="6"/>
    </row>
    <row r="127" spans="2:12" x14ac:dyDescent="0.25">
      <c r="D127" t="s">
        <v>120</v>
      </c>
      <c r="H127" s="10" t="s">
        <v>54</v>
      </c>
      <c r="I127" s="13">
        <v>14.6</v>
      </c>
      <c r="K127" s="6"/>
      <c r="L127" s="4" t="s">
        <v>119</v>
      </c>
    </row>
    <row r="128" spans="2:12" x14ac:dyDescent="0.25">
      <c r="D128" t="s">
        <v>124</v>
      </c>
      <c r="F128" t="s">
        <v>121</v>
      </c>
      <c r="H128" s="10" t="s">
        <v>54</v>
      </c>
      <c r="I128" s="13">
        <v>37.744765138888887</v>
      </c>
      <c r="K128" s="6"/>
      <c r="L128" s="6" t="s">
        <v>91</v>
      </c>
    </row>
    <row r="129" spans="1:12" x14ac:dyDescent="0.25">
      <c r="D129" t="s">
        <v>124</v>
      </c>
      <c r="F129" t="s">
        <v>122</v>
      </c>
      <c r="H129" s="10" t="s">
        <v>54</v>
      </c>
      <c r="I129" s="13">
        <v>50.107162083333336</v>
      </c>
      <c r="K129" s="6"/>
      <c r="L129" s="6" t="s">
        <v>91</v>
      </c>
    </row>
    <row r="130" spans="1:12" x14ac:dyDescent="0.25">
      <c r="D130" t="s">
        <v>124</v>
      </c>
      <c r="F130" t="s">
        <v>123</v>
      </c>
      <c r="H130" s="10" t="s">
        <v>54</v>
      </c>
      <c r="I130" s="13">
        <v>36.955675972222224</v>
      </c>
      <c r="K130" s="6"/>
      <c r="L130" s="6" t="s">
        <v>91</v>
      </c>
    </row>
    <row r="131" spans="1:12" x14ac:dyDescent="0.25">
      <c r="H131" s="10"/>
      <c r="I131" s="13"/>
      <c r="K131" s="6"/>
      <c r="L131" s="6"/>
    </row>
    <row r="132" spans="1:12" x14ac:dyDescent="0.25">
      <c r="D132" t="s">
        <v>131</v>
      </c>
      <c r="H132" s="10" t="s">
        <v>55</v>
      </c>
      <c r="I132" s="13">
        <v>1.6176327916666666</v>
      </c>
      <c r="K132" s="6" t="s">
        <v>135</v>
      </c>
      <c r="L132" s="4" t="s">
        <v>91</v>
      </c>
    </row>
    <row r="133" spans="1:12" x14ac:dyDescent="0.25">
      <c r="D133" t="s">
        <v>132</v>
      </c>
      <c r="H133" s="10" t="s">
        <v>134</v>
      </c>
      <c r="I133" s="13">
        <v>3.0774477499999997</v>
      </c>
      <c r="K133" s="6" t="s">
        <v>136</v>
      </c>
      <c r="L133" s="4" t="s">
        <v>91</v>
      </c>
    </row>
    <row r="134" spans="1:12" x14ac:dyDescent="0.25">
      <c r="D134" t="s">
        <v>133</v>
      </c>
      <c r="H134" s="10" t="s">
        <v>58</v>
      </c>
      <c r="I134" s="13">
        <v>0.25</v>
      </c>
      <c r="K134" s="6" t="s">
        <v>137</v>
      </c>
      <c r="L134" s="4" t="s">
        <v>112</v>
      </c>
    </row>
    <row r="136" spans="1:12" x14ac:dyDescent="0.25">
      <c r="A136" s="1" t="s">
        <v>81</v>
      </c>
      <c r="B136" s="1"/>
      <c r="C136" s="1"/>
      <c r="D136" s="1"/>
      <c r="E136" s="1"/>
      <c r="F136" s="1"/>
      <c r="G136" s="1"/>
      <c r="H136" s="8"/>
      <c r="I136" s="8"/>
      <c r="J136" s="8"/>
      <c r="K136" s="8"/>
      <c r="L136" s="8"/>
    </row>
    <row r="137" spans="1:12" x14ac:dyDescent="0.25">
      <c r="H137" s="9" t="s">
        <v>49</v>
      </c>
      <c r="I137" s="9">
        <v>0</v>
      </c>
      <c r="K137" s="9" t="s">
        <v>53</v>
      </c>
    </row>
    <row r="138" spans="1:12" x14ac:dyDescent="0.25">
      <c r="H138" t="s">
        <v>49</v>
      </c>
      <c r="I138" t="s">
        <v>181</v>
      </c>
    </row>
    <row r="140" spans="1:12" x14ac:dyDescent="0.25">
      <c r="A140" s="1" t="s">
        <v>151</v>
      </c>
      <c r="B140" s="1"/>
      <c r="C140" s="1"/>
      <c r="D140" s="1"/>
      <c r="E140" s="1"/>
      <c r="F140" s="1"/>
      <c r="G140" s="1"/>
      <c r="H140" s="8"/>
      <c r="I140" s="8"/>
      <c r="J140" s="8"/>
      <c r="K140" s="8"/>
      <c r="L140" s="8"/>
    </row>
    <row r="141" spans="1:12" x14ac:dyDescent="0.25">
      <c r="H141" s="9" t="s">
        <v>168</v>
      </c>
      <c r="I141" s="9">
        <v>0</v>
      </c>
      <c r="J141" s="9" t="s">
        <v>169</v>
      </c>
      <c r="K141" s="9" t="s">
        <v>53</v>
      </c>
    </row>
    <row r="142" spans="1:12" x14ac:dyDescent="0.25">
      <c r="B142" t="s">
        <v>161</v>
      </c>
      <c r="H142" t="s">
        <v>168</v>
      </c>
      <c r="I142">
        <v>302</v>
      </c>
      <c r="J142" t="s">
        <v>169</v>
      </c>
      <c r="K142" t="s">
        <v>170</v>
      </c>
      <c r="L142" t="s">
        <v>173</v>
      </c>
    </row>
    <row r="143" spans="1:12" x14ac:dyDescent="0.25">
      <c r="B143" t="s">
        <v>162</v>
      </c>
      <c r="H143" t="s">
        <v>168</v>
      </c>
      <c r="I143">
        <v>197</v>
      </c>
      <c r="J143" t="s">
        <v>169</v>
      </c>
      <c r="K143" t="s">
        <v>171</v>
      </c>
      <c r="L143" t="s">
        <v>174</v>
      </c>
    </row>
    <row r="144" spans="1:12" x14ac:dyDescent="0.25">
      <c r="B144" t="s">
        <v>163</v>
      </c>
      <c r="H144" t="s">
        <v>168</v>
      </c>
      <c r="I144">
        <v>216</v>
      </c>
      <c r="J144" t="s">
        <v>169</v>
      </c>
      <c r="K144" t="s">
        <v>172</v>
      </c>
      <c r="L144" t="s">
        <v>175</v>
      </c>
    </row>
    <row r="145" spans="2:11" x14ac:dyDescent="0.25">
      <c r="B145" t="s">
        <v>164</v>
      </c>
      <c r="H145" t="s">
        <v>168</v>
      </c>
      <c r="I145">
        <v>216</v>
      </c>
      <c r="J145" t="s">
        <v>169</v>
      </c>
      <c r="K145" t="s">
        <v>172</v>
      </c>
    </row>
    <row r="146" spans="2:11" x14ac:dyDescent="0.25">
      <c r="B146" t="s">
        <v>165</v>
      </c>
      <c r="H146" t="s">
        <v>168</v>
      </c>
      <c r="I146">
        <v>216</v>
      </c>
      <c r="J146" t="s">
        <v>169</v>
      </c>
      <c r="K146" t="s">
        <v>172</v>
      </c>
    </row>
    <row r="147" spans="2:11" x14ac:dyDescent="0.25">
      <c r="B147" t="s">
        <v>166</v>
      </c>
      <c r="H147" t="s">
        <v>168</v>
      </c>
      <c r="I147">
        <v>216</v>
      </c>
      <c r="J147" t="s">
        <v>169</v>
      </c>
      <c r="K147" t="s">
        <v>172</v>
      </c>
    </row>
    <row r="148" spans="2:11" x14ac:dyDescent="0.25">
      <c r="B148" t="s">
        <v>167</v>
      </c>
      <c r="H148" t="s">
        <v>168</v>
      </c>
      <c r="I148">
        <v>216</v>
      </c>
      <c r="J148" t="s">
        <v>169</v>
      </c>
      <c r="K148" t="s">
        <v>172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C13" sqref="C13"/>
    </sheetView>
  </sheetViews>
  <sheetFormatPr defaultRowHeight="15" x14ac:dyDescent="0.25"/>
  <sheetData>
    <row r="1" spans="1:1" x14ac:dyDescent="0.25">
      <c r="A1" s="16" t="s">
        <v>138</v>
      </c>
    </row>
    <row r="2" spans="1:1" x14ac:dyDescent="0.25">
      <c r="A2" s="17" t="s">
        <v>139</v>
      </c>
    </row>
    <row r="3" spans="1:1" x14ac:dyDescent="0.25">
      <c r="A3" s="17" t="s">
        <v>140</v>
      </c>
    </row>
    <row r="4" spans="1:1" x14ac:dyDescent="0.25">
      <c r="A4" s="17" t="s">
        <v>141</v>
      </c>
    </row>
    <row r="5" spans="1:1" x14ac:dyDescent="0.25">
      <c r="A5" s="17" t="s">
        <v>142</v>
      </c>
    </row>
    <row r="6" spans="1:1" x14ac:dyDescent="0.25">
      <c r="A6" s="17" t="s">
        <v>143</v>
      </c>
    </row>
    <row r="7" spans="1:1" x14ac:dyDescent="0.25">
      <c r="A7" s="17" t="s">
        <v>144</v>
      </c>
    </row>
    <row r="8" spans="1:1" x14ac:dyDescent="0.25">
      <c r="A8" s="17" t="s">
        <v>145</v>
      </c>
    </row>
    <row r="9" spans="1:1" x14ac:dyDescent="0.25">
      <c r="A9" s="17" t="s">
        <v>146</v>
      </c>
    </row>
    <row r="10" spans="1:1" x14ac:dyDescent="0.25">
      <c r="A10" s="17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2023-09-15T12:19:47Z</dcterms:modified>
</cp:coreProperties>
</file>