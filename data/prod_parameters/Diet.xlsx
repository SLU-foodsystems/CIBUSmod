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4" i="1" l="1"/>
  <c r="K43" i="1"/>
  <c r="K42" i="1"/>
  <c r="K133" i="1" l="1"/>
  <c r="K134" i="1" l="1"/>
  <c r="K125" i="1" l="1"/>
  <c r="K124" i="1"/>
  <c r="K123" i="1"/>
  <c r="K158" i="1"/>
  <c r="K157" i="1"/>
  <c r="K159" i="1" l="1"/>
  <c r="K164" i="1"/>
  <c r="K64" i="1"/>
  <c r="K26" i="1"/>
  <c r="K27" i="1"/>
  <c r="K115" i="1" l="1"/>
  <c r="K114" i="1"/>
  <c r="K102" i="1"/>
  <c r="K156" i="1"/>
  <c r="K25" i="1"/>
  <c r="K113" i="1" l="1"/>
  <c r="K112" i="1"/>
  <c r="K111" i="1"/>
  <c r="K110" i="1"/>
  <c r="K108" i="1" l="1"/>
  <c r="K109" i="1" s="1"/>
  <c r="K106" i="1"/>
  <c r="K105" i="1" s="1"/>
  <c r="K104" i="1"/>
  <c r="K103" i="1" s="1"/>
  <c r="K101" i="1"/>
  <c r="K107" i="1" l="1"/>
  <c r="K120" i="1"/>
  <c r="K119" i="1"/>
  <c r="K118" i="1"/>
  <c r="K3" i="1" l="1"/>
</calcChain>
</file>

<file path=xl/sharedStrings.xml><?xml version="1.0" encoding="utf-8"?>
<sst xmlns="http://schemas.openxmlformats.org/spreadsheetml/2006/main" count="773" uniqueCount="159">
  <si>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</si>
  <si>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</si>
  <si>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</si>
  <si>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</si>
  <si>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</si>
  <si>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</si>
  <si>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</si>
  <si>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</si>
  <si>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</si>
  <si>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</si>
  <si>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</si>
  <si>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</si>
  <si>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</si>
  <si>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</si>
  <si>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</si>
  <si>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</si>
  <si>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</si>
  <si>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</si>
  <si>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</si>
  <si>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</si>
  <si>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</si>
  <si>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</si>
  <si>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</si>
  <si>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</si>
  <si>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</si>
  <si>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</si>
  <si>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</si>
  <si>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</si>
  <si>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</si>
  <si>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</si>
  <si>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</si>
  <si>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</si>
  <si>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</si>
  <si>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</si>
  <si>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</si>
  <si>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</si>
  <si>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</si>
  <si>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</si>
  <si>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</si>
  <si>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</si>
  <si>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</si>
  <si>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</si>
  <si>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</si>
  <si>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</si>
  <si>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</si>
  <si>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</si>
  <si>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</si>
  <si>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</si>
  <si>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</si>
  <si>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</si>
  <si>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</si>
  <si>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</si>
  <si>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</si>
  <si>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</si>
  <si>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</si>
  <si>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</si>
  <si>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</si>
  <si>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</si>
  <si>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</si>
  <si>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</si>
  <si>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</si>
  <si>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</si>
  <si>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</si>
  <si>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</si>
  <si>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</si>
  <si>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</si>
  <si>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</si>
  <si>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</si>
  <si>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</si>
  <si>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</si>
  <si>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</si>
  <si>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</si>
  <si>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</si>
  <si>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</si>
  <si>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</si>
  <si>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</si>
  <si>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</si>
  <si>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</si>
  <si>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</si>
  <si>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</si>
  <si>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</si>
  <si>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</si>
  <si>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</si>
  <si>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</si>
  <si>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</si>
  <si>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</si>
  <si>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</si>
  <si>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</si>
  <si>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</si>
  <si>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</si>
  <si>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</si>
  <si>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</si>
  <si>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</si>
  <si>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</si>
  <si>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</si>
  <si>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</si>
  <si>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</si>
  <si>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</si>
  <si>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</si>
  <si>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</si>
  <si>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</si>
  <si>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</si>
  <si>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</si>
  <si>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Share organic raw milk to dairies. Using product level shares difficult</t>
  </si>
  <si>
    <t>Bovine meat and products</t>
  </si>
  <si>
    <t>(1/0.76)=carcass weight--&gt;live weight</t>
  </si>
  <si>
    <t>(1/0.52)=carcass weight--&gt;live weight</t>
  </si>
  <si>
    <t>flour of mixed grain. split whole grain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</si>
  <si>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</si>
  <si>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</si>
  <si>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</si>
  <si>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</si>
  <si>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</si>
  <si>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</si>
  <si>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</si>
  <si>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</si>
  <si>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what is the remaining 81% ?</t>
  </si>
  <si>
    <t>Is this from starch potatoes what is the remaining 80% 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</si>
  <si>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</si>
  <si>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</si>
  <si>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</si>
  <si>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</si>
  <si>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</si>
  <si>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</si>
  <si>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</si>
  <si>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</si>
  <si>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</si>
  <si>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</si>
  <si>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</si>
  <si>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</si>
  <si>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</si>
  <si>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</si>
  <si>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</si>
  <si>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</si>
  <si>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</si>
  <si>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</si>
  <si>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</si>
  <si>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</si>
  <si>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</si>
  <si>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</si>
  <si>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</si>
  <si>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</si>
  <si>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</si>
  <si>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</si>
  <si>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</si>
  <si>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</si>
  <si>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</si>
  <si>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</si>
  <si>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</si>
  <si>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</si>
  <si>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</si>
  <si>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</si>
  <si>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38% in Hannas sheet. what is remaining 2% ???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</si>
  <si>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 </t>
    </r>
    <r>
      <rPr>
        <sz val="11"/>
        <color rgb="FFFF0000"/>
        <rFont val="Calibri"/>
        <family val="2"/>
        <scheme val="minor"/>
      </rPr>
      <t>0% organic fails FIX!!!!</t>
    </r>
  </si>
  <si>
    <t>1/3 of oil other added here</t>
  </si>
  <si>
    <t>Sunflowerseed oil and products</t>
  </si>
  <si>
    <t>Olive oil and products</t>
  </si>
  <si>
    <t>Carrots and turnips</t>
  </si>
  <si>
    <t>carrots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</si>
</sst>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8"/>
  <sheetViews>
    <sheetView tabSelected="1" zoomScale="80" zoomScaleNormal="80" zoomScaleSheetLayoutView="80" workbookViewId="0">
      <pane ySplit="1" topLeftCell="A76" activePane="bottomLeft" state="frozen"/>
      <selection pane="bottomLeft" activeCell="C97" sqref="C97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92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50</v>
      </c>
      <c r="B9" t="s">
        <v>26</v>
      </c>
      <c r="J9" t="s">
        <v>18</v>
      </c>
      <c r="K9">
        <v>3.5</v>
      </c>
      <c r="L9" t="s">
        <v>19</v>
      </c>
      <c r="M9" s="7" t="s">
        <v>92</v>
      </c>
    </row>
    <row r="10" spans="1:14" x14ac:dyDescent="0.25">
      <c r="A10" t="s">
        <v>96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95</v>
      </c>
      <c r="B11" t="s">
        <v>26</v>
      </c>
      <c r="J11" t="s">
        <v>18</v>
      </c>
      <c r="K11">
        <v>12.8</v>
      </c>
      <c r="L11" t="s">
        <v>19</v>
      </c>
      <c r="M11" s="7" t="s">
        <v>92</v>
      </c>
    </row>
    <row r="12" spans="1:14" x14ac:dyDescent="0.25">
      <c r="A12" t="s">
        <v>94</v>
      </c>
      <c r="B12" t="s">
        <v>26</v>
      </c>
      <c r="J12" t="s">
        <v>18</v>
      </c>
      <c r="K12">
        <v>5.2</v>
      </c>
      <c r="L12" t="s">
        <v>19</v>
      </c>
      <c r="M12" s="7" t="s">
        <v>92</v>
      </c>
    </row>
    <row r="13" spans="1:14" x14ac:dyDescent="0.25">
      <c r="A13" t="s">
        <v>93</v>
      </c>
      <c r="B13" t="s">
        <v>26</v>
      </c>
      <c r="J13" t="s">
        <v>18</v>
      </c>
      <c r="K13" s="7">
        <v>0.5</v>
      </c>
      <c r="L13" t="s">
        <v>19</v>
      </c>
      <c r="M13" s="7" t="s">
        <v>107</v>
      </c>
    </row>
    <row r="14" spans="1:14" x14ac:dyDescent="0.25">
      <c r="A14" s="5" t="s">
        <v>11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s="7" t="s">
        <v>109</v>
      </c>
      <c r="B15" t="s">
        <v>114</v>
      </c>
      <c r="J15" t="s">
        <v>18</v>
      </c>
      <c r="K15">
        <v>108.1</v>
      </c>
      <c r="L15" t="s">
        <v>19</v>
      </c>
    </row>
    <row r="16" spans="1:14" x14ac:dyDescent="0.25">
      <c r="A16" s="7" t="s">
        <v>110</v>
      </c>
      <c r="B16" t="s">
        <v>114</v>
      </c>
      <c r="J16" t="s">
        <v>18</v>
      </c>
      <c r="K16">
        <v>24.1</v>
      </c>
      <c r="L16" t="s">
        <v>19</v>
      </c>
    </row>
    <row r="17" spans="1:14" x14ac:dyDescent="0.25">
      <c r="A17" s="7" t="s">
        <v>112</v>
      </c>
      <c r="B17" t="s">
        <v>114</v>
      </c>
      <c r="J17" t="s">
        <v>18</v>
      </c>
      <c r="K17">
        <v>0.9</v>
      </c>
      <c r="L17" t="s">
        <v>19</v>
      </c>
      <c r="M17" t="s">
        <v>113</v>
      </c>
    </row>
    <row r="18" spans="1:14" x14ac:dyDescent="0.25">
      <c r="A18" s="7" t="s">
        <v>111</v>
      </c>
      <c r="B18" t="s">
        <v>114</v>
      </c>
      <c r="J18" t="s">
        <v>18</v>
      </c>
      <c r="K18">
        <v>0.3</v>
      </c>
      <c r="L18" t="s">
        <v>19</v>
      </c>
    </row>
    <row r="19" spans="1:14" x14ac:dyDescent="0.25">
      <c r="A19" s="5" t="s">
        <v>12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157</v>
      </c>
      <c r="B20" t="s">
        <v>121</v>
      </c>
      <c r="J20" t="s">
        <v>18</v>
      </c>
      <c r="K20">
        <v>25</v>
      </c>
      <c r="L20" t="s">
        <v>19</v>
      </c>
    </row>
    <row r="21" spans="1:14" x14ac:dyDescent="0.25">
      <c r="A21" s="18" t="s">
        <v>120</v>
      </c>
      <c r="B21" t="s">
        <v>121</v>
      </c>
      <c r="J21" t="s">
        <v>18</v>
      </c>
      <c r="K21">
        <v>37</v>
      </c>
      <c r="L21" t="s">
        <v>19</v>
      </c>
    </row>
    <row r="22" spans="1:14" x14ac:dyDescent="0.25">
      <c r="A22" s="7" t="s">
        <v>123</v>
      </c>
      <c r="B22" t="s">
        <v>121</v>
      </c>
      <c r="J22" t="s">
        <v>18</v>
      </c>
      <c r="K22">
        <v>14.3</v>
      </c>
      <c r="L22" t="s">
        <v>19</v>
      </c>
    </row>
    <row r="23" spans="1:14" x14ac:dyDescent="0.25">
      <c r="A23" s="5" t="s">
        <v>13</v>
      </c>
      <c r="B23" s="5"/>
      <c r="C23" s="5"/>
      <c r="D23" s="5"/>
      <c r="E23" s="5"/>
      <c r="F23" s="5"/>
      <c r="G23" s="5"/>
      <c r="H23" s="5"/>
      <c r="I23" s="5"/>
      <c r="J23" s="6"/>
      <c r="K23" s="6"/>
      <c r="L23" s="6"/>
      <c r="M23" s="6"/>
      <c r="N23" s="6"/>
    </row>
    <row r="24" spans="1:14" x14ac:dyDescent="0.25">
      <c r="A24" s="5" t="s">
        <v>14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7" t="s">
        <v>65</v>
      </c>
      <c r="B25" t="s">
        <v>84</v>
      </c>
      <c r="J25" t="s">
        <v>18</v>
      </c>
      <c r="K25" s="7">
        <f>29.5+8.5</f>
        <v>38</v>
      </c>
      <c r="L25" t="s">
        <v>19</v>
      </c>
      <c r="M25" s="7" t="s">
        <v>87</v>
      </c>
    </row>
    <row r="26" spans="1:14" x14ac:dyDescent="0.25">
      <c r="A26" s="7" t="s">
        <v>64</v>
      </c>
      <c r="B26" t="s">
        <v>84</v>
      </c>
      <c r="J26" t="s">
        <v>18</v>
      </c>
      <c r="K26" s="7">
        <f>80.7+14.4+0.3*5</f>
        <v>96.600000000000009</v>
      </c>
      <c r="L26" t="s">
        <v>19</v>
      </c>
      <c r="M26" s="7" t="s">
        <v>87</v>
      </c>
    </row>
    <row r="27" spans="1:14" x14ac:dyDescent="0.25">
      <c r="A27" s="7" t="s">
        <v>66</v>
      </c>
      <c r="B27" t="s">
        <v>84</v>
      </c>
      <c r="J27" t="s">
        <v>18</v>
      </c>
      <c r="K27" s="7">
        <f>45.6+44.1+1.3*5+1.8*10</f>
        <v>114.2</v>
      </c>
      <c r="L27" t="s">
        <v>19</v>
      </c>
      <c r="M27" s="7" t="s">
        <v>87</v>
      </c>
    </row>
    <row r="28" spans="1:14" x14ac:dyDescent="0.25">
      <c r="A28" s="7" t="s">
        <v>67</v>
      </c>
      <c r="B28" t="s">
        <v>84</v>
      </c>
      <c r="J28" t="s">
        <v>18</v>
      </c>
      <c r="K28">
        <v>46.8</v>
      </c>
      <c r="L28" t="s">
        <v>19</v>
      </c>
    </row>
    <row r="29" spans="1:14" x14ac:dyDescent="0.25">
      <c r="A29" s="7" t="s">
        <v>71</v>
      </c>
      <c r="B29" t="s">
        <v>84</v>
      </c>
      <c r="J29" t="s">
        <v>18</v>
      </c>
      <c r="K29">
        <v>8.1</v>
      </c>
      <c r="L29" t="s">
        <v>19</v>
      </c>
    </row>
    <row r="30" spans="1:14" x14ac:dyDescent="0.25">
      <c r="A30" s="7" t="s">
        <v>72</v>
      </c>
      <c r="B30" t="s">
        <v>84</v>
      </c>
      <c r="J30" t="s">
        <v>18</v>
      </c>
      <c r="K30">
        <v>1</v>
      </c>
      <c r="L30" t="s">
        <v>19</v>
      </c>
    </row>
    <row r="31" spans="1:14" x14ac:dyDescent="0.25">
      <c r="A31" s="7" t="s">
        <v>69</v>
      </c>
      <c r="B31" t="s">
        <v>84</v>
      </c>
      <c r="J31" t="s">
        <v>18</v>
      </c>
      <c r="K31">
        <v>6.6</v>
      </c>
      <c r="L31" t="s">
        <v>19</v>
      </c>
    </row>
    <row r="32" spans="1:14" x14ac:dyDescent="0.25">
      <c r="A32" s="7" t="s">
        <v>70</v>
      </c>
      <c r="B32" t="s">
        <v>84</v>
      </c>
      <c r="J32" t="s">
        <v>18</v>
      </c>
      <c r="K32">
        <v>8.3000000000000007</v>
      </c>
      <c r="L32" t="s">
        <v>19</v>
      </c>
    </row>
    <row r="33" spans="1:14" x14ac:dyDescent="0.25">
      <c r="A33" s="7" t="s">
        <v>68</v>
      </c>
      <c r="B33" t="s">
        <v>84</v>
      </c>
      <c r="J33" t="s">
        <v>18</v>
      </c>
      <c r="K33">
        <v>15.3</v>
      </c>
      <c r="L33" t="s">
        <v>19</v>
      </c>
    </row>
    <row r="34" spans="1:14" x14ac:dyDescent="0.25">
      <c r="A34" s="5" t="s">
        <v>23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t="s">
        <v>57</v>
      </c>
      <c r="B35" t="s">
        <v>58</v>
      </c>
      <c r="J35" t="s">
        <v>18</v>
      </c>
      <c r="K35">
        <v>60.6</v>
      </c>
      <c r="L35" t="s">
        <v>19</v>
      </c>
    </row>
    <row r="36" spans="1:14" x14ac:dyDescent="0.25">
      <c r="A36" t="s">
        <v>104</v>
      </c>
      <c r="B36" t="s">
        <v>58</v>
      </c>
      <c r="J36" t="s">
        <v>18</v>
      </c>
      <c r="K36">
        <v>39.9</v>
      </c>
      <c r="L36" t="s">
        <v>19</v>
      </c>
    </row>
    <row r="37" spans="1:14" x14ac:dyDescent="0.25">
      <c r="A37" s="5" t="s">
        <v>15</v>
      </c>
      <c r="B37" s="5"/>
      <c r="C37" s="5"/>
      <c r="D37" s="5"/>
      <c r="E37" s="5"/>
      <c r="F37" s="5"/>
      <c r="G37" s="5"/>
      <c r="H37" s="5"/>
      <c r="I37" s="5"/>
      <c r="J37" s="6"/>
      <c r="K37" s="6"/>
      <c r="L37" s="6"/>
      <c r="M37" s="6"/>
      <c r="N37" s="6"/>
    </row>
    <row r="38" spans="1:14" x14ac:dyDescent="0.25">
      <c r="A38" s="5" t="s">
        <v>16</v>
      </c>
      <c r="B38" s="5"/>
      <c r="C38" s="5"/>
      <c r="D38" s="5"/>
      <c r="E38" s="5"/>
      <c r="F38" s="5"/>
      <c r="G38" s="5"/>
      <c r="H38" s="5"/>
      <c r="I38" s="5"/>
      <c r="J38" s="6"/>
      <c r="K38" s="6"/>
      <c r="L38" s="6"/>
      <c r="M38" s="6"/>
      <c r="N38" s="6"/>
    </row>
    <row r="39" spans="1:14" x14ac:dyDescent="0.25">
      <c r="A39" s="5" t="s">
        <v>20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5" t="s">
        <v>21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s="5" t="s">
        <v>22</v>
      </c>
      <c r="B41" s="5"/>
      <c r="C41" s="5"/>
      <c r="D41" s="5"/>
      <c r="E41" s="5"/>
      <c r="F41" s="5"/>
      <c r="G41" s="5"/>
      <c r="H41" s="5"/>
      <c r="I41" s="5"/>
      <c r="J41" s="6"/>
      <c r="K41" s="6"/>
      <c r="L41" s="6"/>
      <c r="M41" s="6"/>
      <c r="N41" s="6"/>
    </row>
    <row r="42" spans="1:14" x14ac:dyDescent="0.25">
      <c r="A42" t="s">
        <v>146</v>
      </c>
      <c r="B42" t="s">
        <v>147</v>
      </c>
      <c r="J42" t="s">
        <v>18</v>
      </c>
      <c r="K42" s="23">
        <f>6+4.4/3</f>
        <v>7.4666666666666668</v>
      </c>
      <c r="L42" t="s">
        <v>19</v>
      </c>
      <c r="M42" t="s">
        <v>154</v>
      </c>
    </row>
    <row r="43" spans="1:14" x14ac:dyDescent="0.25">
      <c r="A43" t="s">
        <v>155</v>
      </c>
      <c r="B43" t="s">
        <v>147</v>
      </c>
      <c r="J43" t="s">
        <v>18</v>
      </c>
      <c r="K43" s="23">
        <f>8.2+4.4/3</f>
        <v>9.6666666666666661</v>
      </c>
      <c r="L43" t="s">
        <v>19</v>
      </c>
      <c r="M43" t="s">
        <v>154</v>
      </c>
    </row>
    <row r="44" spans="1:14" x14ac:dyDescent="0.25">
      <c r="A44" t="s">
        <v>156</v>
      </c>
      <c r="B44" t="s">
        <v>147</v>
      </c>
      <c r="J44" t="s">
        <v>18</v>
      </c>
      <c r="K44" s="23">
        <f>2.8+4.4/3</f>
        <v>4.2666666666666666</v>
      </c>
      <c r="L44" t="s">
        <v>19</v>
      </c>
      <c r="M44" t="s">
        <v>154</v>
      </c>
    </row>
    <row r="45" spans="1:14" x14ac:dyDescent="0.25">
      <c r="A45" s="5" t="s">
        <v>24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5" t="s">
        <v>29</v>
      </c>
      <c r="B46" s="5"/>
      <c r="C46" s="5"/>
      <c r="D46" s="5"/>
      <c r="E46" s="5"/>
      <c r="F46" s="5"/>
      <c r="G46" s="5"/>
      <c r="H46" s="5"/>
      <c r="I46" s="5"/>
      <c r="J46" s="6"/>
      <c r="K46" s="6"/>
      <c r="L46" s="6"/>
      <c r="M46" s="6"/>
      <c r="N46" s="6"/>
    </row>
    <row r="47" spans="1:14" x14ac:dyDescent="0.25">
      <c r="A47" t="s">
        <v>125</v>
      </c>
      <c r="B47" t="s">
        <v>126</v>
      </c>
      <c r="J47" t="s">
        <v>18</v>
      </c>
      <c r="K47">
        <v>125.5</v>
      </c>
      <c r="L47" t="s">
        <v>19</v>
      </c>
    </row>
    <row r="48" spans="1:14" x14ac:dyDescent="0.25">
      <c r="A48" s="5" t="s">
        <v>30</v>
      </c>
      <c r="B48" s="5"/>
      <c r="C48" s="5"/>
      <c r="D48" s="5"/>
      <c r="E48" s="5"/>
      <c r="F48" s="5"/>
      <c r="G48" s="5"/>
      <c r="H48" s="5"/>
      <c r="I48" s="5"/>
      <c r="J48" s="6"/>
      <c r="K48" s="6"/>
      <c r="L48" s="6"/>
      <c r="M48" s="6"/>
      <c r="N48" s="6"/>
    </row>
    <row r="49" spans="1:14" x14ac:dyDescent="0.25">
      <c r="A49" s="5" t="s">
        <v>31</v>
      </c>
      <c r="B49" s="5"/>
      <c r="C49" s="5"/>
      <c r="D49" s="5"/>
      <c r="E49" s="5"/>
      <c r="F49" s="5"/>
      <c r="G49" s="5"/>
      <c r="H49" s="5"/>
      <c r="I49" s="5"/>
      <c r="J49" s="6"/>
      <c r="K49" s="6"/>
      <c r="L49" s="6"/>
      <c r="M49" s="6"/>
      <c r="N49" s="6"/>
    </row>
    <row r="50" spans="1:14" x14ac:dyDescent="0.25">
      <c r="A50" s="5" t="s">
        <v>32</v>
      </c>
      <c r="B50" s="5"/>
      <c r="C50" s="5"/>
      <c r="D50" s="5"/>
      <c r="E50" s="5"/>
      <c r="F50" s="5"/>
      <c r="G50" s="5"/>
      <c r="H50" s="5"/>
      <c r="I50" s="5"/>
      <c r="J50" s="6"/>
      <c r="K50" s="6"/>
      <c r="L50" s="6"/>
      <c r="M50" s="6"/>
      <c r="N50" s="6"/>
    </row>
    <row r="51" spans="1:14" x14ac:dyDescent="0.25">
      <c r="A51" s="5" t="s">
        <v>33</v>
      </c>
      <c r="B51" s="5"/>
      <c r="C51" s="5"/>
      <c r="D51" s="5"/>
      <c r="E51" s="5"/>
      <c r="F51" s="5"/>
      <c r="G51" s="5"/>
      <c r="H51" s="5"/>
      <c r="I51" s="5"/>
      <c r="J51" s="6"/>
      <c r="K51" s="6"/>
      <c r="L51" s="6"/>
      <c r="M51" s="6"/>
      <c r="N51" s="6"/>
    </row>
    <row r="53" spans="1:14" x14ac:dyDescent="0.25">
      <c r="A53" s="3" t="s">
        <v>34</v>
      </c>
      <c r="B53" s="3"/>
      <c r="C53" s="3"/>
      <c r="D53" s="3"/>
      <c r="E53" s="3"/>
      <c r="F53" s="3"/>
      <c r="G53" s="3"/>
      <c r="H53" s="3"/>
      <c r="I53" s="3"/>
      <c r="J53" s="4"/>
      <c r="K53" s="4"/>
      <c r="L53" s="4"/>
      <c r="M53" s="4"/>
      <c r="N53" s="4"/>
    </row>
    <row r="54" spans="1:14" x14ac:dyDescent="0.25">
      <c r="B54" t="s">
        <v>26</v>
      </c>
      <c r="I54" t="s">
        <v>53</v>
      </c>
      <c r="J54" t="s">
        <v>56</v>
      </c>
      <c r="K54">
        <v>25</v>
      </c>
      <c r="L54" t="s">
        <v>39</v>
      </c>
    </row>
    <row r="55" spans="1:14" x14ac:dyDescent="0.25">
      <c r="B55" t="s">
        <v>26</v>
      </c>
      <c r="I55" t="s">
        <v>54</v>
      </c>
      <c r="J55" t="s">
        <v>56</v>
      </c>
      <c r="K55">
        <v>2</v>
      </c>
      <c r="L55" t="s">
        <v>39</v>
      </c>
    </row>
    <row r="56" spans="1:14" x14ac:dyDescent="0.25">
      <c r="B56" t="s">
        <v>26</v>
      </c>
      <c r="I56" t="s">
        <v>55</v>
      </c>
      <c r="J56" t="s">
        <v>56</v>
      </c>
      <c r="K56" s="7">
        <v>10.5</v>
      </c>
      <c r="L56" t="s">
        <v>39</v>
      </c>
      <c r="M56" s="7" t="s">
        <v>97</v>
      </c>
    </row>
    <row r="57" spans="1:14" x14ac:dyDescent="0.25">
      <c r="B57" t="s">
        <v>114</v>
      </c>
      <c r="I57" t="s">
        <v>53</v>
      </c>
      <c r="J57" t="s">
        <v>56</v>
      </c>
      <c r="K57">
        <v>17</v>
      </c>
      <c r="L57" t="s">
        <v>39</v>
      </c>
    </row>
    <row r="58" spans="1:14" x14ac:dyDescent="0.25">
      <c r="B58" t="s">
        <v>114</v>
      </c>
      <c r="I58" t="s">
        <v>54</v>
      </c>
      <c r="J58" t="s">
        <v>56</v>
      </c>
      <c r="K58">
        <v>7</v>
      </c>
      <c r="L58" t="s">
        <v>39</v>
      </c>
    </row>
    <row r="59" spans="1:14" x14ac:dyDescent="0.25">
      <c r="B59" t="s">
        <v>114</v>
      </c>
      <c r="I59" t="s">
        <v>55</v>
      </c>
      <c r="J59" t="s">
        <v>56</v>
      </c>
      <c r="K59" s="7">
        <v>15</v>
      </c>
      <c r="L59" t="s">
        <v>39</v>
      </c>
      <c r="M59" s="7" t="s">
        <v>97</v>
      </c>
    </row>
    <row r="60" spans="1:14" x14ac:dyDescent="0.25">
      <c r="B60" t="s">
        <v>121</v>
      </c>
      <c r="I60" t="s">
        <v>53</v>
      </c>
      <c r="J60" t="s">
        <v>56</v>
      </c>
      <c r="K60">
        <v>19</v>
      </c>
      <c r="L60" t="s">
        <v>39</v>
      </c>
    </row>
    <row r="61" spans="1:14" x14ac:dyDescent="0.25">
      <c r="B61" t="s">
        <v>121</v>
      </c>
      <c r="I61" t="s">
        <v>54</v>
      </c>
      <c r="J61" t="s">
        <v>56</v>
      </c>
      <c r="K61">
        <v>10</v>
      </c>
      <c r="L61" t="s">
        <v>39</v>
      </c>
    </row>
    <row r="62" spans="1:14" x14ac:dyDescent="0.25">
      <c r="B62" t="s">
        <v>121</v>
      </c>
      <c r="I62" t="s">
        <v>55</v>
      </c>
      <c r="J62" t="s">
        <v>56</v>
      </c>
      <c r="K62" s="7">
        <v>2</v>
      </c>
      <c r="L62" t="s">
        <v>39</v>
      </c>
      <c r="M62" s="7" t="s">
        <v>97</v>
      </c>
    </row>
    <row r="63" spans="1:14" x14ac:dyDescent="0.25">
      <c r="B63" t="s">
        <v>84</v>
      </c>
      <c r="I63" t="s">
        <v>53</v>
      </c>
      <c r="J63" t="s">
        <v>56</v>
      </c>
      <c r="K63">
        <v>11</v>
      </c>
      <c r="L63" t="s">
        <v>39</v>
      </c>
    </row>
    <row r="64" spans="1:14" x14ac:dyDescent="0.25">
      <c r="B64" t="s">
        <v>84</v>
      </c>
      <c r="I64" t="s">
        <v>54</v>
      </c>
      <c r="J64" t="s">
        <v>56</v>
      </c>
      <c r="K64">
        <f>0.5</f>
        <v>0.5</v>
      </c>
      <c r="L64" t="s">
        <v>39</v>
      </c>
    </row>
    <row r="65" spans="1:14" x14ac:dyDescent="0.25">
      <c r="B65" t="s">
        <v>84</v>
      </c>
      <c r="I65" t="s">
        <v>55</v>
      </c>
      <c r="J65" t="s">
        <v>56</v>
      </c>
      <c r="K65" s="7">
        <v>1</v>
      </c>
      <c r="L65" t="s">
        <v>39</v>
      </c>
      <c r="M65" s="7" t="s">
        <v>97</v>
      </c>
    </row>
    <row r="66" spans="1:14" x14ac:dyDescent="0.25">
      <c r="B66" t="s">
        <v>58</v>
      </c>
      <c r="I66" t="s">
        <v>53</v>
      </c>
      <c r="J66" t="s">
        <v>56</v>
      </c>
      <c r="K66">
        <v>11</v>
      </c>
      <c r="L66" t="s">
        <v>39</v>
      </c>
    </row>
    <row r="67" spans="1:14" x14ac:dyDescent="0.25">
      <c r="B67" t="s">
        <v>58</v>
      </c>
      <c r="I67" t="s">
        <v>54</v>
      </c>
      <c r="J67" t="s">
        <v>56</v>
      </c>
      <c r="K67">
        <v>4</v>
      </c>
      <c r="L67" t="s">
        <v>39</v>
      </c>
    </row>
    <row r="68" spans="1:14" x14ac:dyDescent="0.25">
      <c r="B68" t="s">
        <v>58</v>
      </c>
      <c r="I68" t="s">
        <v>55</v>
      </c>
      <c r="J68" t="s">
        <v>56</v>
      </c>
      <c r="K68" s="7">
        <v>5</v>
      </c>
      <c r="L68" t="s">
        <v>39</v>
      </c>
      <c r="M68" s="7" t="s">
        <v>97</v>
      </c>
    </row>
    <row r="69" spans="1:14" x14ac:dyDescent="0.25">
      <c r="B69" t="s">
        <v>147</v>
      </c>
      <c r="I69" t="s">
        <v>53</v>
      </c>
      <c r="J69" t="s">
        <v>56</v>
      </c>
      <c r="K69">
        <v>4</v>
      </c>
      <c r="L69" t="s">
        <v>39</v>
      </c>
    </row>
    <row r="70" spans="1:14" x14ac:dyDescent="0.25">
      <c r="B70" t="s">
        <v>147</v>
      </c>
      <c r="I70" t="s">
        <v>54</v>
      </c>
      <c r="J70" t="s">
        <v>56</v>
      </c>
      <c r="K70">
        <v>1</v>
      </c>
      <c r="L70" t="s">
        <v>39</v>
      </c>
    </row>
    <row r="71" spans="1:14" x14ac:dyDescent="0.25">
      <c r="B71" t="s">
        <v>147</v>
      </c>
      <c r="I71" t="s">
        <v>55</v>
      </c>
      <c r="J71" t="s">
        <v>56</v>
      </c>
      <c r="K71" s="7">
        <v>5</v>
      </c>
      <c r="L71" t="s">
        <v>39</v>
      </c>
      <c r="M71" s="7" t="s">
        <v>97</v>
      </c>
    </row>
    <row r="72" spans="1:14" x14ac:dyDescent="0.25">
      <c r="B72" t="s">
        <v>126</v>
      </c>
      <c r="I72" t="s">
        <v>53</v>
      </c>
      <c r="J72" t="s">
        <v>56</v>
      </c>
      <c r="K72">
        <v>0</v>
      </c>
      <c r="L72" t="s">
        <v>39</v>
      </c>
    </row>
    <row r="73" spans="1:14" x14ac:dyDescent="0.25">
      <c r="B73" t="s">
        <v>126</v>
      </c>
      <c r="I73" t="s">
        <v>54</v>
      </c>
      <c r="J73" t="s">
        <v>56</v>
      </c>
      <c r="K73">
        <v>5</v>
      </c>
      <c r="L73" t="s">
        <v>39</v>
      </c>
    </row>
    <row r="74" spans="1:14" x14ac:dyDescent="0.25">
      <c r="B74" t="s">
        <v>126</v>
      </c>
      <c r="I74" t="s">
        <v>55</v>
      </c>
      <c r="J74" t="s">
        <v>56</v>
      </c>
      <c r="K74" s="7">
        <v>5</v>
      </c>
      <c r="L74" t="s">
        <v>39</v>
      </c>
      <c r="M74" s="7" t="s">
        <v>97</v>
      </c>
    </row>
    <row r="76" spans="1:14" x14ac:dyDescent="0.25">
      <c r="A76" s="3" t="s">
        <v>61</v>
      </c>
      <c r="B76" s="3"/>
      <c r="C76" s="3"/>
      <c r="D76" s="3"/>
      <c r="E76" s="3"/>
      <c r="F76" s="3"/>
      <c r="G76" s="3"/>
      <c r="H76" s="3"/>
      <c r="I76" s="3"/>
      <c r="J76" s="4"/>
      <c r="K76" s="4"/>
      <c r="L76" s="4"/>
      <c r="M76" s="4"/>
      <c r="N76" s="4"/>
    </row>
    <row r="77" spans="1:14" x14ac:dyDescent="0.25">
      <c r="J77" s="8" t="s">
        <v>88</v>
      </c>
      <c r="K77" s="8">
        <v>0</v>
      </c>
      <c r="L77" s="8" t="s">
        <v>39</v>
      </c>
      <c r="M77" s="8" t="s">
        <v>46</v>
      </c>
    </row>
    <row r="78" spans="1:14" x14ac:dyDescent="0.25">
      <c r="J78" s="8" t="s">
        <v>89</v>
      </c>
      <c r="K78" s="8">
        <v>0</v>
      </c>
      <c r="L78" s="8" t="s">
        <v>39</v>
      </c>
      <c r="M78" s="8" t="s">
        <v>46</v>
      </c>
    </row>
    <row r="79" spans="1:14" x14ac:dyDescent="0.25">
      <c r="A79" s="5" t="s">
        <v>10</v>
      </c>
      <c r="B79" s="5"/>
      <c r="C79" s="5"/>
      <c r="D79" s="5"/>
      <c r="E79" s="5"/>
      <c r="F79" s="5"/>
      <c r="G79" s="5"/>
      <c r="H79" s="5"/>
      <c r="I79" s="5"/>
      <c r="J79" s="6"/>
      <c r="K79" s="6"/>
      <c r="L79" s="6"/>
      <c r="M79" s="6"/>
      <c r="N79" s="6"/>
    </row>
    <row r="80" spans="1:14" x14ac:dyDescent="0.25">
      <c r="A80" t="s">
        <v>35</v>
      </c>
      <c r="C80" t="s">
        <v>38</v>
      </c>
      <c r="J80" t="s">
        <v>88</v>
      </c>
      <c r="K80">
        <v>79</v>
      </c>
      <c r="L80" t="s">
        <v>39</v>
      </c>
      <c r="N80" t="s">
        <v>100</v>
      </c>
    </row>
    <row r="81" spans="1:14" x14ac:dyDescent="0.25">
      <c r="A81" t="s">
        <v>35</v>
      </c>
      <c r="C81" t="s">
        <v>38</v>
      </c>
      <c r="F81" t="s">
        <v>130</v>
      </c>
      <c r="J81" t="s">
        <v>89</v>
      </c>
      <c r="K81">
        <v>19</v>
      </c>
      <c r="L81" t="s">
        <v>39</v>
      </c>
      <c r="N81" t="s">
        <v>100</v>
      </c>
    </row>
    <row r="82" spans="1:14" x14ac:dyDescent="0.25">
      <c r="A82" t="s">
        <v>35</v>
      </c>
      <c r="C82" t="s">
        <v>38</v>
      </c>
      <c r="F82" t="s">
        <v>131</v>
      </c>
      <c r="J82" t="s">
        <v>89</v>
      </c>
      <c r="K82">
        <v>2</v>
      </c>
      <c r="L82" t="s">
        <v>39</v>
      </c>
      <c r="N82" t="s">
        <v>100</v>
      </c>
    </row>
    <row r="83" spans="1:14" x14ac:dyDescent="0.25">
      <c r="A83" s="9" t="s">
        <v>50</v>
      </c>
      <c r="B83" s="9"/>
      <c r="C83" s="9" t="s">
        <v>51</v>
      </c>
      <c r="D83" s="9"/>
      <c r="E83" s="9"/>
      <c r="F83" s="9"/>
      <c r="G83" s="9"/>
      <c r="H83" s="9"/>
      <c r="I83" s="9"/>
      <c r="J83" t="s">
        <v>88</v>
      </c>
      <c r="K83" s="9">
        <v>91</v>
      </c>
      <c r="L83" s="9" t="s">
        <v>39</v>
      </c>
      <c r="M83" s="9"/>
      <c r="N83" t="s">
        <v>100</v>
      </c>
    </row>
    <row r="84" spans="1:14" x14ac:dyDescent="0.25">
      <c r="A84" s="9" t="s">
        <v>50</v>
      </c>
      <c r="B84" s="9"/>
      <c r="C84" s="9" t="s">
        <v>51</v>
      </c>
      <c r="D84" s="9"/>
      <c r="E84" s="9"/>
      <c r="F84" s="9" t="s">
        <v>132</v>
      </c>
      <c r="G84" s="9"/>
      <c r="H84" s="9"/>
      <c r="I84" s="9"/>
      <c r="J84" t="s">
        <v>89</v>
      </c>
      <c r="K84" s="9">
        <v>0</v>
      </c>
      <c r="L84" s="9" t="s">
        <v>39</v>
      </c>
      <c r="M84" s="9"/>
      <c r="N84" t="s">
        <v>100</v>
      </c>
    </row>
    <row r="85" spans="1:14" x14ac:dyDescent="0.25">
      <c r="A85" s="9" t="s">
        <v>50</v>
      </c>
      <c r="B85" s="9"/>
      <c r="C85" s="9" t="s">
        <v>51</v>
      </c>
      <c r="D85" s="9"/>
      <c r="E85" s="9"/>
      <c r="F85" s="9" t="s">
        <v>133</v>
      </c>
      <c r="G85" s="9"/>
      <c r="H85" s="9"/>
      <c r="I85" s="9"/>
      <c r="J85" t="s">
        <v>89</v>
      </c>
      <c r="K85" s="9">
        <v>9</v>
      </c>
      <c r="L85" s="9" t="s">
        <v>39</v>
      </c>
      <c r="M85" s="9"/>
      <c r="N85" t="s">
        <v>100</v>
      </c>
    </row>
    <row r="86" spans="1:14" x14ac:dyDescent="0.25">
      <c r="A86" t="s">
        <v>95</v>
      </c>
      <c r="B86" s="9"/>
      <c r="C86" s="10" t="s">
        <v>98</v>
      </c>
      <c r="D86" s="9"/>
      <c r="E86" s="9"/>
      <c r="F86" s="9"/>
      <c r="G86" s="9"/>
      <c r="H86" s="9"/>
      <c r="I86" s="9"/>
      <c r="J86" t="s">
        <v>88</v>
      </c>
      <c r="K86" s="10">
        <v>80</v>
      </c>
      <c r="L86" s="10" t="s">
        <v>39</v>
      </c>
      <c r="M86" s="9"/>
      <c r="N86" t="s">
        <v>100</v>
      </c>
    </row>
    <row r="87" spans="1:14" x14ac:dyDescent="0.25">
      <c r="A87" t="s">
        <v>95</v>
      </c>
      <c r="B87" s="9"/>
      <c r="C87" s="10" t="s">
        <v>98</v>
      </c>
      <c r="D87" s="9"/>
      <c r="E87" s="9"/>
      <c r="F87" s="10" t="s">
        <v>134</v>
      </c>
      <c r="G87" s="9"/>
      <c r="H87" s="9"/>
      <c r="I87" s="9"/>
      <c r="J87" t="s">
        <v>89</v>
      </c>
      <c r="K87" s="10">
        <v>20</v>
      </c>
      <c r="L87" s="10" t="s">
        <v>39</v>
      </c>
      <c r="M87" s="9"/>
      <c r="N87" t="s">
        <v>100</v>
      </c>
    </row>
    <row r="88" spans="1:14" x14ac:dyDescent="0.25">
      <c r="A88" t="s">
        <v>94</v>
      </c>
      <c r="B88" s="9"/>
      <c r="C88" s="10" t="s">
        <v>99</v>
      </c>
      <c r="D88" s="9"/>
      <c r="E88" s="9"/>
      <c r="F88" s="9"/>
      <c r="G88" s="9"/>
      <c r="H88" s="9"/>
      <c r="I88" s="9"/>
      <c r="J88" t="s">
        <v>88</v>
      </c>
      <c r="K88" s="10">
        <v>53</v>
      </c>
      <c r="L88" s="10" t="s">
        <v>39</v>
      </c>
      <c r="M88" s="9"/>
      <c r="N88" t="s">
        <v>100</v>
      </c>
    </row>
    <row r="89" spans="1:14" x14ac:dyDescent="0.25">
      <c r="A89" t="s">
        <v>94</v>
      </c>
      <c r="B89" s="9"/>
      <c r="C89" s="10" t="s">
        <v>99</v>
      </c>
      <c r="D89" s="9"/>
      <c r="E89" s="9"/>
      <c r="F89" s="10" t="s">
        <v>135</v>
      </c>
      <c r="G89" s="9"/>
      <c r="H89" s="9"/>
      <c r="I89" s="9"/>
      <c r="J89" t="s">
        <v>89</v>
      </c>
      <c r="K89" s="10">
        <v>47</v>
      </c>
      <c r="L89" s="10" t="s">
        <v>39</v>
      </c>
      <c r="M89" s="9"/>
      <c r="N89" t="s">
        <v>100</v>
      </c>
    </row>
    <row r="90" spans="1:14" x14ac:dyDescent="0.25">
      <c r="A90" s="5" t="s">
        <v>11</v>
      </c>
      <c r="B90" s="5"/>
      <c r="C90" s="5"/>
      <c r="D90" s="5"/>
      <c r="E90" s="5"/>
      <c r="F90" s="5"/>
      <c r="G90" s="5"/>
      <c r="H90" s="5"/>
      <c r="I90" s="5"/>
      <c r="J90" s="6"/>
      <c r="K90" s="6"/>
      <c r="L90" s="6"/>
      <c r="M90" s="6"/>
      <c r="N90" s="6"/>
    </row>
    <row r="91" spans="1:14" x14ac:dyDescent="0.25">
      <c r="A91" s="7" t="s">
        <v>109</v>
      </c>
      <c r="B91" s="9"/>
      <c r="C91" s="10" t="s">
        <v>118</v>
      </c>
      <c r="D91" s="9"/>
      <c r="E91" s="9"/>
      <c r="F91" s="10"/>
      <c r="G91" s="9"/>
      <c r="H91" s="9"/>
      <c r="I91" s="9"/>
      <c r="J91" t="s">
        <v>88</v>
      </c>
      <c r="K91" s="12">
        <v>100</v>
      </c>
      <c r="L91" s="10" t="s">
        <v>39</v>
      </c>
      <c r="M91" s="11" t="s">
        <v>115</v>
      </c>
    </row>
    <row r="92" spans="1:14" x14ac:dyDescent="0.25">
      <c r="A92" s="7" t="s">
        <v>110</v>
      </c>
      <c r="B92" s="9"/>
      <c r="C92" s="10" t="s">
        <v>118</v>
      </c>
      <c r="D92" s="9"/>
      <c r="E92" s="9"/>
      <c r="F92" s="10"/>
      <c r="G92" s="9"/>
      <c r="H92" s="9"/>
      <c r="I92" s="9"/>
      <c r="J92" t="s">
        <v>88</v>
      </c>
      <c r="K92" s="10">
        <v>50</v>
      </c>
      <c r="L92" s="10" t="s">
        <v>39</v>
      </c>
      <c r="M92" s="9"/>
    </row>
    <row r="93" spans="1:14" x14ac:dyDescent="0.25">
      <c r="A93" s="7" t="s">
        <v>110</v>
      </c>
      <c r="B93" s="9"/>
      <c r="C93" s="10" t="s">
        <v>118</v>
      </c>
      <c r="D93" s="9"/>
      <c r="E93" s="9"/>
      <c r="F93" s="10" t="s">
        <v>136</v>
      </c>
      <c r="G93" s="9"/>
      <c r="H93" s="9"/>
      <c r="I93" s="9"/>
      <c r="J93" t="s">
        <v>89</v>
      </c>
      <c r="K93" s="10">
        <v>50</v>
      </c>
      <c r="L93" s="10" t="s">
        <v>39</v>
      </c>
      <c r="M93" s="9"/>
    </row>
    <row r="94" spans="1:14" x14ac:dyDescent="0.25">
      <c r="A94" s="7" t="s">
        <v>112</v>
      </c>
      <c r="B94" s="9"/>
      <c r="C94" s="12" t="s">
        <v>119</v>
      </c>
      <c r="D94" s="9"/>
      <c r="E94" s="9"/>
      <c r="F94" s="10"/>
      <c r="G94" s="9"/>
      <c r="H94" s="9"/>
      <c r="I94" s="9"/>
      <c r="J94" t="s">
        <v>88</v>
      </c>
      <c r="K94" s="12">
        <v>20</v>
      </c>
      <c r="L94" s="10" t="s">
        <v>39</v>
      </c>
      <c r="M94" s="11" t="s">
        <v>117</v>
      </c>
    </row>
    <row r="95" spans="1:14" x14ac:dyDescent="0.25">
      <c r="A95" s="7" t="s">
        <v>111</v>
      </c>
      <c r="B95" s="9"/>
      <c r="C95" s="10" t="s">
        <v>119</v>
      </c>
      <c r="D95" s="9"/>
      <c r="E95" s="9"/>
      <c r="F95" s="10"/>
      <c r="G95" s="9"/>
      <c r="H95" s="9"/>
      <c r="I95" s="9"/>
      <c r="J95" t="s">
        <v>88</v>
      </c>
      <c r="K95" s="12">
        <v>19</v>
      </c>
      <c r="L95" s="10" t="s">
        <v>39</v>
      </c>
      <c r="M95" s="11" t="s">
        <v>116</v>
      </c>
    </row>
    <row r="96" spans="1:14" x14ac:dyDescent="0.25">
      <c r="A96" s="5" t="s">
        <v>12</v>
      </c>
      <c r="B96" s="5"/>
      <c r="C96" s="5"/>
      <c r="D96" s="5"/>
      <c r="E96" s="5"/>
      <c r="F96" s="5"/>
      <c r="G96" s="5"/>
      <c r="H96" s="5"/>
      <c r="I96" s="5"/>
      <c r="J96" s="6"/>
      <c r="K96" s="6"/>
      <c r="L96" s="6"/>
      <c r="M96" s="6"/>
      <c r="N96" s="6"/>
    </row>
    <row r="97" spans="1:14" x14ac:dyDescent="0.25">
      <c r="A97" s="18" t="s">
        <v>157</v>
      </c>
      <c r="C97" s="10" t="s">
        <v>158</v>
      </c>
      <c r="J97" t="s">
        <v>88</v>
      </c>
      <c r="K97" s="19">
        <v>100</v>
      </c>
      <c r="L97" s="18" t="s">
        <v>39</v>
      </c>
    </row>
    <row r="98" spans="1:14" x14ac:dyDescent="0.25">
      <c r="A98" s="18" t="s">
        <v>120</v>
      </c>
      <c r="B98" s="9"/>
      <c r="C98" s="10" t="s">
        <v>122</v>
      </c>
      <c r="D98" s="9"/>
      <c r="E98" s="9"/>
      <c r="F98" s="10"/>
      <c r="G98" s="9"/>
      <c r="H98" s="9"/>
      <c r="I98" s="9"/>
      <c r="J98" t="s">
        <v>88</v>
      </c>
      <c r="K98" s="19">
        <v>100</v>
      </c>
      <c r="L98" s="10" t="s">
        <v>39</v>
      </c>
      <c r="M98" s="11"/>
    </row>
    <row r="99" spans="1:14" x14ac:dyDescent="0.25">
      <c r="A99" s="18" t="s">
        <v>123</v>
      </c>
      <c r="B99" s="9"/>
      <c r="C99" s="10" t="s">
        <v>124</v>
      </c>
      <c r="D99" s="9"/>
      <c r="E99" s="9"/>
      <c r="F99" s="10"/>
      <c r="G99" s="9"/>
      <c r="H99" s="9"/>
      <c r="I99" s="9"/>
      <c r="J99" t="s">
        <v>88</v>
      </c>
      <c r="K99" s="19">
        <v>100</v>
      </c>
      <c r="L99" s="10" t="s">
        <v>39</v>
      </c>
      <c r="M99" s="11"/>
    </row>
    <row r="100" spans="1:14" x14ac:dyDescent="0.25">
      <c r="A100" s="5" t="s">
        <v>14</v>
      </c>
      <c r="B100" s="5"/>
      <c r="C100" s="5"/>
      <c r="D100" s="5"/>
      <c r="E100" s="5"/>
      <c r="F100" s="5"/>
      <c r="G100" s="5"/>
      <c r="H100" s="5"/>
      <c r="I100" s="5"/>
      <c r="J100" s="6"/>
      <c r="K100" s="6"/>
      <c r="L100" s="6"/>
      <c r="M100" s="6"/>
      <c r="N100" s="6"/>
    </row>
    <row r="101" spans="1:14" x14ac:dyDescent="0.25">
      <c r="A101" s="11" t="s">
        <v>65</v>
      </c>
      <c r="B101" s="11"/>
      <c r="C101" s="11"/>
      <c r="D101" s="11" t="s">
        <v>82</v>
      </c>
      <c r="E101" s="11" t="s">
        <v>62</v>
      </c>
      <c r="F101" s="11"/>
      <c r="G101" s="11"/>
      <c r="H101" s="11"/>
      <c r="I101" s="11"/>
      <c r="J101" t="s">
        <v>88</v>
      </c>
      <c r="K101" s="13">
        <f>100-K102</f>
        <v>90.75</v>
      </c>
      <c r="L101" s="11" t="s">
        <v>39</v>
      </c>
      <c r="M101" t="s">
        <v>74</v>
      </c>
      <c r="N101" s="9" t="s">
        <v>101</v>
      </c>
    </row>
    <row r="102" spans="1:14" x14ac:dyDescent="0.25">
      <c r="A102" s="11" t="s">
        <v>65</v>
      </c>
      <c r="B102" s="11"/>
      <c r="C102" s="11"/>
      <c r="D102" s="11" t="s">
        <v>82</v>
      </c>
      <c r="E102" s="11" t="s">
        <v>62</v>
      </c>
      <c r="F102" s="11" t="s">
        <v>63</v>
      </c>
      <c r="G102" s="11"/>
      <c r="H102" s="11"/>
      <c r="I102" s="11"/>
      <c r="J102" t="s">
        <v>89</v>
      </c>
      <c r="K102" s="13">
        <f>(0.042-0.005)/0.4*100</f>
        <v>9.2500000000000018</v>
      </c>
      <c r="L102" s="11" t="s">
        <v>39</v>
      </c>
      <c r="N102" s="9" t="s">
        <v>101</v>
      </c>
    </row>
    <row r="103" spans="1:14" x14ac:dyDescent="0.25">
      <c r="A103" s="11" t="s">
        <v>64</v>
      </c>
      <c r="B103" s="11"/>
      <c r="C103" s="11"/>
      <c r="D103" s="11" t="s">
        <v>82</v>
      </c>
      <c r="E103" s="11" t="s">
        <v>62</v>
      </c>
      <c r="F103" s="11"/>
      <c r="G103" s="11"/>
      <c r="H103" s="11"/>
      <c r="I103" s="11"/>
      <c r="J103" t="s">
        <v>88</v>
      </c>
      <c r="K103" s="13">
        <f>100-K104</f>
        <v>93.25</v>
      </c>
      <c r="L103" s="11" t="s">
        <v>39</v>
      </c>
      <c r="M103" t="s">
        <v>75</v>
      </c>
      <c r="N103" s="9" t="s">
        <v>101</v>
      </c>
    </row>
    <row r="104" spans="1:14" x14ac:dyDescent="0.25">
      <c r="A104" s="11" t="s">
        <v>64</v>
      </c>
      <c r="B104" s="11"/>
      <c r="C104" s="11"/>
      <c r="D104" s="11" t="s">
        <v>82</v>
      </c>
      <c r="E104" s="11" t="s">
        <v>62</v>
      </c>
      <c r="F104" s="11" t="s">
        <v>63</v>
      </c>
      <c r="G104" s="11"/>
      <c r="H104" s="11"/>
      <c r="I104" s="11"/>
      <c r="J104" t="s">
        <v>89</v>
      </c>
      <c r="K104" s="13">
        <f>(0.042-0.015)/0.4*100</f>
        <v>6.75</v>
      </c>
      <c r="L104" s="11" t="s">
        <v>39</v>
      </c>
      <c r="N104" s="9" t="s">
        <v>101</v>
      </c>
    </row>
    <row r="105" spans="1:14" x14ac:dyDescent="0.25">
      <c r="A105" s="11" t="s">
        <v>66</v>
      </c>
      <c r="B105" s="11"/>
      <c r="C105" s="11"/>
      <c r="D105" s="11" t="s">
        <v>82</v>
      </c>
      <c r="E105" s="11" t="s">
        <v>62</v>
      </c>
      <c r="F105" s="11"/>
      <c r="G105" s="11"/>
      <c r="H105" s="11"/>
      <c r="I105" s="11"/>
      <c r="J105" t="s">
        <v>88</v>
      </c>
      <c r="K105" s="13">
        <f>100-K106</f>
        <v>93.25</v>
      </c>
      <c r="L105" s="11" t="s">
        <v>39</v>
      </c>
      <c r="M105" t="s">
        <v>76</v>
      </c>
      <c r="N105" s="9" t="s">
        <v>101</v>
      </c>
    </row>
    <row r="106" spans="1:14" x14ac:dyDescent="0.25">
      <c r="A106" s="11" t="s">
        <v>66</v>
      </c>
      <c r="B106" s="11"/>
      <c r="C106" s="11"/>
      <c r="D106" s="11" t="s">
        <v>82</v>
      </c>
      <c r="E106" s="11" t="s">
        <v>62</v>
      </c>
      <c r="F106" s="11" t="s">
        <v>63</v>
      </c>
      <c r="G106" s="11"/>
      <c r="H106" s="11"/>
      <c r="I106" s="11"/>
      <c r="J106" t="s">
        <v>89</v>
      </c>
      <c r="K106" s="13">
        <f>(0.042-0.015)/0.4*100</f>
        <v>6.75</v>
      </c>
      <c r="L106" s="11" t="s">
        <v>39</v>
      </c>
      <c r="N106" s="9" t="s">
        <v>101</v>
      </c>
    </row>
    <row r="107" spans="1:14" x14ac:dyDescent="0.25">
      <c r="A107" s="11" t="s">
        <v>67</v>
      </c>
      <c r="B107" s="11"/>
      <c r="C107" s="11"/>
      <c r="D107" s="11" t="s">
        <v>82</v>
      </c>
      <c r="E107" s="11" t="s">
        <v>62</v>
      </c>
      <c r="F107" s="11"/>
      <c r="G107" s="11"/>
      <c r="H107" s="11"/>
      <c r="I107" s="11"/>
      <c r="J107" t="s">
        <v>88</v>
      </c>
      <c r="K107" s="13">
        <f>(100-K108)*0.1</f>
        <v>9.3250000000000011</v>
      </c>
      <c r="L107" s="11" t="s">
        <v>39</v>
      </c>
      <c r="M107" t="s">
        <v>83</v>
      </c>
      <c r="N107" s="9" t="s">
        <v>101</v>
      </c>
    </row>
    <row r="108" spans="1:14" x14ac:dyDescent="0.25">
      <c r="A108" s="11" t="s">
        <v>67</v>
      </c>
      <c r="B108" s="11"/>
      <c r="C108" s="11"/>
      <c r="D108" s="11" t="s">
        <v>82</v>
      </c>
      <c r="E108" s="11" t="s">
        <v>62</v>
      </c>
      <c r="F108" s="11" t="s">
        <v>63</v>
      </c>
      <c r="G108" s="11"/>
      <c r="H108" s="11"/>
      <c r="I108" s="11"/>
      <c r="J108" t="s">
        <v>89</v>
      </c>
      <c r="K108" s="13">
        <f>(0.042-0.015)/0.4*100</f>
        <v>6.75</v>
      </c>
      <c r="L108" s="11" t="s">
        <v>39</v>
      </c>
      <c r="N108" s="9" t="s">
        <v>101</v>
      </c>
    </row>
    <row r="109" spans="1:14" x14ac:dyDescent="0.25">
      <c r="A109" s="11" t="s">
        <v>67</v>
      </c>
      <c r="B109" s="11"/>
      <c r="C109" s="11"/>
      <c r="D109" s="11" t="s">
        <v>82</v>
      </c>
      <c r="E109" s="11" t="s">
        <v>62</v>
      </c>
      <c r="F109" s="11" t="s">
        <v>73</v>
      </c>
      <c r="G109" s="11"/>
      <c r="H109" s="11"/>
      <c r="I109" s="11"/>
      <c r="J109" t="s">
        <v>89</v>
      </c>
      <c r="K109" s="13">
        <f>(100-K108)*0.9</f>
        <v>83.924999999999997</v>
      </c>
      <c r="L109" s="11" t="s">
        <v>39</v>
      </c>
      <c r="N109" s="9" t="s">
        <v>101</v>
      </c>
    </row>
    <row r="110" spans="1:14" x14ac:dyDescent="0.25">
      <c r="A110" s="11" t="s">
        <v>71</v>
      </c>
      <c r="B110" s="11"/>
      <c r="C110" s="11"/>
      <c r="D110" s="11" t="s">
        <v>82</v>
      </c>
      <c r="E110" s="11" t="s">
        <v>63</v>
      </c>
      <c r="F110" s="11"/>
      <c r="G110" s="11"/>
      <c r="H110" s="11"/>
      <c r="I110" s="11"/>
      <c r="J110" t="s">
        <v>88</v>
      </c>
      <c r="K110" s="11">
        <f>1/(0.1/0.4)*100</f>
        <v>400</v>
      </c>
      <c r="L110" s="11" t="s">
        <v>39</v>
      </c>
      <c r="M110" t="s">
        <v>81</v>
      </c>
      <c r="N110" s="9" t="s">
        <v>101</v>
      </c>
    </row>
    <row r="111" spans="1:14" x14ac:dyDescent="0.25">
      <c r="A111" s="12" t="s">
        <v>72</v>
      </c>
      <c r="B111" s="11"/>
      <c r="C111" s="11"/>
      <c r="D111" s="11" t="s">
        <v>82</v>
      </c>
      <c r="E111" s="11" t="s">
        <v>63</v>
      </c>
      <c r="F111" s="11"/>
      <c r="G111" s="11"/>
      <c r="H111" s="11"/>
      <c r="I111" s="11"/>
      <c r="J111" t="s">
        <v>88</v>
      </c>
      <c r="K111" s="13">
        <f>1/(0.12/0.4)*100</f>
        <v>333.33333333333337</v>
      </c>
      <c r="L111" s="11" t="s">
        <v>39</v>
      </c>
      <c r="M111" t="s">
        <v>77</v>
      </c>
      <c r="N111" s="9" t="s">
        <v>101</v>
      </c>
    </row>
    <row r="112" spans="1:14" x14ac:dyDescent="0.25">
      <c r="A112" s="11" t="s">
        <v>69</v>
      </c>
      <c r="B112" s="11"/>
      <c r="C112" s="11"/>
      <c r="D112" s="11" t="s">
        <v>82</v>
      </c>
      <c r="E112" s="11" t="s">
        <v>63</v>
      </c>
      <c r="F112" s="11"/>
      <c r="G112" s="11"/>
      <c r="H112" s="11"/>
      <c r="I112" s="11"/>
      <c r="J112" t="s">
        <v>88</v>
      </c>
      <c r="K112" s="13">
        <f>1/(0.13/0.4)*100</f>
        <v>307.69230769230768</v>
      </c>
      <c r="L112" s="11" t="s">
        <v>39</v>
      </c>
      <c r="M112" t="s">
        <v>78</v>
      </c>
      <c r="N112" s="9" t="s">
        <v>101</v>
      </c>
    </row>
    <row r="113" spans="1:14" x14ac:dyDescent="0.25">
      <c r="A113" s="11" t="s">
        <v>70</v>
      </c>
      <c r="B113" s="11"/>
      <c r="C113" s="11"/>
      <c r="D113" s="11" t="s">
        <v>82</v>
      </c>
      <c r="E113" s="11" t="s">
        <v>63</v>
      </c>
      <c r="F113" s="11"/>
      <c r="G113" s="11"/>
      <c r="H113" s="11"/>
      <c r="I113" s="11"/>
      <c r="J113" t="s">
        <v>88</v>
      </c>
      <c r="K113" s="11">
        <f>1/(0.4/0.4)*100</f>
        <v>100</v>
      </c>
      <c r="L113" s="11" t="s">
        <v>39</v>
      </c>
      <c r="M113" t="s">
        <v>79</v>
      </c>
      <c r="N113" s="9" t="s">
        <v>101</v>
      </c>
    </row>
    <row r="114" spans="1:14" x14ac:dyDescent="0.25">
      <c r="A114" s="11" t="s">
        <v>68</v>
      </c>
      <c r="B114" s="11"/>
      <c r="C114" s="11"/>
      <c r="D114" s="11" t="s">
        <v>82</v>
      </c>
      <c r="E114" s="11" t="s">
        <v>63</v>
      </c>
      <c r="F114" s="11"/>
      <c r="G114" s="11"/>
      <c r="H114" s="11"/>
      <c r="I114" s="11"/>
      <c r="J114" t="s">
        <v>88</v>
      </c>
      <c r="K114" s="13">
        <f>1/((0.4-0.8)/(0.01-0.4)+1)*100</f>
        <v>49.367088607594937</v>
      </c>
      <c r="L114" s="11" t="s">
        <v>39</v>
      </c>
      <c r="M114" t="s">
        <v>80</v>
      </c>
      <c r="N114" s="9" t="s">
        <v>101</v>
      </c>
    </row>
    <row r="115" spans="1:14" x14ac:dyDescent="0.25">
      <c r="A115" s="11" t="s">
        <v>68</v>
      </c>
      <c r="B115" s="9"/>
      <c r="C115" s="9"/>
      <c r="D115" s="11" t="s">
        <v>82</v>
      </c>
      <c r="E115" s="11" t="s">
        <v>63</v>
      </c>
      <c r="F115" s="11" t="s">
        <v>85</v>
      </c>
      <c r="G115" s="9"/>
      <c r="H115" s="9"/>
      <c r="I115" s="9"/>
      <c r="J115" t="s">
        <v>89</v>
      </c>
      <c r="K115" s="15">
        <f>1/((0.01-0.4)/(0.4-0.8)+1)*100</f>
        <v>50.632911392405056</v>
      </c>
      <c r="L115" s="11" t="s">
        <v>39</v>
      </c>
      <c r="M115" s="9" t="s">
        <v>86</v>
      </c>
      <c r="N115" s="9" t="s">
        <v>101</v>
      </c>
    </row>
    <row r="116" spans="1:14" x14ac:dyDescent="0.25">
      <c r="A116" s="5" t="s">
        <v>23</v>
      </c>
      <c r="B116" s="5"/>
      <c r="C116" s="5"/>
      <c r="D116" s="5"/>
      <c r="E116" s="5"/>
      <c r="F116" s="5"/>
      <c r="G116" s="5"/>
      <c r="H116" s="5"/>
      <c r="I116" s="5"/>
      <c r="J116" s="6"/>
      <c r="K116" s="6"/>
      <c r="L116" s="6"/>
      <c r="M116" s="6"/>
      <c r="N116" s="6"/>
    </row>
    <row r="117" spans="1:14" x14ac:dyDescent="0.25">
      <c r="A117" s="9" t="s">
        <v>57</v>
      </c>
      <c r="B117" s="9"/>
      <c r="C117" s="9"/>
      <c r="D117" s="9" t="s">
        <v>60</v>
      </c>
      <c r="E117" s="9" t="s">
        <v>58</v>
      </c>
      <c r="F117" s="9"/>
      <c r="G117" s="9"/>
      <c r="H117" s="9"/>
      <c r="I117" s="9"/>
      <c r="J117" t="s">
        <v>88</v>
      </c>
      <c r="K117" s="10">
        <v>73</v>
      </c>
      <c r="L117" s="9" t="s">
        <v>39</v>
      </c>
      <c r="M117" s="9"/>
      <c r="N117" s="9" t="s">
        <v>100</v>
      </c>
    </row>
    <row r="118" spans="1:14" x14ac:dyDescent="0.25">
      <c r="A118" s="9" t="s">
        <v>57</v>
      </c>
      <c r="B118" s="9"/>
      <c r="C118" s="9"/>
      <c r="D118" s="9" t="s">
        <v>60</v>
      </c>
      <c r="E118" s="9" t="s">
        <v>58</v>
      </c>
      <c r="F118" s="9" t="s">
        <v>137</v>
      </c>
      <c r="G118" s="9"/>
      <c r="H118" s="9"/>
      <c r="I118" s="9"/>
      <c r="J118" t="s">
        <v>89</v>
      </c>
      <c r="K118" s="17">
        <f>(1/0.76)*4</f>
        <v>5.2631578947368425</v>
      </c>
      <c r="L118" s="9" t="s">
        <v>39</v>
      </c>
      <c r="M118" s="10" t="s">
        <v>105</v>
      </c>
      <c r="N118" s="9" t="s">
        <v>100</v>
      </c>
    </row>
    <row r="119" spans="1:14" x14ac:dyDescent="0.25">
      <c r="A119" s="9" t="s">
        <v>57</v>
      </c>
      <c r="B119" s="9"/>
      <c r="C119" s="9"/>
      <c r="D119" s="9" t="s">
        <v>60</v>
      </c>
      <c r="E119" s="9" t="s">
        <v>58</v>
      </c>
      <c r="F119" s="9" t="s">
        <v>138</v>
      </c>
      <c r="G119" s="9"/>
      <c r="H119" s="9"/>
      <c r="I119" s="9"/>
      <c r="J119" t="s">
        <v>89</v>
      </c>
      <c r="K119" s="17">
        <f>(1/0.76)*6</f>
        <v>7.8947368421052637</v>
      </c>
      <c r="L119" s="9" t="s">
        <v>39</v>
      </c>
      <c r="M119" s="10" t="s">
        <v>105</v>
      </c>
      <c r="N119" s="9" t="s">
        <v>100</v>
      </c>
    </row>
    <row r="120" spans="1:14" x14ac:dyDescent="0.25">
      <c r="A120" s="9" t="s">
        <v>57</v>
      </c>
      <c r="B120" s="9"/>
      <c r="C120" s="9"/>
      <c r="D120" s="9" t="s">
        <v>60</v>
      </c>
      <c r="E120" s="9" t="s">
        <v>58</v>
      </c>
      <c r="F120" s="9" t="s">
        <v>139</v>
      </c>
      <c r="G120" s="9"/>
      <c r="H120" s="9"/>
      <c r="I120" s="9"/>
      <c r="J120" t="s">
        <v>89</v>
      </c>
      <c r="K120" s="17">
        <f>(1/0.76)*5</f>
        <v>6.5789473684210531</v>
      </c>
      <c r="L120" s="9" t="s">
        <v>39</v>
      </c>
      <c r="M120" s="10" t="s">
        <v>105</v>
      </c>
      <c r="N120" s="9" t="s">
        <v>100</v>
      </c>
    </row>
    <row r="121" spans="1:14" x14ac:dyDescent="0.25">
      <c r="A121" s="9" t="s">
        <v>57</v>
      </c>
      <c r="B121" s="9"/>
      <c r="C121" s="9"/>
      <c r="D121" s="9" t="s">
        <v>60</v>
      </c>
      <c r="E121" s="9" t="s">
        <v>58</v>
      </c>
      <c r="F121" s="9" t="s">
        <v>140</v>
      </c>
      <c r="G121" s="9"/>
      <c r="H121" s="9"/>
      <c r="I121" s="9"/>
      <c r="J121" t="s">
        <v>89</v>
      </c>
      <c r="K121" s="10">
        <v>18</v>
      </c>
      <c r="L121" s="9" t="s">
        <v>39</v>
      </c>
      <c r="M121" s="9"/>
      <c r="N121" s="9" t="s">
        <v>100</v>
      </c>
    </row>
    <row r="122" spans="1:14" x14ac:dyDescent="0.25">
      <c r="A122" t="s">
        <v>104</v>
      </c>
      <c r="B122" s="9"/>
      <c r="C122" s="9"/>
      <c r="D122" s="10" t="s">
        <v>82</v>
      </c>
      <c r="E122" s="10" t="s">
        <v>58</v>
      </c>
      <c r="F122" s="9"/>
      <c r="G122" s="9"/>
      <c r="H122" s="9"/>
      <c r="I122" s="9"/>
      <c r="J122" t="s">
        <v>88</v>
      </c>
      <c r="K122" s="10">
        <v>71</v>
      </c>
      <c r="L122" s="10" t="s">
        <v>39</v>
      </c>
      <c r="M122" s="9"/>
      <c r="N122" s="9" t="s">
        <v>100</v>
      </c>
    </row>
    <row r="123" spans="1:14" x14ac:dyDescent="0.25">
      <c r="A123" t="s">
        <v>104</v>
      </c>
      <c r="B123" s="9"/>
      <c r="C123" s="9"/>
      <c r="D123" s="10" t="s">
        <v>82</v>
      </c>
      <c r="E123" s="10" t="s">
        <v>58</v>
      </c>
      <c r="F123" s="10" t="s">
        <v>141</v>
      </c>
      <c r="G123" s="9"/>
      <c r="H123" s="9"/>
      <c r="I123" s="9"/>
      <c r="J123" t="s">
        <v>89</v>
      </c>
      <c r="K123" s="17">
        <f>(1/0.52)*7</f>
        <v>13.46153846153846</v>
      </c>
      <c r="L123" s="10" t="s">
        <v>39</v>
      </c>
      <c r="M123" s="10" t="s">
        <v>106</v>
      </c>
      <c r="N123" s="9"/>
    </row>
    <row r="124" spans="1:14" x14ac:dyDescent="0.25">
      <c r="A124" t="s">
        <v>104</v>
      </c>
      <c r="B124" s="9"/>
      <c r="C124" s="9"/>
      <c r="D124" s="10" t="s">
        <v>82</v>
      </c>
      <c r="E124" s="10" t="s">
        <v>58</v>
      </c>
      <c r="F124" s="9" t="s">
        <v>142</v>
      </c>
      <c r="G124" s="9"/>
      <c r="H124" s="9"/>
      <c r="I124" s="9"/>
      <c r="J124" t="s">
        <v>89</v>
      </c>
      <c r="K124" s="17">
        <f>(1/0.52)*3</f>
        <v>5.7692307692307683</v>
      </c>
      <c r="L124" s="10" t="s">
        <v>39</v>
      </c>
      <c r="M124" s="10" t="s">
        <v>106</v>
      </c>
      <c r="N124" s="9"/>
    </row>
    <row r="125" spans="1:14" x14ac:dyDescent="0.25">
      <c r="A125" t="s">
        <v>104</v>
      </c>
      <c r="B125" s="9"/>
      <c r="C125" s="9"/>
      <c r="D125" s="10" t="s">
        <v>82</v>
      </c>
      <c r="E125" s="10" t="s">
        <v>58</v>
      </c>
      <c r="F125" s="10" t="s">
        <v>143</v>
      </c>
      <c r="G125" s="9"/>
      <c r="H125" s="9"/>
      <c r="I125" s="9"/>
      <c r="J125" t="s">
        <v>89</v>
      </c>
      <c r="K125" s="17">
        <f>(1/0.52)*6</f>
        <v>11.538461538461537</v>
      </c>
      <c r="L125" s="10" t="s">
        <v>39</v>
      </c>
      <c r="M125" s="10" t="s">
        <v>106</v>
      </c>
      <c r="N125" s="9"/>
    </row>
    <row r="126" spans="1:14" x14ac:dyDescent="0.25">
      <c r="A126" t="s">
        <v>104</v>
      </c>
      <c r="B126" s="9"/>
      <c r="C126" s="9"/>
      <c r="D126" s="10" t="s">
        <v>82</v>
      </c>
      <c r="E126" s="10" t="s">
        <v>58</v>
      </c>
      <c r="F126" s="9" t="s">
        <v>144</v>
      </c>
      <c r="G126" s="9"/>
      <c r="H126" s="9"/>
      <c r="I126" s="9"/>
      <c r="J126" t="s">
        <v>89</v>
      </c>
      <c r="K126" s="10">
        <v>12</v>
      </c>
      <c r="L126" s="10" t="s">
        <v>39</v>
      </c>
      <c r="M126" s="9"/>
      <c r="N126" s="9"/>
    </row>
    <row r="127" spans="1:14" x14ac:dyDescent="0.25">
      <c r="A127" s="5" t="s">
        <v>22</v>
      </c>
      <c r="B127" s="5"/>
      <c r="C127" s="5"/>
      <c r="D127" s="5"/>
      <c r="E127" s="5"/>
      <c r="F127" s="5"/>
      <c r="G127" s="5"/>
      <c r="H127" s="5"/>
      <c r="I127" s="5"/>
      <c r="J127" s="6"/>
      <c r="K127" s="6"/>
      <c r="L127" s="6"/>
      <c r="M127" s="6"/>
      <c r="N127" s="6"/>
    </row>
    <row r="128" spans="1:14" x14ac:dyDescent="0.25">
      <c r="A128" t="s">
        <v>146</v>
      </c>
      <c r="C128" t="s">
        <v>148</v>
      </c>
      <c r="H128" t="s">
        <v>47</v>
      </c>
      <c r="J128" t="s">
        <v>88</v>
      </c>
      <c r="K128" s="22">
        <v>40</v>
      </c>
      <c r="L128" t="s">
        <v>39</v>
      </c>
      <c r="M128" s="12" t="s">
        <v>152</v>
      </c>
      <c r="N128" s="9" t="s">
        <v>100</v>
      </c>
    </row>
    <row r="129" spans="1:14" x14ac:dyDescent="0.25">
      <c r="A129" t="s">
        <v>146</v>
      </c>
      <c r="C129" t="s">
        <v>148</v>
      </c>
      <c r="F129" t="s">
        <v>149</v>
      </c>
      <c r="H129" t="s">
        <v>47</v>
      </c>
      <c r="J129" t="s">
        <v>89</v>
      </c>
      <c r="K129" s="22">
        <v>60</v>
      </c>
      <c r="L129" t="s">
        <v>39</v>
      </c>
      <c r="N129" s="9" t="s">
        <v>100</v>
      </c>
    </row>
    <row r="130" spans="1:14" x14ac:dyDescent="0.25">
      <c r="A130" t="s">
        <v>146</v>
      </c>
      <c r="C130" t="s">
        <v>148</v>
      </c>
      <c r="H130" t="s">
        <v>45</v>
      </c>
      <c r="J130" t="s">
        <v>88</v>
      </c>
      <c r="K130" s="22">
        <v>32</v>
      </c>
      <c r="L130" t="s">
        <v>39</v>
      </c>
      <c r="M130" t="s">
        <v>151</v>
      </c>
      <c r="N130" s="9"/>
    </row>
    <row r="131" spans="1:14" x14ac:dyDescent="0.25">
      <c r="A131" t="s">
        <v>146</v>
      </c>
      <c r="C131" t="s">
        <v>148</v>
      </c>
      <c r="F131" t="s">
        <v>150</v>
      </c>
      <c r="H131" t="s">
        <v>45</v>
      </c>
      <c r="J131" t="s">
        <v>89</v>
      </c>
      <c r="K131" s="22">
        <v>68</v>
      </c>
      <c r="L131" t="s">
        <v>39</v>
      </c>
      <c r="N131" s="9"/>
    </row>
    <row r="132" spans="1:14" x14ac:dyDescent="0.25">
      <c r="A132" s="5" t="s">
        <v>29</v>
      </c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6"/>
      <c r="M132" s="6"/>
      <c r="N132" s="6"/>
    </row>
    <row r="133" spans="1:14" x14ac:dyDescent="0.25">
      <c r="A133" t="s">
        <v>125</v>
      </c>
      <c r="B133" s="11"/>
      <c r="C133" s="9" t="s">
        <v>51</v>
      </c>
      <c r="D133" s="11"/>
      <c r="E133" s="11"/>
      <c r="F133" s="11"/>
      <c r="G133" s="11"/>
      <c r="H133" s="11"/>
      <c r="I133" s="11"/>
      <c r="J133" t="s">
        <v>88</v>
      </c>
      <c r="K133" s="21">
        <f>655*0.7</f>
        <v>458.49999999999994</v>
      </c>
      <c r="L133" s="10" t="s">
        <v>39</v>
      </c>
      <c r="M133" s="9"/>
      <c r="N133" s="9" t="s">
        <v>100</v>
      </c>
    </row>
    <row r="134" spans="1:14" x14ac:dyDescent="0.25">
      <c r="A134" t="s">
        <v>125</v>
      </c>
      <c r="B134" s="11"/>
      <c r="C134" s="9" t="s">
        <v>51</v>
      </c>
      <c r="D134" s="11"/>
      <c r="E134" s="11"/>
      <c r="F134" s="20" t="s">
        <v>145</v>
      </c>
      <c r="G134" s="11"/>
      <c r="H134" s="11"/>
      <c r="I134" s="11"/>
      <c r="J134" t="s">
        <v>89</v>
      </c>
      <c r="K134" s="21">
        <f>1*(K133/100)*0.2*100</f>
        <v>91.699999999999989</v>
      </c>
      <c r="L134" s="10" t="s">
        <v>39</v>
      </c>
      <c r="M134" s="9" t="s">
        <v>129</v>
      </c>
      <c r="N134" s="9" t="s">
        <v>128</v>
      </c>
    </row>
    <row r="135" spans="1:14" x14ac:dyDescent="0.2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9"/>
      <c r="M135" s="9"/>
      <c r="N135" s="9"/>
    </row>
    <row r="136" spans="1:14" x14ac:dyDescent="0.25">
      <c r="A136" s="3" t="s">
        <v>40</v>
      </c>
      <c r="B136" s="3"/>
      <c r="C136" s="3"/>
      <c r="D136" s="3"/>
      <c r="E136" s="3"/>
      <c r="F136" s="3"/>
      <c r="G136" s="3"/>
      <c r="H136" s="3"/>
      <c r="I136" s="3"/>
      <c r="J136" s="4"/>
      <c r="K136" s="4"/>
      <c r="L136" s="4"/>
      <c r="M136" s="4"/>
      <c r="N136" s="4"/>
    </row>
    <row r="137" spans="1:14" x14ac:dyDescent="0.25">
      <c r="J137" s="8" t="s">
        <v>41</v>
      </c>
      <c r="K137" s="8">
        <v>100</v>
      </c>
      <c r="L137" s="8" t="s">
        <v>39</v>
      </c>
      <c r="M137" s="8" t="s">
        <v>46</v>
      </c>
    </row>
    <row r="138" spans="1:14" x14ac:dyDescent="0.25">
      <c r="A138" s="5" t="s">
        <v>10</v>
      </c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6"/>
      <c r="M138" s="6"/>
      <c r="N138" s="6"/>
    </row>
    <row r="139" spans="1:14" x14ac:dyDescent="0.25">
      <c r="A139" t="s">
        <v>35</v>
      </c>
      <c r="J139" t="s">
        <v>41</v>
      </c>
      <c r="K139">
        <v>22</v>
      </c>
      <c r="L139" t="s">
        <v>39</v>
      </c>
    </row>
    <row r="140" spans="1:14" x14ac:dyDescent="0.25">
      <c r="A140" t="s">
        <v>44</v>
      </c>
      <c r="J140" t="s">
        <v>41</v>
      </c>
      <c r="K140">
        <v>100</v>
      </c>
      <c r="L140" t="s">
        <v>39</v>
      </c>
    </row>
    <row r="141" spans="1:14" x14ac:dyDescent="0.25">
      <c r="A141" t="s">
        <v>50</v>
      </c>
      <c r="J141" t="s">
        <v>41</v>
      </c>
      <c r="K141">
        <v>4</v>
      </c>
      <c r="L141" t="s">
        <v>39</v>
      </c>
    </row>
    <row r="142" spans="1:14" x14ac:dyDescent="0.25">
      <c r="A142" t="s">
        <v>96</v>
      </c>
      <c r="J142" t="s">
        <v>41</v>
      </c>
      <c r="K142">
        <v>100</v>
      </c>
      <c r="L142" t="s">
        <v>39</v>
      </c>
    </row>
    <row r="143" spans="1:14" x14ac:dyDescent="0.25">
      <c r="A143" t="s">
        <v>95</v>
      </c>
      <c r="J143" t="s">
        <v>41</v>
      </c>
      <c r="K143">
        <v>8</v>
      </c>
      <c r="L143" t="s">
        <v>39</v>
      </c>
    </row>
    <row r="144" spans="1:14" x14ac:dyDescent="0.25">
      <c r="A144" t="s">
        <v>94</v>
      </c>
      <c r="J144" t="s">
        <v>41</v>
      </c>
      <c r="K144">
        <v>1</v>
      </c>
      <c r="L144" t="s">
        <v>39</v>
      </c>
    </row>
    <row r="145" spans="1:14" x14ac:dyDescent="0.25">
      <c r="A145" t="s">
        <v>93</v>
      </c>
      <c r="J145" t="s">
        <v>41</v>
      </c>
      <c r="K145" s="7">
        <v>22</v>
      </c>
      <c r="L145" s="7" t="s">
        <v>39</v>
      </c>
    </row>
    <row r="146" spans="1:14" x14ac:dyDescent="0.25">
      <c r="A146" s="5" t="s">
        <v>11</v>
      </c>
      <c r="B146" s="5"/>
      <c r="C146" s="5"/>
      <c r="D146" s="5"/>
      <c r="E146" s="5"/>
      <c r="F146" s="5"/>
      <c r="G146" s="5"/>
      <c r="H146" s="5"/>
      <c r="I146" s="5"/>
      <c r="J146" s="6"/>
      <c r="K146" s="6"/>
      <c r="L146" s="6"/>
      <c r="M146" s="6"/>
      <c r="N146" s="6"/>
    </row>
    <row r="147" spans="1:14" x14ac:dyDescent="0.25">
      <c r="A147" s="7" t="s">
        <v>109</v>
      </c>
      <c r="J147" t="s">
        <v>41</v>
      </c>
      <c r="K147" s="18">
        <v>16</v>
      </c>
      <c r="L147" s="18" t="s">
        <v>39</v>
      </c>
    </row>
    <row r="148" spans="1:14" x14ac:dyDescent="0.25">
      <c r="A148" s="7" t="s">
        <v>110</v>
      </c>
      <c r="J148" t="s">
        <v>41</v>
      </c>
      <c r="K148" s="18">
        <v>16</v>
      </c>
      <c r="L148" s="18" t="s">
        <v>39</v>
      </c>
    </row>
    <row r="149" spans="1:14" x14ac:dyDescent="0.25">
      <c r="A149" s="7" t="s">
        <v>112</v>
      </c>
      <c r="J149" t="s">
        <v>41</v>
      </c>
      <c r="K149" s="18">
        <v>16</v>
      </c>
      <c r="L149" s="18" t="s">
        <v>39</v>
      </c>
    </row>
    <row r="150" spans="1:14" x14ac:dyDescent="0.25">
      <c r="A150" s="7" t="s">
        <v>111</v>
      </c>
      <c r="J150" t="s">
        <v>41</v>
      </c>
      <c r="K150" s="18">
        <v>16</v>
      </c>
      <c r="L150" s="18" t="s">
        <v>39</v>
      </c>
    </row>
    <row r="151" spans="1:14" x14ac:dyDescent="0.25">
      <c r="A151" s="5" t="s">
        <v>12</v>
      </c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6"/>
      <c r="M151" s="6"/>
      <c r="N151" s="6"/>
    </row>
    <row r="152" spans="1:14" x14ac:dyDescent="0.25">
      <c r="A152" s="18" t="s">
        <v>157</v>
      </c>
      <c r="J152" t="s">
        <v>41</v>
      </c>
      <c r="K152">
        <v>7</v>
      </c>
      <c r="L152" s="18" t="s">
        <v>39</v>
      </c>
    </row>
    <row r="153" spans="1:14" x14ac:dyDescent="0.25">
      <c r="A153" s="18" t="s">
        <v>120</v>
      </c>
      <c r="J153" t="s">
        <v>41</v>
      </c>
      <c r="K153" s="18">
        <v>90</v>
      </c>
      <c r="L153" s="18" t="s">
        <v>39</v>
      </c>
    </row>
    <row r="154" spans="1:14" x14ac:dyDescent="0.25">
      <c r="A154" s="18" t="s">
        <v>123</v>
      </c>
      <c r="J154" t="s">
        <v>41</v>
      </c>
      <c r="K154" s="18">
        <v>46</v>
      </c>
      <c r="L154" s="18" t="s">
        <v>39</v>
      </c>
    </row>
    <row r="155" spans="1:14" x14ac:dyDescent="0.25">
      <c r="A155" s="5" t="s">
        <v>14</v>
      </c>
      <c r="B155" s="5"/>
      <c r="C155" s="5"/>
      <c r="D155" s="5"/>
      <c r="E155" s="5"/>
      <c r="F155" s="5"/>
      <c r="G155" s="5"/>
      <c r="H155" s="5"/>
      <c r="I155" s="5"/>
      <c r="J155" s="6"/>
      <c r="K155" s="6"/>
      <c r="L155" s="6"/>
      <c r="M155" s="6"/>
      <c r="N155" s="6"/>
    </row>
    <row r="156" spans="1:14" x14ac:dyDescent="0.25">
      <c r="A156" s="7" t="s">
        <v>65</v>
      </c>
      <c r="J156" t="s">
        <v>41</v>
      </c>
      <c r="K156" s="14">
        <f>8.5*20/(29.5+8.5)</f>
        <v>4.4736842105263159</v>
      </c>
      <c r="L156" t="s">
        <v>39</v>
      </c>
    </row>
    <row r="157" spans="1:14" x14ac:dyDescent="0.25">
      <c r="A157" s="7" t="s">
        <v>64</v>
      </c>
      <c r="J157" t="s">
        <v>41</v>
      </c>
      <c r="K157" s="14">
        <f>(80.7*0+14.4*20+0.3*5*0)/(80.7+14.4+0.3*5)</f>
        <v>2.981366459627329</v>
      </c>
      <c r="L157" t="s">
        <v>39</v>
      </c>
    </row>
    <row r="158" spans="1:14" x14ac:dyDescent="0.25">
      <c r="A158" s="7" t="s">
        <v>66</v>
      </c>
      <c r="J158" t="s">
        <v>41</v>
      </c>
      <c r="K158" s="14">
        <f>(45.6*0+44.1*20+1.3*5*0+1.8*10*0)/(45.6+44.1+1.3*5+1.8*10)</f>
        <v>7.723292469352014</v>
      </c>
      <c r="L158" t="s">
        <v>39</v>
      </c>
    </row>
    <row r="159" spans="1:14" x14ac:dyDescent="0.25">
      <c r="A159" s="7" t="s">
        <v>67</v>
      </c>
      <c r="J159" t="s">
        <v>41</v>
      </c>
      <c r="K159">
        <f>60</f>
        <v>60</v>
      </c>
      <c r="L159" t="s">
        <v>39</v>
      </c>
    </row>
    <row r="160" spans="1:14" x14ac:dyDescent="0.25">
      <c r="A160" s="7" t="s">
        <v>71</v>
      </c>
      <c r="J160" t="s">
        <v>41</v>
      </c>
      <c r="K160">
        <v>0</v>
      </c>
      <c r="L160" t="s">
        <v>39</v>
      </c>
    </row>
    <row r="161" spans="1:14" x14ac:dyDescent="0.25">
      <c r="A161" s="7" t="s">
        <v>72</v>
      </c>
      <c r="J161" t="s">
        <v>41</v>
      </c>
      <c r="K161">
        <v>20</v>
      </c>
      <c r="L161" t="s">
        <v>39</v>
      </c>
    </row>
    <row r="162" spans="1:14" x14ac:dyDescent="0.25">
      <c r="A162" s="7" t="s">
        <v>69</v>
      </c>
      <c r="J162" t="s">
        <v>41</v>
      </c>
      <c r="K162">
        <v>20</v>
      </c>
      <c r="L162" t="s">
        <v>39</v>
      </c>
    </row>
    <row r="163" spans="1:14" x14ac:dyDescent="0.25">
      <c r="A163" s="7" t="s">
        <v>70</v>
      </c>
      <c r="J163" t="s">
        <v>41</v>
      </c>
      <c r="K163">
        <v>20</v>
      </c>
      <c r="L163" t="s">
        <v>39</v>
      </c>
    </row>
    <row r="164" spans="1:14" x14ac:dyDescent="0.25">
      <c r="A164" s="7" t="s">
        <v>68</v>
      </c>
      <c r="J164" t="s">
        <v>41</v>
      </c>
      <c r="K164">
        <f>43</f>
        <v>43</v>
      </c>
      <c r="L164" t="s">
        <v>39</v>
      </c>
    </row>
    <row r="165" spans="1:14" x14ac:dyDescent="0.25">
      <c r="A165" s="5" t="s">
        <v>23</v>
      </c>
      <c r="B165" s="5"/>
      <c r="C165" s="5"/>
      <c r="D165" s="5"/>
      <c r="E165" s="5"/>
      <c r="F165" s="5"/>
      <c r="G165" s="5"/>
      <c r="H165" s="5"/>
      <c r="I165" s="5"/>
      <c r="J165" s="6"/>
      <c r="K165" s="6"/>
      <c r="L165" s="6"/>
      <c r="M165" s="6"/>
      <c r="N165" s="6"/>
    </row>
    <row r="166" spans="1:14" x14ac:dyDescent="0.25">
      <c r="A166" t="s">
        <v>57</v>
      </c>
      <c r="J166" t="s">
        <v>41</v>
      </c>
      <c r="K166">
        <v>36</v>
      </c>
      <c r="L166" t="s">
        <v>39</v>
      </c>
    </row>
    <row r="167" spans="1:14" x14ac:dyDescent="0.25">
      <c r="A167" t="s">
        <v>104</v>
      </c>
      <c r="J167" t="s">
        <v>41</v>
      </c>
      <c r="K167" s="18">
        <v>43</v>
      </c>
      <c r="L167" t="s">
        <v>39</v>
      </c>
    </row>
    <row r="168" spans="1:14" x14ac:dyDescent="0.25">
      <c r="A168" s="5" t="s">
        <v>22</v>
      </c>
      <c r="B168" s="5"/>
      <c r="C168" s="5"/>
      <c r="D168" s="5"/>
      <c r="E168" s="5"/>
      <c r="F168" s="5"/>
      <c r="G168" s="5"/>
      <c r="H168" s="5"/>
      <c r="I168" s="5"/>
      <c r="J168" s="6"/>
      <c r="K168" s="6"/>
      <c r="L168" s="6"/>
      <c r="M168" s="6"/>
      <c r="N168" s="6"/>
    </row>
    <row r="169" spans="1:14" x14ac:dyDescent="0.25">
      <c r="A169" t="s">
        <v>146</v>
      </c>
      <c r="J169" t="s">
        <v>41</v>
      </c>
      <c r="K169" s="16">
        <v>52</v>
      </c>
      <c r="L169" t="s">
        <v>39</v>
      </c>
      <c r="M169" s="25"/>
    </row>
    <row r="170" spans="1:14" x14ac:dyDescent="0.25">
      <c r="A170" s="5" t="s">
        <v>29</v>
      </c>
      <c r="B170" s="5"/>
      <c r="C170" s="5"/>
      <c r="D170" s="5"/>
      <c r="E170" s="5"/>
      <c r="F170" s="5"/>
      <c r="G170" s="5"/>
      <c r="H170" s="5"/>
      <c r="I170" s="5"/>
      <c r="J170" s="6"/>
      <c r="K170" s="6"/>
      <c r="L170" s="6"/>
      <c r="M170" s="6"/>
      <c r="N170" s="6"/>
    </row>
    <row r="171" spans="1:14" x14ac:dyDescent="0.25">
      <c r="A171" t="s">
        <v>125</v>
      </c>
      <c r="J171" t="s">
        <v>41</v>
      </c>
      <c r="K171">
        <v>4</v>
      </c>
      <c r="L171" t="s">
        <v>39</v>
      </c>
      <c r="M171" t="s">
        <v>127</v>
      </c>
    </row>
    <row r="173" spans="1:14" x14ac:dyDescent="0.25">
      <c r="A173" s="3" t="s">
        <v>153</v>
      </c>
      <c r="B173" s="3"/>
      <c r="C173" s="3"/>
      <c r="D173" s="3"/>
      <c r="E173" s="3"/>
      <c r="F173" s="3"/>
      <c r="G173" s="3"/>
      <c r="H173" s="3"/>
      <c r="I173" s="3"/>
      <c r="J173" s="4"/>
      <c r="K173" s="4"/>
      <c r="L173" s="4"/>
      <c r="M173" s="4"/>
      <c r="N173" s="4"/>
    </row>
    <row r="174" spans="1:14" x14ac:dyDescent="0.25">
      <c r="G174" s="8"/>
      <c r="H174" s="8" t="s">
        <v>47</v>
      </c>
      <c r="I174" s="8"/>
      <c r="J174" s="8" t="s">
        <v>42</v>
      </c>
      <c r="K174" s="8">
        <v>-100</v>
      </c>
      <c r="L174" s="8" t="s">
        <v>48</v>
      </c>
      <c r="M174" s="8" t="s">
        <v>90</v>
      </c>
    </row>
    <row r="175" spans="1:14" x14ac:dyDescent="0.25">
      <c r="G175" s="8"/>
      <c r="H175" s="8" t="s">
        <v>45</v>
      </c>
      <c r="I175" s="8"/>
      <c r="J175" s="8" t="s">
        <v>42</v>
      </c>
      <c r="K175" s="8">
        <v>0</v>
      </c>
      <c r="L175" s="8" t="s">
        <v>39</v>
      </c>
      <c r="M175" s="8" t="s">
        <v>46</v>
      </c>
    </row>
    <row r="176" spans="1:14" x14ac:dyDescent="0.25">
      <c r="A176" s="5" t="s">
        <v>10</v>
      </c>
      <c r="B176" s="5"/>
      <c r="C176" s="5"/>
      <c r="D176" s="5"/>
      <c r="E176" s="5"/>
      <c r="F176" s="5"/>
      <c r="G176" s="5"/>
      <c r="H176" s="5"/>
      <c r="I176" s="5"/>
      <c r="J176" s="6"/>
      <c r="K176" s="6"/>
      <c r="L176" s="6"/>
      <c r="M176" s="6"/>
      <c r="N176" s="6"/>
    </row>
    <row r="177" spans="1:14" x14ac:dyDescent="0.25">
      <c r="A177" t="s">
        <v>35</v>
      </c>
      <c r="G177" t="s">
        <v>91</v>
      </c>
      <c r="H177" t="s">
        <v>45</v>
      </c>
      <c r="J177" t="s">
        <v>42</v>
      </c>
      <c r="K177" s="18">
        <v>5.3</v>
      </c>
      <c r="L177" t="s">
        <v>39</v>
      </c>
      <c r="N177" t="s">
        <v>108</v>
      </c>
    </row>
    <row r="178" spans="1:14" x14ac:dyDescent="0.25">
      <c r="A178" t="s">
        <v>50</v>
      </c>
      <c r="G178" t="s">
        <v>91</v>
      </c>
      <c r="H178" t="s">
        <v>45</v>
      </c>
      <c r="J178" t="s">
        <v>42</v>
      </c>
      <c r="K178" s="18">
        <v>4.9000000000000004</v>
      </c>
      <c r="L178" t="s">
        <v>39</v>
      </c>
      <c r="N178" t="s">
        <v>108</v>
      </c>
    </row>
    <row r="179" spans="1:14" x14ac:dyDescent="0.25">
      <c r="A179" t="s">
        <v>95</v>
      </c>
      <c r="G179" t="s">
        <v>91</v>
      </c>
      <c r="H179" t="s">
        <v>45</v>
      </c>
      <c r="J179" t="s">
        <v>42</v>
      </c>
      <c r="K179" s="18">
        <v>12.7</v>
      </c>
      <c r="L179" t="s">
        <v>39</v>
      </c>
      <c r="N179" t="s">
        <v>108</v>
      </c>
    </row>
    <row r="180" spans="1:14" x14ac:dyDescent="0.25">
      <c r="A180" t="s">
        <v>94</v>
      </c>
      <c r="G180" t="s">
        <v>91</v>
      </c>
      <c r="H180" t="s">
        <v>45</v>
      </c>
      <c r="J180" t="s">
        <v>42</v>
      </c>
      <c r="K180" s="18">
        <v>15.7</v>
      </c>
      <c r="L180" t="s">
        <v>39</v>
      </c>
      <c r="N180" t="s">
        <v>108</v>
      </c>
    </row>
    <row r="181" spans="1:14" x14ac:dyDescent="0.25">
      <c r="A181" t="s">
        <v>93</v>
      </c>
      <c r="G181" t="s">
        <v>91</v>
      </c>
      <c r="H181" t="s">
        <v>45</v>
      </c>
      <c r="J181" t="s">
        <v>42</v>
      </c>
      <c r="K181" s="7">
        <v>10</v>
      </c>
      <c r="L181" t="s">
        <v>39</v>
      </c>
    </row>
    <row r="182" spans="1:14" x14ac:dyDescent="0.25">
      <c r="A182" s="5" t="s">
        <v>11</v>
      </c>
      <c r="B182" s="5"/>
      <c r="C182" s="5"/>
      <c r="D182" s="5"/>
      <c r="E182" s="5"/>
      <c r="F182" s="5"/>
      <c r="G182" s="5"/>
      <c r="H182" s="5"/>
      <c r="I182" s="5"/>
      <c r="J182" s="6"/>
      <c r="K182" s="6"/>
      <c r="L182" s="6"/>
      <c r="M182" s="6"/>
      <c r="N182" s="6"/>
    </row>
    <row r="183" spans="1:14" x14ac:dyDescent="0.25">
      <c r="A183" s="7" t="s">
        <v>109</v>
      </c>
      <c r="G183" t="s">
        <v>91</v>
      </c>
      <c r="H183" t="s">
        <v>45</v>
      </c>
      <c r="J183" t="s">
        <v>42</v>
      </c>
      <c r="K183" s="7">
        <v>5</v>
      </c>
      <c r="L183" t="s">
        <v>39</v>
      </c>
    </row>
    <row r="184" spans="1:14" x14ac:dyDescent="0.25">
      <c r="A184" s="7" t="s">
        <v>110</v>
      </c>
      <c r="G184" t="s">
        <v>91</v>
      </c>
      <c r="H184" t="s">
        <v>45</v>
      </c>
      <c r="J184" t="s">
        <v>42</v>
      </c>
      <c r="K184" s="7">
        <v>5</v>
      </c>
      <c r="L184" t="s">
        <v>39</v>
      </c>
    </row>
    <row r="185" spans="1:14" x14ac:dyDescent="0.25">
      <c r="A185" s="7" t="s">
        <v>112</v>
      </c>
      <c r="G185" t="s">
        <v>91</v>
      </c>
      <c r="H185" t="s">
        <v>45</v>
      </c>
      <c r="J185" t="s">
        <v>42</v>
      </c>
      <c r="K185" s="7">
        <v>5</v>
      </c>
      <c r="L185" t="s">
        <v>39</v>
      </c>
    </row>
    <row r="186" spans="1:14" x14ac:dyDescent="0.25">
      <c r="A186" s="7" t="s">
        <v>111</v>
      </c>
      <c r="G186" t="s">
        <v>91</v>
      </c>
      <c r="H186" t="s">
        <v>45</v>
      </c>
      <c r="J186" t="s">
        <v>42</v>
      </c>
      <c r="K186" s="7">
        <v>5</v>
      </c>
      <c r="L186" t="s">
        <v>39</v>
      </c>
    </row>
    <row r="187" spans="1:14" x14ac:dyDescent="0.25">
      <c r="A187" s="5" t="s">
        <v>12</v>
      </c>
      <c r="B187" s="5"/>
      <c r="C187" s="5"/>
      <c r="D187" s="5"/>
      <c r="E187" s="5"/>
      <c r="F187" s="5"/>
      <c r="G187" s="5"/>
      <c r="H187" s="5"/>
      <c r="I187" s="5"/>
      <c r="J187" s="6"/>
      <c r="K187" s="6"/>
      <c r="L187" s="6"/>
      <c r="M187" s="6"/>
      <c r="N187" s="6"/>
    </row>
    <row r="188" spans="1:14" x14ac:dyDescent="0.25">
      <c r="A188" s="18" t="s">
        <v>120</v>
      </c>
      <c r="G188" t="s">
        <v>91</v>
      </c>
      <c r="H188" t="s">
        <v>45</v>
      </c>
      <c r="J188" t="s">
        <v>42</v>
      </c>
      <c r="K188" s="7">
        <v>1</v>
      </c>
      <c r="L188" t="s">
        <v>39</v>
      </c>
    </row>
    <row r="189" spans="1:14" x14ac:dyDescent="0.25">
      <c r="A189" s="18" t="s">
        <v>123</v>
      </c>
      <c r="G189" t="s">
        <v>91</v>
      </c>
      <c r="H189" t="s">
        <v>45</v>
      </c>
      <c r="J189" t="s">
        <v>42</v>
      </c>
      <c r="K189" s="7">
        <v>1</v>
      </c>
      <c r="L189" t="s">
        <v>39</v>
      </c>
    </row>
    <row r="190" spans="1:14" x14ac:dyDescent="0.25">
      <c r="A190" s="5" t="s">
        <v>14</v>
      </c>
      <c r="B190" s="5"/>
      <c r="C190" s="5"/>
      <c r="D190" s="5"/>
      <c r="E190" s="5"/>
      <c r="F190" s="5"/>
      <c r="G190" s="5"/>
      <c r="H190" s="5"/>
      <c r="I190" s="5"/>
      <c r="J190" s="6"/>
      <c r="K190" s="6"/>
      <c r="L190" s="6"/>
      <c r="M190" s="6"/>
      <c r="N190" s="6"/>
    </row>
    <row r="191" spans="1:14" x14ac:dyDescent="0.25">
      <c r="A191" s="7"/>
      <c r="B191" t="s">
        <v>84</v>
      </c>
      <c r="G191" t="s">
        <v>91</v>
      </c>
      <c r="H191" t="s">
        <v>45</v>
      </c>
      <c r="J191" t="s">
        <v>42</v>
      </c>
      <c r="K191" s="16">
        <v>17</v>
      </c>
      <c r="L191" t="s">
        <v>39</v>
      </c>
      <c r="M191" t="s">
        <v>103</v>
      </c>
      <c r="N191" t="s">
        <v>102</v>
      </c>
    </row>
    <row r="192" spans="1:14" x14ac:dyDescent="0.25">
      <c r="A192" s="5" t="s">
        <v>23</v>
      </c>
      <c r="B192" s="5"/>
      <c r="C192" s="5"/>
      <c r="D192" s="5"/>
      <c r="E192" s="5"/>
      <c r="F192" s="5"/>
      <c r="G192" s="5"/>
      <c r="H192" s="5"/>
      <c r="I192" s="5"/>
      <c r="J192" s="6"/>
      <c r="K192" s="6"/>
      <c r="L192" s="6"/>
      <c r="M192" s="6"/>
      <c r="N192" s="6"/>
    </row>
    <row r="193" spans="1:14" x14ac:dyDescent="0.25">
      <c r="A193" t="s">
        <v>57</v>
      </c>
      <c r="G193" t="s">
        <v>91</v>
      </c>
      <c r="H193" t="s">
        <v>45</v>
      </c>
      <c r="J193" t="s">
        <v>42</v>
      </c>
      <c r="K193" s="7">
        <v>2.4</v>
      </c>
      <c r="L193" t="s">
        <v>39</v>
      </c>
    </row>
    <row r="194" spans="1:14" x14ac:dyDescent="0.25">
      <c r="A194" t="s">
        <v>104</v>
      </c>
      <c r="G194" t="s">
        <v>91</v>
      </c>
      <c r="H194" t="s">
        <v>45</v>
      </c>
      <c r="J194" t="s">
        <v>42</v>
      </c>
      <c r="K194">
        <v>15.4</v>
      </c>
      <c r="L194" t="s">
        <v>39</v>
      </c>
    </row>
    <row r="195" spans="1:14" x14ac:dyDescent="0.25">
      <c r="A195" s="5" t="s">
        <v>22</v>
      </c>
      <c r="B195" s="5"/>
      <c r="C195" s="5"/>
      <c r="D195" s="5"/>
      <c r="E195" s="5"/>
      <c r="F195" s="5"/>
      <c r="G195" s="5"/>
      <c r="H195" s="5"/>
      <c r="I195" s="5"/>
      <c r="J195" s="6"/>
      <c r="K195" s="6"/>
      <c r="L195" s="6"/>
      <c r="M195" s="6"/>
      <c r="N195" s="6"/>
    </row>
    <row r="196" spans="1:14" x14ac:dyDescent="0.25">
      <c r="A196" t="s">
        <v>146</v>
      </c>
      <c r="G196" t="s">
        <v>91</v>
      </c>
      <c r="H196" t="s">
        <v>45</v>
      </c>
      <c r="J196" t="s">
        <v>42</v>
      </c>
      <c r="K196" s="24">
        <v>1</v>
      </c>
      <c r="L196" t="s">
        <v>39</v>
      </c>
    </row>
    <row r="197" spans="1:14" x14ac:dyDescent="0.25">
      <c r="A197" s="5" t="s">
        <v>29</v>
      </c>
      <c r="B197" s="5"/>
      <c r="C197" s="5"/>
      <c r="D197" s="5"/>
      <c r="E197" s="5"/>
      <c r="F197" s="5"/>
      <c r="G197" s="5"/>
      <c r="H197" s="5"/>
      <c r="I197" s="5"/>
      <c r="J197" s="6"/>
      <c r="K197" s="6"/>
      <c r="L197" s="6"/>
      <c r="M197" s="6"/>
      <c r="N197" s="6"/>
    </row>
    <row r="198" spans="1:14" x14ac:dyDescent="0.25">
      <c r="A198" t="s">
        <v>125</v>
      </c>
      <c r="G198" t="s">
        <v>91</v>
      </c>
      <c r="H198" t="s">
        <v>45</v>
      </c>
      <c r="J198" t="s">
        <v>42</v>
      </c>
      <c r="K198" s="18">
        <v>4.9000000000000004</v>
      </c>
      <c r="L198" t="s">
        <v>39</v>
      </c>
      <c r="M198" t="s">
        <v>127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2023-05-04T15:01:28Z</dcterms:modified>
</cp:coreProperties>
</file>