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18360" windowHeight="6615" activeTab="2"/>
  </bookViews>
  <sheets>
    <sheet name="Regions" sheetId="7" r:id="rId1"/>
    <sheet name="Regions-x0_crops" sheetId="11" r:id="rId2"/>
    <sheet name="DemandAndConversions" sheetId="2" r:id="rId3"/>
    <sheet name="CropProduction" sheetId="6" r:id="rId4"/>
    <sheet name="CattleHerd" sheetId="3" r:id="rId5"/>
    <sheet name="PigHerd" sheetId="4" r:id="rId6"/>
    <sheet name="FeedMgmt" sheetId="9" r:id="rId7"/>
    <sheet name="SheepHerd" sheetId="10" r:id="rId8"/>
    <sheet name="MachineryAndEnergyMgmt" sheetId="8" r:id="rId9"/>
    <sheet name="motivations" sheetId="5" r:id="rId10"/>
  </sheets>
  <externalReferences>
    <externalReference r:id="rId11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16" i="2" l="1"/>
  <c r="L217" i="2"/>
  <c r="L218" i="2"/>
  <c r="L219" i="2"/>
  <c r="L221" i="2"/>
  <c r="L222" i="2"/>
  <c r="L223" i="2"/>
  <c r="L224" i="2"/>
  <c r="L225" i="2"/>
  <c r="L226" i="2"/>
  <c r="L227" i="2"/>
  <c r="L229" i="2"/>
  <c r="L230" i="2"/>
  <c r="L231" i="2"/>
  <c r="L232" i="2"/>
  <c r="L234" i="2"/>
  <c r="L236" i="2"/>
  <c r="L237" i="2"/>
  <c r="L238" i="2"/>
  <c r="L239" i="2"/>
  <c r="L241" i="2"/>
  <c r="L242" i="2"/>
  <c r="L244" i="2"/>
  <c r="L246" i="2"/>
  <c r="L247" i="2"/>
  <c r="L249" i="2"/>
  <c r="L251" i="2"/>
  <c r="L252" i="2"/>
  <c r="L254" i="2"/>
  <c r="L255" i="2"/>
  <c r="L256" i="2"/>
  <c r="L257" i="2"/>
  <c r="L259" i="2"/>
  <c r="L260" i="2"/>
  <c r="L261" i="2"/>
  <c r="L205" i="2"/>
  <c r="L206" i="2"/>
  <c r="L207" i="2"/>
  <c r="L208" i="2"/>
  <c r="L209" i="2"/>
  <c r="L210" i="2"/>
  <c r="L211" i="2"/>
  <c r="L212" i="2"/>
  <c r="L213" i="2"/>
  <c r="L214" i="2"/>
  <c r="L204" i="2"/>
  <c r="D2" i="11" l="1"/>
  <c r="L151" i="2" l="1"/>
  <c r="L134" i="2"/>
  <c r="L135" i="2"/>
  <c r="L136" i="2"/>
  <c r="L137" i="2"/>
  <c r="L139" i="2"/>
  <c r="L140" i="2"/>
  <c r="L133" i="2"/>
  <c r="L148" i="2"/>
  <c r="L119" i="2"/>
  <c r="L114" i="2"/>
  <c r="L69" i="2" l="1"/>
  <c r="L59" i="2"/>
  <c r="L60" i="2"/>
  <c r="L46" i="2"/>
  <c r="L8" i="2" l="1"/>
  <c r="L16" i="2" s="1"/>
  <c r="L7" i="2"/>
  <c r="L13" i="2" s="1"/>
  <c r="L14" i="2" l="1"/>
  <c r="L15" i="2"/>
  <c r="L165" i="2"/>
  <c r="L164" i="2"/>
  <c r="L81" i="2"/>
  <c r="L87" i="2" l="1"/>
  <c r="L86" i="2"/>
  <c r="L85" i="2"/>
  <c r="L64" i="2"/>
  <c r="E2" i="8" l="1"/>
  <c r="E3" i="8" s="1"/>
  <c r="E17" i="5" l="1"/>
  <c r="L63" i="2" l="1"/>
  <c r="L147" i="2" l="1"/>
  <c r="L124" i="2"/>
  <c r="F181" i="2"/>
  <c r="L156" i="2"/>
  <c r="F125" i="2"/>
  <c r="L125" i="2" s="1"/>
  <c r="F123" i="2"/>
  <c r="F121" i="2"/>
  <c r="F118" i="2"/>
  <c r="F115" i="2"/>
  <c r="L115" i="2" s="1"/>
  <c r="L92" i="2" l="1"/>
  <c r="L91" i="2"/>
  <c r="L90" i="2"/>
  <c r="L89" i="2"/>
  <c r="L49" i="2"/>
  <c r="L50" i="2"/>
  <c r="L51" i="2"/>
  <c r="L52" i="2"/>
  <c r="L53" i="2"/>
  <c r="L54" i="2"/>
  <c r="L55" i="2"/>
  <c r="L56" i="2"/>
  <c r="L48" i="2"/>
</calcChain>
</file>

<file path=xl/sharedStrings.xml><?xml version="1.0" encoding="utf-8"?>
<sst xmlns="http://schemas.openxmlformats.org/spreadsheetml/2006/main" count="937" uniqueCount="180">
  <si>
    <t>f_food</t>
  </si>
  <si>
    <t>parameter</t>
  </si>
  <si>
    <t>val_is</t>
  </si>
  <si>
    <t>y_2020</t>
  </si>
  <si>
    <t>y_2025</t>
  </si>
  <si>
    <t>y_2030</t>
  </si>
  <si>
    <t>y_2035</t>
  </si>
  <si>
    <t>y_2040</t>
  </si>
  <si>
    <t>y_2045</t>
  </si>
  <si>
    <t>y_2050</t>
  </si>
  <si>
    <t>population</t>
  </si>
  <si>
    <t>rel</t>
  </si>
  <si>
    <t>consumption</t>
  </si>
  <si>
    <t>Pig meat and products</t>
  </si>
  <si>
    <t>DIET</t>
  </si>
  <si>
    <t>Cereals (excl. beer)</t>
  </si>
  <si>
    <t>Wheat and products, refined</t>
  </si>
  <si>
    <t>Wheat and products, whole grain</t>
  </si>
  <si>
    <t>Rice and products</t>
  </si>
  <si>
    <t>Barley and products, refined</t>
  </si>
  <si>
    <t>Barley and products, whole grain</t>
  </si>
  <si>
    <t>Maize and products</t>
  </si>
  <si>
    <t>Rye and products, refined</t>
  </si>
  <si>
    <t>Rye and products, whole grain</t>
  </si>
  <si>
    <t>Oats and products, refined</t>
  </si>
  <si>
    <t>Oats and products, whole grain</t>
  </si>
  <si>
    <t>Other cereals and products, refined</t>
  </si>
  <si>
    <t>Other cereals and products, whole grain</t>
  </si>
  <si>
    <t>Tubers or starchy vegetables</t>
  </si>
  <si>
    <t>Potatoes, fresh</t>
  </si>
  <si>
    <t>Potatoes, frozen</t>
  </si>
  <si>
    <t>Potato flour</t>
  </si>
  <si>
    <t>Starch of potatoes</t>
  </si>
  <si>
    <t>Vegetables DONE!</t>
  </si>
  <si>
    <t>Carrots and turnips</t>
  </si>
  <si>
    <t>Onions, dry</t>
  </si>
  <si>
    <t>Cabbages (and cauliflower &amp; broccoli)</t>
  </si>
  <si>
    <t>Lettuce and spinach</t>
  </si>
  <si>
    <t>Pumpkins, squash and gourds</t>
  </si>
  <si>
    <t>Peas, green</t>
  </si>
  <si>
    <t>Tomatoes and products</t>
  </si>
  <si>
    <t>Cucumbers and gherkins</t>
  </si>
  <si>
    <t>Mushrooms and truffles</t>
  </si>
  <si>
    <t>Other vegetables</t>
  </si>
  <si>
    <t>Fruits and berries (excl. wine)</t>
  </si>
  <si>
    <t>Apples</t>
  </si>
  <si>
    <t>Apple juice</t>
  </si>
  <si>
    <t>Apple juice concentrate</t>
  </si>
  <si>
    <t>Pears</t>
  </si>
  <si>
    <t>Other fruit</t>
  </si>
  <si>
    <t>Strawberries</t>
  </si>
  <si>
    <t>Currants</t>
  </si>
  <si>
    <t>Other berries</t>
  </si>
  <si>
    <t>Dairy foods</t>
  </si>
  <si>
    <t>Milk and products less than 1% fat</t>
  </si>
  <si>
    <t>Milk and products 1-2% fat</t>
  </si>
  <si>
    <t>Milk and products more than 2% fat</t>
  </si>
  <si>
    <t>Cheese</t>
  </si>
  <si>
    <t>Icecream</t>
  </si>
  <si>
    <t>Sourcream</t>
  </si>
  <si>
    <t>Cream low fat</t>
  </si>
  <si>
    <t>Cream high fat</t>
  </si>
  <si>
    <t>Butter</t>
  </si>
  <si>
    <t>Meat, offals and animal fats</t>
  </si>
  <si>
    <t>Bovine meat and products</t>
  </si>
  <si>
    <t>Poultry meat and products</t>
  </si>
  <si>
    <t>Eggs</t>
  </si>
  <si>
    <t>Fish</t>
  </si>
  <si>
    <t>Pulses and oil seeds</t>
  </si>
  <si>
    <t>Peas, dry</t>
  </si>
  <si>
    <t>Broad beans and horse beans, dry</t>
  </si>
  <si>
    <t>Beans, dry</t>
  </si>
  <si>
    <t>Chick peas, dry</t>
  </si>
  <si>
    <t>Lentils, dry</t>
  </si>
  <si>
    <t>Treenuts</t>
  </si>
  <si>
    <t>Vegetable oils</t>
  </si>
  <si>
    <t>Rape and mustard oil and products</t>
  </si>
  <si>
    <t>Sunflowerseed oil and products</t>
  </si>
  <si>
    <t>Olive oil and products</t>
  </si>
  <si>
    <t>Sweeteners</t>
  </si>
  <si>
    <t>Sugar and products</t>
  </si>
  <si>
    <t>Other sweeteners</t>
  </si>
  <si>
    <t>Honey</t>
  </si>
  <si>
    <t>Alcoholic beverages</t>
  </si>
  <si>
    <t>Wine and products</t>
  </si>
  <si>
    <t>Barley beer</t>
  </si>
  <si>
    <t>Beverages, fermented and products</t>
  </si>
  <si>
    <t>Beverages, alcoholic</t>
  </si>
  <si>
    <t>Stimulants</t>
  </si>
  <si>
    <t>Spices</t>
  </si>
  <si>
    <t>Wild food</t>
  </si>
  <si>
    <t>Novel foods</t>
  </si>
  <si>
    <t>POPULATION</t>
  </si>
  <si>
    <t>IMPORT SHARES</t>
  </si>
  <si>
    <t>Fruits (excl. wine)</t>
  </si>
  <si>
    <t>Vegetables</t>
  </si>
  <si>
    <t>share_imported</t>
  </si>
  <si>
    <t>abs</t>
  </si>
  <si>
    <t>f_breed</t>
  </si>
  <si>
    <t>dairy</t>
  </si>
  <si>
    <t>milk_prod</t>
  </si>
  <si>
    <t>over 10 years</t>
  </si>
  <si>
    <t>growing pigs</t>
  </si>
  <si>
    <t>feed_energy_per_growth</t>
  </si>
  <si>
    <t>finishing pigs</t>
  </si>
  <si>
    <t>f_animal</t>
  </si>
  <si>
    <t>MJ NE/kg w.g.</t>
  </si>
  <si>
    <t>PIGS</t>
  </si>
  <si>
    <t>Mortality</t>
  </si>
  <si>
    <t>Growing/finishing pigs energy per kg weight gain</t>
  </si>
  <si>
    <t>growing/finishing</t>
  </si>
  <si>
    <t>yield</t>
  </si>
  <si>
    <t>cropland</t>
  </si>
  <si>
    <t>max_land_use_factor</t>
  </si>
  <si>
    <t>f_land_use</t>
  </si>
  <si>
    <t>field machinery</t>
  </si>
  <si>
    <t>energy_source_share</t>
  </si>
  <si>
    <t>f_activity</t>
  </si>
  <si>
    <t>f_energy_source</t>
  </si>
  <si>
    <t>greenhouse</t>
  </si>
  <si>
    <t>semi-natural grasslands</t>
  </si>
  <si>
    <t>enteric_adj</t>
  </si>
  <si>
    <t>f_species</t>
  </si>
  <si>
    <t>bulls</t>
  </si>
  <si>
    <t>beef</t>
  </si>
  <si>
    <t>slaughter_share_male_as_steers</t>
  </si>
  <si>
    <t>f_prod_system</t>
  </si>
  <si>
    <t>f_crop</t>
  </si>
  <si>
    <t>Semi-natural pastures</t>
  </si>
  <si>
    <t>Semi-natural meadows</t>
  </si>
  <si>
    <t>Diesel</t>
  </si>
  <si>
    <t>Biodiesel</t>
  </si>
  <si>
    <t>Hydrogen</t>
  </si>
  <si>
    <t>Electricity</t>
  </si>
  <si>
    <t>cattle</t>
  </si>
  <si>
    <t>cows</t>
  </si>
  <si>
    <t>Pea protein product</t>
  </si>
  <si>
    <t>Wheat protein product</t>
  </si>
  <si>
    <t>Quinoa</t>
  </si>
  <si>
    <t>Eggs novel foods</t>
  </si>
  <si>
    <t>Sweet lupin</t>
  </si>
  <si>
    <t>Grey pea</t>
  </si>
  <si>
    <t>Hazelnuts</t>
  </si>
  <si>
    <t>Walnuts</t>
  </si>
  <si>
    <t>Seeds</t>
  </si>
  <si>
    <t>Sunflower seeds</t>
  </si>
  <si>
    <t>Rapeseed oil novel foods</t>
  </si>
  <si>
    <t>Soy protein product</t>
  </si>
  <si>
    <t>Oat drink</t>
  </si>
  <si>
    <t>Cellbased meat</t>
  </si>
  <si>
    <t>Cellbased dairy</t>
  </si>
  <si>
    <t>Quorn</t>
  </si>
  <si>
    <t>Tempeh faba bean</t>
  </si>
  <si>
    <t>Tofu faba beans</t>
  </si>
  <si>
    <t>Cellbased fish</t>
  </si>
  <si>
    <t>Microbial fats (yeast)</t>
  </si>
  <si>
    <t>Microbial fats (algae)</t>
  </si>
  <si>
    <t>Microbial eggs</t>
  </si>
  <si>
    <t>Beetroot</t>
  </si>
  <si>
    <t>obs ändra ej här</t>
  </si>
  <si>
    <t>Mutton/goat meat</t>
  </si>
  <si>
    <t>blueberries and raspberries</t>
  </si>
  <si>
    <t>gooseberries and currants</t>
  </si>
  <si>
    <t>plus chickpeas</t>
  </si>
  <si>
    <t>f_feed</t>
  </si>
  <si>
    <t>f_sub_system</t>
  </si>
  <si>
    <t>autumn lamb</t>
  </si>
  <si>
    <t>spring lamb</t>
  </si>
  <si>
    <t>winter lamb</t>
  </si>
  <si>
    <t>other sheep</t>
  </si>
  <si>
    <t>max_share_sub_system</t>
  </si>
  <si>
    <t>conventional</t>
  </si>
  <si>
    <t>organic</t>
  </si>
  <si>
    <t>x0_crops</t>
  </si>
  <si>
    <t>Semi-natural pastures, thin soils</t>
  </si>
  <si>
    <t>Semi-natural pastures, wooded</t>
  </si>
  <si>
    <t>Ley for grazing</t>
  </si>
  <si>
    <t>f_origin</t>
  </si>
  <si>
    <t>domestic</t>
  </si>
  <si>
    <t>share_in_prod_system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</si>
</sst>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2" tint="-0.249977111117893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8" fillId="0" borderId="0" applyFont="0" applyFill="0" applyBorder="0" applyAlignment="0" applyProtection="0"/>
    <xf numFmtId="0" fontId="8" fillId="0" borderId="0"/>
  </cellStyleXfs>
  <cellXfs count="48">
    <xf numFmtId="0" fontId="0" fillId="0" borderId="0" xfId="0"/>
    <xf numFmtId="0" fontId="2" fillId="0" borderId="0" xfId="0" applyFont="1"/>
    <xf numFmtId="0" fontId="0" fillId="0" borderId="0" xfId="0" applyFont="1"/>
    <xf numFmtId="2" fontId="0" fillId="0" borderId="0" xfId="0" applyNumberFormat="1"/>
    <xf numFmtId="0" fontId="1" fillId="0" borderId="0" xfId="0" applyFont="1"/>
    <xf numFmtId="0" fontId="3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0" fontId="6" fillId="0" borderId="0" xfId="0" applyFont="1"/>
    <xf numFmtId="0" fontId="0" fillId="3" borderId="0" xfId="0" applyFill="1"/>
    <xf numFmtId="0" fontId="7" fillId="0" borderId="0" xfId="0" applyFont="1"/>
    <xf numFmtId="164" fontId="1" fillId="0" borderId="0" xfId="0" applyNumberFormat="1" applyFont="1"/>
    <xf numFmtId="1" fontId="4" fillId="0" borderId="0" xfId="0" applyNumberFormat="1" applyFont="1"/>
    <xf numFmtId="0" fontId="3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10" fontId="0" fillId="0" borderId="0" xfId="1" applyNumberFormat="1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9" fontId="9" fillId="4" borderId="0" xfId="1" applyFont="1" applyFill="1" applyBorder="1"/>
    <xf numFmtId="0" fontId="9" fillId="4" borderId="0" xfId="0" applyFont="1" applyFill="1" applyBorder="1"/>
    <xf numFmtId="0" fontId="0" fillId="4" borderId="0" xfId="0" applyFill="1" applyBorder="1"/>
    <xf numFmtId="0" fontId="2" fillId="4" borderId="0" xfId="0" applyFont="1" applyFill="1"/>
    <xf numFmtId="0" fontId="0" fillId="4" borderId="0" xfId="0" applyFill="1"/>
    <xf numFmtId="0" fontId="0" fillId="0" borderId="0" xfId="0" applyFill="1" applyBorder="1"/>
    <xf numFmtId="1" fontId="0" fillId="0" borderId="0" xfId="0" applyNumberFormat="1"/>
    <xf numFmtId="164" fontId="0" fillId="0" borderId="0" xfId="0" applyNumberFormat="1"/>
    <xf numFmtId="164" fontId="4" fillId="0" borderId="0" xfId="0" applyNumberFormat="1" applyFont="1"/>
    <xf numFmtId="0" fontId="0" fillId="0" borderId="0" xfId="0" applyFill="1"/>
    <xf numFmtId="0" fontId="6" fillId="0" borderId="0" xfId="0" applyFont="1" applyFill="1"/>
    <xf numFmtId="2" fontId="6" fillId="0" borderId="0" xfId="0" applyNumberFormat="1" applyFont="1"/>
    <xf numFmtId="0" fontId="6" fillId="0" borderId="0" xfId="0" applyFont="1" applyFill="1" applyBorder="1"/>
    <xf numFmtId="0" fontId="6" fillId="3" borderId="0" xfId="0" applyFont="1" applyFill="1" applyBorder="1"/>
    <xf numFmtId="0" fontId="10" fillId="3" borderId="0" xfId="0" applyFont="1" applyFill="1" applyBorder="1"/>
    <xf numFmtId="164" fontId="6" fillId="0" borderId="0" xfId="0" applyNumberFormat="1" applyFont="1"/>
    <xf numFmtId="0" fontId="2" fillId="0" borderId="0" xfId="0" applyFont="1" applyFill="1"/>
    <xf numFmtId="0" fontId="2" fillId="0" borderId="0" xfId="2" applyFont="1"/>
    <xf numFmtId="0" fontId="0" fillId="0" borderId="0" xfId="0" applyNumberFormat="1" applyFill="1" applyAlignment="1" applyProtection="1"/>
    <xf numFmtId="0" fontId="3" fillId="0" borderId="0" xfId="0" applyFont="1" applyFill="1"/>
    <xf numFmtId="0" fontId="10" fillId="0" borderId="0" xfId="0" applyFont="1" applyFill="1"/>
    <xf numFmtId="0" fontId="10" fillId="3" borderId="0" xfId="0" applyFont="1" applyFill="1"/>
    <xf numFmtId="0" fontId="6" fillId="3" borderId="0" xfId="0" applyFont="1" applyFill="1"/>
    <xf numFmtId="0" fontId="0" fillId="0" borderId="0" xfId="0" applyFont="1" applyFill="1"/>
  </cellXfs>
  <cellStyles count="3">
    <cellStyle name="Normal" xfId="0" builtinId="0"/>
    <cellStyle name="Normal 2" xfId="2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motivations!$B$7:$B$17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motivations!$C$7:$C$17</c:f>
              <c:numCache>
                <c:formatCode>General</c:formatCode>
                <c:ptCount val="11"/>
                <c:pt idx="0">
                  <c:v>26.2</c:v>
                </c:pt>
                <c:pt idx="1">
                  <c:v>26.1</c:v>
                </c:pt>
                <c:pt idx="2">
                  <c:v>26.7</c:v>
                </c:pt>
                <c:pt idx="3">
                  <c:v>26.6</c:v>
                </c:pt>
                <c:pt idx="4">
                  <c:v>27</c:v>
                </c:pt>
                <c:pt idx="5">
                  <c:v>25.7</c:v>
                </c:pt>
                <c:pt idx="6">
                  <c:v>25.4</c:v>
                </c:pt>
                <c:pt idx="7">
                  <c:v>25.8</c:v>
                </c:pt>
                <c:pt idx="8">
                  <c:v>25.3</c:v>
                </c:pt>
                <c:pt idx="9">
                  <c:v>24.8</c:v>
                </c:pt>
                <c:pt idx="10">
                  <c:v>24.6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5CA-4A2A-8D5F-BE1A6CBCD5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tx1"/>
              </a:solidFill>
              <a:ln w="9525">
                <a:noFill/>
              </a:ln>
              <a:effectLst/>
            </c:spPr>
          </c:marker>
          <c:trendline>
            <c:spPr>
              <a:ln w="19050" cap="rnd">
                <a:solidFill>
                  <a:sysClr val="windowText" lastClr="00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27866797900262469"/>
                  <c:y val="-0.4805633311980785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sv-SE"/>
                </a:p>
              </c:txPr>
            </c:trendlineLbl>
          </c:trendline>
          <c:xVal>
            <c:numRef>
              <c:f>motivations!$J$7:$J$17</c:f>
              <c:numCache>
                <c:formatCode>General</c:formatCode>
                <c:ptCount val="11"/>
                <c:pt idx="0">
                  <c:v>2012</c:v>
                </c:pt>
                <c:pt idx="1">
                  <c:v>2013</c:v>
                </c:pt>
                <c:pt idx="2">
                  <c:v>2014</c:v>
                </c:pt>
                <c:pt idx="3">
                  <c:v>2015</c:v>
                </c:pt>
                <c:pt idx="4">
                  <c:v>2016</c:v>
                </c:pt>
                <c:pt idx="5">
                  <c:v>2017</c:v>
                </c:pt>
                <c:pt idx="6">
                  <c:v>2018</c:v>
                </c:pt>
                <c:pt idx="7">
                  <c:v>2019</c:v>
                </c:pt>
                <c:pt idx="8">
                  <c:v>2020</c:v>
                </c:pt>
                <c:pt idx="9">
                  <c:v>2021</c:v>
                </c:pt>
                <c:pt idx="10">
                  <c:v>2022</c:v>
                </c:pt>
              </c:numCache>
            </c:numRef>
          </c:xVal>
          <c:yVal>
            <c:numRef>
              <c:f>motivations!$K$7:$K$17</c:f>
              <c:numCache>
                <c:formatCode>General</c:formatCode>
                <c:ptCount val="11"/>
                <c:pt idx="0">
                  <c:v>1.7</c:v>
                </c:pt>
                <c:pt idx="1">
                  <c:v>1.6</c:v>
                </c:pt>
                <c:pt idx="2">
                  <c:v>1.6</c:v>
                </c:pt>
                <c:pt idx="3">
                  <c:v>1.5</c:v>
                </c:pt>
                <c:pt idx="4">
                  <c:v>1.7</c:v>
                </c:pt>
                <c:pt idx="5">
                  <c:v>1.6</c:v>
                </c:pt>
                <c:pt idx="6">
                  <c:v>1.8</c:v>
                </c:pt>
                <c:pt idx="7">
                  <c:v>1.7</c:v>
                </c:pt>
                <c:pt idx="8">
                  <c:v>1.7</c:v>
                </c:pt>
                <c:pt idx="9">
                  <c:v>1.7</c:v>
                </c:pt>
                <c:pt idx="10">
                  <c:v>1.7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ECD-4D7E-9A76-0223983CF5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1029615"/>
        <c:axId val="531027119"/>
      </c:scatterChart>
      <c:valAx>
        <c:axId val="531029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7119"/>
        <c:crosses val="autoZero"/>
        <c:crossBetween val="midCat"/>
      </c:valAx>
      <c:valAx>
        <c:axId val="531027119"/>
        <c:scaling>
          <c:orientation val="minMax"/>
          <c:max val="2"/>
          <c:min val="1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ysClr val="windowText" lastClr="000000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sv-SE"/>
          </a:p>
        </c:txPr>
        <c:crossAx val="531029615"/>
        <c:crosses val="autoZero"/>
        <c:crossBetween val="midCat"/>
        <c:majorUnit val="0.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v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600075</xdr:colOff>
      <xdr:row>5</xdr:row>
      <xdr:rowOff>157163</xdr:rowOff>
    </xdr:from>
    <xdr:to>
      <xdr:col>7</xdr:col>
      <xdr:colOff>142875</xdr:colOff>
      <xdr:row>14</xdr:row>
      <xdr:rowOff>38101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600075</xdr:colOff>
      <xdr:row>6</xdr:row>
      <xdr:rowOff>0</xdr:rowOff>
    </xdr:from>
    <xdr:to>
      <xdr:col>15</xdr:col>
      <xdr:colOff>142875</xdr:colOff>
      <xdr:row>14</xdr:row>
      <xdr:rowOff>71438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slv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mandAndConversions"/>
      <sheetName val="CattleHerd"/>
      <sheetName val="Regions"/>
      <sheetName val="SheepHerd"/>
    </sheetNames>
    <sheetDataSet>
      <sheetData sheetId="0">
        <row r="3">
          <cell r="D3">
            <v>1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workbookViewId="0">
      <selection activeCell="C10" sqref="C10"/>
    </sheetView>
  </sheetViews>
  <sheetFormatPr defaultRowHeight="15" x14ac:dyDescent="0.25"/>
  <cols>
    <col min="1" max="1" width="22.28515625" bestFit="1" customWidth="1"/>
    <col min="2" max="2" width="20.140625" bestFit="1" customWidth="1"/>
    <col min="3" max="3" width="6" bestFit="1" customWidth="1"/>
    <col min="4" max="5" width="7" bestFit="1" customWidth="1"/>
  </cols>
  <sheetData>
    <row r="1" spans="1:10" x14ac:dyDescent="0.25">
      <c r="A1" s="1" t="s">
        <v>114</v>
      </c>
      <c r="B1" s="1" t="s">
        <v>1</v>
      </c>
      <c r="C1" s="1" t="s">
        <v>2</v>
      </c>
      <c r="D1" s="1" t="s">
        <v>3</v>
      </c>
      <c r="E1" s="1" t="s">
        <v>9</v>
      </c>
      <c r="F1" s="1"/>
      <c r="G1" s="1"/>
      <c r="H1" s="1"/>
      <c r="I1" s="1"/>
      <c r="J1" s="1"/>
    </row>
    <row r="2" spans="1:10" x14ac:dyDescent="0.25">
      <c r="A2" t="s">
        <v>112</v>
      </c>
      <c r="B2" t="s">
        <v>113</v>
      </c>
      <c r="C2" t="s">
        <v>97</v>
      </c>
      <c r="D2">
        <v>1</v>
      </c>
      <c r="E2">
        <v>3</v>
      </c>
    </row>
    <row r="3" spans="1:10" x14ac:dyDescent="0.25">
      <c r="A3" t="s">
        <v>119</v>
      </c>
      <c r="B3" t="s">
        <v>113</v>
      </c>
      <c r="C3" t="s">
        <v>97</v>
      </c>
      <c r="D3">
        <v>1</v>
      </c>
      <c r="E3">
        <v>3</v>
      </c>
    </row>
    <row r="4" spans="1:10" x14ac:dyDescent="0.25">
      <c r="A4" t="s">
        <v>120</v>
      </c>
      <c r="B4" t="s">
        <v>113</v>
      </c>
      <c r="C4" t="s">
        <v>97</v>
      </c>
      <c r="D4">
        <v>1</v>
      </c>
      <c r="E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selection activeCell="L32" sqref="L32"/>
    </sheetView>
  </sheetViews>
  <sheetFormatPr defaultRowHeight="15" x14ac:dyDescent="0.25"/>
  <sheetData>
    <row r="1" spans="1:10" x14ac:dyDescent="0.25">
      <c r="A1" s="1" t="s">
        <v>127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176</v>
      </c>
      <c r="B2" t="s">
        <v>173</v>
      </c>
      <c r="C2" t="s">
        <v>11</v>
      </c>
      <c r="D2">
        <f>[1]DemandAndConversions!D3</f>
        <v>1</v>
      </c>
      <c r="J2">
        <v>1</v>
      </c>
    </row>
    <row r="3" spans="1:10" x14ac:dyDescent="0.25">
      <c r="A3" t="s">
        <v>128</v>
      </c>
      <c r="B3" t="s">
        <v>173</v>
      </c>
      <c r="C3" t="s">
        <v>11</v>
      </c>
      <c r="D3">
        <v>1</v>
      </c>
      <c r="J3">
        <v>2</v>
      </c>
    </row>
    <row r="4" spans="1:10" x14ac:dyDescent="0.25">
      <c r="A4" t="s">
        <v>174</v>
      </c>
      <c r="B4" t="s">
        <v>173</v>
      </c>
      <c r="C4" t="s">
        <v>11</v>
      </c>
      <c r="D4">
        <v>1</v>
      </c>
      <c r="J4">
        <v>2</v>
      </c>
    </row>
    <row r="5" spans="1:10" x14ac:dyDescent="0.25">
      <c r="A5" t="s">
        <v>175</v>
      </c>
      <c r="B5" t="s">
        <v>173</v>
      </c>
      <c r="C5" t="s">
        <v>11</v>
      </c>
      <c r="D5">
        <v>1</v>
      </c>
      <c r="J5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81"/>
  <sheetViews>
    <sheetView tabSelected="1" workbookViewId="0">
      <selection activeCell="D191" sqref="D191"/>
    </sheetView>
  </sheetViews>
  <sheetFormatPr defaultRowHeight="15" x14ac:dyDescent="0.25"/>
  <cols>
    <col min="1" max="1" width="37" bestFit="1" customWidth="1"/>
    <col min="2" max="2" width="12.7109375" customWidth="1"/>
    <col min="3" max="3" width="11.28515625" customWidth="1"/>
    <col min="4" max="4" width="15.28515625" bestFit="1" customWidth="1"/>
    <col min="6" max="12" width="6.7109375" customWidth="1"/>
  </cols>
  <sheetData>
    <row r="1" spans="1:12" x14ac:dyDescent="0.25">
      <c r="A1" s="1" t="s">
        <v>0</v>
      </c>
      <c r="B1" s="1" t="s">
        <v>177</v>
      </c>
      <c r="C1" s="1" t="s">
        <v>126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</row>
    <row r="2" spans="1:12" x14ac:dyDescent="0.25">
      <c r="A2" s="5" t="s">
        <v>92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</row>
    <row r="3" spans="1:12" x14ac:dyDescent="0.25">
      <c r="A3" s="1"/>
      <c r="B3" s="1"/>
      <c r="C3" s="1"/>
      <c r="D3" t="s">
        <v>10</v>
      </c>
      <c r="E3" s="2" t="s">
        <v>11</v>
      </c>
      <c r="F3" s="2">
        <v>1</v>
      </c>
      <c r="G3" s="2">
        <v>1</v>
      </c>
      <c r="H3" s="2">
        <v>1</v>
      </c>
      <c r="I3" s="2">
        <v>1</v>
      </c>
      <c r="J3" s="2">
        <v>1</v>
      </c>
      <c r="K3" s="2">
        <v>1</v>
      </c>
      <c r="L3" s="2">
        <v>1</v>
      </c>
    </row>
    <row r="4" spans="1:12" x14ac:dyDescent="0.25">
      <c r="A4" s="5" t="s">
        <v>14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x14ac:dyDescent="0.25">
      <c r="A5" s="1"/>
      <c r="B5" s="1"/>
      <c r="C5" s="1"/>
      <c r="D5" s="9" t="s">
        <v>12</v>
      </c>
      <c r="E5" s="9" t="s">
        <v>11</v>
      </c>
      <c r="F5" s="9">
        <v>1</v>
      </c>
      <c r="G5" s="2"/>
      <c r="H5" s="2"/>
      <c r="I5" s="2"/>
      <c r="J5" s="2"/>
      <c r="K5" s="2"/>
      <c r="L5" s="2"/>
    </row>
    <row r="6" spans="1:12" x14ac:dyDescent="0.25">
      <c r="A6" s="6" t="s">
        <v>15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12" x14ac:dyDescent="0.25">
      <c r="A7" t="s">
        <v>16</v>
      </c>
      <c r="D7" t="s">
        <v>12</v>
      </c>
      <c r="E7" t="s">
        <v>11</v>
      </c>
      <c r="F7">
        <v>1</v>
      </c>
      <c r="G7" s="3"/>
      <c r="H7" s="3"/>
      <c r="I7" s="3"/>
      <c r="J7" s="3"/>
      <c r="K7" s="3"/>
      <c r="L7">
        <f>32.6/69.8</f>
        <v>0.46704871060171926</v>
      </c>
    </row>
    <row r="8" spans="1:12" x14ac:dyDescent="0.25">
      <c r="A8" t="s">
        <v>17</v>
      </c>
      <c r="D8" t="s">
        <v>12</v>
      </c>
      <c r="E8" t="s">
        <v>11</v>
      </c>
      <c r="F8">
        <v>1</v>
      </c>
      <c r="L8">
        <f>97.8/23.3</f>
        <v>4.1974248927038627</v>
      </c>
    </row>
    <row r="9" spans="1:12" x14ac:dyDescent="0.25">
      <c r="A9" t="s">
        <v>18</v>
      </c>
      <c r="D9" t="s">
        <v>12</v>
      </c>
      <c r="E9" t="s">
        <v>11</v>
      </c>
      <c r="F9">
        <v>1</v>
      </c>
      <c r="L9">
        <v>0</v>
      </c>
    </row>
    <row r="10" spans="1:12" x14ac:dyDescent="0.25">
      <c r="A10" t="s">
        <v>19</v>
      </c>
      <c r="D10" t="s">
        <v>12</v>
      </c>
      <c r="E10" t="s">
        <v>11</v>
      </c>
      <c r="F10">
        <v>1</v>
      </c>
      <c r="L10">
        <v>1</v>
      </c>
    </row>
    <row r="11" spans="1:12" x14ac:dyDescent="0.25">
      <c r="A11" t="s">
        <v>20</v>
      </c>
      <c r="D11" t="s">
        <v>12</v>
      </c>
      <c r="E11" t="s">
        <v>11</v>
      </c>
      <c r="F11">
        <v>1</v>
      </c>
      <c r="L11">
        <v>1</v>
      </c>
    </row>
    <row r="12" spans="1:12" x14ac:dyDescent="0.25">
      <c r="A12" t="s">
        <v>21</v>
      </c>
      <c r="D12" t="s">
        <v>12</v>
      </c>
      <c r="E12" t="s">
        <v>11</v>
      </c>
      <c r="F12">
        <v>1</v>
      </c>
      <c r="L12">
        <v>1</v>
      </c>
    </row>
    <row r="13" spans="1:12" x14ac:dyDescent="0.25">
      <c r="A13" t="s">
        <v>22</v>
      </c>
      <c r="D13" t="s">
        <v>12</v>
      </c>
      <c r="E13" t="s">
        <v>11</v>
      </c>
      <c r="F13">
        <v>1</v>
      </c>
      <c r="L13">
        <f>L7</f>
        <v>0.46704871060171926</v>
      </c>
    </row>
    <row r="14" spans="1:12" x14ac:dyDescent="0.25">
      <c r="A14" t="s">
        <v>23</v>
      </c>
      <c r="D14" t="s">
        <v>12</v>
      </c>
      <c r="E14" t="s">
        <v>11</v>
      </c>
      <c r="F14">
        <v>1</v>
      </c>
      <c r="L14">
        <f>L8</f>
        <v>4.1974248927038627</v>
      </c>
    </row>
    <row r="15" spans="1:12" x14ac:dyDescent="0.25">
      <c r="A15" t="s">
        <v>24</v>
      </c>
      <c r="D15" t="s">
        <v>12</v>
      </c>
      <c r="E15" t="s">
        <v>11</v>
      </c>
      <c r="F15">
        <v>1</v>
      </c>
      <c r="L15">
        <f>L7</f>
        <v>0.46704871060171926</v>
      </c>
    </row>
    <row r="16" spans="1:12" x14ac:dyDescent="0.25">
      <c r="A16" t="s">
        <v>25</v>
      </c>
      <c r="D16" t="s">
        <v>12</v>
      </c>
      <c r="E16" t="s">
        <v>11</v>
      </c>
      <c r="F16">
        <v>1</v>
      </c>
      <c r="L16">
        <f>L8</f>
        <v>4.1974248927038627</v>
      </c>
    </row>
    <row r="17" spans="1:12" x14ac:dyDescent="0.25">
      <c r="A17" s="4" t="s">
        <v>26</v>
      </c>
      <c r="B17" s="4"/>
      <c r="C17" s="4"/>
      <c r="D17" t="s">
        <v>12</v>
      </c>
      <c r="E17" t="s">
        <v>11</v>
      </c>
      <c r="F17">
        <v>1</v>
      </c>
      <c r="L17">
        <v>1</v>
      </c>
    </row>
    <row r="18" spans="1:12" x14ac:dyDescent="0.25">
      <c r="A18" s="4" t="s">
        <v>27</v>
      </c>
      <c r="B18" s="4"/>
      <c r="C18" s="4"/>
      <c r="D18" t="s">
        <v>12</v>
      </c>
      <c r="E18" t="s">
        <v>11</v>
      </c>
      <c r="F18">
        <v>1</v>
      </c>
      <c r="L18">
        <v>1</v>
      </c>
    </row>
    <row r="19" spans="1:12" x14ac:dyDescent="0.25">
      <c r="A19" s="9" t="s">
        <v>138</v>
      </c>
      <c r="B19" s="9"/>
      <c r="C19" s="9"/>
      <c r="D19" s="9" t="s">
        <v>12</v>
      </c>
      <c r="E19" s="9" t="s">
        <v>97</v>
      </c>
      <c r="F19" s="9">
        <v>0</v>
      </c>
      <c r="G19" s="9"/>
      <c r="H19" s="9"/>
      <c r="I19" s="9"/>
      <c r="J19" s="9"/>
      <c r="K19" s="9"/>
      <c r="L19" s="9">
        <v>7.1</v>
      </c>
    </row>
    <row r="20" spans="1:12" x14ac:dyDescent="0.25">
      <c r="A20" s="6" t="s">
        <v>28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25">
      <c r="A21" s="7" t="s">
        <v>29</v>
      </c>
      <c r="B21" s="7"/>
      <c r="C21" s="7"/>
      <c r="D21" t="s">
        <v>12</v>
      </c>
      <c r="E21" t="s">
        <v>11</v>
      </c>
      <c r="F21">
        <v>1</v>
      </c>
      <c r="L21">
        <v>1</v>
      </c>
    </row>
    <row r="22" spans="1:12" x14ac:dyDescent="0.25">
      <c r="A22" s="7" t="s">
        <v>30</v>
      </c>
      <c r="B22" s="7"/>
      <c r="C22" s="7"/>
      <c r="D22" t="s">
        <v>12</v>
      </c>
      <c r="E22" t="s">
        <v>11</v>
      </c>
      <c r="F22">
        <v>1</v>
      </c>
      <c r="L22">
        <v>1</v>
      </c>
    </row>
    <row r="23" spans="1:12" x14ac:dyDescent="0.25">
      <c r="A23" s="7" t="s">
        <v>31</v>
      </c>
      <c r="B23" s="7"/>
      <c r="C23" s="7"/>
      <c r="D23" t="s">
        <v>12</v>
      </c>
      <c r="E23" t="s">
        <v>11</v>
      </c>
      <c r="F23">
        <v>1</v>
      </c>
      <c r="L23">
        <v>1</v>
      </c>
    </row>
    <row r="24" spans="1:12" x14ac:dyDescent="0.25">
      <c r="A24" s="7" t="s">
        <v>32</v>
      </c>
      <c r="B24" s="7"/>
      <c r="C24" s="7"/>
      <c r="D24" t="s">
        <v>12</v>
      </c>
      <c r="E24" t="s">
        <v>11</v>
      </c>
      <c r="F24">
        <v>1</v>
      </c>
      <c r="L24">
        <v>1</v>
      </c>
    </row>
    <row r="25" spans="1:12" x14ac:dyDescent="0.25">
      <c r="A25" s="6" t="s">
        <v>33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25">
      <c r="A26" s="7" t="s">
        <v>34</v>
      </c>
      <c r="B26" s="7"/>
      <c r="C26" s="7"/>
      <c r="D26" t="s">
        <v>12</v>
      </c>
      <c r="E26" t="s">
        <v>11</v>
      </c>
      <c r="F26">
        <v>1</v>
      </c>
      <c r="L26">
        <v>3</v>
      </c>
    </row>
    <row r="27" spans="1:12" s="9" customFormat="1" x14ac:dyDescent="0.25">
      <c r="A27" s="9" t="s">
        <v>158</v>
      </c>
      <c r="D27" s="9" t="s">
        <v>12</v>
      </c>
      <c r="E27" s="9" t="s">
        <v>11</v>
      </c>
      <c r="F27" s="9">
        <v>1</v>
      </c>
      <c r="L27" s="9">
        <v>1</v>
      </c>
    </row>
    <row r="28" spans="1:12" x14ac:dyDescent="0.25">
      <c r="A28" s="7" t="s">
        <v>35</v>
      </c>
      <c r="B28" s="7"/>
      <c r="C28" s="7"/>
      <c r="D28" t="s">
        <v>12</v>
      </c>
      <c r="E28" t="s">
        <v>11</v>
      </c>
      <c r="F28">
        <v>1</v>
      </c>
      <c r="L28">
        <v>2</v>
      </c>
    </row>
    <row r="29" spans="1:12" x14ac:dyDescent="0.25">
      <c r="A29" s="7" t="s">
        <v>36</v>
      </c>
      <c r="B29" s="7"/>
      <c r="C29" s="7"/>
      <c r="D29" t="s">
        <v>12</v>
      </c>
      <c r="E29" t="s">
        <v>11</v>
      </c>
      <c r="F29">
        <v>1</v>
      </c>
      <c r="L29">
        <v>3</v>
      </c>
    </row>
    <row r="30" spans="1:12" x14ac:dyDescent="0.25">
      <c r="A30" s="7" t="s">
        <v>37</v>
      </c>
      <c r="B30" s="7"/>
      <c r="C30" s="7"/>
      <c r="D30" t="s">
        <v>12</v>
      </c>
      <c r="E30" t="s">
        <v>11</v>
      </c>
      <c r="F30">
        <v>1</v>
      </c>
      <c r="L30">
        <v>3</v>
      </c>
    </row>
    <row r="31" spans="1:12" x14ac:dyDescent="0.25">
      <c r="A31" s="7" t="s">
        <v>38</v>
      </c>
      <c r="B31" s="7"/>
      <c r="C31" s="7"/>
      <c r="D31" t="s">
        <v>12</v>
      </c>
      <c r="E31" t="s">
        <v>11</v>
      </c>
      <c r="F31">
        <v>1</v>
      </c>
      <c r="L31">
        <v>3</v>
      </c>
    </row>
    <row r="32" spans="1:12" x14ac:dyDescent="0.25">
      <c r="A32" s="7" t="s">
        <v>39</v>
      </c>
      <c r="B32" s="7"/>
      <c r="C32" s="7"/>
      <c r="D32" t="s">
        <v>12</v>
      </c>
      <c r="E32" t="s">
        <v>11</v>
      </c>
      <c r="F32">
        <v>1</v>
      </c>
      <c r="L32">
        <v>3</v>
      </c>
    </row>
    <row r="33" spans="1:13" x14ac:dyDescent="0.25">
      <c r="A33" s="7" t="s">
        <v>40</v>
      </c>
      <c r="B33" s="7"/>
      <c r="C33" s="7"/>
      <c r="D33" t="s">
        <v>12</v>
      </c>
      <c r="E33" t="s">
        <v>11</v>
      </c>
      <c r="F33">
        <v>1</v>
      </c>
      <c r="L33">
        <v>1</v>
      </c>
    </row>
    <row r="34" spans="1:13" x14ac:dyDescent="0.25">
      <c r="A34" s="7" t="s">
        <v>41</v>
      </c>
      <c r="B34" s="7"/>
      <c r="C34" s="7"/>
      <c r="D34" t="s">
        <v>12</v>
      </c>
      <c r="E34" t="s">
        <v>11</v>
      </c>
      <c r="F34">
        <v>1</v>
      </c>
      <c r="L34" s="9">
        <v>1</v>
      </c>
    </row>
    <row r="35" spans="1:13" x14ac:dyDescent="0.25">
      <c r="A35" s="7" t="s">
        <v>42</v>
      </c>
      <c r="B35" s="7"/>
      <c r="C35" s="7"/>
      <c r="D35" t="s">
        <v>12</v>
      </c>
      <c r="E35" t="s">
        <v>11</v>
      </c>
      <c r="F35">
        <v>1</v>
      </c>
      <c r="L35">
        <v>0.5</v>
      </c>
    </row>
    <row r="36" spans="1:13" x14ac:dyDescent="0.25">
      <c r="A36" s="7" t="s">
        <v>43</v>
      </c>
      <c r="B36" s="7"/>
      <c r="C36" s="7"/>
      <c r="D36" t="s">
        <v>12</v>
      </c>
      <c r="E36" t="s">
        <v>11</v>
      </c>
      <c r="F36">
        <v>1</v>
      </c>
      <c r="L36">
        <v>3</v>
      </c>
    </row>
    <row r="37" spans="1:13" x14ac:dyDescent="0.25">
      <c r="A37" s="7"/>
      <c r="B37" s="7"/>
      <c r="C37" s="7"/>
    </row>
    <row r="38" spans="1:13" x14ac:dyDescent="0.25">
      <c r="A38" s="6" t="s">
        <v>44</v>
      </c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</row>
    <row r="39" spans="1:13" x14ac:dyDescent="0.25">
      <c r="A39" s="7" t="s">
        <v>45</v>
      </c>
      <c r="B39" s="7"/>
      <c r="C39" s="7"/>
      <c r="D39" t="s">
        <v>12</v>
      </c>
      <c r="E39" t="s">
        <v>11</v>
      </c>
      <c r="F39">
        <v>1</v>
      </c>
      <c r="L39">
        <v>2</v>
      </c>
    </row>
    <row r="40" spans="1:13" x14ac:dyDescent="0.25">
      <c r="A40" s="7" t="s">
        <v>46</v>
      </c>
      <c r="B40" s="7"/>
      <c r="C40" s="7"/>
      <c r="D40" t="s">
        <v>12</v>
      </c>
      <c r="E40" t="s">
        <v>11</v>
      </c>
      <c r="F40">
        <v>1</v>
      </c>
      <c r="L40">
        <v>2</v>
      </c>
    </row>
    <row r="41" spans="1:13" x14ac:dyDescent="0.25">
      <c r="A41" s="7" t="s">
        <v>47</v>
      </c>
      <c r="B41" s="7"/>
      <c r="C41" s="7"/>
      <c r="D41" t="s">
        <v>12</v>
      </c>
      <c r="E41" t="s">
        <v>11</v>
      </c>
      <c r="F41">
        <v>1</v>
      </c>
      <c r="L41">
        <v>2</v>
      </c>
    </row>
    <row r="42" spans="1:13" x14ac:dyDescent="0.25">
      <c r="A42" s="7" t="s">
        <v>48</v>
      </c>
      <c r="B42" s="7"/>
      <c r="C42" s="7"/>
      <c r="D42" t="s">
        <v>12</v>
      </c>
      <c r="E42" t="s">
        <v>11</v>
      </c>
      <c r="F42">
        <v>1</v>
      </c>
      <c r="L42">
        <v>2</v>
      </c>
    </row>
    <row r="43" spans="1:13" x14ac:dyDescent="0.25">
      <c r="A43" s="7" t="s">
        <v>49</v>
      </c>
      <c r="B43" s="7"/>
      <c r="C43" s="7"/>
      <c r="D43" t="s">
        <v>12</v>
      </c>
      <c r="E43" t="s">
        <v>11</v>
      </c>
      <c r="F43">
        <v>1</v>
      </c>
      <c r="L43">
        <v>2</v>
      </c>
    </row>
    <row r="44" spans="1:13" x14ac:dyDescent="0.25">
      <c r="A44" s="7" t="s">
        <v>50</v>
      </c>
      <c r="B44" s="7"/>
      <c r="C44" s="7"/>
      <c r="D44" t="s">
        <v>12</v>
      </c>
      <c r="E44" t="s">
        <v>11</v>
      </c>
      <c r="F44">
        <v>1</v>
      </c>
      <c r="L44">
        <v>2</v>
      </c>
    </row>
    <row r="45" spans="1:13" x14ac:dyDescent="0.25">
      <c r="A45" s="7" t="s">
        <v>51</v>
      </c>
      <c r="B45" s="7"/>
      <c r="C45" s="7"/>
      <c r="D45" t="s">
        <v>12</v>
      </c>
      <c r="E45" t="s">
        <v>97</v>
      </c>
      <c r="F45">
        <v>0.2</v>
      </c>
      <c r="L45">
        <v>20</v>
      </c>
      <c r="M45" t="s">
        <v>162</v>
      </c>
    </row>
    <row r="46" spans="1:13" x14ac:dyDescent="0.25">
      <c r="A46" s="7" t="s">
        <v>52</v>
      </c>
      <c r="B46" s="7"/>
      <c r="C46" s="7"/>
      <c r="D46" t="s">
        <v>12</v>
      </c>
      <c r="E46" t="s">
        <v>97</v>
      </c>
      <c r="F46">
        <v>0.5</v>
      </c>
      <c r="L46">
        <f>10+10</f>
        <v>20</v>
      </c>
      <c r="M46" t="s">
        <v>161</v>
      </c>
    </row>
    <row r="47" spans="1:13" x14ac:dyDescent="0.25">
      <c r="A47" s="6" t="s">
        <v>53</v>
      </c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</row>
    <row r="48" spans="1:13" x14ac:dyDescent="0.25">
      <c r="A48" s="4" t="s">
        <v>54</v>
      </c>
      <c r="B48" s="4"/>
      <c r="C48" s="4"/>
      <c r="D48" t="s">
        <v>12</v>
      </c>
      <c r="E48" t="s">
        <v>11</v>
      </c>
      <c r="F48">
        <v>1</v>
      </c>
      <c r="L48" s="3">
        <f>2/3</f>
        <v>0.66666666666666663</v>
      </c>
    </row>
    <row r="49" spans="1:12" x14ac:dyDescent="0.25">
      <c r="A49" s="4" t="s">
        <v>55</v>
      </c>
      <c r="B49" s="4"/>
      <c r="C49" s="4"/>
      <c r="D49" t="s">
        <v>12</v>
      </c>
      <c r="E49" t="s">
        <v>11</v>
      </c>
      <c r="F49">
        <v>1</v>
      </c>
      <c r="L49" s="3">
        <f t="shared" ref="L49:L56" si="0">2/3</f>
        <v>0.66666666666666663</v>
      </c>
    </row>
    <row r="50" spans="1:12" x14ac:dyDescent="0.25">
      <c r="A50" s="4" t="s">
        <v>56</v>
      </c>
      <c r="B50" s="4"/>
      <c r="C50" s="4"/>
      <c r="D50" t="s">
        <v>12</v>
      </c>
      <c r="E50" t="s">
        <v>11</v>
      </c>
      <c r="F50">
        <v>1</v>
      </c>
      <c r="L50" s="3">
        <f t="shared" si="0"/>
        <v>0.66666666666666663</v>
      </c>
    </row>
    <row r="51" spans="1:12" x14ac:dyDescent="0.25">
      <c r="A51" s="4" t="s">
        <v>57</v>
      </c>
      <c r="B51" s="4"/>
      <c r="C51" s="4"/>
      <c r="D51" t="s">
        <v>12</v>
      </c>
      <c r="E51" t="s">
        <v>11</v>
      </c>
      <c r="F51">
        <v>1</v>
      </c>
      <c r="L51" s="3">
        <f t="shared" si="0"/>
        <v>0.66666666666666663</v>
      </c>
    </row>
    <row r="52" spans="1:12" x14ac:dyDescent="0.25">
      <c r="A52" s="4" t="s">
        <v>58</v>
      </c>
      <c r="B52" s="4"/>
      <c r="C52" s="4"/>
      <c r="D52" t="s">
        <v>12</v>
      </c>
      <c r="E52" t="s">
        <v>11</v>
      </c>
      <c r="F52">
        <v>1</v>
      </c>
      <c r="L52" s="3">
        <f t="shared" si="0"/>
        <v>0.66666666666666663</v>
      </c>
    </row>
    <row r="53" spans="1:12" x14ac:dyDescent="0.25">
      <c r="A53" s="4" t="s">
        <v>59</v>
      </c>
      <c r="B53" s="4"/>
      <c r="C53" s="4"/>
      <c r="D53" t="s">
        <v>12</v>
      </c>
      <c r="E53" t="s">
        <v>11</v>
      </c>
      <c r="F53">
        <v>1</v>
      </c>
      <c r="L53" s="3">
        <f t="shared" si="0"/>
        <v>0.66666666666666663</v>
      </c>
    </row>
    <row r="54" spans="1:12" x14ac:dyDescent="0.25">
      <c r="A54" s="4" t="s">
        <v>60</v>
      </c>
      <c r="B54" s="4"/>
      <c r="C54" s="4"/>
      <c r="D54" t="s">
        <v>12</v>
      </c>
      <c r="E54" t="s">
        <v>11</v>
      </c>
      <c r="F54">
        <v>1</v>
      </c>
      <c r="L54" s="3">
        <f t="shared" si="0"/>
        <v>0.66666666666666663</v>
      </c>
    </row>
    <row r="55" spans="1:12" x14ac:dyDescent="0.25">
      <c r="A55" s="4" t="s">
        <v>61</v>
      </c>
      <c r="B55" s="4"/>
      <c r="C55" s="4"/>
      <c r="D55" t="s">
        <v>12</v>
      </c>
      <c r="E55" t="s">
        <v>11</v>
      </c>
      <c r="F55">
        <v>1</v>
      </c>
      <c r="L55" s="3">
        <f t="shared" si="0"/>
        <v>0.66666666666666663</v>
      </c>
    </row>
    <row r="56" spans="1:12" x14ac:dyDescent="0.25">
      <c r="A56" s="4" t="s">
        <v>62</v>
      </c>
      <c r="B56" s="4"/>
      <c r="C56" s="4"/>
      <c r="D56" t="s">
        <v>12</v>
      </c>
      <c r="E56" t="s">
        <v>11</v>
      </c>
      <c r="F56">
        <v>1</v>
      </c>
      <c r="L56" s="3">
        <f t="shared" si="0"/>
        <v>0.66666666666666663</v>
      </c>
    </row>
    <row r="57" spans="1:12" x14ac:dyDescent="0.25">
      <c r="A57" s="6" t="s">
        <v>63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</row>
    <row r="58" spans="1:12" x14ac:dyDescent="0.25">
      <c r="A58" t="s">
        <v>13</v>
      </c>
      <c r="D58" t="s">
        <v>12</v>
      </c>
      <c r="E58" t="s">
        <v>11</v>
      </c>
      <c r="F58">
        <v>1</v>
      </c>
      <c r="L58" s="3">
        <v>0.1</v>
      </c>
    </row>
    <row r="59" spans="1:12" x14ac:dyDescent="0.25">
      <c r="A59" t="s">
        <v>64</v>
      </c>
      <c r="D59" t="s">
        <v>12</v>
      </c>
      <c r="E59" t="s">
        <v>11</v>
      </c>
      <c r="F59">
        <v>1</v>
      </c>
      <c r="L59" s="3">
        <f>13/39.9</f>
        <v>0.32581453634085217</v>
      </c>
    </row>
    <row r="60" spans="1:12" x14ac:dyDescent="0.25">
      <c r="A60" t="s">
        <v>160</v>
      </c>
      <c r="D60" t="s">
        <v>12</v>
      </c>
      <c r="E60" t="s">
        <v>11</v>
      </c>
      <c r="F60">
        <v>1</v>
      </c>
      <c r="L60" s="3">
        <f>1/2.9</f>
        <v>0.34482758620689657</v>
      </c>
    </row>
    <row r="61" spans="1:12" x14ac:dyDescent="0.25">
      <c r="A61" t="s">
        <v>65</v>
      </c>
      <c r="D61" t="s">
        <v>12</v>
      </c>
      <c r="E61" t="s">
        <v>11</v>
      </c>
      <c r="F61">
        <v>1</v>
      </c>
      <c r="L61" s="3">
        <v>0.2</v>
      </c>
    </row>
    <row r="62" spans="1:12" x14ac:dyDescent="0.25">
      <c r="A62" s="6" t="s">
        <v>66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</row>
    <row r="63" spans="1:12" x14ac:dyDescent="0.25">
      <c r="A63" t="s">
        <v>66</v>
      </c>
      <c r="D63" t="s">
        <v>12</v>
      </c>
      <c r="E63" t="s">
        <v>11</v>
      </c>
      <c r="F63">
        <v>1</v>
      </c>
      <c r="L63" s="3">
        <f>25/29.3</f>
        <v>0.85324232081911255</v>
      </c>
    </row>
    <row r="64" spans="1:12" x14ac:dyDescent="0.25">
      <c r="A64" s="9" t="s">
        <v>139</v>
      </c>
      <c r="B64" s="9"/>
      <c r="C64" s="9"/>
      <c r="D64" s="9" t="s">
        <v>12</v>
      </c>
      <c r="E64" s="9" t="s">
        <v>97</v>
      </c>
      <c r="F64" s="9">
        <v>0</v>
      </c>
      <c r="G64" s="9"/>
      <c r="H64" s="9"/>
      <c r="I64" s="9"/>
      <c r="J64" s="9"/>
      <c r="K64" s="9"/>
      <c r="L64" s="35">
        <f>L122*0.060606</f>
        <v>0</v>
      </c>
    </row>
    <row r="65" spans="1:13" x14ac:dyDescent="0.25">
      <c r="A65" s="6" t="s">
        <v>67</v>
      </c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</row>
    <row r="66" spans="1:13" x14ac:dyDescent="0.25">
      <c r="A66" s="6" t="s">
        <v>68</v>
      </c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</row>
    <row r="67" spans="1:13" x14ac:dyDescent="0.25">
      <c r="A67" t="s">
        <v>69</v>
      </c>
      <c r="D67" t="s">
        <v>12</v>
      </c>
      <c r="E67" t="s">
        <v>11</v>
      </c>
      <c r="F67">
        <v>1</v>
      </c>
      <c r="L67">
        <v>10</v>
      </c>
    </row>
    <row r="68" spans="1:13" x14ac:dyDescent="0.25">
      <c r="A68" s="8" t="s">
        <v>70</v>
      </c>
      <c r="B68" s="8"/>
      <c r="C68" s="8"/>
      <c r="D68" t="s">
        <v>12</v>
      </c>
      <c r="E68" t="s">
        <v>97</v>
      </c>
      <c r="F68">
        <v>0</v>
      </c>
      <c r="L68">
        <v>24</v>
      </c>
    </row>
    <row r="69" spans="1:13" x14ac:dyDescent="0.25">
      <c r="A69" s="8" t="s">
        <v>71</v>
      </c>
      <c r="B69" s="8"/>
      <c r="C69" s="8"/>
      <c r="D69" t="s">
        <v>12</v>
      </c>
      <c r="E69" t="s">
        <v>11</v>
      </c>
      <c r="F69">
        <v>1</v>
      </c>
      <c r="L69">
        <f>(4.8+0.3)/0.7</f>
        <v>7.2857142857142856</v>
      </c>
      <c r="M69" t="s">
        <v>163</v>
      </c>
    </row>
    <row r="70" spans="1:13" x14ac:dyDescent="0.25">
      <c r="A70" s="8" t="s">
        <v>72</v>
      </c>
      <c r="B70" s="8"/>
      <c r="C70" s="8"/>
      <c r="D70" t="s">
        <v>12</v>
      </c>
      <c r="E70" t="s">
        <v>11</v>
      </c>
      <c r="F70">
        <v>1</v>
      </c>
      <c r="L70">
        <v>1</v>
      </c>
    </row>
    <row r="71" spans="1:13" x14ac:dyDescent="0.25">
      <c r="A71" s="8" t="s">
        <v>73</v>
      </c>
      <c r="B71" s="8"/>
      <c r="C71" s="8"/>
      <c r="D71" t="s">
        <v>12</v>
      </c>
      <c r="E71" t="s">
        <v>11</v>
      </c>
      <c r="F71">
        <v>1</v>
      </c>
      <c r="L71">
        <v>2</v>
      </c>
    </row>
    <row r="72" spans="1:13" x14ac:dyDescent="0.25">
      <c r="A72" s="9" t="s">
        <v>140</v>
      </c>
      <c r="B72" s="9"/>
      <c r="C72" s="9"/>
      <c r="D72" s="9" t="s">
        <v>12</v>
      </c>
      <c r="E72" s="9" t="s">
        <v>97</v>
      </c>
      <c r="F72" s="9">
        <v>0</v>
      </c>
      <c r="G72" s="9"/>
      <c r="H72" s="9"/>
      <c r="I72" s="9"/>
      <c r="J72" s="9"/>
      <c r="K72" s="9"/>
      <c r="L72" s="9">
        <v>3</v>
      </c>
    </row>
    <row r="73" spans="1:13" x14ac:dyDescent="0.25">
      <c r="A73" s="9" t="s">
        <v>141</v>
      </c>
      <c r="B73" s="9"/>
      <c r="C73" s="9"/>
      <c r="D73" s="9" t="s">
        <v>12</v>
      </c>
      <c r="E73" s="9" t="s">
        <v>97</v>
      </c>
      <c r="F73" s="9">
        <v>0</v>
      </c>
      <c r="G73" s="9"/>
      <c r="H73" s="9"/>
      <c r="I73" s="9"/>
      <c r="J73" s="9"/>
      <c r="K73" s="9"/>
      <c r="L73" s="9">
        <v>3</v>
      </c>
    </row>
    <row r="74" spans="1:13" x14ac:dyDescent="0.25">
      <c r="A74" s="6" t="s">
        <v>74</v>
      </c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</row>
    <row r="75" spans="1:13" s="29" customFormat="1" x14ac:dyDescent="0.25">
      <c r="A75" s="36" t="s">
        <v>142</v>
      </c>
      <c r="B75" s="36"/>
      <c r="C75" s="36"/>
      <c r="D75" s="36" t="s">
        <v>12</v>
      </c>
      <c r="E75" s="36" t="s">
        <v>11</v>
      </c>
      <c r="F75" s="36">
        <v>1</v>
      </c>
      <c r="G75" s="36"/>
      <c r="H75" s="36"/>
      <c r="I75" s="36"/>
      <c r="J75" s="36"/>
      <c r="K75" s="36"/>
      <c r="L75" s="36">
        <v>10</v>
      </c>
    </row>
    <row r="76" spans="1:13" s="29" customFormat="1" x14ac:dyDescent="0.25">
      <c r="A76" s="36" t="s">
        <v>143</v>
      </c>
      <c r="B76" s="36"/>
      <c r="C76" s="36"/>
      <c r="D76" s="36" t="s">
        <v>12</v>
      </c>
      <c r="E76" s="36" t="s">
        <v>11</v>
      </c>
      <c r="F76" s="36">
        <v>1</v>
      </c>
      <c r="G76" s="36"/>
      <c r="H76" s="36"/>
      <c r="I76" s="36"/>
      <c r="J76" s="36"/>
      <c r="K76" s="36"/>
      <c r="L76" s="36">
        <v>10</v>
      </c>
    </row>
    <row r="77" spans="1:13" s="29" customFormat="1" x14ac:dyDescent="0.25">
      <c r="A77" s="38" t="s">
        <v>144</v>
      </c>
      <c r="B77" s="38"/>
      <c r="C77" s="38"/>
      <c r="D77" s="37"/>
      <c r="E77" s="37"/>
      <c r="F77" s="37"/>
      <c r="G77" s="37"/>
      <c r="H77" s="37"/>
      <c r="I77" s="37"/>
      <c r="J77" s="37"/>
      <c r="K77" s="37"/>
      <c r="L77" s="37"/>
    </row>
    <row r="78" spans="1:13" s="29" customFormat="1" x14ac:dyDescent="0.25">
      <c r="A78" s="36" t="s">
        <v>145</v>
      </c>
      <c r="B78" s="36"/>
      <c r="C78" s="36"/>
      <c r="D78" s="36" t="s">
        <v>12</v>
      </c>
      <c r="E78" s="36" t="s">
        <v>97</v>
      </c>
      <c r="F78" s="36">
        <v>0</v>
      </c>
      <c r="G78" s="36"/>
      <c r="H78" s="36"/>
      <c r="I78" s="36"/>
      <c r="J78" s="36"/>
      <c r="K78" s="36"/>
      <c r="L78" s="36">
        <v>7</v>
      </c>
    </row>
    <row r="79" spans="1:13" x14ac:dyDescent="0.25">
      <c r="A79" s="6" t="s">
        <v>75</v>
      </c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</row>
    <row r="80" spans="1:13" x14ac:dyDescent="0.25">
      <c r="A80" t="s">
        <v>76</v>
      </c>
      <c r="D80" t="s">
        <v>12</v>
      </c>
      <c r="E80" t="s">
        <v>11</v>
      </c>
      <c r="F80">
        <v>1</v>
      </c>
      <c r="L80">
        <v>2</v>
      </c>
    </row>
    <row r="81" spans="1:13" x14ac:dyDescent="0.25">
      <c r="A81" s="9" t="s">
        <v>146</v>
      </c>
      <c r="B81" s="9"/>
      <c r="C81" s="9"/>
      <c r="D81" s="9" t="s">
        <v>12</v>
      </c>
      <c r="E81" s="9" t="s">
        <v>97</v>
      </c>
      <c r="F81" s="39">
        <v>0</v>
      </c>
      <c r="G81" s="9"/>
      <c r="H81" s="9"/>
      <c r="I81" s="9"/>
      <c r="J81" s="9"/>
      <c r="K81" s="9"/>
      <c r="L81" s="39">
        <f>L97*0.092+L100*0.008+L98*0.097</f>
        <v>0</v>
      </c>
      <c r="M81" t="s">
        <v>159</v>
      </c>
    </row>
    <row r="82" spans="1:13" x14ac:dyDescent="0.25">
      <c r="A82" t="s">
        <v>77</v>
      </c>
      <c r="D82" t="s">
        <v>12</v>
      </c>
      <c r="E82" t="s">
        <v>11</v>
      </c>
      <c r="F82">
        <v>1</v>
      </c>
      <c r="L82">
        <v>1</v>
      </c>
    </row>
    <row r="83" spans="1:13" x14ac:dyDescent="0.25">
      <c r="A83" t="s">
        <v>78</v>
      </c>
      <c r="D83" t="s">
        <v>12</v>
      </c>
      <c r="E83" t="s">
        <v>11</v>
      </c>
      <c r="F83">
        <v>1</v>
      </c>
      <c r="L83">
        <v>1</v>
      </c>
    </row>
    <row r="84" spans="1:13" x14ac:dyDescent="0.25">
      <c r="A84" s="6" t="s">
        <v>79</v>
      </c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</row>
    <row r="85" spans="1:13" x14ac:dyDescent="0.25">
      <c r="A85" t="s">
        <v>80</v>
      </c>
      <c r="D85" t="s">
        <v>12</v>
      </c>
      <c r="E85" t="s">
        <v>11</v>
      </c>
      <c r="F85">
        <v>1</v>
      </c>
      <c r="L85" s="3">
        <f>1/4</f>
        <v>0.25</v>
      </c>
    </row>
    <row r="86" spans="1:13" x14ac:dyDescent="0.25">
      <c r="A86" t="s">
        <v>81</v>
      </c>
      <c r="D86" t="s">
        <v>12</v>
      </c>
      <c r="E86" t="s">
        <v>11</v>
      </c>
      <c r="F86">
        <v>1</v>
      </c>
      <c r="L86" s="3">
        <f>1/4</f>
        <v>0.25</v>
      </c>
    </row>
    <row r="87" spans="1:13" x14ac:dyDescent="0.25">
      <c r="A87" t="s">
        <v>82</v>
      </c>
      <c r="D87" t="s">
        <v>12</v>
      </c>
      <c r="E87" t="s">
        <v>11</v>
      </c>
      <c r="F87">
        <v>1</v>
      </c>
      <c r="L87" s="3">
        <f>1/4</f>
        <v>0.25</v>
      </c>
    </row>
    <row r="88" spans="1:13" x14ac:dyDescent="0.25">
      <c r="A88" s="6" t="s">
        <v>83</v>
      </c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</row>
    <row r="89" spans="1:13" x14ac:dyDescent="0.25">
      <c r="A89" t="s">
        <v>84</v>
      </c>
      <c r="D89" t="s">
        <v>12</v>
      </c>
      <c r="E89" t="s">
        <v>11</v>
      </c>
      <c r="F89">
        <v>1</v>
      </c>
      <c r="L89" s="3">
        <f>2/3</f>
        <v>0.66666666666666663</v>
      </c>
    </row>
    <row r="90" spans="1:13" x14ac:dyDescent="0.25">
      <c r="A90" t="s">
        <v>85</v>
      </c>
      <c r="D90" t="s">
        <v>12</v>
      </c>
      <c r="E90" t="s">
        <v>11</v>
      </c>
      <c r="F90">
        <v>1</v>
      </c>
      <c r="L90" s="3">
        <f>2/3</f>
        <v>0.66666666666666663</v>
      </c>
    </row>
    <row r="91" spans="1:13" x14ac:dyDescent="0.25">
      <c r="A91" t="s">
        <v>86</v>
      </c>
      <c r="D91" t="s">
        <v>12</v>
      </c>
      <c r="E91" t="s">
        <v>11</v>
      </c>
      <c r="F91">
        <v>1</v>
      </c>
      <c r="L91" s="3">
        <f>2/3</f>
        <v>0.66666666666666663</v>
      </c>
    </row>
    <row r="92" spans="1:13" x14ac:dyDescent="0.25">
      <c r="A92" t="s">
        <v>87</v>
      </c>
      <c r="D92" t="s">
        <v>12</v>
      </c>
      <c r="E92" t="s">
        <v>11</v>
      </c>
      <c r="F92">
        <v>1</v>
      </c>
      <c r="L92" s="3">
        <f>2/3</f>
        <v>0.66666666666666663</v>
      </c>
    </row>
    <row r="93" spans="1:13" x14ac:dyDescent="0.25">
      <c r="A93" s="6" t="s">
        <v>88</v>
      </c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</row>
    <row r="94" spans="1:13" x14ac:dyDescent="0.25">
      <c r="A94" s="6" t="s">
        <v>89</v>
      </c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</row>
    <row r="95" spans="1:13" x14ac:dyDescent="0.25">
      <c r="A95" s="6" t="s">
        <v>90</v>
      </c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</row>
    <row r="96" spans="1:13" x14ac:dyDescent="0.25">
      <c r="A96" s="6" t="s">
        <v>91</v>
      </c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</row>
    <row r="97" spans="1:12" s="33" customFormat="1" x14ac:dyDescent="0.25">
      <c r="A97" s="34" t="s">
        <v>136</v>
      </c>
      <c r="B97" s="34"/>
      <c r="C97" s="34"/>
      <c r="D97" s="34" t="s">
        <v>12</v>
      </c>
      <c r="E97" s="34" t="s">
        <v>97</v>
      </c>
      <c r="F97" s="34">
        <v>0</v>
      </c>
      <c r="G97" s="34"/>
      <c r="H97" s="34"/>
      <c r="I97" s="34"/>
      <c r="J97" s="34"/>
      <c r="K97" s="34"/>
      <c r="L97" s="34">
        <v>0</v>
      </c>
    </row>
    <row r="98" spans="1:12" x14ac:dyDescent="0.25">
      <c r="A98" s="34" t="s">
        <v>147</v>
      </c>
      <c r="B98" s="34"/>
      <c r="C98" s="34"/>
      <c r="D98" s="9" t="s">
        <v>12</v>
      </c>
      <c r="E98" s="9" t="s">
        <v>97</v>
      </c>
      <c r="F98" s="9">
        <v>0</v>
      </c>
      <c r="G98" s="9"/>
      <c r="H98" s="9"/>
      <c r="I98" s="9"/>
      <c r="J98" s="9"/>
      <c r="K98" s="9"/>
      <c r="L98" s="9">
        <v>0</v>
      </c>
    </row>
    <row r="99" spans="1:12" x14ac:dyDescent="0.25">
      <c r="A99" s="34" t="s">
        <v>137</v>
      </c>
      <c r="B99" s="34"/>
      <c r="C99" s="34"/>
      <c r="D99" s="9" t="s">
        <v>12</v>
      </c>
      <c r="E99" s="9" t="s">
        <v>97</v>
      </c>
      <c r="F99" s="9">
        <v>0</v>
      </c>
      <c r="G99" s="9"/>
      <c r="H99" s="9"/>
      <c r="I99" s="9"/>
      <c r="J99" s="9"/>
      <c r="K99" s="9"/>
      <c r="L99" s="9">
        <v>0</v>
      </c>
    </row>
    <row r="100" spans="1:12" x14ac:dyDescent="0.25">
      <c r="A100" s="34" t="s">
        <v>148</v>
      </c>
      <c r="B100" s="34"/>
      <c r="C100" s="34"/>
      <c r="D100" s="9" t="s">
        <v>12</v>
      </c>
      <c r="E100" s="9" t="s">
        <v>97</v>
      </c>
      <c r="F100" s="9">
        <v>0</v>
      </c>
      <c r="G100" s="9"/>
      <c r="H100" s="9"/>
      <c r="I100" s="9"/>
      <c r="J100" s="9"/>
      <c r="K100" s="9"/>
      <c r="L100" s="9">
        <v>0</v>
      </c>
    </row>
    <row r="101" spans="1:12" x14ac:dyDescent="0.25">
      <c r="A101" s="34" t="s">
        <v>149</v>
      </c>
      <c r="B101" s="34"/>
      <c r="C101" s="34"/>
      <c r="D101" s="9" t="s">
        <v>12</v>
      </c>
      <c r="E101" s="9" t="s">
        <v>97</v>
      </c>
      <c r="F101" s="9">
        <v>0</v>
      </c>
      <c r="G101" s="9"/>
      <c r="H101" s="9"/>
      <c r="I101" s="9"/>
      <c r="J101" s="9"/>
      <c r="K101" s="9"/>
      <c r="L101" s="9">
        <v>0</v>
      </c>
    </row>
    <row r="102" spans="1:12" x14ac:dyDescent="0.25">
      <c r="A102" s="34" t="s">
        <v>150</v>
      </c>
      <c r="B102" s="34"/>
      <c r="C102" s="34"/>
      <c r="D102" s="9" t="s">
        <v>12</v>
      </c>
      <c r="E102" s="9" t="s">
        <v>97</v>
      </c>
      <c r="F102" s="9">
        <v>0</v>
      </c>
      <c r="G102" s="9"/>
      <c r="H102" s="9"/>
      <c r="I102" s="9"/>
      <c r="J102" s="9"/>
      <c r="K102" s="9"/>
      <c r="L102" s="9">
        <v>0</v>
      </c>
    </row>
    <row r="103" spans="1:12" x14ac:dyDescent="0.25">
      <c r="A103" s="34" t="s">
        <v>151</v>
      </c>
      <c r="B103" s="34"/>
      <c r="C103" s="34"/>
      <c r="D103" s="9" t="s">
        <v>12</v>
      </c>
      <c r="E103" s="9" t="s">
        <v>97</v>
      </c>
      <c r="F103" s="9">
        <v>0</v>
      </c>
      <c r="G103" s="9"/>
      <c r="H103" s="9"/>
      <c r="I103" s="9"/>
      <c r="J103" s="9"/>
      <c r="K103" s="9"/>
      <c r="L103" s="9">
        <v>0</v>
      </c>
    </row>
    <row r="104" spans="1:12" x14ac:dyDescent="0.25">
      <c r="A104" s="34" t="s">
        <v>152</v>
      </c>
      <c r="B104" s="34"/>
      <c r="C104" s="34"/>
      <c r="D104" s="9" t="s">
        <v>12</v>
      </c>
      <c r="E104" s="9" t="s">
        <v>97</v>
      </c>
      <c r="F104" s="9">
        <v>0</v>
      </c>
      <c r="G104" s="9"/>
      <c r="H104" s="9"/>
      <c r="I104" s="9"/>
      <c r="J104" s="9"/>
      <c r="K104" s="9"/>
      <c r="L104" s="9">
        <v>10</v>
      </c>
    </row>
    <row r="105" spans="1:12" x14ac:dyDescent="0.25">
      <c r="A105" s="34" t="s">
        <v>153</v>
      </c>
      <c r="B105" s="34"/>
      <c r="C105" s="34"/>
      <c r="D105" s="9" t="s">
        <v>12</v>
      </c>
      <c r="E105" s="9" t="s">
        <v>97</v>
      </c>
      <c r="F105" s="9">
        <v>0</v>
      </c>
      <c r="G105" s="9"/>
      <c r="H105" s="9"/>
      <c r="I105" s="9"/>
      <c r="J105" s="9"/>
      <c r="K105" s="9"/>
      <c r="L105" s="9">
        <v>10</v>
      </c>
    </row>
    <row r="106" spans="1:12" x14ac:dyDescent="0.25">
      <c r="A106" s="34" t="s">
        <v>154</v>
      </c>
      <c r="B106" s="34"/>
      <c r="C106" s="34"/>
      <c r="D106" s="9" t="s">
        <v>12</v>
      </c>
      <c r="E106" s="9" t="s">
        <v>97</v>
      </c>
      <c r="F106" s="9">
        <v>0</v>
      </c>
      <c r="G106" s="9"/>
      <c r="H106" s="9"/>
      <c r="I106" s="9"/>
      <c r="J106" s="9"/>
      <c r="K106" s="9"/>
      <c r="L106" s="9">
        <v>0</v>
      </c>
    </row>
    <row r="107" spans="1:12" x14ac:dyDescent="0.25">
      <c r="A107" s="34" t="s">
        <v>155</v>
      </c>
      <c r="B107" s="34"/>
      <c r="C107" s="34"/>
      <c r="D107" s="9" t="s">
        <v>12</v>
      </c>
      <c r="E107" s="9" t="s">
        <v>97</v>
      </c>
      <c r="F107" s="9">
        <v>0</v>
      </c>
      <c r="G107" s="9"/>
      <c r="H107" s="9"/>
      <c r="I107" s="9"/>
      <c r="J107" s="9"/>
      <c r="K107" s="9"/>
      <c r="L107" s="9">
        <v>0</v>
      </c>
    </row>
    <row r="108" spans="1:12" x14ac:dyDescent="0.25">
      <c r="A108" s="34" t="s">
        <v>156</v>
      </c>
      <c r="B108" s="34"/>
      <c r="C108" s="34"/>
      <c r="D108" s="9" t="s">
        <v>12</v>
      </c>
      <c r="E108" s="9" t="s">
        <v>97</v>
      </c>
      <c r="F108" s="9">
        <v>0</v>
      </c>
      <c r="G108" s="9"/>
      <c r="H108" s="9"/>
      <c r="I108" s="9"/>
      <c r="J108" s="9"/>
      <c r="K108" s="9"/>
      <c r="L108" s="9">
        <v>0</v>
      </c>
    </row>
    <row r="109" spans="1:12" x14ac:dyDescent="0.25">
      <c r="A109" s="34" t="s">
        <v>157</v>
      </c>
      <c r="B109" s="34"/>
      <c r="C109" s="34"/>
      <c r="D109" s="9" t="s">
        <v>12</v>
      </c>
      <c r="E109" s="9" t="s">
        <v>97</v>
      </c>
      <c r="F109" s="9">
        <v>0</v>
      </c>
      <c r="G109" s="9"/>
      <c r="H109" s="9"/>
      <c r="I109" s="9"/>
      <c r="J109" s="9"/>
      <c r="K109" s="9"/>
      <c r="L109" s="9">
        <v>0</v>
      </c>
    </row>
    <row r="110" spans="1:12" x14ac:dyDescent="0.25">
      <c r="A110" s="34"/>
      <c r="B110" s="34"/>
      <c r="C110" s="34"/>
      <c r="D110" s="9"/>
      <c r="E110" s="9"/>
      <c r="F110" s="9"/>
      <c r="G110" s="9"/>
      <c r="H110" s="9"/>
      <c r="I110" s="9"/>
      <c r="J110" s="9"/>
      <c r="K110" s="9"/>
      <c r="L110" s="9"/>
    </row>
    <row r="111" spans="1:12" x14ac:dyDescent="0.25">
      <c r="A111" s="5" t="s">
        <v>93</v>
      </c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</row>
    <row r="112" spans="1:12" x14ac:dyDescent="0.25">
      <c r="D112" s="9" t="s">
        <v>96</v>
      </c>
      <c r="E112" s="9" t="s">
        <v>11</v>
      </c>
      <c r="F112" s="9">
        <v>1</v>
      </c>
    </row>
    <row r="113" spans="1:12" x14ac:dyDescent="0.25">
      <c r="A113" s="6" t="s">
        <v>15</v>
      </c>
      <c r="B113" s="6"/>
      <c r="C113" s="6"/>
      <c r="D113" s="6"/>
      <c r="E113" s="6"/>
      <c r="F113" s="10"/>
      <c r="G113" s="6"/>
      <c r="H113" s="6"/>
      <c r="I113" s="6"/>
      <c r="J113" s="6"/>
      <c r="K113" s="6"/>
      <c r="L113" s="6"/>
    </row>
    <row r="114" spans="1:12" x14ac:dyDescent="0.25">
      <c r="A114" t="s">
        <v>16</v>
      </c>
      <c r="D114" t="s">
        <v>96</v>
      </c>
      <c r="E114" t="s">
        <v>97</v>
      </c>
      <c r="F114">
        <v>22</v>
      </c>
      <c r="L114">
        <f>F114-20</f>
        <v>2</v>
      </c>
    </row>
    <row r="115" spans="1:12" x14ac:dyDescent="0.25">
      <c r="A115" t="s">
        <v>17</v>
      </c>
      <c r="D115" t="s">
        <v>96</v>
      </c>
      <c r="E115" t="s">
        <v>97</v>
      </c>
      <c r="F115" s="11">
        <f>F114</f>
        <v>22</v>
      </c>
      <c r="L115">
        <f>F115-20</f>
        <v>2</v>
      </c>
    </row>
    <row r="116" spans="1:12" x14ac:dyDescent="0.25">
      <c r="A116" t="s">
        <v>18</v>
      </c>
      <c r="D116" t="s">
        <v>96</v>
      </c>
      <c r="E116" t="s">
        <v>97</v>
      </c>
      <c r="F116">
        <v>100</v>
      </c>
      <c r="L116">
        <v>100</v>
      </c>
    </row>
    <row r="117" spans="1:12" x14ac:dyDescent="0.25">
      <c r="A117" t="s">
        <v>19</v>
      </c>
      <c r="D117" t="s">
        <v>96</v>
      </c>
      <c r="E117" t="s">
        <v>97</v>
      </c>
      <c r="F117">
        <v>4</v>
      </c>
      <c r="L117">
        <v>0</v>
      </c>
    </row>
    <row r="118" spans="1:12" x14ac:dyDescent="0.25">
      <c r="A118" t="s">
        <v>20</v>
      </c>
      <c r="D118" t="s">
        <v>96</v>
      </c>
      <c r="E118" t="s">
        <v>97</v>
      </c>
      <c r="F118" s="11">
        <f>F117</f>
        <v>4</v>
      </c>
      <c r="L118">
        <v>0</v>
      </c>
    </row>
    <row r="119" spans="1:12" x14ac:dyDescent="0.25">
      <c r="A119" t="s">
        <v>21</v>
      </c>
      <c r="D119" t="s">
        <v>96</v>
      </c>
      <c r="E119" t="s">
        <v>97</v>
      </c>
      <c r="F119">
        <v>100</v>
      </c>
      <c r="L119">
        <f>F119-20</f>
        <v>80</v>
      </c>
    </row>
    <row r="120" spans="1:12" x14ac:dyDescent="0.25">
      <c r="A120" t="s">
        <v>22</v>
      </c>
      <c r="D120" t="s">
        <v>96</v>
      </c>
      <c r="E120" t="s">
        <v>97</v>
      </c>
      <c r="F120">
        <v>8</v>
      </c>
      <c r="L120">
        <v>0</v>
      </c>
    </row>
    <row r="121" spans="1:12" x14ac:dyDescent="0.25">
      <c r="A121" t="s">
        <v>23</v>
      </c>
      <c r="D121" t="s">
        <v>96</v>
      </c>
      <c r="E121" t="s">
        <v>97</v>
      </c>
      <c r="F121" s="11">
        <f>F120</f>
        <v>8</v>
      </c>
      <c r="L121">
        <v>0</v>
      </c>
    </row>
    <row r="122" spans="1:12" x14ac:dyDescent="0.25">
      <c r="A122" t="s">
        <v>24</v>
      </c>
      <c r="D122" t="s">
        <v>96</v>
      </c>
      <c r="E122" t="s">
        <v>97</v>
      </c>
      <c r="F122">
        <v>1</v>
      </c>
      <c r="L122">
        <v>0</v>
      </c>
    </row>
    <row r="123" spans="1:12" x14ac:dyDescent="0.25">
      <c r="A123" t="s">
        <v>25</v>
      </c>
      <c r="D123" t="s">
        <v>96</v>
      </c>
      <c r="E123" t="s">
        <v>97</v>
      </c>
      <c r="F123" s="11">
        <f>F122</f>
        <v>1</v>
      </c>
      <c r="L123">
        <v>0</v>
      </c>
    </row>
    <row r="124" spans="1:12" x14ac:dyDescent="0.25">
      <c r="A124" t="s">
        <v>26</v>
      </c>
      <c r="D124" t="s">
        <v>96</v>
      </c>
      <c r="E124" t="s">
        <v>97</v>
      </c>
      <c r="F124" s="4">
        <v>22</v>
      </c>
      <c r="L124">
        <f>F124-10</f>
        <v>12</v>
      </c>
    </row>
    <row r="125" spans="1:12" x14ac:dyDescent="0.25">
      <c r="A125" t="s">
        <v>27</v>
      </c>
      <c r="D125" t="s">
        <v>96</v>
      </c>
      <c r="E125" t="s">
        <v>97</v>
      </c>
      <c r="F125" s="11">
        <f>F124</f>
        <v>22</v>
      </c>
      <c r="L125">
        <f>F125-10</f>
        <v>12</v>
      </c>
    </row>
    <row r="126" spans="1:12" x14ac:dyDescent="0.25">
      <c r="A126" s="9" t="s">
        <v>138</v>
      </c>
      <c r="B126" s="9"/>
      <c r="C126" s="9"/>
      <c r="D126" s="9" t="s">
        <v>96</v>
      </c>
      <c r="E126" s="9" t="s">
        <v>97</v>
      </c>
      <c r="F126" s="9">
        <v>100</v>
      </c>
      <c r="G126" s="9"/>
      <c r="H126" s="9"/>
      <c r="I126" s="9"/>
      <c r="J126" s="9"/>
      <c r="K126" s="9"/>
      <c r="L126" s="9">
        <v>60</v>
      </c>
    </row>
    <row r="127" spans="1:12" x14ac:dyDescent="0.25">
      <c r="A127" s="6" t="s">
        <v>28</v>
      </c>
      <c r="B127" s="6"/>
      <c r="C127" s="6"/>
      <c r="D127" s="6"/>
      <c r="E127" s="6"/>
      <c r="F127" s="10"/>
      <c r="G127" s="6"/>
      <c r="H127" s="6"/>
      <c r="I127" s="6"/>
      <c r="J127" s="6"/>
      <c r="K127" s="6"/>
      <c r="L127" s="6"/>
    </row>
    <row r="128" spans="1:12" x14ac:dyDescent="0.25">
      <c r="A128" s="7" t="s">
        <v>29</v>
      </c>
      <c r="B128" s="7"/>
      <c r="C128" s="7"/>
      <c r="D128" t="s">
        <v>96</v>
      </c>
      <c r="E128" t="s">
        <v>97</v>
      </c>
      <c r="F128" s="7">
        <v>16</v>
      </c>
      <c r="G128" s="7"/>
      <c r="H128" s="7"/>
      <c r="I128" s="7"/>
      <c r="J128" s="7"/>
      <c r="K128" s="7"/>
      <c r="L128">
        <v>0</v>
      </c>
    </row>
    <row r="129" spans="1:12" x14ac:dyDescent="0.25">
      <c r="A129" s="7" t="s">
        <v>30</v>
      </c>
      <c r="B129" s="7"/>
      <c r="C129" s="7"/>
      <c r="D129" t="s">
        <v>96</v>
      </c>
      <c r="E129" t="s">
        <v>97</v>
      </c>
      <c r="F129" s="7">
        <v>16</v>
      </c>
      <c r="G129" s="7"/>
      <c r="H129" s="7"/>
      <c r="I129" s="7"/>
      <c r="J129" s="7"/>
      <c r="K129" s="7"/>
      <c r="L129">
        <v>0</v>
      </c>
    </row>
    <row r="130" spans="1:12" x14ac:dyDescent="0.25">
      <c r="A130" s="7" t="s">
        <v>31</v>
      </c>
      <c r="B130" s="7"/>
      <c r="C130" s="7"/>
      <c r="D130" t="s">
        <v>96</v>
      </c>
      <c r="E130" t="s">
        <v>97</v>
      </c>
      <c r="F130" s="7">
        <v>16</v>
      </c>
      <c r="G130" s="7"/>
      <c r="H130" s="7"/>
      <c r="I130" s="7"/>
      <c r="J130" s="7"/>
      <c r="K130" s="7"/>
      <c r="L130">
        <v>0</v>
      </c>
    </row>
    <row r="131" spans="1:12" x14ac:dyDescent="0.25">
      <c r="A131" s="7" t="s">
        <v>32</v>
      </c>
      <c r="B131" s="7"/>
      <c r="C131" s="7"/>
      <c r="D131" t="s">
        <v>96</v>
      </c>
      <c r="E131" t="s">
        <v>97</v>
      </c>
      <c r="F131" s="7">
        <v>16</v>
      </c>
      <c r="G131" s="7"/>
      <c r="H131" s="7"/>
      <c r="I131" s="7"/>
      <c r="J131" s="7"/>
      <c r="K131" s="7"/>
      <c r="L131">
        <v>0</v>
      </c>
    </row>
    <row r="132" spans="1:12" x14ac:dyDescent="0.25">
      <c r="A132" s="6" t="s">
        <v>94</v>
      </c>
      <c r="B132" s="6"/>
      <c r="C132" s="6"/>
      <c r="D132" s="6"/>
      <c r="E132" s="6"/>
      <c r="F132" s="10"/>
      <c r="G132" s="6"/>
      <c r="H132" s="6"/>
      <c r="I132" s="6"/>
      <c r="J132" s="6"/>
      <c r="K132" s="6"/>
      <c r="L132" s="6"/>
    </row>
    <row r="133" spans="1:12" x14ac:dyDescent="0.25">
      <c r="A133" s="7" t="s">
        <v>45</v>
      </c>
      <c r="B133" s="7"/>
      <c r="C133" s="7"/>
      <c r="D133" t="s">
        <v>96</v>
      </c>
      <c r="E133" t="s">
        <v>97</v>
      </c>
      <c r="F133" s="7">
        <v>85</v>
      </c>
      <c r="G133" s="7"/>
      <c r="H133" s="7"/>
      <c r="I133" s="7"/>
      <c r="J133" s="7"/>
      <c r="K133" s="7"/>
      <c r="L133">
        <f>F133-40</f>
        <v>45</v>
      </c>
    </row>
    <row r="134" spans="1:12" x14ac:dyDescent="0.25">
      <c r="A134" s="7" t="s">
        <v>46</v>
      </c>
      <c r="B134" s="7"/>
      <c r="C134" s="7"/>
      <c r="D134" t="s">
        <v>96</v>
      </c>
      <c r="E134" t="s">
        <v>97</v>
      </c>
      <c r="F134" s="7">
        <v>85</v>
      </c>
      <c r="G134" s="7"/>
      <c r="H134" s="7"/>
      <c r="I134" s="7"/>
      <c r="J134" s="7"/>
      <c r="K134" s="7"/>
      <c r="L134">
        <f t="shared" ref="L134:L140" si="1">F134-40</f>
        <v>45</v>
      </c>
    </row>
    <row r="135" spans="1:12" x14ac:dyDescent="0.25">
      <c r="A135" s="7" t="s">
        <v>47</v>
      </c>
      <c r="B135" s="7"/>
      <c r="C135" s="7"/>
      <c r="D135" t="s">
        <v>96</v>
      </c>
      <c r="E135" t="s">
        <v>97</v>
      </c>
      <c r="F135" s="7">
        <v>85</v>
      </c>
      <c r="G135" s="7"/>
      <c r="H135" s="7"/>
      <c r="I135" s="7"/>
      <c r="J135" s="7"/>
      <c r="K135" s="7"/>
      <c r="L135">
        <f t="shared" si="1"/>
        <v>45</v>
      </c>
    </row>
    <row r="136" spans="1:12" x14ac:dyDescent="0.25">
      <c r="A136" s="7" t="s">
        <v>48</v>
      </c>
      <c r="B136" s="7"/>
      <c r="C136" s="7"/>
      <c r="D136" t="s">
        <v>96</v>
      </c>
      <c r="E136" t="s">
        <v>97</v>
      </c>
      <c r="F136" s="7">
        <v>95</v>
      </c>
      <c r="G136" s="7"/>
      <c r="H136" s="7"/>
      <c r="I136" s="7"/>
      <c r="J136" s="7"/>
      <c r="K136" s="7"/>
      <c r="L136">
        <f t="shared" si="1"/>
        <v>55</v>
      </c>
    </row>
    <row r="137" spans="1:12" x14ac:dyDescent="0.25">
      <c r="A137" s="7" t="s">
        <v>49</v>
      </c>
      <c r="B137" s="7"/>
      <c r="C137" s="7"/>
      <c r="D137" t="s">
        <v>96</v>
      </c>
      <c r="E137" t="s">
        <v>97</v>
      </c>
      <c r="F137" s="4">
        <v>97</v>
      </c>
      <c r="G137" s="7"/>
      <c r="H137" s="7"/>
      <c r="I137" s="7"/>
      <c r="J137" s="7"/>
      <c r="K137" s="7"/>
      <c r="L137">
        <f t="shared" si="1"/>
        <v>57</v>
      </c>
    </row>
    <row r="138" spans="1:12" x14ac:dyDescent="0.25">
      <c r="A138" s="7" t="s">
        <v>50</v>
      </c>
      <c r="B138" s="7"/>
      <c r="C138" s="7"/>
      <c r="D138" t="s">
        <v>96</v>
      </c>
      <c r="E138" t="s">
        <v>97</v>
      </c>
      <c r="F138" s="7">
        <v>29</v>
      </c>
      <c r="G138" s="7"/>
      <c r="H138" s="7"/>
      <c r="I138" s="7"/>
      <c r="J138" s="7"/>
      <c r="K138" s="7"/>
      <c r="L138">
        <v>0</v>
      </c>
    </row>
    <row r="139" spans="1:12" x14ac:dyDescent="0.25">
      <c r="A139" s="7" t="s">
        <v>51</v>
      </c>
      <c r="B139" s="7"/>
      <c r="C139" s="7"/>
      <c r="D139" t="s">
        <v>96</v>
      </c>
      <c r="E139" t="s">
        <v>97</v>
      </c>
      <c r="F139" s="4">
        <v>50</v>
      </c>
      <c r="G139" s="7"/>
      <c r="H139" s="7"/>
      <c r="I139" s="7"/>
      <c r="J139" s="7"/>
      <c r="K139" s="7"/>
      <c r="L139">
        <f t="shared" si="1"/>
        <v>10</v>
      </c>
    </row>
    <row r="140" spans="1:12" x14ac:dyDescent="0.25">
      <c r="A140" s="7" t="s">
        <v>52</v>
      </c>
      <c r="B140" s="7"/>
      <c r="C140" s="7"/>
      <c r="D140" t="s">
        <v>96</v>
      </c>
      <c r="E140" t="s">
        <v>97</v>
      </c>
      <c r="F140" s="4">
        <v>90</v>
      </c>
      <c r="G140" s="7"/>
      <c r="H140" s="7"/>
      <c r="I140" s="7"/>
      <c r="J140" s="7"/>
      <c r="K140" s="7"/>
      <c r="L140">
        <f t="shared" si="1"/>
        <v>50</v>
      </c>
    </row>
    <row r="141" spans="1:12" x14ac:dyDescent="0.25">
      <c r="A141" s="6" t="s">
        <v>95</v>
      </c>
      <c r="B141" s="6"/>
      <c r="C141" s="6"/>
      <c r="D141" s="6"/>
      <c r="E141" s="6"/>
      <c r="F141" s="10"/>
      <c r="G141" s="6"/>
      <c r="H141" s="6"/>
      <c r="I141" s="6"/>
      <c r="J141" s="6"/>
      <c r="K141" s="6"/>
      <c r="L141" s="6"/>
    </row>
    <row r="142" spans="1:12" x14ac:dyDescent="0.25">
      <c r="A142" s="7" t="s">
        <v>34</v>
      </c>
      <c r="B142" s="7"/>
      <c r="C142" s="7"/>
      <c r="D142" t="s">
        <v>96</v>
      </c>
      <c r="E142" t="s">
        <v>97</v>
      </c>
      <c r="F142">
        <v>7</v>
      </c>
      <c r="G142" s="7"/>
      <c r="H142" s="7"/>
      <c r="I142" s="7"/>
      <c r="J142" s="7"/>
      <c r="K142" s="7"/>
      <c r="L142">
        <v>0</v>
      </c>
    </row>
    <row r="143" spans="1:12" x14ac:dyDescent="0.25">
      <c r="A143" s="7" t="s">
        <v>35</v>
      </c>
      <c r="B143" s="7"/>
      <c r="C143" s="7"/>
      <c r="D143" t="s">
        <v>96</v>
      </c>
      <c r="E143" t="s">
        <v>97</v>
      </c>
      <c r="F143" s="7">
        <v>35</v>
      </c>
      <c r="G143" s="7"/>
      <c r="H143" s="7"/>
      <c r="I143" s="7"/>
      <c r="J143" s="7"/>
      <c r="K143" s="7"/>
      <c r="L143">
        <v>5</v>
      </c>
    </row>
    <row r="144" spans="1:12" x14ac:dyDescent="0.25">
      <c r="A144" s="7" t="s">
        <v>36</v>
      </c>
      <c r="B144" s="7"/>
      <c r="C144" s="7"/>
      <c r="D144" t="s">
        <v>96</v>
      </c>
      <c r="E144" t="s">
        <v>97</v>
      </c>
      <c r="F144" s="7">
        <v>63</v>
      </c>
      <c r="G144" s="7"/>
      <c r="H144" s="7"/>
      <c r="I144" s="7"/>
      <c r="J144" s="7"/>
      <c r="K144" s="7"/>
      <c r="L144">
        <v>33</v>
      </c>
    </row>
    <row r="145" spans="1:12" x14ac:dyDescent="0.25">
      <c r="A145" s="7" t="s">
        <v>37</v>
      </c>
      <c r="B145" s="7"/>
      <c r="C145" s="7"/>
      <c r="D145" t="s">
        <v>96</v>
      </c>
      <c r="E145" t="s">
        <v>97</v>
      </c>
      <c r="F145" s="7">
        <v>54</v>
      </c>
      <c r="G145" s="7"/>
      <c r="H145" s="7"/>
      <c r="I145" s="7"/>
      <c r="J145" s="7"/>
      <c r="K145" s="7"/>
      <c r="L145">
        <v>24</v>
      </c>
    </row>
    <row r="146" spans="1:12" x14ac:dyDescent="0.25">
      <c r="A146" s="7" t="s">
        <v>38</v>
      </c>
      <c r="B146" s="7"/>
      <c r="C146" s="7"/>
      <c r="D146" t="s">
        <v>96</v>
      </c>
      <c r="E146" t="s">
        <v>97</v>
      </c>
      <c r="F146" s="4">
        <v>75</v>
      </c>
      <c r="G146" s="7"/>
      <c r="H146" s="7"/>
      <c r="I146" s="7"/>
      <c r="J146" s="7"/>
      <c r="K146" s="7"/>
      <c r="L146">
        <v>70</v>
      </c>
    </row>
    <row r="147" spans="1:12" x14ac:dyDescent="0.25">
      <c r="A147" s="7" t="s">
        <v>39</v>
      </c>
      <c r="B147" s="7"/>
      <c r="C147" s="7"/>
      <c r="D147" t="s">
        <v>96</v>
      </c>
      <c r="E147" t="s">
        <v>97</v>
      </c>
      <c r="F147" s="7">
        <v>10</v>
      </c>
      <c r="G147" s="7"/>
      <c r="H147" s="7"/>
      <c r="I147" s="7"/>
      <c r="J147" s="7"/>
      <c r="K147" s="7"/>
      <c r="L147">
        <f t="shared" ref="L147" si="2">F147-10</f>
        <v>0</v>
      </c>
    </row>
    <row r="148" spans="1:12" x14ac:dyDescent="0.25">
      <c r="A148" s="7" t="s">
        <v>40</v>
      </c>
      <c r="B148" s="7"/>
      <c r="C148" s="7"/>
      <c r="D148" t="s">
        <v>96</v>
      </c>
      <c r="E148" t="s">
        <v>97</v>
      </c>
      <c r="F148" s="7">
        <v>90</v>
      </c>
      <c r="G148" s="7"/>
      <c r="H148" s="7"/>
      <c r="I148" s="7"/>
      <c r="J148" s="7"/>
      <c r="K148" s="7"/>
      <c r="L148">
        <f>F148-20</f>
        <v>70</v>
      </c>
    </row>
    <row r="149" spans="1:12" x14ac:dyDescent="0.25">
      <c r="A149" s="7" t="s">
        <v>41</v>
      </c>
      <c r="B149" s="7"/>
      <c r="C149" s="7"/>
      <c r="D149" t="s">
        <v>96</v>
      </c>
      <c r="E149" t="s">
        <v>97</v>
      </c>
      <c r="F149" s="7">
        <v>46</v>
      </c>
      <c r="G149" s="7"/>
      <c r="H149" s="7"/>
      <c r="I149" s="7"/>
      <c r="J149" s="7"/>
      <c r="K149" s="7"/>
      <c r="L149">
        <v>26</v>
      </c>
    </row>
    <row r="150" spans="1:12" x14ac:dyDescent="0.25">
      <c r="A150" s="7" t="s">
        <v>42</v>
      </c>
      <c r="B150" s="7"/>
      <c r="C150" s="7"/>
      <c r="D150" t="s">
        <v>96</v>
      </c>
      <c r="E150" t="s">
        <v>97</v>
      </c>
      <c r="F150" s="7">
        <v>100</v>
      </c>
      <c r="G150" s="7"/>
      <c r="H150" s="7"/>
      <c r="I150" s="7"/>
      <c r="J150" s="7"/>
      <c r="K150" s="7"/>
      <c r="L150">
        <v>70</v>
      </c>
    </row>
    <row r="151" spans="1:12" x14ac:dyDescent="0.25">
      <c r="A151" s="7" t="s">
        <v>43</v>
      </c>
      <c r="B151" s="7"/>
      <c r="C151" s="7"/>
      <c r="D151" t="s">
        <v>96</v>
      </c>
      <c r="E151" t="s">
        <v>97</v>
      </c>
      <c r="F151" s="4">
        <v>90</v>
      </c>
      <c r="G151" s="7"/>
      <c r="H151" s="7"/>
      <c r="I151" s="7"/>
      <c r="J151" s="7"/>
      <c r="K151" s="7"/>
      <c r="L151">
        <f>F151-40</f>
        <v>50</v>
      </c>
    </row>
    <row r="152" spans="1:12" x14ac:dyDescent="0.25">
      <c r="A152" s="6" t="s">
        <v>53</v>
      </c>
      <c r="B152" s="6"/>
      <c r="C152" s="6"/>
      <c r="D152" s="6"/>
      <c r="E152" s="6"/>
      <c r="F152" s="10"/>
      <c r="G152" s="6"/>
      <c r="H152" s="6"/>
      <c r="I152" s="6"/>
      <c r="J152" s="6"/>
      <c r="K152" s="6"/>
      <c r="L152" s="6"/>
    </row>
    <row r="153" spans="1:12" x14ac:dyDescent="0.25">
      <c r="A153" s="4" t="s">
        <v>54</v>
      </c>
      <c r="B153" s="4"/>
      <c r="C153" s="4"/>
      <c r="D153" t="s">
        <v>96</v>
      </c>
      <c r="E153" t="s">
        <v>97</v>
      </c>
      <c r="F153" s="12">
        <v>3.6594736842105262</v>
      </c>
      <c r="G153" s="4"/>
      <c r="H153" s="4"/>
      <c r="I153" s="4"/>
      <c r="J153" s="4"/>
      <c r="K153" s="4"/>
      <c r="L153">
        <v>0</v>
      </c>
    </row>
    <row r="154" spans="1:12" x14ac:dyDescent="0.25">
      <c r="A154" s="4" t="s">
        <v>55</v>
      </c>
      <c r="B154" s="4"/>
      <c r="C154" s="4"/>
      <c r="D154" t="s">
        <v>96</v>
      </c>
      <c r="E154" t="s">
        <v>97</v>
      </c>
      <c r="F154" s="12">
        <v>2.438757763975155</v>
      </c>
      <c r="G154" s="4"/>
      <c r="H154" s="4"/>
      <c r="I154" s="4"/>
      <c r="J154" s="4"/>
      <c r="K154" s="4"/>
      <c r="L154">
        <v>0</v>
      </c>
    </row>
    <row r="155" spans="1:12" x14ac:dyDescent="0.25">
      <c r="A155" s="4" t="s">
        <v>56</v>
      </c>
      <c r="B155" s="4"/>
      <c r="C155" s="4"/>
      <c r="D155" t="s">
        <v>96</v>
      </c>
      <c r="E155" t="s">
        <v>97</v>
      </c>
      <c r="F155" s="12">
        <v>6.317653239929947</v>
      </c>
      <c r="G155" s="4"/>
      <c r="H155" s="4"/>
      <c r="I155" s="4"/>
      <c r="J155" s="4"/>
      <c r="K155" s="4"/>
      <c r="L155">
        <v>0</v>
      </c>
    </row>
    <row r="156" spans="1:12" x14ac:dyDescent="0.25">
      <c r="A156" s="4" t="s">
        <v>57</v>
      </c>
      <c r="B156" s="4"/>
      <c r="C156" s="4"/>
      <c r="D156" t="s">
        <v>96</v>
      </c>
      <c r="E156" t="s">
        <v>97</v>
      </c>
      <c r="F156">
        <v>49.08</v>
      </c>
      <c r="G156" s="4"/>
      <c r="H156" s="4"/>
      <c r="I156" s="4"/>
      <c r="J156" s="4"/>
      <c r="K156" s="4"/>
      <c r="L156">
        <f>F156-40</f>
        <v>9.0799999999999983</v>
      </c>
    </row>
    <row r="157" spans="1:12" x14ac:dyDescent="0.25">
      <c r="A157" s="4" t="s">
        <v>58</v>
      </c>
      <c r="B157" s="4"/>
      <c r="C157" s="4"/>
      <c r="D157" t="s">
        <v>96</v>
      </c>
      <c r="E157" t="s">
        <v>97</v>
      </c>
      <c r="F157">
        <v>0</v>
      </c>
      <c r="G157" s="4"/>
      <c r="H157" s="4"/>
      <c r="I157" s="4"/>
      <c r="J157" s="4"/>
      <c r="K157" s="4"/>
      <c r="L157">
        <v>0</v>
      </c>
    </row>
    <row r="158" spans="1:12" x14ac:dyDescent="0.25">
      <c r="A158" s="4" t="s">
        <v>59</v>
      </c>
      <c r="B158" s="4"/>
      <c r="C158" s="4"/>
      <c r="D158" t="s">
        <v>96</v>
      </c>
      <c r="E158" t="s">
        <v>97</v>
      </c>
      <c r="F158">
        <v>16.36</v>
      </c>
      <c r="G158" s="4"/>
      <c r="H158" s="4"/>
      <c r="I158" s="4"/>
      <c r="J158" s="4"/>
      <c r="K158" s="4"/>
      <c r="L158">
        <v>0</v>
      </c>
    </row>
    <row r="159" spans="1:12" x14ac:dyDescent="0.25">
      <c r="A159" s="4" t="s">
        <v>60</v>
      </c>
      <c r="B159" s="4"/>
      <c r="C159" s="4"/>
      <c r="D159" t="s">
        <v>96</v>
      </c>
      <c r="E159" t="s">
        <v>97</v>
      </c>
      <c r="F159">
        <v>16.36</v>
      </c>
      <c r="G159" s="4"/>
      <c r="H159" s="4"/>
      <c r="I159" s="4"/>
      <c r="J159" s="4"/>
      <c r="K159" s="4"/>
      <c r="L159">
        <v>0</v>
      </c>
    </row>
    <row r="160" spans="1:12" x14ac:dyDescent="0.25">
      <c r="A160" s="4" t="s">
        <v>61</v>
      </c>
      <c r="B160" s="4"/>
      <c r="C160" s="4"/>
      <c r="D160" t="s">
        <v>96</v>
      </c>
      <c r="E160" t="s">
        <v>97</v>
      </c>
      <c r="F160">
        <v>16.36</v>
      </c>
      <c r="G160" s="4"/>
      <c r="H160" s="4"/>
      <c r="I160" s="4"/>
      <c r="J160" s="4"/>
      <c r="K160" s="4"/>
      <c r="L160">
        <v>0</v>
      </c>
    </row>
    <row r="161" spans="1:12" x14ac:dyDescent="0.25">
      <c r="A161" s="4" t="s">
        <v>62</v>
      </c>
      <c r="B161" s="4"/>
      <c r="C161" s="4"/>
      <c r="D161" t="s">
        <v>96</v>
      </c>
      <c r="E161" t="s">
        <v>97</v>
      </c>
      <c r="F161">
        <v>35.173999999999999</v>
      </c>
      <c r="G161" s="4"/>
      <c r="H161" s="4"/>
      <c r="I161" s="4"/>
      <c r="J161" s="4"/>
      <c r="K161" s="4"/>
      <c r="L161">
        <v>0</v>
      </c>
    </row>
    <row r="162" spans="1:12" x14ac:dyDescent="0.25">
      <c r="A162" s="6" t="s">
        <v>63</v>
      </c>
      <c r="B162" s="6"/>
      <c r="C162" s="6"/>
      <c r="D162" s="6"/>
      <c r="E162" s="6"/>
      <c r="F162" s="10"/>
      <c r="G162" s="6"/>
      <c r="H162" s="6"/>
      <c r="I162" s="6"/>
      <c r="J162" s="6"/>
      <c r="K162" s="6"/>
      <c r="L162" s="6"/>
    </row>
    <row r="163" spans="1:12" x14ac:dyDescent="0.25">
      <c r="A163" t="s">
        <v>13</v>
      </c>
      <c r="D163" t="s">
        <v>96</v>
      </c>
      <c r="E163" t="s">
        <v>97</v>
      </c>
      <c r="F163" s="13">
        <v>36.909999999999997</v>
      </c>
      <c r="L163">
        <v>0</v>
      </c>
    </row>
    <row r="164" spans="1:12" x14ac:dyDescent="0.25">
      <c r="A164" t="s">
        <v>64</v>
      </c>
      <c r="D164" t="s">
        <v>96</v>
      </c>
      <c r="E164" t="s">
        <v>97</v>
      </c>
      <c r="F164" s="13">
        <v>43.11</v>
      </c>
      <c r="L164" s="30">
        <f>F164-40</f>
        <v>3.1099999999999994</v>
      </c>
    </row>
    <row r="165" spans="1:12" x14ac:dyDescent="0.25">
      <c r="A165" t="s">
        <v>160</v>
      </c>
      <c r="D165" t="s">
        <v>96</v>
      </c>
      <c r="E165" t="s">
        <v>97</v>
      </c>
      <c r="F165" s="13">
        <v>63.94</v>
      </c>
      <c r="L165" s="30">
        <f>F165-40</f>
        <v>23.939999999999998</v>
      </c>
    </row>
    <row r="166" spans="1:12" x14ac:dyDescent="0.25">
      <c r="A166" t="s">
        <v>65</v>
      </c>
      <c r="D166" t="s">
        <v>96</v>
      </c>
      <c r="E166" t="s">
        <v>97</v>
      </c>
      <c r="F166" s="13">
        <v>36.49</v>
      </c>
      <c r="L166">
        <v>0</v>
      </c>
    </row>
    <row r="167" spans="1:12" x14ac:dyDescent="0.25">
      <c r="A167" s="6" t="s">
        <v>66</v>
      </c>
      <c r="B167" s="6"/>
      <c r="C167" s="6"/>
      <c r="D167" s="6"/>
      <c r="E167" s="6"/>
      <c r="F167" s="10"/>
      <c r="G167" s="6"/>
      <c r="H167" s="6"/>
      <c r="I167" s="6"/>
      <c r="J167" s="6"/>
      <c r="K167" s="6"/>
      <c r="L167" s="6"/>
    </row>
    <row r="168" spans="1:12" x14ac:dyDescent="0.25">
      <c r="A168" t="s">
        <v>66</v>
      </c>
      <c r="D168" t="s">
        <v>96</v>
      </c>
      <c r="E168" t="s">
        <v>97</v>
      </c>
      <c r="F168" s="7">
        <v>12</v>
      </c>
      <c r="L168">
        <v>0</v>
      </c>
    </row>
    <row r="169" spans="1:12" x14ac:dyDescent="0.25">
      <c r="A169" s="6" t="s">
        <v>68</v>
      </c>
      <c r="B169" s="6"/>
      <c r="C169" s="6"/>
      <c r="D169" s="6"/>
      <c r="E169" s="6"/>
      <c r="F169" s="10"/>
      <c r="G169" s="6"/>
      <c r="H169" s="6"/>
      <c r="I169" s="6"/>
      <c r="J169" s="6"/>
      <c r="K169" s="6"/>
      <c r="L169" s="6"/>
    </row>
    <row r="170" spans="1:12" x14ac:dyDescent="0.25">
      <c r="A170" t="s">
        <v>69</v>
      </c>
      <c r="D170" t="s">
        <v>96</v>
      </c>
      <c r="E170" t="s">
        <v>97</v>
      </c>
      <c r="F170">
        <v>5</v>
      </c>
      <c r="L170">
        <v>0</v>
      </c>
    </row>
    <row r="171" spans="1:12" x14ac:dyDescent="0.25">
      <c r="A171" s="8" t="s">
        <v>70</v>
      </c>
      <c r="B171" s="8"/>
      <c r="C171" s="8"/>
      <c r="D171" t="s">
        <v>96</v>
      </c>
      <c r="E171" t="s">
        <v>97</v>
      </c>
      <c r="F171">
        <v>0.4</v>
      </c>
      <c r="G171" s="8"/>
      <c r="H171" s="8"/>
      <c r="I171" s="8"/>
      <c r="J171" s="8"/>
      <c r="K171" s="8"/>
      <c r="L171">
        <v>0</v>
      </c>
    </row>
    <row r="172" spans="1:12" x14ac:dyDescent="0.25">
      <c r="A172" s="8" t="s">
        <v>71</v>
      </c>
      <c r="B172" s="8"/>
      <c r="C172" s="8"/>
      <c r="D172" t="s">
        <v>96</v>
      </c>
      <c r="E172" t="s">
        <v>97</v>
      </c>
      <c r="F172" s="4">
        <v>95</v>
      </c>
      <c r="G172" s="8"/>
      <c r="H172" s="8"/>
      <c r="I172" s="8"/>
      <c r="J172" s="8"/>
      <c r="K172" s="8"/>
      <c r="L172">
        <v>60</v>
      </c>
    </row>
    <row r="173" spans="1:12" x14ac:dyDescent="0.25">
      <c r="A173" s="8" t="s">
        <v>72</v>
      </c>
      <c r="B173" s="8"/>
      <c r="C173" s="8"/>
      <c r="D173" t="s">
        <v>96</v>
      </c>
      <c r="E173" t="s">
        <v>97</v>
      </c>
      <c r="F173">
        <v>100</v>
      </c>
      <c r="G173" s="8"/>
      <c r="H173" s="8"/>
      <c r="I173" s="8"/>
      <c r="J173" s="8"/>
      <c r="K173" s="8"/>
      <c r="L173">
        <v>100</v>
      </c>
    </row>
    <row r="174" spans="1:12" x14ac:dyDescent="0.25">
      <c r="A174" s="8" t="s">
        <v>73</v>
      </c>
      <c r="B174" s="8"/>
      <c r="C174" s="8"/>
      <c r="D174" t="s">
        <v>96</v>
      </c>
      <c r="E174" t="s">
        <v>97</v>
      </c>
      <c r="F174">
        <v>100</v>
      </c>
      <c r="G174" s="8"/>
      <c r="H174" s="8"/>
      <c r="I174" s="8"/>
      <c r="J174" s="8"/>
      <c r="K174" s="8"/>
      <c r="L174">
        <v>60</v>
      </c>
    </row>
    <row r="175" spans="1:12" x14ac:dyDescent="0.25">
      <c r="A175" s="9" t="s">
        <v>140</v>
      </c>
      <c r="B175" s="9"/>
      <c r="C175" s="9"/>
      <c r="D175" s="9" t="s">
        <v>96</v>
      </c>
      <c r="E175" s="9" t="s">
        <v>97</v>
      </c>
      <c r="F175" s="9">
        <v>100</v>
      </c>
      <c r="G175" s="9"/>
      <c r="H175" s="9"/>
      <c r="I175" s="9"/>
      <c r="J175" s="9"/>
      <c r="K175" s="9"/>
      <c r="L175" s="9">
        <v>60</v>
      </c>
    </row>
    <row r="176" spans="1:12" x14ac:dyDescent="0.25">
      <c r="A176" s="9" t="s">
        <v>141</v>
      </c>
      <c r="B176" s="9"/>
      <c r="C176" s="9"/>
      <c r="D176" s="9" t="s">
        <v>96</v>
      </c>
      <c r="E176" s="9" t="s">
        <v>97</v>
      </c>
      <c r="F176" s="9">
        <v>100</v>
      </c>
      <c r="G176" s="9"/>
      <c r="H176" s="9"/>
      <c r="I176" s="9"/>
      <c r="J176" s="9"/>
      <c r="K176" s="9"/>
      <c r="L176" s="9">
        <v>60</v>
      </c>
    </row>
    <row r="177" spans="1:12" x14ac:dyDescent="0.25">
      <c r="A177" s="6" t="s">
        <v>75</v>
      </c>
      <c r="B177" s="6"/>
      <c r="C177" s="6"/>
      <c r="D177" s="6"/>
      <c r="E177" s="6"/>
      <c r="F177" s="10"/>
      <c r="G177" s="6"/>
      <c r="H177" s="6"/>
      <c r="I177" s="6"/>
      <c r="J177" s="6"/>
      <c r="K177" s="6"/>
      <c r="L177" s="6"/>
    </row>
    <row r="178" spans="1:12" x14ac:dyDescent="0.25">
      <c r="A178" t="s">
        <v>76</v>
      </c>
      <c r="D178" t="s">
        <v>96</v>
      </c>
      <c r="E178" t="s">
        <v>97</v>
      </c>
      <c r="F178" s="13">
        <v>52</v>
      </c>
      <c r="L178">
        <v>12</v>
      </c>
    </row>
    <row r="179" spans="1:12" x14ac:dyDescent="0.25">
      <c r="A179" s="6" t="s">
        <v>79</v>
      </c>
      <c r="B179" s="6"/>
      <c r="C179" s="6"/>
      <c r="D179" s="6"/>
      <c r="E179" s="6"/>
      <c r="F179" s="10"/>
      <c r="G179" s="6"/>
      <c r="H179" s="6"/>
      <c r="I179" s="6"/>
      <c r="J179" s="6"/>
      <c r="K179" s="6"/>
      <c r="L179" s="6"/>
    </row>
    <row r="180" spans="1:12" x14ac:dyDescent="0.25">
      <c r="A180" t="s">
        <v>80</v>
      </c>
      <c r="D180" t="s">
        <v>96</v>
      </c>
      <c r="E180" t="s">
        <v>97</v>
      </c>
      <c r="F180" s="4">
        <v>24</v>
      </c>
      <c r="L180">
        <v>4</v>
      </c>
    </row>
    <row r="181" spans="1:12" x14ac:dyDescent="0.25">
      <c r="A181" t="s">
        <v>81</v>
      </c>
      <c r="D181" t="s">
        <v>96</v>
      </c>
      <c r="E181" t="s">
        <v>97</v>
      </c>
      <c r="F181" s="11">
        <f>F180</f>
        <v>24</v>
      </c>
      <c r="L181">
        <v>4</v>
      </c>
    </row>
    <row r="182" spans="1:12" x14ac:dyDescent="0.25">
      <c r="A182" t="s">
        <v>82</v>
      </c>
      <c r="D182" t="s">
        <v>96</v>
      </c>
      <c r="E182" t="s">
        <v>97</v>
      </c>
      <c r="F182">
        <v>61</v>
      </c>
      <c r="L182">
        <v>21</v>
      </c>
    </row>
    <row r="183" spans="1:12" x14ac:dyDescent="0.25">
      <c r="A183" s="6" t="s">
        <v>83</v>
      </c>
      <c r="B183" s="6"/>
      <c r="C183" s="6"/>
      <c r="D183" s="6"/>
      <c r="E183" s="6"/>
      <c r="F183" s="10"/>
      <c r="G183" s="6"/>
      <c r="H183" s="6"/>
      <c r="I183" s="6"/>
      <c r="J183" s="6"/>
      <c r="K183" s="6"/>
      <c r="L183" s="6"/>
    </row>
    <row r="184" spans="1:12" x14ac:dyDescent="0.25">
      <c r="A184" t="s">
        <v>84</v>
      </c>
      <c r="D184" t="s">
        <v>96</v>
      </c>
      <c r="E184" t="s">
        <v>97</v>
      </c>
      <c r="F184">
        <v>100</v>
      </c>
      <c r="L184">
        <v>90</v>
      </c>
    </row>
    <row r="185" spans="1:12" x14ac:dyDescent="0.25">
      <c r="A185" t="s">
        <v>85</v>
      </c>
      <c r="D185" t="s">
        <v>96</v>
      </c>
      <c r="E185" t="s">
        <v>97</v>
      </c>
      <c r="F185">
        <v>4</v>
      </c>
      <c r="L185">
        <v>0</v>
      </c>
    </row>
    <row r="186" spans="1:12" x14ac:dyDescent="0.25">
      <c r="A186" t="s">
        <v>86</v>
      </c>
      <c r="D186" t="s">
        <v>96</v>
      </c>
      <c r="E186" t="s">
        <v>97</v>
      </c>
      <c r="F186">
        <v>85</v>
      </c>
      <c r="L186">
        <v>65</v>
      </c>
    </row>
    <row r="187" spans="1:12" x14ac:dyDescent="0.25">
      <c r="A187" t="s">
        <v>87</v>
      </c>
      <c r="D187" t="s">
        <v>96</v>
      </c>
      <c r="E187" t="s">
        <v>97</v>
      </c>
      <c r="F187">
        <v>22</v>
      </c>
      <c r="L187">
        <v>2</v>
      </c>
    </row>
    <row r="188" spans="1:12" x14ac:dyDescent="0.25">
      <c r="A188" s="6" t="s">
        <v>91</v>
      </c>
      <c r="B188" s="6"/>
      <c r="C188" s="6"/>
      <c r="D188" s="6"/>
      <c r="E188" s="6"/>
      <c r="F188" s="10"/>
      <c r="G188" s="6"/>
      <c r="H188" s="6"/>
      <c r="I188" s="6"/>
      <c r="J188" s="6"/>
      <c r="K188" s="6"/>
      <c r="L188" s="6"/>
    </row>
    <row r="189" spans="1:12" x14ac:dyDescent="0.25">
      <c r="A189" s="9" t="s">
        <v>136</v>
      </c>
      <c r="B189" s="9"/>
      <c r="C189" s="9"/>
      <c r="D189" s="9" t="s">
        <v>96</v>
      </c>
      <c r="E189" s="9" t="s">
        <v>97</v>
      </c>
      <c r="F189" s="9">
        <v>5</v>
      </c>
      <c r="L189" s="9">
        <v>0</v>
      </c>
    </row>
    <row r="190" spans="1:12" x14ac:dyDescent="0.25">
      <c r="A190" s="9" t="s">
        <v>147</v>
      </c>
      <c r="B190" s="9"/>
      <c r="C190" s="9"/>
      <c r="D190" s="9" t="s">
        <v>96</v>
      </c>
      <c r="E190" s="9" t="s">
        <v>97</v>
      </c>
      <c r="F190" s="9">
        <v>100</v>
      </c>
      <c r="L190" s="9">
        <v>100</v>
      </c>
    </row>
    <row r="191" spans="1:12" x14ac:dyDescent="0.25">
      <c r="A191" s="9" t="s">
        <v>137</v>
      </c>
      <c r="B191" s="9"/>
      <c r="C191" s="9"/>
      <c r="D191" s="9" t="s">
        <v>96</v>
      </c>
      <c r="E191" s="9" t="s">
        <v>97</v>
      </c>
      <c r="F191" s="9">
        <v>22</v>
      </c>
      <c r="L191" s="9">
        <v>12</v>
      </c>
    </row>
    <row r="192" spans="1:12" x14ac:dyDescent="0.25">
      <c r="A192" s="9" t="s">
        <v>148</v>
      </c>
      <c r="B192" s="9"/>
      <c r="C192" s="9"/>
      <c r="D192" s="9" t="s">
        <v>96</v>
      </c>
      <c r="E192" s="9" t="s">
        <v>97</v>
      </c>
      <c r="F192" s="9">
        <v>1</v>
      </c>
      <c r="L192" s="9">
        <v>0</v>
      </c>
    </row>
    <row r="193" spans="1:13" x14ac:dyDescent="0.25">
      <c r="A193" s="9" t="s">
        <v>149</v>
      </c>
      <c r="B193" s="9"/>
      <c r="C193" s="9"/>
      <c r="D193" s="9" t="s">
        <v>96</v>
      </c>
      <c r="E193" s="9" t="s">
        <v>97</v>
      </c>
      <c r="F193" s="9">
        <v>24</v>
      </c>
      <c r="L193" s="9">
        <v>14</v>
      </c>
    </row>
    <row r="194" spans="1:13" x14ac:dyDescent="0.25">
      <c r="A194" s="9" t="s">
        <v>150</v>
      </c>
      <c r="B194" s="9"/>
      <c r="C194" s="9"/>
      <c r="D194" s="9" t="s">
        <v>96</v>
      </c>
      <c r="E194" s="9" t="s">
        <v>97</v>
      </c>
      <c r="F194" s="9">
        <v>24</v>
      </c>
      <c r="L194" s="9">
        <v>14</v>
      </c>
    </row>
    <row r="195" spans="1:13" x14ac:dyDescent="0.25">
      <c r="A195" s="9" t="s">
        <v>151</v>
      </c>
      <c r="B195" s="9"/>
      <c r="C195" s="9"/>
      <c r="D195" s="9" t="s">
        <v>96</v>
      </c>
      <c r="E195" s="9" t="s">
        <v>97</v>
      </c>
      <c r="F195" s="9">
        <v>24</v>
      </c>
      <c r="L195" s="9">
        <v>12</v>
      </c>
    </row>
    <row r="196" spans="1:13" x14ac:dyDescent="0.25">
      <c r="A196" s="9" t="s">
        <v>152</v>
      </c>
      <c r="B196" s="9"/>
      <c r="C196" s="9"/>
      <c r="D196" s="9" t="s">
        <v>96</v>
      </c>
      <c r="E196" s="9" t="s">
        <v>97</v>
      </c>
      <c r="F196" s="9">
        <v>0.4</v>
      </c>
      <c r="L196" s="9">
        <v>0</v>
      </c>
    </row>
    <row r="197" spans="1:13" x14ac:dyDescent="0.25">
      <c r="A197" s="9" t="s">
        <v>153</v>
      </c>
      <c r="B197" s="9"/>
      <c r="C197" s="9"/>
      <c r="D197" s="9" t="s">
        <v>96</v>
      </c>
      <c r="E197" s="9" t="s">
        <v>97</v>
      </c>
      <c r="F197" s="9">
        <v>0.4</v>
      </c>
      <c r="L197" s="9">
        <v>0</v>
      </c>
    </row>
    <row r="198" spans="1:13" x14ac:dyDescent="0.25">
      <c r="A198" s="9" t="s">
        <v>154</v>
      </c>
      <c r="B198" s="9"/>
      <c r="C198" s="9"/>
      <c r="D198" s="9" t="s">
        <v>96</v>
      </c>
      <c r="E198" s="9" t="s">
        <v>97</v>
      </c>
      <c r="F198" s="9">
        <v>24</v>
      </c>
      <c r="L198" s="9">
        <v>14</v>
      </c>
    </row>
    <row r="199" spans="1:13" x14ac:dyDescent="0.25">
      <c r="A199" s="9" t="s">
        <v>155</v>
      </c>
      <c r="B199" s="9"/>
      <c r="C199" s="9"/>
      <c r="D199" s="9" t="s">
        <v>96</v>
      </c>
      <c r="E199" s="9" t="s">
        <v>97</v>
      </c>
      <c r="F199" s="9">
        <v>0</v>
      </c>
      <c r="L199" s="9">
        <v>14</v>
      </c>
    </row>
    <row r="200" spans="1:13" x14ac:dyDescent="0.25">
      <c r="A200" s="9" t="s">
        <v>156</v>
      </c>
      <c r="B200" s="9"/>
      <c r="C200" s="9"/>
      <c r="D200" s="9" t="s">
        <v>96</v>
      </c>
      <c r="E200" s="9" t="s">
        <v>97</v>
      </c>
      <c r="F200" s="9">
        <v>24</v>
      </c>
      <c r="L200" s="9">
        <v>14</v>
      </c>
    </row>
    <row r="201" spans="1:13" x14ac:dyDescent="0.25">
      <c r="A201" s="9" t="s">
        <v>157</v>
      </c>
      <c r="B201" s="9"/>
      <c r="C201" s="9"/>
      <c r="D201" s="9" t="s">
        <v>96</v>
      </c>
      <c r="E201" s="9" t="s">
        <v>97</v>
      </c>
      <c r="F201" s="9">
        <v>24</v>
      </c>
      <c r="L201" s="9">
        <v>14</v>
      </c>
    </row>
    <row r="203" spans="1:13" x14ac:dyDescent="0.25">
      <c r="A203" s="6" t="s">
        <v>15</v>
      </c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>
        <v>2</v>
      </c>
    </row>
    <row r="204" spans="1:13" x14ac:dyDescent="0.25">
      <c r="A204" t="s">
        <v>16</v>
      </c>
      <c r="B204" t="s">
        <v>178</v>
      </c>
      <c r="C204" t="s">
        <v>172</v>
      </c>
      <c r="D204" s="9" t="s">
        <v>179</v>
      </c>
      <c r="E204" s="9" t="s">
        <v>97</v>
      </c>
      <c r="F204">
        <v>5.3</v>
      </c>
      <c r="G204" s="43"/>
      <c r="H204" s="43"/>
      <c r="I204" s="43"/>
      <c r="J204" s="43"/>
      <c r="K204" s="43"/>
      <c r="L204" s="47">
        <f>F204*$M$203</f>
        <v>10.6</v>
      </c>
    </row>
    <row r="205" spans="1:13" x14ac:dyDescent="0.25">
      <c r="A205" t="s">
        <v>17</v>
      </c>
      <c r="B205" t="s">
        <v>178</v>
      </c>
      <c r="C205" t="s">
        <v>172</v>
      </c>
      <c r="D205" t="s">
        <v>179</v>
      </c>
      <c r="E205" s="9" t="s">
        <v>97</v>
      </c>
      <c r="F205">
        <v>5.3</v>
      </c>
      <c r="G205" s="34"/>
      <c r="H205" s="34"/>
      <c r="I205" s="34"/>
      <c r="J205" s="34"/>
      <c r="K205" s="34"/>
      <c r="L205" s="47">
        <f t="shared" ref="L205:L261" si="3">F205*$M$203</f>
        <v>10.6</v>
      </c>
    </row>
    <row r="206" spans="1:13" x14ac:dyDescent="0.25">
      <c r="A206" t="s">
        <v>19</v>
      </c>
      <c r="B206" t="s">
        <v>178</v>
      </c>
      <c r="C206" t="s">
        <v>172</v>
      </c>
      <c r="D206" t="s">
        <v>179</v>
      </c>
      <c r="E206" s="9" t="s">
        <v>97</v>
      </c>
      <c r="F206">
        <v>4.9000000000000004</v>
      </c>
      <c r="G206" s="34"/>
      <c r="H206" s="34"/>
      <c r="I206" s="34"/>
      <c r="J206" s="34"/>
      <c r="K206" s="34"/>
      <c r="L206" s="47">
        <f t="shared" si="3"/>
        <v>9.8000000000000007</v>
      </c>
    </row>
    <row r="207" spans="1:13" x14ac:dyDescent="0.25">
      <c r="A207" t="s">
        <v>20</v>
      </c>
      <c r="B207" t="s">
        <v>178</v>
      </c>
      <c r="C207" t="s">
        <v>172</v>
      </c>
      <c r="D207" t="s">
        <v>179</v>
      </c>
      <c r="E207" s="9" t="s">
        <v>97</v>
      </c>
      <c r="F207">
        <v>4.9000000000000004</v>
      </c>
      <c r="G207" s="33"/>
      <c r="H207" s="33"/>
      <c r="I207" s="33"/>
      <c r="J207" s="33"/>
      <c r="K207" s="33"/>
      <c r="L207" s="47">
        <f t="shared" si="3"/>
        <v>9.8000000000000007</v>
      </c>
    </row>
    <row r="208" spans="1:13" x14ac:dyDescent="0.25">
      <c r="A208" t="s">
        <v>22</v>
      </c>
      <c r="B208" t="s">
        <v>178</v>
      </c>
      <c r="C208" t="s">
        <v>172</v>
      </c>
      <c r="D208" t="s">
        <v>179</v>
      </c>
      <c r="E208" s="9" t="s">
        <v>97</v>
      </c>
      <c r="F208">
        <v>12.7</v>
      </c>
      <c r="G208" s="33"/>
      <c r="H208" s="33"/>
      <c r="I208" s="33"/>
      <c r="J208" s="33"/>
      <c r="K208" s="33"/>
      <c r="L208" s="47">
        <f t="shared" si="3"/>
        <v>25.4</v>
      </c>
    </row>
    <row r="209" spans="1:13" x14ac:dyDescent="0.25">
      <c r="A209" t="s">
        <v>23</v>
      </c>
      <c r="B209" t="s">
        <v>178</v>
      </c>
      <c r="C209" t="s">
        <v>172</v>
      </c>
      <c r="D209" t="s">
        <v>179</v>
      </c>
      <c r="E209" s="9" t="s">
        <v>97</v>
      </c>
      <c r="F209">
        <v>12.7</v>
      </c>
      <c r="G209" s="33"/>
      <c r="H209" s="33"/>
      <c r="I209" s="33"/>
      <c r="J209" s="33"/>
      <c r="K209" s="33"/>
      <c r="L209" s="47">
        <f t="shared" si="3"/>
        <v>25.4</v>
      </c>
    </row>
    <row r="210" spans="1:13" x14ac:dyDescent="0.25">
      <c r="A210" t="s">
        <v>24</v>
      </c>
      <c r="B210" t="s">
        <v>178</v>
      </c>
      <c r="C210" t="s">
        <v>172</v>
      </c>
      <c r="D210" t="s">
        <v>179</v>
      </c>
      <c r="E210" s="9" t="s">
        <v>97</v>
      </c>
      <c r="F210">
        <v>24</v>
      </c>
      <c r="G210" s="33"/>
      <c r="H210" s="33"/>
      <c r="I210" s="33"/>
      <c r="J210" s="33"/>
      <c r="K210" s="33"/>
      <c r="L210" s="47">
        <f t="shared" si="3"/>
        <v>48</v>
      </c>
    </row>
    <row r="211" spans="1:13" x14ac:dyDescent="0.25">
      <c r="A211" t="s">
        <v>25</v>
      </c>
      <c r="B211" t="s">
        <v>178</v>
      </c>
      <c r="C211" t="s">
        <v>172</v>
      </c>
      <c r="D211" t="s">
        <v>179</v>
      </c>
      <c r="E211" s="9" t="s">
        <v>97</v>
      </c>
      <c r="F211">
        <v>24</v>
      </c>
      <c r="G211" s="33"/>
      <c r="H211" s="33"/>
      <c r="I211" s="33"/>
      <c r="J211" s="33"/>
      <c r="K211" s="33"/>
      <c r="L211" s="47">
        <f t="shared" si="3"/>
        <v>48</v>
      </c>
    </row>
    <row r="212" spans="1:13" x14ac:dyDescent="0.25">
      <c r="A212" t="s">
        <v>26</v>
      </c>
      <c r="B212" t="s">
        <v>178</v>
      </c>
      <c r="C212" t="s">
        <v>172</v>
      </c>
      <c r="D212" t="s">
        <v>179</v>
      </c>
      <c r="E212" s="9" t="s">
        <v>97</v>
      </c>
      <c r="F212">
        <v>10</v>
      </c>
      <c r="G212" s="33"/>
      <c r="H212" s="33"/>
      <c r="I212" s="33"/>
      <c r="J212" s="33"/>
      <c r="K212" s="33"/>
      <c r="L212" s="47">
        <f t="shared" si="3"/>
        <v>20</v>
      </c>
    </row>
    <row r="213" spans="1:13" x14ac:dyDescent="0.25">
      <c r="A213" t="s">
        <v>27</v>
      </c>
      <c r="B213" t="s">
        <v>178</v>
      </c>
      <c r="C213" t="s">
        <v>172</v>
      </c>
      <c r="D213" t="s">
        <v>179</v>
      </c>
      <c r="E213" s="9" t="s">
        <v>97</v>
      </c>
      <c r="F213">
        <v>10</v>
      </c>
      <c r="G213" s="33"/>
      <c r="H213" s="33"/>
      <c r="I213" s="33"/>
      <c r="J213" s="33"/>
      <c r="K213" s="33"/>
      <c r="L213" s="47">
        <f t="shared" si="3"/>
        <v>20</v>
      </c>
    </row>
    <row r="214" spans="1:13" x14ac:dyDescent="0.25">
      <c r="A214" s="9" t="s">
        <v>138</v>
      </c>
      <c r="B214" s="9" t="s">
        <v>178</v>
      </c>
      <c r="C214" s="9" t="s">
        <v>172</v>
      </c>
      <c r="D214" s="9" t="s">
        <v>179</v>
      </c>
      <c r="E214" s="9" t="s">
        <v>97</v>
      </c>
      <c r="F214" s="9">
        <v>0</v>
      </c>
      <c r="G214" s="33"/>
      <c r="H214" s="33"/>
      <c r="I214" s="33"/>
      <c r="J214" s="33"/>
      <c r="K214" s="33"/>
      <c r="L214" s="47">
        <f t="shared" si="3"/>
        <v>0</v>
      </c>
    </row>
    <row r="215" spans="1:13" x14ac:dyDescent="0.25">
      <c r="A215" s="6" t="s">
        <v>28</v>
      </c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</row>
    <row r="216" spans="1:13" x14ac:dyDescent="0.25">
      <c r="A216" s="7" t="s">
        <v>29</v>
      </c>
      <c r="B216" t="s">
        <v>178</v>
      </c>
      <c r="C216" t="s">
        <v>172</v>
      </c>
      <c r="D216" t="s">
        <v>179</v>
      </c>
      <c r="E216" s="9" t="s">
        <v>97</v>
      </c>
      <c r="F216">
        <v>12</v>
      </c>
      <c r="G216" s="33"/>
      <c r="H216" s="33"/>
      <c r="I216" s="33"/>
      <c r="J216" s="33"/>
      <c r="K216" s="33"/>
      <c r="L216" s="47">
        <f t="shared" si="3"/>
        <v>24</v>
      </c>
    </row>
    <row r="217" spans="1:13" x14ac:dyDescent="0.25">
      <c r="A217" s="7" t="s">
        <v>30</v>
      </c>
      <c r="B217" t="s">
        <v>178</v>
      </c>
      <c r="C217" t="s">
        <v>172</v>
      </c>
      <c r="D217" t="s">
        <v>179</v>
      </c>
      <c r="E217" s="9" t="s">
        <v>97</v>
      </c>
      <c r="F217">
        <v>12</v>
      </c>
      <c r="G217" s="40"/>
      <c r="H217" s="40"/>
      <c r="I217" s="40"/>
      <c r="J217" s="40"/>
      <c r="K217" s="40"/>
      <c r="L217" s="47">
        <f t="shared" si="3"/>
        <v>24</v>
      </c>
      <c r="M217" s="40"/>
    </row>
    <row r="218" spans="1:13" x14ac:dyDescent="0.25">
      <c r="A218" s="7" t="s">
        <v>31</v>
      </c>
      <c r="B218" t="s">
        <v>178</v>
      </c>
      <c r="C218" t="s">
        <v>172</v>
      </c>
      <c r="D218" t="s">
        <v>179</v>
      </c>
      <c r="E218" s="9" t="s">
        <v>97</v>
      </c>
      <c r="F218">
        <v>0</v>
      </c>
      <c r="G218" s="33"/>
      <c r="H218" s="33"/>
      <c r="I218" s="33"/>
      <c r="J218" s="33"/>
      <c r="K218" s="33"/>
      <c r="L218" s="47">
        <f t="shared" si="3"/>
        <v>0</v>
      </c>
    </row>
    <row r="219" spans="1:13" x14ac:dyDescent="0.25">
      <c r="A219" s="7" t="s">
        <v>32</v>
      </c>
      <c r="B219" t="s">
        <v>178</v>
      </c>
      <c r="C219" t="s">
        <v>172</v>
      </c>
      <c r="D219" t="s">
        <v>179</v>
      </c>
      <c r="E219" s="9" t="s">
        <v>97</v>
      </c>
      <c r="F219">
        <v>0</v>
      </c>
      <c r="G219" s="33"/>
      <c r="H219" s="33"/>
      <c r="I219" s="33"/>
      <c r="J219" s="33"/>
      <c r="K219" s="33"/>
      <c r="L219" s="47">
        <f t="shared" si="3"/>
        <v>0</v>
      </c>
    </row>
    <row r="220" spans="1:13" x14ac:dyDescent="0.25">
      <c r="A220" s="6" t="s">
        <v>95</v>
      </c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</row>
    <row r="221" spans="1:13" x14ac:dyDescent="0.25">
      <c r="A221" s="7" t="s">
        <v>34</v>
      </c>
      <c r="B221" t="s">
        <v>178</v>
      </c>
      <c r="C221" t="s">
        <v>172</v>
      </c>
      <c r="D221" t="s">
        <v>179</v>
      </c>
      <c r="E221" s="9" t="s">
        <v>97</v>
      </c>
      <c r="F221">
        <v>25</v>
      </c>
      <c r="G221" s="33"/>
      <c r="H221" s="33"/>
      <c r="I221" s="33"/>
      <c r="J221" s="33"/>
      <c r="K221" s="33"/>
      <c r="L221" s="47">
        <f t="shared" si="3"/>
        <v>50</v>
      </c>
    </row>
    <row r="222" spans="1:13" x14ac:dyDescent="0.25">
      <c r="A222" s="9" t="s">
        <v>158</v>
      </c>
      <c r="B222" s="9" t="s">
        <v>178</v>
      </c>
      <c r="C222" s="9" t="s">
        <v>172</v>
      </c>
      <c r="D222" s="9" t="s">
        <v>179</v>
      </c>
      <c r="E222" s="9" t="s">
        <v>97</v>
      </c>
      <c r="F222" s="9">
        <v>25</v>
      </c>
      <c r="G222" s="40"/>
      <c r="H222" s="40"/>
      <c r="I222" s="40"/>
      <c r="J222" s="40"/>
      <c r="K222" s="40"/>
      <c r="L222" s="47">
        <f t="shared" si="3"/>
        <v>50</v>
      </c>
    </row>
    <row r="223" spans="1:13" x14ac:dyDescent="0.25">
      <c r="A223" s="7" t="s">
        <v>35</v>
      </c>
      <c r="B223" t="s">
        <v>178</v>
      </c>
      <c r="C223" t="s">
        <v>172</v>
      </c>
      <c r="D223" t="s">
        <v>179</v>
      </c>
      <c r="E223" s="9" t="s">
        <v>97</v>
      </c>
      <c r="F223">
        <v>13</v>
      </c>
      <c r="G223" s="33"/>
      <c r="H223" s="33"/>
      <c r="I223" s="33"/>
      <c r="J223" s="33"/>
      <c r="K223" s="33"/>
      <c r="L223" s="47">
        <f t="shared" si="3"/>
        <v>26</v>
      </c>
    </row>
    <row r="224" spans="1:13" x14ac:dyDescent="0.25">
      <c r="A224" s="7" t="s">
        <v>37</v>
      </c>
      <c r="B224" t="s">
        <v>178</v>
      </c>
      <c r="C224" t="s">
        <v>172</v>
      </c>
      <c r="D224" t="s">
        <v>179</v>
      </c>
      <c r="E224" s="9" t="s">
        <v>97</v>
      </c>
      <c r="F224">
        <v>19</v>
      </c>
      <c r="G224" s="33"/>
      <c r="H224" s="33"/>
      <c r="I224" s="33"/>
      <c r="J224" s="33"/>
      <c r="K224" s="33"/>
      <c r="L224" s="47">
        <f t="shared" si="3"/>
        <v>38</v>
      </c>
    </row>
    <row r="225" spans="1:12" x14ac:dyDescent="0.25">
      <c r="A225" s="7" t="s">
        <v>40</v>
      </c>
      <c r="B225" t="s">
        <v>178</v>
      </c>
      <c r="C225" t="s">
        <v>172</v>
      </c>
      <c r="D225" t="s">
        <v>179</v>
      </c>
      <c r="E225" s="9" t="s">
        <v>97</v>
      </c>
      <c r="F225">
        <v>9</v>
      </c>
      <c r="G225" s="33"/>
      <c r="H225" s="33"/>
      <c r="I225" s="33"/>
      <c r="J225" s="33"/>
      <c r="K225" s="33"/>
      <c r="L225" s="47">
        <f t="shared" si="3"/>
        <v>18</v>
      </c>
    </row>
    <row r="226" spans="1:12" x14ac:dyDescent="0.25">
      <c r="A226" s="7" t="s">
        <v>41</v>
      </c>
      <c r="B226" t="s">
        <v>178</v>
      </c>
      <c r="C226" t="s">
        <v>172</v>
      </c>
      <c r="D226" t="s">
        <v>179</v>
      </c>
      <c r="E226" s="9" t="s">
        <v>97</v>
      </c>
      <c r="F226">
        <v>11</v>
      </c>
      <c r="G226" s="33"/>
      <c r="H226" s="33"/>
      <c r="I226" s="33"/>
      <c r="J226" s="33"/>
      <c r="K226" s="33"/>
      <c r="L226" s="47">
        <f t="shared" si="3"/>
        <v>22</v>
      </c>
    </row>
    <row r="227" spans="1:12" x14ac:dyDescent="0.25">
      <c r="A227" s="7" t="s">
        <v>43</v>
      </c>
      <c r="B227" t="s">
        <v>178</v>
      </c>
      <c r="C227" t="s">
        <v>172</v>
      </c>
      <c r="D227" t="s">
        <v>179</v>
      </c>
      <c r="E227" s="9" t="s">
        <v>97</v>
      </c>
      <c r="F227">
        <v>13</v>
      </c>
      <c r="G227" s="33"/>
      <c r="H227" s="33"/>
      <c r="I227" s="33"/>
      <c r="J227" s="33"/>
      <c r="K227" s="33"/>
      <c r="L227" s="47">
        <f t="shared" si="3"/>
        <v>26</v>
      </c>
    </row>
    <row r="228" spans="1:12" x14ac:dyDescent="0.25">
      <c r="A228" s="6" t="s">
        <v>94</v>
      </c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</row>
    <row r="229" spans="1:12" x14ac:dyDescent="0.25">
      <c r="A229" s="7" t="s">
        <v>45</v>
      </c>
      <c r="C229" t="s">
        <v>172</v>
      </c>
      <c r="D229" t="s">
        <v>179</v>
      </c>
      <c r="E229" s="9" t="s">
        <v>97</v>
      </c>
      <c r="F229">
        <v>7.9</v>
      </c>
      <c r="G229" s="33"/>
      <c r="H229" s="33"/>
      <c r="I229" s="33"/>
      <c r="J229" s="33"/>
      <c r="K229" s="33"/>
      <c r="L229" s="47">
        <f t="shared" si="3"/>
        <v>15.8</v>
      </c>
    </row>
    <row r="230" spans="1:12" x14ac:dyDescent="0.25">
      <c r="A230" s="7" t="s">
        <v>46</v>
      </c>
      <c r="C230" t="s">
        <v>172</v>
      </c>
      <c r="D230" t="s">
        <v>179</v>
      </c>
      <c r="E230" s="9" t="s">
        <v>97</v>
      </c>
      <c r="F230">
        <v>7.9</v>
      </c>
      <c r="G230" s="40"/>
      <c r="H230" s="40"/>
      <c r="I230" s="40"/>
      <c r="J230" s="40"/>
      <c r="K230" s="40"/>
      <c r="L230" s="47">
        <f t="shared" si="3"/>
        <v>15.8</v>
      </c>
    </row>
    <row r="231" spans="1:12" x14ac:dyDescent="0.25">
      <c r="A231" s="7" t="s">
        <v>47</v>
      </c>
      <c r="C231" t="s">
        <v>172</v>
      </c>
      <c r="D231" t="s">
        <v>179</v>
      </c>
      <c r="E231" s="9" t="s">
        <v>97</v>
      </c>
      <c r="F231">
        <v>7.9</v>
      </c>
      <c r="G231" s="33"/>
      <c r="H231" s="33"/>
      <c r="I231" s="33"/>
      <c r="J231" s="33"/>
      <c r="K231" s="33"/>
      <c r="L231" s="47">
        <f t="shared" si="3"/>
        <v>15.8</v>
      </c>
    </row>
    <row r="232" spans="1:12" x14ac:dyDescent="0.25">
      <c r="A232" s="7" t="s">
        <v>48</v>
      </c>
      <c r="C232" t="s">
        <v>172</v>
      </c>
      <c r="D232" t="s">
        <v>179</v>
      </c>
      <c r="E232" s="9" t="s">
        <v>97</v>
      </c>
      <c r="F232">
        <v>7.9</v>
      </c>
      <c r="G232" s="33"/>
      <c r="H232" s="33"/>
      <c r="I232" s="33"/>
      <c r="J232" s="33"/>
      <c r="K232" s="33"/>
      <c r="L232" s="47">
        <f t="shared" si="3"/>
        <v>15.8</v>
      </c>
    </row>
    <row r="233" spans="1:12" x14ac:dyDescent="0.25">
      <c r="A233" s="6" t="s">
        <v>53</v>
      </c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</row>
    <row r="234" spans="1:12" x14ac:dyDescent="0.25">
      <c r="A234" s="4"/>
      <c r="B234" t="s">
        <v>178</v>
      </c>
      <c r="C234" t="s">
        <v>172</v>
      </c>
      <c r="D234" t="s">
        <v>179</v>
      </c>
      <c r="E234" s="9" t="s">
        <v>97</v>
      </c>
      <c r="F234">
        <v>15.75</v>
      </c>
      <c r="G234" s="33"/>
      <c r="H234" s="33"/>
      <c r="I234" s="33"/>
      <c r="J234" s="33"/>
      <c r="K234" s="33"/>
      <c r="L234" s="47">
        <f t="shared" si="3"/>
        <v>31.5</v>
      </c>
    </row>
    <row r="235" spans="1:12" x14ac:dyDescent="0.25">
      <c r="A235" s="6" t="s">
        <v>63</v>
      </c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</row>
    <row r="236" spans="1:12" x14ac:dyDescent="0.25">
      <c r="A236" t="s">
        <v>13</v>
      </c>
      <c r="B236" t="s">
        <v>178</v>
      </c>
      <c r="C236" t="s">
        <v>172</v>
      </c>
      <c r="D236" t="s">
        <v>179</v>
      </c>
      <c r="E236" s="9" t="s">
        <v>97</v>
      </c>
      <c r="F236">
        <v>2.2999999999999998</v>
      </c>
      <c r="G236" s="33"/>
      <c r="H236" s="33"/>
      <c r="I236" s="33"/>
      <c r="J236" s="33"/>
      <c r="K236" s="33"/>
      <c r="L236" s="47">
        <f t="shared" si="3"/>
        <v>4.5999999999999996</v>
      </c>
    </row>
    <row r="237" spans="1:12" x14ac:dyDescent="0.25">
      <c r="A237" t="s">
        <v>64</v>
      </c>
      <c r="B237" t="s">
        <v>178</v>
      </c>
      <c r="C237" t="s">
        <v>172</v>
      </c>
      <c r="D237" t="s">
        <v>179</v>
      </c>
      <c r="E237" s="9" t="s">
        <v>97</v>
      </c>
      <c r="F237">
        <v>18.100000000000001</v>
      </c>
      <c r="G237" s="40"/>
      <c r="H237" s="40"/>
      <c r="I237" s="40"/>
      <c r="J237" s="40"/>
      <c r="K237" s="40"/>
      <c r="L237" s="47">
        <f t="shared" si="3"/>
        <v>36.200000000000003</v>
      </c>
    </row>
    <row r="238" spans="1:12" x14ac:dyDescent="0.25">
      <c r="A238" t="s">
        <v>160</v>
      </c>
      <c r="B238" t="s">
        <v>178</v>
      </c>
      <c r="C238" t="s">
        <v>172</v>
      </c>
      <c r="D238" t="s">
        <v>179</v>
      </c>
      <c r="E238" s="9" t="s">
        <v>97</v>
      </c>
      <c r="F238">
        <v>20</v>
      </c>
      <c r="G238" s="33"/>
      <c r="H238" s="33"/>
      <c r="I238" s="33"/>
      <c r="J238" s="33"/>
      <c r="K238" s="33"/>
      <c r="L238" s="47">
        <f t="shared" si="3"/>
        <v>40</v>
      </c>
    </row>
    <row r="239" spans="1:12" x14ac:dyDescent="0.25">
      <c r="A239" t="s">
        <v>65</v>
      </c>
      <c r="B239" t="s">
        <v>178</v>
      </c>
      <c r="C239" t="s">
        <v>172</v>
      </c>
      <c r="D239" t="s">
        <v>179</v>
      </c>
      <c r="E239" s="9" t="s">
        <v>97</v>
      </c>
      <c r="F239">
        <v>0.95</v>
      </c>
      <c r="G239" s="33"/>
      <c r="H239" s="33"/>
      <c r="I239" s="33"/>
      <c r="J239" s="33"/>
      <c r="K239" s="33"/>
      <c r="L239" s="47">
        <f t="shared" si="3"/>
        <v>1.9</v>
      </c>
    </row>
    <row r="240" spans="1:12" x14ac:dyDescent="0.25">
      <c r="A240" s="6" t="s">
        <v>66</v>
      </c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</row>
    <row r="241" spans="1:12" x14ac:dyDescent="0.25">
      <c r="A241" t="s">
        <v>66</v>
      </c>
      <c r="B241" t="s">
        <v>178</v>
      </c>
      <c r="C241" t="s">
        <v>172</v>
      </c>
      <c r="D241" t="s">
        <v>179</v>
      </c>
      <c r="E241" s="9" t="s">
        <v>97</v>
      </c>
      <c r="F241">
        <v>16.5</v>
      </c>
      <c r="G241" s="33"/>
      <c r="H241" s="33"/>
      <c r="I241" s="33"/>
      <c r="J241" s="33"/>
      <c r="K241" s="33"/>
      <c r="L241" s="47">
        <f t="shared" si="3"/>
        <v>33</v>
      </c>
    </row>
    <row r="242" spans="1:12" x14ac:dyDescent="0.25">
      <c r="A242" s="9" t="s">
        <v>139</v>
      </c>
      <c r="B242" s="9" t="s">
        <v>178</v>
      </c>
      <c r="C242" s="9" t="s">
        <v>172</v>
      </c>
      <c r="D242" s="9" t="s">
        <v>179</v>
      </c>
      <c r="E242" s="9" t="s">
        <v>97</v>
      </c>
      <c r="F242" s="9">
        <v>16.5</v>
      </c>
      <c r="G242" s="40"/>
      <c r="H242" s="40"/>
      <c r="I242" s="40"/>
      <c r="J242" s="40"/>
      <c r="K242" s="40"/>
      <c r="L242" s="47">
        <f t="shared" si="3"/>
        <v>33</v>
      </c>
    </row>
    <row r="243" spans="1:12" x14ac:dyDescent="0.25">
      <c r="A243" s="6" t="s">
        <v>68</v>
      </c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</row>
    <row r="244" spans="1:12" x14ac:dyDescent="0.25">
      <c r="C244" t="s">
        <v>172</v>
      </c>
      <c r="D244" t="s">
        <v>179</v>
      </c>
      <c r="E244" s="9" t="s">
        <v>97</v>
      </c>
      <c r="F244">
        <v>34.200000000000003</v>
      </c>
      <c r="G244" s="33"/>
      <c r="H244" s="33"/>
      <c r="I244" s="33"/>
      <c r="J244" s="33"/>
      <c r="K244" s="33"/>
      <c r="L244" s="47">
        <f t="shared" si="3"/>
        <v>68.400000000000006</v>
      </c>
    </row>
    <row r="245" spans="1:12" x14ac:dyDescent="0.25">
      <c r="A245" s="6" t="s">
        <v>74</v>
      </c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</row>
    <row r="246" spans="1:12" x14ac:dyDescent="0.25">
      <c r="A246" s="9" t="s">
        <v>142</v>
      </c>
      <c r="B246" s="9" t="s">
        <v>178</v>
      </c>
      <c r="C246" s="9" t="s">
        <v>172</v>
      </c>
      <c r="D246" s="9" t="s">
        <v>179</v>
      </c>
      <c r="E246" s="9" t="s">
        <v>97</v>
      </c>
      <c r="F246" s="9">
        <v>0</v>
      </c>
      <c r="G246" s="33"/>
      <c r="H246" s="33"/>
      <c r="I246" s="33"/>
      <c r="J246" s="33"/>
      <c r="K246" s="33"/>
      <c r="L246" s="47">
        <f t="shared" si="3"/>
        <v>0</v>
      </c>
    </row>
    <row r="247" spans="1:12" x14ac:dyDescent="0.25">
      <c r="A247" s="9" t="s">
        <v>143</v>
      </c>
      <c r="B247" s="9" t="s">
        <v>178</v>
      </c>
      <c r="C247" s="9" t="s">
        <v>172</v>
      </c>
      <c r="D247" s="9" t="s">
        <v>179</v>
      </c>
      <c r="E247" s="9" t="s">
        <v>97</v>
      </c>
      <c r="F247" s="9">
        <v>0</v>
      </c>
      <c r="G247" s="40"/>
      <c r="H247" s="40"/>
      <c r="I247" s="40"/>
      <c r="J247" s="40"/>
      <c r="K247" s="40"/>
      <c r="L247" s="47">
        <f t="shared" si="3"/>
        <v>0</v>
      </c>
    </row>
    <row r="248" spans="1:12" x14ac:dyDescent="0.25">
      <c r="A248" s="45" t="s">
        <v>144</v>
      </c>
      <c r="B248" s="46"/>
      <c r="C248" s="46"/>
      <c r="D248" s="46"/>
      <c r="E248" s="46"/>
      <c r="F248" s="46"/>
      <c r="G248" s="46"/>
      <c r="H248" s="46"/>
      <c r="I248" s="46"/>
      <c r="J248" s="46"/>
      <c r="K248" s="46"/>
      <c r="L248" s="46"/>
    </row>
    <row r="249" spans="1:12" x14ac:dyDescent="0.25">
      <c r="A249" s="9" t="s">
        <v>145</v>
      </c>
      <c r="B249" s="9" t="s">
        <v>178</v>
      </c>
      <c r="C249" s="9" t="s">
        <v>172</v>
      </c>
      <c r="D249" s="9" t="s">
        <v>179</v>
      </c>
      <c r="E249" s="9" t="s">
        <v>97</v>
      </c>
      <c r="F249" s="9">
        <v>0</v>
      </c>
      <c r="G249" s="33"/>
      <c r="H249" s="33"/>
      <c r="I249" s="33"/>
      <c r="J249" s="33"/>
      <c r="K249" s="33"/>
      <c r="L249" s="47">
        <f t="shared" si="3"/>
        <v>0</v>
      </c>
    </row>
    <row r="250" spans="1:12" x14ac:dyDescent="0.25">
      <c r="A250" s="6" t="s">
        <v>75</v>
      </c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</row>
    <row r="251" spans="1:12" x14ac:dyDescent="0.25">
      <c r="A251" t="s">
        <v>76</v>
      </c>
      <c r="B251" t="s">
        <v>178</v>
      </c>
      <c r="C251" t="s">
        <v>172</v>
      </c>
      <c r="D251" t="s">
        <v>179</v>
      </c>
      <c r="E251" s="9" t="s">
        <v>97</v>
      </c>
      <c r="F251">
        <v>1</v>
      </c>
      <c r="G251" s="33"/>
      <c r="H251" s="33"/>
      <c r="I251" s="33"/>
      <c r="J251" s="33"/>
      <c r="K251" s="33"/>
      <c r="L251" s="47">
        <f t="shared" si="3"/>
        <v>2</v>
      </c>
    </row>
    <row r="252" spans="1:12" x14ac:dyDescent="0.25">
      <c r="A252" s="34" t="s">
        <v>146</v>
      </c>
      <c r="B252" s="34" t="s">
        <v>178</v>
      </c>
      <c r="C252" s="34" t="s">
        <v>172</v>
      </c>
      <c r="D252" s="34" t="s">
        <v>179</v>
      </c>
      <c r="E252" s="34" t="s">
        <v>97</v>
      </c>
      <c r="F252" s="34">
        <v>1</v>
      </c>
      <c r="G252" s="40"/>
      <c r="H252" s="40"/>
      <c r="I252" s="40"/>
      <c r="J252" s="40"/>
      <c r="K252" s="40"/>
      <c r="L252" s="47">
        <f t="shared" si="3"/>
        <v>2</v>
      </c>
    </row>
    <row r="253" spans="1:12" x14ac:dyDescent="0.25">
      <c r="A253" s="6" t="s">
        <v>83</v>
      </c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</row>
    <row r="254" spans="1:12" x14ac:dyDescent="0.25">
      <c r="A254" t="s">
        <v>84</v>
      </c>
      <c r="C254" t="s">
        <v>172</v>
      </c>
      <c r="D254" t="s">
        <v>179</v>
      </c>
      <c r="E254" s="34" t="s">
        <v>97</v>
      </c>
      <c r="F254">
        <v>24.7</v>
      </c>
      <c r="G254" s="33"/>
      <c r="H254" s="33"/>
      <c r="I254" s="33"/>
      <c r="J254" s="33"/>
      <c r="K254" s="33"/>
      <c r="L254" s="47">
        <f t="shared" si="3"/>
        <v>49.4</v>
      </c>
    </row>
    <row r="255" spans="1:12" x14ac:dyDescent="0.25">
      <c r="A255" t="s">
        <v>85</v>
      </c>
      <c r="C255" t="s">
        <v>172</v>
      </c>
      <c r="D255" t="s">
        <v>179</v>
      </c>
      <c r="E255" s="34" t="s">
        <v>97</v>
      </c>
      <c r="F255">
        <v>8</v>
      </c>
      <c r="G255" s="40"/>
      <c r="H255" s="40"/>
      <c r="I255" s="40"/>
      <c r="J255" s="40"/>
      <c r="K255" s="40"/>
      <c r="L255" s="47">
        <f t="shared" si="3"/>
        <v>16</v>
      </c>
    </row>
    <row r="256" spans="1:12" x14ac:dyDescent="0.25">
      <c r="A256" t="s">
        <v>86</v>
      </c>
      <c r="C256" t="s">
        <v>172</v>
      </c>
      <c r="D256" t="s">
        <v>179</v>
      </c>
      <c r="E256" s="34" t="s">
        <v>97</v>
      </c>
      <c r="F256">
        <v>7.9</v>
      </c>
      <c r="G256" s="33"/>
      <c r="H256" s="33"/>
      <c r="I256" s="33"/>
      <c r="J256" s="33"/>
      <c r="K256" s="33"/>
      <c r="L256" s="47">
        <f t="shared" si="3"/>
        <v>15.8</v>
      </c>
    </row>
    <row r="257" spans="1:13" x14ac:dyDescent="0.25">
      <c r="A257" t="s">
        <v>87</v>
      </c>
      <c r="C257" t="s">
        <v>172</v>
      </c>
      <c r="D257" t="s">
        <v>179</v>
      </c>
      <c r="E257" s="34" t="s">
        <v>97</v>
      </c>
      <c r="F257">
        <v>4.7</v>
      </c>
      <c r="G257" s="33"/>
      <c r="H257" s="33"/>
      <c r="I257" s="33"/>
      <c r="J257" s="33"/>
      <c r="K257" s="33"/>
      <c r="L257" s="47">
        <f t="shared" si="3"/>
        <v>9.4</v>
      </c>
    </row>
    <row r="258" spans="1:13" x14ac:dyDescent="0.25">
      <c r="A258" s="6" t="s">
        <v>91</v>
      </c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</row>
    <row r="259" spans="1:13" x14ac:dyDescent="0.25">
      <c r="A259" s="34" t="s">
        <v>136</v>
      </c>
      <c r="B259" s="44"/>
      <c r="C259" s="34" t="s">
        <v>172</v>
      </c>
      <c r="D259" s="44" t="s">
        <v>179</v>
      </c>
      <c r="E259" s="44" t="s">
        <v>97</v>
      </c>
      <c r="F259" s="44">
        <v>34.200000000000003</v>
      </c>
      <c r="G259" s="33"/>
      <c r="H259" s="33"/>
      <c r="I259" s="33"/>
      <c r="J259" s="33"/>
      <c r="K259" s="33"/>
      <c r="L259" s="47">
        <f t="shared" si="3"/>
        <v>68.400000000000006</v>
      </c>
    </row>
    <row r="260" spans="1:13" x14ac:dyDescent="0.25">
      <c r="A260" s="34" t="s">
        <v>137</v>
      </c>
      <c r="B260" s="34"/>
      <c r="C260" s="34" t="s">
        <v>172</v>
      </c>
      <c r="D260" s="34" t="s">
        <v>179</v>
      </c>
      <c r="E260" s="44" t="s">
        <v>97</v>
      </c>
      <c r="F260" s="34">
        <v>5.3</v>
      </c>
      <c r="G260" s="40"/>
      <c r="H260" s="40"/>
      <c r="I260" s="40"/>
      <c r="J260" s="40"/>
      <c r="K260" s="40"/>
      <c r="L260" s="47">
        <f t="shared" si="3"/>
        <v>10.6</v>
      </c>
      <c r="M260" s="40"/>
    </row>
    <row r="261" spans="1:13" x14ac:dyDescent="0.25">
      <c r="A261" s="9" t="s">
        <v>148</v>
      </c>
      <c r="B261" s="9"/>
      <c r="C261" s="9" t="s">
        <v>172</v>
      </c>
      <c r="D261" s="9" t="s">
        <v>179</v>
      </c>
      <c r="E261" s="44" t="s">
        <v>97</v>
      </c>
      <c r="F261" s="9">
        <v>24</v>
      </c>
      <c r="G261" s="33"/>
      <c r="H261" s="33"/>
      <c r="I261" s="33"/>
      <c r="J261" s="33"/>
      <c r="K261" s="33"/>
      <c r="L261" s="47">
        <f t="shared" si="3"/>
        <v>48</v>
      </c>
    </row>
    <row r="262" spans="1:13" x14ac:dyDescent="0.25">
      <c r="A262" s="34"/>
      <c r="B262" s="34"/>
      <c r="C262" s="34"/>
      <c r="D262" s="34"/>
      <c r="E262" s="34"/>
      <c r="F262" s="34"/>
      <c r="G262" s="33"/>
      <c r="H262" s="33"/>
      <c r="I262" s="33"/>
      <c r="J262" s="33"/>
      <c r="K262" s="33"/>
      <c r="L262" s="34"/>
    </row>
    <row r="263" spans="1:13" x14ac:dyDescent="0.25">
      <c r="A263" s="34"/>
      <c r="B263" s="34"/>
      <c r="C263" s="34"/>
      <c r="D263" s="34"/>
      <c r="E263" s="34"/>
      <c r="F263" s="34"/>
      <c r="G263" s="33"/>
      <c r="H263" s="33"/>
      <c r="I263" s="33"/>
      <c r="J263" s="33"/>
      <c r="K263" s="33"/>
      <c r="L263" s="34"/>
    </row>
    <row r="264" spans="1:13" x14ac:dyDescent="0.25">
      <c r="A264" s="33"/>
      <c r="B264" s="33"/>
      <c r="C264" s="33"/>
      <c r="D264" s="33"/>
      <c r="E264" s="33"/>
      <c r="F264" s="33"/>
      <c r="G264" s="33"/>
      <c r="H264" s="33"/>
      <c r="I264" s="33"/>
      <c r="J264" s="33"/>
      <c r="K264" s="33"/>
      <c r="L264" s="33"/>
    </row>
    <row r="265" spans="1:13" x14ac:dyDescent="0.25">
      <c r="A265" s="33"/>
      <c r="B265" s="33"/>
      <c r="C265" s="33"/>
      <c r="D265" s="33"/>
      <c r="E265" s="33"/>
      <c r="F265" s="33"/>
      <c r="G265" s="33"/>
      <c r="H265" s="33"/>
      <c r="I265" s="33"/>
      <c r="J265" s="33"/>
      <c r="K265" s="33"/>
      <c r="L265" s="33"/>
    </row>
    <row r="266" spans="1:13" x14ac:dyDescent="0.25">
      <c r="A266" s="33"/>
      <c r="B266" s="33"/>
      <c r="C266" s="33"/>
      <c r="D266" s="33"/>
      <c r="E266" s="33"/>
      <c r="F266" s="33"/>
      <c r="G266" s="33"/>
      <c r="H266" s="33"/>
      <c r="I266" s="33"/>
      <c r="J266" s="33"/>
      <c r="K266" s="33"/>
      <c r="L266" s="33"/>
    </row>
    <row r="267" spans="1:13" x14ac:dyDescent="0.25">
      <c r="A267" s="33"/>
      <c r="B267" s="33"/>
      <c r="C267" s="33"/>
      <c r="D267" s="33"/>
      <c r="E267" s="33"/>
      <c r="F267" s="33"/>
      <c r="G267" s="33"/>
      <c r="H267" s="33"/>
      <c r="I267" s="33"/>
      <c r="J267" s="33"/>
      <c r="K267" s="33"/>
      <c r="L267" s="33"/>
    </row>
    <row r="268" spans="1:13" x14ac:dyDescent="0.25">
      <c r="A268" s="33"/>
      <c r="B268" s="33"/>
      <c r="C268" s="33"/>
      <c r="D268" s="33"/>
      <c r="E268" s="33"/>
      <c r="F268" s="33"/>
      <c r="G268" s="33"/>
      <c r="H268" s="33"/>
      <c r="I268" s="33"/>
      <c r="J268" s="33"/>
      <c r="K268" s="33"/>
      <c r="L268" s="33"/>
    </row>
    <row r="269" spans="1:13" x14ac:dyDescent="0.25">
      <c r="A269" s="33"/>
      <c r="B269" s="33"/>
      <c r="C269" s="33"/>
      <c r="D269" s="33"/>
      <c r="E269" s="33"/>
      <c r="F269" s="33"/>
      <c r="G269" s="33"/>
      <c r="H269" s="33"/>
      <c r="I269" s="33"/>
      <c r="J269" s="33"/>
      <c r="K269" s="33"/>
      <c r="L269" s="33"/>
    </row>
    <row r="270" spans="1:13" x14ac:dyDescent="0.25">
      <c r="A270" s="33"/>
      <c r="B270" s="33"/>
      <c r="C270" s="33"/>
      <c r="D270" s="33"/>
      <c r="E270" s="33"/>
      <c r="F270" s="33"/>
      <c r="G270" s="33"/>
      <c r="H270" s="33"/>
      <c r="I270" s="33"/>
      <c r="J270" s="33"/>
      <c r="K270" s="33"/>
      <c r="L270" s="33"/>
    </row>
    <row r="271" spans="1:13" x14ac:dyDescent="0.25">
      <c r="A271" s="33"/>
      <c r="B271" s="33"/>
      <c r="C271" s="33"/>
      <c r="D271" s="33"/>
      <c r="E271" s="33"/>
      <c r="F271" s="33"/>
      <c r="G271" s="33"/>
      <c r="H271" s="33"/>
      <c r="I271" s="33"/>
      <c r="J271" s="33"/>
      <c r="K271" s="33"/>
      <c r="L271" s="33"/>
    </row>
    <row r="272" spans="1:13" x14ac:dyDescent="0.25">
      <c r="A272" s="33"/>
      <c r="B272" s="33"/>
      <c r="C272" s="33"/>
      <c r="D272" s="33"/>
      <c r="E272" s="33"/>
      <c r="F272" s="33"/>
      <c r="G272" s="33"/>
      <c r="H272" s="33"/>
      <c r="I272" s="33"/>
      <c r="J272" s="33"/>
      <c r="K272" s="33"/>
      <c r="L272" s="33"/>
    </row>
    <row r="273" spans="1:12" x14ac:dyDescent="0.25">
      <c r="A273" s="33"/>
      <c r="B273" s="33"/>
      <c r="C273" s="33"/>
      <c r="D273" s="33"/>
      <c r="E273" s="33"/>
      <c r="F273" s="33"/>
      <c r="G273" s="33"/>
      <c r="H273" s="33"/>
      <c r="I273" s="33"/>
      <c r="J273" s="33"/>
      <c r="K273" s="33"/>
      <c r="L273" s="33"/>
    </row>
    <row r="274" spans="1:12" x14ac:dyDescent="0.25">
      <c r="A274" s="33"/>
      <c r="B274" s="33"/>
      <c r="C274" s="33"/>
      <c r="D274" s="33"/>
      <c r="E274" s="33"/>
      <c r="F274" s="33"/>
      <c r="G274" s="33"/>
      <c r="H274" s="33"/>
      <c r="I274" s="33"/>
      <c r="J274" s="33"/>
      <c r="K274" s="33"/>
      <c r="L274" s="33"/>
    </row>
    <row r="275" spans="1:12" x14ac:dyDescent="0.25">
      <c r="A275" s="33"/>
      <c r="B275" s="33"/>
      <c r="C275" s="33"/>
      <c r="D275" s="33"/>
      <c r="E275" s="33"/>
      <c r="F275" s="33"/>
      <c r="G275" s="33"/>
      <c r="H275" s="33"/>
      <c r="I275" s="33"/>
      <c r="J275" s="33"/>
      <c r="K275" s="33"/>
      <c r="L275" s="33"/>
    </row>
    <row r="276" spans="1:12" x14ac:dyDescent="0.25">
      <c r="A276" s="33"/>
      <c r="B276" s="33"/>
      <c r="C276" s="33"/>
      <c r="D276" s="33"/>
      <c r="E276" s="33"/>
      <c r="F276" s="33"/>
      <c r="G276" s="33"/>
      <c r="H276" s="33"/>
      <c r="I276" s="33"/>
      <c r="J276" s="33"/>
      <c r="K276" s="33"/>
      <c r="L276" s="33"/>
    </row>
    <row r="277" spans="1:12" x14ac:dyDescent="0.25">
      <c r="A277" s="33"/>
      <c r="B277" s="33"/>
      <c r="C277" s="33"/>
      <c r="D277" s="33"/>
      <c r="E277" s="33"/>
      <c r="F277" s="33"/>
      <c r="G277" s="33"/>
      <c r="H277" s="33"/>
      <c r="I277" s="33"/>
      <c r="J277" s="33"/>
      <c r="K277" s="33"/>
      <c r="L277" s="33"/>
    </row>
    <row r="278" spans="1:12" x14ac:dyDescent="0.25">
      <c r="A278" s="33"/>
      <c r="B278" s="33"/>
      <c r="C278" s="33"/>
      <c r="D278" s="33"/>
      <c r="E278" s="33"/>
      <c r="F278" s="33"/>
      <c r="G278" s="33"/>
      <c r="H278" s="33"/>
      <c r="I278" s="33"/>
      <c r="J278" s="33"/>
      <c r="K278" s="33"/>
      <c r="L278" s="33"/>
    </row>
    <row r="279" spans="1:12" x14ac:dyDescent="0.25">
      <c r="A279" s="33"/>
      <c r="B279" s="33"/>
      <c r="C279" s="33"/>
      <c r="D279" s="33"/>
      <c r="E279" s="33"/>
      <c r="F279" s="33"/>
      <c r="G279" s="33"/>
      <c r="H279" s="33"/>
      <c r="I279" s="33"/>
      <c r="J279" s="33"/>
      <c r="K279" s="33"/>
      <c r="L279" s="33"/>
    </row>
    <row r="280" spans="1:12" x14ac:dyDescent="0.25">
      <c r="A280" s="33"/>
      <c r="B280" s="33"/>
      <c r="C280" s="33"/>
      <c r="D280" s="33"/>
      <c r="E280" s="33"/>
      <c r="F280" s="33"/>
      <c r="G280" s="33"/>
      <c r="H280" s="33"/>
      <c r="I280" s="33"/>
      <c r="J280" s="33"/>
      <c r="K280" s="33"/>
      <c r="L280" s="33"/>
    </row>
    <row r="281" spans="1:12" x14ac:dyDescent="0.25">
      <c r="A281" s="33"/>
      <c r="B281" s="33"/>
      <c r="C281" s="33"/>
      <c r="D281" s="33"/>
      <c r="E281" s="33"/>
      <c r="F281" s="33"/>
      <c r="G281" s="33"/>
      <c r="H281" s="33"/>
      <c r="I281" s="33"/>
      <c r="J281" s="33"/>
      <c r="K281" s="33"/>
      <c r="L281" s="33"/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selection activeCell="E2" sqref="E2"/>
    </sheetView>
  </sheetViews>
  <sheetFormatPr defaultRowHeight="15" x14ac:dyDescent="0.25"/>
  <cols>
    <col min="1" max="1" width="21.85546875" bestFit="1" customWidth="1"/>
  </cols>
  <sheetData>
    <row r="1" spans="1:5" x14ac:dyDescent="0.25">
      <c r="A1" s="1" t="s">
        <v>127</v>
      </c>
      <c r="B1" s="1" t="s">
        <v>1</v>
      </c>
      <c r="C1" s="1" t="s">
        <v>2</v>
      </c>
      <c r="D1" s="1" t="s">
        <v>3</v>
      </c>
      <c r="E1" s="1" t="s">
        <v>9</v>
      </c>
    </row>
    <row r="2" spans="1:5" x14ac:dyDescent="0.25">
      <c r="B2" t="s">
        <v>111</v>
      </c>
      <c r="C2" t="s">
        <v>11</v>
      </c>
      <c r="D2">
        <v>1</v>
      </c>
      <c r="E2">
        <v>1</v>
      </c>
    </row>
    <row r="3" spans="1:5" x14ac:dyDescent="0.25">
      <c r="A3" t="s">
        <v>128</v>
      </c>
      <c r="B3" t="s">
        <v>111</v>
      </c>
      <c r="C3" t="s">
        <v>11</v>
      </c>
      <c r="D3">
        <v>1</v>
      </c>
    </row>
    <row r="4" spans="1:5" x14ac:dyDescent="0.25">
      <c r="A4" t="s">
        <v>129</v>
      </c>
      <c r="B4" t="s">
        <v>111</v>
      </c>
      <c r="C4" t="s">
        <v>11</v>
      </c>
      <c r="D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Views>
    <sheetView workbookViewId="0">
      <selection activeCell="N4" sqref="N4"/>
    </sheetView>
  </sheetViews>
  <sheetFormatPr defaultRowHeight="15" x14ac:dyDescent="0.25"/>
  <cols>
    <col min="1" max="1" width="8" bestFit="1" customWidth="1"/>
    <col min="2" max="2" width="14.28515625" bestFit="1" customWidth="1"/>
    <col min="3" max="3" width="8.7109375" bestFit="1" customWidth="1"/>
    <col min="4" max="4" width="8.7109375" customWidth="1"/>
    <col min="5" max="5" width="30.5703125" bestFit="1" customWidth="1"/>
    <col min="6" max="6" width="6" bestFit="1" customWidth="1"/>
    <col min="7" max="13" width="7" bestFit="1" customWidth="1"/>
  </cols>
  <sheetData>
    <row r="1" spans="1:13" x14ac:dyDescent="0.25">
      <c r="A1" s="1" t="s">
        <v>98</v>
      </c>
      <c r="B1" s="1" t="s">
        <v>126</v>
      </c>
      <c r="C1" s="1" t="s">
        <v>105</v>
      </c>
      <c r="D1" s="1" t="s">
        <v>164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t="s">
        <v>99</v>
      </c>
      <c r="E2" t="s">
        <v>100</v>
      </c>
      <c r="F2" t="s">
        <v>11</v>
      </c>
      <c r="G2">
        <v>1</v>
      </c>
      <c r="H2" s="3"/>
      <c r="I2" s="3"/>
      <c r="J2" s="3"/>
      <c r="K2" s="3"/>
      <c r="L2" s="3"/>
      <c r="M2" s="3">
        <v>1.19</v>
      </c>
    </row>
    <row r="4" spans="1:13" x14ac:dyDescent="0.25">
      <c r="A4" t="s">
        <v>99</v>
      </c>
      <c r="B4" t="s">
        <v>171</v>
      </c>
      <c r="E4" t="s">
        <v>125</v>
      </c>
      <c r="F4" t="s">
        <v>97</v>
      </c>
      <c r="G4" s="31">
        <v>14.798145933014354</v>
      </c>
      <c r="M4">
        <v>100</v>
      </c>
    </row>
    <row r="5" spans="1:13" x14ac:dyDescent="0.25">
      <c r="A5" t="s">
        <v>99</v>
      </c>
      <c r="B5" t="s">
        <v>172</v>
      </c>
      <c r="E5" t="s">
        <v>125</v>
      </c>
      <c r="F5" t="s">
        <v>97</v>
      </c>
      <c r="G5" s="31">
        <v>65.534646274777856</v>
      </c>
      <c r="M5">
        <v>100</v>
      </c>
    </row>
    <row r="6" spans="1:13" x14ac:dyDescent="0.25">
      <c r="A6" t="s">
        <v>124</v>
      </c>
      <c r="B6" t="s">
        <v>171</v>
      </c>
      <c r="E6" t="s">
        <v>125</v>
      </c>
      <c r="F6" t="s">
        <v>97</v>
      </c>
      <c r="G6" s="31">
        <v>9.2748685002842954</v>
      </c>
      <c r="M6">
        <v>100</v>
      </c>
    </row>
    <row r="7" spans="1:13" x14ac:dyDescent="0.25">
      <c r="A7" t="s">
        <v>124</v>
      </c>
      <c r="B7" t="s">
        <v>172</v>
      </c>
      <c r="E7" t="s">
        <v>125</v>
      </c>
      <c r="F7" t="s">
        <v>97</v>
      </c>
      <c r="G7" s="31">
        <v>35.940115438601644</v>
      </c>
      <c r="M7">
        <v>100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Views>
    <sheetView workbookViewId="0">
      <selection activeCell="J4" sqref="J4"/>
    </sheetView>
  </sheetViews>
  <sheetFormatPr defaultRowHeight="15" x14ac:dyDescent="0.25"/>
  <cols>
    <col min="1" max="1" width="12.7109375" bestFit="1" customWidth="1"/>
    <col min="2" max="2" width="24" bestFit="1" customWidth="1"/>
    <col min="3" max="3" width="6" bestFit="1" customWidth="1"/>
    <col min="4" max="10" width="7" bestFit="1" customWidth="1"/>
  </cols>
  <sheetData>
    <row r="1" spans="1:10" x14ac:dyDescent="0.25">
      <c r="A1" s="1" t="s">
        <v>105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102</v>
      </c>
      <c r="B2" t="s">
        <v>103</v>
      </c>
      <c r="C2" t="s">
        <v>11</v>
      </c>
      <c r="D2">
        <v>1</v>
      </c>
      <c r="F2">
        <v>1</v>
      </c>
      <c r="H2" s="3">
        <v>1</v>
      </c>
      <c r="I2" s="3"/>
      <c r="J2" s="3">
        <v>1</v>
      </c>
    </row>
    <row r="3" spans="1:10" x14ac:dyDescent="0.25">
      <c r="A3" t="s">
        <v>104</v>
      </c>
      <c r="B3" t="s">
        <v>103</v>
      </c>
      <c r="C3" t="s">
        <v>11</v>
      </c>
      <c r="D3">
        <v>1</v>
      </c>
      <c r="F3">
        <v>1</v>
      </c>
      <c r="H3" s="3">
        <v>1</v>
      </c>
      <c r="I3" s="3"/>
      <c r="J3" s="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G4" sqref="G4"/>
    </sheetView>
  </sheetViews>
  <sheetFormatPr defaultRowHeight="15" x14ac:dyDescent="0.25"/>
  <cols>
    <col min="1" max="1" width="9.28515625" bestFit="1" customWidth="1"/>
    <col min="2" max="2" width="8" bestFit="1" customWidth="1"/>
    <col min="3" max="3" width="8.7109375" bestFit="1" customWidth="1"/>
    <col min="4" max="4" width="11" bestFit="1" customWidth="1"/>
    <col min="5" max="5" width="6" bestFit="1" customWidth="1"/>
    <col min="6" max="7" width="7" bestFit="1" customWidth="1"/>
  </cols>
  <sheetData>
    <row r="1" spans="1:7" x14ac:dyDescent="0.25">
      <c r="A1" s="1" t="s">
        <v>122</v>
      </c>
      <c r="B1" s="1" t="s">
        <v>98</v>
      </c>
      <c r="C1" s="1" t="s">
        <v>105</v>
      </c>
      <c r="D1" s="1" t="s">
        <v>1</v>
      </c>
      <c r="E1" s="1" t="s">
        <v>2</v>
      </c>
      <c r="F1" s="1" t="s">
        <v>3</v>
      </c>
      <c r="G1" s="1" t="s">
        <v>9</v>
      </c>
    </row>
    <row r="2" spans="1:7" x14ac:dyDescent="0.25">
      <c r="A2" t="s">
        <v>134</v>
      </c>
      <c r="B2" t="s">
        <v>99</v>
      </c>
      <c r="C2" t="s">
        <v>135</v>
      </c>
      <c r="D2" t="s">
        <v>121</v>
      </c>
      <c r="E2" t="s">
        <v>11</v>
      </c>
      <c r="F2" s="31">
        <v>1</v>
      </c>
      <c r="G2" s="31">
        <v>1</v>
      </c>
    </row>
    <row r="3" spans="1:7" x14ac:dyDescent="0.25">
      <c r="A3" t="s">
        <v>134</v>
      </c>
      <c r="C3" t="s">
        <v>123</v>
      </c>
      <c r="D3" t="s">
        <v>121</v>
      </c>
      <c r="E3" t="s">
        <v>11</v>
      </c>
      <c r="F3" s="31">
        <v>1</v>
      </c>
      <c r="G3" s="31">
        <v>1</v>
      </c>
    </row>
    <row r="4" spans="1:7" x14ac:dyDescent="0.25">
      <c r="F4" s="31"/>
      <c r="G4" s="31"/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>
      <selection activeCell="M10" sqref="M10"/>
    </sheetView>
  </sheetViews>
  <sheetFormatPr defaultRowHeight="15" x14ac:dyDescent="0.25"/>
  <sheetData>
    <row r="1" spans="1:17" x14ac:dyDescent="0.25">
      <c r="A1" s="41" t="s">
        <v>98</v>
      </c>
      <c r="B1" s="41" t="s">
        <v>126</v>
      </c>
      <c r="C1" s="41" t="s">
        <v>165</v>
      </c>
      <c r="D1" s="41" t="s">
        <v>105</v>
      </c>
      <c r="E1" s="41" t="s">
        <v>164</v>
      </c>
      <c r="F1" s="41" t="s">
        <v>1</v>
      </c>
      <c r="G1" s="4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8</v>
      </c>
      <c r="N1" s="1" t="s">
        <v>9</v>
      </c>
    </row>
    <row r="2" spans="1:17" x14ac:dyDescent="0.25">
      <c r="C2" s="42" t="s">
        <v>166</v>
      </c>
      <c r="F2" s="42" t="s">
        <v>170</v>
      </c>
      <c r="G2" t="s">
        <v>11</v>
      </c>
      <c r="H2">
        <v>1</v>
      </c>
      <c r="N2">
        <v>1</v>
      </c>
      <c r="Q2">
        <v>2</v>
      </c>
    </row>
    <row r="3" spans="1:17" x14ac:dyDescent="0.25">
      <c r="C3" s="42" t="s">
        <v>167</v>
      </c>
      <c r="F3" s="42" t="s">
        <v>170</v>
      </c>
      <c r="G3" t="s">
        <v>11</v>
      </c>
      <c r="H3">
        <v>1</v>
      </c>
      <c r="N3">
        <v>1</v>
      </c>
      <c r="Q3">
        <v>0.5</v>
      </c>
    </row>
    <row r="4" spans="1:17" x14ac:dyDescent="0.25">
      <c r="C4" s="42" t="s">
        <v>168</v>
      </c>
      <c r="F4" s="42" t="s">
        <v>170</v>
      </c>
      <c r="G4" t="s">
        <v>11</v>
      </c>
      <c r="H4">
        <v>1</v>
      </c>
      <c r="N4">
        <v>1</v>
      </c>
      <c r="Q4">
        <v>2</v>
      </c>
    </row>
    <row r="5" spans="1:17" x14ac:dyDescent="0.25">
      <c r="C5" s="42" t="s">
        <v>169</v>
      </c>
      <c r="F5" s="42" t="s">
        <v>170</v>
      </c>
      <c r="G5" t="s">
        <v>11</v>
      </c>
      <c r="H5">
        <v>1</v>
      </c>
      <c r="N5">
        <v>1</v>
      </c>
      <c r="Q5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workbookViewId="0">
      <selection activeCell="F5" sqref="F5"/>
    </sheetView>
  </sheetViews>
  <sheetFormatPr defaultRowHeight="15" x14ac:dyDescent="0.25"/>
  <cols>
    <col min="1" max="1" width="15" bestFit="1" customWidth="1"/>
    <col min="2" max="2" width="15.85546875" bestFit="1" customWidth="1"/>
    <col min="3" max="3" width="20.140625" bestFit="1" customWidth="1"/>
    <col min="4" max="4" width="6" bestFit="1" customWidth="1"/>
    <col min="5" max="6" width="7" bestFit="1" customWidth="1"/>
  </cols>
  <sheetData>
    <row r="1" spans="1:9" x14ac:dyDescent="0.25">
      <c r="A1" s="1" t="s">
        <v>117</v>
      </c>
      <c r="B1" s="1" t="s">
        <v>118</v>
      </c>
      <c r="C1" s="1" t="s">
        <v>1</v>
      </c>
      <c r="D1" s="1" t="s">
        <v>2</v>
      </c>
      <c r="E1" s="1" t="s">
        <v>3</v>
      </c>
      <c r="F1" s="1" t="s">
        <v>9</v>
      </c>
      <c r="I1" s="1"/>
    </row>
    <row r="2" spans="1:9" x14ac:dyDescent="0.25">
      <c r="A2" t="s">
        <v>115</v>
      </c>
      <c r="B2" s="18" t="s">
        <v>130</v>
      </c>
      <c r="C2" s="29" t="s">
        <v>116</v>
      </c>
      <c r="D2" t="s">
        <v>97</v>
      </c>
      <c r="E2" s="32">
        <f>(241822577+237201100)/(241822577+237201100+5856000+8368914)*100</f>
        <v>97.116076100458642</v>
      </c>
      <c r="F2" s="31">
        <v>0</v>
      </c>
    </row>
    <row r="3" spans="1:9" x14ac:dyDescent="0.25">
      <c r="A3" t="s">
        <v>115</v>
      </c>
      <c r="B3" s="18" t="s">
        <v>131</v>
      </c>
      <c r="C3" s="29" t="s">
        <v>116</v>
      </c>
      <c r="D3" t="s">
        <v>97</v>
      </c>
      <c r="E3" s="32">
        <f>100-E2</f>
        <v>2.8839238995413581</v>
      </c>
      <c r="F3" s="31">
        <v>50</v>
      </c>
    </row>
    <row r="4" spans="1:9" x14ac:dyDescent="0.25">
      <c r="A4" t="s">
        <v>115</v>
      </c>
      <c r="B4" s="18" t="s">
        <v>132</v>
      </c>
      <c r="C4" s="29" t="s">
        <v>116</v>
      </c>
      <c r="D4" t="s">
        <v>97</v>
      </c>
      <c r="E4" s="32">
        <v>0</v>
      </c>
      <c r="F4" s="31">
        <v>0</v>
      </c>
    </row>
    <row r="5" spans="1:9" x14ac:dyDescent="0.25">
      <c r="A5" t="s">
        <v>115</v>
      </c>
      <c r="B5" s="29" t="s">
        <v>133</v>
      </c>
      <c r="C5" s="29" t="s">
        <v>116</v>
      </c>
      <c r="D5" t="s">
        <v>97</v>
      </c>
      <c r="E5" s="32">
        <v>0</v>
      </c>
      <c r="F5" s="31">
        <v>50</v>
      </c>
    </row>
    <row r="6" spans="1:9" x14ac:dyDescent="0.25">
      <c r="E6" s="30"/>
      <c r="F6" s="30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V18"/>
  <sheetViews>
    <sheetView workbookViewId="0">
      <selection activeCell="O30" sqref="O30"/>
    </sheetView>
  </sheetViews>
  <sheetFormatPr defaultRowHeight="15" x14ac:dyDescent="0.25"/>
  <sheetData>
    <row r="2" spans="2:22" x14ac:dyDescent="0.25">
      <c r="B2" s="27" t="s">
        <v>107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28"/>
      <c r="T2" s="28"/>
      <c r="U2" s="28"/>
      <c r="V2" s="28"/>
    </row>
    <row r="3" spans="2:22" ht="15.75" thickBot="1" x14ac:dyDescent="0.3"/>
    <row r="4" spans="2:22" x14ac:dyDescent="0.25">
      <c r="B4" s="14" t="s">
        <v>109</v>
      </c>
      <c r="C4" s="15"/>
      <c r="D4" s="15"/>
      <c r="E4" s="15"/>
      <c r="F4" s="15"/>
      <c r="G4" s="15"/>
      <c r="H4" s="16"/>
      <c r="J4" s="14" t="s">
        <v>108</v>
      </c>
      <c r="K4" s="15"/>
      <c r="L4" s="15"/>
      <c r="M4" s="15"/>
      <c r="N4" s="15"/>
      <c r="O4" s="15"/>
      <c r="P4" s="16"/>
    </row>
    <row r="5" spans="2:22" x14ac:dyDescent="0.25">
      <c r="B5" s="17"/>
      <c r="C5" s="18"/>
      <c r="D5" s="18"/>
      <c r="E5" s="18"/>
      <c r="F5" s="18"/>
      <c r="G5" s="18"/>
      <c r="H5" s="19"/>
      <c r="J5" s="17"/>
      <c r="K5" s="18"/>
      <c r="L5" s="18"/>
      <c r="M5" s="18"/>
      <c r="N5" s="18"/>
      <c r="O5" s="18"/>
      <c r="P5" s="19"/>
    </row>
    <row r="6" spans="2:22" x14ac:dyDescent="0.25">
      <c r="B6" s="17"/>
      <c r="C6" s="18" t="s">
        <v>106</v>
      </c>
      <c r="D6" s="18"/>
      <c r="E6" s="18"/>
      <c r="F6" s="18"/>
      <c r="G6" s="18"/>
      <c r="H6" s="19"/>
      <c r="J6" s="17"/>
      <c r="K6" s="18" t="s">
        <v>110</v>
      </c>
      <c r="L6" s="18"/>
      <c r="M6" s="18"/>
      <c r="N6" s="18"/>
      <c r="O6" s="18"/>
      <c r="P6" s="19"/>
    </row>
    <row r="7" spans="2:22" x14ac:dyDescent="0.25">
      <c r="B7" s="17">
        <v>2012</v>
      </c>
      <c r="C7" s="18">
        <v>26.2</v>
      </c>
      <c r="D7" s="18"/>
      <c r="E7" s="18"/>
      <c r="F7" s="18"/>
      <c r="G7" s="18"/>
      <c r="H7" s="19"/>
      <c r="J7" s="17">
        <v>2012</v>
      </c>
      <c r="K7" s="18">
        <v>1.7</v>
      </c>
      <c r="L7" s="18"/>
      <c r="M7" s="18"/>
      <c r="N7" s="18"/>
      <c r="O7" s="18"/>
      <c r="P7" s="19"/>
    </row>
    <row r="8" spans="2:22" x14ac:dyDescent="0.25">
      <c r="B8" s="17">
        <v>2013</v>
      </c>
      <c r="C8" s="18">
        <v>26.1</v>
      </c>
      <c r="D8" s="20"/>
      <c r="E8" s="18"/>
      <c r="F8" s="18"/>
      <c r="G8" s="18"/>
      <c r="H8" s="19"/>
      <c r="J8" s="17">
        <v>2013</v>
      </c>
      <c r="K8" s="18">
        <v>1.6</v>
      </c>
      <c r="L8" s="18"/>
      <c r="M8" s="18"/>
      <c r="N8" s="18"/>
      <c r="O8" s="18"/>
      <c r="P8" s="19"/>
    </row>
    <row r="9" spans="2:22" x14ac:dyDescent="0.25">
      <c r="B9" s="17">
        <v>2014</v>
      </c>
      <c r="C9" s="18">
        <v>26.7</v>
      </c>
      <c r="D9" s="20"/>
      <c r="E9" s="18"/>
      <c r="F9" s="18"/>
      <c r="G9" s="18"/>
      <c r="H9" s="19"/>
      <c r="J9" s="17">
        <v>2014</v>
      </c>
      <c r="K9" s="18">
        <v>1.6</v>
      </c>
      <c r="L9" s="18"/>
      <c r="M9" s="18"/>
      <c r="N9" s="18"/>
      <c r="O9" s="18"/>
      <c r="P9" s="19"/>
    </row>
    <row r="10" spans="2:22" x14ac:dyDescent="0.25">
      <c r="B10" s="17">
        <v>2015</v>
      </c>
      <c r="C10" s="18">
        <v>26.6</v>
      </c>
      <c r="D10" s="20"/>
      <c r="E10" s="18"/>
      <c r="F10" s="18"/>
      <c r="G10" s="18"/>
      <c r="H10" s="19"/>
      <c r="J10" s="17">
        <v>2015</v>
      </c>
      <c r="K10" s="18">
        <v>1.5</v>
      </c>
      <c r="L10" s="18"/>
      <c r="M10" s="18"/>
      <c r="N10" s="18"/>
      <c r="O10" s="18"/>
      <c r="P10" s="19"/>
    </row>
    <row r="11" spans="2:22" x14ac:dyDescent="0.25">
      <c r="B11" s="17">
        <v>2016</v>
      </c>
      <c r="C11" s="18">
        <v>27</v>
      </c>
      <c r="D11" s="20"/>
      <c r="E11" s="18"/>
      <c r="F11" s="18"/>
      <c r="G11" s="18"/>
      <c r="H11" s="19"/>
      <c r="J11" s="17">
        <v>2016</v>
      </c>
      <c r="K11" s="18">
        <v>1.7</v>
      </c>
      <c r="L11" s="18"/>
      <c r="M11" s="18"/>
      <c r="N11" s="18"/>
      <c r="O11" s="18"/>
      <c r="P11" s="19"/>
    </row>
    <row r="12" spans="2:22" x14ac:dyDescent="0.25">
      <c r="B12" s="17">
        <v>2017</v>
      </c>
      <c r="C12" s="18">
        <v>25.7</v>
      </c>
      <c r="D12" s="20"/>
      <c r="E12" s="18"/>
      <c r="F12" s="18"/>
      <c r="G12" s="18"/>
      <c r="H12" s="19"/>
      <c r="J12" s="17">
        <v>2017</v>
      </c>
      <c r="K12" s="18">
        <v>1.6</v>
      </c>
      <c r="L12" s="18"/>
      <c r="M12" s="18"/>
      <c r="N12" s="18"/>
      <c r="O12" s="18"/>
      <c r="P12" s="19"/>
    </row>
    <row r="13" spans="2:22" x14ac:dyDescent="0.25">
      <c r="B13" s="17">
        <v>2018</v>
      </c>
      <c r="C13" s="18">
        <v>25.4</v>
      </c>
      <c r="D13" s="20"/>
      <c r="E13" s="18"/>
      <c r="F13" s="18"/>
      <c r="G13" s="18"/>
      <c r="H13" s="19"/>
      <c r="J13" s="17">
        <v>2018</v>
      </c>
      <c r="K13" s="18">
        <v>1.8</v>
      </c>
      <c r="L13" s="18"/>
      <c r="M13" s="18"/>
      <c r="N13" s="18"/>
      <c r="O13" s="18"/>
      <c r="P13" s="19"/>
    </row>
    <row r="14" spans="2:22" x14ac:dyDescent="0.25">
      <c r="B14" s="17">
        <v>2019</v>
      </c>
      <c r="C14" s="18">
        <v>25.8</v>
      </c>
      <c r="D14" s="20"/>
      <c r="E14" s="18"/>
      <c r="F14" s="18"/>
      <c r="G14" s="18"/>
      <c r="H14" s="19"/>
      <c r="J14" s="17">
        <v>2019</v>
      </c>
      <c r="K14" s="18">
        <v>1.7</v>
      </c>
      <c r="L14" s="18"/>
      <c r="M14" s="18"/>
      <c r="N14" s="18"/>
      <c r="O14" s="18"/>
      <c r="P14" s="19"/>
    </row>
    <row r="15" spans="2:22" x14ac:dyDescent="0.25">
      <c r="B15" s="17">
        <v>2020</v>
      </c>
      <c r="C15" s="18">
        <v>25.3</v>
      </c>
      <c r="D15" s="20"/>
      <c r="E15" s="18"/>
      <c r="F15" s="18"/>
      <c r="G15" s="18"/>
      <c r="H15" s="19"/>
      <c r="J15" s="17">
        <v>2020</v>
      </c>
      <c r="K15" s="18">
        <v>1.7</v>
      </c>
      <c r="L15" s="18"/>
      <c r="M15" s="18"/>
      <c r="N15" s="18"/>
      <c r="O15" s="18"/>
      <c r="P15" s="19"/>
    </row>
    <row r="16" spans="2:22" x14ac:dyDescent="0.25">
      <c r="B16" s="17">
        <v>2021</v>
      </c>
      <c r="C16" s="18">
        <v>24.8</v>
      </c>
      <c r="D16" s="20"/>
      <c r="E16" s="18"/>
      <c r="F16" s="18"/>
      <c r="G16" s="18"/>
      <c r="H16" s="19"/>
      <c r="J16" s="17">
        <v>2021</v>
      </c>
      <c r="K16" s="18">
        <v>1.7</v>
      </c>
      <c r="L16" s="18"/>
      <c r="M16" s="18"/>
      <c r="N16" s="18"/>
      <c r="O16" s="18"/>
      <c r="P16" s="19"/>
    </row>
    <row r="17" spans="2:16" x14ac:dyDescent="0.25">
      <c r="B17" s="17">
        <v>2022</v>
      </c>
      <c r="C17" s="18">
        <v>24.6</v>
      </c>
      <c r="D17" s="20"/>
      <c r="E17" s="24">
        <f>(C17-C7)/C7</f>
        <v>-6.1068702290076257E-2</v>
      </c>
      <c r="F17" s="25" t="s">
        <v>101</v>
      </c>
      <c r="G17" s="26"/>
      <c r="H17" s="19"/>
      <c r="J17" s="17">
        <v>2022</v>
      </c>
      <c r="K17" s="18">
        <v>1.7</v>
      </c>
      <c r="L17" s="18"/>
      <c r="M17" s="18"/>
      <c r="N17" s="18"/>
      <c r="O17" s="18"/>
      <c r="P17" s="19"/>
    </row>
    <row r="18" spans="2:16" ht="15.75" thickBot="1" x14ac:dyDescent="0.3">
      <c r="B18" s="21"/>
      <c r="C18" s="22"/>
      <c r="D18" s="22"/>
      <c r="E18" s="22"/>
      <c r="F18" s="22"/>
      <c r="G18" s="22"/>
      <c r="H18" s="23"/>
      <c r="J18" s="21"/>
      <c r="K18" s="22"/>
      <c r="L18" s="22"/>
      <c r="M18" s="22"/>
      <c r="N18" s="22"/>
      <c r="O18" s="22"/>
      <c r="P18" s="23"/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Regions</vt:lpstr>
      <vt:lpstr>Regions-x0_crops</vt:lpstr>
      <vt:lpstr>DemandAndConversions</vt:lpstr>
      <vt:lpstr>CropProduction</vt:lpstr>
      <vt:lpstr>CattleHerd</vt:lpstr>
      <vt:lpstr>PigHerd</vt:lpstr>
      <vt:lpstr>FeedMgmt</vt:lpstr>
      <vt:lpstr>SheepHerd</vt:lpstr>
      <vt:lpstr>MachineryAndEnergyMgmt</vt:lpstr>
      <vt:lpstr>motivations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2024-03-05T13:04:04Z</dcterms:modified>
</cp:coreProperties>
</file>