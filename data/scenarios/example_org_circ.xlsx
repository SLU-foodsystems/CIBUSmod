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46" activeTab="1"/>
  </bookViews>
  <sheets>
    <sheet name="DemandAndConversions" sheetId="1" r:id="rId1"/>
    <sheet name="CropProduction" sheetId="10" r:id="rId2"/>
    <sheet name="CattleHerd" sheetId="2" r:id="rId3"/>
    <sheet name="PigHerd" sheetId="7" r:id="rId4"/>
    <sheet name="BroilerHerd" sheetId="8" r:id="rId5"/>
    <sheet name="LayerHerd" sheetId="9" r:id="rId6"/>
    <sheet name="WasteAndCircularity" sheetId="3" r:id="rId7"/>
    <sheet name="PlantNutrientMgmt" sheetId="4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7" i="10" l="1"/>
  <c r="K67" i="10"/>
  <c r="K60" i="10" s="1"/>
  <c r="L67" i="10"/>
  <c r="L51" i="10" s="1"/>
  <c r="I67" i="10"/>
  <c r="J65" i="10"/>
  <c r="I65" i="10"/>
  <c r="L64" i="10"/>
  <c r="K64" i="10"/>
  <c r="J64" i="10"/>
  <c r="I64" i="10"/>
  <c r="L63" i="10"/>
  <c r="K63" i="10"/>
  <c r="J63" i="10"/>
  <c r="I63" i="10"/>
  <c r="L62" i="10"/>
  <c r="K62" i="10"/>
  <c r="J62" i="10"/>
  <c r="I62" i="10"/>
  <c r="J61" i="10"/>
  <c r="I61" i="10"/>
  <c r="L60" i="10"/>
  <c r="J60" i="10"/>
  <c r="I60" i="10"/>
  <c r="L59" i="10"/>
  <c r="K59" i="10"/>
  <c r="J59" i="10"/>
  <c r="I59" i="10"/>
  <c r="L58" i="10"/>
  <c r="K58" i="10"/>
  <c r="J58" i="10"/>
  <c r="I58" i="10"/>
  <c r="J57" i="10"/>
  <c r="I57" i="10"/>
  <c r="L55" i="10"/>
  <c r="K55" i="10"/>
  <c r="J55" i="10"/>
  <c r="I55" i="10"/>
  <c r="L54" i="10"/>
  <c r="K54" i="10"/>
  <c r="J54" i="10"/>
  <c r="I54" i="10"/>
  <c r="L53" i="10"/>
  <c r="K53" i="10"/>
  <c r="J53" i="10"/>
  <c r="I53" i="10"/>
  <c r="J52" i="10"/>
  <c r="I52" i="10"/>
  <c r="K51" i="10"/>
  <c r="J51" i="10"/>
  <c r="I51" i="10"/>
  <c r="L50" i="10"/>
  <c r="K50" i="10"/>
  <c r="J50" i="10"/>
  <c r="I50" i="10"/>
  <c r="L49" i="10"/>
  <c r="K49" i="10"/>
  <c r="J49" i="10"/>
  <c r="I49" i="10"/>
  <c r="J48" i="10"/>
  <c r="I48" i="10"/>
  <c r="L47" i="10"/>
  <c r="K47" i="10"/>
  <c r="J47" i="10"/>
  <c r="I47" i="10"/>
  <c r="L46" i="10"/>
  <c r="K46" i="10"/>
  <c r="J46" i="10"/>
  <c r="I46" i="10"/>
  <c r="L44" i="10"/>
  <c r="K44" i="10"/>
  <c r="J44" i="10"/>
  <c r="I44" i="10"/>
  <c r="K65" i="10"/>
  <c r="L65" i="10"/>
  <c r="K48" i="10" l="1"/>
  <c r="K52" i="10"/>
  <c r="K57" i="10"/>
  <c r="K61" i="10"/>
  <c r="L48" i="10"/>
  <c r="L52" i="10"/>
  <c r="L57" i="10"/>
  <c r="L61" i="10"/>
  <c r="I76" i="1"/>
  <c r="I82" i="1"/>
  <c r="I81" i="1"/>
  <c r="I80" i="1"/>
  <c r="I78" i="1"/>
  <c r="I74" i="1"/>
  <c r="I73" i="1"/>
  <c r="I71" i="1"/>
  <c r="I70" i="1"/>
  <c r="I69" i="1"/>
  <c r="I68" i="1"/>
  <c r="I67" i="1"/>
  <c r="I66" i="1"/>
  <c r="I64" i="1"/>
  <c r="I62" i="1"/>
  <c r="I61" i="1"/>
  <c r="I60" i="1"/>
  <c r="I59" i="1"/>
  <c r="I57" i="1"/>
  <c r="I56" i="1"/>
  <c r="I55" i="1"/>
  <c r="I54" i="1"/>
  <c r="I53" i="1"/>
  <c r="I52" i="1"/>
  <c r="I51" i="1"/>
  <c r="I49" i="1"/>
  <c r="I48" i="1"/>
  <c r="I47" i="1"/>
  <c r="I37" i="1"/>
  <c r="I38" i="1"/>
  <c r="I39" i="1"/>
  <c r="I40" i="1"/>
  <c r="I41" i="1"/>
  <c r="I42" i="1"/>
  <c r="I43" i="1"/>
  <c r="I44" i="1"/>
  <c r="I45" i="1"/>
  <c r="I36" i="1"/>
  <c r="I31" i="1" l="1"/>
  <c r="I30" i="1"/>
  <c r="I29" i="1"/>
  <c r="I28" i="1"/>
  <c r="I16" i="2"/>
  <c r="I15" i="2"/>
  <c r="I14" i="2"/>
  <c r="I13" i="2"/>
  <c r="I12" i="2"/>
  <c r="I11" i="2"/>
  <c r="I18" i="1" l="1"/>
  <c r="I16" i="1"/>
  <c r="I17" i="1" l="1"/>
  <c r="K18" i="1" s="1"/>
</calcChain>
</file>

<file path=xl/sharedStrings.xml><?xml version="1.0" encoding="utf-8"?>
<sst xmlns="http://schemas.openxmlformats.org/spreadsheetml/2006/main" count="801" uniqueCount="158">
  <si>
    <t>val_is</t>
  </si>
  <si>
    <t>parameter</t>
  </si>
  <si>
    <t>f_breed</t>
  </si>
  <si>
    <t>f_prod_system</t>
  </si>
  <si>
    <t>dairy</t>
  </si>
  <si>
    <t>beef</t>
  </si>
  <si>
    <t>conventional</t>
  </si>
  <si>
    <t>y_2020</t>
  </si>
  <si>
    <t>organic</t>
  </si>
  <si>
    <t>share_in_prod_system</t>
  </si>
  <si>
    <t>rel</t>
  </si>
  <si>
    <t>Animal redistribution</t>
  </si>
  <si>
    <t>redist_male_calves</t>
  </si>
  <si>
    <t>redist_female_calves</t>
  </si>
  <si>
    <t>f_from_ps</t>
  </si>
  <si>
    <t>f_to_ps</t>
  </si>
  <si>
    <t>y_2050</t>
  </si>
  <si>
    <t>Pig meat and products</t>
  </si>
  <si>
    <t>Poultry meat and products</t>
  </si>
  <si>
    <t>f_food</t>
  </si>
  <si>
    <t>non_food_demand</t>
  </si>
  <si>
    <t>Ley, biogas feedstock</t>
  </si>
  <si>
    <t>f_food_group</t>
  </si>
  <si>
    <t>non-food</t>
  </si>
  <si>
    <t>new</t>
  </si>
  <si>
    <t>tonnes DM</t>
  </si>
  <si>
    <t>f_feedstock_type</t>
  </si>
  <si>
    <t>f_treatment</t>
  </si>
  <si>
    <t>treatment_share</t>
  </si>
  <si>
    <t>food waste, household</t>
  </si>
  <si>
    <t>anaerobic digestion</t>
  </si>
  <si>
    <t>composting</t>
  </si>
  <si>
    <t>incineration</t>
  </si>
  <si>
    <t>landfill</t>
  </si>
  <si>
    <t>food waste, retail</t>
  </si>
  <si>
    <t>food waste, processing</t>
  </si>
  <si>
    <t>abs</t>
  </si>
  <si>
    <t>manure_TAN_max</t>
  </si>
  <si>
    <t>f_crop</t>
  </si>
  <si>
    <t>Green manure</t>
  </si>
  <si>
    <t>f_region</t>
  </si>
  <si>
    <t>consumption</t>
  </si>
  <si>
    <t>Peas, dry</t>
  </si>
  <si>
    <t>Broad beans and horse beans, dry</t>
  </si>
  <si>
    <t>Beans, dry</t>
  </si>
  <si>
    <t>Rape and mustard oil and products</t>
  </si>
  <si>
    <t>pulses</t>
  </si>
  <si>
    <t>tubers</t>
  </si>
  <si>
    <t>vegetables</t>
  </si>
  <si>
    <t>fruits</t>
  </si>
  <si>
    <t>Butter</t>
  </si>
  <si>
    <t>Bovine meat and products</t>
  </si>
  <si>
    <t>Mutton/goat meat</t>
  </si>
  <si>
    <t>Eggs</t>
  </si>
  <si>
    <t>heifers</t>
  </si>
  <si>
    <t>live_weight_slaughter</t>
  </si>
  <si>
    <t>steers</t>
  </si>
  <si>
    <t>bulls</t>
  </si>
  <si>
    <t>f_animal</t>
  </si>
  <si>
    <t>slaughter_weight</t>
  </si>
  <si>
    <t>milk_prod</t>
  </si>
  <si>
    <t>finishing pigs</t>
  </si>
  <si>
    <t>broilers</t>
  </si>
  <si>
    <t>feed_conversion_ratio</t>
  </si>
  <si>
    <t>egg_production</t>
  </si>
  <si>
    <t>f_crop_group:crop</t>
  </si>
  <si>
    <t>Wheat, winter</t>
  </si>
  <si>
    <t>yield</t>
  </si>
  <si>
    <t>Wheat, spring</t>
  </si>
  <si>
    <t>Rye</t>
  </si>
  <si>
    <t>Barley, winter</t>
  </si>
  <si>
    <t>Barley, spring</t>
  </si>
  <si>
    <t>Oats</t>
  </si>
  <si>
    <t>Apples</t>
  </si>
  <si>
    <t>Potatoes, table</t>
  </si>
  <si>
    <t>Potatoes, starch</t>
  </si>
  <si>
    <t>Sugar beet</t>
  </si>
  <si>
    <t>Rapeseed, winter</t>
  </si>
  <si>
    <t>Rapeseed, spring</t>
  </si>
  <si>
    <t>Vegetables</t>
  </si>
  <si>
    <t>Vegetables, greenhouse</t>
  </si>
  <si>
    <t>Wheat grains</t>
  </si>
  <si>
    <t>cereals</t>
  </si>
  <si>
    <t>export_demand</t>
  </si>
  <si>
    <t>Barley grains</t>
  </si>
  <si>
    <t>Rye grains</t>
  </si>
  <si>
    <t>Oat grains</t>
  </si>
  <si>
    <t>tonnes</t>
  </si>
  <si>
    <t>0.2 in Basnet et al (2023). Increased  to avoid cream balance problems</t>
  </si>
  <si>
    <t>household</t>
  </si>
  <si>
    <t>waste_share</t>
  </si>
  <si>
    <t>f_waste_level</t>
  </si>
  <si>
    <t>non-manure organic fertilisers to organic areas</t>
  </si>
  <si>
    <t>Set to limit N deficits while distributing as much</t>
  </si>
  <si>
    <t>Sugar and products</t>
  </si>
  <si>
    <t>Wheat and products, refined</t>
  </si>
  <si>
    <t>domestic</t>
  </si>
  <si>
    <t>Wheat and products, whole grain</t>
  </si>
  <si>
    <t>Barley and products, refined</t>
  </si>
  <si>
    <t>Barley and products, whole grain</t>
  </si>
  <si>
    <t>Rye and products, refined</t>
  </si>
  <si>
    <t>Rye and products, whole grain</t>
  </si>
  <si>
    <t>Oats and products, refined</t>
  </si>
  <si>
    <t>Oats and products, whole grain</t>
  </si>
  <si>
    <t>Other cereals and products, refined</t>
  </si>
  <si>
    <t>Other cereals and products, whole grain</t>
  </si>
  <si>
    <t>Tubers or starchy vegetables</t>
  </si>
  <si>
    <t>Potatoes, fresh</t>
  </si>
  <si>
    <t>Potatoes, frozen</t>
  </si>
  <si>
    <t>Potato flour</t>
  </si>
  <si>
    <t>Carrots and turnips</t>
  </si>
  <si>
    <t>Beetroot</t>
  </si>
  <si>
    <t>Onions, dry</t>
  </si>
  <si>
    <t>Lettuce and spinach</t>
  </si>
  <si>
    <t>Tomatoes and products</t>
  </si>
  <si>
    <t>Cucumbers and gherkins</t>
  </si>
  <si>
    <t>Other vegetables</t>
  </si>
  <si>
    <t>Fruits (excl. wine)</t>
  </si>
  <si>
    <t>Apple juice</t>
  </si>
  <si>
    <t>Apple juice concentrate</t>
  </si>
  <si>
    <t>Pears</t>
  </si>
  <si>
    <t>Dairy foods</t>
  </si>
  <si>
    <t>Meat, offals and animal fats</t>
  </si>
  <si>
    <t>Offals</t>
  </si>
  <si>
    <t>share_imported</t>
  </si>
  <si>
    <t>Blood in food</t>
  </si>
  <si>
    <t>Eggs novel foods</t>
  </si>
  <si>
    <t>Pulses and oil seeds</t>
  </si>
  <si>
    <t>Vegetable oils</t>
  </si>
  <si>
    <t>Alcoholic beverages</t>
  </si>
  <si>
    <t>Barley beer</t>
  </si>
  <si>
    <t>Beverages, fermented and products</t>
  </si>
  <si>
    <t>Beverages, alcoholic</t>
  </si>
  <si>
    <t>f_origin</t>
  </si>
  <si>
    <t>Cereals</t>
  </si>
  <si>
    <t>f</t>
  </si>
  <si>
    <t>min</t>
  </si>
  <si>
    <t>max</t>
  </si>
  <si>
    <t>Share organic</t>
  </si>
  <si>
    <t>max_in_rot</t>
  </si>
  <si>
    <t>f_crop_group</t>
  </si>
  <si>
    <t>Cereals, winter</t>
  </si>
  <si>
    <t>Cereals, spring</t>
  </si>
  <si>
    <t>min_in_rot</t>
  </si>
  <si>
    <t>y_2045</t>
  </si>
  <si>
    <t>y_2030</t>
  </si>
  <si>
    <t>y_2035</t>
  </si>
  <si>
    <t>y_2040</t>
  </si>
  <si>
    <t>y_2025</t>
  </si>
  <si>
    <t>The different shares and time-dynamics were iteratively</t>
  </si>
  <si>
    <t>adjusted to limit N deficits in all time steps</t>
  </si>
  <si>
    <t>Calculated from relative yield changes in Basnet et al (2023)</t>
  </si>
  <si>
    <t>adjusted from 2010-2050 to 2020-2050</t>
  </si>
  <si>
    <t>Assume only organic production for increased exports</t>
  </si>
  <si>
    <t>Adjusted to reach around 50% organic cropland in 2050</t>
  </si>
  <si>
    <t>Assume same relative productivity inprovements for organic as conventional</t>
  </si>
  <si>
    <t>Basnet et al (2023) gives productivity in kg/head, assume here that it would also imply better FCR</t>
  </si>
  <si>
    <t>as possible to limit dependence on conventional manure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</si>
</sst>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/>
    <xf numFmtId="0" fontId="3" fillId="0" borderId="0" xfId="0" applyFont="1"/>
    <xf numFmtId="3" fontId="0" fillId="0" borderId="0" xfId="0" applyNumberFormat="1"/>
    <xf numFmtId="0" fontId="3" fillId="0" borderId="0" xfId="0" applyFont="1" applyFill="1"/>
    <xf numFmtId="0" fontId="2" fillId="0" borderId="0" xfId="0" applyFont="1"/>
    <xf numFmtId="0" fontId="5" fillId="0" borderId="0" xfId="0" applyFont="1"/>
    <xf numFmtId="164" fontId="0" fillId="0" borderId="0" xfId="0" applyNumberFormat="1"/>
    <xf numFmtId="1" fontId="0" fillId="0" borderId="0" xfId="0" applyNumberFormat="1" applyFont="1"/>
    <xf numFmtId="2" fontId="0" fillId="0" borderId="0" xfId="1" applyNumberFormat="1" applyFont="1"/>
    <xf numFmtId="164" fontId="1" fillId="0" borderId="0" xfId="0" applyNumberFormat="1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164" fontId="6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0" fillId="0" borderId="0" xfId="0" applyNumberFormat="1"/>
    <xf numFmtId="0" fontId="8" fillId="0" borderId="0" xfId="0" applyFont="1"/>
    <xf numFmtId="1" fontId="8" fillId="0" borderId="0" xfId="0" applyNumberFormat="1" applyFont="1"/>
    <xf numFmtId="0" fontId="9" fillId="0" borderId="0" xfId="0" applyFont="1"/>
    <xf numFmtId="0" fontId="11" fillId="0" borderId="0" xfId="0" applyFont="1"/>
    <xf numFmtId="0" fontId="10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workbookViewId="0">
      <pane ySplit="1" topLeftCell="A53" activePane="bottomLeft" state="frozen"/>
      <selection pane="bottomLeft" activeCell="L42" sqref="L42"/>
    </sheetView>
  </sheetViews>
  <sheetFormatPr defaultRowHeight="15" x14ac:dyDescent="0.25"/>
  <cols>
    <col min="1" max="1" width="33.7109375" customWidth="1"/>
    <col min="2" max="2" width="13.140625" bestFit="1" customWidth="1"/>
    <col min="3" max="3" width="13.140625" customWidth="1"/>
    <col min="4" max="4" width="14.28515625" bestFit="1" customWidth="1"/>
    <col min="5" max="5" width="14.28515625" customWidth="1"/>
    <col min="6" max="6" width="21.42578125" bestFit="1" customWidth="1"/>
    <col min="9" max="9" width="9.5703125" bestFit="1" customWidth="1"/>
  </cols>
  <sheetData>
    <row r="1" spans="1:19" x14ac:dyDescent="0.25">
      <c r="A1" s="1" t="s">
        <v>19</v>
      </c>
      <c r="B1" s="1" t="s">
        <v>22</v>
      </c>
      <c r="C1" s="1" t="s">
        <v>133</v>
      </c>
      <c r="D1" s="1" t="s">
        <v>3</v>
      </c>
      <c r="E1" s="1" t="s">
        <v>91</v>
      </c>
      <c r="F1" s="1" t="s">
        <v>1</v>
      </c>
      <c r="G1" s="1" t="s">
        <v>0</v>
      </c>
      <c r="H1" s="1" t="s">
        <v>7</v>
      </c>
      <c r="I1" s="1" t="s">
        <v>16</v>
      </c>
      <c r="K1" s="1"/>
    </row>
    <row r="2" spans="1:19" x14ac:dyDescent="0.25">
      <c r="D2" s="1"/>
      <c r="E2" s="1"/>
      <c r="G2" s="2"/>
      <c r="H2" s="2"/>
      <c r="I2" s="3"/>
      <c r="P2" s="13"/>
      <c r="Q2" s="13"/>
      <c r="R2" s="13"/>
      <c r="S2" s="13"/>
    </row>
    <row r="3" spans="1:19" x14ac:dyDescent="0.25">
      <c r="B3" t="s">
        <v>47</v>
      </c>
      <c r="D3" s="1"/>
      <c r="E3" s="1"/>
      <c r="F3" t="s">
        <v>41</v>
      </c>
      <c r="G3" s="2" t="s">
        <v>10</v>
      </c>
      <c r="H3" s="2">
        <v>1</v>
      </c>
      <c r="I3" s="3">
        <v>1.39</v>
      </c>
      <c r="P3" s="13"/>
      <c r="Q3" s="14"/>
      <c r="R3" s="14"/>
      <c r="S3" s="13"/>
    </row>
    <row r="4" spans="1:19" x14ac:dyDescent="0.25">
      <c r="B4" t="s">
        <v>48</v>
      </c>
      <c r="D4" s="1"/>
      <c r="E4" s="1"/>
      <c r="F4" t="s">
        <v>41</v>
      </c>
      <c r="G4" s="2" t="s">
        <v>10</v>
      </c>
      <c r="H4" s="2">
        <v>1</v>
      </c>
      <c r="I4" s="3">
        <v>1.58</v>
      </c>
      <c r="P4" s="13"/>
      <c r="Q4" s="14"/>
      <c r="R4" s="14"/>
      <c r="S4" s="13"/>
    </row>
    <row r="5" spans="1:19" x14ac:dyDescent="0.25">
      <c r="B5" t="s">
        <v>49</v>
      </c>
      <c r="D5" s="1"/>
      <c r="E5" s="1"/>
      <c r="F5" t="s">
        <v>41</v>
      </c>
      <c r="G5" s="2" t="s">
        <v>10</v>
      </c>
      <c r="H5" s="2">
        <v>1</v>
      </c>
      <c r="I5" s="3">
        <v>1.58</v>
      </c>
      <c r="P5" s="13"/>
      <c r="Q5" s="14"/>
      <c r="R5" s="14"/>
      <c r="S5" s="13"/>
    </row>
    <row r="6" spans="1:19" x14ac:dyDescent="0.25">
      <c r="D6" s="1"/>
      <c r="E6" s="1"/>
      <c r="G6" s="2"/>
      <c r="H6" s="2"/>
      <c r="I6" s="3"/>
      <c r="P6" s="13"/>
      <c r="Q6" s="14"/>
      <c r="R6" s="14"/>
      <c r="S6" s="13"/>
    </row>
    <row r="7" spans="1:19" x14ac:dyDescent="0.25">
      <c r="B7" t="s">
        <v>4</v>
      </c>
      <c r="D7" s="1"/>
      <c r="E7" s="1"/>
      <c r="F7" t="s">
        <v>41</v>
      </c>
      <c r="G7" s="2" t="s">
        <v>10</v>
      </c>
      <c r="H7" s="2">
        <v>1</v>
      </c>
      <c r="I7" s="3">
        <v>0.85</v>
      </c>
      <c r="P7" s="13"/>
      <c r="Q7" s="14"/>
      <c r="R7" s="14"/>
      <c r="S7" s="13"/>
    </row>
    <row r="8" spans="1:19" x14ac:dyDescent="0.25">
      <c r="A8" t="s">
        <v>50</v>
      </c>
      <c r="B8" t="s">
        <v>4</v>
      </c>
      <c r="D8" s="1"/>
      <c r="E8" s="1"/>
      <c r="F8" t="s">
        <v>41</v>
      </c>
      <c r="G8" s="2" t="s">
        <v>10</v>
      </c>
      <c r="H8" s="2">
        <v>1</v>
      </c>
      <c r="I8" s="3">
        <v>0.5</v>
      </c>
      <c r="M8" s="30" t="s">
        <v>88</v>
      </c>
      <c r="P8" s="13"/>
      <c r="Q8" s="14"/>
      <c r="R8" s="14"/>
      <c r="S8" s="13"/>
    </row>
    <row r="9" spans="1:19" x14ac:dyDescent="0.25">
      <c r="D9" s="1"/>
      <c r="E9" s="1"/>
      <c r="G9" s="2"/>
      <c r="H9" s="2"/>
      <c r="I9" s="3"/>
      <c r="P9" s="13"/>
      <c r="Q9" s="14"/>
      <c r="R9" s="14"/>
      <c r="S9" s="13"/>
    </row>
    <row r="10" spans="1:19" x14ac:dyDescent="0.25">
      <c r="A10" t="s">
        <v>17</v>
      </c>
      <c r="F10" t="s">
        <v>41</v>
      </c>
      <c r="G10" s="2" t="s">
        <v>10</v>
      </c>
      <c r="H10">
        <v>1</v>
      </c>
      <c r="I10" s="3">
        <v>0.59</v>
      </c>
      <c r="P10" s="13"/>
      <c r="Q10" s="15"/>
      <c r="R10" s="15"/>
      <c r="S10" s="16"/>
    </row>
    <row r="11" spans="1:19" x14ac:dyDescent="0.25">
      <c r="A11" t="s">
        <v>51</v>
      </c>
      <c r="F11" t="s">
        <v>41</v>
      </c>
      <c r="G11" s="2" t="s">
        <v>10</v>
      </c>
      <c r="H11">
        <v>1</v>
      </c>
      <c r="I11" s="3">
        <v>0.59</v>
      </c>
      <c r="P11" s="13"/>
      <c r="Q11" s="15"/>
      <c r="R11" s="15"/>
      <c r="S11" s="16"/>
    </row>
    <row r="12" spans="1:19" x14ac:dyDescent="0.25">
      <c r="A12" t="s">
        <v>52</v>
      </c>
      <c r="F12" t="s">
        <v>41</v>
      </c>
      <c r="G12" s="2" t="s">
        <v>10</v>
      </c>
      <c r="H12">
        <v>1</v>
      </c>
      <c r="I12" s="3">
        <v>0.59</v>
      </c>
      <c r="P12" s="13"/>
      <c r="Q12" s="15"/>
      <c r="R12" s="15"/>
      <c r="S12" s="16"/>
    </row>
    <row r="13" spans="1:19" x14ac:dyDescent="0.25">
      <c r="A13" t="s">
        <v>18</v>
      </c>
      <c r="F13" t="s">
        <v>41</v>
      </c>
      <c r="G13" s="2" t="s">
        <v>10</v>
      </c>
      <c r="H13">
        <v>1</v>
      </c>
      <c r="I13" s="3">
        <v>0.86</v>
      </c>
      <c r="P13" s="13"/>
      <c r="Q13" s="15"/>
      <c r="R13" s="15"/>
      <c r="S13" s="13"/>
    </row>
    <row r="14" spans="1:19" x14ac:dyDescent="0.25">
      <c r="A14" t="s">
        <v>53</v>
      </c>
      <c r="F14" t="s">
        <v>41</v>
      </c>
      <c r="G14" s="2" t="s">
        <v>10</v>
      </c>
      <c r="H14">
        <v>1</v>
      </c>
      <c r="I14" s="3">
        <v>0.5</v>
      </c>
      <c r="P14" s="13"/>
      <c r="Q14" s="15"/>
      <c r="R14" s="15"/>
      <c r="S14" s="13"/>
    </row>
    <row r="15" spans="1:19" x14ac:dyDescent="0.25">
      <c r="G15" s="2"/>
      <c r="I15" s="9"/>
      <c r="P15" s="13"/>
      <c r="Q15" s="13"/>
      <c r="R15" s="13"/>
      <c r="S15" s="13"/>
    </row>
    <row r="16" spans="1:19" x14ac:dyDescent="0.25">
      <c r="A16" t="s">
        <v>42</v>
      </c>
      <c r="F16" t="s">
        <v>41</v>
      </c>
      <c r="G16" s="2" t="s">
        <v>36</v>
      </c>
      <c r="H16">
        <v>4.5</v>
      </c>
      <c r="I16" s="9">
        <f>H16*$K$17</f>
        <v>15.525</v>
      </c>
      <c r="P16" s="13"/>
      <c r="Q16" s="15"/>
      <c r="R16" s="15"/>
      <c r="S16" s="17"/>
    </row>
    <row r="17" spans="1:19" x14ac:dyDescent="0.25">
      <c r="A17" s="8" t="s">
        <v>43</v>
      </c>
      <c r="F17" t="s">
        <v>41</v>
      </c>
      <c r="G17" s="2" t="s">
        <v>36</v>
      </c>
      <c r="H17" s="2">
        <v>0</v>
      </c>
      <c r="I17" s="9">
        <f>I16</f>
        <v>15.525</v>
      </c>
      <c r="K17">
        <v>3.45</v>
      </c>
      <c r="P17" s="13"/>
      <c r="Q17" s="15"/>
      <c r="R17" s="15"/>
      <c r="S17" s="13"/>
    </row>
    <row r="18" spans="1:19" x14ac:dyDescent="0.25">
      <c r="A18" s="8" t="s">
        <v>44</v>
      </c>
      <c r="F18" t="s">
        <v>41</v>
      </c>
      <c r="G18" s="2" t="s">
        <v>36</v>
      </c>
      <c r="H18" s="2">
        <v>0.7</v>
      </c>
      <c r="I18" s="9">
        <f>H18*$K$17</f>
        <v>2.415</v>
      </c>
      <c r="K18" s="11">
        <f>(SUM(I16:I18)-SUM(H16:H18))/SUM(H16:H18)</f>
        <v>5.4355769230769235</v>
      </c>
      <c r="P18" s="13"/>
      <c r="Q18" s="15"/>
      <c r="R18" s="15"/>
      <c r="S18" s="13"/>
    </row>
    <row r="19" spans="1:19" x14ac:dyDescent="0.25">
      <c r="A19" s="8"/>
      <c r="G19" s="2"/>
      <c r="H19" s="2"/>
      <c r="I19" s="9"/>
      <c r="P19" s="13"/>
      <c r="Q19" s="13"/>
      <c r="R19" s="13"/>
      <c r="S19" s="13"/>
    </row>
    <row r="20" spans="1:19" x14ac:dyDescent="0.25">
      <c r="A20" t="s">
        <v>45</v>
      </c>
      <c r="F20" t="s">
        <v>41</v>
      </c>
      <c r="G20" s="2" t="s">
        <v>10</v>
      </c>
      <c r="H20" s="10">
        <v>1</v>
      </c>
      <c r="I20" s="3">
        <v>1.05</v>
      </c>
      <c r="P20" s="13"/>
      <c r="Q20" s="15"/>
      <c r="R20" s="15"/>
      <c r="S20" s="16"/>
    </row>
    <row r="21" spans="1:19" x14ac:dyDescent="0.25">
      <c r="G21" s="2"/>
      <c r="H21" s="10"/>
      <c r="I21" s="3"/>
      <c r="P21" s="13"/>
      <c r="Q21" s="15"/>
      <c r="R21" s="15"/>
      <c r="S21" s="16"/>
    </row>
    <row r="22" spans="1:19" x14ac:dyDescent="0.25">
      <c r="A22" t="s">
        <v>94</v>
      </c>
      <c r="F22" t="s">
        <v>41</v>
      </c>
      <c r="G22" s="2" t="s">
        <v>10</v>
      </c>
      <c r="H22" s="10">
        <v>1</v>
      </c>
      <c r="I22" s="3">
        <v>0.34</v>
      </c>
      <c r="P22" s="13"/>
      <c r="Q22" s="15"/>
      <c r="R22" s="15"/>
      <c r="S22" s="16"/>
    </row>
    <row r="23" spans="1:19" x14ac:dyDescent="0.25">
      <c r="G23" s="2"/>
      <c r="H23" s="10"/>
      <c r="I23" s="3"/>
      <c r="P23" s="13"/>
      <c r="Q23" s="15"/>
      <c r="R23" s="15"/>
      <c r="S23" s="16"/>
    </row>
    <row r="24" spans="1:19" x14ac:dyDescent="0.25">
      <c r="A24" s="8"/>
      <c r="E24" t="s">
        <v>89</v>
      </c>
      <c r="F24" t="s">
        <v>90</v>
      </c>
      <c r="G24" s="2" t="s">
        <v>10</v>
      </c>
      <c r="H24" s="2">
        <v>1</v>
      </c>
      <c r="I24" s="3">
        <v>0.5</v>
      </c>
      <c r="P24" s="13"/>
      <c r="Q24" s="25"/>
      <c r="R24" s="25"/>
      <c r="S24" s="13"/>
    </row>
    <row r="25" spans="1:19" x14ac:dyDescent="0.25">
      <c r="A25" s="8"/>
      <c r="H25" s="2"/>
      <c r="I25" s="3"/>
      <c r="P25" s="13"/>
      <c r="Q25" s="18"/>
      <c r="R25" s="18"/>
      <c r="S25" s="13"/>
    </row>
    <row r="26" spans="1:19" x14ac:dyDescent="0.25">
      <c r="A26" s="4" t="s">
        <v>21</v>
      </c>
      <c r="B26" t="s">
        <v>23</v>
      </c>
      <c r="D26" t="s">
        <v>8</v>
      </c>
      <c r="F26" t="s">
        <v>20</v>
      </c>
      <c r="G26" t="s">
        <v>24</v>
      </c>
      <c r="H26">
        <v>0</v>
      </c>
      <c r="I26" s="5">
        <v>1000000</v>
      </c>
      <c r="K26" s="29" t="s">
        <v>25</v>
      </c>
      <c r="P26" s="13"/>
      <c r="Q26" s="13"/>
      <c r="R26" s="13"/>
      <c r="S26" s="13"/>
    </row>
    <row r="27" spans="1:19" x14ac:dyDescent="0.25">
      <c r="K27" s="31"/>
      <c r="P27" s="13"/>
      <c r="Q27" s="13"/>
      <c r="R27" s="13"/>
      <c r="S27" s="13"/>
    </row>
    <row r="28" spans="1:19" x14ac:dyDescent="0.25">
      <c r="A28" t="s">
        <v>81</v>
      </c>
      <c r="B28" t="s">
        <v>82</v>
      </c>
      <c r="D28" t="s">
        <v>8</v>
      </c>
      <c r="F28" t="s">
        <v>83</v>
      </c>
      <c r="G28" t="s">
        <v>24</v>
      </c>
      <c r="H28">
        <v>0</v>
      </c>
      <c r="I28" s="5">
        <f>558250*0.3</f>
        <v>167475</v>
      </c>
      <c r="K28" s="31" t="s">
        <v>87</v>
      </c>
      <c r="M28" s="30" t="s">
        <v>153</v>
      </c>
      <c r="P28" s="13"/>
      <c r="Q28" s="13"/>
      <c r="R28" s="13"/>
      <c r="S28" s="13"/>
    </row>
    <row r="29" spans="1:19" x14ac:dyDescent="0.25">
      <c r="A29" t="s">
        <v>84</v>
      </c>
      <c r="B29" t="s">
        <v>82</v>
      </c>
      <c r="D29" t="s">
        <v>8</v>
      </c>
      <c r="F29" t="s">
        <v>83</v>
      </c>
      <c r="G29" t="s">
        <v>24</v>
      </c>
      <c r="H29">
        <v>0</v>
      </c>
      <c r="I29" s="5">
        <f>518197*0.25</f>
        <v>129549.25</v>
      </c>
      <c r="K29" s="31" t="s">
        <v>87</v>
      </c>
      <c r="P29" s="13"/>
      <c r="Q29" s="13"/>
      <c r="R29" s="13"/>
      <c r="S29" s="13"/>
    </row>
    <row r="30" spans="1:19" x14ac:dyDescent="0.25">
      <c r="A30" t="s">
        <v>85</v>
      </c>
      <c r="B30" t="s">
        <v>82</v>
      </c>
      <c r="D30" t="s">
        <v>8</v>
      </c>
      <c r="F30" t="s">
        <v>83</v>
      </c>
      <c r="G30" t="s">
        <v>24</v>
      </c>
      <c r="H30">
        <v>0</v>
      </c>
      <c r="I30" s="5">
        <f>32966*0.3</f>
        <v>9889.7999999999993</v>
      </c>
      <c r="K30" s="31" t="s">
        <v>87</v>
      </c>
      <c r="P30" s="13"/>
      <c r="Q30" s="13"/>
      <c r="R30" s="13"/>
      <c r="S30" s="13"/>
    </row>
    <row r="31" spans="1:19" x14ac:dyDescent="0.25">
      <c r="A31" t="s">
        <v>86</v>
      </c>
      <c r="B31" t="s">
        <v>82</v>
      </c>
      <c r="D31" t="s">
        <v>8</v>
      </c>
      <c r="F31" t="s">
        <v>83</v>
      </c>
      <c r="G31" t="s">
        <v>24</v>
      </c>
      <c r="H31">
        <v>0</v>
      </c>
      <c r="I31" s="5">
        <f>196581*0.3</f>
        <v>58974.299999999996</v>
      </c>
      <c r="K31" s="31" t="s">
        <v>87</v>
      </c>
      <c r="P31" s="13"/>
      <c r="Q31" s="13"/>
      <c r="R31" s="13"/>
      <c r="S31" s="13"/>
    </row>
    <row r="32" spans="1:19" x14ac:dyDescent="0.25">
      <c r="K32" s="6"/>
      <c r="P32" s="13"/>
      <c r="Q32" s="13"/>
      <c r="R32" s="13"/>
      <c r="S32" s="13"/>
    </row>
    <row r="33" spans="1:19" x14ac:dyDescent="0.25">
      <c r="P33" s="13"/>
      <c r="Q33" s="12"/>
      <c r="R33" s="12"/>
      <c r="S33" s="13"/>
    </row>
    <row r="34" spans="1:19" x14ac:dyDescent="0.25">
      <c r="A34" s="7" t="s">
        <v>138</v>
      </c>
      <c r="P34" s="13"/>
      <c r="Q34" s="12"/>
      <c r="R34" s="12"/>
      <c r="S34" s="13"/>
    </row>
    <row r="35" spans="1:19" x14ac:dyDescent="0.25">
      <c r="A35" s="1" t="s">
        <v>134</v>
      </c>
      <c r="K35" s="19" t="s">
        <v>135</v>
      </c>
      <c r="L35" s="20" t="s">
        <v>136</v>
      </c>
      <c r="M35" s="21" t="s">
        <v>137</v>
      </c>
      <c r="P35" s="13"/>
      <c r="Q35" s="12"/>
      <c r="R35" s="12"/>
      <c r="S35" s="13"/>
    </row>
    <row r="36" spans="1:19" x14ac:dyDescent="0.25">
      <c r="A36" t="s">
        <v>95</v>
      </c>
      <c r="C36" t="s">
        <v>96</v>
      </c>
      <c r="D36" t="s">
        <v>8</v>
      </c>
      <c r="F36" t="s">
        <v>9</v>
      </c>
      <c r="G36" t="s">
        <v>36</v>
      </c>
      <c r="H36">
        <v>5.3</v>
      </c>
      <c r="I36">
        <f t="shared" ref="I36:I45" si="0">MIN(MAX(H36*$K$36,$L$36),$M$36)</f>
        <v>40</v>
      </c>
      <c r="K36" s="24">
        <v>3</v>
      </c>
      <c r="L36" s="22">
        <v>40</v>
      </c>
      <c r="M36" s="23">
        <v>100</v>
      </c>
      <c r="P36" s="13"/>
      <c r="Q36" s="13"/>
      <c r="R36" s="13"/>
      <c r="S36" s="13"/>
    </row>
    <row r="37" spans="1:19" x14ac:dyDescent="0.25">
      <c r="A37" t="s">
        <v>97</v>
      </c>
      <c r="C37" t="s">
        <v>96</v>
      </c>
      <c r="D37" t="s">
        <v>8</v>
      </c>
      <c r="F37" t="s">
        <v>9</v>
      </c>
      <c r="G37" t="s">
        <v>36</v>
      </c>
      <c r="H37">
        <v>5.3</v>
      </c>
      <c r="I37">
        <f t="shared" si="0"/>
        <v>40</v>
      </c>
    </row>
    <row r="38" spans="1:19" x14ac:dyDescent="0.25">
      <c r="A38" t="s">
        <v>98</v>
      </c>
      <c r="C38" t="s">
        <v>96</v>
      </c>
      <c r="D38" t="s">
        <v>8</v>
      </c>
      <c r="F38" t="s">
        <v>9</v>
      </c>
      <c r="G38" t="s">
        <v>36</v>
      </c>
      <c r="H38">
        <v>4.9000000000000004</v>
      </c>
      <c r="I38">
        <f t="shared" si="0"/>
        <v>40</v>
      </c>
      <c r="K38" s="30" t="s">
        <v>154</v>
      </c>
    </row>
    <row r="39" spans="1:19" x14ac:dyDescent="0.25">
      <c r="A39" t="s">
        <v>99</v>
      </c>
      <c r="C39" t="s">
        <v>96</v>
      </c>
      <c r="D39" t="s">
        <v>8</v>
      </c>
      <c r="F39" t="s">
        <v>9</v>
      </c>
      <c r="G39" t="s">
        <v>36</v>
      </c>
      <c r="H39">
        <v>4.9000000000000004</v>
      </c>
      <c r="I39">
        <f t="shared" si="0"/>
        <v>40</v>
      </c>
    </row>
    <row r="40" spans="1:19" x14ac:dyDescent="0.25">
      <c r="A40" t="s">
        <v>100</v>
      </c>
      <c r="C40" t="s">
        <v>96</v>
      </c>
      <c r="D40" t="s">
        <v>8</v>
      </c>
      <c r="F40" t="s">
        <v>9</v>
      </c>
      <c r="G40" t="s">
        <v>36</v>
      </c>
      <c r="H40">
        <v>12.7</v>
      </c>
      <c r="I40">
        <f t="shared" si="0"/>
        <v>40</v>
      </c>
    </row>
    <row r="41" spans="1:19" x14ac:dyDescent="0.25">
      <c r="A41" t="s">
        <v>101</v>
      </c>
      <c r="C41" t="s">
        <v>96</v>
      </c>
      <c r="D41" t="s">
        <v>8</v>
      </c>
      <c r="F41" t="s">
        <v>9</v>
      </c>
      <c r="G41" t="s">
        <v>36</v>
      </c>
      <c r="H41">
        <v>12.7</v>
      </c>
      <c r="I41">
        <f t="shared" si="0"/>
        <v>40</v>
      </c>
    </row>
    <row r="42" spans="1:19" x14ac:dyDescent="0.25">
      <c r="A42" t="s">
        <v>102</v>
      </c>
      <c r="C42" t="s">
        <v>96</v>
      </c>
      <c r="D42" t="s">
        <v>8</v>
      </c>
      <c r="F42" t="s">
        <v>9</v>
      </c>
      <c r="G42" t="s">
        <v>36</v>
      </c>
      <c r="H42">
        <v>24</v>
      </c>
      <c r="I42">
        <f t="shared" si="0"/>
        <v>72</v>
      </c>
    </row>
    <row r="43" spans="1:19" x14ac:dyDescent="0.25">
      <c r="A43" t="s">
        <v>103</v>
      </c>
      <c r="C43" t="s">
        <v>96</v>
      </c>
      <c r="D43" t="s">
        <v>8</v>
      </c>
      <c r="F43" t="s">
        <v>9</v>
      </c>
      <c r="G43" t="s">
        <v>36</v>
      </c>
      <c r="H43">
        <v>24</v>
      </c>
      <c r="I43">
        <f t="shared" si="0"/>
        <v>72</v>
      </c>
    </row>
    <row r="44" spans="1:19" x14ac:dyDescent="0.25">
      <c r="A44" t="s">
        <v>104</v>
      </c>
      <c r="C44" t="s">
        <v>96</v>
      </c>
      <c r="D44" t="s">
        <v>8</v>
      </c>
      <c r="F44" t="s">
        <v>9</v>
      </c>
      <c r="G44" t="s">
        <v>36</v>
      </c>
      <c r="H44">
        <v>10</v>
      </c>
      <c r="I44">
        <f t="shared" si="0"/>
        <v>40</v>
      </c>
    </row>
    <row r="45" spans="1:19" x14ac:dyDescent="0.25">
      <c r="A45" t="s">
        <v>105</v>
      </c>
      <c r="C45" t="s">
        <v>96</v>
      </c>
      <c r="D45" t="s">
        <v>8</v>
      </c>
      <c r="F45" t="s">
        <v>9</v>
      </c>
      <c r="G45" t="s">
        <v>36</v>
      </c>
      <c r="H45">
        <v>10</v>
      </c>
      <c r="I45">
        <f t="shared" si="0"/>
        <v>40</v>
      </c>
    </row>
    <row r="46" spans="1:19" x14ac:dyDescent="0.25">
      <c r="A46" s="1" t="s">
        <v>106</v>
      </c>
    </row>
    <row r="47" spans="1:19" x14ac:dyDescent="0.25">
      <c r="A47" t="s">
        <v>107</v>
      </c>
      <c r="C47" t="s">
        <v>96</v>
      </c>
      <c r="D47" t="s">
        <v>8</v>
      </c>
      <c r="F47" t="s">
        <v>9</v>
      </c>
      <c r="G47" t="s">
        <v>36</v>
      </c>
      <c r="H47">
        <v>12</v>
      </c>
      <c r="I47">
        <f>MIN(MAX(H47*$K$36,$L$36),$M$36)</f>
        <v>40</v>
      </c>
    </row>
    <row r="48" spans="1:19" x14ac:dyDescent="0.25">
      <c r="A48" t="s">
        <v>108</v>
      </c>
      <c r="C48" t="s">
        <v>96</v>
      </c>
      <c r="D48" t="s">
        <v>8</v>
      </c>
      <c r="F48" t="s">
        <v>9</v>
      </c>
      <c r="G48" t="s">
        <v>36</v>
      </c>
      <c r="H48">
        <v>12</v>
      </c>
      <c r="I48">
        <f>MIN(MAX(H48*$K$36,$L$36),$M$36)</f>
        <v>40</v>
      </c>
    </row>
    <row r="49" spans="1:9" x14ac:dyDescent="0.25">
      <c r="A49" t="s">
        <v>109</v>
      </c>
      <c r="C49" t="s">
        <v>96</v>
      </c>
      <c r="D49" t="s">
        <v>8</v>
      </c>
      <c r="F49" t="s">
        <v>9</v>
      </c>
      <c r="G49" t="s">
        <v>36</v>
      </c>
      <c r="H49">
        <v>0</v>
      </c>
      <c r="I49">
        <f>MIN(MAX(H49*$K$36,$L$36),$M$36)</f>
        <v>40</v>
      </c>
    </row>
    <row r="50" spans="1:9" x14ac:dyDescent="0.25">
      <c r="A50" s="1" t="s">
        <v>79</v>
      </c>
    </row>
    <row r="51" spans="1:9" x14ac:dyDescent="0.25">
      <c r="A51" t="s">
        <v>110</v>
      </c>
      <c r="C51" t="s">
        <v>96</v>
      </c>
      <c r="D51" t="s">
        <v>8</v>
      </c>
      <c r="F51" t="s">
        <v>9</v>
      </c>
      <c r="G51" t="s">
        <v>36</v>
      </c>
      <c r="H51">
        <v>25</v>
      </c>
      <c r="I51">
        <f t="shared" ref="I51:I57" si="1">MIN(MAX(H51*$K$36,$L$36),$M$36)</f>
        <v>75</v>
      </c>
    </row>
    <row r="52" spans="1:9" x14ac:dyDescent="0.25">
      <c r="A52" t="s">
        <v>111</v>
      </c>
      <c r="C52" t="s">
        <v>96</v>
      </c>
      <c r="D52" t="s">
        <v>8</v>
      </c>
      <c r="F52" t="s">
        <v>9</v>
      </c>
      <c r="G52" t="s">
        <v>36</v>
      </c>
      <c r="H52">
        <v>25</v>
      </c>
      <c r="I52">
        <f t="shared" si="1"/>
        <v>75</v>
      </c>
    </row>
    <row r="53" spans="1:9" x14ac:dyDescent="0.25">
      <c r="A53" t="s">
        <v>112</v>
      </c>
      <c r="C53" t="s">
        <v>96</v>
      </c>
      <c r="D53" t="s">
        <v>8</v>
      </c>
      <c r="F53" t="s">
        <v>9</v>
      </c>
      <c r="G53" t="s">
        <v>36</v>
      </c>
      <c r="H53">
        <v>13</v>
      </c>
      <c r="I53">
        <f t="shared" si="1"/>
        <v>40</v>
      </c>
    </row>
    <row r="54" spans="1:9" x14ac:dyDescent="0.25">
      <c r="A54" t="s">
        <v>113</v>
      </c>
      <c r="C54" t="s">
        <v>96</v>
      </c>
      <c r="D54" t="s">
        <v>8</v>
      </c>
      <c r="F54" t="s">
        <v>9</v>
      </c>
      <c r="G54" t="s">
        <v>36</v>
      </c>
      <c r="H54">
        <v>19</v>
      </c>
      <c r="I54">
        <f t="shared" si="1"/>
        <v>57</v>
      </c>
    </row>
    <row r="55" spans="1:9" x14ac:dyDescent="0.25">
      <c r="A55" t="s">
        <v>114</v>
      </c>
      <c r="C55" t="s">
        <v>96</v>
      </c>
      <c r="D55" t="s">
        <v>8</v>
      </c>
      <c r="F55" t="s">
        <v>9</v>
      </c>
      <c r="G55" t="s">
        <v>36</v>
      </c>
      <c r="H55">
        <v>9</v>
      </c>
      <c r="I55">
        <f t="shared" si="1"/>
        <v>40</v>
      </c>
    </row>
    <row r="56" spans="1:9" x14ac:dyDescent="0.25">
      <c r="A56" t="s">
        <v>115</v>
      </c>
      <c r="C56" t="s">
        <v>96</v>
      </c>
      <c r="D56" t="s">
        <v>8</v>
      </c>
      <c r="F56" t="s">
        <v>9</v>
      </c>
      <c r="G56" t="s">
        <v>36</v>
      </c>
      <c r="H56">
        <v>11</v>
      </c>
      <c r="I56">
        <f t="shared" si="1"/>
        <v>40</v>
      </c>
    </row>
    <row r="57" spans="1:9" x14ac:dyDescent="0.25">
      <c r="A57" t="s">
        <v>116</v>
      </c>
      <c r="C57" t="s">
        <v>96</v>
      </c>
      <c r="D57" t="s">
        <v>8</v>
      </c>
      <c r="F57" t="s">
        <v>9</v>
      </c>
      <c r="G57" t="s">
        <v>36</v>
      </c>
      <c r="H57">
        <v>13</v>
      </c>
      <c r="I57">
        <f t="shared" si="1"/>
        <v>40</v>
      </c>
    </row>
    <row r="58" spans="1:9" x14ac:dyDescent="0.25">
      <c r="A58" s="1" t="s">
        <v>117</v>
      </c>
    </row>
    <row r="59" spans="1:9" x14ac:dyDescent="0.25">
      <c r="A59" t="s">
        <v>73</v>
      </c>
      <c r="D59" t="s">
        <v>8</v>
      </c>
      <c r="F59" t="s">
        <v>9</v>
      </c>
      <c r="G59" t="s">
        <v>36</v>
      </c>
      <c r="H59">
        <v>7.9</v>
      </c>
      <c r="I59">
        <f>MIN(MAX(H59*$K$36,$L$36),$M$36)</f>
        <v>40</v>
      </c>
    </row>
    <row r="60" spans="1:9" x14ac:dyDescent="0.25">
      <c r="A60" t="s">
        <v>118</v>
      </c>
      <c r="D60" t="s">
        <v>8</v>
      </c>
      <c r="F60" t="s">
        <v>9</v>
      </c>
      <c r="G60" t="s">
        <v>36</v>
      </c>
      <c r="H60">
        <v>7.9</v>
      </c>
      <c r="I60">
        <f>MIN(MAX(H60*$K$36,$L$36),$M$36)</f>
        <v>40</v>
      </c>
    </row>
    <row r="61" spans="1:9" x14ac:dyDescent="0.25">
      <c r="A61" t="s">
        <v>119</v>
      </c>
      <c r="D61" t="s">
        <v>8</v>
      </c>
      <c r="F61" t="s">
        <v>9</v>
      </c>
      <c r="G61" t="s">
        <v>36</v>
      </c>
      <c r="H61">
        <v>7.9</v>
      </c>
      <c r="I61">
        <f>MIN(MAX(H61*$K$36,$L$36),$M$36)</f>
        <v>40</v>
      </c>
    </row>
    <row r="62" spans="1:9" x14ac:dyDescent="0.25">
      <c r="A62" t="s">
        <v>120</v>
      </c>
      <c r="D62" t="s">
        <v>8</v>
      </c>
      <c r="F62" t="s">
        <v>9</v>
      </c>
      <c r="G62" t="s">
        <v>36</v>
      </c>
      <c r="H62">
        <v>7.9</v>
      </c>
      <c r="I62">
        <f>MIN(MAX(H62*$K$36,$L$36),$M$36)</f>
        <v>40</v>
      </c>
    </row>
    <row r="63" spans="1:9" x14ac:dyDescent="0.25">
      <c r="A63" s="1" t="s">
        <v>121</v>
      </c>
    </row>
    <row r="64" spans="1:9" x14ac:dyDescent="0.25">
      <c r="B64" t="s">
        <v>4</v>
      </c>
      <c r="C64" t="s">
        <v>96</v>
      </c>
      <c r="D64" t="s">
        <v>8</v>
      </c>
      <c r="F64" t="s">
        <v>9</v>
      </c>
      <c r="G64" t="s">
        <v>36</v>
      </c>
      <c r="H64">
        <v>15.75</v>
      </c>
      <c r="I64">
        <f>MIN(MAX(H64*$K$36,$L$36),$M$36)</f>
        <v>47.25</v>
      </c>
    </row>
    <row r="65" spans="1:9" x14ac:dyDescent="0.25">
      <c r="A65" s="1" t="s">
        <v>122</v>
      </c>
    </row>
    <row r="66" spans="1:9" x14ac:dyDescent="0.25">
      <c r="A66" t="s">
        <v>17</v>
      </c>
      <c r="C66" t="s">
        <v>96</v>
      </c>
      <c r="D66" t="s">
        <v>8</v>
      </c>
      <c r="F66" t="s">
        <v>9</v>
      </c>
      <c r="G66" t="s">
        <v>36</v>
      </c>
      <c r="H66">
        <v>2.2999999999999998</v>
      </c>
      <c r="I66">
        <f t="shared" ref="I66:I71" si="2">MIN(MAX(H66*$K$36,$L$36),$M$36)</f>
        <v>40</v>
      </c>
    </row>
    <row r="67" spans="1:9" x14ac:dyDescent="0.25">
      <c r="A67" t="s">
        <v>51</v>
      </c>
      <c r="C67" t="s">
        <v>96</v>
      </c>
      <c r="D67" t="s">
        <v>8</v>
      </c>
      <c r="F67" t="s">
        <v>9</v>
      </c>
      <c r="G67" t="s">
        <v>36</v>
      </c>
      <c r="H67">
        <v>18.100000000000001</v>
      </c>
      <c r="I67">
        <f t="shared" si="2"/>
        <v>54.300000000000004</v>
      </c>
    </row>
    <row r="68" spans="1:9" x14ac:dyDescent="0.25">
      <c r="A68" t="s">
        <v>52</v>
      </c>
      <c r="C68" t="s">
        <v>96</v>
      </c>
      <c r="D68" t="s">
        <v>8</v>
      </c>
      <c r="F68" t="s">
        <v>9</v>
      </c>
      <c r="G68" t="s">
        <v>36</v>
      </c>
      <c r="H68">
        <v>21</v>
      </c>
      <c r="I68">
        <f t="shared" si="2"/>
        <v>63</v>
      </c>
    </row>
    <row r="69" spans="1:9" x14ac:dyDescent="0.25">
      <c r="A69" t="s">
        <v>18</v>
      </c>
      <c r="C69" t="s">
        <v>96</v>
      </c>
      <c r="D69" t="s">
        <v>8</v>
      </c>
      <c r="F69" t="s">
        <v>9</v>
      </c>
      <c r="G69" t="s">
        <v>36</v>
      </c>
      <c r="H69">
        <v>0.95</v>
      </c>
      <c r="I69">
        <f t="shared" si="2"/>
        <v>40</v>
      </c>
    </row>
    <row r="70" spans="1:9" x14ac:dyDescent="0.25">
      <c r="A70" t="s">
        <v>123</v>
      </c>
      <c r="C70" t="s">
        <v>96</v>
      </c>
      <c r="D70" t="s">
        <v>8</v>
      </c>
      <c r="F70" t="s">
        <v>124</v>
      </c>
      <c r="G70" t="s">
        <v>36</v>
      </c>
      <c r="H70">
        <v>8.620000000000001</v>
      </c>
      <c r="I70">
        <f t="shared" si="2"/>
        <v>40</v>
      </c>
    </row>
    <row r="71" spans="1:9" x14ac:dyDescent="0.25">
      <c r="A71" t="s">
        <v>125</v>
      </c>
      <c r="C71" t="s">
        <v>96</v>
      </c>
      <c r="D71" t="s">
        <v>8</v>
      </c>
      <c r="F71" t="s">
        <v>124</v>
      </c>
      <c r="G71" t="s">
        <v>36</v>
      </c>
      <c r="H71">
        <v>8.620000000000001</v>
      </c>
      <c r="I71">
        <f t="shared" si="2"/>
        <v>40</v>
      </c>
    </row>
    <row r="72" spans="1:9" x14ac:dyDescent="0.25">
      <c r="A72" t="s">
        <v>53</v>
      </c>
    </row>
    <row r="73" spans="1:9" x14ac:dyDescent="0.25">
      <c r="A73" t="s">
        <v>53</v>
      </c>
      <c r="C73" t="s">
        <v>96</v>
      </c>
      <c r="D73" t="s">
        <v>8</v>
      </c>
      <c r="F73" t="s">
        <v>9</v>
      </c>
      <c r="G73" t="s">
        <v>36</v>
      </c>
      <c r="H73">
        <v>16.5</v>
      </c>
      <c r="I73">
        <f>MIN(MAX(H73*$K$36,$L$36),$M$36)</f>
        <v>49.5</v>
      </c>
    </row>
    <row r="74" spans="1:9" x14ac:dyDescent="0.25">
      <c r="A74" t="s">
        <v>126</v>
      </c>
      <c r="C74" t="s">
        <v>96</v>
      </c>
      <c r="D74" t="s">
        <v>8</v>
      </c>
      <c r="F74" t="s">
        <v>9</v>
      </c>
      <c r="G74" t="s">
        <v>36</v>
      </c>
      <c r="H74">
        <v>16.5</v>
      </c>
      <c r="I74">
        <f>MIN(MAX(H74*$K$36,$L$36),$M$36)</f>
        <v>49.5</v>
      </c>
    </row>
    <row r="75" spans="1:9" x14ac:dyDescent="0.25">
      <c r="A75" s="1" t="s">
        <v>127</v>
      </c>
    </row>
    <row r="76" spans="1:9" x14ac:dyDescent="0.25">
      <c r="B76" t="s">
        <v>46</v>
      </c>
      <c r="D76" t="s">
        <v>8</v>
      </c>
      <c r="F76" t="s">
        <v>9</v>
      </c>
      <c r="G76" t="s">
        <v>36</v>
      </c>
      <c r="H76">
        <v>34.200000000000003</v>
      </c>
      <c r="I76">
        <f>MIN(MAX(H76*$K$36,$L$36),$M$36)</f>
        <v>100</v>
      </c>
    </row>
    <row r="77" spans="1:9" x14ac:dyDescent="0.25">
      <c r="A77" s="1" t="s">
        <v>128</v>
      </c>
    </row>
    <row r="78" spans="1:9" x14ac:dyDescent="0.25">
      <c r="A78" t="s">
        <v>45</v>
      </c>
      <c r="C78" t="s">
        <v>96</v>
      </c>
      <c r="D78" t="s">
        <v>8</v>
      </c>
      <c r="F78" t="s">
        <v>9</v>
      </c>
      <c r="G78" t="s">
        <v>36</v>
      </c>
      <c r="H78">
        <v>1</v>
      </c>
      <c r="I78">
        <f>MIN(MAX(H78*$K$36,$L$36),$M$36)</f>
        <v>40</v>
      </c>
    </row>
    <row r="79" spans="1:9" x14ac:dyDescent="0.25">
      <c r="A79" s="1" t="s">
        <v>129</v>
      </c>
    </row>
    <row r="80" spans="1:9" x14ac:dyDescent="0.25">
      <c r="A80" t="s">
        <v>130</v>
      </c>
      <c r="D80" t="s">
        <v>8</v>
      </c>
      <c r="F80" t="s">
        <v>9</v>
      </c>
      <c r="G80" t="s">
        <v>36</v>
      </c>
      <c r="H80">
        <v>8</v>
      </c>
      <c r="I80">
        <f>MIN(MAX(H80*$K$36,$L$36),$M$36)</f>
        <v>40</v>
      </c>
    </row>
    <row r="81" spans="1:9" x14ac:dyDescent="0.25">
      <c r="A81" t="s">
        <v>131</v>
      </c>
      <c r="D81" t="s">
        <v>8</v>
      </c>
      <c r="F81" t="s">
        <v>9</v>
      </c>
      <c r="G81" t="s">
        <v>36</v>
      </c>
      <c r="H81">
        <v>7.9</v>
      </c>
      <c r="I81">
        <f>MIN(MAX(H81*$K$36,$L$36),$M$36)</f>
        <v>40</v>
      </c>
    </row>
    <row r="82" spans="1:9" x14ac:dyDescent="0.25">
      <c r="A82" t="s">
        <v>132</v>
      </c>
      <c r="D82" t="s">
        <v>8</v>
      </c>
      <c r="F82" t="s">
        <v>9</v>
      </c>
      <c r="G82" t="s">
        <v>36</v>
      </c>
      <c r="H82">
        <v>4.7</v>
      </c>
      <c r="I82">
        <f>MIN(MAX(H82*$K$36,$L$36),$M$36)</f>
        <v>40</v>
      </c>
    </row>
  </sheetData>
  <mergeCells count="1">
    <mergeCell ref="Q24:R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tabSelected="1" workbookViewId="0">
      <selection activeCell="Q16" sqref="Q16"/>
    </sheetView>
  </sheetViews>
  <sheetFormatPr defaultRowHeight="15" x14ac:dyDescent="0.25"/>
  <cols>
    <col min="2" max="2" width="23" bestFit="1" customWidth="1"/>
    <col min="3" max="3" width="18.42578125" bestFit="1" customWidth="1"/>
    <col min="4" max="4" width="23" customWidth="1"/>
    <col min="5" max="5" width="18.42578125" customWidth="1"/>
    <col min="6" max="6" width="11" bestFit="1" customWidth="1"/>
    <col min="17" max="17" width="12" bestFit="1" customWidth="1"/>
  </cols>
  <sheetData>
    <row r="1" spans="1:16" x14ac:dyDescent="0.25">
      <c r="A1" s="1" t="s">
        <v>40</v>
      </c>
      <c r="B1" s="1" t="s">
        <v>65</v>
      </c>
      <c r="C1" s="1" t="s">
        <v>38</v>
      </c>
      <c r="D1" s="1" t="s">
        <v>140</v>
      </c>
      <c r="E1" s="1" t="s">
        <v>3</v>
      </c>
      <c r="F1" s="1" t="s">
        <v>1</v>
      </c>
      <c r="G1" s="1" t="s">
        <v>0</v>
      </c>
      <c r="H1" s="1" t="s">
        <v>7</v>
      </c>
      <c r="I1" s="1" t="s">
        <v>148</v>
      </c>
      <c r="J1" s="1" t="s">
        <v>145</v>
      </c>
      <c r="K1" s="1" t="s">
        <v>146</v>
      </c>
      <c r="L1" s="1" t="s">
        <v>147</v>
      </c>
      <c r="M1" s="1" t="s">
        <v>144</v>
      </c>
      <c r="N1" s="1" t="s">
        <v>16</v>
      </c>
    </row>
    <row r="2" spans="1:16" x14ac:dyDescent="0.25">
      <c r="C2" t="s">
        <v>66</v>
      </c>
      <c r="E2" t="s">
        <v>6</v>
      </c>
      <c r="F2" t="s">
        <v>67</v>
      </c>
      <c r="G2" t="s">
        <v>10</v>
      </c>
      <c r="H2">
        <v>1</v>
      </c>
      <c r="N2" s="3">
        <v>1.4</v>
      </c>
      <c r="P2" s="30" t="s">
        <v>151</v>
      </c>
    </row>
    <row r="3" spans="1:16" x14ac:dyDescent="0.25">
      <c r="C3" t="s">
        <v>68</v>
      </c>
      <c r="E3" t="s">
        <v>6</v>
      </c>
      <c r="F3" t="s">
        <v>67</v>
      </c>
      <c r="G3" t="s">
        <v>10</v>
      </c>
      <c r="H3">
        <v>1</v>
      </c>
      <c r="N3" s="3">
        <v>1.4</v>
      </c>
      <c r="P3" s="30" t="s">
        <v>152</v>
      </c>
    </row>
    <row r="4" spans="1:16" x14ac:dyDescent="0.25">
      <c r="C4" t="s">
        <v>69</v>
      </c>
      <c r="E4" t="s">
        <v>6</v>
      </c>
      <c r="F4" t="s">
        <v>67</v>
      </c>
      <c r="G4" t="s">
        <v>10</v>
      </c>
      <c r="H4">
        <v>1</v>
      </c>
      <c r="N4" s="3">
        <v>1.36</v>
      </c>
    </row>
    <row r="5" spans="1:16" x14ac:dyDescent="0.25">
      <c r="C5" t="s">
        <v>70</v>
      </c>
      <c r="E5" t="s">
        <v>6</v>
      </c>
      <c r="F5" t="s">
        <v>67</v>
      </c>
      <c r="G5" t="s">
        <v>10</v>
      </c>
      <c r="H5">
        <v>1</v>
      </c>
      <c r="N5" s="3">
        <v>1.33</v>
      </c>
    </row>
    <row r="6" spans="1:16" x14ac:dyDescent="0.25">
      <c r="C6" t="s">
        <v>71</v>
      </c>
      <c r="E6" t="s">
        <v>6</v>
      </c>
      <c r="F6" t="s">
        <v>67</v>
      </c>
      <c r="G6" t="s">
        <v>10</v>
      </c>
      <c r="H6">
        <v>1</v>
      </c>
      <c r="N6" s="3">
        <v>1.33</v>
      </c>
    </row>
    <row r="7" spans="1:16" x14ac:dyDescent="0.25">
      <c r="C7" t="s">
        <v>72</v>
      </c>
      <c r="E7" t="s">
        <v>6</v>
      </c>
      <c r="F7" t="s">
        <v>67</v>
      </c>
      <c r="G7" t="s">
        <v>10</v>
      </c>
      <c r="H7">
        <v>1</v>
      </c>
      <c r="N7" s="3">
        <v>1.36</v>
      </c>
    </row>
    <row r="8" spans="1:16" x14ac:dyDescent="0.25">
      <c r="C8" t="s">
        <v>42</v>
      </c>
      <c r="E8" t="s">
        <v>6</v>
      </c>
      <c r="F8" t="s">
        <v>67</v>
      </c>
      <c r="G8" t="s">
        <v>10</v>
      </c>
      <c r="H8">
        <v>1</v>
      </c>
      <c r="N8" s="3">
        <v>1.36</v>
      </c>
    </row>
    <row r="9" spans="1:16" x14ac:dyDescent="0.25">
      <c r="C9" t="s">
        <v>43</v>
      </c>
      <c r="E9" t="s">
        <v>6</v>
      </c>
      <c r="F9" t="s">
        <v>67</v>
      </c>
      <c r="G9" t="s">
        <v>10</v>
      </c>
      <c r="H9">
        <v>1</v>
      </c>
      <c r="N9" s="3">
        <v>1.36</v>
      </c>
    </row>
    <row r="10" spans="1:16" x14ac:dyDescent="0.25">
      <c r="C10" t="s">
        <v>44</v>
      </c>
      <c r="E10" t="s">
        <v>6</v>
      </c>
      <c r="F10" t="s">
        <v>67</v>
      </c>
      <c r="G10" t="s">
        <v>10</v>
      </c>
      <c r="H10">
        <v>1</v>
      </c>
      <c r="N10" s="3">
        <v>1</v>
      </c>
    </row>
    <row r="11" spans="1:16" x14ac:dyDescent="0.25">
      <c r="C11" t="s">
        <v>73</v>
      </c>
      <c r="E11" t="s">
        <v>6</v>
      </c>
      <c r="F11" t="s">
        <v>67</v>
      </c>
      <c r="G11" t="s">
        <v>10</v>
      </c>
      <c r="H11">
        <v>1</v>
      </c>
      <c r="N11" s="3">
        <v>1.32</v>
      </c>
    </row>
    <row r="12" spans="1:16" x14ac:dyDescent="0.25">
      <c r="C12" t="s">
        <v>74</v>
      </c>
      <c r="E12" t="s">
        <v>6</v>
      </c>
      <c r="F12" t="s">
        <v>67</v>
      </c>
      <c r="G12" t="s">
        <v>10</v>
      </c>
      <c r="H12">
        <v>1</v>
      </c>
      <c r="N12" s="3">
        <v>1.35</v>
      </c>
    </row>
    <row r="13" spans="1:16" x14ac:dyDescent="0.25">
      <c r="C13" t="s">
        <v>75</v>
      </c>
      <c r="E13" t="s">
        <v>6</v>
      </c>
      <c r="F13" t="s">
        <v>67</v>
      </c>
      <c r="G13" t="s">
        <v>10</v>
      </c>
      <c r="H13">
        <v>1</v>
      </c>
      <c r="N13" s="3">
        <v>1.35</v>
      </c>
    </row>
    <row r="14" spans="1:16" x14ac:dyDescent="0.25">
      <c r="C14" t="s">
        <v>76</v>
      </c>
      <c r="E14" t="s">
        <v>6</v>
      </c>
      <c r="F14" t="s">
        <v>67</v>
      </c>
      <c r="G14" t="s">
        <v>10</v>
      </c>
      <c r="H14">
        <v>1</v>
      </c>
      <c r="N14" s="3">
        <v>1.33</v>
      </c>
    </row>
    <row r="15" spans="1:16" x14ac:dyDescent="0.25">
      <c r="C15" t="s">
        <v>77</v>
      </c>
      <c r="E15" t="s">
        <v>6</v>
      </c>
      <c r="F15" t="s">
        <v>67</v>
      </c>
      <c r="G15" t="s">
        <v>10</v>
      </c>
      <c r="H15">
        <v>1</v>
      </c>
      <c r="N15" s="3">
        <v>1.32</v>
      </c>
    </row>
    <row r="16" spans="1:16" x14ac:dyDescent="0.25">
      <c r="C16" t="s">
        <v>78</v>
      </c>
      <c r="E16" t="s">
        <v>6</v>
      </c>
      <c r="F16" t="s">
        <v>67</v>
      </c>
      <c r="G16" t="s">
        <v>10</v>
      </c>
      <c r="H16">
        <v>1</v>
      </c>
      <c r="N16" s="3">
        <v>1.32</v>
      </c>
    </row>
    <row r="17" spans="2:14" x14ac:dyDescent="0.25">
      <c r="B17" t="s">
        <v>79</v>
      </c>
      <c r="E17" t="s">
        <v>6</v>
      </c>
      <c r="F17" t="s">
        <v>67</v>
      </c>
      <c r="G17" t="s">
        <v>10</v>
      </c>
      <c r="H17">
        <v>1</v>
      </c>
      <c r="N17" s="3">
        <v>1.38</v>
      </c>
    </row>
    <row r="18" spans="2:14" x14ac:dyDescent="0.25">
      <c r="B18" t="s">
        <v>80</v>
      </c>
      <c r="E18" t="s">
        <v>6</v>
      </c>
      <c r="F18" t="s">
        <v>67</v>
      </c>
      <c r="G18" t="s">
        <v>10</v>
      </c>
      <c r="H18">
        <v>1</v>
      </c>
      <c r="N18" s="3">
        <v>1.38</v>
      </c>
    </row>
    <row r="20" spans="2:14" x14ac:dyDescent="0.25">
      <c r="C20" t="s">
        <v>66</v>
      </c>
      <c r="E20" t="s">
        <v>8</v>
      </c>
      <c r="F20" t="s">
        <v>67</v>
      </c>
      <c r="G20" t="s">
        <v>10</v>
      </c>
      <c r="H20">
        <v>1</v>
      </c>
      <c r="N20" s="3">
        <v>1.45</v>
      </c>
    </row>
    <row r="21" spans="2:14" x14ac:dyDescent="0.25">
      <c r="C21" t="s">
        <v>68</v>
      </c>
      <c r="E21" t="s">
        <v>8</v>
      </c>
      <c r="F21" t="s">
        <v>67</v>
      </c>
      <c r="G21" t="s">
        <v>10</v>
      </c>
      <c r="H21">
        <v>1</v>
      </c>
      <c r="N21" s="3">
        <v>1.45</v>
      </c>
    </row>
    <row r="22" spans="2:14" x14ac:dyDescent="0.25">
      <c r="C22" t="s">
        <v>69</v>
      </c>
      <c r="E22" t="s">
        <v>8</v>
      </c>
      <c r="F22" t="s">
        <v>67</v>
      </c>
      <c r="G22" t="s">
        <v>10</v>
      </c>
      <c r="H22">
        <v>1</v>
      </c>
      <c r="N22" s="3">
        <v>1.64</v>
      </c>
    </row>
    <row r="23" spans="2:14" x14ac:dyDescent="0.25">
      <c r="C23" t="s">
        <v>70</v>
      </c>
      <c r="E23" t="s">
        <v>8</v>
      </c>
      <c r="F23" t="s">
        <v>67</v>
      </c>
      <c r="G23" t="s">
        <v>10</v>
      </c>
      <c r="H23">
        <v>1</v>
      </c>
      <c r="N23" s="3">
        <v>1.33</v>
      </c>
    </row>
    <row r="24" spans="2:14" x14ac:dyDescent="0.25">
      <c r="C24" t="s">
        <v>71</v>
      </c>
      <c r="E24" t="s">
        <v>8</v>
      </c>
      <c r="F24" t="s">
        <v>67</v>
      </c>
      <c r="G24" t="s">
        <v>10</v>
      </c>
      <c r="H24">
        <v>1</v>
      </c>
      <c r="N24" s="3">
        <v>1.33</v>
      </c>
    </row>
    <row r="25" spans="2:14" x14ac:dyDescent="0.25">
      <c r="C25" t="s">
        <v>72</v>
      </c>
      <c r="E25" t="s">
        <v>8</v>
      </c>
      <c r="F25" t="s">
        <v>67</v>
      </c>
      <c r="G25" t="s">
        <v>10</v>
      </c>
      <c r="H25">
        <v>1</v>
      </c>
      <c r="N25" s="3">
        <v>1.35</v>
      </c>
    </row>
    <row r="26" spans="2:14" x14ac:dyDescent="0.25">
      <c r="C26" t="s">
        <v>42</v>
      </c>
      <c r="E26" t="s">
        <v>8</v>
      </c>
      <c r="F26" t="s">
        <v>67</v>
      </c>
      <c r="G26" t="s">
        <v>10</v>
      </c>
      <c r="H26">
        <v>1</v>
      </c>
      <c r="N26" s="3">
        <v>1.37</v>
      </c>
    </row>
    <row r="27" spans="2:14" x14ac:dyDescent="0.25">
      <c r="C27" t="s">
        <v>43</v>
      </c>
      <c r="E27" t="s">
        <v>8</v>
      </c>
      <c r="F27" t="s">
        <v>67</v>
      </c>
      <c r="G27" t="s">
        <v>10</v>
      </c>
      <c r="H27">
        <v>1</v>
      </c>
      <c r="N27" s="3">
        <v>1.37</v>
      </c>
    </row>
    <row r="28" spans="2:14" x14ac:dyDescent="0.25">
      <c r="C28" t="s">
        <v>44</v>
      </c>
      <c r="E28" t="s">
        <v>8</v>
      </c>
      <c r="F28" t="s">
        <v>67</v>
      </c>
      <c r="G28" t="s">
        <v>10</v>
      </c>
      <c r="H28">
        <v>1</v>
      </c>
      <c r="N28" s="3">
        <v>1.32</v>
      </c>
    </row>
    <row r="29" spans="2:14" x14ac:dyDescent="0.25">
      <c r="C29" t="s">
        <v>73</v>
      </c>
      <c r="E29" t="s">
        <v>8</v>
      </c>
      <c r="F29" t="s">
        <v>67</v>
      </c>
      <c r="G29" t="s">
        <v>10</v>
      </c>
      <c r="H29">
        <v>1</v>
      </c>
      <c r="N29" s="3">
        <v>1</v>
      </c>
    </row>
    <row r="30" spans="2:14" x14ac:dyDescent="0.25">
      <c r="C30" t="s">
        <v>74</v>
      </c>
      <c r="E30" t="s">
        <v>8</v>
      </c>
      <c r="F30" t="s">
        <v>67</v>
      </c>
      <c r="G30" t="s">
        <v>10</v>
      </c>
      <c r="H30">
        <v>1</v>
      </c>
      <c r="N30" s="3">
        <v>1.34</v>
      </c>
    </row>
    <row r="31" spans="2:14" x14ac:dyDescent="0.25">
      <c r="C31" t="s">
        <v>75</v>
      </c>
      <c r="E31" t="s">
        <v>8</v>
      </c>
      <c r="F31" t="s">
        <v>67</v>
      </c>
      <c r="G31" t="s">
        <v>10</v>
      </c>
      <c r="H31">
        <v>1</v>
      </c>
      <c r="N31" s="3">
        <v>1.34</v>
      </c>
    </row>
    <row r="32" spans="2:14" x14ac:dyDescent="0.25">
      <c r="C32" t="s">
        <v>76</v>
      </c>
      <c r="E32" t="s">
        <v>8</v>
      </c>
      <c r="F32" t="s">
        <v>67</v>
      </c>
      <c r="G32" t="s">
        <v>10</v>
      </c>
      <c r="H32">
        <v>1</v>
      </c>
      <c r="N32" s="3">
        <v>1</v>
      </c>
    </row>
    <row r="33" spans="1:16" x14ac:dyDescent="0.25">
      <c r="C33" t="s">
        <v>77</v>
      </c>
      <c r="E33" t="s">
        <v>8</v>
      </c>
      <c r="F33" t="s">
        <v>67</v>
      </c>
      <c r="G33" t="s">
        <v>10</v>
      </c>
      <c r="H33">
        <v>1</v>
      </c>
      <c r="N33" s="3">
        <v>1.54</v>
      </c>
    </row>
    <row r="34" spans="1:16" x14ac:dyDescent="0.25">
      <c r="C34" t="s">
        <v>78</v>
      </c>
      <c r="E34" t="s">
        <v>8</v>
      </c>
      <c r="F34" t="s">
        <v>67</v>
      </c>
      <c r="G34" t="s">
        <v>10</v>
      </c>
      <c r="H34">
        <v>1</v>
      </c>
      <c r="N34" s="3">
        <v>1.54</v>
      </c>
    </row>
    <row r="35" spans="1:16" x14ac:dyDescent="0.25">
      <c r="B35" t="s">
        <v>79</v>
      </c>
      <c r="E35" t="s">
        <v>8</v>
      </c>
      <c r="F35" t="s">
        <v>67</v>
      </c>
      <c r="G35" t="s">
        <v>10</v>
      </c>
      <c r="H35">
        <v>1</v>
      </c>
      <c r="N35" s="3">
        <v>1.38</v>
      </c>
    </row>
    <row r="36" spans="1:16" x14ac:dyDescent="0.25">
      <c r="B36" t="s">
        <v>80</v>
      </c>
      <c r="E36" t="s">
        <v>8</v>
      </c>
      <c r="F36" t="s">
        <v>67</v>
      </c>
      <c r="G36" t="s">
        <v>10</v>
      </c>
      <c r="H36">
        <v>1</v>
      </c>
      <c r="N36" s="3">
        <v>1.38</v>
      </c>
    </row>
    <row r="38" spans="1:16" x14ac:dyDescent="0.25">
      <c r="D38" t="s">
        <v>141</v>
      </c>
      <c r="E38" t="s">
        <v>8</v>
      </c>
      <c r="F38" t="s">
        <v>139</v>
      </c>
      <c r="G38" t="s">
        <v>24</v>
      </c>
      <c r="H38">
        <v>100</v>
      </c>
      <c r="I38" s="9">
        <v>8</v>
      </c>
      <c r="K38" s="9"/>
      <c r="P38" s="30" t="s">
        <v>149</v>
      </c>
    </row>
    <row r="39" spans="1:16" x14ac:dyDescent="0.25">
      <c r="D39" t="s">
        <v>142</v>
      </c>
      <c r="E39" t="s">
        <v>8</v>
      </c>
      <c r="F39" t="s">
        <v>139</v>
      </c>
      <c r="G39" t="s">
        <v>24</v>
      </c>
      <c r="H39">
        <v>100</v>
      </c>
      <c r="I39" s="9">
        <v>15</v>
      </c>
      <c r="K39" s="9"/>
      <c r="P39" s="30" t="s">
        <v>150</v>
      </c>
    </row>
    <row r="40" spans="1:16" x14ac:dyDescent="0.25">
      <c r="D40" t="s">
        <v>141</v>
      </c>
      <c r="E40" t="s">
        <v>6</v>
      </c>
      <c r="F40" t="s">
        <v>139</v>
      </c>
      <c r="G40" t="s">
        <v>24</v>
      </c>
      <c r="H40">
        <v>100</v>
      </c>
      <c r="N40" s="9">
        <v>100</v>
      </c>
    </row>
    <row r="41" spans="1:16" x14ac:dyDescent="0.25">
      <c r="D41" t="s">
        <v>142</v>
      </c>
      <c r="E41" t="s">
        <v>6</v>
      </c>
      <c r="F41" t="s">
        <v>139</v>
      </c>
      <c r="G41" t="s">
        <v>24</v>
      </c>
      <c r="H41">
        <v>100</v>
      </c>
      <c r="N41" s="9">
        <v>100</v>
      </c>
    </row>
    <row r="43" spans="1:16" x14ac:dyDescent="0.25">
      <c r="E43" t="s">
        <v>6</v>
      </c>
      <c r="F43" t="s">
        <v>143</v>
      </c>
      <c r="G43" t="s">
        <v>24</v>
      </c>
      <c r="H43">
        <v>0</v>
      </c>
    </row>
    <row r="44" spans="1:16" x14ac:dyDescent="0.25">
      <c r="D44" t="s">
        <v>39</v>
      </c>
      <c r="E44" t="s">
        <v>8</v>
      </c>
      <c r="F44" t="s">
        <v>143</v>
      </c>
      <c r="G44" t="s">
        <v>24</v>
      </c>
      <c r="H44">
        <v>0</v>
      </c>
      <c r="I44" s="28">
        <f>LOG(I$67)*$N44</f>
        <v>8.9431606268443851</v>
      </c>
      <c r="J44" s="28">
        <f t="shared" ref="J44:M44" si="0">LOG(J$67)*$N44</f>
        <v>13.255156633631483</v>
      </c>
      <c r="K44" s="28">
        <f t="shared" si="0"/>
        <v>16.123599479677743</v>
      </c>
      <c r="L44" s="28">
        <f t="shared" si="0"/>
        <v>18.276277047674334</v>
      </c>
      <c r="M44" s="26">
        <v>20</v>
      </c>
      <c r="N44" s="26">
        <v>20</v>
      </c>
      <c r="P44" s="26"/>
    </row>
    <row r="45" spans="1:16" x14ac:dyDescent="0.25">
      <c r="I45" s="28"/>
      <c r="J45" s="28"/>
      <c r="K45" s="28"/>
      <c r="L45" s="28"/>
    </row>
    <row r="46" spans="1:16" x14ac:dyDescent="0.25">
      <c r="A46">
        <v>1214</v>
      </c>
      <c r="D46" t="s">
        <v>39</v>
      </c>
      <c r="E46" t="s">
        <v>8</v>
      </c>
      <c r="F46" t="s">
        <v>143</v>
      </c>
      <c r="G46" t="s">
        <v>24</v>
      </c>
      <c r="H46">
        <v>0</v>
      </c>
      <c r="I46" s="28">
        <f t="shared" ref="I46:M55" si="1">LOG(I$67)*$N46</f>
        <v>11.17895078355548</v>
      </c>
      <c r="J46" s="28">
        <f t="shared" si="1"/>
        <v>16.568945792039351</v>
      </c>
      <c r="K46" s="28">
        <f t="shared" si="1"/>
        <v>20.154499349597181</v>
      </c>
      <c r="L46" s="28">
        <f t="shared" si="1"/>
        <v>22.845346309592919</v>
      </c>
      <c r="M46">
        <v>25</v>
      </c>
      <c r="N46">
        <v>25</v>
      </c>
    </row>
    <row r="47" spans="1:16" x14ac:dyDescent="0.25">
      <c r="A47">
        <v>1216</v>
      </c>
      <c r="D47" t="s">
        <v>39</v>
      </c>
      <c r="E47" t="s">
        <v>8</v>
      </c>
      <c r="F47" t="s">
        <v>143</v>
      </c>
      <c r="G47" t="s">
        <v>24</v>
      </c>
      <c r="H47">
        <v>0</v>
      </c>
      <c r="I47" s="28">
        <f t="shared" si="1"/>
        <v>11.17895078355548</v>
      </c>
      <c r="J47" s="28">
        <f t="shared" si="1"/>
        <v>16.568945792039351</v>
      </c>
      <c r="K47" s="28">
        <f t="shared" si="1"/>
        <v>20.154499349597181</v>
      </c>
      <c r="L47" s="28">
        <f t="shared" si="1"/>
        <v>22.845346309592919</v>
      </c>
      <c r="M47">
        <v>25</v>
      </c>
      <c r="N47">
        <v>25</v>
      </c>
    </row>
    <row r="48" spans="1:16" x14ac:dyDescent="0.25">
      <c r="A48">
        <v>1615</v>
      </c>
      <c r="D48" t="s">
        <v>39</v>
      </c>
      <c r="E48" t="s">
        <v>8</v>
      </c>
      <c r="F48" t="s">
        <v>143</v>
      </c>
      <c r="G48" t="s">
        <v>24</v>
      </c>
      <c r="H48">
        <v>0</v>
      </c>
      <c r="I48" s="28">
        <f t="shared" si="1"/>
        <v>11.17895078355548</v>
      </c>
      <c r="J48" s="28">
        <f t="shared" si="1"/>
        <v>16.568945792039351</v>
      </c>
      <c r="K48" s="28">
        <f t="shared" si="1"/>
        <v>20.154499349597181</v>
      </c>
      <c r="L48" s="28">
        <f t="shared" si="1"/>
        <v>22.845346309592919</v>
      </c>
      <c r="M48">
        <v>25</v>
      </c>
      <c r="N48">
        <v>25</v>
      </c>
    </row>
    <row r="49" spans="1:14" x14ac:dyDescent="0.25">
      <c r="A49">
        <v>1711</v>
      </c>
      <c r="D49" t="s">
        <v>39</v>
      </c>
      <c r="E49" t="s">
        <v>8</v>
      </c>
      <c r="F49" t="s">
        <v>143</v>
      </c>
      <c r="G49" t="s">
        <v>24</v>
      </c>
      <c r="H49">
        <v>0</v>
      </c>
      <c r="I49" s="28">
        <f t="shared" si="1"/>
        <v>11.17895078355548</v>
      </c>
      <c r="J49" s="28">
        <f t="shared" si="1"/>
        <v>16.568945792039351</v>
      </c>
      <c r="K49" s="28">
        <f t="shared" si="1"/>
        <v>20.154499349597181</v>
      </c>
      <c r="L49" s="28">
        <f t="shared" si="1"/>
        <v>22.845346309592919</v>
      </c>
      <c r="M49">
        <v>25</v>
      </c>
      <c r="N49">
        <v>25</v>
      </c>
    </row>
    <row r="50" spans="1:14" x14ac:dyDescent="0.25">
      <c r="A50">
        <v>1722</v>
      </c>
      <c r="D50" t="s">
        <v>39</v>
      </c>
      <c r="E50" t="s">
        <v>8</v>
      </c>
      <c r="F50" t="s">
        <v>143</v>
      </c>
      <c r="G50" t="s">
        <v>24</v>
      </c>
      <c r="H50">
        <v>0</v>
      </c>
      <c r="I50" s="28">
        <f t="shared" si="1"/>
        <v>11.17895078355548</v>
      </c>
      <c r="J50" s="28">
        <f t="shared" si="1"/>
        <v>16.568945792039351</v>
      </c>
      <c r="K50" s="28">
        <f t="shared" si="1"/>
        <v>20.154499349597181</v>
      </c>
      <c r="L50" s="28">
        <f t="shared" si="1"/>
        <v>22.845346309592919</v>
      </c>
      <c r="M50">
        <v>25</v>
      </c>
      <c r="N50">
        <v>25</v>
      </c>
    </row>
    <row r="51" spans="1:14" x14ac:dyDescent="0.25">
      <c r="A51">
        <v>1812</v>
      </c>
      <c r="D51" t="s">
        <v>39</v>
      </c>
      <c r="E51" t="s">
        <v>8</v>
      </c>
      <c r="F51" t="s">
        <v>143</v>
      </c>
      <c r="G51" t="s">
        <v>24</v>
      </c>
      <c r="H51">
        <v>0</v>
      </c>
      <c r="I51" s="28">
        <f t="shared" si="1"/>
        <v>11.17895078355548</v>
      </c>
      <c r="J51" s="28">
        <f t="shared" si="1"/>
        <v>16.568945792039351</v>
      </c>
      <c r="K51" s="28">
        <f t="shared" si="1"/>
        <v>20.154499349597181</v>
      </c>
      <c r="L51" s="28">
        <f t="shared" si="1"/>
        <v>22.845346309592919</v>
      </c>
      <c r="M51">
        <v>25</v>
      </c>
      <c r="N51">
        <v>25</v>
      </c>
    </row>
    <row r="52" spans="1:14" x14ac:dyDescent="0.25">
      <c r="A52">
        <v>1821</v>
      </c>
      <c r="D52" t="s">
        <v>39</v>
      </c>
      <c r="E52" t="s">
        <v>8</v>
      </c>
      <c r="F52" t="s">
        <v>143</v>
      </c>
      <c r="G52" t="s">
        <v>24</v>
      </c>
      <c r="H52">
        <v>0</v>
      </c>
      <c r="I52" s="28">
        <f t="shared" si="1"/>
        <v>11.17895078355548</v>
      </c>
      <c r="J52" s="28">
        <f t="shared" si="1"/>
        <v>16.568945792039351</v>
      </c>
      <c r="K52" s="28">
        <f t="shared" si="1"/>
        <v>20.154499349597181</v>
      </c>
      <c r="L52" s="28">
        <f t="shared" si="1"/>
        <v>22.845346309592919</v>
      </c>
      <c r="M52">
        <v>25</v>
      </c>
      <c r="N52">
        <v>25</v>
      </c>
    </row>
    <row r="53" spans="1:14" x14ac:dyDescent="0.25">
      <c r="A53">
        <v>2011</v>
      </c>
      <c r="D53" t="s">
        <v>39</v>
      </c>
      <c r="E53" t="s">
        <v>8</v>
      </c>
      <c r="F53" t="s">
        <v>143</v>
      </c>
      <c r="G53" t="s">
        <v>24</v>
      </c>
      <c r="H53">
        <v>0</v>
      </c>
      <c r="I53" s="28">
        <f t="shared" si="1"/>
        <v>11.17895078355548</v>
      </c>
      <c r="J53" s="28">
        <f t="shared" si="1"/>
        <v>16.568945792039351</v>
      </c>
      <c r="K53" s="28">
        <f t="shared" si="1"/>
        <v>20.154499349597181</v>
      </c>
      <c r="L53" s="28">
        <f t="shared" si="1"/>
        <v>22.845346309592919</v>
      </c>
      <c r="M53">
        <v>25</v>
      </c>
      <c r="N53">
        <v>25</v>
      </c>
    </row>
    <row r="54" spans="1:14" x14ac:dyDescent="0.25">
      <c r="A54">
        <v>311</v>
      </c>
      <c r="D54" t="s">
        <v>39</v>
      </c>
      <c r="E54" t="s">
        <v>8</v>
      </c>
      <c r="F54" t="s">
        <v>143</v>
      </c>
      <c r="G54" t="s">
        <v>24</v>
      </c>
      <c r="H54">
        <v>0</v>
      </c>
      <c r="I54" s="28">
        <f t="shared" si="1"/>
        <v>11.17895078355548</v>
      </c>
      <c r="J54" s="28">
        <f t="shared" si="1"/>
        <v>16.568945792039351</v>
      </c>
      <c r="K54" s="28">
        <f t="shared" si="1"/>
        <v>20.154499349597181</v>
      </c>
      <c r="L54" s="28">
        <f t="shared" si="1"/>
        <v>22.845346309592919</v>
      </c>
      <c r="M54">
        <v>25</v>
      </c>
      <c r="N54">
        <v>25</v>
      </c>
    </row>
    <row r="55" spans="1:14" x14ac:dyDescent="0.25">
      <c r="A55">
        <v>321</v>
      </c>
      <c r="D55" t="s">
        <v>39</v>
      </c>
      <c r="E55" t="s">
        <v>8</v>
      </c>
      <c r="F55" t="s">
        <v>143</v>
      </c>
      <c r="G55" t="s">
        <v>24</v>
      </c>
      <c r="H55">
        <v>0</v>
      </c>
      <c r="I55" s="28">
        <f t="shared" si="1"/>
        <v>11.17895078355548</v>
      </c>
      <c r="J55" s="28">
        <f t="shared" si="1"/>
        <v>16.568945792039351</v>
      </c>
      <c r="K55" s="28">
        <f t="shared" si="1"/>
        <v>20.154499349597181</v>
      </c>
      <c r="L55" s="28">
        <f t="shared" si="1"/>
        <v>22.845346309592919</v>
      </c>
      <c r="M55">
        <v>25</v>
      </c>
      <c r="N55">
        <v>25</v>
      </c>
    </row>
    <row r="56" spans="1:14" x14ac:dyDescent="0.25">
      <c r="I56" s="28"/>
      <c r="J56" s="28"/>
      <c r="K56" s="28"/>
      <c r="L56" s="28"/>
    </row>
    <row r="57" spans="1:14" x14ac:dyDescent="0.25">
      <c r="A57">
        <v>1111</v>
      </c>
      <c r="D57" t="s">
        <v>39</v>
      </c>
      <c r="E57" t="s">
        <v>8</v>
      </c>
      <c r="F57" t="s">
        <v>143</v>
      </c>
      <c r="G57" t="s">
        <v>24</v>
      </c>
      <c r="H57">
        <v>0</v>
      </c>
      <c r="I57" s="28">
        <f t="shared" ref="I57:M65" si="2">LOG(I$67)*$N57</f>
        <v>14.756215034293234</v>
      </c>
      <c r="J57" s="28">
        <f t="shared" si="2"/>
        <v>21.871008445491945</v>
      </c>
      <c r="K57" s="28">
        <f t="shared" si="2"/>
        <v>26.603939141468278</v>
      </c>
      <c r="L57" s="28">
        <f t="shared" si="2"/>
        <v>30.155857128662653</v>
      </c>
      <c r="M57">
        <v>33</v>
      </c>
      <c r="N57">
        <v>33</v>
      </c>
    </row>
    <row r="58" spans="1:14" x14ac:dyDescent="0.25">
      <c r="A58">
        <v>1211</v>
      </c>
      <c r="D58" t="s">
        <v>39</v>
      </c>
      <c r="E58" t="s">
        <v>8</v>
      </c>
      <c r="F58" t="s">
        <v>143</v>
      </c>
      <c r="G58" t="s">
        <v>24</v>
      </c>
      <c r="H58">
        <v>0</v>
      </c>
      <c r="I58" s="28">
        <f t="shared" si="2"/>
        <v>14.756215034293234</v>
      </c>
      <c r="J58" s="28">
        <f t="shared" si="2"/>
        <v>21.871008445491945</v>
      </c>
      <c r="K58" s="28">
        <f t="shared" si="2"/>
        <v>26.603939141468278</v>
      </c>
      <c r="L58" s="28">
        <f t="shared" si="2"/>
        <v>30.155857128662653</v>
      </c>
      <c r="M58">
        <v>33</v>
      </c>
      <c r="N58">
        <v>33</v>
      </c>
    </row>
    <row r="59" spans="1:14" x14ac:dyDescent="0.25">
      <c r="A59">
        <v>1222</v>
      </c>
      <c r="D59" t="s">
        <v>39</v>
      </c>
      <c r="E59" t="s">
        <v>8</v>
      </c>
      <c r="F59" t="s">
        <v>143</v>
      </c>
      <c r="G59" t="s">
        <v>24</v>
      </c>
      <c r="H59">
        <v>0</v>
      </c>
      <c r="I59" s="28">
        <f t="shared" si="2"/>
        <v>14.756215034293234</v>
      </c>
      <c r="J59" s="28">
        <f t="shared" si="2"/>
        <v>21.871008445491945</v>
      </c>
      <c r="K59" s="28">
        <f t="shared" si="2"/>
        <v>26.603939141468278</v>
      </c>
      <c r="L59" s="28">
        <f t="shared" si="2"/>
        <v>30.155857128662653</v>
      </c>
      <c r="M59">
        <v>33</v>
      </c>
      <c r="N59">
        <v>33</v>
      </c>
    </row>
    <row r="60" spans="1:14" x14ac:dyDescent="0.25">
      <c r="A60">
        <v>1622</v>
      </c>
      <c r="D60" t="s">
        <v>39</v>
      </c>
      <c r="E60" t="s">
        <v>8</v>
      </c>
      <c r="F60" t="s">
        <v>143</v>
      </c>
      <c r="G60" t="s">
        <v>24</v>
      </c>
      <c r="H60">
        <v>0</v>
      </c>
      <c r="I60" s="28">
        <f t="shared" si="2"/>
        <v>14.756215034293234</v>
      </c>
      <c r="J60" s="28">
        <f t="shared" si="2"/>
        <v>21.871008445491945</v>
      </c>
      <c r="K60" s="28">
        <f t="shared" si="2"/>
        <v>26.603939141468278</v>
      </c>
      <c r="L60" s="28">
        <f t="shared" si="2"/>
        <v>30.155857128662653</v>
      </c>
      <c r="M60">
        <v>33</v>
      </c>
      <c r="N60">
        <v>33</v>
      </c>
    </row>
    <row r="61" spans="1:14" x14ac:dyDescent="0.25">
      <c r="A61">
        <v>1623</v>
      </c>
      <c r="D61" t="s">
        <v>39</v>
      </c>
      <c r="E61" t="s">
        <v>8</v>
      </c>
      <c r="F61" t="s">
        <v>143</v>
      </c>
      <c r="G61" t="s">
        <v>24</v>
      </c>
      <c r="H61">
        <v>0</v>
      </c>
      <c r="I61" s="28">
        <f t="shared" si="2"/>
        <v>14.756215034293234</v>
      </c>
      <c r="J61" s="28">
        <f t="shared" si="2"/>
        <v>21.871008445491945</v>
      </c>
      <c r="K61" s="28">
        <f t="shared" si="2"/>
        <v>26.603939141468278</v>
      </c>
      <c r="L61" s="28">
        <f t="shared" si="2"/>
        <v>30.155857128662653</v>
      </c>
      <c r="M61">
        <v>33</v>
      </c>
      <c r="N61">
        <v>33</v>
      </c>
    </row>
    <row r="62" spans="1:14" x14ac:dyDescent="0.25">
      <c r="A62">
        <v>1911</v>
      </c>
      <c r="D62" t="s">
        <v>39</v>
      </c>
      <c r="E62" t="s">
        <v>8</v>
      </c>
      <c r="F62" t="s">
        <v>143</v>
      </c>
      <c r="G62" t="s">
        <v>24</v>
      </c>
      <c r="H62">
        <v>0</v>
      </c>
      <c r="I62" s="28">
        <f t="shared" si="2"/>
        <v>14.756215034293234</v>
      </c>
      <c r="J62" s="28">
        <f t="shared" si="2"/>
        <v>21.871008445491945</v>
      </c>
      <c r="K62" s="28">
        <f t="shared" si="2"/>
        <v>26.603939141468278</v>
      </c>
      <c r="L62" s="28">
        <f t="shared" si="2"/>
        <v>30.155857128662653</v>
      </c>
      <c r="M62">
        <v>33</v>
      </c>
      <c r="N62">
        <v>33</v>
      </c>
    </row>
    <row r="63" spans="1:14" x14ac:dyDescent="0.25">
      <c r="A63">
        <v>1921</v>
      </c>
      <c r="D63" t="s">
        <v>39</v>
      </c>
      <c r="E63" t="s">
        <v>8</v>
      </c>
      <c r="F63" t="s">
        <v>143</v>
      </c>
      <c r="G63" t="s">
        <v>24</v>
      </c>
      <c r="H63">
        <v>0</v>
      </c>
      <c r="I63" s="28">
        <f t="shared" si="2"/>
        <v>14.756215034293234</v>
      </c>
      <c r="J63" s="28">
        <f t="shared" si="2"/>
        <v>21.871008445491945</v>
      </c>
      <c r="K63" s="28">
        <f t="shared" si="2"/>
        <v>26.603939141468278</v>
      </c>
      <c r="L63" s="28">
        <f t="shared" si="2"/>
        <v>30.155857128662653</v>
      </c>
      <c r="M63">
        <v>33</v>
      </c>
      <c r="N63">
        <v>33</v>
      </c>
    </row>
    <row r="64" spans="1:14" x14ac:dyDescent="0.25">
      <c r="A64">
        <v>422</v>
      </c>
      <c r="D64" t="s">
        <v>39</v>
      </c>
      <c r="E64" t="s">
        <v>8</v>
      </c>
      <c r="F64" t="s">
        <v>143</v>
      </c>
      <c r="G64" t="s">
        <v>24</v>
      </c>
      <c r="H64">
        <v>0</v>
      </c>
      <c r="I64" s="28">
        <f t="shared" si="2"/>
        <v>14.756215034293234</v>
      </c>
      <c r="J64" s="28">
        <f t="shared" si="2"/>
        <v>21.871008445491945</v>
      </c>
      <c r="K64" s="28">
        <f t="shared" si="2"/>
        <v>26.603939141468278</v>
      </c>
      <c r="L64" s="28">
        <f t="shared" si="2"/>
        <v>30.155857128662653</v>
      </c>
      <c r="M64">
        <v>33</v>
      </c>
      <c r="N64">
        <v>33</v>
      </c>
    </row>
    <row r="65" spans="1:14" x14ac:dyDescent="0.25">
      <c r="A65">
        <v>912</v>
      </c>
      <c r="D65" t="s">
        <v>39</v>
      </c>
      <c r="E65" t="s">
        <v>8</v>
      </c>
      <c r="F65" t="s">
        <v>143</v>
      </c>
      <c r="G65" t="s">
        <v>24</v>
      </c>
      <c r="H65">
        <v>0</v>
      </c>
      <c r="I65" s="28">
        <f t="shared" si="2"/>
        <v>14.756215034293234</v>
      </c>
      <c r="J65" s="28">
        <f t="shared" si="2"/>
        <v>21.871008445491945</v>
      </c>
      <c r="K65" s="28">
        <f t="shared" si="2"/>
        <v>26.603939141468278</v>
      </c>
      <c r="L65" s="28">
        <f t="shared" si="2"/>
        <v>30.155857128662653</v>
      </c>
      <c r="M65">
        <v>33</v>
      </c>
      <c r="N65">
        <v>33</v>
      </c>
    </row>
    <row r="67" spans="1:14" x14ac:dyDescent="0.25">
      <c r="H67" s="27">
        <v>1</v>
      </c>
      <c r="I67" s="27">
        <f>H67+($M67-$H67)/5</f>
        <v>2.8</v>
      </c>
      <c r="J67" s="27">
        <f t="shared" ref="J67:L67" si="3">I67+($M67-$H67)/5</f>
        <v>4.5999999999999996</v>
      </c>
      <c r="K67" s="27">
        <f t="shared" si="3"/>
        <v>6.3999999999999995</v>
      </c>
      <c r="L67" s="27">
        <f t="shared" si="3"/>
        <v>8.1999999999999993</v>
      </c>
      <c r="M67" s="27">
        <v>10</v>
      </c>
      <c r="N67" s="27">
        <v>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K3" sqref="K3"/>
    </sheetView>
  </sheetViews>
  <sheetFormatPr defaultRowHeight="15" x14ac:dyDescent="0.25"/>
  <cols>
    <col min="2" max="2" width="14.28515625" bestFit="1" customWidth="1"/>
    <col min="3" max="3" width="10" bestFit="1" customWidth="1"/>
    <col min="4" max="4" width="12.5703125" bestFit="1" customWidth="1"/>
    <col min="5" max="5" width="12.5703125" customWidth="1"/>
    <col min="6" max="6" width="21" bestFit="1" customWidth="1"/>
  </cols>
  <sheetData>
    <row r="1" spans="1:9" x14ac:dyDescent="0.25">
      <c r="A1" s="1" t="s">
        <v>2</v>
      </c>
      <c r="B1" s="1" t="s">
        <v>3</v>
      </c>
      <c r="C1" s="1" t="s">
        <v>14</v>
      </c>
      <c r="D1" s="1" t="s">
        <v>15</v>
      </c>
      <c r="E1" s="1" t="s">
        <v>58</v>
      </c>
      <c r="F1" s="1" t="s">
        <v>1</v>
      </c>
      <c r="G1" s="1" t="s">
        <v>0</v>
      </c>
      <c r="H1" s="1" t="s">
        <v>7</v>
      </c>
      <c r="I1" s="1" t="s">
        <v>16</v>
      </c>
    </row>
    <row r="2" spans="1:9" x14ac:dyDescent="0.25">
      <c r="A2" s="7" t="s">
        <v>11</v>
      </c>
      <c r="B2" s="7"/>
    </row>
    <row r="3" spans="1:9" x14ac:dyDescent="0.25">
      <c r="A3" t="s">
        <v>4</v>
      </c>
      <c r="C3" t="s">
        <v>8</v>
      </c>
      <c r="D3" t="s">
        <v>6</v>
      </c>
      <c r="F3" t="s">
        <v>12</v>
      </c>
      <c r="G3" t="s">
        <v>10</v>
      </c>
      <c r="H3">
        <v>1</v>
      </c>
      <c r="I3">
        <v>0</v>
      </c>
    </row>
    <row r="4" spans="1:9" x14ac:dyDescent="0.25">
      <c r="A4" t="s">
        <v>4</v>
      </c>
      <c r="C4" t="s">
        <v>8</v>
      </c>
      <c r="D4" t="s">
        <v>6</v>
      </c>
      <c r="F4" t="s">
        <v>13</v>
      </c>
      <c r="G4" t="s">
        <v>10</v>
      </c>
      <c r="H4">
        <v>1</v>
      </c>
      <c r="I4">
        <v>0</v>
      </c>
    </row>
    <row r="5" spans="1:9" x14ac:dyDescent="0.25">
      <c r="A5" t="s">
        <v>5</v>
      </c>
      <c r="C5" t="s">
        <v>8</v>
      </c>
      <c r="D5" t="s">
        <v>6</v>
      </c>
      <c r="F5" t="s">
        <v>12</v>
      </c>
      <c r="G5" t="s">
        <v>10</v>
      </c>
      <c r="H5">
        <v>1</v>
      </c>
      <c r="I5">
        <v>0</v>
      </c>
    </row>
    <row r="6" spans="1:9" x14ac:dyDescent="0.25">
      <c r="A6" t="s">
        <v>5</v>
      </c>
      <c r="C6" t="s">
        <v>8</v>
      </c>
      <c r="D6" t="s">
        <v>6</v>
      </c>
      <c r="F6" t="s">
        <v>13</v>
      </c>
      <c r="G6" t="s">
        <v>10</v>
      </c>
      <c r="H6">
        <v>1</v>
      </c>
      <c r="I6">
        <v>0</v>
      </c>
    </row>
    <row r="8" spans="1:9" x14ac:dyDescent="0.25">
      <c r="B8" t="s">
        <v>6</v>
      </c>
      <c r="F8" t="s">
        <v>60</v>
      </c>
      <c r="G8" s="4" t="s">
        <v>10</v>
      </c>
      <c r="H8" s="4">
        <v>1</v>
      </c>
      <c r="I8">
        <v>1.41</v>
      </c>
    </row>
    <row r="9" spans="1:9" x14ac:dyDescent="0.25">
      <c r="B9" t="s">
        <v>8</v>
      </c>
      <c r="F9" t="s">
        <v>60</v>
      </c>
      <c r="G9" s="4" t="s">
        <v>10</v>
      </c>
      <c r="H9" s="4">
        <v>1</v>
      </c>
      <c r="I9">
        <v>1.33</v>
      </c>
    </row>
    <row r="11" spans="1:9" x14ac:dyDescent="0.25">
      <c r="E11" s="4" t="s">
        <v>54</v>
      </c>
      <c r="F11" s="4" t="s">
        <v>55</v>
      </c>
      <c r="G11" s="4" t="s">
        <v>10</v>
      </c>
      <c r="H11" s="4">
        <v>1</v>
      </c>
      <c r="I11" s="4">
        <f>AVERAGE(1.33,1.31)</f>
        <v>1.32</v>
      </c>
    </row>
    <row r="12" spans="1:9" x14ac:dyDescent="0.25">
      <c r="E12" s="4" t="s">
        <v>56</v>
      </c>
      <c r="F12" s="4" t="s">
        <v>55</v>
      </c>
      <c r="G12" s="4" t="s">
        <v>10</v>
      </c>
      <c r="H12" s="4">
        <v>1</v>
      </c>
      <c r="I12" s="4">
        <f t="shared" ref="I12:I16" si="0">AVERAGE(1.33,1.31)</f>
        <v>1.32</v>
      </c>
    </row>
    <row r="13" spans="1:9" x14ac:dyDescent="0.25">
      <c r="E13" s="4" t="s">
        <v>57</v>
      </c>
      <c r="F13" s="4" t="s">
        <v>55</v>
      </c>
      <c r="G13" s="4" t="s">
        <v>10</v>
      </c>
      <c r="H13" s="4">
        <v>1</v>
      </c>
      <c r="I13" s="4">
        <f t="shared" si="0"/>
        <v>1.32</v>
      </c>
    </row>
    <row r="14" spans="1:9" x14ac:dyDescent="0.25">
      <c r="E14" s="4" t="s">
        <v>54</v>
      </c>
      <c r="F14" t="s">
        <v>59</v>
      </c>
      <c r="G14" s="4" t="s">
        <v>10</v>
      </c>
      <c r="H14" s="4">
        <v>1</v>
      </c>
      <c r="I14" s="4">
        <f t="shared" si="0"/>
        <v>1.32</v>
      </c>
    </row>
    <row r="15" spans="1:9" x14ac:dyDescent="0.25">
      <c r="E15" s="4" t="s">
        <v>56</v>
      </c>
      <c r="F15" t="s">
        <v>59</v>
      </c>
      <c r="G15" s="4" t="s">
        <v>10</v>
      </c>
      <c r="H15" s="4">
        <v>1</v>
      </c>
      <c r="I15" s="4">
        <f t="shared" si="0"/>
        <v>1.32</v>
      </c>
    </row>
    <row r="16" spans="1:9" x14ac:dyDescent="0.25">
      <c r="E16" s="4" t="s">
        <v>57</v>
      </c>
      <c r="F16" t="s">
        <v>59</v>
      </c>
      <c r="G16" s="4" t="s">
        <v>10</v>
      </c>
      <c r="H16" s="4">
        <v>1</v>
      </c>
      <c r="I16" s="4">
        <f t="shared" si="0"/>
        <v>1.32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H2" sqref="H2"/>
    </sheetView>
  </sheetViews>
  <sheetFormatPr defaultRowHeight="15" x14ac:dyDescent="0.25"/>
  <cols>
    <col min="1" max="1" width="14.28515625" bestFit="1" customWidth="1"/>
    <col min="2" max="2" width="12.7109375" bestFit="1" customWidth="1"/>
    <col min="3" max="3" width="16.5703125" bestFit="1" customWidth="1"/>
  </cols>
  <sheetData>
    <row r="1" spans="1:8" x14ac:dyDescent="0.25">
      <c r="A1" s="1" t="s">
        <v>3</v>
      </c>
      <c r="B1" s="1" t="s">
        <v>58</v>
      </c>
      <c r="C1" s="1" t="s">
        <v>1</v>
      </c>
      <c r="D1" s="1" t="s">
        <v>0</v>
      </c>
      <c r="E1" s="1" t="s">
        <v>7</v>
      </c>
      <c r="F1" s="1" t="s">
        <v>16</v>
      </c>
    </row>
    <row r="2" spans="1:8" x14ac:dyDescent="0.25">
      <c r="B2" t="s">
        <v>61</v>
      </c>
      <c r="C2" t="s">
        <v>59</v>
      </c>
      <c r="D2" t="s">
        <v>10</v>
      </c>
      <c r="E2">
        <v>1</v>
      </c>
      <c r="F2">
        <v>1.25</v>
      </c>
      <c r="H2" s="30" t="s">
        <v>155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H2" sqref="H2"/>
    </sheetView>
  </sheetViews>
  <sheetFormatPr defaultRowHeight="15" x14ac:dyDescent="0.25"/>
  <cols>
    <col min="3" max="3" width="21.42578125" bestFit="1" customWidth="1"/>
  </cols>
  <sheetData>
    <row r="1" spans="1:8" x14ac:dyDescent="0.25">
      <c r="A1" s="1" t="s">
        <v>3</v>
      </c>
      <c r="B1" s="1" t="s">
        <v>58</v>
      </c>
      <c r="C1" s="1" t="s">
        <v>1</v>
      </c>
      <c r="D1" s="1" t="s">
        <v>0</v>
      </c>
      <c r="E1" s="1" t="s">
        <v>7</v>
      </c>
      <c r="F1" s="1" t="s">
        <v>16</v>
      </c>
    </row>
    <row r="2" spans="1:8" x14ac:dyDescent="0.25">
      <c r="B2" t="s">
        <v>62</v>
      </c>
      <c r="C2" t="s">
        <v>59</v>
      </c>
      <c r="D2" t="s">
        <v>10</v>
      </c>
      <c r="E2">
        <v>1</v>
      </c>
      <c r="F2">
        <v>1.27</v>
      </c>
      <c r="H2" s="30" t="s">
        <v>155</v>
      </c>
    </row>
    <row r="3" spans="1:8" x14ac:dyDescent="0.25">
      <c r="B3" t="s">
        <v>62</v>
      </c>
      <c r="C3" t="s">
        <v>63</v>
      </c>
      <c r="D3" t="s">
        <v>10</v>
      </c>
      <c r="E3">
        <v>1</v>
      </c>
      <c r="F3">
        <v>0.9</v>
      </c>
      <c r="H3" s="30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H10" sqref="H10"/>
    </sheetView>
  </sheetViews>
  <sheetFormatPr defaultRowHeight="15" x14ac:dyDescent="0.25"/>
  <cols>
    <col min="1" max="1" width="15" bestFit="1" customWidth="1"/>
  </cols>
  <sheetData>
    <row r="1" spans="1:6" x14ac:dyDescent="0.25">
      <c r="A1" s="1" t="s">
        <v>1</v>
      </c>
      <c r="B1" s="1" t="s">
        <v>0</v>
      </c>
      <c r="C1" s="1" t="s">
        <v>7</v>
      </c>
      <c r="D1" s="1" t="s">
        <v>16</v>
      </c>
    </row>
    <row r="2" spans="1:6" x14ac:dyDescent="0.25">
      <c r="A2" t="s">
        <v>64</v>
      </c>
      <c r="B2" t="s">
        <v>10</v>
      </c>
      <c r="C2">
        <v>1</v>
      </c>
      <c r="D2">
        <v>1.1499999999999999</v>
      </c>
      <c r="F2" s="30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F9" sqref="F9"/>
    </sheetView>
  </sheetViews>
  <sheetFormatPr defaultRowHeight="15" x14ac:dyDescent="0.25"/>
  <cols>
    <col min="1" max="1" width="21.7109375" bestFit="1" customWidth="1"/>
    <col min="2" max="2" width="18.7109375" bestFit="1" customWidth="1"/>
    <col min="3" max="3" width="16" bestFit="1" customWidth="1"/>
    <col min="4" max="4" width="7.42578125" customWidth="1"/>
    <col min="5" max="5" width="7" bestFit="1" customWidth="1"/>
  </cols>
  <sheetData>
    <row r="1" spans="1:6" x14ac:dyDescent="0.25">
      <c r="A1" s="1" t="s">
        <v>26</v>
      </c>
      <c r="B1" s="1" t="s">
        <v>27</v>
      </c>
      <c r="C1" s="1" t="s">
        <v>1</v>
      </c>
      <c r="D1" s="1" t="s">
        <v>0</v>
      </c>
      <c r="E1" s="1" t="s">
        <v>7</v>
      </c>
      <c r="F1" s="1" t="s">
        <v>16</v>
      </c>
    </row>
    <row r="3" spans="1:6" x14ac:dyDescent="0.25">
      <c r="A3" t="s">
        <v>29</v>
      </c>
      <c r="B3" t="s">
        <v>30</v>
      </c>
      <c r="C3" t="s">
        <v>28</v>
      </c>
      <c r="D3" t="s">
        <v>36</v>
      </c>
      <c r="E3">
        <v>40</v>
      </c>
      <c r="F3">
        <v>80</v>
      </c>
    </row>
    <row r="4" spans="1:6" x14ac:dyDescent="0.25">
      <c r="A4" t="s">
        <v>29</v>
      </c>
      <c r="B4" t="s">
        <v>31</v>
      </c>
      <c r="C4" t="s">
        <v>28</v>
      </c>
      <c r="D4" t="s">
        <v>36</v>
      </c>
      <c r="E4">
        <v>5</v>
      </c>
      <c r="F4">
        <v>0</v>
      </c>
    </row>
    <row r="5" spans="1:6" x14ac:dyDescent="0.25">
      <c r="A5" t="s">
        <v>29</v>
      </c>
      <c r="B5" t="s">
        <v>32</v>
      </c>
      <c r="C5" t="s">
        <v>28</v>
      </c>
      <c r="D5" t="s">
        <v>36</v>
      </c>
      <c r="E5">
        <v>50</v>
      </c>
      <c r="F5">
        <v>20</v>
      </c>
    </row>
    <row r="6" spans="1:6" x14ac:dyDescent="0.25">
      <c r="A6" t="s">
        <v>29</v>
      </c>
      <c r="B6" t="s">
        <v>33</v>
      </c>
      <c r="C6" t="s">
        <v>28</v>
      </c>
      <c r="D6" t="s">
        <v>36</v>
      </c>
      <c r="E6">
        <v>5</v>
      </c>
      <c r="F6">
        <v>0</v>
      </c>
    </row>
    <row r="8" spans="1:6" x14ac:dyDescent="0.25">
      <c r="A8" t="s">
        <v>34</v>
      </c>
      <c r="B8" t="s">
        <v>30</v>
      </c>
      <c r="C8" t="s">
        <v>28</v>
      </c>
      <c r="D8" t="s">
        <v>36</v>
      </c>
      <c r="E8">
        <v>40</v>
      </c>
      <c r="F8">
        <v>100</v>
      </c>
    </row>
    <row r="9" spans="1:6" x14ac:dyDescent="0.25">
      <c r="A9" t="s">
        <v>34</v>
      </c>
      <c r="B9" t="s">
        <v>31</v>
      </c>
      <c r="C9" t="s">
        <v>28</v>
      </c>
      <c r="D9" t="s">
        <v>36</v>
      </c>
      <c r="E9">
        <v>5</v>
      </c>
      <c r="F9">
        <v>0</v>
      </c>
    </row>
    <row r="10" spans="1:6" x14ac:dyDescent="0.25">
      <c r="A10" t="s">
        <v>34</v>
      </c>
      <c r="B10" t="s">
        <v>32</v>
      </c>
      <c r="C10" t="s">
        <v>28</v>
      </c>
      <c r="D10" t="s">
        <v>36</v>
      </c>
      <c r="E10">
        <v>50</v>
      </c>
      <c r="F10">
        <v>0</v>
      </c>
    </row>
    <row r="11" spans="1:6" x14ac:dyDescent="0.25">
      <c r="A11" t="s">
        <v>34</v>
      </c>
      <c r="B11" t="s">
        <v>33</v>
      </c>
      <c r="C11" t="s">
        <v>28</v>
      </c>
      <c r="D11" t="s">
        <v>36</v>
      </c>
      <c r="E11">
        <v>5</v>
      </c>
      <c r="F11">
        <v>0</v>
      </c>
    </row>
    <row r="13" spans="1:6" x14ac:dyDescent="0.25">
      <c r="A13" t="s">
        <v>35</v>
      </c>
      <c r="B13" t="s">
        <v>30</v>
      </c>
      <c r="C13" t="s">
        <v>28</v>
      </c>
      <c r="D13" t="s">
        <v>36</v>
      </c>
      <c r="E13">
        <v>40</v>
      </c>
      <c r="F13">
        <v>100</v>
      </c>
    </row>
    <row r="14" spans="1:6" x14ac:dyDescent="0.25">
      <c r="A14" t="s">
        <v>35</v>
      </c>
      <c r="B14" t="s">
        <v>31</v>
      </c>
      <c r="C14" t="s">
        <v>28</v>
      </c>
      <c r="D14" t="s">
        <v>36</v>
      </c>
      <c r="E14">
        <v>5</v>
      </c>
      <c r="F14">
        <v>0</v>
      </c>
    </row>
    <row r="15" spans="1:6" x14ac:dyDescent="0.25">
      <c r="A15" t="s">
        <v>35</v>
      </c>
      <c r="B15" t="s">
        <v>32</v>
      </c>
      <c r="C15" t="s">
        <v>28</v>
      </c>
      <c r="D15" t="s">
        <v>36</v>
      </c>
      <c r="E15">
        <v>50</v>
      </c>
      <c r="F15">
        <v>0</v>
      </c>
    </row>
    <row r="16" spans="1:6" x14ac:dyDescent="0.25">
      <c r="A16" t="s">
        <v>35</v>
      </c>
      <c r="B16" t="s">
        <v>33</v>
      </c>
      <c r="C16" t="s">
        <v>28</v>
      </c>
      <c r="D16" t="s">
        <v>36</v>
      </c>
      <c r="E16">
        <v>5</v>
      </c>
      <c r="F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I10" sqref="I10"/>
    </sheetView>
  </sheetViews>
  <sheetFormatPr defaultRowHeight="15" x14ac:dyDescent="0.25"/>
  <cols>
    <col min="1" max="1" width="14.28515625" bestFit="1" customWidth="1"/>
    <col min="3" max="3" width="17.5703125" bestFit="1" customWidth="1"/>
  </cols>
  <sheetData>
    <row r="1" spans="1:8" x14ac:dyDescent="0.25">
      <c r="A1" s="1" t="s">
        <v>3</v>
      </c>
      <c r="B1" s="1" t="s">
        <v>40</v>
      </c>
      <c r="C1" s="1" t="s">
        <v>1</v>
      </c>
      <c r="D1" s="1" t="s">
        <v>0</v>
      </c>
      <c r="E1" s="1" t="s">
        <v>7</v>
      </c>
      <c r="F1" s="1" t="s">
        <v>16</v>
      </c>
    </row>
    <row r="2" spans="1:8" x14ac:dyDescent="0.25">
      <c r="C2" t="s">
        <v>37</v>
      </c>
      <c r="D2" t="s">
        <v>36</v>
      </c>
      <c r="E2">
        <v>91</v>
      </c>
      <c r="F2">
        <v>0</v>
      </c>
      <c r="H2" s="30" t="s">
        <v>93</v>
      </c>
    </row>
    <row r="3" spans="1:8" x14ac:dyDescent="0.25">
      <c r="H3" s="30" t="s">
        <v>92</v>
      </c>
    </row>
    <row r="4" spans="1:8" x14ac:dyDescent="0.25">
      <c r="A4" t="s">
        <v>8</v>
      </c>
      <c r="B4">
        <v>1011</v>
      </c>
      <c r="C4" t="s">
        <v>37</v>
      </c>
      <c r="D4" t="s">
        <v>24</v>
      </c>
      <c r="E4">
        <v>91</v>
      </c>
      <c r="F4">
        <v>50</v>
      </c>
      <c r="H4" s="30" t="s">
        <v>157</v>
      </c>
    </row>
    <row r="5" spans="1:8" x14ac:dyDescent="0.25">
      <c r="A5" t="s">
        <v>8</v>
      </c>
      <c r="B5">
        <v>111</v>
      </c>
      <c r="C5" t="s">
        <v>37</v>
      </c>
      <c r="D5" t="s">
        <v>24</v>
      </c>
      <c r="E5">
        <v>91</v>
      </c>
      <c r="F5">
        <v>50</v>
      </c>
    </row>
    <row r="6" spans="1:8" x14ac:dyDescent="0.25">
      <c r="A6" t="s">
        <v>8</v>
      </c>
      <c r="B6">
        <v>1111</v>
      </c>
      <c r="C6" t="s">
        <v>37</v>
      </c>
      <c r="D6" t="s">
        <v>24</v>
      </c>
      <c r="E6">
        <v>91</v>
      </c>
      <c r="F6">
        <v>100</v>
      </c>
    </row>
    <row r="7" spans="1:8" x14ac:dyDescent="0.25">
      <c r="A7" t="s">
        <v>8</v>
      </c>
      <c r="B7">
        <v>1121</v>
      </c>
      <c r="C7" t="s">
        <v>37</v>
      </c>
      <c r="D7" t="s">
        <v>24</v>
      </c>
      <c r="E7">
        <v>91</v>
      </c>
      <c r="F7">
        <v>100</v>
      </c>
    </row>
    <row r="8" spans="1:8" x14ac:dyDescent="0.25">
      <c r="A8" t="s">
        <v>8</v>
      </c>
      <c r="B8">
        <v>1122</v>
      </c>
      <c r="C8" t="s">
        <v>37</v>
      </c>
      <c r="D8" t="s">
        <v>24</v>
      </c>
      <c r="E8">
        <v>91</v>
      </c>
      <c r="F8">
        <v>100</v>
      </c>
    </row>
    <row r="9" spans="1:8" x14ac:dyDescent="0.25">
      <c r="A9" t="s">
        <v>8</v>
      </c>
      <c r="B9">
        <v>1123</v>
      </c>
      <c r="C9" t="s">
        <v>37</v>
      </c>
      <c r="D9" t="s">
        <v>24</v>
      </c>
      <c r="E9">
        <v>91</v>
      </c>
      <c r="F9">
        <v>50</v>
      </c>
    </row>
    <row r="10" spans="1:8" x14ac:dyDescent="0.25">
      <c r="A10" t="s">
        <v>8</v>
      </c>
      <c r="B10">
        <v>1211</v>
      </c>
      <c r="C10" t="s">
        <v>37</v>
      </c>
      <c r="D10" t="s">
        <v>24</v>
      </c>
      <c r="E10">
        <v>91</v>
      </c>
      <c r="F10">
        <v>50</v>
      </c>
    </row>
    <row r="11" spans="1:8" x14ac:dyDescent="0.25">
      <c r="A11" t="s">
        <v>8</v>
      </c>
      <c r="B11">
        <v>1212</v>
      </c>
      <c r="C11" t="s">
        <v>37</v>
      </c>
      <c r="D11" t="s">
        <v>24</v>
      </c>
      <c r="E11">
        <v>91</v>
      </c>
      <c r="F11">
        <v>100</v>
      </c>
    </row>
    <row r="12" spans="1:8" x14ac:dyDescent="0.25">
      <c r="A12" t="s">
        <v>8</v>
      </c>
      <c r="B12">
        <v>1213</v>
      </c>
      <c r="C12" t="s">
        <v>37</v>
      </c>
      <c r="D12" t="s">
        <v>24</v>
      </c>
      <c r="E12">
        <v>91</v>
      </c>
      <c r="F12">
        <v>50</v>
      </c>
    </row>
    <row r="13" spans="1:8" x14ac:dyDescent="0.25">
      <c r="A13" t="s">
        <v>8</v>
      </c>
      <c r="B13">
        <v>1214</v>
      </c>
      <c r="C13" t="s">
        <v>37</v>
      </c>
      <c r="D13" t="s">
        <v>24</v>
      </c>
      <c r="E13">
        <v>91</v>
      </c>
      <c r="F13">
        <v>100</v>
      </c>
    </row>
    <row r="14" spans="1:8" x14ac:dyDescent="0.25">
      <c r="A14" t="s">
        <v>8</v>
      </c>
      <c r="B14">
        <v>1215</v>
      </c>
      <c r="C14" t="s">
        <v>37</v>
      </c>
      <c r="D14" t="s">
        <v>24</v>
      </c>
      <c r="E14">
        <v>91</v>
      </c>
      <c r="F14">
        <v>50</v>
      </c>
    </row>
    <row r="15" spans="1:8" x14ac:dyDescent="0.25">
      <c r="A15" t="s">
        <v>8</v>
      </c>
      <c r="B15">
        <v>1216</v>
      </c>
      <c r="C15" t="s">
        <v>37</v>
      </c>
      <c r="D15" t="s">
        <v>24</v>
      </c>
      <c r="E15">
        <v>91</v>
      </c>
      <c r="F15">
        <v>100</v>
      </c>
    </row>
    <row r="16" spans="1:8" x14ac:dyDescent="0.25">
      <c r="A16" t="s">
        <v>8</v>
      </c>
      <c r="B16">
        <v>1222</v>
      </c>
      <c r="C16" t="s">
        <v>37</v>
      </c>
      <c r="D16" t="s">
        <v>24</v>
      </c>
      <c r="E16">
        <v>91</v>
      </c>
      <c r="F16">
        <v>50</v>
      </c>
    </row>
    <row r="17" spans="1:6" x14ac:dyDescent="0.25">
      <c r="A17" t="s">
        <v>8</v>
      </c>
      <c r="B17">
        <v>1311</v>
      </c>
      <c r="C17" t="s">
        <v>37</v>
      </c>
      <c r="D17" t="s">
        <v>24</v>
      </c>
      <c r="E17">
        <v>91</v>
      </c>
      <c r="F17">
        <v>50</v>
      </c>
    </row>
    <row r="18" spans="1:6" x14ac:dyDescent="0.25">
      <c r="A18" t="s">
        <v>8</v>
      </c>
      <c r="B18">
        <v>1321</v>
      </c>
      <c r="C18" t="s">
        <v>37</v>
      </c>
      <c r="D18" t="s">
        <v>24</v>
      </c>
      <c r="E18">
        <v>91</v>
      </c>
      <c r="F18">
        <v>50</v>
      </c>
    </row>
    <row r="19" spans="1:6" x14ac:dyDescent="0.25">
      <c r="A19" t="s">
        <v>8</v>
      </c>
      <c r="B19">
        <v>1612</v>
      </c>
      <c r="C19" t="s">
        <v>37</v>
      </c>
      <c r="D19" t="s">
        <v>24</v>
      </c>
      <c r="E19">
        <v>91</v>
      </c>
      <c r="F19">
        <v>100</v>
      </c>
    </row>
    <row r="20" spans="1:6" x14ac:dyDescent="0.25">
      <c r="A20" t="s">
        <v>8</v>
      </c>
      <c r="B20">
        <v>1614</v>
      </c>
      <c r="C20" t="s">
        <v>37</v>
      </c>
      <c r="D20" t="s">
        <v>24</v>
      </c>
      <c r="E20">
        <v>91</v>
      </c>
      <c r="F20">
        <v>50</v>
      </c>
    </row>
    <row r="21" spans="1:6" x14ac:dyDescent="0.25">
      <c r="A21" t="s">
        <v>8</v>
      </c>
      <c r="B21">
        <v>1616</v>
      </c>
      <c r="C21" t="s">
        <v>37</v>
      </c>
      <c r="D21" t="s">
        <v>24</v>
      </c>
      <c r="E21">
        <v>91</v>
      </c>
      <c r="F21">
        <v>100</v>
      </c>
    </row>
    <row r="22" spans="1:6" x14ac:dyDescent="0.25">
      <c r="A22" t="s">
        <v>8</v>
      </c>
      <c r="B22">
        <v>1617</v>
      </c>
      <c r="C22" t="s">
        <v>37</v>
      </c>
      <c r="D22" t="s">
        <v>24</v>
      </c>
      <c r="E22">
        <v>91</v>
      </c>
      <c r="F22">
        <v>50</v>
      </c>
    </row>
    <row r="23" spans="1:6" x14ac:dyDescent="0.25">
      <c r="A23" t="s">
        <v>8</v>
      </c>
      <c r="B23">
        <v>1621</v>
      </c>
      <c r="C23" t="s">
        <v>37</v>
      </c>
      <c r="D23" t="s">
        <v>24</v>
      </c>
      <c r="E23">
        <v>91</v>
      </c>
      <c r="F23">
        <v>100</v>
      </c>
    </row>
    <row r="24" spans="1:6" x14ac:dyDescent="0.25">
      <c r="A24" t="s">
        <v>8</v>
      </c>
      <c r="B24">
        <v>1622</v>
      </c>
      <c r="C24" t="s">
        <v>37</v>
      </c>
      <c r="D24" t="s">
        <v>24</v>
      </c>
      <c r="E24">
        <v>91</v>
      </c>
      <c r="F24">
        <v>100</v>
      </c>
    </row>
    <row r="25" spans="1:6" x14ac:dyDescent="0.25">
      <c r="A25" t="s">
        <v>8</v>
      </c>
      <c r="B25">
        <v>1623</v>
      </c>
      <c r="C25" t="s">
        <v>37</v>
      </c>
      <c r="D25" t="s">
        <v>24</v>
      </c>
      <c r="E25">
        <v>91</v>
      </c>
      <c r="F25">
        <v>100</v>
      </c>
    </row>
    <row r="26" spans="1:6" x14ac:dyDescent="0.25">
      <c r="A26" t="s">
        <v>8</v>
      </c>
      <c r="B26">
        <v>1711</v>
      </c>
      <c r="C26" t="s">
        <v>37</v>
      </c>
      <c r="D26" t="s">
        <v>24</v>
      </c>
      <c r="E26">
        <v>91</v>
      </c>
      <c r="F26">
        <v>100</v>
      </c>
    </row>
    <row r="27" spans="1:6" x14ac:dyDescent="0.25">
      <c r="A27" t="s">
        <v>8</v>
      </c>
      <c r="B27">
        <v>1812</v>
      </c>
      <c r="C27" t="s">
        <v>37</v>
      </c>
      <c r="D27" t="s">
        <v>24</v>
      </c>
      <c r="E27">
        <v>91</v>
      </c>
      <c r="F27">
        <v>100</v>
      </c>
    </row>
    <row r="28" spans="1:6" x14ac:dyDescent="0.25">
      <c r="A28" t="s">
        <v>8</v>
      </c>
      <c r="B28">
        <v>1821</v>
      </c>
      <c r="C28" t="s">
        <v>37</v>
      </c>
      <c r="D28" t="s">
        <v>24</v>
      </c>
      <c r="E28">
        <v>91</v>
      </c>
      <c r="F28">
        <v>100</v>
      </c>
    </row>
    <row r="29" spans="1:6" x14ac:dyDescent="0.25">
      <c r="A29" t="s">
        <v>8</v>
      </c>
      <c r="B29">
        <v>1922</v>
      </c>
      <c r="C29" t="s">
        <v>37</v>
      </c>
      <c r="D29" t="s">
        <v>24</v>
      </c>
      <c r="E29">
        <v>91</v>
      </c>
      <c r="F29">
        <v>100</v>
      </c>
    </row>
    <row r="30" spans="1:6" x14ac:dyDescent="0.25">
      <c r="A30" t="s">
        <v>8</v>
      </c>
      <c r="B30">
        <v>2011</v>
      </c>
      <c r="C30" t="s">
        <v>37</v>
      </c>
      <c r="D30" t="s">
        <v>24</v>
      </c>
      <c r="E30">
        <v>91</v>
      </c>
      <c r="F30">
        <v>100</v>
      </c>
    </row>
    <row r="31" spans="1:6" x14ac:dyDescent="0.25">
      <c r="A31" t="s">
        <v>8</v>
      </c>
      <c r="B31">
        <v>312</v>
      </c>
      <c r="C31" t="s">
        <v>37</v>
      </c>
      <c r="D31" t="s">
        <v>24</v>
      </c>
      <c r="E31">
        <v>91</v>
      </c>
      <c r="F31">
        <v>50</v>
      </c>
    </row>
    <row r="32" spans="1:6" x14ac:dyDescent="0.25">
      <c r="A32" t="s">
        <v>8</v>
      </c>
      <c r="B32">
        <v>411</v>
      </c>
      <c r="C32" t="s">
        <v>37</v>
      </c>
      <c r="D32" t="s">
        <v>24</v>
      </c>
      <c r="E32">
        <v>91</v>
      </c>
      <c r="F32">
        <v>50</v>
      </c>
    </row>
    <row r="33" spans="1:6" x14ac:dyDescent="0.25">
      <c r="A33" t="s">
        <v>8</v>
      </c>
      <c r="B33">
        <v>421</v>
      </c>
      <c r="C33" t="s">
        <v>37</v>
      </c>
      <c r="D33" t="s">
        <v>24</v>
      </c>
      <c r="E33">
        <v>91</v>
      </c>
      <c r="F33">
        <v>100</v>
      </c>
    </row>
    <row r="34" spans="1:6" x14ac:dyDescent="0.25">
      <c r="A34" t="s">
        <v>8</v>
      </c>
      <c r="B34">
        <v>513</v>
      </c>
      <c r="C34" t="s">
        <v>37</v>
      </c>
      <c r="D34" t="s">
        <v>24</v>
      </c>
      <c r="E34">
        <v>91</v>
      </c>
      <c r="F34">
        <v>100</v>
      </c>
    </row>
    <row r="35" spans="1:6" x14ac:dyDescent="0.25">
      <c r="A35" t="s">
        <v>8</v>
      </c>
      <c r="B35">
        <v>515</v>
      </c>
      <c r="C35" t="s">
        <v>37</v>
      </c>
      <c r="D35" t="s">
        <v>24</v>
      </c>
      <c r="E35">
        <v>91</v>
      </c>
      <c r="F35">
        <v>100</v>
      </c>
    </row>
    <row r="36" spans="1:6" x14ac:dyDescent="0.25">
      <c r="A36" t="s">
        <v>8</v>
      </c>
      <c r="B36">
        <v>612</v>
      </c>
      <c r="C36" t="s">
        <v>37</v>
      </c>
      <c r="D36" t="s">
        <v>24</v>
      </c>
      <c r="E36">
        <v>91</v>
      </c>
      <c r="F36">
        <v>50</v>
      </c>
    </row>
    <row r="37" spans="1:6" x14ac:dyDescent="0.25">
      <c r="A37" t="s">
        <v>8</v>
      </c>
      <c r="B37">
        <v>811</v>
      </c>
      <c r="C37" t="s">
        <v>37</v>
      </c>
      <c r="D37" t="s">
        <v>24</v>
      </c>
      <c r="E37">
        <v>91</v>
      </c>
      <c r="F37">
        <v>50</v>
      </c>
    </row>
    <row r="38" spans="1:6" x14ac:dyDescent="0.25">
      <c r="A38" t="s">
        <v>8</v>
      </c>
      <c r="B38">
        <v>911</v>
      </c>
      <c r="C38" t="s">
        <v>37</v>
      </c>
      <c r="D38" t="s">
        <v>24</v>
      </c>
      <c r="E38">
        <v>91</v>
      </c>
      <c r="F38">
        <v>50</v>
      </c>
    </row>
    <row r="39" spans="1:6" x14ac:dyDescent="0.25">
      <c r="A39" t="s">
        <v>8</v>
      </c>
      <c r="B39">
        <v>912</v>
      </c>
      <c r="C39" t="s">
        <v>37</v>
      </c>
      <c r="D39" t="s">
        <v>24</v>
      </c>
      <c r="E39">
        <v>91</v>
      </c>
      <c r="F39">
        <v>100</v>
      </c>
    </row>
    <row r="40" spans="1:6" x14ac:dyDescent="0.25">
      <c r="A40" t="s">
        <v>8</v>
      </c>
      <c r="B40">
        <v>913</v>
      </c>
      <c r="C40" t="s">
        <v>37</v>
      </c>
      <c r="D40" t="s">
        <v>24</v>
      </c>
      <c r="E40">
        <v>91</v>
      </c>
      <c r="F40">
        <v>50</v>
      </c>
    </row>
  </sheetData>
  <sortState ref="A2:F19">
    <sortCondition ref="B2:B1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DemandAndConversions</vt:lpstr>
      <vt:lpstr>CropProduction</vt:lpstr>
      <vt:lpstr>CattleHerd</vt:lpstr>
      <vt:lpstr>PigHerd</vt:lpstr>
      <vt:lpstr>BroilerHerd</vt:lpstr>
      <vt:lpstr>LayerHerd</vt:lpstr>
      <vt:lpstr>WasteAndCircularity</vt:lpstr>
      <vt:lpstr>PlantNutrientMgmt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2024-11-08T10:34:58Z</dcterms:modified>
</cp:coreProperties>
</file>