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wmf" ContentType="image/x-w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jnka0003\Documents\#1 Projekt\MISTRA Food Futures WP5\CIBUSmod Food Systems Model\CIBUSmod\data\default\"/>
    </mc:Choice>
  </mc:AlternateContent>
  <bookViews>
    <workbookView xWindow="0" yWindow="0" windowWidth="22410" windowHeight="7635" activeTab="1"/>
  </bookViews>
  <sheets>
    <sheet name="references" sheetId="7" r:id="rId1"/>
    <sheet name="default" sheetId="6" r:id="rId2"/>
    <sheet name="feed rations" sheetId="8" r:id="rId3"/>
    <sheet name="antal djur" sheetId="3" r:id="rId4"/>
    <sheet name="antalet lamm och fodertstater" sheetId="2" r:id="rId5"/>
    <sheet name="total foderåtgång" sheetId="4" r:id="rId6"/>
    <sheet name="dödlighet" sheetId="5" r:id="rId7"/>
  </sheets>
  <calcPr calcId="162913"/>
</workbook>
</file>

<file path=xl/calcChain.xml><?xml version="1.0" encoding="utf-8"?>
<calcChain xmlns="http://schemas.openxmlformats.org/spreadsheetml/2006/main">
  <c r="G41" i="6" l="1"/>
  <c r="G43" i="6"/>
  <c r="G44" i="6"/>
  <c r="G42" i="6" l="1"/>
  <c r="AN78" i="2" l="1"/>
  <c r="AN62" i="2"/>
  <c r="AN61" i="2"/>
  <c r="AN60" i="2"/>
  <c r="G117" i="6" l="1"/>
  <c r="G118" i="6"/>
  <c r="G119" i="6"/>
  <c r="G120" i="6"/>
  <c r="G121" i="6"/>
  <c r="G122" i="6"/>
  <c r="G123" i="6"/>
  <c r="G124" i="6"/>
  <c r="G125" i="6"/>
  <c r="G126" i="6"/>
  <c r="G127" i="6"/>
  <c r="G128" i="6"/>
  <c r="G129" i="6"/>
  <c r="G130" i="6"/>
  <c r="G131" i="6"/>
  <c r="G132" i="6"/>
  <c r="G133" i="6"/>
  <c r="G134" i="6"/>
  <c r="G135" i="6"/>
  <c r="G136" i="6"/>
  <c r="G137" i="6"/>
  <c r="G138" i="6"/>
  <c r="G139" i="6"/>
  <c r="G140" i="6"/>
  <c r="G141" i="6"/>
  <c r="G142" i="6"/>
  <c r="G143" i="6"/>
  <c r="G144" i="6"/>
  <c r="G145" i="6"/>
  <c r="G146" i="6"/>
  <c r="G147" i="6"/>
  <c r="G148" i="6"/>
  <c r="G149" i="6"/>
  <c r="G150" i="6"/>
  <c r="G152" i="6"/>
  <c r="G153" i="6"/>
  <c r="G154" i="6"/>
  <c r="G155" i="6"/>
  <c r="G156" i="6"/>
  <c r="G157" i="6"/>
  <c r="G158" i="6"/>
  <c r="G159" i="6"/>
  <c r="G160" i="6"/>
  <c r="G161" i="6"/>
  <c r="G162" i="6"/>
  <c r="G163" i="6"/>
  <c r="G164" i="6"/>
  <c r="G165" i="6"/>
  <c r="G166" i="6"/>
  <c r="G167" i="6"/>
  <c r="G168" i="6"/>
  <c r="G169" i="6"/>
  <c r="G170" i="6"/>
  <c r="G171" i="6"/>
  <c r="G172" i="6"/>
  <c r="G173" i="6"/>
  <c r="G174" i="6"/>
  <c r="G175" i="6"/>
  <c r="G176" i="6"/>
  <c r="G177" i="6"/>
  <c r="G178" i="6"/>
  <c r="G179" i="6"/>
  <c r="G180" i="6"/>
  <c r="G181" i="6"/>
  <c r="G182" i="6"/>
  <c r="G183" i="6"/>
  <c r="G184" i="6"/>
  <c r="G185" i="6"/>
  <c r="G187" i="6"/>
  <c r="G188" i="6"/>
  <c r="G189" i="6"/>
  <c r="G190" i="6"/>
  <c r="G191" i="6"/>
  <c r="G192" i="6"/>
  <c r="G193" i="6"/>
  <c r="G194" i="6"/>
  <c r="G195" i="6"/>
  <c r="G196" i="6"/>
  <c r="G197" i="6"/>
  <c r="G198" i="6"/>
  <c r="G199" i="6"/>
  <c r="G200" i="6"/>
  <c r="G201" i="6"/>
  <c r="G202" i="6"/>
  <c r="G203" i="6"/>
  <c r="G204" i="6"/>
  <c r="G205" i="6"/>
  <c r="G206" i="6"/>
  <c r="G207" i="6"/>
  <c r="G208" i="6"/>
  <c r="G209" i="6"/>
  <c r="G210" i="6"/>
  <c r="G211" i="6"/>
  <c r="G212" i="6"/>
  <c r="G213" i="6"/>
  <c r="G214" i="6"/>
  <c r="G215" i="6"/>
  <c r="G216" i="6"/>
  <c r="G217" i="6"/>
  <c r="G218" i="6"/>
  <c r="G219" i="6"/>
  <c r="G220" i="6"/>
  <c r="G222" i="6"/>
  <c r="G223" i="6"/>
  <c r="G224" i="6"/>
  <c r="G225" i="6"/>
  <c r="G226" i="6"/>
  <c r="G227" i="6"/>
  <c r="G228" i="6"/>
  <c r="G229" i="6"/>
  <c r="G230" i="6"/>
  <c r="G231" i="6"/>
  <c r="G232" i="6"/>
  <c r="G233" i="6"/>
  <c r="G234" i="6"/>
  <c r="G235" i="6"/>
  <c r="G236" i="6"/>
  <c r="G237" i="6"/>
  <c r="G238" i="6"/>
  <c r="G239" i="6"/>
  <c r="G240" i="6"/>
  <c r="G241" i="6"/>
  <c r="G242" i="6"/>
  <c r="G243" i="6"/>
  <c r="G244" i="6"/>
  <c r="G245" i="6"/>
  <c r="G246" i="6"/>
  <c r="G247" i="6"/>
  <c r="G248" i="6"/>
  <c r="G249" i="6"/>
  <c r="G250" i="6"/>
  <c r="G251" i="6"/>
  <c r="G252" i="6"/>
  <c r="G253" i="6"/>
  <c r="G254" i="6"/>
  <c r="G255" i="6"/>
  <c r="G257" i="6"/>
  <c r="G258" i="6"/>
  <c r="G259" i="6"/>
  <c r="G260" i="6"/>
  <c r="G261" i="6"/>
  <c r="G262" i="6"/>
  <c r="G263" i="6"/>
  <c r="G264" i="6"/>
  <c r="G265" i="6"/>
  <c r="G266" i="6"/>
  <c r="G267" i="6"/>
  <c r="G268" i="6"/>
  <c r="G269" i="6"/>
  <c r="G270" i="6"/>
  <c r="G271" i="6"/>
  <c r="G272" i="6"/>
  <c r="G273" i="6"/>
  <c r="G274" i="6"/>
  <c r="G275" i="6"/>
  <c r="G276" i="6"/>
  <c r="G277" i="6"/>
  <c r="G278" i="6"/>
  <c r="G279" i="6"/>
  <c r="G280" i="6"/>
  <c r="G281" i="6"/>
  <c r="G282" i="6"/>
  <c r="G283" i="6"/>
  <c r="G284" i="6"/>
  <c r="G285" i="6"/>
  <c r="G286" i="6"/>
  <c r="G287" i="6"/>
  <c r="G288" i="6"/>
  <c r="G289" i="6"/>
  <c r="G290" i="6"/>
  <c r="G292" i="6"/>
  <c r="G293" i="6"/>
  <c r="G294" i="6"/>
  <c r="G295" i="6"/>
  <c r="G296" i="6"/>
  <c r="G297" i="6"/>
  <c r="G298" i="6"/>
  <c r="G299" i="6"/>
  <c r="G300" i="6"/>
  <c r="G301" i="6"/>
  <c r="G302" i="6"/>
  <c r="G303" i="6"/>
  <c r="G304" i="6"/>
  <c r="G305" i="6"/>
  <c r="G306" i="6"/>
  <c r="G307" i="6"/>
  <c r="G308" i="6"/>
  <c r="G309" i="6"/>
  <c r="G310" i="6"/>
  <c r="G311" i="6"/>
  <c r="G312" i="6"/>
  <c r="G313" i="6"/>
  <c r="G314" i="6"/>
  <c r="G315" i="6"/>
  <c r="G316" i="6"/>
  <c r="G317" i="6"/>
  <c r="G318" i="6"/>
  <c r="G319" i="6"/>
  <c r="G320" i="6"/>
  <c r="G321" i="6"/>
  <c r="G322" i="6"/>
  <c r="G323" i="6"/>
  <c r="G324" i="6"/>
  <c r="G325" i="6"/>
  <c r="G327" i="6"/>
  <c r="G328" i="6"/>
  <c r="G329" i="6"/>
  <c r="G330" i="6"/>
  <c r="G331" i="6"/>
  <c r="G332" i="6"/>
  <c r="G333" i="6"/>
  <c r="G334" i="6"/>
  <c r="G335" i="6"/>
  <c r="G336" i="6"/>
  <c r="G337" i="6"/>
  <c r="G338" i="6"/>
  <c r="G339" i="6"/>
  <c r="G340" i="6"/>
  <c r="G341" i="6"/>
  <c r="G342" i="6"/>
  <c r="G343" i="6"/>
  <c r="G344" i="6"/>
  <c r="G345" i="6"/>
  <c r="G346" i="6"/>
  <c r="G347" i="6"/>
  <c r="G348" i="6"/>
  <c r="G349" i="6"/>
  <c r="G350" i="6"/>
  <c r="G351" i="6"/>
  <c r="G352" i="6"/>
  <c r="G353" i="6"/>
  <c r="G354" i="6"/>
  <c r="G355" i="6"/>
  <c r="G356" i="6"/>
  <c r="G357" i="6"/>
  <c r="G358" i="6"/>
  <c r="G359" i="6"/>
  <c r="G360" i="6"/>
  <c r="G83" i="6"/>
  <c r="G84" i="6"/>
  <c r="G85" i="6"/>
  <c r="G86" i="6"/>
  <c r="G87" i="6"/>
  <c r="G88" i="6"/>
  <c r="G89" i="6"/>
  <c r="G90" i="6"/>
  <c r="G91" i="6"/>
  <c r="G92" i="6"/>
  <c r="G93" i="6"/>
  <c r="G94" i="6"/>
  <c r="G95" i="6"/>
  <c r="G96" i="6"/>
  <c r="G97" i="6"/>
  <c r="G98" i="6"/>
  <c r="G99" i="6"/>
  <c r="G100" i="6"/>
  <c r="G101" i="6"/>
  <c r="G102" i="6"/>
  <c r="G103" i="6"/>
  <c r="G104" i="6"/>
  <c r="G105" i="6"/>
  <c r="G106" i="6"/>
  <c r="G107" i="6"/>
  <c r="G108" i="6"/>
  <c r="G109" i="6"/>
  <c r="G110" i="6"/>
  <c r="G111" i="6"/>
  <c r="G112" i="6"/>
  <c r="G113" i="6"/>
  <c r="G114" i="6"/>
  <c r="G115" i="6"/>
  <c r="G82" i="6"/>
  <c r="AI48" i="8"/>
  <c r="AH48" i="8"/>
  <c r="AG48" i="8"/>
  <c r="AF48" i="8"/>
  <c r="AE48" i="8"/>
  <c r="AD48" i="8"/>
  <c r="AC48" i="8"/>
  <c r="AB48" i="8"/>
  <c r="AB14" i="8"/>
  <c r="AC14" i="8"/>
  <c r="AD14" i="8"/>
  <c r="AE14" i="8"/>
  <c r="AF14" i="8"/>
  <c r="AG14" i="8"/>
  <c r="AH14" i="8"/>
  <c r="AI14" i="8"/>
  <c r="AB15" i="8"/>
  <c r="AC15" i="8"/>
  <c r="AD15" i="8"/>
  <c r="AE15" i="8"/>
  <c r="AF15" i="8"/>
  <c r="AG15" i="8"/>
  <c r="AH15" i="8"/>
  <c r="AI15" i="8"/>
  <c r="AB16" i="8"/>
  <c r="AC16" i="8"/>
  <c r="AD16" i="8"/>
  <c r="AE16" i="8"/>
  <c r="AF16" i="8"/>
  <c r="AG16" i="8"/>
  <c r="AH16" i="8"/>
  <c r="AI16" i="8"/>
  <c r="AB17" i="8"/>
  <c r="AC17" i="8"/>
  <c r="AD17" i="8"/>
  <c r="AE17" i="8"/>
  <c r="AF17" i="8"/>
  <c r="AG17" i="8"/>
  <c r="AH17" i="8"/>
  <c r="AI17" i="8"/>
  <c r="AB18" i="8"/>
  <c r="AC18" i="8"/>
  <c r="AD18" i="8"/>
  <c r="AE18" i="8"/>
  <c r="AF18" i="8"/>
  <c r="AG18" i="8"/>
  <c r="AH18" i="8"/>
  <c r="AI18" i="8"/>
  <c r="AB19" i="8"/>
  <c r="AC19" i="8"/>
  <c r="AD19" i="8"/>
  <c r="AE19" i="8"/>
  <c r="AF19" i="8"/>
  <c r="AG19" i="8"/>
  <c r="AH19" i="8"/>
  <c r="AI19" i="8"/>
  <c r="AB20" i="8"/>
  <c r="AC20" i="8"/>
  <c r="AD20" i="8"/>
  <c r="AE20" i="8"/>
  <c r="AF20" i="8"/>
  <c r="AG20" i="8"/>
  <c r="AH20" i="8"/>
  <c r="AI20" i="8"/>
  <c r="AB21" i="8"/>
  <c r="AC21" i="8"/>
  <c r="AD21" i="8"/>
  <c r="AE21" i="8"/>
  <c r="AF21" i="8"/>
  <c r="AG21" i="8"/>
  <c r="AH21" i="8"/>
  <c r="AI21" i="8"/>
  <c r="AB22" i="8"/>
  <c r="AC22" i="8"/>
  <c r="AD22" i="8"/>
  <c r="AE22" i="8"/>
  <c r="AF22" i="8"/>
  <c r="AG22" i="8"/>
  <c r="AH22" i="8"/>
  <c r="AI22" i="8"/>
  <c r="AB23" i="8"/>
  <c r="AC23" i="8"/>
  <c r="AD23" i="8"/>
  <c r="AE23" i="8"/>
  <c r="AF23" i="8"/>
  <c r="AG23" i="8"/>
  <c r="AH23" i="8"/>
  <c r="AI23" i="8"/>
  <c r="AB24" i="8"/>
  <c r="AC24" i="8"/>
  <c r="AD24" i="8"/>
  <c r="AE24" i="8"/>
  <c r="AF24" i="8"/>
  <c r="AG24" i="8"/>
  <c r="AH24" i="8"/>
  <c r="AI24" i="8"/>
  <c r="AB25" i="8"/>
  <c r="AC25" i="8"/>
  <c r="AD25" i="8"/>
  <c r="AE25" i="8"/>
  <c r="AF25" i="8"/>
  <c r="AG25" i="8"/>
  <c r="AH25" i="8"/>
  <c r="AI25" i="8"/>
  <c r="AB26" i="8"/>
  <c r="AC26" i="8"/>
  <c r="AD26" i="8"/>
  <c r="AE26" i="8"/>
  <c r="AF26" i="8"/>
  <c r="AG26" i="8"/>
  <c r="AH26" i="8"/>
  <c r="AI26" i="8"/>
  <c r="AB27" i="8"/>
  <c r="AC27" i="8"/>
  <c r="AD27" i="8"/>
  <c r="AE27" i="8"/>
  <c r="AF27" i="8"/>
  <c r="AG27" i="8"/>
  <c r="AH27" i="8"/>
  <c r="AI27" i="8"/>
  <c r="AB28" i="8"/>
  <c r="AC28" i="8"/>
  <c r="AD28" i="8"/>
  <c r="AE28" i="8"/>
  <c r="AF28" i="8"/>
  <c r="AG28" i="8"/>
  <c r="AH28" i="8"/>
  <c r="AI28" i="8"/>
  <c r="AB29" i="8"/>
  <c r="AC29" i="8"/>
  <c r="AD29" i="8"/>
  <c r="AE29" i="8"/>
  <c r="AF29" i="8"/>
  <c r="AG29" i="8"/>
  <c r="AH29" i="8"/>
  <c r="AI29" i="8"/>
  <c r="AB30" i="8"/>
  <c r="AC30" i="8"/>
  <c r="AD30" i="8"/>
  <c r="AE30" i="8"/>
  <c r="AF30" i="8"/>
  <c r="AG30" i="8"/>
  <c r="AH30" i="8"/>
  <c r="AI30" i="8"/>
  <c r="AB31" i="8"/>
  <c r="AC31" i="8"/>
  <c r="AD31" i="8"/>
  <c r="AE31" i="8"/>
  <c r="AF31" i="8"/>
  <c r="AG31" i="8"/>
  <c r="AH31" i="8"/>
  <c r="AI31" i="8"/>
  <c r="AB32" i="8"/>
  <c r="AC32" i="8"/>
  <c r="AD32" i="8"/>
  <c r="AE32" i="8"/>
  <c r="AF32" i="8"/>
  <c r="AG32" i="8"/>
  <c r="AH32" i="8"/>
  <c r="AI32" i="8"/>
  <c r="AB33" i="8"/>
  <c r="AC33" i="8"/>
  <c r="AD33" i="8"/>
  <c r="AE33" i="8"/>
  <c r="AF33" i="8"/>
  <c r="AG33" i="8"/>
  <c r="AH33" i="8"/>
  <c r="AI33" i="8"/>
  <c r="AB34" i="8"/>
  <c r="AC34" i="8"/>
  <c r="AD34" i="8"/>
  <c r="AE34" i="8"/>
  <c r="AF34" i="8"/>
  <c r="AG34" i="8"/>
  <c r="AH34" i="8"/>
  <c r="AI34" i="8"/>
  <c r="AB35" i="8"/>
  <c r="AC35" i="8"/>
  <c r="AD35" i="8"/>
  <c r="AE35" i="8"/>
  <c r="AF35" i="8"/>
  <c r="AG35" i="8"/>
  <c r="AH35" i="8"/>
  <c r="AI35" i="8"/>
  <c r="AB36" i="8"/>
  <c r="AC36" i="8"/>
  <c r="AD36" i="8"/>
  <c r="AE36" i="8"/>
  <c r="AF36" i="8"/>
  <c r="AG36" i="8"/>
  <c r="AH36" i="8"/>
  <c r="AI36" i="8"/>
  <c r="AB37" i="8"/>
  <c r="AC37" i="8"/>
  <c r="AD37" i="8"/>
  <c r="AE37" i="8"/>
  <c r="AF37" i="8"/>
  <c r="AG37" i="8"/>
  <c r="AH37" i="8"/>
  <c r="AI37" i="8"/>
  <c r="AB38" i="8"/>
  <c r="AC38" i="8"/>
  <c r="AD38" i="8"/>
  <c r="AE38" i="8"/>
  <c r="AF38" i="8"/>
  <c r="AG38" i="8"/>
  <c r="AH38" i="8"/>
  <c r="AI38" i="8"/>
  <c r="AB39" i="8"/>
  <c r="AC39" i="8"/>
  <c r="AD39" i="8"/>
  <c r="AE39" i="8"/>
  <c r="AF39" i="8"/>
  <c r="AG39" i="8"/>
  <c r="AH39" i="8"/>
  <c r="AI39" i="8"/>
  <c r="AB40" i="8"/>
  <c r="AC40" i="8"/>
  <c r="AD40" i="8"/>
  <c r="AE40" i="8"/>
  <c r="AF40" i="8"/>
  <c r="AG40" i="8"/>
  <c r="AH40" i="8"/>
  <c r="AI40" i="8"/>
  <c r="AB41" i="8"/>
  <c r="AC41" i="8"/>
  <c r="AD41" i="8"/>
  <c r="AE41" i="8"/>
  <c r="AF41" i="8"/>
  <c r="AG41" i="8"/>
  <c r="AH41" i="8"/>
  <c r="AI41" i="8"/>
  <c r="AB42" i="8"/>
  <c r="AC42" i="8"/>
  <c r="AD42" i="8"/>
  <c r="AE42" i="8"/>
  <c r="AF42" i="8"/>
  <c r="AG42" i="8"/>
  <c r="AH42" i="8"/>
  <c r="AI42" i="8"/>
  <c r="AB43" i="8"/>
  <c r="AC43" i="8"/>
  <c r="AD43" i="8"/>
  <c r="AE43" i="8"/>
  <c r="AF43" i="8"/>
  <c r="AG43" i="8"/>
  <c r="AH43" i="8"/>
  <c r="AI43" i="8"/>
  <c r="AB44" i="8"/>
  <c r="AC44" i="8"/>
  <c r="AD44" i="8"/>
  <c r="AE44" i="8"/>
  <c r="AF44" i="8"/>
  <c r="AG44" i="8"/>
  <c r="AH44" i="8"/>
  <c r="AI44" i="8"/>
  <c r="AB45" i="8"/>
  <c r="AC45" i="8"/>
  <c r="AD45" i="8"/>
  <c r="AE45" i="8"/>
  <c r="AF45" i="8"/>
  <c r="AG45" i="8"/>
  <c r="AH45" i="8"/>
  <c r="AI45" i="8"/>
  <c r="AB46" i="8"/>
  <c r="AC46" i="8"/>
  <c r="AD46" i="8"/>
  <c r="AE46" i="8"/>
  <c r="AF46" i="8"/>
  <c r="AG46" i="8"/>
  <c r="AH46" i="8"/>
  <c r="AI46" i="8"/>
  <c r="AC13" i="8"/>
  <c r="AD13" i="8"/>
  <c r="AE13" i="8"/>
  <c r="AF13" i="8"/>
  <c r="AG13" i="8"/>
  <c r="AH13" i="8"/>
  <c r="AI13" i="8"/>
  <c r="AB13" i="8"/>
  <c r="AI12" i="8"/>
  <c r="AH12" i="8"/>
  <c r="AG12" i="8"/>
  <c r="AF12" i="8"/>
  <c r="AE12" i="8"/>
  <c r="AD12" i="8"/>
  <c r="AC12" i="8"/>
  <c r="AB12" i="8"/>
  <c r="Q48" i="8"/>
  <c r="R48" i="8"/>
  <c r="S48" i="8"/>
  <c r="T48" i="8"/>
  <c r="U48" i="8"/>
  <c r="V48" i="8"/>
  <c r="W48" i="8"/>
  <c r="P48" i="8"/>
  <c r="G76" i="6"/>
  <c r="G77" i="6"/>
  <c r="G78" i="6"/>
  <c r="G75" i="6"/>
  <c r="G71" i="6"/>
  <c r="G72" i="6"/>
  <c r="G73" i="6"/>
  <c r="G70" i="6"/>
  <c r="G8" i="8"/>
  <c r="G7" i="8"/>
  <c r="G6" i="8"/>
  <c r="G5" i="8"/>
  <c r="N8" i="8"/>
  <c r="N7" i="8"/>
  <c r="N6" i="8"/>
  <c r="N5" i="8"/>
  <c r="Q12" i="8"/>
  <c r="R12" i="8"/>
  <c r="S12" i="8"/>
  <c r="T12" i="8"/>
  <c r="U12" i="8"/>
  <c r="V12" i="8"/>
  <c r="W12" i="8"/>
  <c r="P12" i="8"/>
  <c r="S42" i="8"/>
  <c r="P17" i="8"/>
  <c r="Q17" i="8"/>
  <c r="R17" i="8"/>
  <c r="S17" i="8"/>
  <c r="T17" i="8"/>
  <c r="U17" i="8"/>
  <c r="V17" i="8"/>
  <c r="W17" i="8"/>
  <c r="P18" i="8"/>
  <c r="Q18" i="8"/>
  <c r="R18" i="8"/>
  <c r="S18" i="8"/>
  <c r="T18" i="8"/>
  <c r="U18" i="8"/>
  <c r="V18" i="8"/>
  <c r="W18" i="8"/>
  <c r="P19" i="8"/>
  <c r="Q19" i="8"/>
  <c r="R19" i="8"/>
  <c r="S19" i="8"/>
  <c r="T19" i="8"/>
  <c r="U19" i="8"/>
  <c r="V19" i="8"/>
  <c r="W19" i="8"/>
  <c r="P20" i="8"/>
  <c r="Q20" i="8"/>
  <c r="R20" i="8"/>
  <c r="S20" i="8"/>
  <c r="T20" i="8"/>
  <c r="U20" i="8"/>
  <c r="V20" i="8"/>
  <c r="W20" i="8"/>
  <c r="P21" i="8"/>
  <c r="Q21" i="8"/>
  <c r="R21" i="8"/>
  <c r="S21" i="8"/>
  <c r="T21" i="8"/>
  <c r="U21" i="8"/>
  <c r="V21" i="8"/>
  <c r="W21" i="8"/>
  <c r="P22" i="8"/>
  <c r="Q22" i="8"/>
  <c r="R22" i="8"/>
  <c r="S22" i="8"/>
  <c r="T22" i="8"/>
  <c r="U22" i="8"/>
  <c r="V22" i="8"/>
  <c r="W22" i="8"/>
  <c r="P23" i="8"/>
  <c r="Q23" i="8"/>
  <c r="R23" i="8"/>
  <c r="S23" i="8"/>
  <c r="T23" i="8"/>
  <c r="U23" i="8"/>
  <c r="V23" i="8"/>
  <c r="W23" i="8"/>
  <c r="P24" i="8"/>
  <c r="Q24" i="8"/>
  <c r="R24" i="8"/>
  <c r="S24" i="8"/>
  <c r="T24" i="8"/>
  <c r="U24" i="8"/>
  <c r="V24" i="8"/>
  <c r="W24" i="8"/>
  <c r="P25" i="8"/>
  <c r="Q25" i="8"/>
  <c r="R25" i="8"/>
  <c r="S25" i="8"/>
  <c r="T25" i="8"/>
  <c r="U25" i="8"/>
  <c r="V25" i="8"/>
  <c r="W25" i="8"/>
  <c r="P26" i="8"/>
  <c r="Q26" i="8"/>
  <c r="R26" i="8"/>
  <c r="S26" i="8"/>
  <c r="T26" i="8"/>
  <c r="U26" i="8"/>
  <c r="V26" i="8"/>
  <c r="W26" i="8"/>
  <c r="P27" i="8"/>
  <c r="Q27" i="8"/>
  <c r="R27" i="8"/>
  <c r="S27" i="8"/>
  <c r="T27" i="8"/>
  <c r="U27" i="8"/>
  <c r="V27" i="8"/>
  <c r="W27" i="8"/>
  <c r="P28" i="8"/>
  <c r="Q28" i="8"/>
  <c r="R28" i="8"/>
  <c r="S28" i="8"/>
  <c r="T28" i="8"/>
  <c r="U28" i="8"/>
  <c r="V28" i="8"/>
  <c r="W28" i="8"/>
  <c r="P29" i="8"/>
  <c r="Q29" i="8"/>
  <c r="R29" i="8"/>
  <c r="S29" i="8"/>
  <c r="T29" i="8"/>
  <c r="U29" i="8"/>
  <c r="V29" i="8"/>
  <c r="W29" i="8"/>
  <c r="P30" i="8"/>
  <c r="Q30" i="8"/>
  <c r="R30" i="8"/>
  <c r="S30" i="8"/>
  <c r="T30" i="8"/>
  <c r="U30" i="8"/>
  <c r="V30" i="8"/>
  <c r="W30" i="8"/>
  <c r="P31" i="8"/>
  <c r="Q31" i="8"/>
  <c r="R31" i="8"/>
  <c r="S31" i="8"/>
  <c r="T31" i="8"/>
  <c r="U31" i="8"/>
  <c r="V31" i="8"/>
  <c r="W31" i="8"/>
  <c r="P32" i="8"/>
  <c r="Q32" i="8"/>
  <c r="R32" i="8"/>
  <c r="S32" i="8"/>
  <c r="T32" i="8"/>
  <c r="U32" i="8"/>
  <c r="V32" i="8"/>
  <c r="W32" i="8"/>
  <c r="P33" i="8"/>
  <c r="Q33" i="8"/>
  <c r="R33" i="8"/>
  <c r="S33" i="8"/>
  <c r="T33" i="8"/>
  <c r="U33" i="8"/>
  <c r="V33" i="8"/>
  <c r="W33" i="8"/>
  <c r="P34" i="8"/>
  <c r="Q34" i="8"/>
  <c r="R34" i="8"/>
  <c r="S34" i="8"/>
  <c r="T34" i="8"/>
  <c r="U34" i="8"/>
  <c r="V34" i="8"/>
  <c r="W34" i="8"/>
  <c r="P35" i="8"/>
  <c r="Q35" i="8"/>
  <c r="R35" i="8"/>
  <c r="S35" i="8"/>
  <c r="T35" i="8"/>
  <c r="U35" i="8"/>
  <c r="V35" i="8"/>
  <c r="W35" i="8"/>
  <c r="P36" i="8"/>
  <c r="Q36" i="8"/>
  <c r="R36" i="8"/>
  <c r="S36" i="8"/>
  <c r="T36" i="8"/>
  <c r="U36" i="8"/>
  <c r="V36" i="8"/>
  <c r="W36" i="8"/>
  <c r="P37" i="8"/>
  <c r="Q37" i="8"/>
  <c r="R37" i="8"/>
  <c r="S37" i="8"/>
  <c r="T37" i="8"/>
  <c r="U37" i="8"/>
  <c r="V37" i="8"/>
  <c r="W37" i="8"/>
  <c r="P38" i="8"/>
  <c r="Q38" i="8"/>
  <c r="R38" i="8"/>
  <c r="S38" i="8"/>
  <c r="T38" i="8"/>
  <c r="U38" i="8"/>
  <c r="V38" i="8"/>
  <c r="W38" i="8"/>
  <c r="P39" i="8"/>
  <c r="Q39" i="8"/>
  <c r="R39" i="8"/>
  <c r="S39" i="8"/>
  <c r="T39" i="8"/>
  <c r="U39" i="8"/>
  <c r="V39" i="8"/>
  <c r="W39" i="8"/>
  <c r="P40" i="8"/>
  <c r="Q40" i="8"/>
  <c r="R40" i="8"/>
  <c r="S40" i="8"/>
  <c r="T40" i="8"/>
  <c r="U40" i="8"/>
  <c r="V40" i="8"/>
  <c r="W40" i="8"/>
  <c r="P41" i="8"/>
  <c r="Q41" i="8"/>
  <c r="R41" i="8"/>
  <c r="S41" i="8"/>
  <c r="T41" i="8"/>
  <c r="U41" i="8"/>
  <c r="V41" i="8"/>
  <c r="W41" i="8"/>
  <c r="P42" i="8"/>
  <c r="Q42" i="8"/>
  <c r="R42" i="8"/>
  <c r="T42" i="8"/>
  <c r="U42" i="8"/>
  <c r="V42" i="8"/>
  <c r="W42" i="8"/>
  <c r="P43" i="8"/>
  <c r="Q43" i="8"/>
  <c r="R43" i="8"/>
  <c r="S43" i="8"/>
  <c r="T43" i="8"/>
  <c r="U43" i="8"/>
  <c r="V43" i="8"/>
  <c r="W43" i="8"/>
  <c r="P44" i="8"/>
  <c r="Q44" i="8"/>
  <c r="R44" i="8"/>
  <c r="S44" i="8"/>
  <c r="T44" i="8"/>
  <c r="U44" i="8"/>
  <c r="V44" i="8"/>
  <c r="W44" i="8"/>
  <c r="P45" i="8"/>
  <c r="Q45" i="8"/>
  <c r="R45" i="8"/>
  <c r="S45" i="8"/>
  <c r="T45" i="8"/>
  <c r="U45" i="8"/>
  <c r="V45" i="8"/>
  <c r="W45" i="8"/>
  <c r="P46" i="8"/>
  <c r="Q46" i="8"/>
  <c r="R46" i="8"/>
  <c r="S46" i="8"/>
  <c r="T46" i="8"/>
  <c r="U46" i="8"/>
  <c r="V46" i="8"/>
  <c r="W46" i="8"/>
  <c r="W16" i="8"/>
  <c r="V16" i="8"/>
  <c r="U16" i="8"/>
  <c r="T16" i="8"/>
  <c r="S16" i="8"/>
  <c r="R16" i="8"/>
  <c r="Q16" i="8"/>
  <c r="P16" i="8"/>
  <c r="S15" i="8"/>
  <c r="U15" i="8"/>
  <c r="W15" i="8"/>
  <c r="Q15" i="8"/>
  <c r="R15" i="8"/>
  <c r="T15" i="8"/>
  <c r="V15" i="8"/>
  <c r="P15" i="8"/>
  <c r="W14" i="8"/>
  <c r="S13" i="8"/>
  <c r="S14" i="8"/>
  <c r="U13" i="8"/>
  <c r="U14" i="8"/>
  <c r="W13" i="8"/>
  <c r="Q14" i="8"/>
  <c r="Q13" i="8"/>
  <c r="P14" i="8"/>
  <c r="R13" i="8"/>
  <c r="R14" i="8"/>
  <c r="T13" i="8"/>
  <c r="T14" i="8"/>
  <c r="V13" i="8"/>
  <c r="V14" i="8"/>
  <c r="P13" i="8"/>
  <c r="F8" i="8" l="1"/>
  <c r="E8" i="8"/>
  <c r="D8" i="8"/>
  <c r="F5" i="8"/>
  <c r="E5" i="8"/>
  <c r="D5" i="8"/>
  <c r="F6" i="8"/>
  <c r="E6" i="8"/>
  <c r="D6" i="8"/>
  <c r="F7" i="8"/>
  <c r="E7" i="8"/>
  <c r="D7" i="8"/>
  <c r="M8" i="8"/>
  <c r="L8" i="8"/>
  <c r="K8" i="8"/>
  <c r="U74" i="2"/>
  <c r="M7" i="8"/>
  <c r="L7" i="8"/>
  <c r="K7" i="8"/>
  <c r="K6" i="8"/>
  <c r="M5" i="8"/>
  <c r="L5" i="8"/>
  <c r="K5" i="8"/>
  <c r="I44" i="8"/>
  <c r="J44" i="8" s="1"/>
  <c r="I43" i="8"/>
  <c r="J43" i="8" s="1"/>
  <c r="I42" i="8"/>
  <c r="J42" i="8" s="1"/>
  <c r="I41" i="8"/>
  <c r="J41" i="8" s="1"/>
  <c r="I40" i="8"/>
  <c r="J40" i="8" s="1"/>
  <c r="I39" i="8"/>
  <c r="J39" i="8" s="1"/>
  <c r="I38" i="8"/>
  <c r="J38" i="8" s="1"/>
  <c r="I37" i="8"/>
  <c r="J37" i="8" s="1"/>
  <c r="I36" i="8"/>
  <c r="J36" i="8" s="1"/>
  <c r="I35" i="8"/>
  <c r="J35" i="8" s="1"/>
  <c r="I34" i="8"/>
  <c r="J34" i="8" s="1"/>
  <c r="I33" i="8"/>
  <c r="J33" i="8" s="1"/>
  <c r="I32" i="8"/>
  <c r="J32" i="8" s="1"/>
  <c r="I31" i="8"/>
  <c r="J31" i="8" s="1"/>
  <c r="I30" i="8"/>
  <c r="J30" i="8" s="1"/>
  <c r="I29" i="8"/>
  <c r="J29" i="8" s="1"/>
  <c r="I28" i="8"/>
  <c r="J28" i="8" s="1"/>
  <c r="I27" i="8"/>
  <c r="J27" i="8" s="1"/>
  <c r="I26" i="8"/>
  <c r="J26" i="8" s="1"/>
  <c r="I25" i="8"/>
  <c r="J25" i="8" s="1"/>
  <c r="I24" i="8"/>
  <c r="J24" i="8" s="1"/>
  <c r="I23" i="8"/>
  <c r="J23" i="8" s="1"/>
  <c r="I22" i="8"/>
  <c r="J22" i="8" s="1"/>
  <c r="I21" i="8"/>
  <c r="J21" i="8" s="1"/>
  <c r="I20" i="8"/>
  <c r="J20" i="8" s="1"/>
  <c r="I19" i="8"/>
  <c r="J19" i="8" s="1"/>
  <c r="I18" i="8"/>
  <c r="J18" i="8" s="1"/>
  <c r="I17" i="8"/>
  <c r="J17" i="8" s="1"/>
  <c r="I16" i="8"/>
  <c r="J16" i="8" s="1"/>
  <c r="I15" i="8"/>
  <c r="J15" i="8" s="1"/>
  <c r="I14" i="8"/>
  <c r="J14" i="8" s="1"/>
  <c r="I13" i="8"/>
  <c r="J13" i="8" s="1"/>
  <c r="K24" i="8" l="1"/>
  <c r="K16" i="8"/>
  <c r="K20" i="8"/>
  <c r="K13" i="8"/>
  <c r="K17" i="8"/>
  <c r="K21" i="8"/>
  <c r="K25" i="8"/>
  <c r="K29" i="8"/>
  <c r="K33" i="8"/>
  <c r="K37" i="8"/>
  <c r="K41" i="8"/>
  <c r="K14" i="8"/>
  <c r="K18" i="8"/>
  <c r="K22" i="8"/>
  <c r="K26" i="8"/>
  <c r="K30" i="8"/>
  <c r="K34" i="8"/>
  <c r="K38" i="8"/>
  <c r="K42" i="8"/>
  <c r="K15" i="8"/>
  <c r="K19" i="8"/>
  <c r="K23" i="8"/>
  <c r="K27" i="8"/>
  <c r="K31" i="8"/>
  <c r="K35" i="8"/>
  <c r="K39" i="8"/>
  <c r="K43" i="8"/>
  <c r="K28" i="8"/>
  <c r="K32" i="8"/>
  <c r="K36" i="8"/>
  <c r="K40" i="8"/>
  <c r="W68" i="2" l="1"/>
  <c r="G72" i="2"/>
  <c r="C74" i="2"/>
  <c r="T60" i="2"/>
  <c r="J31" i="3"/>
  <c r="F29" i="3"/>
  <c r="F25" i="3"/>
  <c r="AD45" i="2"/>
  <c r="G19" i="6"/>
  <c r="O72" i="2"/>
  <c r="T61" i="2"/>
  <c r="F21" i="3"/>
  <c r="G11" i="6"/>
  <c r="G9" i="6"/>
  <c r="G48" i="6"/>
  <c r="G65" i="6"/>
  <c r="G63" i="6"/>
  <c r="G55" i="6"/>
  <c r="G53" i="6"/>
  <c r="G36" i="6"/>
  <c r="G34" i="6"/>
  <c r="T68" i="2"/>
  <c r="AD78" i="2"/>
  <c r="AD60" i="2"/>
  <c r="U51" i="2"/>
  <c r="AD63" i="2"/>
  <c r="C26" i="4" l="1"/>
  <c r="AL51" i="2" l="1"/>
  <c r="F18" i="4" l="1"/>
  <c r="AK51" i="2"/>
  <c r="AE74" i="2" s="1"/>
  <c r="AI51" i="2"/>
  <c r="AH51" i="2"/>
  <c r="AF51" i="2"/>
  <c r="AE51" i="2"/>
  <c r="AB51" i="2"/>
  <c r="V74" i="2" s="1"/>
  <c r="AA51" i="2"/>
  <c r="X51" i="2"/>
  <c r="V51" i="2"/>
  <c r="D60" i="2"/>
  <c r="D5" i="4" l="1"/>
  <c r="I5" i="4" s="1"/>
  <c r="E5" i="4"/>
  <c r="K5" i="4" s="1"/>
  <c r="C5" i="4"/>
  <c r="H5" i="4" s="1"/>
  <c r="V77" i="2"/>
  <c r="V73" i="2" s="1"/>
  <c r="W77" i="2"/>
  <c r="W73" i="2" s="1"/>
  <c r="U77" i="2"/>
  <c r="AE77" i="2" s="1"/>
  <c r="T62" i="2"/>
  <c r="G8" i="4" s="1"/>
  <c r="AG51" i="2"/>
  <c r="AF74" i="2"/>
  <c r="AM51" i="2"/>
  <c r="AG74" i="2" s="1"/>
  <c r="AJ51" i="2"/>
  <c r="O45" i="2"/>
  <c r="O49" i="2"/>
  <c r="G6" i="4"/>
  <c r="F23" i="3" l="1"/>
  <c r="G7" i="4"/>
  <c r="F22" i="3"/>
  <c r="AG77" i="2"/>
  <c r="AF77" i="2"/>
  <c r="U73" i="2"/>
  <c r="E10" i="3"/>
  <c r="E13" i="3" s="1"/>
  <c r="E9" i="3"/>
  <c r="E12" i="3" s="1"/>
  <c r="D10" i="3"/>
  <c r="D13" i="3" s="1"/>
  <c r="D9" i="3"/>
  <c r="D12" i="3" s="1"/>
  <c r="C10" i="3"/>
  <c r="C13" i="3" s="1"/>
  <c r="C9" i="3"/>
  <c r="C12" i="3" s="1"/>
  <c r="B10" i="3"/>
  <c r="B13" i="3" s="1"/>
  <c r="B9" i="3"/>
  <c r="B12" i="3" s="1"/>
  <c r="F10" i="3"/>
  <c r="F13" i="3" s="1"/>
  <c r="G10" i="3"/>
  <c r="G13" i="3" s="1"/>
  <c r="F9" i="3"/>
  <c r="F12" i="3" s="1"/>
  <c r="G9" i="3"/>
  <c r="G12" i="3" s="1"/>
  <c r="C8" i="3"/>
  <c r="D8" i="3"/>
  <c r="E8" i="3"/>
  <c r="F8" i="3"/>
  <c r="G8" i="3"/>
  <c r="H8" i="3"/>
  <c r="B8" i="3"/>
  <c r="C6" i="3"/>
  <c r="D6" i="3"/>
  <c r="E6" i="3"/>
  <c r="F6" i="3"/>
  <c r="G6" i="3"/>
  <c r="H6" i="3"/>
  <c r="B6" i="3"/>
  <c r="H10" i="3"/>
  <c r="H13" i="3" s="1"/>
  <c r="H9" i="3"/>
  <c r="H12" i="3" s="1"/>
  <c r="F27" i="3" l="1"/>
  <c r="AF59" i="2"/>
  <c r="AG59" i="2"/>
  <c r="AH59" i="2"/>
  <c r="AI59" i="2"/>
  <c r="AJ59" i="2"/>
  <c r="AK59" i="2"/>
  <c r="AL59" i="2"/>
  <c r="AM59" i="2"/>
  <c r="AE59" i="2"/>
  <c r="G10" i="4"/>
  <c r="AC51" i="2"/>
  <c r="W74" i="2" s="1"/>
  <c r="W51" i="2"/>
  <c r="AB50" i="2"/>
  <c r="AL50" i="2" s="1"/>
  <c r="AC50" i="2"/>
  <c r="AM50" i="2" s="1"/>
  <c r="AA50" i="2"/>
  <c r="AK50" i="2" s="1"/>
  <c r="V50" i="2"/>
  <c r="Y50" i="2" s="1"/>
  <c r="AI50" i="2" s="1"/>
  <c r="W50" i="2"/>
  <c r="Z50" i="2" s="1"/>
  <c r="AJ50" i="2" s="1"/>
  <c r="U50" i="2"/>
  <c r="X50" i="2" s="1"/>
  <c r="AH50" i="2" s="1"/>
  <c r="D59" i="2"/>
  <c r="E59" i="2"/>
  <c r="F59" i="2"/>
  <c r="G59" i="2"/>
  <c r="H59" i="2"/>
  <c r="I59" i="2"/>
  <c r="J59" i="2"/>
  <c r="K59" i="2"/>
  <c r="L59" i="2"/>
  <c r="M59" i="2"/>
  <c r="N59" i="2"/>
  <c r="C59" i="2"/>
  <c r="E71" i="2"/>
  <c r="F71" i="2"/>
  <c r="G71" i="2"/>
  <c r="H71" i="2"/>
  <c r="I71" i="2"/>
  <c r="J71" i="2"/>
  <c r="K71" i="2"/>
  <c r="L71" i="2"/>
  <c r="M71" i="2"/>
  <c r="N71" i="2"/>
  <c r="F70" i="2"/>
  <c r="G70" i="2"/>
  <c r="H70" i="2"/>
  <c r="I70" i="2"/>
  <c r="J70" i="2"/>
  <c r="K70" i="2"/>
  <c r="L70" i="2"/>
  <c r="M70" i="2"/>
  <c r="N70" i="2"/>
  <c r="C70" i="2"/>
  <c r="G69" i="2"/>
  <c r="H69" i="2"/>
  <c r="I69" i="2"/>
  <c r="J69" i="2"/>
  <c r="K69" i="2"/>
  <c r="L69" i="2"/>
  <c r="M69" i="2"/>
  <c r="N69" i="2"/>
  <c r="C69" i="2"/>
  <c r="D69" i="2"/>
  <c r="N68" i="2"/>
  <c r="C68" i="2"/>
  <c r="D68" i="2"/>
  <c r="E68" i="2"/>
  <c r="C67" i="2"/>
  <c r="C72" i="2" s="1"/>
  <c r="D67" i="2"/>
  <c r="E67" i="2"/>
  <c r="F67" i="2"/>
  <c r="D66" i="2"/>
  <c r="E66" i="2"/>
  <c r="F66" i="2"/>
  <c r="G66" i="2"/>
  <c r="E65" i="2"/>
  <c r="F65" i="2"/>
  <c r="G65" i="2"/>
  <c r="H65" i="2"/>
  <c r="D64" i="2"/>
  <c r="E64" i="2"/>
  <c r="F64" i="2"/>
  <c r="G64" i="2"/>
  <c r="H64" i="2"/>
  <c r="I64" i="2"/>
  <c r="E63" i="2"/>
  <c r="F63" i="2"/>
  <c r="G63" i="2"/>
  <c r="H63" i="2"/>
  <c r="I63" i="2"/>
  <c r="J63" i="2"/>
  <c r="F62" i="2"/>
  <c r="G62" i="2"/>
  <c r="H62" i="2"/>
  <c r="I62" i="2"/>
  <c r="J62" i="2"/>
  <c r="K62" i="2"/>
  <c r="G61" i="2"/>
  <c r="H61" i="2"/>
  <c r="I61" i="2"/>
  <c r="J61" i="2"/>
  <c r="K61" i="2"/>
  <c r="L61" i="2"/>
  <c r="E60" i="2"/>
  <c r="F60" i="2"/>
  <c r="G60" i="2"/>
  <c r="H60" i="2"/>
  <c r="I60" i="2"/>
  <c r="J60" i="2"/>
  <c r="K60" i="2"/>
  <c r="L60" i="2"/>
  <c r="M60" i="2"/>
  <c r="C53" i="2"/>
  <c r="D53" i="2"/>
  <c r="E53" i="2"/>
  <c r="F53" i="2"/>
  <c r="G53" i="2"/>
  <c r="H53" i="2"/>
  <c r="I53" i="2"/>
  <c r="J53" i="2"/>
  <c r="K53" i="2"/>
  <c r="L53" i="2"/>
  <c r="M53" i="2"/>
  <c r="N53" i="2"/>
  <c r="F72" i="2" l="1"/>
  <c r="F74" i="2" s="1"/>
  <c r="Y61" i="2"/>
  <c r="D10" i="4" s="1"/>
  <c r="I10" i="4" s="1"/>
  <c r="V60" i="2"/>
  <c r="D6" i="4" s="1"/>
  <c r="I6" i="4" s="1"/>
  <c r="AG50" i="2"/>
  <c r="AE50" i="2"/>
  <c r="AF50" i="2"/>
  <c r="AD61" i="2"/>
  <c r="G11" i="4" s="1"/>
  <c r="AG60" i="2"/>
  <c r="E7" i="4" s="1"/>
  <c r="K7" i="4" s="1"/>
  <c r="U60" i="2"/>
  <c r="C6" i="4" s="1"/>
  <c r="H6" i="4" s="1"/>
  <c r="J6" i="4" s="1"/>
  <c r="W60" i="2"/>
  <c r="E6" i="4" s="1"/>
  <c r="K6" i="4" s="1"/>
  <c r="G74" i="2"/>
  <c r="M74" i="2"/>
  <c r="X61" i="2"/>
  <c r="C10" i="4" s="1"/>
  <c r="H10" i="4" s="1"/>
  <c r="Z61" i="2"/>
  <c r="E10" i="4" s="1"/>
  <c r="K10" i="4" s="1"/>
  <c r="L74" i="2"/>
  <c r="H74" i="2"/>
  <c r="J74" i="2"/>
  <c r="E72" i="2"/>
  <c r="E74" i="2" s="1"/>
  <c r="I74" i="2"/>
  <c r="K74" i="2"/>
  <c r="D72" i="2"/>
  <c r="D74" i="2" s="1"/>
  <c r="N72" i="2"/>
  <c r="J10" i="4" l="1"/>
  <c r="AF60" i="2"/>
  <c r="D7" i="4" s="1"/>
  <c r="I7" i="4" s="1"/>
  <c r="AJ61" i="2"/>
  <c r="E11" i="4" s="1"/>
  <c r="K11" i="4" s="1"/>
  <c r="AI61" i="2"/>
  <c r="D11" i="4" s="1"/>
  <c r="I11" i="4" s="1"/>
  <c r="AH61" i="2"/>
  <c r="C11" i="4" s="1"/>
  <c r="H11" i="4" s="1"/>
  <c r="AE60" i="2"/>
  <c r="C7" i="4" s="1"/>
  <c r="H7" i="4" s="1"/>
  <c r="M73" i="2"/>
  <c r="N74" i="2"/>
  <c r="O74" i="2" s="1"/>
  <c r="I75" i="2" l="1"/>
  <c r="G75" i="2"/>
  <c r="J11" i="4"/>
  <c r="L10" i="4" s="1"/>
  <c r="J7" i="4"/>
  <c r="L6" i="4" s="1"/>
  <c r="E73" i="2"/>
  <c r="L73" i="2"/>
  <c r="C73" i="2"/>
  <c r="K73" i="2"/>
  <c r="N73" i="2"/>
  <c r="G73" i="2"/>
  <c r="J73" i="2"/>
  <c r="I73" i="2"/>
  <c r="D73" i="2"/>
  <c r="H73" i="2"/>
  <c r="F73" i="2"/>
  <c r="D75" i="2"/>
  <c r="C75" i="2"/>
  <c r="F75" i="2"/>
  <c r="E75" i="2"/>
  <c r="H75" i="2"/>
  <c r="M75" i="2"/>
  <c r="L75" i="2"/>
  <c r="N75" i="2"/>
  <c r="K75" i="2"/>
  <c r="J75" i="2"/>
  <c r="O73" i="2" l="1"/>
  <c r="D57" i="2" l="1"/>
  <c r="E57" i="2"/>
  <c r="F57" i="2"/>
  <c r="G57" i="2"/>
  <c r="H57" i="2"/>
  <c r="I57" i="2"/>
  <c r="J57" i="2"/>
  <c r="K57" i="2"/>
  <c r="L57" i="2"/>
  <c r="M57" i="2"/>
  <c r="N57" i="2"/>
  <c r="C57" i="2"/>
  <c r="D55" i="2"/>
  <c r="E55" i="2"/>
  <c r="F55" i="2"/>
  <c r="G55" i="2"/>
  <c r="H55" i="2"/>
  <c r="I55" i="2"/>
  <c r="J55" i="2"/>
  <c r="K55" i="2"/>
  <c r="L55" i="2"/>
  <c r="M55" i="2"/>
  <c r="N55" i="2"/>
  <c r="C55" i="2"/>
  <c r="D52" i="2"/>
  <c r="E52" i="2"/>
  <c r="F52" i="2"/>
  <c r="G52" i="2"/>
  <c r="H52" i="2"/>
  <c r="I52" i="2"/>
  <c r="J52" i="2"/>
  <c r="K52" i="2"/>
  <c r="L52" i="2"/>
  <c r="M52" i="2"/>
  <c r="N52" i="2"/>
  <c r="C52" i="2"/>
  <c r="D50" i="2"/>
  <c r="E50" i="2"/>
  <c r="F50" i="2"/>
  <c r="G50" i="2"/>
  <c r="H50" i="2"/>
  <c r="I50" i="2"/>
  <c r="J50" i="2"/>
  <c r="K50" i="2"/>
  <c r="L50" i="2"/>
  <c r="M50" i="2"/>
  <c r="N50" i="2"/>
  <c r="C50" i="2"/>
  <c r="D48" i="2"/>
  <c r="E48" i="2"/>
  <c r="F48" i="2"/>
  <c r="G48" i="2"/>
  <c r="H48" i="2"/>
  <c r="I48" i="2"/>
  <c r="J48" i="2"/>
  <c r="K48" i="2"/>
  <c r="L48" i="2"/>
  <c r="M48" i="2"/>
  <c r="N48" i="2"/>
  <c r="C48" i="2"/>
  <c r="D46" i="2"/>
  <c r="E46" i="2"/>
  <c r="F46" i="2"/>
  <c r="G46" i="2"/>
  <c r="H46" i="2"/>
  <c r="I46" i="2"/>
  <c r="J46" i="2"/>
  <c r="K46" i="2"/>
  <c r="L46" i="2"/>
  <c r="M46" i="2"/>
  <c r="N46" i="2"/>
  <c r="C46" i="2"/>
  <c r="AA62" i="2"/>
  <c r="C8" i="4" s="1"/>
  <c r="H8" i="4" s="1"/>
  <c r="T63" i="2"/>
  <c r="AC62" i="2"/>
  <c r="E8" i="4" s="1"/>
  <c r="K8" i="4" s="1"/>
  <c r="AB62" i="2"/>
  <c r="D8" i="4" s="1"/>
  <c r="I8" i="4" s="1"/>
  <c r="AD62" i="2"/>
  <c r="G9" i="4" s="1"/>
  <c r="J8" i="4" l="1"/>
  <c r="F20" i="3"/>
  <c r="AL62" i="2"/>
  <c r="D9" i="4" s="1"/>
  <c r="I9" i="4" s="1"/>
  <c r="AM62" i="2"/>
  <c r="E9" i="4" s="1"/>
  <c r="K9" i="4" s="1"/>
  <c r="AK62" i="2"/>
  <c r="C9" i="4" s="1"/>
  <c r="H9" i="4" s="1"/>
  <c r="J9" i="4" s="1"/>
  <c r="L8" i="4" l="1"/>
  <c r="G29" i="3"/>
  <c r="G14" i="4"/>
  <c r="U68" i="2" l="1"/>
  <c r="C12" i="4" s="1"/>
  <c r="H12" i="4" s="1"/>
  <c r="G12" i="4"/>
  <c r="T70" i="2"/>
  <c r="F24" i="3"/>
  <c r="E12" i="4"/>
  <c r="V68" i="2"/>
  <c r="D12" i="4" s="1"/>
  <c r="AE78" i="2"/>
  <c r="C14" i="4" s="1"/>
  <c r="H14" i="4" s="1"/>
  <c r="AG78" i="2"/>
  <c r="E14" i="4" s="1"/>
  <c r="K14" i="4" s="1"/>
  <c r="AF78" i="2"/>
  <c r="D14" i="4" s="1"/>
  <c r="I14" i="4" s="1"/>
  <c r="K12" i="4" l="1"/>
  <c r="I12" i="4"/>
  <c r="J12" i="4" s="1"/>
  <c r="J14" i="4"/>
  <c r="L14" i="4" s="1"/>
  <c r="G21" i="3"/>
  <c r="F30" i="3"/>
  <c r="T78" i="2" s="1"/>
  <c r="G22" i="3"/>
  <c r="G23" i="3"/>
  <c r="G15" i="4" l="1"/>
  <c r="G30" i="3"/>
  <c r="F32" i="3"/>
  <c r="V78" i="2" l="1"/>
  <c r="D15" i="4" s="1"/>
  <c r="I15" i="4" s="1"/>
  <c r="W78" i="2"/>
  <c r="E15" i="4" s="1"/>
  <c r="K15" i="4" s="1"/>
  <c r="U78" i="2"/>
  <c r="C15" i="4" s="1"/>
  <c r="H15" i="4" s="1"/>
  <c r="G18" i="4"/>
  <c r="J15" i="4" l="1"/>
  <c r="L15" i="4" s="1"/>
  <c r="D18" i="4"/>
  <c r="C18" i="4"/>
  <c r="E18" i="4"/>
  <c r="C21" i="4" s="1"/>
  <c r="C20" i="4" l="1"/>
  <c r="C19" i="4"/>
  <c r="D21" i="4" s="1"/>
  <c r="D20" i="4" l="1"/>
</calcChain>
</file>

<file path=xl/comments1.xml><?xml version="1.0" encoding="utf-8"?>
<comments xmlns="http://schemas.openxmlformats.org/spreadsheetml/2006/main">
  <authors>
    <author>Hanna Karlsson</author>
  </authors>
  <commentList>
    <comment ref="K7" authorId="0" shapeId="0">
      <text>
        <r>
          <rPr>
            <b/>
            <sz val="9"/>
            <color indexed="81"/>
            <rFont val="Tahoma"/>
            <family val="2"/>
          </rPr>
          <t>Hanna Karlsson:</t>
        </r>
        <r>
          <rPr>
            <sz val="9"/>
            <color indexed="81"/>
            <rFont val="Tahoma"/>
            <family val="2"/>
          </rPr>
          <t xml:space="preserve">
antagande 10 mer grovfoder samma som Gunnar Rundgren</t>
        </r>
      </text>
    </comment>
  </commentList>
</comments>
</file>

<file path=xl/comments2.xml><?xml version="1.0" encoding="utf-8"?>
<comments xmlns="http://schemas.openxmlformats.org/spreadsheetml/2006/main">
  <authors>
    <author>DefaultAppPool</author>
    <author>Hanna Karlsson</author>
  </authors>
  <commentList>
    <comment ref="A4" authorId="0" shapeId="0">
      <text>
        <r>
          <rPr>
            <sz val="9"/>
            <color rgb="FF000000"/>
            <rFont val="Tahoma"/>
            <family val="2"/>
          </rPr>
          <t xml:space="preserve">Värden redovisas från och med januari 2013.
</t>
        </r>
      </text>
    </comment>
    <comment ref="B5" authorId="0" shapeId="0">
      <text>
        <r>
          <rPr>
            <sz val="9"/>
            <color rgb="FF000000"/>
            <rFont val="Tahoma"/>
            <family val="2"/>
          </rPr>
          <t xml:space="preserve">Kvantiteten avser slaktad vikt.
</t>
        </r>
      </text>
    </comment>
    <comment ref="B7" authorId="0" shapeId="0">
      <text>
        <r>
          <rPr>
            <sz val="9"/>
            <color rgb="FF000000"/>
            <rFont val="Tahoma"/>
            <family val="2"/>
          </rPr>
          <t xml:space="preserve">Kvantiteten avser slaktad vikt.
</t>
        </r>
      </text>
    </comment>
    <comment ref="B9" authorId="0" shapeId="0">
      <text>
        <r>
          <rPr>
            <sz val="9"/>
            <color rgb="FF000000"/>
            <rFont val="Tahoma"/>
            <family val="2"/>
          </rPr>
          <t xml:space="preserve">Kvantiteten avser slaktad vikt.
</t>
        </r>
      </text>
    </comment>
    <comment ref="A10" authorId="0" shapeId="0">
      <text>
        <r>
          <rPr>
            <sz val="9"/>
            <color rgb="FF000000"/>
            <rFont val="Tahoma"/>
            <family val="2"/>
          </rPr>
          <t xml:space="preserve">Värden redovisas från och med januari 2013.
</t>
        </r>
      </text>
    </comment>
    <comment ref="B11" authorId="0" shapeId="0">
      <text>
        <r>
          <rPr>
            <sz val="9"/>
            <color rgb="FF000000"/>
            <rFont val="Tahoma"/>
            <family val="2"/>
          </rPr>
          <t xml:space="preserve">Kvantiteten avser slaktad vikt.
</t>
        </r>
      </text>
    </comment>
    <comment ref="A12" authorId="0" shapeId="0">
      <text>
        <r>
          <rPr>
            <sz val="9"/>
            <color rgb="FF000000"/>
            <rFont val="Tahoma"/>
            <family val="2"/>
          </rPr>
          <t xml:space="preserve">Ålder under 2 år.
Värden redovisas från och med januari 2013.
</t>
        </r>
      </text>
    </comment>
    <comment ref="B13" authorId="0" shapeId="0">
      <text>
        <r>
          <rPr>
            <sz val="9"/>
            <color rgb="FF000000"/>
            <rFont val="Tahoma"/>
            <family val="2"/>
          </rPr>
          <t xml:space="preserve">Kvantiteten avser slaktad vikt.
</t>
        </r>
      </text>
    </comment>
    <comment ref="A14" authorId="0" shapeId="0">
      <text>
        <r>
          <rPr>
            <sz val="9"/>
            <color rgb="FF000000"/>
            <rFont val="Tahoma"/>
            <family val="2"/>
          </rPr>
          <t xml:space="preserve">Ålder över 2 år.
Värden redovisas från och med januari 2013.
</t>
        </r>
      </text>
    </comment>
    <comment ref="B15" authorId="0" shapeId="0">
      <text>
        <r>
          <rPr>
            <sz val="9"/>
            <color rgb="FF000000"/>
            <rFont val="Tahoma"/>
            <family val="2"/>
          </rPr>
          <t xml:space="preserve">Kvantiteten avser slaktad vikt.
</t>
        </r>
      </text>
    </comment>
    <comment ref="B17" authorId="0" shapeId="0">
      <text>
        <r>
          <rPr>
            <sz val="9"/>
            <color rgb="FF000000"/>
            <rFont val="Tahoma"/>
            <family val="2"/>
          </rPr>
          <t xml:space="preserve">Kvantiteten avser slaktad vikt.
</t>
        </r>
      </text>
    </comment>
    <comment ref="B19" authorId="0" shapeId="0">
      <text>
        <r>
          <rPr>
            <sz val="9"/>
            <color rgb="FF000000"/>
            <rFont val="Tahoma"/>
            <family val="2"/>
          </rPr>
          <t xml:space="preserve">Kvantiteten avser slaktad vikt.
</t>
        </r>
      </text>
    </comment>
    <comment ref="A20" authorId="0" shapeId="0">
      <text>
        <r>
          <rPr>
            <sz val="9"/>
            <color rgb="FF000000"/>
            <rFont val="Tahoma"/>
            <family val="2"/>
          </rPr>
          <t xml:space="preserve">Värden redovisas från och med januari 2013.
</t>
        </r>
      </text>
    </comment>
    <comment ref="B21" authorId="0" shapeId="0">
      <text>
        <r>
          <rPr>
            <sz val="9"/>
            <color rgb="FF000000"/>
            <rFont val="Tahoma"/>
            <family val="2"/>
          </rPr>
          <t xml:space="preserve">Kvantiteten avser slaktad vikt.
</t>
        </r>
      </text>
    </comment>
    <comment ref="A22" authorId="0" shapeId="0">
      <text>
        <r>
          <rPr>
            <sz val="9"/>
            <color rgb="FF000000"/>
            <rFont val="Tahoma"/>
            <family val="2"/>
          </rPr>
          <t xml:space="preserve">Värden redovisas från och med januari 2013.
</t>
        </r>
      </text>
    </comment>
    <comment ref="B23" authorId="0" shapeId="0">
      <text>
        <r>
          <rPr>
            <sz val="9"/>
            <color rgb="FF000000"/>
            <rFont val="Tahoma"/>
            <family val="2"/>
          </rPr>
          <t xml:space="preserve">Kvantiteten avser slaktad vikt.
</t>
        </r>
      </text>
    </comment>
    <comment ref="B25" authorId="0" shapeId="0">
      <text>
        <r>
          <rPr>
            <sz val="9"/>
            <color rgb="FF000000"/>
            <rFont val="Tahoma"/>
            <family val="2"/>
          </rPr>
          <t xml:space="preserve">Kvantiteten avser slaktad vikt.
</t>
        </r>
      </text>
    </comment>
    <comment ref="A26" authorId="0" shapeId="0">
      <text>
        <r>
          <rPr>
            <sz val="9"/>
            <color rgb="FF000000"/>
            <rFont val="Tahoma"/>
            <family val="2"/>
          </rPr>
          <t xml:space="preserve">I storboskap ingår stutar, tjurar, kvigor och kor.
</t>
        </r>
      </text>
    </comment>
    <comment ref="B27" authorId="0" shapeId="0">
      <text>
        <r>
          <rPr>
            <sz val="9"/>
            <color rgb="FF000000"/>
            <rFont val="Tahoma"/>
            <family val="2"/>
          </rPr>
          <t xml:space="preserve">Kvantiteten avser slaktad vikt.
</t>
        </r>
      </text>
    </comment>
    <comment ref="B29" authorId="0" shapeId="0">
      <text>
        <r>
          <rPr>
            <sz val="9"/>
            <color rgb="FF000000"/>
            <rFont val="Tahoma"/>
            <family val="2"/>
          </rPr>
          <t xml:space="preserve">Kvantiteten avser slaktad vikt.
</t>
        </r>
      </text>
    </comment>
    <comment ref="A30" authorId="0" shapeId="0">
      <text>
        <r>
          <rPr>
            <sz val="9"/>
            <color rgb="FF000000"/>
            <rFont val="Tahoma"/>
            <family val="2"/>
          </rPr>
          <t xml:space="preserve">Värden redovisas från och med januari 2013.
</t>
        </r>
      </text>
    </comment>
    <comment ref="B31" authorId="0" shapeId="0">
      <text>
        <r>
          <rPr>
            <sz val="9"/>
            <color rgb="FF000000"/>
            <rFont val="Tahoma"/>
            <family val="2"/>
          </rPr>
          <t xml:space="preserve">Kvantiteten avser slaktad vikt.
</t>
        </r>
      </text>
    </comment>
    <comment ref="A32" authorId="0" shapeId="0">
      <text>
        <r>
          <rPr>
            <sz val="9"/>
            <color rgb="FF000000"/>
            <rFont val="Tahoma"/>
            <family val="2"/>
          </rPr>
          <t xml:space="preserve">Värden redovisas från och med januari 2013.
</t>
        </r>
      </text>
    </comment>
    <comment ref="B33" authorId="0" shapeId="0">
      <text>
        <r>
          <rPr>
            <sz val="9"/>
            <color rgb="FF000000"/>
            <rFont val="Tahoma"/>
            <family val="2"/>
          </rPr>
          <t xml:space="preserve">Kvantiteten avser slaktad vikt.
</t>
        </r>
      </text>
    </comment>
    <comment ref="A34" authorId="0" shapeId="0">
      <text>
        <r>
          <rPr>
            <sz val="9"/>
            <color rgb="FF000000"/>
            <rFont val="Tahoma"/>
            <family val="2"/>
          </rPr>
          <t xml:space="preserve">Värden redovisas från och med januari 2013.
</t>
        </r>
      </text>
    </comment>
    <comment ref="B35" authorId="0" shapeId="0">
      <text>
        <r>
          <rPr>
            <sz val="9"/>
            <color rgb="FF000000"/>
            <rFont val="Tahoma"/>
            <family val="2"/>
          </rPr>
          <t xml:space="preserve">Kvantiteten avser slaktad vikt.
</t>
        </r>
      </text>
    </comment>
    <comment ref="A36" authorId="0" shapeId="0">
      <text>
        <r>
          <rPr>
            <sz val="9"/>
            <color rgb="FF000000"/>
            <rFont val="Tahoma"/>
            <family val="2"/>
          </rPr>
          <t xml:space="preserve">Värden redovisas från och med januari 2013.
</t>
        </r>
      </text>
    </comment>
    <comment ref="B37" authorId="0" shapeId="0">
      <text>
        <r>
          <rPr>
            <sz val="9"/>
            <color rgb="FF000000"/>
            <rFont val="Tahoma"/>
            <family val="2"/>
          </rPr>
          <t xml:space="preserve">Kvantiteten avser slaktad vikt.
</t>
        </r>
      </text>
    </comment>
    <comment ref="A38" authorId="0" shapeId="0">
      <text>
        <r>
          <rPr>
            <sz val="9"/>
            <color rgb="FF000000"/>
            <rFont val="Tahoma"/>
            <family val="2"/>
          </rPr>
          <t xml:space="preserve">Värden redovisas från och med januari 2013.
</t>
        </r>
      </text>
    </comment>
    <comment ref="B39" authorId="0" shapeId="0">
      <text>
        <r>
          <rPr>
            <sz val="9"/>
            <color rgb="FF000000"/>
            <rFont val="Tahoma"/>
            <family val="2"/>
          </rPr>
          <t xml:space="preserve">Kvantiteten avser slaktad vikt.
</t>
        </r>
      </text>
    </comment>
    <comment ref="B41" authorId="0" shapeId="0">
      <text>
        <r>
          <rPr>
            <sz val="9"/>
            <color rgb="FF000000"/>
            <rFont val="Tahoma"/>
            <family val="2"/>
          </rPr>
          <t xml:space="preserve">Kvantiteten avser slaktad vikt.
</t>
        </r>
      </text>
    </comment>
    <comment ref="B43" authorId="0" shapeId="0">
      <text>
        <r>
          <rPr>
            <sz val="9"/>
            <color rgb="FF000000"/>
            <rFont val="Tahoma"/>
            <family val="2"/>
          </rPr>
          <t xml:space="preserve">Kvantiteten avser slaktad vikt.
</t>
        </r>
      </text>
    </comment>
    <comment ref="B47" authorId="0" shapeId="0">
      <text>
        <r>
          <rPr>
            <sz val="9"/>
            <color rgb="FF000000"/>
            <rFont val="Tahoma"/>
            <family val="2"/>
          </rPr>
          <t xml:space="preserve">Kvantiteten avser slaktad vikt.
</t>
        </r>
      </text>
    </comment>
    <comment ref="B51" authorId="0" shapeId="0">
      <text>
        <r>
          <rPr>
            <sz val="9"/>
            <color rgb="FF000000"/>
            <rFont val="Tahoma"/>
            <family val="2"/>
          </rPr>
          <t xml:space="preserve">Kvantiteten avser slaktad vikt.
</t>
        </r>
      </text>
    </comment>
    <comment ref="U51" authorId="1" shapeId="0">
      <text>
        <r>
          <rPr>
            <b/>
            <sz val="9"/>
            <color indexed="81"/>
            <rFont val="Tahoma"/>
            <family val="2"/>
          </rPr>
          <t>Hanna Karlsson:</t>
        </r>
        <r>
          <rPr>
            <sz val="9"/>
            <color indexed="81"/>
            <rFont val="Tahoma"/>
            <family val="2"/>
          </rPr>
          <t xml:space="preserve">
antagande 10 mer grovfoder samma som Gunnar Rundgren</t>
        </r>
      </text>
    </comment>
    <comment ref="AD55" authorId="1" shapeId="0">
      <text>
        <r>
          <rPr>
            <b/>
            <sz val="9"/>
            <color indexed="81"/>
            <rFont val="Tahoma"/>
            <family val="2"/>
          </rPr>
          <t>Hanna Karlsson:</t>
        </r>
        <r>
          <rPr>
            <sz val="9"/>
            <color indexed="81"/>
            <rFont val="Tahoma"/>
            <family val="2"/>
          </rPr>
          <t xml:space="preserve">
gunnars antagande</t>
        </r>
      </text>
    </comment>
    <comment ref="B56" authorId="0" shapeId="0">
      <text>
        <r>
          <rPr>
            <sz val="9"/>
            <color rgb="FF000000"/>
            <rFont val="Tahoma"/>
            <family val="2"/>
          </rPr>
          <t xml:space="preserve">Kvantiteten avser slaktad vikt.
</t>
        </r>
      </text>
    </comment>
  </commentList>
</comments>
</file>

<file path=xl/sharedStrings.xml><?xml version="1.0" encoding="utf-8"?>
<sst xmlns="http://schemas.openxmlformats.org/spreadsheetml/2006/main" count="1653" uniqueCount="298">
  <si>
    <t>Slakt av större lantbruksdjur vid slakteri efter Djurslag, Tabelluppgift och Månad</t>
  </si>
  <si>
    <t>2022M01</t>
  </si>
  <si>
    <t>2022M02</t>
  </si>
  <si>
    <t>2022M03</t>
  </si>
  <si>
    <t>2022M04</t>
  </si>
  <si>
    <t>2022M05</t>
  </si>
  <si>
    <t>2022M06</t>
  </si>
  <si>
    <t>2022M07</t>
  </si>
  <si>
    <t>2022M08</t>
  </si>
  <si>
    <t>2022M09</t>
  </si>
  <si>
    <t>2022M10</t>
  </si>
  <si>
    <t>2022M11</t>
  </si>
  <si>
    <t>2022M12</t>
  </si>
  <si>
    <t>Mellankalv</t>
  </si>
  <si>
    <t>Slaktade hela kroppar, 1 000-tal</t>
  </si>
  <si>
    <t>Kvantitet, 1 000 ton</t>
  </si>
  <si>
    <t>Summa kalv</t>
  </si>
  <si>
    <t>Stut</t>
  </si>
  <si>
    <t>Äldre tjur</t>
  </si>
  <si>
    <t>Ungtjur</t>
  </si>
  <si>
    <t>Yngre tjur</t>
  </si>
  <si>
    <t>Summa tjur</t>
  </si>
  <si>
    <t>Kviga</t>
  </si>
  <si>
    <t>Ko</t>
  </si>
  <si>
    <t>Ungko</t>
  </si>
  <si>
    <t>Summa ko</t>
  </si>
  <si>
    <t>Summa storboskap</t>
  </si>
  <si>
    <t>Summa nötkreatur</t>
  </si>
  <si>
    <t>Slaktgris</t>
  </si>
  <si>
    <t>Suggor</t>
  </si>
  <si>
    <t>Galtar</t>
  </si>
  <si>
    <t>Unggris</t>
  </si>
  <si>
    <t>Unggalt</t>
  </si>
  <si>
    <t>Summa gris</t>
  </si>
  <si>
    <t>Häst</t>
  </si>
  <si>
    <t>Tackor och baggar</t>
  </si>
  <si>
    <t>Lamm</t>
  </si>
  <si>
    <t>Summa får</t>
  </si>
  <si>
    <t>I summorna kan ingå vissa mindre djurslag som inte redovisas i denna tabell.</t>
  </si>
  <si>
    <t>Värdena avser slakt av lantbruksdjur för humankonsumtion vid slakterier och inkluderar ej djur som slaktas för andra syften, kasseras eller hemslaktas.</t>
  </si>
  <si>
    <t>Djurslag:</t>
  </si>
  <si>
    <t>Mellankalv:</t>
  </si>
  <si>
    <t>Värden redovisas från och med januari 2013.</t>
  </si>
  <si>
    <t>Äldre tjur:</t>
  </si>
  <si>
    <t>Ungtjur:</t>
  </si>
  <si>
    <t>Ålder under 2 år.
Värden redovisas från och med januari 2013.</t>
  </si>
  <si>
    <t>Yngre tjur:</t>
  </si>
  <si>
    <t>Ålder över 2 år.
Värden redovisas från och med januari 2013.</t>
  </si>
  <si>
    <t>Ko:</t>
  </si>
  <si>
    <t>Ungko:</t>
  </si>
  <si>
    <t>Summa storboskap:</t>
  </si>
  <si>
    <t>I storboskap ingår stutar, tjurar, kvigor och kor.</t>
  </si>
  <si>
    <t>Slaktgris:</t>
  </si>
  <si>
    <t>Suggor:</t>
  </si>
  <si>
    <t>Galtar:</t>
  </si>
  <si>
    <t>Unggris:</t>
  </si>
  <si>
    <t>Unggalt:</t>
  </si>
  <si>
    <t>Tabelluppgift:</t>
  </si>
  <si>
    <t>Kvantitet, 1 000 ton:</t>
  </si>
  <si>
    <t>Kvantiteten avser slaktad vikt.</t>
  </si>
  <si>
    <t>Senaste uppdatering:</t>
  </si>
  <si>
    <t>Källa:</t>
  </si>
  <si>
    <t>Jordbruksverkets slaktdatabas</t>
  </si>
  <si>
    <t>Kontaktperson:</t>
  </si>
  <si>
    <t>Slaktade hela kroppar, 1 000-tal:</t>
  </si>
  <si>
    <t>Jesper Fransson</t>
  </si>
  <si>
    <t>Tfn: 036-15 50 79</t>
  </si>
  <si>
    <t>E-post: statistik@jordbruksverket.se</t>
  </si>
  <si>
    <t>Sort:</t>
  </si>
  <si>
    <t>1 000-tal</t>
  </si>
  <si>
    <t>1 000 ton</t>
  </si>
  <si>
    <t>Intern referenskod:</t>
  </si>
  <si>
    <t>JO0604A4</t>
  </si>
  <si>
    <t>Januari</t>
  </si>
  <si>
    <t>Februari</t>
  </si>
  <si>
    <t>Mars</t>
  </si>
  <si>
    <t>April</t>
  </si>
  <si>
    <t>Maj</t>
  </si>
  <si>
    <t>Juni</t>
  </si>
  <si>
    <t>Juli</t>
  </si>
  <si>
    <t>Augusti</t>
  </si>
  <si>
    <t>September</t>
  </si>
  <si>
    <t>October</t>
  </si>
  <si>
    <t>November</t>
  </si>
  <si>
    <t>December</t>
  </si>
  <si>
    <t>Vinterlamm</t>
  </si>
  <si>
    <t>Vårlamm</t>
  </si>
  <si>
    <t>Höstlamm</t>
  </si>
  <si>
    <t>Antal lamm som lever varje månad</t>
  </si>
  <si>
    <t>Ungefärlig slaktvikt</t>
  </si>
  <si>
    <t>Levnadstid (månader)</t>
  </si>
  <si>
    <t>Lamm slaktade i december</t>
  </si>
  <si>
    <t>Lamm slaktade i november</t>
  </si>
  <si>
    <t>Lamm slaktade i oktober</t>
  </si>
  <si>
    <t>Lamm slakatde i september</t>
  </si>
  <si>
    <t>Lamm slaktade i augusti</t>
  </si>
  <si>
    <t>Lamm slaktade i juli</t>
  </si>
  <si>
    <t>Lamm slaktade i juni</t>
  </si>
  <si>
    <t>Lamm slaktade i maj</t>
  </si>
  <si>
    <t>Lamm slaktade i april</t>
  </si>
  <si>
    <t>Lamm slaktade i mars</t>
  </si>
  <si>
    <t>Lamm slaktade i februari</t>
  </si>
  <si>
    <t>Lamm slaktade i januari</t>
  </si>
  <si>
    <t>Totalt antal lamm som lever varje månad</t>
  </si>
  <si>
    <t>totalt antal lamm</t>
  </si>
  <si>
    <t>totalt antal lamm*månader</t>
  </si>
  <si>
    <t>Ensilage</t>
  </si>
  <si>
    <t>Bete</t>
  </si>
  <si>
    <t>Kraftfoder</t>
  </si>
  <si>
    <t>Foder till lamm</t>
  </si>
  <si>
    <t>Antal</t>
  </si>
  <si>
    <t>lamm per tacka</t>
  </si>
  <si>
    <t>Foderåtgång ton ts och år</t>
  </si>
  <si>
    <t>Foder till tackor</t>
  </si>
  <si>
    <t>I vinterlamm system</t>
  </si>
  <si>
    <t>I vårlamm system</t>
  </si>
  <si>
    <t>I höstlamm system</t>
  </si>
  <si>
    <t>SUMMA</t>
  </si>
  <si>
    <t>Baggar och tackor</t>
  </si>
  <si>
    <t>Får- total</t>
  </si>
  <si>
    <t>slaktade djur</t>
  </si>
  <si>
    <t>https://statistik.sjv.se/PXWeb/pxweb/sv/Jordbruksverkets%20statistikdatabas/Jordbruksverkets%20statistikdatabas__Animalieproduktion__Slakt/JO0604A3.px/table/tableViewLayout1/</t>
  </si>
  <si>
    <t>ANTAL</t>
  </si>
  <si>
    <t>rekruterings procent tackor och baggar</t>
  </si>
  <si>
    <t>Lamm till slakt per tacka och bagge</t>
  </si>
  <si>
    <t>antalet lamm i olika produktionssystem baserat på slaktstsistiken 2022</t>
  </si>
  <si>
    <t>Antal som föds för slakt</t>
  </si>
  <si>
    <t>Rekruteringsprocent</t>
  </si>
  <si>
    <t>LAMM till slakt</t>
  </si>
  <si>
    <t>TACKOR mammor till lamm till slakt</t>
  </si>
  <si>
    <t>Karftfoder</t>
  </si>
  <si>
    <t>Totalt antal lamm i lammproduktionen</t>
  </si>
  <si>
    <t>Antalet tackor i "intensiv lammköttsproduktione"</t>
  </si>
  <si>
    <t>Anatalet vårlamm</t>
  </si>
  <si>
    <t>Anatlet höstlamm</t>
  </si>
  <si>
    <t>Antalet vinterlamm</t>
  </si>
  <si>
    <t>Totalt antalet lamm i lammköttproduktionen</t>
  </si>
  <si>
    <t>OBS ingen dödlighet medräknad</t>
  </si>
  <si>
    <t>Antalet lamm "över"</t>
  </si>
  <si>
    <t>Foderåtgång för landskapsvårdare och ullproducenterna</t>
  </si>
  <si>
    <t>Tackor och baggar som landskapsvårdare och ullproducenter</t>
  </si>
  <si>
    <t>Tackor/baggar</t>
  </si>
  <si>
    <t>Foder till lamm som inte är i köttproduktionen</t>
  </si>
  <si>
    <t>Vinterlam mod</t>
  </si>
  <si>
    <t>Kraftoder</t>
  </si>
  <si>
    <t>Foder till tackor och lamm som inte är i köttproduktionen</t>
  </si>
  <si>
    <t>Lamm i köttproduktion</t>
  </si>
  <si>
    <t>Lamm vinterlamm</t>
  </si>
  <si>
    <t>Lamm höstlamm</t>
  </si>
  <si>
    <t>Lamm vårlamm</t>
  </si>
  <si>
    <t>Tackor vinterlamm</t>
  </si>
  <si>
    <t>Tackor höstlamm</t>
  </si>
  <si>
    <t>Tackor vårlamm</t>
  </si>
  <si>
    <t>Lamm ej i lammköttsproduktionen</t>
  </si>
  <si>
    <t>TOTALT</t>
  </si>
  <si>
    <t>Rougahge</t>
  </si>
  <si>
    <t>Totalt</t>
  </si>
  <si>
    <t>Concentrate</t>
  </si>
  <si>
    <t>dödlighet tackor</t>
  </si>
  <si>
    <t>Gunnar Rundgren</t>
  </si>
  <si>
    <t xml:space="preserve">average sloughter age </t>
  </si>
  <si>
    <t>7 moths</t>
  </si>
  <si>
    <t>dödlighet lamm</t>
  </si>
  <si>
    <t>Ahlgren et al 2022</t>
  </si>
  <si>
    <t>Lamm för rekrutering (tackor som byts ut)</t>
  </si>
  <si>
    <t>Anatlet tackkor och baggar "över"</t>
  </si>
  <si>
    <t>lamm/tacka eller bagge</t>
  </si>
  <si>
    <t>similar to Rundgren et al 2023</t>
  </si>
  <si>
    <t>andel tackor och baggar som slaktas varje år</t>
  </si>
  <si>
    <t xml:space="preserve">feeding losses and reject </t>
  </si>
  <si>
    <t>från rasmus beräkning</t>
  </si>
  <si>
    <t>kg dm per year</t>
  </si>
  <si>
    <t>Vinter tacka</t>
  </si>
  <si>
    <t>jämföra</t>
  </si>
  <si>
    <t>Einarsson</t>
  </si>
  <si>
    <t>Rundgren</t>
  </si>
  <si>
    <t>Total mängd foder innan dödlighet är medräknat</t>
  </si>
  <si>
    <t>Antalet djur i respektive system</t>
  </si>
  <si>
    <t>Antalet rekruteringtckor</t>
  </si>
  <si>
    <t>Tackor och baggar icke i lammköttsproduktion (pappadjuren också)</t>
  </si>
  <si>
    <t>Foder höstlam</t>
  </si>
  <si>
    <t>dm per head</t>
  </si>
  <si>
    <t>Grovfoder</t>
  </si>
  <si>
    <t>Rekrutering tackor (när de är lamm)</t>
  </si>
  <si>
    <t>totalt DM foder per tacka och lamm (jämför Einarsson 890 kg DM för tacka och lamm)</t>
  </si>
  <si>
    <t>f_breed</t>
  </si>
  <si>
    <t>f_prod_system</t>
  </si>
  <si>
    <t>f_sub_system</t>
  </si>
  <si>
    <t>f_animal</t>
  </si>
  <si>
    <t>f_feed</t>
  </si>
  <si>
    <t>parameter</t>
  </si>
  <si>
    <t>value</t>
  </si>
  <si>
    <t>unit</t>
  </si>
  <si>
    <t>description</t>
  </si>
  <si>
    <t>source</t>
  </si>
  <si>
    <t>Fertility etc.</t>
  </si>
  <si>
    <t>autumn lamb</t>
  </si>
  <si>
    <t>spring lamb</t>
  </si>
  <si>
    <t>winter lamb</t>
  </si>
  <si>
    <t>fertility</t>
  </si>
  <si>
    <t>%</t>
  </si>
  <si>
    <t>ewes</t>
  </si>
  <si>
    <t>mortality</t>
  </si>
  <si>
    <t>recruitment_rate</t>
  </si>
  <si>
    <t>other sheep</t>
  </si>
  <si>
    <t>lambs</t>
  </si>
  <si>
    <t>slaughter_weight</t>
  </si>
  <si>
    <t>Slaughter</t>
  </si>
  <si>
    <t>kg CW</t>
  </si>
  <si>
    <t>slaughter_age</t>
  </si>
  <si>
    <t>days</t>
  </si>
  <si>
    <t>lambs_per_ewe</t>
  </si>
  <si>
    <t>nr</t>
  </si>
  <si>
    <t>rams_per_ewe</t>
  </si>
  <si>
    <t>per year</t>
  </si>
  <si>
    <t>of born (??)</t>
  </si>
  <si>
    <t>months</t>
  </si>
  <si>
    <t>age_at_first_lambing</t>
  </si>
  <si>
    <t>1 year seems common in commercial herds</t>
  </si>
  <si>
    <t>rams</t>
  </si>
  <si>
    <t>recruitment_rate_rams</t>
  </si>
  <si>
    <t>assumes rams start being rams at 1 year</t>
  </si>
  <si>
    <t>Ahlgren et al 2022, Bilaga 6 Tabell X</t>
  </si>
  <si>
    <t>Ahlgren et al 2022, Bilaga 6 Tabell Y</t>
  </si>
  <si>
    <t>Ahlgren et al 2022, Bilaga 6 Tabell Ö</t>
  </si>
  <si>
    <t>Ahlgren et al 2022, Bilaga 6 Tabell Ä</t>
  </si>
  <si>
    <t>Mortality</t>
  </si>
  <si>
    <t>Feed requirements</t>
  </si>
  <si>
    <t>assumed same as ewes</t>
  </si>
  <si>
    <t>wheat</t>
  </si>
  <si>
    <t>barley</t>
  </si>
  <si>
    <t>oats</t>
  </si>
  <si>
    <t>triticale</t>
  </si>
  <si>
    <t>rye</t>
  </si>
  <si>
    <t>maize</t>
  </si>
  <si>
    <t>peas</t>
  </si>
  <si>
    <t>broad beans</t>
  </si>
  <si>
    <t>rapeseed</t>
  </si>
  <si>
    <t>linseed</t>
  </si>
  <si>
    <t>vegetable oils</t>
  </si>
  <si>
    <t>soybeans</t>
  </si>
  <si>
    <t>soybean meal</t>
  </si>
  <si>
    <t>soybean protein concentrate</t>
  </si>
  <si>
    <t>rapeseed meal</t>
  </si>
  <si>
    <t>sunflower seed meal</t>
  </si>
  <si>
    <t>palm kernel expeller</t>
  </si>
  <si>
    <t>luzern meal</t>
  </si>
  <si>
    <t>wheat bran</t>
  </si>
  <si>
    <t>wheat bran, fine</t>
  </si>
  <si>
    <t>oat hulls</t>
  </si>
  <si>
    <t>oat bran</t>
  </si>
  <si>
    <t>rye bran</t>
  </si>
  <si>
    <t>wheat distillers grain, dry</t>
  </si>
  <si>
    <t>barley brewers grain</t>
  </si>
  <si>
    <t>maize gluten meal</t>
  </si>
  <si>
    <t>sugar beet molasses</t>
  </si>
  <si>
    <t>sugar beet pulp</t>
  </si>
  <si>
    <t>whey powder</t>
  </si>
  <si>
    <t>potatoe protein</t>
  </si>
  <si>
    <t>fish meal</t>
  </si>
  <si>
    <t>minerals</t>
  </si>
  <si>
    <t>SWE</t>
  </si>
  <si>
    <t>IMP</t>
  </si>
  <si>
    <t>TOT</t>
  </si>
  <si>
    <t>SCB Feed industry statistics 2022</t>
  </si>
  <si>
    <t>DM</t>
  </si>
  <si>
    <t>% of DM</t>
  </si>
  <si>
    <t>Category 'Övriga djurslag'</t>
  </si>
  <si>
    <t>sub_system</t>
  </si>
  <si>
    <t>animal</t>
  </si>
  <si>
    <t>Silage</t>
  </si>
  <si>
    <t>Grazing</t>
  </si>
  <si>
    <t>Feed ration lambs [kg DM/lamb]</t>
  </si>
  <si>
    <t>Feed ration ewes and rams [kg DM/head]</t>
  </si>
  <si>
    <t>ley silage, regrowth</t>
  </si>
  <si>
    <t>feed</t>
  </si>
  <si>
    <t>ley silage, 1st cut</t>
  </si>
  <si>
    <t>grazing</t>
  </si>
  <si>
    <t>Total</t>
  </si>
  <si>
    <t>kg DM</t>
  </si>
  <si>
    <t>assume same as autumn</t>
  </si>
  <si>
    <t>Feed rations</t>
  </si>
  <si>
    <t>total</t>
  </si>
  <si>
    <t>PERCENT OF DRY MATTER</t>
  </si>
  <si>
    <t>TOTAL DRY MATTER</t>
  </si>
  <si>
    <t>share_in_ration</t>
  </si>
  <si>
    <t>Fallback</t>
  </si>
  <si>
    <t>see feed ration sheet</t>
  </si>
  <si>
    <t>gives ~9 years slaughter age</t>
  </si>
  <si>
    <t>assumed a bit lower than the others</t>
  </si>
  <si>
    <t>assumed same as autumn</t>
  </si>
  <si>
    <t>Fertility pars for this category set to get few lambs for slaughter and around 0.12 lambs per ewe+ram according to statistics</t>
  </si>
  <si>
    <t>feed_per_head</t>
  </si>
  <si>
    <t>feed_per_lifetime</t>
  </si>
  <si>
    <t>max_share_sub_system</t>
  </si>
  <si>
    <t>From shares according to slaughter statistics plus some slack</t>
  </si>
  <si>
    <t>Maximum shares per sub-system on national level</t>
  </si>
  <si>
    <t xml:space="preserve">Note: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</si>
</sst>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.0"/>
    <numFmt numFmtId="165" formatCode="#,##0\ _k_r"/>
  </numFmts>
  <fonts count="35" x14ac:knownFonts="1">
    <font>
      <sz val="11"/>
      <color rgb="FF000000"/>
      <name val="Calibri"/>
      <family val="2"/>
    </font>
    <font>
      <sz val="11"/>
      <color theme="1"/>
      <name val="Calibri"/>
      <family val="2"/>
      <scheme val="minor"/>
    </font>
    <font>
      <b/>
      <sz val="14"/>
      <color rgb="FF000000"/>
      <name val="Calibri"/>
      <family val="2"/>
    </font>
    <font>
      <b/>
      <sz val="11"/>
      <color rgb="FF000000"/>
      <name val="Calibri"/>
      <family val="2"/>
    </font>
    <font>
      <sz val="9"/>
      <color rgb="FF000000"/>
      <name val="Tahoma"/>
      <family val="2"/>
    </font>
    <font>
      <sz val="11"/>
      <color rgb="FF000000"/>
      <name val="Calibri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u/>
      <sz val="11"/>
      <color rgb="FF000000"/>
      <name val="Calibri"/>
      <family val="2"/>
    </font>
    <font>
      <b/>
      <sz val="11"/>
      <color rgb="FFFFFFFF"/>
      <name val="Calibri"/>
      <family val="2"/>
    </font>
    <font>
      <sz val="11"/>
      <color rgb="FFFFFFFF"/>
      <name val="Calibri"/>
      <family val="2"/>
    </font>
    <font>
      <sz val="9"/>
      <color rgb="FFFFFFFF"/>
      <name val="Calibri"/>
      <family val="2"/>
    </font>
    <font>
      <strike/>
      <sz val="11"/>
      <color rgb="FF000000"/>
      <name val="Calibri"/>
      <family val="2"/>
    </font>
    <font>
      <sz val="11"/>
      <name val="Calibri"/>
      <family val="2"/>
    </font>
    <font>
      <sz val="11"/>
      <color theme="0"/>
      <name val="Calibri"/>
      <family val="2"/>
    </font>
    <font>
      <b/>
      <sz val="11"/>
      <color theme="0"/>
      <name val="Calibri"/>
      <family val="2"/>
    </font>
    <font>
      <sz val="11"/>
      <color theme="0" tint="-0.249977111117893"/>
      <name val="Calibri"/>
      <family val="2"/>
    </font>
    <font>
      <sz val="11"/>
      <color rgb="FF7030A0"/>
      <name val="Calibri"/>
      <family val="2"/>
      <scheme val="minor"/>
    </font>
    <font>
      <sz val="11"/>
      <color theme="0" tint="-0.499984740745262"/>
      <name val="Calibri"/>
      <family val="2"/>
    </font>
  </fonts>
  <fills count="4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E7E6E6"/>
        <bgColor rgb="FF000000"/>
      </patternFill>
    </fill>
    <fill>
      <patternFill patternType="solid">
        <fgColor rgb="FFED7D31"/>
        <bgColor rgb="FF000000"/>
      </patternFill>
    </fill>
    <fill>
      <patternFill patternType="solid">
        <fgColor rgb="FFF8CBAD"/>
        <bgColor rgb="FF000000"/>
      </patternFill>
    </fill>
    <fill>
      <patternFill patternType="solid">
        <fgColor rgb="FFF4B084"/>
        <bgColor rgb="FF000000"/>
      </patternFill>
    </fill>
    <fill>
      <patternFill patternType="solid">
        <fgColor rgb="FFFCE4D6"/>
        <bgColor rgb="FF000000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79998168889431442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4">
    <xf numFmtId="0" fontId="0" fillId="0" borderId="0" applyBorder="0"/>
    <xf numFmtId="9" fontId="5" fillId="0" borderId="0" applyFont="0" applyFill="0" applyBorder="0" applyAlignment="0" applyProtection="0"/>
    <xf numFmtId="0" fontId="8" fillId="0" borderId="0" applyNumberFormat="0" applyFill="0" applyBorder="0" applyAlignment="0" applyProtection="0"/>
    <xf numFmtId="0" fontId="9" fillId="0" borderId="9" applyNumberFormat="0" applyFill="0" applyAlignment="0" applyProtection="0"/>
    <xf numFmtId="0" fontId="10" fillId="0" borderId="10" applyNumberFormat="0" applyFill="0" applyAlignment="0" applyProtection="0"/>
    <xf numFmtId="0" fontId="11" fillId="0" borderId="11" applyNumberFormat="0" applyFill="0" applyAlignment="0" applyProtection="0"/>
    <xf numFmtId="0" fontId="11" fillId="0" borderId="0" applyNumberFormat="0" applyFill="0" applyBorder="0" applyAlignment="0" applyProtection="0"/>
    <xf numFmtId="0" fontId="12" fillId="7" borderId="0" applyNumberFormat="0" applyBorder="0" applyAlignment="0" applyProtection="0"/>
    <xf numFmtId="0" fontId="13" fillId="8" borderId="0" applyNumberFormat="0" applyBorder="0" applyAlignment="0" applyProtection="0"/>
    <xf numFmtId="0" fontId="14" fillId="9" borderId="0" applyNumberFormat="0" applyBorder="0" applyAlignment="0" applyProtection="0"/>
    <xf numFmtId="0" fontId="15" fillId="10" borderId="12" applyNumberFormat="0" applyAlignment="0" applyProtection="0"/>
    <xf numFmtId="0" fontId="16" fillId="11" borderId="13" applyNumberFormat="0" applyAlignment="0" applyProtection="0"/>
    <xf numFmtId="0" fontId="17" fillId="11" borderId="12" applyNumberFormat="0" applyAlignment="0" applyProtection="0"/>
    <xf numFmtId="0" fontId="18" fillId="0" borderId="14" applyNumberFormat="0" applyFill="0" applyAlignment="0" applyProtection="0"/>
    <xf numFmtId="0" fontId="19" fillId="12" borderId="15" applyNumberFormat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2" fillId="0" borderId="17" applyNumberFormat="0" applyFill="0" applyAlignment="0" applyProtection="0"/>
    <xf numFmtId="0" fontId="23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23" fillId="17" borderId="0" applyNumberFormat="0" applyBorder="0" applyAlignment="0" applyProtection="0"/>
    <xf numFmtId="0" fontId="23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23" fillId="21" borderId="0" applyNumberFormat="0" applyBorder="0" applyAlignment="0" applyProtection="0"/>
    <xf numFmtId="0" fontId="23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23" fillId="25" borderId="0" applyNumberFormat="0" applyBorder="0" applyAlignment="0" applyProtection="0"/>
    <xf numFmtId="0" fontId="23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23" fillId="29" borderId="0" applyNumberFormat="0" applyBorder="0" applyAlignment="0" applyProtection="0"/>
    <xf numFmtId="0" fontId="23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23" fillId="33" borderId="0" applyNumberFormat="0" applyBorder="0" applyAlignment="0" applyProtection="0"/>
    <xf numFmtId="0" fontId="23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23" fillId="37" borderId="0" applyNumberFormat="0" applyBorder="0" applyAlignment="0" applyProtection="0"/>
    <xf numFmtId="0" fontId="1" fillId="0" borderId="0"/>
    <xf numFmtId="0" fontId="1" fillId="13" borderId="16" applyNumberFormat="0" applyFont="0" applyAlignment="0" applyProtection="0"/>
  </cellStyleXfs>
  <cellXfs count="97">
    <xf numFmtId="0" fontId="0" fillId="0" borderId="0" xfId="0" applyNumberFormat="1" applyFill="1" applyAlignment="1" applyProtection="1"/>
    <xf numFmtId="0" fontId="2" fillId="0" borderId="0" xfId="0" applyNumberFormat="1" applyFont="1" applyFill="1" applyAlignment="1" applyProtection="1"/>
    <xf numFmtId="0" fontId="3" fillId="0" borderId="0" xfId="0" applyNumberFormat="1" applyFont="1" applyFill="1" applyAlignment="1" applyProtection="1"/>
    <xf numFmtId="2" fontId="0" fillId="0" borderId="0" xfId="0" applyNumberFormat="1" applyFill="1" applyAlignment="1" applyProtection="1"/>
    <xf numFmtId="0" fontId="0" fillId="0" borderId="0" xfId="0" applyNumberFormat="1" applyFill="1" applyAlignment="1" applyProtection="1">
      <alignment wrapText="1"/>
    </xf>
    <xf numFmtId="9" fontId="3" fillId="0" borderId="0" xfId="1" applyFont="1" applyFill="1" applyAlignment="1" applyProtection="1"/>
    <xf numFmtId="9" fontId="3" fillId="2" borderId="0" xfId="1" applyFont="1" applyFill="1" applyAlignment="1" applyProtection="1"/>
    <xf numFmtId="0" fontId="0" fillId="3" borderId="0" xfId="0" applyNumberFormat="1" applyFill="1" applyAlignment="1" applyProtection="1"/>
    <xf numFmtId="0" fontId="0" fillId="4" borderId="0" xfId="0" applyNumberFormat="1" applyFill="1" applyAlignment="1" applyProtection="1"/>
    <xf numFmtId="0" fontId="0" fillId="5" borderId="0" xfId="0" applyNumberFormat="1" applyFill="1" applyAlignment="1" applyProtection="1"/>
    <xf numFmtId="164" fontId="3" fillId="2" borderId="0" xfId="1" applyNumberFormat="1" applyFont="1" applyFill="1" applyAlignment="1" applyProtection="1"/>
    <xf numFmtId="0" fontId="3" fillId="0" borderId="0" xfId="1" applyNumberFormat="1" applyFont="1" applyFill="1" applyAlignment="1" applyProtection="1"/>
    <xf numFmtId="1" fontId="3" fillId="0" borderId="0" xfId="1" applyNumberFormat="1" applyFont="1" applyFill="1" applyAlignment="1" applyProtection="1"/>
    <xf numFmtId="0" fontId="0" fillId="0" borderId="0" xfId="0" applyNumberFormat="1" applyFont="1" applyFill="1" applyAlignment="1" applyProtection="1"/>
    <xf numFmtId="9" fontId="5" fillId="0" borderId="0" xfId="1" applyFont="1" applyFill="1" applyAlignment="1" applyProtection="1"/>
    <xf numFmtId="1" fontId="5" fillId="2" borderId="0" xfId="1" applyNumberFormat="1" applyFont="1" applyFill="1" applyAlignment="1" applyProtection="1"/>
    <xf numFmtId="1" fontId="5" fillId="0" borderId="0" xfId="1" applyNumberFormat="1" applyFont="1" applyFill="1" applyAlignment="1" applyProtection="1"/>
    <xf numFmtId="0" fontId="5" fillId="0" borderId="0" xfId="1" applyNumberFormat="1" applyFont="1" applyFill="1" applyAlignment="1" applyProtection="1"/>
    <xf numFmtId="0" fontId="5" fillId="2" borderId="0" xfId="1" applyNumberFormat="1" applyFont="1" applyFill="1" applyAlignment="1" applyProtection="1"/>
    <xf numFmtId="1" fontId="0" fillId="0" borderId="0" xfId="0" applyNumberFormat="1" applyFill="1" applyAlignment="1" applyProtection="1"/>
    <xf numFmtId="9" fontId="0" fillId="0" borderId="0" xfId="1" applyFont="1" applyFill="1" applyAlignment="1" applyProtection="1"/>
    <xf numFmtId="0" fontId="0" fillId="0" borderId="0" xfId="0"/>
    <xf numFmtId="9" fontId="0" fillId="0" borderId="0" xfId="0" applyNumberFormat="1" applyFill="1" applyAlignment="1" applyProtection="1"/>
    <xf numFmtId="165" fontId="0" fillId="0" borderId="0" xfId="0" applyNumberFormat="1" applyFill="1" applyAlignment="1" applyProtection="1"/>
    <xf numFmtId="165" fontId="0" fillId="0" borderId="0" xfId="0" applyNumberFormat="1" applyFill="1" applyAlignment="1" applyProtection="1">
      <alignment horizontal="right"/>
    </xf>
    <xf numFmtId="0" fontId="0" fillId="0" borderId="1" xfId="0" applyNumberFormat="1" applyFill="1" applyBorder="1" applyAlignment="1" applyProtection="1"/>
    <xf numFmtId="0" fontId="0" fillId="0" borderId="2" xfId="0" applyNumberFormat="1" applyFill="1" applyBorder="1" applyAlignment="1" applyProtection="1"/>
    <xf numFmtId="0" fontId="0" fillId="0" borderId="3" xfId="0" applyNumberFormat="1" applyFill="1" applyBorder="1" applyAlignment="1" applyProtection="1"/>
    <xf numFmtId="0" fontId="0" fillId="0" borderId="4" xfId="0" applyNumberFormat="1" applyFill="1" applyBorder="1" applyAlignment="1" applyProtection="1"/>
    <xf numFmtId="0" fontId="0" fillId="0" borderId="0" xfId="0" applyNumberFormat="1" applyFill="1" applyBorder="1" applyAlignment="1" applyProtection="1"/>
    <xf numFmtId="0" fontId="0" fillId="0" borderId="5" xfId="0" applyNumberFormat="1" applyFill="1" applyBorder="1" applyAlignment="1" applyProtection="1"/>
    <xf numFmtId="0" fontId="0" fillId="0" borderId="6" xfId="0" applyNumberFormat="1" applyFill="1" applyBorder="1" applyAlignment="1" applyProtection="1"/>
    <xf numFmtId="1" fontId="0" fillId="0" borderId="7" xfId="0" applyNumberFormat="1" applyFill="1" applyBorder="1" applyAlignment="1" applyProtection="1"/>
    <xf numFmtId="0" fontId="0" fillId="0" borderId="7" xfId="0" applyNumberFormat="1" applyFill="1" applyBorder="1" applyAlignment="1" applyProtection="1"/>
    <xf numFmtId="0" fontId="0" fillId="0" borderId="8" xfId="0" applyNumberFormat="1" applyFill="1" applyBorder="1" applyAlignment="1" applyProtection="1"/>
    <xf numFmtId="0" fontId="0" fillId="6" borderId="0" xfId="0" applyNumberFormat="1" applyFill="1" applyBorder="1" applyAlignment="1" applyProtection="1"/>
    <xf numFmtId="0" fontId="0" fillId="3" borderId="0" xfId="0" applyNumberFormat="1" applyFill="1" applyBorder="1" applyAlignment="1" applyProtection="1"/>
    <xf numFmtId="0" fontId="0" fillId="5" borderId="0" xfId="0" applyNumberFormat="1" applyFill="1" applyBorder="1" applyAlignment="1" applyProtection="1"/>
    <xf numFmtId="0" fontId="0" fillId="5" borderId="5" xfId="0" applyNumberFormat="1" applyFill="1" applyBorder="1" applyAlignment="1" applyProtection="1"/>
    <xf numFmtId="1" fontId="0" fillId="0" borderId="0" xfId="0" applyNumberFormat="1" applyFill="1" applyBorder="1" applyAlignment="1" applyProtection="1"/>
    <xf numFmtId="1" fontId="0" fillId="0" borderId="5" xfId="0" applyNumberFormat="1" applyFill="1" applyBorder="1" applyAlignment="1" applyProtection="1"/>
    <xf numFmtId="1" fontId="0" fillId="0" borderId="2" xfId="0" applyNumberFormat="1" applyFill="1" applyBorder="1" applyAlignment="1" applyProtection="1"/>
    <xf numFmtId="164" fontId="0" fillId="0" borderId="0" xfId="0" applyNumberFormat="1" applyFill="1" applyBorder="1" applyAlignment="1" applyProtection="1"/>
    <xf numFmtId="0" fontId="22" fillId="0" borderId="0" xfId="42" applyFont="1"/>
    <xf numFmtId="0" fontId="24" fillId="38" borderId="0" xfId="0" applyFont="1" applyFill="1" applyBorder="1"/>
    <xf numFmtId="0" fontId="0" fillId="38" borderId="0" xfId="0" applyFont="1" applyFill="1" applyBorder="1"/>
    <xf numFmtId="2" fontId="0" fillId="38" borderId="0" xfId="0" applyNumberFormat="1" applyFont="1" applyFill="1" applyBorder="1"/>
    <xf numFmtId="164" fontId="0" fillId="0" borderId="0" xfId="0" applyNumberFormat="1" applyFill="1" applyAlignment="1" applyProtection="1"/>
    <xf numFmtId="9" fontId="3" fillId="0" borderId="0" xfId="1" applyNumberFormat="1" applyFont="1" applyFill="1" applyAlignment="1" applyProtection="1"/>
    <xf numFmtId="0" fontId="26" fillId="39" borderId="0" xfId="0" applyFont="1" applyFill="1" applyBorder="1"/>
    <xf numFmtId="0" fontId="0" fillId="39" borderId="0" xfId="0" applyFont="1" applyFill="1" applyBorder="1"/>
    <xf numFmtId="0" fontId="0" fillId="39" borderId="0" xfId="0" applyFont="1" applyFill="1" applyBorder="1" applyAlignment="1">
      <alignment horizontal="center"/>
    </xf>
    <xf numFmtId="0" fontId="0" fillId="41" borderId="0" xfId="0" applyFont="1" applyFill="1" applyBorder="1" applyAlignment="1">
      <alignment horizontal="center"/>
    </xf>
    <xf numFmtId="2" fontId="0" fillId="39" borderId="0" xfId="0" applyNumberFormat="1" applyFont="1" applyFill="1" applyBorder="1" applyAlignment="1">
      <alignment horizontal="center"/>
    </xf>
    <xf numFmtId="3" fontId="0" fillId="42" borderId="0" xfId="0" applyNumberFormat="1" applyFont="1" applyFill="1" applyBorder="1" applyAlignment="1">
      <alignment horizontal="center"/>
    </xf>
    <xf numFmtId="3" fontId="0" fillId="40" borderId="0" xfId="0" applyNumberFormat="1" applyFont="1" applyFill="1" applyBorder="1" applyAlignment="1">
      <alignment horizontal="center"/>
    </xf>
    <xf numFmtId="0" fontId="0" fillId="40" borderId="0" xfId="0" applyFont="1" applyFill="1" applyBorder="1" applyAlignment="1">
      <alignment horizontal="center" vertical="center"/>
    </xf>
    <xf numFmtId="1" fontId="0" fillId="44" borderId="0" xfId="0" applyNumberFormat="1" applyFill="1" applyBorder="1" applyAlignment="1" applyProtection="1"/>
    <xf numFmtId="3" fontId="27" fillId="0" borderId="0" xfId="0" applyNumberFormat="1" applyFont="1" applyFill="1" applyBorder="1"/>
    <xf numFmtId="0" fontId="0" fillId="0" borderId="0" xfId="0" applyFont="1" applyFill="1" applyBorder="1" applyAlignment="1"/>
    <xf numFmtId="0" fontId="0" fillId="0" borderId="0" xfId="0" applyFont="1" applyFill="1" applyBorder="1" applyAlignment="1">
      <alignment horizontal="center"/>
    </xf>
    <xf numFmtId="9" fontId="0" fillId="0" borderId="0" xfId="1" applyFont="1" applyFill="1" applyBorder="1" applyAlignment="1">
      <alignment horizontal="center"/>
    </xf>
    <xf numFmtId="9" fontId="28" fillId="0" borderId="0" xfId="1" applyFont="1" applyFill="1" applyBorder="1" applyAlignment="1">
      <alignment horizontal="center"/>
    </xf>
    <xf numFmtId="0" fontId="31" fillId="5" borderId="1" xfId="0" applyNumberFormat="1" applyFont="1" applyFill="1" applyBorder="1" applyAlignment="1" applyProtection="1"/>
    <xf numFmtId="0" fontId="0" fillId="5" borderId="2" xfId="0" applyNumberFormat="1" applyFill="1" applyBorder="1" applyAlignment="1" applyProtection="1"/>
    <xf numFmtId="0" fontId="0" fillId="5" borderId="3" xfId="0" applyNumberFormat="1" applyFill="1" applyBorder="1" applyAlignment="1" applyProtection="1"/>
    <xf numFmtId="0" fontId="30" fillId="5" borderId="4" xfId="0" applyNumberFormat="1" applyFont="1" applyFill="1" applyBorder="1" applyAlignment="1" applyProtection="1"/>
    <xf numFmtId="0" fontId="0" fillId="5" borderId="4" xfId="0" applyNumberFormat="1" applyFill="1" applyBorder="1" applyAlignment="1" applyProtection="1"/>
    <xf numFmtId="0" fontId="0" fillId="43" borderId="0" xfId="0" applyNumberFormat="1" applyFill="1" applyBorder="1" applyAlignment="1" applyProtection="1"/>
    <xf numFmtId="0" fontId="0" fillId="43" borderId="5" xfId="0" applyNumberFormat="1" applyFill="1" applyBorder="1" applyAlignment="1" applyProtection="1"/>
    <xf numFmtId="1" fontId="0" fillId="44" borderId="5" xfId="0" applyNumberFormat="1" applyFill="1" applyBorder="1" applyAlignment="1" applyProtection="1"/>
    <xf numFmtId="0" fontId="0" fillId="5" borderId="6" xfId="0" applyNumberFormat="1" applyFill="1" applyBorder="1" applyAlignment="1" applyProtection="1"/>
    <xf numFmtId="0" fontId="0" fillId="5" borderId="7" xfId="0" applyNumberFormat="1" applyFill="1" applyBorder="1" applyAlignment="1" applyProtection="1"/>
    <xf numFmtId="1" fontId="0" fillId="44" borderId="7" xfId="0" applyNumberFormat="1" applyFill="1" applyBorder="1" applyAlignment="1" applyProtection="1"/>
    <xf numFmtId="1" fontId="0" fillId="44" borderId="8" xfId="0" applyNumberFormat="1" applyFill="1" applyBorder="1" applyAlignment="1" applyProtection="1"/>
    <xf numFmtId="0" fontId="25" fillId="39" borderId="1" xfId="0" applyFont="1" applyFill="1" applyBorder="1"/>
    <xf numFmtId="0" fontId="26" fillId="39" borderId="2" xfId="0" applyFont="1" applyFill="1" applyBorder="1"/>
    <xf numFmtId="3" fontId="27" fillId="39" borderId="3" xfId="0" applyNumberFormat="1" applyFont="1" applyFill="1" applyBorder="1"/>
    <xf numFmtId="0" fontId="30" fillId="39" borderId="4" xfId="0" applyFont="1" applyFill="1" applyBorder="1"/>
    <xf numFmtId="0" fontId="26" fillId="39" borderId="5" xfId="0" applyFont="1" applyFill="1" applyBorder="1"/>
    <xf numFmtId="0" fontId="0" fillId="39" borderId="4" xfId="0" applyFont="1" applyFill="1" applyBorder="1"/>
    <xf numFmtId="0" fontId="0" fillId="41" borderId="5" xfId="0" applyFont="1" applyFill="1" applyBorder="1" applyAlignment="1">
      <alignment horizontal="center"/>
    </xf>
    <xf numFmtId="9" fontId="0" fillId="40" borderId="5" xfId="1" applyFont="1" applyFill="1" applyBorder="1" applyAlignment="1">
      <alignment horizontal="center"/>
    </xf>
    <xf numFmtId="0" fontId="28" fillId="39" borderId="6" xfId="0" applyFont="1" applyFill="1" applyBorder="1"/>
    <xf numFmtId="0" fontId="28" fillId="39" borderId="7" xfId="0" applyFont="1" applyFill="1" applyBorder="1"/>
    <xf numFmtId="2" fontId="28" fillId="39" borderId="7" xfId="0" applyNumberFormat="1" applyFont="1" applyFill="1" applyBorder="1" applyAlignment="1">
      <alignment horizontal="center"/>
    </xf>
    <xf numFmtId="3" fontId="28" fillId="42" borderId="7" xfId="0" applyNumberFormat="1" applyFont="1" applyFill="1" applyBorder="1" applyAlignment="1">
      <alignment horizontal="center"/>
    </xf>
    <xf numFmtId="3" fontId="28" fillId="40" borderId="7" xfId="0" applyNumberFormat="1" applyFont="1" applyFill="1" applyBorder="1" applyAlignment="1">
      <alignment horizontal="center"/>
    </xf>
    <xf numFmtId="9" fontId="28" fillId="40" borderId="8" xfId="1" applyFont="1" applyFill="1" applyBorder="1" applyAlignment="1">
      <alignment horizontal="center"/>
    </xf>
    <xf numFmtId="0" fontId="29" fillId="0" borderId="0" xfId="0" applyNumberFormat="1" applyFont="1" applyFill="1" applyAlignment="1" applyProtection="1"/>
    <xf numFmtId="0" fontId="32" fillId="0" borderId="0" xfId="0" applyNumberFormat="1" applyFont="1" applyFill="1" applyAlignment="1" applyProtection="1"/>
    <xf numFmtId="0" fontId="33" fillId="0" borderId="0" xfId="0" applyFont="1"/>
    <xf numFmtId="2" fontId="29" fillId="0" borderId="0" xfId="0" applyNumberFormat="1" applyFont="1" applyFill="1" applyAlignment="1" applyProtection="1"/>
    <xf numFmtId="164" fontId="29" fillId="0" borderId="0" xfId="0" applyNumberFormat="1" applyFont="1" applyFill="1" applyAlignment="1" applyProtection="1"/>
    <xf numFmtId="0" fontId="29" fillId="38" borderId="0" xfId="0" applyFont="1" applyFill="1" applyBorder="1"/>
    <xf numFmtId="1" fontId="29" fillId="0" borderId="0" xfId="0" applyNumberFormat="1" applyFont="1" applyFill="1" applyAlignment="1" applyProtection="1"/>
    <xf numFmtId="9" fontId="34" fillId="0" borderId="0" xfId="1" applyFont="1" applyFill="1" applyAlignment="1" applyProtection="1"/>
  </cellXfs>
  <cellStyles count="44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Explanatory Text" xfId="16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rmal 2" xfId="42"/>
    <cellStyle name="Note 2" xfId="43"/>
    <cellStyle name="Output" xfId="11" builtinId="21" customBuiltin="1"/>
    <cellStyle name="Percent" xfId="1" builtinId="5"/>
    <cellStyle name="Title" xfId="2" builtinId="15" customBuiltin="1"/>
    <cellStyle name="Total" xfId="17" builtinId="25" customBuiltin="1"/>
    <cellStyle name="Warning Text" xfId="15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247650</xdr:colOff>
      <xdr:row>1</xdr:row>
      <xdr:rowOff>28575</xdr:rowOff>
    </xdr:from>
    <xdr:to>
      <xdr:col>20</xdr:col>
      <xdr:colOff>571500</xdr:colOff>
      <xdr:row>9</xdr:row>
      <xdr:rowOff>133350</xdr:rowOff>
    </xdr:to>
    <xdr:pic>
      <xdr:nvPicPr>
        <xdr:cNvPr id="2" name="Picture 1" descr="Tablå B. Antal får fördelat på olika kategorier 2000, 2010, 2013, 2016, 2020, 2021, 2022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34050" y="219075"/>
          <a:ext cx="7029450" cy="1628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20</xdr:col>
      <xdr:colOff>85725</xdr:colOff>
      <xdr:row>28</xdr:row>
      <xdr:rowOff>9525</xdr:rowOff>
    </xdr:from>
    <xdr:to>
      <xdr:col>30</xdr:col>
      <xdr:colOff>704850</xdr:colOff>
      <xdr:row>36</xdr:row>
      <xdr:rowOff>114300</xdr:rowOff>
    </xdr:to>
    <xdr:pic>
      <xdr:nvPicPr>
        <xdr:cNvPr id="2" name="Picture 1" descr="Tablå B. Antal får fördelat på olika kategorier 2000, 2010, 2013, 2016, 2020, 2021, 2022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5391150"/>
          <a:ext cx="7029450" cy="1628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60"/>
  <sheetViews>
    <sheetView tabSelected="1" zoomScale="80" zoomScaleNormal="80" workbookViewId="0">
      <pane ySplit="1" topLeftCell="A30" activePane="bottomLeft" state="frozen"/>
      <selection pane="bottomLeft" activeCell="I44" sqref="I44"/>
    </sheetView>
  </sheetViews>
  <sheetFormatPr defaultRowHeight="15" x14ac:dyDescent="0.25"/>
  <cols>
    <col min="1" max="1" width="10.5703125" customWidth="1"/>
    <col min="2" max="2" width="14.28515625" bestFit="1" customWidth="1"/>
    <col min="3" max="3" width="14.42578125" bestFit="1" customWidth="1"/>
    <col min="4" max="4" width="8.7109375" bestFit="1" customWidth="1"/>
    <col min="5" max="5" width="29.85546875" bestFit="1" customWidth="1"/>
    <col min="6" max="6" width="23.85546875" bestFit="1" customWidth="1"/>
    <col min="7" max="7" width="10.85546875" customWidth="1"/>
    <col min="8" max="8" width="9.7109375" customWidth="1"/>
    <col min="9" max="9" width="44.28515625" bestFit="1" customWidth="1"/>
    <col min="10" max="10" width="37.28515625" bestFit="1" customWidth="1"/>
  </cols>
  <sheetData>
    <row r="1" spans="1:10" x14ac:dyDescent="0.25">
      <c r="A1" s="43" t="s">
        <v>185</v>
      </c>
      <c r="B1" s="43" t="s">
        <v>186</v>
      </c>
      <c r="C1" s="43" t="s">
        <v>187</v>
      </c>
      <c r="D1" s="43" t="s">
        <v>188</v>
      </c>
      <c r="E1" s="43" t="s">
        <v>189</v>
      </c>
      <c r="F1" s="43" t="s">
        <v>190</v>
      </c>
      <c r="G1" s="43" t="s">
        <v>191</v>
      </c>
      <c r="H1" s="43" t="s">
        <v>192</v>
      </c>
      <c r="I1" s="43" t="s">
        <v>193</v>
      </c>
      <c r="J1" s="43" t="s">
        <v>194</v>
      </c>
    </row>
    <row r="3" spans="1:10" x14ac:dyDescent="0.25">
      <c r="A3" s="44" t="s">
        <v>195</v>
      </c>
      <c r="B3" s="44"/>
      <c r="C3" s="44"/>
      <c r="D3" s="45"/>
      <c r="E3" s="45"/>
      <c r="F3" s="45"/>
      <c r="G3" s="45"/>
      <c r="H3" s="45"/>
      <c r="I3" s="45"/>
      <c r="J3" s="46"/>
    </row>
    <row r="4" spans="1:10" x14ac:dyDescent="0.25">
      <c r="C4" t="s">
        <v>196</v>
      </c>
      <c r="F4" t="s">
        <v>199</v>
      </c>
      <c r="G4" s="89">
        <v>93</v>
      </c>
      <c r="H4" t="s">
        <v>200</v>
      </c>
      <c r="J4" t="s">
        <v>222</v>
      </c>
    </row>
    <row r="5" spans="1:10" x14ac:dyDescent="0.25">
      <c r="C5" t="s">
        <v>197</v>
      </c>
      <c r="F5" t="s">
        <v>199</v>
      </c>
      <c r="G5" s="89">
        <v>88</v>
      </c>
      <c r="H5" t="s">
        <v>200</v>
      </c>
      <c r="J5" t="s">
        <v>222</v>
      </c>
    </row>
    <row r="6" spans="1:10" x14ac:dyDescent="0.25">
      <c r="C6" t="s">
        <v>198</v>
      </c>
      <c r="F6" t="s">
        <v>199</v>
      </c>
      <c r="G6" s="89">
        <v>92</v>
      </c>
      <c r="H6" t="s">
        <v>200</v>
      </c>
      <c r="J6" t="s">
        <v>222</v>
      </c>
    </row>
    <row r="7" spans="1:10" x14ac:dyDescent="0.25">
      <c r="C7" t="s">
        <v>204</v>
      </c>
      <c r="F7" t="s">
        <v>199</v>
      </c>
      <c r="G7" s="89">
        <v>8</v>
      </c>
      <c r="H7" t="s">
        <v>200</v>
      </c>
      <c r="I7" t="s">
        <v>291</v>
      </c>
    </row>
    <row r="8" spans="1:10" x14ac:dyDescent="0.25">
      <c r="G8" s="89"/>
    </row>
    <row r="9" spans="1:10" x14ac:dyDescent="0.25">
      <c r="C9" t="s">
        <v>196</v>
      </c>
      <c r="F9" t="s">
        <v>211</v>
      </c>
      <c r="G9" s="89">
        <f>(2.02+1.84+2.02)/3</f>
        <v>1.9600000000000002</v>
      </c>
      <c r="H9" t="s">
        <v>212</v>
      </c>
      <c r="J9" t="s">
        <v>222</v>
      </c>
    </row>
    <row r="10" spans="1:10" x14ac:dyDescent="0.25">
      <c r="C10" t="s">
        <v>197</v>
      </c>
      <c r="F10" t="s">
        <v>211</v>
      </c>
      <c r="G10" s="92">
        <v>1.8</v>
      </c>
      <c r="H10" t="s">
        <v>212</v>
      </c>
      <c r="J10" t="s">
        <v>222</v>
      </c>
    </row>
    <row r="11" spans="1:10" x14ac:dyDescent="0.25">
      <c r="C11" t="s">
        <v>198</v>
      </c>
      <c r="F11" t="s">
        <v>211</v>
      </c>
      <c r="G11" s="92">
        <f>(1.8+1.64+1.74)/3</f>
        <v>1.7266666666666666</v>
      </c>
      <c r="H11" t="s">
        <v>212</v>
      </c>
      <c r="J11" t="s">
        <v>222</v>
      </c>
    </row>
    <row r="12" spans="1:10" x14ac:dyDescent="0.25">
      <c r="C12" t="s">
        <v>204</v>
      </c>
      <c r="F12" t="s">
        <v>211</v>
      </c>
      <c r="G12" s="89">
        <v>1.7</v>
      </c>
      <c r="H12" t="s">
        <v>212</v>
      </c>
      <c r="I12" t="s">
        <v>289</v>
      </c>
    </row>
    <row r="13" spans="1:10" x14ac:dyDescent="0.25">
      <c r="G13" s="89"/>
    </row>
    <row r="14" spans="1:10" x14ac:dyDescent="0.25">
      <c r="C14" t="s">
        <v>196</v>
      </c>
      <c r="F14" t="s">
        <v>203</v>
      </c>
      <c r="G14" s="89">
        <v>23</v>
      </c>
      <c r="H14" t="s">
        <v>200</v>
      </c>
      <c r="J14" t="s">
        <v>222</v>
      </c>
    </row>
    <row r="15" spans="1:10" x14ac:dyDescent="0.25">
      <c r="C15" t="s">
        <v>197</v>
      </c>
      <c r="F15" t="s">
        <v>203</v>
      </c>
      <c r="G15" s="89">
        <v>25</v>
      </c>
      <c r="H15" t="s">
        <v>200</v>
      </c>
      <c r="J15" t="s">
        <v>222</v>
      </c>
    </row>
    <row r="16" spans="1:10" x14ac:dyDescent="0.25">
      <c r="C16" t="s">
        <v>198</v>
      </c>
      <c r="F16" t="s">
        <v>203</v>
      </c>
      <c r="G16" s="89">
        <v>22</v>
      </c>
      <c r="H16" t="s">
        <v>200</v>
      </c>
      <c r="J16" t="s">
        <v>222</v>
      </c>
    </row>
    <row r="17" spans="1:10" x14ac:dyDescent="0.25">
      <c r="C17" t="s">
        <v>204</v>
      </c>
      <c r="F17" t="s">
        <v>203</v>
      </c>
      <c r="G17" s="89">
        <v>12</v>
      </c>
      <c r="H17" t="s">
        <v>200</v>
      </c>
      <c r="I17" t="s">
        <v>288</v>
      </c>
    </row>
    <row r="18" spans="1:10" x14ac:dyDescent="0.25">
      <c r="G18" s="89"/>
    </row>
    <row r="19" spans="1:10" x14ac:dyDescent="0.25">
      <c r="F19" t="s">
        <v>220</v>
      </c>
      <c r="G19" s="93">
        <f>1/(4.5-1)*100</f>
        <v>28.571428571428569</v>
      </c>
      <c r="H19" t="s">
        <v>200</v>
      </c>
      <c r="I19" t="s">
        <v>221</v>
      </c>
      <c r="J19" t="s">
        <v>223</v>
      </c>
    </row>
    <row r="20" spans="1:10" x14ac:dyDescent="0.25">
      <c r="G20" s="89"/>
    </row>
    <row r="21" spans="1:10" x14ac:dyDescent="0.25">
      <c r="F21" t="s">
        <v>217</v>
      </c>
      <c r="G21" s="89">
        <v>12</v>
      </c>
      <c r="H21" t="s">
        <v>216</v>
      </c>
      <c r="I21" t="s">
        <v>218</v>
      </c>
    </row>
    <row r="22" spans="1:10" x14ac:dyDescent="0.25">
      <c r="G22" s="89"/>
    </row>
    <row r="23" spans="1:10" x14ac:dyDescent="0.25">
      <c r="F23" t="s">
        <v>213</v>
      </c>
      <c r="G23" s="89">
        <v>2.5000000000000001E-2</v>
      </c>
      <c r="H23" t="s">
        <v>212</v>
      </c>
      <c r="J23" t="s">
        <v>223</v>
      </c>
    </row>
    <row r="24" spans="1:10" x14ac:dyDescent="0.25">
      <c r="G24" s="89"/>
    </row>
    <row r="25" spans="1:10" x14ac:dyDescent="0.25">
      <c r="A25" s="44" t="s">
        <v>226</v>
      </c>
      <c r="B25" s="44"/>
      <c r="C25" s="44"/>
      <c r="D25" s="45"/>
      <c r="E25" s="45"/>
      <c r="F25" s="45"/>
      <c r="G25" s="94"/>
      <c r="H25" s="45"/>
      <c r="I25" s="45"/>
      <c r="J25" s="46"/>
    </row>
    <row r="26" spans="1:10" x14ac:dyDescent="0.25">
      <c r="G26" s="89"/>
    </row>
    <row r="27" spans="1:10" x14ac:dyDescent="0.25">
      <c r="C27" t="s">
        <v>196</v>
      </c>
      <c r="D27" t="s">
        <v>201</v>
      </c>
      <c r="F27" t="s">
        <v>202</v>
      </c>
      <c r="G27" s="89">
        <v>3</v>
      </c>
      <c r="H27" t="s">
        <v>200</v>
      </c>
      <c r="I27" t="s">
        <v>214</v>
      </c>
      <c r="J27" t="s">
        <v>222</v>
      </c>
    </row>
    <row r="28" spans="1:10" x14ac:dyDescent="0.25">
      <c r="C28" t="s">
        <v>197</v>
      </c>
      <c r="D28" t="s">
        <v>201</v>
      </c>
      <c r="F28" t="s">
        <v>202</v>
      </c>
      <c r="G28" s="89">
        <v>2</v>
      </c>
      <c r="H28" t="s">
        <v>200</v>
      </c>
      <c r="J28" t="s">
        <v>222</v>
      </c>
    </row>
    <row r="29" spans="1:10" x14ac:dyDescent="0.25">
      <c r="C29" t="s">
        <v>198</v>
      </c>
      <c r="D29" t="s">
        <v>201</v>
      </c>
      <c r="F29" t="s">
        <v>202</v>
      </c>
      <c r="G29" s="89">
        <v>3</v>
      </c>
      <c r="H29" t="s">
        <v>200</v>
      </c>
      <c r="J29" t="s">
        <v>222</v>
      </c>
    </row>
    <row r="30" spans="1:10" x14ac:dyDescent="0.25">
      <c r="C30" t="s">
        <v>204</v>
      </c>
      <c r="D30" t="s">
        <v>201</v>
      </c>
      <c r="F30" t="s">
        <v>202</v>
      </c>
      <c r="G30" s="89">
        <v>3</v>
      </c>
      <c r="H30" t="s">
        <v>200</v>
      </c>
      <c r="I30" t="s">
        <v>290</v>
      </c>
    </row>
    <row r="31" spans="1:10" x14ac:dyDescent="0.25">
      <c r="G31" s="89"/>
    </row>
    <row r="32" spans="1:10" x14ac:dyDescent="0.25">
      <c r="D32" t="s">
        <v>219</v>
      </c>
      <c r="F32" t="s">
        <v>202</v>
      </c>
      <c r="G32" s="89">
        <v>3</v>
      </c>
      <c r="H32" t="s">
        <v>200</v>
      </c>
      <c r="I32" t="s">
        <v>228</v>
      </c>
    </row>
    <row r="33" spans="1:10" x14ac:dyDescent="0.25">
      <c r="G33" s="89"/>
    </row>
    <row r="34" spans="1:10" x14ac:dyDescent="0.25">
      <c r="C34" t="s">
        <v>196</v>
      </c>
      <c r="D34" t="s">
        <v>205</v>
      </c>
      <c r="F34" t="s">
        <v>202</v>
      </c>
      <c r="G34" s="95">
        <f>(11+9+11)/3</f>
        <v>10.333333333333334</v>
      </c>
      <c r="H34" t="s">
        <v>200</v>
      </c>
      <c r="I34" t="s">
        <v>215</v>
      </c>
      <c r="J34" t="s">
        <v>224</v>
      </c>
    </row>
    <row r="35" spans="1:10" x14ac:dyDescent="0.25">
      <c r="C35" t="s">
        <v>197</v>
      </c>
      <c r="D35" t="s">
        <v>205</v>
      </c>
      <c r="F35" t="s">
        <v>202</v>
      </c>
      <c r="G35" s="89">
        <v>9</v>
      </c>
      <c r="H35" t="s">
        <v>200</v>
      </c>
      <c r="J35" t="s">
        <v>224</v>
      </c>
    </row>
    <row r="36" spans="1:10" x14ac:dyDescent="0.25">
      <c r="C36" t="s">
        <v>198</v>
      </c>
      <c r="D36" t="s">
        <v>205</v>
      </c>
      <c r="F36" t="s">
        <v>202</v>
      </c>
      <c r="G36" s="95">
        <f>(11+11+14)/3</f>
        <v>12</v>
      </c>
      <c r="H36" t="s">
        <v>200</v>
      </c>
      <c r="J36" t="s">
        <v>224</v>
      </c>
    </row>
    <row r="37" spans="1:10" x14ac:dyDescent="0.25">
      <c r="C37" t="s">
        <v>204</v>
      </c>
      <c r="D37" t="s">
        <v>205</v>
      </c>
      <c r="F37" t="s">
        <v>202</v>
      </c>
      <c r="G37" s="89">
        <v>10</v>
      </c>
      <c r="H37" t="s">
        <v>200</v>
      </c>
      <c r="I37" t="s">
        <v>290</v>
      </c>
    </row>
    <row r="38" spans="1:10" x14ac:dyDescent="0.25">
      <c r="G38" s="89"/>
    </row>
    <row r="39" spans="1:10" x14ac:dyDescent="0.25">
      <c r="A39" s="44" t="s">
        <v>296</v>
      </c>
      <c r="B39" s="44"/>
      <c r="C39" s="44"/>
      <c r="D39" s="45"/>
      <c r="E39" s="45"/>
      <c r="F39" s="45"/>
      <c r="G39" s="94"/>
      <c r="H39" s="45"/>
      <c r="I39" s="45"/>
      <c r="J39" s="46"/>
    </row>
    <row r="40" spans="1:10" x14ac:dyDescent="0.25">
      <c r="A40" t="s">
        <v>297</v>
      </c>
      <c r="G40" s="89"/>
    </row>
    <row r="41" spans="1:10" x14ac:dyDescent="0.25">
      <c r="C41" t="s">
        <v>196</v>
      </c>
      <c r="F41" t="s">
        <v>294</v>
      </c>
      <c r="G41" s="89">
        <f>30*1.1</f>
        <v>33</v>
      </c>
      <c r="H41" t="s">
        <v>200</v>
      </c>
      <c r="I41" t="s">
        <v>295</v>
      </c>
    </row>
    <row r="42" spans="1:10" x14ac:dyDescent="0.25">
      <c r="C42" t="s">
        <v>197</v>
      </c>
      <c r="F42" t="s">
        <v>294</v>
      </c>
      <c r="G42" s="95">
        <f>18</f>
        <v>18</v>
      </c>
      <c r="H42" t="s">
        <v>200</v>
      </c>
    </row>
    <row r="43" spans="1:10" x14ac:dyDescent="0.25">
      <c r="C43" t="s">
        <v>198</v>
      </c>
      <c r="F43" t="s">
        <v>294</v>
      </c>
      <c r="G43" s="95">
        <f>13*1.1</f>
        <v>14.3</v>
      </c>
      <c r="H43" t="s">
        <v>200</v>
      </c>
    </row>
    <row r="44" spans="1:10" x14ac:dyDescent="0.25">
      <c r="C44" t="s">
        <v>204</v>
      </c>
      <c r="F44" t="s">
        <v>294</v>
      </c>
      <c r="G44" s="95">
        <f>39*1.1</f>
        <v>42.900000000000006</v>
      </c>
      <c r="H44" t="s">
        <v>200</v>
      </c>
    </row>
    <row r="45" spans="1:10" x14ac:dyDescent="0.25">
      <c r="G45" s="89"/>
    </row>
    <row r="46" spans="1:10" x14ac:dyDescent="0.25">
      <c r="A46" s="44" t="s">
        <v>207</v>
      </c>
      <c r="B46" s="44"/>
      <c r="C46" s="44"/>
      <c r="D46" s="45"/>
      <c r="E46" s="45"/>
      <c r="F46" s="45"/>
      <c r="G46" s="94"/>
      <c r="H46" s="45"/>
      <c r="I46" s="45"/>
      <c r="J46" s="46"/>
    </row>
    <row r="47" spans="1:10" x14ac:dyDescent="0.25">
      <c r="G47" s="89"/>
    </row>
    <row r="48" spans="1:10" x14ac:dyDescent="0.25">
      <c r="C48" t="s">
        <v>196</v>
      </c>
      <c r="D48" t="s">
        <v>205</v>
      </c>
      <c r="F48" t="s">
        <v>209</v>
      </c>
      <c r="G48" s="89">
        <f>(160+181+163)/3</f>
        <v>168</v>
      </c>
      <c r="H48" t="s">
        <v>210</v>
      </c>
      <c r="J48" t="s">
        <v>224</v>
      </c>
    </row>
    <row r="49" spans="3:10" x14ac:dyDescent="0.25">
      <c r="C49" t="s">
        <v>197</v>
      </c>
      <c r="D49" t="s">
        <v>205</v>
      </c>
      <c r="F49" t="s">
        <v>209</v>
      </c>
      <c r="G49" s="89">
        <v>113</v>
      </c>
      <c r="H49" t="s">
        <v>210</v>
      </c>
      <c r="J49" t="s">
        <v>224</v>
      </c>
    </row>
    <row r="50" spans="3:10" x14ac:dyDescent="0.25">
      <c r="C50" t="s">
        <v>198</v>
      </c>
      <c r="D50" t="s">
        <v>205</v>
      </c>
      <c r="F50" t="s">
        <v>209</v>
      </c>
      <c r="G50" s="89">
        <v>308</v>
      </c>
      <c r="H50" t="s">
        <v>210</v>
      </c>
      <c r="J50" t="s">
        <v>224</v>
      </c>
    </row>
    <row r="51" spans="3:10" x14ac:dyDescent="0.25">
      <c r="C51" t="s">
        <v>204</v>
      </c>
      <c r="D51" t="s">
        <v>205</v>
      </c>
      <c r="F51" t="s">
        <v>209</v>
      </c>
      <c r="G51" s="89">
        <v>168</v>
      </c>
      <c r="H51" t="s">
        <v>210</v>
      </c>
      <c r="I51" t="s">
        <v>290</v>
      </c>
    </row>
    <row r="52" spans="3:10" x14ac:dyDescent="0.25">
      <c r="G52" s="89"/>
    </row>
    <row r="53" spans="3:10" x14ac:dyDescent="0.25">
      <c r="C53" t="s">
        <v>196</v>
      </c>
      <c r="D53" t="s">
        <v>201</v>
      </c>
      <c r="F53" t="s">
        <v>206</v>
      </c>
      <c r="G53" s="89">
        <f>(30+27+30)/3</f>
        <v>29</v>
      </c>
      <c r="H53" t="s">
        <v>208</v>
      </c>
      <c r="J53" t="s">
        <v>225</v>
      </c>
    </row>
    <row r="54" spans="3:10" x14ac:dyDescent="0.25">
      <c r="C54" t="s">
        <v>197</v>
      </c>
      <c r="D54" t="s">
        <v>201</v>
      </c>
      <c r="F54" t="s">
        <v>206</v>
      </c>
      <c r="G54" s="89">
        <v>33</v>
      </c>
      <c r="H54" t="s">
        <v>208</v>
      </c>
      <c r="J54" t="s">
        <v>225</v>
      </c>
    </row>
    <row r="55" spans="3:10" x14ac:dyDescent="0.25">
      <c r="C55" t="s">
        <v>198</v>
      </c>
      <c r="D55" t="s">
        <v>201</v>
      </c>
      <c r="F55" t="s">
        <v>206</v>
      </c>
      <c r="G55" s="89">
        <f>(30+27+30)/3</f>
        <v>29</v>
      </c>
      <c r="H55" t="s">
        <v>208</v>
      </c>
      <c r="J55" t="s">
        <v>225</v>
      </c>
    </row>
    <row r="56" spans="3:10" x14ac:dyDescent="0.25">
      <c r="C56" t="s">
        <v>204</v>
      </c>
      <c r="D56" t="s">
        <v>201</v>
      </c>
      <c r="F56" t="s">
        <v>206</v>
      </c>
      <c r="G56" s="89">
        <v>29</v>
      </c>
      <c r="H56" t="s">
        <v>208</v>
      </c>
      <c r="I56" t="s">
        <v>290</v>
      </c>
    </row>
    <row r="57" spans="3:10" x14ac:dyDescent="0.25">
      <c r="G57" s="89"/>
    </row>
    <row r="58" spans="3:10" x14ac:dyDescent="0.25">
      <c r="C58" t="s">
        <v>196</v>
      </c>
      <c r="D58" t="s">
        <v>219</v>
      </c>
      <c r="F58" t="s">
        <v>206</v>
      </c>
      <c r="G58" s="89">
        <v>45</v>
      </c>
      <c r="H58" t="s">
        <v>208</v>
      </c>
      <c r="J58" t="s">
        <v>223</v>
      </c>
    </row>
    <row r="59" spans="3:10" x14ac:dyDescent="0.25">
      <c r="C59" t="s">
        <v>197</v>
      </c>
      <c r="D59" t="s">
        <v>219</v>
      </c>
      <c r="F59" t="s">
        <v>206</v>
      </c>
      <c r="G59" s="89">
        <v>48</v>
      </c>
      <c r="H59" t="s">
        <v>208</v>
      </c>
      <c r="J59" t="s">
        <v>223</v>
      </c>
    </row>
    <row r="60" spans="3:10" x14ac:dyDescent="0.25">
      <c r="C60" t="s">
        <v>198</v>
      </c>
      <c r="D60" t="s">
        <v>219</v>
      </c>
      <c r="F60" t="s">
        <v>206</v>
      </c>
      <c r="G60" s="89">
        <v>45</v>
      </c>
      <c r="H60" t="s">
        <v>208</v>
      </c>
      <c r="J60" t="s">
        <v>223</v>
      </c>
    </row>
    <row r="61" spans="3:10" x14ac:dyDescent="0.25">
      <c r="C61" t="s">
        <v>204</v>
      </c>
      <c r="D61" t="s">
        <v>219</v>
      </c>
      <c r="F61" t="s">
        <v>206</v>
      </c>
      <c r="G61" s="89">
        <v>45</v>
      </c>
      <c r="H61" t="s">
        <v>208</v>
      </c>
      <c r="I61" t="s">
        <v>290</v>
      </c>
    </row>
    <row r="62" spans="3:10" x14ac:dyDescent="0.25">
      <c r="G62" s="89"/>
    </row>
    <row r="63" spans="3:10" x14ac:dyDescent="0.25">
      <c r="C63" t="s">
        <v>196</v>
      </c>
      <c r="D63" t="s">
        <v>205</v>
      </c>
      <c r="F63" t="s">
        <v>206</v>
      </c>
      <c r="G63" s="93">
        <f>(20.2+19.2+20.2)/3</f>
        <v>19.866666666666664</v>
      </c>
      <c r="H63" t="s">
        <v>208</v>
      </c>
      <c r="J63" t="s">
        <v>224</v>
      </c>
    </row>
    <row r="64" spans="3:10" x14ac:dyDescent="0.25">
      <c r="C64" t="s">
        <v>197</v>
      </c>
      <c r="D64" t="s">
        <v>205</v>
      </c>
      <c r="F64" t="s">
        <v>206</v>
      </c>
      <c r="G64" s="89">
        <v>20.5</v>
      </c>
      <c r="H64" t="s">
        <v>208</v>
      </c>
      <c r="J64" t="s">
        <v>224</v>
      </c>
    </row>
    <row r="65" spans="1:10" x14ac:dyDescent="0.25">
      <c r="C65" t="s">
        <v>198</v>
      </c>
      <c r="D65" t="s">
        <v>205</v>
      </c>
      <c r="F65" t="s">
        <v>206</v>
      </c>
      <c r="G65" s="93">
        <f>(20.2+19.2+20.2)/3</f>
        <v>19.866666666666664</v>
      </c>
      <c r="H65" t="s">
        <v>208</v>
      </c>
      <c r="J65" t="s">
        <v>224</v>
      </c>
    </row>
    <row r="66" spans="1:10" x14ac:dyDescent="0.25">
      <c r="C66" t="s">
        <v>204</v>
      </c>
      <c r="D66" t="s">
        <v>205</v>
      </c>
      <c r="F66" t="s">
        <v>206</v>
      </c>
      <c r="G66" s="89">
        <v>19.899999999999999</v>
      </c>
      <c r="H66" t="s">
        <v>208</v>
      </c>
      <c r="I66" t="s">
        <v>290</v>
      </c>
    </row>
    <row r="68" spans="1:10" x14ac:dyDescent="0.25">
      <c r="A68" s="44" t="s">
        <v>227</v>
      </c>
      <c r="B68" s="44"/>
      <c r="C68" s="44"/>
      <c r="D68" s="45"/>
      <c r="E68" s="45"/>
      <c r="F68" s="45"/>
      <c r="G68" s="45"/>
      <c r="H68" s="45"/>
      <c r="I68" s="45" t="s">
        <v>287</v>
      </c>
      <c r="J68" s="46"/>
    </row>
    <row r="70" spans="1:10" x14ac:dyDescent="0.25">
      <c r="C70" t="s">
        <v>196</v>
      </c>
      <c r="F70" t="s">
        <v>292</v>
      </c>
      <c r="G70" s="19">
        <f>'feed rations'!G5</f>
        <v>748.40000000000009</v>
      </c>
      <c r="H70" t="s">
        <v>279</v>
      </c>
      <c r="J70" t="s">
        <v>163</v>
      </c>
    </row>
    <row r="71" spans="1:10" x14ac:dyDescent="0.25">
      <c r="C71" t="s">
        <v>197</v>
      </c>
      <c r="F71" t="s">
        <v>292</v>
      </c>
      <c r="G71" s="19">
        <f>'feed rations'!G6</f>
        <v>554.1</v>
      </c>
      <c r="H71" t="s">
        <v>279</v>
      </c>
      <c r="J71" t="s">
        <v>163</v>
      </c>
    </row>
    <row r="72" spans="1:10" x14ac:dyDescent="0.25">
      <c r="C72" t="s">
        <v>198</v>
      </c>
      <c r="F72" t="s">
        <v>292</v>
      </c>
      <c r="G72" s="19">
        <f>'feed rations'!G7</f>
        <v>726.26666666666654</v>
      </c>
      <c r="H72" t="s">
        <v>279</v>
      </c>
      <c r="J72" t="s">
        <v>163</v>
      </c>
    </row>
    <row r="73" spans="1:10" x14ac:dyDescent="0.25">
      <c r="C73" t="s">
        <v>204</v>
      </c>
      <c r="F73" t="s">
        <v>292</v>
      </c>
      <c r="G73" s="19">
        <f>'feed rations'!G8</f>
        <v>748.40000000000009</v>
      </c>
      <c r="H73" t="s">
        <v>279</v>
      </c>
      <c r="I73" t="s">
        <v>280</v>
      </c>
    </row>
    <row r="75" spans="1:10" x14ac:dyDescent="0.25">
      <c r="C75" t="s">
        <v>196</v>
      </c>
      <c r="D75" t="s">
        <v>205</v>
      </c>
      <c r="F75" t="s">
        <v>293</v>
      </c>
      <c r="G75" s="19">
        <f>'feed rations'!N5</f>
        <v>157.56666666666666</v>
      </c>
      <c r="H75" t="s">
        <v>279</v>
      </c>
      <c r="J75" t="s">
        <v>163</v>
      </c>
    </row>
    <row r="76" spans="1:10" x14ac:dyDescent="0.25">
      <c r="C76" t="s">
        <v>197</v>
      </c>
      <c r="D76" t="s">
        <v>205</v>
      </c>
      <c r="F76" t="s">
        <v>293</v>
      </c>
      <c r="G76" s="19">
        <f>'feed rations'!N6</f>
        <v>114</v>
      </c>
      <c r="H76" t="s">
        <v>279</v>
      </c>
      <c r="J76" t="s">
        <v>163</v>
      </c>
    </row>
    <row r="77" spans="1:10" x14ac:dyDescent="0.25">
      <c r="C77" t="s">
        <v>198</v>
      </c>
      <c r="D77" t="s">
        <v>205</v>
      </c>
      <c r="F77" t="s">
        <v>293</v>
      </c>
      <c r="G77" s="19">
        <f>'feed rations'!N7</f>
        <v>254.56666666666669</v>
      </c>
      <c r="H77" t="s">
        <v>279</v>
      </c>
      <c r="J77" t="s">
        <v>163</v>
      </c>
    </row>
    <row r="78" spans="1:10" x14ac:dyDescent="0.25">
      <c r="C78" t="s">
        <v>204</v>
      </c>
      <c r="D78" t="s">
        <v>205</v>
      </c>
      <c r="F78" t="s">
        <v>293</v>
      </c>
      <c r="G78" s="19">
        <f>'feed rations'!N8</f>
        <v>157.56666666666666</v>
      </c>
      <c r="H78" t="s">
        <v>279</v>
      </c>
      <c r="I78" t="s">
        <v>280</v>
      </c>
    </row>
    <row r="80" spans="1:10" x14ac:dyDescent="0.25">
      <c r="A80" s="44" t="s">
        <v>281</v>
      </c>
      <c r="B80" s="44"/>
      <c r="C80" s="44"/>
      <c r="D80" s="45"/>
      <c r="E80" s="45"/>
      <c r="F80" s="45"/>
      <c r="G80" s="45"/>
      <c r="H80" s="45" t="s">
        <v>266</v>
      </c>
      <c r="I80" s="45" t="s">
        <v>287</v>
      </c>
      <c r="J80" s="46"/>
    </row>
    <row r="81" spans="3:9" x14ac:dyDescent="0.25">
      <c r="F81" s="91" t="s">
        <v>285</v>
      </c>
      <c r="G81" s="91">
        <v>0</v>
      </c>
      <c r="H81" s="91"/>
      <c r="I81" s="91" t="s">
        <v>286</v>
      </c>
    </row>
    <row r="82" spans="3:9" x14ac:dyDescent="0.25">
      <c r="C82" t="s">
        <v>196</v>
      </c>
      <c r="E82" s="21" t="s">
        <v>276</v>
      </c>
      <c r="F82" t="s">
        <v>285</v>
      </c>
      <c r="G82" s="3">
        <f>INDEX('feed rations'!$AB$13:$AI$46,MATCH(E82,'feed rations'!$Y$13:$Y$46,0),MATCH(C82&amp;D82,'feed rations'!$AB$12:$AI$12,0))</f>
        <v>14.502048815250316</v>
      </c>
    </row>
    <row r="83" spans="3:9" x14ac:dyDescent="0.25">
      <c r="C83" t="s">
        <v>196</v>
      </c>
      <c r="E83" s="21" t="s">
        <v>274</v>
      </c>
      <c r="F83" t="s">
        <v>285</v>
      </c>
      <c r="G83" s="3">
        <f>INDEX('feed rations'!$AB$13:$AI$46,MATCH(E83,'feed rations'!$Y$13:$Y$46,0),MATCH(C83&amp;D83,'feed rations'!$AB$12:$AI$12,0))</f>
        <v>29.004097630500631</v>
      </c>
    </row>
    <row r="84" spans="3:9" x14ac:dyDescent="0.25">
      <c r="C84" t="s">
        <v>196</v>
      </c>
      <c r="E84" t="s">
        <v>277</v>
      </c>
      <c r="F84" t="s">
        <v>285</v>
      </c>
      <c r="G84" s="3">
        <f>INDEX('feed rations'!$AB$13:$AI$46,MATCH(E84,'feed rations'!$Y$13:$Y$46,0),MATCH(C84&amp;D84,'feed rations'!$AB$12:$AI$12,0))</f>
        <v>52.618920363442022</v>
      </c>
    </row>
    <row r="85" spans="3:9" x14ac:dyDescent="0.25">
      <c r="C85" t="s">
        <v>196</v>
      </c>
      <c r="E85" t="s">
        <v>229</v>
      </c>
      <c r="F85" t="s">
        <v>285</v>
      </c>
      <c r="G85" s="3">
        <f>INDEX('feed rations'!$AB$13:$AI$46,MATCH(E85,'feed rations'!$Y$13:$Y$46,0),MATCH(C85&amp;D85,'feed rations'!$AB$12:$AI$12,0))</f>
        <v>0.84682253603719471</v>
      </c>
    </row>
    <row r="86" spans="3:9" x14ac:dyDescent="0.25">
      <c r="C86" t="s">
        <v>196</v>
      </c>
      <c r="E86" t="s">
        <v>230</v>
      </c>
      <c r="F86" t="s">
        <v>285</v>
      </c>
      <c r="G86" s="3">
        <f>INDEX('feed rations'!$AB$13:$AI$46,MATCH(E86,'feed rations'!$Y$13:$Y$46,0),MATCH(C86&amp;D86,'feed rations'!$AB$12:$AI$12,0))</f>
        <v>0.43737940455400331</v>
      </c>
    </row>
    <row r="87" spans="3:9" x14ac:dyDescent="0.25">
      <c r="C87" t="s">
        <v>196</v>
      </c>
      <c r="E87" t="s">
        <v>231</v>
      </c>
      <c r="F87" t="s">
        <v>285</v>
      </c>
      <c r="G87" s="3">
        <f>INDEX('feed rations'!$AB$13:$AI$46,MATCH(E87,'feed rations'!$Y$13:$Y$46,0),MATCH(C87&amp;D87,'feed rations'!$AB$12:$AI$12,0))</f>
        <v>0.66303507614130686</v>
      </c>
    </row>
    <row r="88" spans="3:9" x14ac:dyDescent="0.25">
      <c r="C88" t="s">
        <v>196</v>
      </c>
      <c r="E88" t="s">
        <v>232</v>
      </c>
      <c r="F88" t="s">
        <v>285</v>
      </c>
      <c r="G88" s="3">
        <f>INDEX('feed rations'!$AB$13:$AI$46,MATCH(E88,'feed rations'!$Y$13:$Y$46,0),MATCH(C88&amp;D88,'feed rations'!$AB$12:$AI$12,0))</f>
        <v>4.0988815290634705E-3</v>
      </c>
    </row>
    <row r="89" spans="3:9" x14ac:dyDescent="0.25">
      <c r="C89" t="s">
        <v>196</v>
      </c>
      <c r="E89" t="s">
        <v>233</v>
      </c>
      <c r="F89" t="s">
        <v>285</v>
      </c>
      <c r="G89" s="3">
        <f>INDEX('feed rations'!$AB$13:$AI$46,MATCH(E89,'feed rations'!$Y$13:$Y$46,0),MATCH(C89&amp;D89,'feed rations'!$AB$12:$AI$12,0))</f>
        <v>0</v>
      </c>
    </row>
    <row r="90" spans="3:9" x14ac:dyDescent="0.25">
      <c r="C90" t="s">
        <v>196</v>
      </c>
      <c r="E90" t="s">
        <v>234</v>
      </c>
      <c r="F90" t="s">
        <v>285</v>
      </c>
      <c r="G90" s="3">
        <f>INDEX('feed rations'!$AB$13:$AI$46,MATCH(E90,'feed rations'!$Y$13:$Y$46,0),MATCH(C90&amp;D90,'feed rations'!$AB$12:$AI$12,0))</f>
        <v>0.17270238081001552</v>
      </c>
    </row>
    <row r="91" spans="3:9" x14ac:dyDescent="0.25">
      <c r="C91" t="s">
        <v>196</v>
      </c>
      <c r="E91" t="s">
        <v>235</v>
      </c>
      <c r="F91" t="s">
        <v>285</v>
      </c>
      <c r="G91" s="3">
        <f>INDEX('feed rations'!$AB$13:$AI$46,MATCH(E91,'feed rations'!$Y$13:$Y$46,0),MATCH(C91&amp;D91,'feed rations'!$AB$12:$AI$12,0))</f>
        <v>3.7776312249885764E-3</v>
      </c>
    </row>
    <row r="92" spans="3:9" x14ac:dyDescent="0.25">
      <c r="C92" t="s">
        <v>196</v>
      </c>
      <c r="E92" t="s">
        <v>236</v>
      </c>
      <c r="F92" t="s">
        <v>285</v>
      </c>
      <c r="G92" s="3">
        <f>INDEX('feed rations'!$AB$13:$AI$46,MATCH(E92,'feed rations'!$Y$13:$Y$46,0),MATCH(C92&amp;D92,'feed rations'!$AB$12:$AI$12,0))</f>
        <v>2.3699111545736139E-2</v>
      </c>
    </row>
    <row r="93" spans="3:9" x14ac:dyDescent="0.25">
      <c r="C93" t="s">
        <v>196</v>
      </c>
      <c r="E93" t="s">
        <v>237</v>
      </c>
      <c r="F93" t="s">
        <v>285</v>
      </c>
      <c r="G93" s="3">
        <f>INDEX('feed rations'!$AB$13:$AI$46,MATCH(E93,'feed rations'!$Y$13:$Y$46,0),MATCH(C93&amp;D93,'feed rations'!$AB$12:$AI$12,0))</f>
        <v>0.45638940058232602</v>
      </c>
    </row>
    <row r="94" spans="3:9" x14ac:dyDescent="0.25">
      <c r="C94" t="s">
        <v>196</v>
      </c>
      <c r="E94" t="s">
        <v>238</v>
      </c>
      <c r="F94" t="s">
        <v>285</v>
      </c>
      <c r="G94" s="3">
        <f>INDEX('feed rations'!$AB$13:$AI$46,MATCH(E94,'feed rations'!$Y$13:$Y$46,0),MATCH(C94&amp;D94,'feed rations'!$AB$12:$AI$12,0))</f>
        <v>6.1509220070385851E-4</v>
      </c>
    </row>
    <row r="95" spans="3:9" x14ac:dyDescent="0.25">
      <c r="C95" t="s">
        <v>196</v>
      </c>
      <c r="E95" t="s">
        <v>239</v>
      </c>
      <c r="F95" t="s">
        <v>285</v>
      </c>
      <c r="G95" s="3">
        <f>INDEX('feed rations'!$AB$13:$AI$46,MATCH(E95,'feed rations'!$Y$13:$Y$46,0),MATCH(C95&amp;D95,'feed rations'!$AB$12:$AI$12,0))</f>
        <v>0.19248525926546745</v>
      </c>
    </row>
    <row r="96" spans="3:9" x14ac:dyDescent="0.25">
      <c r="C96" t="s">
        <v>196</v>
      </c>
      <c r="E96" t="s">
        <v>240</v>
      </c>
      <c r="F96" t="s">
        <v>285</v>
      </c>
      <c r="G96" s="3">
        <f>INDEX('feed rations'!$AB$13:$AI$46,MATCH(E96,'feed rations'!$Y$13:$Y$46,0),MATCH(C96&amp;D96,'feed rations'!$AB$12:$AI$12,0))</f>
        <v>2.1540482816582413E-5</v>
      </c>
    </row>
    <row r="97" spans="3:7" x14ac:dyDescent="0.25">
      <c r="C97" t="s">
        <v>196</v>
      </c>
      <c r="E97" t="s">
        <v>241</v>
      </c>
      <c r="F97" t="s">
        <v>285</v>
      </c>
      <c r="G97" s="3">
        <f>INDEX('feed rations'!$AB$13:$AI$46,MATCH(E97,'feed rations'!$Y$13:$Y$46,0),MATCH(C97&amp;D97,'feed rations'!$AB$12:$AI$12,0))</f>
        <v>0.49074140742335415</v>
      </c>
    </row>
    <row r="98" spans="3:7" x14ac:dyDescent="0.25">
      <c r="C98" t="s">
        <v>196</v>
      </c>
      <c r="E98" t="s">
        <v>242</v>
      </c>
      <c r="F98" t="s">
        <v>285</v>
      </c>
      <c r="G98" s="3">
        <f>INDEX('feed rations'!$AB$13:$AI$46,MATCH(E98,'feed rations'!$Y$13:$Y$46,0),MATCH(C98&amp;D98,'feed rations'!$AB$12:$AI$12,0))</f>
        <v>1.938643453492417E-5</v>
      </c>
    </row>
    <row r="99" spans="3:7" x14ac:dyDescent="0.25">
      <c r="C99" t="s">
        <v>196</v>
      </c>
      <c r="E99" t="s">
        <v>243</v>
      </c>
      <c r="F99" t="s">
        <v>285</v>
      </c>
      <c r="G99" s="3">
        <f>INDEX('feed rations'!$AB$13:$AI$46,MATCH(E99,'feed rations'!$Y$13:$Y$46,0),MATCH(C99&amp;D99,'feed rations'!$AB$12:$AI$12,0))</f>
        <v>0.21035091095436523</v>
      </c>
    </row>
    <row r="100" spans="3:7" x14ac:dyDescent="0.25">
      <c r="C100" t="s">
        <v>196</v>
      </c>
      <c r="E100" t="s">
        <v>244</v>
      </c>
      <c r="F100" t="s">
        <v>285</v>
      </c>
      <c r="G100" s="3">
        <f>INDEX('feed rations'!$AB$13:$AI$46,MATCH(E100,'feed rations'!$Y$13:$Y$46,0),MATCH(C100&amp;D100,'feed rations'!$AB$12:$AI$12,0))</f>
        <v>1.2346905713762435E-3</v>
      </c>
    </row>
    <row r="101" spans="3:7" x14ac:dyDescent="0.25">
      <c r="C101" t="s">
        <v>196</v>
      </c>
      <c r="E101" t="s">
        <v>245</v>
      </c>
      <c r="F101" t="s">
        <v>285</v>
      </c>
      <c r="G101" s="3">
        <f>INDEX('feed rations'!$AB$13:$AI$46,MATCH(E101,'feed rations'!$Y$13:$Y$46,0),MATCH(C101&amp;D101,'feed rations'!$AB$12:$AI$12,0))</f>
        <v>3.5441026802460426E-3</v>
      </c>
    </row>
    <row r="102" spans="3:7" x14ac:dyDescent="0.25">
      <c r="C102" t="s">
        <v>196</v>
      </c>
      <c r="E102" t="s">
        <v>246</v>
      </c>
      <c r="F102" t="s">
        <v>285</v>
      </c>
      <c r="G102" s="3">
        <f>INDEX('feed rations'!$AB$13:$AI$46,MATCH(E102,'feed rations'!$Y$13:$Y$46,0),MATCH(C102&amp;D102,'feed rations'!$AB$12:$AI$12,0))</f>
        <v>2.7314817761965576E-2</v>
      </c>
    </row>
    <row r="103" spans="3:7" x14ac:dyDescent="0.25">
      <c r="C103" t="s">
        <v>196</v>
      </c>
      <c r="E103" t="s">
        <v>247</v>
      </c>
      <c r="F103" t="s">
        <v>285</v>
      </c>
      <c r="G103" s="3">
        <f>INDEX('feed rations'!$AB$13:$AI$46,MATCH(E103,'feed rations'!$Y$13:$Y$46,0),MATCH(C103&amp;D103,'feed rations'!$AB$12:$AI$12,0))</f>
        <v>0.16311530612857034</v>
      </c>
    </row>
    <row r="104" spans="3:7" x14ac:dyDescent="0.25">
      <c r="C104" t="s">
        <v>196</v>
      </c>
      <c r="E104" t="s">
        <v>248</v>
      </c>
      <c r="F104" t="s">
        <v>285</v>
      </c>
      <c r="G104" s="3">
        <f>INDEX('feed rations'!$AB$13:$AI$46,MATCH(E104,'feed rations'!$Y$13:$Y$46,0),MATCH(C104&amp;D104,'feed rations'!$AB$12:$AI$12,0))</f>
        <v>3.3607807918891001E-2</v>
      </c>
    </row>
    <row r="105" spans="3:7" x14ac:dyDescent="0.25">
      <c r="C105" t="s">
        <v>196</v>
      </c>
      <c r="E105" t="s">
        <v>249</v>
      </c>
      <c r="F105" t="s">
        <v>285</v>
      </c>
      <c r="G105" s="3">
        <f>INDEX('feed rations'!$AB$13:$AI$46,MATCH(E105,'feed rations'!$Y$13:$Y$46,0),MATCH(C105&amp;D105,'feed rations'!$AB$12:$AI$12,0))</f>
        <v>3.598428273092974E-2</v>
      </c>
    </row>
    <row r="106" spans="3:7" x14ac:dyDescent="0.25">
      <c r="C106" t="s">
        <v>196</v>
      </c>
      <c r="E106" t="s">
        <v>250</v>
      </c>
      <c r="F106" t="s">
        <v>285</v>
      </c>
      <c r="G106" s="3">
        <f>INDEX('feed rations'!$AB$13:$AI$46,MATCH(E106,'feed rations'!$Y$13:$Y$46,0),MATCH(C106&amp;D106,'feed rations'!$AB$12:$AI$12,0))</f>
        <v>9.9986464582958335E-3</v>
      </c>
    </row>
    <row r="107" spans="3:7" x14ac:dyDescent="0.25">
      <c r="C107" t="s">
        <v>196</v>
      </c>
      <c r="E107" t="s">
        <v>251</v>
      </c>
      <c r="F107" t="s">
        <v>285</v>
      </c>
      <c r="G107" s="3">
        <f>INDEX('feed rations'!$AB$13:$AI$46,MATCH(E107,'feed rations'!$Y$13:$Y$46,0),MATCH(C107&amp;D107,'feed rations'!$AB$12:$AI$12,0))</f>
        <v>0</v>
      </c>
    </row>
    <row r="108" spans="3:7" x14ac:dyDescent="0.25">
      <c r="C108" t="s">
        <v>196</v>
      </c>
      <c r="E108" t="s">
        <v>252</v>
      </c>
      <c r="F108" t="s">
        <v>285</v>
      </c>
      <c r="G108" s="3">
        <f>INDEX('feed rations'!$AB$13:$AI$46,MATCH(E108,'feed rations'!$Y$13:$Y$46,0),MATCH(C108&amp;D108,'feed rations'!$AB$12:$AI$12,0))</f>
        <v>1.5731980208800535E-2</v>
      </c>
    </row>
    <row r="109" spans="3:7" x14ac:dyDescent="0.25">
      <c r="C109" t="s">
        <v>196</v>
      </c>
      <c r="E109" t="s">
        <v>253</v>
      </c>
      <c r="F109" t="s">
        <v>285</v>
      </c>
      <c r="G109" s="3">
        <f>INDEX('feed rations'!$AB$13:$AI$46,MATCH(E109,'feed rations'!$Y$13:$Y$46,0),MATCH(C109&amp;D109,'feed rations'!$AB$12:$AI$12,0))</f>
        <v>0</v>
      </c>
    </row>
    <row r="110" spans="3:7" x14ac:dyDescent="0.25">
      <c r="C110" t="s">
        <v>196</v>
      </c>
      <c r="E110" t="s">
        <v>254</v>
      </c>
      <c r="F110" t="s">
        <v>285</v>
      </c>
      <c r="G110" s="3">
        <f>INDEX('feed rations'!$AB$13:$AI$46,MATCH(E110,'feed rations'!$Y$13:$Y$46,0),MATCH(C110&amp;D110,'feed rations'!$AB$12:$AI$12,0))</f>
        <v>1.5338309315945754E-4</v>
      </c>
    </row>
    <row r="111" spans="3:7" x14ac:dyDescent="0.25">
      <c r="C111" t="s">
        <v>196</v>
      </c>
      <c r="E111" t="s">
        <v>255</v>
      </c>
      <c r="F111" t="s">
        <v>285</v>
      </c>
      <c r="G111" s="3">
        <f>INDEX('feed rations'!$AB$13:$AI$46,MATCH(E111,'feed rations'!$Y$13:$Y$46,0),MATCH(C111&amp;D111,'feed rations'!$AB$12:$AI$12,0))</f>
        <v>2.0152180129671942E-2</v>
      </c>
    </row>
    <row r="112" spans="3:7" x14ac:dyDescent="0.25">
      <c r="C112" t="s">
        <v>196</v>
      </c>
      <c r="E112" t="s">
        <v>256</v>
      </c>
      <c r="F112" t="s">
        <v>285</v>
      </c>
      <c r="G112" s="3">
        <f>INDEX('feed rations'!$AB$13:$AI$46,MATCH(E112,'feed rations'!$Y$13:$Y$46,0),MATCH(C112&amp;D112,'feed rations'!$AB$12:$AI$12,0))</f>
        <v>6.188362213479006E-2</v>
      </c>
    </row>
    <row r="113" spans="3:7" x14ac:dyDescent="0.25">
      <c r="C113" t="s">
        <v>196</v>
      </c>
      <c r="E113" t="s">
        <v>257</v>
      </c>
      <c r="F113" t="s">
        <v>285</v>
      </c>
      <c r="G113" s="3">
        <f>INDEX('feed rations'!$AB$13:$AI$46,MATCH(E113,'feed rations'!$Y$13:$Y$46,0),MATCH(C113&amp;D113,'feed rations'!$AB$12:$AI$12,0))</f>
        <v>0</v>
      </c>
    </row>
    <row r="114" spans="3:7" x14ac:dyDescent="0.25">
      <c r="C114" t="s">
        <v>196</v>
      </c>
      <c r="E114" t="s">
        <v>258</v>
      </c>
      <c r="F114" t="s">
        <v>285</v>
      </c>
      <c r="G114" s="3">
        <f>INDEX('feed rations'!$AB$13:$AI$46,MATCH(E114,'feed rations'!$Y$13:$Y$46,0),MATCH(C114&amp;D114,'feed rations'!$AB$12:$AI$12,0))</f>
        <v>7.4351804480686189E-5</v>
      </c>
    </row>
    <row r="115" spans="3:7" x14ac:dyDescent="0.25">
      <c r="C115" t="s">
        <v>196</v>
      </c>
      <c r="E115" t="s">
        <v>259</v>
      </c>
      <c r="F115" t="s">
        <v>285</v>
      </c>
      <c r="G115" s="3">
        <f>INDEX('feed rations'!$AB$13:$AI$46,MATCH(E115,'feed rations'!$Y$13:$Y$46,0),MATCH(C115&amp;D115,'feed rations'!$AB$12:$AI$12,0))</f>
        <v>0</v>
      </c>
    </row>
    <row r="117" spans="3:7" x14ac:dyDescent="0.25">
      <c r="C117" t="s">
        <v>197</v>
      </c>
      <c r="E117" s="21" t="s">
        <v>276</v>
      </c>
      <c r="F117" t="s">
        <v>285</v>
      </c>
      <c r="G117" s="3">
        <f>INDEX('feed rations'!$AB$13:$AI$46,MATCH(E117,'feed rations'!$Y$13:$Y$46,0),MATCH(C117&amp;D117,'feed rations'!$AB$12:$AI$12,0))</f>
        <v>15.175760492490328</v>
      </c>
    </row>
    <row r="118" spans="3:7" x14ac:dyDescent="0.25">
      <c r="C118" t="s">
        <v>197</v>
      </c>
      <c r="E118" s="21" t="s">
        <v>274</v>
      </c>
      <c r="F118" t="s">
        <v>285</v>
      </c>
      <c r="G118" s="3">
        <f>INDEX('feed rations'!$AB$13:$AI$46,MATCH(E118,'feed rations'!$Y$13:$Y$46,0),MATCH(C118&amp;D118,'feed rations'!$AB$12:$AI$12,0))</f>
        <v>30.351520984980656</v>
      </c>
    </row>
    <row r="119" spans="3:7" x14ac:dyDescent="0.25">
      <c r="C119" t="s">
        <v>197</v>
      </c>
      <c r="E119" t="s">
        <v>277</v>
      </c>
      <c r="F119" t="s">
        <v>285</v>
      </c>
      <c r="G119" s="3">
        <f>INDEX('feed rations'!$AB$13:$AI$46,MATCH(E119,'feed rations'!$Y$13:$Y$46,0),MATCH(C119&amp;D119,'feed rations'!$AB$12:$AI$12,0))</f>
        <v>43.343560127534147</v>
      </c>
    </row>
    <row r="120" spans="3:7" x14ac:dyDescent="0.25">
      <c r="C120" t="s">
        <v>197</v>
      </c>
      <c r="E120" t="s">
        <v>229</v>
      </c>
      <c r="F120" t="s">
        <v>285</v>
      </c>
      <c r="G120" s="3">
        <f>INDEX('feed rations'!$AB$13:$AI$46,MATCH(E120,'feed rations'!$Y$13:$Y$46,0),MATCH(C120&amp;D120,'feed rations'!$AB$12:$AI$12,0))</f>
        <v>2.4321508712376856</v>
      </c>
    </row>
    <row r="121" spans="3:7" x14ac:dyDescent="0.25">
      <c r="C121" t="s">
        <v>197</v>
      </c>
      <c r="E121" t="s">
        <v>230</v>
      </c>
      <c r="F121" t="s">
        <v>285</v>
      </c>
      <c r="G121" s="3">
        <f>INDEX('feed rations'!$AB$13:$AI$46,MATCH(E121,'feed rations'!$Y$13:$Y$46,0),MATCH(C121&amp;D121,'feed rations'!$AB$12:$AI$12,0))</f>
        <v>1.2561931863852942</v>
      </c>
    </row>
    <row r="122" spans="3:7" x14ac:dyDescent="0.25">
      <c r="C122" t="s">
        <v>197</v>
      </c>
      <c r="E122" t="s">
        <v>231</v>
      </c>
      <c r="F122" t="s">
        <v>285</v>
      </c>
      <c r="G122" s="3">
        <f>INDEX('feed rations'!$AB$13:$AI$46,MATCH(E122,'feed rations'!$Y$13:$Y$46,0),MATCH(C122&amp;D122,'feed rations'!$AB$12:$AI$12,0))</f>
        <v>1.9042966731194728</v>
      </c>
    </row>
    <row r="123" spans="3:7" x14ac:dyDescent="0.25">
      <c r="C123" t="s">
        <v>197</v>
      </c>
      <c r="E123" t="s">
        <v>232</v>
      </c>
      <c r="F123" t="s">
        <v>285</v>
      </c>
      <c r="G123" s="3">
        <f>INDEX('feed rations'!$AB$13:$AI$46,MATCH(E123,'feed rations'!$Y$13:$Y$46,0),MATCH(C123&amp;D123,'feed rations'!$AB$12:$AI$12,0))</f>
        <v>1.1772358266069939E-2</v>
      </c>
    </row>
    <row r="124" spans="3:7" x14ac:dyDescent="0.25">
      <c r="C124" t="s">
        <v>197</v>
      </c>
      <c r="E124" t="s">
        <v>233</v>
      </c>
      <c r="F124" t="s">
        <v>285</v>
      </c>
      <c r="G124" s="3">
        <f>INDEX('feed rations'!$AB$13:$AI$46,MATCH(E124,'feed rations'!$Y$13:$Y$46,0),MATCH(C124&amp;D124,'feed rations'!$AB$12:$AI$12,0))</f>
        <v>0</v>
      </c>
    </row>
    <row r="125" spans="3:7" x14ac:dyDescent="0.25">
      <c r="C125" t="s">
        <v>197</v>
      </c>
      <c r="E125" t="s">
        <v>234</v>
      </c>
      <c r="F125" t="s">
        <v>285</v>
      </c>
      <c r="G125" s="3">
        <f>INDEX('feed rations'!$AB$13:$AI$46,MATCH(E125,'feed rations'!$Y$13:$Y$46,0),MATCH(C125&amp;D125,'feed rations'!$AB$12:$AI$12,0))</f>
        <v>0.4960168489581302</v>
      </c>
    </row>
    <row r="126" spans="3:7" x14ac:dyDescent="0.25">
      <c r="C126" t="s">
        <v>197</v>
      </c>
      <c r="E126" t="s">
        <v>235</v>
      </c>
      <c r="F126" t="s">
        <v>285</v>
      </c>
      <c r="G126" s="3">
        <f>INDEX('feed rations'!$AB$13:$AI$46,MATCH(E126,'feed rations'!$Y$13:$Y$46,0),MATCH(C126&amp;D126,'feed rations'!$AB$12:$AI$12,0))</f>
        <v>1.084969835364313E-2</v>
      </c>
    </row>
    <row r="127" spans="3:7" x14ac:dyDescent="0.25">
      <c r="C127" t="s">
        <v>197</v>
      </c>
      <c r="E127" t="s">
        <v>236</v>
      </c>
      <c r="F127" t="s">
        <v>285</v>
      </c>
      <c r="G127" s="3">
        <f>INDEX('feed rations'!$AB$13:$AI$46,MATCH(E127,'feed rations'!$Y$13:$Y$46,0),MATCH(C127&amp;D127,'feed rations'!$AB$12:$AI$12,0))</f>
        <v>6.8065990618593489E-2</v>
      </c>
    </row>
    <row r="128" spans="3:7" x14ac:dyDescent="0.25">
      <c r="C128" t="s">
        <v>197</v>
      </c>
      <c r="E128" t="s">
        <v>237</v>
      </c>
      <c r="F128" t="s">
        <v>285</v>
      </c>
      <c r="G128" s="3">
        <f>INDEX('feed rations'!$AB$13:$AI$46,MATCH(E128,'feed rations'!$Y$13:$Y$46,0),MATCH(C128&amp;D128,'feed rations'!$AB$12:$AI$12,0))</f>
        <v>1.310791613369622</v>
      </c>
    </row>
    <row r="129" spans="3:7" x14ac:dyDescent="0.25">
      <c r="C129" t="s">
        <v>197</v>
      </c>
      <c r="E129" t="s">
        <v>238</v>
      </c>
      <c r="F129" t="s">
        <v>285</v>
      </c>
      <c r="G129" s="3">
        <f>INDEX('feed rations'!$AB$13:$AI$46,MATCH(E129,'feed rations'!$Y$13:$Y$46,0),MATCH(C129&amp;D129,'feed rations'!$AB$12:$AI$12,0))</f>
        <v>1.7666004011112982E-3</v>
      </c>
    </row>
    <row r="130" spans="3:7" x14ac:dyDescent="0.25">
      <c r="C130" t="s">
        <v>197</v>
      </c>
      <c r="E130" t="s">
        <v>239</v>
      </c>
      <c r="F130" t="s">
        <v>285</v>
      </c>
      <c r="G130" s="3">
        <f>INDEX('feed rations'!$AB$13:$AI$46,MATCH(E130,'feed rations'!$Y$13:$Y$46,0),MATCH(C130&amp;D130,'feed rations'!$AB$12:$AI$12,0))</f>
        <v>0.55283506413716399</v>
      </c>
    </row>
    <row r="131" spans="3:7" x14ac:dyDescent="0.25">
      <c r="C131" t="s">
        <v>197</v>
      </c>
      <c r="E131" t="s">
        <v>240</v>
      </c>
      <c r="F131" t="s">
        <v>285</v>
      </c>
      <c r="G131" s="3">
        <f>INDEX('feed rations'!$AB$13:$AI$46,MATCH(E131,'feed rations'!$Y$13:$Y$46,0),MATCH(C131&amp;D131,'feed rations'!$AB$12:$AI$12,0))</f>
        <v>6.1866213781219229E-5</v>
      </c>
    </row>
    <row r="132" spans="3:7" x14ac:dyDescent="0.25">
      <c r="C132" t="s">
        <v>197</v>
      </c>
      <c r="E132" t="s">
        <v>241</v>
      </c>
      <c r="F132" t="s">
        <v>285</v>
      </c>
      <c r="G132" s="3">
        <f>INDEX('feed rations'!$AB$13:$AI$46,MATCH(E132,'feed rations'!$Y$13:$Y$46,0),MATCH(C132&amp;D132,'feed rations'!$AB$12:$AI$12,0))</f>
        <v>1.4094536822348984</v>
      </c>
    </row>
    <row r="133" spans="3:7" x14ac:dyDescent="0.25">
      <c r="C133" t="s">
        <v>197</v>
      </c>
      <c r="E133" t="s">
        <v>242</v>
      </c>
      <c r="F133" t="s">
        <v>285</v>
      </c>
      <c r="G133" s="3">
        <f>INDEX('feed rations'!$AB$13:$AI$46,MATCH(E133,'feed rations'!$Y$13:$Y$46,0),MATCH(C133&amp;D133,'feed rations'!$AB$12:$AI$12,0))</f>
        <v>5.5679592403097307E-5</v>
      </c>
    </row>
    <row r="134" spans="3:7" x14ac:dyDescent="0.25">
      <c r="C134" t="s">
        <v>197</v>
      </c>
      <c r="E134" t="s">
        <v>243</v>
      </c>
      <c r="F134" t="s">
        <v>285</v>
      </c>
      <c r="G134" s="3">
        <f>INDEX('feed rations'!$AB$13:$AI$46,MATCH(E134,'feed rations'!$Y$13:$Y$46,0),MATCH(C134&amp;D134,'feed rations'!$AB$12:$AI$12,0))</f>
        <v>0.60414683073671682</v>
      </c>
    </row>
    <row r="135" spans="3:7" x14ac:dyDescent="0.25">
      <c r="C135" t="s">
        <v>197</v>
      </c>
      <c r="E135" t="s">
        <v>244</v>
      </c>
      <c r="F135" t="s">
        <v>285</v>
      </c>
      <c r="G135" s="3">
        <f>INDEX('feed rations'!$AB$13:$AI$46,MATCH(E135,'feed rations'!$Y$13:$Y$46,0),MATCH(C135&amp;D135,'feed rations'!$AB$12:$AI$12,0))</f>
        <v>3.5461429297032662E-3</v>
      </c>
    </row>
    <row r="136" spans="3:7" x14ac:dyDescent="0.25">
      <c r="C136" t="s">
        <v>197</v>
      </c>
      <c r="E136" t="s">
        <v>245</v>
      </c>
      <c r="F136" t="s">
        <v>285</v>
      </c>
      <c r="G136" s="3">
        <f>INDEX('feed rations'!$AB$13:$AI$46,MATCH(E136,'feed rations'!$Y$13:$Y$46,0),MATCH(C136&amp;D136,'feed rations'!$AB$12:$AI$12,0))</f>
        <v>1.0178983263546054E-2</v>
      </c>
    </row>
    <row r="137" spans="3:7" x14ac:dyDescent="0.25">
      <c r="C137" t="s">
        <v>197</v>
      </c>
      <c r="E137" t="s">
        <v>246</v>
      </c>
      <c r="F137" t="s">
        <v>285</v>
      </c>
      <c r="G137" s="3">
        <f>INDEX('feed rations'!$AB$13:$AI$46,MATCH(E137,'feed rations'!$Y$13:$Y$46,0),MATCH(C137&amp;D137,'feed rations'!$AB$12:$AI$12,0))</f>
        <v>7.8450625710019192E-2</v>
      </c>
    </row>
    <row r="138" spans="3:7" x14ac:dyDescent="0.25">
      <c r="C138" t="s">
        <v>197</v>
      </c>
      <c r="E138" t="s">
        <v>247</v>
      </c>
      <c r="F138" t="s">
        <v>285</v>
      </c>
      <c r="G138" s="3">
        <f>INDEX('feed rations'!$AB$13:$AI$46,MATCH(E138,'feed rations'!$Y$13:$Y$46,0),MATCH(C138&amp;D138,'feed rations'!$AB$12:$AI$12,0))</f>
        <v>0.4684819038582827</v>
      </c>
    </row>
    <row r="139" spans="3:7" x14ac:dyDescent="0.25">
      <c r="C139" t="s">
        <v>197</v>
      </c>
      <c r="E139" t="s">
        <v>248</v>
      </c>
      <c r="F139" t="s">
        <v>285</v>
      </c>
      <c r="G139" s="3">
        <f>INDEX('feed rations'!$AB$13:$AI$46,MATCH(E139,'feed rations'!$Y$13:$Y$46,0),MATCH(C139&amp;D139,'feed rations'!$AB$12:$AI$12,0))</f>
        <v>9.6524662289726004E-2</v>
      </c>
    </row>
    <row r="140" spans="3:7" x14ac:dyDescent="0.25">
      <c r="C140" t="s">
        <v>197</v>
      </c>
      <c r="E140" t="s">
        <v>249</v>
      </c>
      <c r="F140" t="s">
        <v>285</v>
      </c>
      <c r="G140" s="3">
        <f>INDEX('feed rations'!$AB$13:$AI$46,MATCH(E140,'feed rations'!$Y$13:$Y$46,0),MATCH(C140&amp;D140,'feed rations'!$AB$12:$AI$12,0))</f>
        <v>0.10335011276914095</v>
      </c>
    </row>
    <row r="141" spans="3:7" x14ac:dyDescent="0.25">
      <c r="C141" t="s">
        <v>197</v>
      </c>
      <c r="E141" t="s">
        <v>250</v>
      </c>
      <c r="F141" t="s">
        <v>285</v>
      </c>
      <c r="G141" s="3">
        <f>INDEX('feed rations'!$AB$13:$AI$46,MATCH(E141,'feed rations'!$Y$13:$Y$46,0),MATCH(C141&amp;D141,'feed rations'!$AB$12:$AI$12,0))</f>
        <v>2.8717016446612009E-2</v>
      </c>
    </row>
    <row r="142" spans="3:7" x14ac:dyDescent="0.25">
      <c r="C142" t="s">
        <v>197</v>
      </c>
      <c r="E142" t="s">
        <v>251</v>
      </c>
      <c r="F142" t="s">
        <v>285</v>
      </c>
      <c r="G142" s="3">
        <f>INDEX('feed rations'!$AB$13:$AI$46,MATCH(E142,'feed rations'!$Y$13:$Y$46,0),MATCH(C142&amp;D142,'feed rations'!$AB$12:$AI$12,0))</f>
        <v>0</v>
      </c>
    </row>
    <row r="143" spans="3:7" x14ac:dyDescent="0.25">
      <c r="C143" t="s">
        <v>197</v>
      </c>
      <c r="E143" t="s">
        <v>252</v>
      </c>
      <c r="F143" t="s">
        <v>285</v>
      </c>
      <c r="G143" s="3">
        <f>INDEX('feed rations'!$AB$13:$AI$46,MATCH(E143,'feed rations'!$Y$13:$Y$46,0),MATCH(C143&amp;D143,'feed rations'!$AB$12:$AI$12,0))</f>
        <v>4.5183669237455988E-2</v>
      </c>
    </row>
    <row r="144" spans="3:7" x14ac:dyDescent="0.25">
      <c r="C144" t="s">
        <v>197</v>
      </c>
      <c r="E144" t="s">
        <v>253</v>
      </c>
      <c r="F144" t="s">
        <v>285</v>
      </c>
      <c r="G144" s="3">
        <f>INDEX('feed rations'!$AB$13:$AI$46,MATCH(E144,'feed rations'!$Y$13:$Y$46,0),MATCH(C144&amp;D144,'feed rations'!$AB$12:$AI$12,0))</f>
        <v>0</v>
      </c>
    </row>
    <row r="145" spans="3:7" x14ac:dyDescent="0.25">
      <c r="C145" t="s">
        <v>197</v>
      </c>
      <c r="E145" t="s">
        <v>254</v>
      </c>
      <c r="F145" t="s">
        <v>285</v>
      </c>
      <c r="G145" s="3">
        <f>INDEX('feed rations'!$AB$13:$AI$46,MATCH(E145,'feed rations'!$Y$13:$Y$46,0),MATCH(C145&amp;D145,'feed rations'!$AB$12:$AI$12,0))</f>
        <v>4.4053010847661285E-4</v>
      </c>
    </row>
    <row r="146" spans="3:7" x14ac:dyDescent="0.25">
      <c r="C146" t="s">
        <v>197</v>
      </c>
      <c r="E146" t="s">
        <v>255</v>
      </c>
      <c r="F146" t="s">
        <v>285</v>
      </c>
      <c r="G146" s="3">
        <f>INDEX('feed rations'!$AB$13:$AI$46,MATCH(E146,'feed rations'!$Y$13:$Y$46,0),MATCH(C146&amp;D146,'feed rations'!$AB$12:$AI$12,0))</f>
        <v>5.7878882970076748E-2</v>
      </c>
    </row>
    <row r="147" spans="3:7" x14ac:dyDescent="0.25">
      <c r="C147" t="s">
        <v>197</v>
      </c>
      <c r="E147" t="s">
        <v>256</v>
      </c>
      <c r="F147" t="s">
        <v>285</v>
      </c>
      <c r="G147" s="3">
        <f>INDEX('feed rations'!$AB$13:$AI$46,MATCH(E147,'feed rations'!$Y$13:$Y$46,0),MATCH(C147&amp;D147,'feed rations'!$AB$12:$AI$12,0))</f>
        <v>0.17773535668382656</v>
      </c>
    </row>
    <row r="148" spans="3:7" x14ac:dyDescent="0.25">
      <c r="C148" t="s">
        <v>197</v>
      </c>
      <c r="E148" t="s">
        <v>257</v>
      </c>
      <c r="F148" t="s">
        <v>285</v>
      </c>
      <c r="G148" s="3">
        <f>INDEX('feed rations'!$AB$13:$AI$46,MATCH(E148,'feed rations'!$Y$13:$Y$46,0),MATCH(C148&amp;D148,'feed rations'!$AB$12:$AI$12,0))</f>
        <v>0</v>
      </c>
    </row>
    <row r="149" spans="3:7" x14ac:dyDescent="0.25">
      <c r="C149" t="s">
        <v>197</v>
      </c>
      <c r="E149" t="s">
        <v>258</v>
      </c>
      <c r="F149" t="s">
        <v>285</v>
      </c>
      <c r="G149" s="3">
        <f>INDEX('feed rations'!$AB$13:$AI$46,MATCH(E149,'feed rations'!$Y$13:$Y$46,0),MATCH(C149&amp;D149,'feed rations'!$AB$12:$AI$12,0))</f>
        <v>2.1354510343103608E-4</v>
      </c>
    </row>
    <row r="150" spans="3:7" x14ac:dyDescent="0.25">
      <c r="C150" t="s">
        <v>197</v>
      </c>
      <c r="E150" t="s">
        <v>259</v>
      </c>
      <c r="F150" t="s">
        <v>285</v>
      </c>
      <c r="G150" s="3">
        <f>INDEX('feed rations'!$AB$13:$AI$46,MATCH(E150,'feed rations'!$Y$13:$Y$46,0),MATCH(C150&amp;D150,'feed rations'!$AB$12:$AI$12,0))</f>
        <v>0</v>
      </c>
    </row>
    <row r="152" spans="3:7" x14ac:dyDescent="0.25">
      <c r="C152" t="s">
        <v>198</v>
      </c>
      <c r="E152" s="21" t="s">
        <v>276</v>
      </c>
      <c r="F152" t="s">
        <v>285</v>
      </c>
      <c r="G152" s="3">
        <f>INDEX('feed rations'!$AB$13:$AI$46,MATCH(E152,'feed rations'!$Y$13:$Y$46,0),MATCH(C152&amp;D152,'feed rations'!$AB$12:$AI$12,0))</f>
        <v>14.556942659567957</v>
      </c>
    </row>
    <row r="153" spans="3:7" x14ac:dyDescent="0.25">
      <c r="C153" t="s">
        <v>198</v>
      </c>
      <c r="E153" s="21" t="s">
        <v>274</v>
      </c>
      <c r="F153" t="s">
        <v>285</v>
      </c>
      <c r="G153" s="3">
        <f>INDEX('feed rations'!$AB$13:$AI$46,MATCH(E153,'feed rations'!$Y$13:$Y$46,0),MATCH(C153&amp;D153,'feed rations'!$AB$12:$AI$12,0))</f>
        <v>29.113885319135914</v>
      </c>
    </row>
    <row r="154" spans="3:7" x14ac:dyDescent="0.25">
      <c r="C154" t="s">
        <v>198</v>
      </c>
      <c r="E154" t="s">
        <v>277</v>
      </c>
      <c r="F154" t="s">
        <v>285</v>
      </c>
      <c r="G154" s="3">
        <f>INDEX('feed rations'!$AB$13:$AI$46,MATCH(E154,'feed rations'!$Y$13:$Y$46,0),MATCH(C154&amp;D154,'feed rations'!$AB$12:$AI$12,0))</f>
        <v>55.686616486139165</v>
      </c>
    </row>
    <row r="155" spans="3:7" x14ac:dyDescent="0.25">
      <c r="C155" t="s">
        <v>198</v>
      </c>
      <c r="E155" t="s">
        <v>229</v>
      </c>
      <c r="F155" t="s">
        <v>285</v>
      </c>
      <c r="G155" s="3">
        <f>INDEX('feed rations'!$AB$13:$AI$46,MATCH(E155,'feed rations'!$Y$13:$Y$46,0),MATCH(C155&amp;D155,'feed rations'!$AB$12:$AI$12,0))</f>
        <v>0.14042319726111982</v>
      </c>
    </row>
    <row r="156" spans="3:7" x14ac:dyDescent="0.25">
      <c r="C156" t="s">
        <v>198</v>
      </c>
      <c r="E156" t="s">
        <v>230</v>
      </c>
      <c r="F156" t="s">
        <v>285</v>
      </c>
      <c r="G156" s="3">
        <f>INDEX('feed rations'!$AB$13:$AI$46,MATCH(E156,'feed rations'!$Y$13:$Y$46,0),MATCH(C156&amp;D156,'feed rations'!$AB$12:$AI$12,0))</f>
        <v>7.252784590624109E-2</v>
      </c>
    </row>
    <row r="157" spans="3:7" x14ac:dyDescent="0.25">
      <c r="C157" t="s">
        <v>198</v>
      </c>
      <c r="E157" t="s">
        <v>231</v>
      </c>
      <c r="F157" t="s">
        <v>285</v>
      </c>
      <c r="G157" s="3">
        <f>INDEX('feed rations'!$AB$13:$AI$46,MATCH(E157,'feed rations'!$Y$13:$Y$46,0),MATCH(C157&amp;D157,'feed rations'!$AB$12:$AI$12,0))</f>
        <v>0.10994689126216511</v>
      </c>
    </row>
    <row r="158" spans="3:7" x14ac:dyDescent="0.25">
      <c r="C158" t="s">
        <v>198</v>
      </c>
      <c r="E158" t="s">
        <v>232</v>
      </c>
      <c r="F158" t="s">
        <v>285</v>
      </c>
      <c r="G158" s="3">
        <f>INDEX('feed rations'!$AB$13:$AI$46,MATCH(E158,'feed rations'!$Y$13:$Y$46,0),MATCH(C158&amp;D158,'feed rations'!$AB$12:$AI$12,0))</f>
        <v>6.7969146428143638E-4</v>
      </c>
    </row>
    <row r="159" spans="3:7" x14ac:dyDescent="0.25">
      <c r="C159" t="s">
        <v>198</v>
      </c>
      <c r="E159" t="s">
        <v>233</v>
      </c>
      <c r="F159" t="s">
        <v>285</v>
      </c>
      <c r="G159" s="3">
        <f>INDEX('feed rations'!$AB$13:$AI$46,MATCH(E159,'feed rations'!$Y$13:$Y$46,0),MATCH(C159&amp;D159,'feed rations'!$AB$12:$AI$12,0))</f>
        <v>0</v>
      </c>
    </row>
    <row r="160" spans="3:7" x14ac:dyDescent="0.25">
      <c r="C160" t="s">
        <v>198</v>
      </c>
      <c r="E160" t="s">
        <v>234</v>
      </c>
      <c r="F160" t="s">
        <v>285</v>
      </c>
      <c r="G160" s="3">
        <f>INDEX('feed rations'!$AB$13:$AI$46,MATCH(E160,'feed rations'!$Y$13:$Y$46,0),MATCH(C160&amp;D160,'feed rations'!$AB$12:$AI$12,0))</f>
        <v>2.8638137810357785E-2</v>
      </c>
    </row>
    <row r="161" spans="3:7" x14ac:dyDescent="0.25">
      <c r="C161" t="s">
        <v>198</v>
      </c>
      <c r="E161" t="s">
        <v>235</v>
      </c>
      <c r="F161" t="s">
        <v>285</v>
      </c>
      <c r="G161" s="3">
        <f>INDEX('feed rations'!$AB$13:$AI$46,MATCH(E161,'feed rations'!$Y$13:$Y$46,0),MATCH(C161&amp;D161,'feed rations'!$AB$12:$AI$12,0))</f>
        <v>6.2642056878731579E-4</v>
      </c>
    </row>
    <row r="162" spans="3:7" x14ac:dyDescent="0.25">
      <c r="C162" t="s">
        <v>198</v>
      </c>
      <c r="E162" t="s">
        <v>236</v>
      </c>
      <c r="F162" t="s">
        <v>285</v>
      </c>
      <c r="G162" s="3">
        <f>INDEX('feed rations'!$AB$13:$AI$46,MATCH(E162,'feed rations'!$Y$13:$Y$46,0),MATCH(C162&amp;D162,'feed rations'!$AB$12:$AI$12,0))</f>
        <v>3.9298729944924589E-3</v>
      </c>
    </row>
    <row r="163" spans="3:7" x14ac:dyDescent="0.25">
      <c r="C163" t="s">
        <v>198</v>
      </c>
      <c r="E163" t="s">
        <v>237</v>
      </c>
      <c r="F163" t="s">
        <v>285</v>
      </c>
      <c r="G163" s="3">
        <f>INDEX('feed rations'!$AB$13:$AI$46,MATCH(E163,'feed rations'!$Y$13:$Y$46,0),MATCH(C163&amp;D163,'feed rations'!$AB$12:$AI$12,0))</f>
        <v>7.5680152686726926E-2</v>
      </c>
    </row>
    <row r="164" spans="3:7" x14ac:dyDescent="0.25">
      <c r="C164" t="s">
        <v>198</v>
      </c>
      <c r="E164" t="s">
        <v>238</v>
      </c>
      <c r="F164" t="s">
        <v>285</v>
      </c>
      <c r="G164" s="3">
        <f>INDEX('feed rations'!$AB$13:$AI$46,MATCH(E164,'feed rations'!$Y$13:$Y$46,0),MATCH(C164&amp;D164,'feed rations'!$AB$12:$AI$12,0))</f>
        <v>1.01996829037413E-4</v>
      </c>
    </row>
    <row r="165" spans="3:7" x14ac:dyDescent="0.25">
      <c r="C165" t="s">
        <v>198</v>
      </c>
      <c r="E165" t="s">
        <v>239</v>
      </c>
      <c r="F165" t="s">
        <v>285</v>
      </c>
      <c r="G165" s="3">
        <f>INDEX('feed rations'!$AB$13:$AI$46,MATCH(E165,'feed rations'!$Y$13:$Y$46,0),MATCH(C165&amp;D165,'feed rations'!$AB$12:$AI$12,0))</f>
        <v>3.1918606769937602E-2</v>
      </c>
    </row>
    <row r="166" spans="3:7" x14ac:dyDescent="0.25">
      <c r="C166" t="s">
        <v>198</v>
      </c>
      <c r="E166" t="s">
        <v>240</v>
      </c>
      <c r="F166" t="s">
        <v>285</v>
      </c>
      <c r="G166" s="3">
        <f>INDEX('feed rations'!$AB$13:$AI$46,MATCH(E166,'feed rations'!$Y$13:$Y$46,0),MATCH(C166&amp;D166,'feed rations'!$AB$12:$AI$12,0))</f>
        <v>3.5719213163687675E-6</v>
      </c>
    </row>
    <row r="167" spans="3:7" x14ac:dyDescent="0.25">
      <c r="C167" t="s">
        <v>198</v>
      </c>
      <c r="E167" t="s">
        <v>241</v>
      </c>
      <c r="F167" t="s">
        <v>285</v>
      </c>
      <c r="G167" s="3">
        <f>INDEX('feed rations'!$AB$13:$AI$46,MATCH(E167,'feed rations'!$Y$13:$Y$46,0),MATCH(C167&amp;D167,'feed rations'!$AB$12:$AI$12,0))</f>
        <v>8.1376527579542932E-2</v>
      </c>
    </row>
    <row r="168" spans="3:7" x14ac:dyDescent="0.25">
      <c r="C168" t="s">
        <v>198</v>
      </c>
      <c r="E168" t="s">
        <v>242</v>
      </c>
      <c r="F168" t="s">
        <v>285</v>
      </c>
      <c r="G168" s="3">
        <f>INDEX('feed rations'!$AB$13:$AI$46,MATCH(E168,'feed rations'!$Y$13:$Y$46,0),MATCH(C168&amp;D168,'feed rations'!$AB$12:$AI$12,0))</f>
        <v>3.2147291847318914E-6</v>
      </c>
    </row>
    <row r="169" spans="3:7" x14ac:dyDescent="0.25">
      <c r="C169" t="s">
        <v>198</v>
      </c>
      <c r="E169" t="s">
        <v>243</v>
      </c>
      <c r="F169" t="s">
        <v>285</v>
      </c>
      <c r="G169" s="3">
        <f>INDEX('feed rations'!$AB$13:$AI$46,MATCH(E169,'feed rations'!$Y$13:$Y$46,0),MATCH(C169&amp;D169,'feed rations'!$AB$12:$AI$12,0))</f>
        <v>3.4881154204077169E-2</v>
      </c>
    </row>
    <row r="170" spans="3:7" x14ac:dyDescent="0.25">
      <c r="C170" t="s">
        <v>198</v>
      </c>
      <c r="E170" t="s">
        <v>244</v>
      </c>
      <c r="F170" t="s">
        <v>285</v>
      </c>
      <c r="G170" s="3">
        <f>INDEX('feed rations'!$AB$13:$AI$46,MATCH(E170,'feed rations'!$Y$13:$Y$46,0),MATCH(C170&amp;D170,'feed rations'!$AB$12:$AI$12,0))</f>
        <v>2.0474088759158359E-4</v>
      </c>
    </row>
    <row r="171" spans="3:7" x14ac:dyDescent="0.25">
      <c r="C171" t="s">
        <v>198</v>
      </c>
      <c r="E171" t="s">
        <v>245</v>
      </c>
      <c r="F171" t="s">
        <v>285</v>
      </c>
      <c r="G171" s="3">
        <f>INDEX('feed rations'!$AB$13:$AI$46,MATCH(E171,'feed rations'!$Y$13:$Y$46,0),MATCH(C171&amp;D171,'feed rations'!$AB$12:$AI$12,0))</f>
        <v>5.8769601492985593E-4</v>
      </c>
    </row>
    <row r="172" spans="3:7" x14ac:dyDescent="0.25">
      <c r="C172" t="s">
        <v>198</v>
      </c>
      <c r="E172" t="s">
        <v>246</v>
      </c>
      <c r="F172" t="s">
        <v>285</v>
      </c>
      <c r="G172" s="3">
        <f>INDEX('feed rations'!$AB$13:$AI$46,MATCH(E172,'feed rations'!$Y$13:$Y$46,0),MATCH(C172&amp;D172,'feed rations'!$AB$12:$AI$12,0))</f>
        <v>4.5294425685567267E-3</v>
      </c>
    </row>
    <row r="173" spans="3:7" x14ac:dyDescent="0.25">
      <c r="C173" t="s">
        <v>198</v>
      </c>
      <c r="E173" t="s">
        <v>247</v>
      </c>
      <c r="F173" t="s">
        <v>285</v>
      </c>
      <c r="G173" s="3">
        <f>INDEX('feed rations'!$AB$13:$AI$46,MATCH(E173,'feed rations'!$Y$13:$Y$46,0),MATCH(C173&amp;D173,'feed rations'!$AB$12:$AI$12,0))</f>
        <v>2.7048374168202494E-2</v>
      </c>
    </row>
    <row r="174" spans="3:7" x14ac:dyDescent="0.25">
      <c r="C174" t="s">
        <v>198</v>
      </c>
      <c r="E174" t="s">
        <v>248</v>
      </c>
      <c r="F174" t="s">
        <v>285</v>
      </c>
      <c r="G174" s="3">
        <f>INDEX('feed rations'!$AB$13:$AI$46,MATCH(E174,'feed rations'!$Y$13:$Y$46,0),MATCH(C174&amp;D174,'feed rations'!$AB$12:$AI$12,0))</f>
        <v>5.5729691169921491E-3</v>
      </c>
    </row>
    <row r="175" spans="3:7" x14ac:dyDescent="0.25">
      <c r="C175" t="s">
        <v>198</v>
      </c>
      <c r="E175" t="s">
        <v>249</v>
      </c>
      <c r="F175" t="s">
        <v>285</v>
      </c>
      <c r="G175" s="3">
        <f>INDEX('feed rations'!$AB$13:$AI$46,MATCH(E175,'feed rations'!$Y$13:$Y$46,0),MATCH(C175&amp;D175,'feed rations'!$AB$12:$AI$12,0))</f>
        <v>5.9670448260287137E-3</v>
      </c>
    </row>
    <row r="176" spans="3:7" x14ac:dyDescent="0.25">
      <c r="C176" t="s">
        <v>198</v>
      </c>
      <c r="E176" t="s">
        <v>250</v>
      </c>
      <c r="F176" t="s">
        <v>285</v>
      </c>
      <c r="G176" s="3">
        <f>INDEX('feed rations'!$AB$13:$AI$46,MATCH(E176,'feed rations'!$Y$13:$Y$46,0),MATCH(C176&amp;D176,'feed rations'!$AB$12:$AI$12,0))</f>
        <v>1.6580119732380434E-3</v>
      </c>
    </row>
    <row r="177" spans="3:7" x14ac:dyDescent="0.25">
      <c r="C177" t="s">
        <v>198</v>
      </c>
      <c r="E177" t="s">
        <v>251</v>
      </c>
      <c r="F177" t="s">
        <v>285</v>
      </c>
      <c r="G177" s="3">
        <f>INDEX('feed rations'!$AB$13:$AI$46,MATCH(E177,'feed rations'!$Y$13:$Y$46,0),MATCH(C177&amp;D177,'feed rations'!$AB$12:$AI$12,0))</f>
        <v>0</v>
      </c>
    </row>
    <row r="178" spans="3:7" x14ac:dyDescent="0.25">
      <c r="C178" t="s">
        <v>198</v>
      </c>
      <c r="E178" t="s">
        <v>252</v>
      </c>
      <c r="F178" t="s">
        <v>285</v>
      </c>
      <c r="G178" s="3">
        <f>INDEX('feed rations'!$AB$13:$AI$46,MATCH(E178,'feed rations'!$Y$13:$Y$46,0),MATCH(C178&amp;D178,'feed rations'!$AB$12:$AI$12,0))</f>
        <v>2.6087342579548447E-3</v>
      </c>
    </row>
    <row r="179" spans="3:7" x14ac:dyDescent="0.25">
      <c r="C179" t="s">
        <v>198</v>
      </c>
      <c r="E179" t="s">
        <v>253</v>
      </c>
      <c r="F179" t="s">
        <v>285</v>
      </c>
      <c r="G179" s="3">
        <f>INDEX('feed rations'!$AB$13:$AI$46,MATCH(E179,'feed rations'!$Y$13:$Y$46,0),MATCH(C179&amp;D179,'feed rations'!$AB$12:$AI$12,0))</f>
        <v>0</v>
      </c>
    </row>
    <row r="180" spans="3:7" x14ac:dyDescent="0.25">
      <c r="C180" t="s">
        <v>198</v>
      </c>
      <c r="E180" t="s">
        <v>254</v>
      </c>
      <c r="F180" t="s">
        <v>285</v>
      </c>
      <c r="G180" s="3">
        <f>INDEX('feed rations'!$AB$13:$AI$46,MATCH(E180,'feed rations'!$Y$13:$Y$46,0),MATCH(C180&amp;D180,'feed rations'!$AB$12:$AI$12,0))</f>
        <v>2.5434543166556919E-5</v>
      </c>
    </row>
    <row r="181" spans="3:7" x14ac:dyDescent="0.25">
      <c r="C181" t="s">
        <v>198</v>
      </c>
      <c r="E181" t="s">
        <v>255</v>
      </c>
      <c r="F181" t="s">
        <v>285</v>
      </c>
      <c r="G181" s="3">
        <f>INDEX('feed rations'!$AB$13:$AI$46,MATCH(E181,'feed rations'!$Y$13:$Y$46,0),MATCH(C181&amp;D181,'feed rations'!$AB$12:$AI$12,0))</f>
        <v>3.3417079082862866E-3</v>
      </c>
    </row>
    <row r="182" spans="3:7" x14ac:dyDescent="0.25">
      <c r="C182" t="s">
        <v>198</v>
      </c>
      <c r="E182" t="s">
        <v>256</v>
      </c>
      <c r="F182" t="s">
        <v>285</v>
      </c>
      <c r="G182" s="3">
        <f>INDEX('feed rations'!$AB$13:$AI$46,MATCH(E182,'feed rations'!$Y$13:$Y$46,0),MATCH(C182&amp;D182,'feed rations'!$AB$12:$AI$12,0))</f>
        <v>1.0261767617724977E-2</v>
      </c>
    </row>
    <row r="183" spans="3:7" x14ac:dyDescent="0.25">
      <c r="C183" t="s">
        <v>198</v>
      </c>
      <c r="E183" t="s">
        <v>257</v>
      </c>
      <c r="F183" t="s">
        <v>285</v>
      </c>
      <c r="G183" s="3">
        <f>INDEX('feed rations'!$AB$13:$AI$46,MATCH(E183,'feed rations'!$Y$13:$Y$46,0),MATCH(C183&amp;D183,'feed rations'!$AB$12:$AI$12,0))</f>
        <v>0</v>
      </c>
    </row>
    <row r="184" spans="3:7" x14ac:dyDescent="0.25">
      <c r="C184" t="s">
        <v>198</v>
      </c>
      <c r="E184" t="s">
        <v>258</v>
      </c>
      <c r="F184" t="s">
        <v>285</v>
      </c>
      <c r="G184" s="3">
        <f>INDEX('feed rations'!$AB$13:$AI$46,MATCH(E184,'feed rations'!$Y$13:$Y$46,0),MATCH(C184&amp;D184,'feed rations'!$AB$12:$AI$12,0))</f>
        <v>1.2329287026500471E-5</v>
      </c>
    </row>
    <row r="185" spans="3:7" x14ac:dyDescent="0.25">
      <c r="C185" t="s">
        <v>198</v>
      </c>
      <c r="E185" t="s">
        <v>259</v>
      </c>
      <c r="F185" t="s">
        <v>285</v>
      </c>
      <c r="G185" s="3">
        <f>INDEX('feed rations'!$AB$13:$AI$46,MATCH(E185,'feed rations'!$Y$13:$Y$46,0),MATCH(C185&amp;D185,'feed rations'!$AB$12:$AI$12,0))</f>
        <v>0</v>
      </c>
    </row>
    <row r="187" spans="3:7" x14ac:dyDescent="0.25">
      <c r="C187" t="s">
        <v>204</v>
      </c>
      <c r="E187" s="21" t="s">
        <v>276</v>
      </c>
      <c r="F187" t="s">
        <v>285</v>
      </c>
      <c r="G187" s="3">
        <f>INDEX('feed rations'!$AB$13:$AI$46,MATCH(E187,'feed rations'!$Y$13:$Y$46,0),MATCH(C187&amp;D187,'feed rations'!$AB$12:$AI$12,0))</f>
        <v>14.502048815250316</v>
      </c>
    </row>
    <row r="188" spans="3:7" x14ac:dyDescent="0.25">
      <c r="C188" t="s">
        <v>204</v>
      </c>
      <c r="E188" s="21" t="s">
        <v>274</v>
      </c>
      <c r="F188" t="s">
        <v>285</v>
      </c>
      <c r="G188" s="3">
        <f>INDEX('feed rations'!$AB$13:$AI$46,MATCH(E188,'feed rations'!$Y$13:$Y$46,0),MATCH(C188&amp;D188,'feed rations'!$AB$12:$AI$12,0))</f>
        <v>29.004097630500631</v>
      </c>
    </row>
    <row r="189" spans="3:7" x14ac:dyDescent="0.25">
      <c r="C189" t="s">
        <v>204</v>
      </c>
      <c r="E189" t="s">
        <v>277</v>
      </c>
      <c r="F189" t="s">
        <v>285</v>
      </c>
      <c r="G189" s="3">
        <f>INDEX('feed rations'!$AB$13:$AI$46,MATCH(E189,'feed rations'!$Y$13:$Y$46,0),MATCH(C189&amp;D189,'feed rations'!$AB$12:$AI$12,0))</f>
        <v>52.618920363442022</v>
      </c>
    </row>
    <row r="190" spans="3:7" x14ac:dyDescent="0.25">
      <c r="C190" t="s">
        <v>204</v>
      </c>
      <c r="E190" t="s">
        <v>229</v>
      </c>
      <c r="F190" t="s">
        <v>285</v>
      </c>
      <c r="G190" s="3">
        <f>INDEX('feed rations'!$AB$13:$AI$46,MATCH(E190,'feed rations'!$Y$13:$Y$46,0),MATCH(C190&amp;D190,'feed rations'!$AB$12:$AI$12,0))</f>
        <v>0.84682253603719471</v>
      </c>
    </row>
    <row r="191" spans="3:7" x14ac:dyDescent="0.25">
      <c r="C191" t="s">
        <v>204</v>
      </c>
      <c r="E191" t="s">
        <v>230</v>
      </c>
      <c r="F191" t="s">
        <v>285</v>
      </c>
      <c r="G191" s="3">
        <f>INDEX('feed rations'!$AB$13:$AI$46,MATCH(E191,'feed rations'!$Y$13:$Y$46,0),MATCH(C191&amp;D191,'feed rations'!$AB$12:$AI$12,0))</f>
        <v>0.43737940455400331</v>
      </c>
    </row>
    <row r="192" spans="3:7" x14ac:dyDescent="0.25">
      <c r="C192" t="s">
        <v>204</v>
      </c>
      <c r="E192" t="s">
        <v>231</v>
      </c>
      <c r="F192" t="s">
        <v>285</v>
      </c>
      <c r="G192" s="3">
        <f>INDEX('feed rations'!$AB$13:$AI$46,MATCH(E192,'feed rations'!$Y$13:$Y$46,0),MATCH(C192&amp;D192,'feed rations'!$AB$12:$AI$12,0))</f>
        <v>0.66303507614130686</v>
      </c>
    </row>
    <row r="193" spans="3:7" x14ac:dyDescent="0.25">
      <c r="C193" t="s">
        <v>204</v>
      </c>
      <c r="E193" t="s">
        <v>232</v>
      </c>
      <c r="F193" t="s">
        <v>285</v>
      </c>
      <c r="G193" s="3">
        <f>INDEX('feed rations'!$AB$13:$AI$46,MATCH(E193,'feed rations'!$Y$13:$Y$46,0),MATCH(C193&amp;D193,'feed rations'!$AB$12:$AI$12,0))</f>
        <v>4.0988815290634705E-3</v>
      </c>
    </row>
    <row r="194" spans="3:7" x14ac:dyDescent="0.25">
      <c r="C194" t="s">
        <v>204</v>
      </c>
      <c r="E194" t="s">
        <v>233</v>
      </c>
      <c r="F194" t="s">
        <v>285</v>
      </c>
      <c r="G194" s="3">
        <f>INDEX('feed rations'!$AB$13:$AI$46,MATCH(E194,'feed rations'!$Y$13:$Y$46,0),MATCH(C194&amp;D194,'feed rations'!$AB$12:$AI$12,0))</f>
        <v>0</v>
      </c>
    </row>
    <row r="195" spans="3:7" x14ac:dyDescent="0.25">
      <c r="C195" t="s">
        <v>204</v>
      </c>
      <c r="E195" t="s">
        <v>234</v>
      </c>
      <c r="F195" t="s">
        <v>285</v>
      </c>
      <c r="G195" s="3">
        <f>INDEX('feed rations'!$AB$13:$AI$46,MATCH(E195,'feed rations'!$Y$13:$Y$46,0),MATCH(C195&amp;D195,'feed rations'!$AB$12:$AI$12,0))</f>
        <v>0.17270238081001552</v>
      </c>
    </row>
    <row r="196" spans="3:7" x14ac:dyDescent="0.25">
      <c r="C196" t="s">
        <v>204</v>
      </c>
      <c r="E196" t="s">
        <v>235</v>
      </c>
      <c r="F196" t="s">
        <v>285</v>
      </c>
      <c r="G196" s="3">
        <f>INDEX('feed rations'!$AB$13:$AI$46,MATCH(E196,'feed rations'!$Y$13:$Y$46,0),MATCH(C196&amp;D196,'feed rations'!$AB$12:$AI$12,0))</f>
        <v>3.7776312249885764E-3</v>
      </c>
    </row>
    <row r="197" spans="3:7" x14ac:dyDescent="0.25">
      <c r="C197" t="s">
        <v>204</v>
      </c>
      <c r="E197" t="s">
        <v>236</v>
      </c>
      <c r="F197" t="s">
        <v>285</v>
      </c>
      <c r="G197" s="3">
        <f>INDEX('feed rations'!$AB$13:$AI$46,MATCH(E197,'feed rations'!$Y$13:$Y$46,0),MATCH(C197&amp;D197,'feed rations'!$AB$12:$AI$12,0))</f>
        <v>2.3699111545736139E-2</v>
      </c>
    </row>
    <row r="198" spans="3:7" x14ac:dyDescent="0.25">
      <c r="C198" t="s">
        <v>204</v>
      </c>
      <c r="E198" t="s">
        <v>237</v>
      </c>
      <c r="F198" t="s">
        <v>285</v>
      </c>
      <c r="G198" s="3">
        <f>INDEX('feed rations'!$AB$13:$AI$46,MATCH(E198,'feed rations'!$Y$13:$Y$46,0),MATCH(C198&amp;D198,'feed rations'!$AB$12:$AI$12,0))</f>
        <v>0.45638940058232602</v>
      </c>
    </row>
    <row r="199" spans="3:7" x14ac:dyDescent="0.25">
      <c r="C199" t="s">
        <v>204</v>
      </c>
      <c r="E199" t="s">
        <v>238</v>
      </c>
      <c r="F199" t="s">
        <v>285</v>
      </c>
      <c r="G199" s="3">
        <f>INDEX('feed rations'!$AB$13:$AI$46,MATCH(E199,'feed rations'!$Y$13:$Y$46,0),MATCH(C199&amp;D199,'feed rations'!$AB$12:$AI$12,0))</f>
        <v>6.1509220070385851E-4</v>
      </c>
    </row>
    <row r="200" spans="3:7" x14ac:dyDescent="0.25">
      <c r="C200" t="s">
        <v>204</v>
      </c>
      <c r="E200" t="s">
        <v>239</v>
      </c>
      <c r="F200" t="s">
        <v>285</v>
      </c>
      <c r="G200" s="3">
        <f>INDEX('feed rations'!$AB$13:$AI$46,MATCH(E200,'feed rations'!$Y$13:$Y$46,0),MATCH(C200&amp;D200,'feed rations'!$AB$12:$AI$12,0))</f>
        <v>0.19248525926546745</v>
      </c>
    </row>
    <row r="201" spans="3:7" x14ac:dyDescent="0.25">
      <c r="C201" t="s">
        <v>204</v>
      </c>
      <c r="E201" t="s">
        <v>240</v>
      </c>
      <c r="F201" t="s">
        <v>285</v>
      </c>
      <c r="G201" s="3">
        <f>INDEX('feed rations'!$AB$13:$AI$46,MATCH(E201,'feed rations'!$Y$13:$Y$46,0),MATCH(C201&amp;D201,'feed rations'!$AB$12:$AI$12,0))</f>
        <v>2.1540482816582413E-5</v>
      </c>
    </row>
    <row r="202" spans="3:7" x14ac:dyDescent="0.25">
      <c r="C202" t="s">
        <v>204</v>
      </c>
      <c r="E202" t="s">
        <v>241</v>
      </c>
      <c r="F202" t="s">
        <v>285</v>
      </c>
      <c r="G202" s="3">
        <f>INDEX('feed rations'!$AB$13:$AI$46,MATCH(E202,'feed rations'!$Y$13:$Y$46,0),MATCH(C202&amp;D202,'feed rations'!$AB$12:$AI$12,0))</f>
        <v>0.49074140742335415</v>
      </c>
    </row>
    <row r="203" spans="3:7" x14ac:dyDescent="0.25">
      <c r="C203" t="s">
        <v>204</v>
      </c>
      <c r="E203" t="s">
        <v>242</v>
      </c>
      <c r="F203" t="s">
        <v>285</v>
      </c>
      <c r="G203" s="3">
        <f>INDEX('feed rations'!$AB$13:$AI$46,MATCH(E203,'feed rations'!$Y$13:$Y$46,0),MATCH(C203&amp;D203,'feed rations'!$AB$12:$AI$12,0))</f>
        <v>1.938643453492417E-5</v>
      </c>
    </row>
    <row r="204" spans="3:7" x14ac:dyDescent="0.25">
      <c r="C204" t="s">
        <v>204</v>
      </c>
      <c r="E204" t="s">
        <v>243</v>
      </c>
      <c r="F204" t="s">
        <v>285</v>
      </c>
      <c r="G204" s="3">
        <f>INDEX('feed rations'!$AB$13:$AI$46,MATCH(E204,'feed rations'!$Y$13:$Y$46,0),MATCH(C204&amp;D204,'feed rations'!$AB$12:$AI$12,0))</f>
        <v>0.21035091095436523</v>
      </c>
    </row>
    <row r="205" spans="3:7" x14ac:dyDescent="0.25">
      <c r="C205" t="s">
        <v>204</v>
      </c>
      <c r="E205" t="s">
        <v>244</v>
      </c>
      <c r="F205" t="s">
        <v>285</v>
      </c>
      <c r="G205" s="3">
        <f>INDEX('feed rations'!$AB$13:$AI$46,MATCH(E205,'feed rations'!$Y$13:$Y$46,0),MATCH(C205&amp;D205,'feed rations'!$AB$12:$AI$12,0))</f>
        <v>1.2346905713762435E-3</v>
      </c>
    </row>
    <row r="206" spans="3:7" x14ac:dyDescent="0.25">
      <c r="C206" t="s">
        <v>204</v>
      </c>
      <c r="E206" t="s">
        <v>245</v>
      </c>
      <c r="F206" t="s">
        <v>285</v>
      </c>
      <c r="G206" s="3">
        <f>INDEX('feed rations'!$AB$13:$AI$46,MATCH(E206,'feed rations'!$Y$13:$Y$46,0),MATCH(C206&amp;D206,'feed rations'!$AB$12:$AI$12,0))</f>
        <v>3.5441026802460426E-3</v>
      </c>
    </row>
    <row r="207" spans="3:7" x14ac:dyDescent="0.25">
      <c r="C207" t="s">
        <v>204</v>
      </c>
      <c r="E207" t="s">
        <v>246</v>
      </c>
      <c r="F207" t="s">
        <v>285</v>
      </c>
      <c r="G207" s="3">
        <f>INDEX('feed rations'!$AB$13:$AI$46,MATCH(E207,'feed rations'!$Y$13:$Y$46,0),MATCH(C207&amp;D207,'feed rations'!$AB$12:$AI$12,0))</f>
        <v>2.7314817761965576E-2</v>
      </c>
    </row>
    <row r="208" spans="3:7" x14ac:dyDescent="0.25">
      <c r="C208" t="s">
        <v>204</v>
      </c>
      <c r="E208" t="s">
        <v>247</v>
      </c>
      <c r="F208" t="s">
        <v>285</v>
      </c>
      <c r="G208" s="3">
        <f>INDEX('feed rations'!$AB$13:$AI$46,MATCH(E208,'feed rations'!$Y$13:$Y$46,0),MATCH(C208&amp;D208,'feed rations'!$AB$12:$AI$12,0))</f>
        <v>0.16311530612857034</v>
      </c>
    </row>
    <row r="209" spans="3:7" x14ac:dyDescent="0.25">
      <c r="C209" t="s">
        <v>204</v>
      </c>
      <c r="E209" t="s">
        <v>248</v>
      </c>
      <c r="F209" t="s">
        <v>285</v>
      </c>
      <c r="G209" s="3">
        <f>INDEX('feed rations'!$AB$13:$AI$46,MATCH(E209,'feed rations'!$Y$13:$Y$46,0),MATCH(C209&amp;D209,'feed rations'!$AB$12:$AI$12,0))</f>
        <v>3.3607807918891001E-2</v>
      </c>
    </row>
    <row r="210" spans="3:7" x14ac:dyDescent="0.25">
      <c r="C210" t="s">
        <v>204</v>
      </c>
      <c r="E210" t="s">
        <v>249</v>
      </c>
      <c r="F210" t="s">
        <v>285</v>
      </c>
      <c r="G210" s="3">
        <f>INDEX('feed rations'!$AB$13:$AI$46,MATCH(E210,'feed rations'!$Y$13:$Y$46,0),MATCH(C210&amp;D210,'feed rations'!$AB$12:$AI$12,0))</f>
        <v>3.598428273092974E-2</v>
      </c>
    </row>
    <row r="211" spans="3:7" x14ac:dyDescent="0.25">
      <c r="C211" t="s">
        <v>204</v>
      </c>
      <c r="E211" t="s">
        <v>250</v>
      </c>
      <c r="F211" t="s">
        <v>285</v>
      </c>
      <c r="G211" s="3">
        <f>INDEX('feed rations'!$AB$13:$AI$46,MATCH(E211,'feed rations'!$Y$13:$Y$46,0),MATCH(C211&amp;D211,'feed rations'!$AB$12:$AI$12,0))</f>
        <v>9.9986464582958335E-3</v>
      </c>
    </row>
    <row r="212" spans="3:7" x14ac:dyDescent="0.25">
      <c r="C212" t="s">
        <v>204</v>
      </c>
      <c r="E212" t="s">
        <v>251</v>
      </c>
      <c r="F212" t="s">
        <v>285</v>
      </c>
      <c r="G212" s="3">
        <f>INDEX('feed rations'!$AB$13:$AI$46,MATCH(E212,'feed rations'!$Y$13:$Y$46,0),MATCH(C212&amp;D212,'feed rations'!$AB$12:$AI$12,0))</f>
        <v>0</v>
      </c>
    </row>
    <row r="213" spans="3:7" x14ac:dyDescent="0.25">
      <c r="C213" t="s">
        <v>204</v>
      </c>
      <c r="E213" t="s">
        <v>252</v>
      </c>
      <c r="F213" t="s">
        <v>285</v>
      </c>
      <c r="G213" s="3">
        <f>INDEX('feed rations'!$AB$13:$AI$46,MATCH(E213,'feed rations'!$Y$13:$Y$46,0),MATCH(C213&amp;D213,'feed rations'!$AB$12:$AI$12,0))</f>
        <v>1.5731980208800535E-2</v>
      </c>
    </row>
    <row r="214" spans="3:7" x14ac:dyDescent="0.25">
      <c r="C214" t="s">
        <v>204</v>
      </c>
      <c r="E214" t="s">
        <v>253</v>
      </c>
      <c r="F214" t="s">
        <v>285</v>
      </c>
      <c r="G214" s="3">
        <f>INDEX('feed rations'!$AB$13:$AI$46,MATCH(E214,'feed rations'!$Y$13:$Y$46,0),MATCH(C214&amp;D214,'feed rations'!$AB$12:$AI$12,0))</f>
        <v>0</v>
      </c>
    </row>
    <row r="215" spans="3:7" x14ac:dyDescent="0.25">
      <c r="C215" t="s">
        <v>204</v>
      </c>
      <c r="E215" t="s">
        <v>254</v>
      </c>
      <c r="F215" t="s">
        <v>285</v>
      </c>
      <c r="G215" s="3">
        <f>INDEX('feed rations'!$AB$13:$AI$46,MATCH(E215,'feed rations'!$Y$13:$Y$46,0),MATCH(C215&amp;D215,'feed rations'!$AB$12:$AI$12,0))</f>
        <v>1.5338309315945754E-4</v>
      </c>
    </row>
    <row r="216" spans="3:7" x14ac:dyDescent="0.25">
      <c r="C216" t="s">
        <v>204</v>
      </c>
      <c r="E216" t="s">
        <v>255</v>
      </c>
      <c r="F216" t="s">
        <v>285</v>
      </c>
      <c r="G216" s="3">
        <f>INDEX('feed rations'!$AB$13:$AI$46,MATCH(E216,'feed rations'!$Y$13:$Y$46,0),MATCH(C216&amp;D216,'feed rations'!$AB$12:$AI$12,0))</f>
        <v>2.0152180129671942E-2</v>
      </c>
    </row>
    <row r="217" spans="3:7" x14ac:dyDescent="0.25">
      <c r="C217" t="s">
        <v>204</v>
      </c>
      <c r="E217" t="s">
        <v>256</v>
      </c>
      <c r="F217" t="s">
        <v>285</v>
      </c>
      <c r="G217" s="3">
        <f>INDEX('feed rations'!$AB$13:$AI$46,MATCH(E217,'feed rations'!$Y$13:$Y$46,0),MATCH(C217&amp;D217,'feed rations'!$AB$12:$AI$12,0))</f>
        <v>6.188362213479006E-2</v>
      </c>
    </row>
    <row r="218" spans="3:7" x14ac:dyDescent="0.25">
      <c r="C218" t="s">
        <v>204</v>
      </c>
      <c r="E218" t="s">
        <v>257</v>
      </c>
      <c r="F218" t="s">
        <v>285</v>
      </c>
      <c r="G218" s="3">
        <f>INDEX('feed rations'!$AB$13:$AI$46,MATCH(E218,'feed rations'!$Y$13:$Y$46,0),MATCH(C218&amp;D218,'feed rations'!$AB$12:$AI$12,0))</f>
        <v>0</v>
      </c>
    </row>
    <row r="219" spans="3:7" x14ac:dyDescent="0.25">
      <c r="C219" t="s">
        <v>204</v>
      </c>
      <c r="E219" t="s">
        <v>258</v>
      </c>
      <c r="F219" t="s">
        <v>285</v>
      </c>
      <c r="G219" s="3">
        <f>INDEX('feed rations'!$AB$13:$AI$46,MATCH(E219,'feed rations'!$Y$13:$Y$46,0),MATCH(C219&amp;D219,'feed rations'!$AB$12:$AI$12,0))</f>
        <v>7.4351804480686189E-5</v>
      </c>
    </row>
    <row r="220" spans="3:7" x14ac:dyDescent="0.25">
      <c r="C220" t="s">
        <v>204</v>
      </c>
      <c r="E220" t="s">
        <v>259</v>
      </c>
      <c r="F220" t="s">
        <v>285</v>
      </c>
      <c r="G220" s="3">
        <f>INDEX('feed rations'!$AB$13:$AI$46,MATCH(E220,'feed rations'!$Y$13:$Y$46,0),MATCH(C220&amp;D220,'feed rations'!$AB$12:$AI$12,0))</f>
        <v>0</v>
      </c>
    </row>
    <row r="222" spans="3:7" x14ac:dyDescent="0.25">
      <c r="C222" t="s">
        <v>196</v>
      </c>
      <c r="D222" t="s">
        <v>205</v>
      </c>
      <c r="E222" s="21" t="s">
        <v>276</v>
      </c>
      <c r="F222" t="s">
        <v>285</v>
      </c>
      <c r="G222" s="3">
        <f>INDEX('feed rations'!$AB$13:$AI$46,MATCH(E222,'feed rations'!$Y$13:$Y$46,0),MATCH(C222&amp;D222,'feed rations'!$AB$12:$AI$12,0))</f>
        <v>0.69811719906917724</v>
      </c>
    </row>
    <row r="223" spans="3:7" x14ac:dyDescent="0.25">
      <c r="C223" t="s">
        <v>196</v>
      </c>
      <c r="D223" t="s">
        <v>205</v>
      </c>
      <c r="E223" s="21" t="s">
        <v>274</v>
      </c>
      <c r="F223" t="s">
        <v>285</v>
      </c>
      <c r="G223" s="3">
        <f>INDEX('feed rations'!$AB$13:$AI$46,MATCH(E223,'feed rations'!$Y$13:$Y$46,0),MATCH(C223&amp;D223,'feed rations'!$AB$12:$AI$12,0))</f>
        <v>1.3962343981383545</v>
      </c>
    </row>
    <row r="224" spans="3:7" x14ac:dyDescent="0.25">
      <c r="C224" t="s">
        <v>196</v>
      </c>
      <c r="D224" t="s">
        <v>205</v>
      </c>
      <c r="E224" t="s">
        <v>277</v>
      </c>
      <c r="F224" t="s">
        <v>285</v>
      </c>
      <c r="G224" s="3">
        <f>INDEX('feed rations'!$AB$13:$AI$46,MATCH(E224,'feed rations'!$Y$13:$Y$46,0),MATCH(C224&amp;D224,'feed rations'!$AB$12:$AI$12,0))</f>
        <v>83.30865242225515</v>
      </c>
    </row>
    <row r="225" spans="3:7" x14ac:dyDescent="0.25">
      <c r="C225" t="s">
        <v>196</v>
      </c>
      <c r="D225" t="s">
        <v>205</v>
      </c>
      <c r="E225" t="s">
        <v>229</v>
      </c>
      <c r="F225" t="s">
        <v>285</v>
      </c>
      <c r="G225" s="3">
        <f>INDEX('feed rations'!$AB$13:$AI$46,MATCH(E225,'feed rations'!$Y$13:$Y$46,0),MATCH(C225&amp;D225,'feed rations'!$AB$12:$AI$12,0))</f>
        <v>3.1900072971810016</v>
      </c>
    </row>
    <row r="226" spans="3:7" x14ac:dyDescent="0.25">
      <c r="C226" t="s">
        <v>196</v>
      </c>
      <c r="D226" t="s">
        <v>205</v>
      </c>
      <c r="E226" t="s">
        <v>230</v>
      </c>
      <c r="F226" t="s">
        <v>285</v>
      </c>
      <c r="G226" s="3">
        <f>INDEX('feed rations'!$AB$13:$AI$46,MATCH(E226,'feed rations'!$Y$13:$Y$46,0),MATCH(C226&amp;D226,'feed rations'!$AB$12:$AI$12,0))</f>
        <v>1.6476220610438137</v>
      </c>
    </row>
    <row r="227" spans="3:7" x14ac:dyDescent="0.25">
      <c r="C227" t="s">
        <v>196</v>
      </c>
      <c r="D227" t="s">
        <v>205</v>
      </c>
      <c r="E227" t="s">
        <v>231</v>
      </c>
      <c r="F227" t="s">
        <v>285</v>
      </c>
      <c r="G227" s="3">
        <f>INDEX('feed rations'!$AB$13:$AI$46,MATCH(E227,'feed rations'!$Y$13:$Y$46,0),MATCH(C227&amp;D227,'feed rations'!$AB$12:$AI$12,0))</f>
        <v>2.4976741184469726</v>
      </c>
    </row>
    <row r="228" spans="3:7" x14ac:dyDescent="0.25">
      <c r="C228" t="s">
        <v>196</v>
      </c>
      <c r="D228" t="s">
        <v>205</v>
      </c>
      <c r="E228" t="s">
        <v>232</v>
      </c>
      <c r="F228" t="s">
        <v>285</v>
      </c>
      <c r="G228" s="3">
        <f>INDEX('feed rations'!$AB$13:$AI$46,MATCH(E228,'feed rations'!$Y$13:$Y$46,0),MATCH(C228&amp;D228,'feed rations'!$AB$12:$AI$12,0))</f>
        <v>1.544061645924192E-2</v>
      </c>
    </row>
    <row r="229" spans="3:7" x14ac:dyDescent="0.25">
      <c r="C229" t="s">
        <v>196</v>
      </c>
      <c r="D229" t="s">
        <v>205</v>
      </c>
      <c r="E229" t="s">
        <v>233</v>
      </c>
      <c r="F229" t="s">
        <v>285</v>
      </c>
      <c r="G229" s="3">
        <f>INDEX('feed rations'!$AB$13:$AI$46,MATCH(E229,'feed rations'!$Y$13:$Y$46,0),MATCH(C229&amp;D229,'feed rations'!$AB$12:$AI$12,0))</f>
        <v>0</v>
      </c>
    </row>
    <row r="230" spans="3:7" x14ac:dyDescent="0.25">
      <c r="C230" t="s">
        <v>196</v>
      </c>
      <c r="D230" t="s">
        <v>205</v>
      </c>
      <c r="E230" t="s">
        <v>234</v>
      </c>
      <c r="F230" t="s">
        <v>285</v>
      </c>
      <c r="G230" s="3">
        <f>INDEX('feed rations'!$AB$13:$AI$46,MATCH(E230,'feed rations'!$Y$13:$Y$46,0),MATCH(C230&amp;D230,'feed rations'!$AB$12:$AI$12,0))</f>
        <v>0.65057533494867192</v>
      </c>
    </row>
    <row r="231" spans="3:7" x14ac:dyDescent="0.25">
      <c r="C231" t="s">
        <v>196</v>
      </c>
      <c r="D231" t="s">
        <v>205</v>
      </c>
      <c r="E231" t="s">
        <v>235</v>
      </c>
      <c r="F231" t="s">
        <v>285</v>
      </c>
      <c r="G231" s="3">
        <f>INDEX('feed rations'!$AB$13:$AI$46,MATCH(E231,'feed rations'!$Y$13:$Y$46,0),MATCH(C231&amp;D231,'feed rations'!$AB$12:$AI$12,0))</f>
        <v>1.4230456395462613E-2</v>
      </c>
    </row>
    <row r="232" spans="3:7" x14ac:dyDescent="0.25">
      <c r="C232" t="s">
        <v>196</v>
      </c>
      <c r="D232" t="s">
        <v>205</v>
      </c>
      <c r="E232" t="s">
        <v>236</v>
      </c>
      <c r="F232" t="s">
        <v>285</v>
      </c>
      <c r="G232" s="3">
        <f>INDEX('feed rations'!$AB$13:$AI$46,MATCH(E232,'feed rations'!$Y$13:$Y$46,0),MATCH(C232&amp;D232,'feed rations'!$AB$12:$AI$12,0))</f>
        <v>8.9275303325517821E-2</v>
      </c>
    </row>
    <row r="233" spans="3:7" x14ac:dyDescent="0.25">
      <c r="C233" t="s">
        <v>196</v>
      </c>
      <c r="D233" t="s">
        <v>205</v>
      </c>
      <c r="E233" t="s">
        <v>237</v>
      </c>
      <c r="F233" t="s">
        <v>285</v>
      </c>
      <c r="G233" s="3">
        <f>INDEX('feed rations'!$AB$13:$AI$46,MATCH(E233,'feed rations'!$Y$13:$Y$46,0),MATCH(C233&amp;D233,'feed rations'!$AB$12:$AI$12,0))</f>
        <v>1.7192333177936787</v>
      </c>
    </row>
    <row r="234" spans="3:7" x14ac:dyDescent="0.25">
      <c r="C234" t="s">
        <v>196</v>
      </c>
      <c r="D234" t="s">
        <v>205</v>
      </c>
      <c r="E234" t="s">
        <v>238</v>
      </c>
      <c r="F234" t="s">
        <v>285</v>
      </c>
      <c r="G234" s="3">
        <f>INDEX('feed rations'!$AB$13:$AI$46,MATCH(E234,'feed rations'!$Y$13:$Y$46,0),MATCH(C234&amp;D234,'feed rations'!$AB$12:$AI$12,0))</f>
        <v>2.317071789169115E-3</v>
      </c>
    </row>
    <row r="235" spans="3:7" x14ac:dyDescent="0.25">
      <c r="C235" t="s">
        <v>196</v>
      </c>
      <c r="D235" t="s">
        <v>205</v>
      </c>
      <c r="E235" t="s">
        <v>239</v>
      </c>
      <c r="F235" t="s">
        <v>285</v>
      </c>
      <c r="G235" s="3">
        <f>INDEX('feed rations'!$AB$13:$AI$46,MATCH(E235,'feed rations'!$Y$13:$Y$46,0),MATCH(C235&amp;D235,'feed rations'!$AB$12:$AI$12,0))</f>
        <v>0.72509806426508272</v>
      </c>
    </row>
    <row r="236" spans="3:7" x14ac:dyDescent="0.25">
      <c r="C236" t="s">
        <v>196</v>
      </c>
      <c r="D236" t="s">
        <v>205</v>
      </c>
      <c r="E236" t="s">
        <v>240</v>
      </c>
      <c r="F236" t="s">
        <v>285</v>
      </c>
      <c r="G236" s="3">
        <f>INDEX('feed rations'!$AB$13:$AI$46,MATCH(E236,'feed rations'!$Y$13:$Y$46,0),MATCH(C236&amp;D236,'feed rations'!$AB$12:$AI$12,0))</f>
        <v>8.1143680577109445E-5</v>
      </c>
    </row>
    <row r="237" spans="3:7" x14ac:dyDescent="0.25">
      <c r="C237" t="s">
        <v>196</v>
      </c>
      <c r="D237" t="s">
        <v>205</v>
      </c>
      <c r="E237" t="s">
        <v>241</v>
      </c>
      <c r="F237" t="s">
        <v>285</v>
      </c>
      <c r="G237" s="3">
        <f>INDEX('feed rations'!$AB$13:$AI$46,MATCH(E237,'feed rations'!$Y$13:$Y$46,0),MATCH(C237&amp;D237,'feed rations'!$AB$12:$AI$12,0))</f>
        <v>1.8486384148858024</v>
      </c>
    </row>
    <row r="238" spans="3:7" x14ac:dyDescent="0.25">
      <c r="C238" t="s">
        <v>196</v>
      </c>
      <c r="D238" t="s">
        <v>205</v>
      </c>
      <c r="E238" t="s">
        <v>242</v>
      </c>
      <c r="F238" t="s">
        <v>285</v>
      </c>
      <c r="G238" s="3">
        <f>INDEX('feed rations'!$AB$13:$AI$46,MATCH(E238,'feed rations'!$Y$13:$Y$46,0),MATCH(C238&amp;D238,'feed rations'!$AB$12:$AI$12,0))</f>
        <v>7.3029312519398498E-5</v>
      </c>
    </row>
    <row r="239" spans="3:7" x14ac:dyDescent="0.25">
      <c r="C239" t="s">
        <v>196</v>
      </c>
      <c r="D239" t="s">
        <v>205</v>
      </c>
      <c r="E239" t="s">
        <v>243</v>
      </c>
      <c r="F239" t="s">
        <v>285</v>
      </c>
      <c r="G239" s="3">
        <f>INDEX('feed rations'!$AB$13:$AI$46,MATCH(E239,'feed rations'!$Y$13:$Y$46,0),MATCH(C239&amp;D239,'feed rations'!$AB$12:$AI$12,0))</f>
        <v>0.79239853966713902</v>
      </c>
    </row>
    <row r="240" spans="3:7" x14ac:dyDescent="0.25">
      <c r="C240" t="s">
        <v>196</v>
      </c>
      <c r="D240" t="s">
        <v>205</v>
      </c>
      <c r="E240" t="s">
        <v>244</v>
      </c>
      <c r="F240" t="s">
        <v>285</v>
      </c>
      <c r="G240" s="3">
        <f>INDEX('feed rations'!$AB$13:$AI$46,MATCH(E240,'feed rations'!$Y$13:$Y$46,0),MATCH(C240&amp;D240,'feed rations'!$AB$12:$AI$12,0))</f>
        <v>4.6511184632405684E-3</v>
      </c>
    </row>
    <row r="241" spans="3:7" x14ac:dyDescent="0.25">
      <c r="C241" t="s">
        <v>196</v>
      </c>
      <c r="D241" t="s">
        <v>205</v>
      </c>
      <c r="E241" t="s">
        <v>245</v>
      </c>
      <c r="F241" t="s">
        <v>285</v>
      </c>
      <c r="G241" s="3">
        <f>INDEX('feed rations'!$AB$13:$AI$46,MATCH(E241,'feed rations'!$Y$13:$Y$46,0),MATCH(C241&amp;D241,'feed rations'!$AB$12:$AI$12,0))</f>
        <v>1.3350746975688711E-2</v>
      </c>
    </row>
    <row r="242" spans="3:7" x14ac:dyDescent="0.25">
      <c r="C242" t="s">
        <v>196</v>
      </c>
      <c r="D242" t="s">
        <v>205</v>
      </c>
      <c r="E242" t="s">
        <v>246</v>
      </c>
      <c r="F242" t="s">
        <v>285</v>
      </c>
      <c r="G242" s="3">
        <f>INDEX('feed rations'!$AB$13:$AI$46,MATCH(E242,'feed rations'!$Y$13:$Y$46,0),MATCH(C242&amp;D242,'feed rations'!$AB$12:$AI$12,0))</f>
        <v>0.10289578308767665</v>
      </c>
    </row>
    <row r="243" spans="3:7" x14ac:dyDescent="0.25">
      <c r="C243" t="s">
        <v>196</v>
      </c>
      <c r="D243" t="s">
        <v>205</v>
      </c>
      <c r="E243" t="s">
        <v>247</v>
      </c>
      <c r="F243" t="s">
        <v>285</v>
      </c>
      <c r="G243" s="3">
        <f>INDEX('feed rations'!$AB$13:$AI$46,MATCH(E243,'feed rations'!$Y$13:$Y$46,0),MATCH(C243&amp;D243,'feed rations'!$AB$12:$AI$12,0))</f>
        <v>0.61446052117016126</v>
      </c>
    </row>
    <row r="244" spans="3:7" x14ac:dyDescent="0.25">
      <c r="C244" t="s">
        <v>196</v>
      </c>
      <c r="D244" t="s">
        <v>205</v>
      </c>
      <c r="E244" t="s">
        <v>248</v>
      </c>
      <c r="F244" t="s">
        <v>285</v>
      </c>
      <c r="G244" s="3">
        <f>INDEX('feed rations'!$AB$13:$AI$46,MATCH(E244,'feed rations'!$Y$13:$Y$46,0),MATCH(C244&amp;D244,'feed rations'!$AB$12:$AI$12,0))</f>
        <v>0.12660167619678325</v>
      </c>
    </row>
    <row r="245" spans="3:7" x14ac:dyDescent="0.25">
      <c r="C245" t="s">
        <v>196</v>
      </c>
      <c r="D245" t="s">
        <v>205</v>
      </c>
      <c r="E245" t="s">
        <v>249</v>
      </c>
      <c r="F245" t="s">
        <v>285</v>
      </c>
      <c r="G245" s="3">
        <f>INDEX('feed rations'!$AB$13:$AI$46,MATCH(E245,'feed rations'!$Y$13:$Y$46,0),MATCH(C245&amp;D245,'feed rations'!$AB$12:$AI$12,0))</f>
        <v>0.13555393203476143</v>
      </c>
    </row>
    <row r="246" spans="3:7" x14ac:dyDescent="0.25">
      <c r="C246" t="s">
        <v>196</v>
      </c>
      <c r="D246" t="s">
        <v>205</v>
      </c>
      <c r="E246" t="s">
        <v>250</v>
      </c>
      <c r="F246" t="s">
        <v>285</v>
      </c>
      <c r="G246" s="3">
        <f>INDEX('feed rations'!$AB$13:$AI$46,MATCH(E246,'feed rations'!$Y$13:$Y$46,0),MATCH(C246&amp;D246,'feed rations'!$AB$12:$AI$12,0))</f>
        <v>3.7665217689123641E-2</v>
      </c>
    </row>
    <row r="247" spans="3:7" x14ac:dyDescent="0.25">
      <c r="C247" t="s">
        <v>196</v>
      </c>
      <c r="D247" t="s">
        <v>205</v>
      </c>
      <c r="E247" t="s">
        <v>251</v>
      </c>
      <c r="F247" t="s">
        <v>285</v>
      </c>
      <c r="G247" s="3">
        <f>INDEX('feed rations'!$AB$13:$AI$46,MATCH(E247,'feed rations'!$Y$13:$Y$46,0),MATCH(C247&amp;D247,'feed rations'!$AB$12:$AI$12,0))</f>
        <v>0</v>
      </c>
    </row>
    <row r="248" spans="3:7" x14ac:dyDescent="0.25">
      <c r="C248" t="s">
        <v>196</v>
      </c>
      <c r="D248" t="s">
        <v>205</v>
      </c>
      <c r="E248" t="s">
        <v>252</v>
      </c>
      <c r="F248" t="s">
        <v>285</v>
      </c>
      <c r="G248" s="3">
        <f>INDEX('feed rations'!$AB$13:$AI$46,MATCH(E248,'feed rations'!$Y$13:$Y$46,0),MATCH(C248&amp;D248,'feed rations'!$AB$12:$AI$12,0))</f>
        <v>5.9262867400799252E-2</v>
      </c>
    </row>
    <row r="249" spans="3:7" x14ac:dyDescent="0.25">
      <c r="C249" t="s">
        <v>196</v>
      </c>
      <c r="D249" t="s">
        <v>205</v>
      </c>
      <c r="E249" t="s">
        <v>253</v>
      </c>
      <c r="F249" t="s">
        <v>285</v>
      </c>
      <c r="G249" s="3">
        <f>INDEX('feed rations'!$AB$13:$AI$46,MATCH(E249,'feed rations'!$Y$13:$Y$46,0),MATCH(C249&amp;D249,'feed rations'!$AB$12:$AI$12,0))</f>
        <v>0</v>
      </c>
    </row>
    <row r="250" spans="3:7" x14ac:dyDescent="0.25">
      <c r="C250" t="s">
        <v>196</v>
      </c>
      <c r="D250" t="s">
        <v>205</v>
      </c>
      <c r="E250" t="s">
        <v>254</v>
      </c>
      <c r="F250" t="s">
        <v>285</v>
      </c>
      <c r="G250" s="3">
        <f>INDEX('feed rations'!$AB$13:$AI$46,MATCH(E250,'feed rations'!$Y$13:$Y$46,0),MATCH(C250&amp;D250,'feed rations'!$AB$12:$AI$12,0))</f>
        <v>5.7779896686803802E-4</v>
      </c>
    </row>
    <row r="251" spans="3:7" x14ac:dyDescent="0.25">
      <c r="C251" t="s">
        <v>196</v>
      </c>
      <c r="D251" t="s">
        <v>205</v>
      </c>
      <c r="E251" t="s">
        <v>255</v>
      </c>
      <c r="F251" t="s">
        <v>285</v>
      </c>
      <c r="G251" s="3">
        <f>INDEX('feed rations'!$AB$13:$AI$46,MATCH(E251,'feed rations'!$Y$13:$Y$46,0),MATCH(C251&amp;D251,'feed rations'!$AB$12:$AI$12,0))</f>
        <v>7.5913900412465971E-2</v>
      </c>
    </row>
    <row r="252" spans="3:7" x14ac:dyDescent="0.25">
      <c r="C252" t="s">
        <v>196</v>
      </c>
      <c r="D252" t="s">
        <v>205</v>
      </c>
      <c r="E252" t="s">
        <v>256</v>
      </c>
      <c r="F252" t="s">
        <v>285</v>
      </c>
      <c r="G252" s="3">
        <f>INDEX('feed rations'!$AB$13:$AI$46,MATCH(E252,'feed rations'!$Y$13:$Y$46,0),MATCH(C252&amp;D252,'feed rations'!$AB$12:$AI$12,0))</f>
        <v>0.23311756334422978</v>
      </c>
    </row>
    <row r="253" spans="3:7" x14ac:dyDescent="0.25">
      <c r="C253" t="s">
        <v>196</v>
      </c>
      <c r="D253" t="s">
        <v>205</v>
      </c>
      <c r="E253" t="s">
        <v>257</v>
      </c>
      <c r="F253" t="s">
        <v>285</v>
      </c>
      <c r="G253" s="3">
        <f>INDEX('feed rations'!$AB$13:$AI$46,MATCH(E253,'feed rations'!$Y$13:$Y$46,0),MATCH(C253&amp;D253,'feed rations'!$AB$12:$AI$12,0))</f>
        <v>0</v>
      </c>
    </row>
    <row r="254" spans="3:7" x14ac:dyDescent="0.25">
      <c r="C254" t="s">
        <v>196</v>
      </c>
      <c r="D254" t="s">
        <v>205</v>
      </c>
      <c r="E254" t="s">
        <v>258</v>
      </c>
      <c r="F254" t="s">
        <v>285</v>
      </c>
      <c r="G254" s="3">
        <f>INDEX('feed rations'!$AB$13:$AI$46,MATCH(E254,'feed rations'!$Y$13:$Y$46,0),MATCH(C254&amp;D254,'feed rations'!$AB$12:$AI$12,0))</f>
        <v>2.8008560088857437E-4</v>
      </c>
    </row>
    <row r="255" spans="3:7" x14ac:dyDescent="0.25">
      <c r="C255" t="s">
        <v>196</v>
      </c>
      <c r="D255" t="s">
        <v>205</v>
      </c>
      <c r="E255" t="s">
        <v>259</v>
      </c>
      <c r="F255" t="s">
        <v>285</v>
      </c>
      <c r="G255" s="3">
        <f>INDEX('feed rations'!$AB$13:$AI$46,MATCH(E255,'feed rations'!$Y$13:$Y$46,0),MATCH(C255&amp;D255,'feed rations'!$AB$12:$AI$12,0))</f>
        <v>0</v>
      </c>
    </row>
    <row r="257" spans="3:7" x14ac:dyDescent="0.25">
      <c r="C257" t="s">
        <v>197</v>
      </c>
      <c r="D257" t="s">
        <v>205</v>
      </c>
      <c r="E257" s="21" t="s">
        <v>276</v>
      </c>
      <c r="F257" t="s">
        <v>285</v>
      </c>
      <c r="G257" s="3">
        <f>INDEX('feed rations'!$AB$13:$AI$46,MATCH(E257,'feed rations'!$Y$13:$Y$46,0),MATCH(C257&amp;D257,'feed rations'!$AB$12:$AI$12,0))</f>
        <v>16.081871345029242</v>
      </c>
    </row>
    <row r="258" spans="3:7" x14ac:dyDescent="0.25">
      <c r="C258" t="s">
        <v>197</v>
      </c>
      <c r="D258" t="s">
        <v>205</v>
      </c>
      <c r="E258" s="21" t="s">
        <v>274</v>
      </c>
      <c r="F258" t="s">
        <v>285</v>
      </c>
      <c r="G258" s="3">
        <f>INDEX('feed rations'!$AB$13:$AI$46,MATCH(E258,'feed rations'!$Y$13:$Y$46,0),MATCH(C258&amp;D258,'feed rations'!$AB$12:$AI$12,0))</f>
        <v>32.163742690058484</v>
      </c>
    </row>
    <row r="259" spans="3:7" x14ac:dyDescent="0.25">
      <c r="C259" t="s">
        <v>197</v>
      </c>
      <c r="D259" t="s">
        <v>205</v>
      </c>
      <c r="E259" t="s">
        <v>277</v>
      </c>
      <c r="F259" t="s">
        <v>285</v>
      </c>
      <c r="G259" s="3">
        <f>INDEX('feed rations'!$AB$13:$AI$46,MATCH(E259,'feed rations'!$Y$13:$Y$46,0),MATCH(C259&amp;D259,'feed rations'!$AB$12:$AI$12,0))</f>
        <v>0</v>
      </c>
    </row>
    <row r="260" spans="3:7" x14ac:dyDescent="0.25">
      <c r="C260" t="s">
        <v>197</v>
      </c>
      <c r="D260" t="s">
        <v>205</v>
      </c>
      <c r="E260" t="s">
        <v>229</v>
      </c>
      <c r="F260" t="s">
        <v>285</v>
      </c>
      <c r="G260" s="3">
        <f>INDEX('feed rations'!$AB$13:$AI$46,MATCH(E260,'feed rations'!$Y$13:$Y$46,0),MATCH(C260&amp;D260,'feed rations'!$AB$12:$AI$12,0))</f>
        <v>11.310331873032048</v>
      </c>
    </row>
    <row r="261" spans="3:7" x14ac:dyDescent="0.25">
      <c r="C261" t="s">
        <v>197</v>
      </c>
      <c r="D261" t="s">
        <v>205</v>
      </c>
      <c r="E261" t="s">
        <v>230</v>
      </c>
      <c r="F261" t="s">
        <v>285</v>
      </c>
      <c r="G261" s="3">
        <f>INDEX('feed rations'!$AB$13:$AI$46,MATCH(E261,'feed rations'!$Y$13:$Y$46,0),MATCH(C261&amp;D261,'feed rations'!$AB$12:$AI$12,0))</f>
        <v>5.8417271735404546</v>
      </c>
    </row>
    <row r="262" spans="3:7" x14ac:dyDescent="0.25">
      <c r="C262" t="s">
        <v>197</v>
      </c>
      <c r="D262" t="s">
        <v>205</v>
      </c>
      <c r="E262" t="s">
        <v>231</v>
      </c>
      <c r="F262" t="s">
        <v>285</v>
      </c>
      <c r="G262" s="3">
        <f>INDEX('feed rations'!$AB$13:$AI$46,MATCH(E262,'feed rations'!$Y$13:$Y$46,0),MATCH(C262&amp;D262,'feed rations'!$AB$12:$AI$12,0))</f>
        <v>8.8556296455127299</v>
      </c>
    </row>
    <row r="263" spans="3:7" x14ac:dyDescent="0.25">
      <c r="C263" t="s">
        <v>197</v>
      </c>
      <c r="D263" t="s">
        <v>205</v>
      </c>
      <c r="E263" t="s">
        <v>232</v>
      </c>
      <c r="F263" t="s">
        <v>285</v>
      </c>
      <c r="G263" s="3">
        <f>INDEX('feed rations'!$AB$13:$AI$46,MATCH(E263,'feed rations'!$Y$13:$Y$46,0),MATCH(C263&amp;D263,'feed rations'!$AB$12:$AI$12,0))</f>
        <v>5.4745484950004523E-2</v>
      </c>
    </row>
    <row r="264" spans="3:7" x14ac:dyDescent="0.25">
      <c r="C264" t="s">
        <v>197</v>
      </c>
      <c r="D264" t="s">
        <v>205</v>
      </c>
      <c r="E264" t="s">
        <v>233</v>
      </c>
      <c r="F264" t="s">
        <v>285</v>
      </c>
      <c r="G264" s="3">
        <f>INDEX('feed rations'!$AB$13:$AI$46,MATCH(E264,'feed rations'!$Y$13:$Y$46,0),MATCH(C264&amp;D264,'feed rations'!$AB$12:$AI$12,0))</f>
        <v>0</v>
      </c>
    </row>
    <row r="265" spans="3:7" x14ac:dyDescent="0.25">
      <c r="C265" t="s">
        <v>197</v>
      </c>
      <c r="D265" t="s">
        <v>205</v>
      </c>
      <c r="E265" t="s">
        <v>234</v>
      </c>
      <c r="F265" t="s">
        <v>285</v>
      </c>
      <c r="G265" s="3">
        <f>INDEX('feed rations'!$AB$13:$AI$46,MATCH(E265,'feed rations'!$Y$13:$Y$46,0),MATCH(C265&amp;D265,'feed rations'!$AB$12:$AI$12,0))</f>
        <v>2.3066476848441386</v>
      </c>
    </row>
    <row r="266" spans="3:7" x14ac:dyDescent="0.25">
      <c r="C266" t="s">
        <v>197</v>
      </c>
      <c r="D266" t="s">
        <v>205</v>
      </c>
      <c r="E266" t="s">
        <v>235</v>
      </c>
      <c r="F266" t="s">
        <v>285</v>
      </c>
      <c r="G266" s="3">
        <f>INDEX('feed rations'!$AB$13:$AI$46,MATCH(E266,'feed rations'!$Y$13:$Y$46,0),MATCH(C266&amp;D266,'feed rations'!$AB$12:$AI$12,0))</f>
        <v>5.0454801366638102E-2</v>
      </c>
    </row>
    <row r="267" spans="3:7" x14ac:dyDescent="0.25">
      <c r="C267" t="s">
        <v>197</v>
      </c>
      <c r="D267" t="s">
        <v>205</v>
      </c>
      <c r="E267" t="s">
        <v>236</v>
      </c>
      <c r="F267" t="s">
        <v>285</v>
      </c>
      <c r="G267" s="3">
        <f>INDEX('feed rations'!$AB$13:$AI$46,MATCH(E267,'feed rations'!$Y$13:$Y$46,0),MATCH(C267&amp;D267,'feed rations'!$AB$12:$AI$12,0))</f>
        <v>0.31653009369900376</v>
      </c>
    </row>
    <row r="268" spans="3:7" x14ac:dyDescent="0.25">
      <c r="C268" t="s">
        <v>197</v>
      </c>
      <c r="D268" t="s">
        <v>205</v>
      </c>
      <c r="E268" t="s">
        <v>237</v>
      </c>
      <c r="F268" t="s">
        <v>285</v>
      </c>
      <c r="G268" s="3">
        <f>INDEX('feed rations'!$AB$13:$AI$46,MATCH(E268,'feed rations'!$Y$13:$Y$46,0),MATCH(C268&amp;D268,'feed rations'!$AB$12:$AI$12,0))</f>
        <v>6.0956284985943601</v>
      </c>
    </row>
    <row r="269" spans="3:7" x14ac:dyDescent="0.25">
      <c r="C269" t="s">
        <v>197</v>
      </c>
      <c r="D269" t="s">
        <v>205</v>
      </c>
      <c r="E269" t="s">
        <v>238</v>
      </c>
      <c r="F269" t="s">
        <v>285</v>
      </c>
      <c r="G269" s="3">
        <f>INDEX('feed rations'!$AB$13:$AI$46,MATCH(E269,'feed rations'!$Y$13:$Y$46,0),MATCH(C269&amp;D269,'feed rations'!$AB$12:$AI$12,0))</f>
        <v>8.2152949719901079E-3</v>
      </c>
    </row>
    <row r="270" spans="3:7" x14ac:dyDescent="0.25">
      <c r="C270" t="s">
        <v>197</v>
      </c>
      <c r="D270" t="s">
        <v>205</v>
      </c>
      <c r="E270" t="s">
        <v>239</v>
      </c>
      <c r="F270" t="s">
        <v>285</v>
      </c>
      <c r="G270" s="3">
        <f>INDEX('feed rations'!$AB$13:$AI$46,MATCH(E270,'feed rations'!$Y$13:$Y$46,0),MATCH(C270&amp;D270,'feed rations'!$AB$12:$AI$12,0))</f>
        <v>2.5708717828258543</v>
      </c>
    </row>
    <row r="271" spans="3:7" x14ac:dyDescent="0.25">
      <c r="C271" t="s">
        <v>197</v>
      </c>
      <c r="D271" t="s">
        <v>205</v>
      </c>
      <c r="E271" t="s">
        <v>240</v>
      </c>
      <c r="F271" t="s">
        <v>285</v>
      </c>
      <c r="G271" s="3">
        <f>INDEX('feed rations'!$AB$13:$AI$46,MATCH(E271,'feed rations'!$Y$13:$Y$46,0),MATCH(C271&amp;D271,'feed rations'!$AB$12:$AI$12,0))</f>
        <v>2.8769901483844112E-4</v>
      </c>
    </row>
    <row r="272" spans="3:7" x14ac:dyDescent="0.25">
      <c r="C272" t="s">
        <v>197</v>
      </c>
      <c r="D272" t="s">
        <v>205</v>
      </c>
      <c r="E272" t="s">
        <v>241</v>
      </c>
      <c r="F272" t="s">
        <v>285</v>
      </c>
      <c r="G272" s="3">
        <f>INDEX('feed rations'!$AB$13:$AI$46,MATCH(E272,'feed rations'!$Y$13:$Y$46,0),MATCH(C272&amp;D272,'feed rations'!$AB$12:$AI$12,0))</f>
        <v>6.5544408014587594</v>
      </c>
    </row>
    <row r="273" spans="3:7" x14ac:dyDescent="0.25">
      <c r="C273" t="s">
        <v>197</v>
      </c>
      <c r="D273" t="s">
        <v>205</v>
      </c>
      <c r="E273" t="s">
        <v>242</v>
      </c>
      <c r="F273" t="s">
        <v>285</v>
      </c>
      <c r="G273" s="3">
        <f>INDEX('feed rations'!$AB$13:$AI$46,MATCH(E273,'feed rations'!$Y$13:$Y$46,0),MATCH(C273&amp;D273,'feed rations'!$AB$12:$AI$12,0))</f>
        <v>2.58929113354597E-4</v>
      </c>
    </row>
    <row r="274" spans="3:7" x14ac:dyDescent="0.25">
      <c r="C274" t="s">
        <v>197</v>
      </c>
      <c r="D274" t="s">
        <v>205</v>
      </c>
      <c r="E274" t="s">
        <v>243</v>
      </c>
      <c r="F274" t="s">
        <v>285</v>
      </c>
      <c r="G274" s="3">
        <f>INDEX('feed rations'!$AB$13:$AI$46,MATCH(E274,'feed rations'!$Y$13:$Y$46,0),MATCH(C274&amp;D274,'feed rations'!$AB$12:$AI$12,0))</f>
        <v>2.8094890150443339</v>
      </c>
    </row>
    <row r="275" spans="3:7" x14ac:dyDescent="0.25">
      <c r="C275" t="s">
        <v>197</v>
      </c>
      <c r="D275" t="s">
        <v>205</v>
      </c>
      <c r="E275" t="s">
        <v>244</v>
      </c>
      <c r="F275" t="s">
        <v>285</v>
      </c>
      <c r="G275" s="3">
        <f>INDEX('feed rations'!$AB$13:$AI$46,MATCH(E275,'feed rations'!$Y$13:$Y$46,0),MATCH(C275&amp;D275,'feed rations'!$AB$12:$AI$12,0))</f>
        <v>1.6490775255130326E-2</v>
      </c>
    </row>
    <row r="276" spans="3:7" x14ac:dyDescent="0.25">
      <c r="C276" t="s">
        <v>197</v>
      </c>
      <c r="D276" t="s">
        <v>205</v>
      </c>
      <c r="E276" t="s">
        <v>245</v>
      </c>
      <c r="F276" t="s">
        <v>285</v>
      </c>
      <c r="G276" s="3">
        <f>INDEX('feed rations'!$AB$13:$AI$46,MATCH(E276,'feed rations'!$Y$13:$Y$46,0),MATCH(C276&amp;D276,'feed rations'!$AB$12:$AI$12,0))</f>
        <v>4.7335747219562054E-2</v>
      </c>
    </row>
    <row r="277" spans="3:7" x14ac:dyDescent="0.25">
      <c r="C277" t="s">
        <v>197</v>
      </c>
      <c r="D277" t="s">
        <v>205</v>
      </c>
      <c r="E277" t="s">
        <v>246</v>
      </c>
      <c r="F277" t="s">
        <v>285</v>
      </c>
      <c r="G277" s="3">
        <f>INDEX('feed rations'!$AB$13:$AI$46,MATCH(E277,'feed rations'!$Y$13:$Y$46,0),MATCH(C277&amp;D277,'feed rations'!$AB$12:$AI$12,0))</f>
        <v>0.36482219212651157</v>
      </c>
    </row>
    <row r="278" spans="3:7" x14ac:dyDescent="0.25">
      <c r="C278" t="s">
        <v>197</v>
      </c>
      <c r="D278" t="s">
        <v>205</v>
      </c>
      <c r="E278" t="s">
        <v>247</v>
      </c>
      <c r="F278" t="s">
        <v>285</v>
      </c>
      <c r="G278" s="3">
        <f>INDEX('feed rations'!$AB$13:$AI$46,MATCH(E278,'feed rations'!$Y$13:$Y$46,0),MATCH(C278&amp;D278,'feed rations'!$AB$12:$AI$12,0))</f>
        <v>2.1786007898640953</v>
      </c>
    </row>
    <row r="279" spans="3:7" x14ac:dyDescent="0.25">
      <c r="C279" t="s">
        <v>197</v>
      </c>
      <c r="D279" t="s">
        <v>205</v>
      </c>
      <c r="E279" t="s">
        <v>248</v>
      </c>
      <c r="F279" t="s">
        <v>285</v>
      </c>
      <c r="G279" s="3">
        <f>INDEX('feed rations'!$AB$13:$AI$46,MATCH(E279,'feed rations'!$Y$13:$Y$46,0),MATCH(C279&amp;D279,'feed rations'!$AB$12:$AI$12,0))</f>
        <v>0.44887263259025506</v>
      </c>
    </row>
    <row r="280" spans="3:7" x14ac:dyDescent="0.25">
      <c r="C280" t="s">
        <v>197</v>
      </c>
      <c r="D280" t="s">
        <v>205</v>
      </c>
      <c r="E280" t="s">
        <v>249</v>
      </c>
      <c r="F280" t="s">
        <v>285</v>
      </c>
      <c r="G280" s="3">
        <f>INDEX('feed rations'!$AB$13:$AI$46,MATCH(E280,'feed rations'!$Y$13:$Y$46,0),MATCH(C280&amp;D280,'feed rations'!$AB$12:$AI$12,0))</f>
        <v>0.48061330748755038</v>
      </c>
    </row>
    <row r="281" spans="3:7" x14ac:dyDescent="0.25">
      <c r="C281" t="s">
        <v>197</v>
      </c>
      <c r="D281" t="s">
        <v>205</v>
      </c>
      <c r="E281" t="s">
        <v>250</v>
      </c>
      <c r="F281" t="s">
        <v>285</v>
      </c>
      <c r="G281" s="3">
        <f>INDEX('feed rations'!$AB$13:$AI$46,MATCH(E281,'feed rations'!$Y$13:$Y$46,0),MATCH(C281&amp;D281,'feed rations'!$AB$12:$AI$12,0))</f>
        <v>0.13354393029459391</v>
      </c>
    </row>
    <row r="282" spans="3:7" x14ac:dyDescent="0.25">
      <c r="C282" t="s">
        <v>197</v>
      </c>
      <c r="D282" t="s">
        <v>205</v>
      </c>
      <c r="E282" t="s">
        <v>251</v>
      </c>
      <c r="F282" t="s">
        <v>285</v>
      </c>
      <c r="G282" s="3">
        <f>INDEX('feed rations'!$AB$13:$AI$46,MATCH(E282,'feed rations'!$Y$13:$Y$46,0),MATCH(C282&amp;D282,'feed rations'!$AB$12:$AI$12,0))</f>
        <v>0</v>
      </c>
    </row>
    <row r="283" spans="3:7" x14ac:dyDescent="0.25">
      <c r="C283" t="s">
        <v>197</v>
      </c>
      <c r="D283" t="s">
        <v>205</v>
      </c>
      <c r="E283" t="s">
        <v>252</v>
      </c>
      <c r="F283" t="s">
        <v>285</v>
      </c>
      <c r="G283" s="3">
        <f>INDEX('feed rations'!$AB$13:$AI$46,MATCH(E283,'feed rations'!$Y$13:$Y$46,0),MATCH(C283&amp;D283,'feed rations'!$AB$12:$AI$12,0))</f>
        <v>0.21011948738890288</v>
      </c>
    </row>
    <row r="284" spans="3:7" x14ac:dyDescent="0.25">
      <c r="C284" t="s">
        <v>197</v>
      </c>
      <c r="D284" t="s">
        <v>205</v>
      </c>
      <c r="E284" t="s">
        <v>253</v>
      </c>
      <c r="F284" t="s">
        <v>285</v>
      </c>
      <c r="G284" s="3">
        <f>INDEX('feed rations'!$AB$13:$AI$46,MATCH(E284,'feed rations'!$Y$13:$Y$46,0),MATCH(C284&amp;D284,'feed rations'!$AB$12:$AI$12,0))</f>
        <v>0</v>
      </c>
    </row>
    <row r="285" spans="3:7" x14ac:dyDescent="0.25">
      <c r="C285" t="s">
        <v>197</v>
      </c>
      <c r="D285" t="s">
        <v>205</v>
      </c>
      <c r="E285" t="s">
        <v>254</v>
      </c>
      <c r="F285" t="s">
        <v>285</v>
      </c>
      <c r="G285" s="3">
        <f>INDEX('feed rations'!$AB$13:$AI$46,MATCH(E285,'feed rations'!$Y$13:$Y$46,0),MATCH(C285&amp;D285,'feed rations'!$AB$12:$AI$12,0))</f>
        <v>2.0486153987633827E-3</v>
      </c>
    </row>
    <row r="286" spans="3:7" x14ac:dyDescent="0.25">
      <c r="C286" t="s">
        <v>197</v>
      </c>
      <c r="D286" t="s">
        <v>205</v>
      </c>
      <c r="E286" t="s">
        <v>255</v>
      </c>
      <c r="F286" t="s">
        <v>285</v>
      </c>
      <c r="G286" s="3">
        <f>INDEX('feed rations'!$AB$13:$AI$46,MATCH(E286,'feed rations'!$Y$13:$Y$46,0),MATCH(C286&amp;D286,'feed rations'!$AB$12:$AI$12,0))</f>
        <v>0.26915656531571153</v>
      </c>
    </row>
    <row r="287" spans="3:7" x14ac:dyDescent="0.25">
      <c r="C287" t="s">
        <v>197</v>
      </c>
      <c r="D287" t="s">
        <v>205</v>
      </c>
      <c r="E287" t="s">
        <v>256</v>
      </c>
      <c r="F287" t="s">
        <v>285</v>
      </c>
      <c r="G287" s="3">
        <f>INDEX('feed rations'!$AB$13:$AI$46,MATCH(E287,'feed rations'!$Y$13:$Y$46,0),MATCH(C287&amp;D287,'feed rations'!$AB$12:$AI$12,0))</f>
        <v>0.82653008636870395</v>
      </c>
    </row>
    <row r="288" spans="3:7" x14ac:dyDescent="0.25">
      <c r="C288" t="s">
        <v>197</v>
      </c>
      <c r="D288" t="s">
        <v>205</v>
      </c>
      <c r="E288" t="s">
        <v>257</v>
      </c>
      <c r="F288" t="s">
        <v>285</v>
      </c>
      <c r="G288" s="3">
        <f>INDEX('feed rations'!$AB$13:$AI$46,MATCH(E288,'feed rations'!$Y$13:$Y$46,0),MATCH(C288&amp;D288,'feed rations'!$AB$12:$AI$12,0))</f>
        <v>0</v>
      </c>
    </row>
    <row r="289" spans="3:7" x14ac:dyDescent="0.25">
      <c r="C289" t="s">
        <v>197</v>
      </c>
      <c r="D289" t="s">
        <v>205</v>
      </c>
      <c r="E289" t="s">
        <v>258</v>
      </c>
      <c r="F289" t="s">
        <v>285</v>
      </c>
      <c r="G289" s="3">
        <f>INDEX('feed rations'!$AB$13:$AI$46,MATCH(E289,'feed rations'!$Y$13:$Y$46,0),MATCH(C289&amp;D289,'feed rations'!$AB$12:$AI$12,0))</f>
        <v>9.9305763397682621E-4</v>
      </c>
    </row>
    <row r="290" spans="3:7" x14ac:dyDescent="0.25">
      <c r="C290" t="s">
        <v>197</v>
      </c>
      <c r="D290" t="s">
        <v>205</v>
      </c>
      <c r="E290" t="s">
        <v>259</v>
      </c>
      <c r="F290" t="s">
        <v>285</v>
      </c>
      <c r="G290" s="3">
        <f>INDEX('feed rations'!$AB$13:$AI$46,MATCH(E290,'feed rations'!$Y$13:$Y$46,0),MATCH(C290&amp;D290,'feed rations'!$AB$12:$AI$12,0))</f>
        <v>0</v>
      </c>
    </row>
    <row r="292" spans="3:7" x14ac:dyDescent="0.25">
      <c r="C292" t="s">
        <v>198</v>
      </c>
      <c r="D292" t="s">
        <v>205</v>
      </c>
      <c r="E292" s="21" t="s">
        <v>276</v>
      </c>
      <c r="F292" t="s">
        <v>285</v>
      </c>
      <c r="G292" s="3">
        <f>INDEX('feed rations'!$AB$13:$AI$46,MATCH(E292,'feed rations'!$Y$13:$Y$46,0),MATCH(C292&amp;D292,'feed rations'!$AB$12:$AI$12,0))</f>
        <v>18.580594474270001</v>
      </c>
    </row>
    <row r="293" spans="3:7" x14ac:dyDescent="0.25">
      <c r="C293" t="s">
        <v>198</v>
      </c>
      <c r="D293" t="s">
        <v>205</v>
      </c>
      <c r="E293" s="21" t="s">
        <v>274</v>
      </c>
      <c r="F293" t="s">
        <v>285</v>
      </c>
      <c r="G293" s="3">
        <f>INDEX('feed rations'!$AB$13:$AI$46,MATCH(E293,'feed rations'!$Y$13:$Y$46,0),MATCH(C293&amp;D293,'feed rations'!$AB$12:$AI$12,0))</f>
        <v>37.161188948540001</v>
      </c>
    </row>
    <row r="294" spans="3:7" x14ac:dyDescent="0.25">
      <c r="C294" t="s">
        <v>198</v>
      </c>
      <c r="D294" t="s">
        <v>205</v>
      </c>
      <c r="E294" t="s">
        <v>277</v>
      </c>
      <c r="F294" t="s">
        <v>285</v>
      </c>
      <c r="G294" s="3">
        <f>INDEX('feed rations'!$AB$13:$AI$46,MATCH(E294,'feed rations'!$Y$13:$Y$46,0),MATCH(C294&amp;D294,'feed rations'!$AB$12:$AI$12,0))</f>
        <v>41.770328663087604</v>
      </c>
    </row>
    <row r="295" spans="3:7" x14ac:dyDescent="0.25">
      <c r="C295" t="s">
        <v>198</v>
      </c>
      <c r="D295" t="s">
        <v>205</v>
      </c>
      <c r="E295" t="s">
        <v>229</v>
      </c>
      <c r="F295" t="s">
        <v>285</v>
      </c>
      <c r="G295" s="3">
        <f>INDEX('feed rations'!$AB$13:$AI$46,MATCH(E295,'feed rations'!$Y$13:$Y$46,0),MATCH(C295&amp;D295,'feed rations'!$AB$12:$AI$12,0))</f>
        <v>0.5436995811423736</v>
      </c>
    </row>
    <row r="296" spans="3:7" x14ac:dyDescent="0.25">
      <c r="C296" t="s">
        <v>198</v>
      </c>
      <c r="D296" t="s">
        <v>205</v>
      </c>
      <c r="E296" t="s">
        <v>230</v>
      </c>
      <c r="F296" t="s">
        <v>285</v>
      </c>
      <c r="G296" s="3">
        <f>INDEX('feed rations'!$AB$13:$AI$46,MATCH(E296,'feed rations'!$Y$13:$Y$46,0),MATCH(C296&amp;D296,'feed rations'!$AB$12:$AI$12,0))</f>
        <v>0.28081798598457164</v>
      </c>
    </row>
    <row r="297" spans="3:7" x14ac:dyDescent="0.25">
      <c r="C297" t="s">
        <v>198</v>
      </c>
      <c r="D297" t="s">
        <v>205</v>
      </c>
      <c r="E297" t="s">
        <v>231</v>
      </c>
      <c r="F297" t="s">
        <v>285</v>
      </c>
      <c r="G297" s="3">
        <f>INDEX('feed rations'!$AB$13:$AI$46,MATCH(E297,'feed rations'!$Y$13:$Y$46,0),MATCH(C297&amp;D297,'feed rations'!$AB$12:$AI$12,0))</f>
        <v>0.42569945630839534</v>
      </c>
    </row>
    <row r="298" spans="3:7" x14ac:dyDescent="0.25">
      <c r="C298" t="s">
        <v>198</v>
      </c>
      <c r="D298" t="s">
        <v>205</v>
      </c>
      <c r="E298" t="s">
        <v>232</v>
      </c>
      <c r="F298" t="s">
        <v>285</v>
      </c>
      <c r="G298" s="3">
        <f>INDEX('feed rations'!$AB$13:$AI$46,MATCH(E298,'feed rations'!$Y$13:$Y$46,0),MATCH(C298&amp;D298,'feed rations'!$AB$12:$AI$12,0))</f>
        <v>2.6316731967630778E-3</v>
      </c>
    </row>
    <row r="299" spans="3:7" x14ac:dyDescent="0.25">
      <c r="C299" t="s">
        <v>198</v>
      </c>
      <c r="D299" t="s">
        <v>205</v>
      </c>
      <c r="E299" t="s">
        <v>233</v>
      </c>
      <c r="F299" t="s">
        <v>285</v>
      </c>
      <c r="G299" s="3">
        <f>INDEX('feed rations'!$AB$13:$AI$46,MATCH(E299,'feed rations'!$Y$13:$Y$46,0),MATCH(C299&amp;D299,'feed rations'!$AB$12:$AI$12,0))</f>
        <v>0</v>
      </c>
    </row>
    <row r="300" spans="3:7" x14ac:dyDescent="0.25">
      <c r="C300" t="s">
        <v>198</v>
      </c>
      <c r="D300" t="s">
        <v>205</v>
      </c>
      <c r="E300" t="s">
        <v>234</v>
      </c>
      <c r="F300" t="s">
        <v>285</v>
      </c>
      <c r="G300" s="3">
        <f>INDEX('feed rations'!$AB$13:$AI$46,MATCH(E300,'feed rations'!$Y$13:$Y$46,0),MATCH(C300&amp;D300,'feed rations'!$AB$12:$AI$12,0))</f>
        <v>0.11088298682756348</v>
      </c>
    </row>
    <row r="301" spans="3:7" x14ac:dyDescent="0.25">
      <c r="C301" t="s">
        <v>198</v>
      </c>
      <c r="D301" t="s">
        <v>205</v>
      </c>
      <c r="E301" t="s">
        <v>235</v>
      </c>
      <c r="F301" t="s">
        <v>285</v>
      </c>
      <c r="G301" s="3">
        <f>INDEX('feed rations'!$AB$13:$AI$46,MATCH(E301,'feed rations'!$Y$13:$Y$46,0),MATCH(C301&amp;D301,'feed rations'!$AB$12:$AI$12,0))</f>
        <v>2.4254155119065326E-3</v>
      </c>
    </row>
    <row r="302" spans="3:7" x14ac:dyDescent="0.25">
      <c r="C302" t="s">
        <v>198</v>
      </c>
      <c r="D302" t="s">
        <v>205</v>
      </c>
      <c r="E302" t="s">
        <v>236</v>
      </c>
      <c r="F302" t="s">
        <v>285</v>
      </c>
      <c r="G302" s="3">
        <f>INDEX('feed rations'!$AB$13:$AI$46,MATCH(E302,'feed rations'!$Y$13:$Y$46,0),MATCH(C302&amp;D302,'feed rations'!$AB$12:$AI$12,0))</f>
        <v>1.5215935420378532E-2</v>
      </c>
    </row>
    <row r="303" spans="3:7" x14ac:dyDescent="0.25">
      <c r="C303" t="s">
        <v>198</v>
      </c>
      <c r="D303" t="s">
        <v>205</v>
      </c>
      <c r="E303" t="s">
        <v>237</v>
      </c>
      <c r="F303" t="s">
        <v>285</v>
      </c>
      <c r="G303" s="3">
        <f>INDEX('feed rations'!$AB$13:$AI$46,MATCH(E303,'feed rations'!$Y$13:$Y$46,0),MATCH(C303&amp;D303,'feed rations'!$AB$12:$AI$12,0))</f>
        <v>0.29302329044716247</v>
      </c>
    </row>
    <row r="304" spans="3:7" x14ac:dyDescent="0.25">
      <c r="C304" t="s">
        <v>198</v>
      </c>
      <c r="D304" t="s">
        <v>205</v>
      </c>
      <c r="E304" t="s">
        <v>238</v>
      </c>
      <c r="F304" t="s">
        <v>285</v>
      </c>
      <c r="G304" s="3">
        <f>INDEX('feed rations'!$AB$13:$AI$46,MATCH(E304,'feed rations'!$Y$13:$Y$46,0),MATCH(C304&amp;D304,'feed rations'!$AB$12:$AI$12,0))</f>
        <v>3.9491789324787145E-4</v>
      </c>
    </row>
    <row r="305" spans="3:7" x14ac:dyDescent="0.25">
      <c r="C305" t="s">
        <v>198</v>
      </c>
      <c r="D305" t="s">
        <v>205</v>
      </c>
      <c r="E305" t="s">
        <v>239</v>
      </c>
      <c r="F305" t="s">
        <v>285</v>
      </c>
      <c r="G305" s="3">
        <f>INDEX('feed rations'!$AB$13:$AI$46,MATCH(E305,'feed rations'!$Y$13:$Y$46,0),MATCH(C305&amp;D305,'feed rations'!$AB$12:$AI$12,0))</f>
        <v>0.12358451787130892</v>
      </c>
    </row>
    <row r="306" spans="3:7" x14ac:dyDescent="0.25">
      <c r="C306" t="s">
        <v>198</v>
      </c>
      <c r="D306" t="s">
        <v>205</v>
      </c>
      <c r="E306" t="s">
        <v>240</v>
      </c>
      <c r="F306" t="s">
        <v>285</v>
      </c>
      <c r="G306" s="3">
        <f>INDEX('feed rations'!$AB$13:$AI$46,MATCH(E306,'feed rations'!$Y$13:$Y$46,0),MATCH(C306&amp;D306,'feed rations'!$AB$12:$AI$12,0))</f>
        <v>1.3829995053964826E-5</v>
      </c>
    </row>
    <row r="307" spans="3:7" x14ac:dyDescent="0.25">
      <c r="C307" t="s">
        <v>198</v>
      </c>
      <c r="D307" t="s">
        <v>205</v>
      </c>
      <c r="E307" t="s">
        <v>241</v>
      </c>
      <c r="F307" t="s">
        <v>285</v>
      </c>
      <c r="G307" s="3">
        <f>INDEX('feed rations'!$AB$13:$AI$46,MATCH(E307,'feed rations'!$Y$13:$Y$46,0),MATCH(C307&amp;D307,'feed rations'!$AB$12:$AI$12,0))</f>
        <v>0.31507888171457132</v>
      </c>
    </row>
    <row r="308" spans="3:7" x14ac:dyDescent="0.25">
      <c r="C308" t="s">
        <v>198</v>
      </c>
      <c r="D308" t="s">
        <v>205</v>
      </c>
      <c r="E308" t="s">
        <v>242</v>
      </c>
      <c r="F308" t="s">
        <v>285</v>
      </c>
      <c r="G308" s="3">
        <f>INDEX('feed rations'!$AB$13:$AI$46,MATCH(E308,'feed rations'!$Y$13:$Y$46,0),MATCH(C308&amp;D308,'feed rations'!$AB$12:$AI$12,0))</f>
        <v>1.2446995548568345E-5</v>
      </c>
    </row>
    <row r="309" spans="3:7" x14ac:dyDescent="0.25">
      <c r="C309" t="s">
        <v>198</v>
      </c>
      <c r="D309" t="s">
        <v>205</v>
      </c>
      <c r="E309" t="s">
        <v>243</v>
      </c>
      <c r="F309" t="s">
        <v>285</v>
      </c>
      <c r="G309" s="3">
        <f>INDEX('feed rations'!$AB$13:$AI$46,MATCH(E309,'feed rations'!$Y$13:$Y$46,0),MATCH(C309&amp;D309,'feed rations'!$AB$12:$AI$12,0))</f>
        <v>0.13505509987252132</v>
      </c>
    </row>
    <row r="310" spans="3:7" x14ac:dyDescent="0.25">
      <c r="C310" t="s">
        <v>198</v>
      </c>
      <c r="D310" t="s">
        <v>205</v>
      </c>
      <c r="E310" t="s">
        <v>244</v>
      </c>
      <c r="F310" t="s">
        <v>285</v>
      </c>
      <c r="G310" s="3">
        <f>INDEX('feed rations'!$AB$13:$AI$46,MATCH(E310,'feed rations'!$Y$13:$Y$46,0),MATCH(C310&amp;D310,'feed rations'!$AB$12:$AI$12,0))</f>
        <v>7.9272895787484826E-4</v>
      </c>
    </row>
    <row r="311" spans="3:7" x14ac:dyDescent="0.25">
      <c r="C311" t="s">
        <v>198</v>
      </c>
      <c r="D311" t="s">
        <v>205</v>
      </c>
      <c r="E311" t="s">
        <v>245</v>
      </c>
      <c r="F311" t="s">
        <v>285</v>
      </c>
      <c r="G311" s="3">
        <f>INDEX('feed rations'!$AB$13:$AI$46,MATCH(E311,'feed rations'!$Y$13:$Y$46,0),MATCH(C311&amp;D311,'feed rations'!$AB$12:$AI$12,0))</f>
        <v>2.2754792896663078E-3</v>
      </c>
    </row>
    <row r="312" spans="3:7" x14ac:dyDescent="0.25">
      <c r="C312" t="s">
        <v>198</v>
      </c>
      <c r="D312" t="s">
        <v>205</v>
      </c>
      <c r="E312" t="s">
        <v>246</v>
      </c>
      <c r="F312" t="s">
        <v>285</v>
      </c>
      <c r="G312" s="3">
        <f>INDEX('feed rations'!$AB$13:$AI$46,MATCH(E312,'feed rations'!$Y$13:$Y$46,0),MATCH(C312&amp;D312,'feed rations'!$AB$12:$AI$12,0))</f>
        <v>1.7537387521189746E-2</v>
      </c>
    </row>
    <row r="313" spans="3:7" x14ac:dyDescent="0.25">
      <c r="C313" t="s">
        <v>198</v>
      </c>
      <c r="D313" t="s">
        <v>205</v>
      </c>
      <c r="E313" t="s">
        <v>247</v>
      </c>
      <c r="F313" t="s">
        <v>285</v>
      </c>
      <c r="G313" s="3">
        <f>INDEX('feed rations'!$AB$13:$AI$46,MATCH(E313,'feed rations'!$Y$13:$Y$46,0),MATCH(C313&amp;D313,'feed rations'!$AB$12:$AI$12,0))</f>
        <v>0.10472763754614865</v>
      </c>
    </row>
    <row r="314" spans="3:7" x14ac:dyDescent="0.25">
      <c r="C314" t="s">
        <v>198</v>
      </c>
      <c r="D314" t="s">
        <v>205</v>
      </c>
      <c r="E314" t="s">
        <v>248</v>
      </c>
      <c r="F314" t="s">
        <v>285</v>
      </c>
      <c r="G314" s="3">
        <f>INDEX('feed rations'!$AB$13:$AI$46,MATCH(E314,'feed rations'!$Y$13:$Y$46,0),MATCH(C314&amp;D314,'feed rations'!$AB$12:$AI$12,0))</f>
        <v>2.1577780834840472E-2</v>
      </c>
    </row>
    <row r="315" spans="3:7" x14ac:dyDescent="0.25">
      <c r="C315" t="s">
        <v>198</v>
      </c>
      <c r="D315" t="s">
        <v>205</v>
      </c>
      <c r="E315" t="s">
        <v>249</v>
      </c>
      <c r="F315" t="s">
        <v>285</v>
      </c>
      <c r="G315" s="3">
        <f>INDEX('feed rations'!$AB$13:$AI$46,MATCH(E315,'feed rations'!$Y$13:$Y$46,0),MATCH(C315&amp;D315,'feed rations'!$AB$12:$AI$12,0))</f>
        <v>2.3103588551233269E-2</v>
      </c>
    </row>
    <row r="316" spans="3:7" x14ac:dyDescent="0.25">
      <c r="C316" t="s">
        <v>198</v>
      </c>
      <c r="D316" t="s">
        <v>205</v>
      </c>
      <c r="E316" t="s">
        <v>250</v>
      </c>
      <c r="F316" t="s">
        <v>285</v>
      </c>
      <c r="G316" s="3">
        <f>INDEX('feed rations'!$AB$13:$AI$46,MATCH(E316,'feed rations'!$Y$13:$Y$46,0),MATCH(C316&amp;D316,'feed rations'!$AB$12:$AI$12,0))</f>
        <v>6.41959756622177E-3</v>
      </c>
    </row>
    <row r="317" spans="3:7" x14ac:dyDescent="0.25">
      <c r="C317" t="s">
        <v>198</v>
      </c>
      <c r="D317" t="s">
        <v>205</v>
      </c>
      <c r="E317" t="s">
        <v>251</v>
      </c>
      <c r="F317" t="s">
        <v>285</v>
      </c>
      <c r="G317" s="3">
        <f>INDEX('feed rations'!$AB$13:$AI$46,MATCH(E317,'feed rations'!$Y$13:$Y$46,0),MATCH(C317&amp;D317,'feed rations'!$AB$12:$AI$12,0))</f>
        <v>0</v>
      </c>
    </row>
    <row r="318" spans="3:7" x14ac:dyDescent="0.25">
      <c r="C318" t="s">
        <v>198</v>
      </c>
      <c r="D318" t="s">
        <v>205</v>
      </c>
      <c r="E318" t="s">
        <v>252</v>
      </c>
      <c r="F318" t="s">
        <v>285</v>
      </c>
      <c r="G318" s="3">
        <f>INDEX('feed rations'!$AB$13:$AI$46,MATCH(E318,'feed rations'!$Y$13:$Y$46,0),MATCH(C318&amp;D318,'feed rations'!$AB$12:$AI$12,0))</f>
        <v>1.0100665353206037E-2</v>
      </c>
    </row>
    <row r="319" spans="3:7" x14ac:dyDescent="0.25">
      <c r="C319" t="s">
        <v>198</v>
      </c>
      <c r="D319" t="s">
        <v>205</v>
      </c>
      <c r="E319" t="s">
        <v>253</v>
      </c>
      <c r="F319" t="s">
        <v>285</v>
      </c>
      <c r="G319" s="3">
        <f>INDEX('feed rations'!$AB$13:$AI$46,MATCH(E319,'feed rations'!$Y$13:$Y$46,0),MATCH(C319&amp;D319,'feed rations'!$AB$12:$AI$12,0))</f>
        <v>0</v>
      </c>
    </row>
    <row r="320" spans="3:7" x14ac:dyDescent="0.25">
      <c r="C320" t="s">
        <v>198</v>
      </c>
      <c r="D320" t="s">
        <v>205</v>
      </c>
      <c r="E320" t="s">
        <v>254</v>
      </c>
      <c r="F320" t="s">
        <v>285</v>
      </c>
      <c r="G320" s="3">
        <f>INDEX('feed rations'!$AB$13:$AI$46,MATCH(E320,'feed rations'!$Y$13:$Y$46,0),MATCH(C320&amp;D320,'feed rations'!$AB$12:$AI$12,0))</f>
        <v>9.8479102711852997E-5</v>
      </c>
    </row>
    <row r="321" spans="3:7" x14ac:dyDescent="0.25">
      <c r="C321" t="s">
        <v>198</v>
      </c>
      <c r="D321" t="s">
        <v>205</v>
      </c>
      <c r="E321" t="s">
        <v>255</v>
      </c>
      <c r="F321" t="s">
        <v>285</v>
      </c>
      <c r="G321" s="3">
        <f>INDEX('feed rations'!$AB$13:$AI$46,MATCH(E321,'feed rations'!$Y$13:$Y$46,0),MATCH(C321&amp;D321,'feed rations'!$AB$12:$AI$12,0))</f>
        <v>1.2938639950327263E-2</v>
      </c>
    </row>
    <row r="322" spans="3:7" x14ac:dyDescent="0.25">
      <c r="C322" t="s">
        <v>198</v>
      </c>
      <c r="D322" t="s">
        <v>205</v>
      </c>
      <c r="E322" t="s">
        <v>256</v>
      </c>
      <c r="F322" t="s">
        <v>285</v>
      </c>
      <c r="G322" s="3">
        <f>INDEX('feed rations'!$AB$13:$AI$46,MATCH(E322,'feed rations'!$Y$13:$Y$46,0),MATCH(C322&amp;D322,'feed rations'!$AB$12:$AI$12,0))</f>
        <v>3.9732172919853009E-2</v>
      </c>
    </row>
    <row r="323" spans="3:7" x14ac:dyDescent="0.25">
      <c r="C323" t="s">
        <v>198</v>
      </c>
      <c r="D323" t="s">
        <v>205</v>
      </c>
      <c r="E323" t="s">
        <v>257</v>
      </c>
      <c r="F323" t="s">
        <v>285</v>
      </c>
      <c r="G323" s="3">
        <f>INDEX('feed rations'!$AB$13:$AI$46,MATCH(E323,'feed rations'!$Y$13:$Y$46,0),MATCH(C323&amp;D323,'feed rations'!$AB$12:$AI$12,0))</f>
        <v>0</v>
      </c>
    </row>
    <row r="324" spans="3:7" x14ac:dyDescent="0.25">
      <c r="C324" t="s">
        <v>198</v>
      </c>
      <c r="D324" t="s">
        <v>205</v>
      </c>
      <c r="E324" t="s">
        <v>258</v>
      </c>
      <c r="F324" t="s">
        <v>285</v>
      </c>
      <c r="G324" s="3">
        <f>INDEX('feed rations'!$AB$13:$AI$46,MATCH(E324,'feed rations'!$Y$13:$Y$46,0),MATCH(C324&amp;D324,'feed rations'!$AB$12:$AI$12,0))</f>
        <v>4.773732775523721E-5</v>
      </c>
    </row>
    <row r="325" spans="3:7" x14ac:dyDescent="0.25">
      <c r="C325" t="s">
        <v>198</v>
      </c>
      <c r="D325" t="s">
        <v>205</v>
      </c>
      <c r="E325" t="s">
        <v>259</v>
      </c>
      <c r="F325" t="s">
        <v>285</v>
      </c>
      <c r="G325" s="3">
        <f>INDEX('feed rations'!$AB$13:$AI$46,MATCH(E325,'feed rations'!$Y$13:$Y$46,0),MATCH(C325&amp;D325,'feed rations'!$AB$12:$AI$12,0))</f>
        <v>0</v>
      </c>
    </row>
    <row r="327" spans="3:7" x14ac:dyDescent="0.25">
      <c r="C327" t="s">
        <v>204</v>
      </c>
      <c r="D327" t="s">
        <v>205</v>
      </c>
      <c r="E327" s="21" t="s">
        <v>276</v>
      </c>
      <c r="F327" t="s">
        <v>285</v>
      </c>
      <c r="G327" s="3">
        <f>INDEX('feed rations'!$AB$13:$AI$46,MATCH(E327,'feed rations'!$Y$13:$Y$46,0),MATCH(C327&amp;D327,'feed rations'!$AB$12:$AI$12,0))</f>
        <v>0.69811719906917724</v>
      </c>
    </row>
    <row r="328" spans="3:7" x14ac:dyDescent="0.25">
      <c r="C328" t="s">
        <v>204</v>
      </c>
      <c r="D328" t="s">
        <v>205</v>
      </c>
      <c r="E328" s="21" t="s">
        <v>274</v>
      </c>
      <c r="F328" t="s">
        <v>285</v>
      </c>
      <c r="G328" s="3">
        <f>INDEX('feed rations'!$AB$13:$AI$46,MATCH(E328,'feed rations'!$Y$13:$Y$46,0),MATCH(C328&amp;D328,'feed rations'!$AB$12:$AI$12,0))</f>
        <v>1.3962343981383545</v>
      </c>
    </row>
    <row r="329" spans="3:7" x14ac:dyDescent="0.25">
      <c r="C329" t="s">
        <v>204</v>
      </c>
      <c r="D329" t="s">
        <v>205</v>
      </c>
      <c r="E329" t="s">
        <v>277</v>
      </c>
      <c r="F329" t="s">
        <v>285</v>
      </c>
      <c r="G329" s="3">
        <f>INDEX('feed rations'!$AB$13:$AI$46,MATCH(E329,'feed rations'!$Y$13:$Y$46,0),MATCH(C329&amp;D329,'feed rations'!$AB$12:$AI$12,0))</f>
        <v>83.30865242225515</v>
      </c>
    </row>
    <row r="330" spans="3:7" x14ac:dyDescent="0.25">
      <c r="C330" t="s">
        <v>204</v>
      </c>
      <c r="D330" t="s">
        <v>205</v>
      </c>
      <c r="E330" t="s">
        <v>229</v>
      </c>
      <c r="F330" t="s">
        <v>285</v>
      </c>
      <c r="G330" s="3">
        <f>INDEX('feed rations'!$AB$13:$AI$46,MATCH(E330,'feed rations'!$Y$13:$Y$46,0),MATCH(C330&amp;D330,'feed rations'!$AB$12:$AI$12,0))</f>
        <v>3.1900072971810016</v>
      </c>
    </row>
    <row r="331" spans="3:7" x14ac:dyDescent="0.25">
      <c r="C331" t="s">
        <v>204</v>
      </c>
      <c r="D331" t="s">
        <v>205</v>
      </c>
      <c r="E331" t="s">
        <v>230</v>
      </c>
      <c r="F331" t="s">
        <v>285</v>
      </c>
      <c r="G331" s="3">
        <f>INDEX('feed rations'!$AB$13:$AI$46,MATCH(E331,'feed rations'!$Y$13:$Y$46,0),MATCH(C331&amp;D331,'feed rations'!$AB$12:$AI$12,0))</f>
        <v>1.6476220610438137</v>
      </c>
    </row>
    <row r="332" spans="3:7" x14ac:dyDescent="0.25">
      <c r="C332" t="s">
        <v>204</v>
      </c>
      <c r="D332" t="s">
        <v>205</v>
      </c>
      <c r="E332" t="s">
        <v>231</v>
      </c>
      <c r="F332" t="s">
        <v>285</v>
      </c>
      <c r="G332" s="3">
        <f>INDEX('feed rations'!$AB$13:$AI$46,MATCH(E332,'feed rations'!$Y$13:$Y$46,0),MATCH(C332&amp;D332,'feed rations'!$AB$12:$AI$12,0))</f>
        <v>2.4976741184469726</v>
      </c>
    </row>
    <row r="333" spans="3:7" x14ac:dyDescent="0.25">
      <c r="C333" t="s">
        <v>204</v>
      </c>
      <c r="D333" t="s">
        <v>205</v>
      </c>
      <c r="E333" t="s">
        <v>232</v>
      </c>
      <c r="F333" t="s">
        <v>285</v>
      </c>
      <c r="G333" s="3">
        <f>INDEX('feed rations'!$AB$13:$AI$46,MATCH(E333,'feed rations'!$Y$13:$Y$46,0),MATCH(C333&amp;D333,'feed rations'!$AB$12:$AI$12,0))</f>
        <v>1.544061645924192E-2</v>
      </c>
    </row>
    <row r="334" spans="3:7" x14ac:dyDescent="0.25">
      <c r="C334" t="s">
        <v>204</v>
      </c>
      <c r="D334" t="s">
        <v>205</v>
      </c>
      <c r="E334" t="s">
        <v>233</v>
      </c>
      <c r="F334" t="s">
        <v>285</v>
      </c>
      <c r="G334" s="3">
        <f>INDEX('feed rations'!$AB$13:$AI$46,MATCH(E334,'feed rations'!$Y$13:$Y$46,0),MATCH(C334&amp;D334,'feed rations'!$AB$12:$AI$12,0))</f>
        <v>0</v>
      </c>
    </row>
    <row r="335" spans="3:7" x14ac:dyDescent="0.25">
      <c r="C335" t="s">
        <v>204</v>
      </c>
      <c r="D335" t="s">
        <v>205</v>
      </c>
      <c r="E335" t="s">
        <v>234</v>
      </c>
      <c r="F335" t="s">
        <v>285</v>
      </c>
      <c r="G335" s="3">
        <f>INDEX('feed rations'!$AB$13:$AI$46,MATCH(E335,'feed rations'!$Y$13:$Y$46,0),MATCH(C335&amp;D335,'feed rations'!$AB$12:$AI$12,0))</f>
        <v>0.65057533494867192</v>
      </c>
    </row>
    <row r="336" spans="3:7" x14ac:dyDescent="0.25">
      <c r="C336" t="s">
        <v>204</v>
      </c>
      <c r="D336" t="s">
        <v>205</v>
      </c>
      <c r="E336" t="s">
        <v>235</v>
      </c>
      <c r="F336" t="s">
        <v>285</v>
      </c>
      <c r="G336" s="3">
        <f>INDEX('feed rations'!$AB$13:$AI$46,MATCH(E336,'feed rations'!$Y$13:$Y$46,0),MATCH(C336&amp;D336,'feed rations'!$AB$12:$AI$12,0))</f>
        <v>1.4230456395462613E-2</v>
      </c>
    </row>
    <row r="337" spans="3:7" x14ac:dyDescent="0.25">
      <c r="C337" t="s">
        <v>204</v>
      </c>
      <c r="D337" t="s">
        <v>205</v>
      </c>
      <c r="E337" t="s">
        <v>236</v>
      </c>
      <c r="F337" t="s">
        <v>285</v>
      </c>
      <c r="G337" s="3">
        <f>INDEX('feed rations'!$AB$13:$AI$46,MATCH(E337,'feed rations'!$Y$13:$Y$46,0),MATCH(C337&amp;D337,'feed rations'!$AB$12:$AI$12,0))</f>
        <v>8.9275303325517821E-2</v>
      </c>
    </row>
    <row r="338" spans="3:7" x14ac:dyDescent="0.25">
      <c r="C338" t="s">
        <v>204</v>
      </c>
      <c r="D338" t="s">
        <v>205</v>
      </c>
      <c r="E338" t="s">
        <v>237</v>
      </c>
      <c r="F338" t="s">
        <v>285</v>
      </c>
      <c r="G338" s="3">
        <f>INDEX('feed rations'!$AB$13:$AI$46,MATCH(E338,'feed rations'!$Y$13:$Y$46,0),MATCH(C338&amp;D338,'feed rations'!$AB$12:$AI$12,0))</f>
        <v>1.7192333177936787</v>
      </c>
    </row>
    <row r="339" spans="3:7" x14ac:dyDescent="0.25">
      <c r="C339" t="s">
        <v>204</v>
      </c>
      <c r="D339" t="s">
        <v>205</v>
      </c>
      <c r="E339" t="s">
        <v>238</v>
      </c>
      <c r="F339" t="s">
        <v>285</v>
      </c>
      <c r="G339" s="3">
        <f>INDEX('feed rations'!$AB$13:$AI$46,MATCH(E339,'feed rations'!$Y$13:$Y$46,0),MATCH(C339&amp;D339,'feed rations'!$AB$12:$AI$12,0))</f>
        <v>2.317071789169115E-3</v>
      </c>
    </row>
    <row r="340" spans="3:7" x14ac:dyDescent="0.25">
      <c r="C340" t="s">
        <v>204</v>
      </c>
      <c r="D340" t="s">
        <v>205</v>
      </c>
      <c r="E340" t="s">
        <v>239</v>
      </c>
      <c r="F340" t="s">
        <v>285</v>
      </c>
      <c r="G340" s="3">
        <f>INDEX('feed rations'!$AB$13:$AI$46,MATCH(E340,'feed rations'!$Y$13:$Y$46,0),MATCH(C340&amp;D340,'feed rations'!$AB$12:$AI$12,0))</f>
        <v>0.72509806426508272</v>
      </c>
    </row>
    <row r="341" spans="3:7" x14ac:dyDescent="0.25">
      <c r="C341" t="s">
        <v>204</v>
      </c>
      <c r="D341" t="s">
        <v>205</v>
      </c>
      <c r="E341" t="s">
        <v>240</v>
      </c>
      <c r="F341" t="s">
        <v>285</v>
      </c>
      <c r="G341" s="3">
        <f>INDEX('feed rations'!$AB$13:$AI$46,MATCH(E341,'feed rations'!$Y$13:$Y$46,0),MATCH(C341&amp;D341,'feed rations'!$AB$12:$AI$12,0))</f>
        <v>8.1143680577109445E-5</v>
      </c>
    </row>
    <row r="342" spans="3:7" x14ac:dyDescent="0.25">
      <c r="C342" t="s">
        <v>204</v>
      </c>
      <c r="D342" t="s">
        <v>205</v>
      </c>
      <c r="E342" t="s">
        <v>241</v>
      </c>
      <c r="F342" t="s">
        <v>285</v>
      </c>
      <c r="G342" s="3">
        <f>INDEX('feed rations'!$AB$13:$AI$46,MATCH(E342,'feed rations'!$Y$13:$Y$46,0),MATCH(C342&amp;D342,'feed rations'!$AB$12:$AI$12,0))</f>
        <v>1.8486384148858024</v>
      </c>
    </row>
    <row r="343" spans="3:7" x14ac:dyDescent="0.25">
      <c r="C343" t="s">
        <v>204</v>
      </c>
      <c r="D343" t="s">
        <v>205</v>
      </c>
      <c r="E343" t="s">
        <v>242</v>
      </c>
      <c r="F343" t="s">
        <v>285</v>
      </c>
      <c r="G343" s="3">
        <f>INDEX('feed rations'!$AB$13:$AI$46,MATCH(E343,'feed rations'!$Y$13:$Y$46,0),MATCH(C343&amp;D343,'feed rations'!$AB$12:$AI$12,0))</f>
        <v>7.3029312519398498E-5</v>
      </c>
    </row>
    <row r="344" spans="3:7" x14ac:dyDescent="0.25">
      <c r="C344" t="s">
        <v>204</v>
      </c>
      <c r="D344" t="s">
        <v>205</v>
      </c>
      <c r="E344" t="s">
        <v>243</v>
      </c>
      <c r="F344" t="s">
        <v>285</v>
      </c>
      <c r="G344" s="3">
        <f>INDEX('feed rations'!$AB$13:$AI$46,MATCH(E344,'feed rations'!$Y$13:$Y$46,0),MATCH(C344&amp;D344,'feed rations'!$AB$12:$AI$12,0))</f>
        <v>0.79239853966713902</v>
      </c>
    </row>
    <row r="345" spans="3:7" x14ac:dyDescent="0.25">
      <c r="C345" t="s">
        <v>204</v>
      </c>
      <c r="D345" t="s">
        <v>205</v>
      </c>
      <c r="E345" t="s">
        <v>244</v>
      </c>
      <c r="F345" t="s">
        <v>285</v>
      </c>
      <c r="G345" s="3">
        <f>INDEX('feed rations'!$AB$13:$AI$46,MATCH(E345,'feed rations'!$Y$13:$Y$46,0),MATCH(C345&amp;D345,'feed rations'!$AB$12:$AI$12,0))</f>
        <v>4.6511184632405684E-3</v>
      </c>
    </row>
    <row r="346" spans="3:7" x14ac:dyDescent="0.25">
      <c r="C346" t="s">
        <v>204</v>
      </c>
      <c r="D346" t="s">
        <v>205</v>
      </c>
      <c r="E346" t="s">
        <v>245</v>
      </c>
      <c r="F346" t="s">
        <v>285</v>
      </c>
      <c r="G346" s="3">
        <f>INDEX('feed rations'!$AB$13:$AI$46,MATCH(E346,'feed rations'!$Y$13:$Y$46,0),MATCH(C346&amp;D346,'feed rations'!$AB$12:$AI$12,0))</f>
        <v>1.3350746975688711E-2</v>
      </c>
    </row>
    <row r="347" spans="3:7" x14ac:dyDescent="0.25">
      <c r="C347" t="s">
        <v>204</v>
      </c>
      <c r="D347" t="s">
        <v>205</v>
      </c>
      <c r="E347" t="s">
        <v>246</v>
      </c>
      <c r="F347" t="s">
        <v>285</v>
      </c>
      <c r="G347" s="3">
        <f>INDEX('feed rations'!$AB$13:$AI$46,MATCH(E347,'feed rations'!$Y$13:$Y$46,0),MATCH(C347&amp;D347,'feed rations'!$AB$12:$AI$12,0))</f>
        <v>0.10289578308767665</v>
      </c>
    </row>
    <row r="348" spans="3:7" x14ac:dyDescent="0.25">
      <c r="C348" t="s">
        <v>204</v>
      </c>
      <c r="D348" t="s">
        <v>205</v>
      </c>
      <c r="E348" t="s">
        <v>247</v>
      </c>
      <c r="F348" t="s">
        <v>285</v>
      </c>
      <c r="G348" s="3">
        <f>INDEX('feed rations'!$AB$13:$AI$46,MATCH(E348,'feed rations'!$Y$13:$Y$46,0),MATCH(C348&amp;D348,'feed rations'!$AB$12:$AI$12,0))</f>
        <v>0.61446052117016126</v>
      </c>
    </row>
    <row r="349" spans="3:7" x14ac:dyDescent="0.25">
      <c r="C349" t="s">
        <v>204</v>
      </c>
      <c r="D349" t="s">
        <v>205</v>
      </c>
      <c r="E349" t="s">
        <v>248</v>
      </c>
      <c r="F349" t="s">
        <v>285</v>
      </c>
      <c r="G349" s="3">
        <f>INDEX('feed rations'!$AB$13:$AI$46,MATCH(E349,'feed rations'!$Y$13:$Y$46,0),MATCH(C349&amp;D349,'feed rations'!$AB$12:$AI$12,0))</f>
        <v>0.12660167619678325</v>
      </c>
    </row>
    <row r="350" spans="3:7" x14ac:dyDescent="0.25">
      <c r="C350" t="s">
        <v>204</v>
      </c>
      <c r="D350" t="s">
        <v>205</v>
      </c>
      <c r="E350" t="s">
        <v>249</v>
      </c>
      <c r="F350" t="s">
        <v>285</v>
      </c>
      <c r="G350" s="3">
        <f>INDEX('feed rations'!$AB$13:$AI$46,MATCH(E350,'feed rations'!$Y$13:$Y$46,0),MATCH(C350&amp;D350,'feed rations'!$AB$12:$AI$12,0))</f>
        <v>0.13555393203476143</v>
      </c>
    </row>
    <row r="351" spans="3:7" x14ac:dyDescent="0.25">
      <c r="C351" t="s">
        <v>204</v>
      </c>
      <c r="D351" t="s">
        <v>205</v>
      </c>
      <c r="E351" t="s">
        <v>250</v>
      </c>
      <c r="F351" t="s">
        <v>285</v>
      </c>
      <c r="G351" s="3">
        <f>INDEX('feed rations'!$AB$13:$AI$46,MATCH(E351,'feed rations'!$Y$13:$Y$46,0),MATCH(C351&amp;D351,'feed rations'!$AB$12:$AI$12,0))</f>
        <v>3.7665217689123641E-2</v>
      </c>
    </row>
    <row r="352" spans="3:7" x14ac:dyDescent="0.25">
      <c r="C352" t="s">
        <v>204</v>
      </c>
      <c r="D352" t="s">
        <v>205</v>
      </c>
      <c r="E352" t="s">
        <v>251</v>
      </c>
      <c r="F352" t="s">
        <v>285</v>
      </c>
      <c r="G352" s="3">
        <f>INDEX('feed rations'!$AB$13:$AI$46,MATCH(E352,'feed rations'!$Y$13:$Y$46,0),MATCH(C352&amp;D352,'feed rations'!$AB$12:$AI$12,0))</f>
        <v>0</v>
      </c>
    </row>
    <row r="353" spans="3:7" x14ac:dyDescent="0.25">
      <c r="C353" t="s">
        <v>204</v>
      </c>
      <c r="D353" t="s">
        <v>205</v>
      </c>
      <c r="E353" t="s">
        <v>252</v>
      </c>
      <c r="F353" t="s">
        <v>285</v>
      </c>
      <c r="G353" s="3">
        <f>INDEX('feed rations'!$AB$13:$AI$46,MATCH(E353,'feed rations'!$Y$13:$Y$46,0),MATCH(C353&amp;D353,'feed rations'!$AB$12:$AI$12,0))</f>
        <v>5.9262867400799252E-2</v>
      </c>
    </row>
    <row r="354" spans="3:7" x14ac:dyDescent="0.25">
      <c r="C354" t="s">
        <v>204</v>
      </c>
      <c r="D354" t="s">
        <v>205</v>
      </c>
      <c r="E354" t="s">
        <v>253</v>
      </c>
      <c r="F354" t="s">
        <v>285</v>
      </c>
      <c r="G354" s="3">
        <f>INDEX('feed rations'!$AB$13:$AI$46,MATCH(E354,'feed rations'!$Y$13:$Y$46,0),MATCH(C354&amp;D354,'feed rations'!$AB$12:$AI$12,0))</f>
        <v>0</v>
      </c>
    </row>
    <row r="355" spans="3:7" x14ac:dyDescent="0.25">
      <c r="C355" t="s">
        <v>204</v>
      </c>
      <c r="D355" t="s">
        <v>205</v>
      </c>
      <c r="E355" t="s">
        <v>254</v>
      </c>
      <c r="F355" t="s">
        <v>285</v>
      </c>
      <c r="G355" s="3">
        <f>INDEX('feed rations'!$AB$13:$AI$46,MATCH(E355,'feed rations'!$Y$13:$Y$46,0),MATCH(C355&amp;D355,'feed rations'!$AB$12:$AI$12,0))</f>
        <v>5.7779896686803802E-4</v>
      </c>
    </row>
    <row r="356" spans="3:7" x14ac:dyDescent="0.25">
      <c r="C356" t="s">
        <v>204</v>
      </c>
      <c r="D356" t="s">
        <v>205</v>
      </c>
      <c r="E356" t="s">
        <v>255</v>
      </c>
      <c r="F356" t="s">
        <v>285</v>
      </c>
      <c r="G356" s="3">
        <f>INDEX('feed rations'!$AB$13:$AI$46,MATCH(E356,'feed rations'!$Y$13:$Y$46,0),MATCH(C356&amp;D356,'feed rations'!$AB$12:$AI$12,0))</f>
        <v>7.5913900412465971E-2</v>
      </c>
    </row>
    <row r="357" spans="3:7" x14ac:dyDescent="0.25">
      <c r="C357" t="s">
        <v>204</v>
      </c>
      <c r="D357" t="s">
        <v>205</v>
      </c>
      <c r="E357" t="s">
        <v>256</v>
      </c>
      <c r="F357" t="s">
        <v>285</v>
      </c>
      <c r="G357" s="3">
        <f>INDEX('feed rations'!$AB$13:$AI$46,MATCH(E357,'feed rations'!$Y$13:$Y$46,0),MATCH(C357&amp;D357,'feed rations'!$AB$12:$AI$12,0))</f>
        <v>0.23311756334422978</v>
      </c>
    </row>
    <row r="358" spans="3:7" x14ac:dyDescent="0.25">
      <c r="C358" t="s">
        <v>204</v>
      </c>
      <c r="D358" t="s">
        <v>205</v>
      </c>
      <c r="E358" t="s">
        <v>257</v>
      </c>
      <c r="F358" t="s">
        <v>285</v>
      </c>
      <c r="G358" s="3">
        <f>INDEX('feed rations'!$AB$13:$AI$46,MATCH(E358,'feed rations'!$Y$13:$Y$46,0),MATCH(C358&amp;D358,'feed rations'!$AB$12:$AI$12,0))</f>
        <v>0</v>
      </c>
    </row>
    <row r="359" spans="3:7" x14ac:dyDescent="0.25">
      <c r="C359" t="s">
        <v>204</v>
      </c>
      <c r="D359" t="s">
        <v>205</v>
      </c>
      <c r="E359" t="s">
        <v>258</v>
      </c>
      <c r="F359" t="s">
        <v>285</v>
      </c>
      <c r="G359" s="3">
        <f>INDEX('feed rations'!$AB$13:$AI$46,MATCH(E359,'feed rations'!$Y$13:$Y$46,0),MATCH(C359&amp;D359,'feed rations'!$AB$12:$AI$12,0))</f>
        <v>2.8008560088857437E-4</v>
      </c>
    </row>
    <row r="360" spans="3:7" x14ac:dyDescent="0.25">
      <c r="C360" t="s">
        <v>204</v>
      </c>
      <c r="D360" t="s">
        <v>205</v>
      </c>
      <c r="E360" t="s">
        <v>259</v>
      </c>
      <c r="F360" t="s">
        <v>285</v>
      </c>
      <c r="G360" s="3">
        <f>INDEX('feed rations'!$AB$13:$AI$46,MATCH(E360,'feed rations'!$Y$13:$Y$46,0),MATCH(C360&amp;D360,'feed rations'!$AB$12:$AI$12,0))</f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B2:AI53"/>
  <sheetViews>
    <sheetView zoomScale="80" zoomScaleNormal="80" workbookViewId="0">
      <selection activeCell="E5" sqref="E5"/>
    </sheetView>
  </sheetViews>
  <sheetFormatPr defaultRowHeight="15" x14ac:dyDescent="0.25"/>
  <sheetData>
    <row r="2" spans="2:35" x14ac:dyDescent="0.25">
      <c r="B2" s="63" t="s">
        <v>273</v>
      </c>
      <c r="C2" s="64"/>
      <c r="D2" s="64"/>
      <c r="E2" s="64"/>
      <c r="F2" s="64"/>
      <c r="G2" s="65"/>
      <c r="I2" s="63" t="s">
        <v>272</v>
      </c>
      <c r="J2" s="64"/>
      <c r="K2" s="64"/>
      <c r="L2" s="64"/>
      <c r="M2" s="64"/>
      <c r="N2" s="65"/>
    </row>
    <row r="3" spans="2:35" x14ac:dyDescent="0.25">
      <c r="B3" s="66" t="s">
        <v>163</v>
      </c>
      <c r="C3" s="37"/>
      <c r="D3" s="37"/>
      <c r="E3" s="37"/>
      <c r="F3" s="37"/>
      <c r="G3" s="38"/>
      <c r="I3" s="66" t="s">
        <v>163</v>
      </c>
      <c r="J3" s="37"/>
      <c r="K3" s="37"/>
      <c r="L3" s="37"/>
      <c r="M3" s="37"/>
      <c r="N3" s="38"/>
    </row>
    <row r="4" spans="2:35" x14ac:dyDescent="0.25">
      <c r="B4" s="67"/>
      <c r="C4" s="37"/>
      <c r="D4" s="68" t="s">
        <v>270</v>
      </c>
      <c r="E4" s="68" t="s">
        <v>271</v>
      </c>
      <c r="F4" s="68" t="s">
        <v>157</v>
      </c>
      <c r="G4" s="69" t="s">
        <v>278</v>
      </c>
      <c r="I4" s="67"/>
      <c r="J4" s="37"/>
      <c r="K4" s="68" t="s">
        <v>270</v>
      </c>
      <c r="L4" s="68" t="s">
        <v>271</v>
      </c>
      <c r="M4" s="68" t="s">
        <v>157</v>
      </c>
      <c r="N4" s="69" t="s">
        <v>278</v>
      </c>
    </row>
    <row r="5" spans="2:35" x14ac:dyDescent="0.25">
      <c r="B5" s="67" t="s">
        <v>196</v>
      </c>
      <c r="C5" s="37"/>
      <c r="D5" s="57">
        <f>((290+234+364)/3)+((290+234+364)/3)*0.1</f>
        <v>325.60000000000002</v>
      </c>
      <c r="E5" s="57">
        <f>((386+399+289)/3)+((386+399+289)/3)*0.1</f>
        <v>393.8</v>
      </c>
      <c r="F5" s="57">
        <f>(26+26+35)/3</f>
        <v>29</v>
      </c>
      <c r="G5" s="70">
        <f t="shared" ref="G5:G8" si="0">SUM(D5:F5)</f>
        <v>748.40000000000009</v>
      </c>
      <c r="I5" s="67" t="s">
        <v>196</v>
      </c>
      <c r="J5" s="37"/>
      <c r="K5" s="57">
        <f>((3+1+5)/3)+((3+1+5)/3)*0.1</f>
        <v>3.3</v>
      </c>
      <c r="L5" s="57">
        <f>((119+138+101)/3)+((119+138+101)/3)*0.1</f>
        <v>131.26666666666665</v>
      </c>
      <c r="M5" s="57">
        <f>(19+21+29)/3</f>
        <v>23</v>
      </c>
      <c r="N5" s="70">
        <f>SUM(K5:M5)</f>
        <v>157.56666666666666</v>
      </c>
    </row>
    <row r="6" spans="2:35" x14ac:dyDescent="0.25">
      <c r="B6" s="67" t="s">
        <v>197</v>
      </c>
      <c r="C6" s="37"/>
      <c r="D6" s="57">
        <f>((223+223+242)/3)+((223+223+242)/3)*0.1</f>
        <v>252.26666666666668</v>
      </c>
      <c r="E6" s="57">
        <f>((233+233+189)/3)+((233+233+189)/3)*0.1</f>
        <v>240.16666666666669</v>
      </c>
      <c r="F6" s="57">
        <f>(62+62+61)/3</f>
        <v>61.666666666666664</v>
      </c>
      <c r="G6" s="70">
        <f t="shared" si="0"/>
        <v>554.1</v>
      </c>
      <c r="I6" s="67" t="s">
        <v>197</v>
      </c>
      <c r="J6" s="37"/>
      <c r="K6" s="57">
        <f>50+50*0.1</f>
        <v>55</v>
      </c>
      <c r="L6" s="57">
        <v>0</v>
      </c>
      <c r="M6" s="57">
        <v>59</v>
      </c>
      <c r="N6" s="70">
        <f t="shared" ref="N6:N8" si="1">SUM(K6:M6)</f>
        <v>114</v>
      </c>
    </row>
    <row r="7" spans="2:35" x14ac:dyDescent="0.25">
      <c r="B7" s="67" t="s">
        <v>198</v>
      </c>
      <c r="C7" s="37"/>
      <c r="D7" s="57">
        <f>((276+239+350)/3)+((276+239+350)/3)*0.1</f>
        <v>317.16666666666663</v>
      </c>
      <c r="E7" s="57">
        <f>((395+410+298)/3)+((395+410+298)/3)*0.1</f>
        <v>404.43333333333334</v>
      </c>
      <c r="F7" s="57">
        <f>(4+6+4)/3</f>
        <v>4.666666666666667</v>
      </c>
      <c r="G7" s="70">
        <f t="shared" si="0"/>
        <v>726.26666666666654</v>
      </c>
      <c r="I7" s="67" t="s">
        <v>198</v>
      </c>
      <c r="J7" s="37"/>
      <c r="K7" s="57">
        <f>((5+5+6)/3+(118+121+132)/3)+((5+5+6)/3+(118+121+132)/3)*0.1</f>
        <v>141.9</v>
      </c>
      <c r="L7" s="57">
        <f>((102+101+87)/3)+((102+101+87)/3)*0.1</f>
        <v>106.33333333333334</v>
      </c>
      <c r="M7" s="57">
        <f>(4+9+6)/3</f>
        <v>6.333333333333333</v>
      </c>
      <c r="N7" s="70">
        <f t="shared" si="1"/>
        <v>254.56666666666669</v>
      </c>
    </row>
    <row r="8" spans="2:35" x14ac:dyDescent="0.25">
      <c r="B8" s="71" t="s">
        <v>204</v>
      </c>
      <c r="C8" s="72"/>
      <c r="D8" s="73">
        <f>((290+234+364)/3)+((290+234+364)/3)*0.1</f>
        <v>325.60000000000002</v>
      </c>
      <c r="E8" s="73">
        <f>((386+399+289)/3)+((386+399+289)/3)*0.1</f>
        <v>393.8</v>
      </c>
      <c r="F8" s="73">
        <f>(26+26+35)/3</f>
        <v>29</v>
      </c>
      <c r="G8" s="74">
        <f t="shared" si="0"/>
        <v>748.40000000000009</v>
      </c>
      <c r="I8" s="71" t="s">
        <v>204</v>
      </c>
      <c r="J8" s="72"/>
      <c r="K8" s="73">
        <f>((3+1+5)/3)+((3+1+5)/3)*0.1</f>
        <v>3.3</v>
      </c>
      <c r="L8" s="73">
        <f>((119+138+101)/3)+((119+138+101)/3)*0.1</f>
        <v>131.26666666666665</v>
      </c>
      <c r="M8" s="73">
        <f>(19+21+29)/3</f>
        <v>23</v>
      </c>
      <c r="N8" s="74">
        <f t="shared" si="1"/>
        <v>157.56666666666666</v>
      </c>
      <c r="P8" s="2" t="s">
        <v>284</v>
      </c>
      <c r="AB8" s="2" t="s">
        <v>283</v>
      </c>
    </row>
    <row r="10" spans="2:35" x14ac:dyDescent="0.25">
      <c r="B10" s="75" t="s">
        <v>264</v>
      </c>
      <c r="C10" s="76"/>
      <c r="D10" s="76"/>
      <c r="E10" s="76"/>
      <c r="F10" s="76"/>
      <c r="G10" s="76"/>
      <c r="H10" s="76"/>
      <c r="I10" s="76"/>
      <c r="J10" s="76"/>
      <c r="K10" s="77"/>
      <c r="O10" s="2" t="s">
        <v>268</v>
      </c>
      <c r="P10" t="s">
        <v>196</v>
      </c>
      <c r="Q10" t="s">
        <v>196</v>
      </c>
      <c r="R10" t="s">
        <v>197</v>
      </c>
      <c r="S10" t="s">
        <v>197</v>
      </c>
      <c r="T10" t="s">
        <v>198</v>
      </c>
      <c r="U10" t="s">
        <v>198</v>
      </c>
      <c r="V10" t="s">
        <v>204</v>
      </c>
      <c r="W10" t="s">
        <v>204</v>
      </c>
      <c r="AA10" s="2" t="s">
        <v>268</v>
      </c>
      <c r="AB10" t="s">
        <v>196</v>
      </c>
      <c r="AC10" t="s">
        <v>196</v>
      </c>
      <c r="AD10" t="s">
        <v>197</v>
      </c>
      <c r="AE10" t="s">
        <v>197</v>
      </c>
      <c r="AF10" t="s">
        <v>198</v>
      </c>
      <c r="AG10" t="s">
        <v>198</v>
      </c>
      <c r="AH10" t="s">
        <v>204</v>
      </c>
      <c r="AI10" t="s">
        <v>204</v>
      </c>
    </row>
    <row r="11" spans="2:35" x14ac:dyDescent="0.25">
      <c r="B11" s="78" t="s">
        <v>267</v>
      </c>
      <c r="C11" s="50"/>
      <c r="D11" s="50"/>
      <c r="E11" s="50"/>
      <c r="F11" s="50"/>
      <c r="G11" s="49"/>
      <c r="H11" s="49"/>
      <c r="I11" s="49"/>
      <c r="J11" s="49"/>
      <c r="K11" s="79"/>
      <c r="O11" s="2" t="s">
        <v>269</v>
      </c>
      <c r="Q11" t="s">
        <v>205</v>
      </c>
      <c r="S11" t="s">
        <v>205</v>
      </c>
      <c r="U11" t="s">
        <v>205</v>
      </c>
      <c r="W11" t="s">
        <v>205</v>
      </c>
      <c r="AA11" s="2" t="s">
        <v>269</v>
      </c>
      <c r="AC11" t="s">
        <v>205</v>
      </c>
      <c r="AE11" t="s">
        <v>205</v>
      </c>
      <c r="AG11" t="s">
        <v>205</v>
      </c>
      <c r="AI11" t="s">
        <v>205</v>
      </c>
    </row>
    <row r="12" spans="2:35" x14ac:dyDescent="0.25">
      <c r="B12" s="80"/>
      <c r="C12" s="50"/>
      <c r="D12" s="50"/>
      <c r="E12" s="50"/>
      <c r="F12" s="51" t="s">
        <v>265</v>
      </c>
      <c r="G12" s="56" t="s">
        <v>261</v>
      </c>
      <c r="H12" s="56" t="s">
        <v>262</v>
      </c>
      <c r="I12" s="56" t="s">
        <v>263</v>
      </c>
      <c r="J12" s="52" t="s">
        <v>265</v>
      </c>
      <c r="K12" s="81" t="s">
        <v>266</v>
      </c>
      <c r="M12" s="2" t="s">
        <v>275</v>
      </c>
      <c r="P12" s="90" t="str">
        <f>P10&amp;P11</f>
        <v>autumn lamb</v>
      </c>
      <c r="Q12" s="90" t="str">
        <f t="shared" ref="Q12:W12" si="2">Q10&amp;Q11</f>
        <v>autumn lamblambs</v>
      </c>
      <c r="R12" s="90" t="str">
        <f t="shared" si="2"/>
        <v>spring lamb</v>
      </c>
      <c r="S12" s="90" t="str">
        <f t="shared" si="2"/>
        <v>spring lamblambs</v>
      </c>
      <c r="T12" s="90" t="str">
        <f t="shared" si="2"/>
        <v>winter lamb</v>
      </c>
      <c r="U12" s="90" t="str">
        <f t="shared" si="2"/>
        <v>winter lamblambs</v>
      </c>
      <c r="V12" s="90" t="str">
        <f t="shared" si="2"/>
        <v>other sheep</v>
      </c>
      <c r="W12" s="90" t="str">
        <f t="shared" si="2"/>
        <v>other sheeplambs</v>
      </c>
      <c r="Y12" s="2" t="s">
        <v>275</v>
      </c>
      <c r="AB12" s="90" t="str">
        <f>AB10&amp;AB11</f>
        <v>autumn lamb</v>
      </c>
      <c r="AC12" s="90" t="str">
        <f t="shared" ref="AC12" si="3">AC10&amp;AC11</f>
        <v>autumn lamblambs</v>
      </c>
      <c r="AD12" s="90" t="str">
        <f t="shared" ref="AD12" si="4">AD10&amp;AD11</f>
        <v>spring lamb</v>
      </c>
      <c r="AE12" s="90" t="str">
        <f t="shared" ref="AE12" si="5">AE10&amp;AE11</f>
        <v>spring lamblambs</v>
      </c>
      <c r="AF12" s="90" t="str">
        <f t="shared" ref="AF12" si="6">AF10&amp;AF11</f>
        <v>winter lamb</v>
      </c>
      <c r="AG12" s="90" t="str">
        <f t="shared" ref="AG12" si="7">AG10&amp;AG11</f>
        <v>winter lamblambs</v>
      </c>
      <c r="AH12" s="90" t="str">
        <f t="shared" ref="AH12" si="8">AH10&amp;AH11</f>
        <v>other sheep</v>
      </c>
      <c r="AI12" s="90" t="str">
        <f t="shared" ref="AI12" si="9">AI10&amp;AI11</f>
        <v>other sheeplambs</v>
      </c>
    </row>
    <row r="13" spans="2:35" x14ac:dyDescent="0.25">
      <c r="B13" s="80" t="s">
        <v>229</v>
      </c>
      <c r="C13" s="50"/>
      <c r="D13" s="50"/>
      <c r="E13" s="50"/>
      <c r="F13" s="53">
        <v>0.86</v>
      </c>
      <c r="G13" s="54">
        <v>39770.199999999997</v>
      </c>
      <c r="H13" s="54">
        <v>0</v>
      </c>
      <c r="I13" s="54">
        <f>SUM(G13:H13)</f>
        <v>39770.199999999997</v>
      </c>
      <c r="J13" s="55">
        <f>F13*I13</f>
        <v>34202.371999999996</v>
      </c>
      <c r="K13" s="82">
        <f t="shared" ref="K13:K43" si="10">J13/SUM(J$13:J$43)</f>
        <v>0.21853861585180565</v>
      </c>
      <c r="M13" s="21" t="s">
        <v>276</v>
      </c>
      <c r="P13" s="19">
        <f>D5*(1/3)</f>
        <v>108.53333333333333</v>
      </c>
      <c r="Q13" s="19">
        <f>K5*(1/3)</f>
        <v>1.0999999999999999</v>
      </c>
      <c r="R13" s="19">
        <f>D6*(1/3)</f>
        <v>84.088888888888889</v>
      </c>
      <c r="S13" s="19">
        <f>K6*(1/3)</f>
        <v>18.333333333333332</v>
      </c>
      <c r="T13" s="19">
        <f>D7*(1/3)</f>
        <v>105.7222222222222</v>
      </c>
      <c r="U13" s="19">
        <f>K7*(1/3)</f>
        <v>47.3</v>
      </c>
      <c r="V13" s="19">
        <f>D8*(1/3)</f>
        <v>108.53333333333333</v>
      </c>
      <c r="W13" s="19">
        <f>K8*(1/3)</f>
        <v>1.0999999999999999</v>
      </c>
      <c r="Y13" s="21" t="s">
        <v>276</v>
      </c>
      <c r="AB13" s="19">
        <f>P13/P$48*100</f>
        <v>14.502048815250316</v>
      </c>
      <c r="AC13" s="19">
        <f t="shared" ref="AC13:AI13" si="11">Q13/Q$48*100</f>
        <v>0.69811719906917724</v>
      </c>
      <c r="AD13" s="19">
        <f t="shared" si="11"/>
        <v>15.175760492490328</v>
      </c>
      <c r="AE13" s="19">
        <f t="shared" si="11"/>
        <v>16.081871345029242</v>
      </c>
      <c r="AF13" s="19">
        <f t="shared" si="11"/>
        <v>14.556942659567957</v>
      </c>
      <c r="AG13" s="19">
        <f t="shared" si="11"/>
        <v>18.580594474270001</v>
      </c>
      <c r="AH13" s="19">
        <f t="shared" si="11"/>
        <v>14.502048815250316</v>
      </c>
      <c r="AI13" s="19">
        <f t="shared" si="11"/>
        <v>0.69811719906917724</v>
      </c>
    </row>
    <row r="14" spans="2:35" x14ac:dyDescent="0.25">
      <c r="B14" s="80" t="s">
        <v>230</v>
      </c>
      <c r="C14" s="50"/>
      <c r="D14" s="50"/>
      <c r="E14" s="50"/>
      <c r="F14" s="53">
        <v>0.86</v>
      </c>
      <c r="G14" s="54">
        <v>20541.099999999999</v>
      </c>
      <c r="H14" s="54">
        <v>0</v>
      </c>
      <c r="I14" s="54">
        <f t="shared" ref="I14:I44" si="12">SUM(G14:H14)</f>
        <v>20541.099999999999</v>
      </c>
      <c r="J14" s="55">
        <f t="shared" ref="J14:J44" si="13">F14*I14</f>
        <v>17665.345999999998</v>
      </c>
      <c r="K14" s="82">
        <f t="shared" si="10"/>
        <v>0.11287405047179862</v>
      </c>
      <c r="M14" s="21" t="s">
        <v>274</v>
      </c>
      <c r="P14" s="19">
        <f>D5*(2/3)</f>
        <v>217.06666666666666</v>
      </c>
      <c r="Q14" s="19">
        <f>K5*(2/3)</f>
        <v>2.1999999999999997</v>
      </c>
      <c r="R14" s="19">
        <f>D6*(2/3)</f>
        <v>168.17777777777778</v>
      </c>
      <c r="S14" s="19">
        <f>K6*(2/3)</f>
        <v>36.666666666666664</v>
      </c>
      <c r="T14" s="19">
        <f>D7*(2/3)</f>
        <v>211.4444444444444</v>
      </c>
      <c r="U14" s="19">
        <f>K7*(2/3)</f>
        <v>94.6</v>
      </c>
      <c r="V14" s="19">
        <f>D8*(2/3)</f>
        <v>217.06666666666666</v>
      </c>
      <c r="W14" s="19">
        <f>K8*(2/3)</f>
        <v>2.1999999999999997</v>
      </c>
      <c r="Y14" s="21" t="s">
        <v>274</v>
      </c>
      <c r="AB14" s="19">
        <f t="shared" ref="AB14:AB46" si="14">P14/P$48*100</f>
        <v>29.004097630500631</v>
      </c>
      <c r="AC14" s="19">
        <f t="shared" ref="AC14:AC46" si="15">Q14/Q$48*100</f>
        <v>1.3962343981383545</v>
      </c>
      <c r="AD14" s="19">
        <f t="shared" ref="AD14:AD46" si="16">R14/R$48*100</f>
        <v>30.351520984980656</v>
      </c>
      <c r="AE14" s="19">
        <f t="shared" ref="AE14:AE46" si="17">S14/S$48*100</f>
        <v>32.163742690058484</v>
      </c>
      <c r="AF14" s="19">
        <f t="shared" ref="AF14:AF46" si="18">T14/T$48*100</f>
        <v>29.113885319135914</v>
      </c>
      <c r="AG14" s="19">
        <f t="shared" ref="AG14:AG46" si="19">U14/U$48*100</f>
        <v>37.161188948540001</v>
      </c>
      <c r="AH14" s="19">
        <f t="shared" ref="AH14:AH46" si="20">V14/V$48*100</f>
        <v>29.004097630500631</v>
      </c>
      <c r="AI14" s="19">
        <f t="shared" ref="AI14:AI46" si="21">W14/W$48*100</f>
        <v>1.3962343981383545</v>
      </c>
    </row>
    <row r="15" spans="2:35" x14ac:dyDescent="0.25">
      <c r="B15" s="80" t="s">
        <v>231</v>
      </c>
      <c r="C15" s="50"/>
      <c r="D15" s="50"/>
      <c r="E15" s="50"/>
      <c r="F15" s="53">
        <v>0.86</v>
      </c>
      <c r="G15" s="54">
        <v>31138.799999999999</v>
      </c>
      <c r="H15" s="54">
        <v>0</v>
      </c>
      <c r="I15" s="54">
        <f t="shared" si="12"/>
        <v>31138.799999999999</v>
      </c>
      <c r="J15" s="55">
        <f t="shared" si="13"/>
        <v>26779.367999999999</v>
      </c>
      <c r="K15" s="82">
        <f t="shared" si="10"/>
        <v>0.17110877620143239</v>
      </c>
      <c r="M15" t="s">
        <v>277</v>
      </c>
      <c r="P15" s="19">
        <f>E5</f>
        <v>393.8</v>
      </c>
      <c r="Q15" s="19">
        <f>L5</f>
        <v>131.26666666666665</v>
      </c>
      <c r="R15" s="19">
        <f>E6</f>
        <v>240.16666666666669</v>
      </c>
      <c r="S15" s="19">
        <f>L6</f>
        <v>0</v>
      </c>
      <c r="T15" s="19">
        <f>E7</f>
        <v>404.43333333333334</v>
      </c>
      <c r="U15" s="19">
        <f>L7</f>
        <v>106.33333333333334</v>
      </c>
      <c r="V15" s="19">
        <f>E8</f>
        <v>393.8</v>
      </c>
      <c r="W15" s="19">
        <f>L8</f>
        <v>131.26666666666665</v>
      </c>
      <c r="Y15" t="s">
        <v>277</v>
      </c>
      <c r="AB15" s="19">
        <f t="shared" si="14"/>
        <v>52.618920363442022</v>
      </c>
      <c r="AC15" s="19">
        <f t="shared" si="15"/>
        <v>83.30865242225515</v>
      </c>
      <c r="AD15" s="19">
        <f t="shared" si="16"/>
        <v>43.343560127534147</v>
      </c>
      <c r="AE15" s="19">
        <f t="shared" si="17"/>
        <v>0</v>
      </c>
      <c r="AF15" s="19">
        <f t="shared" si="18"/>
        <v>55.686616486139165</v>
      </c>
      <c r="AG15" s="19">
        <f t="shared" si="19"/>
        <v>41.770328663087604</v>
      </c>
      <c r="AH15" s="19">
        <f t="shared" si="20"/>
        <v>52.618920363442022</v>
      </c>
      <c r="AI15" s="19">
        <f t="shared" si="21"/>
        <v>83.30865242225515</v>
      </c>
    </row>
    <row r="16" spans="2:35" x14ac:dyDescent="0.25">
      <c r="B16" s="80" t="s">
        <v>232</v>
      </c>
      <c r="C16" s="50"/>
      <c r="D16" s="50"/>
      <c r="E16" s="50"/>
      <c r="F16" s="53">
        <v>0.86</v>
      </c>
      <c r="G16" s="54">
        <v>192.5</v>
      </c>
      <c r="H16" s="54">
        <v>0</v>
      </c>
      <c r="I16" s="54">
        <f t="shared" si="12"/>
        <v>192.5</v>
      </c>
      <c r="J16" s="55">
        <f t="shared" si="13"/>
        <v>165.55</v>
      </c>
      <c r="K16" s="82">
        <f t="shared" si="10"/>
        <v>1.0577941159831382E-3</v>
      </c>
      <c r="M16" t="s">
        <v>229</v>
      </c>
      <c r="P16" s="47">
        <f t="shared" ref="P16:P46" si="22">F$5*K13</f>
        <v>6.3376198597023636</v>
      </c>
      <c r="Q16" s="47">
        <f t="shared" ref="Q16:Q46" si="23">M$5*K13</f>
        <v>5.0263881645915296</v>
      </c>
      <c r="R16" s="47">
        <f t="shared" ref="R16:R46" si="24">F$6*K13</f>
        <v>13.476547977528014</v>
      </c>
      <c r="S16" s="47">
        <f t="shared" ref="S16:S46" si="25">M$6*K13</f>
        <v>12.893778335256533</v>
      </c>
      <c r="T16" s="47">
        <f t="shared" ref="T16:T46" si="26">F$7*K13</f>
        <v>1.019846873975093</v>
      </c>
      <c r="U16" s="47">
        <f t="shared" ref="U16:U46" si="27">M$7*K13</f>
        <v>1.384077900394769</v>
      </c>
      <c r="V16" s="47">
        <f t="shared" ref="V16:V46" si="28">F$8*K13</f>
        <v>6.3376198597023636</v>
      </c>
      <c r="W16" s="47">
        <f t="shared" ref="W16:W46" si="29">M$8*K13</f>
        <v>5.0263881645915296</v>
      </c>
      <c r="Y16" t="s">
        <v>229</v>
      </c>
      <c r="AB16" s="47">
        <f t="shared" si="14"/>
        <v>0.84682253603719471</v>
      </c>
      <c r="AC16" s="47">
        <f t="shared" si="15"/>
        <v>3.1900072971810016</v>
      </c>
      <c r="AD16" s="47">
        <f t="shared" si="16"/>
        <v>2.4321508712376856</v>
      </c>
      <c r="AE16" s="47">
        <f t="shared" si="17"/>
        <v>11.310331873032048</v>
      </c>
      <c r="AF16" s="47">
        <f t="shared" si="18"/>
        <v>0.14042319726111982</v>
      </c>
      <c r="AG16" s="47">
        <f t="shared" si="19"/>
        <v>0.5436995811423736</v>
      </c>
      <c r="AH16" s="47">
        <f t="shared" si="20"/>
        <v>0.84682253603719471</v>
      </c>
      <c r="AI16" s="47">
        <f t="shared" si="21"/>
        <v>3.1900072971810016</v>
      </c>
    </row>
    <row r="17" spans="2:35" x14ac:dyDescent="0.25">
      <c r="B17" s="80" t="s">
        <v>233</v>
      </c>
      <c r="C17" s="50"/>
      <c r="D17" s="50"/>
      <c r="E17" s="50"/>
      <c r="F17" s="53">
        <v>0.86</v>
      </c>
      <c r="G17" s="54">
        <v>0</v>
      </c>
      <c r="H17" s="54">
        <v>0</v>
      </c>
      <c r="I17" s="54">
        <f t="shared" si="12"/>
        <v>0</v>
      </c>
      <c r="J17" s="55">
        <f t="shared" si="13"/>
        <v>0</v>
      </c>
      <c r="K17" s="82">
        <f t="shared" si="10"/>
        <v>0</v>
      </c>
      <c r="M17" t="s">
        <v>230</v>
      </c>
      <c r="P17" s="47">
        <f t="shared" si="22"/>
        <v>3.27334746368216</v>
      </c>
      <c r="Q17" s="47">
        <f t="shared" si="23"/>
        <v>2.5961031608513681</v>
      </c>
      <c r="R17" s="47">
        <f t="shared" si="24"/>
        <v>6.9605664457609144</v>
      </c>
      <c r="S17" s="47">
        <f t="shared" si="25"/>
        <v>6.659568977836118</v>
      </c>
      <c r="T17" s="47">
        <f t="shared" si="26"/>
        <v>0.52674556886839363</v>
      </c>
      <c r="U17" s="47">
        <f t="shared" si="27"/>
        <v>0.71486898632139118</v>
      </c>
      <c r="V17" s="47">
        <f t="shared" si="28"/>
        <v>3.27334746368216</v>
      </c>
      <c r="W17" s="47">
        <f t="shared" si="29"/>
        <v>2.5961031608513681</v>
      </c>
      <c r="Y17" t="s">
        <v>230</v>
      </c>
      <c r="AB17" s="47">
        <f t="shared" si="14"/>
        <v>0.43737940455400331</v>
      </c>
      <c r="AC17" s="47">
        <f t="shared" si="15"/>
        <v>1.6476220610438137</v>
      </c>
      <c r="AD17" s="47">
        <f t="shared" si="16"/>
        <v>1.2561931863852942</v>
      </c>
      <c r="AE17" s="47">
        <f t="shared" si="17"/>
        <v>5.8417271735404546</v>
      </c>
      <c r="AF17" s="47">
        <f t="shared" si="18"/>
        <v>7.252784590624109E-2</v>
      </c>
      <c r="AG17" s="47">
        <f t="shared" si="19"/>
        <v>0.28081798598457164</v>
      </c>
      <c r="AH17" s="47">
        <f t="shared" si="20"/>
        <v>0.43737940455400331</v>
      </c>
      <c r="AI17" s="47">
        <f t="shared" si="21"/>
        <v>1.6476220610438137</v>
      </c>
    </row>
    <row r="18" spans="2:35" x14ac:dyDescent="0.25">
      <c r="B18" s="80" t="s">
        <v>234</v>
      </c>
      <c r="C18" s="50"/>
      <c r="D18" s="50"/>
      <c r="E18" s="50"/>
      <c r="F18" s="53">
        <v>0.86</v>
      </c>
      <c r="G18" s="54">
        <v>8026.8</v>
      </c>
      <c r="H18" s="54">
        <v>84</v>
      </c>
      <c r="I18" s="54">
        <f t="shared" si="12"/>
        <v>8110.8</v>
      </c>
      <c r="J18" s="55">
        <f t="shared" si="13"/>
        <v>6975.2880000000005</v>
      </c>
      <c r="K18" s="82">
        <f t="shared" si="10"/>
        <v>4.4569124758005382E-2</v>
      </c>
      <c r="M18" t="s">
        <v>231</v>
      </c>
      <c r="P18" s="47">
        <f t="shared" si="22"/>
        <v>4.9621545098415396</v>
      </c>
      <c r="Q18" s="47">
        <f t="shared" si="23"/>
        <v>3.9355018526329451</v>
      </c>
      <c r="R18" s="47">
        <f t="shared" si="24"/>
        <v>10.551707865754997</v>
      </c>
      <c r="S18" s="47">
        <f t="shared" si="25"/>
        <v>10.095417795884511</v>
      </c>
      <c r="T18" s="47">
        <f t="shared" si="26"/>
        <v>0.79850762227335115</v>
      </c>
      <c r="U18" s="47">
        <f t="shared" si="27"/>
        <v>1.083688915942405</v>
      </c>
      <c r="V18" s="47">
        <f t="shared" si="28"/>
        <v>4.9621545098415396</v>
      </c>
      <c r="W18" s="47">
        <f t="shared" si="29"/>
        <v>3.9355018526329451</v>
      </c>
      <c r="Y18" t="s">
        <v>231</v>
      </c>
      <c r="AB18" s="47">
        <f t="shared" si="14"/>
        <v>0.66303507614130686</v>
      </c>
      <c r="AC18" s="47">
        <f t="shared" si="15"/>
        <v>2.4976741184469726</v>
      </c>
      <c r="AD18" s="47">
        <f t="shared" si="16"/>
        <v>1.9042966731194728</v>
      </c>
      <c r="AE18" s="47">
        <f t="shared" si="17"/>
        <v>8.8556296455127299</v>
      </c>
      <c r="AF18" s="47">
        <f t="shared" si="18"/>
        <v>0.10994689126216511</v>
      </c>
      <c r="AG18" s="47">
        <f t="shared" si="19"/>
        <v>0.42569945630839534</v>
      </c>
      <c r="AH18" s="47">
        <f t="shared" si="20"/>
        <v>0.66303507614130686</v>
      </c>
      <c r="AI18" s="47">
        <f t="shared" si="21"/>
        <v>2.4976741184469726</v>
      </c>
    </row>
    <row r="19" spans="2:35" x14ac:dyDescent="0.25">
      <c r="B19" s="80" t="s">
        <v>235</v>
      </c>
      <c r="C19" s="50"/>
      <c r="D19" s="50"/>
      <c r="E19" s="50"/>
      <c r="F19" s="53">
        <v>0.85</v>
      </c>
      <c r="G19" s="54">
        <v>155.5</v>
      </c>
      <c r="H19" s="54">
        <v>24</v>
      </c>
      <c r="I19" s="54">
        <f t="shared" si="12"/>
        <v>179.5</v>
      </c>
      <c r="J19" s="55">
        <f t="shared" si="13"/>
        <v>152.57499999999999</v>
      </c>
      <c r="K19" s="82">
        <f t="shared" si="10"/>
        <v>9.7488938233843104E-4</v>
      </c>
      <c r="L19" s="58"/>
      <c r="M19" t="s">
        <v>232</v>
      </c>
      <c r="P19" s="47">
        <f t="shared" si="22"/>
        <v>3.0676029363511007E-2</v>
      </c>
      <c r="Q19" s="47">
        <f t="shared" si="23"/>
        <v>2.4329264667612177E-2</v>
      </c>
      <c r="R19" s="47">
        <f t="shared" si="24"/>
        <v>6.5230637152293519E-2</v>
      </c>
      <c r="S19" s="47">
        <f t="shared" si="25"/>
        <v>6.2409852843005154E-2</v>
      </c>
      <c r="T19" s="47">
        <f t="shared" si="26"/>
        <v>4.9363725412546449E-3</v>
      </c>
      <c r="U19" s="47">
        <f t="shared" si="27"/>
        <v>6.6993627345598751E-3</v>
      </c>
      <c r="V19" s="47">
        <f t="shared" si="28"/>
        <v>3.0676029363511007E-2</v>
      </c>
      <c r="W19" s="47">
        <f t="shared" si="29"/>
        <v>2.4329264667612177E-2</v>
      </c>
      <c r="Y19" t="s">
        <v>232</v>
      </c>
      <c r="AB19" s="47">
        <f t="shared" si="14"/>
        <v>4.0988815290634705E-3</v>
      </c>
      <c r="AC19" s="47">
        <f t="shared" si="15"/>
        <v>1.544061645924192E-2</v>
      </c>
      <c r="AD19" s="47">
        <f t="shared" si="16"/>
        <v>1.1772358266069939E-2</v>
      </c>
      <c r="AE19" s="47">
        <f t="shared" si="17"/>
        <v>5.4745484950004523E-2</v>
      </c>
      <c r="AF19" s="47">
        <f t="shared" si="18"/>
        <v>6.7969146428143638E-4</v>
      </c>
      <c r="AG19" s="47">
        <f t="shared" si="19"/>
        <v>2.6316731967630778E-3</v>
      </c>
      <c r="AH19" s="47">
        <f t="shared" si="20"/>
        <v>4.0988815290634705E-3</v>
      </c>
      <c r="AI19" s="47">
        <f t="shared" si="21"/>
        <v>1.544061645924192E-2</v>
      </c>
    </row>
    <row r="20" spans="2:35" x14ac:dyDescent="0.25">
      <c r="B20" s="80" t="s">
        <v>236</v>
      </c>
      <c r="C20" s="50"/>
      <c r="D20" s="50"/>
      <c r="E20" s="50"/>
      <c r="F20" s="53">
        <v>0.85</v>
      </c>
      <c r="G20" s="54">
        <v>1126.0999999999999</v>
      </c>
      <c r="H20" s="54">
        <v>0</v>
      </c>
      <c r="I20" s="54">
        <f t="shared" si="12"/>
        <v>1126.0999999999999</v>
      </c>
      <c r="J20" s="55">
        <f t="shared" si="13"/>
        <v>957.18499999999995</v>
      </c>
      <c r="K20" s="82">
        <f t="shared" si="10"/>
        <v>6.1160052002858347E-3</v>
      </c>
      <c r="L20" s="59"/>
      <c r="M20" t="s">
        <v>233</v>
      </c>
      <c r="P20" s="47">
        <f t="shared" si="22"/>
        <v>0</v>
      </c>
      <c r="Q20" s="47">
        <f t="shared" si="23"/>
        <v>0</v>
      </c>
      <c r="R20" s="47">
        <f t="shared" si="24"/>
        <v>0</v>
      </c>
      <c r="S20" s="47">
        <f t="shared" si="25"/>
        <v>0</v>
      </c>
      <c r="T20" s="47">
        <f t="shared" si="26"/>
        <v>0</v>
      </c>
      <c r="U20" s="47">
        <f t="shared" si="27"/>
        <v>0</v>
      </c>
      <c r="V20" s="47">
        <f t="shared" si="28"/>
        <v>0</v>
      </c>
      <c r="W20" s="47">
        <f t="shared" si="29"/>
        <v>0</v>
      </c>
      <c r="Y20" t="s">
        <v>233</v>
      </c>
      <c r="AB20" s="47">
        <f t="shared" si="14"/>
        <v>0</v>
      </c>
      <c r="AC20" s="47">
        <f t="shared" si="15"/>
        <v>0</v>
      </c>
      <c r="AD20" s="47">
        <f t="shared" si="16"/>
        <v>0</v>
      </c>
      <c r="AE20" s="47">
        <f t="shared" si="17"/>
        <v>0</v>
      </c>
      <c r="AF20" s="47">
        <f t="shared" si="18"/>
        <v>0</v>
      </c>
      <c r="AG20" s="47">
        <f t="shared" si="19"/>
        <v>0</v>
      </c>
      <c r="AH20" s="47">
        <f t="shared" si="20"/>
        <v>0</v>
      </c>
      <c r="AI20" s="47">
        <f t="shared" si="21"/>
        <v>0</v>
      </c>
    </row>
    <row r="21" spans="2:35" x14ac:dyDescent="0.25">
      <c r="B21" s="80" t="s">
        <v>237</v>
      </c>
      <c r="C21" s="50"/>
      <c r="D21" s="50"/>
      <c r="E21" s="50"/>
      <c r="F21" s="53">
        <v>0.91</v>
      </c>
      <c r="G21" s="54">
        <v>20227.2</v>
      </c>
      <c r="H21" s="54">
        <v>29</v>
      </c>
      <c r="I21" s="54">
        <f t="shared" si="12"/>
        <v>20256.2</v>
      </c>
      <c r="J21" s="55">
        <f t="shared" si="13"/>
        <v>18433.142</v>
      </c>
      <c r="K21" s="82">
        <f t="shared" si="10"/>
        <v>0.11777994048131472</v>
      </c>
      <c r="L21" s="60"/>
      <c r="M21" t="s">
        <v>234</v>
      </c>
      <c r="P21" s="47">
        <f t="shared" si="22"/>
        <v>1.292504617982156</v>
      </c>
      <c r="Q21" s="47">
        <f t="shared" si="23"/>
        <v>1.0250898694341237</v>
      </c>
      <c r="R21" s="47">
        <f t="shared" si="24"/>
        <v>2.7484293600769987</v>
      </c>
      <c r="S21" s="47">
        <f t="shared" si="25"/>
        <v>2.6295783607223178</v>
      </c>
      <c r="T21" s="47">
        <f t="shared" si="26"/>
        <v>0.20798924887069178</v>
      </c>
      <c r="U21" s="47">
        <f t="shared" si="27"/>
        <v>0.28227112346736744</v>
      </c>
      <c r="V21" s="47">
        <f t="shared" si="28"/>
        <v>1.292504617982156</v>
      </c>
      <c r="W21" s="47">
        <f t="shared" si="29"/>
        <v>1.0250898694341237</v>
      </c>
      <c r="Y21" t="s">
        <v>234</v>
      </c>
      <c r="AB21" s="47">
        <f t="shared" si="14"/>
        <v>0.17270238081001552</v>
      </c>
      <c r="AC21" s="47">
        <f t="shared" si="15"/>
        <v>0.65057533494867192</v>
      </c>
      <c r="AD21" s="47">
        <f t="shared" si="16"/>
        <v>0.4960168489581302</v>
      </c>
      <c r="AE21" s="47">
        <f t="shared" si="17"/>
        <v>2.3066476848441386</v>
      </c>
      <c r="AF21" s="47">
        <f t="shared" si="18"/>
        <v>2.8638137810357785E-2</v>
      </c>
      <c r="AG21" s="47">
        <f t="shared" si="19"/>
        <v>0.11088298682756348</v>
      </c>
      <c r="AH21" s="47">
        <f t="shared" si="20"/>
        <v>0.17270238081001552</v>
      </c>
      <c r="AI21" s="47">
        <f t="shared" si="21"/>
        <v>0.65057533494867192</v>
      </c>
    </row>
    <row r="22" spans="2:35" x14ac:dyDescent="0.25">
      <c r="B22" s="80" t="s">
        <v>238</v>
      </c>
      <c r="C22" s="50"/>
      <c r="D22" s="50"/>
      <c r="E22" s="50"/>
      <c r="F22" s="53">
        <v>0.91</v>
      </c>
      <c r="G22" s="54">
        <v>6.3</v>
      </c>
      <c r="H22" s="54">
        <v>21</v>
      </c>
      <c r="I22" s="54">
        <f t="shared" si="12"/>
        <v>27.3</v>
      </c>
      <c r="J22" s="55">
        <f t="shared" si="13"/>
        <v>24.843</v>
      </c>
      <c r="K22" s="82">
        <f t="shared" si="10"/>
        <v>1.5873620793336815E-4</v>
      </c>
      <c r="L22" s="61"/>
      <c r="M22" t="s">
        <v>235</v>
      </c>
      <c r="P22" s="47">
        <f t="shared" si="22"/>
        <v>2.8271792087814499E-2</v>
      </c>
      <c r="Q22" s="47">
        <f t="shared" si="23"/>
        <v>2.2422455793783914E-2</v>
      </c>
      <c r="R22" s="47">
        <f t="shared" si="24"/>
        <v>6.0118178577536575E-2</v>
      </c>
      <c r="S22" s="47">
        <f t="shared" si="25"/>
        <v>5.751847355796743E-2</v>
      </c>
      <c r="T22" s="47">
        <f t="shared" si="26"/>
        <v>4.5494837842460119E-3</v>
      </c>
      <c r="U22" s="47">
        <f t="shared" si="27"/>
        <v>6.1742994214767297E-3</v>
      </c>
      <c r="V22" s="47">
        <f t="shared" si="28"/>
        <v>2.8271792087814499E-2</v>
      </c>
      <c r="W22" s="47">
        <f t="shared" si="29"/>
        <v>2.2422455793783914E-2</v>
      </c>
      <c r="Y22" t="s">
        <v>235</v>
      </c>
      <c r="AB22" s="47">
        <f t="shared" si="14"/>
        <v>3.7776312249885764E-3</v>
      </c>
      <c r="AC22" s="47">
        <f t="shared" si="15"/>
        <v>1.4230456395462613E-2</v>
      </c>
      <c r="AD22" s="47">
        <f t="shared" si="16"/>
        <v>1.084969835364313E-2</v>
      </c>
      <c r="AE22" s="47">
        <f t="shared" si="17"/>
        <v>5.0454801366638102E-2</v>
      </c>
      <c r="AF22" s="47">
        <f t="shared" si="18"/>
        <v>6.2642056878731579E-4</v>
      </c>
      <c r="AG22" s="47">
        <f t="shared" si="19"/>
        <v>2.4254155119065326E-3</v>
      </c>
      <c r="AH22" s="47">
        <f t="shared" si="20"/>
        <v>3.7776312249885764E-3</v>
      </c>
      <c r="AI22" s="47">
        <f t="shared" si="21"/>
        <v>1.4230456395462613E-2</v>
      </c>
    </row>
    <row r="23" spans="2:35" x14ac:dyDescent="0.25">
      <c r="B23" s="80" t="s">
        <v>239</v>
      </c>
      <c r="C23" s="50"/>
      <c r="D23" s="50"/>
      <c r="E23" s="50"/>
      <c r="F23" s="53">
        <v>1</v>
      </c>
      <c r="G23" s="54">
        <v>0</v>
      </c>
      <c r="H23" s="54">
        <v>7774.3</v>
      </c>
      <c r="I23" s="54">
        <f t="shared" si="12"/>
        <v>7774.3</v>
      </c>
      <c r="J23" s="55">
        <f t="shared" si="13"/>
        <v>7774.3</v>
      </c>
      <c r="K23" s="82">
        <f t="shared" si="10"/>
        <v>4.9674471735957175E-2</v>
      </c>
      <c r="L23" s="61"/>
      <c r="M23" t="s">
        <v>236</v>
      </c>
      <c r="P23" s="47">
        <f t="shared" si="22"/>
        <v>0.17736415080828921</v>
      </c>
      <c r="Q23" s="47">
        <f t="shared" si="23"/>
        <v>0.14066811960657419</v>
      </c>
      <c r="R23" s="47">
        <f t="shared" si="24"/>
        <v>0.37715365401762646</v>
      </c>
      <c r="S23" s="47">
        <f t="shared" si="25"/>
        <v>0.36084430681686425</v>
      </c>
      <c r="T23" s="47">
        <f t="shared" si="26"/>
        <v>2.8541357601333896E-2</v>
      </c>
      <c r="U23" s="47">
        <f t="shared" si="27"/>
        <v>3.8734699601810287E-2</v>
      </c>
      <c r="V23" s="47">
        <f t="shared" si="28"/>
        <v>0.17736415080828921</v>
      </c>
      <c r="W23" s="47">
        <f t="shared" si="29"/>
        <v>0.14066811960657419</v>
      </c>
      <c r="Y23" t="s">
        <v>236</v>
      </c>
      <c r="AB23" s="47">
        <f t="shared" si="14"/>
        <v>2.3699111545736139E-2</v>
      </c>
      <c r="AC23" s="47">
        <f t="shared" si="15"/>
        <v>8.9275303325517821E-2</v>
      </c>
      <c r="AD23" s="47">
        <f t="shared" si="16"/>
        <v>6.8065990618593489E-2</v>
      </c>
      <c r="AE23" s="47">
        <f t="shared" si="17"/>
        <v>0.31653009369900376</v>
      </c>
      <c r="AF23" s="47">
        <f t="shared" si="18"/>
        <v>3.9298729944924589E-3</v>
      </c>
      <c r="AG23" s="47">
        <f t="shared" si="19"/>
        <v>1.5215935420378532E-2</v>
      </c>
      <c r="AH23" s="47">
        <f t="shared" si="20"/>
        <v>2.3699111545736139E-2</v>
      </c>
      <c r="AI23" s="47">
        <f t="shared" si="21"/>
        <v>8.9275303325517821E-2</v>
      </c>
    </row>
    <row r="24" spans="2:35" x14ac:dyDescent="0.25">
      <c r="B24" s="80" t="s">
        <v>240</v>
      </c>
      <c r="C24" s="50"/>
      <c r="D24" s="50"/>
      <c r="E24" s="50"/>
      <c r="F24" s="53">
        <v>0.87</v>
      </c>
      <c r="G24" s="54">
        <v>0</v>
      </c>
      <c r="H24" s="54">
        <v>1</v>
      </c>
      <c r="I24" s="54">
        <f t="shared" si="12"/>
        <v>1</v>
      </c>
      <c r="J24" s="55">
        <f t="shared" si="13"/>
        <v>0.87</v>
      </c>
      <c r="K24" s="82">
        <f t="shared" si="10"/>
        <v>5.5589301172173361E-6</v>
      </c>
      <c r="L24" s="61"/>
      <c r="M24" t="s">
        <v>237</v>
      </c>
      <c r="P24" s="47">
        <f t="shared" si="22"/>
        <v>3.4156182739581271</v>
      </c>
      <c r="Q24" s="47">
        <f t="shared" si="23"/>
        <v>2.7089386310702386</v>
      </c>
      <c r="R24" s="47">
        <f t="shared" si="24"/>
        <v>7.2630963296810744</v>
      </c>
      <c r="S24" s="47">
        <f t="shared" si="25"/>
        <v>6.9490164883975689</v>
      </c>
      <c r="T24" s="47">
        <f t="shared" si="26"/>
        <v>0.54963972224613544</v>
      </c>
      <c r="U24" s="47">
        <f t="shared" si="27"/>
        <v>0.74593962304832651</v>
      </c>
      <c r="V24" s="47">
        <f t="shared" si="28"/>
        <v>3.4156182739581271</v>
      </c>
      <c r="W24" s="47">
        <f t="shared" si="29"/>
        <v>2.7089386310702386</v>
      </c>
      <c r="Y24" t="s">
        <v>237</v>
      </c>
      <c r="AB24" s="47">
        <f t="shared" si="14"/>
        <v>0.45638940058232602</v>
      </c>
      <c r="AC24" s="47">
        <f t="shared" si="15"/>
        <v>1.7192333177936787</v>
      </c>
      <c r="AD24" s="47">
        <f t="shared" si="16"/>
        <v>1.310791613369622</v>
      </c>
      <c r="AE24" s="47">
        <f t="shared" si="17"/>
        <v>6.0956284985943601</v>
      </c>
      <c r="AF24" s="47">
        <f t="shared" si="18"/>
        <v>7.5680152686726926E-2</v>
      </c>
      <c r="AG24" s="47">
        <f t="shared" si="19"/>
        <v>0.29302329044716247</v>
      </c>
      <c r="AH24" s="47">
        <f t="shared" si="20"/>
        <v>0.45638940058232602</v>
      </c>
      <c r="AI24" s="47">
        <f t="shared" si="21"/>
        <v>1.7192333177936787</v>
      </c>
    </row>
    <row r="25" spans="2:35" x14ac:dyDescent="0.25">
      <c r="B25" s="80" t="s">
        <v>241</v>
      </c>
      <c r="C25" s="50"/>
      <c r="D25" s="50"/>
      <c r="E25" s="50"/>
      <c r="F25" s="53">
        <v>0.875</v>
      </c>
      <c r="G25" s="54">
        <v>140.6</v>
      </c>
      <c r="H25" s="54">
        <v>22511.5</v>
      </c>
      <c r="I25" s="54">
        <f t="shared" si="12"/>
        <v>22652.1</v>
      </c>
      <c r="J25" s="55">
        <f t="shared" si="13"/>
        <v>19820.587499999998</v>
      </c>
      <c r="K25" s="82">
        <f t="shared" si="10"/>
        <v>0.12664512735022007</v>
      </c>
      <c r="L25" s="61"/>
      <c r="M25" t="s">
        <v>238</v>
      </c>
      <c r="P25" s="47">
        <f t="shared" si="22"/>
        <v>4.6033500300676766E-3</v>
      </c>
      <c r="Q25" s="47">
        <f t="shared" si="23"/>
        <v>3.6509327824674675E-3</v>
      </c>
      <c r="R25" s="47">
        <f t="shared" si="24"/>
        <v>9.7887328225577021E-3</v>
      </c>
      <c r="S25" s="47">
        <f t="shared" si="25"/>
        <v>9.3654362680687213E-3</v>
      </c>
      <c r="T25" s="47">
        <f t="shared" si="26"/>
        <v>7.4076897035571803E-4</v>
      </c>
      <c r="U25" s="47">
        <f t="shared" si="27"/>
        <v>1.0053293169113315E-3</v>
      </c>
      <c r="V25" s="47">
        <f t="shared" si="28"/>
        <v>4.6033500300676766E-3</v>
      </c>
      <c r="W25" s="47">
        <f t="shared" si="29"/>
        <v>3.6509327824674675E-3</v>
      </c>
      <c r="Y25" t="s">
        <v>238</v>
      </c>
      <c r="AB25" s="47">
        <f t="shared" si="14"/>
        <v>6.1509220070385851E-4</v>
      </c>
      <c r="AC25" s="47">
        <f t="shared" si="15"/>
        <v>2.317071789169115E-3</v>
      </c>
      <c r="AD25" s="47">
        <f t="shared" si="16"/>
        <v>1.7666004011112982E-3</v>
      </c>
      <c r="AE25" s="47">
        <f t="shared" si="17"/>
        <v>8.2152949719901079E-3</v>
      </c>
      <c r="AF25" s="47">
        <f t="shared" si="18"/>
        <v>1.01996829037413E-4</v>
      </c>
      <c r="AG25" s="47">
        <f t="shared" si="19"/>
        <v>3.9491789324787145E-4</v>
      </c>
      <c r="AH25" s="47">
        <f t="shared" si="20"/>
        <v>6.1509220070385851E-4</v>
      </c>
      <c r="AI25" s="47">
        <f t="shared" si="21"/>
        <v>2.317071789169115E-3</v>
      </c>
    </row>
    <row r="26" spans="2:35" x14ac:dyDescent="0.25">
      <c r="B26" s="80" t="s">
        <v>242</v>
      </c>
      <c r="C26" s="50"/>
      <c r="D26" s="50"/>
      <c r="E26" s="50"/>
      <c r="F26" s="53">
        <v>0.87</v>
      </c>
      <c r="G26" s="54">
        <v>0</v>
      </c>
      <c r="H26" s="54">
        <v>0.9</v>
      </c>
      <c r="I26" s="54">
        <f t="shared" si="12"/>
        <v>0.9</v>
      </c>
      <c r="J26" s="55">
        <f t="shared" si="13"/>
        <v>0.78300000000000003</v>
      </c>
      <c r="K26" s="82">
        <f t="shared" si="10"/>
        <v>5.0030371054956028E-6</v>
      </c>
      <c r="L26" s="61"/>
      <c r="M26" t="s">
        <v>239</v>
      </c>
      <c r="P26" s="47">
        <f t="shared" si="22"/>
        <v>1.4405596803427581</v>
      </c>
      <c r="Q26" s="47">
        <f t="shared" si="23"/>
        <v>1.142512849927015</v>
      </c>
      <c r="R26" s="47">
        <f t="shared" si="24"/>
        <v>3.0632590903840256</v>
      </c>
      <c r="S26" s="47">
        <f t="shared" si="25"/>
        <v>2.9307938324214735</v>
      </c>
      <c r="T26" s="47">
        <f t="shared" si="26"/>
        <v>0.23181420143446682</v>
      </c>
      <c r="U26" s="47">
        <f t="shared" si="27"/>
        <v>0.3146049876610621</v>
      </c>
      <c r="V26" s="47">
        <f t="shared" si="28"/>
        <v>1.4405596803427581</v>
      </c>
      <c r="W26" s="47">
        <f t="shared" si="29"/>
        <v>1.142512849927015</v>
      </c>
      <c r="Y26" t="s">
        <v>239</v>
      </c>
      <c r="AB26" s="47">
        <f t="shared" si="14"/>
        <v>0.19248525926546745</v>
      </c>
      <c r="AC26" s="47">
        <f t="shared" si="15"/>
        <v>0.72509806426508272</v>
      </c>
      <c r="AD26" s="47">
        <f t="shared" si="16"/>
        <v>0.55283506413716399</v>
      </c>
      <c r="AE26" s="47">
        <f t="shared" si="17"/>
        <v>2.5708717828258543</v>
      </c>
      <c r="AF26" s="47">
        <f t="shared" si="18"/>
        <v>3.1918606769937602E-2</v>
      </c>
      <c r="AG26" s="47">
        <f t="shared" si="19"/>
        <v>0.12358451787130892</v>
      </c>
      <c r="AH26" s="47">
        <f t="shared" si="20"/>
        <v>0.19248525926546745</v>
      </c>
      <c r="AI26" s="47">
        <f t="shared" si="21"/>
        <v>0.72509806426508272</v>
      </c>
    </row>
    <row r="27" spans="2:35" x14ac:dyDescent="0.25">
      <c r="B27" s="80" t="s">
        <v>243</v>
      </c>
      <c r="C27" s="50"/>
      <c r="D27" s="50"/>
      <c r="E27" s="50"/>
      <c r="F27" s="53">
        <v>0.89500000000000002</v>
      </c>
      <c r="G27" s="54">
        <v>9301.6</v>
      </c>
      <c r="H27" s="54">
        <v>191</v>
      </c>
      <c r="I27" s="54">
        <f t="shared" si="12"/>
        <v>9492.6</v>
      </c>
      <c r="J27" s="55">
        <f t="shared" si="13"/>
        <v>8495.8770000000004</v>
      </c>
      <c r="K27" s="82">
        <f t="shared" si="10"/>
        <v>5.4285041985602384E-2</v>
      </c>
      <c r="L27" s="61"/>
      <c r="M27" t="s">
        <v>240</v>
      </c>
      <c r="P27" s="47">
        <f t="shared" si="22"/>
        <v>1.6120897339930274E-4</v>
      </c>
      <c r="Q27" s="47">
        <f t="shared" si="23"/>
        <v>1.2785539269599873E-4</v>
      </c>
      <c r="R27" s="47">
        <f t="shared" si="24"/>
        <v>3.4280069056173571E-4</v>
      </c>
      <c r="S27" s="47">
        <f t="shared" si="25"/>
        <v>3.2797687691582284E-4</v>
      </c>
      <c r="T27" s="47">
        <f t="shared" si="26"/>
        <v>2.5941673880347568E-5</v>
      </c>
      <c r="U27" s="47">
        <f t="shared" si="27"/>
        <v>3.5206557409043125E-5</v>
      </c>
      <c r="V27" s="47">
        <f t="shared" si="28"/>
        <v>1.6120897339930274E-4</v>
      </c>
      <c r="W27" s="47">
        <f t="shared" si="29"/>
        <v>1.2785539269599873E-4</v>
      </c>
      <c r="Y27" t="s">
        <v>240</v>
      </c>
      <c r="AB27" s="47">
        <f t="shared" si="14"/>
        <v>2.1540482816582413E-5</v>
      </c>
      <c r="AC27" s="47">
        <f t="shared" si="15"/>
        <v>8.1143680577109445E-5</v>
      </c>
      <c r="AD27" s="47">
        <f t="shared" si="16"/>
        <v>6.1866213781219229E-5</v>
      </c>
      <c r="AE27" s="47">
        <f t="shared" si="17"/>
        <v>2.8769901483844112E-4</v>
      </c>
      <c r="AF27" s="47">
        <f t="shared" si="18"/>
        <v>3.5719213163687675E-6</v>
      </c>
      <c r="AG27" s="47">
        <f t="shared" si="19"/>
        <v>1.3829995053964826E-5</v>
      </c>
      <c r="AH27" s="47">
        <f t="shared" si="20"/>
        <v>2.1540482816582413E-5</v>
      </c>
      <c r="AI27" s="47">
        <f t="shared" si="21"/>
        <v>8.1143680577109445E-5</v>
      </c>
    </row>
    <row r="28" spans="2:35" x14ac:dyDescent="0.25">
      <c r="B28" s="80" t="s">
        <v>244</v>
      </c>
      <c r="C28" s="50"/>
      <c r="D28" s="50"/>
      <c r="E28" s="50"/>
      <c r="F28" s="53">
        <v>0.91</v>
      </c>
      <c r="G28" s="54">
        <v>54.8</v>
      </c>
      <c r="H28" s="54">
        <v>0</v>
      </c>
      <c r="I28" s="54">
        <f t="shared" si="12"/>
        <v>54.8</v>
      </c>
      <c r="J28" s="55">
        <f t="shared" si="13"/>
        <v>49.868000000000002</v>
      </c>
      <c r="K28" s="82">
        <f t="shared" si="10"/>
        <v>3.1863531848895879E-4</v>
      </c>
      <c r="L28" s="61"/>
      <c r="M28" t="s">
        <v>241</v>
      </c>
      <c r="P28" s="47">
        <f t="shared" si="22"/>
        <v>3.6727086931563822</v>
      </c>
      <c r="Q28" s="47">
        <f t="shared" si="23"/>
        <v>2.9128379290550614</v>
      </c>
      <c r="R28" s="47">
        <f t="shared" si="24"/>
        <v>7.8097828532635711</v>
      </c>
      <c r="S28" s="47">
        <f t="shared" si="25"/>
        <v>7.4720625136629844</v>
      </c>
      <c r="T28" s="47">
        <f t="shared" si="26"/>
        <v>0.59101059430102709</v>
      </c>
      <c r="U28" s="47">
        <f t="shared" si="27"/>
        <v>0.80208580655139372</v>
      </c>
      <c r="V28" s="47">
        <f t="shared" si="28"/>
        <v>3.6727086931563822</v>
      </c>
      <c r="W28" s="47">
        <f t="shared" si="29"/>
        <v>2.9128379290550614</v>
      </c>
      <c r="Y28" t="s">
        <v>241</v>
      </c>
      <c r="AB28" s="47">
        <f t="shared" si="14"/>
        <v>0.49074140742335415</v>
      </c>
      <c r="AC28" s="47">
        <f t="shared" si="15"/>
        <v>1.8486384148858024</v>
      </c>
      <c r="AD28" s="47">
        <f t="shared" si="16"/>
        <v>1.4094536822348984</v>
      </c>
      <c r="AE28" s="47">
        <f t="shared" si="17"/>
        <v>6.5544408014587594</v>
      </c>
      <c r="AF28" s="47">
        <f t="shared" si="18"/>
        <v>8.1376527579542932E-2</v>
      </c>
      <c r="AG28" s="47">
        <f t="shared" si="19"/>
        <v>0.31507888171457132</v>
      </c>
      <c r="AH28" s="47">
        <f t="shared" si="20"/>
        <v>0.49074140742335415</v>
      </c>
      <c r="AI28" s="47">
        <f t="shared" si="21"/>
        <v>1.8486384148858024</v>
      </c>
    </row>
    <row r="29" spans="2:35" x14ac:dyDescent="0.25">
      <c r="B29" s="80" t="s">
        <v>245</v>
      </c>
      <c r="C29" s="50"/>
      <c r="D29" s="50"/>
      <c r="E29" s="50"/>
      <c r="F29" s="53">
        <v>0.91</v>
      </c>
      <c r="G29" s="54">
        <v>13.3</v>
      </c>
      <c r="H29" s="54">
        <v>144</v>
      </c>
      <c r="I29" s="54">
        <f t="shared" si="12"/>
        <v>157.30000000000001</v>
      </c>
      <c r="J29" s="55">
        <f t="shared" si="13"/>
        <v>143.14300000000003</v>
      </c>
      <c r="K29" s="82">
        <f t="shared" si="10"/>
        <v>9.1462291237797853E-4</v>
      </c>
      <c r="L29" s="61"/>
      <c r="M29" t="s">
        <v>242</v>
      </c>
      <c r="P29" s="47">
        <f t="shared" si="22"/>
        <v>1.4508807605937248E-4</v>
      </c>
      <c r="Q29" s="47">
        <f t="shared" si="23"/>
        <v>1.1506985342639886E-4</v>
      </c>
      <c r="R29" s="47">
        <f t="shared" si="24"/>
        <v>3.0852062150556214E-4</v>
      </c>
      <c r="S29" s="47">
        <f t="shared" si="25"/>
        <v>2.9517918922424057E-4</v>
      </c>
      <c r="T29" s="47">
        <f t="shared" si="26"/>
        <v>2.3347506492312814E-5</v>
      </c>
      <c r="U29" s="47">
        <f t="shared" si="27"/>
        <v>3.1685901668138813E-5</v>
      </c>
      <c r="V29" s="47">
        <f t="shared" si="28"/>
        <v>1.4508807605937248E-4</v>
      </c>
      <c r="W29" s="47">
        <f t="shared" si="29"/>
        <v>1.1506985342639886E-4</v>
      </c>
      <c r="Y29" t="s">
        <v>242</v>
      </c>
      <c r="AB29" s="47">
        <f t="shared" si="14"/>
        <v>1.938643453492417E-5</v>
      </c>
      <c r="AC29" s="47">
        <f t="shared" si="15"/>
        <v>7.3029312519398498E-5</v>
      </c>
      <c r="AD29" s="47">
        <f t="shared" si="16"/>
        <v>5.5679592403097307E-5</v>
      </c>
      <c r="AE29" s="47">
        <f t="shared" si="17"/>
        <v>2.58929113354597E-4</v>
      </c>
      <c r="AF29" s="47">
        <f t="shared" si="18"/>
        <v>3.2147291847318914E-6</v>
      </c>
      <c r="AG29" s="47">
        <f t="shared" si="19"/>
        <v>1.2446995548568345E-5</v>
      </c>
      <c r="AH29" s="47">
        <f t="shared" si="20"/>
        <v>1.938643453492417E-5</v>
      </c>
      <c r="AI29" s="47">
        <f t="shared" si="21"/>
        <v>7.3029312519398498E-5</v>
      </c>
    </row>
    <row r="30" spans="2:35" x14ac:dyDescent="0.25">
      <c r="B30" s="80" t="s">
        <v>246</v>
      </c>
      <c r="C30" s="50"/>
      <c r="D30" s="50"/>
      <c r="E30" s="50"/>
      <c r="F30" s="53">
        <v>0.9</v>
      </c>
      <c r="G30" s="54">
        <v>1181.8</v>
      </c>
      <c r="H30" s="54">
        <v>44</v>
      </c>
      <c r="I30" s="54">
        <f t="shared" si="12"/>
        <v>1225.8</v>
      </c>
      <c r="J30" s="55">
        <f t="shared" si="13"/>
        <v>1103.22</v>
      </c>
      <c r="K30" s="82">
        <f t="shared" si="10"/>
        <v>7.0491067631224258E-3</v>
      </c>
      <c r="L30" s="61"/>
      <c r="M30" t="s">
        <v>243</v>
      </c>
      <c r="P30" s="47">
        <f t="shared" si="22"/>
        <v>1.5742662175824691</v>
      </c>
      <c r="Q30" s="47">
        <f t="shared" si="23"/>
        <v>1.2485559656688547</v>
      </c>
      <c r="R30" s="47">
        <f t="shared" si="24"/>
        <v>3.3475775891121469</v>
      </c>
      <c r="S30" s="47">
        <f t="shared" si="25"/>
        <v>3.2028174771505404</v>
      </c>
      <c r="T30" s="47">
        <f t="shared" si="26"/>
        <v>0.25333019593281114</v>
      </c>
      <c r="U30" s="47">
        <f t="shared" si="27"/>
        <v>0.34380526590881511</v>
      </c>
      <c r="V30" s="47">
        <f t="shared" si="28"/>
        <v>1.5742662175824691</v>
      </c>
      <c r="W30" s="47">
        <f t="shared" si="29"/>
        <v>1.2485559656688547</v>
      </c>
      <c r="Y30" t="s">
        <v>243</v>
      </c>
      <c r="AB30" s="47">
        <f t="shared" si="14"/>
        <v>0.21035091095436523</v>
      </c>
      <c r="AC30" s="47">
        <f t="shared" si="15"/>
        <v>0.79239853966713902</v>
      </c>
      <c r="AD30" s="47">
        <f t="shared" si="16"/>
        <v>0.60414683073671682</v>
      </c>
      <c r="AE30" s="47">
        <f t="shared" si="17"/>
        <v>2.8094890150443339</v>
      </c>
      <c r="AF30" s="47">
        <f t="shared" si="18"/>
        <v>3.4881154204077169E-2</v>
      </c>
      <c r="AG30" s="47">
        <f t="shared" si="19"/>
        <v>0.13505509987252132</v>
      </c>
      <c r="AH30" s="47">
        <f t="shared" si="20"/>
        <v>0.21035091095436523</v>
      </c>
      <c r="AI30" s="47">
        <f t="shared" si="21"/>
        <v>0.79239853966713902</v>
      </c>
    </row>
    <row r="31" spans="2:35" x14ac:dyDescent="0.25">
      <c r="B31" s="80" t="s">
        <v>247</v>
      </c>
      <c r="C31" s="50"/>
      <c r="D31" s="50"/>
      <c r="E31" s="50"/>
      <c r="F31" s="53">
        <v>0.87</v>
      </c>
      <c r="G31" s="54">
        <v>7572.5</v>
      </c>
      <c r="H31" s="54">
        <v>0</v>
      </c>
      <c r="I31" s="54">
        <f t="shared" si="12"/>
        <v>7572.5</v>
      </c>
      <c r="J31" s="55">
        <f t="shared" si="13"/>
        <v>6588.0749999999998</v>
      </c>
      <c r="K31" s="82">
        <f t="shared" si="10"/>
        <v>4.2094998312628279E-2</v>
      </c>
      <c r="L31" s="61"/>
      <c r="M31" t="s">
        <v>244</v>
      </c>
      <c r="P31" s="47">
        <f t="shared" si="22"/>
        <v>9.2404242361798054E-3</v>
      </c>
      <c r="Q31" s="47">
        <f t="shared" si="23"/>
        <v>7.3286123252460523E-3</v>
      </c>
      <c r="R31" s="47">
        <f t="shared" si="24"/>
        <v>1.9649177973485792E-2</v>
      </c>
      <c r="S31" s="47">
        <f t="shared" si="25"/>
        <v>1.8799483790848569E-2</v>
      </c>
      <c r="T31" s="47">
        <f t="shared" si="26"/>
        <v>1.4869648196151411E-3</v>
      </c>
      <c r="U31" s="47">
        <f t="shared" si="27"/>
        <v>2.0180236837634056E-3</v>
      </c>
      <c r="V31" s="47">
        <f t="shared" si="28"/>
        <v>9.2404242361798054E-3</v>
      </c>
      <c r="W31" s="47">
        <f t="shared" si="29"/>
        <v>7.3286123252460523E-3</v>
      </c>
      <c r="Y31" t="s">
        <v>244</v>
      </c>
      <c r="AB31" s="47">
        <f t="shared" si="14"/>
        <v>1.2346905713762435E-3</v>
      </c>
      <c r="AC31" s="47">
        <f t="shared" si="15"/>
        <v>4.6511184632405684E-3</v>
      </c>
      <c r="AD31" s="47">
        <f t="shared" si="16"/>
        <v>3.5461429297032662E-3</v>
      </c>
      <c r="AE31" s="47">
        <f t="shared" si="17"/>
        <v>1.6490775255130326E-2</v>
      </c>
      <c r="AF31" s="47">
        <f t="shared" si="18"/>
        <v>2.0474088759158359E-4</v>
      </c>
      <c r="AG31" s="47">
        <f t="shared" si="19"/>
        <v>7.9272895787484826E-4</v>
      </c>
      <c r="AH31" s="47">
        <f t="shared" si="20"/>
        <v>1.2346905713762435E-3</v>
      </c>
      <c r="AI31" s="47">
        <f t="shared" si="21"/>
        <v>4.6511184632405684E-3</v>
      </c>
    </row>
    <row r="32" spans="2:35" x14ac:dyDescent="0.25">
      <c r="B32" s="80" t="s">
        <v>248</v>
      </c>
      <c r="C32" s="50"/>
      <c r="D32" s="50"/>
      <c r="E32" s="50"/>
      <c r="F32" s="53">
        <v>0.878</v>
      </c>
      <c r="G32" s="54">
        <v>1546</v>
      </c>
      <c r="H32" s="54">
        <v>0</v>
      </c>
      <c r="I32" s="54">
        <f t="shared" si="12"/>
        <v>1546</v>
      </c>
      <c r="J32" s="55">
        <f t="shared" si="13"/>
        <v>1357.3879999999999</v>
      </c>
      <c r="K32" s="82">
        <f t="shared" si="10"/>
        <v>8.6731322229303513E-3</v>
      </c>
      <c r="L32" s="61"/>
      <c r="M32" t="s">
        <v>245</v>
      </c>
      <c r="P32" s="47">
        <f t="shared" si="22"/>
        <v>2.6524064458961376E-2</v>
      </c>
      <c r="Q32" s="47">
        <f t="shared" si="23"/>
        <v>2.1036326984693505E-2</v>
      </c>
      <c r="R32" s="47">
        <f t="shared" si="24"/>
        <v>5.6401746263308676E-2</v>
      </c>
      <c r="S32" s="47">
        <f t="shared" si="25"/>
        <v>5.3962751830300734E-2</v>
      </c>
      <c r="T32" s="47">
        <f t="shared" si="26"/>
        <v>4.2682402577639E-3</v>
      </c>
      <c r="U32" s="47">
        <f t="shared" si="27"/>
        <v>5.7926117783938637E-3</v>
      </c>
      <c r="V32" s="47">
        <f t="shared" si="28"/>
        <v>2.6524064458961376E-2</v>
      </c>
      <c r="W32" s="47">
        <f t="shared" si="29"/>
        <v>2.1036326984693505E-2</v>
      </c>
      <c r="Y32" t="s">
        <v>245</v>
      </c>
      <c r="AB32" s="47">
        <f t="shared" si="14"/>
        <v>3.5441026802460426E-3</v>
      </c>
      <c r="AC32" s="47">
        <f t="shared" si="15"/>
        <v>1.3350746975688711E-2</v>
      </c>
      <c r="AD32" s="47">
        <f t="shared" si="16"/>
        <v>1.0178983263546054E-2</v>
      </c>
      <c r="AE32" s="47">
        <f t="shared" si="17"/>
        <v>4.7335747219562054E-2</v>
      </c>
      <c r="AF32" s="47">
        <f t="shared" si="18"/>
        <v>5.8769601492985593E-4</v>
      </c>
      <c r="AG32" s="47">
        <f t="shared" si="19"/>
        <v>2.2754792896663078E-3</v>
      </c>
      <c r="AH32" s="47">
        <f t="shared" si="20"/>
        <v>3.5441026802460426E-3</v>
      </c>
      <c r="AI32" s="47">
        <f t="shared" si="21"/>
        <v>1.3350746975688711E-2</v>
      </c>
    </row>
    <row r="33" spans="2:35" x14ac:dyDescent="0.25">
      <c r="B33" s="80" t="s">
        <v>249</v>
      </c>
      <c r="C33" s="50"/>
      <c r="D33" s="50"/>
      <c r="E33" s="50"/>
      <c r="F33" s="53">
        <v>0.87599999999999989</v>
      </c>
      <c r="G33" s="54">
        <v>1659.1</v>
      </c>
      <c r="H33" s="54">
        <v>0</v>
      </c>
      <c r="I33" s="54">
        <f t="shared" si="12"/>
        <v>1659.1</v>
      </c>
      <c r="J33" s="55">
        <f t="shared" si="13"/>
        <v>1453.3715999999997</v>
      </c>
      <c r="K33" s="82">
        <f t="shared" si="10"/>
        <v>9.2864266192509721E-3</v>
      </c>
      <c r="L33" s="61"/>
      <c r="M33" t="s">
        <v>246</v>
      </c>
      <c r="P33" s="47">
        <f t="shared" si="22"/>
        <v>0.20442409613055035</v>
      </c>
      <c r="Q33" s="47">
        <f t="shared" si="23"/>
        <v>0.16212945555181579</v>
      </c>
      <c r="R33" s="47">
        <f t="shared" si="24"/>
        <v>0.43469491705921626</v>
      </c>
      <c r="S33" s="47">
        <f t="shared" si="25"/>
        <v>0.41589729902422312</v>
      </c>
      <c r="T33" s="47">
        <f t="shared" si="26"/>
        <v>3.2895831561237987E-2</v>
      </c>
      <c r="U33" s="47">
        <f t="shared" si="27"/>
        <v>4.4644342833108697E-2</v>
      </c>
      <c r="V33" s="47">
        <f t="shared" si="28"/>
        <v>0.20442409613055035</v>
      </c>
      <c r="W33" s="47">
        <f t="shared" si="29"/>
        <v>0.16212945555181579</v>
      </c>
      <c r="Y33" t="s">
        <v>246</v>
      </c>
      <c r="AB33" s="47">
        <f t="shared" si="14"/>
        <v>2.7314817761965576E-2</v>
      </c>
      <c r="AC33" s="47">
        <f t="shared" si="15"/>
        <v>0.10289578308767665</v>
      </c>
      <c r="AD33" s="47">
        <f t="shared" si="16"/>
        <v>7.8450625710019192E-2</v>
      </c>
      <c r="AE33" s="47">
        <f t="shared" si="17"/>
        <v>0.36482219212651157</v>
      </c>
      <c r="AF33" s="47">
        <f t="shared" si="18"/>
        <v>4.5294425685567267E-3</v>
      </c>
      <c r="AG33" s="47">
        <f t="shared" si="19"/>
        <v>1.7537387521189746E-2</v>
      </c>
      <c r="AH33" s="47">
        <f t="shared" si="20"/>
        <v>2.7314817761965576E-2</v>
      </c>
      <c r="AI33" s="47">
        <f t="shared" si="21"/>
        <v>0.10289578308767665</v>
      </c>
    </row>
    <row r="34" spans="2:35" x14ac:dyDescent="0.25">
      <c r="B34" s="80" t="s">
        <v>250</v>
      </c>
      <c r="C34" s="50"/>
      <c r="D34" s="50"/>
      <c r="E34" s="50"/>
      <c r="F34" s="53">
        <v>0.87599999999999989</v>
      </c>
      <c r="G34" s="54">
        <v>461</v>
      </c>
      <c r="H34" s="54">
        <v>0</v>
      </c>
      <c r="I34" s="54">
        <f t="shared" si="12"/>
        <v>461</v>
      </c>
      <c r="J34" s="55">
        <f t="shared" si="13"/>
        <v>403.83599999999996</v>
      </c>
      <c r="K34" s="82">
        <f t="shared" si="10"/>
        <v>2.5803403480650347E-3</v>
      </c>
      <c r="L34" s="61"/>
      <c r="M34" t="s">
        <v>247</v>
      </c>
      <c r="P34" s="47">
        <f t="shared" si="22"/>
        <v>1.2207549510662201</v>
      </c>
      <c r="Q34" s="47">
        <f t="shared" si="23"/>
        <v>0.96818496119045039</v>
      </c>
      <c r="R34" s="47">
        <f t="shared" si="24"/>
        <v>2.5958582292787438</v>
      </c>
      <c r="S34" s="47">
        <f t="shared" si="25"/>
        <v>2.4836049004450684</v>
      </c>
      <c r="T34" s="47">
        <f t="shared" si="26"/>
        <v>0.19644332545893198</v>
      </c>
      <c r="U34" s="47">
        <f t="shared" si="27"/>
        <v>0.26660165597997909</v>
      </c>
      <c r="V34" s="47">
        <f t="shared" si="28"/>
        <v>1.2207549510662201</v>
      </c>
      <c r="W34" s="47">
        <f t="shared" si="29"/>
        <v>0.96818496119045039</v>
      </c>
      <c r="Y34" t="s">
        <v>247</v>
      </c>
      <c r="AB34" s="47">
        <f t="shared" si="14"/>
        <v>0.16311530612857034</v>
      </c>
      <c r="AC34" s="47">
        <f t="shared" si="15"/>
        <v>0.61446052117016126</v>
      </c>
      <c r="AD34" s="47">
        <f t="shared" si="16"/>
        <v>0.4684819038582827</v>
      </c>
      <c r="AE34" s="47">
        <f t="shared" si="17"/>
        <v>2.1786007898640953</v>
      </c>
      <c r="AF34" s="47">
        <f t="shared" si="18"/>
        <v>2.7048374168202494E-2</v>
      </c>
      <c r="AG34" s="47">
        <f t="shared" si="19"/>
        <v>0.10472763754614865</v>
      </c>
      <c r="AH34" s="47">
        <f t="shared" si="20"/>
        <v>0.16311530612857034</v>
      </c>
      <c r="AI34" s="47">
        <f t="shared" si="21"/>
        <v>0.61446052117016126</v>
      </c>
    </row>
    <row r="35" spans="2:35" x14ac:dyDescent="0.25">
      <c r="B35" s="80" t="s">
        <v>251</v>
      </c>
      <c r="C35" s="50"/>
      <c r="D35" s="50"/>
      <c r="E35" s="50"/>
      <c r="F35" s="53">
        <v>0.87599999999999989</v>
      </c>
      <c r="G35" s="54">
        <v>0</v>
      </c>
      <c r="H35" s="54">
        <v>0</v>
      </c>
      <c r="I35" s="54">
        <f t="shared" si="12"/>
        <v>0</v>
      </c>
      <c r="J35" s="55">
        <f t="shared" si="13"/>
        <v>0</v>
      </c>
      <c r="K35" s="82">
        <f t="shared" si="10"/>
        <v>0</v>
      </c>
      <c r="L35" s="61"/>
      <c r="M35" t="s">
        <v>248</v>
      </c>
      <c r="P35" s="47">
        <f t="shared" si="22"/>
        <v>0.25152083446498019</v>
      </c>
      <c r="Q35" s="47">
        <f t="shared" si="23"/>
        <v>0.19948204112739809</v>
      </c>
      <c r="R35" s="47">
        <f t="shared" si="24"/>
        <v>0.53484315374737168</v>
      </c>
      <c r="S35" s="47">
        <f t="shared" si="25"/>
        <v>0.5117148011528907</v>
      </c>
      <c r="T35" s="47">
        <f t="shared" si="26"/>
        <v>4.0474617040341644E-2</v>
      </c>
      <c r="U35" s="47">
        <f t="shared" si="27"/>
        <v>5.4929837411892224E-2</v>
      </c>
      <c r="V35" s="47">
        <f t="shared" si="28"/>
        <v>0.25152083446498019</v>
      </c>
      <c r="W35" s="47">
        <f t="shared" si="29"/>
        <v>0.19948204112739809</v>
      </c>
      <c r="Y35" t="s">
        <v>248</v>
      </c>
      <c r="AB35" s="47">
        <f t="shared" si="14"/>
        <v>3.3607807918891001E-2</v>
      </c>
      <c r="AC35" s="47">
        <f t="shared" si="15"/>
        <v>0.12660167619678325</v>
      </c>
      <c r="AD35" s="47">
        <f t="shared" si="16"/>
        <v>9.6524662289726004E-2</v>
      </c>
      <c r="AE35" s="47">
        <f t="shared" si="17"/>
        <v>0.44887263259025506</v>
      </c>
      <c r="AF35" s="47">
        <f t="shared" si="18"/>
        <v>5.5729691169921491E-3</v>
      </c>
      <c r="AG35" s="47">
        <f t="shared" si="19"/>
        <v>2.1577780834840472E-2</v>
      </c>
      <c r="AH35" s="47">
        <f t="shared" si="20"/>
        <v>3.3607807918891001E-2</v>
      </c>
      <c r="AI35" s="47">
        <f t="shared" si="21"/>
        <v>0.12660167619678325</v>
      </c>
    </row>
    <row r="36" spans="2:35" x14ac:dyDescent="0.25">
      <c r="B36" s="80" t="s">
        <v>252</v>
      </c>
      <c r="C36" s="50"/>
      <c r="D36" s="50"/>
      <c r="E36" s="50"/>
      <c r="F36" s="53">
        <v>0.9</v>
      </c>
      <c r="G36" s="54">
        <v>706</v>
      </c>
      <c r="H36" s="54">
        <v>0</v>
      </c>
      <c r="I36" s="54">
        <f t="shared" si="12"/>
        <v>706</v>
      </c>
      <c r="J36" s="55">
        <f t="shared" si="13"/>
        <v>635.4</v>
      </c>
      <c r="K36" s="82">
        <f t="shared" si="10"/>
        <v>4.0599358580228687E-3</v>
      </c>
      <c r="L36" s="61"/>
      <c r="M36" t="s">
        <v>249</v>
      </c>
      <c r="P36" s="47">
        <f t="shared" si="22"/>
        <v>0.26930637195827817</v>
      </c>
      <c r="Q36" s="47">
        <f t="shared" si="23"/>
        <v>0.21358781224277235</v>
      </c>
      <c r="R36" s="47">
        <f t="shared" si="24"/>
        <v>0.5726629748538099</v>
      </c>
      <c r="S36" s="47">
        <f t="shared" si="25"/>
        <v>0.54789917053580739</v>
      </c>
      <c r="T36" s="47">
        <f t="shared" si="26"/>
        <v>4.3336657556504538E-2</v>
      </c>
      <c r="U36" s="47">
        <f t="shared" si="27"/>
        <v>5.8814035255256157E-2</v>
      </c>
      <c r="V36" s="47">
        <f t="shared" si="28"/>
        <v>0.26930637195827817</v>
      </c>
      <c r="W36" s="47">
        <f t="shared" si="29"/>
        <v>0.21358781224277235</v>
      </c>
      <c r="Y36" t="s">
        <v>249</v>
      </c>
      <c r="AB36" s="47">
        <f t="shared" si="14"/>
        <v>3.598428273092974E-2</v>
      </c>
      <c r="AC36" s="47">
        <f t="shared" si="15"/>
        <v>0.13555393203476143</v>
      </c>
      <c r="AD36" s="47">
        <f t="shared" si="16"/>
        <v>0.10335011276914095</v>
      </c>
      <c r="AE36" s="47">
        <f t="shared" si="17"/>
        <v>0.48061330748755038</v>
      </c>
      <c r="AF36" s="47">
        <f t="shared" si="18"/>
        <v>5.9670448260287137E-3</v>
      </c>
      <c r="AG36" s="47">
        <f t="shared" si="19"/>
        <v>2.3103588551233269E-2</v>
      </c>
      <c r="AH36" s="47">
        <f t="shared" si="20"/>
        <v>3.598428273092974E-2</v>
      </c>
      <c r="AI36" s="47">
        <f t="shared" si="21"/>
        <v>0.13555393203476143</v>
      </c>
    </row>
    <row r="37" spans="2:35" x14ac:dyDescent="0.25">
      <c r="B37" s="80" t="s">
        <v>253</v>
      </c>
      <c r="C37" s="50"/>
      <c r="D37" s="50"/>
      <c r="E37" s="50"/>
      <c r="F37" s="53">
        <v>0.9</v>
      </c>
      <c r="G37" s="54"/>
      <c r="H37" s="54"/>
      <c r="I37" s="54">
        <f t="shared" si="12"/>
        <v>0</v>
      </c>
      <c r="J37" s="55">
        <f t="shared" si="13"/>
        <v>0</v>
      </c>
      <c r="K37" s="82">
        <f t="shared" si="10"/>
        <v>0</v>
      </c>
      <c r="L37" s="61"/>
      <c r="M37" t="s">
        <v>250</v>
      </c>
      <c r="P37" s="47">
        <f t="shared" si="22"/>
        <v>7.4829870093886003E-2</v>
      </c>
      <c r="Q37" s="47">
        <f t="shared" si="23"/>
        <v>5.9347828005495797E-2</v>
      </c>
      <c r="R37" s="47">
        <f t="shared" si="24"/>
        <v>0.15912098813067713</v>
      </c>
      <c r="S37" s="47">
        <f t="shared" si="25"/>
        <v>0.15224008053583704</v>
      </c>
      <c r="T37" s="47">
        <f t="shared" si="26"/>
        <v>1.2041588290970162E-2</v>
      </c>
      <c r="U37" s="47">
        <f t="shared" si="27"/>
        <v>1.634215553774522E-2</v>
      </c>
      <c r="V37" s="47">
        <f t="shared" si="28"/>
        <v>7.4829870093886003E-2</v>
      </c>
      <c r="W37" s="47">
        <f t="shared" si="29"/>
        <v>5.9347828005495797E-2</v>
      </c>
      <c r="Y37" t="s">
        <v>250</v>
      </c>
      <c r="AB37" s="47">
        <f t="shared" si="14"/>
        <v>9.9986464582958335E-3</v>
      </c>
      <c r="AC37" s="47">
        <f t="shared" si="15"/>
        <v>3.7665217689123641E-2</v>
      </c>
      <c r="AD37" s="47">
        <f t="shared" si="16"/>
        <v>2.8717016446612009E-2</v>
      </c>
      <c r="AE37" s="47">
        <f t="shared" si="17"/>
        <v>0.13354393029459391</v>
      </c>
      <c r="AF37" s="47">
        <f t="shared" si="18"/>
        <v>1.6580119732380434E-3</v>
      </c>
      <c r="AG37" s="47">
        <f t="shared" si="19"/>
        <v>6.41959756622177E-3</v>
      </c>
      <c r="AH37" s="47">
        <f t="shared" si="20"/>
        <v>9.9986464582958335E-3</v>
      </c>
      <c r="AI37" s="47">
        <f t="shared" si="21"/>
        <v>3.7665217689123641E-2</v>
      </c>
    </row>
    <row r="38" spans="2:35" x14ac:dyDescent="0.25">
      <c r="B38" s="80" t="s">
        <v>254</v>
      </c>
      <c r="C38" s="50"/>
      <c r="D38" s="50"/>
      <c r="E38" s="50"/>
      <c r="F38" s="53">
        <v>0.88500000000000001</v>
      </c>
      <c r="G38" s="54">
        <v>7</v>
      </c>
      <c r="H38" s="54">
        <v>0</v>
      </c>
      <c r="I38" s="54">
        <f t="shared" si="12"/>
        <v>7</v>
      </c>
      <c r="J38" s="55">
        <f t="shared" si="13"/>
        <v>6.1950000000000003</v>
      </c>
      <c r="K38" s="82">
        <f t="shared" si="10"/>
        <v>3.9583416179495865E-5</v>
      </c>
      <c r="L38" s="61"/>
      <c r="M38" t="s">
        <v>251</v>
      </c>
      <c r="P38" s="47">
        <f t="shared" si="22"/>
        <v>0</v>
      </c>
      <c r="Q38" s="47">
        <f t="shared" si="23"/>
        <v>0</v>
      </c>
      <c r="R38" s="47">
        <f t="shared" si="24"/>
        <v>0</v>
      </c>
      <c r="S38" s="47">
        <f t="shared" si="25"/>
        <v>0</v>
      </c>
      <c r="T38" s="47">
        <f t="shared" si="26"/>
        <v>0</v>
      </c>
      <c r="U38" s="47">
        <f t="shared" si="27"/>
        <v>0</v>
      </c>
      <c r="V38" s="47">
        <f t="shared" si="28"/>
        <v>0</v>
      </c>
      <c r="W38" s="47">
        <f t="shared" si="29"/>
        <v>0</v>
      </c>
      <c r="Y38" t="s">
        <v>251</v>
      </c>
      <c r="AB38" s="47">
        <f t="shared" si="14"/>
        <v>0</v>
      </c>
      <c r="AC38" s="47">
        <f t="shared" si="15"/>
        <v>0</v>
      </c>
      <c r="AD38" s="47">
        <f t="shared" si="16"/>
        <v>0</v>
      </c>
      <c r="AE38" s="47">
        <f t="shared" si="17"/>
        <v>0</v>
      </c>
      <c r="AF38" s="47">
        <f t="shared" si="18"/>
        <v>0</v>
      </c>
      <c r="AG38" s="47">
        <f t="shared" si="19"/>
        <v>0</v>
      </c>
      <c r="AH38" s="47">
        <f t="shared" si="20"/>
        <v>0</v>
      </c>
      <c r="AI38" s="47">
        <f t="shared" si="21"/>
        <v>0</v>
      </c>
    </row>
    <row r="39" spans="2:35" x14ac:dyDescent="0.25">
      <c r="B39" s="80" t="s">
        <v>255</v>
      </c>
      <c r="C39" s="50"/>
      <c r="D39" s="50"/>
      <c r="E39" s="50"/>
      <c r="F39" s="53">
        <v>0.755</v>
      </c>
      <c r="G39" s="54">
        <v>1078.05</v>
      </c>
      <c r="H39" s="54">
        <v>0</v>
      </c>
      <c r="I39" s="54">
        <f t="shared" si="12"/>
        <v>1078.05</v>
      </c>
      <c r="J39" s="55">
        <f t="shared" si="13"/>
        <v>813.92774999999995</v>
      </c>
      <c r="K39" s="82">
        <f t="shared" si="10"/>
        <v>5.2006522789815436E-3</v>
      </c>
      <c r="L39" s="61"/>
      <c r="M39" t="s">
        <v>252</v>
      </c>
      <c r="P39" s="47">
        <f t="shared" si="22"/>
        <v>0.11773813988266318</v>
      </c>
      <c r="Q39" s="47">
        <f t="shared" si="23"/>
        <v>9.3378524734525986E-2</v>
      </c>
      <c r="R39" s="47">
        <f t="shared" si="24"/>
        <v>0.25036271124474357</v>
      </c>
      <c r="S39" s="47">
        <f t="shared" si="25"/>
        <v>0.23953621562334926</v>
      </c>
      <c r="T39" s="47">
        <f t="shared" si="26"/>
        <v>1.8946367337440054E-2</v>
      </c>
      <c r="U39" s="47">
        <f t="shared" si="27"/>
        <v>2.5712927100811502E-2</v>
      </c>
      <c r="V39" s="47">
        <f t="shared" si="28"/>
        <v>0.11773813988266318</v>
      </c>
      <c r="W39" s="47">
        <f t="shared" si="29"/>
        <v>9.3378524734525986E-2</v>
      </c>
      <c r="Y39" t="s">
        <v>252</v>
      </c>
      <c r="AB39" s="47">
        <f t="shared" si="14"/>
        <v>1.5731980208800535E-2</v>
      </c>
      <c r="AC39" s="47">
        <f t="shared" si="15"/>
        <v>5.9262867400799252E-2</v>
      </c>
      <c r="AD39" s="47">
        <f t="shared" si="16"/>
        <v>4.5183669237455988E-2</v>
      </c>
      <c r="AE39" s="47">
        <f t="shared" si="17"/>
        <v>0.21011948738890288</v>
      </c>
      <c r="AF39" s="47">
        <f t="shared" si="18"/>
        <v>2.6087342579548447E-3</v>
      </c>
      <c r="AG39" s="47">
        <f t="shared" si="19"/>
        <v>1.0100665353206037E-2</v>
      </c>
      <c r="AH39" s="47">
        <f t="shared" si="20"/>
        <v>1.5731980208800535E-2</v>
      </c>
      <c r="AI39" s="47">
        <f t="shared" si="21"/>
        <v>5.9262867400799252E-2</v>
      </c>
    </row>
    <row r="40" spans="2:35" x14ac:dyDescent="0.25">
      <c r="B40" s="80" t="s">
        <v>256</v>
      </c>
      <c r="C40" s="50"/>
      <c r="D40" s="50"/>
      <c r="E40" s="50"/>
      <c r="F40" s="53">
        <v>0.89500000000000002</v>
      </c>
      <c r="G40" s="54">
        <v>233.25</v>
      </c>
      <c r="H40" s="54">
        <v>2559.4</v>
      </c>
      <c r="I40" s="54">
        <f t="shared" si="12"/>
        <v>2792.65</v>
      </c>
      <c r="J40" s="55">
        <f t="shared" si="13"/>
        <v>2499.42175</v>
      </c>
      <c r="K40" s="82">
        <f t="shared" si="10"/>
        <v>1.5970242346785127E-2</v>
      </c>
      <c r="L40" s="61"/>
      <c r="M40" t="s">
        <v>253</v>
      </c>
      <c r="P40" s="47">
        <f t="shared" si="22"/>
        <v>0</v>
      </c>
      <c r="Q40" s="47">
        <f t="shared" si="23"/>
        <v>0</v>
      </c>
      <c r="R40" s="47">
        <f t="shared" si="24"/>
        <v>0</v>
      </c>
      <c r="S40" s="47">
        <f t="shared" si="25"/>
        <v>0</v>
      </c>
      <c r="T40" s="47">
        <f t="shared" si="26"/>
        <v>0</v>
      </c>
      <c r="U40" s="47">
        <f t="shared" si="27"/>
        <v>0</v>
      </c>
      <c r="V40" s="47">
        <f t="shared" si="28"/>
        <v>0</v>
      </c>
      <c r="W40" s="47">
        <f t="shared" si="29"/>
        <v>0</v>
      </c>
      <c r="Y40" t="s">
        <v>253</v>
      </c>
      <c r="AB40" s="47">
        <f t="shared" si="14"/>
        <v>0</v>
      </c>
      <c r="AC40" s="47">
        <f t="shared" si="15"/>
        <v>0</v>
      </c>
      <c r="AD40" s="47">
        <f t="shared" si="16"/>
        <v>0</v>
      </c>
      <c r="AE40" s="47">
        <f t="shared" si="17"/>
        <v>0</v>
      </c>
      <c r="AF40" s="47">
        <f t="shared" si="18"/>
        <v>0</v>
      </c>
      <c r="AG40" s="47">
        <f t="shared" si="19"/>
        <v>0</v>
      </c>
      <c r="AH40" s="47">
        <f t="shared" si="20"/>
        <v>0</v>
      </c>
      <c r="AI40" s="47">
        <f t="shared" si="21"/>
        <v>0</v>
      </c>
    </row>
    <row r="41" spans="2:35" x14ac:dyDescent="0.25">
      <c r="B41" s="80" t="s">
        <v>257</v>
      </c>
      <c r="C41" s="50"/>
      <c r="D41" s="50"/>
      <c r="E41" s="50"/>
      <c r="F41" s="53">
        <v>0.97</v>
      </c>
      <c r="G41" s="54">
        <v>0</v>
      </c>
      <c r="H41" s="54">
        <v>0</v>
      </c>
      <c r="I41" s="54">
        <f t="shared" si="12"/>
        <v>0</v>
      </c>
      <c r="J41" s="55">
        <f t="shared" si="13"/>
        <v>0</v>
      </c>
      <c r="K41" s="82">
        <f t="shared" si="10"/>
        <v>0</v>
      </c>
      <c r="L41" s="61"/>
      <c r="M41" t="s">
        <v>254</v>
      </c>
      <c r="P41" s="47">
        <f t="shared" si="22"/>
        <v>1.14791906920538E-3</v>
      </c>
      <c r="Q41" s="47">
        <f t="shared" si="23"/>
        <v>9.1041857212840484E-4</v>
      </c>
      <c r="R41" s="47">
        <f t="shared" si="24"/>
        <v>2.4409773310689114E-3</v>
      </c>
      <c r="S41" s="47">
        <f t="shared" si="25"/>
        <v>2.3354215545902559E-3</v>
      </c>
      <c r="T41" s="47">
        <f t="shared" si="26"/>
        <v>1.8472260883764738E-4</v>
      </c>
      <c r="U41" s="47">
        <f t="shared" si="27"/>
        <v>2.5069496913680714E-4</v>
      </c>
      <c r="V41" s="47">
        <f t="shared" si="28"/>
        <v>1.14791906920538E-3</v>
      </c>
      <c r="W41" s="47">
        <f t="shared" si="29"/>
        <v>9.1041857212840484E-4</v>
      </c>
      <c r="Y41" t="s">
        <v>254</v>
      </c>
      <c r="AB41" s="47">
        <f t="shared" si="14"/>
        <v>1.5338309315945754E-4</v>
      </c>
      <c r="AC41" s="47">
        <f t="shared" si="15"/>
        <v>5.7779896686803802E-4</v>
      </c>
      <c r="AD41" s="47">
        <f t="shared" si="16"/>
        <v>4.4053010847661285E-4</v>
      </c>
      <c r="AE41" s="47">
        <f t="shared" si="17"/>
        <v>2.0486153987633827E-3</v>
      </c>
      <c r="AF41" s="47">
        <f t="shared" si="18"/>
        <v>2.5434543166556919E-5</v>
      </c>
      <c r="AG41" s="47">
        <f t="shared" si="19"/>
        <v>9.8479102711852997E-5</v>
      </c>
      <c r="AH41" s="47">
        <f t="shared" si="20"/>
        <v>1.5338309315945754E-4</v>
      </c>
      <c r="AI41" s="47">
        <f t="shared" si="21"/>
        <v>5.7779896686803802E-4</v>
      </c>
    </row>
    <row r="42" spans="2:35" x14ac:dyDescent="0.25">
      <c r="B42" s="80" t="s">
        <v>258</v>
      </c>
      <c r="C42" s="50"/>
      <c r="D42" s="50"/>
      <c r="E42" s="50"/>
      <c r="F42" s="53">
        <v>0.91</v>
      </c>
      <c r="G42" s="54">
        <v>3.3</v>
      </c>
      <c r="H42" s="54">
        <v>0</v>
      </c>
      <c r="I42" s="54">
        <f t="shared" si="12"/>
        <v>3.3</v>
      </c>
      <c r="J42" s="55">
        <f t="shared" si="13"/>
        <v>3.0030000000000001</v>
      </c>
      <c r="K42" s="82">
        <f t="shared" si="10"/>
        <v>1.9187893266670875E-5</v>
      </c>
      <c r="L42" s="61"/>
      <c r="M42" t="s">
        <v>255</v>
      </c>
      <c r="P42" s="47">
        <f t="shared" si="22"/>
        <v>0.15081891609046477</v>
      </c>
      <c r="Q42" s="47">
        <f t="shared" si="23"/>
        <v>0.11961500241657551</v>
      </c>
      <c r="R42" s="47">
        <f t="shared" si="24"/>
        <v>0.3207068905371952</v>
      </c>
      <c r="S42" s="47">
        <f t="shared" si="25"/>
        <v>0.30683848445991108</v>
      </c>
      <c r="T42" s="47">
        <f t="shared" si="26"/>
        <v>2.4269710635247205E-2</v>
      </c>
      <c r="U42" s="47">
        <f t="shared" si="27"/>
        <v>3.2937464433549772E-2</v>
      </c>
      <c r="V42" s="47">
        <f t="shared" si="28"/>
        <v>0.15081891609046477</v>
      </c>
      <c r="W42" s="47">
        <f t="shared" si="29"/>
        <v>0.11961500241657551</v>
      </c>
      <c r="Y42" t="s">
        <v>255</v>
      </c>
      <c r="AB42" s="47">
        <f t="shared" si="14"/>
        <v>2.0152180129671942E-2</v>
      </c>
      <c r="AC42" s="47">
        <f t="shared" si="15"/>
        <v>7.5913900412465971E-2</v>
      </c>
      <c r="AD42" s="47">
        <f t="shared" si="16"/>
        <v>5.7878882970076748E-2</v>
      </c>
      <c r="AE42" s="47">
        <f t="shared" si="17"/>
        <v>0.26915656531571153</v>
      </c>
      <c r="AF42" s="47">
        <f t="shared" si="18"/>
        <v>3.3417079082862866E-3</v>
      </c>
      <c r="AG42" s="47">
        <f t="shared" si="19"/>
        <v>1.2938639950327263E-2</v>
      </c>
      <c r="AH42" s="47">
        <f t="shared" si="20"/>
        <v>2.0152180129671942E-2</v>
      </c>
      <c r="AI42" s="47">
        <f t="shared" si="21"/>
        <v>7.5913900412465971E-2</v>
      </c>
    </row>
    <row r="43" spans="2:35" x14ac:dyDescent="0.25">
      <c r="B43" s="80" t="s">
        <v>259</v>
      </c>
      <c r="C43" s="50"/>
      <c r="D43" s="50"/>
      <c r="E43" s="50"/>
      <c r="F43" s="53">
        <v>0.92</v>
      </c>
      <c r="G43" s="54">
        <v>0</v>
      </c>
      <c r="H43" s="54">
        <v>0</v>
      </c>
      <c r="I43" s="54">
        <f t="shared" si="12"/>
        <v>0</v>
      </c>
      <c r="J43" s="55">
        <f t="shared" si="13"/>
        <v>0</v>
      </c>
      <c r="K43" s="82">
        <f t="shared" si="10"/>
        <v>0</v>
      </c>
      <c r="L43" s="61"/>
      <c r="M43" t="s">
        <v>256</v>
      </c>
      <c r="P43" s="47">
        <f t="shared" si="22"/>
        <v>0.46313702805676871</v>
      </c>
      <c r="Q43" s="47">
        <f t="shared" si="23"/>
        <v>0.36731557397605791</v>
      </c>
      <c r="R43" s="47">
        <f t="shared" si="24"/>
        <v>0.98483161138508279</v>
      </c>
      <c r="S43" s="47">
        <f t="shared" si="25"/>
        <v>0.94224429846032254</v>
      </c>
      <c r="T43" s="47">
        <f t="shared" si="26"/>
        <v>7.4527797618330602E-2</v>
      </c>
      <c r="U43" s="47">
        <f t="shared" si="27"/>
        <v>0.1011448681963058</v>
      </c>
      <c r="V43" s="47">
        <f t="shared" si="28"/>
        <v>0.46313702805676871</v>
      </c>
      <c r="W43" s="47">
        <f t="shared" si="29"/>
        <v>0.36731557397605791</v>
      </c>
      <c r="Y43" t="s">
        <v>256</v>
      </c>
      <c r="AB43" s="47">
        <f t="shared" si="14"/>
        <v>6.188362213479006E-2</v>
      </c>
      <c r="AC43" s="47">
        <f t="shared" si="15"/>
        <v>0.23311756334422978</v>
      </c>
      <c r="AD43" s="47">
        <f t="shared" si="16"/>
        <v>0.17773535668382656</v>
      </c>
      <c r="AE43" s="47">
        <f t="shared" si="17"/>
        <v>0.82653008636870395</v>
      </c>
      <c r="AF43" s="47">
        <f t="shared" si="18"/>
        <v>1.0261767617724977E-2</v>
      </c>
      <c r="AG43" s="47">
        <f t="shared" si="19"/>
        <v>3.9732172919853009E-2</v>
      </c>
      <c r="AH43" s="47">
        <f t="shared" si="20"/>
        <v>6.188362213479006E-2</v>
      </c>
      <c r="AI43" s="47">
        <f t="shared" si="21"/>
        <v>0.23311756334422978</v>
      </c>
    </row>
    <row r="44" spans="2:35" x14ac:dyDescent="0.25">
      <c r="B44" s="83" t="s">
        <v>260</v>
      </c>
      <c r="C44" s="84"/>
      <c r="D44" s="84"/>
      <c r="E44" s="84"/>
      <c r="F44" s="85">
        <v>1</v>
      </c>
      <c r="G44" s="86">
        <v>3663.5</v>
      </c>
      <c r="H44" s="86">
        <v>3456.4</v>
      </c>
      <c r="I44" s="86">
        <f t="shared" si="12"/>
        <v>7119.9</v>
      </c>
      <c r="J44" s="87">
        <f t="shared" si="13"/>
        <v>7119.9</v>
      </c>
      <c r="K44" s="88"/>
      <c r="L44" s="61"/>
      <c r="M44" t="s">
        <v>257</v>
      </c>
      <c r="P44" s="47">
        <f t="shared" si="22"/>
        <v>0</v>
      </c>
      <c r="Q44" s="47">
        <f t="shared" si="23"/>
        <v>0</v>
      </c>
      <c r="R44" s="47">
        <f t="shared" si="24"/>
        <v>0</v>
      </c>
      <c r="S44" s="47">
        <f t="shared" si="25"/>
        <v>0</v>
      </c>
      <c r="T44" s="47">
        <f t="shared" si="26"/>
        <v>0</v>
      </c>
      <c r="U44" s="47">
        <f t="shared" si="27"/>
        <v>0</v>
      </c>
      <c r="V44" s="47">
        <f t="shared" si="28"/>
        <v>0</v>
      </c>
      <c r="W44" s="47">
        <f t="shared" si="29"/>
        <v>0</v>
      </c>
      <c r="Y44" t="s">
        <v>257</v>
      </c>
      <c r="AB44" s="47">
        <f t="shared" si="14"/>
        <v>0</v>
      </c>
      <c r="AC44" s="47">
        <f t="shared" si="15"/>
        <v>0</v>
      </c>
      <c r="AD44" s="47">
        <f t="shared" si="16"/>
        <v>0</v>
      </c>
      <c r="AE44" s="47">
        <f t="shared" si="17"/>
        <v>0</v>
      </c>
      <c r="AF44" s="47">
        <f t="shared" si="18"/>
        <v>0</v>
      </c>
      <c r="AG44" s="47">
        <f t="shared" si="19"/>
        <v>0</v>
      </c>
      <c r="AH44" s="47">
        <f t="shared" si="20"/>
        <v>0</v>
      </c>
      <c r="AI44" s="47">
        <f t="shared" si="21"/>
        <v>0</v>
      </c>
    </row>
    <row r="45" spans="2:35" x14ac:dyDescent="0.25">
      <c r="L45" s="61"/>
      <c r="M45" t="s">
        <v>258</v>
      </c>
      <c r="P45" s="47">
        <f t="shared" si="22"/>
        <v>5.5644890473345533E-4</v>
      </c>
      <c r="Q45" s="47">
        <f t="shared" si="23"/>
        <v>4.4132154513343015E-4</v>
      </c>
      <c r="R45" s="47">
        <f t="shared" si="24"/>
        <v>1.1832534181113706E-3</v>
      </c>
      <c r="S45" s="47">
        <f t="shared" si="25"/>
        <v>1.1320857027335817E-3</v>
      </c>
      <c r="T45" s="47">
        <f t="shared" si="26"/>
        <v>8.954350191113076E-5</v>
      </c>
      <c r="U45" s="47">
        <f t="shared" si="27"/>
        <v>1.2152332402224887E-4</v>
      </c>
      <c r="V45" s="47">
        <f t="shared" si="28"/>
        <v>5.5644890473345533E-4</v>
      </c>
      <c r="W45" s="47">
        <f t="shared" si="29"/>
        <v>4.4132154513343015E-4</v>
      </c>
      <c r="Y45" t="s">
        <v>258</v>
      </c>
      <c r="AB45" s="47">
        <f t="shared" si="14"/>
        <v>7.4351804480686189E-5</v>
      </c>
      <c r="AC45" s="47">
        <f t="shared" si="15"/>
        <v>2.8008560088857437E-4</v>
      </c>
      <c r="AD45" s="47">
        <f t="shared" si="16"/>
        <v>2.1354510343103608E-4</v>
      </c>
      <c r="AE45" s="47">
        <f t="shared" si="17"/>
        <v>9.9305763397682621E-4</v>
      </c>
      <c r="AF45" s="47">
        <f t="shared" si="18"/>
        <v>1.2329287026500471E-5</v>
      </c>
      <c r="AG45" s="47">
        <f t="shared" si="19"/>
        <v>4.773732775523721E-5</v>
      </c>
      <c r="AH45" s="47">
        <f t="shared" si="20"/>
        <v>7.4351804480686189E-5</v>
      </c>
      <c r="AI45" s="47">
        <f t="shared" si="21"/>
        <v>2.8008560088857437E-4</v>
      </c>
    </row>
    <row r="46" spans="2:35" x14ac:dyDescent="0.25">
      <c r="L46" s="61"/>
      <c r="M46" t="s">
        <v>259</v>
      </c>
      <c r="P46" s="47">
        <f t="shared" si="22"/>
        <v>0</v>
      </c>
      <c r="Q46" s="47">
        <f t="shared" si="23"/>
        <v>0</v>
      </c>
      <c r="R46" s="47">
        <f t="shared" si="24"/>
        <v>0</v>
      </c>
      <c r="S46" s="47">
        <f t="shared" si="25"/>
        <v>0</v>
      </c>
      <c r="T46" s="47">
        <f t="shared" si="26"/>
        <v>0</v>
      </c>
      <c r="U46" s="47">
        <f t="shared" si="27"/>
        <v>0</v>
      </c>
      <c r="V46" s="47">
        <f t="shared" si="28"/>
        <v>0</v>
      </c>
      <c r="W46" s="47">
        <f t="shared" si="29"/>
        <v>0</v>
      </c>
      <c r="Y46" t="s">
        <v>259</v>
      </c>
      <c r="AB46" s="47">
        <f t="shared" si="14"/>
        <v>0</v>
      </c>
      <c r="AC46" s="47">
        <f t="shared" si="15"/>
        <v>0</v>
      </c>
      <c r="AD46" s="47">
        <f t="shared" si="16"/>
        <v>0</v>
      </c>
      <c r="AE46" s="47">
        <f t="shared" si="17"/>
        <v>0</v>
      </c>
      <c r="AF46" s="47">
        <f t="shared" si="18"/>
        <v>0</v>
      </c>
      <c r="AG46" s="47">
        <f t="shared" si="19"/>
        <v>0</v>
      </c>
      <c r="AH46" s="47">
        <f t="shared" si="20"/>
        <v>0</v>
      </c>
      <c r="AI46" s="47">
        <f t="shared" si="21"/>
        <v>0</v>
      </c>
    </row>
    <row r="47" spans="2:35" x14ac:dyDescent="0.25">
      <c r="L47" s="61"/>
      <c r="M47" s="61"/>
      <c r="N47" s="61"/>
      <c r="O47" s="61"/>
    </row>
    <row r="48" spans="2:35" x14ac:dyDescent="0.25">
      <c r="L48" s="61"/>
      <c r="M48" t="s">
        <v>282</v>
      </c>
      <c r="N48" s="61"/>
      <c r="O48" s="61"/>
      <c r="P48" s="19">
        <f>SUM(P13:P46)</f>
        <v>748.39999999999986</v>
      </c>
      <c r="Q48" s="19">
        <f t="shared" ref="Q48:W48" si="30">SUM(Q13:Q46)</f>
        <v>157.56666666666661</v>
      </c>
      <c r="R48" s="19">
        <f t="shared" si="30"/>
        <v>554.09999999999991</v>
      </c>
      <c r="S48" s="19">
        <f t="shared" si="30"/>
        <v>113.99999999999999</v>
      </c>
      <c r="T48" s="19">
        <f t="shared" si="30"/>
        <v>726.26666666666665</v>
      </c>
      <c r="U48" s="19">
        <f t="shared" si="30"/>
        <v>254.56666666666666</v>
      </c>
      <c r="V48" s="19">
        <f t="shared" si="30"/>
        <v>748.39999999999986</v>
      </c>
      <c r="W48" s="19">
        <f t="shared" si="30"/>
        <v>157.56666666666661</v>
      </c>
      <c r="Y48" t="s">
        <v>282</v>
      </c>
      <c r="Z48" s="61"/>
      <c r="AA48" s="61"/>
      <c r="AB48" s="19">
        <f>SUM(AB13:AB46)</f>
        <v>100.00000000000004</v>
      </c>
      <c r="AC48" s="19">
        <f t="shared" ref="AC48:AI48" si="31">SUM(AC13:AC46)</f>
        <v>100.00000000000001</v>
      </c>
      <c r="AD48" s="19">
        <f t="shared" si="31"/>
        <v>100</v>
      </c>
      <c r="AE48" s="19">
        <f t="shared" si="31"/>
        <v>100</v>
      </c>
      <c r="AF48" s="19">
        <f t="shared" si="31"/>
        <v>100</v>
      </c>
      <c r="AG48" s="19">
        <f t="shared" si="31"/>
        <v>100</v>
      </c>
      <c r="AH48" s="19">
        <f t="shared" si="31"/>
        <v>100.00000000000004</v>
      </c>
      <c r="AI48" s="19">
        <f t="shared" si="31"/>
        <v>100.00000000000001</v>
      </c>
    </row>
    <row r="49" spans="12:15" x14ac:dyDescent="0.25">
      <c r="L49" s="61"/>
      <c r="M49" s="61"/>
      <c r="N49" s="61"/>
      <c r="O49" s="61"/>
    </row>
    <row r="50" spans="12:15" x14ac:dyDescent="0.25">
      <c r="L50" s="61"/>
      <c r="M50" s="61"/>
      <c r="N50" s="61"/>
      <c r="O50" s="61"/>
    </row>
    <row r="51" spans="12:15" x14ac:dyDescent="0.25">
      <c r="L51" s="61"/>
      <c r="M51" s="61"/>
      <c r="N51" s="61"/>
      <c r="O51" s="61"/>
    </row>
    <row r="52" spans="12:15" x14ac:dyDescent="0.25">
      <c r="L52" s="61"/>
      <c r="M52" s="61"/>
      <c r="N52" s="61"/>
      <c r="O52" s="61"/>
    </row>
    <row r="53" spans="12:15" x14ac:dyDescent="0.25">
      <c r="L53" s="62"/>
      <c r="M53" s="62"/>
      <c r="N53" s="62"/>
      <c r="O53" s="62"/>
    </row>
  </sheetData>
  <pageMargins left="0.7" right="0.7" top="0.75" bottom="0.75" header="0.3" footer="0.3"/>
  <pageSetup paperSize="9" orientation="portrait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K32"/>
  <sheetViews>
    <sheetView topLeftCell="A11" workbookViewId="0">
      <selection activeCell="F20" sqref="F20"/>
    </sheetView>
  </sheetViews>
  <sheetFormatPr defaultRowHeight="15" x14ac:dyDescent="0.25"/>
  <sheetData>
    <row r="3" spans="1:11" x14ac:dyDescent="0.25">
      <c r="A3" t="s">
        <v>122</v>
      </c>
      <c r="B3">
        <v>2000</v>
      </c>
      <c r="C3">
        <v>2010</v>
      </c>
      <c r="D3">
        <v>2013</v>
      </c>
      <c r="E3">
        <v>2016</v>
      </c>
      <c r="F3">
        <v>2020</v>
      </c>
      <c r="G3">
        <v>2021</v>
      </c>
      <c r="H3">
        <v>2022</v>
      </c>
    </row>
    <row r="4" spans="1:11" x14ac:dyDescent="0.25">
      <c r="A4" t="s">
        <v>118</v>
      </c>
      <c r="B4">
        <v>198268</v>
      </c>
      <c r="C4">
        <v>273126</v>
      </c>
      <c r="D4">
        <v>285520</v>
      </c>
      <c r="E4">
        <v>281327</v>
      </c>
      <c r="F4">
        <v>263369</v>
      </c>
      <c r="G4">
        <v>271638</v>
      </c>
      <c r="H4">
        <v>264453</v>
      </c>
    </row>
    <row r="5" spans="1:11" x14ac:dyDescent="0.25">
      <c r="A5" t="s">
        <v>36</v>
      </c>
      <c r="B5">
        <v>233666</v>
      </c>
      <c r="C5">
        <v>291796</v>
      </c>
      <c r="D5">
        <v>291249</v>
      </c>
      <c r="E5">
        <v>296847</v>
      </c>
      <c r="F5">
        <v>237784</v>
      </c>
      <c r="G5">
        <v>251810</v>
      </c>
      <c r="H5">
        <v>245484</v>
      </c>
    </row>
    <row r="6" spans="1:11" x14ac:dyDescent="0.25">
      <c r="A6" t="s">
        <v>119</v>
      </c>
      <c r="B6">
        <f>SUM(B4:B5)</f>
        <v>431934</v>
      </c>
      <c r="C6">
        <f t="shared" ref="C6:H6" si="0">SUM(C4:C5)</f>
        <v>564922</v>
      </c>
      <c r="D6">
        <f t="shared" si="0"/>
        <v>576769</v>
      </c>
      <c r="E6">
        <f t="shared" si="0"/>
        <v>578174</v>
      </c>
      <c r="F6">
        <f t="shared" si="0"/>
        <v>501153</v>
      </c>
      <c r="G6">
        <f t="shared" si="0"/>
        <v>523448</v>
      </c>
      <c r="H6">
        <f t="shared" si="0"/>
        <v>509937</v>
      </c>
    </row>
    <row r="8" spans="1:11" x14ac:dyDescent="0.25">
      <c r="A8" t="s">
        <v>120</v>
      </c>
      <c r="B8">
        <f>B3</f>
        <v>2000</v>
      </c>
      <c r="C8">
        <f t="shared" ref="C8:H8" si="1">C3</f>
        <v>2010</v>
      </c>
      <c r="D8">
        <f t="shared" si="1"/>
        <v>2013</v>
      </c>
      <c r="E8">
        <f t="shared" si="1"/>
        <v>2016</v>
      </c>
      <c r="F8">
        <f t="shared" si="1"/>
        <v>2020</v>
      </c>
      <c r="G8">
        <f t="shared" si="1"/>
        <v>2021</v>
      </c>
      <c r="H8">
        <f t="shared" si="1"/>
        <v>2022</v>
      </c>
    </row>
    <row r="9" spans="1:11" x14ac:dyDescent="0.25">
      <c r="A9" t="s">
        <v>118</v>
      </c>
      <c r="B9">
        <f>28.3*1000</f>
        <v>28300</v>
      </c>
      <c r="C9">
        <f>32.72*1000</f>
        <v>32720</v>
      </c>
      <c r="D9">
        <f>34.68*1000</f>
        <v>34680</v>
      </c>
      <c r="E9">
        <f>33.21*1000</f>
        <v>33210</v>
      </c>
      <c r="F9">
        <f>33.38*1000</f>
        <v>33380</v>
      </c>
      <c r="G9">
        <f>31.1*1000</f>
        <v>31100</v>
      </c>
      <c r="H9">
        <f>'antalet lamm och fodertstater'!$S$45</f>
        <v>0</v>
      </c>
    </row>
    <row r="10" spans="1:11" x14ac:dyDescent="0.25">
      <c r="A10" t="s">
        <v>36</v>
      </c>
      <c r="B10">
        <f>173.85*1000</f>
        <v>173850</v>
      </c>
      <c r="C10">
        <f>221.91*1000</f>
        <v>221910</v>
      </c>
      <c r="D10">
        <f>217.86*1000</f>
        <v>217860</v>
      </c>
      <c r="E10">
        <f>251.2*1000</f>
        <v>251200</v>
      </c>
      <c r="F10">
        <f>240.54*1000</f>
        <v>240540</v>
      </c>
      <c r="G10">
        <f>227.07*1000</f>
        <v>227070</v>
      </c>
      <c r="H10">
        <f>'antalet lamm och fodertstater'!$S$49</f>
        <v>0</v>
      </c>
    </row>
    <row r="12" spans="1:11" x14ac:dyDescent="0.25">
      <c r="A12" t="s">
        <v>123</v>
      </c>
      <c r="B12" s="20">
        <f>B9/B4</f>
        <v>0.14273609457905462</v>
      </c>
      <c r="C12" s="20">
        <f t="shared" ref="C12:H12" si="2">C9/C4</f>
        <v>0.11979818838191897</v>
      </c>
      <c r="D12" s="20">
        <f t="shared" si="2"/>
        <v>0.12146259456430372</v>
      </c>
      <c r="E12" s="20">
        <f t="shared" si="2"/>
        <v>0.11804768116817796</v>
      </c>
      <c r="F12" s="20">
        <f t="shared" si="2"/>
        <v>0.1267423273050359</v>
      </c>
      <c r="G12" s="20">
        <f t="shared" si="2"/>
        <v>0.1144906088249803</v>
      </c>
      <c r="H12" s="20">
        <f t="shared" si="2"/>
        <v>0</v>
      </c>
      <c r="K12" t="s">
        <v>121</v>
      </c>
    </row>
    <row r="13" spans="1:11" x14ac:dyDescent="0.25">
      <c r="A13" t="s">
        <v>124</v>
      </c>
      <c r="B13">
        <f>B10/B4</f>
        <v>0.8768434644017189</v>
      </c>
      <c r="C13">
        <f t="shared" ref="C13:H13" si="3">C10/C4</f>
        <v>0.81248215109509891</v>
      </c>
      <c r="D13">
        <f t="shared" si="3"/>
        <v>0.7630288596245447</v>
      </c>
      <c r="E13">
        <f t="shared" si="3"/>
        <v>0.89291109633984656</v>
      </c>
      <c r="F13">
        <f t="shared" si="3"/>
        <v>0.91331933522927911</v>
      </c>
      <c r="G13">
        <f t="shared" si="3"/>
        <v>0.83592869922470348</v>
      </c>
      <c r="H13">
        <f t="shared" si="3"/>
        <v>0</v>
      </c>
    </row>
    <row r="16" spans="1:11" x14ac:dyDescent="0.25">
      <c r="A16" t="s">
        <v>125</v>
      </c>
    </row>
    <row r="19" spans="1:10" x14ac:dyDescent="0.25">
      <c r="A19" t="s">
        <v>137</v>
      </c>
    </row>
    <row r="20" spans="1:10" x14ac:dyDescent="0.25">
      <c r="A20" t="s">
        <v>132</v>
      </c>
      <c r="F20" s="19">
        <f>'antalet lamm och fodertstater'!AD63</f>
        <v>161336.13445378153</v>
      </c>
    </row>
    <row r="21" spans="1:10" x14ac:dyDescent="0.25">
      <c r="A21" t="s">
        <v>133</v>
      </c>
      <c r="F21">
        <f>'antalet lamm och fodertstater'!T61</f>
        <v>55250</v>
      </c>
      <c r="G21" s="20">
        <f>F21/F25</f>
        <v>0.23781439716188921</v>
      </c>
    </row>
    <row r="22" spans="1:10" x14ac:dyDescent="0.25">
      <c r="A22" t="s">
        <v>134</v>
      </c>
      <c r="F22">
        <f>'antalet lamm och fodertstater'!T62</f>
        <v>95550</v>
      </c>
      <c r="G22" s="20">
        <f>F22/F25</f>
        <v>0.4112790162682084</v>
      </c>
      <c r="H22" t="s">
        <v>167</v>
      </c>
    </row>
    <row r="23" spans="1:10" x14ac:dyDescent="0.25">
      <c r="A23" t="s">
        <v>135</v>
      </c>
      <c r="F23">
        <f>'antalet lamm och fodertstater'!T60</f>
        <v>41190.000000000007</v>
      </c>
      <c r="G23" s="20">
        <f>F23/F25</f>
        <v>0.17729547545879129</v>
      </c>
    </row>
    <row r="24" spans="1:10" x14ac:dyDescent="0.25">
      <c r="A24" t="s">
        <v>178</v>
      </c>
      <c r="F24" s="19">
        <f>'antalet lamm och fodertstater'!T68</f>
        <v>40334.033613445383</v>
      </c>
      <c r="G24" s="20"/>
    </row>
    <row r="25" spans="1:10" x14ac:dyDescent="0.25">
      <c r="A25" t="s">
        <v>136</v>
      </c>
      <c r="F25">
        <f>SUM(F21:F24)</f>
        <v>232324.03361344538</v>
      </c>
    </row>
    <row r="27" spans="1:10" x14ac:dyDescent="0.25">
      <c r="A27" t="s">
        <v>168</v>
      </c>
      <c r="F27" s="22">
        <f>AVERAGE(B12:G12)</f>
        <v>0.12387958247057858</v>
      </c>
    </row>
    <row r="29" spans="1:10" x14ac:dyDescent="0.25">
      <c r="A29" t="s">
        <v>165</v>
      </c>
      <c r="F29" s="19">
        <f>H4-F20</f>
        <v>103116.86554621847</v>
      </c>
      <c r="G29" s="20">
        <f>F29/H4</f>
        <v>0.38992511163124816</v>
      </c>
    </row>
    <row r="30" spans="1:10" x14ac:dyDescent="0.25">
      <c r="A30" t="s">
        <v>138</v>
      </c>
      <c r="F30">
        <f>H5-F25</f>
        <v>13159.966386554617</v>
      </c>
      <c r="G30" s="20">
        <f>F30/H5</f>
        <v>5.3608244881762628E-2</v>
      </c>
    </row>
    <row r="31" spans="1:10" x14ac:dyDescent="0.25">
      <c r="J31">
        <f>(1/0.12)+1</f>
        <v>9.3333333333333339</v>
      </c>
    </row>
    <row r="32" spans="1:10" x14ac:dyDescent="0.25">
      <c r="A32" t="s">
        <v>166</v>
      </c>
      <c r="F32">
        <f>F30/F29</f>
        <v>0.12762186201883852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N166"/>
  <sheetViews>
    <sheetView zoomScale="80" zoomScaleNormal="80" workbookViewId="0">
      <pane xSplit="2" ySplit="3" topLeftCell="V56" activePane="bottomRight" state="frozen"/>
      <selection pane="topRight" activeCell="C1" sqref="C1"/>
      <selection pane="bottomLeft" activeCell="A4" sqref="A4"/>
      <selection pane="bottomRight" activeCell="AF67" sqref="AF67"/>
    </sheetView>
  </sheetViews>
  <sheetFormatPr defaultRowHeight="15" x14ac:dyDescent="0.25"/>
  <cols>
    <col min="1" max="1" width="40.7109375" customWidth="1"/>
    <col min="2" max="2" width="29.5703125" customWidth="1"/>
    <col min="3" max="14" width="10" customWidth="1"/>
    <col min="19" max="19" width="11.28515625" customWidth="1"/>
    <col min="20" max="20" width="10.5703125" bestFit="1" customWidth="1"/>
    <col min="21" max="21" width="9.5703125" bestFit="1" customWidth="1"/>
    <col min="22" max="22" width="11.5703125" bestFit="1" customWidth="1"/>
    <col min="23" max="23" width="10.5703125" bestFit="1" customWidth="1"/>
    <col min="30" max="30" width="9.5703125" bestFit="1" customWidth="1"/>
    <col min="31" max="32" width="11.5703125" bestFit="1" customWidth="1"/>
    <col min="33" max="33" width="9.5703125" bestFit="1" customWidth="1"/>
    <col min="37" max="37" width="9.5703125" bestFit="1" customWidth="1"/>
  </cols>
  <sheetData>
    <row r="1" spans="1:18" ht="18.75" x14ac:dyDescent="0.3">
      <c r="A1" s="1" t="s">
        <v>0</v>
      </c>
      <c r="C1" t="s">
        <v>85</v>
      </c>
      <c r="F1" t="s">
        <v>86</v>
      </c>
      <c r="J1" t="s">
        <v>87</v>
      </c>
      <c r="O1" s="21"/>
      <c r="P1" s="21"/>
      <c r="Q1" s="21"/>
      <c r="R1" s="21"/>
    </row>
    <row r="2" spans="1:18" x14ac:dyDescent="0.25">
      <c r="C2" s="8" t="s">
        <v>73</v>
      </c>
      <c r="D2" s="8" t="s">
        <v>74</v>
      </c>
      <c r="E2" s="8" t="s">
        <v>75</v>
      </c>
      <c r="F2" s="7" t="s">
        <v>76</v>
      </c>
      <c r="G2" s="7" t="s">
        <v>77</v>
      </c>
      <c r="H2" s="7" t="s">
        <v>78</v>
      </c>
      <c r="I2" s="7" t="s">
        <v>79</v>
      </c>
      <c r="J2" s="9" t="s">
        <v>80</v>
      </c>
      <c r="K2" s="9" t="s">
        <v>81</v>
      </c>
      <c r="L2" s="9" t="s">
        <v>82</v>
      </c>
      <c r="M2" s="9" t="s">
        <v>83</v>
      </c>
      <c r="N2" s="8" t="s">
        <v>84</v>
      </c>
      <c r="O2" s="21"/>
      <c r="P2" s="21"/>
      <c r="Q2" s="21"/>
      <c r="R2" s="21"/>
    </row>
    <row r="3" spans="1:18" x14ac:dyDescent="0.25">
      <c r="C3" s="2" t="s">
        <v>1</v>
      </c>
      <c r="D3" s="2" t="s">
        <v>2</v>
      </c>
      <c r="E3" s="2" t="s">
        <v>3</v>
      </c>
      <c r="F3" s="2" t="s">
        <v>4</v>
      </c>
      <c r="G3" s="2" t="s">
        <v>5</v>
      </c>
      <c r="H3" s="2" t="s">
        <v>6</v>
      </c>
      <c r="I3" s="2" t="s">
        <v>7</v>
      </c>
      <c r="J3" s="2" t="s">
        <v>8</v>
      </c>
      <c r="K3" s="2" t="s">
        <v>9</v>
      </c>
      <c r="L3" s="2" t="s">
        <v>10</v>
      </c>
      <c r="M3" s="2" t="s">
        <v>11</v>
      </c>
      <c r="N3" s="2" t="s">
        <v>12</v>
      </c>
      <c r="O3" s="21"/>
      <c r="P3" s="21"/>
      <c r="Q3" s="21"/>
      <c r="R3" s="21"/>
    </row>
    <row r="4" spans="1:18" x14ac:dyDescent="0.25">
      <c r="A4" s="2" t="s">
        <v>13</v>
      </c>
      <c r="B4" s="2" t="s">
        <v>14</v>
      </c>
      <c r="C4" s="3">
        <v>0.93</v>
      </c>
      <c r="D4" s="3">
        <v>1.03</v>
      </c>
      <c r="E4" s="3">
        <v>1.02</v>
      </c>
      <c r="F4" s="3">
        <v>0.95</v>
      </c>
      <c r="G4" s="3">
        <v>1.02</v>
      </c>
      <c r="H4" s="3">
        <v>0.92</v>
      </c>
      <c r="I4" s="3">
        <v>0.74</v>
      </c>
      <c r="J4" s="3">
        <v>0.93</v>
      </c>
      <c r="K4" s="3">
        <v>0.99</v>
      </c>
      <c r="L4" s="3">
        <v>0.95</v>
      </c>
      <c r="M4" s="3">
        <v>1.1200000000000001</v>
      </c>
      <c r="N4" s="3">
        <v>0.79</v>
      </c>
      <c r="O4" s="21"/>
      <c r="P4" s="21"/>
      <c r="Q4" s="21"/>
      <c r="R4" s="21"/>
    </row>
    <row r="5" spans="1:18" x14ac:dyDescent="0.25">
      <c r="B5" s="2" t="s">
        <v>15</v>
      </c>
      <c r="C5" s="3">
        <v>0.16</v>
      </c>
      <c r="D5" s="3">
        <v>0.17</v>
      </c>
      <c r="E5" s="3">
        <v>0.17</v>
      </c>
      <c r="F5" s="3">
        <v>0.16</v>
      </c>
      <c r="G5" s="3">
        <v>0.17</v>
      </c>
      <c r="H5" s="3">
        <v>0.16</v>
      </c>
      <c r="I5" s="3">
        <v>0.13</v>
      </c>
      <c r="J5" s="3">
        <v>0.16</v>
      </c>
      <c r="K5" s="3">
        <v>0.16</v>
      </c>
      <c r="L5" s="3">
        <v>0.15</v>
      </c>
      <c r="M5" s="3">
        <v>0.18</v>
      </c>
      <c r="N5" s="3">
        <v>0.13</v>
      </c>
      <c r="O5" s="21"/>
      <c r="P5" s="21"/>
      <c r="Q5" s="21"/>
      <c r="R5" s="21"/>
    </row>
    <row r="6" spans="1:18" x14ac:dyDescent="0.25">
      <c r="A6" s="2" t="s">
        <v>16</v>
      </c>
      <c r="B6" s="2" t="s">
        <v>14</v>
      </c>
      <c r="C6" s="3">
        <v>0.93</v>
      </c>
      <c r="D6" s="3">
        <v>1.03</v>
      </c>
      <c r="E6" s="3">
        <v>1.03</v>
      </c>
      <c r="F6" s="3">
        <v>0.95</v>
      </c>
      <c r="G6" s="3">
        <v>1.02</v>
      </c>
      <c r="H6" s="3">
        <v>0.92</v>
      </c>
      <c r="I6" s="3">
        <v>0.74</v>
      </c>
      <c r="J6" s="3">
        <v>0.93</v>
      </c>
      <c r="K6" s="3">
        <v>0.99</v>
      </c>
      <c r="L6" s="3">
        <v>0.95</v>
      </c>
      <c r="M6" s="3">
        <v>1.1299999999999999</v>
      </c>
      <c r="N6" s="3">
        <v>0.81</v>
      </c>
      <c r="O6" s="21"/>
      <c r="P6" s="21"/>
      <c r="Q6" s="21"/>
      <c r="R6" s="21"/>
    </row>
    <row r="7" spans="1:18" x14ac:dyDescent="0.25">
      <c r="B7" s="2" t="s">
        <v>15</v>
      </c>
      <c r="C7" s="3">
        <v>0.16</v>
      </c>
      <c r="D7" s="3">
        <v>0.17</v>
      </c>
      <c r="E7" s="3">
        <v>0.17</v>
      </c>
      <c r="F7" s="3">
        <v>0.16</v>
      </c>
      <c r="G7" s="3">
        <v>0.17</v>
      </c>
      <c r="H7" s="3">
        <v>0.16</v>
      </c>
      <c r="I7" s="3">
        <v>0.13</v>
      </c>
      <c r="J7" s="3">
        <v>0.16</v>
      </c>
      <c r="K7" s="3">
        <v>0.16</v>
      </c>
      <c r="L7" s="3">
        <v>0.15</v>
      </c>
      <c r="M7" s="3">
        <v>0.18</v>
      </c>
      <c r="N7" s="3">
        <v>0.13</v>
      </c>
      <c r="O7" s="21"/>
      <c r="P7" s="21"/>
      <c r="Q7" s="21"/>
      <c r="R7" s="21"/>
    </row>
    <row r="8" spans="1:18" x14ac:dyDescent="0.25">
      <c r="A8" s="2" t="s">
        <v>17</v>
      </c>
      <c r="B8" s="2" t="s">
        <v>14</v>
      </c>
      <c r="C8" s="3">
        <v>2.54</v>
      </c>
      <c r="D8" s="3">
        <v>2.64</v>
      </c>
      <c r="E8" s="3">
        <v>3.11</v>
      </c>
      <c r="F8" s="3">
        <v>2.48</v>
      </c>
      <c r="G8" s="3">
        <v>3.18</v>
      </c>
      <c r="H8" s="3">
        <v>2.15</v>
      </c>
      <c r="I8" s="3">
        <v>1.65</v>
      </c>
      <c r="J8" s="3">
        <v>2.8</v>
      </c>
      <c r="K8" s="3">
        <v>2.94</v>
      </c>
      <c r="L8" s="3">
        <v>2.75</v>
      </c>
      <c r="M8" s="3">
        <v>3.18</v>
      </c>
      <c r="N8" s="3">
        <v>2.44</v>
      </c>
      <c r="O8" s="21"/>
      <c r="P8" s="21"/>
      <c r="Q8" s="21"/>
      <c r="R8" s="21"/>
    </row>
    <row r="9" spans="1:18" x14ac:dyDescent="0.25">
      <c r="B9" s="2" t="s">
        <v>15</v>
      </c>
      <c r="C9" s="3">
        <v>0.85</v>
      </c>
      <c r="D9" s="3">
        <v>0.89</v>
      </c>
      <c r="E9" s="3">
        <v>1.05</v>
      </c>
      <c r="F9" s="3">
        <v>0.85</v>
      </c>
      <c r="G9" s="3">
        <v>1.06</v>
      </c>
      <c r="H9" s="3">
        <v>0.74</v>
      </c>
      <c r="I9" s="3">
        <v>0.56000000000000005</v>
      </c>
      <c r="J9" s="3">
        <v>0.94</v>
      </c>
      <c r="K9" s="3">
        <v>0.95</v>
      </c>
      <c r="L9" s="3">
        <v>0.89</v>
      </c>
      <c r="M9" s="3">
        <v>1.04</v>
      </c>
      <c r="N9" s="3">
        <v>0.8</v>
      </c>
      <c r="O9" s="21"/>
      <c r="P9" s="21"/>
      <c r="Q9" s="21"/>
      <c r="R9" s="21"/>
    </row>
    <row r="10" spans="1:18" x14ac:dyDescent="0.25">
      <c r="A10" s="2" t="s">
        <v>18</v>
      </c>
      <c r="B10" s="2" t="s">
        <v>14</v>
      </c>
      <c r="C10" s="3">
        <v>0.23</v>
      </c>
      <c r="D10" s="3">
        <v>0.16</v>
      </c>
      <c r="E10" s="3">
        <v>0.18</v>
      </c>
      <c r="F10" s="3">
        <v>0.14000000000000001</v>
      </c>
      <c r="G10" s="3">
        <v>0.18</v>
      </c>
      <c r="H10" s="3">
        <v>0.17</v>
      </c>
      <c r="I10" s="3">
        <v>0.19</v>
      </c>
      <c r="J10" s="3">
        <v>0.34</v>
      </c>
      <c r="K10" s="3">
        <v>0.39</v>
      </c>
      <c r="L10" s="3">
        <v>0.38</v>
      </c>
      <c r="M10" s="3">
        <v>0.43</v>
      </c>
      <c r="N10" s="3">
        <v>0.28999999999999998</v>
      </c>
      <c r="O10" s="21"/>
      <c r="P10" s="21"/>
      <c r="Q10" s="21"/>
      <c r="R10" s="21"/>
    </row>
    <row r="11" spans="1:18" x14ac:dyDescent="0.25">
      <c r="B11" s="2" t="s">
        <v>15</v>
      </c>
      <c r="C11" s="3">
        <v>0.12</v>
      </c>
      <c r="D11" s="3">
        <v>7.0000000000000007E-2</v>
      </c>
      <c r="E11" s="3">
        <v>0.08</v>
      </c>
      <c r="F11" s="3">
        <v>7.0000000000000007E-2</v>
      </c>
      <c r="G11" s="3">
        <v>0.09</v>
      </c>
      <c r="H11" s="3">
        <v>0.09</v>
      </c>
      <c r="I11" s="3">
        <v>0.09</v>
      </c>
      <c r="J11" s="3">
        <v>0.17</v>
      </c>
      <c r="K11" s="3">
        <v>0.2</v>
      </c>
      <c r="L11" s="3">
        <v>0.19</v>
      </c>
      <c r="M11" s="3">
        <v>0.22</v>
      </c>
      <c r="N11" s="3">
        <v>0.15</v>
      </c>
      <c r="O11" s="21"/>
      <c r="P11" s="21"/>
      <c r="Q11" s="21"/>
      <c r="R11" s="21"/>
    </row>
    <row r="12" spans="1:18" x14ac:dyDescent="0.25">
      <c r="A12" s="2" t="s">
        <v>19</v>
      </c>
      <c r="B12" s="2" t="s">
        <v>14</v>
      </c>
      <c r="C12" s="3">
        <v>10.06</v>
      </c>
      <c r="D12" s="3">
        <v>9.84</v>
      </c>
      <c r="E12" s="3">
        <v>12.11</v>
      </c>
      <c r="F12" s="3">
        <v>10.99</v>
      </c>
      <c r="G12" s="3">
        <v>13</v>
      </c>
      <c r="H12" s="3">
        <v>15.76</v>
      </c>
      <c r="I12" s="3">
        <v>14.78</v>
      </c>
      <c r="J12" s="3">
        <v>16.37</v>
      </c>
      <c r="K12" s="3">
        <v>14.89</v>
      </c>
      <c r="L12" s="3">
        <v>12.98</v>
      </c>
      <c r="M12" s="3">
        <v>11.44</v>
      </c>
      <c r="N12" s="3">
        <v>9.8699999999999992</v>
      </c>
      <c r="O12" s="21"/>
      <c r="P12" s="21"/>
      <c r="Q12" s="21"/>
      <c r="R12" s="21"/>
    </row>
    <row r="13" spans="1:18" x14ac:dyDescent="0.25">
      <c r="B13" s="2" t="s">
        <v>15</v>
      </c>
      <c r="C13" s="3">
        <v>3.45</v>
      </c>
      <c r="D13" s="3">
        <v>3.32</v>
      </c>
      <c r="E13" s="3">
        <v>4.09</v>
      </c>
      <c r="F13" s="3">
        <v>3.76</v>
      </c>
      <c r="G13" s="3">
        <v>4.47</v>
      </c>
      <c r="H13" s="3">
        <v>5.48</v>
      </c>
      <c r="I13" s="3">
        <v>5.18</v>
      </c>
      <c r="J13" s="3">
        <v>5.73</v>
      </c>
      <c r="K13" s="3">
        <v>5.14</v>
      </c>
      <c r="L13" s="3">
        <v>4.45</v>
      </c>
      <c r="M13" s="3">
        <v>3.87</v>
      </c>
      <c r="N13" s="3">
        <v>3.31</v>
      </c>
      <c r="O13" s="21"/>
      <c r="P13" s="21"/>
      <c r="Q13" s="21"/>
      <c r="R13" s="21"/>
    </row>
    <row r="14" spans="1:18" x14ac:dyDescent="0.25">
      <c r="A14" s="2" t="s">
        <v>20</v>
      </c>
      <c r="B14" s="2" t="s">
        <v>14</v>
      </c>
      <c r="C14" s="3">
        <v>1.25</v>
      </c>
      <c r="D14" s="3">
        <v>1.19</v>
      </c>
      <c r="E14" s="3">
        <v>1.43</v>
      </c>
      <c r="F14" s="3">
        <v>1.45</v>
      </c>
      <c r="G14" s="3">
        <v>1.76</v>
      </c>
      <c r="H14" s="3">
        <v>1.42</v>
      </c>
      <c r="I14" s="3">
        <v>1.33</v>
      </c>
      <c r="J14" s="3">
        <v>1.51</v>
      </c>
      <c r="K14" s="3">
        <v>1.38</v>
      </c>
      <c r="L14" s="3">
        <v>1.31</v>
      </c>
      <c r="M14" s="3">
        <v>1.49</v>
      </c>
      <c r="N14" s="3">
        <v>1.29</v>
      </c>
      <c r="O14" s="21"/>
      <c r="P14" s="21"/>
      <c r="Q14" s="21"/>
      <c r="R14" s="21"/>
    </row>
    <row r="15" spans="1:18" x14ac:dyDescent="0.25">
      <c r="B15" s="2" t="s">
        <v>15</v>
      </c>
      <c r="C15" s="3">
        <v>0.46</v>
      </c>
      <c r="D15" s="3">
        <v>0.43</v>
      </c>
      <c r="E15" s="3">
        <v>0.52</v>
      </c>
      <c r="F15" s="3">
        <v>0.54</v>
      </c>
      <c r="G15" s="3">
        <v>0.65</v>
      </c>
      <c r="H15" s="3">
        <v>0.52</v>
      </c>
      <c r="I15" s="3">
        <v>0.49</v>
      </c>
      <c r="J15" s="3">
        <v>0.54</v>
      </c>
      <c r="K15" s="3">
        <v>0.5</v>
      </c>
      <c r="L15" s="3">
        <v>0.47</v>
      </c>
      <c r="M15" s="3">
        <v>0.54</v>
      </c>
      <c r="N15" s="3">
        <v>0.47</v>
      </c>
      <c r="O15" s="21"/>
      <c r="P15" s="21"/>
      <c r="Q15" s="21"/>
      <c r="R15" s="21"/>
    </row>
    <row r="16" spans="1:18" x14ac:dyDescent="0.25">
      <c r="A16" s="2" t="s">
        <v>21</v>
      </c>
      <c r="B16" s="2" t="s">
        <v>14</v>
      </c>
      <c r="C16" s="3">
        <v>11.55</v>
      </c>
      <c r="D16" s="3">
        <v>11.18</v>
      </c>
      <c r="E16" s="3">
        <v>13.72</v>
      </c>
      <c r="F16" s="3">
        <v>12.58</v>
      </c>
      <c r="G16" s="3">
        <v>14.93</v>
      </c>
      <c r="H16" s="3">
        <v>17.350000000000001</v>
      </c>
      <c r="I16" s="3">
        <v>16.3</v>
      </c>
      <c r="J16" s="3">
        <v>18.21</v>
      </c>
      <c r="K16" s="3">
        <v>16.670000000000002</v>
      </c>
      <c r="L16" s="3">
        <v>14.66</v>
      </c>
      <c r="M16" s="3">
        <v>13.36</v>
      </c>
      <c r="N16" s="3">
        <v>11.44</v>
      </c>
      <c r="O16" s="21"/>
      <c r="P16" s="21"/>
      <c r="Q16" s="21"/>
      <c r="R16" s="21"/>
    </row>
    <row r="17" spans="1:18" x14ac:dyDescent="0.25">
      <c r="B17" s="2" t="s">
        <v>15</v>
      </c>
      <c r="C17" s="3">
        <v>4.03</v>
      </c>
      <c r="D17" s="3">
        <v>3.83</v>
      </c>
      <c r="E17" s="3">
        <v>4.6900000000000004</v>
      </c>
      <c r="F17" s="3">
        <v>4.37</v>
      </c>
      <c r="G17" s="3">
        <v>5.21</v>
      </c>
      <c r="H17" s="3">
        <v>6.08</v>
      </c>
      <c r="I17" s="3">
        <v>5.76</v>
      </c>
      <c r="J17" s="3">
        <v>6.44</v>
      </c>
      <c r="K17" s="3">
        <v>5.84</v>
      </c>
      <c r="L17" s="3">
        <v>5.1100000000000003</v>
      </c>
      <c r="M17" s="3">
        <v>4.63</v>
      </c>
      <c r="N17" s="3">
        <v>3.93</v>
      </c>
      <c r="O17" s="21"/>
      <c r="P17" s="21"/>
      <c r="Q17" s="21"/>
      <c r="R17" s="21"/>
    </row>
    <row r="18" spans="1:18" x14ac:dyDescent="0.25">
      <c r="A18" s="2" t="s">
        <v>22</v>
      </c>
      <c r="B18" s="2" t="s">
        <v>14</v>
      </c>
      <c r="C18" s="3">
        <v>5.49</v>
      </c>
      <c r="D18" s="3">
        <v>5.79</v>
      </c>
      <c r="E18" s="3">
        <v>6.21</v>
      </c>
      <c r="F18" s="3">
        <v>5.33</v>
      </c>
      <c r="G18" s="3">
        <v>6.45</v>
      </c>
      <c r="H18" s="3">
        <v>4.76</v>
      </c>
      <c r="I18" s="3">
        <v>3.84</v>
      </c>
      <c r="J18" s="3">
        <v>4.12</v>
      </c>
      <c r="K18" s="3">
        <v>4.87</v>
      </c>
      <c r="L18" s="3">
        <v>5.96</v>
      </c>
      <c r="M18" s="3">
        <v>7.13</v>
      </c>
      <c r="N18" s="3">
        <v>5.74</v>
      </c>
      <c r="O18" s="21"/>
      <c r="P18" s="21"/>
      <c r="Q18" s="21"/>
      <c r="R18" s="21"/>
    </row>
    <row r="19" spans="1:18" x14ac:dyDescent="0.25">
      <c r="B19" s="2" t="s">
        <v>15</v>
      </c>
      <c r="C19" s="3">
        <v>1.72</v>
      </c>
      <c r="D19" s="3">
        <v>1.82</v>
      </c>
      <c r="E19" s="3">
        <v>1.97</v>
      </c>
      <c r="F19" s="3">
        <v>1.7</v>
      </c>
      <c r="G19" s="3">
        <v>2.0499999999999998</v>
      </c>
      <c r="H19" s="3">
        <v>1.52</v>
      </c>
      <c r="I19" s="3">
        <v>1.21</v>
      </c>
      <c r="J19" s="3">
        <v>1.29</v>
      </c>
      <c r="K19" s="3">
        <v>1.47</v>
      </c>
      <c r="L19" s="3">
        <v>1.78</v>
      </c>
      <c r="M19" s="3">
        <v>2.16</v>
      </c>
      <c r="N19" s="3">
        <v>1.74</v>
      </c>
      <c r="O19" s="21"/>
      <c r="P19" s="21"/>
      <c r="Q19" s="21"/>
      <c r="R19" s="21"/>
    </row>
    <row r="20" spans="1:18" x14ac:dyDescent="0.25">
      <c r="A20" s="2" t="s">
        <v>23</v>
      </c>
      <c r="B20" s="2" t="s">
        <v>14</v>
      </c>
      <c r="C20" s="3">
        <v>8.5500000000000007</v>
      </c>
      <c r="D20" s="3">
        <v>8.17</v>
      </c>
      <c r="E20" s="3">
        <v>7.58</v>
      </c>
      <c r="F20" s="3">
        <v>5.54</v>
      </c>
      <c r="G20" s="3">
        <v>6.04</v>
      </c>
      <c r="H20" s="3">
        <v>5.28</v>
      </c>
      <c r="I20" s="3">
        <v>4.79</v>
      </c>
      <c r="J20" s="3">
        <v>7.92</v>
      </c>
      <c r="K20" s="3">
        <v>9.8000000000000007</v>
      </c>
      <c r="L20" s="3">
        <v>10.66</v>
      </c>
      <c r="M20" s="3">
        <v>12.76</v>
      </c>
      <c r="N20" s="3">
        <v>10.59</v>
      </c>
      <c r="O20" s="21"/>
      <c r="P20" s="21"/>
      <c r="Q20" s="21"/>
      <c r="R20" s="21"/>
    </row>
    <row r="21" spans="1:18" x14ac:dyDescent="0.25">
      <c r="B21" s="2" t="s">
        <v>15</v>
      </c>
      <c r="C21" s="3">
        <v>2.85</v>
      </c>
      <c r="D21" s="3">
        <v>2.72</v>
      </c>
      <c r="E21" s="3">
        <v>2.5099999999999998</v>
      </c>
      <c r="F21" s="3">
        <v>1.86</v>
      </c>
      <c r="G21" s="3">
        <v>2.0299999999999998</v>
      </c>
      <c r="H21" s="3">
        <v>1.77</v>
      </c>
      <c r="I21" s="3">
        <v>1.56</v>
      </c>
      <c r="J21" s="3">
        <v>2.56</v>
      </c>
      <c r="K21" s="3">
        <v>3.21</v>
      </c>
      <c r="L21" s="3">
        <v>3.52</v>
      </c>
      <c r="M21" s="3">
        <v>4.26</v>
      </c>
      <c r="N21" s="3">
        <v>3.54</v>
      </c>
      <c r="O21" s="21"/>
      <c r="P21" s="21"/>
      <c r="Q21" s="21"/>
      <c r="R21" s="21"/>
    </row>
    <row r="22" spans="1:18" x14ac:dyDescent="0.25">
      <c r="A22" s="2" t="s">
        <v>24</v>
      </c>
      <c r="B22" s="2" t="s">
        <v>14</v>
      </c>
      <c r="C22" s="3">
        <v>2.82</v>
      </c>
      <c r="D22" s="3">
        <v>3.01</v>
      </c>
      <c r="E22" s="3">
        <v>2.98</v>
      </c>
      <c r="F22" s="3">
        <v>2.42</v>
      </c>
      <c r="G22" s="3">
        <v>2.62</v>
      </c>
      <c r="H22" s="3">
        <v>2.12</v>
      </c>
      <c r="I22" s="3">
        <v>1.79</v>
      </c>
      <c r="J22" s="3">
        <v>2.66</v>
      </c>
      <c r="K22" s="3">
        <v>3.11</v>
      </c>
      <c r="L22" s="3">
        <v>3.22</v>
      </c>
      <c r="M22" s="3">
        <v>3.5</v>
      </c>
      <c r="N22" s="3">
        <v>3.28</v>
      </c>
      <c r="O22" s="21"/>
      <c r="P22" s="21"/>
      <c r="Q22" s="21"/>
      <c r="R22" s="21"/>
    </row>
    <row r="23" spans="1:18" x14ac:dyDescent="0.25">
      <c r="B23" s="2" t="s">
        <v>15</v>
      </c>
      <c r="C23" s="3">
        <v>0.85</v>
      </c>
      <c r="D23" s="3">
        <v>0.9</v>
      </c>
      <c r="E23" s="3">
        <v>0.89</v>
      </c>
      <c r="F23" s="3">
        <v>0.74</v>
      </c>
      <c r="G23" s="3">
        <v>0.8</v>
      </c>
      <c r="H23" s="3">
        <v>0.64</v>
      </c>
      <c r="I23" s="3">
        <v>0.53</v>
      </c>
      <c r="J23" s="3">
        <v>0.78</v>
      </c>
      <c r="K23" s="3">
        <v>0.91</v>
      </c>
      <c r="L23" s="3">
        <v>0.95</v>
      </c>
      <c r="M23" s="3">
        <v>1.04</v>
      </c>
      <c r="N23" s="3">
        <v>0.97</v>
      </c>
      <c r="O23" s="21"/>
      <c r="P23" s="21"/>
      <c r="Q23" s="21"/>
      <c r="R23" s="21"/>
    </row>
    <row r="24" spans="1:18" x14ac:dyDescent="0.25">
      <c r="A24" s="2" t="s">
        <v>25</v>
      </c>
      <c r="B24" s="2" t="s">
        <v>14</v>
      </c>
      <c r="C24" s="3">
        <v>11.37</v>
      </c>
      <c r="D24" s="3">
        <v>11.18</v>
      </c>
      <c r="E24" s="3">
        <v>10.56</v>
      </c>
      <c r="F24" s="3">
        <v>7.96</v>
      </c>
      <c r="G24" s="3">
        <v>8.67</v>
      </c>
      <c r="H24" s="3">
        <v>7.39</v>
      </c>
      <c r="I24" s="3">
        <v>6.58</v>
      </c>
      <c r="J24" s="3">
        <v>10.58</v>
      </c>
      <c r="K24" s="3">
        <v>12.91</v>
      </c>
      <c r="L24" s="3">
        <v>13.88</v>
      </c>
      <c r="M24" s="3">
        <v>16.27</v>
      </c>
      <c r="N24" s="3">
        <v>13.87</v>
      </c>
      <c r="O24" s="21"/>
      <c r="P24" s="21"/>
      <c r="Q24" s="21"/>
      <c r="R24" s="21"/>
    </row>
    <row r="25" spans="1:18" x14ac:dyDescent="0.25">
      <c r="B25" s="2" t="s">
        <v>15</v>
      </c>
      <c r="C25" s="3">
        <v>3.7</v>
      </c>
      <c r="D25" s="3">
        <v>3.62</v>
      </c>
      <c r="E25" s="3">
        <v>3.41</v>
      </c>
      <c r="F25" s="3">
        <v>2.6</v>
      </c>
      <c r="G25" s="3">
        <v>2.83</v>
      </c>
      <c r="H25" s="3">
        <v>2.41</v>
      </c>
      <c r="I25" s="3">
        <v>2.1</v>
      </c>
      <c r="J25" s="3">
        <v>3.35</v>
      </c>
      <c r="K25" s="3">
        <v>4.12</v>
      </c>
      <c r="L25" s="3">
        <v>4.46</v>
      </c>
      <c r="M25" s="3">
        <v>5.3</v>
      </c>
      <c r="N25" s="3">
        <v>4.5</v>
      </c>
      <c r="O25" s="21"/>
      <c r="P25" s="21"/>
      <c r="Q25" s="21"/>
      <c r="R25" s="21"/>
    </row>
    <row r="26" spans="1:18" x14ac:dyDescent="0.25">
      <c r="A26" s="2" t="s">
        <v>26</v>
      </c>
      <c r="B26" s="2" t="s">
        <v>14</v>
      </c>
      <c r="C26" s="3">
        <v>30.95</v>
      </c>
      <c r="D26" s="3">
        <v>30.79</v>
      </c>
      <c r="E26" s="3">
        <v>33.6</v>
      </c>
      <c r="F26" s="3">
        <v>28.34</v>
      </c>
      <c r="G26" s="3">
        <v>33.22</v>
      </c>
      <c r="H26" s="3">
        <v>31.65</v>
      </c>
      <c r="I26" s="3">
        <v>28.36</v>
      </c>
      <c r="J26" s="3">
        <v>35.71</v>
      </c>
      <c r="K26" s="3">
        <v>37.380000000000003</v>
      </c>
      <c r="L26" s="3">
        <v>37.24</v>
      </c>
      <c r="M26" s="3">
        <v>39.94</v>
      </c>
      <c r="N26" s="3">
        <v>33.49</v>
      </c>
      <c r="O26" s="21"/>
      <c r="P26" s="21"/>
      <c r="Q26" s="21"/>
      <c r="R26" s="21"/>
    </row>
    <row r="27" spans="1:18" x14ac:dyDescent="0.25">
      <c r="B27" s="2" t="s">
        <v>15</v>
      </c>
      <c r="C27" s="3">
        <v>10.29</v>
      </c>
      <c r="D27" s="3">
        <v>10.16</v>
      </c>
      <c r="E27" s="3">
        <v>11.11</v>
      </c>
      <c r="F27" s="3">
        <v>9.51</v>
      </c>
      <c r="G27" s="3">
        <v>11.15</v>
      </c>
      <c r="H27" s="3">
        <v>10.74</v>
      </c>
      <c r="I27" s="3">
        <v>9.6300000000000008</v>
      </c>
      <c r="J27" s="3">
        <v>12.02</v>
      </c>
      <c r="K27" s="3">
        <v>12.38</v>
      </c>
      <c r="L27" s="3">
        <v>12.25</v>
      </c>
      <c r="M27" s="3">
        <v>13.13</v>
      </c>
      <c r="N27" s="3">
        <v>10.98</v>
      </c>
      <c r="O27" s="21"/>
      <c r="P27" s="21"/>
      <c r="Q27" s="21"/>
      <c r="R27" s="21"/>
    </row>
    <row r="28" spans="1:18" x14ac:dyDescent="0.25">
      <c r="A28" s="2" t="s">
        <v>27</v>
      </c>
      <c r="B28" s="2" t="s">
        <v>14</v>
      </c>
      <c r="C28" s="3">
        <v>31.88</v>
      </c>
      <c r="D28" s="3">
        <v>31.82</v>
      </c>
      <c r="E28" s="3">
        <v>34.619999999999997</v>
      </c>
      <c r="F28" s="3">
        <v>29.29</v>
      </c>
      <c r="G28" s="3">
        <v>34.24</v>
      </c>
      <c r="H28" s="3">
        <v>32.57</v>
      </c>
      <c r="I28" s="3">
        <v>29.1</v>
      </c>
      <c r="J28" s="3">
        <v>36.64</v>
      </c>
      <c r="K28" s="3">
        <v>38.369999999999997</v>
      </c>
      <c r="L28" s="3">
        <v>38.19</v>
      </c>
      <c r="M28" s="3">
        <v>41.07</v>
      </c>
      <c r="N28" s="3">
        <v>34.299999999999997</v>
      </c>
      <c r="O28" s="21"/>
      <c r="P28" s="21"/>
      <c r="Q28" s="21"/>
      <c r="R28" s="21"/>
    </row>
    <row r="29" spans="1:18" x14ac:dyDescent="0.25">
      <c r="B29" s="2" t="s">
        <v>15</v>
      </c>
      <c r="C29" s="3">
        <v>10.45</v>
      </c>
      <c r="D29" s="3">
        <v>10.33</v>
      </c>
      <c r="E29" s="3">
        <v>11.28</v>
      </c>
      <c r="F29" s="3">
        <v>9.66</v>
      </c>
      <c r="G29" s="3">
        <v>11.32</v>
      </c>
      <c r="H29" s="3">
        <v>10.9</v>
      </c>
      <c r="I29" s="3">
        <v>9.76</v>
      </c>
      <c r="J29" s="3">
        <v>12.18</v>
      </c>
      <c r="K29" s="3">
        <v>12.54</v>
      </c>
      <c r="L29" s="3">
        <v>12.4</v>
      </c>
      <c r="M29" s="3">
        <v>13.31</v>
      </c>
      <c r="N29" s="3">
        <v>11.11</v>
      </c>
      <c r="O29" s="21"/>
      <c r="P29" s="21"/>
      <c r="Q29" s="21"/>
      <c r="R29" s="21"/>
    </row>
    <row r="30" spans="1:18" x14ac:dyDescent="0.25">
      <c r="A30" s="2" t="s">
        <v>28</v>
      </c>
      <c r="B30" s="2" t="s">
        <v>14</v>
      </c>
      <c r="C30" s="3">
        <v>206.27</v>
      </c>
      <c r="D30" s="3">
        <v>205.81</v>
      </c>
      <c r="E30" s="3">
        <v>236.62</v>
      </c>
      <c r="F30" s="3">
        <v>202.34</v>
      </c>
      <c r="G30" s="3">
        <v>222.75</v>
      </c>
      <c r="H30" s="3">
        <v>213.96</v>
      </c>
      <c r="I30" s="3">
        <v>215.87</v>
      </c>
      <c r="J30" s="3">
        <v>231.03</v>
      </c>
      <c r="K30" s="3">
        <v>216.49</v>
      </c>
      <c r="L30" s="3">
        <v>209.05</v>
      </c>
      <c r="M30" s="3">
        <v>224.53</v>
      </c>
      <c r="N30" s="3">
        <v>211.21</v>
      </c>
      <c r="O30" s="21"/>
      <c r="P30" s="21"/>
      <c r="Q30" s="21"/>
      <c r="R30" s="21"/>
    </row>
    <row r="31" spans="1:18" x14ac:dyDescent="0.25">
      <c r="B31" s="2" t="s">
        <v>15</v>
      </c>
      <c r="C31" s="3">
        <v>19.78</v>
      </c>
      <c r="D31" s="3">
        <v>19.690000000000001</v>
      </c>
      <c r="E31" s="3">
        <v>22.52</v>
      </c>
      <c r="F31" s="3">
        <v>19.149999999999999</v>
      </c>
      <c r="G31" s="3">
        <v>20.86</v>
      </c>
      <c r="H31" s="3">
        <v>19.96</v>
      </c>
      <c r="I31" s="3">
        <v>20.04</v>
      </c>
      <c r="J31" s="3">
        <v>21.18</v>
      </c>
      <c r="K31" s="3">
        <v>19.77</v>
      </c>
      <c r="L31" s="3">
        <v>19.23</v>
      </c>
      <c r="M31" s="3">
        <v>20.82</v>
      </c>
      <c r="N31" s="3">
        <v>19.64</v>
      </c>
      <c r="O31" s="21"/>
      <c r="P31" s="21"/>
      <c r="Q31" s="21"/>
      <c r="R31" s="21"/>
    </row>
    <row r="32" spans="1:18" x14ac:dyDescent="0.25">
      <c r="A32" s="2" t="s">
        <v>29</v>
      </c>
      <c r="B32" s="2" t="s">
        <v>14</v>
      </c>
      <c r="C32" s="3">
        <v>2.3199999999999998</v>
      </c>
      <c r="D32" s="3">
        <v>2.38</v>
      </c>
      <c r="E32" s="3">
        <v>3.03</v>
      </c>
      <c r="F32" s="3">
        <v>2.5099999999999998</v>
      </c>
      <c r="G32" s="3">
        <v>2.62</v>
      </c>
      <c r="H32" s="3">
        <v>2.67</v>
      </c>
      <c r="I32" s="3">
        <v>2.76</v>
      </c>
      <c r="J32" s="3">
        <v>2.76</v>
      </c>
      <c r="K32" s="3">
        <v>2.57</v>
      </c>
      <c r="L32" s="3">
        <v>2.4700000000000002</v>
      </c>
      <c r="M32" s="3">
        <v>2.5099999999999998</v>
      </c>
      <c r="N32" s="3">
        <v>2.2599999999999998</v>
      </c>
      <c r="O32" s="21"/>
      <c r="P32" s="21"/>
      <c r="Q32" s="21"/>
      <c r="R32" s="21"/>
    </row>
    <row r="33" spans="1:39" x14ac:dyDescent="0.25">
      <c r="B33" s="2" t="s">
        <v>15</v>
      </c>
      <c r="C33" s="3">
        <v>0.43</v>
      </c>
      <c r="D33" s="3">
        <v>0.44</v>
      </c>
      <c r="E33" s="3">
        <v>0.55000000000000004</v>
      </c>
      <c r="F33" s="3">
        <v>0.46</v>
      </c>
      <c r="G33" s="3">
        <v>0.48</v>
      </c>
      <c r="H33" s="3">
        <v>0.49</v>
      </c>
      <c r="I33" s="3">
        <v>0.5</v>
      </c>
      <c r="J33" s="3">
        <v>0.5</v>
      </c>
      <c r="K33" s="3">
        <v>0.46</v>
      </c>
      <c r="L33" s="3">
        <v>0.45</v>
      </c>
      <c r="M33" s="3">
        <v>0.46</v>
      </c>
      <c r="N33" s="3">
        <v>0.41</v>
      </c>
      <c r="O33" s="21"/>
      <c r="P33" s="21"/>
      <c r="Q33" s="21"/>
      <c r="R33" s="21"/>
    </row>
    <row r="34" spans="1:39" x14ac:dyDescent="0.25">
      <c r="A34" s="2" t="s">
        <v>30</v>
      </c>
      <c r="B34" s="2" t="s">
        <v>14</v>
      </c>
      <c r="C34" s="3">
        <v>0.08</v>
      </c>
      <c r="D34" s="3">
        <v>0.11</v>
      </c>
      <c r="E34" s="3">
        <v>7.0000000000000007E-2</v>
      </c>
      <c r="F34" s="3">
        <v>0.08</v>
      </c>
      <c r="G34" s="3">
        <v>0.09</v>
      </c>
      <c r="H34" s="3">
        <v>0.1</v>
      </c>
      <c r="I34" s="3">
        <v>0.05</v>
      </c>
      <c r="J34" s="3">
        <v>7.0000000000000007E-2</v>
      </c>
      <c r="K34" s="3">
        <v>0.1</v>
      </c>
      <c r="L34" s="3">
        <v>0.08</v>
      </c>
      <c r="M34" s="3">
        <v>7.0000000000000007E-2</v>
      </c>
      <c r="N34" s="3">
        <v>7.0000000000000007E-2</v>
      </c>
      <c r="O34" s="21"/>
      <c r="P34" s="21"/>
      <c r="Q34" s="21"/>
      <c r="R34" s="21"/>
    </row>
    <row r="35" spans="1:39" x14ac:dyDescent="0.25">
      <c r="B35" s="2" t="s">
        <v>15</v>
      </c>
      <c r="C35" s="3">
        <v>0.01</v>
      </c>
      <c r="D35" s="3">
        <v>0.02</v>
      </c>
      <c r="E35" s="3">
        <v>0.01</v>
      </c>
      <c r="F35" s="3">
        <v>0.01</v>
      </c>
      <c r="G35" s="3">
        <v>0.01</v>
      </c>
      <c r="H35" s="3">
        <v>0.02</v>
      </c>
      <c r="I35" s="3">
        <v>0.01</v>
      </c>
      <c r="J35" s="3">
        <v>0.01</v>
      </c>
      <c r="K35" s="3">
        <v>0.02</v>
      </c>
      <c r="L35" s="3">
        <v>0.01</v>
      </c>
      <c r="M35" s="3">
        <v>0.01</v>
      </c>
      <c r="N35" s="3">
        <v>0.01</v>
      </c>
      <c r="O35" s="21"/>
      <c r="P35" s="21"/>
      <c r="Q35" s="21"/>
      <c r="R35" s="21"/>
    </row>
    <row r="36" spans="1:39" x14ac:dyDescent="0.25">
      <c r="A36" s="2" t="s">
        <v>31</v>
      </c>
      <c r="B36" s="2" t="s">
        <v>14</v>
      </c>
      <c r="C36" s="3">
        <v>0.14000000000000001</v>
      </c>
      <c r="D36" s="3">
        <v>0.2</v>
      </c>
      <c r="E36" s="3">
        <v>0.25</v>
      </c>
      <c r="F36" s="3">
        <v>0.14000000000000001</v>
      </c>
      <c r="G36" s="3">
        <v>0.3</v>
      </c>
      <c r="H36" s="3">
        <v>0.22</v>
      </c>
      <c r="I36" s="3">
        <v>0.28999999999999998</v>
      </c>
      <c r="J36" s="3">
        <v>0.38</v>
      </c>
      <c r="K36" s="3">
        <v>0.25</v>
      </c>
      <c r="L36" s="3">
        <v>0.19</v>
      </c>
      <c r="M36" s="3">
        <v>0.21</v>
      </c>
      <c r="N36" s="3">
        <v>0.24</v>
      </c>
      <c r="O36" s="21"/>
      <c r="P36" s="21"/>
      <c r="Q36" s="21"/>
      <c r="R36" s="21"/>
    </row>
    <row r="37" spans="1:39" x14ac:dyDescent="0.25">
      <c r="B37" s="2" t="s">
        <v>15</v>
      </c>
      <c r="C37" s="3">
        <v>0</v>
      </c>
      <c r="D37" s="3">
        <v>0.01</v>
      </c>
      <c r="E37" s="3">
        <v>0.01</v>
      </c>
      <c r="F37" s="3">
        <v>0.01</v>
      </c>
      <c r="G37" s="3">
        <v>0.01</v>
      </c>
      <c r="H37" s="3">
        <v>0.01</v>
      </c>
      <c r="I37" s="3">
        <v>0.01</v>
      </c>
      <c r="J37" s="3">
        <v>0.01</v>
      </c>
      <c r="K37" s="3">
        <v>0.01</v>
      </c>
      <c r="L37" s="3">
        <v>0.01</v>
      </c>
      <c r="M37" s="3">
        <v>0.01</v>
      </c>
      <c r="N37" s="3">
        <v>0.01</v>
      </c>
      <c r="O37" s="21"/>
      <c r="P37" s="21"/>
      <c r="Q37" s="21"/>
      <c r="R37" s="21"/>
    </row>
    <row r="38" spans="1:39" x14ac:dyDescent="0.25">
      <c r="A38" s="2" t="s">
        <v>32</v>
      </c>
      <c r="B38" s="2" t="s">
        <v>14</v>
      </c>
      <c r="C38" s="3">
        <v>1.31</v>
      </c>
      <c r="D38" s="3">
        <v>1.47</v>
      </c>
      <c r="E38" s="3">
        <v>1.44</v>
      </c>
      <c r="F38" s="3">
        <v>1.23</v>
      </c>
      <c r="G38" s="3">
        <v>1.41</v>
      </c>
      <c r="H38" s="3">
        <v>1.1299999999999999</v>
      </c>
      <c r="I38" s="3">
        <v>1.19</v>
      </c>
      <c r="J38" s="3">
        <v>1.1200000000000001</v>
      </c>
      <c r="K38" s="3">
        <v>1.08</v>
      </c>
      <c r="L38" s="3">
        <v>0.97</v>
      </c>
      <c r="M38" s="3">
        <v>1.02</v>
      </c>
      <c r="N38" s="3">
        <v>1.1599999999999999</v>
      </c>
      <c r="O38" s="21"/>
      <c r="P38" s="21"/>
      <c r="Q38" s="21"/>
      <c r="R38" s="21"/>
    </row>
    <row r="39" spans="1:39" x14ac:dyDescent="0.25">
      <c r="B39" s="2" t="s">
        <v>15</v>
      </c>
      <c r="C39" s="3">
        <v>0.12</v>
      </c>
      <c r="D39" s="3">
        <v>0.14000000000000001</v>
      </c>
      <c r="E39" s="3">
        <v>0.13</v>
      </c>
      <c r="F39" s="3">
        <v>0.11</v>
      </c>
      <c r="G39" s="3">
        <v>0.13</v>
      </c>
      <c r="H39" s="3">
        <v>0.1</v>
      </c>
      <c r="I39" s="3">
        <v>0.11</v>
      </c>
      <c r="J39" s="3">
        <v>0.1</v>
      </c>
      <c r="K39" s="3">
        <v>0.09</v>
      </c>
      <c r="L39" s="3">
        <v>0.09</v>
      </c>
      <c r="M39" s="3">
        <v>0.09</v>
      </c>
      <c r="N39" s="3">
        <v>0.11</v>
      </c>
      <c r="O39" s="21"/>
      <c r="P39" s="21"/>
      <c r="Q39" s="21"/>
      <c r="R39" s="21"/>
    </row>
    <row r="40" spans="1:39" x14ac:dyDescent="0.25">
      <c r="A40" s="2" t="s">
        <v>33</v>
      </c>
      <c r="B40" s="2" t="s">
        <v>14</v>
      </c>
      <c r="C40" s="3">
        <v>212.02</v>
      </c>
      <c r="D40" s="3">
        <v>212.05</v>
      </c>
      <c r="E40" s="3">
        <v>243.82</v>
      </c>
      <c r="F40" s="3">
        <v>208.4</v>
      </c>
      <c r="G40" s="3">
        <v>229.52</v>
      </c>
      <c r="H40" s="3">
        <v>220.36</v>
      </c>
      <c r="I40" s="3">
        <v>222.92</v>
      </c>
      <c r="J40" s="3">
        <v>237.52</v>
      </c>
      <c r="K40" s="3">
        <v>222.9</v>
      </c>
      <c r="L40" s="3">
        <v>214.97</v>
      </c>
      <c r="M40" s="3">
        <v>230.76</v>
      </c>
      <c r="N40" s="3">
        <v>217.17</v>
      </c>
      <c r="O40" s="21"/>
      <c r="P40" s="21"/>
      <c r="Q40" s="21"/>
      <c r="R40" s="21"/>
    </row>
    <row r="41" spans="1:39" x14ac:dyDescent="0.25">
      <c r="B41" s="2" t="s">
        <v>15</v>
      </c>
      <c r="C41" s="3">
        <v>20.66</v>
      </c>
      <c r="D41" s="3">
        <v>20.62</v>
      </c>
      <c r="E41" s="3">
        <v>23.61</v>
      </c>
      <c r="F41" s="3">
        <v>20.079999999999998</v>
      </c>
      <c r="G41" s="3">
        <v>21.88</v>
      </c>
      <c r="H41" s="3">
        <v>20.95</v>
      </c>
      <c r="I41" s="3">
        <v>21.12</v>
      </c>
      <c r="J41" s="3">
        <v>22.14</v>
      </c>
      <c r="K41" s="3">
        <v>20.74</v>
      </c>
      <c r="L41" s="3">
        <v>20.14</v>
      </c>
      <c r="M41" s="3">
        <v>21.78</v>
      </c>
      <c r="N41" s="3">
        <v>20.53</v>
      </c>
      <c r="O41" s="21"/>
      <c r="P41" s="21"/>
      <c r="Q41" s="21"/>
      <c r="R41" s="21"/>
    </row>
    <row r="42" spans="1:39" x14ac:dyDescent="0.25">
      <c r="A42" s="2" t="s">
        <v>34</v>
      </c>
      <c r="B42" s="2" t="s">
        <v>14</v>
      </c>
      <c r="C42" s="3">
        <v>0.08</v>
      </c>
      <c r="D42" s="3">
        <v>0.08</v>
      </c>
      <c r="E42" s="3">
        <v>0.11</v>
      </c>
      <c r="F42" s="3">
        <v>0.08</v>
      </c>
      <c r="G42" s="3">
        <v>0.08</v>
      </c>
      <c r="H42" s="3">
        <v>7.0000000000000007E-2</v>
      </c>
      <c r="I42" s="3">
        <v>0.04</v>
      </c>
      <c r="J42" s="3">
        <v>0.09</v>
      </c>
      <c r="K42" s="3">
        <v>0.15</v>
      </c>
      <c r="L42" s="3">
        <v>0.12</v>
      </c>
      <c r="M42" s="3">
        <v>0.13</v>
      </c>
      <c r="N42" s="3">
        <v>0.09</v>
      </c>
      <c r="O42" s="21"/>
      <c r="P42" s="21"/>
      <c r="Q42" s="21"/>
      <c r="R42" s="21"/>
    </row>
    <row r="43" spans="1:39" x14ac:dyDescent="0.25">
      <c r="B43" s="2" t="s">
        <v>15</v>
      </c>
      <c r="C43" s="3">
        <v>0.02</v>
      </c>
      <c r="D43" s="3">
        <v>0.02</v>
      </c>
      <c r="E43" s="3">
        <v>0.03</v>
      </c>
      <c r="F43" s="3">
        <v>0.02</v>
      </c>
      <c r="G43" s="3">
        <v>0.02</v>
      </c>
      <c r="H43" s="3">
        <v>0.02</v>
      </c>
      <c r="I43" s="3">
        <v>0.01</v>
      </c>
      <c r="J43" s="3">
        <v>0.03</v>
      </c>
      <c r="K43" s="3">
        <v>0.04</v>
      </c>
      <c r="L43" s="3">
        <v>0.03</v>
      </c>
      <c r="M43" s="3">
        <v>0.04</v>
      </c>
      <c r="N43" s="3">
        <v>0.02</v>
      </c>
      <c r="O43" s="21"/>
      <c r="P43" s="21"/>
      <c r="Q43" s="21"/>
      <c r="R43" s="21"/>
    </row>
    <row r="44" spans="1:39" x14ac:dyDescent="0.25">
      <c r="B44" s="2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21"/>
      <c r="P44" s="21"/>
      <c r="Q44" s="21"/>
      <c r="R44" s="21"/>
      <c r="AD44" t="s">
        <v>172</v>
      </c>
    </row>
    <row r="45" spans="1:39" x14ac:dyDescent="0.25">
      <c r="A45" s="2" t="s">
        <v>35</v>
      </c>
      <c r="B45" s="2" t="s">
        <v>14</v>
      </c>
      <c r="C45" s="3">
        <v>1.57</v>
      </c>
      <c r="D45" s="3">
        <v>1.19</v>
      </c>
      <c r="E45" s="3">
        <v>1.06</v>
      </c>
      <c r="F45" s="3">
        <v>1.28</v>
      </c>
      <c r="G45" s="3">
        <v>1.92</v>
      </c>
      <c r="H45" s="3">
        <v>1.9</v>
      </c>
      <c r="I45" s="3">
        <v>1.81</v>
      </c>
      <c r="J45" s="3">
        <v>3.71</v>
      </c>
      <c r="K45" s="3">
        <v>4.72</v>
      </c>
      <c r="L45" s="3">
        <v>5.76</v>
      </c>
      <c r="M45" s="3">
        <v>6.29</v>
      </c>
      <c r="N45" s="3">
        <v>3.72</v>
      </c>
      <c r="O45" s="21">
        <f>SUM(C45:N45)*1000</f>
        <v>34930</v>
      </c>
      <c r="P45" s="21"/>
      <c r="Q45" s="21"/>
      <c r="R45" s="21"/>
      <c r="AD45" s="19">
        <f>AE51+AF51</f>
        <v>721.59999999999991</v>
      </c>
      <c r="AE45" t="s">
        <v>171</v>
      </c>
    </row>
    <row r="46" spans="1:39" x14ac:dyDescent="0.25">
      <c r="A46" s="2"/>
      <c r="B46" s="2"/>
      <c r="C46" s="6">
        <f>C45/SUM($C$45:$N$45)</f>
        <v>4.4947036931004866E-2</v>
      </c>
      <c r="D46" s="6">
        <f t="shared" ref="D46:N46" si="0">D45/SUM($C$45:$N$45)</f>
        <v>3.406813627254509E-2</v>
      </c>
      <c r="E46" s="6">
        <f t="shared" si="0"/>
        <v>3.0346407099914114E-2</v>
      </c>
      <c r="F46" s="6">
        <f t="shared" si="0"/>
        <v>3.6644718007443462E-2</v>
      </c>
      <c r="G46" s="6">
        <f t="shared" si="0"/>
        <v>5.4967077011165183E-2</v>
      </c>
      <c r="H46" s="6">
        <f t="shared" si="0"/>
        <v>5.4394503292298883E-2</v>
      </c>
      <c r="I46" s="6">
        <f t="shared" si="0"/>
        <v>5.1817921557400518E-2</v>
      </c>
      <c r="J46" s="6">
        <f t="shared" si="0"/>
        <v>0.10621242484969939</v>
      </c>
      <c r="K46" s="6">
        <f t="shared" si="0"/>
        <v>0.13512739765244774</v>
      </c>
      <c r="L46" s="6">
        <f t="shared" si="0"/>
        <v>0.16490123103349555</v>
      </c>
      <c r="M46" s="6">
        <f t="shared" si="0"/>
        <v>0.18007443458345262</v>
      </c>
      <c r="N46" s="6">
        <f t="shared" si="0"/>
        <v>0.10649871170913255</v>
      </c>
      <c r="O46" s="21"/>
      <c r="P46" s="21"/>
      <c r="Q46" s="21"/>
      <c r="R46" s="21"/>
    </row>
    <row r="47" spans="1:39" x14ac:dyDescent="0.25">
      <c r="B47" s="2" t="s">
        <v>15</v>
      </c>
      <c r="C47" s="3">
        <v>0.05</v>
      </c>
      <c r="D47" s="3">
        <v>0.04</v>
      </c>
      <c r="E47" s="3">
        <v>0.03</v>
      </c>
      <c r="F47" s="3">
        <v>0.04</v>
      </c>
      <c r="G47" s="3">
        <v>0.06</v>
      </c>
      <c r="H47" s="3">
        <v>0.06</v>
      </c>
      <c r="I47" s="3">
        <v>0.05</v>
      </c>
      <c r="J47" s="3">
        <v>0.1</v>
      </c>
      <c r="K47" s="3">
        <v>0.13</v>
      </c>
      <c r="L47" s="3">
        <v>0.16</v>
      </c>
      <c r="M47" s="3">
        <v>0.17</v>
      </c>
      <c r="N47" s="3">
        <v>0.1</v>
      </c>
      <c r="O47" s="21"/>
      <c r="P47" s="21"/>
      <c r="Q47" s="21"/>
      <c r="R47" s="21"/>
      <c r="AE47" s="19"/>
    </row>
    <row r="48" spans="1:39" x14ac:dyDescent="0.25">
      <c r="B48" s="2"/>
      <c r="C48" s="6">
        <f>C47/SUM($C$47:$N$47)</f>
        <v>5.0505050505050504E-2</v>
      </c>
      <c r="D48" s="6">
        <f t="shared" ref="D48:N48" si="1">D47/SUM($C$47:$N$47)</f>
        <v>4.0404040404040401E-2</v>
      </c>
      <c r="E48" s="6">
        <f t="shared" si="1"/>
        <v>3.03030303030303E-2</v>
      </c>
      <c r="F48" s="6">
        <f t="shared" si="1"/>
        <v>4.0404040404040401E-2</v>
      </c>
      <c r="G48" s="6">
        <f t="shared" si="1"/>
        <v>6.0606060606060601E-2</v>
      </c>
      <c r="H48" s="6">
        <f t="shared" si="1"/>
        <v>6.0606060606060601E-2</v>
      </c>
      <c r="I48" s="6">
        <f t="shared" si="1"/>
        <v>5.0505050505050504E-2</v>
      </c>
      <c r="J48" s="6">
        <f t="shared" si="1"/>
        <v>0.10101010101010101</v>
      </c>
      <c r="K48" s="6">
        <f t="shared" si="1"/>
        <v>0.1313131313131313</v>
      </c>
      <c r="L48" s="6">
        <f t="shared" si="1"/>
        <v>0.1616161616161616</v>
      </c>
      <c r="M48" s="6">
        <f t="shared" si="1"/>
        <v>0.17171717171717171</v>
      </c>
      <c r="N48" s="6">
        <f t="shared" si="1"/>
        <v>0.10101010101010101</v>
      </c>
      <c r="O48" s="21"/>
      <c r="P48" s="21"/>
      <c r="Q48" s="21"/>
      <c r="R48" s="21"/>
      <c r="U48" s="25" t="s">
        <v>109</v>
      </c>
      <c r="V48" s="26"/>
      <c r="W48" s="26"/>
      <c r="X48" s="26"/>
      <c r="Y48" s="26"/>
      <c r="Z48" s="26"/>
      <c r="AA48" s="26"/>
      <c r="AB48" s="26"/>
      <c r="AC48" s="26"/>
      <c r="AD48" s="26"/>
      <c r="AE48" s="26" t="s">
        <v>113</v>
      </c>
      <c r="AF48" s="26"/>
      <c r="AG48" s="26"/>
      <c r="AH48" s="26"/>
      <c r="AI48" s="26"/>
      <c r="AJ48" s="26"/>
      <c r="AK48" s="26"/>
      <c r="AL48" s="26"/>
      <c r="AM48" s="27"/>
    </row>
    <row r="49" spans="1:40" x14ac:dyDescent="0.25">
      <c r="A49" s="2" t="s">
        <v>36</v>
      </c>
      <c r="B49" s="2" t="s">
        <v>14</v>
      </c>
      <c r="C49" s="3">
        <v>8.4600000000000009</v>
      </c>
      <c r="D49" s="3">
        <v>9.1999999999999993</v>
      </c>
      <c r="E49" s="3">
        <v>11.41</v>
      </c>
      <c r="F49" s="3">
        <v>13.77</v>
      </c>
      <c r="G49" s="3">
        <v>14.73</v>
      </c>
      <c r="H49" s="3">
        <v>15.17</v>
      </c>
      <c r="I49" s="3">
        <v>11.58</v>
      </c>
      <c r="J49" s="3">
        <v>16.27</v>
      </c>
      <c r="K49" s="3">
        <v>25.29</v>
      </c>
      <c r="L49" s="3">
        <v>28.83</v>
      </c>
      <c r="M49" s="3">
        <v>25.16</v>
      </c>
      <c r="N49" s="3">
        <v>12.12</v>
      </c>
      <c r="O49" s="21">
        <f>SUM(C49:N49)*1000</f>
        <v>191989.99999999997</v>
      </c>
      <c r="P49" s="21"/>
      <c r="Q49" s="21"/>
      <c r="R49" s="21"/>
      <c r="U49" s="28" t="s">
        <v>85</v>
      </c>
      <c r="V49" s="29"/>
      <c r="W49" s="29"/>
      <c r="X49" s="29" t="s">
        <v>86</v>
      </c>
      <c r="Y49" s="29"/>
      <c r="Z49" s="29"/>
      <c r="AA49" s="29" t="s">
        <v>87</v>
      </c>
      <c r="AB49" s="29"/>
      <c r="AC49" s="29"/>
      <c r="AD49" s="29"/>
      <c r="AE49" s="29" t="s">
        <v>114</v>
      </c>
      <c r="AF49" s="29"/>
      <c r="AG49" s="29"/>
      <c r="AH49" s="29" t="s">
        <v>115</v>
      </c>
      <c r="AI49" s="29"/>
      <c r="AJ49" s="29"/>
      <c r="AK49" s="29" t="s">
        <v>116</v>
      </c>
      <c r="AL49" s="29"/>
      <c r="AM49" s="30"/>
    </row>
    <row r="50" spans="1:40" x14ac:dyDescent="0.25">
      <c r="A50" s="2"/>
      <c r="B50" s="2"/>
      <c r="C50" s="6">
        <f>C49/SUM($C$49:$N$49)</f>
        <v>4.4064795041408415E-2</v>
      </c>
      <c r="D50" s="6">
        <f t="shared" ref="D50:N50" si="2">D49/SUM($C$49:$N$49)</f>
        <v>4.7919162456377937E-2</v>
      </c>
      <c r="E50" s="6">
        <f t="shared" si="2"/>
        <v>5.9430178655138298E-2</v>
      </c>
      <c r="F50" s="6">
        <f t="shared" si="2"/>
        <v>7.1722485546122206E-2</v>
      </c>
      <c r="G50" s="6">
        <f t="shared" si="2"/>
        <v>7.6722745976352952E-2</v>
      </c>
      <c r="H50" s="6">
        <f t="shared" si="2"/>
        <v>7.901453200687536E-2</v>
      </c>
      <c r="I50" s="6">
        <f t="shared" si="2"/>
        <v>6.031564143965832E-2</v>
      </c>
      <c r="J50" s="6">
        <f t="shared" si="2"/>
        <v>8.4743997083181422E-2</v>
      </c>
      <c r="K50" s="6">
        <f t="shared" si="2"/>
        <v>0.13172561070889111</v>
      </c>
      <c r="L50" s="6">
        <f t="shared" si="2"/>
        <v>0.15016407104536694</v>
      </c>
      <c r="M50" s="6">
        <f t="shared" si="2"/>
        <v>0.13104849210896402</v>
      </c>
      <c r="N50" s="6">
        <f t="shared" si="2"/>
        <v>6.3128287931663113E-2</v>
      </c>
      <c r="O50" s="21"/>
      <c r="P50" s="21"/>
      <c r="Q50" s="21"/>
      <c r="R50" s="21"/>
      <c r="U50" s="28" t="str">
        <f>U59</f>
        <v>Ensilage</v>
      </c>
      <c r="V50" s="29" t="str">
        <f>V59</f>
        <v>Bete</v>
      </c>
      <c r="W50" s="29" t="str">
        <f>W59</f>
        <v>Kraftfoder</v>
      </c>
      <c r="X50" s="29" t="str">
        <f>U50</f>
        <v>Ensilage</v>
      </c>
      <c r="Y50" s="29" t="str">
        <f>V50</f>
        <v>Bete</v>
      </c>
      <c r="Z50" s="29" t="str">
        <f>W50</f>
        <v>Kraftfoder</v>
      </c>
      <c r="AA50" s="29" t="str">
        <f>AA59</f>
        <v>Ensilage</v>
      </c>
      <c r="AB50" s="29" t="str">
        <f>AB59</f>
        <v>Bete</v>
      </c>
      <c r="AC50" s="29" t="str">
        <f>AC59</f>
        <v>Kraftfoder</v>
      </c>
      <c r="AD50" s="29"/>
      <c r="AE50" s="29" t="str">
        <f>U50</f>
        <v>Ensilage</v>
      </c>
      <c r="AF50" s="29" t="str">
        <f t="shared" ref="AF50:AM50" si="3">V50</f>
        <v>Bete</v>
      </c>
      <c r="AG50" s="29" t="str">
        <f t="shared" si="3"/>
        <v>Kraftfoder</v>
      </c>
      <c r="AH50" s="29" t="str">
        <f t="shared" si="3"/>
        <v>Ensilage</v>
      </c>
      <c r="AI50" s="29" t="str">
        <f t="shared" si="3"/>
        <v>Bete</v>
      </c>
      <c r="AJ50" s="29" t="str">
        <f t="shared" si="3"/>
        <v>Kraftfoder</v>
      </c>
      <c r="AK50" s="29" t="str">
        <f t="shared" si="3"/>
        <v>Ensilage</v>
      </c>
      <c r="AL50" s="29" t="str">
        <f t="shared" si="3"/>
        <v>Bete</v>
      </c>
      <c r="AM50" s="30" t="str">
        <f t="shared" si="3"/>
        <v>Kraftfoder</v>
      </c>
    </row>
    <row r="51" spans="1:40" x14ac:dyDescent="0.25">
      <c r="B51" s="2" t="s">
        <v>15</v>
      </c>
      <c r="C51" s="3">
        <v>0.17</v>
      </c>
      <c r="D51" s="3">
        <v>0.19</v>
      </c>
      <c r="E51" s="3">
        <v>0.23</v>
      </c>
      <c r="F51" s="3">
        <v>0.28000000000000003</v>
      </c>
      <c r="G51" s="3">
        <v>0.31</v>
      </c>
      <c r="H51" s="3">
        <v>0.31</v>
      </c>
      <c r="I51" s="3">
        <v>0.23</v>
      </c>
      <c r="J51" s="3">
        <v>0.31</v>
      </c>
      <c r="K51" s="3">
        <v>0.47</v>
      </c>
      <c r="L51" s="3">
        <v>0.52</v>
      </c>
      <c r="M51" s="3">
        <v>0.44</v>
      </c>
      <c r="N51" s="3">
        <v>0.22</v>
      </c>
      <c r="O51" s="21"/>
      <c r="P51" s="21"/>
      <c r="Q51" s="21"/>
      <c r="R51" s="21"/>
      <c r="U51" s="31">
        <f>((5+5+6)/3+(118+121+132)/3)+((5+5+6)/3+(118+121+132)/3)*0.1</f>
        <v>141.9</v>
      </c>
      <c r="V51" s="32">
        <f>((102+101+87)/3)+((102+101+87)/3)*0.1</f>
        <v>106.33333333333334</v>
      </c>
      <c r="W51" s="32">
        <f>(4+9+6)/3</f>
        <v>6.333333333333333</v>
      </c>
      <c r="X51" s="33">
        <f>50+50*0.1</f>
        <v>55</v>
      </c>
      <c r="Y51" s="33">
        <v>0</v>
      </c>
      <c r="Z51" s="33">
        <v>59</v>
      </c>
      <c r="AA51" s="33">
        <f>((3+1+5)/3)+((3+1+5)/3)*0.1</f>
        <v>3.3</v>
      </c>
      <c r="AB51" s="32">
        <f>((119+138+101)/3)+((119+138+101)/3)*0.1</f>
        <v>131.26666666666665</v>
      </c>
      <c r="AC51" s="33">
        <f>(19+21+29)/3</f>
        <v>23</v>
      </c>
      <c r="AD51" s="33"/>
      <c r="AE51" s="32">
        <f>((276+239+350)/3)+((276+239+350)/3)*0.1</f>
        <v>317.16666666666663</v>
      </c>
      <c r="AF51" s="32">
        <f>((395+410+298)/3)+((395+410+298)/3)*0.1</f>
        <v>404.43333333333334</v>
      </c>
      <c r="AG51" s="32">
        <f>(4+6+4)/3</f>
        <v>4.666666666666667</v>
      </c>
      <c r="AH51" s="32">
        <f>((223+223+242)/3)+((223+223+242)/3)*0.1</f>
        <v>252.26666666666668</v>
      </c>
      <c r="AI51" s="32">
        <f>((233+233+189)/3)+((233+233+189)/3)*0.1</f>
        <v>240.16666666666669</v>
      </c>
      <c r="AJ51" s="32">
        <f>(62+62+61)/3</f>
        <v>61.666666666666664</v>
      </c>
      <c r="AK51" s="33">
        <f>((290+234+364)/3)+((290+234+364)/3)*0.1</f>
        <v>325.60000000000002</v>
      </c>
      <c r="AL51" s="33">
        <f>((386+399+289)/3)+((386+399+289)/3)*0.1</f>
        <v>393.8</v>
      </c>
      <c r="AM51" s="34">
        <f>(26+26+35)/3</f>
        <v>29</v>
      </c>
    </row>
    <row r="52" spans="1:40" x14ac:dyDescent="0.25">
      <c r="B52" s="2"/>
      <c r="C52" s="6">
        <f>C51/SUM($C$51:$N$51)</f>
        <v>4.6195652173913047E-2</v>
      </c>
      <c r="D52" s="6">
        <f t="shared" ref="D52:N52" si="4">D51/SUM($C$51:$N$51)</f>
        <v>5.1630434782608696E-2</v>
      </c>
      <c r="E52" s="6">
        <f t="shared" si="4"/>
        <v>6.25E-2</v>
      </c>
      <c r="F52" s="6">
        <f t="shared" si="4"/>
        <v>7.6086956521739135E-2</v>
      </c>
      <c r="G52" s="6">
        <f t="shared" si="4"/>
        <v>8.4239130434782608E-2</v>
      </c>
      <c r="H52" s="6">
        <f t="shared" si="4"/>
        <v>8.4239130434782608E-2</v>
      </c>
      <c r="I52" s="6">
        <f t="shared" si="4"/>
        <v>6.25E-2</v>
      </c>
      <c r="J52" s="6">
        <f t="shared" si="4"/>
        <v>8.4239130434782608E-2</v>
      </c>
      <c r="K52" s="6">
        <f t="shared" si="4"/>
        <v>0.12771739130434781</v>
      </c>
      <c r="L52" s="6">
        <f t="shared" si="4"/>
        <v>0.14130434782608695</v>
      </c>
      <c r="M52" s="6">
        <f t="shared" si="4"/>
        <v>0.11956521739130434</v>
      </c>
      <c r="N52" s="6">
        <f t="shared" si="4"/>
        <v>5.9782608695652169E-2</v>
      </c>
      <c r="O52" s="21"/>
      <c r="P52" s="21"/>
      <c r="Q52" s="21"/>
      <c r="R52" s="21"/>
    </row>
    <row r="53" spans="1:40" x14ac:dyDescent="0.25">
      <c r="B53" s="2" t="s">
        <v>89</v>
      </c>
      <c r="C53" s="10">
        <f>(C51/C49)*1000</f>
        <v>20.094562647754135</v>
      </c>
      <c r="D53" s="10">
        <f t="shared" ref="D53:N53" si="5">(D51/D49)*1000</f>
        <v>20.65217391304348</v>
      </c>
      <c r="E53" s="10">
        <f t="shared" si="5"/>
        <v>20.157756354075371</v>
      </c>
      <c r="F53" s="10">
        <f t="shared" si="5"/>
        <v>20.334059549745827</v>
      </c>
      <c r="G53" s="10">
        <f t="shared" si="5"/>
        <v>21.045485403937544</v>
      </c>
      <c r="H53" s="10">
        <f t="shared" si="5"/>
        <v>20.435069215557021</v>
      </c>
      <c r="I53" s="10">
        <f t="shared" si="5"/>
        <v>19.861830742659759</v>
      </c>
      <c r="J53" s="10">
        <f t="shared" si="5"/>
        <v>19.053472649047329</v>
      </c>
      <c r="K53" s="10">
        <f t="shared" si="5"/>
        <v>18.584420719652037</v>
      </c>
      <c r="L53" s="10">
        <f t="shared" si="5"/>
        <v>18.036767256330211</v>
      </c>
      <c r="M53" s="10">
        <f t="shared" si="5"/>
        <v>17.488076311605724</v>
      </c>
      <c r="N53" s="10">
        <f t="shared" si="5"/>
        <v>18.151815181518153</v>
      </c>
      <c r="O53" s="21"/>
      <c r="P53" s="21"/>
      <c r="Q53" s="21"/>
      <c r="R53" s="21"/>
      <c r="S53" s="11"/>
      <c r="T53" s="11"/>
    </row>
    <row r="54" spans="1:40" x14ac:dyDescent="0.25">
      <c r="A54" s="2" t="s">
        <v>37</v>
      </c>
      <c r="B54" s="2" t="s">
        <v>14</v>
      </c>
      <c r="C54" s="3">
        <v>10.039999999999999</v>
      </c>
      <c r="D54" s="3">
        <v>10.39</v>
      </c>
      <c r="E54" s="3">
        <v>12.48</v>
      </c>
      <c r="F54" s="3">
        <v>15.05</v>
      </c>
      <c r="G54" s="3">
        <v>16.649999999999999</v>
      </c>
      <c r="H54" s="3">
        <v>17.059999999999999</v>
      </c>
      <c r="I54" s="3">
        <v>13.39</v>
      </c>
      <c r="J54" s="3">
        <v>19.98</v>
      </c>
      <c r="K54" s="3">
        <v>30.01</v>
      </c>
      <c r="L54" s="3">
        <v>34.590000000000003</v>
      </c>
      <c r="M54" s="3">
        <v>31.45</v>
      </c>
      <c r="N54" s="3">
        <v>15.84</v>
      </c>
      <c r="O54" s="21"/>
      <c r="P54" s="21"/>
      <c r="Q54" s="21"/>
      <c r="R54" s="21"/>
    </row>
    <row r="55" spans="1:40" x14ac:dyDescent="0.25">
      <c r="A55" s="2"/>
      <c r="B55" s="2"/>
      <c r="C55" s="6">
        <f>C54/SUM($C$54:$N$54)</f>
        <v>4.424271801877231E-2</v>
      </c>
      <c r="D55" s="6">
        <f t="shared" ref="D55:N55" si="6">D54/SUM($C$54:$N$54)</f>
        <v>4.5785043846119956E-2</v>
      </c>
      <c r="E55" s="6">
        <f t="shared" si="6"/>
        <v>5.4994932357995865E-2</v>
      </c>
      <c r="F55" s="6">
        <f t="shared" si="6"/>
        <v>6.6320010575948538E-2</v>
      </c>
      <c r="G55" s="6">
        <f t="shared" si="6"/>
        <v>7.3370642929537738E-2</v>
      </c>
      <c r="H55" s="6">
        <f t="shared" si="6"/>
        <v>7.5177367470144973E-2</v>
      </c>
      <c r="I55" s="6">
        <f t="shared" si="6"/>
        <v>5.9004979509099734E-2</v>
      </c>
      <c r="J55" s="6">
        <f t="shared" si="6"/>
        <v>8.8044771515445305E-2</v>
      </c>
      <c r="K55" s="6">
        <f t="shared" si="6"/>
        <v>0.13224342308200768</v>
      </c>
      <c r="L55" s="6">
        <f t="shared" si="6"/>
        <v>0.15242585819415683</v>
      </c>
      <c r="M55" s="6">
        <f t="shared" si="6"/>
        <v>0.13858899220023796</v>
      </c>
      <c r="N55" s="6">
        <f t="shared" si="6"/>
        <v>6.9801260300533213E-2</v>
      </c>
      <c r="O55" s="21"/>
      <c r="P55" s="21"/>
      <c r="Q55" s="21"/>
      <c r="R55" s="21"/>
      <c r="S55" t="s">
        <v>127</v>
      </c>
      <c r="U55" s="22">
        <v>0.25</v>
      </c>
      <c r="V55" t="s">
        <v>163</v>
      </c>
      <c r="AD55">
        <v>1.19</v>
      </c>
      <c r="AE55" t="s">
        <v>111</v>
      </c>
    </row>
    <row r="56" spans="1:40" x14ac:dyDescent="0.25">
      <c r="B56" s="2" t="s">
        <v>15</v>
      </c>
      <c r="C56" s="3">
        <v>0.22</v>
      </c>
      <c r="D56" s="3">
        <v>0.22</v>
      </c>
      <c r="E56" s="3">
        <v>0.26</v>
      </c>
      <c r="F56" s="3">
        <v>0.32</v>
      </c>
      <c r="G56" s="3">
        <v>0.37</v>
      </c>
      <c r="H56" s="3">
        <v>0.37</v>
      </c>
      <c r="I56" s="3">
        <v>0.28999999999999998</v>
      </c>
      <c r="J56" s="3">
        <v>0.42</v>
      </c>
      <c r="K56" s="3">
        <v>0.6</v>
      </c>
      <c r="L56" s="3">
        <v>0.68</v>
      </c>
      <c r="M56" s="3">
        <v>0.61</v>
      </c>
      <c r="N56" s="3">
        <v>0.32</v>
      </c>
      <c r="O56" s="21"/>
      <c r="P56" s="21"/>
      <c r="Q56" s="21"/>
      <c r="R56" s="21"/>
      <c r="S56" s="25"/>
      <c r="T56" s="26"/>
      <c r="U56" s="26" t="s">
        <v>128</v>
      </c>
      <c r="V56" s="26"/>
      <c r="W56" s="26"/>
      <c r="X56" s="26"/>
      <c r="Y56" s="26"/>
      <c r="Z56" s="26"/>
      <c r="AA56" s="26"/>
      <c r="AB56" s="26"/>
      <c r="AC56" s="26"/>
      <c r="AD56" s="26"/>
      <c r="AE56" s="26" t="s">
        <v>129</v>
      </c>
      <c r="AF56" s="26"/>
      <c r="AG56" s="26"/>
      <c r="AH56" s="26"/>
      <c r="AI56" s="26"/>
      <c r="AJ56" s="26"/>
      <c r="AK56" s="26"/>
      <c r="AL56" s="26"/>
      <c r="AM56" s="27"/>
    </row>
    <row r="57" spans="1:40" x14ac:dyDescent="0.25">
      <c r="C57" s="6">
        <f>C56/SUM($C$56:$N$56)</f>
        <v>4.7008547008547001E-2</v>
      </c>
      <c r="D57" s="6">
        <f t="shared" ref="D57:N57" si="7">D56/SUM($C$56:$N$56)</f>
        <v>4.7008547008547001E-2</v>
      </c>
      <c r="E57" s="6">
        <f t="shared" si="7"/>
        <v>5.5555555555555552E-2</v>
      </c>
      <c r="F57" s="6">
        <f t="shared" si="7"/>
        <v>6.8376068376068369E-2</v>
      </c>
      <c r="G57" s="6">
        <f t="shared" si="7"/>
        <v>7.9059829059829043E-2</v>
      </c>
      <c r="H57" s="6">
        <f t="shared" si="7"/>
        <v>7.9059829059829043E-2</v>
      </c>
      <c r="I57" s="6">
        <f t="shared" si="7"/>
        <v>6.1965811965811954E-2</v>
      </c>
      <c r="J57" s="6">
        <f t="shared" si="7"/>
        <v>8.974358974358973E-2</v>
      </c>
      <c r="K57" s="6">
        <f t="shared" si="7"/>
        <v>0.12820512820512819</v>
      </c>
      <c r="L57" s="6">
        <f t="shared" si="7"/>
        <v>0.14529914529914528</v>
      </c>
      <c r="M57" s="6">
        <f t="shared" si="7"/>
        <v>0.13034188034188032</v>
      </c>
      <c r="N57" s="6">
        <f t="shared" si="7"/>
        <v>6.8376068376068369E-2</v>
      </c>
      <c r="O57" s="21"/>
      <c r="P57" s="21"/>
      <c r="Q57" s="21"/>
      <c r="R57" s="21"/>
      <c r="S57" s="28"/>
      <c r="T57" s="29"/>
      <c r="U57" s="29" t="s">
        <v>112</v>
      </c>
      <c r="V57" s="29"/>
      <c r="W57" s="29"/>
      <c r="X57" s="29"/>
      <c r="Y57" s="29"/>
      <c r="Z57" s="29"/>
      <c r="AA57" s="29"/>
      <c r="AB57" s="29"/>
      <c r="AC57" s="29"/>
      <c r="AD57" s="29"/>
      <c r="AE57" s="29" t="s">
        <v>112</v>
      </c>
      <c r="AF57" s="29"/>
      <c r="AG57" s="29"/>
      <c r="AH57" s="29"/>
      <c r="AI57" s="29"/>
      <c r="AJ57" s="29"/>
      <c r="AK57" s="29"/>
      <c r="AL57" s="29"/>
      <c r="AM57" s="30"/>
    </row>
    <row r="58" spans="1:40" x14ac:dyDescent="0.25">
      <c r="B58" s="2" t="s">
        <v>90</v>
      </c>
      <c r="C58" s="11">
        <v>10</v>
      </c>
      <c r="D58" s="11">
        <v>10</v>
      </c>
      <c r="E58" s="11">
        <v>10</v>
      </c>
      <c r="F58" s="11">
        <v>4</v>
      </c>
      <c r="G58" s="11">
        <v>4</v>
      </c>
      <c r="H58" s="11">
        <v>4</v>
      </c>
      <c r="I58" s="11">
        <v>4</v>
      </c>
      <c r="J58" s="11">
        <v>6</v>
      </c>
      <c r="K58" s="11">
        <v>6</v>
      </c>
      <c r="L58" s="11">
        <v>6</v>
      </c>
      <c r="M58" s="11">
        <v>6</v>
      </c>
      <c r="N58" s="11">
        <v>10</v>
      </c>
      <c r="O58" s="21"/>
      <c r="P58" s="21"/>
      <c r="Q58" s="21"/>
      <c r="R58" s="21"/>
      <c r="S58" s="28"/>
      <c r="T58" s="29" t="s">
        <v>110</v>
      </c>
      <c r="U58" s="35" t="s">
        <v>85</v>
      </c>
      <c r="V58" s="35"/>
      <c r="W58" s="35"/>
      <c r="X58" s="36" t="s">
        <v>86</v>
      </c>
      <c r="Y58" s="36"/>
      <c r="Z58" s="36"/>
      <c r="AA58" s="37" t="s">
        <v>87</v>
      </c>
      <c r="AB58" s="37"/>
      <c r="AC58" s="37"/>
      <c r="AD58" s="29" t="s">
        <v>110</v>
      </c>
      <c r="AE58" s="35" t="s">
        <v>85</v>
      </c>
      <c r="AF58" s="35"/>
      <c r="AG58" s="35"/>
      <c r="AH58" s="36" t="s">
        <v>86</v>
      </c>
      <c r="AI58" s="36"/>
      <c r="AJ58" s="36"/>
      <c r="AK58" s="37" t="s">
        <v>87</v>
      </c>
      <c r="AL58" s="37"/>
      <c r="AM58" s="38"/>
    </row>
    <row r="59" spans="1:40" x14ac:dyDescent="0.25">
      <c r="B59" t="s">
        <v>88</v>
      </c>
      <c r="C59" s="5" t="str">
        <f>C2</f>
        <v>Januari</v>
      </c>
      <c r="D59" s="5" t="str">
        <f t="shared" ref="D59:N59" si="8">D2</f>
        <v>Februari</v>
      </c>
      <c r="E59" s="5" t="str">
        <f t="shared" si="8"/>
        <v>Mars</v>
      </c>
      <c r="F59" s="5" t="str">
        <f t="shared" si="8"/>
        <v>April</v>
      </c>
      <c r="G59" s="5" t="str">
        <f t="shared" si="8"/>
        <v>Maj</v>
      </c>
      <c r="H59" s="5" t="str">
        <f t="shared" si="8"/>
        <v>Juni</v>
      </c>
      <c r="I59" s="5" t="str">
        <f t="shared" si="8"/>
        <v>Juli</v>
      </c>
      <c r="J59" s="5" t="str">
        <f t="shared" si="8"/>
        <v>Augusti</v>
      </c>
      <c r="K59" s="5" t="str">
        <f t="shared" si="8"/>
        <v>September</v>
      </c>
      <c r="L59" s="5" t="str">
        <f t="shared" si="8"/>
        <v>October</v>
      </c>
      <c r="M59" s="5" t="str">
        <f t="shared" si="8"/>
        <v>November</v>
      </c>
      <c r="N59" s="5" t="str">
        <f t="shared" si="8"/>
        <v>December</v>
      </c>
      <c r="O59" s="21"/>
      <c r="P59" s="21"/>
      <c r="Q59" s="21"/>
      <c r="R59" s="21"/>
      <c r="S59" s="28"/>
      <c r="T59" s="29"/>
      <c r="U59" s="29" t="s">
        <v>106</v>
      </c>
      <c r="V59" s="29" t="s">
        <v>107</v>
      </c>
      <c r="W59" s="29" t="s">
        <v>108</v>
      </c>
      <c r="X59" s="29" t="s">
        <v>106</v>
      </c>
      <c r="Y59" s="29" t="s">
        <v>107</v>
      </c>
      <c r="Z59" s="29" t="s">
        <v>108</v>
      </c>
      <c r="AA59" s="29" t="s">
        <v>106</v>
      </c>
      <c r="AB59" s="29" t="s">
        <v>107</v>
      </c>
      <c r="AC59" s="29" t="s">
        <v>108</v>
      </c>
      <c r="AD59" s="29"/>
      <c r="AE59" s="29" t="str">
        <f>U59</f>
        <v>Ensilage</v>
      </c>
      <c r="AF59" s="29" t="str">
        <f t="shared" ref="AF59:AM59" si="9">V59</f>
        <v>Bete</v>
      </c>
      <c r="AG59" s="29" t="str">
        <f t="shared" si="9"/>
        <v>Kraftfoder</v>
      </c>
      <c r="AH59" s="29" t="str">
        <f t="shared" si="9"/>
        <v>Ensilage</v>
      </c>
      <c r="AI59" s="29" t="str">
        <f t="shared" si="9"/>
        <v>Bete</v>
      </c>
      <c r="AJ59" s="29" t="str">
        <f t="shared" si="9"/>
        <v>Kraftfoder</v>
      </c>
      <c r="AK59" s="29" t="str">
        <f t="shared" si="9"/>
        <v>Ensilage</v>
      </c>
      <c r="AL59" s="29" t="str">
        <f t="shared" si="9"/>
        <v>Bete</v>
      </c>
      <c r="AM59" s="30" t="str">
        <f t="shared" si="9"/>
        <v>Kraftfoder</v>
      </c>
    </row>
    <row r="60" spans="1:40" x14ac:dyDescent="0.25">
      <c r="B60" s="13" t="s">
        <v>91</v>
      </c>
      <c r="C60" s="14"/>
      <c r="D60" s="15">
        <f>$N$49*1000</f>
        <v>12120</v>
      </c>
      <c r="E60" s="16">
        <f t="shared" ref="E60:L60" si="10">$N$49*1000</f>
        <v>12120</v>
      </c>
      <c r="F60" s="16">
        <f t="shared" si="10"/>
        <v>12120</v>
      </c>
      <c r="G60" s="16">
        <f t="shared" si="10"/>
        <v>12120</v>
      </c>
      <c r="H60" s="16">
        <f t="shared" si="10"/>
        <v>12120</v>
      </c>
      <c r="I60" s="16">
        <f t="shared" si="10"/>
        <v>12120</v>
      </c>
      <c r="J60" s="16">
        <f t="shared" si="10"/>
        <v>12120</v>
      </c>
      <c r="K60" s="16">
        <f t="shared" si="10"/>
        <v>12120</v>
      </c>
      <c r="L60" s="16">
        <f t="shared" si="10"/>
        <v>12120</v>
      </c>
      <c r="M60" s="16">
        <f>$N$49*1000</f>
        <v>12120</v>
      </c>
      <c r="N60" s="17"/>
      <c r="O60" s="21"/>
      <c r="P60" s="21"/>
      <c r="Q60" s="21"/>
      <c r="R60" s="21"/>
      <c r="S60" s="28" t="s">
        <v>85</v>
      </c>
      <c r="T60" s="29">
        <f>(N49+E49+D49+C49)*1000</f>
        <v>41190.000000000007</v>
      </c>
      <c r="U60" s="39">
        <f>$T$60*U51/1000</f>
        <v>5844.8610000000008</v>
      </c>
      <c r="V60" s="39">
        <f>$T$60*V51/1000</f>
        <v>4379.8700000000008</v>
      </c>
      <c r="W60" s="39">
        <f>$T$60*W51/1000</f>
        <v>260.87</v>
      </c>
      <c r="X60" s="29"/>
      <c r="Y60" s="29"/>
      <c r="Z60" s="29"/>
      <c r="AA60" s="29"/>
      <c r="AB60" s="29"/>
      <c r="AC60" s="29"/>
      <c r="AD60" s="39">
        <f>T60/$AD$55</f>
        <v>34613.445378151271</v>
      </c>
      <c r="AE60" s="39">
        <f>AE51*$AD$60/1000</f>
        <v>10978.231092436978</v>
      </c>
      <c r="AF60" s="39">
        <f>AF51*$AD$60/1000</f>
        <v>13998.831092436978</v>
      </c>
      <c r="AG60" s="39">
        <f>AG51*$AD$60/1000</f>
        <v>161.52941176470594</v>
      </c>
      <c r="AH60" s="29"/>
      <c r="AI60" s="29"/>
      <c r="AJ60" s="29"/>
      <c r="AK60" s="29"/>
      <c r="AL60" s="29"/>
      <c r="AM60" s="30"/>
      <c r="AN60" s="96">
        <f>AD60/SUM(AD$60:AD$62,AD$78)</f>
        <v>0.1308869454237663</v>
      </c>
    </row>
    <row r="61" spans="1:40" x14ac:dyDescent="0.25">
      <c r="B61" t="s">
        <v>92</v>
      </c>
      <c r="C61" s="14"/>
      <c r="D61" s="17"/>
      <c r="E61" s="17"/>
      <c r="F61" s="17"/>
      <c r="G61" s="18">
        <f t="shared" ref="G61:L61" si="11">$M$49*1000</f>
        <v>25160</v>
      </c>
      <c r="H61" s="17">
        <f t="shared" si="11"/>
        <v>25160</v>
      </c>
      <c r="I61" s="17">
        <f t="shared" si="11"/>
        <v>25160</v>
      </c>
      <c r="J61" s="17">
        <f t="shared" si="11"/>
        <v>25160</v>
      </c>
      <c r="K61" s="17">
        <f t="shared" si="11"/>
        <v>25160</v>
      </c>
      <c r="L61" s="17">
        <f t="shared" si="11"/>
        <v>25160</v>
      </c>
      <c r="M61" s="17"/>
      <c r="N61" s="17"/>
      <c r="O61" s="21"/>
      <c r="P61" s="21"/>
      <c r="Q61" s="21"/>
      <c r="R61" s="21"/>
      <c r="S61" s="28" t="s">
        <v>86</v>
      </c>
      <c r="T61" s="29">
        <f>(I49+H49+G49+F49)*1000</f>
        <v>55250</v>
      </c>
      <c r="U61" s="39"/>
      <c r="V61" s="29"/>
      <c r="W61" s="29"/>
      <c r="X61" s="39">
        <f>$T$61*X51/1000</f>
        <v>3038.75</v>
      </c>
      <c r="Y61" s="39">
        <f>$T$61*Y51/1000</f>
        <v>0</v>
      </c>
      <c r="Z61" s="39">
        <f>$T$61*Z51/1000</f>
        <v>3259.75</v>
      </c>
      <c r="AA61" s="29"/>
      <c r="AB61" s="29"/>
      <c r="AC61" s="29"/>
      <c r="AD61" s="39">
        <f>T61/$AD$55</f>
        <v>46428.571428571428</v>
      </c>
      <c r="AE61" s="29"/>
      <c r="AF61" s="29"/>
      <c r="AG61" s="29"/>
      <c r="AH61" s="39">
        <f>$AD$61*AH51/1000</f>
        <v>11712.380952380954</v>
      </c>
      <c r="AI61" s="39">
        <f>$AD$61*AI51/1000</f>
        <v>11150.595238095239</v>
      </c>
      <c r="AJ61" s="39">
        <f>$AD$61*AJ51/1000</f>
        <v>2863.0952380952381</v>
      </c>
      <c r="AK61" s="29"/>
      <c r="AL61" s="29"/>
      <c r="AM61" s="30"/>
      <c r="AN61" s="96">
        <f>AD61/SUM(AD$60:AD$62,AD$78)</f>
        <v>0.17556454806174038</v>
      </c>
    </row>
    <row r="62" spans="1:40" x14ac:dyDescent="0.25">
      <c r="B62" t="s">
        <v>93</v>
      </c>
      <c r="C62" s="14"/>
      <c r="D62" s="17"/>
      <c r="E62" s="17"/>
      <c r="F62" s="18">
        <f t="shared" ref="F62:K62" si="12">$L$49*1000</f>
        <v>28830</v>
      </c>
      <c r="G62" s="17">
        <f t="shared" si="12"/>
        <v>28830</v>
      </c>
      <c r="H62" s="17">
        <f t="shared" si="12"/>
        <v>28830</v>
      </c>
      <c r="I62" s="17">
        <f t="shared" si="12"/>
        <v>28830</v>
      </c>
      <c r="J62" s="17">
        <f t="shared" si="12"/>
        <v>28830</v>
      </c>
      <c r="K62" s="17">
        <f t="shared" si="12"/>
        <v>28830</v>
      </c>
      <c r="L62" s="17"/>
      <c r="M62" s="17"/>
      <c r="N62" s="17"/>
      <c r="O62" s="21"/>
      <c r="P62" s="21"/>
      <c r="Q62" s="21"/>
      <c r="R62" s="21"/>
      <c r="S62" s="28" t="s">
        <v>87</v>
      </c>
      <c r="T62" s="29">
        <f>((M49+L49+K49+J49)*1000)</f>
        <v>95550</v>
      </c>
      <c r="U62" s="29"/>
      <c r="V62" s="29"/>
      <c r="W62" s="29"/>
      <c r="X62" s="29"/>
      <c r="Y62" s="29"/>
      <c r="Z62" s="29"/>
      <c r="AA62" s="39">
        <f>$T$62*AA51/1000</f>
        <v>315.315</v>
      </c>
      <c r="AB62" s="39">
        <f>$T$62*AB51/1000</f>
        <v>12542.529999999999</v>
      </c>
      <c r="AC62" s="39">
        <f>$T$62*AC51/1000</f>
        <v>2197.65</v>
      </c>
      <c r="AD62" s="39">
        <f>T62/$AD$55</f>
        <v>80294.117647058825</v>
      </c>
      <c r="AE62" s="29"/>
      <c r="AF62" s="29"/>
      <c r="AG62" s="29"/>
      <c r="AH62" s="29"/>
      <c r="AI62" s="29"/>
      <c r="AJ62" s="29"/>
      <c r="AK62" s="39">
        <f>$AD$62*AK51/1000</f>
        <v>26143.764705882357</v>
      </c>
      <c r="AL62" s="39">
        <f>$AD$62*AL51/1000</f>
        <v>31619.823529411766</v>
      </c>
      <c r="AM62" s="40">
        <f>$AD$62*AM51/1000</f>
        <v>2328.5294117647059</v>
      </c>
      <c r="AN62" s="96">
        <f>AD62/SUM(AD$60:AD$62,AD$78)</f>
        <v>0.30362339488324513</v>
      </c>
    </row>
    <row r="63" spans="1:40" x14ac:dyDescent="0.25">
      <c r="B63" t="s">
        <v>94</v>
      </c>
      <c r="C63" s="14"/>
      <c r="D63" s="17"/>
      <c r="E63" s="18">
        <f t="shared" ref="E63:J63" si="13">$K$49*1000</f>
        <v>25290</v>
      </c>
      <c r="F63" s="17">
        <f t="shared" si="13"/>
        <v>25290</v>
      </c>
      <c r="G63" s="17">
        <f t="shared" si="13"/>
        <v>25290</v>
      </c>
      <c r="H63" s="17">
        <f t="shared" si="13"/>
        <v>25290</v>
      </c>
      <c r="I63" s="17">
        <f t="shared" si="13"/>
        <v>25290</v>
      </c>
      <c r="J63" s="17">
        <f t="shared" si="13"/>
        <v>25290</v>
      </c>
      <c r="K63" s="17"/>
      <c r="L63" s="17"/>
      <c r="M63" s="17"/>
      <c r="N63" s="17"/>
      <c r="O63" s="21"/>
      <c r="P63" s="21"/>
      <c r="Q63" s="21"/>
      <c r="R63" s="21"/>
      <c r="S63" s="31" t="s">
        <v>117</v>
      </c>
      <c r="T63" s="33">
        <f>SUM(T60:T62)</f>
        <v>191990</v>
      </c>
      <c r="U63" s="33"/>
      <c r="V63" s="33"/>
      <c r="W63" s="33"/>
      <c r="X63" s="33"/>
      <c r="Y63" s="33"/>
      <c r="Z63" s="33"/>
      <c r="AA63" s="33"/>
      <c r="AB63" s="33"/>
      <c r="AC63" s="33"/>
      <c r="AD63" s="32">
        <f>SUM(AD60:AD62)</f>
        <v>161336.13445378153</v>
      </c>
      <c r="AE63" s="33"/>
      <c r="AF63" s="33"/>
      <c r="AG63" s="33"/>
      <c r="AH63" s="33"/>
      <c r="AI63" s="33"/>
      <c r="AJ63" s="33"/>
      <c r="AK63" s="33"/>
      <c r="AL63" s="33"/>
      <c r="AM63" s="34"/>
    </row>
    <row r="64" spans="1:40" x14ac:dyDescent="0.25">
      <c r="B64" t="s">
        <v>95</v>
      </c>
      <c r="C64" s="14"/>
      <c r="D64" s="18">
        <f t="shared" ref="D64:I64" si="14">$J$49*1000</f>
        <v>16270</v>
      </c>
      <c r="E64" s="17">
        <f t="shared" si="14"/>
        <v>16270</v>
      </c>
      <c r="F64" s="17">
        <f t="shared" si="14"/>
        <v>16270</v>
      </c>
      <c r="G64" s="17">
        <f t="shared" si="14"/>
        <v>16270</v>
      </c>
      <c r="H64" s="17">
        <f t="shared" si="14"/>
        <v>16270</v>
      </c>
      <c r="I64" s="17">
        <f t="shared" si="14"/>
        <v>16270</v>
      </c>
      <c r="J64" s="17"/>
      <c r="K64" s="17"/>
      <c r="L64" s="17"/>
      <c r="M64" s="17"/>
      <c r="N64" s="17"/>
      <c r="O64" s="21"/>
      <c r="P64" s="21"/>
      <c r="Q64" s="21"/>
      <c r="R64" s="21"/>
      <c r="AD64" s="19"/>
    </row>
    <row r="65" spans="2:40" x14ac:dyDescent="0.25">
      <c r="B65" t="s">
        <v>96</v>
      </c>
      <c r="C65" s="14"/>
      <c r="D65" s="17"/>
      <c r="E65" s="18">
        <f>$I$49*1000</f>
        <v>11580</v>
      </c>
      <c r="F65" s="17">
        <f>$I$49*1000</f>
        <v>11580</v>
      </c>
      <c r="G65" s="17">
        <f>$I$49*1000</f>
        <v>11580</v>
      </c>
      <c r="H65" s="17">
        <f>$I$49*1000</f>
        <v>11580</v>
      </c>
      <c r="I65" s="17"/>
      <c r="J65" s="17"/>
      <c r="K65" s="17"/>
      <c r="L65" s="17"/>
      <c r="M65" s="17"/>
      <c r="N65" s="17"/>
      <c r="O65" s="21"/>
      <c r="P65" s="21"/>
      <c r="Q65" s="21"/>
      <c r="R65" s="21"/>
    </row>
    <row r="66" spans="2:40" x14ac:dyDescent="0.25">
      <c r="B66" t="s">
        <v>97</v>
      </c>
      <c r="C66" s="14"/>
      <c r="D66" s="18">
        <f>$H$49*1000</f>
        <v>15170</v>
      </c>
      <c r="E66" s="17">
        <f>$H$49*1000</f>
        <v>15170</v>
      </c>
      <c r="F66" s="17">
        <f>$H$49*1000</f>
        <v>15170</v>
      </c>
      <c r="G66" s="17">
        <f>$H$49*1000</f>
        <v>15170</v>
      </c>
      <c r="H66" s="17"/>
      <c r="I66" s="17"/>
      <c r="J66" s="17"/>
      <c r="K66" s="17"/>
      <c r="L66" s="17"/>
      <c r="M66" s="17"/>
      <c r="N66" s="17"/>
      <c r="S66" s="25"/>
      <c r="T66" s="26" t="s">
        <v>110</v>
      </c>
      <c r="U66" s="26" t="s">
        <v>164</v>
      </c>
      <c r="V66" s="26"/>
      <c r="W66" s="26"/>
      <c r="X66" s="27"/>
    </row>
    <row r="67" spans="2:40" x14ac:dyDescent="0.25">
      <c r="B67" t="s">
        <v>98</v>
      </c>
      <c r="C67" s="18">
        <f>$G$49*1000</f>
        <v>14730</v>
      </c>
      <c r="D67" s="17">
        <f>$G$49*1000</f>
        <v>14730</v>
      </c>
      <c r="E67" s="17">
        <f>$G$49*1000</f>
        <v>14730</v>
      </c>
      <c r="F67" s="17">
        <f>$G$49*1000</f>
        <v>14730</v>
      </c>
      <c r="G67" s="17"/>
      <c r="H67" s="17"/>
      <c r="I67" s="17"/>
      <c r="J67" s="17"/>
      <c r="K67" s="17"/>
      <c r="L67" s="17"/>
      <c r="M67" s="17"/>
      <c r="N67" s="17"/>
      <c r="S67" s="28"/>
      <c r="T67" s="29"/>
      <c r="U67" s="29" t="s">
        <v>106</v>
      </c>
      <c r="V67" s="29" t="s">
        <v>107</v>
      </c>
      <c r="W67" s="29" t="s">
        <v>130</v>
      </c>
      <c r="X67" s="30"/>
    </row>
    <row r="68" spans="2:40" x14ac:dyDescent="0.25">
      <c r="B68" t="s">
        <v>99</v>
      </c>
      <c r="C68" s="17">
        <f>$F$49*1000</f>
        <v>13770</v>
      </c>
      <c r="D68" s="17">
        <f>$F$49*1000</f>
        <v>13770</v>
      </c>
      <c r="E68" s="17">
        <f>$F$49*1000</f>
        <v>13770</v>
      </c>
      <c r="F68" s="17"/>
      <c r="G68" s="17"/>
      <c r="H68" s="17"/>
      <c r="I68" s="17"/>
      <c r="J68" s="17"/>
      <c r="K68" s="17"/>
      <c r="L68" s="17"/>
      <c r="M68" s="17"/>
      <c r="N68" s="18">
        <f>$F$49*1000</f>
        <v>13770</v>
      </c>
      <c r="S68" s="31" t="s">
        <v>87</v>
      </c>
      <c r="T68" s="32">
        <f>AD63*U55</f>
        <v>40334.033613445383</v>
      </c>
      <c r="U68" s="32">
        <f>$T$68*AA51/1000</f>
        <v>133.10231092436976</v>
      </c>
      <c r="V68" s="32">
        <f>$T$68*AB51/1000</f>
        <v>5294.5141456582633</v>
      </c>
      <c r="W68" s="32">
        <f>$T$68*AC51/1000</f>
        <v>927.68277310924384</v>
      </c>
      <c r="X68" s="34"/>
    </row>
    <row r="69" spans="2:40" x14ac:dyDescent="0.25">
      <c r="B69" t="s">
        <v>100</v>
      </c>
      <c r="C69" s="17">
        <f>$E$49*1000</f>
        <v>11410</v>
      </c>
      <c r="D69" s="17">
        <f>$E$49*1000</f>
        <v>11410</v>
      </c>
      <c r="E69" s="17"/>
      <c r="F69" s="17"/>
      <c r="G69" s="18">
        <f t="shared" ref="G69:M69" si="15">$E$49*1000</f>
        <v>11410</v>
      </c>
      <c r="H69" s="17">
        <f t="shared" si="15"/>
        <v>11410</v>
      </c>
      <c r="I69" s="17">
        <f t="shared" si="15"/>
        <v>11410</v>
      </c>
      <c r="J69" s="17">
        <f t="shared" si="15"/>
        <v>11410</v>
      </c>
      <c r="K69" s="17">
        <f t="shared" si="15"/>
        <v>11410</v>
      </c>
      <c r="L69" s="17">
        <f t="shared" si="15"/>
        <v>11410</v>
      </c>
      <c r="M69" s="17">
        <f t="shared" si="15"/>
        <v>11410</v>
      </c>
      <c r="N69" s="17">
        <f>$E$49*1000</f>
        <v>11410</v>
      </c>
    </row>
    <row r="70" spans="2:40" x14ac:dyDescent="0.25">
      <c r="B70" t="s">
        <v>101</v>
      </c>
      <c r="C70" s="17">
        <f>$D$49*1000</f>
        <v>9200</v>
      </c>
      <c r="D70" s="17"/>
      <c r="E70" s="17"/>
      <c r="F70" s="18">
        <f t="shared" ref="F70:M70" si="16">$D$49*1000</f>
        <v>9200</v>
      </c>
      <c r="G70" s="17">
        <f t="shared" si="16"/>
        <v>9200</v>
      </c>
      <c r="H70" s="17">
        <f t="shared" si="16"/>
        <v>9200</v>
      </c>
      <c r="I70" s="17">
        <f t="shared" si="16"/>
        <v>9200</v>
      </c>
      <c r="J70" s="17">
        <f t="shared" si="16"/>
        <v>9200</v>
      </c>
      <c r="K70" s="17">
        <f t="shared" si="16"/>
        <v>9200</v>
      </c>
      <c r="L70" s="17">
        <f t="shared" si="16"/>
        <v>9200</v>
      </c>
      <c r="M70" s="17">
        <f t="shared" si="16"/>
        <v>9200</v>
      </c>
      <c r="N70" s="17">
        <f>$D$49*1000</f>
        <v>9200</v>
      </c>
      <c r="S70" t="s">
        <v>131</v>
      </c>
      <c r="T70" s="19">
        <f>T68+T63</f>
        <v>232324.03361344538</v>
      </c>
    </row>
    <row r="71" spans="2:40" x14ac:dyDescent="0.25">
      <c r="B71" t="s">
        <v>102</v>
      </c>
      <c r="C71" s="14"/>
      <c r="D71" s="17"/>
      <c r="E71" s="18">
        <f t="shared" ref="E71:M71" si="17">$C$49*1000</f>
        <v>8460</v>
      </c>
      <c r="F71" s="17">
        <f t="shared" si="17"/>
        <v>8460</v>
      </c>
      <c r="G71" s="17">
        <f t="shared" si="17"/>
        <v>8460</v>
      </c>
      <c r="H71" s="17">
        <f t="shared" si="17"/>
        <v>8460</v>
      </c>
      <c r="I71" s="17">
        <f t="shared" si="17"/>
        <v>8460</v>
      </c>
      <c r="J71" s="17">
        <f t="shared" si="17"/>
        <v>8460</v>
      </c>
      <c r="K71" s="17">
        <f t="shared" si="17"/>
        <v>8460</v>
      </c>
      <c r="L71" s="17">
        <f t="shared" si="17"/>
        <v>8460</v>
      </c>
      <c r="M71" s="17">
        <f t="shared" si="17"/>
        <v>8460</v>
      </c>
      <c r="N71" s="17">
        <f>$C$49*1000</f>
        <v>8460</v>
      </c>
      <c r="T71" s="19"/>
    </row>
    <row r="72" spans="2:40" x14ac:dyDescent="0.25">
      <c r="B72" t="s">
        <v>126</v>
      </c>
      <c r="C72" s="11">
        <f>C67</f>
        <v>14730</v>
      </c>
      <c r="D72" s="12">
        <f>D60+D64+D66</f>
        <v>43560</v>
      </c>
      <c r="E72" s="11">
        <f>E63+E65+E71</f>
        <v>45330</v>
      </c>
      <c r="F72" s="11">
        <f>F62+F70</f>
        <v>38030</v>
      </c>
      <c r="G72" s="11">
        <f>G61+G69</f>
        <v>36570</v>
      </c>
      <c r="H72" s="11"/>
      <c r="I72" s="11"/>
      <c r="J72" s="11"/>
      <c r="K72" s="11"/>
      <c r="L72" s="11"/>
      <c r="M72" s="11"/>
      <c r="N72" s="11">
        <f>N68</f>
        <v>13770</v>
      </c>
      <c r="O72" s="11">
        <f>SUM(C72:N72)</f>
        <v>191990</v>
      </c>
      <c r="P72" t="s">
        <v>104</v>
      </c>
      <c r="S72" s="25"/>
      <c r="T72" s="41"/>
      <c r="U72" s="26" t="s">
        <v>142</v>
      </c>
      <c r="V72" s="26"/>
      <c r="W72" s="26"/>
      <c r="X72" s="26"/>
      <c r="Y72" s="26"/>
      <c r="Z72" s="26"/>
      <c r="AA72" s="26"/>
      <c r="AB72" s="26"/>
      <c r="AC72" s="26"/>
      <c r="AD72" s="26"/>
      <c r="AE72" s="26" t="s">
        <v>145</v>
      </c>
      <c r="AF72" s="26"/>
      <c r="AG72" s="26"/>
      <c r="AH72" s="26"/>
      <c r="AI72" s="26"/>
      <c r="AJ72" s="26"/>
      <c r="AK72" s="26"/>
      <c r="AL72" s="26"/>
      <c r="AM72" s="27"/>
    </row>
    <row r="73" spans="2:40" x14ac:dyDescent="0.25">
      <c r="C73" s="5">
        <f>C72/$O$72</f>
        <v>7.6722745976352938E-2</v>
      </c>
      <c r="D73" s="5">
        <f t="shared" ref="D73:N73" si="18">D72/$O$72</f>
        <v>0.22688681702171989</v>
      </c>
      <c r="E73" s="5">
        <f t="shared" si="18"/>
        <v>0.23610604718995781</v>
      </c>
      <c r="F73" s="5">
        <f t="shared" si="18"/>
        <v>0.19808323350174489</v>
      </c>
      <c r="G73" s="5">
        <f t="shared" si="18"/>
        <v>0.1904786707641023</v>
      </c>
      <c r="H73" s="5">
        <f t="shared" si="18"/>
        <v>0</v>
      </c>
      <c r="I73" s="5">
        <f t="shared" si="18"/>
        <v>0</v>
      </c>
      <c r="J73" s="5">
        <f t="shared" si="18"/>
        <v>0</v>
      </c>
      <c r="K73" s="5">
        <f t="shared" si="18"/>
        <v>0</v>
      </c>
      <c r="L73" s="5">
        <f t="shared" si="18"/>
        <v>0</v>
      </c>
      <c r="M73" s="5">
        <f t="shared" si="18"/>
        <v>0</v>
      </c>
      <c r="N73" s="5">
        <f t="shared" si="18"/>
        <v>7.1722485546122192E-2</v>
      </c>
      <c r="O73" s="11">
        <f>SUM(C73:N73)</f>
        <v>1</v>
      </c>
      <c r="P73" s="11"/>
      <c r="Q73" s="11"/>
      <c r="R73" s="11"/>
      <c r="S73" s="28"/>
      <c r="T73" s="39"/>
      <c r="U73" s="29" t="str">
        <f>U77</f>
        <v>Ensilage</v>
      </c>
      <c r="V73" s="29" t="str">
        <f>V77</f>
        <v>Bete</v>
      </c>
      <c r="W73" s="29" t="str">
        <f>W77</f>
        <v>Karftfoder</v>
      </c>
      <c r="X73" s="29"/>
      <c r="Y73" s="29"/>
      <c r="Z73" s="29"/>
      <c r="AA73" s="29"/>
      <c r="AB73" s="29"/>
      <c r="AC73" s="29"/>
      <c r="AD73" s="29"/>
      <c r="AE73" s="29" t="s">
        <v>106</v>
      </c>
      <c r="AF73" s="29" t="s">
        <v>107</v>
      </c>
      <c r="AG73" s="29" t="s">
        <v>144</v>
      </c>
      <c r="AH73" s="29"/>
      <c r="AI73" s="29"/>
      <c r="AJ73" s="29"/>
      <c r="AK73" s="29"/>
      <c r="AL73" s="29"/>
      <c r="AM73" s="30"/>
    </row>
    <row r="74" spans="2:40" x14ac:dyDescent="0.25">
      <c r="B74" t="s">
        <v>103</v>
      </c>
      <c r="C74" s="48">
        <f>SUM(C60:C72)</f>
        <v>63840</v>
      </c>
      <c r="D74" s="11">
        <f t="shared" ref="D74:N74" si="19">SUM(D60:D72)</f>
        <v>127030</v>
      </c>
      <c r="E74" s="11">
        <f t="shared" si="19"/>
        <v>162720</v>
      </c>
      <c r="F74" s="11">
        <f t="shared" si="19"/>
        <v>179680</v>
      </c>
      <c r="G74" s="11">
        <f t="shared" si="19"/>
        <v>200060</v>
      </c>
      <c r="H74" s="11">
        <f t="shared" si="19"/>
        <v>148320</v>
      </c>
      <c r="I74" s="11">
        <f t="shared" si="19"/>
        <v>136740</v>
      </c>
      <c r="J74" s="11">
        <f t="shared" si="19"/>
        <v>120470</v>
      </c>
      <c r="K74" s="11">
        <f t="shared" si="19"/>
        <v>95180</v>
      </c>
      <c r="L74" s="11">
        <f t="shared" si="19"/>
        <v>66350</v>
      </c>
      <c r="M74" s="11">
        <f t="shared" si="19"/>
        <v>41190</v>
      </c>
      <c r="N74" s="11">
        <f t="shared" si="19"/>
        <v>56610</v>
      </c>
      <c r="O74" s="11">
        <f>SUM(C74:N74)</f>
        <v>1398190</v>
      </c>
      <c r="P74" t="s">
        <v>105</v>
      </c>
      <c r="S74" s="28"/>
      <c r="T74" s="39" t="s">
        <v>180</v>
      </c>
      <c r="U74" s="42">
        <f>AA51</f>
        <v>3.3</v>
      </c>
      <c r="V74" s="42">
        <f t="shared" ref="V74:W74" si="20">AB51</f>
        <v>131.26666666666665</v>
      </c>
      <c r="W74" s="42">
        <f t="shared" si="20"/>
        <v>23</v>
      </c>
      <c r="X74" s="29"/>
      <c r="Y74" s="29"/>
      <c r="Z74" s="29"/>
      <c r="AA74" s="29"/>
      <c r="AB74" s="29"/>
      <c r="AC74" s="29"/>
      <c r="AD74" s="29" t="s">
        <v>180</v>
      </c>
      <c r="AE74" s="39">
        <f>AK51</f>
        <v>325.60000000000002</v>
      </c>
      <c r="AF74" s="39">
        <f t="shared" ref="AF74:AG74" si="21">AL51</f>
        <v>393.8</v>
      </c>
      <c r="AG74" s="39">
        <f t="shared" si="21"/>
        <v>29</v>
      </c>
      <c r="AH74" s="29"/>
      <c r="AI74" s="29"/>
      <c r="AJ74" s="29"/>
      <c r="AK74" s="29"/>
      <c r="AL74" s="29"/>
      <c r="AM74" s="30"/>
    </row>
    <row r="75" spans="2:40" x14ac:dyDescent="0.25">
      <c r="C75" s="5">
        <f>C74/$O$74</f>
        <v>4.5659030603852124E-2</v>
      </c>
      <c r="D75" s="5">
        <f t="shared" ref="D75:N75" si="22">D74/$O$74</f>
        <v>9.0853174461267783E-2</v>
      </c>
      <c r="E75" s="5">
        <f t="shared" si="22"/>
        <v>0.11637903289252534</v>
      </c>
      <c r="F75" s="5">
        <f t="shared" si="22"/>
        <v>0.12850900092262138</v>
      </c>
      <c r="G75" s="5">
        <f>G74/$O$74</f>
        <v>0.14308498844935238</v>
      </c>
      <c r="H75" s="5">
        <f t="shared" si="22"/>
        <v>0.10608000343300981</v>
      </c>
      <c r="I75" s="5">
        <f t="shared" si="22"/>
        <v>9.7797867242649425E-2</v>
      </c>
      <c r="J75" s="5">
        <f t="shared" si="22"/>
        <v>8.6161394374155154E-2</v>
      </c>
      <c r="K75" s="5">
        <f t="shared" si="22"/>
        <v>6.8073723885881038E-2</v>
      </c>
      <c r="L75" s="5">
        <f t="shared" si="22"/>
        <v>4.7454208655476011E-2</v>
      </c>
      <c r="M75" s="5">
        <f t="shared" si="22"/>
        <v>2.9459515516489176E-2</v>
      </c>
      <c r="N75" s="5">
        <f t="shared" si="22"/>
        <v>4.0488059562720377E-2</v>
      </c>
      <c r="S75" s="28"/>
      <c r="T75" s="39"/>
      <c r="U75" s="29"/>
      <c r="V75" s="29"/>
      <c r="W75" s="29"/>
      <c r="X75" s="29"/>
      <c r="Y75" s="29"/>
      <c r="Z75" s="29"/>
      <c r="AA75" s="29"/>
      <c r="AB75" s="29"/>
      <c r="AC75" s="29"/>
      <c r="AD75" s="29"/>
      <c r="AE75" s="29"/>
      <c r="AF75" s="29"/>
      <c r="AG75" s="29"/>
      <c r="AH75" s="29"/>
      <c r="AI75" s="29"/>
      <c r="AJ75" s="29"/>
      <c r="AK75" s="29"/>
      <c r="AL75" s="29"/>
      <c r="AM75" s="30"/>
    </row>
    <row r="76" spans="2:40" x14ac:dyDescent="0.25"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S76" s="28"/>
      <c r="T76" s="29" t="s">
        <v>110</v>
      </c>
      <c r="U76" s="29" t="s">
        <v>139</v>
      </c>
      <c r="V76" s="29"/>
      <c r="W76" s="29"/>
      <c r="X76" s="29"/>
      <c r="Y76" s="29"/>
      <c r="Z76" s="29"/>
      <c r="AA76" s="29"/>
      <c r="AB76" s="29"/>
      <c r="AC76" s="29"/>
      <c r="AD76" s="29" t="s">
        <v>110</v>
      </c>
      <c r="AE76" s="29" t="s">
        <v>140</v>
      </c>
      <c r="AF76" s="29"/>
      <c r="AG76" s="29"/>
      <c r="AH76" s="29"/>
      <c r="AI76" s="29"/>
      <c r="AJ76" s="29"/>
      <c r="AK76" s="29"/>
      <c r="AL76" s="29"/>
      <c r="AM76" s="30"/>
    </row>
    <row r="77" spans="2:40" x14ac:dyDescent="0.25"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S77" s="28"/>
      <c r="T77" s="29"/>
      <c r="U77" s="29" t="str">
        <f>U67</f>
        <v>Ensilage</v>
      </c>
      <c r="V77" s="29" t="str">
        <f>V67</f>
        <v>Bete</v>
      </c>
      <c r="W77" s="29" t="str">
        <f>W67</f>
        <v>Karftfoder</v>
      </c>
      <c r="X77" s="29"/>
      <c r="Y77" s="29"/>
      <c r="Z77" s="29"/>
      <c r="AA77" s="29"/>
      <c r="AB77" s="29"/>
      <c r="AC77" s="29"/>
      <c r="AD77" s="29"/>
      <c r="AE77" s="29" t="str">
        <f>U77</f>
        <v>Ensilage</v>
      </c>
      <c r="AF77" s="29" t="str">
        <f>V77</f>
        <v>Bete</v>
      </c>
      <c r="AG77" s="29" t="str">
        <f>W77</f>
        <v>Karftfoder</v>
      </c>
      <c r="AH77" s="29"/>
      <c r="AI77" s="29"/>
      <c r="AJ77" s="29"/>
      <c r="AK77" s="29"/>
      <c r="AL77" s="29"/>
      <c r="AM77" s="30"/>
    </row>
    <row r="78" spans="2:40" x14ac:dyDescent="0.25"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S78" s="31" t="s">
        <v>143</v>
      </c>
      <c r="T78" s="32">
        <f>'antal djur'!F30</f>
        <v>13159.966386554617</v>
      </c>
      <c r="U78" s="32">
        <f>$T$78*U74/1000</f>
        <v>43.427889075630233</v>
      </c>
      <c r="V78" s="32">
        <f t="shared" ref="V78:W78" si="23">$T$78*V74/1000</f>
        <v>1727.4649210084024</v>
      </c>
      <c r="W78" s="32">
        <f t="shared" si="23"/>
        <v>302.67922689075618</v>
      </c>
      <c r="X78" s="33"/>
      <c r="Y78" s="33"/>
      <c r="Z78" s="33"/>
      <c r="AA78" s="33"/>
      <c r="AB78" s="33"/>
      <c r="AC78" s="33" t="s">
        <v>141</v>
      </c>
      <c r="AD78" s="32">
        <f>'antal djur'!F29</f>
        <v>103116.86554621847</v>
      </c>
      <c r="AE78" s="32">
        <f>AE74*$AD$78/1000</f>
        <v>33574.85142184874</v>
      </c>
      <c r="AF78" s="32">
        <f>AF74*$AD$78/1000</f>
        <v>40607.421652100835</v>
      </c>
      <c r="AG78" s="32">
        <f>AG74*$AD$78/1000</f>
        <v>2990.3891008403357</v>
      </c>
      <c r="AH78" s="33"/>
      <c r="AI78" s="33"/>
      <c r="AJ78" s="33"/>
      <c r="AK78" s="33"/>
      <c r="AL78" s="33"/>
      <c r="AM78" s="34"/>
      <c r="AN78" s="96">
        <f>AD78/SUM(AD$60:AD$62,AD$78)</f>
        <v>0.38992511163124816</v>
      </c>
    </row>
    <row r="79" spans="2:40" x14ac:dyDescent="0.25"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</row>
    <row r="80" spans="2:40" x14ac:dyDescent="0.25"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</row>
    <row r="81" spans="1:14" x14ac:dyDescent="0.25"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</row>
    <row r="82" spans="1:14" x14ac:dyDescent="0.25">
      <c r="C82" s="11"/>
      <c r="D82" s="11"/>
      <c r="E82" s="11"/>
      <c r="F82" s="11"/>
      <c r="G82" s="11"/>
      <c r="H82" s="11"/>
      <c r="I82" s="11"/>
      <c r="J82" s="11"/>
      <c r="K82" s="11"/>
      <c r="L82" s="11"/>
      <c r="M82" s="11"/>
      <c r="N82" s="11"/>
    </row>
    <row r="83" spans="1:14" x14ac:dyDescent="0.25">
      <c r="C83" s="11"/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</row>
    <row r="84" spans="1:14" x14ac:dyDescent="0.25">
      <c r="C84" s="11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</row>
    <row r="85" spans="1:14" ht="30" x14ac:dyDescent="0.25">
      <c r="A85" s="4" t="s">
        <v>38</v>
      </c>
    </row>
    <row r="86" spans="1:14" ht="60" x14ac:dyDescent="0.25">
      <c r="A86" s="4" t="s">
        <v>39</v>
      </c>
    </row>
    <row r="87" spans="1:14" x14ac:dyDescent="0.25">
      <c r="A87" t="s">
        <v>40</v>
      </c>
    </row>
    <row r="88" spans="1:14" x14ac:dyDescent="0.25">
      <c r="A88" t="s">
        <v>41</v>
      </c>
    </row>
    <row r="89" spans="1:14" x14ac:dyDescent="0.25">
      <c r="A89" t="s">
        <v>42</v>
      </c>
    </row>
    <row r="91" spans="1:14" x14ac:dyDescent="0.25">
      <c r="A91" t="s">
        <v>40</v>
      </c>
    </row>
    <row r="92" spans="1:14" x14ac:dyDescent="0.25">
      <c r="A92" t="s">
        <v>43</v>
      </c>
    </row>
    <row r="93" spans="1:14" x14ac:dyDescent="0.25">
      <c r="A93" t="s">
        <v>42</v>
      </c>
    </row>
    <row r="95" spans="1:14" x14ac:dyDescent="0.25">
      <c r="A95" t="s">
        <v>40</v>
      </c>
    </row>
    <row r="96" spans="1:14" x14ac:dyDescent="0.25">
      <c r="A96" t="s">
        <v>44</v>
      </c>
    </row>
    <row r="97" spans="1:1" ht="60" x14ac:dyDescent="0.25">
      <c r="A97" s="4" t="s">
        <v>45</v>
      </c>
    </row>
    <row r="99" spans="1:1" x14ac:dyDescent="0.25">
      <c r="A99" t="s">
        <v>40</v>
      </c>
    </row>
    <row r="100" spans="1:1" x14ac:dyDescent="0.25">
      <c r="A100" t="s">
        <v>46</v>
      </c>
    </row>
    <row r="101" spans="1:1" ht="60" x14ac:dyDescent="0.25">
      <c r="A101" s="4" t="s">
        <v>47</v>
      </c>
    </row>
    <row r="103" spans="1:1" x14ac:dyDescent="0.25">
      <c r="A103" t="s">
        <v>40</v>
      </c>
    </row>
    <row r="104" spans="1:1" x14ac:dyDescent="0.25">
      <c r="A104" t="s">
        <v>48</v>
      </c>
    </row>
    <row r="105" spans="1:1" x14ac:dyDescent="0.25">
      <c r="A105" t="s">
        <v>42</v>
      </c>
    </row>
    <row r="107" spans="1:1" x14ac:dyDescent="0.25">
      <c r="A107" t="s">
        <v>40</v>
      </c>
    </row>
    <row r="108" spans="1:1" x14ac:dyDescent="0.25">
      <c r="A108" t="s">
        <v>49</v>
      </c>
    </row>
    <row r="109" spans="1:1" x14ac:dyDescent="0.25">
      <c r="A109" t="s">
        <v>42</v>
      </c>
    </row>
    <row r="111" spans="1:1" x14ac:dyDescent="0.25">
      <c r="A111" t="s">
        <v>40</v>
      </c>
    </row>
    <row r="112" spans="1:1" x14ac:dyDescent="0.25">
      <c r="A112" t="s">
        <v>50</v>
      </c>
    </row>
    <row r="113" spans="1:1" x14ac:dyDescent="0.25">
      <c r="A113" t="s">
        <v>51</v>
      </c>
    </row>
    <row r="115" spans="1:1" x14ac:dyDescent="0.25">
      <c r="A115" t="s">
        <v>40</v>
      </c>
    </row>
    <row r="116" spans="1:1" x14ac:dyDescent="0.25">
      <c r="A116" t="s">
        <v>52</v>
      </c>
    </row>
    <row r="117" spans="1:1" x14ac:dyDescent="0.25">
      <c r="A117" t="s">
        <v>42</v>
      </c>
    </row>
    <row r="119" spans="1:1" x14ac:dyDescent="0.25">
      <c r="A119" t="s">
        <v>40</v>
      </c>
    </row>
    <row r="120" spans="1:1" x14ac:dyDescent="0.25">
      <c r="A120" t="s">
        <v>53</v>
      </c>
    </row>
    <row r="121" spans="1:1" x14ac:dyDescent="0.25">
      <c r="A121" t="s">
        <v>42</v>
      </c>
    </row>
    <row r="123" spans="1:1" x14ac:dyDescent="0.25">
      <c r="A123" t="s">
        <v>40</v>
      </c>
    </row>
    <row r="124" spans="1:1" x14ac:dyDescent="0.25">
      <c r="A124" t="s">
        <v>54</v>
      </c>
    </row>
    <row r="125" spans="1:1" x14ac:dyDescent="0.25">
      <c r="A125" t="s">
        <v>42</v>
      </c>
    </row>
    <row r="127" spans="1:1" x14ac:dyDescent="0.25">
      <c r="A127" t="s">
        <v>40</v>
      </c>
    </row>
    <row r="128" spans="1:1" x14ac:dyDescent="0.25">
      <c r="A128" t="s">
        <v>55</v>
      </c>
    </row>
    <row r="129" spans="1:1" x14ac:dyDescent="0.25">
      <c r="A129" t="s">
        <v>42</v>
      </c>
    </row>
    <row r="131" spans="1:1" x14ac:dyDescent="0.25">
      <c r="A131" t="s">
        <v>40</v>
      </c>
    </row>
    <row r="132" spans="1:1" x14ac:dyDescent="0.25">
      <c r="A132" t="s">
        <v>56</v>
      </c>
    </row>
    <row r="133" spans="1:1" x14ac:dyDescent="0.25">
      <c r="A133" t="s">
        <v>42</v>
      </c>
    </row>
    <row r="135" spans="1:1" x14ac:dyDescent="0.25">
      <c r="A135" t="s">
        <v>57</v>
      </c>
    </row>
    <row r="136" spans="1:1" x14ac:dyDescent="0.25">
      <c r="A136" t="s">
        <v>58</v>
      </c>
    </row>
    <row r="137" spans="1:1" x14ac:dyDescent="0.25">
      <c r="A137" t="s">
        <v>59</v>
      </c>
    </row>
    <row r="140" spans="1:1" x14ac:dyDescent="0.25">
      <c r="A140" t="s">
        <v>60</v>
      </c>
    </row>
    <row r="142" spans="1:1" x14ac:dyDescent="0.25">
      <c r="A142" t="s">
        <v>61</v>
      </c>
    </row>
    <row r="143" spans="1:1" x14ac:dyDescent="0.25">
      <c r="A143" t="s">
        <v>62</v>
      </c>
    </row>
    <row r="145" spans="1:1" x14ac:dyDescent="0.25">
      <c r="A145" t="s">
        <v>63</v>
      </c>
    </row>
    <row r="146" spans="1:1" x14ac:dyDescent="0.25">
      <c r="A146" t="s">
        <v>64</v>
      </c>
    </row>
    <row r="147" spans="1:1" x14ac:dyDescent="0.25">
      <c r="A147" t="s">
        <v>65</v>
      </c>
    </row>
    <row r="148" spans="1:1" x14ac:dyDescent="0.25">
      <c r="A148" t="s">
        <v>66</v>
      </c>
    </row>
    <row r="149" spans="1:1" x14ac:dyDescent="0.25">
      <c r="A149" t="s">
        <v>67</v>
      </c>
    </row>
    <row r="152" spans="1:1" x14ac:dyDescent="0.25">
      <c r="A152" t="s">
        <v>68</v>
      </c>
    </row>
    <row r="153" spans="1:1" x14ac:dyDescent="0.25">
      <c r="A153" t="s">
        <v>64</v>
      </c>
    </row>
    <row r="154" spans="1:1" x14ac:dyDescent="0.25">
      <c r="A154" t="s">
        <v>69</v>
      </c>
    </row>
    <row r="155" spans="1:1" x14ac:dyDescent="0.25">
      <c r="A155" t="s">
        <v>58</v>
      </c>
    </row>
    <row r="156" spans="1:1" x14ac:dyDescent="0.25">
      <c r="A156" t="s">
        <v>70</v>
      </c>
    </row>
    <row r="165" spans="1:1" x14ac:dyDescent="0.25">
      <c r="A165" t="s">
        <v>71</v>
      </c>
    </row>
    <row r="166" spans="1:1" x14ac:dyDescent="0.25">
      <c r="A166" t="s">
        <v>72</v>
      </c>
    </row>
  </sheetData>
  <pageMargins left="0.75" right="0.75" top="0.75" bottom="0.5" header="0.5" footer="0.75"/>
  <pageSetup orientation="portrait" r:id="rId1"/>
  <drawing r:id="rId2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L27"/>
  <sheetViews>
    <sheetView workbookViewId="0">
      <selection activeCell="A14" sqref="A14"/>
    </sheetView>
  </sheetViews>
  <sheetFormatPr defaultRowHeight="15" x14ac:dyDescent="0.25"/>
  <cols>
    <col min="3" max="4" width="12.140625" bestFit="1" customWidth="1"/>
    <col min="5" max="5" width="11.140625" bestFit="1" customWidth="1"/>
    <col min="6" max="6" width="11.140625" customWidth="1"/>
    <col min="7" max="7" width="12.140625" bestFit="1" customWidth="1"/>
  </cols>
  <sheetData>
    <row r="2" spans="1:12" x14ac:dyDescent="0.25">
      <c r="C2" t="s">
        <v>169</v>
      </c>
      <c r="E2" s="22">
        <v>0.15</v>
      </c>
      <c r="F2" t="s">
        <v>170</v>
      </c>
    </row>
    <row r="4" spans="1:12" x14ac:dyDescent="0.25">
      <c r="C4" t="s">
        <v>176</v>
      </c>
      <c r="H4" t="s">
        <v>181</v>
      </c>
    </row>
    <row r="5" spans="1:12" x14ac:dyDescent="0.25">
      <c r="A5" t="s">
        <v>146</v>
      </c>
      <c r="C5" t="str">
        <f>'antalet lamm och fodertstater'!AE73</f>
        <v>Ensilage</v>
      </c>
      <c r="D5" t="str">
        <f>'antalet lamm och fodertstater'!AF73</f>
        <v>Bete</v>
      </c>
      <c r="E5" t="str">
        <f>'antalet lamm och fodertstater'!AG73</f>
        <v>Kraftoder</v>
      </c>
      <c r="G5" t="s">
        <v>177</v>
      </c>
      <c r="H5" t="str">
        <f>C5</f>
        <v>Ensilage</v>
      </c>
      <c r="I5" t="str">
        <f t="shared" ref="I5" si="0">D5</f>
        <v>Bete</v>
      </c>
      <c r="J5" t="s">
        <v>182</v>
      </c>
      <c r="K5" t="str">
        <f>E5</f>
        <v>Kraftoder</v>
      </c>
      <c r="L5" t="s">
        <v>184</v>
      </c>
    </row>
    <row r="6" spans="1:12" x14ac:dyDescent="0.25">
      <c r="A6" t="s">
        <v>147</v>
      </c>
      <c r="C6" s="23">
        <f>'antalet lamm och fodertstater'!U60+'antalet lamm och fodertstater'!U60*E2</f>
        <v>6721.5901500000009</v>
      </c>
      <c r="D6" s="23">
        <f>'antalet lamm och fodertstater'!V60</f>
        <v>4379.8700000000008</v>
      </c>
      <c r="E6" s="23">
        <f>'antalet lamm och fodertstater'!W60</f>
        <v>260.87</v>
      </c>
      <c r="F6" s="23"/>
      <c r="G6" s="23">
        <f>'antalet lamm och fodertstater'!T60</f>
        <v>41190.000000000007</v>
      </c>
      <c r="H6" s="23">
        <f>C6/G6*1000</f>
        <v>163.185</v>
      </c>
      <c r="I6" s="23">
        <f t="shared" ref="I6" si="1">D6/$G$6*1000</f>
        <v>106.33333333333333</v>
      </c>
      <c r="J6" s="23">
        <f>H6+I6</f>
        <v>269.51833333333332</v>
      </c>
      <c r="K6" s="23">
        <f>E6/$G$6*1000</f>
        <v>6.3333333333333321</v>
      </c>
      <c r="L6" s="23">
        <f>J6+J7+K7+K6</f>
        <v>1049.6933333333332</v>
      </c>
    </row>
    <row r="7" spans="1:12" x14ac:dyDescent="0.25">
      <c r="A7" t="s">
        <v>150</v>
      </c>
      <c r="C7" s="23">
        <f>'antalet lamm och fodertstater'!AE60+'antalet lamm och fodertstater'!AE60*E2</f>
        <v>12624.965756302525</v>
      </c>
      <c r="D7" s="23">
        <f>'antalet lamm och fodertstater'!AF60</f>
        <v>13998.831092436978</v>
      </c>
      <c r="E7" s="23">
        <f>'antalet lamm och fodertstater'!AG60</f>
        <v>161.52941176470594</v>
      </c>
      <c r="F7" s="23"/>
      <c r="G7" s="23">
        <f>'antalet lamm och fodertstater'!AD60</f>
        <v>34613.445378151271</v>
      </c>
      <c r="H7" s="23">
        <f>C7/$G$7*1000</f>
        <v>364.74166666666667</v>
      </c>
      <c r="I7" s="23">
        <f t="shared" ref="I7" si="2">D7/$G$7*1000</f>
        <v>404.43333333333334</v>
      </c>
      <c r="J7" s="23">
        <f t="shared" ref="J7:J15" si="3">H7+I7</f>
        <v>769.17499999999995</v>
      </c>
      <c r="K7" s="23">
        <f>E7/$G$7*1000</f>
        <v>4.666666666666667</v>
      </c>
      <c r="L7" s="23"/>
    </row>
    <row r="8" spans="1:12" x14ac:dyDescent="0.25">
      <c r="A8" t="s">
        <v>148</v>
      </c>
      <c r="C8" s="23">
        <f>'antalet lamm och fodertstater'!AA62+'antalet lamm och fodertstater'!AA62*E2</f>
        <v>362.61225000000002</v>
      </c>
      <c r="D8" s="23">
        <f>'antalet lamm och fodertstater'!AB62</f>
        <v>12542.529999999999</v>
      </c>
      <c r="E8" s="23">
        <f>'antalet lamm och fodertstater'!AC62</f>
        <v>2197.65</v>
      </c>
      <c r="F8" s="23"/>
      <c r="G8" s="23">
        <f>'antalet lamm och fodertstater'!T62</f>
        <v>95550</v>
      </c>
      <c r="H8" s="23">
        <f>C8/$G$8*1000</f>
        <v>3.7950000000000004</v>
      </c>
      <c r="I8" s="23">
        <f t="shared" ref="I8" si="4">D8/$G$8*1000</f>
        <v>131.26666666666665</v>
      </c>
      <c r="J8" s="23">
        <f t="shared" si="3"/>
        <v>135.06166666666664</v>
      </c>
      <c r="K8" s="23">
        <f>E8/$G$8*1000</f>
        <v>23</v>
      </c>
      <c r="L8" s="23">
        <f>J8+K8+K9+J9</f>
        <v>955.30166666666662</v>
      </c>
    </row>
    <row r="9" spans="1:12" x14ac:dyDescent="0.25">
      <c r="A9" t="s">
        <v>151</v>
      </c>
      <c r="C9" s="23">
        <f>'antalet lamm och fodertstater'!AK62+'antalet lamm och fodertstater'!AK62*E2</f>
        <v>30065.329411764709</v>
      </c>
      <c r="D9" s="23">
        <f>'antalet lamm och fodertstater'!AL62</f>
        <v>31619.823529411766</v>
      </c>
      <c r="E9" s="23">
        <f>'antalet lamm och fodertstater'!AM62</f>
        <v>2328.5294117647059</v>
      </c>
      <c r="F9" s="23"/>
      <c r="G9" s="23">
        <f>'antalet lamm och fodertstater'!AD62</f>
        <v>80294.117647058825</v>
      </c>
      <c r="H9" s="23">
        <f>C9/$G$9*1000</f>
        <v>374.44000000000005</v>
      </c>
      <c r="I9" s="23">
        <f t="shared" ref="I9" si="5">D9/$G$9*1000</f>
        <v>393.8</v>
      </c>
      <c r="J9" s="23">
        <f t="shared" si="3"/>
        <v>768.24</v>
      </c>
      <c r="K9" s="23">
        <f>E9/$G$9*1000</f>
        <v>28.999999999999996</v>
      </c>
      <c r="L9" s="23"/>
    </row>
    <row r="10" spans="1:12" x14ac:dyDescent="0.25">
      <c r="A10" t="s">
        <v>149</v>
      </c>
      <c r="C10" s="23">
        <f>'antalet lamm och fodertstater'!X61+'antalet lamm och fodertstater'!X61*E2</f>
        <v>3494.5625</v>
      </c>
      <c r="D10" s="23">
        <f>'antalet lamm och fodertstater'!Y61</f>
        <v>0</v>
      </c>
      <c r="E10" s="23">
        <f>'antalet lamm och fodertstater'!Z61</f>
        <v>3259.75</v>
      </c>
      <c r="F10" s="23"/>
      <c r="G10" s="23">
        <f>'antalet lamm och fodertstater'!T61</f>
        <v>55250</v>
      </c>
      <c r="H10" s="23">
        <f>C10/$G$10*1000</f>
        <v>63.25</v>
      </c>
      <c r="I10" s="23">
        <f t="shared" ref="I10" si="6">D10/$G$10*1000</f>
        <v>0</v>
      </c>
      <c r="J10" s="23">
        <f t="shared" si="3"/>
        <v>63.25</v>
      </c>
      <c r="K10" s="23">
        <f>E10/$G$10*1000</f>
        <v>59</v>
      </c>
      <c r="L10" s="23">
        <f>J10+J11+K10+K11</f>
        <v>714.19</v>
      </c>
    </row>
    <row r="11" spans="1:12" x14ac:dyDescent="0.25">
      <c r="A11" t="s">
        <v>152</v>
      </c>
      <c r="C11" s="23">
        <f>'antalet lamm och fodertstater'!AH61+'antalet lamm och fodertstater'!AH61*E2</f>
        <v>13469.238095238097</v>
      </c>
      <c r="D11" s="23">
        <f>'antalet lamm och fodertstater'!AI61</f>
        <v>11150.595238095239</v>
      </c>
      <c r="E11" s="23">
        <f>'antalet lamm och fodertstater'!AJ61</f>
        <v>2863.0952380952381</v>
      </c>
      <c r="F11" s="23"/>
      <c r="G11" s="23">
        <f>'antalet lamm och fodertstater'!AD61</f>
        <v>46428.571428571428</v>
      </c>
      <c r="H11" s="23">
        <f>C11/$G$11*1000</f>
        <v>290.10666666666674</v>
      </c>
      <c r="I11" s="23">
        <f t="shared" ref="I11" si="7">D11/$G$11*1000</f>
        <v>240.16666666666669</v>
      </c>
      <c r="J11" s="23">
        <f t="shared" si="3"/>
        <v>530.27333333333343</v>
      </c>
      <c r="K11" s="23">
        <f>E11/$G$11*1000</f>
        <v>61.666666666666671</v>
      </c>
      <c r="L11" s="23"/>
    </row>
    <row r="12" spans="1:12" x14ac:dyDescent="0.25">
      <c r="A12" t="s">
        <v>183</v>
      </c>
      <c r="C12" s="23">
        <f>'antalet lamm och fodertstater'!U68+'antalet lamm och fodertstater'!U68*E2</f>
        <v>153.06765756302522</v>
      </c>
      <c r="D12" s="23">
        <f>'antalet lamm och fodertstater'!V68</f>
        <v>5294.5141456582633</v>
      </c>
      <c r="E12" s="23">
        <f>'antalet lamm och fodertstater'!W68</f>
        <v>927.68277310924384</v>
      </c>
      <c r="F12" s="23"/>
      <c r="G12" s="23">
        <f>'antalet lamm och fodertstater'!T68</f>
        <v>40334.033613445383</v>
      </c>
      <c r="H12" s="23">
        <f>C12/$G$12*1000</f>
        <v>3.7949999999999999</v>
      </c>
      <c r="I12" s="23">
        <f t="shared" ref="I12" si="8">D12/$G$12*1000</f>
        <v>131.26666666666665</v>
      </c>
      <c r="J12" s="23">
        <f t="shared" si="3"/>
        <v>135.06166666666664</v>
      </c>
      <c r="K12" s="23">
        <f>E12/$G$12*1000</f>
        <v>23</v>
      </c>
      <c r="L12" s="23"/>
    </row>
    <row r="13" spans="1:12" x14ac:dyDescent="0.25">
      <c r="C13" s="23"/>
      <c r="D13" s="23"/>
      <c r="E13" s="23"/>
      <c r="F13" s="23"/>
      <c r="G13" s="23"/>
      <c r="H13" s="23"/>
      <c r="I13" s="23"/>
      <c r="J13" s="23"/>
      <c r="K13" s="23"/>
      <c r="L13" s="23"/>
    </row>
    <row r="14" spans="1:12" x14ac:dyDescent="0.25">
      <c r="A14" t="s">
        <v>179</v>
      </c>
      <c r="C14" s="23">
        <f>'antalet lamm och fodertstater'!AE78+'antalet lamm och fodertstater'!AE78*E2</f>
        <v>38611.079135126049</v>
      </c>
      <c r="D14" s="23">
        <f>'antalet lamm och fodertstater'!AF78</f>
        <v>40607.421652100835</v>
      </c>
      <c r="E14" s="23">
        <f>'antalet lamm och fodertstater'!AG78</f>
        <v>2990.3891008403357</v>
      </c>
      <c r="F14" s="23"/>
      <c r="G14" s="23">
        <f>'antalet lamm och fodertstater'!AD78</f>
        <v>103116.86554621847</v>
      </c>
      <c r="H14" s="23">
        <f>C14/$G$14*1000</f>
        <v>374.44000000000005</v>
      </c>
      <c r="I14" s="23">
        <f t="shared" ref="I14" si="9">D14/$G$14*1000</f>
        <v>393.8</v>
      </c>
      <c r="J14" s="23">
        <f t="shared" si="3"/>
        <v>768.24</v>
      </c>
      <c r="K14" s="23">
        <f>E14/$G$14*1000</f>
        <v>29</v>
      </c>
      <c r="L14" s="23">
        <f>J14+K14</f>
        <v>797.24</v>
      </c>
    </row>
    <row r="15" spans="1:12" x14ac:dyDescent="0.25">
      <c r="A15" t="s">
        <v>153</v>
      </c>
      <c r="C15" s="23">
        <f>'antalet lamm och fodertstater'!U78+'antalet lamm och fodertstater'!U78*E2</f>
        <v>49.942072436974769</v>
      </c>
      <c r="D15" s="23">
        <f>'antalet lamm och fodertstater'!V78</f>
        <v>1727.4649210084024</v>
      </c>
      <c r="E15" s="23">
        <f>'antalet lamm och fodertstater'!W78</f>
        <v>302.67922689075618</v>
      </c>
      <c r="F15" s="23"/>
      <c r="G15" s="23">
        <f>'antalet lamm och fodertstater'!T78</f>
        <v>13159.966386554617</v>
      </c>
      <c r="H15" s="23">
        <f>C15/$G$15*1000</f>
        <v>3.7949999999999999</v>
      </c>
      <c r="I15" s="23">
        <f t="shared" ref="I15" si="10">D15/$G$15*1000</f>
        <v>131.26666666666665</v>
      </c>
      <c r="J15" s="23">
        <f t="shared" si="3"/>
        <v>135.06166666666664</v>
      </c>
      <c r="K15" s="23">
        <f>E15/$G$15*1000</f>
        <v>23</v>
      </c>
      <c r="L15" s="23">
        <f>J15+K15</f>
        <v>158.06166666666664</v>
      </c>
    </row>
    <row r="16" spans="1:12" x14ac:dyDescent="0.25">
      <c r="C16" s="23"/>
      <c r="D16" s="23"/>
      <c r="E16" s="23"/>
      <c r="F16" s="23"/>
    </row>
    <row r="17" spans="1:7" x14ac:dyDescent="0.25">
      <c r="C17" s="23"/>
      <c r="D17" s="23"/>
      <c r="E17" s="23"/>
      <c r="F17" s="23"/>
    </row>
    <row r="18" spans="1:7" x14ac:dyDescent="0.25">
      <c r="A18" t="s">
        <v>154</v>
      </c>
      <c r="C18" s="23">
        <f>SUM(C6:C15)</f>
        <v>105552.38702843137</v>
      </c>
      <c r="D18" s="23">
        <f>SUM(D6:D15)</f>
        <v>121321.05057871148</v>
      </c>
      <c r="E18" s="23">
        <f>SUM(E6:E15)</f>
        <v>15292.175162464984</v>
      </c>
      <c r="F18" s="23">
        <f t="shared" ref="F18:G18" si="11">SUM(F6:F15)</f>
        <v>0</v>
      </c>
      <c r="G18" s="24">
        <f t="shared" si="11"/>
        <v>509937</v>
      </c>
    </row>
    <row r="19" spans="1:7" x14ac:dyDescent="0.25">
      <c r="A19" t="s">
        <v>156</v>
      </c>
      <c r="C19" s="23">
        <f>SUM(C18:E18)</f>
        <v>242165.61276960783</v>
      </c>
      <c r="D19" s="23"/>
      <c r="E19" s="23"/>
      <c r="F19" s="23"/>
    </row>
    <row r="20" spans="1:7" x14ac:dyDescent="0.25">
      <c r="A20" t="s">
        <v>155</v>
      </c>
      <c r="C20" s="23">
        <f>C18+D18</f>
        <v>226873.43760714284</v>
      </c>
      <c r="D20" s="20">
        <f>C20/C19</f>
        <v>0.93685240861586028</v>
      </c>
      <c r="E20" s="23"/>
      <c r="F20" s="23"/>
    </row>
    <row r="21" spans="1:7" x14ac:dyDescent="0.25">
      <c r="A21" t="s">
        <v>157</v>
      </c>
      <c r="C21" s="23">
        <f>E18</f>
        <v>15292.175162464984</v>
      </c>
      <c r="D21" s="20">
        <f>C21/C19</f>
        <v>6.314759138413964E-2</v>
      </c>
      <c r="E21" s="23"/>
      <c r="F21" s="23"/>
    </row>
    <row r="22" spans="1:7" x14ac:dyDescent="0.25">
      <c r="C22" s="23"/>
    </row>
    <row r="23" spans="1:7" x14ac:dyDescent="0.25">
      <c r="C23" s="23"/>
    </row>
    <row r="24" spans="1:7" x14ac:dyDescent="0.25">
      <c r="A24" t="s">
        <v>173</v>
      </c>
      <c r="C24" s="23"/>
    </row>
    <row r="25" spans="1:7" x14ac:dyDescent="0.25">
      <c r="A25" t="s">
        <v>174</v>
      </c>
      <c r="C25" s="23">
        <v>278812</v>
      </c>
    </row>
    <row r="26" spans="1:7" x14ac:dyDescent="0.25">
      <c r="A26" t="s">
        <v>175</v>
      </c>
      <c r="C26" s="23">
        <f>(263969+12790)</f>
        <v>276759</v>
      </c>
    </row>
    <row r="27" spans="1:7" x14ac:dyDescent="0.25">
      <c r="C27" s="23"/>
    </row>
  </sheetData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D5"/>
  <sheetViews>
    <sheetView workbookViewId="0">
      <selection activeCell="C5" sqref="C5"/>
    </sheetView>
  </sheetViews>
  <sheetFormatPr defaultRowHeight="15" x14ac:dyDescent="0.25"/>
  <sheetData>
    <row r="3" spans="1:4" x14ac:dyDescent="0.25">
      <c r="A3" t="s">
        <v>158</v>
      </c>
      <c r="C3" s="22">
        <v>0.03</v>
      </c>
      <c r="D3" t="s">
        <v>163</v>
      </c>
    </row>
    <row r="4" spans="1:4" x14ac:dyDescent="0.25">
      <c r="A4" t="s">
        <v>162</v>
      </c>
      <c r="C4" s="22">
        <v>0.1</v>
      </c>
      <c r="D4" t="s">
        <v>163</v>
      </c>
    </row>
    <row r="5" spans="1:4" x14ac:dyDescent="0.25">
      <c r="A5" t="s">
        <v>160</v>
      </c>
      <c r="C5" t="s">
        <v>161</v>
      </c>
      <c r="D5" t="s">
        <v>159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references</vt:lpstr>
      <vt:lpstr>default</vt:lpstr>
      <vt:lpstr>feed rations</vt:lpstr>
      <vt:lpstr>antal djur</vt:lpstr>
      <vt:lpstr>antalet lamm och fodertstater</vt:lpstr>
      <vt:lpstr>total foderåtgång</vt:lpstr>
      <vt:lpstr>dödlighet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Hanna Karlsson Potter</dc:creator>
  <cp:lastModifiedBy>Johan Karlsson</cp:lastModifiedBy>
  <dcterms:created xsi:type="dcterms:W3CDTF">2023-09-04T11:40:30Z</dcterms:created>
  <dcterms:modified xsi:type="dcterms:W3CDTF">2023-11-24T10:32:37Z</dcterms:modified>
</cp:coreProperties>
</file>