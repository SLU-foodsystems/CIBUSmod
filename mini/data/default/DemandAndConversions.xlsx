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8360" windowHeight="7170"/>
  </bookViews>
  <sheets>
    <sheet name="default" sheetId="1" r:id="rId1"/>
    <sheet name="Sheet1" sheetId="2" r:id="rId2"/>
    <sheet name="Trade" sheetId="4" r:id="rId3"/>
    <sheet name="references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4" i="4" l="1"/>
  <c r="M35" i="1" l="1"/>
  <c r="M7" i="1" l="1"/>
  <c r="V19" i="4" l="1"/>
  <c r="R19" i="4"/>
  <c r="S19" i="4"/>
  <c r="T19" i="4"/>
  <c r="U19" i="4"/>
  <c r="Q19" i="4"/>
  <c r="O19" i="4"/>
  <c r="H19" i="4"/>
  <c r="Q8" i="4"/>
  <c r="R8" i="4"/>
  <c r="Q9" i="4"/>
  <c r="R9" i="4"/>
  <c r="Q10" i="4"/>
  <c r="R10" i="4"/>
  <c r="Q11" i="4"/>
  <c r="R11" i="4"/>
  <c r="V11" i="4" s="1"/>
  <c r="Q12" i="4"/>
  <c r="R12" i="4"/>
  <c r="T11" i="4"/>
  <c r="S9" i="4"/>
  <c r="T9" i="4"/>
  <c r="U9" i="4"/>
  <c r="S10" i="4"/>
  <c r="T10" i="4"/>
  <c r="U10" i="4"/>
  <c r="S11" i="4"/>
  <c r="U11" i="4"/>
  <c r="V12" i="4"/>
  <c r="S12" i="4"/>
  <c r="T12" i="4"/>
  <c r="U12" i="4"/>
  <c r="S8" i="4"/>
  <c r="T8" i="4"/>
  <c r="V8" i="4" s="1"/>
  <c r="U8" i="4"/>
  <c r="V10" i="4"/>
  <c r="O12" i="4"/>
  <c r="O11" i="4"/>
  <c r="O10" i="4"/>
  <c r="O9" i="4"/>
  <c r="O8" i="4"/>
  <c r="H9" i="4"/>
  <c r="H10" i="4"/>
  <c r="H11" i="4"/>
  <c r="H12" i="4"/>
  <c r="H8" i="4"/>
  <c r="V9" i="4" l="1"/>
</calcChain>
</file>

<file path=xl/sharedStrings.xml><?xml version="1.0" encoding="utf-8"?>
<sst xmlns="http://schemas.openxmlformats.org/spreadsheetml/2006/main" count="202" uniqueCount="109">
  <si>
    <t>parameter</t>
  </si>
  <si>
    <t>value</t>
  </si>
  <si>
    <t>description</t>
  </si>
  <si>
    <t>source</t>
  </si>
  <si>
    <t>unit</t>
  </si>
  <si>
    <t>population</t>
  </si>
  <si>
    <t>millions</t>
  </si>
  <si>
    <t>SCB</t>
  </si>
  <si>
    <t>DIET</t>
  </si>
  <si>
    <t>POPULATION</t>
  </si>
  <si>
    <t>consumption</t>
  </si>
  <si>
    <t>g/day</t>
  </si>
  <si>
    <t>f_food_group</t>
  </si>
  <si>
    <t>cereals</t>
  </si>
  <si>
    <t>f_crop_prod</t>
  </si>
  <si>
    <t>f_by_prod</t>
  </si>
  <si>
    <t>WASTE</t>
  </si>
  <si>
    <t>f_animal_prod</t>
  </si>
  <si>
    <t>f_food</t>
  </si>
  <si>
    <t>wheat</t>
  </si>
  <si>
    <t>%</t>
  </si>
  <si>
    <t>IMPORT SHARES</t>
  </si>
  <si>
    <t>share_imported</t>
  </si>
  <si>
    <t>share_in_prod_system</t>
  </si>
  <si>
    <t>f_prod_system</t>
  </si>
  <si>
    <t>Fallback</t>
  </si>
  <si>
    <t>conventional</t>
  </si>
  <si>
    <t>-</t>
  </si>
  <si>
    <t>f_origin</t>
  </si>
  <si>
    <t>f_waste_level</t>
  </si>
  <si>
    <t>household</t>
  </si>
  <si>
    <t>retail</t>
  </si>
  <si>
    <t>processing</t>
  </si>
  <si>
    <t>waste_share</t>
  </si>
  <si>
    <t>f_species</t>
  </si>
  <si>
    <r>
      <t>CONVERSION FACTORS</t>
    </r>
    <r>
      <rPr>
        <sz val="11"/>
        <color theme="1"/>
        <rFont val="Calibri"/>
        <family val="2"/>
        <scheme val="minor"/>
      </rPr>
      <t xml:space="preserve"> (share of crop/animal product ending up as corresponding food or by-product)</t>
    </r>
  </si>
  <si>
    <t>conv_factor_main</t>
  </si>
  <si>
    <t>conv_factor_by</t>
  </si>
  <si>
    <t>FAO 1992</t>
  </si>
  <si>
    <t>Rape and mustard oil and products</t>
  </si>
  <si>
    <t>vegetable oils</t>
  </si>
  <si>
    <t>rapeseed</t>
  </si>
  <si>
    <t>rapeseed meal</t>
  </si>
  <si>
    <r>
      <t>PRODUCTION SYSTEM SHARES</t>
    </r>
    <r>
      <rPr>
        <sz val="11"/>
        <color theme="1"/>
        <rFont val="Calibri"/>
        <family val="2"/>
        <scheme val="minor"/>
      </rPr>
      <t xml:space="preserve"> (shares can be different for 'domestic' and 'imported' by specifying 'f_origin')</t>
    </r>
  </si>
  <si>
    <t>Raps</t>
  </si>
  <si>
    <t>Kanske används lite I FAME. Troligen ej I HVO</t>
  </si>
  <si>
    <t>Kan vara annat, såpa</t>
  </si>
  <si>
    <t>Margarin, Hanna kollar</t>
  </si>
  <si>
    <t>Hönsen?</t>
  </si>
  <si>
    <t>Fiskfoder? Export till Norge?</t>
  </si>
  <si>
    <t>Potatis stärkelse</t>
  </si>
  <si>
    <t>Konsumption kan vara underskattad</t>
  </si>
  <si>
    <t>Finns det export</t>
  </si>
  <si>
    <t>Vete</t>
  </si>
  <si>
    <t>200 000 ton foder</t>
  </si>
  <si>
    <t>600 000 ton spannmål (absolut majoritet vete) per år till Agroetanol. Även lite rågvete</t>
  </si>
  <si>
    <t>Morötter</t>
  </si>
  <si>
    <t>Morötter till foder</t>
  </si>
  <si>
    <t>Share conventional is calculated as what remains (value should be -100). Do not specify per food</t>
  </si>
  <si>
    <t>Wheat and products, refined</t>
  </si>
  <si>
    <t>Peas, dry</t>
  </si>
  <si>
    <t>Imports</t>
  </si>
  <si>
    <t>Sources:</t>
  </si>
  <si>
    <t>https://www2.jordbruksverket.se/download/18.bd0539d17ee49dae393071f/1644574503673/ra21_9.pdf</t>
  </si>
  <si>
    <t>SJV (2021) Sveriges utrikeshandel med jordbruksvaror och livsmedel 2018–2020. Rapport 2021:9</t>
  </si>
  <si>
    <t>Exports</t>
  </si>
  <si>
    <t>Wheat</t>
  </si>
  <si>
    <t>Rye</t>
  </si>
  <si>
    <t>AVG</t>
  </si>
  <si>
    <t>Barley</t>
  </si>
  <si>
    <t>Oats</t>
  </si>
  <si>
    <t>Maize</t>
  </si>
  <si>
    <t>https://jordbruksverket.se/download/18.28f4d91b172cdd65219e9d30/1592810968452/Sveriges_utrikeshandel_med%20jordbruksvaror_och_livsmedel_2016-2018_webb%20(003).pdf</t>
  </si>
  <si>
    <t>SJV (2019) Sveriges utrikeshandel med jordbruksvaror och livsmedel 2016–2018. Rapport 2019:18</t>
  </si>
  <si>
    <t>Net Exports</t>
  </si>
  <si>
    <t>Cereals [tonnes]</t>
  </si>
  <si>
    <t>Other [tonnes]</t>
  </si>
  <si>
    <t>Torkade ärter, bönor m.m.</t>
  </si>
  <si>
    <t>Råg</t>
  </si>
  <si>
    <t>Korn</t>
  </si>
  <si>
    <t>Havre</t>
  </si>
  <si>
    <t>Majs</t>
  </si>
  <si>
    <t>Börjesson, P., Tufvesson, L., &amp; Lantz, M. (2010). Livscykelanalys av svenska biodrivmedel. (Environmental and Energy System Studies report no. 70; Vol. 70). Environmental and Energy Systems Studies, Lund university.</t>
  </si>
  <si>
    <t>Riksmaten 2011. Tabell 7 and page 87</t>
  </si>
  <si>
    <t>Garcia Gonzalez, M. N., &amp; Björnsson, L. (2022). Life cycle assessment of the production of beet sugar and its by-products. Journal of Cleaner Production, 346, 131211. doi:https://doi.org/10.1016/j.jclepro.2022.131211</t>
  </si>
  <si>
    <t>milling by-products from wheat, barley or rye</t>
  </si>
  <si>
    <t>19% bran + 2% germ</t>
  </si>
  <si>
    <t>population_region</t>
  </si>
  <si>
    <t>nr</t>
  </si>
  <si>
    <t>Population per region</t>
  </si>
  <si>
    <t>Calculated from SCB 1x1km Gridded Population 2022-12-31. https://www.scb.se/en/services/open-data-api/open-geodata/grid-statistics/</t>
  </si>
  <si>
    <t>DemandAndConversions-population.csv</t>
  </si>
  <si>
    <t>f_crop_resid</t>
  </si>
  <si>
    <t>f_food_ingr</t>
  </si>
  <si>
    <t>5% in ref. but majority of these losses are handled as by-products here</t>
  </si>
  <si>
    <t>FAO (2011) Global food losses and food waste – Extent, causes and prevention. Rome</t>
  </si>
  <si>
    <t>Malt</t>
  </si>
  <si>
    <t>non_food_demand</t>
  </si>
  <si>
    <t>export_demand</t>
  </si>
  <si>
    <t>tonnes</t>
  </si>
  <si>
    <t>dairy</t>
  </si>
  <si>
    <t>Milk and products 1-2% fat</t>
  </si>
  <si>
    <t>cattle</t>
  </si>
  <si>
    <t>milk</t>
  </si>
  <si>
    <t>1.5% fat</t>
  </si>
  <si>
    <t>calc from fat content</t>
  </si>
  <si>
    <t>cream</t>
  </si>
  <si>
    <t>Cream high fat</t>
  </si>
  <si>
    <t>40% fat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</si>
</sst>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2" borderId="0" xfId="0" applyFill="1"/>
    <xf numFmtId="0" fontId="3" fillId="0" borderId="0" xfId="0" applyFont="1"/>
    <xf numFmtId="0" fontId="4" fillId="0" borderId="0" xfId="0" applyFont="1"/>
    <xf numFmtId="0" fontId="0" fillId="0" borderId="0" xfId="0" applyBorder="1"/>
    <xf numFmtId="0" fontId="3" fillId="0" borderId="0" xfId="0" applyFont="1" applyFill="1" applyBorder="1"/>
    <xf numFmtId="0" fontId="5" fillId="0" borderId="0" xfId="0" applyFont="1"/>
    <xf numFmtId="1" fontId="0" fillId="0" borderId="0" xfId="0" applyNumberFormat="1"/>
    <xf numFmtId="164" fontId="0" fillId="0" borderId="0" xfId="0" applyNumberFormat="1"/>
    <xf numFmtId="0" fontId="2" fillId="0" borderId="0" xfId="0" applyFont="1"/>
    <xf numFmtId="165" fontId="0" fillId="0" borderId="0" xfId="0" applyNumberFormat="1"/>
    <xf numFmtId="0" fontId="6" fillId="0" borderId="0" xfId="1"/>
    <xf numFmtId="0" fontId="0" fillId="0" borderId="0" xfId="0" applyAlignment="1">
      <alignment horizontal="right"/>
    </xf>
    <xf numFmtId="3" fontId="0" fillId="0" borderId="0" xfId="0" applyNumberFormat="1"/>
    <xf numFmtId="3" fontId="0" fillId="0" borderId="0" xfId="0" applyNumberFormat="1" applyFont="1"/>
    <xf numFmtId="3" fontId="1" fillId="0" borderId="0" xfId="0" applyNumberFormat="1" applyFont="1"/>
    <xf numFmtId="2" fontId="0" fillId="2" borderId="0" xfId="0" applyNumberFormat="1" applyFill="1"/>
    <xf numFmtId="164" fontId="5" fillId="0" borderId="0" xfId="0" applyNumberFormat="1" applyFont="1"/>
    <xf numFmtId="0" fontId="5" fillId="0" borderId="0" xfId="0" applyFont="1" applyBorder="1"/>
    <xf numFmtId="1" fontId="5" fillId="0" borderId="0" xfId="0" applyNumberFormat="1" applyFont="1" applyBorder="1"/>
    <xf numFmtId="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jordbruksverket.se/download/18.28f4d91b172cdd65219e9d30/1592810968452/Sveriges_utrikeshandel_med%20jordbruksvaror_och_livsmedel_2016-2018_webb%20(003).pdf" TargetMode="External"/><Relationship Id="rId1" Type="http://schemas.openxmlformats.org/officeDocument/2006/relationships/hyperlink" Target="https://www2.jordbruksverket.se/download/18.bd0539d17ee49dae393071f/1644574503673/ra21_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"/>
  <sheetViews>
    <sheetView tabSelected="1" zoomScale="80" zoomScaleNormal="80" zoomScaleSheetLayoutView="80" workbookViewId="0">
      <pane ySplit="1" topLeftCell="A2" activePane="bottomLeft" state="frozen"/>
      <selection pane="bottomLeft" activeCell="M11" sqref="M11"/>
    </sheetView>
  </sheetViews>
  <sheetFormatPr defaultRowHeight="15" x14ac:dyDescent="0.25"/>
  <cols>
    <col min="1" max="1" width="41.42578125" customWidth="1"/>
    <col min="2" max="3" width="19" customWidth="1"/>
    <col min="4" max="7" width="15.42578125" customWidth="1"/>
    <col min="8" max="8" width="19.42578125" customWidth="1"/>
    <col min="9" max="11" width="14.28515625" customWidth="1"/>
    <col min="12" max="12" width="21.42578125" bestFit="1" customWidth="1"/>
    <col min="14" max="14" width="12.140625" bestFit="1" customWidth="1"/>
    <col min="15" max="15" width="50" customWidth="1"/>
    <col min="16" max="16" width="71.28515625" customWidth="1"/>
  </cols>
  <sheetData>
    <row r="1" spans="1:16" x14ac:dyDescent="0.25">
      <c r="A1" s="1" t="s">
        <v>18</v>
      </c>
      <c r="B1" s="1" t="s">
        <v>12</v>
      </c>
      <c r="C1" s="1" t="s">
        <v>93</v>
      </c>
      <c r="D1" s="1" t="s">
        <v>14</v>
      </c>
      <c r="E1" s="1" t="s">
        <v>92</v>
      </c>
      <c r="F1" s="1" t="s">
        <v>34</v>
      </c>
      <c r="G1" s="1" t="s">
        <v>17</v>
      </c>
      <c r="H1" s="1" t="s">
        <v>15</v>
      </c>
      <c r="I1" s="1" t="s">
        <v>28</v>
      </c>
      <c r="J1" s="1" t="s">
        <v>24</v>
      </c>
      <c r="K1" s="1" t="s">
        <v>29</v>
      </c>
      <c r="L1" s="1" t="s">
        <v>0</v>
      </c>
      <c r="M1" s="1" t="s">
        <v>1</v>
      </c>
      <c r="N1" s="1" t="s">
        <v>4</v>
      </c>
      <c r="O1" s="1" t="s">
        <v>2</v>
      </c>
      <c r="P1" s="1" t="s">
        <v>3</v>
      </c>
    </row>
    <row r="2" spans="1:16" x14ac:dyDescent="0.25">
      <c r="A2" s="2" t="s">
        <v>9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3"/>
      <c r="N2" s="3"/>
      <c r="O2" s="3"/>
      <c r="P2" s="3"/>
    </row>
    <row r="3" spans="1:16" x14ac:dyDescent="0.25">
      <c r="L3" t="s">
        <v>5</v>
      </c>
      <c r="M3" s="22">
        <v>0.01</v>
      </c>
      <c r="N3" t="s">
        <v>6</v>
      </c>
      <c r="P3" t="s">
        <v>7</v>
      </c>
    </row>
    <row r="4" spans="1:16" x14ac:dyDescent="0.25">
      <c r="L4" t="s">
        <v>87</v>
      </c>
      <c r="M4" s="12" t="s">
        <v>91</v>
      </c>
      <c r="N4" t="s">
        <v>88</v>
      </c>
      <c r="O4" t="s">
        <v>89</v>
      </c>
      <c r="P4" t="s">
        <v>90</v>
      </c>
    </row>
    <row r="6" spans="1:16" x14ac:dyDescent="0.25">
      <c r="A6" s="2" t="s">
        <v>8</v>
      </c>
      <c r="B6" s="2"/>
      <c r="C6" s="2"/>
      <c r="D6" s="2"/>
      <c r="E6" s="2"/>
      <c r="F6" s="2"/>
      <c r="G6" s="2"/>
      <c r="H6" s="2"/>
      <c r="I6" s="2"/>
      <c r="J6" s="2"/>
      <c r="K6" s="2"/>
      <c r="L6" s="3"/>
      <c r="M6" s="18"/>
      <c r="N6" s="3"/>
      <c r="O6" s="3"/>
      <c r="P6" s="3"/>
    </row>
    <row r="7" spans="1:16" x14ac:dyDescent="0.25">
      <c r="A7" t="s">
        <v>59</v>
      </c>
      <c r="B7" t="s">
        <v>13</v>
      </c>
      <c r="L7" t="s">
        <v>10</v>
      </c>
      <c r="M7" s="10">
        <f>93.1*0.72</f>
        <v>67.031999999999996</v>
      </c>
      <c r="N7" t="s">
        <v>11</v>
      </c>
      <c r="O7" s="8"/>
      <c r="P7" t="s">
        <v>83</v>
      </c>
    </row>
    <row r="8" spans="1:16" x14ac:dyDescent="0.25">
      <c r="A8" t="s">
        <v>39</v>
      </c>
      <c r="B8" t="s">
        <v>40</v>
      </c>
      <c r="L8" t="s">
        <v>10</v>
      </c>
      <c r="M8" s="19">
        <v>5</v>
      </c>
      <c r="N8" t="s">
        <v>11</v>
      </c>
      <c r="O8" s="4"/>
    </row>
    <row r="9" spans="1:16" x14ac:dyDescent="0.25">
      <c r="A9" t="s">
        <v>101</v>
      </c>
      <c r="B9" t="s">
        <v>100</v>
      </c>
      <c r="L9" t="s">
        <v>10</v>
      </c>
      <c r="M9" s="19">
        <v>15</v>
      </c>
      <c r="N9" t="s">
        <v>11</v>
      </c>
      <c r="O9" s="4"/>
    </row>
    <row r="10" spans="1:16" x14ac:dyDescent="0.25">
      <c r="A10" s="20" t="s">
        <v>107</v>
      </c>
      <c r="B10" t="s">
        <v>100</v>
      </c>
      <c r="L10" t="s">
        <v>10</v>
      </c>
      <c r="M10" s="15">
        <v>8</v>
      </c>
      <c r="N10" t="s">
        <v>11</v>
      </c>
    </row>
    <row r="11" spans="1:16" x14ac:dyDescent="0.25">
      <c r="L11" t="s">
        <v>97</v>
      </c>
      <c r="M11" s="15">
        <v>0</v>
      </c>
      <c r="N11" t="s">
        <v>99</v>
      </c>
    </row>
    <row r="12" spans="1:16" x14ac:dyDescent="0.25">
      <c r="L12" t="s">
        <v>98</v>
      </c>
      <c r="M12" s="15">
        <v>0</v>
      </c>
      <c r="N12" t="s">
        <v>99</v>
      </c>
    </row>
    <row r="14" spans="1:16" x14ac:dyDescent="0.25">
      <c r="A14" s="2" t="s">
        <v>16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3"/>
      <c r="M14" s="3"/>
      <c r="N14" s="3"/>
      <c r="O14" s="3"/>
      <c r="P14" s="3"/>
    </row>
    <row r="15" spans="1:16" x14ac:dyDescent="0.25">
      <c r="B15" t="s">
        <v>13</v>
      </c>
      <c r="K15" t="s">
        <v>30</v>
      </c>
      <c r="L15" t="s">
        <v>33</v>
      </c>
      <c r="M15">
        <v>25</v>
      </c>
      <c r="N15" t="s">
        <v>20</v>
      </c>
      <c r="P15" t="s">
        <v>95</v>
      </c>
    </row>
    <row r="16" spans="1:16" x14ac:dyDescent="0.25">
      <c r="B16" t="s">
        <v>13</v>
      </c>
      <c r="K16" t="s">
        <v>31</v>
      </c>
      <c r="L16" t="s">
        <v>33</v>
      </c>
      <c r="M16">
        <v>2</v>
      </c>
      <c r="N16" t="s">
        <v>20</v>
      </c>
      <c r="P16" t="s">
        <v>95</v>
      </c>
    </row>
    <row r="17" spans="1:16" x14ac:dyDescent="0.25">
      <c r="B17" t="s">
        <v>13</v>
      </c>
      <c r="K17" t="s">
        <v>32</v>
      </c>
      <c r="L17" t="s">
        <v>33</v>
      </c>
      <c r="M17" s="8">
        <v>10.5</v>
      </c>
      <c r="N17" t="s">
        <v>20</v>
      </c>
      <c r="O17" s="4"/>
      <c r="P17" t="s">
        <v>95</v>
      </c>
    </row>
    <row r="18" spans="1:16" x14ac:dyDescent="0.25">
      <c r="B18" t="s">
        <v>100</v>
      </c>
      <c r="K18" t="s">
        <v>30</v>
      </c>
      <c r="L18" t="s">
        <v>33</v>
      </c>
      <c r="M18">
        <v>11</v>
      </c>
      <c r="N18" t="s">
        <v>20</v>
      </c>
      <c r="P18" t="s">
        <v>95</v>
      </c>
    </row>
    <row r="19" spans="1:16" x14ac:dyDescent="0.25">
      <c r="B19" t="s">
        <v>100</v>
      </c>
      <c r="K19" t="s">
        <v>31</v>
      </c>
      <c r="L19" t="s">
        <v>33</v>
      </c>
      <c r="M19">
        <v>4</v>
      </c>
      <c r="N19" t="s">
        <v>20</v>
      </c>
      <c r="P19" t="s">
        <v>95</v>
      </c>
    </row>
    <row r="20" spans="1:16" x14ac:dyDescent="0.25">
      <c r="B20" t="s">
        <v>100</v>
      </c>
      <c r="K20" t="s">
        <v>32</v>
      </c>
      <c r="L20" t="s">
        <v>33</v>
      </c>
      <c r="M20" s="8">
        <v>1</v>
      </c>
      <c r="N20" t="s">
        <v>20</v>
      </c>
      <c r="O20" s="8" t="s">
        <v>94</v>
      </c>
      <c r="P20" t="s">
        <v>95</v>
      </c>
    </row>
    <row r="21" spans="1:16" x14ac:dyDescent="0.25">
      <c r="B21" t="s">
        <v>40</v>
      </c>
      <c r="K21" t="s">
        <v>30</v>
      </c>
      <c r="L21" t="s">
        <v>33</v>
      </c>
      <c r="M21">
        <v>4</v>
      </c>
      <c r="N21" t="s">
        <v>20</v>
      </c>
      <c r="P21" t="s">
        <v>95</v>
      </c>
    </row>
    <row r="22" spans="1:16" x14ac:dyDescent="0.25">
      <c r="B22" t="s">
        <v>40</v>
      </c>
      <c r="K22" t="s">
        <v>31</v>
      </c>
      <c r="L22" t="s">
        <v>33</v>
      </c>
      <c r="M22">
        <v>1</v>
      </c>
      <c r="N22" t="s">
        <v>20</v>
      </c>
      <c r="P22" t="s">
        <v>95</v>
      </c>
    </row>
    <row r="23" spans="1:16" x14ac:dyDescent="0.25">
      <c r="B23" t="s">
        <v>40</v>
      </c>
      <c r="K23" t="s">
        <v>32</v>
      </c>
      <c r="L23" t="s">
        <v>33</v>
      </c>
      <c r="M23" s="8">
        <v>5</v>
      </c>
      <c r="N23" t="s">
        <v>20</v>
      </c>
      <c r="O23" s="4"/>
      <c r="P23" t="s">
        <v>95</v>
      </c>
    </row>
    <row r="24" spans="1:16" x14ac:dyDescent="0.25">
      <c r="M24" s="4"/>
      <c r="O24" s="4"/>
    </row>
    <row r="25" spans="1:16" x14ac:dyDescent="0.25">
      <c r="A25" s="2" t="s">
        <v>21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3"/>
      <c r="M25" s="3"/>
      <c r="N25" s="3"/>
      <c r="O25" s="3"/>
      <c r="P25" s="3"/>
    </row>
    <row r="26" spans="1:16" x14ac:dyDescent="0.25">
      <c r="L26" s="5" t="s">
        <v>22</v>
      </c>
      <c r="M26" s="5">
        <v>0</v>
      </c>
      <c r="N26" s="5" t="s">
        <v>20</v>
      </c>
      <c r="O26" s="5" t="s">
        <v>25</v>
      </c>
    </row>
    <row r="28" spans="1:16" x14ac:dyDescent="0.25">
      <c r="A28" s="2" t="s">
        <v>43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3"/>
      <c r="M28" s="3"/>
      <c r="N28" s="3"/>
      <c r="O28" s="3"/>
      <c r="P28" s="3"/>
    </row>
    <row r="29" spans="1:16" x14ac:dyDescent="0.25">
      <c r="I29" s="5"/>
      <c r="J29" s="5" t="s">
        <v>26</v>
      </c>
      <c r="K29" s="5"/>
      <c r="L29" s="5" t="s">
        <v>23</v>
      </c>
      <c r="M29" s="5">
        <v>-100</v>
      </c>
      <c r="N29" s="5" t="s">
        <v>27</v>
      </c>
      <c r="O29" s="5" t="s">
        <v>58</v>
      </c>
    </row>
    <row r="31" spans="1:16" x14ac:dyDescent="0.25">
      <c r="A31" s="2" t="s">
        <v>35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3"/>
      <c r="M31" s="3"/>
      <c r="N31" s="3"/>
      <c r="O31" s="3"/>
      <c r="P31" s="3"/>
    </row>
    <row r="32" spans="1:16" x14ac:dyDescent="0.25">
      <c r="L32" s="5" t="s">
        <v>36</v>
      </c>
      <c r="M32" s="5">
        <v>0</v>
      </c>
      <c r="N32" s="5" t="s">
        <v>20</v>
      </c>
      <c r="O32" s="5" t="s">
        <v>25</v>
      </c>
    </row>
    <row r="33" spans="1:16" x14ac:dyDescent="0.25">
      <c r="L33" s="5" t="s">
        <v>37</v>
      </c>
      <c r="M33" s="5">
        <v>0</v>
      </c>
      <c r="N33" s="5" t="s">
        <v>20</v>
      </c>
      <c r="O33" s="5" t="s">
        <v>25</v>
      </c>
    </row>
    <row r="34" spans="1:16" x14ac:dyDescent="0.25">
      <c r="A34" t="s">
        <v>59</v>
      </c>
      <c r="D34" t="s">
        <v>19</v>
      </c>
      <c r="L34" t="s">
        <v>36</v>
      </c>
      <c r="M34">
        <v>79</v>
      </c>
      <c r="N34" t="s">
        <v>20</v>
      </c>
      <c r="P34" t="s">
        <v>38</v>
      </c>
    </row>
    <row r="35" spans="1:16" x14ac:dyDescent="0.25">
      <c r="A35" t="s">
        <v>59</v>
      </c>
      <c r="D35" t="s">
        <v>19</v>
      </c>
      <c r="H35" t="s">
        <v>85</v>
      </c>
      <c r="L35" t="s">
        <v>37</v>
      </c>
      <c r="M35">
        <f>19+2</f>
        <v>21</v>
      </c>
      <c r="N35" t="s">
        <v>20</v>
      </c>
      <c r="O35" t="s">
        <v>86</v>
      </c>
      <c r="P35" t="s">
        <v>38</v>
      </c>
    </row>
    <row r="36" spans="1:16" x14ac:dyDescent="0.25">
      <c r="A36" t="s">
        <v>39</v>
      </c>
      <c r="D36" t="s">
        <v>41</v>
      </c>
      <c r="L36" t="s">
        <v>36</v>
      </c>
      <c r="M36" s="9">
        <v>38</v>
      </c>
      <c r="N36" t="s">
        <v>20</v>
      </c>
      <c r="O36" s="7"/>
      <c r="P36" s="6" t="s">
        <v>38</v>
      </c>
    </row>
    <row r="37" spans="1:16" x14ac:dyDescent="0.25">
      <c r="A37" t="s">
        <v>39</v>
      </c>
      <c r="D37" t="s">
        <v>41</v>
      </c>
      <c r="H37" t="s">
        <v>42</v>
      </c>
      <c r="L37" t="s">
        <v>37</v>
      </c>
      <c r="M37" s="9">
        <v>60</v>
      </c>
      <c r="N37" t="s">
        <v>20</v>
      </c>
      <c r="P37" s="6" t="s">
        <v>38</v>
      </c>
    </row>
    <row r="38" spans="1:16" x14ac:dyDescent="0.25">
      <c r="A38" s="20" t="s">
        <v>101</v>
      </c>
      <c r="B38" s="20"/>
      <c r="C38" s="20"/>
      <c r="D38" s="20"/>
      <c r="E38" s="20"/>
      <c r="F38" s="20" t="s">
        <v>102</v>
      </c>
      <c r="G38" s="20" t="s">
        <v>103</v>
      </c>
      <c r="H38" s="20"/>
      <c r="I38" s="20"/>
      <c r="J38" s="20"/>
      <c r="K38" s="20"/>
      <c r="L38" s="8" t="s">
        <v>36</v>
      </c>
      <c r="M38" s="21">
        <v>93.25</v>
      </c>
      <c r="N38" s="20" t="s">
        <v>20</v>
      </c>
      <c r="O38" s="8" t="s">
        <v>104</v>
      </c>
      <c r="P38" s="20" t="s">
        <v>105</v>
      </c>
    </row>
    <row r="39" spans="1:16" x14ac:dyDescent="0.25">
      <c r="A39" s="20" t="s">
        <v>101</v>
      </c>
      <c r="B39" s="20"/>
      <c r="C39" s="20"/>
      <c r="D39" s="20"/>
      <c r="E39" s="20"/>
      <c r="F39" s="20" t="s">
        <v>102</v>
      </c>
      <c r="G39" s="20" t="s">
        <v>103</v>
      </c>
      <c r="H39" s="20" t="s">
        <v>106</v>
      </c>
      <c r="I39" s="20"/>
      <c r="J39" s="20"/>
      <c r="K39" s="20"/>
      <c r="L39" s="8" t="s">
        <v>37</v>
      </c>
      <c r="M39" s="21">
        <v>6.75</v>
      </c>
      <c r="N39" s="20" t="s">
        <v>20</v>
      </c>
      <c r="O39" s="8"/>
      <c r="P39" s="20" t="s">
        <v>105</v>
      </c>
    </row>
    <row r="40" spans="1:16" x14ac:dyDescent="0.25">
      <c r="A40" s="20" t="s">
        <v>107</v>
      </c>
      <c r="B40" s="20"/>
      <c r="C40" s="20"/>
      <c r="D40" s="20"/>
      <c r="E40" s="20"/>
      <c r="F40" s="20" t="s">
        <v>102</v>
      </c>
      <c r="G40" s="20" t="s">
        <v>106</v>
      </c>
      <c r="H40" s="20"/>
      <c r="I40" s="20"/>
      <c r="J40" s="20"/>
      <c r="K40" s="20"/>
      <c r="L40" s="8" t="s">
        <v>36</v>
      </c>
      <c r="M40" s="20">
        <v>100</v>
      </c>
      <c r="N40" s="20" t="s">
        <v>20</v>
      </c>
      <c r="O40" s="8" t="s">
        <v>108</v>
      </c>
      <c r="P40" s="20" t="s">
        <v>105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8:E24"/>
  <sheetViews>
    <sheetView workbookViewId="0">
      <selection activeCell="H27" sqref="H27"/>
    </sheetView>
  </sheetViews>
  <sheetFormatPr defaultRowHeight="15" x14ac:dyDescent="0.25"/>
  <sheetData>
    <row r="8" spans="5:5" x14ac:dyDescent="0.25">
      <c r="E8" s="11" t="s">
        <v>44</v>
      </c>
    </row>
    <row r="9" spans="5:5" x14ac:dyDescent="0.25">
      <c r="E9" t="s">
        <v>47</v>
      </c>
    </row>
    <row r="10" spans="5:5" x14ac:dyDescent="0.25">
      <c r="E10" t="s">
        <v>45</v>
      </c>
    </row>
    <row r="11" spans="5:5" x14ac:dyDescent="0.25">
      <c r="E11" t="s">
        <v>46</v>
      </c>
    </row>
    <row r="12" spans="5:5" x14ac:dyDescent="0.25">
      <c r="E12" t="s">
        <v>49</v>
      </c>
    </row>
    <row r="13" spans="5:5" x14ac:dyDescent="0.25">
      <c r="E13" t="s">
        <v>48</v>
      </c>
    </row>
    <row r="15" spans="5:5" x14ac:dyDescent="0.25">
      <c r="E15" s="11" t="s">
        <v>50</v>
      </c>
    </row>
    <row r="16" spans="5:5" x14ac:dyDescent="0.25">
      <c r="E16" t="s">
        <v>51</v>
      </c>
    </row>
    <row r="17" spans="5:5" x14ac:dyDescent="0.25">
      <c r="E17" t="s">
        <v>52</v>
      </c>
    </row>
    <row r="19" spans="5:5" x14ac:dyDescent="0.25">
      <c r="E19" s="11" t="s">
        <v>53</v>
      </c>
    </row>
    <row r="20" spans="5:5" x14ac:dyDescent="0.25">
      <c r="E20" t="s">
        <v>55</v>
      </c>
    </row>
    <row r="21" spans="5:5" x14ac:dyDescent="0.25">
      <c r="E21" t="s">
        <v>54</v>
      </c>
    </row>
    <row r="23" spans="5:5" x14ac:dyDescent="0.25">
      <c r="E23" s="11" t="s">
        <v>56</v>
      </c>
    </row>
    <row r="24" spans="5:5" x14ac:dyDescent="0.25">
      <c r="E24" t="s">
        <v>57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9"/>
  <sheetViews>
    <sheetView workbookViewId="0">
      <selection activeCell="O10" sqref="O10"/>
    </sheetView>
  </sheetViews>
  <sheetFormatPr defaultRowHeight="15" x14ac:dyDescent="0.25"/>
  <cols>
    <col min="3" max="22" width="8.7109375" customWidth="1"/>
  </cols>
  <sheetData>
    <row r="1" spans="1:22" x14ac:dyDescent="0.25">
      <c r="A1" t="s">
        <v>62</v>
      </c>
    </row>
    <row r="2" spans="1:22" x14ac:dyDescent="0.25">
      <c r="A2" t="s">
        <v>64</v>
      </c>
      <c r="F2" s="13" t="s">
        <v>63</v>
      </c>
    </row>
    <row r="3" spans="1:22" x14ac:dyDescent="0.25">
      <c r="A3" t="s">
        <v>73</v>
      </c>
      <c r="F3" s="13" t="s">
        <v>72</v>
      </c>
    </row>
    <row r="4" spans="1:22" x14ac:dyDescent="0.25">
      <c r="F4" s="13"/>
    </row>
    <row r="5" spans="1:22" x14ac:dyDescent="0.25">
      <c r="C5" s="11" t="s">
        <v>75</v>
      </c>
    </row>
    <row r="6" spans="1:22" x14ac:dyDescent="0.25">
      <c r="C6" s="1" t="s">
        <v>61</v>
      </c>
      <c r="J6" s="1" t="s">
        <v>65</v>
      </c>
      <c r="Q6" s="1" t="s">
        <v>74</v>
      </c>
    </row>
    <row r="7" spans="1:22" x14ac:dyDescent="0.25">
      <c r="C7">
        <v>2016</v>
      </c>
      <c r="D7">
        <v>2017</v>
      </c>
      <c r="E7">
        <v>2018</v>
      </c>
      <c r="F7">
        <v>2019</v>
      </c>
      <c r="G7">
        <v>2020</v>
      </c>
      <c r="H7" s="14" t="s">
        <v>68</v>
      </c>
      <c r="I7" s="14"/>
      <c r="J7">
        <v>2016</v>
      </c>
      <c r="K7">
        <v>2017</v>
      </c>
      <c r="L7">
        <v>2018</v>
      </c>
      <c r="M7">
        <v>2019</v>
      </c>
      <c r="N7">
        <v>2020</v>
      </c>
      <c r="O7" s="14" t="s">
        <v>68</v>
      </c>
      <c r="P7" s="14"/>
      <c r="Q7">
        <v>2016</v>
      </c>
      <c r="R7">
        <v>2017</v>
      </c>
      <c r="S7">
        <v>2018</v>
      </c>
      <c r="T7">
        <v>2019</v>
      </c>
      <c r="U7">
        <v>2020</v>
      </c>
      <c r="V7" s="14" t="s">
        <v>68</v>
      </c>
    </row>
    <row r="8" spans="1:22" x14ac:dyDescent="0.25">
      <c r="A8" t="s">
        <v>53</v>
      </c>
      <c r="B8" t="s">
        <v>66</v>
      </c>
      <c r="C8" s="16">
        <v>142352</v>
      </c>
      <c r="D8" s="15">
        <v>244799</v>
      </c>
      <c r="E8" s="16">
        <v>272946</v>
      </c>
      <c r="F8" s="16">
        <v>283717</v>
      </c>
      <c r="G8" s="16">
        <v>40867</v>
      </c>
      <c r="H8" s="16">
        <f>AVERAGE(C8:G8)</f>
        <v>196936.2</v>
      </c>
      <c r="I8" s="16"/>
      <c r="J8" s="15">
        <v>967062</v>
      </c>
      <c r="K8" s="15">
        <v>705522</v>
      </c>
      <c r="L8" s="16">
        <v>418327</v>
      </c>
      <c r="M8" s="16">
        <v>627125</v>
      </c>
      <c r="N8" s="16">
        <v>1057894</v>
      </c>
      <c r="O8" s="16">
        <f>AVERAGE(J8:N8)</f>
        <v>755186</v>
      </c>
      <c r="P8" s="16"/>
      <c r="Q8" s="16">
        <f t="shared" ref="Q8:Q12" si="0">J8-C8</f>
        <v>824710</v>
      </c>
      <c r="R8" s="16">
        <f t="shared" ref="R8:R12" si="1">K8-D8</f>
        <v>460723</v>
      </c>
      <c r="S8" s="16">
        <f>L8-E8</f>
        <v>145381</v>
      </c>
      <c r="T8" s="16">
        <f>M8-F8</f>
        <v>343408</v>
      </c>
      <c r="U8" s="16">
        <f>N8-G8</f>
        <v>1017027</v>
      </c>
      <c r="V8" s="17">
        <f>AVERAGE(Q8:U8)</f>
        <v>558249.80000000005</v>
      </c>
    </row>
    <row r="9" spans="1:22" x14ac:dyDescent="0.25">
      <c r="A9" t="s">
        <v>78</v>
      </c>
      <c r="B9" t="s">
        <v>67</v>
      </c>
      <c r="C9" s="15">
        <v>11521</v>
      </c>
      <c r="D9" s="15">
        <v>6953</v>
      </c>
      <c r="E9" s="16">
        <v>11274</v>
      </c>
      <c r="F9" s="16">
        <v>13965</v>
      </c>
      <c r="G9" s="16">
        <v>9115</v>
      </c>
      <c r="H9" s="16">
        <f t="shared" ref="H9:H12" si="2">AVERAGE(C9:G9)</f>
        <v>10565.6</v>
      </c>
      <c r="I9" s="16"/>
      <c r="J9" s="15">
        <v>34581</v>
      </c>
      <c r="K9" s="15">
        <v>6354</v>
      </c>
      <c r="L9" s="15">
        <v>6898</v>
      </c>
      <c r="M9" s="15">
        <v>59879</v>
      </c>
      <c r="N9" s="15">
        <v>57117</v>
      </c>
      <c r="O9" s="16">
        <f t="shared" ref="O9:O14" si="3">AVERAGE(J9:N9)</f>
        <v>32965.800000000003</v>
      </c>
      <c r="P9" s="16"/>
      <c r="Q9" s="16">
        <f t="shared" si="0"/>
        <v>23060</v>
      </c>
      <c r="R9" s="16">
        <f t="shared" si="1"/>
        <v>-599</v>
      </c>
      <c r="S9" s="16">
        <f t="shared" ref="S9:S12" si="4">L9-E9</f>
        <v>-4376</v>
      </c>
      <c r="T9" s="16">
        <f t="shared" ref="T9:T12" si="5">M9-F9</f>
        <v>45914</v>
      </c>
      <c r="U9" s="16">
        <f t="shared" ref="U9:U12" si="6">N9-G9</f>
        <v>48002</v>
      </c>
      <c r="V9" s="17">
        <f t="shared" ref="V9:V12" si="7">AVERAGE(Q9:U9)</f>
        <v>22400.2</v>
      </c>
    </row>
    <row r="10" spans="1:22" x14ac:dyDescent="0.25">
      <c r="A10" t="s">
        <v>79</v>
      </c>
      <c r="B10" t="s">
        <v>69</v>
      </c>
      <c r="C10" s="15">
        <v>77862</v>
      </c>
      <c r="D10" s="15">
        <v>32519</v>
      </c>
      <c r="E10" s="16">
        <v>87405</v>
      </c>
      <c r="F10" s="16">
        <v>110802</v>
      </c>
      <c r="G10" s="16">
        <v>50039</v>
      </c>
      <c r="H10" s="16">
        <f t="shared" si="2"/>
        <v>71725.399999999994</v>
      </c>
      <c r="I10" s="16"/>
      <c r="J10" s="15">
        <v>479848</v>
      </c>
      <c r="K10" s="15">
        <v>430370</v>
      </c>
      <c r="L10" s="15">
        <v>330483</v>
      </c>
      <c r="M10" s="15">
        <v>219501</v>
      </c>
      <c r="N10" s="15">
        <v>421677</v>
      </c>
      <c r="O10" s="16">
        <f t="shared" si="3"/>
        <v>376375.8</v>
      </c>
      <c r="P10" s="16"/>
      <c r="Q10" s="16">
        <f t="shared" si="0"/>
        <v>401986</v>
      </c>
      <c r="R10" s="16">
        <f t="shared" si="1"/>
        <v>397851</v>
      </c>
      <c r="S10" s="16">
        <f t="shared" si="4"/>
        <v>243078</v>
      </c>
      <c r="T10" s="16">
        <f t="shared" si="5"/>
        <v>108699</v>
      </c>
      <c r="U10" s="16">
        <f t="shared" si="6"/>
        <v>371638</v>
      </c>
      <c r="V10" s="17">
        <f t="shared" si="7"/>
        <v>304650.40000000002</v>
      </c>
    </row>
    <row r="11" spans="1:22" x14ac:dyDescent="0.25">
      <c r="A11" t="s">
        <v>80</v>
      </c>
      <c r="B11" t="s">
        <v>70</v>
      </c>
      <c r="C11" s="15">
        <v>2564</v>
      </c>
      <c r="D11" s="15">
        <v>3548</v>
      </c>
      <c r="E11" s="16">
        <v>49759</v>
      </c>
      <c r="F11" s="15">
        <v>36264</v>
      </c>
      <c r="G11" s="16">
        <v>4522</v>
      </c>
      <c r="H11" s="16">
        <f t="shared" si="2"/>
        <v>19331.400000000001</v>
      </c>
      <c r="I11" s="16"/>
      <c r="J11" s="15">
        <v>226191</v>
      </c>
      <c r="K11" s="15">
        <v>269865</v>
      </c>
      <c r="L11" s="15">
        <v>164780</v>
      </c>
      <c r="M11" s="15">
        <v>135097</v>
      </c>
      <c r="N11" s="15">
        <v>186972</v>
      </c>
      <c r="O11" s="16">
        <f t="shared" si="3"/>
        <v>196581</v>
      </c>
      <c r="P11" s="16"/>
      <c r="Q11" s="16">
        <f t="shared" si="0"/>
        <v>223627</v>
      </c>
      <c r="R11" s="16">
        <f t="shared" si="1"/>
        <v>266317</v>
      </c>
      <c r="S11" s="16">
        <f t="shared" si="4"/>
        <v>115021</v>
      </c>
      <c r="T11" s="16">
        <f>M11-F11</f>
        <v>98833</v>
      </c>
      <c r="U11" s="16">
        <f t="shared" si="6"/>
        <v>182450</v>
      </c>
      <c r="V11" s="17">
        <f t="shared" si="7"/>
        <v>177249.6</v>
      </c>
    </row>
    <row r="12" spans="1:22" x14ac:dyDescent="0.25">
      <c r="A12" t="s">
        <v>81</v>
      </c>
      <c r="B12" t="s">
        <v>71</v>
      </c>
      <c r="C12" s="15">
        <v>32168</v>
      </c>
      <c r="D12" s="15">
        <v>36677</v>
      </c>
      <c r="E12" s="16">
        <v>77572</v>
      </c>
      <c r="F12" s="16">
        <v>126538</v>
      </c>
      <c r="G12" s="16">
        <v>53450</v>
      </c>
      <c r="H12" s="16">
        <f t="shared" si="2"/>
        <v>65281</v>
      </c>
      <c r="I12" s="16"/>
      <c r="J12">
        <v>412</v>
      </c>
      <c r="K12">
        <v>595</v>
      </c>
      <c r="L12">
        <v>601</v>
      </c>
      <c r="M12">
        <v>607</v>
      </c>
      <c r="N12">
        <v>221</v>
      </c>
      <c r="O12" s="16">
        <f t="shared" si="3"/>
        <v>487.2</v>
      </c>
      <c r="P12" s="16"/>
      <c r="Q12" s="16">
        <f t="shared" si="0"/>
        <v>-31756</v>
      </c>
      <c r="R12" s="16">
        <f t="shared" si="1"/>
        <v>-36082</v>
      </c>
      <c r="S12" s="16">
        <f t="shared" si="4"/>
        <v>-76971</v>
      </c>
      <c r="T12" s="16">
        <f t="shared" si="5"/>
        <v>-125931</v>
      </c>
      <c r="U12" s="16">
        <f t="shared" si="6"/>
        <v>-53229</v>
      </c>
      <c r="V12" s="17">
        <f t="shared" si="7"/>
        <v>-64793.8</v>
      </c>
    </row>
    <row r="13" spans="1:22" x14ac:dyDescent="0.25">
      <c r="C13" s="15"/>
      <c r="D13" s="15"/>
      <c r="E13" s="16"/>
      <c r="F13" s="16"/>
      <c r="G13" s="16"/>
      <c r="H13" s="16"/>
      <c r="I13" s="16"/>
      <c r="O13" s="16"/>
      <c r="P13" s="16"/>
      <c r="Q13" s="16"/>
      <c r="R13" s="16"/>
      <c r="S13" s="16"/>
      <c r="T13" s="16"/>
      <c r="U13" s="16"/>
      <c r="V13" s="17"/>
    </row>
    <row r="14" spans="1:22" x14ac:dyDescent="0.25">
      <c r="A14" t="s">
        <v>96</v>
      </c>
      <c r="C14" s="15"/>
      <c r="D14" s="15"/>
      <c r="E14" s="16"/>
      <c r="F14" s="16"/>
      <c r="G14" s="16"/>
      <c r="H14" s="16"/>
      <c r="I14" s="16"/>
      <c r="J14" s="15">
        <v>155167</v>
      </c>
      <c r="K14" s="15">
        <v>158492</v>
      </c>
      <c r="L14" s="15">
        <v>134849</v>
      </c>
      <c r="M14" s="15">
        <v>133496</v>
      </c>
      <c r="N14" s="15">
        <v>127100</v>
      </c>
      <c r="O14" s="16">
        <f t="shared" si="3"/>
        <v>141820.79999999999</v>
      </c>
      <c r="P14" s="16"/>
      <c r="Q14" s="16"/>
      <c r="R14" s="16"/>
      <c r="S14" s="16"/>
      <c r="T14" s="16"/>
      <c r="U14" s="16"/>
      <c r="V14" s="17"/>
    </row>
    <row r="16" spans="1:22" x14ac:dyDescent="0.25">
      <c r="C16" s="11" t="s">
        <v>76</v>
      </c>
    </row>
    <row r="17" spans="1:22" x14ac:dyDescent="0.25">
      <c r="C17" s="1" t="s">
        <v>61</v>
      </c>
      <c r="J17" s="1" t="s">
        <v>65</v>
      </c>
      <c r="Q17" s="1" t="s">
        <v>74</v>
      </c>
    </row>
    <row r="18" spans="1:22" x14ac:dyDescent="0.25">
      <c r="C18">
        <v>2016</v>
      </c>
      <c r="D18">
        <v>2017</v>
      </c>
      <c r="E18">
        <v>2018</v>
      </c>
      <c r="F18">
        <v>2019</v>
      </c>
      <c r="G18">
        <v>2020</v>
      </c>
      <c r="H18" s="14" t="s">
        <v>68</v>
      </c>
      <c r="I18" s="14"/>
      <c r="J18">
        <v>2016</v>
      </c>
      <c r="K18">
        <v>2017</v>
      </c>
      <c r="L18">
        <v>2018</v>
      </c>
      <c r="M18">
        <v>2019</v>
      </c>
      <c r="N18">
        <v>2020</v>
      </c>
      <c r="O18" s="14" t="s">
        <v>68</v>
      </c>
      <c r="P18" s="14"/>
      <c r="Q18">
        <v>2016</v>
      </c>
      <c r="R18">
        <v>2017</v>
      </c>
      <c r="S18">
        <v>2018</v>
      </c>
      <c r="T18">
        <v>2019</v>
      </c>
      <c r="U18">
        <v>2020</v>
      </c>
      <c r="V18" s="14" t="s">
        <v>68</v>
      </c>
    </row>
    <row r="19" spans="1:22" x14ac:dyDescent="0.25">
      <c r="A19" t="s">
        <v>77</v>
      </c>
      <c r="B19" t="s">
        <v>60</v>
      </c>
      <c r="C19" s="15">
        <v>9962</v>
      </c>
      <c r="D19" s="15">
        <v>9725</v>
      </c>
      <c r="E19" s="15">
        <v>33834</v>
      </c>
      <c r="F19" s="15">
        <v>15706</v>
      </c>
      <c r="G19" s="15">
        <v>20607</v>
      </c>
      <c r="H19" s="16">
        <f>AVERAGE(C19:G19)</f>
        <v>17966.8</v>
      </c>
      <c r="I19" s="16"/>
      <c r="J19" s="15">
        <v>57573</v>
      </c>
      <c r="K19" s="15">
        <v>60238</v>
      </c>
      <c r="L19" s="15">
        <v>34935</v>
      </c>
      <c r="M19" s="15">
        <v>20423</v>
      </c>
      <c r="N19" s="15">
        <v>26979</v>
      </c>
      <c r="O19" s="16">
        <f>AVERAGE(J19:N19)</f>
        <v>40029.599999999999</v>
      </c>
      <c r="P19" s="16"/>
      <c r="Q19" s="16">
        <f t="shared" ref="Q19" si="8">J19-C19</f>
        <v>47611</v>
      </c>
      <c r="R19" s="16">
        <f t="shared" ref="R19" si="9">K19-D19</f>
        <v>50513</v>
      </c>
      <c r="S19" s="16">
        <f t="shared" ref="S19" si="10">L19-E19</f>
        <v>1101</v>
      </c>
      <c r="T19" s="16">
        <f t="shared" ref="T19" si="11">M19-F19</f>
        <v>4717</v>
      </c>
      <c r="U19" s="16">
        <f t="shared" ref="U19" si="12">N19-G19</f>
        <v>6372</v>
      </c>
      <c r="V19" s="16">
        <f>AVERAGE(Q19:U19)</f>
        <v>22062.799999999999</v>
      </c>
    </row>
  </sheetData>
  <hyperlinks>
    <hyperlink ref="F2" r:id="rId1"/>
    <hyperlink ref="F3" r:id="rId2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82</v>
      </c>
    </row>
    <row r="2" spans="1:1" x14ac:dyDescent="0.25">
      <c r="A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default</vt:lpstr>
      <vt:lpstr>Sheet1</vt:lpstr>
      <vt:lpstr>Trade</vt:lpstr>
      <vt:lpstr>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2024-10-10T07:48:29Z</dcterms:modified>
</cp:coreProperties>
</file>