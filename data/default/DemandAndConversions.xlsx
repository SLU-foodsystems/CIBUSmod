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3"/>
  <workbookPr filterPrivacy="1"/>
  <xr:revisionPtr revIDLastSave="0" documentId="13_ncr:1_{1D0E270E-EC8B-4682-9925-EC6098E27F8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efault" sheetId="1" r:id="rId1"/>
    <sheet name="Trade" sheetId="4" r:id="rId2"/>
    <sheet name="references" sheetId="5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2" i="1" l="1"/>
  <c r="M486" i="1" l="1"/>
  <c r="M489" i="1"/>
  <c r="M497" i="1"/>
  <c r="M495" i="1"/>
  <c r="M493" i="1"/>
  <c r="M490" i="1"/>
  <c r="M485" i="1"/>
  <c r="M483" i="1"/>
  <c r="M481" i="1"/>
  <c r="V481" i="1"/>
  <c r="M480" i="1"/>
  <c r="M500" i="1"/>
  <c r="M501" i="1"/>
  <c r="M101" i="1" l="1"/>
  <c r="M65" i="1" l="1"/>
  <c r="M64" i="1"/>
  <c r="M63" i="1"/>
  <c r="M62" i="1"/>
  <c r="M496" i="1" l="1"/>
  <c r="M494" i="1"/>
  <c r="M492" i="1"/>
  <c r="M487" i="1"/>
  <c r="M484" i="1"/>
  <c r="M482" i="1"/>
  <c r="M157" i="1" l="1"/>
  <c r="O14" i="4" l="1"/>
  <c r="M523" i="1" l="1"/>
  <c r="M522" i="1"/>
  <c r="M521" i="1"/>
  <c r="M518" i="1"/>
  <c r="M517" i="1"/>
  <c r="M513" i="1"/>
  <c r="M507" i="1"/>
  <c r="M506" i="1"/>
  <c r="M240" i="1"/>
  <c r="M238" i="1"/>
  <c r="M236" i="1"/>
  <c r="M237" i="1"/>
  <c r="M235" i="1"/>
  <c r="M400" i="1" l="1"/>
  <c r="M399" i="1"/>
  <c r="M218" i="1"/>
  <c r="M219" i="1"/>
  <c r="M217" i="1"/>
  <c r="M630" i="1" l="1"/>
  <c r="M629" i="1"/>
  <c r="M580" i="1"/>
  <c r="M578" i="1"/>
  <c r="M577" i="1"/>
  <c r="M575" i="1"/>
  <c r="M441" i="1" l="1"/>
  <c r="M430" i="1"/>
  <c r="M519" i="1" l="1"/>
  <c r="M516" i="1"/>
  <c r="M69" i="1" l="1"/>
  <c r="M559" i="1"/>
  <c r="M558" i="1"/>
  <c r="M557" i="1"/>
  <c r="M560" i="1" l="1"/>
  <c r="M587" i="1"/>
  <c r="M584" i="1"/>
  <c r="M581" i="1"/>
  <c r="M561" i="1"/>
  <c r="M588" i="1"/>
  <c r="M585" i="1"/>
  <c r="M582" i="1"/>
  <c r="M562" i="1"/>
  <c r="M589" i="1"/>
  <c r="M586" i="1"/>
  <c r="M583" i="1"/>
  <c r="M628" i="1"/>
  <c r="M572" i="1" s="1"/>
  <c r="M627" i="1"/>
  <c r="M145" i="1" s="1"/>
  <c r="M306" i="1" l="1"/>
  <c r="M305" i="1"/>
  <c r="M304" i="1"/>
  <c r="M303" i="1"/>
  <c r="M302" i="1"/>
  <c r="M301" i="1"/>
  <c r="M300" i="1"/>
  <c r="M299" i="1"/>
  <c r="M298" i="1"/>
  <c r="M372" i="1" l="1"/>
  <c r="M370" i="1"/>
  <c r="M368" i="1"/>
  <c r="M366" i="1"/>
  <c r="M364" i="1"/>
  <c r="M260" i="1" l="1"/>
  <c r="M20" i="1"/>
  <c r="M19" i="1"/>
  <c r="M18" i="1"/>
  <c r="M17" i="1"/>
  <c r="M16" i="1"/>
  <c r="M15" i="1"/>
  <c r="M13" i="1"/>
  <c r="M12" i="1"/>
  <c r="M9" i="1"/>
  <c r="M8" i="1"/>
  <c r="M10" i="1"/>
  <c r="M11" i="1"/>
  <c r="R19" i="4" l="1"/>
  <c r="S19" i="4"/>
  <c r="T19" i="4"/>
  <c r="U19" i="4"/>
  <c r="Q19" i="4"/>
  <c r="V19" i="4" s="1"/>
  <c r="O19" i="4"/>
  <c r="H19" i="4"/>
  <c r="Q8" i="4"/>
  <c r="R8" i="4"/>
  <c r="Q9" i="4"/>
  <c r="R9" i="4"/>
  <c r="Q10" i="4"/>
  <c r="V10" i="4" s="1"/>
  <c r="R10" i="4"/>
  <c r="Q11" i="4"/>
  <c r="R11" i="4"/>
  <c r="V11" i="4" s="1"/>
  <c r="Q12" i="4"/>
  <c r="R12" i="4"/>
  <c r="T11" i="4"/>
  <c r="S9" i="4"/>
  <c r="T9" i="4"/>
  <c r="U9" i="4"/>
  <c r="S10" i="4"/>
  <c r="T10" i="4"/>
  <c r="U10" i="4"/>
  <c r="S11" i="4"/>
  <c r="U11" i="4"/>
  <c r="S12" i="4"/>
  <c r="V12" i="4" s="1"/>
  <c r="T12" i="4"/>
  <c r="U12" i="4"/>
  <c r="S8" i="4"/>
  <c r="T8" i="4"/>
  <c r="U8" i="4"/>
  <c r="O12" i="4"/>
  <c r="O11" i="4"/>
  <c r="O10" i="4"/>
  <c r="O9" i="4"/>
  <c r="O8" i="4"/>
  <c r="H9" i="4"/>
  <c r="H10" i="4"/>
  <c r="H11" i="4"/>
  <c r="H12" i="4"/>
  <c r="H8" i="4"/>
  <c r="V8" i="4" l="1"/>
  <c r="V9" i="4"/>
  <c r="M45" i="1" l="1"/>
  <c r="M48" i="1"/>
  <c r="M386" i="1"/>
  <c r="M39" i="1"/>
  <c r="M337" i="1" l="1"/>
  <c r="M265" i="1"/>
  <c r="M105" i="1" l="1"/>
  <c r="M455" i="1" l="1"/>
  <c r="M269" i="1" l="1"/>
  <c r="M267" i="1"/>
  <c r="M262" i="1"/>
  <c r="M258" i="1"/>
  <c r="M108" i="1" l="1"/>
  <c r="M107" i="1"/>
  <c r="M566" i="1" l="1"/>
  <c r="M567" i="1" s="1"/>
  <c r="M512" i="1" l="1"/>
  <c r="M511" i="1"/>
  <c r="M510" i="1"/>
  <c r="M212" i="1" l="1"/>
  <c r="M239" i="1" s="1"/>
  <c r="M52" i="1"/>
  <c r="M53" i="1"/>
  <c r="M51" i="1" l="1"/>
  <c r="M488" i="1" l="1"/>
  <c r="M505" i="1" l="1"/>
  <c r="M504" i="1"/>
</calcChain>
</file>

<file path=xl/sharedStrings.xml><?xml version="1.0" encoding="utf-8"?>
<sst xmlns="http://schemas.openxmlformats.org/spreadsheetml/2006/main" count="2712" uniqueCount="511">
  <si>
    <t>parameter</t>
  </si>
  <si>
    <t>value</t>
  </si>
  <si>
    <t>description</t>
  </si>
  <si>
    <t>source</t>
  </si>
  <si>
    <t>unit</t>
  </si>
  <si>
    <t>population</t>
  </si>
  <si>
    <t>millions</t>
  </si>
  <si>
    <t>SCB</t>
  </si>
  <si>
    <t>DIET</t>
  </si>
  <si>
    <t>Cereals (excl. beer)</t>
  </si>
  <si>
    <t>Tubers or starchy vegetables</t>
  </si>
  <si>
    <t>Vegetables</t>
  </si>
  <si>
    <t>Fruits (excl. wine)</t>
  </si>
  <si>
    <t>Dairy foods</t>
  </si>
  <si>
    <t>Eggs</t>
  </si>
  <si>
    <t>Fish</t>
  </si>
  <si>
    <t>POPULATION</t>
  </si>
  <si>
    <t>consumption</t>
  </si>
  <si>
    <t>g/day</t>
  </si>
  <si>
    <t>Pulses and oil seeds</t>
  </si>
  <si>
    <t>Treenuts</t>
  </si>
  <si>
    <t>Vegetable oils</t>
  </si>
  <si>
    <t>Meat, offals and animal fats</t>
  </si>
  <si>
    <t>Sweeteners</t>
  </si>
  <si>
    <t>f_food_group</t>
  </si>
  <si>
    <t>cereals</t>
  </si>
  <si>
    <t>f_crop_prod</t>
  </si>
  <si>
    <t>f_by_prod</t>
  </si>
  <si>
    <t>Alcoholic beverages</t>
  </si>
  <si>
    <t>Stimulants</t>
  </si>
  <si>
    <t>Spices</t>
  </si>
  <si>
    <t>Wild food</t>
  </si>
  <si>
    <t>Novel foods</t>
  </si>
  <si>
    <t>WASTE</t>
  </si>
  <si>
    <t>f_animal_prod</t>
  </si>
  <si>
    <t>f_food</t>
  </si>
  <si>
    <t>wheat</t>
  </si>
  <si>
    <t>%</t>
  </si>
  <si>
    <t>IMPORT SHARES</t>
  </si>
  <si>
    <t>share_imported</t>
  </si>
  <si>
    <t>share_in_prod_system</t>
  </si>
  <si>
    <t>f_prod_system</t>
  </si>
  <si>
    <t>organic</t>
  </si>
  <si>
    <t>Fallback</t>
  </si>
  <si>
    <t>conventional</t>
  </si>
  <si>
    <t>-</t>
  </si>
  <si>
    <t>f_origin</t>
  </si>
  <si>
    <t>barley</t>
  </si>
  <si>
    <t>f_waste_level</t>
  </si>
  <si>
    <t>household</t>
  </si>
  <si>
    <t>retail</t>
  </si>
  <si>
    <t>processing</t>
  </si>
  <si>
    <t>waste_share</t>
  </si>
  <si>
    <t>Pig meat and products</t>
  </si>
  <si>
    <t>meat</t>
  </si>
  <si>
    <t>f_species</t>
  </si>
  <si>
    <t>pigs</t>
  </si>
  <si>
    <r>
      <t>CONVERSION FACTORS</t>
    </r>
    <r>
      <rPr>
        <sz val="11"/>
        <color theme="1"/>
        <rFont val="Calibri"/>
        <family val="2"/>
        <scheme val="minor"/>
      </rPr>
      <t xml:space="preserve"> (share of crop/animal product ending up as corresponding food or by-product)</t>
    </r>
  </si>
  <si>
    <t>milk</t>
  </si>
  <si>
    <t>cream</t>
  </si>
  <si>
    <t>Milk and products 1-2% fat</t>
  </si>
  <si>
    <t>Milk and products less than 1% fat</t>
  </si>
  <si>
    <t>Milk and products more than 2% fat</t>
  </si>
  <si>
    <t>Cheese</t>
  </si>
  <si>
    <t>Butter</t>
  </si>
  <si>
    <t>Cream low fat</t>
  </si>
  <si>
    <t>Cream high fat</t>
  </si>
  <si>
    <t>Icecream</t>
  </si>
  <si>
    <t>Sourcream</t>
  </si>
  <si>
    <t>whey</t>
  </si>
  <si>
    <t>0.5% fat (4.2% fat in raw milk and 40% in cream)</t>
  </si>
  <si>
    <t>1.5% fat</t>
  </si>
  <si>
    <t>3% fat</t>
  </si>
  <si>
    <t>12% fat</t>
  </si>
  <si>
    <t>13% fat</t>
  </si>
  <si>
    <t>80% fat</t>
  </si>
  <si>
    <t>10% fat</t>
  </si>
  <si>
    <t>cattle</t>
  </si>
  <si>
    <t>dairy</t>
  </si>
  <si>
    <t>buttermilk</t>
  </si>
  <si>
    <t>1% fat in buttermilk</t>
  </si>
  <si>
    <t>conv_factor_main</t>
  </si>
  <si>
    <t>conv_factor_by</t>
  </si>
  <si>
    <t>domestic</t>
  </si>
  <si>
    <t>Maize and products</t>
  </si>
  <si>
    <t>rye</t>
  </si>
  <si>
    <t>oats</t>
  </si>
  <si>
    <t>FAO 1992</t>
  </si>
  <si>
    <t>calc from fat content</t>
  </si>
  <si>
    <t>SJV stat</t>
  </si>
  <si>
    <t>Bovine meat and products</t>
  </si>
  <si>
    <t>(1/0.76)=carcass weight--&gt;live weight</t>
  </si>
  <si>
    <t>(1/0.52)=carcass weight--&gt;live weight</t>
  </si>
  <si>
    <t>SJV stat (2016-2020)</t>
  </si>
  <si>
    <t>Potatoes, fresh</t>
  </si>
  <si>
    <t>Potatoes, frozen</t>
  </si>
  <si>
    <t>Starch of potatoes</t>
  </si>
  <si>
    <t>Potato flour, meal, powder, granulates and pellets of potatoes</t>
  </si>
  <si>
    <t>tubers</t>
  </si>
  <si>
    <t>where do we handle discarded potatoes?</t>
  </si>
  <si>
    <t>potatoes table</t>
  </si>
  <si>
    <t>potatoes starch</t>
  </si>
  <si>
    <t>Tomatoes and products</t>
  </si>
  <si>
    <t>vegetables</t>
  </si>
  <si>
    <t>tomatoes</t>
  </si>
  <si>
    <t>Cucumbers and gherkins</t>
  </si>
  <si>
    <t>cucumbers</t>
  </si>
  <si>
    <t>alcoholic beverages</t>
  </si>
  <si>
    <t>Assumed same as 'Barley and products'</t>
  </si>
  <si>
    <t>Chapter 16.2 in Pandey. 2009. Biotechnology for Agro-Industrial Residues Utilisation</t>
  </si>
  <si>
    <t>~75% water content. 20% of produced beer</t>
  </si>
  <si>
    <t>potatoe offals</t>
  </si>
  <si>
    <t>barley brewers grain</t>
  </si>
  <si>
    <t>Rape and mustard oil and products</t>
  </si>
  <si>
    <t>vegetable oils</t>
  </si>
  <si>
    <t>rapeseed</t>
  </si>
  <si>
    <t>rapeseed meal</t>
  </si>
  <si>
    <t>rapeseed cake</t>
  </si>
  <si>
    <t>calc. based on 45.5% fat in seed and 20% fat in cold pressed cake</t>
  </si>
  <si>
    <t>1/3 of oil other added here</t>
  </si>
  <si>
    <t>Sunflowerseed oil and products</t>
  </si>
  <si>
    <t>Olive oil and products</t>
  </si>
  <si>
    <t>Carrots and turnips</t>
  </si>
  <si>
    <t>carrots</t>
  </si>
  <si>
    <t>Cabbages (and cauliflower &amp; broccoli)</t>
  </si>
  <si>
    <t>Lettuce and spinach</t>
  </si>
  <si>
    <t>Pumpkins, squash and gourds</t>
  </si>
  <si>
    <t>Peas, green</t>
  </si>
  <si>
    <t>Onions, dry</t>
  </si>
  <si>
    <t>peas green</t>
  </si>
  <si>
    <t>cabbages etc</t>
  </si>
  <si>
    <t>lettuce and spinach</t>
  </si>
  <si>
    <t>pumpkins and squash</t>
  </si>
  <si>
    <t>other vegetables</t>
  </si>
  <si>
    <t>onions</t>
  </si>
  <si>
    <t>Other vegetables</t>
  </si>
  <si>
    <t>assumed same as wheat</t>
  </si>
  <si>
    <t>100% in Hanna's sheet</t>
  </si>
  <si>
    <r>
      <t>PRODUCTION SYSTEM SHARES</t>
    </r>
    <r>
      <rPr>
        <sz val="11"/>
        <color theme="1"/>
        <rFont val="Calibri"/>
        <family val="2"/>
        <scheme val="minor"/>
      </rPr>
      <t xml:space="preserve"> (shares can be different for 'domestic' and 'imported' by specifying 'f_origin')</t>
    </r>
  </si>
  <si>
    <t>Vete</t>
  </si>
  <si>
    <t>Avg. of "Klass 1&amp;2" and "Klass 3"</t>
  </si>
  <si>
    <t>Ekologiska årsrapporten 2021</t>
  </si>
  <si>
    <t>From share organic raw milk to dairies. Using product level shares difficult</t>
  </si>
  <si>
    <t>From prod. stat</t>
  </si>
  <si>
    <t>"Havregryn"</t>
  </si>
  <si>
    <t>"Sallat"</t>
  </si>
  <si>
    <t>"Morötter"</t>
  </si>
  <si>
    <t>"Lök"</t>
  </si>
  <si>
    <t>"Gurka"</t>
  </si>
  <si>
    <t>"Tomater"</t>
  </si>
  <si>
    <t>barley malt culms</t>
  </si>
  <si>
    <t>maltgroddar</t>
  </si>
  <si>
    <t>Share conventional is calculated as what remains (value should be -100). Do not specify per food</t>
  </si>
  <si>
    <t>Wheat and products, refined</t>
  </si>
  <si>
    <t>Barley and products, refined</t>
  </si>
  <si>
    <t>Rye and products, refined</t>
  </si>
  <si>
    <t>Oats and products, refined</t>
  </si>
  <si>
    <t>Other cereals and products, refined</t>
  </si>
  <si>
    <t>Wheat and products, whole grain</t>
  </si>
  <si>
    <t>Barley and products, whole grain</t>
  </si>
  <si>
    <t>Rye and products, whole grain</t>
  </si>
  <si>
    <t>Oats and products, whole grain</t>
  </si>
  <si>
    <t>Other cereals and products, whole grain</t>
  </si>
  <si>
    <t>EXPORTS</t>
  </si>
  <si>
    <t>tonnes</t>
  </si>
  <si>
    <t>potatoe protein</t>
  </si>
  <si>
    <t>2% prot. in potatoes, 50% recovery, 84.4% prot. in potatoe protein DM, 90% DM</t>
  </si>
  <si>
    <t>Pers. Com. Kalle Johansson, Lyckeby, 2023-05</t>
  </si>
  <si>
    <t>Biofuel, ethanol</t>
  </si>
  <si>
    <t>Biofuel, RME</t>
  </si>
  <si>
    <t>Produced from domestic rapseed</t>
  </si>
  <si>
    <t>non_food_demand</t>
  </si>
  <si>
    <t>BIOENERGY AND OTHER NON-FOOD DEMAND</t>
  </si>
  <si>
    <t>Bioenergy</t>
  </si>
  <si>
    <t>non-food</t>
  </si>
  <si>
    <t>Assuming Oil:RME = 1:1</t>
  </si>
  <si>
    <t>Peas, dry</t>
  </si>
  <si>
    <t>Broad beans and horse beans, dry</t>
  </si>
  <si>
    <t>Beans, dry</t>
  </si>
  <si>
    <t>Chick peas, dry</t>
  </si>
  <si>
    <t>Lentils, dry</t>
  </si>
  <si>
    <t>pulses</t>
  </si>
  <si>
    <t>1/3 of oil other added here + margarine*0.6</t>
  </si>
  <si>
    <t>Potato flour</t>
  </si>
  <si>
    <t>made from starch potatoes??</t>
  </si>
  <si>
    <t>peas</t>
  </si>
  <si>
    <t>broad beans</t>
  </si>
  <si>
    <t>beans</t>
  </si>
  <si>
    <t>"Ärtor/bönor/linser torkade"</t>
  </si>
  <si>
    <t>Ekologiska årsrapporten 2022</t>
  </si>
  <si>
    <t>same as refined</t>
  </si>
  <si>
    <t>Sugar and products</t>
  </si>
  <si>
    <t>Honey</t>
  </si>
  <si>
    <t>Other sweeteners</t>
  </si>
  <si>
    <t>sweeteners</t>
  </si>
  <si>
    <t>same as sugar</t>
  </si>
  <si>
    <t>may be higher?</t>
  </si>
  <si>
    <t>sirup and maple syrup</t>
  </si>
  <si>
    <t>sugar beet</t>
  </si>
  <si>
    <t>sugar beet pulp</t>
  </si>
  <si>
    <t>sugar beet molasses</t>
  </si>
  <si>
    <t>Wine and products</t>
  </si>
  <si>
    <t>Beverages, fermented and products</t>
  </si>
  <si>
    <t>fermented beverages other than barley beer</t>
  </si>
  <si>
    <t>Barley beer</t>
  </si>
  <si>
    <t>Beverages, alcoholic</t>
  </si>
  <si>
    <t>spirits</t>
  </si>
  <si>
    <t>Assuming same as 'Apples'</t>
  </si>
  <si>
    <t>Assuming same as 'Wheat and products'</t>
  </si>
  <si>
    <t>"Vin"</t>
  </si>
  <si>
    <t>"Starksprit"</t>
  </si>
  <si>
    <t>grapes</t>
  </si>
  <si>
    <t>apples</t>
  </si>
  <si>
    <t>apple pulp</t>
  </si>
  <si>
    <t>Apples</t>
  </si>
  <si>
    <t>Apple juice</t>
  </si>
  <si>
    <t>Apple juice concentrate</t>
  </si>
  <si>
    <t>fruits</t>
  </si>
  <si>
    <t>Pears</t>
  </si>
  <si>
    <t>"Äpplen"</t>
  </si>
  <si>
    <t>pears</t>
  </si>
  <si>
    <t>Assuming same as "Äpplen"</t>
  </si>
  <si>
    <t>Mushrooms and truffles</t>
  </si>
  <si>
    <t>Other beans, green + String beans + Artichokes + Asparagus + Chillies and peppers, green (capsicum spp. and pimenta spp.) + Sweet corn frozen + Sweet corn prepared or preserved</t>
  </si>
  <si>
    <t>Adjusted to match prod. 100% in Hanna's sheet</t>
  </si>
  <si>
    <t>Fruits and berries (excl. wine)</t>
  </si>
  <si>
    <t>Other fruit</t>
  </si>
  <si>
    <t>Strawberries</t>
  </si>
  <si>
    <t>Other berries</t>
  </si>
  <si>
    <t>Raspberries</t>
  </si>
  <si>
    <t>Plums and sloes + Plums dried (CF=35%) + Cherries</t>
  </si>
  <si>
    <t>other fruit</t>
  </si>
  <si>
    <t>strawberries</t>
  </si>
  <si>
    <t>Currants</t>
  </si>
  <si>
    <t>currants</t>
  </si>
  <si>
    <t>other berries</t>
  </si>
  <si>
    <t>no cons. data?</t>
  </si>
  <si>
    <t>guess</t>
  </si>
  <si>
    <t>adjusted to match prod.</t>
  </si>
  <si>
    <t>Poultry meat and products</t>
  </si>
  <si>
    <t>poultry</t>
  </si>
  <si>
    <t>horses</t>
  </si>
  <si>
    <t>heads</t>
  </si>
  <si>
    <t>Recreational horses</t>
  </si>
  <si>
    <t>1000 heads</t>
  </si>
  <si>
    <t>Current number of horses</t>
  </si>
  <si>
    <t>Imports</t>
  </si>
  <si>
    <t>Sources:</t>
  </si>
  <si>
    <t>https://www2.jordbruksverket.se/download/18.bd0539d17ee49dae393071f/1644574503673/ra21_9.pdf</t>
  </si>
  <si>
    <t>SJV (2021) Sveriges utrikeshandel med jordbruksvaror och livsmedel 2018–2020. Rapport 2021:9</t>
  </si>
  <si>
    <t>Exports</t>
  </si>
  <si>
    <t>Wheat</t>
  </si>
  <si>
    <t>Rye</t>
  </si>
  <si>
    <t>AVG</t>
  </si>
  <si>
    <t>Barley</t>
  </si>
  <si>
    <t>Oats</t>
  </si>
  <si>
    <t>Maize</t>
  </si>
  <si>
    <t>https://jordbruksverket.se/download/18.28f4d91b172cdd65219e9d30/1592810968452/Sveriges_utrikeshandel_med%20jordbruksvaror_och_livsmedel_2016-2018_webb%20(003).pdf</t>
  </si>
  <si>
    <t>SJV (2019) Sveriges utrikeshandel med jordbruksvaror och livsmedel 2016–2018. Rapport 2019:18</t>
  </si>
  <si>
    <t>Net Exports</t>
  </si>
  <si>
    <t>Wheat grains</t>
  </si>
  <si>
    <t>Barley grains</t>
  </si>
  <si>
    <t>Rye grains</t>
  </si>
  <si>
    <t>Oat grains</t>
  </si>
  <si>
    <t>export_demand</t>
  </si>
  <si>
    <t xml:space="preserve">Pers. com. Kalle Johansson, Lyckeby (2023-05-30) | SJV 2015. Marknadsöversikt potatis till mat och stärkelseproduktion </t>
  </si>
  <si>
    <t xml:space="preserve">Pers. com. Kalle Johansson, Lyckeby (2023-05-30) </t>
  </si>
  <si>
    <t>"Majority for food exported". Adjusted to match demand and production</t>
  </si>
  <si>
    <t>Other</t>
  </si>
  <si>
    <t>Adjusted to ~1/2 of prod. used in paper industry</t>
  </si>
  <si>
    <t>Cereals [tonnes]</t>
  </si>
  <si>
    <t>Other [tonnes]</t>
  </si>
  <si>
    <t>Torkade ärter, bönor m.m.</t>
  </si>
  <si>
    <t>Råg</t>
  </si>
  <si>
    <t>Korn</t>
  </si>
  <si>
    <t>Havre</t>
  </si>
  <si>
    <t>Majs</t>
  </si>
  <si>
    <t>wheat distillers grain</t>
  </si>
  <si>
    <t/>
  </si>
  <si>
    <t>Börjesson, P., Tufvesson, L., &amp; Lantz, M. (2010). Livscykelanalys av svenska biodrivmedel. (Environmental and Energy System Studies report no. 70; Vol. 70). Environmental and Energy Systems Studies, Lund university.</t>
  </si>
  <si>
    <t>PROCESSING ENERGY USE</t>
  </si>
  <si>
    <t>Rice and products, refined</t>
  </si>
  <si>
    <t>Rice and products, whole grain</t>
  </si>
  <si>
    <t>10% whole grain</t>
  </si>
  <si>
    <t>Riksmaten 2011. Tabell 153</t>
  </si>
  <si>
    <t>Riksmaten 2011. Tabell 7 and page 87</t>
  </si>
  <si>
    <t>Assume 28% whole grain to reach 25% total whole grain share (42g/165g=0.25). Whole grain intake=42 g/d. Recommendation=70 g/d (F) &amp; 90 g/d (M)</t>
  </si>
  <si>
    <t>Assume 28% whole grain to reach 25% total whole grain share</t>
  </si>
  <si>
    <t>flour of mixed grain, Assume 28% whole grain to reach 25% total whole grain share</t>
  </si>
  <si>
    <t>eggs</t>
  </si>
  <si>
    <t>Adjusted to match slaughter statistics</t>
  </si>
  <si>
    <t>adj factor:</t>
  </si>
  <si>
    <t>Adjusted to match egg prod. statistics</t>
  </si>
  <si>
    <t>Adjusted to match prod. statistics. "Ägg"</t>
  </si>
  <si>
    <t>@ 90% DM</t>
  </si>
  <si>
    <t>Tabell A18 in Börjesson et al (2010)</t>
  </si>
  <si>
    <t>Börjesson et al (2010)</t>
  </si>
  <si>
    <t>Based on assuming 600 000 tonnes cereals used</t>
  </si>
  <si>
    <t>2.1 kg DM wheat --&gt; 1 L bioethanol + 0.8 kg DM distillers grain. Wheat 86% DM, distillers grain 90% DM. Bioethanol 21.3 MJ/L and 27.8 MJ/kg --&gt; 0.766 kg/L</t>
  </si>
  <si>
    <t>161 kg WS/t SB</t>
  </si>
  <si>
    <t>Garcia Gonzalez, M. N., &amp; Björnsson, L. (2022). Life cycle assessment of the production of beet sugar and its by-products. Journal of Cleaner Production, 346, 131211. doi:https://doi.org/10.1016/j.jclepro.2022.131211</t>
  </si>
  <si>
    <t>Garcia Gonzalez and Börjesson 2022</t>
  </si>
  <si>
    <t>(90% DM) 6.4 kg DM PSBP and 25.2 kg DM DSBP per t wet weight sugar beet</t>
  </si>
  <si>
    <t>(76% DM) 19 kg DM molasses per t wet weight sugar beet</t>
  </si>
  <si>
    <t>Based on sugar but adjusted to 20% w.c. in syrup</t>
  </si>
  <si>
    <t>Mutton/goat meat</t>
  </si>
  <si>
    <t>Recreational sheep</t>
  </si>
  <si>
    <t>sheep</t>
  </si>
  <si>
    <t xml:space="preserve">FAO 1992/Clune et al </t>
  </si>
  <si>
    <t>(1/0.50)=carcass weight--&gt;live weight</t>
  </si>
  <si>
    <t>SOURCE?</t>
  </si>
  <si>
    <t>milling by-products from wheat, barley or rye</t>
  </si>
  <si>
    <t>bran?</t>
  </si>
  <si>
    <t>19% bran + 2% germ</t>
  </si>
  <si>
    <t>19% bran + 9% hulls</t>
  </si>
  <si>
    <t>hulls</t>
  </si>
  <si>
    <t>bran</t>
  </si>
  <si>
    <t>20% offals + 27% hulls</t>
  </si>
  <si>
    <t>milling by-products from oats</t>
  </si>
  <si>
    <t>27% hulls</t>
  </si>
  <si>
    <t>Unprocessed commodity</t>
  </si>
  <si>
    <t>population_region</t>
  </si>
  <si>
    <t>nr</t>
  </si>
  <si>
    <t>Population per region</t>
  </si>
  <si>
    <t>Calculated from SCB 1x1km Gridded Population 2022-12-31. https://www.scb.se/en/services/open-data-api/open-geodata/grid-statistics/</t>
  </si>
  <si>
    <t>DemandAndConversions-population.csv</t>
  </si>
  <si>
    <t>fodder</t>
  </si>
  <si>
    <t>Ley, biogas feedstock</t>
  </si>
  <si>
    <t>tonnes DM</t>
  </si>
  <si>
    <t>Beetroot</t>
  </si>
  <si>
    <t>f_crop_resid</t>
  </si>
  <si>
    <t>Milk powder</t>
  </si>
  <si>
    <t>Eggs novel foods</t>
  </si>
  <si>
    <t>eggs for quorn</t>
  </si>
  <si>
    <t>Sweet lupin</t>
  </si>
  <si>
    <t>Grey pea</t>
  </si>
  <si>
    <t>Hazelnuts</t>
  </si>
  <si>
    <t>treenuts</t>
  </si>
  <si>
    <t>Walnuts</t>
  </si>
  <si>
    <t>Seeds</t>
  </si>
  <si>
    <t>Sunflower seeds</t>
  </si>
  <si>
    <t>seeds</t>
  </si>
  <si>
    <t>Rapeseed oil novel foods</t>
  </si>
  <si>
    <t>rapeseed oil in novel foods</t>
  </si>
  <si>
    <t>Pea protein product</t>
  </si>
  <si>
    <t>alternatives meat</t>
  </si>
  <si>
    <t>Soy protein product</t>
  </si>
  <si>
    <t>not included below as it is only the rapeseed and this is included in novel foods in the scnearios weher it adds to rapeseed use</t>
  </si>
  <si>
    <t>Wheat protein product</t>
  </si>
  <si>
    <t>Oat drink</t>
  </si>
  <si>
    <t>alternatives dairy</t>
  </si>
  <si>
    <t>Cellbased meat</t>
  </si>
  <si>
    <t>Cellbased dairy</t>
  </si>
  <si>
    <t>Quorn</t>
  </si>
  <si>
    <t>Tempeh faba bean</t>
  </si>
  <si>
    <t>Tofu faba beans</t>
  </si>
  <si>
    <t>Cellbased fish</t>
  </si>
  <si>
    <t>Microbial fats (yeast)</t>
  </si>
  <si>
    <t>Microbial fats (algae)</t>
  </si>
  <si>
    <t>Microbial eggs</t>
  </si>
  <si>
    <t>Biofuel, ethanol straw</t>
  </si>
  <si>
    <t>conversion based on Karlsson et al 2014</t>
  </si>
  <si>
    <t>"Import och export av mejeriprodukter" 2019</t>
  </si>
  <si>
    <t>assumed the same as potatoes</t>
  </si>
  <si>
    <t>Quinoa</t>
  </si>
  <si>
    <t>assumed to be the same as milk for now</t>
  </si>
  <si>
    <t>test</t>
  </si>
  <si>
    <t>same as regular rapeseed</t>
  </si>
  <si>
    <t>assumed same as pea, but this product also contains raspeed oil</t>
  </si>
  <si>
    <t>alternative meat</t>
  </si>
  <si>
    <t>assuming all soybeans are imported, rapeseed partley produced in Swden, regulated in scnearios</t>
  </si>
  <si>
    <t>assumed same as wheat, but this product also contains rapseed oil</t>
  </si>
  <si>
    <t>assumed same as oat, but thsi product also contains raseed oil</t>
  </si>
  <si>
    <t>assumed the same as sugar</t>
  </si>
  <si>
    <t>assumed to be the same as faba bean</t>
  </si>
  <si>
    <t>straw main substrate, assumed to be domestic</t>
  </si>
  <si>
    <t>assume same as "Morötter"</t>
  </si>
  <si>
    <t>assumtion for now</t>
  </si>
  <si>
    <t>assumption for now</t>
  </si>
  <si>
    <t>beetroot</t>
  </si>
  <si>
    <t>lentils</t>
  </si>
  <si>
    <t>sweet lupin</t>
  </si>
  <si>
    <t>grey pea</t>
  </si>
  <si>
    <t>sunflower seeds</t>
  </si>
  <si>
    <t>It says 41 in the FAO report, but adjust to 43 to make it up to a 100%</t>
  </si>
  <si>
    <t>pea starch</t>
  </si>
  <si>
    <t>adds to more than a 100% as peas are dry and pea protein product is a ready to eat product</t>
  </si>
  <si>
    <t>wheat starch</t>
  </si>
  <si>
    <t>wheat oil</t>
  </si>
  <si>
    <t>oat fibers</t>
  </si>
  <si>
    <t>broad bean okara</t>
  </si>
  <si>
    <t>straw</t>
  </si>
  <si>
    <t>conversion from Karlsson et al 2014</t>
  </si>
  <si>
    <t>Should instead define the by-product substrate to be handled in the WasteAndCircularity module</t>
  </si>
  <si>
    <t>assumption for now, probably high due to no persticides approved, very small production today</t>
  </si>
  <si>
    <t>RECIPIES</t>
  </si>
  <si>
    <t>Test 1</t>
  </si>
  <si>
    <t>f_food_ingr</t>
  </si>
  <si>
    <t>recipie</t>
  </si>
  <si>
    <t>Here recipies for foods made up of several other foods can be specified (i.e. compound foods). In the model these foods are converted to their constituent foods.</t>
  </si>
  <si>
    <t>Import shares are applied both for the compound food and the constituent foods, so that e.g. a compound food can be specified as 100% domestic while some</t>
  </si>
  <si>
    <t>This is an example that is not used</t>
  </si>
  <si>
    <t>of its ingredients are 100% imported. For production system shares the share of the compound food are used also for its ingredients. NOTE! Conversion factors</t>
  </si>
  <si>
    <t>are not applicable for compound foods (i.e. all fods with the 'recipie' parameter specified).</t>
  </si>
  <si>
    <t>Offals</t>
  </si>
  <si>
    <t>Blood in food</t>
  </si>
  <si>
    <t>offals</t>
  </si>
  <si>
    <t>Lever, njure och tunga</t>
  </si>
  <si>
    <t>Assumed same as meat</t>
  </si>
  <si>
    <t>No imports assumed</t>
  </si>
  <si>
    <t>Assumption based on share organic and relative consumption of pork and beef</t>
  </si>
  <si>
    <t>"</t>
  </si>
  <si>
    <t>edible offals</t>
  </si>
  <si>
    <t>sunflower seed meal</t>
  </si>
  <si>
    <t>5% in ref. but majority of these losses are handled as by-products here</t>
  </si>
  <si>
    <t>FAO (2011) Global food losses and food waste – Extent, causes and prevention. Rome</t>
  </si>
  <si>
    <t>Assumed same as dairy</t>
  </si>
  <si>
    <t>slaughterhouse fat</t>
  </si>
  <si>
    <t>skins</t>
  </si>
  <si>
    <t>butcher fat</t>
  </si>
  <si>
    <t>https://dx.doi.org/10.12944/CRNFSJ.11.2.06</t>
  </si>
  <si>
    <t>3.5% of live weight</t>
  </si>
  <si>
    <t>4.5% of live weight</t>
  </si>
  <si>
    <t>edible blood</t>
  </si>
  <si>
    <t>inedible blood</t>
  </si>
  <si>
    <t>assume 4.5% of live weight as for cattle</t>
  </si>
  <si>
    <t>inedible offals</t>
  </si>
  <si>
    <t>feathers</t>
  </si>
  <si>
    <t>Incl. absorbed water. (1/0.78)=carcass weight--&gt;live weight</t>
  </si>
  <si>
    <t xml:space="preserve">FAO 1992 / https://doi.org/10.3382/ps.0592243 </t>
  </si>
  <si>
    <t>assumed same as for bioethanol</t>
  </si>
  <si>
    <t>Use total exports</t>
  </si>
  <si>
    <t>Use total exports incl. Malted barley</t>
  </si>
  <si>
    <t>Malt</t>
  </si>
  <si>
    <t>Use net exports as no feed imports assumed</t>
  </si>
  <si>
    <t>Adjusted to match prod. 90% in Hanna's sheet</t>
  </si>
  <si>
    <t>Adjusted to match prod. 46% in Hanna's sheet</t>
  </si>
  <si>
    <t>quinoa</t>
  </si>
  <si>
    <t>hazelnuts</t>
  </si>
  <si>
    <t>walnuts</t>
  </si>
  <si>
    <t>hazelnut shells</t>
  </si>
  <si>
    <t>walnut shells</t>
  </si>
  <si>
    <t>fat%</t>
  </si>
  <si>
    <t>raw milk</t>
  </si>
  <si>
    <t>Dairy products where cream is generated</t>
  </si>
  <si>
    <t>Dairy products produced from only cream</t>
  </si>
  <si>
    <t>Dairy products produced from a mix of milk and cream</t>
  </si>
  <si>
    <t>Swedish pop. avg. 2016-2020</t>
  </si>
  <si>
    <t>JBV. Marknadsbalans griskött. Priser och marknads­information för livsmedel. https://jordbruksverket.se/mat-och-drycker/handel-och-marknad/priser-och-marknadsinformation-for-livsmedel</t>
  </si>
  <si>
    <t>JBV. Marknadsbalans matfågel. Priser och marknads­information för livsmedel. https://jordbruksverket.se/mat-och-drycker/handel-och-marknad/priser-och-marknadsinformation-for-livsmedel</t>
  </si>
  <si>
    <t>JBV. Marknadsbalans nötkött. Priser och marknads­information för livsmedel. https://jordbruksverket.se/mat-och-drycker/handel-och-marknad/priser-och-marknadsinformation-for-livsmedel</t>
  </si>
  <si>
    <t>JBV. Marknadsbalans fårkött. Priser och marknads­information för livsmedel. https://jordbruksverket.se/mat-och-drycker/handel-och-marknad/priser-och-marknadsinformation-for-livsmedel</t>
  </si>
  <si>
    <t>Avg. 2016-2020. (imp-exp)/consumption</t>
  </si>
  <si>
    <t>JBV. Konsumtion animalieprodukter. Priser och marknads­information för livsmedel. https://jordbruksverket.se/mat-och-drycker/handel-och-marknad/priser-och-marknadsinformation-for-livsmedel</t>
  </si>
  <si>
    <t>Retail weight</t>
  </si>
  <si>
    <t>Avg.2016-2020. Based on "totalkonsumtion" adjusted with JBV factors for CW --&gt; retail weight</t>
  </si>
  <si>
    <t>FOOD NUTRIENT COMPOSITION</t>
  </si>
  <si>
    <t>composition</t>
  </si>
  <si>
    <t>DemandAndConversions-food_composition.csv</t>
  </si>
  <si>
    <t>Sweet potatoes</t>
  </si>
  <si>
    <t>Imported fruit</t>
  </si>
  <si>
    <t>imported fruit</t>
  </si>
  <si>
    <t>Wild caught freshwater arctic char</t>
  </si>
  <si>
    <t>fish</t>
  </si>
  <si>
    <t>Coldwater farmed fish carp</t>
  </si>
  <si>
    <t>Warmwater farmed fish tilapia</t>
  </si>
  <si>
    <t>Cod</t>
  </si>
  <si>
    <t>Herring</t>
  </si>
  <si>
    <t>Tuna</t>
  </si>
  <si>
    <t>Wild caught Salmon</t>
  </si>
  <si>
    <t>Farmed Salmon</t>
  </si>
  <si>
    <t>Sea bass</t>
  </si>
  <si>
    <t>Shrimp and crayfish</t>
  </si>
  <si>
    <t>Mackerel</t>
  </si>
  <si>
    <t>Mussels and oysters</t>
  </si>
  <si>
    <t>Crustaceans</t>
  </si>
  <si>
    <t>Other nuts</t>
  </si>
  <si>
    <t>Chestnuts, pistachios, cashews, almonds and prepared nuts</t>
  </si>
  <si>
    <t>Seeds and oilcrops</t>
  </si>
  <si>
    <t>Groundnuts</t>
  </si>
  <si>
    <t>Soybeans</t>
  </si>
  <si>
    <t>Soybeans in soy protein products and tofu</t>
  </si>
  <si>
    <t>antagande från beråkningar i vegoguiden (inte så snygg lösning men för att få med i importen)</t>
  </si>
  <si>
    <t>Olives</t>
  </si>
  <si>
    <t>Coconuts</t>
  </si>
  <si>
    <t>Other vegetable oils</t>
  </si>
  <si>
    <t>mainly palm oil</t>
  </si>
  <si>
    <t>Coffee, tea and cacoa</t>
  </si>
  <si>
    <t>conumption</t>
  </si>
  <si>
    <t>Moose and deer</t>
  </si>
  <si>
    <t>wild food</t>
  </si>
  <si>
    <t>Wild boar</t>
  </si>
  <si>
    <t>Reindeer</t>
  </si>
  <si>
    <t>Berries</t>
  </si>
  <si>
    <t>Mushrooms</t>
  </si>
  <si>
    <t>Tofu soy</t>
  </si>
  <si>
    <t>Wild caught (freshwater - Arctic char)</t>
  </si>
  <si>
    <t>obs detta skulle jag behöva lägga till?</t>
  </si>
  <si>
    <t>Coldwater Farmed fish (carp)</t>
  </si>
  <si>
    <t>Warmwater Farmed fish (tilapia)</t>
  </si>
  <si>
    <t>Torsk (cod)</t>
  </si>
  <si>
    <t>Sill (Herring)</t>
  </si>
  <si>
    <t>produced from milk w. 3% fat, 1:10 milk:cheese (SJV)</t>
  </si>
  <si>
    <t>includes sour milk products</t>
  </si>
  <si>
    <t>produced from milk w. 1.7% fat, 1:6 milk:powder (SJV)</t>
  </si>
  <si>
    <t>&lt;-- Adjusted to align w. stat. on net exports of milk powder after solving "cream balance"</t>
  </si>
  <si>
    <t>25,000 tonnes oat okara per year 0.2L okara per L oat drink</t>
  </si>
  <si>
    <t>https://www.axfoundation.se/en/projects/over-n-oat-residues</t>
  </si>
  <si>
    <t>See "Trade" tab</t>
  </si>
  <si>
    <t>Arbitrary number, not a big thing today</t>
  </si>
  <si>
    <t>Not included yet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</si>
</sst>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0"/>
    <numFmt numFmtId="166" formatCode="#,##0.0"/>
    <numFmt numFmtId="167" formatCode="0.0%"/>
  </numFmts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b/>
      <sz val="11"/>
      <color rgb="FF7030A0"/>
      <name val="Calibri"/>
      <family val="2"/>
      <scheme val="minor"/>
    </font>
    <font>
      <b/>
      <sz val="11"/>
      <name val="Calibri"/>
      <family val="2"/>
      <scheme val="minor"/>
    </font>
    <font>
      <b/>
      <u/>
      <sz val="11"/>
      <name val="Calibri"/>
      <family val="2"/>
      <scheme val="minor"/>
    </font>
    <font>
      <i/>
      <sz val="11"/>
      <color theme="4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58">
    <xf numFmtId="0" fontId="0" fillId="0" borderId="0" xfId="0"/>
    <xf numFmtId="0" fontId="1" fillId="0" borderId="0" xfId="0" applyFont="1"/>
    <xf numFmtId="0" fontId="2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3" fillId="0" borderId="0" xfId="0" applyFont="1"/>
    <xf numFmtId="0" fontId="4" fillId="0" borderId="0" xfId="0" applyFont="1"/>
    <xf numFmtId="164" fontId="3" fillId="0" borderId="0" xfId="0" applyNumberFormat="1" applyFont="1"/>
    <xf numFmtId="1" fontId="5" fillId="0" borderId="0" xfId="0" applyNumberFormat="1" applyFont="1"/>
    <xf numFmtId="1" fontId="0" fillId="0" borderId="0" xfId="0" applyNumberFormat="1"/>
    <xf numFmtId="0" fontId="5" fillId="0" borderId="0" xfId="0" applyFont="1"/>
    <xf numFmtId="164" fontId="0" fillId="0" borderId="0" xfId="0" applyNumberFormat="1"/>
    <xf numFmtId="1" fontId="3" fillId="0" borderId="0" xfId="0" applyNumberFormat="1" applyFont="1"/>
    <xf numFmtId="9" fontId="0" fillId="0" borderId="0" xfId="0" applyNumberFormat="1"/>
    <xf numFmtId="0" fontId="2" fillId="0" borderId="0" xfId="0" applyFont="1"/>
    <xf numFmtId="0" fontId="6" fillId="0" borderId="0" xfId="0" applyFont="1"/>
    <xf numFmtId="0" fontId="7" fillId="0" borderId="0" xfId="0" applyFont="1"/>
    <xf numFmtId="2" fontId="5" fillId="0" borderId="0" xfId="0" applyNumberFormat="1" applyFont="1"/>
    <xf numFmtId="164" fontId="5" fillId="0" borderId="0" xfId="0" applyNumberFormat="1" applyFont="1"/>
    <xf numFmtId="165" fontId="0" fillId="0" borderId="0" xfId="0" applyNumberFormat="1"/>
    <xf numFmtId="0" fontId="8" fillId="0" borderId="0" xfId="1"/>
    <xf numFmtId="0" fontId="0" fillId="0" borderId="0" xfId="0" applyAlignment="1">
      <alignment horizontal="right"/>
    </xf>
    <xf numFmtId="3" fontId="0" fillId="0" borderId="0" xfId="0" applyNumberFormat="1"/>
    <xf numFmtId="3" fontId="1" fillId="0" borderId="0" xfId="0" applyNumberFormat="1" applyFont="1"/>
    <xf numFmtId="3" fontId="0" fillId="2" borderId="0" xfId="0" applyNumberFormat="1" applyFill="1"/>
    <xf numFmtId="166" fontId="0" fillId="0" borderId="0" xfId="0" applyNumberFormat="1"/>
    <xf numFmtId="0" fontId="0" fillId="3" borderId="0" xfId="0" quotePrefix="1" applyFill="1"/>
    <xf numFmtId="2" fontId="0" fillId="2" borderId="0" xfId="0" applyNumberFormat="1" applyFill="1"/>
    <xf numFmtId="0" fontId="9" fillId="0" borderId="0" xfId="0" applyFont="1"/>
    <xf numFmtId="0" fontId="0" fillId="3" borderId="0" xfId="0" applyFill="1" applyAlignment="1">
      <alignment horizontal="left"/>
    </xf>
    <xf numFmtId="0" fontId="5" fillId="0" borderId="0" xfId="0" quotePrefix="1" applyFont="1"/>
    <xf numFmtId="164" fontId="9" fillId="0" borderId="0" xfId="0" applyNumberFormat="1" applyFont="1"/>
    <xf numFmtId="0" fontId="10" fillId="3" borderId="0" xfId="0" applyFont="1" applyFill="1"/>
    <xf numFmtId="0" fontId="4" fillId="3" borderId="0" xfId="0" applyFont="1" applyFill="1"/>
    <xf numFmtId="0" fontId="11" fillId="3" borderId="0" xfId="0" applyFont="1" applyFill="1"/>
    <xf numFmtId="0" fontId="5" fillId="3" borderId="0" xfId="0" applyFont="1" applyFill="1"/>
    <xf numFmtId="9" fontId="5" fillId="0" borderId="0" xfId="0" applyNumberFormat="1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3" fontId="5" fillId="0" borderId="0" xfId="0" applyNumberFormat="1" applyFont="1"/>
    <xf numFmtId="0" fontId="8" fillId="0" borderId="0" xfId="1" applyFill="1" applyBorder="1"/>
    <xf numFmtId="1" fontId="7" fillId="0" borderId="0" xfId="0" applyNumberFormat="1" applyFont="1"/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2" borderId="1" xfId="0" applyFill="1" applyBorder="1"/>
    <xf numFmtId="0" fontId="0" fillId="2" borderId="2" xfId="0" applyFill="1" applyBorder="1"/>
    <xf numFmtId="10" fontId="0" fillId="0" borderId="4" xfId="0" applyNumberFormat="1" applyBorder="1"/>
    <xf numFmtId="167" fontId="0" fillId="0" borderId="4" xfId="0" applyNumberFormat="1" applyBorder="1"/>
    <xf numFmtId="167" fontId="0" fillId="0" borderId="6" xfId="0" applyNumberFormat="1" applyBorder="1"/>
    <xf numFmtId="9" fontId="0" fillId="0" borderId="4" xfId="0" applyNumberFormat="1" applyBorder="1"/>
    <xf numFmtId="0" fontId="14" fillId="3" borderId="0" xfId="0" applyFont="1" applyFill="1"/>
    <xf numFmtId="164" fontId="5" fillId="3" borderId="0" xfId="0" applyNumberFormat="1" applyFont="1" applyFill="1"/>
    <xf numFmtId="9" fontId="0" fillId="0" borderId="6" xfId="0" applyNumberFormat="1" applyBorder="1"/>
    <xf numFmtId="167" fontId="0" fillId="0" borderId="2" xfId="0" applyNumberFormat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dx.doi.org/10.12944/CRNFSJ.11.2.06" TargetMode="External"/><Relationship Id="rId1" Type="http://schemas.openxmlformats.org/officeDocument/2006/relationships/hyperlink" Target="https://dx.doi.org/10.12944/CRNFSJ.11.2.06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jordbruksverket.se/download/18.28f4d91b172cdd65219e9d30/1592810968452/Sveriges_utrikeshandel_med%20jordbruksvaror_och_livsmedel_2016-2018_webb%20(003).pdf" TargetMode="External"/><Relationship Id="rId1" Type="http://schemas.openxmlformats.org/officeDocument/2006/relationships/hyperlink" Target="https://www2.jordbruksverket.se/download/18.bd0539d17ee49dae393071f/1644574503673/ra21_9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637"/>
  <sheetViews>
    <sheetView tabSelected="1" zoomScale="70" zoomScaleNormal="70" zoomScaleSheetLayoutView="80" workbookViewId="0">
      <pane ySplit="1" topLeftCell="A307" activePane="bottomLeft" state="frozen"/>
      <selection pane="bottomLeft" activeCell="P337" sqref="P337"/>
    </sheetView>
  </sheetViews>
  <sheetFormatPr defaultRowHeight="15" x14ac:dyDescent="0.25"/>
  <cols>
    <col min="1" max="1" width="41.42578125" customWidth="1"/>
    <col min="2" max="3" width="19" customWidth="1"/>
    <col min="4" max="7" width="15.42578125" customWidth="1"/>
    <col min="8" max="8" width="19.42578125" customWidth="1"/>
    <col min="9" max="11" width="14.28515625" customWidth="1"/>
    <col min="12" max="12" width="21.42578125" bestFit="1" customWidth="1"/>
    <col min="13" max="13" width="9.140625" customWidth="1"/>
    <col min="14" max="14" width="12.140625" bestFit="1" customWidth="1"/>
    <col min="15" max="15" width="50" customWidth="1"/>
    <col min="16" max="16" width="71.28515625" customWidth="1"/>
  </cols>
  <sheetData>
    <row r="1" spans="1:16" x14ac:dyDescent="0.25">
      <c r="A1" s="1" t="s">
        <v>35</v>
      </c>
      <c r="B1" s="1" t="s">
        <v>24</v>
      </c>
      <c r="C1" s="1" t="s">
        <v>397</v>
      </c>
      <c r="D1" s="1" t="s">
        <v>26</v>
      </c>
      <c r="E1" s="1" t="s">
        <v>330</v>
      </c>
      <c r="F1" s="1" t="s">
        <v>55</v>
      </c>
      <c r="G1" s="1" t="s">
        <v>34</v>
      </c>
      <c r="H1" s="1" t="s">
        <v>27</v>
      </c>
      <c r="I1" s="1" t="s">
        <v>46</v>
      </c>
      <c r="J1" s="1" t="s">
        <v>41</v>
      </c>
      <c r="K1" s="1" t="s">
        <v>48</v>
      </c>
      <c r="L1" s="1" t="s">
        <v>0</v>
      </c>
      <c r="M1" s="1" t="s">
        <v>1</v>
      </c>
      <c r="N1" s="1" t="s">
        <v>4</v>
      </c>
      <c r="O1" s="1" t="s">
        <v>2</v>
      </c>
      <c r="P1" s="1" t="s">
        <v>3</v>
      </c>
    </row>
    <row r="2" spans="1:16" x14ac:dyDescent="0.25">
      <c r="A2" s="2" t="s">
        <v>16</v>
      </c>
      <c r="B2" s="2"/>
      <c r="C2" s="2"/>
      <c r="D2" s="2"/>
      <c r="E2" s="2"/>
      <c r="F2" s="2"/>
      <c r="G2" s="2"/>
      <c r="H2" s="2"/>
      <c r="I2" s="2"/>
      <c r="J2" s="2"/>
      <c r="K2" s="2"/>
      <c r="L2" s="3"/>
      <c r="M2" s="3"/>
      <c r="N2" s="3"/>
      <c r="O2" s="3"/>
      <c r="P2" s="3"/>
    </row>
    <row r="3" spans="1:16" x14ac:dyDescent="0.25">
      <c r="L3" t="s">
        <v>5</v>
      </c>
      <c r="M3" s="20">
        <v>10.157655</v>
      </c>
      <c r="N3" t="s">
        <v>6</v>
      </c>
      <c r="O3" t="s">
        <v>447</v>
      </c>
      <c r="P3" t="s">
        <v>7</v>
      </c>
    </row>
    <row r="4" spans="1:16" x14ac:dyDescent="0.25">
      <c r="L4" t="s">
        <v>321</v>
      </c>
      <c r="M4" s="20" t="s">
        <v>325</v>
      </c>
      <c r="N4" t="s">
        <v>322</v>
      </c>
      <c r="O4" t="s">
        <v>323</v>
      </c>
      <c r="P4" t="s">
        <v>324</v>
      </c>
    </row>
    <row r="6" spans="1:16" x14ac:dyDescent="0.25">
      <c r="A6" s="2" t="s">
        <v>8</v>
      </c>
      <c r="B6" s="2"/>
      <c r="C6" s="2"/>
      <c r="D6" s="2"/>
      <c r="E6" s="2"/>
      <c r="F6" s="2"/>
      <c r="G6" s="2"/>
      <c r="H6" s="2"/>
      <c r="I6" s="2"/>
      <c r="J6" s="2"/>
      <c r="K6" s="2"/>
      <c r="L6" s="3"/>
      <c r="M6" s="28"/>
      <c r="N6" s="3"/>
      <c r="O6" s="3"/>
      <c r="P6" s="3"/>
    </row>
    <row r="7" spans="1:16" x14ac:dyDescent="0.25">
      <c r="A7" s="4" t="s">
        <v>9</v>
      </c>
      <c r="B7" s="4"/>
      <c r="C7" s="4"/>
      <c r="D7" s="4"/>
      <c r="E7" s="4"/>
      <c r="F7" s="4"/>
      <c r="G7" s="4"/>
      <c r="H7" s="4"/>
      <c r="I7" s="4"/>
      <c r="J7" s="4"/>
      <c r="K7" s="4"/>
      <c r="L7" s="5"/>
      <c r="M7" s="5"/>
      <c r="N7" s="5"/>
      <c r="O7" s="5"/>
      <c r="P7" s="5"/>
    </row>
    <row r="8" spans="1:16" x14ac:dyDescent="0.25">
      <c r="A8" t="s">
        <v>153</v>
      </c>
      <c r="B8" t="s">
        <v>25</v>
      </c>
      <c r="L8" t="s">
        <v>17</v>
      </c>
      <c r="M8" s="12">
        <f>93.1*0.72</f>
        <v>67.031999999999996</v>
      </c>
      <c r="N8" t="s">
        <v>18</v>
      </c>
      <c r="O8" s="11" t="s">
        <v>286</v>
      </c>
      <c r="P8" t="s">
        <v>285</v>
      </c>
    </row>
    <row r="9" spans="1:16" x14ac:dyDescent="0.25">
      <c r="A9" t="s">
        <v>158</v>
      </c>
      <c r="B9" t="s">
        <v>25</v>
      </c>
      <c r="L9" t="s">
        <v>17</v>
      </c>
      <c r="M9" s="19">
        <f>93.1*0.28</f>
        <v>26.068000000000001</v>
      </c>
      <c r="N9" t="s">
        <v>18</v>
      </c>
    </row>
    <row r="10" spans="1:16" x14ac:dyDescent="0.25">
      <c r="A10" t="s">
        <v>281</v>
      </c>
      <c r="B10" t="s">
        <v>25</v>
      </c>
      <c r="L10" t="s">
        <v>17</v>
      </c>
      <c r="M10" s="12">
        <f>14.1*0.9</f>
        <v>12.69</v>
      </c>
      <c r="N10" t="s">
        <v>18</v>
      </c>
      <c r="O10" s="11" t="s">
        <v>283</v>
      </c>
      <c r="P10" t="s">
        <v>284</v>
      </c>
    </row>
    <row r="11" spans="1:16" x14ac:dyDescent="0.25">
      <c r="A11" t="s">
        <v>282</v>
      </c>
      <c r="B11" t="s">
        <v>25</v>
      </c>
      <c r="L11" t="s">
        <v>17</v>
      </c>
      <c r="M11" s="12">
        <f>14.1*0.1</f>
        <v>1.4100000000000001</v>
      </c>
      <c r="N11" t="s">
        <v>18</v>
      </c>
      <c r="O11" s="6"/>
    </row>
    <row r="12" spans="1:16" x14ac:dyDescent="0.25">
      <c r="A12" t="s">
        <v>154</v>
      </c>
      <c r="B12" t="s">
        <v>25</v>
      </c>
      <c r="L12" t="s">
        <v>17</v>
      </c>
      <c r="M12" s="12">
        <f>3.5*0.72</f>
        <v>2.52</v>
      </c>
      <c r="N12" t="s">
        <v>18</v>
      </c>
      <c r="O12" s="6" t="s">
        <v>287</v>
      </c>
    </row>
    <row r="13" spans="1:16" x14ac:dyDescent="0.25">
      <c r="A13" t="s">
        <v>159</v>
      </c>
      <c r="B13" t="s">
        <v>25</v>
      </c>
      <c r="L13" t="s">
        <v>17</v>
      </c>
      <c r="M13" s="12">
        <f>3.5*0.28</f>
        <v>0.98000000000000009</v>
      </c>
      <c r="N13" t="s">
        <v>18</v>
      </c>
      <c r="O13" s="6"/>
    </row>
    <row r="14" spans="1:16" x14ac:dyDescent="0.25">
      <c r="A14" t="s">
        <v>84</v>
      </c>
      <c r="B14" t="s">
        <v>25</v>
      </c>
      <c r="L14" t="s">
        <v>17</v>
      </c>
      <c r="M14">
        <v>3.8</v>
      </c>
      <c r="N14" t="s">
        <v>18</v>
      </c>
    </row>
    <row r="15" spans="1:16" x14ac:dyDescent="0.25">
      <c r="A15" t="s">
        <v>155</v>
      </c>
      <c r="B15" t="s">
        <v>25</v>
      </c>
      <c r="L15" t="s">
        <v>17</v>
      </c>
      <c r="M15" s="12">
        <f>12.8*0.72</f>
        <v>9.2159999999999993</v>
      </c>
      <c r="N15" t="s">
        <v>18</v>
      </c>
      <c r="O15" s="6" t="s">
        <v>287</v>
      </c>
    </row>
    <row r="16" spans="1:16" x14ac:dyDescent="0.25">
      <c r="A16" t="s">
        <v>160</v>
      </c>
      <c r="B16" t="s">
        <v>25</v>
      </c>
      <c r="L16" t="s">
        <v>17</v>
      </c>
      <c r="M16" s="12">
        <f>12.8*0.28</f>
        <v>3.5840000000000005</v>
      </c>
      <c r="N16" t="s">
        <v>18</v>
      </c>
      <c r="O16" s="6"/>
    </row>
    <row r="17" spans="1:16" x14ac:dyDescent="0.25">
      <c r="A17" t="s">
        <v>156</v>
      </c>
      <c r="B17" t="s">
        <v>25</v>
      </c>
      <c r="L17" t="s">
        <v>17</v>
      </c>
      <c r="M17" s="12">
        <f>5.2*0.72</f>
        <v>3.7439999999999998</v>
      </c>
      <c r="N17" t="s">
        <v>18</v>
      </c>
      <c r="O17" s="6" t="s">
        <v>287</v>
      </c>
    </row>
    <row r="18" spans="1:16" x14ac:dyDescent="0.25">
      <c r="A18" t="s">
        <v>161</v>
      </c>
      <c r="B18" t="s">
        <v>25</v>
      </c>
      <c r="L18" t="s">
        <v>17</v>
      </c>
      <c r="M18" s="12">
        <f>5.2*0.28</f>
        <v>1.4560000000000002</v>
      </c>
      <c r="N18" t="s">
        <v>18</v>
      </c>
      <c r="O18" s="6"/>
    </row>
    <row r="19" spans="1:16" x14ac:dyDescent="0.25">
      <c r="A19" s="6" t="s">
        <v>157</v>
      </c>
      <c r="B19" t="s">
        <v>25</v>
      </c>
      <c r="L19" t="s">
        <v>17</v>
      </c>
      <c r="M19" s="8">
        <f>0.5*0.72</f>
        <v>0.36</v>
      </c>
      <c r="N19" t="s">
        <v>18</v>
      </c>
      <c r="O19" s="6" t="s">
        <v>288</v>
      </c>
    </row>
    <row r="20" spans="1:16" x14ac:dyDescent="0.25">
      <c r="A20" s="6" t="s">
        <v>162</v>
      </c>
      <c r="B20" t="s">
        <v>25</v>
      </c>
      <c r="L20" t="s">
        <v>17</v>
      </c>
      <c r="M20" s="8">
        <f>0.5*0.28</f>
        <v>0.14000000000000001</v>
      </c>
      <c r="N20" t="s">
        <v>18</v>
      </c>
      <c r="O20" s="6"/>
    </row>
    <row r="21" spans="1:16" s="7" customFormat="1" x14ac:dyDescent="0.25">
      <c r="A21" s="11" t="s">
        <v>364</v>
      </c>
      <c r="B21" s="11" t="s">
        <v>25</v>
      </c>
      <c r="C21" s="11"/>
      <c r="D21" s="11"/>
      <c r="E21" s="11"/>
      <c r="F21" s="11"/>
      <c r="G21" s="11"/>
      <c r="H21" s="11"/>
      <c r="I21" s="11"/>
      <c r="J21" s="11"/>
      <c r="K21" s="11"/>
      <c r="L21" s="11" t="s">
        <v>17</v>
      </c>
      <c r="M21" s="19">
        <v>0.1</v>
      </c>
      <c r="N21" s="11" t="s">
        <v>18</v>
      </c>
      <c r="O21" s="11"/>
    </row>
    <row r="22" spans="1:16" x14ac:dyDescent="0.25">
      <c r="A22" s="4" t="s">
        <v>10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5"/>
      <c r="M22" s="5"/>
      <c r="N22" s="5"/>
      <c r="O22" s="5"/>
      <c r="P22" s="5"/>
    </row>
    <row r="23" spans="1:16" x14ac:dyDescent="0.25">
      <c r="A23" s="11" t="s">
        <v>94</v>
      </c>
      <c r="B23" t="s">
        <v>98</v>
      </c>
      <c r="L23" t="s">
        <v>17</v>
      </c>
      <c r="M23">
        <v>108.1</v>
      </c>
      <c r="N23" t="s">
        <v>18</v>
      </c>
    </row>
    <row r="24" spans="1:16" x14ac:dyDescent="0.25">
      <c r="A24" s="11" t="s">
        <v>95</v>
      </c>
      <c r="B24" t="s">
        <v>98</v>
      </c>
      <c r="L24" t="s">
        <v>17</v>
      </c>
      <c r="M24">
        <v>24.1</v>
      </c>
      <c r="N24" t="s">
        <v>18</v>
      </c>
    </row>
    <row r="25" spans="1:16" x14ac:dyDescent="0.25">
      <c r="A25" s="11" t="s">
        <v>183</v>
      </c>
      <c r="B25" t="s">
        <v>98</v>
      </c>
      <c r="L25" t="s">
        <v>17</v>
      </c>
      <c r="M25">
        <v>0.9</v>
      </c>
      <c r="N25" t="s">
        <v>18</v>
      </c>
      <c r="O25" t="s">
        <v>97</v>
      </c>
    </row>
    <row r="26" spans="1:16" x14ac:dyDescent="0.25">
      <c r="A26" s="11" t="s">
        <v>96</v>
      </c>
      <c r="B26" t="s">
        <v>98</v>
      </c>
      <c r="L26" t="s">
        <v>17</v>
      </c>
      <c r="M26">
        <v>0.3</v>
      </c>
      <c r="N26" t="s">
        <v>18</v>
      </c>
    </row>
    <row r="27" spans="1:16" s="7" customFormat="1" x14ac:dyDescent="0.25">
      <c r="A27" s="11" t="s">
        <v>459</v>
      </c>
      <c r="B27" s="11" t="s">
        <v>98</v>
      </c>
      <c r="C27" s="11"/>
      <c r="D27" s="11"/>
      <c r="E27" s="11"/>
      <c r="F27" s="11"/>
      <c r="G27" s="11"/>
      <c r="H27" s="11"/>
      <c r="I27" s="11"/>
      <c r="J27" s="11"/>
      <c r="K27" s="11"/>
      <c r="L27" s="11" t="s">
        <v>17</v>
      </c>
      <c r="M27" s="11">
        <v>0.3</v>
      </c>
      <c r="N27" s="11" t="s">
        <v>18</v>
      </c>
    </row>
    <row r="28" spans="1:16" x14ac:dyDescent="0.25">
      <c r="A28" s="4" t="s">
        <v>11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5"/>
      <c r="M28" s="5"/>
      <c r="N28" s="5"/>
      <c r="O28" s="5"/>
      <c r="P28" s="5"/>
    </row>
    <row r="29" spans="1:16" x14ac:dyDescent="0.25">
      <c r="A29" s="11" t="s">
        <v>122</v>
      </c>
      <c r="B29" t="s">
        <v>103</v>
      </c>
      <c r="L29" t="s">
        <v>17</v>
      </c>
      <c r="M29">
        <v>25</v>
      </c>
      <c r="N29" t="s">
        <v>18</v>
      </c>
    </row>
    <row r="30" spans="1:16" x14ac:dyDescent="0.25">
      <c r="A30" s="11" t="s">
        <v>329</v>
      </c>
      <c r="B30" s="11" t="s">
        <v>103</v>
      </c>
      <c r="C30" s="11"/>
      <c r="D30" s="11"/>
      <c r="E30" s="11"/>
      <c r="F30" s="11"/>
      <c r="G30" s="11"/>
      <c r="H30" s="11"/>
      <c r="I30" s="11"/>
      <c r="J30" s="11"/>
      <c r="K30" s="11"/>
      <c r="L30" s="11" t="s">
        <v>17</v>
      </c>
      <c r="M30" s="11">
        <v>3.6</v>
      </c>
      <c r="N30" s="11" t="s">
        <v>18</v>
      </c>
    </row>
    <row r="31" spans="1:16" x14ac:dyDescent="0.25">
      <c r="A31" s="11" t="s">
        <v>128</v>
      </c>
      <c r="B31" t="s">
        <v>103</v>
      </c>
      <c r="L31" t="s">
        <v>17</v>
      </c>
      <c r="M31">
        <v>19.3</v>
      </c>
      <c r="N31" t="s">
        <v>18</v>
      </c>
    </row>
    <row r="32" spans="1:16" x14ac:dyDescent="0.25">
      <c r="A32" s="11" t="s">
        <v>124</v>
      </c>
      <c r="B32" t="s">
        <v>103</v>
      </c>
      <c r="L32" t="s">
        <v>17</v>
      </c>
      <c r="M32">
        <v>14.6</v>
      </c>
      <c r="N32" t="s">
        <v>18</v>
      </c>
    </row>
    <row r="33" spans="1:16" x14ac:dyDescent="0.25">
      <c r="A33" s="11" t="s">
        <v>125</v>
      </c>
      <c r="B33" t="s">
        <v>103</v>
      </c>
      <c r="L33" t="s">
        <v>17</v>
      </c>
      <c r="M33">
        <v>11.3</v>
      </c>
      <c r="N33" t="s">
        <v>18</v>
      </c>
    </row>
    <row r="34" spans="1:16" x14ac:dyDescent="0.25">
      <c r="A34" s="11" t="s">
        <v>126</v>
      </c>
      <c r="B34" t="s">
        <v>103</v>
      </c>
      <c r="L34" t="s">
        <v>17</v>
      </c>
      <c r="M34">
        <v>3.8</v>
      </c>
      <c r="N34" t="s">
        <v>18</v>
      </c>
    </row>
    <row r="35" spans="1:16" x14ac:dyDescent="0.25">
      <c r="A35" s="11" t="s">
        <v>127</v>
      </c>
      <c r="B35" t="s">
        <v>103</v>
      </c>
      <c r="L35" t="s">
        <v>17</v>
      </c>
      <c r="M35">
        <v>3.5</v>
      </c>
      <c r="N35" t="s">
        <v>18</v>
      </c>
    </row>
    <row r="36" spans="1:16" x14ac:dyDescent="0.25">
      <c r="A36" s="11" t="s">
        <v>102</v>
      </c>
      <c r="B36" t="s">
        <v>103</v>
      </c>
      <c r="L36" t="s">
        <v>17</v>
      </c>
      <c r="M36">
        <v>37</v>
      </c>
      <c r="N36" t="s">
        <v>18</v>
      </c>
    </row>
    <row r="37" spans="1:16" x14ac:dyDescent="0.25">
      <c r="A37" s="11" t="s">
        <v>105</v>
      </c>
      <c r="B37" t="s">
        <v>103</v>
      </c>
      <c r="L37" t="s">
        <v>17</v>
      </c>
      <c r="M37">
        <v>14.3</v>
      </c>
      <c r="N37" t="s">
        <v>18</v>
      </c>
    </row>
    <row r="38" spans="1:16" x14ac:dyDescent="0.25">
      <c r="A38" s="11" t="s">
        <v>222</v>
      </c>
      <c r="B38" t="s">
        <v>103</v>
      </c>
      <c r="L38" t="s">
        <v>17</v>
      </c>
      <c r="M38">
        <v>2.8</v>
      </c>
      <c r="N38" t="s">
        <v>18</v>
      </c>
    </row>
    <row r="39" spans="1:16" x14ac:dyDescent="0.25">
      <c r="A39" s="11" t="s">
        <v>135</v>
      </c>
      <c r="B39" t="s">
        <v>103</v>
      </c>
      <c r="L39" t="s">
        <v>17</v>
      </c>
      <c r="M39" s="11">
        <f>0.3+0+0.1+0.6+6.6+0.4+3.4</f>
        <v>11.4</v>
      </c>
      <c r="N39" t="s">
        <v>18</v>
      </c>
      <c r="O39" t="s">
        <v>223</v>
      </c>
    </row>
    <row r="40" spans="1:16" x14ac:dyDescent="0.25">
      <c r="A40" s="4" t="s">
        <v>225</v>
      </c>
      <c r="B40" s="4"/>
      <c r="C40" s="4"/>
      <c r="D40" s="4"/>
      <c r="E40" s="4"/>
      <c r="F40" s="4"/>
      <c r="G40" s="4"/>
      <c r="H40" s="4"/>
      <c r="I40" s="4"/>
      <c r="J40" s="4"/>
      <c r="K40" s="4"/>
      <c r="L40" s="5"/>
      <c r="M40" s="5"/>
      <c r="N40" s="5"/>
      <c r="O40" s="5"/>
      <c r="P40" s="5"/>
    </row>
    <row r="41" spans="1:16" x14ac:dyDescent="0.25">
      <c r="A41" s="11" t="s">
        <v>214</v>
      </c>
      <c r="B41" t="s">
        <v>217</v>
      </c>
      <c r="L41" t="s">
        <v>17</v>
      </c>
      <c r="M41" s="11">
        <v>12.9</v>
      </c>
      <c r="N41" t="s">
        <v>18</v>
      </c>
    </row>
    <row r="42" spans="1:16" x14ac:dyDescent="0.25">
      <c r="A42" s="11" t="s">
        <v>215</v>
      </c>
      <c r="B42" t="s">
        <v>217</v>
      </c>
      <c r="L42" t="s">
        <v>17</v>
      </c>
      <c r="M42" s="11">
        <v>2.1</v>
      </c>
      <c r="N42" t="s">
        <v>18</v>
      </c>
    </row>
    <row r="43" spans="1:16" x14ac:dyDescent="0.25">
      <c r="A43" s="11" t="s">
        <v>216</v>
      </c>
      <c r="B43" t="s">
        <v>217</v>
      </c>
      <c r="L43" t="s">
        <v>17</v>
      </c>
      <c r="M43" s="11">
        <v>1.8</v>
      </c>
      <c r="N43" t="s">
        <v>18</v>
      </c>
    </row>
    <row r="44" spans="1:16" x14ac:dyDescent="0.25">
      <c r="A44" s="11" t="s">
        <v>218</v>
      </c>
      <c r="B44" t="s">
        <v>217</v>
      </c>
      <c r="L44" t="s">
        <v>17</v>
      </c>
      <c r="M44" s="11">
        <v>5</v>
      </c>
      <c r="N44" t="s">
        <v>18</v>
      </c>
    </row>
    <row r="45" spans="1:16" x14ac:dyDescent="0.25">
      <c r="A45" s="11" t="s">
        <v>226</v>
      </c>
      <c r="B45" t="s">
        <v>217</v>
      </c>
      <c r="L45" t="s">
        <v>17</v>
      </c>
      <c r="M45" s="19">
        <f>0.8+0.3/0.35+0.3</f>
        <v>1.9571428571428573</v>
      </c>
      <c r="N45" t="s">
        <v>18</v>
      </c>
      <c r="O45" t="s">
        <v>230</v>
      </c>
    </row>
    <row r="46" spans="1:16" x14ac:dyDescent="0.25">
      <c r="A46" s="11" t="s">
        <v>227</v>
      </c>
      <c r="B46" t="s">
        <v>217</v>
      </c>
      <c r="L46" t="s">
        <v>17</v>
      </c>
      <c r="M46" s="11">
        <v>4.9000000000000004</v>
      </c>
      <c r="N46" t="s">
        <v>18</v>
      </c>
    </row>
    <row r="47" spans="1:16" x14ac:dyDescent="0.25">
      <c r="A47" s="11" t="s">
        <v>233</v>
      </c>
      <c r="B47" t="s">
        <v>217</v>
      </c>
      <c r="L47" t="s">
        <v>17</v>
      </c>
      <c r="M47" s="6">
        <v>0.2</v>
      </c>
      <c r="N47" t="s">
        <v>18</v>
      </c>
      <c r="O47" s="6" t="s">
        <v>236</v>
      </c>
    </row>
    <row r="48" spans="1:16" x14ac:dyDescent="0.25">
      <c r="A48" s="11" t="s">
        <v>228</v>
      </c>
      <c r="B48" t="s">
        <v>217</v>
      </c>
      <c r="L48" t="s">
        <v>17</v>
      </c>
      <c r="M48" s="19">
        <f>0.5</f>
        <v>0.5</v>
      </c>
      <c r="N48" t="s">
        <v>18</v>
      </c>
      <c r="O48" t="s">
        <v>229</v>
      </c>
    </row>
    <row r="49" spans="1:16" s="7" customFormat="1" x14ac:dyDescent="0.25">
      <c r="A49" s="11" t="s">
        <v>460</v>
      </c>
      <c r="B49" s="11" t="s">
        <v>217</v>
      </c>
      <c r="C49" s="11"/>
      <c r="D49" s="11"/>
      <c r="E49" s="11"/>
      <c r="F49" s="11"/>
      <c r="G49" s="11"/>
      <c r="H49" s="11"/>
      <c r="I49" s="11"/>
      <c r="J49" s="11"/>
      <c r="K49" s="11"/>
      <c r="L49" s="11" t="s">
        <v>17</v>
      </c>
      <c r="M49" s="19">
        <v>101.1</v>
      </c>
      <c r="N49" s="11" t="s">
        <v>18</v>
      </c>
      <c r="O49" s="11" t="s">
        <v>461</v>
      </c>
    </row>
    <row r="50" spans="1:16" x14ac:dyDescent="0.25">
      <c r="A50" s="4" t="s">
        <v>13</v>
      </c>
      <c r="B50" s="4"/>
      <c r="C50" s="4"/>
      <c r="D50" s="4"/>
      <c r="E50" s="4"/>
      <c r="F50" s="4"/>
      <c r="G50" s="4"/>
      <c r="H50" s="4"/>
      <c r="I50" s="4"/>
      <c r="J50" s="4"/>
      <c r="K50" s="4"/>
      <c r="L50" s="5"/>
      <c r="M50" s="5"/>
      <c r="N50" s="5"/>
      <c r="O50" s="5"/>
      <c r="P50" s="5"/>
    </row>
    <row r="51" spans="1:16" x14ac:dyDescent="0.25">
      <c r="A51" s="11" t="s">
        <v>61</v>
      </c>
      <c r="B51" t="s">
        <v>78</v>
      </c>
      <c r="L51" t="s">
        <v>17</v>
      </c>
      <c r="M51" s="11">
        <f>29.5+8.5</f>
        <v>38</v>
      </c>
      <c r="N51" t="s">
        <v>18</v>
      </c>
      <c r="O51" s="11" t="s">
        <v>503</v>
      </c>
    </row>
    <row r="52" spans="1:16" x14ac:dyDescent="0.25">
      <c r="A52" s="11" t="s">
        <v>60</v>
      </c>
      <c r="B52" t="s">
        <v>78</v>
      </c>
      <c r="L52" t="s">
        <v>17</v>
      </c>
      <c r="M52" s="11">
        <f>80.7+14.4+0.3*5</f>
        <v>96.600000000000009</v>
      </c>
      <c r="N52" t="s">
        <v>18</v>
      </c>
      <c r="O52" s="11" t="s">
        <v>503</v>
      </c>
    </row>
    <row r="53" spans="1:16" x14ac:dyDescent="0.25">
      <c r="A53" s="11" t="s">
        <v>62</v>
      </c>
      <c r="B53" t="s">
        <v>78</v>
      </c>
      <c r="L53" t="s">
        <v>17</v>
      </c>
      <c r="M53" s="11">
        <f>45.6+44.1+1.3*5+1.8*10</f>
        <v>114.2</v>
      </c>
      <c r="N53" t="s">
        <v>18</v>
      </c>
      <c r="O53" s="11" t="s">
        <v>503</v>
      </c>
    </row>
    <row r="54" spans="1:16" x14ac:dyDescent="0.25">
      <c r="A54" s="11" t="s">
        <v>63</v>
      </c>
      <c r="B54" t="s">
        <v>78</v>
      </c>
      <c r="L54" t="s">
        <v>17</v>
      </c>
      <c r="M54">
        <v>46.8</v>
      </c>
      <c r="N54" t="s">
        <v>18</v>
      </c>
    </row>
    <row r="55" spans="1:16" x14ac:dyDescent="0.25">
      <c r="A55" s="11" t="s">
        <v>67</v>
      </c>
      <c r="B55" t="s">
        <v>78</v>
      </c>
      <c r="L55" t="s">
        <v>17</v>
      </c>
      <c r="M55">
        <v>8.1</v>
      </c>
      <c r="N55" t="s">
        <v>18</v>
      </c>
    </row>
    <row r="56" spans="1:16" x14ac:dyDescent="0.25">
      <c r="A56" s="11" t="s">
        <v>68</v>
      </c>
      <c r="B56" t="s">
        <v>78</v>
      </c>
      <c r="L56" t="s">
        <v>17</v>
      </c>
      <c r="M56">
        <v>1</v>
      </c>
      <c r="N56" t="s">
        <v>18</v>
      </c>
    </row>
    <row r="57" spans="1:16" x14ac:dyDescent="0.25">
      <c r="A57" s="11" t="s">
        <v>65</v>
      </c>
      <c r="B57" t="s">
        <v>78</v>
      </c>
      <c r="L57" t="s">
        <v>17</v>
      </c>
      <c r="M57">
        <v>6.6</v>
      </c>
      <c r="N57" t="s">
        <v>18</v>
      </c>
    </row>
    <row r="58" spans="1:16" x14ac:dyDescent="0.25">
      <c r="A58" s="11" t="s">
        <v>66</v>
      </c>
      <c r="B58" t="s">
        <v>78</v>
      </c>
      <c r="L58" t="s">
        <v>17</v>
      </c>
      <c r="M58">
        <v>8.3000000000000007</v>
      </c>
      <c r="N58" t="s">
        <v>18</v>
      </c>
    </row>
    <row r="59" spans="1:16" x14ac:dyDescent="0.25">
      <c r="A59" s="11" t="s">
        <v>64</v>
      </c>
      <c r="B59" t="s">
        <v>78</v>
      </c>
      <c r="L59" t="s">
        <v>17</v>
      </c>
      <c r="M59">
        <v>15.3</v>
      </c>
      <c r="N59" t="s">
        <v>18</v>
      </c>
    </row>
    <row r="60" spans="1:16" x14ac:dyDescent="0.25">
      <c r="A60" s="11" t="s">
        <v>331</v>
      </c>
      <c r="B60" s="11" t="s">
        <v>78</v>
      </c>
      <c r="C60" s="11"/>
      <c r="D60" s="11"/>
      <c r="E60" s="11"/>
      <c r="F60" s="11"/>
      <c r="G60" s="11"/>
      <c r="H60" s="11"/>
      <c r="I60" s="11"/>
      <c r="J60" s="11"/>
      <c r="K60" s="11"/>
      <c r="L60" s="11" t="s">
        <v>17</v>
      </c>
      <c r="M60" s="12">
        <v>0</v>
      </c>
      <c r="N60" s="11" t="s">
        <v>18</v>
      </c>
    </row>
    <row r="61" spans="1:16" x14ac:dyDescent="0.25">
      <c r="A61" s="4" t="s">
        <v>22</v>
      </c>
      <c r="B61" s="4"/>
      <c r="C61" s="4"/>
      <c r="D61" s="4"/>
      <c r="E61" s="4"/>
      <c r="F61" s="4"/>
      <c r="G61" s="4"/>
      <c r="H61" s="4"/>
      <c r="I61" s="4"/>
      <c r="J61" s="4"/>
      <c r="K61" s="4"/>
      <c r="L61" s="5"/>
      <c r="M61" s="5"/>
      <c r="N61" s="5"/>
      <c r="O61" s="5"/>
      <c r="P61" s="5"/>
    </row>
    <row r="62" spans="1:16" x14ac:dyDescent="0.25">
      <c r="A62" t="s">
        <v>53</v>
      </c>
      <c r="B62" t="s">
        <v>54</v>
      </c>
      <c r="L62" t="s">
        <v>17</v>
      </c>
      <c r="M62" s="12">
        <f>31.8*1000/365.25 * 0.78 * (1-M216/100) * (1-M215/100) * (1-M214/100)</f>
        <v>57.44178569199179</v>
      </c>
      <c r="N62" t="s">
        <v>18</v>
      </c>
      <c r="O62" t="s">
        <v>455</v>
      </c>
      <c r="P62" t="s">
        <v>448</v>
      </c>
    </row>
    <row r="63" spans="1:16" x14ac:dyDescent="0.25">
      <c r="A63" t="s">
        <v>90</v>
      </c>
      <c r="B63" t="s">
        <v>54</v>
      </c>
      <c r="L63" t="s">
        <v>17</v>
      </c>
      <c r="M63" s="12">
        <f>24.5*1000/365.25 * 0.7 * (1-M216/100) * (1-M215/100) * (1-M214/100)</f>
        <v>39.716441889117036</v>
      </c>
      <c r="N63" t="s">
        <v>18</v>
      </c>
      <c r="O63" t="s">
        <v>455</v>
      </c>
      <c r="P63" t="s">
        <v>450</v>
      </c>
    </row>
    <row r="64" spans="1:16" x14ac:dyDescent="0.25">
      <c r="A64" t="s">
        <v>305</v>
      </c>
      <c r="B64" t="s">
        <v>54</v>
      </c>
      <c r="L64" t="s">
        <v>17</v>
      </c>
      <c r="M64" s="19">
        <f>1.8*1000/365.25 * 0.88 * (1-M216/100) * (1-M215/100) * (1-M214/100)</f>
        <v>3.6682707843942506</v>
      </c>
      <c r="N64" t="s">
        <v>18</v>
      </c>
      <c r="O64" t="s">
        <v>455</v>
      </c>
      <c r="P64" t="s">
        <v>451</v>
      </c>
    </row>
    <row r="65" spans="1:16" x14ac:dyDescent="0.25">
      <c r="A65" t="s">
        <v>239</v>
      </c>
      <c r="B65" t="s">
        <v>54</v>
      </c>
      <c r="L65" t="s">
        <v>17</v>
      </c>
      <c r="M65" s="12">
        <f>22.7*1000/365.25 * 0.88 * (1-M216/100) * (1-M215/100) * (1-M214/100)</f>
        <v>46.260970447638599</v>
      </c>
      <c r="N65" t="s">
        <v>18</v>
      </c>
      <c r="O65" t="s">
        <v>455</v>
      </c>
      <c r="P65" t="s">
        <v>449</v>
      </c>
    </row>
    <row r="66" spans="1:16" x14ac:dyDescent="0.25">
      <c r="A66" t="s">
        <v>404</v>
      </c>
      <c r="B66" t="s">
        <v>406</v>
      </c>
      <c r="L66" t="s">
        <v>17</v>
      </c>
      <c r="M66">
        <v>1.5</v>
      </c>
      <c r="N66" t="s">
        <v>18</v>
      </c>
      <c r="O66" t="s">
        <v>407</v>
      </c>
    </row>
    <row r="67" spans="1:16" x14ac:dyDescent="0.25">
      <c r="A67" t="s">
        <v>405</v>
      </c>
      <c r="B67" t="s">
        <v>406</v>
      </c>
      <c r="L67" t="s">
        <v>17</v>
      </c>
      <c r="M67">
        <v>0.12</v>
      </c>
      <c r="N67" t="s">
        <v>18</v>
      </c>
    </row>
    <row r="68" spans="1:16" x14ac:dyDescent="0.25">
      <c r="A68" s="4" t="s">
        <v>14</v>
      </c>
      <c r="B68" s="4"/>
      <c r="C68" s="4"/>
      <c r="D68" s="4"/>
      <c r="E68" s="4"/>
      <c r="F68" s="4"/>
      <c r="G68" s="4"/>
      <c r="H68" s="4"/>
      <c r="I68" s="4"/>
      <c r="J68" s="4"/>
      <c r="K68" s="4"/>
      <c r="L68" s="5"/>
      <c r="M68" s="5"/>
      <c r="N68" s="5"/>
      <c r="O68" s="5"/>
      <c r="P68" s="5"/>
    </row>
    <row r="69" spans="1:16" x14ac:dyDescent="0.25">
      <c r="A69" t="s">
        <v>14</v>
      </c>
      <c r="B69" t="s">
        <v>289</v>
      </c>
      <c r="L69" t="s">
        <v>17</v>
      </c>
      <c r="M69" s="6">
        <f>29.3+1.6</f>
        <v>30.900000000000002</v>
      </c>
      <c r="N69" t="s">
        <v>18</v>
      </c>
      <c r="O69" s="6" t="s">
        <v>292</v>
      </c>
    </row>
    <row r="70" spans="1:16" x14ac:dyDescent="0.25">
      <c r="A70" s="11" t="s">
        <v>332</v>
      </c>
      <c r="B70" s="11" t="s">
        <v>289</v>
      </c>
      <c r="C70" s="11"/>
      <c r="D70" s="11"/>
      <c r="E70" s="11"/>
      <c r="F70" s="11"/>
      <c r="G70" s="11"/>
      <c r="H70" s="11"/>
      <c r="I70" s="11"/>
      <c r="J70" s="11"/>
      <c r="K70" s="11"/>
      <c r="L70" s="11" t="s">
        <v>17</v>
      </c>
      <c r="M70" s="11">
        <v>0</v>
      </c>
      <c r="N70" s="11" t="s">
        <v>18</v>
      </c>
      <c r="O70" s="11" t="s">
        <v>333</v>
      </c>
    </row>
    <row r="71" spans="1:16" x14ac:dyDescent="0.25">
      <c r="A71" s="4" t="s">
        <v>15</v>
      </c>
      <c r="B71" s="4"/>
      <c r="C71" s="4"/>
      <c r="D71" s="4"/>
      <c r="E71" s="4"/>
      <c r="F71" s="4"/>
      <c r="G71" s="4"/>
      <c r="H71" s="4"/>
      <c r="I71" s="4"/>
      <c r="J71" s="4"/>
      <c r="K71" s="4"/>
      <c r="L71" s="5"/>
      <c r="M71" s="5"/>
      <c r="N71" s="5"/>
      <c r="O71" s="5"/>
      <c r="P71" s="5"/>
    </row>
    <row r="72" spans="1:16" x14ac:dyDescent="0.25">
      <c r="A72" s="16" t="s">
        <v>462</v>
      </c>
      <c r="B72" t="s">
        <v>463</v>
      </c>
      <c r="C72" s="1"/>
      <c r="D72" s="1"/>
      <c r="E72" s="1"/>
      <c r="F72" s="1"/>
      <c r="G72" s="1"/>
      <c r="H72" s="1"/>
      <c r="I72" s="1"/>
      <c r="J72" s="1"/>
      <c r="K72" s="1"/>
      <c r="L72" t="s">
        <v>17</v>
      </c>
      <c r="M72" s="11">
        <v>9.1999999999999993</v>
      </c>
      <c r="N72" t="s">
        <v>18</v>
      </c>
    </row>
    <row r="73" spans="1:16" x14ac:dyDescent="0.25">
      <c r="A73" s="16" t="s">
        <v>464</v>
      </c>
      <c r="B73" t="s">
        <v>463</v>
      </c>
      <c r="C73" s="1"/>
      <c r="D73" s="1"/>
      <c r="E73" s="1"/>
      <c r="F73" s="1"/>
      <c r="G73" s="1"/>
      <c r="H73" s="1"/>
      <c r="I73" s="1"/>
      <c r="J73" s="1"/>
      <c r="K73" s="1"/>
      <c r="L73" t="s">
        <v>17</v>
      </c>
      <c r="M73" s="11">
        <v>0</v>
      </c>
      <c r="N73" t="s">
        <v>18</v>
      </c>
    </row>
    <row r="74" spans="1:16" x14ac:dyDescent="0.25">
      <c r="A74" s="16" t="s">
        <v>465</v>
      </c>
      <c r="B74" t="s">
        <v>463</v>
      </c>
      <c r="C74" s="1"/>
      <c r="D74" s="1"/>
      <c r="E74" s="1"/>
      <c r="F74" s="1"/>
      <c r="G74" s="1"/>
      <c r="H74" s="1"/>
      <c r="I74" s="1"/>
      <c r="J74" s="1"/>
      <c r="K74" s="1"/>
      <c r="L74" t="s">
        <v>17</v>
      </c>
      <c r="M74" s="11">
        <v>0</v>
      </c>
      <c r="N74" t="s">
        <v>18</v>
      </c>
    </row>
    <row r="75" spans="1:16" x14ac:dyDescent="0.25">
      <c r="A75" s="16" t="s">
        <v>466</v>
      </c>
      <c r="B75" t="s">
        <v>463</v>
      </c>
      <c r="C75" s="1"/>
      <c r="D75" s="1"/>
      <c r="E75" s="1"/>
      <c r="F75" s="1"/>
      <c r="G75" s="1"/>
      <c r="H75" s="1"/>
      <c r="I75" s="1"/>
      <c r="J75" s="1"/>
      <c r="K75" s="1"/>
      <c r="L75" t="s">
        <v>17</v>
      </c>
      <c r="M75" s="11">
        <v>6.5</v>
      </c>
      <c r="N75" t="s">
        <v>18</v>
      </c>
    </row>
    <row r="76" spans="1:16" x14ac:dyDescent="0.25">
      <c r="A76" s="16" t="s">
        <v>467</v>
      </c>
      <c r="B76" t="s">
        <v>463</v>
      </c>
      <c r="C76" s="1"/>
      <c r="D76" s="1"/>
      <c r="E76" s="1"/>
      <c r="F76" s="1"/>
      <c r="G76" s="1"/>
      <c r="H76" s="1"/>
      <c r="I76" s="1"/>
      <c r="J76" s="1"/>
      <c r="K76" s="1"/>
      <c r="L76" t="s">
        <v>17</v>
      </c>
      <c r="M76" s="11">
        <v>4.5</v>
      </c>
      <c r="N76" t="s">
        <v>18</v>
      </c>
    </row>
    <row r="77" spans="1:16" x14ac:dyDescent="0.25">
      <c r="A77" s="16" t="s">
        <v>468</v>
      </c>
      <c r="B77" t="s">
        <v>463</v>
      </c>
      <c r="C77" s="1"/>
      <c r="D77" s="1"/>
      <c r="E77" s="1"/>
      <c r="F77" s="1"/>
      <c r="G77" s="1"/>
      <c r="H77" s="1"/>
      <c r="I77" s="1"/>
      <c r="J77" s="1"/>
      <c r="K77" s="1"/>
      <c r="L77" t="s">
        <v>17</v>
      </c>
      <c r="M77" s="11">
        <v>1.7</v>
      </c>
      <c r="N77" t="s">
        <v>18</v>
      </c>
    </row>
    <row r="78" spans="1:16" x14ac:dyDescent="0.25">
      <c r="A78" s="16" t="s">
        <v>469</v>
      </c>
      <c r="B78" t="s">
        <v>463</v>
      </c>
      <c r="C78" s="1"/>
      <c r="D78" s="1"/>
      <c r="E78" s="1"/>
      <c r="F78" s="1"/>
      <c r="G78" s="1"/>
      <c r="H78" s="1"/>
      <c r="I78" s="1"/>
      <c r="J78" s="1"/>
      <c r="K78" s="1"/>
      <c r="L78" t="s">
        <v>17</v>
      </c>
      <c r="M78" s="11">
        <v>0.2</v>
      </c>
      <c r="N78" t="s">
        <v>18</v>
      </c>
    </row>
    <row r="79" spans="1:16" x14ac:dyDescent="0.25">
      <c r="A79" s="16" t="s">
        <v>470</v>
      </c>
      <c r="B79" t="s">
        <v>463</v>
      </c>
      <c r="C79" s="1"/>
      <c r="D79" s="1"/>
      <c r="E79" s="1"/>
      <c r="F79" s="1"/>
      <c r="G79" s="1"/>
      <c r="H79" s="1"/>
      <c r="I79" s="1"/>
      <c r="J79" s="1"/>
      <c r="K79" s="1"/>
      <c r="L79" t="s">
        <v>17</v>
      </c>
      <c r="M79" s="11">
        <v>9</v>
      </c>
      <c r="N79" t="s">
        <v>18</v>
      </c>
    </row>
    <row r="80" spans="1:16" x14ac:dyDescent="0.25">
      <c r="A80" s="16" t="s">
        <v>471</v>
      </c>
      <c r="B80" t="s">
        <v>463</v>
      </c>
      <c r="C80" s="1"/>
      <c r="D80" s="1"/>
      <c r="E80" s="1"/>
      <c r="F80" s="1"/>
      <c r="G80" s="1"/>
      <c r="H80" s="1"/>
      <c r="I80" s="1"/>
      <c r="J80" s="1"/>
      <c r="K80" s="1"/>
      <c r="L80" t="s">
        <v>17</v>
      </c>
      <c r="M80" s="11">
        <v>2.4</v>
      </c>
      <c r="N80" t="s">
        <v>18</v>
      </c>
    </row>
    <row r="81" spans="1:16" x14ac:dyDescent="0.25">
      <c r="A81" s="16" t="s">
        <v>472</v>
      </c>
      <c r="B81" t="s">
        <v>463</v>
      </c>
      <c r="C81" s="1"/>
      <c r="D81" s="1"/>
      <c r="E81" s="1"/>
      <c r="F81" s="1"/>
      <c r="G81" s="1"/>
      <c r="H81" s="1"/>
      <c r="I81" s="1"/>
      <c r="J81" s="1"/>
      <c r="K81" s="1"/>
      <c r="L81" t="s">
        <v>17</v>
      </c>
      <c r="M81" s="11">
        <v>5.5</v>
      </c>
      <c r="N81" t="s">
        <v>18</v>
      </c>
    </row>
    <row r="82" spans="1:16" x14ac:dyDescent="0.25">
      <c r="A82" s="16" t="s">
        <v>473</v>
      </c>
      <c r="B82" t="s">
        <v>463</v>
      </c>
      <c r="C82" s="1"/>
      <c r="D82" s="1"/>
      <c r="E82" s="1"/>
      <c r="F82" s="1"/>
      <c r="G82" s="1"/>
      <c r="H82" s="1"/>
      <c r="I82" s="1"/>
      <c r="J82" s="1"/>
      <c r="K82" s="1"/>
      <c r="L82" t="s">
        <v>17</v>
      </c>
      <c r="M82" s="11">
        <v>0.7</v>
      </c>
      <c r="N82" t="s">
        <v>18</v>
      </c>
    </row>
    <row r="83" spans="1:16" x14ac:dyDescent="0.25">
      <c r="A83" s="16" t="s">
        <v>474</v>
      </c>
      <c r="B83" t="s">
        <v>463</v>
      </c>
      <c r="C83" s="1"/>
      <c r="D83" s="1"/>
      <c r="E83" s="1"/>
      <c r="F83" s="1"/>
      <c r="G83" s="1"/>
      <c r="H83" s="1"/>
      <c r="I83" s="1"/>
      <c r="J83" s="1"/>
      <c r="K83" s="1"/>
      <c r="L83" t="s">
        <v>17</v>
      </c>
      <c r="M83" s="11">
        <v>0.7</v>
      </c>
      <c r="N83" t="s">
        <v>18</v>
      </c>
    </row>
    <row r="84" spans="1:16" x14ac:dyDescent="0.25">
      <c r="A84" s="16" t="s">
        <v>475</v>
      </c>
      <c r="B84" t="s">
        <v>463</v>
      </c>
      <c r="C84" s="1"/>
      <c r="D84" s="1"/>
      <c r="E84" s="1"/>
      <c r="F84" s="1"/>
      <c r="G84" s="1"/>
      <c r="H84" s="1"/>
      <c r="I84" s="1"/>
      <c r="J84" s="1"/>
      <c r="K84" s="1"/>
      <c r="L84" t="s">
        <v>17</v>
      </c>
      <c r="M84" s="11">
        <v>0.7</v>
      </c>
      <c r="N84" t="s">
        <v>18</v>
      </c>
    </row>
    <row r="85" spans="1:16" x14ac:dyDescent="0.25">
      <c r="A85" s="4" t="s">
        <v>19</v>
      </c>
      <c r="B85" s="4"/>
      <c r="C85" s="4"/>
      <c r="D85" s="4"/>
      <c r="E85" s="4"/>
      <c r="F85" s="4"/>
      <c r="G85" s="4"/>
      <c r="H85" s="4"/>
      <c r="I85" s="4"/>
      <c r="J85" s="4"/>
      <c r="K85" s="4"/>
      <c r="L85" s="5"/>
      <c r="M85" s="5"/>
      <c r="N85" s="5"/>
      <c r="O85" s="5"/>
      <c r="P85" s="5"/>
    </row>
    <row r="86" spans="1:16" x14ac:dyDescent="0.25">
      <c r="A86" t="s">
        <v>176</v>
      </c>
      <c r="B86" t="s">
        <v>181</v>
      </c>
      <c r="L86" t="s">
        <v>17</v>
      </c>
      <c r="M86">
        <v>4.5</v>
      </c>
      <c r="N86" t="s">
        <v>18</v>
      </c>
    </row>
    <row r="87" spans="1:16" x14ac:dyDescent="0.25">
      <c r="A87" s="16" t="s">
        <v>177</v>
      </c>
      <c r="B87" t="s">
        <v>181</v>
      </c>
      <c r="L87" t="s">
        <v>17</v>
      </c>
      <c r="M87" s="6">
        <v>0</v>
      </c>
      <c r="N87" t="s">
        <v>18</v>
      </c>
    </row>
    <row r="88" spans="1:16" x14ac:dyDescent="0.25">
      <c r="A88" s="16" t="s">
        <v>178</v>
      </c>
      <c r="B88" t="s">
        <v>181</v>
      </c>
      <c r="L88" t="s">
        <v>17</v>
      </c>
      <c r="M88">
        <v>0.7</v>
      </c>
      <c r="N88" t="s">
        <v>18</v>
      </c>
    </row>
    <row r="89" spans="1:16" x14ac:dyDescent="0.25">
      <c r="A89" s="16" t="s">
        <v>179</v>
      </c>
      <c r="B89" t="s">
        <v>181</v>
      </c>
      <c r="L89" t="s">
        <v>17</v>
      </c>
      <c r="M89">
        <v>0.3</v>
      </c>
      <c r="N89" t="s">
        <v>18</v>
      </c>
    </row>
    <row r="90" spans="1:16" x14ac:dyDescent="0.25">
      <c r="A90" s="11" t="s">
        <v>334</v>
      </c>
      <c r="B90" s="11" t="s">
        <v>181</v>
      </c>
      <c r="C90" s="11"/>
      <c r="D90" s="11"/>
      <c r="E90" s="11"/>
      <c r="F90" s="11"/>
      <c r="G90" s="11"/>
      <c r="H90" s="11"/>
      <c r="I90" s="11"/>
      <c r="J90" s="11"/>
      <c r="K90" s="11"/>
      <c r="L90" s="11" t="s">
        <v>17</v>
      </c>
      <c r="M90" s="11">
        <v>0</v>
      </c>
      <c r="N90" s="11" t="s">
        <v>18</v>
      </c>
      <c r="O90" s="7"/>
    </row>
    <row r="91" spans="1:16" x14ac:dyDescent="0.25">
      <c r="A91" s="11" t="s">
        <v>335</v>
      </c>
      <c r="B91" s="11" t="s">
        <v>181</v>
      </c>
      <c r="C91" s="11"/>
      <c r="D91" s="11"/>
      <c r="E91" s="11"/>
      <c r="F91" s="11"/>
      <c r="G91" s="11"/>
      <c r="H91" s="11"/>
      <c r="I91" s="11"/>
      <c r="J91" s="11"/>
      <c r="K91" s="11"/>
      <c r="L91" s="11" t="s">
        <v>17</v>
      </c>
      <c r="M91" s="11">
        <v>0</v>
      </c>
      <c r="N91" s="11" t="s">
        <v>18</v>
      </c>
      <c r="O91" s="7"/>
    </row>
    <row r="92" spans="1:16" x14ac:dyDescent="0.25">
      <c r="A92" s="16" t="s">
        <v>180</v>
      </c>
      <c r="B92" t="s">
        <v>181</v>
      </c>
      <c r="L92" t="s">
        <v>17</v>
      </c>
      <c r="M92">
        <v>0.6</v>
      </c>
      <c r="N92" t="s">
        <v>18</v>
      </c>
    </row>
    <row r="93" spans="1:16" x14ac:dyDescent="0.25">
      <c r="A93" s="4" t="s">
        <v>20</v>
      </c>
      <c r="B93" s="4"/>
      <c r="C93" s="4"/>
      <c r="D93" s="4"/>
      <c r="E93" s="4"/>
      <c r="F93" s="4"/>
      <c r="G93" s="4"/>
      <c r="H93" s="4"/>
      <c r="I93" s="4"/>
      <c r="J93" s="4"/>
      <c r="K93" s="4"/>
      <c r="L93" s="5"/>
      <c r="M93" s="5"/>
      <c r="N93" s="5"/>
      <c r="O93" s="5"/>
      <c r="P93" s="5"/>
    </row>
    <row r="94" spans="1:16" x14ac:dyDescent="0.25">
      <c r="A94" s="11" t="s">
        <v>336</v>
      </c>
      <c r="B94" s="11" t="s">
        <v>337</v>
      </c>
      <c r="C94" s="11"/>
      <c r="D94" s="38"/>
      <c r="E94" s="38"/>
      <c r="F94" s="38"/>
      <c r="G94" s="38"/>
      <c r="H94" s="38"/>
      <c r="I94" s="38"/>
      <c r="J94" s="38"/>
      <c r="K94" s="38"/>
      <c r="L94" s="11" t="s">
        <v>17</v>
      </c>
      <c r="M94" s="11">
        <v>0.2</v>
      </c>
      <c r="N94" s="11" t="s">
        <v>18</v>
      </c>
      <c r="O94" s="11"/>
      <c r="P94" s="11"/>
    </row>
    <row r="95" spans="1:16" x14ac:dyDescent="0.25">
      <c r="A95" s="11" t="s">
        <v>338</v>
      </c>
      <c r="B95" s="11" t="s">
        <v>337</v>
      </c>
      <c r="C95" s="11"/>
      <c r="D95" s="38"/>
      <c r="E95" s="38"/>
      <c r="F95" s="38"/>
      <c r="G95" s="38"/>
      <c r="H95" s="38"/>
      <c r="I95" s="38"/>
      <c r="J95" s="38"/>
      <c r="K95" s="38"/>
      <c r="L95" s="11" t="s">
        <v>17</v>
      </c>
      <c r="M95" s="11">
        <v>0.1</v>
      </c>
      <c r="N95" s="11" t="s">
        <v>18</v>
      </c>
      <c r="O95" s="11"/>
      <c r="P95" s="11"/>
    </row>
    <row r="96" spans="1:16" s="7" customFormat="1" x14ac:dyDescent="0.25">
      <c r="A96" s="11" t="s">
        <v>476</v>
      </c>
      <c r="B96" s="11" t="s">
        <v>337</v>
      </c>
      <c r="C96" s="11"/>
      <c r="D96" s="38"/>
      <c r="E96" s="38"/>
      <c r="F96" s="38"/>
      <c r="G96" s="38"/>
      <c r="H96" s="38"/>
      <c r="I96" s="38"/>
      <c r="J96" s="38"/>
      <c r="K96" s="38"/>
      <c r="L96" s="11" t="s">
        <v>17</v>
      </c>
      <c r="M96" s="11">
        <v>4.4000000000000004</v>
      </c>
      <c r="N96" s="11" t="s">
        <v>18</v>
      </c>
      <c r="O96" s="11" t="s">
        <v>477</v>
      </c>
    </row>
    <row r="97" spans="1:16" x14ac:dyDescent="0.25">
      <c r="A97" s="35" t="s">
        <v>478</v>
      </c>
      <c r="B97" s="36"/>
      <c r="C97" s="36"/>
      <c r="D97" s="35"/>
      <c r="E97" s="35"/>
      <c r="F97" s="35"/>
      <c r="G97" s="35"/>
      <c r="H97" s="35"/>
      <c r="I97" s="35"/>
      <c r="J97" s="35"/>
      <c r="K97" s="35"/>
      <c r="L97" s="36"/>
      <c r="M97" s="36"/>
      <c r="N97" s="36"/>
      <c r="O97" s="36"/>
      <c r="P97" s="36"/>
    </row>
    <row r="98" spans="1:16" x14ac:dyDescent="0.25">
      <c r="A98" s="11" t="s">
        <v>340</v>
      </c>
      <c r="B98" s="11" t="s">
        <v>341</v>
      </c>
      <c r="C98" s="11"/>
      <c r="D98" s="38"/>
      <c r="E98" s="38"/>
      <c r="F98" s="38"/>
      <c r="G98" s="38"/>
      <c r="H98" s="38"/>
      <c r="I98" s="38"/>
      <c r="J98" s="38"/>
      <c r="K98" s="38"/>
      <c r="L98" s="11" t="s">
        <v>17</v>
      </c>
      <c r="M98" s="11">
        <v>0</v>
      </c>
      <c r="N98" s="11" t="s">
        <v>18</v>
      </c>
      <c r="O98" s="11"/>
      <c r="P98" s="11"/>
    </row>
    <row r="99" spans="1:16" s="11" customFormat="1" x14ac:dyDescent="0.25">
      <c r="A99" s="11" t="s">
        <v>479</v>
      </c>
      <c r="B99" s="11" t="s">
        <v>341</v>
      </c>
      <c r="D99" s="38"/>
      <c r="E99" s="38"/>
      <c r="F99" s="38"/>
      <c r="G99" s="38"/>
      <c r="H99" s="38"/>
      <c r="I99" s="38"/>
      <c r="J99" s="38"/>
      <c r="K99" s="38"/>
      <c r="L99" s="11" t="s">
        <v>17</v>
      </c>
      <c r="M99" s="11">
        <v>2.7</v>
      </c>
      <c r="N99" s="11" t="s">
        <v>18</v>
      </c>
    </row>
    <row r="100" spans="1:16" s="11" customFormat="1" x14ac:dyDescent="0.25">
      <c r="A100" s="11" t="s">
        <v>480</v>
      </c>
      <c r="B100" s="11" t="s">
        <v>341</v>
      </c>
      <c r="D100" s="38"/>
      <c r="E100" s="38"/>
      <c r="F100" s="38"/>
      <c r="G100" s="38"/>
      <c r="H100" s="38"/>
      <c r="I100" s="38"/>
      <c r="J100" s="38"/>
      <c r="K100" s="38"/>
      <c r="L100" s="11" t="s">
        <v>17</v>
      </c>
      <c r="M100" s="11">
        <v>1</v>
      </c>
      <c r="N100" s="11" t="s">
        <v>18</v>
      </c>
    </row>
    <row r="101" spans="1:16" s="11" customFormat="1" x14ac:dyDescent="0.25">
      <c r="A101" s="11" t="s">
        <v>481</v>
      </c>
      <c r="B101" s="11" t="s">
        <v>341</v>
      </c>
      <c r="D101" s="38"/>
      <c r="E101" s="38"/>
      <c r="F101" s="38"/>
      <c r="G101" s="38"/>
      <c r="H101" s="38"/>
      <c r="I101" s="38"/>
      <c r="J101" s="38"/>
      <c r="K101" s="38"/>
      <c r="L101" s="11" t="s">
        <v>17</v>
      </c>
      <c r="M101" s="11">
        <f>M138*0.34+M144*1</f>
        <v>0</v>
      </c>
      <c r="N101" s="11" t="s">
        <v>18</v>
      </c>
      <c r="O101" s="11" t="s">
        <v>482</v>
      </c>
    </row>
    <row r="102" spans="1:16" s="11" customFormat="1" x14ac:dyDescent="0.25">
      <c r="A102" s="11" t="s">
        <v>483</v>
      </c>
      <c r="B102" s="11" t="s">
        <v>341</v>
      </c>
      <c r="D102" s="38"/>
      <c r="E102" s="38"/>
      <c r="F102" s="38"/>
      <c r="G102" s="38"/>
      <c r="H102" s="38"/>
      <c r="I102" s="38"/>
      <c r="J102" s="38"/>
      <c r="K102" s="38"/>
      <c r="L102" s="11" t="s">
        <v>17</v>
      </c>
      <c r="M102" s="11">
        <v>2.6</v>
      </c>
      <c r="N102" s="11" t="s">
        <v>18</v>
      </c>
    </row>
    <row r="103" spans="1:16" s="11" customFormat="1" x14ac:dyDescent="0.25">
      <c r="A103" s="11" t="s">
        <v>484</v>
      </c>
      <c r="B103" s="11" t="s">
        <v>341</v>
      </c>
      <c r="D103" s="38"/>
      <c r="E103" s="38"/>
      <c r="F103" s="38"/>
      <c r="G103" s="38"/>
      <c r="H103" s="38"/>
      <c r="I103" s="38"/>
      <c r="J103" s="38"/>
      <c r="K103" s="38"/>
      <c r="L103" s="11" t="s">
        <v>17</v>
      </c>
      <c r="M103" s="11">
        <v>0.5</v>
      </c>
      <c r="N103" s="11" t="s">
        <v>18</v>
      </c>
    </row>
    <row r="104" spans="1:16" x14ac:dyDescent="0.25">
      <c r="A104" s="4" t="s">
        <v>21</v>
      </c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5"/>
      <c r="M104" s="5"/>
      <c r="N104" s="5"/>
      <c r="O104" s="5"/>
      <c r="P104" s="5"/>
    </row>
    <row r="105" spans="1:16" x14ac:dyDescent="0.25">
      <c r="A105" t="s">
        <v>113</v>
      </c>
      <c r="B105" t="s">
        <v>114</v>
      </c>
      <c r="L105" t="s">
        <v>17</v>
      </c>
      <c r="M105" s="8">
        <f>6+4.4/3+13*0.6</f>
        <v>15.266666666666666</v>
      </c>
      <c r="N105" t="s">
        <v>18</v>
      </c>
      <c r="O105" s="6" t="s">
        <v>182</v>
      </c>
    </row>
    <row r="106" spans="1:16" s="7" customFormat="1" x14ac:dyDescent="0.25">
      <c r="A106" s="11" t="s">
        <v>342</v>
      </c>
      <c r="B106" s="11" t="s">
        <v>114</v>
      </c>
      <c r="C106" s="11"/>
      <c r="D106" s="11"/>
      <c r="E106" s="11"/>
      <c r="F106" s="11"/>
      <c r="G106" s="11"/>
      <c r="H106" s="11"/>
      <c r="I106" s="11"/>
      <c r="J106" s="11"/>
      <c r="K106" s="11"/>
      <c r="L106" s="11" t="s">
        <v>17</v>
      </c>
      <c r="M106" s="19">
        <v>0</v>
      </c>
      <c r="N106" s="11" t="s">
        <v>18</v>
      </c>
      <c r="O106" s="11" t="s">
        <v>343</v>
      </c>
    </row>
    <row r="107" spans="1:16" x14ac:dyDescent="0.25">
      <c r="A107" t="s">
        <v>120</v>
      </c>
      <c r="B107" t="s">
        <v>114</v>
      </c>
      <c r="L107" t="s">
        <v>17</v>
      </c>
      <c r="M107" s="12">
        <f>8.2+4.4/3</f>
        <v>9.6666666666666661</v>
      </c>
      <c r="N107" t="s">
        <v>18</v>
      </c>
      <c r="O107" t="s">
        <v>119</v>
      </c>
    </row>
    <row r="108" spans="1:16" x14ac:dyDescent="0.25">
      <c r="A108" t="s">
        <v>121</v>
      </c>
      <c r="B108" t="s">
        <v>114</v>
      </c>
      <c r="L108" t="s">
        <v>17</v>
      </c>
      <c r="M108" s="12">
        <f>2.8+4.4/3</f>
        <v>4.2666666666666666</v>
      </c>
      <c r="N108" t="s">
        <v>18</v>
      </c>
      <c r="O108" t="s">
        <v>119</v>
      </c>
    </row>
    <row r="109" spans="1:16" s="11" customFormat="1" x14ac:dyDescent="0.25">
      <c r="A109" s="11" t="s">
        <v>485</v>
      </c>
      <c r="B109" s="11" t="s">
        <v>114</v>
      </c>
      <c r="L109" s="11" t="s">
        <v>17</v>
      </c>
      <c r="M109" s="19">
        <v>15.13</v>
      </c>
      <c r="N109" s="11" t="s">
        <v>18</v>
      </c>
      <c r="O109" s="11" t="s">
        <v>486</v>
      </c>
    </row>
    <row r="110" spans="1:16" x14ac:dyDescent="0.25">
      <c r="A110" s="4" t="s">
        <v>23</v>
      </c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5"/>
      <c r="M110" s="5"/>
      <c r="N110" s="5"/>
      <c r="O110" s="5"/>
      <c r="P110" s="5"/>
    </row>
    <row r="111" spans="1:16" x14ac:dyDescent="0.25">
      <c r="A111" t="s">
        <v>191</v>
      </c>
      <c r="B111" t="s">
        <v>194</v>
      </c>
      <c r="L111" t="s">
        <v>17</v>
      </c>
      <c r="M111">
        <v>79.3</v>
      </c>
      <c r="N111" t="s">
        <v>18</v>
      </c>
    </row>
    <row r="112" spans="1:16" x14ac:dyDescent="0.25">
      <c r="A112" t="s">
        <v>193</v>
      </c>
      <c r="B112" t="s">
        <v>194</v>
      </c>
      <c r="L112" t="s">
        <v>17</v>
      </c>
      <c r="M112">
        <v>10</v>
      </c>
      <c r="N112" t="s">
        <v>18</v>
      </c>
      <c r="O112" t="s">
        <v>197</v>
      </c>
    </row>
    <row r="113" spans="1:16" x14ac:dyDescent="0.25">
      <c r="A113" t="s">
        <v>192</v>
      </c>
      <c r="B113" t="s">
        <v>194</v>
      </c>
      <c r="L113" t="s">
        <v>17</v>
      </c>
      <c r="M113">
        <v>1</v>
      </c>
      <c r="N113" t="s">
        <v>18</v>
      </c>
    </row>
    <row r="114" spans="1:16" x14ac:dyDescent="0.25">
      <c r="A114" s="4" t="s">
        <v>28</v>
      </c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5"/>
      <c r="M114" s="5"/>
      <c r="N114" s="5"/>
      <c r="O114" s="5"/>
      <c r="P114" s="5"/>
    </row>
    <row r="115" spans="1:16" x14ac:dyDescent="0.25">
      <c r="A115" t="s">
        <v>201</v>
      </c>
      <c r="B115" t="s">
        <v>107</v>
      </c>
      <c r="L115" t="s">
        <v>17</v>
      </c>
      <c r="M115">
        <v>67.400000000000006</v>
      </c>
      <c r="N115" t="s">
        <v>18</v>
      </c>
    </row>
    <row r="116" spans="1:16" x14ac:dyDescent="0.25">
      <c r="A116" t="s">
        <v>204</v>
      </c>
      <c r="B116" t="s">
        <v>107</v>
      </c>
      <c r="L116" t="s">
        <v>17</v>
      </c>
      <c r="M116">
        <v>125.5</v>
      </c>
      <c r="N116" t="s">
        <v>18</v>
      </c>
    </row>
    <row r="117" spans="1:16" x14ac:dyDescent="0.25">
      <c r="A117" t="s">
        <v>202</v>
      </c>
      <c r="B117" t="s">
        <v>107</v>
      </c>
      <c r="L117" t="s">
        <v>17</v>
      </c>
      <c r="M117">
        <v>6.9</v>
      </c>
      <c r="N117" t="s">
        <v>18</v>
      </c>
      <c r="O117" t="s">
        <v>203</v>
      </c>
    </row>
    <row r="118" spans="1:16" x14ac:dyDescent="0.25">
      <c r="A118" t="s">
        <v>205</v>
      </c>
      <c r="B118" t="s">
        <v>107</v>
      </c>
      <c r="L118" t="s">
        <v>17</v>
      </c>
      <c r="M118">
        <v>7.9</v>
      </c>
      <c r="N118" t="s">
        <v>18</v>
      </c>
      <c r="O118" t="s">
        <v>206</v>
      </c>
    </row>
    <row r="119" spans="1:16" x14ac:dyDescent="0.25">
      <c r="A119" s="4" t="s">
        <v>29</v>
      </c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5"/>
      <c r="M119" s="5"/>
      <c r="N119" s="5"/>
      <c r="O119" s="5"/>
      <c r="P119" s="5"/>
    </row>
    <row r="120" spans="1:16" s="11" customFormat="1" x14ac:dyDescent="0.25">
      <c r="A120" s="11" t="s">
        <v>487</v>
      </c>
      <c r="B120" s="11" t="s">
        <v>25</v>
      </c>
      <c r="C120" s="38"/>
      <c r="D120" s="38"/>
      <c r="E120" s="38"/>
      <c r="F120" s="38"/>
      <c r="G120" s="38"/>
      <c r="H120" s="38"/>
      <c r="I120" s="38"/>
      <c r="J120" s="38"/>
      <c r="K120" s="38"/>
      <c r="L120" s="11" t="s">
        <v>488</v>
      </c>
      <c r="M120" s="11">
        <v>31.9</v>
      </c>
      <c r="N120" s="11" t="s">
        <v>18</v>
      </c>
    </row>
    <row r="121" spans="1:16" x14ac:dyDescent="0.25">
      <c r="A121" s="4" t="s">
        <v>30</v>
      </c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5"/>
      <c r="M121" s="5"/>
      <c r="N121" s="5"/>
      <c r="O121" s="5"/>
      <c r="P121" s="5"/>
    </row>
    <row r="122" spans="1:16" x14ac:dyDescent="0.25">
      <c r="A122" s="4" t="s">
        <v>31</v>
      </c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5"/>
      <c r="M122" s="5"/>
      <c r="N122" s="5"/>
      <c r="O122" s="5"/>
      <c r="P122" s="5"/>
    </row>
    <row r="123" spans="1:16" x14ac:dyDescent="0.25">
      <c r="A123" s="16" t="s">
        <v>489</v>
      </c>
      <c r="B123" t="s">
        <v>490</v>
      </c>
      <c r="C123" s="1"/>
      <c r="D123" s="1"/>
      <c r="E123" s="1"/>
      <c r="F123" s="1"/>
      <c r="G123" s="1"/>
      <c r="H123" s="1"/>
      <c r="I123" s="1"/>
      <c r="J123" s="1"/>
      <c r="K123" s="1"/>
      <c r="L123" t="s">
        <v>17</v>
      </c>
      <c r="M123" s="11">
        <v>3.9</v>
      </c>
      <c r="N123" t="s">
        <v>18</v>
      </c>
    </row>
    <row r="124" spans="1:16" x14ac:dyDescent="0.25">
      <c r="A124" s="16" t="s">
        <v>491</v>
      </c>
      <c r="B124" t="s">
        <v>490</v>
      </c>
      <c r="C124" s="1"/>
      <c r="D124" s="1"/>
      <c r="E124" s="1"/>
      <c r="F124" s="1"/>
      <c r="G124" s="1"/>
      <c r="H124" s="1"/>
      <c r="I124" s="1"/>
      <c r="J124" s="1"/>
      <c r="K124" s="1"/>
      <c r="L124" t="s">
        <v>17</v>
      </c>
      <c r="M124" s="11">
        <v>1.2</v>
      </c>
      <c r="N124" t="s">
        <v>18</v>
      </c>
    </row>
    <row r="125" spans="1:16" x14ac:dyDescent="0.25">
      <c r="A125" s="16" t="s">
        <v>492</v>
      </c>
      <c r="B125" t="s">
        <v>490</v>
      </c>
      <c r="C125" s="1"/>
      <c r="D125" s="1"/>
      <c r="E125" s="1"/>
      <c r="F125" s="1"/>
      <c r="G125" s="1"/>
      <c r="H125" s="1"/>
      <c r="I125" s="1"/>
      <c r="J125" s="1"/>
      <c r="K125" s="1"/>
      <c r="L125" t="s">
        <v>17</v>
      </c>
      <c r="M125" s="11">
        <v>0.1</v>
      </c>
      <c r="N125" t="s">
        <v>18</v>
      </c>
    </row>
    <row r="126" spans="1:16" x14ac:dyDescent="0.25">
      <c r="A126" s="16" t="s">
        <v>493</v>
      </c>
      <c r="B126" t="s">
        <v>490</v>
      </c>
      <c r="C126" s="1"/>
      <c r="D126" s="1"/>
      <c r="E126" s="1"/>
      <c r="F126" s="1"/>
      <c r="G126" s="1"/>
      <c r="H126" s="1"/>
      <c r="I126" s="1"/>
      <c r="J126" s="1"/>
      <c r="K126" s="1"/>
      <c r="L126" t="s">
        <v>17</v>
      </c>
      <c r="M126" s="11">
        <v>3.9</v>
      </c>
      <c r="N126" t="s">
        <v>18</v>
      </c>
    </row>
    <row r="127" spans="1:16" x14ac:dyDescent="0.25">
      <c r="A127" s="16" t="s">
        <v>494</v>
      </c>
      <c r="B127" t="s">
        <v>490</v>
      </c>
      <c r="C127" s="1"/>
      <c r="D127" s="1"/>
      <c r="E127" s="1"/>
      <c r="F127" s="1"/>
      <c r="G127" s="1"/>
      <c r="H127" s="1"/>
      <c r="I127" s="1"/>
      <c r="J127" s="1"/>
      <c r="K127" s="1"/>
      <c r="L127" t="s">
        <v>17</v>
      </c>
      <c r="M127" s="11">
        <v>0</v>
      </c>
      <c r="N127" t="s">
        <v>18</v>
      </c>
    </row>
    <row r="128" spans="1:16" x14ac:dyDescent="0.25">
      <c r="A128" s="4" t="s">
        <v>32</v>
      </c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5"/>
      <c r="M128" s="5"/>
      <c r="N128" s="5"/>
      <c r="O128" s="5"/>
      <c r="P128" s="5"/>
    </row>
    <row r="129" spans="1:16" x14ac:dyDescent="0.25">
      <c r="A129" s="11" t="s">
        <v>344</v>
      </c>
      <c r="B129" s="11" t="s">
        <v>345</v>
      </c>
      <c r="C129" s="11"/>
      <c r="D129" s="38"/>
      <c r="E129" s="38"/>
      <c r="F129" s="38"/>
      <c r="G129" s="38"/>
      <c r="H129" s="38"/>
      <c r="I129" s="38"/>
      <c r="J129" s="38"/>
      <c r="K129" s="38"/>
      <c r="L129" s="11" t="s">
        <v>17</v>
      </c>
      <c r="M129" s="11">
        <v>0</v>
      </c>
      <c r="N129" s="11" t="s">
        <v>18</v>
      </c>
      <c r="O129" s="11"/>
    </row>
    <row r="130" spans="1:16" x14ac:dyDescent="0.25">
      <c r="A130" s="11" t="s">
        <v>346</v>
      </c>
      <c r="B130" s="11" t="s">
        <v>345</v>
      </c>
      <c r="C130" s="11"/>
      <c r="D130" s="38"/>
      <c r="E130" s="38"/>
      <c r="F130" s="38"/>
      <c r="G130" s="38"/>
      <c r="H130" s="38"/>
      <c r="I130" s="38"/>
      <c r="J130" s="38"/>
      <c r="K130" s="38"/>
      <c r="L130" s="11" t="s">
        <v>17</v>
      </c>
      <c r="M130" s="11">
        <v>0</v>
      </c>
      <c r="N130" s="11" t="s">
        <v>18</v>
      </c>
      <c r="O130" s="11" t="s">
        <v>347</v>
      </c>
    </row>
    <row r="131" spans="1:16" x14ac:dyDescent="0.25">
      <c r="A131" s="11" t="s">
        <v>348</v>
      </c>
      <c r="B131" s="11" t="s">
        <v>345</v>
      </c>
      <c r="C131" s="11"/>
      <c r="D131" s="11"/>
      <c r="E131" s="11"/>
      <c r="F131" s="11"/>
      <c r="G131" s="11"/>
      <c r="H131" s="11"/>
      <c r="I131" s="11"/>
      <c r="J131" s="11"/>
      <c r="K131" s="11"/>
      <c r="L131" s="11" t="s">
        <v>17</v>
      </c>
      <c r="M131" s="11">
        <v>0</v>
      </c>
      <c r="N131" s="11" t="s">
        <v>18</v>
      </c>
      <c r="O131" s="11"/>
    </row>
    <row r="132" spans="1:16" x14ac:dyDescent="0.25">
      <c r="A132" s="11" t="s">
        <v>349</v>
      </c>
      <c r="B132" s="11" t="s">
        <v>350</v>
      </c>
      <c r="C132" s="11"/>
      <c r="D132" s="11"/>
      <c r="E132" s="11"/>
      <c r="F132" s="11"/>
      <c r="G132" s="11"/>
      <c r="H132" s="11"/>
      <c r="I132" s="11"/>
      <c r="J132" s="11"/>
      <c r="K132" s="11"/>
      <c r="L132" s="11" t="s">
        <v>17</v>
      </c>
      <c r="M132" s="13">
        <f>25000/0.2 / (M3*1000) / 365.25 * 1000</f>
        <v>33.691964177904516</v>
      </c>
      <c r="N132" s="11" t="s">
        <v>18</v>
      </c>
      <c r="O132" s="11" t="s">
        <v>506</v>
      </c>
      <c r="P132" t="s">
        <v>507</v>
      </c>
    </row>
    <row r="133" spans="1:16" x14ac:dyDescent="0.25">
      <c r="A133" s="11" t="s">
        <v>351</v>
      </c>
      <c r="B133" s="11" t="s">
        <v>345</v>
      </c>
      <c r="C133" s="11"/>
      <c r="D133" s="38"/>
      <c r="E133" s="38"/>
      <c r="F133" s="38"/>
      <c r="G133" s="38"/>
      <c r="H133" s="38"/>
      <c r="I133" s="38"/>
      <c r="J133" s="38"/>
      <c r="K133" s="38"/>
      <c r="L133" s="11" t="s">
        <v>17</v>
      </c>
      <c r="M133" s="11">
        <v>0</v>
      </c>
      <c r="N133" s="11" t="s">
        <v>18</v>
      </c>
      <c r="O133" s="11"/>
    </row>
    <row r="134" spans="1:16" x14ac:dyDescent="0.25">
      <c r="A134" s="11" t="s">
        <v>352</v>
      </c>
      <c r="B134" s="11" t="s">
        <v>350</v>
      </c>
      <c r="C134" s="11"/>
      <c r="D134" s="38"/>
      <c r="E134" s="38"/>
      <c r="F134" s="38"/>
      <c r="G134" s="38"/>
      <c r="H134" s="38"/>
      <c r="I134" s="38"/>
      <c r="J134" s="38"/>
      <c r="K134" s="38"/>
      <c r="L134" s="11" t="s">
        <v>17</v>
      </c>
      <c r="M134" s="11">
        <v>0</v>
      </c>
      <c r="N134" s="11" t="s">
        <v>18</v>
      </c>
      <c r="O134" s="11"/>
    </row>
    <row r="135" spans="1:16" x14ac:dyDescent="0.25">
      <c r="A135" s="11" t="s">
        <v>353</v>
      </c>
      <c r="B135" s="11" t="s">
        <v>345</v>
      </c>
      <c r="C135" s="11"/>
      <c r="D135" s="11"/>
      <c r="E135" s="11"/>
      <c r="F135" s="11"/>
      <c r="G135" s="11"/>
      <c r="H135" s="11"/>
      <c r="I135" s="11"/>
      <c r="J135" s="11"/>
      <c r="K135" s="11"/>
      <c r="L135" s="11" t="s">
        <v>17</v>
      </c>
      <c r="M135" s="11">
        <v>0</v>
      </c>
      <c r="N135" s="11" t="s">
        <v>18</v>
      </c>
      <c r="O135" s="11"/>
    </row>
    <row r="136" spans="1:16" s="11" customFormat="1" x14ac:dyDescent="0.25">
      <c r="A136" s="11" t="s">
        <v>495</v>
      </c>
      <c r="B136" s="11" t="s">
        <v>345</v>
      </c>
      <c r="L136" s="11" t="s">
        <v>17</v>
      </c>
      <c r="M136" s="11">
        <v>0</v>
      </c>
      <c r="N136" s="11" t="s">
        <v>18</v>
      </c>
    </row>
    <row r="137" spans="1:16" x14ac:dyDescent="0.25">
      <c r="A137" s="11" t="s">
        <v>354</v>
      </c>
      <c r="B137" s="11" t="s">
        <v>345</v>
      </c>
      <c r="C137" s="11"/>
      <c r="D137" s="38"/>
      <c r="E137" s="38"/>
      <c r="F137" s="38"/>
      <c r="G137" s="38"/>
      <c r="H137" s="38"/>
      <c r="I137" s="38"/>
      <c r="J137" s="38"/>
      <c r="K137" s="38"/>
      <c r="L137" s="11" t="s">
        <v>17</v>
      </c>
      <c r="M137" s="11">
        <v>0</v>
      </c>
      <c r="N137" s="11" t="s">
        <v>18</v>
      </c>
      <c r="O137" s="11"/>
    </row>
    <row r="138" spans="1:16" x14ac:dyDescent="0.25">
      <c r="A138" s="11" t="s">
        <v>355</v>
      </c>
      <c r="B138" s="11" t="s">
        <v>345</v>
      </c>
      <c r="C138" s="11"/>
      <c r="D138" s="38"/>
      <c r="E138" s="38"/>
      <c r="F138" s="38"/>
      <c r="G138" s="38"/>
      <c r="H138" s="38"/>
      <c r="I138" s="38"/>
      <c r="J138" s="38"/>
      <c r="K138" s="38"/>
      <c r="L138" s="11" t="s">
        <v>17</v>
      </c>
      <c r="M138" s="11">
        <v>0</v>
      </c>
      <c r="N138" s="11" t="s">
        <v>18</v>
      </c>
      <c r="O138" s="11"/>
    </row>
    <row r="139" spans="1:16" x14ac:dyDescent="0.25">
      <c r="A139" s="11" t="s">
        <v>356</v>
      </c>
      <c r="B139" s="11" t="s">
        <v>345</v>
      </c>
      <c r="C139" s="11"/>
      <c r="D139" s="38"/>
      <c r="E139" s="38"/>
      <c r="F139" s="38"/>
      <c r="G139" s="38"/>
      <c r="H139" s="38"/>
      <c r="I139" s="38"/>
      <c r="J139" s="38"/>
      <c r="K139" s="38"/>
      <c r="L139" s="11" t="s">
        <v>17</v>
      </c>
      <c r="M139" s="11">
        <v>0</v>
      </c>
      <c r="N139" s="11" t="s">
        <v>18</v>
      </c>
      <c r="O139" s="11"/>
    </row>
    <row r="140" spans="1:16" x14ac:dyDescent="0.25">
      <c r="A140" s="11" t="s">
        <v>357</v>
      </c>
      <c r="B140" s="11" t="s">
        <v>345</v>
      </c>
      <c r="C140" s="11"/>
      <c r="D140" s="38"/>
      <c r="E140" s="38"/>
      <c r="F140" s="38"/>
      <c r="G140" s="38"/>
      <c r="H140" s="38"/>
      <c r="I140" s="38"/>
      <c r="J140" s="38"/>
      <c r="K140" s="38"/>
      <c r="L140" s="11" t="s">
        <v>17</v>
      </c>
      <c r="M140" s="11">
        <v>0</v>
      </c>
      <c r="N140" s="11" t="s">
        <v>18</v>
      </c>
      <c r="O140" s="11"/>
    </row>
    <row r="141" spans="1:16" x14ac:dyDescent="0.25">
      <c r="A141" s="11" t="s">
        <v>358</v>
      </c>
      <c r="B141" s="11" t="s">
        <v>345</v>
      </c>
      <c r="C141" s="11"/>
      <c r="D141" s="38"/>
      <c r="E141" s="38"/>
      <c r="F141" s="38"/>
      <c r="G141" s="38"/>
      <c r="H141" s="38"/>
      <c r="I141" s="38"/>
      <c r="J141" s="38"/>
      <c r="K141" s="38"/>
      <c r="L141" s="11" t="s">
        <v>17</v>
      </c>
      <c r="M141" s="11">
        <v>0</v>
      </c>
      <c r="N141" s="11" t="s">
        <v>18</v>
      </c>
      <c r="O141" s="11"/>
    </row>
    <row r="142" spans="1:16" x14ac:dyDescent="0.25">
      <c r="A142" s="11" t="s">
        <v>359</v>
      </c>
      <c r="B142" s="11" t="s">
        <v>345</v>
      </c>
      <c r="C142" s="11"/>
      <c r="D142" s="11"/>
      <c r="E142" s="11"/>
      <c r="F142" s="11"/>
      <c r="G142" s="11"/>
      <c r="H142" s="11"/>
      <c r="I142" s="11"/>
      <c r="J142" s="11"/>
      <c r="K142" s="11"/>
      <c r="L142" s="11" t="s">
        <v>17</v>
      </c>
      <c r="M142" s="11">
        <v>0</v>
      </c>
      <c r="N142" s="11" t="s">
        <v>18</v>
      </c>
      <c r="O142" s="11"/>
    </row>
    <row r="144" spans="1:16" x14ac:dyDescent="0.25">
      <c r="A144" s="2" t="s">
        <v>172</v>
      </c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3"/>
      <c r="M144" s="3"/>
      <c r="N144" s="3"/>
      <c r="O144" s="3"/>
      <c r="P144" s="3"/>
    </row>
    <row r="145" spans="1:20" x14ac:dyDescent="0.25">
      <c r="A145" t="s">
        <v>168</v>
      </c>
      <c r="B145" t="s">
        <v>174</v>
      </c>
      <c r="J145" t="s">
        <v>44</v>
      </c>
      <c r="L145" t="s">
        <v>171</v>
      </c>
      <c r="M145" s="23">
        <f>600000*(M627/100)</f>
        <v>188217.14285714284</v>
      </c>
      <c r="N145" t="s">
        <v>164</v>
      </c>
      <c r="O145" s="11" t="s">
        <v>297</v>
      </c>
      <c r="P145" s="10"/>
    </row>
    <row r="146" spans="1:20" x14ac:dyDescent="0.25">
      <c r="A146" t="s">
        <v>169</v>
      </c>
      <c r="B146" t="s">
        <v>174</v>
      </c>
      <c r="J146" t="s">
        <v>44</v>
      </c>
      <c r="L146" t="s">
        <v>171</v>
      </c>
      <c r="M146" s="23">
        <v>10000</v>
      </c>
      <c r="N146" t="s">
        <v>164</v>
      </c>
      <c r="O146" t="s">
        <v>170</v>
      </c>
    </row>
    <row r="147" spans="1:20" x14ac:dyDescent="0.25">
      <c r="A147" s="11" t="s">
        <v>360</v>
      </c>
      <c r="B147" s="11" t="s">
        <v>174</v>
      </c>
      <c r="C147" s="11"/>
      <c r="D147" s="11"/>
      <c r="E147" s="11"/>
      <c r="F147" s="11"/>
      <c r="G147" s="11"/>
      <c r="H147" s="11"/>
      <c r="I147" s="11"/>
      <c r="J147" s="11" t="s">
        <v>44</v>
      </c>
      <c r="K147" s="11"/>
      <c r="L147" s="11" t="s">
        <v>171</v>
      </c>
      <c r="M147" s="41">
        <v>0</v>
      </c>
      <c r="N147" s="11" t="s">
        <v>164</v>
      </c>
      <c r="O147" s="11" t="s">
        <v>361</v>
      </c>
      <c r="P147" s="7"/>
    </row>
    <row r="148" spans="1:20" x14ac:dyDescent="0.25">
      <c r="M148" s="23"/>
    </row>
    <row r="149" spans="1:20" x14ac:dyDescent="0.25">
      <c r="A149" t="s">
        <v>96</v>
      </c>
      <c r="B149" t="s">
        <v>174</v>
      </c>
      <c r="J149" t="s">
        <v>44</v>
      </c>
      <c r="L149" t="s">
        <v>171</v>
      </c>
      <c r="M149" s="23">
        <v>34000</v>
      </c>
      <c r="N149" t="s">
        <v>164</v>
      </c>
      <c r="O149" t="s">
        <v>269</v>
      </c>
      <c r="P149" t="s">
        <v>265</v>
      </c>
    </row>
    <row r="150" spans="1:20" x14ac:dyDescent="0.25">
      <c r="M150" s="23"/>
    </row>
    <row r="151" spans="1:20" x14ac:dyDescent="0.25">
      <c r="A151" t="s">
        <v>243</v>
      </c>
      <c r="B151" t="s">
        <v>174</v>
      </c>
      <c r="J151" t="s">
        <v>44</v>
      </c>
      <c r="L151" t="s">
        <v>171</v>
      </c>
      <c r="M151" s="26">
        <v>355.5</v>
      </c>
      <c r="N151" t="s">
        <v>244</v>
      </c>
      <c r="O151" t="s">
        <v>245</v>
      </c>
    </row>
    <row r="152" spans="1:20" x14ac:dyDescent="0.25">
      <c r="M152" s="26"/>
    </row>
    <row r="153" spans="1:20" x14ac:dyDescent="0.25">
      <c r="A153" s="11" t="s">
        <v>327</v>
      </c>
      <c r="B153" t="s">
        <v>174</v>
      </c>
      <c r="J153" t="s">
        <v>44</v>
      </c>
      <c r="L153" t="s">
        <v>171</v>
      </c>
      <c r="M153" s="9">
        <v>1000</v>
      </c>
      <c r="N153" t="s">
        <v>328</v>
      </c>
      <c r="O153" s="11" t="s">
        <v>509</v>
      </c>
    </row>
    <row r="154" spans="1:20" x14ac:dyDescent="0.25">
      <c r="M154" s="23"/>
    </row>
    <row r="155" spans="1:20" x14ac:dyDescent="0.25">
      <c r="A155" s="2" t="s">
        <v>163</v>
      </c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3"/>
      <c r="M155" s="25"/>
      <c r="N155" s="3"/>
      <c r="O155" s="3"/>
      <c r="P155" s="3"/>
    </row>
    <row r="156" spans="1:20" x14ac:dyDescent="0.25">
      <c r="A156" t="s">
        <v>260</v>
      </c>
      <c r="B156" t="s">
        <v>25</v>
      </c>
      <c r="J156" t="s">
        <v>44</v>
      </c>
      <c r="L156" t="s">
        <v>264</v>
      </c>
      <c r="M156" s="23">
        <v>558249.80000000005</v>
      </c>
      <c r="N156" t="s">
        <v>164</v>
      </c>
      <c r="O156" t="s">
        <v>434</v>
      </c>
      <c r="P156" t="s">
        <v>508</v>
      </c>
    </row>
    <row r="157" spans="1:20" x14ac:dyDescent="0.25">
      <c r="A157" t="s">
        <v>261</v>
      </c>
      <c r="B157" t="s">
        <v>25</v>
      </c>
      <c r="J157" t="s">
        <v>44</v>
      </c>
      <c r="L157" t="s">
        <v>264</v>
      </c>
      <c r="M157" s="23">
        <f>376376+141821</f>
        <v>518197</v>
      </c>
      <c r="N157" t="s">
        <v>164</v>
      </c>
      <c r="O157" t="s">
        <v>432</v>
      </c>
      <c r="P157" t="s">
        <v>508</v>
      </c>
      <c r="T157" s="6"/>
    </row>
    <row r="158" spans="1:20" x14ac:dyDescent="0.25">
      <c r="A158" t="s">
        <v>262</v>
      </c>
      <c r="B158" t="s">
        <v>25</v>
      </c>
      <c r="J158" t="s">
        <v>44</v>
      </c>
      <c r="L158" t="s">
        <v>264</v>
      </c>
      <c r="M158" s="23">
        <v>32965.800000000003</v>
      </c>
      <c r="N158" t="s">
        <v>164</v>
      </c>
      <c r="O158" t="s">
        <v>431</v>
      </c>
      <c r="P158" t="s">
        <v>508</v>
      </c>
    </row>
    <row r="159" spans="1:20" x14ac:dyDescent="0.25">
      <c r="A159" t="s">
        <v>263</v>
      </c>
      <c r="B159" t="s">
        <v>25</v>
      </c>
      <c r="J159" t="s">
        <v>44</v>
      </c>
      <c r="L159" t="s">
        <v>264</v>
      </c>
      <c r="M159" s="23">
        <v>196581</v>
      </c>
      <c r="N159" t="s">
        <v>164</v>
      </c>
      <c r="O159" t="s">
        <v>431</v>
      </c>
      <c r="P159" t="s">
        <v>508</v>
      </c>
      <c r="T159" s="6"/>
    </row>
    <row r="160" spans="1:20" x14ac:dyDescent="0.25">
      <c r="A160" t="s">
        <v>176</v>
      </c>
      <c r="B160" t="s">
        <v>181</v>
      </c>
      <c r="J160" t="s">
        <v>44</v>
      </c>
      <c r="L160" t="s">
        <v>264</v>
      </c>
      <c r="M160" s="23">
        <v>22062.799999999999</v>
      </c>
      <c r="N160" t="s">
        <v>164</v>
      </c>
      <c r="O160" t="s">
        <v>434</v>
      </c>
      <c r="P160" t="s">
        <v>508</v>
      </c>
    </row>
    <row r="161" spans="1:16" x14ac:dyDescent="0.25">
      <c r="A161" t="s">
        <v>96</v>
      </c>
      <c r="B161" t="s">
        <v>98</v>
      </c>
      <c r="J161" t="s">
        <v>44</v>
      </c>
      <c r="L161" t="s">
        <v>264</v>
      </c>
      <c r="M161" s="23">
        <v>25000</v>
      </c>
      <c r="N161" t="s">
        <v>164</v>
      </c>
      <c r="O161" t="s">
        <v>267</v>
      </c>
      <c r="P161" t="s">
        <v>266</v>
      </c>
    </row>
    <row r="162" spans="1:16" x14ac:dyDescent="0.25">
      <c r="A162" s="11" t="s">
        <v>53</v>
      </c>
      <c r="B162" s="11" t="s">
        <v>54</v>
      </c>
      <c r="C162" s="11"/>
      <c r="D162" s="11"/>
      <c r="E162" s="11"/>
      <c r="F162" s="11"/>
      <c r="G162" s="11"/>
      <c r="H162" s="11"/>
      <c r="I162" s="11"/>
      <c r="J162" s="11" t="s">
        <v>44</v>
      </c>
      <c r="K162" s="11"/>
      <c r="L162" s="11" t="s">
        <v>264</v>
      </c>
      <c r="M162" s="41">
        <v>0</v>
      </c>
      <c r="N162" s="11" t="s">
        <v>164</v>
      </c>
      <c r="O162" s="11"/>
    </row>
    <row r="163" spans="1:16" x14ac:dyDescent="0.25">
      <c r="A163" s="11" t="s">
        <v>53</v>
      </c>
      <c r="B163" s="11" t="s">
        <v>54</v>
      </c>
      <c r="C163" s="11"/>
      <c r="D163" s="11"/>
      <c r="E163" s="11"/>
      <c r="F163" s="11"/>
      <c r="G163" s="11"/>
      <c r="H163" s="11"/>
      <c r="I163" s="11"/>
      <c r="J163" s="11" t="s">
        <v>42</v>
      </c>
      <c r="K163" s="11"/>
      <c r="L163" s="11" t="s">
        <v>264</v>
      </c>
      <c r="M163" s="41">
        <v>0</v>
      </c>
      <c r="N163" s="11" t="s">
        <v>164</v>
      </c>
      <c r="O163" s="11"/>
    </row>
    <row r="164" spans="1:16" x14ac:dyDescent="0.25">
      <c r="A164" s="11" t="s">
        <v>90</v>
      </c>
      <c r="B164" s="11" t="s">
        <v>54</v>
      </c>
      <c r="C164" s="11"/>
      <c r="D164" s="11"/>
      <c r="E164" s="11"/>
      <c r="F164" s="11"/>
      <c r="G164" s="11"/>
      <c r="H164" s="11"/>
      <c r="I164" s="11"/>
      <c r="J164" s="11" t="s">
        <v>44</v>
      </c>
      <c r="K164" s="11"/>
      <c r="L164" s="11" t="s">
        <v>264</v>
      </c>
      <c r="M164" s="41">
        <v>0</v>
      </c>
      <c r="N164" s="11" t="s">
        <v>164</v>
      </c>
      <c r="O164" s="11"/>
    </row>
    <row r="165" spans="1:16" x14ac:dyDescent="0.25">
      <c r="A165" s="11" t="s">
        <v>90</v>
      </c>
      <c r="B165" s="11" t="s">
        <v>54</v>
      </c>
      <c r="C165" s="11"/>
      <c r="D165" s="11"/>
      <c r="E165" s="11"/>
      <c r="F165" s="11"/>
      <c r="G165" s="11"/>
      <c r="H165" s="11"/>
      <c r="I165" s="11"/>
      <c r="J165" s="11" t="s">
        <v>42</v>
      </c>
      <c r="K165" s="11"/>
      <c r="L165" s="11" t="s">
        <v>264</v>
      </c>
      <c r="M165" s="41">
        <v>0</v>
      </c>
      <c r="N165" s="11" t="s">
        <v>164</v>
      </c>
      <c r="O165" s="11"/>
    </row>
    <row r="166" spans="1:16" x14ac:dyDescent="0.25">
      <c r="A166" s="11" t="s">
        <v>305</v>
      </c>
      <c r="B166" s="11" t="s">
        <v>54</v>
      </c>
      <c r="C166" s="11"/>
      <c r="D166" s="11"/>
      <c r="E166" s="11"/>
      <c r="F166" s="11"/>
      <c r="G166" s="11"/>
      <c r="H166" s="11"/>
      <c r="I166" s="11"/>
      <c r="J166" s="11" t="s">
        <v>44</v>
      </c>
      <c r="K166" s="11"/>
      <c r="L166" s="11" t="s">
        <v>264</v>
      </c>
      <c r="M166" s="41">
        <v>0</v>
      </c>
      <c r="N166" s="11" t="s">
        <v>164</v>
      </c>
      <c r="O166" s="11"/>
    </row>
    <row r="167" spans="1:16" x14ac:dyDescent="0.25">
      <c r="A167" s="11" t="s">
        <v>305</v>
      </c>
      <c r="B167" s="11" t="s">
        <v>54</v>
      </c>
      <c r="C167" s="11"/>
      <c r="D167" s="11"/>
      <c r="E167" s="11"/>
      <c r="F167" s="11"/>
      <c r="G167" s="11"/>
      <c r="H167" s="11"/>
      <c r="I167" s="11"/>
      <c r="J167" s="11" t="s">
        <v>42</v>
      </c>
      <c r="K167" s="11"/>
      <c r="L167" s="11" t="s">
        <v>264</v>
      </c>
      <c r="M167" s="41">
        <v>0</v>
      </c>
      <c r="N167" s="11" t="s">
        <v>164</v>
      </c>
      <c r="O167" s="11"/>
    </row>
    <row r="168" spans="1:16" x14ac:dyDescent="0.25">
      <c r="A168" s="11" t="s">
        <v>239</v>
      </c>
      <c r="B168" s="11" t="s">
        <v>54</v>
      </c>
      <c r="C168" s="11"/>
      <c r="D168" s="11"/>
      <c r="E168" s="11"/>
      <c r="F168" s="11"/>
      <c r="G168" s="11"/>
      <c r="H168" s="11"/>
      <c r="I168" s="11"/>
      <c r="J168" s="11" t="s">
        <v>44</v>
      </c>
      <c r="K168" s="11"/>
      <c r="L168" s="11" t="s">
        <v>264</v>
      </c>
      <c r="M168" s="41">
        <v>0</v>
      </c>
      <c r="N168" s="11" t="s">
        <v>164</v>
      </c>
      <c r="O168" s="11"/>
    </row>
    <row r="169" spans="1:16" x14ac:dyDescent="0.25">
      <c r="A169" s="11" t="s">
        <v>239</v>
      </c>
      <c r="B169" s="11" t="s">
        <v>54</v>
      </c>
      <c r="C169" s="11"/>
      <c r="D169" s="11"/>
      <c r="E169" s="11"/>
      <c r="F169" s="11"/>
      <c r="G169" s="11"/>
      <c r="H169" s="11"/>
      <c r="I169" s="11"/>
      <c r="J169" s="11" t="s">
        <v>42</v>
      </c>
      <c r="K169" s="11"/>
      <c r="L169" s="11" t="s">
        <v>264</v>
      </c>
      <c r="M169" s="41">
        <v>0</v>
      </c>
      <c r="N169" s="11" t="s">
        <v>164</v>
      </c>
      <c r="O169" s="11"/>
    </row>
    <row r="170" spans="1:16" x14ac:dyDescent="0.25">
      <c r="A170" s="11" t="s">
        <v>331</v>
      </c>
      <c r="B170" s="11" t="s">
        <v>78</v>
      </c>
      <c r="C170" s="11"/>
      <c r="D170" s="11"/>
      <c r="E170" s="11"/>
      <c r="F170" s="11"/>
      <c r="G170" s="11"/>
      <c r="H170" s="11"/>
      <c r="I170" s="11"/>
      <c r="J170" s="11" t="s">
        <v>44</v>
      </c>
      <c r="K170" s="11"/>
      <c r="L170" s="11" t="s">
        <v>264</v>
      </c>
      <c r="M170" s="41">
        <v>0</v>
      </c>
      <c r="N170" s="11" t="s">
        <v>164</v>
      </c>
      <c r="O170" s="11"/>
    </row>
    <row r="171" spans="1:16" x14ac:dyDescent="0.25">
      <c r="A171" s="11" t="s">
        <v>331</v>
      </c>
      <c r="B171" s="11" t="s">
        <v>78</v>
      </c>
      <c r="C171" s="11"/>
      <c r="D171" s="11"/>
      <c r="E171" s="11"/>
      <c r="F171" s="11"/>
      <c r="G171" s="11"/>
      <c r="H171" s="11"/>
      <c r="I171" s="11"/>
      <c r="J171" s="11" t="s">
        <v>42</v>
      </c>
      <c r="K171" s="11"/>
      <c r="L171" s="11" t="s">
        <v>264</v>
      </c>
      <c r="M171" s="41">
        <v>0</v>
      </c>
      <c r="N171" s="11" t="s">
        <v>164</v>
      </c>
      <c r="O171" s="11"/>
    </row>
    <row r="172" spans="1:16" x14ac:dyDescent="0.25">
      <c r="A172" s="11" t="s">
        <v>63</v>
      </c>
      <c r="B172" s="11" t="s">
        <v>78</v>
      </c>
      <c r="C172" s="11"/>
      <c r="D172" s="11"/>
      <c r="E172" s="11"/>
      <c r="F172" s="11"/>
      <c r="G172" s="11"/>
      <c r="H172" s="11"/>
      <c r="I172" s="11"/>
      <c r="J172" s="11" t="s">
        <v>44</v>
      </c>
      <c r="K172" s="11"/>
      <c r="L172" s="11" t="s">
        <v>264</v>
      </c>
      <c r="M172" s="41">
        <v>20000</v>
      </c>
      <c r="N172" s="11" t="s">
        <v>164</v>
      </c>
      <c r="O172" s="11" t="s">
        <v>362</v>
      </c>
    </row>
    <row r="173" spans="1:16" x14ac:dyDescent="0.25">
      <c r="A173" s="11" t="s">
        <v>63</v>
      </c>
      <c r="B173" s="11" t="s">
        <v>78</v>
      </c>
      <c r="C173" s="11"/>
      <c r="D173" s="11"/>
      <c r="E173" s="11"/>
      <c r="F173" s="11"/>
      <c r="G173" s="11"/>
      <c r="H173" s="11"/>
      <c r="I173" s="11"/>
      <c r="J173" s="11" t="s">
        <v>42</v>
      </c>
      <c r="K173" s="11"/>
      <c r="L173" s="11" t="s">
        <v>264</v>
      </c>
      <c r="M173" s="41">
        <v>0</v>
      </c>
      <c r="N173" s="11" t="s">
        <v>164</v>
      </c>
      <c r="O173" s="11"/>
    </row>
    <row r="174" spans="1:16" x14ac:dyDescent="0.25">
      <c r="A174" s="11" t="s">
        <v>344</v>
      </c>
      <c r="B174" s="11" t="s">
        <v>345</v>
      </c>
      <c r="C174" s="11"/>
      <c r="D174" s="11"/>
      <c r="E174" s="11"/>
      <c r="F174" s="11"/>
      <c r="G174" s="11"/>
      <c r="H174" s="11"/>
      <c r="I174" s="11"/>
      <c r="J174" s="11" t="s">
        <v>44</v>
      </c>
      <c r="K174" s="11"/>
      <c r="L174" s="11" t="s">
        <v>264</v>
      </c>
      <c r="M174" s="41">
        <v>0</v>
      </c>
      <c r="N174" s="11" t="s">
        <v>164</v>
      </c>
      <c r="O174" s="11"/>
    </row>
    <row r="175" spans="1:16" x14ac:dyDescent="0.25">
      <c r="A175" s="11" t="s">
        <v>351</v>
      </c>
      <c r="B175" s="11" t="s">
        <v>345</v>
      </c>
      <c r="C175" s="11"/>
      <c r="D175" s="11"/>
      <c r="E175" s="11"/>
      <c r="F175" s="11"/>
      <c r="G175" s="11"/>
      <c r="H175" s="11"/>
      <c r="I175" s="11"/>
      <c r="J175" s="11" t="s">
        <v>44</v>
      </c>
      <c r="K175" s="11"/>
      <c r="L175" s="11" t="s">
        <v>264</v>
      </c>
      <c r="M175" s="41">
        <v>0</v>
      </c>
      <c r="N175" s="11" t="s">
        <v>164</v>
      </c>
      <c r="O175" s="11"/>
    </row>
    <row r="176" spans="1:16" x14ac:dyDescent="0.25">
      <c r="A176" s="11" t="s">
        <v>351</v>
      </c>
      <c r="B176" s="11" t="s">
        <v>345</v>
      </c>
      <c r="C176" s="11"/>
      <c r="D176" s="11"/>
      <c r="E176" s="11"/>
      <c r="F176" s="11"/>
      <c r="G176" s="11"/>
      <c r="H176" s="11"/>
      <c r="I176" s="11"/>
      <c r="J176" s="11" t="s">
        <v>42</v>
      </c>
      <c r="K176" s="11"/>
      <c r="L176" s="11" t="s">
        <v>264</v>
      </c>
      <c r="M176" s="41">
        <v>0</v>
      </c>
      <c r="N176" s="11" t="s">
        <v>164</v>
      </c>
      <c r="O176" s="11"/>
    </row>
    <row r="177" spans="1:16" x14ac:dyDescent="0.25">
      <c r="A177" s="11" t="s">
        <v>352</v>
      </c>
      <c r="B177" s="11" t="s">
        <v>345</v>
      </c>
      <c r="C177" s="11"/>
      <c r="D177" s="11"/>
      <c r="E177" s="11"/>
      <c r="F177" s="11"/>
      <c r="G177" s="11"/>
      <c r="H177" s="11"/>
      <c r="I177" s="11"/>
      <c r="J177" s="11" t="s">
        <v>44</v>
      </c>
      <c r="K177" s="11"/>
      <c r="L177" s="11" t="s">
        <v>264</v>
      </c>
      <c r="M177" s="41">
        <v>0</v>
      </c>
      <c r="N177" s="11" t="s">
        <v>164</v>
      </c>
      <c r="O177" s="11"/>
    </row>
    <row r="178" spans="1:16" x14ac:dyDescent="0.25">
      <c r="A178" s="11" t="s">
        <v>352</v>
      </c>
      <c r="B178" s="11" t="s">
        <v>350</v>
      </c>
      <c r="C178" s="11"/>
      <c r="D178" s="11"/>
      <c r="E178" s="11"/>
      <c r="F178" s="11"/>
      <c r="G178" s="11"/>
      <c r="H178" s="11"/>
      <c r="I178" s="11"/>
      <c r="J178" s="11" t="s">
        <v>42</v>
      </c>
      <c r="K178" s="11"/>
      <c r="L178" s="11" t="s">
        <v>264</v>
      </c>
      <c r="M178" s="41">
        <v>0</v>
      </c>
      <c r="N178" s="11" t="s">
        <v>164</v>
      </c>
      <c r="O178" s="11"/>
    </row>
    <row r="179" spans="1:16" x14ac:dyDescent="0.25">
      <c r="A179" s="11" t="s">
        <v>356</v>
      </c>
      <c r="B179" s="11" t="s">
        <v>345</v>
      </c>
      <c r="C179" s="11"/>
      <c r="D179" s="11"/>
      <c r="E179" s="11"/>
      <c r="F179" s="11"/>
      <c r="G179" s="11"/>
      <c r="H179" s="11"/>
      <c r="I179" s="11"/>
      <c r="J179" s="11" t="s">
        <v>44</v>
      </c>
      <c r="K179" s="11"/>
      <c r="L179" s="11" t="s">
        <v>264</v>
      </c>
      <c r="M179" s="41">
        <v>0</v>
      </c>
      <c r="N179" s="11" t="s">
        <v>164</v>
      </c>
      <c r="O179" s="11"/>
    </row>
    <row r="180" spans="1:16" x14ac:dyDescent="0.25">
      <c r="A180" s="11" t="s">
        <v>356</v>
      </c>
      <c r="B180" s="11" t="s">
        <v>345</v>
      </c>
      <c r="C180" s="11"/>
      <c r="D180" s="11"/>
      <c r="E180" s="11"/>
      <c r="F180" s="11"/>
      <c r="G180" s="11"/>
      <c r="H180" s="11"/>
      <c r="I180" s="11"/>
      <c r="J180" s="11" t="s">
        <v>42</v>
      </c>
      <c r="K180" s="11"/>
      <c r="L180" s="11" t="s">
        <v>264</v>
      </c>
      <c r="M180" s="41">
        <v>0</v>
      </c>
      <c r="N180" s="11" t="s">
        <v>164</v>
      </c>
      <c r="O180" s="11"/>
    </row>
    <row r="181" spans="1:16" x14ac:dyDescent="0.25">
      <c r="A181" s="11" t="s">
        <v>354</v>
      </c>
      <c r="B181" s="11" t="s">
        <v>345</v>
      </c>
      <c r="C181" s="11"/>
      <c r="D181" s="11"/>
      <c r="E181" s="11"/>
      <c r="F181" s="11"/>
      <c r="G181" s="11"/>
      <c r="H181" s="11"/>
      <c r="I181" s="11"/>
      <c r="J181" s="11" t="s">
        <v>44</v>
      </c>
      <c r="K181" s="11"/>
      <c r="L181" s="11" t="s">
        <v>264</v>
      </c>
      <c r="M181" s="41">
        <v>0</v>
      </c>
      <c r="N181" s="11" t="s">
        <v>164</v>
      </c>
      <c r="O181" s="11"/>
    </row>
    <row r="182" spans="1:16" x14ac:dyDescent="0.25">
      <c r="A182" s="11" t="s">
        <v>354</v>
      </c>
      <c r="B182" s="11" t="s">
        <v>345</v>
      </c>
      <c r="C182" s="11"/>
      <c r="D182" s="11"/>
      <c r="E182" s="11"/>
      <c r="F182" s="11"/>
      <c r="G182" s="11"/>
      <c r="H182" s="11"/>
      <c r="I182" s="11"/>
      <c r="J182" s="11" t="s">
        <v>42</v>
      </c>
      <c r="K182" s="11"/>
      <c r="L182" s="11" t="s">
        <v>264</v>
      </c>
      <c r="M182" s="41">
        <v>0</v>
      </c>
      <c r="N182" s="11" t="s">
        <v>164</v>
      </c>
      <c r="O182" s="11"/>
    </row>
    <row r="183" spans="1:16" x14ac:dyDescent="0.25">
      <c r="A183" s="11" t="s">
        <v>355</v>
      </c>
      <c r="B183" s="11" t="s">
        <v>345</v>
      </c>
      <c r="C183" s="11"/>
      <c r="D183" s="11"/>
      <c r="E183" s="11"/>
      <c r="F183" s="11"/>
      <c r="G183" s="11"/>
      <c r="H183" s="11"/>
      <c r="I183" s="11"/>
      <c r="J183" s="11" t="s">
        <v>44</v>
      </c>
      <c r="K183" s="11"/>
      <c r="L183" s="11" t="s">
        <v>264</v>
      </c>
      <c r="M183" s="41">
        <v>0</v>
      </c>
      <c r="N183" s="11" t="s">
        <v>164</v>
      </c>
      <c r="O183" s="11"/>
    </row>
    <row r="184" spans="1:16" x14ac:dyDescent="0.25">
      <c r="A184" s="11" t="s">
        <v>355</v>
      </c>
      <c r="B184" s="11" t="s">
        <v>345</v>
      </c>
      <c r="C184" s="11"/>
      <c r="D184" s="11"/>
      <c r="E184" s="11"/>
      <c r="F184" s="11"/>
      <c r="G184" s="11"/>
      <c r="H184" s="11"/>
      <c r="I184" s="11"/>
      <c r="J184" s="11" t="s">
        <v>42</v>
      </c>
      <c r="K184" s="11"/>
      <c r="L184" s="11" t="s">
        <v>264</v>
      </c>
      <c r="M184" s="41">
        <v>0</v>
      </c>
      <c r="N184" s="11" t="s">
        <v>164</v>
      </c>
      <c r="O184" s="11"/>
    </row>
    <row r="186" spans="1:16" x14ac:dyDescent="0.25">
      <c r="A186" s="39" t="s">
        <v>395</v>
      </c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</row>
    <row r="187" spans="1:16" x14ac:dyDescent="0.25">
      <c r="A187" s="40" t="s">
        <v>399</v>
      </c>
    </row>
    <row r="188" spans="1:16" x14ac:dyDescent="0.25">
      <c r="A188" s="40" t="s">
        <v>400</v>
      </c>
    </row>
    <row r="189" spans="1:16" x14ac:dyDescent="0.25">
      <c r="A189" s="40" t="s">
        <v>402</v>
      </c>
    </row>
    <row r="190" spans="1:16" x14ac:dyDescent="0.25">
      <c r="A190" s="40" t="s">
        <v>403</v>
      </c>
    </row>
    <row r="191" spans="1:16" x14ac:dyDescent="0.25">
      <c r="A191" s="11" t="s">
        <v>396</v>
      </c>
      <c r="C191" t="s">
        <v>176</v>
      </c>
      <c r="L191" t="s">
        <v>398</v>
      </c>
      <c r="M191">
        <v>50</v>
      </c>
      <c r="N191" t="s">
        <v>37</v>
      </c>
      <c r="O191" s="6" t="s">
        <v>401</v>
      </c>
    </row>
    <row r="192" spans="1:16" x14ac:dyDescent="0.25">
      <c r="A192" s="11" t="s">
        <v>396</v>
      </c>
      <c r="C192" t="s">
        <v>113</v>
      </c>
      <c r="L192" t="s">
        <v>398</v>
      </c>
      <c r="M192">
        <v>50</v>
      </c>
      <c r="N192" t="s">
        <v>37</v>
      </c>
    </row>
    <row r="193" spans="1:16" x14ac:dyDescent="0.25">
      <c r="A193" s="11"/>
    </row>
    <row r="194" spans="1:16" x14ac:dyDescent="0.25">
      <c r="A194" s="39" t="s">
        <v>456</v>
      </c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</row>
    <row r="196" spans="1:16" x14ac:dyDescent="0.25">
      <c r="L196" t="s">
        <v>457</v>
      </c>
      <c r="M196" t="s">
        <v>458</v>
      </c>
    </row>
    <row r="198" spans="1:16" x14ac:dyDescent="0.25">
      <c r="A198" s="2" t="s">
        <v>33</v>
      </c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3"/>
      <c r="M198" s="3"/>
      <c r="N198" s="3"/>
      <c r="O198" s="3"/>
      <c r="P198" s="3"/>
    </row>
    <row r="199" spans="1:16" x14ac:dyDescent="0.25">
      <c r="B199" t="s">
        <v>25</v>
      </c>
      <c r="K199" t="s">
        <v>49</v>
      </c>
      <c r="L199" t="s">
        <v>52</v>
      </c>
      <c r="M199">
        <v>25</v>
      </c>
      <c r="N199" t="s">
        <v>37</v>
      </c>
      <c r="P199" t="s">
        <v>415</v>
      </c>
    </row>
    <row r="200" spans="1:16" x14ac:dyDescent="0.25">
      <c r="B200" t="s">
        <v>25</v>
      </c>
      <c r="K200" t="s">
        <v>50</v>
      </c>
      <c r="L200" t="s">
        <v>52</v>
      </c>
      <c r="M200">
        <v>2</v>
      </c>
      <c r="N200" t="s">
        <v>37</v>
      </c>
      <c r="P200" t="s">
        <v>415</v>
      </c>
    </row>
    <row r="201" spans="1:16" x14ac:dyDescent="0.25">
      <c r="B201" t="s">
        <v>25</v>
      </c>
      <c r="K201" t="s">
        <v>51</v>
      </c>
      <c r="L201" t="s">
        <v>52</v>
      </c>
      <c r="M201" s="11">
        <v>10.5</v>
      </c>
      <c r="N201" t="s">
        <v>37</v>
      </c>
      <c r="O201" s="6"/>
      <c r="P201" t="s">
        <v>415</v>
      </c>
    </row>
    <row r="202" spans="1:16" x14ac:dyDescent="0.25">
      <c r="B202" t="s">
        <v>98</v>
      </c>
      <c r="K202" t="s">
        <v>49</v>
      </c>
      <c r="L202" t="s">
        <v>52</v>
      </c>
      <c r="M202">
        <v>17</v>
      </c>
      <c r="N202" t="s">
        <v>37</v>
      </c>
      <c r="P202" t="s">
        <v>415</v>
      </c>
    </row>
    <row r="203" spans="1:16" x14ac:dyDescent="0.25">
      <c r="B203" t="s">
        <v>98</v>
      </c>
      <c r="K203" t="s">
        <v>50</v>
      </c>
      <c r="L203" t="s">
        <v>52</v>
      </c>
      <c r="M203">
        <v>7</v>
      </c>
      <c r="N203" t="s">
        <v>37</v>
      </c>
      <c r="P203" t="s">
        <v>415</v>
      </c>
    </row>
    <row r="204" spans="1:16" x14ac:dyDescent="0.25">
      <c r="B204" t="s">
        <v>98</v>
      </c>
      <c r="K204" t="s">
        <v>51</v>
      </c>
      <c r="L204" t="s">
        <v>52</v>
      </c>
      <c r="M204" s="11">
        <v>15</v>
      </c>
      <c r="N204" t="s">
        <v>37</v>
      </c>
      <c r="O204" s="6"/>
      <c r="P204" t="s">
        <v>415</v>
      </c>
    </row>
    <row r="205" spans="1:16" x14ac:dyDescent="0.25">
      <c r="B205" t="s">
        <v>103</v>
      </c>
      <c r="K205" t="s">
        <v>49</v>
      </c>
      <c r="L205" t="s">
        <v>52</v>
      </c>
      <c r="M205">
        <v>19</v>
      </c>
      <c r="N205" t="s">
        <v>37</v>
      </c>
      <c r="P205" t="s">
        <v>415</v>
      </c>
    </row>
    <row r="206" spans="1:16" x14ac:dyDescent="0.25">
      <c r="B206" t="s">
        <v>103</v>
      </c>
      <c r="K206" t="s">
        <v>50</v>
      </c>
      <c r="L206" t="s">
        <v>52</v>
      </c>
      <c r="M206">
        <v>10</v>
      </c>
      <c r="N206" t="s">
        <v>37</v>
      </c>
      <c r="P206" t="s">
        <v>415</v>
      </c>
    </row>
    <row r="207" spans="1:16" x14ac:dyDescent="0.25">
      <c r="B207" t="s">
        <v>103</v>
      </c>
      <c r="K207" t="s">
        <v>51</v>
      </c>
      <c r="L207" t="s">
        <v>52</v>
      </c>
      <c r="M207" s="11">
        <v>2</v>
      </c>
      <c r="N207" t="s">
        <v>37</v>
      </c>
      <c r="O207" s="6"/>
      <c r="P207" t="s">
        <v>415</v>
      </c>
    </row>
    <row r="208" spans="1:16" x14ac:dyDescent="0.25">
      <c r="B208" t="s">
        <v>217</v>
      </c>
      <c r="K208" t="s">
        <v>49</v>
      </c>
      <c r="L208" t="s">
        <v>52</v>
      </c>
      <c r="M208">
        <v>19</v>
      </c>
      <c r="N208" t="s">
        <v>37</v>
      </c>
      <c r="P208" t="s">
        <v>415</v>
      </c>
    </row>
    <row r="209" spans="2:16" x14ac:dyDescent="0.25">
      <c r="B209" t="s">
        <v>217</v>
      </c>
      <c r="K209" t="s">
        <v>50</v>
      </c>
      <c r="L209" t="s">
        <v>52</v>
      </c>
      <c r="M209">
        <v>10</v>
      </c>
      <c r="N209" t="s">
        <v>37</v>
      </c>
      <c r="P209" t="s">
        <v>415</v>
      </c>
    </row>
    <row r="210" spans="2:16" x14ac:dyDescent="0.25">
      <c r="B210" t="s">
        <v>217</v>
      </c>
      <c r="K210" t="s">
        <v>51</v>
      </c>
      <c r="L210" t="s">
        <v>52</v>
      </c>
      <c r="M210" s="11">
        <v>2</v>
      </c>
      <c r="N210" t="s">
        <v>37</v>
      </c>
      <c r="O210" s="6"/>
      <c r="P210" t="s">
        <v>415</v>
      </c>
    </row>
    <row r="211" spans="2:16" x14ac:dyDescent="0.25">
      <c r="B211" t="s">
        <v>78</v>
      </c>
      <c r="K211" t="s">
        <v>49</v>
      </c>
      <c r="L211" t="s">
        <v>52</v>
      </c>
      <c r="M211">
        <v>11</v>
      </c>
      <c r="N211" t="s">
        <v>37</v>
      </c>
      <c r="P211" t="s">
        <v>415</v>
      </c>
    </row>
    <row r="212" spans="2:16" x14ac:dyDescent="0.25">
      <c r="B212" t="s">
        <v>78</v>
      </c>
      <c r="K212" t="s">
        <v>50</v>
      </c>
      <c r="L212" t="s">
        <v>52</v>
      </c>
      <c r="M212">
        <f>0.5</f>
        <v>0.5</v>
      </c>
      <c r="N212" t="s">
        <v>37</v>
      </c>
      <c r="P212" t="s">
        <v>415</v>
      </c>
    </row>
    <row r="213" spans="2:16" x14ac:dyDescent="0.25">
      <c r="B213" t="s">
        <v>78</v>
      </c>
      <c r="K213" t="s">
        <v>51</v>
      </c>
      <c r="L213" t="s">
        <v>52</v>
      </c>
      <c r="M213" s="11">
        <v>1</v>
      </c>
      <c r="N213" t="s">
        <v>37</v>
      </c>
      <c r="O213" s="6"/>
      <c r="P213" t="s">
        <v>415</v>
      </c>
    </row>
    <row r="214" spans="2:16" x14ac:dyDescent="0.25">
      <c r="B214" t="s">
        <v>54</v>
      </c>
      <c r="K214" t="s">
        <v>49</v>
      </c>
      <c r="L214" t="s">
        <v>52</v>
      </c>
      <c r="M214">
        <v>11</v>
      </c>
      <c r="N214" t="s">
        <v>37</v>
      </c>
      <c r="P214" t="s">
        <v>415</v>
      </c>
    </row>
    <row r="215" spans="2:16" x14ac:dyDescent="0.25">
      <c r="B215" t="s">
        <v>54</v>
      </c>
      <c r="K215" t="s">
        <v>50</v>
      </c>
      <c r="L215" t="s">
        <v>52</v>
      </c>
      <c r="M215">
        <v>4</v>
      </c>
      <c r="N215" t="s">
        <v>37</v>
      </c>
      <c r="P215" t="s">
        <v>415</v>
      </c>
    </row>
    <row r="216" spans="2:16" x14ac:dyDescent="0.25">
      <c r="B216" t="s">
        <v>54</v>
      </c>
      <c r="K216" t="s">
        <v>51</v>
      </c>
      <c r="L216" t="s">
        <v>52</v>
      </c>
      <c r="M216" s="11">
        <v>1</v>
      </c>
      <c r="N216" t="s">
        <v>37</v>
      </c>
      <c r="O216" s="11" t="s">
        <v>414</v>
      </c>
      <c r="P216" t="s">
        <v>415</v>
      </c>
    </row>
    <row r="217" spans="2:16" x14ac:dyDescent="0.25">
      <c r="B217" t="s">
        <v>406</v>
      </c>
      <c r="K217" t="s">
        <v>49</v>
      </c>
      <c r="L217" t="s">
        <v>52</v>
      </c>
      <c r="M217" s="17">
        <f>M214</f>
        <v>11</v>
      </c>
      <c r="N217" s="17" t="s">
        <v>37</v>
      </c>
      <c r="O217" s="11" t="s">
        <v>408</v>
      </c>
    </row>
    <row r="218" spans="2:16" x14ac:dyDescent="0.25">
      <c r="B218" t="s">
        <v>406</v>
      </c>
      <c r="K218" t="s">
        <v>50</v>
      </c>
      <c r="L218" t="s">
        <v>52</v>
      </c>
      <c r="M218" s="17">
        <f t="shared" ref="M218:M219" si="0">M215</f>
        <v>4</v>
      </c>
      <c r="N218" s="17" t="s">
        <v>37</v>
      </c>
      <c r="O218" s="6"/>
    </row>
    <row r="219" spans="2:16" x14ac:dyDescent="0.25">
      <c r="B219" t="s">
        <v>406</v>
      </c>
      <c r="K219" t="s">
        <v>51</v>
      </c>
      <c r="L219" t="s">
        <v>52</v>
      </c>
      <c r="M219" s="17">
        <f t="shared" si="0"/>
        <v>1</v>
      </c>
      <c r="N219" s="17" t="s">
        <v>37</v>
      </c>
      <c r="O219" s="6"/>
    </row>
    <row r="220" spans="2:16" x14ac:dyDescent="0.25">
      <c r="B220" t="s">
        <v>289</v>
      </c>
      <c r="K220" t="s">
        <v>49</v>
      </c>
      <c r="L220" t="s">
        <v>52</v>
      </c>
      <c r="M220">
        <v>11</v>
      </c>
      <c r="N220" t="s">
        <v>37</v>
      </c>
      <c r="P220" t="s">
        <v>415</v>
      </c>
    </row>
    <row r="221" spans="2:16" x14ac:dyDescent="0.25">
      <c r="B221" t="s">
        <v>289</v>
      </c>
      <c r="K221" t="s">
        <v>50</v>
      </c>
      <c r="L221" t="s">
        <v>52</v>
      </c>
      <c r="M221">
        <v>4</v>
      </c>
      <c r="N221" t="s">
        <v>37</v>
      </c>
      <c r="P221" t="s">
        <v>415</v>
      </c>
    </row>
    <row r="222" spans="2:16" x14ac:dyDescent="0.25">
      <c r="B222" t="s">
        <v>289</v>
      </c>
      <c r="K222" t="s">
        <v>51</v>
      </c>
      <c r="L222" t="s">
        <v>52</v>
      </c>
      <c r="M222" s="6">
        <v>5</v>
      </c>
      <c r="N222" t="s">
        <v>37</v>
      </c>
      <c r="O222" s="6"/>
      <c r="P222" t="s">
        <v>415</v>
      </c>
    </row>
    <row r="223" spans="2:16" x14ac:dyDescent="0.25">
      <c r="B223" t="s">
        <v>181</v>
      </c>
      <c r="K223" t="s">
        <v>49</v>
      </c>
      <c r="L223" t="s">
        <v>52</v>
      </c>
      <c r="M223">
        <v>4</v>
      </c>
      <c r="N223" t="s">
        <v>37</v>
      </c>
      <c r="P223" t="s">
        <v>415</v>
      </c>
    </row>
    <row r="224" spans="2:16" x14ac:dyDescent="0.25">
      <c r="B224" t="s">
        <v>181</v>
      </c>
      <c r="K224" t="s">
        <v>50</v>
      </c>
      <c r="L224" t="s">
        <v>52</v>
      </c>
      <c r="M224">
        <v>1</v>
      </c>
      <c r="N224" t="s">
        <v>37</v>
      </c>
      <c r="P224" t="s">
        <v>415</v>
      </c>
    </row>
    <row r="225" spans="1:16" x14ac:dyDescent="0.25">
      <c r="B225" t="s">
        <v>181</v>
      </c>
      <c r="K225" t="s">
        <v>51</v>
      </c>
      <c r="L225" t="s">
        <v>52</v>
      </c>
      <c r="M225" s="11">
        <v>5</v>
      </c>
      <c r="N225" t="s">
        <v>37</v>
      </c>
      <c r="O225" s="6"/>
      <c r="P225" t="s">
        <v>415</v>
      </c>
    </row>
    <row r="226" spans="1:16" x14ac:dyDescent="0.25">
      <c r="B226" t="s">
        <v>114</v>
      </c>
      <c r="K226" t="s">
        <v>49</v>
      </c>
      <c r="L226" t="s">
        <v>52</v>
      </c>
      <c r="M226">
        <v>4</v>
      </c>
      <c r="N226" t="s">
        <v>37</v>
      </c>
      <c r="P226" t="s">
        <v>415</v>
      </c>
    </row>
    <row r="227" spans="1:16" x14ac:dyDescent="0.25">
      <c r="B227" t="s">
        <v>114</v>
      </c>
      <c r="K227" t="s">
        <v>50</v>
      </c>
      <c r="L227" t="s">
        <v>52</v>
      </c>
      <c r="M227">
        <v>1</v>
      </c>
      <c r="N227" t="s">
        <v>37</v>
      </c>
      <c r="P227" t="s">
        <v>415</v>
      </c>
    </row>
    <row r="228" spans="1:16" x14ac:dyDescent="0.25">
      <c r="B228" t="s">
        <v>114</v>
      </c>
      <c r="K228" t="s">
        <v>51</v>
      </c>
      <c r="L228" t="s">
        <v>52</v>
      </c>
      <c r="M228" s="11">
        <v>5</v>
      </c>
      <c r="N228" t="s">
        <v>37</v>
      </c>
      <c r="O228" s="6"/>
      <c r="P228" t="s">
        <v>415</v>
      </c>
    </row>
    <row r="229" spans="1:16" x14ac:dyDescent="0.25">
      <c r="B229" t="s">
        <v>194</v>
      </c>
      <c r="K229" t="s">
        <v>49</v>
      </c>
      <c r="L229" t="s">
        <v>52</v>
      </c>
      <c r="M229">
        <v>13</v>
      </c>
      <c r="N229" t="s">
        <v>37</v>
      </c>
      <c r="P229" t="s">
        <v>415</v>
      </c>
    </row>
    <row r="230" spans="1:16" x14ac:dyDescent="0.25">
      <c r="B230" t="s">
        <v>194</v>
      </c>
      <c r="K230" t="s">
        <v>50</v>
      </c>
      <c r="L230" t="s">
        <v>52</v>
      </c>
      <c r="M230">
        <v>5</v>
      </c>
      <c r="N230" t="s">
        <v>37</v>
      </c>
      <c r="P230" t="s">
        <v>415</v>
      </c>
    </row>
    <row r="231" spans="1:16" x14ac:dyDescent="0.25">
      <c r="B231" t="s">
        <v>194</v>
      </c>
      <c r="K231" t="s">
        <v>51</v>
      </c>
      <c r="L231" t="s">
        <v>52</v>
      </c>
      <c r="M231" s="11">
        <v>5</v>
      </c>
      <c r="N231" t="s">
        <v>37</v>
      </c>
      <c r="O231" s="6"/>
      <c r="P231" t="s">
        <v>415</v>
      </c>
    </row>
    <row r="232" spans="1:16" x14ac:dyDescent="0.25">
      <c r="B232" t="s">
        <v>107</v>
      </c>
      <c r="K232" t="s">
        <v>49</v>
      </c>
      <c r="L232" t="s">
        <v>52</v>
      </c>
      <c r="M232">
        <v>0</v>
      </c>
      <c r="N232" t="s">
        <v>37</v>
      </c>
      <c r="P232" t="s">
        <v>415</v>
      </c>
    </row>
    <row r="233" spans="1:16" x14ac:dyDescent="0.25">
      <c r="B233" t="s">
        <v>107</v>
      </c>
      <c r="K233" t="s">
        <v>50</v>
      </c>
      <c r="L233" t="s">
        <v>52</v>
      </c>
      <c r="M233">
        <v>5</v>
      </c>
      <c r="N233" t="s">
        <v>37</v>
      </c>
      <c r="P233" t="s">
        <v>415</v>
      </c>
    </row>
    <row r="234" spans="1:16" x14ac:dyDescent="0.25">
      <c r="B234" t="s">
        <v>107</v>
      </c>
      <c r="K234" t="s">
        <v>51</v>
      </c>
      <c r="L234" t="s">
        <v>52</v>
      </c>
      <c r="M234" s="11">
        <v>5</v>
      </c>
      <c r="N234" t="s">
        <v>37</v>
      </c>
      <c r="O234" s="6"/>
      <c r="P234" t="s">
        <v>415</v>
      </c>
    </row>
    <row r="235" spans="1:16" x14ac:dyDescent="0.25">
      <c r="A235" s="7"/>
      <c r="B235" s="11" t="s">
        <v>345</v>
      </c>
      <c r="C235" s="11"/>
      <c r="D235" s="11"/>
      <c r="E235" s="11"/>
      <c r="F235" s="11"/>
      <c r="G235" s="11"/>
      <c r="H235" s="11"/>
      <c r="I235" s="11"/>
      <c r="J235" s="11"/>
      <c r="K235" s="11" t="s">
        <v>49</v>
      </c>
      <c r="L235" s="11" t="s">
        <v>52</v>
      </c>
      <c r="M235" s="17">
        <f>M214</f>
        <v>11</v>
      </c>
      <c r="N235" s="11" t="s">
        <v>37</v>
      </c>
      <c r="O235" s="11" t="s">
        <v>408</v>
      </c>
    </row>
    <row r="236" spans="1:16" x14ac:dyDescent="0.25">
      <c r="A236" s="7"/>
      <c r="B236" s="11" t="s">
        <v>345</v>
      </c>
      <c r="C236" s="11"/>
      <c r="D236" s="11"/>
      <c r="E236" s="11"/>
      <c r="F236" s="11"/>
      <c r="G236" s="11"/>
      <c r="H236" s="11"/>
      <c r="I236" s="11"/>
      <c r="J236" s="11"/>
      <c r="K236" s="11" t="s">
        <v>50</v>
      </c>
      <c r="L236" s="11" t="s">
        <v>52</v>
      </c>
      <c r="M236" s="17">
        <f t="shared" ref="M236:M237" si="1">M215</f>
        <v>4</v>
      </c>
      <c r="N236" s="11" t="s">
        <v>37</v>
      </c>
      <c r="O236" s="7"/>
    </row>
    <row r="237" spans="1:16" x14ac:dyDescent="0.25">
      <c r="A237" s="7"/>
      <c r="B237" s="11" t="s">
        <v>345</v>
      </c>
      <c r="C237" s="11"/>
      <c r="D237" s="11"/>
      <c r="E237" s="11"/>
      <c r="F237" s="11"/>
      <c r="G237" s="11"/>
      <c r="H237" s="11"/>
      <c r="I237" s="11"/>
      <c r="J237" s="11"/>
      <c r="K237" s="11" t="s">
        <v>51</v>
      </c>
      <c r="L237" s="11" t="s">
        <v>52</v>
      </c>
      <c r="M237" s="17">
        <f t="shared" si="1"/>
        <v>1</v>
      </c>
      <c r="N237" s="11" t="s">
        <v>37</v>
      </c>
      <c r="O237" s="7"/>
    </row>
    <row r="238" spans="1:16" x14ac:dyDescent="0.25">
      <c r="A238" s="7"/>
      <c r="B238" s="11" t="s">
        <v>350</v>
      </c>
      <c r="C238" s="11"/>
      <c r="D238" s="11"/>
      <c r="E238" s="11"/>
      <c r="F238" s="11"/>
      <c r="G238" s="11"/>
      <c r="H238" s="11"/>
      <c r="I238" s="11"/>
      <c r="J238" s="11"/>
      <c r="K238" s="11" t="s">
        <v>49</v>
      </c>
      <c r="L238" s="11" t="s">
        <v>52</v>
      </c>
      <c r="M238" s="17">
        <f>M211</f>
        <v>11</v>
      </c>
      <c r="N238" s="11" t="s">
        <v>37</v>
      </c>
      <c r="O238" s="11" t="s">
        <v>416</v>
      </c>
    </row>
    <row r="239" spans="1:16" x14ac:dyDescent="0.25">
      <c r="A239" s="7"/>
      <c r="B239" s="11" t="s">
        <v>350</v>
      </c>
      <c r="C239" s="11"/>
      <c r="D239" s="11"/>
      <c r="E239" s="11"/>
      <c r="F239" s="11"/>
      <c r="G239" s="11"/>
      <c r="H239" s="11"/>
      <c r="I239" s="11"/>
      <c r="J239" s="11"/>
      <c r="K239" s="11" t="s">
        <v>50</v>
      </c>
      <c r="L239" s="11" t="s">
        <v>52</v>
      </c>
      <c r="M239" s="17">
        <f t="shared" ref="M239:M240" si="2">M212</f>
        <v>0.5</v>
      </c>
      <c r="N239" s="11" t="s">
        <v>37</v>
      </c>
      <c r="O239" s="7"/>
    </row>
    <row r="240" spans="1:16" x14ac:dyDescent="0.25">
      <c r="B240" s="11" t="s">
        <v>350</v>
      </c>
      <c r="C240" s="11"/>
      <c r="D240" s="11"/>
      <c r="E240" s="11"/>
      <c r="F240" s="11"/>
      <c r="G240" s="11"/>
      <c r="H240" s="11"/>
      <c r="I240" s="11"/>
      <c r="J240" s="11"/>
      <c r="K240" s="11" t="s">
        <v>51</v>
      </c>
      <c r="L240" s="11" t="s">
        <v>52</v>
      </c>
      <c r="M240" s="17">
        <f t="shared" si="2"/>
        <v>1</v>
      </c>
      <c r="N240" s="11" t="s">
        <v>37</v>
      </c>
      <c r="O240" s="6"/>
    </row>
    <row r="241" spans="1:16" x14ac:dyDescent="0.25">
      <c r="B241" s="11" t="s">
        <v>337</v>
      </c>
      <c r="C241" s="11"/>
      <c r="D241" s="11"/>
      <c r="E241" s="11"/>
      <c r="F241" s="11"/>
      <c r="G241" s="11"/>
      <c r="H241" s="11"/>
      <c r="I241" s="11"/>
      <c r="J241" s="11"/>
      <c r="K241" s="11" t="s">
        <v>49</v>
      </c>
      <c r="L241" s="11" t="s">
        <v>52</v>
      </c>
      <c r="M241" s="11">
        <v>4</v>
      </c>
      <c r="N241" s="11" t="s">
        <v>37</v>
      </c>
      <c r="O241" s="6"/>
      <c r="P241" t="s">
        <v>415</v>
      </c>
    </row>
    <row r="242" spans="1:16" x14ac:dyDescent="0.25">
      <c r="B242" s="11" t="s">
        <v>337</v>
      </c>
      <c r="C242" s="11"/>
      <c r="D242" s="11"/>
      <c r="E242" s="11"/>
      <c r="F242" s="11"/>
      <c r="G242" s="11"/>
      <c r="H242" s="11"/>
      <c r="I242" s="11"/>
      <c r="J242" s="11"/>
      <c r="K242" s="11" t="s">
        <v>50</v>
      </c>
      <c r="L242" s="11" t="s">
        <v>52</v>
      </c>
      <c r="M242" s="11">
        <v>1</v>
      </c>
      <c r="N242" s="11" t="s">
        <v>37</v>
      </c>
      <c r="O242" s="6"/>
      <c r="P242" t="s">
        <v>415</v>
      </c>
    </row>
    <row r="243" spans="1:16" x14ac:dyDescent="0.25">
      <c r="B243" s="11" t="s">
        <v>337</v>
      </c>
      <c r="C243" s="11"/>
      <c r="D243" s="11"/>
      <c r="E243" s="11"/>
      <c r="F243" s="11"/>
      <c r="G243" s="11"/>
      <c r="H243" s="11"/>
      <c r="I243" s="11"/>
      <c r="J243" s="11"/>
      <c r="K243" s="11" t="s">
        <v>51</v>
      </c>
      <c r="L243" s="11" t="s">
        <v>52</v>
      </c>
      <c r="M243" s="11">
        <v>5</v>
      </c>
      <c r="N243" s="11" t="s">
        <v>37</v>
      </c>
      <c r="O243" s="6"/>
      <c r="P243" t="s">
        <v>415</v>
      </c>
    </row>
    <row r="244" spans="1:16" x14ac:dyDescent="0.25">
      <c r="B244" s="11" t="s">
        <v>341</v>
      </c>
      <c r="C244" s="11"/>
      <c r="D244" s="11"/>
      <c r="E244" s="11"/>
      <c r="F244" s="11"/>
      <c r="G244" s="11"/>
      <c r="H244" s="11"/>
      <c r="I244" s="11"/>
      <c r="J244" s="11"/>
      <c r="K244" s="11" t="s">
        <v>49</v>
      </c>
      <c r="L244" s="11" t="s">
        <v>52</v>
      </c>
      <c r="M244" s="11">
        <v>4</v>
      </c>
      <c r="N244" s="11" t="s">
        <v>37</v>
      </c>
      <c r="O244" s="6"/>
      <c r="P244" t="s">
        <v>415</v>
      </c>
    </row>
    <row r="245" spans="1:16" x14ac:dyDescent="0.25">
      <c r="B245" s="11" t="s">
        <v>341</v>
      </c>
      <c r="C245" s="11"/>
      <c r="D245" s="11"/>
      <c r="E245" s="11"/>
      <c r="F245" s="11"/>
      <c r="G245" s="11"/>
      <c r="H245" s="11"/>
      <c r="I245" s="11"/>
      <c r="J245" s="11"/>
      <c r="K245" s="11" t="s">
        <v>50</v>
      </c>
      <c r="L245" s="11" t="s">
        <v>52</v>
      </c>
      <c r="M245" s="11">
        <v>1</v>
      </c>
      <c r="N245" s="11" t="s">
        <v>37</v>
      </c>
      <c r="O245" s="6"/>
      <c r="P245" t="s">
        <v>415</v>
      </c>
    </row>
    <row r="246" spans="1:16" x14ac:dyDescent="0.25">
      <c r="B246" s="11" t="s">
        <v>341</v>
      </c>
      <c r="C246" s="11"/>
      <c r="D246" s="11"/>
      <c r="E246" s="11"/>
      <c r="F246" s="11"/>
      <c r="G246" s="11"/>
      <c r="H246" s="11"/>
      <c r="I246" s="11"/>
      <c r="J246" s="11"/>
      <c r="K246" s="11" t="s">
        <v>51</v>
      </c>
      <c r="L246" s="11" t="s">
        <v>52</v>
      </c>
      <c r="M246" s="11">
        <v>5</v>
      </c>
      <c r="N246" s="11" t="s">
        <v>37</v>
      </c>
      <c r="O246" s="6"/>
      <c r="P246" t="s">
        <v>415</v>
      </c>
    </row>
    <row r="247" spans="1:16" x14ac:dyDescent="0.25">
      <c r="B247" s="11" t="s">
        <v>463</v>
      </c>
      <c r="C247" s="11"/>
      <c r="D247" s="11"/>
      <c r="E247" s="11"/>
      <c r="F247" s="11"/>
      <c r="G247" s="11"/>
      <c r="H247" s="11"/>
      <c r="I247" s="11"/>
      <c r="J247" s="11"/>
      <c r="K247" t="s">
        <v>49</v>
      </c>
      <c r="L247" t="s">
        <v>52</v>
      </c>
      <c r="M247">
        <v>11</v>
      </c>
      <c r="N247" t="s">
        <v>37</v>
      </c>
      <c r="O247" s="6"/>
    </row>
    <row r="248" spans="1:16" x14ac:dyDescent="0.25">
      <c r="B248" s="11" t="s">
        <v>463</v>
      </c>
      <c r="C248" s="11"/>
      <c r="D248" s="11"/>
      <c r="E248" s="11"/>
      <c r="F248" s="11"/>
      <c r="G248" s="11"/>
      <c r="H248" s="11"/>
      <c r="I248" s="11"/>
      <c r="J248" s="11"/>
      <c r="K248" t="s">
        <v>50</v>
      </c>
      <c r="L248" t="s">
        <v>52</v>
      </c>
      <c r="M248">
        <v>4</v>
      </c>
      <c r="N248" t="s">
        <v>37</v>
      </c>
      <c r="O248" s="6"/>
    </row>
    <row r="249" spans="1:16" x14ac:dyDescent="0.25">
      <c r="B249" s="11" t="s">
        <v>463</v>
      </c>
      <c r="C249" s="11"/>
      <c r="D249" s="11"/>
      <c r="E249" s="11"/>
      <c r="F249" s="11"/>
      <c r="G249" s="11"/>
      <c r="H249" s="11"/>
      <c r="I249" s="11"/>
      <c r="J249" s="11"/>
      <c r="K249" t="s">
        <v>51</v>
      </c>
      <c r="L249" t="s">
        <v>52</v>
      </c>
      <c r="M249" s="11">
        <v>1</v>
      </c>
      <c r="N249" t="s">
        <v>37</v>
      </c>
      <c r="O249" s="6"/>
    </row>
    <row r="250" spans="1:16" x14ac:dyDescent="0.25">
      <c r="B250" s="11" t="s">
        <v>490</v>
      </c>
      <c r="C250" s="11"/>
      <c r="D250" s="11"/>
      <c r="E250" s="11"/>
      <c r="F250" s="11"/>
      <c r="G250" s="11"/>
      <c r="H250" s="11"/>
      <c r="I250" s="11"/>
      <c r="J250" s="11"/>
      <c r="K250" t="s">
        <v>49</v>
      </c>
      <c r="L250" t="s">
        <v>52</v>
      </c>
      <c r="M250">
        <v>11</v>
      </c>
      <c r="N250" t="s">
        <v>37</v>
      </c>
      <c r="O250" s="6"/>
    </row>
    <row r="251" spans="1:16" x14ac:dyDescent="0.25">
      <c r="B251" s="11" t="s">
        <v>490</v>
      </c>
      <c r="C251" s="11"/>
      <c r="D251" s="11"/>
      <c r="E251" s="11"/>
      <c r="F251" s="11"/>
      <c r="G251" s="11"/>
      <c r="H251" s="11"/>
      <c r="I251" s="11"/>
      <c r="J251" s="11"/>
      <c r="K251" t="s">
        <v>50</v>
      </c>
      <c r="L251" t="s">
        <v>52</v>
      </c>
      <c r="M251">
        <v>4</v>
      </c>
      <c r="N251" t="s">
        <v>37</v>
      </c>
      <c r="O251" s="6"/>
    </row>
    <row r="252" spans="1:16" x14ac:dyDescent="0.25">
      <c r="B252" s="11" t="s">
        <v>490</v>
      </c>
      <c r="C252" s="11"/>
      <c r="D252" s="11"/>
      <c r="E252" s="11"/>
      <c r="F252" s="11"/>
      <c r="G252" s="11"/>
      <c r="H252" s="11"/>
      <c r="I252" s="11"/>
      <c r="J252" s="11"/>
      <c r="K252" t="s">
        <v>51</v>
      </c>
      <c r="L252" t="s">
        <v>52</v>
      </c>
      <c r="M252" s="11">
        <v>1</v>
      </c>
      <c r="N252" t="s">
        <v>37</v>
      </c>
      <c r="O252" s="6"/>
    </row>
    <row r="253" spans="1:16" x14ac:dyDescent="0.25">
      <c r="M253" s="6"/>
      <c r="O253" s="6"/>
    </row>
    <row r="254" spans="1:16" x14ac:dyDescent="0.25">
      <c r="A254" s="2" t="s">
        <v>38</v>
      </c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3"/>
      <c r="M254" s="3"/>
      <c r="N254" s="3"/>
      <c r="O254" s="3"/>
      <c r="P254" s="3"/>
    </row>
    <row r="255" spans="1:16" x14ac:dyDescent="0.25">
      <c r="L255" s="7" t="s">
        <v>39</v>
      </c>
      <c r="M255" s="7">
        <v>100</v>
      </c>
      <c r="N255" s="7" t="s">
        <v>37</v>
      </c>
      <c r="O255" s="7" t="s">
        <v>43</v>
      </c>
    </row>
    <row r="256" spans="1:16" x14ac:dyDescent="0.25">
      <c r="A256" s="4" t="s">
        <v>9</v>
      </c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5"/>
      <c r="M256" s="5"/>
      <c r="N256" s="5"/>
      <c r="O256" s="5"/>
      <c r="P256" s="5"/>
    </row>
    <row r="257" spans="1:16" x14ac:dyDescent="0.25">
      <c r="A257" t="s">
        <v>153</v>
      </c>
      <c r="L257" t="s">
        <v>39</v>
      </c>
      <c r="M257">
        <v>22</v>
      </c>
      <c r="N257" t="s">
        <v>37</v>
      </c>
    </row>
    <row r="258" spans="1:16" x14ac:dyDescent="0.25">
      <c r="A258" t="s">
        <v>158</v>
      </c>
      <c r="L258" t="s">
        <v>39</v>
      </c>
      <c r="M258" s="17">
        <f>M257</f>
        <v>22</v>
      </c>
      <c r="N258" s="17" t="s">
        <v>37</v>
      </c>
      <c r="O258" s="17" t="s">
        <v>190</v>
      </c>
    </row>
    <row r="259" spans="1:16" x14ac:dyDescent="0.25">
      <c r="A259" t="s">
        <v>281</v>
      </c>
      <c r="L259" t="s">
        <v>39</v>
      </c>
      <c r="M259">
        <v>100</v>
      </c>
      <c r="N259" t="s">
        <v>37</v>
      </c>
    </row>
    <row r="260" spans="1:16" x14ac:dyDescent="0.25">
      <c r="A260" t="s">
        <v>282</v>
      </c>
      <c r="L260" t="s">
        <v>39</v>
      </c>
      <c r="M260" s="17">
        <f>M259</f>
        <v>100</v>
      </c>
      <c r="N260" s="17" t="s">
        <v>37</v>
      </c>
      <c r="O260" s="17" t="s">
        <v>190</v>
      </c>
    </row>
    <row r="261" spans="1:16" x14ac:dyDescent="0.25">
      <c r="A261" t="s">
        <v>154</v>
      </c>
      <c r="L261" t="s">
        <v>39</v>
      </c>
      <c r="M261">
        <v>4</v>
      </c>
      <c r="N261" t="s">
        <v>37</v>
      </c>
    </row>
    <row r="262" spans="1:16" x14ac:dyDescent="0.25">
      <c r="A262" t="s">
        <v>159</v>
      </c>
      <c r="L262" t="s">
        <v>39</v>
      </c>
      <c r="M262" s="17">
        <f>M261</f>
        <v>4</v>
      </c>
      <c r="N262" s="17" t="s">
        <v>37</v>
      </c>
      <c r="O262" s="17" t="s">
        <v>190</v>
      </c>
    </row>
    <row r="263" spans="1:16" x14ac:dyDescent="0.25">
      <c r="A263" t="s">
        <v>84</v>
      </c>
      <c r="L263" t="s">
        <v>39</v>
      </c>
      <c r="M263">
        <v>100</v>
      </c>
      <c r="N263" t="s">
        <v>37</v>
      </c>
    </row>
    <row r="264" spans="1:16" x14ac:dyDescent="0.25">
      <c r="A264" t="s">
        <v>155</v>
      </c>
      <c r="L264" t="s">
        <v>39</v>
      </c>
      <c r="M264">
        <v>8</v>
      </c>
      <c r="N264" t="s">
        <v>37</v>
      </c>
    </row>
    <row r="265" spans="1:16" x14ac:dyDescent="0.25">
      <c r="A265" t="s">
        <v>160</v>
      </c>
      <c r="L265" t="s">
        <v>39</v>
      </c>
      <c r="M265" s="17">
        <f>M264</f>
        <v>8</v>
      </c>
      <c r="N265" s="17" t="s">
        <v>37</v>
      </c>
      <c r="O265" s="17" t="s">
        <v>190</v>
      </c>
    </row>
    <row r="266" spans="1:16" x14ac:dyDescent="0.25">
      <c r="A266" t="s">
        <v>156</v>
      </c>
      <c r="L266" t="s">
        <v>39</v>
      </c>
      <c r="M266">
        <v>1</v>
      </c>
      <c r="N266" t="s">
        <v>37</v>
      </c>
    </row>
    <row r="267" spans="1:16" x14ac:dyDescent="0.25">
      <c r="A267" t="s">
        <v>161</v>
      </c>
      <c r="L267" t="s">
        <v>39</v>
      </c>
      <c r="M267" s="17">
        <f>M266</f>
        <v>1</v>
      </c>
      <c r="N267" s="17" t="s">
        <v>37</v>
      </c>
      <c r="O267" s="17" t="s">
        <v>190</v>
      </c>
    </row>
    <row r="268" spans="1:16" x14ac:dyDescent="0.25">
      <c r="A268" t="s">
        <v>157</v>
      </c>
      <c r="L268" t="s">
        <v>39</v>
      </c>
      <c r="M268" s="6">
        <v>22</v>
      </c>
      <c r="N268" s="11" t="s">
        <v>37</v>
      </c>
      <c r="O268" t="s">
        <v>136</v>
      </c>
    </row>
    <row r="269" spans="1:16" x14ac:dyDescent="0.25">
      <c r="A269" t="s">
        <v>162</v>
      </c>
      <c r="L269" t="s">
        <v>39</v>
      </c>
      <c r="M269" s="17">
        <f>M268</f>
        <v>22</v>
      </c>
      <c r="N269" s="17" t="s">
        <v>37</v>
      </c>
      <c r="O269" s="17" t="s">
        <v>190</v>
      </c>
    </row>
    <row r="270" spans="1:16" s="11" customFormat="1" x14ac:dyDescent="0.25">
      <c r="A270" s="11" t="s">
        <v>364</v>
      </c>
      <c r="L270" s="11" t="s">
        <v>39</v>
      </c>
      <c r="M270" s="11">
        <v>0</v>
      </c>
      <c r="N270" s="11" t="s">
        <v>37</v>
      </c>
    </row>
    <row r="271" spans="1:16" x14ac:dyDescent="0.25">
      <c r="A271" s="4" t="s">
        <v>10</v>
      </c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5"/>
      <c r="M271" s="5"/>
      <c r="N271" s="5"/>
      <c r="O271" s="5"/>
      <c r="P271" s="5"/>
    </row>
    <row r="272" spans="1:16" x14ac:dyDescent="0.25">
      <c r="A272" s="11" t="s">
        <v>94</v>
      </c>
      <c r="L272" t="s">
        <v>39</v>
      </c>
      <c r="M272" s="11">
        <v>16</v>
      </c>
      <c r="N272" s="11" t="s">
        <v>37</v>
      </c>
    </row>
    <row r="273" spans="1:16" x14ac:dyDescent="0.25">
      <c r="A273" s="11" t="s">
        <v>95</v>
      </c>
      <c r="L273" t="s">
        <v>39</v>
      </c>
      <c r="M273" s="11">
        <v>16</v>
      </c>
      <c r="N273" s="11" t="s">
        <v>37</v>
      </c>
    </row>
    <row r="274" spans="1:16" x14ac:dyDescent="0.25">
      <c r="A274" s="11" t="s">
        <v>183</v>
      </c>
      <c r="L274" t="s">
        <v>39</v>
      </c>
      <c r="M274" s="11">
        <v>16</v>
      </c>
      <c r="N274" s="11" t="s">
        <v>37</v>
      </c>
    </row>
    <row r="275" spans="1:16" x14ac:dyDescent="0.25">
      <c r="A275" s="11" t="s">
        <v>96</v>
      </c>
      <c r="L275" t="s">
        <v>39</v>
      </c>
      <c r="M275" s="11">
        <v>16</v>
      </c>
      <c r="N275" s="11" t="s">
        <v>37</v>
      </c>
    </row>
    <row r="276" spans="1:16" x14ac:dyDescent="0.25">
      <c r="A276" s="4" t="s">
        <v>12</v>
      </c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5"/>
      <c r="M276" s="5"/>
      <c r="N276" s="5"/>
      <c r="O276" s="5"/>
      <c r="P276" s="5"/>
    </row>
    <row r="277" spans="1:16" x14ac:dyDescent="0.25">
      <c r="A277" s="11" t="s">
        <v>214</v>
      </c>
      <c r="L277" t="s">
        <v>39</v>
      </c>
      <c r="M277" s="11">
        <v>85</v>
      </c>
      <c r="N277" s="11" t="s">
        <v>37</v>
      </c>
    </row>
    <row r="278" spans="1:16" x14ac:dyDescent="0.25">
      <c r="A278" s="11" t="s">
        <v>215</v>
      </c>
      <c r="L278" t="s">
        <v>39</v>
      </c>
      <c r="M278" s="11">
        <v>85</v>
      </c>
      <c r="N278" s="11" t="s">
        <v>37</v>
      </c>
    </row>
    <row r="279" spans="1:16" x14ac:dyDescent="0.25">
      <c r="A279" s="11" t="s">
        <v>216</v>
      </c>
      <c r="L279" t="s">
        <v>39</v>
      </c>
      <c r="M279" s="11">
        <v>85</v>
      </c>
      <c r="N279" s="11" t="s">
        <v>37</v>
      </c>
    </row>
    <row r="280" spans="1:16" x14ac:dyDescent="0.25">
      <c r="A280" s="11" t="s">
        <v>218</v>
      </c>
      <c r="L280" t="s">
        <v>39</v>
      </c>
      <c r="M280" s="11">
        <v>95</v>
      </c>
      <c r="N280" s="11" t="s">
        <v>37</v>
      </c>
    </row>
    <row r="281" spans="1:16" x14ac:dyDescent="0.25">
      <c r="A281" s="11" t="s">
        <v>226</v>
      </c>
      <c r="L281" t="s">
        <v>39</v>
      </c>
      <c r="M281" s="6">
        <v>97</v>
      </c>
      <c r="N281" s="11" t="s">
        <v>37</v>
      </c>
      <c r="O281" s="6" t="s">
        <v>238</v>
      </c>
    </row>
    <row r="282" spans="1:16" x14ac:dyDescent="0.25">
      <c r="A282" s="11" t="s">
        <v>227</v>
      </c>
      <c r="L282" t="s">
        <v>39</v>
      </c>
      <c r="M282" s="11">
        <v>29</v>
      </c>
      <c r="N282" s="11" t="s">
        <v>37</v>
      </c>
    </row>
    <row r="283" spans="1:16" x14ac:dyDescent="0.25">
      <c r="A283" s="11" t="s">
        <v>233</v>
      </c>
      <c r="L283" t="s">
        <v>39</v>
      </c>
      <c r="M283" s="6">
        <v>50</v>
      </c>
      <c r="N283" s="11" t="s">
        <v>37</v>
      </c>
      <c r="O283" s="6" t="s">
        <v>237</v>
      </c>
    </row>
    <row r="284" spans="1:16" x14ac:dyDescent="0.25">
      <c r="A284" s="11" t="s">
        <v>228</v>
      </c>
      <c r="L284" t="s">
        <v>39</v>
      </c>
      <c r="M284" s="6">
        <v>90</v>
      </c>
      <c r="N284" s="11" t="s">
        <v>37</v>
      </c>
      <c r="O284" s="6" t="s">
        <v>237</v>
      </c>
    </row>
    <row r="285" spans="1:16" x14ac:dyDescent="0.25">
      <c r="A285" s="4" t="s">
        <v>11</v>
      </c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5"/>
      <c r="M285" s="5"/>
      <c r="N285" s="5"/>
      <c r="O285" s="5"/>
      <c r="P285" s="5"/>
    </row>
    <row r="286" spans="1:16" x14ac:dyDescent="0.25">
      <c r="A286" s="11" t="s">
        <v>122</v>
      </c>
      <c r="L286" t="s">
        <v>39</v>
      </c>
      <c r="M286">
        <v>7</v>
      </c>
      <c r="N286" s="11" t="s">
        <v>37</v>
      </c>
    </row>
    <row r="287" spans="1:16" x14ac:dyDescent="0.25">
      <c r="A287" s="11" t="s">
        <v>329</v>
      </c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 t="s">
        <v>39</v>
      </c>
      <c r="M287" s="11">
        <v>7</v>
      </c>
      <c r="N287" s="11" t="s">
        <v>37</v>
      </c>
      <c r="O287" s="11" t="s">
        <v>363</v>
      </c>
    </row>
    <row r="288" spans="1:16" x14ac:dyDescent="0.25">
      <c r="A288" s="11" t="s">
        <v>128</v>
      </c>
      <c r="L288" t="s">
        <v>39</v>
      </c>
      <c r="M288" s="11">
        <v>35</v>
      </c>
      <c r="N288" s="11" t="s">
        <v>37</v>
      </c>
    </row>
    <row r="289" spans="1:16" x14ac:dyDescent="0.25">
      <c r="A289" s="11" t="s">
        <v>124</v>
      </c>
      <c r="L289" t="s">
        <v>39</v>
      </c>
      <c r="M289" s="11">
        <v>63</v>
      </c>
      <c r="N289" s="11" t="s">
        <v>37</v>
      </c>
    </row>
    <row r="290" spans="1:16" x14ac:dyDescent="0.25">
      <c r="A290" s="11" t="s">
        <v>125</v>
      </c>
      <c r="L290" t="s">
        <v>39</v>
      </c>
      <c r="M290" s="11">
        <v>54</v>
      </c>
      <c r="N290" s="11" t="s">
        <v>37</v>
      </c>
      <c r="O290" s="6"/>
    </row>
    <row r="291" spans="1:16" x14ac:dyDescent="0.25">
      <c r="A291" s="11" t="s">
        <v>126</v>
      </c>
      <c r="L291" t="s">
        <v>39</v>
      </c>
      <c r="M291" s="6">
        <v>75</v>
      </c>
      <c r="N291" s="11" t="s">
        <v>37</v>
      </c>
      <c r="O291" s="6" t="s">
        <v>224</v>
      </c>
    </row>
    <row r="292" spans="1:16" x14ac:dyDescent="0.25">
      <c r="A292" s="11" t="s">
        <v>127</v>
      </c>
      <c r="L292" t="s">
        <v>39</v>
      </c>
      <c r="M292" s="11">
        <v>10</v>
      </c>
      <c r="N292" s="11" t="s">
        <v>37</v>
      </c>
    </row>
    <row r="293" spans="1:16" x14ac:dyDescent="0.25">
      <c r="A293" s="11" t="s">
        <v>102</v>
      </c>
      <c r="L293" t="s">
        <v>39</v>
      </c>
      <c r="M293" s="11">
        <v>91</v>
      </c>
      <c r="N293" s="11" t="s">
        <v>37</v>
      </c>
      <c r="O293" s="6" t="s">
        <v>435</v>
      </c>
    </row>
    <row r="294" spans="1:16" x14ac:dyDescent="0.25">
      <c r="A294" s="11" t="s">
        <v>105</v>
      </c>
      <c r="L294" t="s">
        <v>39</v>
      </c>
      <c r="M294" s="11">
        <v>50</v>
      </c>
      <c r="N294" s="11" t="s">
        <v>37</v>
      </c>
      <c r="O294" s="6" t="s">
        <v>436</v>
      </c>
    </row>
    <row r="295" spans="1:16" x14ac:dyDescent="0.25">
      <c r="A295" s="11" t="s">
        <v>222</v>
      </c>
      <c r="L295" t="s">
        <v>39</v>
      </c>
      <c r="M295" s="11">
        <v>100</v>
      </c>
      <c r="N295" s="11" t="s">
        <v>37</v>
      </c>
    </row>
    <row r="296" spans="1:16" x14ac:dyDescent="0.25">
      <c r="A296" s="11" t="s">
        <v>135</v>
      </c>
      <c r="L296" t="s">
        <v>39</v>
      </c>
      <c r="M296" s="6">
        <v>90</v>
      </c>
      <c r="N296" s="11" t="s">
        <v>37</v>
      </c>
      <c r="O296" s="6" t="s">
        <v>237</v>
      </c>
    </row>
    <row r="297" spans="1:16" x14ac:dyDescent="0.25">
      <c r="A297" s="4" t="s">
        <v>13</v>
      </c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5"/>
      <c r="M297" s="5"/>
      <c r="N297" s="5" t="s">
        <v>291</v>
      </c>
      <c r="O297" s="30">
        <v>0.81799999999999995</v>
      </c>
      <c r="P297" s="5"/>
    </row>
    <row r="298" spans="1:16" x14ac:dyDescent="0.25">
      <c r="A298" s="6" t="s">
        <v>61</v>
      </c>
      <c r="L298" t="s">
        <v>39</v>
      </c>
      <c r="M298" s="8">
        <f>8.5*20/(29.5+8.5)*$O$297</f>
        <v>3.6594736842105262</v>
      </c>
      <c r="N298" t="s">
        <v>37</v>
      </c>
    </row>
    <row r="299" spans="1:16" x14ac:dyDescent="0.25">
      <c r="A299" s="6" t="s">
        <v>60</v>
      </c>
      <c r="L299" t="s">
        <v>39</v>
      </c>
      <c r="M299" s="8">
        <f>(80.7*0+14.4*20+0.3*5*0)/(80.7+14.4+0.3*5)*$O$297</f>
        <v>2.438757763975155</v>
      </c>
      <c r="N299" t="s">
        <v>37</v>
      </c>
    </row>
    <row r="300" spans="1:16" x14ac:dyDescent="0.25">
      <c r="A300" s="6" t="s">
        <v>62</v>
      </c>
      <c r="L300" t="s">
        <v>39</v>
      </c>
      <c r="M300" s="8">
        <f>(45.6*0+44.1*20+1.3*5*0+1.8*10*0)/(45.6+44.1+1.3*5+1.8*10)*$O$297</f>
        <v>6.317653239929947</v>
      </c>
      <c r="N300" t="s">
        <v>37</v>
      </c>
    </row>
    <row r="301" spans="1:16" x14ac:dyDescent="0.25">
      <c r="A301" s="6" t="s">
        <v>63</v>
      </c>
      <c r="L301" t="s">
        <v>39</v>
      </c>
      <c r="M301">
        <f>60*$O$297</f>
        <v>49.08</v>
      </c>
      <c r="N301" t="s">
        <v>37</v>
      </c>
    </row>
    <row r="302" spans="1:16" x14ac:dyDescent="0.25">
      <c r="A302" s="6" t="s">
        <v>67</v>
      </c>
      <c r="L302" t="s">
        <v>39</v>
      </c>
      <c r="M302">
        <f>0*$O$297</f>
        <v>0</v>
      </c>
      <c r="N302" t="s">
        <v>37</v>
      </c>
    </row>
    <row r="303" spans="1:16" x14ac:dyDescent="0.25">
      <c r="A303" s="6" t="s">
        <v>68</v>
      </c>
      <c r="L303" t="s">
        <v>39</v>
      </c>
      <c r="M303">
        <f>20*$O$297</f>
        <v>16.36</v>
      </c>
      <c r="N303" t="s">
        <v>37</v>
      </c>
    </row>
    <row r="304" spans="1:16" x14ac:dyDescent="0.25">
      <c r="A304" s="6" t="s">
        <v>65</v>
      </c>
      <c r="L304" t="s">
        <v>39</v>
      </c>
      <c r="M304">
        <f>20*$O$297</f>
        <v>16.36</v>
      </c>
      <c r="N304" t="s">
        <v>37</v>
      </c>
    </row>
    <row r="305" spans="1:16" x14ac:dyDescent="0.25">
      <c r="A305" s="6" t="s">
        <v>66</v>
      </c>
      <c r="L305" t="s">
        <v>39</v>
      </c>
      <c r="M305">
        <f>20*$O$297</f>
        <v>16.36</v>
      </c>
      <c r="N305" t="s">
        <v>37</v>
      </c>
    </row>
    <row r="306" spans="1:16" x14ac:dyDescent="0.25">
      <c r="A306" s="6" t="s">
        <v>64</v>
      </c>
      <c r="L306" t="s">
        <v>39</v>
      </c>
      <c r="M306">
        <f>43*$O$297</f>
        <v>35.173999999999999</v>
      </c>
      <c r="N306" t="s">
        <v>37</v>
      </c>
    </row>
    <row r="307" spans="1:16" s="11" customFormat="1" x14ac:dyDescent="0.25">
      <c r="A307" s="11" t="s">
        <v>331</v>
      </c>
      <c r="L307" s="11" t="s">
        <v>39</v>
      </c>
      <c r="M307" s="11">
        <v>3.7</v>
      </c>
      <c r="N307" s="11" t="s">
        <v>37</v>
      </c>
      <c r="O307" s="11" t="s">
        <v>365</v>
      </c>
    </row>
    <row r="308" spans="1:16" x14ac:dyDescent="0.25">
      <c r="A308" s="4" t="s">
        <v>22</v>
      </c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5"/>
      <c r="M308" s="5"/>
      <c r="N308" s="5"/>
      <c r="O308" s="5"/>
      <c r="P308" s="5"/>
    </row>
    <row r="309" spans="1:16" x14ac:dyDescent="0.25">
      <c r="A309" t="s">
        <v>53</v>
      </c>
      <c r="L309" t="s">
        <v>39</v>
      </c>
      <c r="M309" s="11">
        <v>24.6</v>
      </c>
      <c r="N309" t="s">
        <v>37</v>
      </c>
      <c r="O309" s="11" t="s">
        <v>452</v>
      </c>
      <c r="P309" t="s">
        <v>448</v>
      </c>
    </row>
    <row r="310" spans="1:16" x14ac:dyDescent="0.25">
      <c r="A310" t="s">
        <v>90</v>
      </c>
      <c r="L310" t="s">
        <v>39</v>
      </c>
      <c r="M310" s="11">
        <v>44.5</v>
      </c>
      <c r="N310" t="s">
        <v>37</v>
      </c>
      <c r="O310" s="11" t="s">
        <v>452</v>
      </c>
      <c r="P310" t="s">
        <v>450</v>
      </c>
    </row>
    <row r="311" spans="1:16" x14ac:dyDescent="0.25">
      <c r="A311" t="s">
        <v>305</v>
      </c>
      <c r="L311" t="s">
        <v>39</v>
      </c>
      <c r="M311" s="11">
        <v>69.2</v>
      </c>
      <c r="N311" s="11" t="s">
        <v>37</v>
      </c>
      <c r="O311" s="11" t="s">
        <v>452</v>
      </c>
      <c r="P311" t="s">
        <v>451</v>
      </c>
    </row>
    <row r="312" spans="1:16" x14ac:dyDescent="0.25">
      <c r="A312" t="s">
        <v>239</v>
      </c>
      <c r="L312" t="s">
        <v>39</v>
      </c>
      <c r="M312" s="19">
        <v>29.4</v>
      </c>
      <c r="N312" t="s">
        <v>37</v>
      </c>
      <c r="O312" s="11" t="s">
        <v>452</v>
      </c>
      <c r="P312" t="s">
        <v>449</v>
      </c>
    </row>
    <row r="313" spans="1:16" x14ac:dyDescent="0.25">
      <c r="A313" t="s">
        <v>404</v>
      </c>
      <c r="L313" t="s">
        <v>39</v>
      </c>
      <c r="M313">
        <v>0</v>
      </c>
      <c r="N313" t="s">
        <v>37</v>
      </c>
      <c r="O313" t="s">
        <v>409</v>
      </c>
    </row>
    <row r="314" spans="1:16" x14ac:dyDescent="0.25">
      <c r="A314" t="s">
        <v>405</v>
      </c>
      <c r="L314" t="s">
        <v>39</v>
      </c>
      <c r="M314">
        <v>0</v>
      </c>
      <c r="N314" t="s">
        <v>37</v>
      </c>
    </row>
    <row r="315" spans="1:16" x14ac:dyDescent="0.25">
      <c r="A315" s="4" t="s">
        <v>14</v>
      </c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5"/>
      <c r="M315" s="5"/>
      <c r="N315" s="5"/>
      <c r="O315" s="5"/>
      <c r="P315" s="5"/>
    </row>
    <row r="316" spans="1:16" x14ac:dyDescent="0.25">
      <c r="A316" t="s">
        <v>14</v>
      </c>
      <c r="L316" t="s">
        <v>39</v>
      </c>
      <c r="M316" s="11">
        <v>5.0999999999999996</v>
      </c>
      <c r="N316" t="s">
        <v>37</v>
      </c>
      <c r="O316" s="11"/>
    </row>
    <row r="317" spans="1:16" x14ac:dyDescent="0.25">
      <c r="A317" s="11" t="s">
        <v>332</v>
      </c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 t="s">
        <v>39</v>
      </c>
      <c r="M317" s="11">
        <v>2.5</v>
      </c>
      <c r="N317" s="11" t="s">
        <v>37</v>
      </c>
      <c r="O317" s="11"/>
    </row>
    <row r="318" spans="1:16" x14ac:dyDescent="0.25">
      <c r="A318" s="4" t="s">
        <v>19</v>
      </c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5"/>
      <c r="M318" s="5"/>
      <c r="N318" s="5"/>
      <c r="O318" s="5"/>
      <c r="P318" s="5"/>
    </row>
    <row r="319" spans="1:16" x14ac:dyDescent="0.25">
      <c r="A319" t="s">
        <v>176</v>
      </c>
      <c r="L319" t="s">
        <v>39</v>
      </c>
      <c r="M319">
        <v>5</v>
      </c>
      <c r="N319" t="s">
        <v>37</v>
      </c>
    </row>
    <row r="320" spans="1:16" x14ac:dyDescent="0.25">
      <c r="A320" s="16" t="s">
        <v>177</v>
      </c>
      <c r="L320" t="s">
        <v>39</v>
      </c>
      <c r="M320">
        <v>0.4</v>
      </c>
      <c r="N320" t="s">
        <v>37</v>
      </c>
    </row>
    <row r="321" spans="1:16" x14ac:dyDescent="0.25">
      <c r="A321" s="16" t="s">
        <v>178</v>
      </c>
      <c r="L321" t="s">
        <v>39</v>
      </c>
      <c r="M321" s="6">
        <v>95</v>
      </c>
      <c r="N321" t="s">
        <v>37</v>
      </c>
      <c r="O321" s="6" t="s">
        <v>137</v>
      </c>
    </row>
    <row r="322" spans="1:16" x14ac:dyDescent="0.25">
      <c r="A322" s="16" t="s">
        <v>179</v>
      </c>
      <c r="L322" t="s">
        <v>39</v>
      </c>
      <c r="M322">
        <v>100</v>
      </c>
      <c r="N322" t="s">
        <v>37</v>
      </c>
    </row>
    <row r="323" spans="1:16" x14ac:dyDescent="0.25">
      <c r="A323" s="16" t="s">
        <v>180</v>
      </c>
      <c r="L323" t="s">
        <v>39</v>
      </c>
      <c r="M323">
        <v>100</v>
      </c>
      <c r="N323" t="s">
        <v>37</v>
      </c>
    </row>
    <row r="324" spans="1:16" s="11" customFormat="1" x14ac:dyDescent="0.25">
      <c r="A324" s="11" t="s">
        <v>334</v>
      </c>
      <c r="L324" s="11" t="s">
        <v>39</v>
      </c>
      <c r="M324" s="11">
        <v>100</v>
      </c>
      <c r="N324" s="11" t="s">
        <v>37</v>
      </c>
      <c r="O324" s="11" t="s">
        <v>366</v>
      </c>
    </row>
    <row r="325" spans="1:16" s="11" customFormat="1" x14ac:dyDescent="0.25">
      <c r="A325" s="11" t="s">
        <v>335</v>
      </c>
      <c r="L325" s="11" t="s">
        <v>39</v>
      </c>
      <c r="M325" s="11">
        <v>100</v>
      </c>
      <c r="N325" s="11" t="s">
        <v>37</v>
      </c>
      <c r="O325" s="11" t="s">
        <v>366</v>
      </c>
    </row>
    <row r="326" spans="1:16" x14ac:dyDescent="0.25">
      <c r="A326" s="4" t="s">
        <v>20</v>
      </c>
      <c r="B326" s="4"/>
      <c r="C326" s="4"/>
      <c r="D326" s="4"/>
      <c r="E326" s="33"/>
      <c r="F326" s="4"/>
      <c r="G326" s="4"/>
      <c r="H326" s="4"/>
      <c r="I326" s="4"/>
      <c r="J326" s="4"/>
      <c r="K326" s="4"/>
      <c r="L326" s="5"/>
      <c r="M326" s="5"/>
      <c r="N326" s="5"/>
      <c r="O326" s="5"/>
      <c r="P326" s="5"/>
    </row>
    <row r="327" spans="1:16" s="7" customFormat="1" x14ac:dyDescent="0.25">
      <c r="A327" s="11" t="s">
        <v>336</v>
      </c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 t="s">
        <v>39</v>
      </c>
      <c r="M327" s="11">
        <v>100</v>
      </c>
      <c r="N327" s="11" t="s">
        <v>37</v>
      </c>
      <c r="O327" s="7" t="s">
        <v>366</v>
      </c>
    </row>
    <row r="328" spans="1:16" s="7" customFormat="1" x14ac:dyDescent="0.25">
      <c r="A328" s="11" t="s">
        <v>338</v>
      </c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 t="s">
        <v>39</v>
      </c>
      <c r="M328" s="11">
        <v>100</v>
      </c>
      <c r="N328" s="11" t="s">
        <v>37</v>
      </c>
      <c r="O328" s="7" t="s">
        <v>366</v>
      </c>
    </row>
    <row r="329" spans="1:16" s="7" customFormat="1" x14ac:dyDescent="0.25">
      <c r="A329" s="35" t="s">
        <v>478</v>
      </c>
      <c r="B329" s="36"/>
      <c r="C329" s="3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4"/>
      <c r="P329" s="34"/>
    </row>
    <row r="330" spans="1:16" s="7" customFormat="1" x14ac:dyDescent="0.25">
      <c r="A330" s="11" t="s">
        <v>340</v>
      </c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 t="s">
        <v>39</v>
      </c>
      <c r="M330" s="11">
        <v>100</v>
      </c>
      <c r="N330" s="11" t="s">
        <v>37</v>
      </c>
      <c r="O330" s="7" t="s">
        <v>366</v>
      </c>
    </row>
    <row r="331" spans="1:16" x14ac:dyDescent="0.25">
      <c r="A331" s="4" t="s">
        <v>21</v>
      </c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5"/>
      <c r="M331" s="5"/>
      <c r="N331" s="5"/>
      <c r="O331" s="5"/>
      <c r="P331" s="5"/>
    </row>
    <row r="332" spans="1:16" x14ac:dyDescent="0.25">
      <c r="A332" t="s">
        <v>113</v>
      </c>
      <c r="L332" t="s">
        <v>39</v>
      </c>
      <c r="M332" s="9">
        <v>52</v>
      </c>
      <c r="N332" t="s">
        <v>37</v>
      </c>
      <c r="O332" s="14"/>
    </row>
    <row r="333" spans="1:16" s="11" customFormat="1" x14ac:dyDescent="0.25">
      <c r="A333" s="11" t="s">
        <v>342</v>
      </c>
      <c r="L333" s="11" t="s">
        <v>39</v>
      </c>
      <c r="M333" s="9">
        <v>52</v>
      </c>
      <c r="N333" s="11" t="s">
        <v>37</v>
      </c>
      <c r="O333" s="37" t="s">
        <v>367</v>
      </c>
    </row>
    <row r="334" spans="1:16" s="11" customFormat="1" x14ac:dyDescent="0.25">
      <c r="A334" s="11" t="s">
        <v>120</v>
      </c>
      <c r="L334" s="11" t="s">
        <v>39</v>
      </c>
      <c r="M334" s="9">
        <v>100</v>
      </c>
      <c r="N334" s="11" t="s">
        <v>37</v>
      </c>
      <c r="O334" s="37"/>
    </row>
    <row r="335" spans="1:16" x14ac:dyDescent="0.25">
      <c r="A335" s="4" t="s">
        <v>23</v>
      </c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5"/>
      <c r="M335" s="5"/>
      <c r="N335" s="5"/>
      <c r="O335" s="5"/>
      <c r="P335" s="5"/>
    </row>
    <row r="336" spans="1:16" x14ac:dyDescent="0.25">
      <c r="A336" t="s">
        <v>191</v>
      </c>
      <c r="L336" t="s">
        <v>39</v>
      </c>
      <c r="M336" s="6">
        <v>24</v>
      </c>
      <c r="N336" t="s">
        <v>37</v>
      </c>
      <c r="O336" s="6" t="s">
        <v>196</v>
      </c>
    </row>
    <row r="337" spans="1:16" x14ac:dyDescent="0.25">
      <c r="A337" t="s">
        <v>193</v>
      </c>
      <c r="L337" t="s">
        <v>39</v>
      </c>
      <c r="M337" s="17">
        <f>M336</f>
        <v>24</v>
      </c>
      <c r="N337" s="17" t="s">
        <v>37</v>
      </c>
      <c r="O337" s="17" t="s">
        <v>195</v>
      </c>
    </row>
    <row r="338" spans="1:16" x14ac:dyDescent="0.25">
      <c r="A338" t="s">
        <v>192</v>
      </c>
      <c r="L338" t="s">
        <v>39</v>
      </c>
      <c r="M338">
        <v>61</v>
      </c>
      <c r="N338" t="s">
        <v>37</v>
      </c>
    </row>
    <row r="339" spans="1:16" x14ac:dyDescent="0.25">
      <c r="A339" s="4" t="s">
        <v>28</v>
      </c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5"/>
      <c r="M339" s="5"/>
      <c r="N339" s="5"/>
      <c r="O339" s="5"/>
      <c r="P339" s="5"/>
    </row>
    <row r="340" spans="1:16" x14ac:dyDescent="0.25">
      <c r="A340" t="s">
        <v>201</v>
      </c>
      <c r="L340" t="s">
        <v>39</v>
      </c>
      <c r="M340">
        <v>100</v>
      </c>
      <c r="N340" t="s">
        <v>37</v>
      </c>
    </row>
    <row r="341" spans="1:16" x14ac:dyDescent="0.25">
      <c r="A341" t="s">
        <v>204</v>
      </c>
      <c r="L341" t="s">
        <v>39</v>
      </c>
      <c r="M341">
        <v>4</v>
      </c>
      <c r="N341" t="s">
        <v>37</v>
      </c>
      <c r="O341" t="s">
        <v>108</v>
      </c>
    </row>
    <row r="342" spans="1:16" x14ac:dyDescent="0.25">
      <c r="A342" t="s">
        <v>202</v>
      </c>
      <c r="L342" t="s">
        <v>39</v>
      </c>
      <c r="M342">
        <v>85</v>
      </c>
      <c r="N342" t="s">
        <v>37</v>
      </c>
      <c r="O342" t="s">
        <v>207</v>
      </c>
    </row>
    <row r="343" spans="1:16" x14ac:dyDescent="0.25">
      <c r="A343" t="s">
        <v>205</v>
      </c>
      <c r="L343" t="s">
        <v>39</v>
      </c>
      <c r="M343">
        <v>22</v>
      </c>
      <c r="N343" t="s">
        <v>37</v>
      </c>
      <c r="O343" t="s">
        <v>208</v>
      </c>
    </row>
    <row r="344" spans="1:16" s="11" customFormat="1" x14ac:dyDescent="0.25">
      <c r="A344" s="35" t="s">
        <v>32</v>
      </c>
      <c r="B344" s="35"/>
      <c r="C344" s="35"/>
      <c r="D344" s="35"/>
      <c r="E344" s="35"/>
      <c r="F344" s="35"/>
      <c r="G344" s="35"/>
      <c r="H344" s="35"/>
      <c r="I344" s="35"/>
      <c r="J344" s="35"/>
      <c r="K344" s="35"/>
      <c r="L344" s="36"/>
      <c r="M344" s="36"/>
      <c r="N344" s="36"/>
      <c r="O344" s="36"/>
      <c r="P344" s="36"/>
    </row>
    <row r="345" spans="1:16" s="11" customFormat="1" x14ac:dyDescent="0.25">
      <c r="A345" s="11" t="s">
        <v>344</v>
      </c>
      <c r="B345" s="11" t="s">
        <v>345</v>
      </c>
      <c r="D345" s="38"/>
      <c r="E345" s="38"/>
      <c r="F345" s="38"/>
      <c r="G345" s="38"/>
      <c r="H345" s="38"/>
      <c r="I345" s="38"/>
      <c r="J345" s="38"/>
      <c r="K345" s="38"/>
      <c r="L345" s="11" t="s">
        <v>39</v>
      </c>
      <c r="M345" s="11">
        <v>5</v>
      </c>
      <c r="N345" s="11" t="s">
        <v>37</v>
      </c>
      <c r="O345" s="11" t="s">
        <v>368</v>
      </c>
    </row>
    <row r="346" spans="1:16" s="11" customFormat="1" x14ac:dyDescent="0.25">
      <c r="A346" s="11" t="s">
        <v>346</v>
      </c>
      <c r="B346" s="11" t="s">
        <v>369</v>
      </c>
      <c r="D346" s="38"/>
      <c r="E346" s="38"/>
      <c r="F346" s="38"/>
      <c r="G346" s="38"/>
      <c r="H346" s="38"/>
      <c r="I346" s="38"/>
      <c r="J346" s="38"/>
      <c r="K346" s="38"/>
      <c r="L346" s="11" t="s">
        <v>39</v>
      </c>
      <c r="M346" s="11">
        <v>100</v>
      </c>
      <c r="N346" s="11" t="s">
        <v>37</v>
      </c>
      <c r="O346" s="11" t="s">
        <v>370</v>
      </c>
    </row>
    <row r="347" spans="1:16" s="11" customFormat="1" x14ac:dyDescent="0.25">
      <c r="A347" s="11" t="s">
        <v>348</v>
      </c>
      <c r="B347" s="11" t="s">
        <v>345</v>
      </c>
      <c r="L347" s="11" t="s">
        <v>39</v>
      </c>
      <c r="M347" s="11">
        <v>22</v>
      </c>
      <c r="N347" s="11" t="s">
        <v>37</v>
      </c>
      <c r="O347" s="11" t="s">
        <v>371</v>
      </c>
    </row>
    <row r="348" spans="1:16" s="11" customFormat="1" x14ac:dyDescent="0.25">
      <c r="A348" s="11" t="s">
        <v>349</v>
      </c>
      <c r="B348" s="11" t="s">
        <v>350</v>
      </c>
      <c r="L348" s="11" t="s">
        <v>39</v>
      </c>
      <c r="M348" s="11">
        <v>1</v>
      </c>
      <c r="N348" s="11" t="s">
        <v>37</v>
      </c>
      <c r="O348" s="11" t="s">
        <v>372</v>
      </c>
    </row>
    <row r="349" spans="1:16" s="11" customFormat="1" x14ac:dyDescent="0.25">
      <c r="A349" s="11" t="s">
        <v>351</v>
      </c>
      <c r="B349" s="11" t="s">
        <v>345</v>
      </c>
      <c r="D349" s="38"/>
      <c r="E349" s="38"/>
      <c r="F349" s="38"/>
      <c r="G349" s="38"/>
      <c r="H349" s="38"/>
      <c r="I349" s="38"/>
      <c r="J349" s="38"/>
      <c r="K349" s="38"/>
      <c r="L349" s="11" t="s">
        <v>39</v>
      </c>
      <c r="M349" s="11">
        <v>24</v>
      </c>
      <c r="N349" s="11" t="s">
        <v>37</v>
      </c>
      <c r="O349" s="11" t="s">
        <v>373</v>
      </c>
    </row>
    <row r="350" spans="1:16" s="11" customFormat="1" x14ac:dyDescent="0.25">
      <c r="A350" s="11" t="s">
        <v>352</v>
      </c>
      <c r="B350" s="11" t="s">
        <v>350</v>
      </c>
      <c r="D350" s="38"/>
      <c r="E350" s="38"/>
      <c r="F350" s="38"/>
      <c r="G350" s="38"/>
      <c r="H350" s="38"/>
      <c r="I350" s="38"/>
      <c r="J350" s="38"/>
      <c r="K350" s="38"/>
      <c r="L350" s="11" t="s">
        <v>39</v>
      </c>
      <c r="M350" s="11">
        <v>24</v>
      </c>
      <c r="N350" s="11" t="s">
        <v>37</v>
      </c>
      <c r="O350" s="11" t="s">
        <v>373</v>
      </c>
    </row>
    <row r="351" spans="1:16" s="11" customFormat="1" x14ac:dyDescent="0.25">
      <c r="A351" s="11" t="s">
        <v>353</v>
      </c>
      <c r="B351" s="11" t="s">
        <v>345</v>
      </c>
      <c r="D351" s="38"/>
      <c r="E351" s="38"/>
      <c r="F351" s="38"/>
      <c r="G351" s="38"/>
      <c r="H351" s="38"/>
      <c r="I351" s="38"/>
      <c r="J351" s="38"/>
      <c r="K351" s="38"/>
      <c r="L351" s="11" t="s">
        <v>39</v>
      </c>
      <c r="M351" s="11">
        <v>24</v>
      </c>
      <c r="N351" s="11" t="s">
        <v>37</v>
      </c>
      <c r="O351" s="11" t="s">
        <v>373</v>
      </c>
    </row>
    <row r="352" spans="1:16" s="11" customFormat="1" x14ac:dyDescent="0.25">
      <c r="A352" s="11" t="s">
        <v>354</v>
      </c>
      <c r="B352" s="11" t="s">
        <v>345</v>
      </c>
      <c r="D352" s="38"/>
      <c r="E352" s="38"/>
      <c r="F352" s="38"/>
      <c r="G352" s="38"/>
      <c r="H352" s="38"/>
      <c r="I352" s="38"/>
      <c r="J352" s="38"/>
      <c r="K352" s="38"/>
      <c r="L352" s="11" t="s">
        <v>39</v>
      </c>
      <c r="M352" s="11">
        <v>0.4</v>
      </c>
      <c r="N352" s="11" t="s">
        <v>37</v>
      </c>
      <c r="O352" s="11" t="s">
        <v>374</v>
      </c>
    </row>
    <row r="353" spans="1:16" s="11" customFormat="1" x14ac:dyDescent="0.25">
      <c r="A353" s="11" t="s">
        <v>355</v>
      </c>
      <c r="B353" s="11" t="s">
        <v>345</v>
      </c>
      <c r="D353" s="38"/>
      <c r="E353" s="38"/>
      <c r="F353" s="38"/>
      <c r="G353" s="38"/>
      <c r="H353" s="38"/>
      <c r="I353" s="38"/>
      <c r="J353" s="38"/>
      <c r="K353" s="38"/>
      <c r="L353" s="11" t="s">
        <v>39</v>
      </c>
      <c r="M353" s="11">
        <v>0.4</v>
      </c>
      <c r="N353" s="11" t="s">
        <v>37</v>
      </c>
      <c r="O353" s="11" t="s">
        <v>374</v>
      </c>
    </row>
    <row r="354" spans="1:16" s="11" customFormat="1" x14ac:dyDescent="0.25">
      <c r="A354" s="11" t="s">
        <v>356</v>
      </c>
      <c r="B354" s="11" t="s">
        <v>345</v>
      </c>
      <c r="D354" s="38"/>
      <c r="E354" s="38"/>
      <c r="F354" s="38"/>
      <c r="G354" s="38"/>
      <c r="H354" s="38"/>
      <c r="I354" s="38"/>
      <c r="J354" s="38"/>
      <c r="K354" s="38"/>
      <c r="L354" s="11" t="s">
        <v>39</v>
      </c>
      <c r="M354" s="11">
        <v>24</v>
      </c>
      <c r="N354" s="11" t="s">
        <v>37</v>
      </c>
      <c r="O354" s="11" t="s">
        <v>373</v>
      </c>
    </row>
    <row r="355" spans="1:16" s="11" customFormat="1" x14ac:dyDescent="0.25">
      <c r="A355" s="11" t="s">
        <v>357</v>
      </c>
      <c r="B355" s="11" t="s">
        <v>345</v>
      </c>
      <c r="D355" s="38"/>
      <c r="E355" s="38"/>
      <c r="F355" s="38"/>
      <c r="G355" s="38"/>
      <c r="H355" s="38"/>
      <c r="I355" s="38"/>
      <c r="J355" s="38"/>
      <c r="K355" s="38"/>
      <c r="L355" s="11" t="s">
        <v>39</v>
      </c>
      <c r="M355" s="11">
        <v>0</v>
      </c>
      <c r="N355" s="11" t="s">
        <v>37</v>
      </c>
      <c r="O355" s="11" t="s">
        <v>375</v>
      </c>
    </row>
    <row r="356" spans="1:16" s="11" customFormat="1" x14ac:dyDescent="0.25">
      <c r="A356" s="11" t="s">
        <v>358</v>
      </c>
      <c r="B356" s="11" t="s">
        <v>345</v>
      </c>
      <c r="D356" s="38"/>
      <c r="E356" s="38"/>
      <c r="F356" s="38"/>
      <c r="G356" s="38"/>
      <c r="H356" s="38"/>
      <c r="I356" s="38"/>
      <c r="J356" s="38"/>
      <c r="K356" s="38"/>
      <c r="L356" s="11" t="s">
        <v>39</v>
      </c>
      <c r="M356" s="11">
        <v>24</v>
      </c>
      <c r="N356" s="11" t="s">
        <v>37</v>
      </c>
      <c r="O356" s="11" t="s">
        <v>373</v>
      </c>
    </row>
    <row r="357" spans="1:16" s="11" customFormat="1" x14ac:dyDescent="0.25">
      <c r="A357" s="11" t="s">
        <v>359</v>
      </c>
      <c r="B357" s="11" t="s">
        <v>345</v>
      </c>
      <c r="L357" s="11" t="s">
        <v>39</v>
      </c>
      <c r="M357" s="11">
        <v>24</v>
      </c>
      <c r="N357" s="11" t="s">
        <v>37</v>
      </c>
      <c r="O357" s="11" t="s">
        <v>373</v>
      </c>
    </row>
    <row r="359" spans="1:16" x14ac:dyDescent="0.25">
      <c r="A359" s="2" t="s">
        <v>138</v>
      </c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3"/>
      <c r="M359" s="3"/>
      <c r="N359" s="3"/>
      <c r="O359" s="3"/>
      <c r="P359" s="3"/>
    </row>
    <row r="360" spans="1:16" x14ac:dyDescent="0.25">
      <c r="I360" s="7"/>
      <c r="J360" s="7" t="s">
        <v>44</v>
      </c>
      <c r="K360" s="7"/>
      <c r="L360" s="7" t="s">
        <v>40</v>
      </c>
      <c r="M360" s="7">
        <v>-100</v>
      </c>
      <c r="N360" s="7" t="s">
        <v>45</v>
      </c>
      <c r="O360" s="7" t="s">
        <v>152</v>
      </c>
    </row>
    <row r="361" spans="1:16" x14ac:dyDescent="0.25">
      <c r="I361" s="7"/>
      <c r="J361" s="7" t="s">
        <v>42</v>
      </c>
      <c r="K361" s="7"/>
      <c r="L361" s="7" t="s">
        <v>40</v>
      </c>
      <c r="M361" s="7">
        <v>0</v>
      </c>
      <c r="N361" s="7" t="s">
        <v>37</v>
      </c>
      <c r="O361" s="7" t="s">
        <v>43</v>
      </c>
    </row>
    <row r="362" spans="1:16" x14ac:dyDescent="0.25">
      <c r="A362" s="4" t="s">
        <v>9</v>
      </c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5"/>
      <c r="M362" s="5"/>
      <c r="N362" s="5"/>
      <c r="O362" s="5"/>
      <c r="P362" s="5"/>
    </row>
    <row r="363" spans="1:16" x14ac:dyDescent="0.25">
      <c r="A363" t="s">
        <v>153</v>
      </c>
      <c r="I363" t="s">
        <v>83</v>
      </c>
      <c r="J363" t="s">
        <v>42</v>
      </c>
      <c r="L363" t="s">
        <v>40</v>
      </c>
      <c r="M363" s="11">
        <v>5.3</v>
      </c>
      <c r="N363" t="s">
        <v>37</v>
      </c>
      <c r="O363" t="s">
        <v>143</v>
      </c>
      <c r="P363" t="s">
        <v>93</v>
      </c>
    </row>
    <row r="364" spans="1:16" x14ac:dyDescent="0.25">
      <c r="A364" t="s">
        <v>158</v>
      </c>
      <c r="I364" t="s">
        <v>83</v>
      </c>
      <c r="J364" t="s">
        <v>42</v>
      </c>
      <c r="L364" t="s">
        <v>40</v>
      </c>
      <c r="M364" s="29">
        <f>M363</f>
        <v>5.3</v>
      </c>
      <c r="N364" t="s">
        <v>37</v>
      </c>
    </row>
    <row r="365" spans="1:16" x14ac:dyDescent="0.25">
      <c r="A365" t="s">
        <v>154</v>
      </c>
      <c r="I365" t="s">
        <v>83</v>
      </c>
      <c r="J365" t="s">
        <v>42</v>
      </c>
      <c r="L365" t="s">
        <v>40</v>
      </c>
      <c r="M365" s="11">
        <v>4.9000000000000004</v>
      </c>
      <c r="N365" t="s">
        <v>37</v>
      </c>
      <c r="O365" t="s">
        <v>143</v>
      </c>
      <c r="P365" t="s">
        <v>93</v>
      </c>
    </row>
    <row r="366" spans="1:16" x14ac:dyDescent="0.25">
      <c r="A366" t="s">
        <v>159</v>
      </c>
      <c r="I366" t="s">
        <v>83</v>
      </c>
      <c r="J366" t="s">
        <v>42</v>
      </c>
      <c r="L366" t="s">
        <v>40</v>
      </c>
      <c r="M366" s="29">
        <f>M365</f>
        <v>4.9000000000000004</v>
      </c>
      <c r="N366" t="s">
        <v>37</v>
      </c>
    </row>
    <row r="367" spans="1:16" x14ac:dyDescent="0.25">
      <c r="A367" t="s">
        <v>155</v>
      </c>
      <c r="I367" t="s">
        <v>83</v>
      </c>
      <c r="J367" t="s">
        <v>42</v>
      </c>
      <c r="L367" t="s">
        <v>40</v>
      </c>
      <c r="M367" s="11">
        <v>12.7</v>
      </c>
      <c r="N367" t="s">
        <v>37</v>
      </c>
      <c r="O367" t="s">
        <v>143</v>
      </c>
      <c r="P367" t="s">
        <v>93</v>
      </c>
    </row>
    <row r="368" spans="1:16" x14ac:dyDescent="0.25">
      <c r="A368" t="s">
        <v>160</v>
      </c>
      <c r="I368" t="s">
        <v>83</v>
      </c>
      <c r="J368" t="s">
        <v>42</v>
      </c>
      <c r="L368" t="s">
        <v>40</v>
      </c>
      <c r="M368" s="29">
        <f>M367</f>
        <v>12.7</v>
      </c>
      <c r="N368" t="s">
        <v>37</v>
      </c>
    </row>
    <row r="369" spans="1:16" x14ac:dyDescent="0.25">
      <c r="A369" t="s">
        <v>156</v>
      </c>
      <c r="I369" t="s">
        <v>83</v>
      </c>
      <c r="J369" t="s">
        <v>42</v>
      </c>
      <c r="L369" t="s">
        <v>40</v>
      </c>
      <c r="M369" s="11">
        <v>24</v>
      </c>
      <c r="N369" t="s">
        <v>37</v>
      </c>
      <c r="O369" t="s">
        <v>144</v>
      </c>
      <c r="P369" s="16" t="s">
        <v>141</v>
      </c>
    </row>
    <row r="370" spans="1:16" x14ac:dyDescent="0.25">
      <c r="A370" t="s">
        <v>161</v>
      </c>
      <c r="I370" t="s">
        <v>83</v>
      </c>
      <c r="J370" t="s">
        <v>42</v>
      </c>
      <c r="L370" t="s">
        <v>40</v>
      </c>
      <c r="M370" s="29">
        <f>M369</f>
        <v>24</v>
      </c>
      <c r="N370" t="s">
        <v>37</v>
      </c>
      <c r="P370" s="16"/>
    </row>
    <row r="371" spans="1:16" x14ac:dyDescent="0.25">
      <c r="A371" t="s">
        <v>157</v>
      </c>
      <c r="I371" t="s">
        <v>83</v>
      </c>
      <c r="J371" t="s">
        <v>42</v>
      </c>
      <c r="L371" t="s">
        <v>40</v>
      </c>
      <c r="M371" s="6">
        <v>10</v>
      </c>
      <c r="N371" t="s">
        <v>37</v>
      </c>
    </row>
    <row r="372" spans="1:16" x14ac:dyDescent="0.25">
      <c r="A372" t="s">
        <v>162</v>
      </c>
      <c r="I372" t="s">
        <v>83</v>
      </c>
      <c r="J372" t="s">
        <v>42</v>
      </c>
      <c r="L372" t="s">
        <v>40</v>
      </c>
      <c r="M372" s="29">
        <f>M371</f>
        <v>10</v>
      </c>
      <c r="N372" t="s">
        <v>37</v>
      </c>
    </row>
    <row r="373" spans="1:16" s="11" customFormat="1" x14ac:dyDescent="0.25">
      <c r="A373" s="11" t="s">
        <v>364</v>
      </c>
      <c r="I373" s="11" t="s">
        <v>83</v>
      </c>
      <c r="J373" s="11" t="s">
        <v>42</v>
      </c>
      <c r="L373" s="11" t="s">
        <v>40</v>
      </c>
      <c r="M373" s="11">
        <v>0</v>
      </c>
      <c r="N373" s="11" t="s">
        <v>37</v>
      </c>
      <c r="O373" s="11" t="s">
        <v>394</v>
      </c>
    </row>
    <row r="374" spans="1:16" x14ac:dyDescent="0.25">
      <c r="A374" s="4" t="s">
        <v>10</v>
      </c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5"/>
      <c r="M374" s="5"/>
      <c r="N374" s="5"/>
      <c r="O374" s="5"/>
      <c r="P374" s="5"/>
    </row>
    <row r="375" spans="1:16" x14ac:dyDescent="0.25">
      <c r="A375" s="11" t="s">
        <v>94</v>
      </c>
      <c r="I375" t="s">
        <v>83</v>
      </c>
      <c r="J375" t="s">
        <v>42</v>
      </c>
      <c r="L375" t="s">
        <v>40</v>
      </c>
      <c r="M375" s="11">
        <v>12</v>
      </c>
      <c r="N375" t="s">
        <v>37</v>
      </c>
      <c r="P375" s="16" t="s">
        <v>141</v>
      </c>
    </row>
    <row r="376" spans="1:16" x14ac:dyDescent="0.25">
      <c r="A376" s="11" t="s">
        <v>95</v>
      </c>
      <c r="I376" t="s">
        <v>83</v>
      </c>
      <c r="J376" t="s">
        <v>42</v>
      </c>
      <c r="L376" t="s">
        <v>40</v>
      </c>
      <c r="M376" s="11">
        <v>12</v>
      </c>
      <c r="N376" t="s">
        <v>37</v>
      </c>
      <c r="P376" s="16" t="s">
        <v>141</v>
      </c>
    </row>
    <row r="377" spans="1:16" x14ac:dyDescent="0.25">
      <c r="A377" s="11" t="s">
        <v>183</v>
      </c>
      <c r="I377" t="s">
        <v>83</v>
      </c>
      <c r="J377" t="s">
        <v>42</v>
      </c>
      <c r="L377" t="s">
        <v>40</v>
      </c>
      <c r="M377" s="11">
        <v>0</v>
      </c>
      <c r="N377" t="s">
        <v>37</v>
      </c>
    </row>
    <row r="378" spans="1:16" x14ac:dyDescent="0.25">
      <c r="A378" s="11" t="s">
        <v>96</v>
      </c>
      <c r="I378" t="s">
        <v>83</v>
      </c>
      <c r="J378" t="s">
        <v>42</v>
      </c>
      <c r="L378" t="s">
        <v>40</v>
      </c>
      <c r="M378" s="11">
        <v>0</v>
      </c>
      <c r="N378" t="s">
        <v>37</v>
      </c>
    </row>
    <row r="379" spans="1:16" x14ac:dyDescent="0.25">
      <c r="A379" s="4" t="s">
        <v>11</v>
      </c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5"/>
      <c r="M379" s="5"/>
      <c r="N379" s="5"/>
      <c r="O379" s="5"/>
      <c r="P379" s="5"/>
    </row>
    <row r="380" spans="1:16" x14ac:dyDescent="0.25">
      <c r="A380" s="11" t="s">
        <v>122</v>
      </c>
      <c r="I380" t="s">
        <v>83</v>
      </c>
      <c r="J380" t="s">
        <v>42</v>
      </c>
      <c r="L380" t="s">
        <v>40</v>
      </c>
      <c r="M380" s="11">
        <v>25</v>
      </c>
      <c r="N380" t="s">
        <v>37</v>
      </c>
      <c r="O380" t="s">
        <v>146</v>
      </c>
      <c r="P380" s="16" t="s">
        <v>141</v>
      </c>
    </row>
    <row r="381" spans="1:16" s="11" customFormat="1" x14ac:dyDescent="0.25">
      <c r="A381" s="11" t="s">
        <v>329</v>
      </c>
      <c r="I381" s="11" t="s">
        <v>83</v>
      </c>
      <c r="J381" s="11" t="s">
        <v>42</v>
      </c>
      <c r="L381" s="11" t="s">
        <v>40</v>
      </c>
      <c r="M381" s="11">
        <v>25</v>
      </c>
      <c r="N381" s="11" t="s">
        <v>37</v>
      </c>
      <c r="O381" s="11" t="s">
        <v>376</v>
      </c>
      <c r="P381" s="11" t="s">
        <v>141</v>
      </c>
    </row>
    <row r="382" spans="1:16" x14ac:dyDescent="0.25">
      <c r="A382" s="11" t="s">
        <v>128</v>
      </c>
      <c r="I382" t="s">
        <v>83</v>
      </c>
      <c r="J382" t="s">
        <v>42</v>
      </c>
      <c r="L382" t="s">
        <v>40</v>
      </c>
      <c r="M382" s="11">
        <v>13</v>
      </c>
      <c r="N382" t="s">
        <v>37</v>
      </c>
      <c r="O382" t="s">
        <v>147</v>
      </c>
      <c r="P382" s="16" t="s">
        <v>141</v>
      </c>
    </row>
    <row r="383" spans="1:16" x14ac:dyDescent="0.25">
      <c r="A383" s="11" t="s">
        <v>125</v>
      </c>
      <c r="I383" t="s">
        <v>83</v>
      </c>
      <c r="J383" t="s">
        <v>42</v>
      </c>
      <c r="L383" t="s">
        <v>40</v>
      </c>
      <c r="M383" s="11">
        <v>19</v>
      </c>
      <c r="N383" t="s">
        <v>37</v>
      </c>
      <c r="O383" t="s">
        <v>145</v>
      </c>
      <c r="P383" s="16" t="s">
        <v>141</v>
      </c>
    </row>
    <row r="384" spans="1:16" x14ac:dyDescent="0.25">
      <c r="A384" s="11" t="s">
        <v>102</v>
      </c>
      <c r="I384" t="s">
        <v>83</v>
      </c>
      <c r="J384" t="s">
        <v>42</v>
      </c>
      <c r="L384" t="s">
        <v>40</v>
      </c>
      <c r="M384" s="11">
        <v>9</v>
      </c>
      <c r="N384" t="s">
        <v>37</v>
      </c>
      <c r="O384" t="s">
        <v>149</v>
      </c>
      <c r="P384" s="16" t="s">
        <v>141</v>
      </c>
    </row>
    <row r="385" spans="1:16" x14ac:dyDescent="0.25">
      <c r="A385" s="11" t="s">
        <v>105</v>
      </c>
      <c r="I385" t="s">
        <v>83</v>
      </c>
      <c r="J385" t="s">
        <v>42</v>
      </c>
      <c r="L385" t="s">
        <v>40</v>
      </c>
      <c r="M385" s="11">
        <v>11</v>
      </c>
      <c r="N385" t="s">
        <v>37</v>
      </c>
      <c r="O385" s="16" t="s">
        <v>148</v>
      </c>
      <c r="P385" s="16" t="s">
        <v>141</v>
      </c>
    </row>
    <row r="386" spans="1:16" x14ac:dyDescent="0.25">
      <c r="A386" s="11" t="s">
        <v>135</v>
      </c>
      <c r="I386" t="s">
        <v>83</v>
      </c>
      <c r="J386" t="s">
        <v>42</v>
      </c>
      <c r="L386" t="s">
        <v>40</v>
      </c>
      <c r="M386" s="6">
        <f>AVERAGE(M382:M385)</f>
        <v>13</v>
      </c>
      <c r="N386" t="s">
        <v>37</v>
      </c>
      <c r="O386" s="16"/>
      <c r="P386" s="16"/>
    </row>
    <row r="387" spans="1:16" x14ac:dyDescent="0.25">
      <c r="A387" s="4" t="s">
        <v>12</v>
      </c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5"/>
      <c r="M387" s="5"/>
      <c r="N387" s="5"/>
      <c r="O387" s="5"/>
      <c r="P387" s="5"/>
    </row>
    <row r="388" spans="1:16" x14ac:dyDescent="0.25">
      <c r="A388" s="11" t="s">
        <v>214</v>
      </c>
      <c r="J388" t="s">
        <v>42</v>
      </c>
      <c r="L388" t="s">
        <v>40</v>
      </c>
      <c r="M388" s="11">
        <v>7.9</v>
      </c>
      <c r="N388" s="11" t="s">
        <v>37</v>
      </c>
      <c r="O388" t="s">
        <v>219</v>
      </c>
      <c r="P388" t="s">
        <v>141</v>
      </c>
    </row>
    <row r="389" spans="1:16" x14ac:dyDescent="0.25">
      <c r="A389" s="11" t="s">
        <v>215</v>
      </c>
      <c r="J389" t="s">
        <v>42</v>
      </c>
      <c r="L389" t="s">
        <v>40</v>
      </c>
      <c r="M389" s="11">
        <v>7.9</v>
      </c>
      <c r="N389" s="11" t="s">
        <v>37</v>
      </c>
      <c r="O389" t="s">
        <v>219</v>
      </c>
      <c r="P389" t="s">
        <v>141</v>
      </c>
    </row>
    <row r="390" spans="1:16" x14ac:dyDescent="0.25">
      <c r="A390" s="11" t="s">
        <v>216</v>
      </c>
      <c r="J390" t="s">
        <v>42</v>
      </c>
      <c r="L390" t="s">
        <v>40</v>
      </c>
      <c r="M390" s="11">
        <v>7.9</v>
      </c>
      <c r="N390" s="11" t="s">
        <v>37</v>
      </c>
      <c r="O390" t="s">
        <v>219</v>
      </c>
      <c r="P390" t="s">
        <v>141</v>
      </c>
    </row>
    <row r="391" spans="1:16" x14ac:dyDescent="0.25">
      <c r="A391" s="11" t="s">
        <v>218</v>
      </c>
      <c r="J391" t="s">
        <v>42</v>
      </c>
      <c r="L391" t="s">
        <v>40</v>
      </c>
      <c r="M391" s="11">
        <v>7.9</v>
      </c>
      <c r="N391" s="11" t="s">
        <v>37</v>
      </c>
      <c r="O391" t="s">
        <v>219</v>
      </c>
      <c r="P391" t="s">
        <v>141</v>
      </c>
    </row>
    <row r="392" spans="1:16" x14ac:dyDescent="0.25">
      <c r="A392" s="4" t="s">
        <v>13</v>
      </c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5"/>
      <c r="M392" s="5"/>
      <c r="N392" s="5"/>
      <c r="O392" s="5"/>
      <c r="P392" s="5"/>
    </row>
    <row r="393" spans="1:16" x14ac:dyDescent="0.25">
      <c r="A393" s="6"/>
      <c r="B393" t="s">
        <v>78</v>
      </c>
      <c r="I393" t="s">
        <v>83</v>
      </c>
      <c r="J393" t="s">
        <v>42</v>
      </c>
      <c r="L393" t="s">
        <v>40</v>
      </c>
      <c r="M393" s="19">
        <v>15.75</v>
      </c>
      <c r="N393" t="s">
        <v>37</v>
      </c>
      <c r="O393" t="s">
        <v>142</v>
      </c>
      <c r="P393" t="s">
        <v>89</v>
      </c>
    </row>
    <row r="394" spans="1:16" x14ac:dyDescent="0.25">
      <c r="A394" s="4" t="s">
        <v>22</v>
      </c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5"/>
      <c r="M394" s="5"/>
      <c r="N394" s="5"/>
      <c r="O394" s="5"/>
      <c r="P394" s="5"/>
    </row>
    <row r="395" spans="1:16" x14ac:dyDescent="0.25">
      <c r="A395" t="s">
        <v>53</v>
      </c>
      <c r="I395" t="s">
        <v>83</v>
      </c>
      <c r="J395" t="s">
        <v>42</v>
      </c>
      <c r="L395" t="s">
        <v>40</v>
      </c>
      <c r="M395" s="6">
        <v>2.2999999999999998</v>
      </c>
      <c r="N395" t="s">
        <v>37</v>
      </c>
      <c r="O395" t="s">
        <v>290</v>
      </c>
    </row>
    <row r="396" spans="1:16" x14ac:dyDescent="0.25">
      <c r="A396" t="s">
        <v>90</v>
      </c>
      <c r="I396" t="s">
        <v>83</v>
      </c>
      <c r="J396" t="s">
        <v>42</v>
      </c>
      <c r="L396" t="s">
        <v>40</v>
      </c>
      <c r="M396" s="6">
        <v>18.100000000000001</v>
      </c>
      <c r="N396" t="s">
        <v>37</v>
      </c>
      <c r="O396" t="s">
        <v>290</v>
      </c>
    </row>
    <row r="397" spans="1:16" x14ac:dyDescent="0.25">
      <c r="A397" t="s">
        <v>305</v>
      </c>
      <c r="I397" t="s">
        <v>83</v>
      </c>
      <c r="J397" t="s">
        <v>42</v>
      </c>
      <c r="L397" t="s">
        <v>40</v>
      </c>
      <c r="M397" s="6">
        <v>21</v>
      </c>
      <c r="N397" t="s">
        <v>37</v>
      </c>
      <c r="O397" t="s">
        <v>290</v>
      </c>
    </row>
    <row r="398" spans="1:16" x14ac:dyDescent="0.25">
      <c r="A398" t="s">
        <v>239</v>
      </c>
      <c r="I398" t="s">
        <v>83</v>
      </c>
      <c r="J398" t="s">
        <v>42</v>
      </c>
      <c r="L398" t="s">
        <v>40</v>
      </c>
      <c r="M398" s="6">
        <v>0.95</v>
      </c>
      <c r="N398" t="s">
        <v>37</v>
      </c>
      <c r="O398" t="s">
        <v>290</v>
      </c>
    </row>
    <row r="399" spans="1:16" x14ac:dyDescent="0.25">
      <c r="A399" t="s">
        <v>404</v>
      </c>
      <c r="I399" t="s">
        <v>83</v>
      </c>
      <c r="J399" t="s">
        <v>42</v>
      </c>
      <c r="L399" t="s">
        <v>39</v>
      </c>
      <c r="M399" s="12">
        <f>M395*0.6+M396*0.4</f>
        <v>8.620000000000001</v>
      </c>
      <c r="N399" t="s">
        <v>37</v>
      </c>
      <c r="O399" t="s">
        <v>410</v>
      </c>
    </row>
    <row r="400" spans="1:16" x14ac:dyDescent="0.25">
      <c r="A400" t="s">
        <v>405</v>
      </c>
      <c r="I400" t="s">
        <v>83</v>
      </c>
      <c r="J400" t="s">
        <v>42</v>
      </c>
      <c r="L400" t="s">
        <v>39</v>
      </c>
      <c r="M400" s="12">
        <f>M395*0.6+M396*0.4</f>
        <v>8.620000000000001</v>
      </c>
      <c r="N400" t="s">
        <v>37</v>
      </c>
      <c r="O400" t="s">
        <v>411</v>
      </c>
    </row>
    <row r="401" spans="1:16" x14ac:dyDescent="0.25">
      <c r="A401" s="4" t="s">
        <v>14</v>
      </c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5"/>
      <c r="M401" s="5"/>
      <c r="N401" s="5"/>
      <c r="O401" s="5"/>
      <c r="P401" s="5"/>
    </row>
    <row r="402" spans="1:16" x14ac:dyDescent="0.25">
      <c r="A402" t="s">
        <v>14</v>
      </c>
      <c r="I402" t="s">
        <v>83</v>
      </c>
      <c r="J402" t="s">
        <v>42</v>
      </c>
      <c r="L402" t="s">
        <v>40</v>
      </c>
      <c r="M402" s="6">
        <v>16.5</v>
      </c>
      <c r="N402" t="s">
        <v>37</v>
      </c>
      <c r="O402" s="6" t="s">
        <v>293</v>
      </c>
      <c r="P402" s="16" t="s">
        <v>189</v>
      </c>
    </row>
    <row r="403" spans="1:16" s="11" customFormat="1" x14ac:dyDescent="0.25">
      <c r="A403" s="11" t="s">
        <v>332</v>
      </c>
      <c r="I403" s="11" t="s">
        <v>83</v>
      </c>
      <c r="J403" s="11" t="s">
        <v>42</v>
      </c>
      <c r="L403" s="11" t="s">
        <v>40</v>
      </c>
      <c r="M403" s="11">
        <v>16.5</v>
      </c>
      <c r="N403" s="11" t="s">
        <v>37</v>
      </c>
    </row>
    <row r="404" spans="1:16" x14ac:dyDescent="0.25">
      <c r="A404" s="4" t="s">
        <v>19</v>
      </c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5"/>
      <c r="M404" s="5"/>
      <c r="N404" s="5"/>
      <c r="O404" s="5"/>
      <c r="P404" s="5"/>
    </row>
    <row r="405" spans="1:16" x14ac:dyDescent="0.25">
      <c r="B405" t="s">
        <v>181</v>
      </c>
      <c r="J405" t="s">
        <v>42</v>
      </c>
      <c r="L405" t="s">
        <v>40</v>
      </c>
      <c r="M405">
        <v>34.200000000000003</v>
      </c>
      <c r="N405" t="s">
        <v>37</v>
      </c>
      <c r="O405" t="s">
        <v>188</v>
      </c>
      <c r="P405" s="16" t="s">
        <v>189</v>
      </c>
    </row>
    <row r="406" spans="1:16" s="11" customFormat="1" x14ac:dyDescent="0.25">
      <c r="A406" s="35" t="s">
        <v>20</v>
      </c>
      <c r="B406" s="35"/>
      <c r="C406" s="35"/>
      <c r="D406" s="35"/>
      <c r="E406" s="35"/>
      <c r="F406" s="35"/>
      <c r="G406" s="35"/>
      <c r="H406" s="35"/>
      <c r="I406" s="35"/>
      <c r="J406" s="35"/>
      <c r="K406" s="35"/>
      <c r="L406" s="36"/>
      <c r="M406" s="36"/>
      <c r="N406" s="36"/>
      <c r="O406" s="36"/>
      <c r="P406" s="36"/>
    </row>
    <row r="407" spans="1:16" s="11" customFormat="1" x14ac:dyDescent="0.25">
      <c r="A407" s="11" t="s">
        <v>336</v>
      </c>
      <c r="I407" s="11" t="s">
        <v>83</v>
      </c>
      <c r="J407" s="11" t="s">
        <v>42</v>
      </c>
      <c r="L407" s="11" t="s">
        <v>40</v>
      </c>
      <c r="M407" s="11">
        <v>0</v>
      </c>
      <c r="N407" s="11" t="s">
        <v>37</v>
      </c>
      <c r="O407" s="11" t="s">
        <v>377</v>
      </c>
    </row>
    <row r="408" spans="1:16" s="11" customFormat="1" x14ac:dyDescent="0.25">
      <c r="A408" s="11" t="s">
        <v>338</v>
      </c>
      <c r="I408" s="11" t="s">
        <v>83</v>
      </c>
      <c r="J408" s="11" t="s">
        <v>42</v>
      </c>
      <c r="L408" s="11" t="s">
        <v>40</v>
      </c>
      <c r="M408" s="11">
        <v>0</v>
      </c>
      <c r="N408" s="11" t="s">
        <v>37</v>
      </c>
      <c r="O408" s="11" t="s">
        <v>377</v>
      </c>
    </row>
    <row r="409" spans="1:16" s="11" customFormat="1" x14ac:dyDescent="0.25">
      <c r="A409" s="35" t="s">
        <v>478</v>
      </c>
      <c r="B409" s="36"/>
      <c r="C409" s="3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</row>
    <row r="410" spans="1:16" s="11" customFormat="1" x14ac:dyDescent="0.25">
      <c r="A410" s="11" t="s">
        <v>340</v>
      </c>
      <c r="I410" s="11" t="s">
        <v>83</v>
      </c>
      <c r="J410" s="11" t="s">
        <v>42</v>
      </c>
      <c r="L410" s="11" t="s">
        <v>40</v>
      </c>
      <c r="M410" s="11">
        <v>0</v>
      </c>
      <c r="N410" s="11" t="s">
        <v>37</v>
      </c>
      <c r="O410" s="11" t="s">
        <v>378</v>
      </c>
    </row>
    <row r="411" spans="1:16" x14ac:dyDescent="0.25">
      <c r="A411" s="4" t="s">
        <v>21</v>
      </c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5"/>
      <c r="M411" s="5"/>
      <c r="N411" s="5"/>
      <c r="O411" s="5"/>
      <c r="P411" s="5"/>
    </row>
    <row r="412" spans="1:16" x14ac:dyDescent="0.25">
      <c r="A412" t="s">
        <v>113</v>
      </c>
      <c r="I412" t="s">
        <v>83</v>
      </c>
      <c r="J412" t="s">
        <v>42</v>
      </c>
      <c r="L412" t="s">
        <v>40</v>
      </c>
      <c r="M412" s="13">
        <v>1</v>
      </c>
      <c r="N412" t="s">
        <v>37</v>
      </c>
    </row>
    <row r="413" spans="1:16" s="11" customFormat="1" x14ac:dyDescent="0.25">
      <c r="A413" s="11" t="s">
        <v>342</v>
      </c>
      <c r="I413" s="11" t="s">
        <v>83</v>
      </c>
      <c r="J413" s="11" t="s">
        <v>42</v>
      </c>
      <c r="L413" s="11" t="s">
        <v>40</v>
      </c>
      <c r="M413" s="9">
        <v>1</v>
      </c>
      <c r="N413" s="11" t="s">
        <v>37</v>
      </c>
    </row>
    <row r="414" spans="1:16" x14ac:dyDescent="0.25">
      <c r="A414" s="4" t="s">
        <v>28</v>
      </c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5"/>
      <c r="M414" s="5"/>
      <c r="N414" s="5"/>
      <c r="O414" s="5"/>
      <c r="P414" s="5"/>
    </row>
    <row r="415" spans="1:16" x14ac:dyDescent="0.25">
      <c r="A415" t="s">
        <v>201</v>
      </c>
      <c r="J415" t="s">
        <v>42</v>
      </c>
      <c r="L415" t="s">
        <v>40</v>
      </c>
      <c r="M415" s="11">
        <v>24.7</v>
      </c>
      <c r="N415" t="s">
        <v>37</v>
      </c>
      <c r="O415" t="s">
        <v>209</v>
      </c>
      <c r="P415" s="16" t="s">
        <v>141</v>
      </c>
    </row>
    <row r="416" spans="1:16" x14ac:dyDescent="0.25">
      <c r="A416" t="s">
        <v>204</v>
      </c>
      <c r="J416" t="s">
        <v>42</v>
      </c>
      <c r="L416" t="s">
        <v>40</v>
      </c>
      <c r="M416" s="11">
        <v>8</v>
      </c>
      <c r="N416" t="s">
        <v>37</v>
      </c>
      <c r="O416" t="s">
        <v>140</v>
      </c>
      <c r="P416" s="16" t="s">
        <v>141</v>
      </c>
    </row>
    <row r="417" spans="1:16" x14ac:dyDescent="0.25">
      <c r="A417" t="s">
        <v>202</v>
      </c>
      <c r="J417" t="s">
        <v>42</v>
      </c>
      <c r="L417" t="s">
        <v>40</v>
      </c>
      <c r="M417">
        <v>7.9</v>
      </c>
      <c r="N417" t="s">
        <v>37</v>
      </c>
      <c r="O417" t="s">
        <v>221</v>
      </c>
      <c r="P417" s="16" t="s">
        <v>141</v>
      </c>
    </row>
    <row r="418" spans="1:16" x14ac:dyDescent="0.25">
      <c r="A418" t="s">
        <v>205</v>
      </c>
      <c r="J418" t="s">
        <v>42</v>
      </c>
      <c r="L418" t="s">
        <v>40</v>
      </c>
      <c r="M418">
        <v>4.7</v>
      </c>
      <c r="N418" t="s">
        <v>37</v>
      </c>
      <c r="O418" t="s">
        <v>210</v>
      </c>
      <c r="P418" s="16" t="s">
        <v>141</v>
      </c>
    </row>
    <row r="419" spans="1:16" x14ac:dyDescent="0.25">
      <c r="A419" s="4" t="s">
        <v>32</v>
      </c>
      <c r="B419" s="4"/>
      <c r="C419" s="4"/>
      <c r="D419" s="4"/>
      <c r="E419" s="33"/>
      <c r="F419" s="4"/>
      <c r="G419" s="4"/>
      <c r="H419" s="4"/>
      <c r="I419" s="4"/>
      <c r="J419" s="4"/>
      <c r="K419" s="4"/>
      <c r="L419" s="5"/>
      <c r="M419" s="5"/>
      <c r="N419" s="5"/>
      <c r="O419" s="5"/>
      <c r="P419" s="5"/>
    </row>
    <row r="420" spans="1:16" s="11" customFormat="1" x14ac:dyDescent="0.25">
      <c r="A420" s="11" t="s">
        <v>344</v>
      </c>
      <c r="D420" s="38"/>
      <c r="E420" s="38"/>
      <c r="F420" s="38"/>
      <c r="G420" s="38"/>
      <c r="H420" s="38"/>
      <c r="I420" s="38"/>
      <c r="J420" s="11" t="s">
        <v>42</v>
      </c>
      <c r="K420" s="38"/>
      <c r="L420" s="11" t="s">
        <v>40</v>
      </c>
      <c r="M420" s="11">
        <v>34.200000000000003</v>
      </c>
      <c r="N420" s="11" t="s">
        <v>37</v>
      </c>
      <c r="O420" s="11" t="s">
        <v>368</v>
      </c>
    </row>
    <row r="421" spans="1:16" s="11" customFormat="1" x14ac:dyDescent="0.25">
      <c r="A421" s="11" t="s">
        <v>348</v>
      </c>
      <c r="J421" s="11" t="s">
        <v>42</v>
      </c>
      <c r="L421" s="11" t="s">
        <v>40</v>
      </c>
      <c r="M421" s="11">
        <v>5.3</v>
      </c>
      <c r="N421" s="11" t="s">
        <v>37</v>
      </c>
      <c r="O421" s="11" t="s">
        <v>371</v>
      </c>
    </row>
    <row r="422" spans="1:16" s="11" customFormat="1" x14ac:dyDescent="0.25">
      <c r="A422" s="11" t="s">
        <v>349</v>
      </c>
      <c r="J422" s="11" t="s">
        <v>42</v>
      </c>
      <c r="L422" s="11" t="s">
        <v>40</v>
      </c>
      <c r="M422" s="11">
        <v>24</v>
      </c>
      <c r="N422" s="11" t="s">
        <v>37</v>
      </c>
      <c r="O422" s="11" t="s">
        <v>372</v>
      </c>
    </row>
    <row r="425" spans="1:16" x14ac:dyDescent="0.25">
      <c r="A425" s="2" t="s">
        <v>57</v>
      </c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3"/>
      <c r="M425" s="3"/>
      <c r="N425" s="3"/>
      <c r="O425" s="3"/>
      <c r="P425" s="3"/>
    </row>
    <row r="426" spans="1:16" x14ac:dyDescent="0.25">
      <c r="L426" s="7" t="s">
        <v>81</v>
      </c>
      <c r="M426" s="7">
        <v>0</v>
      </c>
      <c r="N426" s="7" t="s">
        <v>37</v>
      </c>
      <c r="O426" s="7" t="s">
        <v>43</v>
      </c>
    </row>
    <row r="427" spans="1:16" x14ac:dyDescent="0.25">
      <c r="L427" s="7" t="s">
        <v>82</v>
      </c>
      <c r="M427" s="7">
        <v>0</v>
      </c>
      <c r="N427" s="7" t="s">
        <v>37</v>
      </c>
      <c r="O427" s="7" t="s">
        <v>43</v>
      </c>
    </row>
    <row r="428" spans="1:16" x14ac:dyDescent="0.25">
      <c r="A428" s="4" t="s">
        <v>9</v>
      </c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5"/>
      <c r="M428" s="5"/>
      <c r="N428" s="5"/>
      <c r="O428" s="5"/>
      <c r="P428" s="5"/>
    </row>
    <row r="429" spans="1:16" x14ac:dyDescent="0.25">
      <c r="A429" t="s">
        <v>153</v>
      </c>
      <c r="D429" t="s">
        <v>36</v>
      </c>
      <c r="L429" t="s">
        <v>81</v>
      </c>
      <c r="M429">
        <v>79</v>
      </c>
      <c r="N429" t="s">
        <v>37</v>
      </c>
      <c r="P429" t="s">
        <v>87</v>
      </c>
    </row>
    <row r="430" spans="1:16" x14ac:dyDescent="0.25">
      <c r="A430" t="s">
        <v>153</v>
      </c>
      <c r="D430" t="s">
        <v>36</v>
      </c>
      <c r="H430" t="s">
        <v>311</v>
      </c>
      <c r="L430" t="s">
        <v>82</v>
      </c>
      <c r="M430">
        <f>19+2</f>
        <v>21</v>
      </c>
      <c r="N430" t="s">
        <v>37</v>
      </c>
      <c r="O430" t="s">
        <v>313</v>
      </c>
      <c r="P430" t="s">
        <v>87</v>
      </c>
    </row>
    <row r="431" spans="1:16" x14ac:dyDescent="0.25">
      <c r="A431" t="s">
        <v>158</v>
      </c>
      <c r="D431" t="s">
        <v>36</v>
      </c>
      <c r="L431" t="s">
        <v>81</v>
      </c>
      <c r="M431">
        <v>95</v>
      </c>
      <c r="N431" t="s">
        <v>37</v>
      </c>
      <c r="P431" s="6" t="s">
        <v>310</v>
      </c>
    </row>
    <row r="432" spans="1:16" x14ac:dyDescent="0.25">
      <c r="A432" t="s">
        <v>158</v>
      </c>
      <c r="D432" t="s">
        <v>36</v>
      </c>
      <c r="H432" t="s">
        <v>311</v>
      </c>
      <c r="L432" t="s">
        <v>82</v>
      </c>
      <c r="M432">
        <v>5</v>
      </c>
      <c r="N432" t="s">
        <v>37</v>
      </c>
      <c r="O432" t="s">
        <v>312</v>
      </c>
      <c r="P432" s="6" t="s">
        <v>310</v>
      </c>
    </row>
    <row r="433" spans="1:16" x14ac:dyDescent="0.25">
      <c r="A433" t="s">
        <v>154</v>
      </c>
      <c r="D433" t="s">
        <v>47</v>
      </c>
      <c r="L433" t="s">
        <v>81</v>
      </c>
      <c r="M433">
        <v>72</v>
      </c>
      <c r="N433" t="s">
        <v>37</v>
      </c>
      <c r="P433" t="s">
        <v>87</v>
      </c>
    </row>
    <row r="434" spans="1:16" x14ac:dyDescent="0.25">
      <c r="A434" t="s">
        <v>154</v>
      </c>
      <c r="D434" t="s">
        <v>47</v>
      </c>
      <c r="H434" t="s">
        <v>311</v>
      </c>
      <c r="L434" t="s">
        <v>82</v>
      </c>
      <c r="M434">
        <v>19</v>
      </c>
      <c r="N434" t="s">
        <v>37</v>
      </c>
      <c r="O434" t="s">
        <v>314</v>
      </c>
      <c r="P434" t="s">
        <v>87</v>
      </c>
    </row>
    <row r="435" spans="1:16" x14ac:dyDescent="0.25">
      <c r="A435" t="s">
        <v>159</v>
      </c>
      <c r="D435" t="s">
        <v>47</v>
      </c>
      <c r="L435" t="s">
        <v>81</v>
      </c>
      <c r="M435">
        <v>91</v>
      </c>
      <c r="N435" t="s">
        <v>37</v>
      </c>
      <c r="P435" t="s">
        <v>87</v>
      </c>
    </row>
    <row r="436" spans="1:16" x14ac:dyDescent="0.25">
      <c r="A436" t="s">
        <v>159</v>
      </c>
      <c r="D436" t="s">
        <v>47</v>
      </c>
      <c r="H436" t="s">
        <v>311</v>
      </c>
      <c r="L436" t="s">
        <v>82</v>
      </c>
      <c r="M436">
        <v>9</v>
      </c>
      <c r="N436" t="s">
        <v>37</v>
      </c>
      <c r="O436" t="s">
        <v>315</v>
      </c>
      <c r="P436" t="s">
        <v>87</v>
      </c>
    </row>
    <row r="437" spans="1:16" x14ac:dyDescent="0.25">
      <c r="A437" t="s">
        <v>155</v>
      </c>
      <c r="D437" t="s">
        <v>85</v>
      </c>
      <c r="L437" t="s">
        <v>81</v>
      </c>
      <c r="M437">
        <v>80</v>
      </c>
      <c r="N437" t="s">
        <v>37</v>
      </c>
      <c r="P437" t="s">
        <v>87</v>
      </c>
    </row>
    <row r="438" spans="1:16" x14ac:dyDescent="0.25">
      <c r="A438" t="s">
        <v>155</v>
      </c>
      <c r="D438" t="s">
        <v>85</v>
      </c>
      <c r="H438" t="s">
        <v>311</v>
      </c>
      <c r="L438" t="s">
        <v>82</v>
      </c>
      <c r="M438">
        <v>20</v>
      </c>
      <c r="N438" t="s">
        <v>37</v>
      </c>
      <c r="O438" t="s">
        <v>316</v>
      </c>
      <c r="P438" t="s">
        <v>87</v>
      </c>
    </row>
    <row r="439" spans="1:16" x14ac:dyDescent="0.25">
      <c r="A439" t="s">
        <v>160</v>
      </c>
      <c r="D439" t="s">
        <v>85</v>
      </c>
      <c r="L439" t="s">
        <v>81</v>
      </c>
      <c r="M439">
        <v>100</v>
      </c>
      <c r="N439" t="s">
        <v>37</v>
      </c>
      <c r="P439" t="s">
        <v>87</v>
      </c>
    </row>
    <row r="440" spans="1:16" x14ac:dyDescent="0.25">
      <c r="A440" t="s">
        <v>156</v>
      </c>
      <c r="D440" t="s">
        <v>86</v>
      </c>
      <c r="L440" t="s">
        <v>81</v>
      </c>
      <c r="M440">
        <v>53</v>
      </c>
      <c r="N440" t="s">
        <v>37</v>
      </c>
      <c r="P440" t="s">
        <v>87</v>
      </c>
    </row>
    <row r="441" spans="1:16" x14ac:dyDescent="0.25">
      <c r="A441" t="s">
        <v>156</v>
      </c>
      <c r="D441" t="s">
        <v>86</v>
      </c>
      <c r="H441" t="s">
        <v>318</v>
      </c>
      <c r="L441" t="s">
        <v>82</v>
      </c>
      <c r="M441">
        <f>20+27</f>
        <v>47</v>
      </c>
      <c r="N441" t="s">
        <v>37</v>
      </c>
      <c r="O441" s="11" t="s">
        <v>317</v>
      </c>
      <c r="P441" t="s">
        <v>87</v>
      </c>
    </row>
    <row r="442" spans="1:16" x14ac:dyDescent="0.25">
      <c r="A442" t="s">
        <v>161</v>
      </c>
      <c r="D442" t="s">
        <v>86</v>
      </c>
      <c r="L442" t="s">
        <v>81</v>
      </c>
      <c r="M442">
        <v>73</v>
      </c>
      <c r="N442" t="s">
        <v>37</v>
      </c>
      <c r="P442" t="s">
        <v>87</v>
      </c>
    </row>
    <row r="443" spans="1:16" x14ac:dyDescent="0.25">
      <c r="A443" t="s">
        <v>161</v>
      </c>
      <c r="D443" t="s">
        <v>86</v>
      </c>
      <c r="H443" t="s">
        <v>318</v>
      </c>
      <c r="L443" t="s">
        <v>82</v>
      </c>
      <c r="M443">
        <v>27</v>
      </c>
      <c r="N443" t="s">
        <v>37</v>
      </c>
      <c r="O443" t="s">
        <v>319</v>
      </c>
      <c r="P443" t="s">
        <v>87</v>
      </c>
    </row>
    <row r="444" spans="1:16" x14ac:dyDescent="0.25">
      <c r="A444" t="s">
        <v>260</v>
      </c>
      <c r="B444" s="6"/>
      <c r="C444" s="6"/>
      <c r="D444" t="s">
        <v>36</v>
      </c>
      <c r="F444" s="6"/>
      <c r="G444" s="6"/>
      <c r="H444" s="6"/>
      <c r="I444" s="6"/>
      <c r="J444" s="6"/>
      <c r="K444" s="6"/>
      <c r="L444" t="s">
        <v>81</v>
      </c>
      <c r="M444" s="9">
        <v>100</v>
      </c>
      <c r="N444" t="s">
        <v>37</v>
      </c>
      <c r="O444" t="s">
        <v>320</v>
      </c>
    </row>
    <row r="445" spans="1:16" x14ac:dyDescent="0.25">
      <c r="A445" t="s">
        <v>261</v>
      </c>
      <c r="B445" s="6"/>
      <c r="C445" s="6"/>
      <c r="D445" t="s">
        <v>47</v>
      </c>
      <c r="F445" s="6"/>
      <c r="G445" s="6"/>
      <c r="H445" s="6"/>
      <c r="I445" s="6"/>
      <c r="J445" s="6"/>
      <c r="K445" s="6"/>
      <c r="L445" t="s">
        <v>81</v>
      </c>
      <c r="M445" s="9">
        <v>100</v>
      </c>
      <c r="N445" t="s">
        <v>37</v>
      </c>
      <c r="O445" t="s">
        <v>320</v>
      </c>
    </row>
    <row r="446" spans="1:16" x14ac:dyDescent="0.25">
      <c r="A446" t="s">
        <v>262</v>
      </c>
      <c r="B446" s="6"/>
      <c r="C446" s="6"/>
      <c r="D446" t="s">
        <v>85</v>
      </c>
      <c r="F446" s="6"/>
      <c r="G446" s="6"/>
      <c r="H446" s="6"/>
      <c r="I446" s="6"/>
      <c r="J446" s="6"/>
      <c r="K446" s="6"/>
      <c r="L446" t="s">
        <v>81</v>
      </c>
      <c r="M446" s="9">
        <v>100</v>
      </c>
      <c r="N446" t="s">
        <v>37</v>
      </c>
      <c r="O446" t="s">
        <v>320</v>
      </c>
    </row>
    <row r="447" spans="1:16" x14ac:dyDescent="0.25">
      <c r="A447" t="s">
        <v>263</v>
      </c>
      <c r="B447" s="6"/>
      <c r="C447" s="6"/>
      <c r="D447" t="s">
        <v>86</v>
      </c>
      <c r="F447" s="6"/>
      <c r="G447" s="6"/>
      <c r="H447" s="6"/>
      <c r="I447" s="6"/>
      <c r="J447" s="6"/>
      <c r="K447" s="6"/>
      <c r="L447" t="s">
        <v>81</v>
      </c>
      <c r="M447" s="9">
        <v>100</v>
      </c>
      <c r="N447" t="s">
        <v>37</v>
      </c>
      <c r="O447" t="s">
        <v>320</v>
      </c>
    </row>
    <row r="448" spans="1:16" x14ac:dyDescent="0.25">
      <c r="A448" t="s">
        <v>364</v>
      </c>
      <c r="D448" t="s">
        <v>437</v>
      </c>
      <c r="L448" t="s">
        <v>81</v>
      </c>
      <c r="M448" s="10">
        <v>100</v>
      </c>
      <c r="N448" t="s">
        <v>37</v>
      </c>
    </row>
    <row r="449" spans="1:16" x14ac:dyDescent="0.25">
      <c r="A449" s="4" t="s">
        <v>10</v>
      </c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5"/>
      <c r="M449" s="5"/>
      <c r="N449" s="5"/>
      <c r="O449" s="5"/>
      <c r="P449" s="5"/>
    </row>
    <row r="450" spans="1:16" x14ac:dyDescent="0.25">
      <c r="A450" s="11" t="s">
        <v>94</v>
      </c>
      <c r="D450" t="s">
        <v>100</v>
      </c>
      <c r="L450" t="s">
        <v>81</v>
      </c>
      <c r="M450" s="6">
        <v>100</v>
      </c>
      <c r="N450" t="s">
        <v>37</v>
      </c>
      <c r="O450" s="6" t="s">
        <v>99</v>
      </c>
    </row>
    <row r="451" spans="1:16" x14ac:dyDescent="0.25">
      <c r="A451" s="11" t="s">
        <v>95</v>
      </c>
      <c r="D451" t="s">
        <v>100</v>
      </c>
      <c r="L451" t="s">
        <v>81</v>
      </c>
      <c r="M451">
        <v>50</v>
      </c>
      <c r="N451" t="s">
        <v>37</v>
      </c>
    </row>
    <row r="452" spans="1:16" x14ac:dyDescent="0.25">
      <c r="A452" s="11" t="s">
        <v>95</v>
      </c>
      <c r="D452" t="s">
        <v>100</v>
      </c>
      <c r="H452" t="s">
        <v>111</v>
      </c>
      <c r="L452" t="s">
        <v>82</v>
      </c>
      <c r="M452">
        <v>50</v>
      </c>
      <c r="N452" t="s">
        <v>37</v>
      </c>
    </row>
    <row r="453" spans="1:16" x14ac:dyDescent="0.25">
      <c r="A453" s="11" t="s">
        <v>183</v>
      </c>
      <c r="D453" s="6" t="s">
        <v>101</v>
      </c>
      <c r="E453" s="6"/>
      <c r="L453" t="s">
        <v>81</v>
      </c>
      <c r="M453" s="11">
        <v>20</v>
      </c>
      <c r="N453" t="s">
        <v>37</v>
      </c>
      <c r="O453" s="6" t="s">
        <v>184</v>
      </c>
    </row>
    <row r="454" spans="1:16" x14ac:dyDescent="0.25">
      <c r="A454" s="11" t="s">
        <v>96</v>
      </c>
      <c r="D454" t="s">
        <v>101</v>
      </c>
      <c r="L454" t="s">
        <v>81</v>
      </c>
      <c r="M454" s="11">
        <v>19</v>
      </c>
      <c r="N454" t="s">
        <v>37</v>
      </c>
      <c r="O454" s="11"/>
    </row>
    <row r="455" spans="1:16" x14ac:dyDescent="0.25">
      <c r="A455" s="11" t="s">
        <v>96</v>
      </c>
      <c r="D455" t="s">
        <v>101</v>
      </c>
      <c r="H455" t="s">
        <v>165</v>
      </c>
      <c r="L455" t="s">
        <v>82</v>
      </c>
      <c r="M455" s="18">
        <f>0.02*0.5*100/(844/1000)/0.9</f>
        <v>1.3164823591363877</v>
      </c>
      <c r="N455" t="s">
        <v>37</v>
      </c>
      <c r="O455" s="11" t="s">
        <v>166</v>
      </c>
      <c r="P455" t="s">
        <v>167</v>
      </c>
    </row>
    <row r="456" spans="1:16" x14ac:dyDescent="0.25">
      <c r="A456" s="4" t="s">
        <v>11</v>
      </c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5"/>
      <c r="M456" s="5"/>
      <c r="N456" s="5"/>
      <c r="O456" s="5"/>
      <c r="P456" s="5"/>
    </row>
    <row r="457" spans="1:16" x14ac:dyDescent="0.25">
      <c r="A457" s="11" t="s">
        <v>122</v>
      </c>
      <c r="D457" t="s">
        <v>123</v>
      </c>
      <c r="L457" t="s">
        <v>81</v>
      </c>
      <c r="M457" s="11">
        <v>100</v>
      </c>
      <c r="N457" s="11" t="s">
        <v>37</v>
      </c>
    </row>
    <row r="458" spans="1:16" s="11" customFormat="1" x14ac:dyDescent="0.25">
      <c r="A458" s="11" t="s">
        <v>329</v>
      </c>
      <c r="D458" s="11" t="s">
        <v>379</v>
      </c>
      <c r="L458" s="11" t="s">
        <v>81</v>
      </c>
      <c r="M458" s="11">
        <v>100</v>
      </c>
      <c r="N458" s="11" t="s">
        <v>37</v>
      </c>
    </row>
    <row r="459" spans="1:16" x14ac:dyDescent="0.25">
      <c r="A459" s="11" t="s">
        <v>128</v>
      </c>
      <c r="D459" t="s">
        <v>134</v>
      </c>
      <c r="L459" t="s">
        <v>81</v>
      </c>
      <c r="M459" s="11">
        <v>100</v>
      </c>
      <c r="N459" s="11" t="s">
        <v>37</v>
      </c>
    </row>
    <row r="460" spans="1:16" x14ac:dyDescent="0.25">
      <c r="A460" s="11" t="s">
        <v>124</v>
      </c>
      <c r="D460" t="s">
        <v>130</v>
      </c>
      <c r="L460" t="s">
        <v>81</v>
      </c>
      <c r="M460" s="11">
        <v>100</v>
      </c>
      <c r="N460" s="11" t="s">
        <v>37</v>
      </c>
    </row>
    <row r="461" spans="1:16" x14ac:dyDescent="0.25">
      <c r="A461" s="11" t="s">
        <v>125</v>
      </c>
      <c r="D461" t="s">
        <v>131</v>
      </c>
      <c r="L461" t="s">
        <v>81</v>
      </c>
      <c r="M461" s="11">
        <v>100</v>
      </c>
      <c r="N461" s="11" t="s">
        <v>37</v>
      </c>
    </row>
    <row r="462" spans="1:16" x14ac:dyDescent="0.25">
      <c r="A462" s="11" t="s">
        <v>126</v>
      </c>
      <c r="D462" t="s">
        <v>132</v>
      </c>
      <c r="L462" t="s">
        <v>81</v>
      </c>
      <c r="M462" s="11">
        <v>100</v>
      </c>
      <c r="N462" s="11" t="s">
        <v>37</v>
      </c>
    </row>
    <row r="463" spans="1:16" x14ac:dyDescent="0.25">
      <c r="A463" s="11" t="s">
        <v>127</v>
      </c>
      <c r="D463" t="s">
        <v>129</v>
      </c>
      <c r="L463" t="s">
        <v>81</v>
      </c>
      <c r="M463" s="11">
        <v>100</v>
      </c>
      <c r="N463" s="11" t="s">
        <v>37</v>
      </c>
    </row>
    <row r="464" spans="1:16" x14ac:dyDescent="0.25">
      <c r="A464" s="11" t="s">
        <v>102</v>
      </c>
      <c r="D464" t="s">
        <v>104</v>
      </c>
      <c r="L464" t="s">
        <v>81</v>
      </c>
      <c r="M464" s="11">
        <v>100</v>
      </c>
      <c r="N464" s="11" t="s">
        <v>37</v>
      </c>
      <c r="O464" s="6"/>
    </row>
    <row r="465" spans="1:19" x14ac:dyDescent="0.25">
      <c r="A465" s="11" t="s">
        <v>105</v>
      </c>
      <c r="D465" t="s">
        <v>106</v>
      </c>
      <c r="L465" t="s">
        <v>81</v>
      </c>
      <c r="M465" s="11">
        <v>100</v>
      </c>
      <c r="N465" s="11" t="s">
        <v>37</v>
      </c>
      <c r="O465" s="6"/>
    </row>
    <row r="466" spans="1:19" x14ac:dyDescent="0.25">
      <c r="A466" s="11" t="s">
        <v>135</v>
      </c>
      <c r="D466" t="s">
        <v>133</v>
      </c>
      <c r="L466" t="s">
        <v>81</v>
      </c>
      <c r="M466" s="11">
        <v>100</v>
      </c>
      <c r="N466" s="11" t="s">
        <v>37</v>
      </c>
      <c r="O466" s="6"/>
    </row>
    <row r="467" spans="1:19" x14ac:dyDescent="0.25">
      <c r="A467" s="4" t="s">
        <v>12</v>
      </c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5"/>
      <c r="M467" s="5"/>
      <c r="N467" s="5"/>
      <c r="O467" s="5"/>
      <c r="P467" s="5"/>
    </row>
    <row r="468" spans="1:19" x14ac:dyDescent="0.25">
      <c r="A468" s="11" t="s">
        <v>214</v>
      </c>
      <c r="D468" t="s">
        <v>212</v>
      </c>
      <c r="L468" t="s">
        <v>81</v>
      </c>
      <c r="M468" s="11">
        <v>100</v>
      </c>
      <c r="N468" s="11" t="s">
        <v>37</v>
      </c>
    </row>
    <row r="469" spans="1:19" x14ac:dyDescent="0.25">
      <c r="A469" s="11" t="s">
        <v>215</v>
      </c>
      <c r="D469" t="s">
        <v>212</v>
      </c>
      <c r="L469" t="s">
        <v>81</v>
      </c>
      <c r="M469" s="11">
        <v>65</v>
      </c>
      <c r="N469" s="11" t="s">
        <v>37</v>
      </c>
      <c r="P469" t="s">
        <v>87</v>
      </c>
    </row>
    <row r="470" spans="1:19" x14ac:dyDescent="0.25">
      <c r="A470" s="11" t="s">
        <v>215</v>
      </c>
      <c r="D470" t="s">
        <v>212</v>
      </c>
      <c r="H470" s="11" t="s">
        <v>213</v>
      </c>
      <c r="L470" t="s">
        <v>82</v>
      </c>
      <c r="M470" s="11">
        <v>35</v>
      </c>
      <c r="N470" s="11" t="s">
        <v>37</v>
      </c>
      <c r="P470" t="s">
        <v>87</v>
      </c>
    </row>
    <row r="471" spans="1:19" x14ac:dyDescent="0.25">
      <c r="A471" s="11" t="s">
        <v>216</v>
      </c>
      <c r="D471" t="s">
        <v>212</v>
      </c>
      <c r="L471" t="s">
        <v>81</v>
      </c>
      <c r="M471" s="11">
        <v>22</v>
      </c>
      <c r="N471" s="11" t="s">
        <v>37</v>
      </c>
      <c r="P471" t="s">
        <v>87</v>
      </c>
    </row>
    <row r="472" spans="1:19" x14ac:dyDescent="0.25">
      <c r="A472" s="11" t="s">
        <v>216</v>
      </c>
      <c r="D472" t="s">
        <v>212</v>
      </c>
      <c r="H472" s="11" t="s">
        <v>213</v>
      </c>
      <c r="L472" t="s">
        <v>82</v>
      </c>
      <c r="M472" s="11">
        <v>35</v>
      </c>
      <c r="N472" s="11" t="s">
        <v>37</v>
      </c>
      <c r="P472" t="s">
        <v>87</v>
      </c>
    </row>
    <row r="473" spans="1:19" x14ac:dyDescent="0.25">
      <c r="A473" s="11" t="s">
        <v>218</v>
      </c>
      <c r="D473" t="s">
        <v>220</v>
      </c>
      <c r="L473" t="s">
        <v>81</v>
      </c>
      <c r="M473" s="11">
        <v>100</v>
      </c>
      <c r="N473" s="11" t="s">
        <v>37</v>
      </c>
    </row>
    <row r="474" spans="1:19" x14ac:dyDescent="0.25">
      <c r="A474" s="11" t="s">
        <v>226</v>
      </c>
      <c r="D474" t="s">
        <v>231</v>
      </c>
      <c r="L474" t="s">
        <v>81</v>
      </c>
      <c r="M474" s="11">
        <v>100</v>
      </c>
      <c r="N474" s="11" t="s">
        <v>37</v>
      </c>
    </row>
    <row r="475" spans="1:19" x14ac:dyDescent="0.25">
      <c r="A475" s="11" t="s">
        <v>227</v>
      </c>
      <c r="D475" t="s">
        <v>232</v>
      </c>
      <c r="L475" t="s">
        <v>81</v>
      </c>
      <c r="M475" s="11">
        <v>100</v>
      </c>
      <c r="N475" s="11" t="s">
        <v>37</v>
      </c>
    </row>
    <row r="476" spans="1:19" x14ac:dyDescent="0.25">
      <c r="A476" s="11" t="s">
        <v>233</v>
      </c>
      <c r="D476" t="s">
        <v>234</v>
      </c>
      <c r="L476" t="s">
        <v>81</v>
      </c>
      <c r="M476" s="11">
        <v>100</v>
      </c>
      <c r="N476" s="11" t="s">
        <v>37</v>
      </c>
    </row>
    <row r="477" spans="1:19" x14ac:dyDescent="0.25">
      <c r="A477" s="11" t="s">
        <v>228</v>
      </c>
      <c r="D477" t="s">
        <v>235</v>
      </c>
      <c r="L477" t="s">
        <v>81</v>
      </c>
      <c r="M477" s="11">
        <v>100</v>
      </c>
      <c r="N477" s="11" t="s">
        <v>37</v>
      </c>
      <c r="R477" s="48"/>
      <c r="S477" s="49" t="s">
        <v>442</v>
      </c>
    </row>
    <row r="478" spans="1:19" x14ac:dyDescent="0.25">
      <c r="A478" s="4" t="s">
        <v>13</v>
      </c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5"/>
      <c r="M478" s="5"/>
      <c r="N478" s="5"/>
      <c r="O478" s="5"/>
      <c r="P478" s="5"/>
      <c r="R478" s="45" t="s">
        <v>443</v>
      </c>
      <c r="S478" s="51">
        <v>4.2000000000000003E-2</v>
      </c>
    </row>
    <row r="479" spans="1:19" x14ac:dyDescent="0.25">
      <c r="A479" s="1" t="s">
        <v>444</v>
      </c>
      <c r="B479" s="1"/>
      <c r="C479" s="1"/>
      <c r="D479" s="1"/>
      <c r="E479" s="1"/>
      <c r="F479" s="1"/>
      <c r="G479" s="1"/>
      <c r="H479" s="1"/>
      <c r="I479" s="1"/>
      <c r="J479" s="1"/>
      <c r="K479" s="1"/>
      <c r="R479" s="47" t="s">
        <v>59</v>
      </c>
      <c r="S479" s="52">
        <v>0.4</v>
      </c>
    </row>
    <row r="480" spans="1:19" x14ac:dyDescent="0.25">
      <c r="A480" s="11" t="s">
        <v>61</v>
      </c>
      <c r="B480" s="11"/>
      <c r="C480" s="11"/>
      <c r="D480" s="11"/>
      <c r="E480" s="11"/>
      <c r="F480" s="11" t="s">
        <v>77</v>
      </c>
      <c r="G480" s="11" t="s">
        <v>58</v>
      </c>
      <c r="H480" s="11"/>
      <c r="I480" s="11"/>
      <c r="J480" s="11"/>
      <c r="K480" s="11"/>
      <c r="L480" s="11" t="s">
        <v>81</v>
      </c>
      <c r="M480" s="9">
        <f>1 / ((S480-S481)/(S$478-S481)) * 100</f>
        <v>90.632911392405063</v>
      </c>
      <c r="N480" s="11" t="s">
        <v>37</v>
      </c>
      <c r="O480" t="s">
        <v>70</v>
      </c>
      <c r="P480" t="s">
        <v>88</v>
      </c>
      <c r="R480" s="44"/>
      <c r="S480" s="57">
        <v>5.0000000000000001E-3</v>
      </c>
    </row>
    <row r="481" spans="1:22" x14ac:dyDescent="0.25">
      <c r="A481" s="11" t="s">
        <v>61</v>
      </c>
      <c r="B481" s="11"/>
      <c r="C481" s="11"/>
      <c r="D481" s="11"/>
      <c r="E481" s="11"/>
      <c r="F481" s="11" t="s">
        <v>77</v>
      </c>
      <c r="G481" s="11" t="s">
        <v>58</v>
      </c>
      <c r="H481" s="11" t="s">
        <v>59</v>
      </c>
      <c r="I481" s="11"/>
      <c r="J481" s="11"/>
      <c r="K481" s="11"/>
      <c r="L481" s="11" t="s">
        <v>82</v>
      </c>
      <c r="M481" s="19">
        <f>1 / ((S481-S480)/(S$478-S480)) * 100</f>
        <v>9.3670886075949369</v>
      </c>
      <c r="N481" s="11" t="s">
        <v>37</v>
      </c>
      <c r="P481" t="s">
        <v>88</v>
      </c>
      <c r="R481" s="45"/>
      <c r="S481" s="53">
        <v>0.4</v>
      </c>
      <c r="V481">
        <f>1 / ((S481-S480)/(S$478-S480)) * 100</f>
        <v>9.3670886075949369</v>
      </c>
    </row>
    <row r="482" spans="1:22" x14ac:dyDescent="0.25">
      <c r="A482" s="11" t="s">
        <v>60</v>
      </c>
      <c r="B482" s="11"/>
      <c r="C482" s="11"/>
      <c r="D482" s="11"/>
      <c r="E482" s="11"/>
      <c r="F482" s="11" t="s">
        <v>77</v>
      </c>
      <c r="G482" s="11" t="s">
        <v>58</v>
      </c>
      <c r="H482" s="11"/>
      <c r="I482" s="11"/>
      <c r="J482" s="11"/>
      <c r="K482" s="11"/>
      <c r="L482" s="11" t="s">
        <v>81</v>
      </c>
      <c r="M482" s="9">
        <f>1 / ((S482-S483)/(S$478-S483)) * 100</f>
        <v>92.987012987012989</v>
      </c>
      <c r="N482" s="11" t="s">
        <v>37</v>
      </c>
      <c r="O482" t="s">
        <v>71</v>
      </c>
      <c r="P482" t="s">
        <v>88</v>
      </c>
      <c r="R482" s="45"/>
      <c r="S482" s="50">
        <v>1.4999999999999999E-2</v>
      </c>
    </row>
    <row r="483" spans="1:22" x14ac:dyDescent="0.25">
      <c r="A483" s="11" t="s">
        <v>60</v>
      </c>
      <c r="B483" s="11"/>
      <c r="C483" s="11"/>
      <c r="D483" s="11"/>
      <c r="E483" s="11"/>
      <c r="F483" s="11" t="s">
        <v>77</v>
      </c>
      <c r="G483" s="11" t="s">
        <v>58</v>
      </c>
      <c r="H483" s="11" t="s">
        <v>59</v>
      </c>
      <c r="I483" s="11"/>
      <c r="J483" s="11"/>
      <c r="K483" s="11"/>
      <c r="L483" s="11" t="s">
        <v>82</v>
      </c>
      <c r="M483" s="19">
        <f>1 / ((S483-S482)/(S$478-S482)) * 100</f>
        <v>7.012987012987014</v>
      </c>
      <c r="N483" s="11" t="s">
        <v>37</v>
      </c>
      <c r="P483" t="s">
        <v>88</v>
      </c>
      <c r="R483" s="45"/>
      <c r="S483" s="53">
        <v>0.4</v>
      </c>
    </row>
    <row r="484" spans="1:22" x14ac:dyDescent="0.25">
      <c r="A484" s="11" t="s">
        <v>62</v>
      </c>
      <c r="B484" s="11"/>
      <c r="C484" s="11"/>
      <c r="D484" s="11"/>
      <c r="E484" s="11"/>
      <c r="F484" s="11" t="s">
        <v>77</v>
      </c>
      <c r="G484" s="11" t="s">
        <v>58</v>
      </c>
      <c r="H484" s="11"/>
      <c r="I484" s="11"/>
      <c r="J484" s="11"/>
      <c r="K484" s="11"/>
      <c r="L484" s="11" t="s">
        <v>81</v>
      </c>
      <c r="M484" s="9">
        <f>1 / ((S484-S485)/(S$478-S485)) * 100</f>
        <v>96.756756756756772</v>
      </c>
      <c r="N484" s="11" t="s">
        <v>37</v>
      </c>
      <c r="O484" t="s">
        <v>72</v>
      </c>
      <c r="P484" t="s">
        <v>88</v>
      </c>
      <c r="R484" s="45"/>
      <c r="S484" s="53">
        <v>0.03</v>
      </c>
    </row>
    <row r="485" spans="1:22" x14ac:dyDescent="0.25">
      <c r="A485" s="11" t="s">
        <v>62</v>
      </c>
      <c r="B485" s="11"/>
      <c r="C485" s="11"/>
      <c r="D485" s="11"/>
      <c r="E485" s="11"/>
      <c r="F485" s="11" t="s">
        <v>77</v>
      </c>
      <c r="G485" s="11" t="s">
        <v>58</v>
      </c>
      <c r="H485" s="11" t="s">
        <v>59</v>
      </c>
      <c r="I485" s="11"/>
      <c r="J485" s="11"/>
      <c r="K485" s="11"/>
      <c r="L485" s="11" t="s">
        <v>82</v>
      </c>
      <c r="M485" s="19">
        <f>1 / ((S485-S484)/(S$478-S484)) * 100</f>
        <v>3.2432432432432443</v>
      </c>
      <c r="N485" s="11" t="s">
        <v>37</v>
      </c>
      <c r="P485" t="s">
        <v>88</v>
      </c>
      <c r="R485" s="45"/>
      <c r="S485" s="53">
        <v>0.4</v>
      </c>
    </row>
    <row r="486" spans="1:22" x14ac:dyDescent="0.25">
      <c r="A486" s="11" t="s">
        <v>63</v>
      </c>
      <c r="B486" s="11"/>
      <c r="C486" s="11"/>
      <c r="D486" s="11"/>
      <c r="E486" s="11"/>
      <c r="F486" s="11" t="s">
        <v>77</v>
      </c>
      <c r="G486" s="11" t="s">
        <v>58</v>
      </c>
      <c r="H486" s="11"/>
      <c r="I486" s="11"/>
      <c r="J486" s="11"/>
      <c r="K486" s="11"/>
      <c r="L486" s="11" t="s">
        <v>81</v>
      </c>
      <c r="M486" s="9">
        <f>1 / ((S486-S487)/(S$478-S487)) * 100 * (1/10)</f>
        <v>9.6756756756756772</v>
      </c>
      <c r="N486" s="11" t="s">
        <v>37</v>
      </c>
      <c r="O486" t="s">
        <v>502</v>
      </c>
      <c r="P486" t="s">
        <v>88</v>
      </c>
      <c r="R486" s="45"/>
      <c r="S486" s="53">
        <v>0.03</v>
      </c>
    </row>
    <row r="487" spans="1:22" x14ac:dyDescent="0.25">
      <c r="A487" s="11" t="s">
        <v>63</v>
      </c>
      <c r="B487" s="11"/>
      <c r="C487" s="11"/>
      <c r="D487" s="11"/>
      <c r="E487" s="11"/>
      <c r="F487" s="11" t="s">
        <v>77</v>
      </c>
      <c r="G487" s="11" t="s">
        <v>58</v>
      </c>
      <c r="H487" s="11" t="s">
        <v>59</v>
      </c>
      <c r="I487" s="11"/>
      <c r="J487" s="11"/>
      <c r="K487" s="11"/>
      <c r="L487" s="11" t="s">
        <v>82</v>
      </c>
      <c r="M487" s="9">
        <f>(S$478-S486)/S487*100</f>
        <v>3.0000000000000009</v>
      </c>
      <c r="N487" s="11" t="s">
        <v>37</v>
      </c>
      <c r="P487" t="s">
        <v>88</v>
      </c>
      <c r="R487" s="45"/>
      <c r="S487" s="53">
        <v>0.4</v>
      </c>
    </row>
    <row r="488" spans="1:22" x14ac:dyDescent="0.25">
      <c r="A488" s="11" t="s">
        <v>63</v>
      </c>
      <c r="B488" s="11"/>
      <c r="C488" s="11"/>
      <c r="D488" s="11"/>
      <c r="E488" s="11"/>
      <c r="F488" s="11" t="s">
        <v>77</v>
      </c>
      <c r="G488" s="11" t="s">
        <v>58</v>
      </c>
      <c r="H488" s="11" t="s">
        <v>69</v>
      </c>
      <c r="I488" s="11"/>
      <c r="J488" s="11"/>
      <c r="K488" s="11"/>
      <c r="L488" s="11" t="s">
        <v>82</v>
      </c>
      <c r="M488" s="9">
        <f>(100-M487)*0.9</f>
        <v>87.3</v>
      </c>
      <c r="N488" s="11" t="s">
        <v>37</v>
      </c>
      <c r="P488" t="s">
        <v>88</v>
      </c>
      <c r="R488" s="45"/>
      <c r="S488" s="46"/>
    </row>
    <row r="489" spans="1:22" x14ac:dyDescent="0.25">
      <c r="A489" s="11" t="s">
        <v>331</v>
      </c>
      <c r="B489" s="11"/>
      <c r="C489" s="11"/>
      <c r="D489" s="11"/>
      <c r="E489" s="11"/>
      <c r="F489" s="11" t="s">
        <v>77</v>
      </c>
      <c r="G489" s="11" t="s">
        <v>58</v>
      </c>
      <c r="H489" s="11"/>
      <c r="I489" s="11"/>
      <c r="J489" s="11"/>
      <c r="K489" s="11"/>
      <c r="L489" s="11" t="s">
        <v>81</v>
      </c>
      <c r="M489" s="9">
        <f>1 / ((S489-S490)/(S$478-S490)) * 100 * (1/6)</f>
        <v>15.57876414273281</v>
      </c>
      <c r="N489" s="11" t="s">
        <v>37</v>
      </c>
      <c r="O489" t="s">
        <v>504</v>
      </c>
      <c r="P489" t="s">
        <v>88</v>
      </c>
      <c r="R489" s="45"/>
      <c r="S489" s="51">
        <v>1.7000000000000001E-2</v>
      </c>
      <c r="T489" t="s">
        <v>505</v>
      </c>
    </row>
    <row r="490" spans="1:22" x14ac:dyDescent="0.25">
      <c r="A490" s="11" t="s">
        <v>331</v>
      </c>
      <c r="B490" s="11"/>
      <c r="C490" s="11"/>
      <c r="D490" s="11"/>
      <c r="E490" s="11"/>
      <c r="F490" s="11" t="s">
        <v>77</v>
      </c>
      <c r="G490" s="11" t="s">
        <v>58</v>
      </c>
      <c r="H490" s="11" t="s">
        <v>59</v>
      </c>
      <c r="I490" s="11"/>
      <c r="J490" s="11"/>
      <c r="K490" s="11"/>
      <c r="L490" s="11" t="s">
        <v>82</v>
      </c>
      <c r="M490" s="19">
        <f>1 / ((S490-S489)/(S$478-S489)) * 100</f>
        <v>6.5274151436031325</v>
      </c>
      <c r="N490" s="11" t="s">
        <v>37</v>
      </c>
      <c r="P490" t="s">
        <v>88</v>
      </c>
      <c r="R490" s="47"/>
      <c r="S490" s="56">
        <v>0.4</v>
      </c>
    </row>
    <row r="491" spans="1:22" x14ac:dyDescent="0.25">
      <c r="A491" s="38" t="s">
        <v>446</v>
      </c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9"/>
      <c r="N491" s="11"/>
      <c r="R491" s="45"/>
      <c r="S491" s="46"/>
    </row>
    <row r="492" spans="1:22" x14ac:dyDescent="0.25">
      <c r="A492" s="11" t="s">
        <v>67</v>
      </c>
      <c r="B492" s="11"/>
      <c r="C492" s="11"/>
      <c r="D492" s="11"/>
      <c r="E492" s="11"/>
      <c r="F492" s="11" t="s">
        <v>77</v>
      </c>
      <c r="G492" s="11" t="s">
        <v>58</v>
      </c>
      <c r="H492" s="11"/>
      <c r="I492" s="11"/>
      <c r="J492" s="11"/>
      <c r="K492" s="11"/>
      <c r="L492" s="11" t="s">
        <v>81</v>
      </c>
      <c r="M492" s="9">
        <f>1 / ((S492-S493)/(S$478-S493)) * 100</f>
        <v>119.33333333333334</v>
      </c>
      <c r="N492" s="11" t="s">
        <v>37</v>
      </c>
      <c r="O492" t="s">
        <v>76</v>
      </c>
      <c r="P492" t="s">
        <v>88</v>
      </c>
      <c r="R492" s="45"/>
      <c r="S492" s="53">
        <v>0.1</v>
      </c>
    </row>
    <row r="493" spans="1:22" x14ac:dyDescent="0.25">
      <c r="A493" s="11" t="s">
        <v>67</v>
      </c>
      <c r="B493" s="11"/>
      <c r="C493" s="11"/>
      <c r="D493" s="11"/>
      <c r="E493" s="11"/>
      <c r="F493" s="11" t="s">
        <v>77</v>
      </c>
      <c r="G493" s="11" t="s">
        <v>58</v>
      </c>
      <c r="H493" s="11" t="s">
        <v>59</v>
      </c>
      <c r="I493" s="11"/>
      <c r="J493" s="11"/>
      <c r="K493" s="11"/>
      <c r="L493" s="11" t="s">
        <v>82</v>
      </c>
      <c r="M493" s="9">
        <f>1 / ((S493-S492)/(S$478-S492)) * 100</f>
        <v>-19.333333333333332</v>
      </c>
      <c r="N493" s="11" t="s">
        <v>37</v>
      </c>
      <c r="R493" s="45"/>
      <c r="S493" s="53">
        <v>0.4</v>
      </c>
    </row>
    <row r="494" spans="1:22" x14ac:dyDescent="0.25">
      <c r="A494" s="11" t="s">
        <v>68</v>
      </c>
      <c r="B494" s="11"/>
      <c r="C494" s="11"/>
      <c r="D494" s="11"/>
      <c r="E494" s="11"/>
      <c r="F494" s="11" t="s">
        <v>77</v>
      </c>
      <c r="G494" s="11" t="s">
        <v>58</v>
      </c>
      <c r="H494" s="11"/>
      <c r="I494" s="11"/>
      <c r="J494" s="11"/>
      <c r="K494" s="11"/>
      <c r="L494" s="11" t="s">
        <v>81</v>
      </c>
      <c r="M494" s="9">
        <f>1 / ((S494-S495)/(S$478-S495)) * 100</f>
        <v>127.85714285714288</v>
      </c>
      <c r="N494" s="11" t="s">
        <v>37</v>
      </c>
      <c r="O494" t="s">
        <v>73</v>
      </c>
      <c r="P494" t="s">
        <v>88</v>
      </c>
      <c r="R494" s="45"/>
      <c r="S494" s="53">
        <v>0.12</v>
      </c>
    </row>
    <row r="495" spans="1:22" x14ac:dyDescent="0.25">
      <c r="A495" s="11" t="s">
        <v>68</v>
      </c>
      <c r="B495" s="11"/>
      <c r="C495" s="11"/>
      <c r="D495" s="11"/>
      <c r="E495" s="11"/>
      <c r="F495" s="11" t="s">
        <v>77</v>
      </c>
      <c r="G495" s="11" t="s">
        <v>58</v>
      </c>
      <c r="H495" s="11" t="s">
        <v>59</v>
      </c>
      <c r="I495" s="11"/>
      <c r="J495" s="11"/>
      <c r="K495" s="11"/>
      <c r="L495" s="11" t="s">
        <v>82</v>
      </c>
      <c r="M495" s="9">
        <f>1 / ((S495-S494)/(S$478-S494)) * 100</f>
        <v>-27.857142857142847</v>
      </c>
      <c r="N495" s="11" t="s">
        <v>37</v>
      </c>
      <c r="R495" s="45"/>
      <c r="S495" s="53">
        <v>0.4</v>
      </c>
    </row>
    <row r="496" spans="1:22" x14ac:dyDescent="0.25">
      <c r="A496" s="11" t="s">
        <v>65</v>
      </c>
      <c r="B496" s="11"/>
      <c r="C496" s="11"/>
      <c r="D496" s="11"/>
      <c r="E496" s="11"/>
      <c r="F496" s="11" t="s">
        <v>77</v>
      </c>
      <c r="G496" s="11" t="s">
        <v>58</v>
      </c>
      <c r="H496" s="11"/>
      <c r="I496" s="11"/>
      <c r="J496" s="11"/>
      <c r="K496" s="11"/>
      <c r="L496" s="11" t="s">
        <v>81</v>
      </c>
      <c r="M496" s="9">
        <f>1 / ((S496-S497)/(S$478-S497)) * 100</f>
        <v>132.59259259259261</v>
      </c>
      <c r="N496" s="11" t="s">
        <v>37</v>
      </c>
      <c r="O496" t="s">
        <v>74</v>
      </c>
      <c r="P496" t="s">
        <v>88</v>
      </c>
      <c r="R496" s="45"/>
      <c r="S496" s="53">
        <v>0.13</v>
      </c>
    </row>
    <row r="497" spans="1:19" x14ac:dyDescent="0.25">
      <c r="A497" s="11" t="s">
        <v>65</v>
      </c>
      <c r="B497" s="11"/>
      <c r="C497" s="11"/>
      <c r="D497" s="11"/>
      <c r="E497" s="11"/>
      <c r="F497" s="11" t="s">
        <v>77</v>
      </c>
      <c r="G497" s="11" t="s">
        <v>58</v>
      </c>
      <c r="H497" s="11" t="s">
        <v>59</v>
      </c>
      <c r="I497" s="11"/>
      <c r="J497" s="11"/>
      <c r="K497" s="11"/>
      <c r="L497" s="11" t="s">
        <v>82</v>
      </c>
      <c r="M497" s="9">
        <f>1 / ((S497-S496)/(S$478-S496)) * 100</f>
        <v>-32.592592592592588</v>
      </c>
      <c r="N497" s="11" t="s">
        <v>37</v>
      </c>
      <c r="R497" s="47"/>
      <c r="S497" s="56">
        <v>0.4</v>
      </c>
    </row>
    <row r="498" spans="1:19" x14ac:dyDescent="0.25">
      <c r="A498" s="38" t="s">
        <v>445</v>
      </c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9"/>
      <c r="N498" s="11"/>
      <c r="R498" s="45"/>
      <c r="S498" s="53"/>
    </row>
    <row r="499" spans="1:19" x14ac:dyDescent="0.25">
      <c r="A499" s="11" t="s">
        <v>66</v>
      </c>
      <c r="B499" s="11"/>
      <c r="C499" s="11"/>
      <c r="D499" s="11"/>
      <c r="E499" s="11"/>
      <c r="F499" s="11"/>
      <c r="G499" s="11"/>
      <c r="H499" s="11" t="s">
        <v>59</v>
      </c>
      <c r="I499" s="11"/>
      <c r="J499" s="11"/>
      <c r="K499" s="11"/>
      <c r="L499" s="11" t="s">
        <v>81</v>
      </c>
      <c r="M499" s="9">
        <v>100</v>
      </c>
      <c r="N499" s="11" t="s">
        <v>37</v>
      </c>
      <c r="R499" s="45"/>
      <c r="S499" s="53">
        <v>0.4</v>
      </c>
    </row>
    <row r="500" spans="1:19" x14ac:dyDescent="0.25">
      <c r="A500" s="11" t="s">
        <v>64</v>
      </c>
      <c r="B500" s="11"/>
      <c r="C500" s="11"/>
      <c r="D500" s="11"/>
      <c r="E500" s="11"/>
      <c r="F500" s="11"/>
      <c r="G500" s="11"/>
      <c r="H500" s="11" t="s">
        <v>59</v>
      </c>
      <c r="I500" s="11"/>
      <c r="J500" s="11"/>
      <c r="K500" s="11"/>
      <c r="L500" s="11" t="s">
        <v>81</v>
      </c>
      <c r="M500" s="9">
        <f>1/((S479-S500)/(S501-S479)+1)*100</f>
        <v>49.367088607594937</v>
      </c>
      <c r="N500" s="11" t="s">
        <v>37</v>
      </c>
      <c r="O500" t="s">
        <v>75</v>
      </c>
      <c r="P500" t="s">
        <v>88</v>
      </c>
      <c r="R500" s="45"/>
      <c r="S500" s="53">
        <v>0.8</v>
      </c>
    </row>
    <row r="501" spans="1:19" x14ac:dyDescent="0.25">
      <c r="A501" s="11" t="s">
        <v>64</v>
      </c>
      <c r="B501" s="11"/>
      <c r="C501" s="11"/>
      <c r="D501" s="11"/>
      <c r="E501" s="11"/>
      <c r="F501" s="11"/>
      <c r="G501" s="11"/>
      <c r="H501" s="11" t="s">
        <v>79</v>
      </c>
      <c r="I501" s="11"/>
      <c r="J501" s="11"/>
      <c r="K501" s="11"/>
      <c r="L501" s="11" t="s">
        <v>82</v>
      </c>
      <c r="M501" s="9">
        <f>1/((S501-S479)/(S479-S500)+1)*100</f>
        <v>50.632911392405056</v>
      </c>
      <c r="N501" s="11" t="s">
        <v>37</v>
      </c>
      <c r="O501" t="s">
        <v>80</v>
      </c>
      <c r="P501" t="s">
        <v>88</v>
      </c>
      <c r="R501" s="47"/>
      <c r="S501" s="56">
        <v>0.01</v>
      </c>
    </row>
    <row r="502" spans="1:19" x14ac:dyDescent="0.25">
      <c r="A502" s="4" t="s">
        <v>22</v>
      </c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5"/>
      <c r="M502" s="5"/>
      <c r="N502" s="5"/>
      <c r="O502" s="5"/>
      <c r="P502" s="5"/>
    </row>
    <row r="503" spans="1:19" x14ac:dyDescent="0.25">
      <c r="A503" t="s">
        <v>53</v>
      </c>
      <c r="F503" t="s">
        <v>56</v>
      </c>
      <c r="G503" t="s">
        <v>54</v>
      </c>
      <c r="L503" t="s">
        <v>81</v>
      </c>
      <c r="M503" s="11">
        <v>78</v>
      </c>
      <c r="N503" t="s">
        <v>37</v>
      </c>
      <c r="O503" s="14" t="s">
        <v>454</v>
      </c>
      <c r="P503" t="s">
        <v>453</v>
      </c>
    </row>
    <row r="504" spans="1:19" x14ac:dyDescent="0.25">
      <c r="A504" t="s">
        <v>53</v>
      </c>
      <c r="F504" t="s">
        <v>56</v>
      </c>
      <c r="G504" t="s">
        <v>54</v>
      </c>
      <c r="H504" t="s">
        <v>412</v>
      </c>
      <c r="L504" t="s">
        <v>82</v>
      </c>
      <c r="M504" s="12">
        <f>(1/0.76)*4</f>
        <v>5.2631578947368425</v>
      </c>
      <c r="N504" t="s">
        <v>37</v>
      </c>
      <c r="O504" t="s">
        <v>91</v>
      </c>
      <c r="P504" t="s">
        <v>87</v>
      </c>
    </row>
    <row r="505" spans="1:19" x14ac:dyDescent="0.25">
      <c r="A505" t="s">
        <v>53</v>
      </c>
      <c r="F505" t="s">
        <v>56</v>
      </c>
      <c r="G505" t="s">
        <v>54</v>
      </c>
      <c r="H505" t="s">
        <v>417</v>
      </c>
      <c r="L505" t="s">
        <v>82</v>
      </c>
      <c r="M505" s="12">
        <f>(1/0.76)*6</f>
        <v>7.8947368421052637</v>
      </c>
      <c r="N505" t="s">
        <v>37</v>
      </c>
      <c r="O505" t="s">
        <v>91</v>
      </c>
      <c r="P505" t="s">
        <v>87</v>
      </c>
    </row>
    <row r="506" spans="1:19" x14ac:dyDescent="0.25">
      <c r="A506" t="s">
        <v>53</v>
      </c>
      <c r="F506" t="s">
        <v>56</v>
      </c>
      <c r="G506" t="s">
        <v>54</v>
      </c>
      <c r="H506" t="s">
        <v>418</v>
      </c>
      <c r="L506" t="s">
        <v>82</v>
      </c>
      <c r="M506" s="12">
        <f>(1/0.76)*5</f>
        <v>6.5789473684210531</v>
      </c>
      <c r="N506" t="s">
        <v>37</v>
      </c>
      <c r="O506" t="s">
        <v>91</v>
      </c>
      <c r="P506" t="s">
        <v>87</v>
      </c>
    </row>
    <row r="507" spans="1:19" x14ac:dyDescent="0.25">
      <c r="A507" t="s">
        <v>53</v>
      </c>
      <c r="F507" t="s">
        <v>56</v>
      </c>
      <c r="G507" t="s">
        <v>54</v>
      </c>
      <c r="H507" t="s">
        <v>423</v>
      </c>
      <c r="L507" t="s">
        <v>82</v>
      </c>
      <c r="M507" s="12">
        <f>(1/0.76)*3.5</f>
        <v>4.6052631578947372</v>
      </c>
      <c r="N507" t="s">
        <v>37</v>
      </c>
      <c r="O507" t="s">
        <v>421</v>
      </c>
      <c r="P507" s="42" t="s">
        <v>420</v>
      </c>
    </row>
    <row r="508" spans="1:19" x14ac:dyDescent="0.25">
      <c r="A508" t="s">
        <v>53</v>
      </c>
      <c r="F508" t="s">
        <v>56</v>
      </c>
      <c r="G508" t="s">
        <v>54</v>
      </c>
      <c r="H508" t="s">
        <v>419</v>
      </c>
      <c r="L508" t="s">
        <v>82</v>
      </c>
      <c r="M508">
        <v>18</v>
      </c>
      <c r="N508" t="s">
        <v>37</v>
      </c>
      <c r="P508" t="s">
        <v>87</v>
      </c>
    </row>
    <row r="509" spans="1:19" x14ac:dyDescent="0.25">
      <c r="A509" t="s">
        <v>90</v>
      </c>
      <c r="F509" t="s">
        <v>77</v>
      </c>
      <c r="G509" t="s">
        <v>54</v>
      </c>
      <c r="L509" t="s">
        <v>81</v>
      </c>
      <c r="M509" s="11">
        <v>70</v>
      </c>
      <c r="N509" t="s">
        <v>37</v>
      </c>
      <c r="O509" s="14" t="s">
        <v>454</v>
      </c>
      <c r="P509" t="s">
        <v>453</v>
      </c>
    </row>
    <row r="510" spans="1:19" x14ac:dyDescent="0.25">
      <c r="A510" t="s">
        <v>90</v>
      </c>
      <c r="F510" t="s">
        <v>77</v>
      </c>
      <c r="G510" t="s">
        <v>54</v>
      </c>
      <c r="H510" t="s">
        <v>412</v>
      </c>
      <c r="L510" t="s">
        <v>82</v>
      </c>
      <c r="M510" s="10">
        <f>(1/0.52)*7</f>
        <v>13.46153846153846</v>
      </c>
      <c r="N510" t="s">
        <v>37</v>
      </c>
      <c r="O510" t="s">
        <v>92</v>
      </c>
      <c r="P510" t="s">
        <v>87</v>
      </c>
    </row>
    <row r="511" spans="1:19" x14ac:dyDescent="0.25">
      <c r="A511" t="s">
        <v>90</v>
      </c>
      <c r="F511" t="s">
        <v>77</v>
      </c>
      <c r="G511" t="s">
        <v>54</v>
      </c>
      <c r="H511" t="s">
        <v>417</v>
      </c>
      <c r="L511" t="s">
        <v>82</v>
      </c>
      <c r="M511" s="12">
        <f>(1/0.52)*3</f>
        <v>5.7692307692307683</v>
      </c>
      <c r="N511" t="s">
        <v>37</v>
      </c>
      <c r="O511" t="s">
        <v>92</v>
      </c>
      <c r="P511" t="s">
        <v>87</v>
      </c>
    </row>
    <row r="512" spans="1:19" x14ac:dyDescent="0.25">
      <c r="A512" t="s">
        <v>90</v>
      </c>
      <c r="F512" t="s">
        <v>77</v>
      </c>
      <c r="G512" t="s">
        <v>54</v>
      </c>
      <c r="H512" t="s">
        <v>418</v>
      </c>
      <c r="L512" t="s">
        <v>82</v>
      </c>
      <c r="M512" s="10">
        <f>(1/0.52)*6</f>
        <v>11.538461538461537</v>
      </c>
      <c r="N512" t="s">
        <v>37</v>
      </c>
      <c r="O512" t="s">
        <v>92</v>
      </c>
      <c r="P512" t="s">
        <v>87</v>
      </c>
    </row>
    <row r="513" spans="1:16" x14ac:dyDescent="0.25">
      <c r="A513" t="s">
        <v>90</v>
      </c>
      <c r="F513" t="s">
        <v>77</v>
      </c>
      <c r="G513" t="s">
        <v>54</v>
      </c>
      <c r="H513" t="s">
        <v>423</v>
      </c>
      <c r="L513" t="s">
        <v>82</v>
      </c>
      <c r="M513" s="12">
        <f>(1/0.52)*4.5</f>
        <v>8.6538461538461533</v>
      </c>
      <c r="N513" t="s">
        <v>37</v>
      </c>
      <c r="O513" t="s">
        <v>422</v>
      </c>
      <c r="P513" s="42" t="s">
        <v>420</v>
      </c>
    </row>
    <row r="514" spans="1:16" x14ac:dyDescent="0.25">
      <c r="A514" t="s">
        <v>90</v>
      </c>
      <c r="F514" t="s">
        <v>77</v>
      </c>
      <c r="G514" t="s">
        <v>54</v>
      </c>
      <c r="H514" t="s">
        <v>419</v>
      </c>
      <c r="L514" t="s">
        <v>82</v>
      </c>
      <c r="M514">
        <v>12</v>
      </c>
      <c r="N514" t="s">
        <v>37</v>
      </c>
      <c r="P514" t="s">
        <v>87</v>
      </c>
    </row>
    <row r="515" spans="1:16" x14ac:dyDescent="0.25">
      <c r="A515" t="s">
        <v>305</v>
      </c>
      <c r="F515" t="s">
        <v>307</v>
      </c>
      <c r="G515" t="s">
        <v>54</v>
      </c>
      <c r="L515" t="s">
        <v>81</v>
      </c>
      <c r="M515" s="11">
        <v>88</v>
      </c>
      <c r="N515" t="s">
        <v>37</v>
      </c>
      <c r="O515" s="14" t="s">
        <v>454</v>
      </c>
      <c r="P515" t="s">
        <v>453</v>
      </c>
    </row>
    <row r="516" spans="1:16" x14ac:dyDescent="0.25">
      <c r="A516" t="s">
        <v>305</v>
      </c>
      <c r="F516" t="s">
        <v>307</v>
      </c>
      <c r="G516" t="s">
        <v>54</v>
      </c>
      <c r="H516" t="s">
        <v>412</v>
      </c>
      <c r="I516" s="16"/>
      <c r="J516" s="16"/>
      <c r="K516" s="16"/>
      <c r="L516" t="s">
        <v>82</v>
      </c>
      <c r="M516" s="10">
        <f>(1/0.5)*8</f>
        <v>16</v>
      </c>
      <c r="N516" t="s">
        <v>37</v>
      </c>
      <c r="O516" t="s">
        <v>309</v>
      </c>
      <c r="P516" s="16" t="s">
        <v>308</v>
      </c>
    </row>
    <row r="517" spans="1:16" x14ac:dyDescent="0.25">
      <c r="A517" t="s">
        <v>305</v>
      </c>
      <c r="F517" t="s">
        <v>307</v>
      </c>
      <c r="G517" t="s">
        <v>54</v>
      </c>
      <c r="H517" s="16" t="s">
        <v>417</v>
      </c>
      <c r="L517" t="s">
        <v>82</v>
      </c>
      <c r="M517" s="12">
        <f>(1/0.5)*3</f>
        <v>6</v>
      </c>
      <c r="N517" t="s">
        <v>37</v>
      </c>
      <c r="O517" t="s">
        <v>309</v>
      </c>
      <c r="P517" s="16" t="s">
        <v>308</v>
      </c>
    </row>
    <row r="518" spans="1:16" x14ac:dyDescent="0.25">
      <c r="A518" t="s">
        <v>305</v>
      </c>
      <c r="F518" t="s">
        <v>307</v>
      </c>
      <c r="G518" t="s">
        <v>54</v>
      </c>
      <c r="H518" t="s">
        <v>424</v>
      </c>
      <c r="L518" t="s">
        <v>82</v>
      </c>
      <c r="M518" s="12">
        <f>(1/0.5)*4.5</f>
        <v>9</v>
      </c>
      <c r="N518" t="s">
        <v>37</v>
      </c>
      <c r="O518" t="s">
        <v>425</v>
      </c>
      <c r="P518" s="16"/>
    </row>
    <row r="519" spans="1:16" x14ac:dyDescent="0.25">
      <c r="A519" t="s">
        <v>305</v>
      </c>
      <c r="F519" t="s">
        <v>307</v>
      </c>
      <c r="G519" t="s">
        <v>54</v>
      </c>
      <c r="H519" s="16" t="s">
        <v>418</v>
      </c>
      <c r="L519" t="s">
        <v>82</v>
      </c>
      <c r="M519">
        <f>(1/0.5)*8</f>
        <v>16</v>
      </c>
      <c r="N519" t="s">
        <v>37</v>
      </c>
      <c r="O519" t="s">
        <v>309</v>
      </c>
      <c r="P519" s="16" t="s">
        <v>308</v>
      </c>
    </row>
    <row r="520" spans="1:16" x14ac:dyDescent="0.25">
      <c r="A520" t="s">
        <v>239</v>
      </c>
      <c r="F520" t="s">
        <v>240</v>
      </c>
      <c r="G520" t="s">
        <v>54</v>
      </c>
      <c r="L520" t="s">
        <v>81</v>
      </c>
      <c r="M520" s="11">
        <v>88</v>
      </c>
      <c r="N520" t="s">
        <v>37</v>
      </c>
      <c r="O520" s="14" t="s">
        <v>454</v>
      </c>
      <c r="P520" t="s">
        <v>453</v>
      </c>
    </row>
    <row r="521" spans="1:16" x14ac:dyDescent="0.25">
      <c r="A521" s="11" t="s">
        <v>239</v>
      </c>
      <c r="B521" s="11"/>
      <c r="C521" s="11"/>
      <c r="D521" s="11"/>
      <c r="E521" s="11"/>
      <c r="F521" s="11" t="s">
        <v>240</v>
      </c>
      <c r="G521" s="11" t="s">
        <v>54</v>
      </c>
      <c r="H521" s="16" t="s">
        <v>427</v>
      </c>
      <c r="L521" t="s">
        <v>82</v>
      </c>
      <c r="M521" s="10">
        <f>(1/0.78)*21.32</f>
        <v>27.333333333333332</v>
      </c>
      <c r="N521" t="s">
        <v>37</v>
      </c>
      <c r="O521" t="s">
        <v>428</v>
      </c>
      <c r="P521" t="s">
        <v>429</v>
      </c>
    </row>
    <row r="522" spans="1:16" x14ac:dyDescent="0.25">
      <c r="A522" s="11" t="s">
        <v>239</v>
      </c>
      <c r="B522" s="11"/>
      <c r="C522" s="11"/>
      <c r="D522" s="11"/>
      <c r="E522" s="11"/>
      <c r="F522" s="11" t="s">
        <v>240</v>
      </c>
      <c r="G522" s="11" t="s">
        <v>54</v>
      </c>
      <c r="H522" t="s">
        <v>426</v>
      </c>
      <c r="L522" t="s">
        <v>82</v>
      </c>
      <c r="M522" s="10">
        <f>(1/0.78)*(4.1+3+8.06+3.01+3.64+0.57+1.99)</f>
        <v>31.243589743589741</v>
      </c>
      <c r="N522" t="s">
        <v>37</v>
      </c>
      <c r="P522" t="s">
        <v>429</v>
      </c>
    </row>
    <row r="523" spans="1:16" x14ac:dyDescent="0.25">
      <c r="A523" s="11" t="s">
        <v>239</v>
      </c>
      <c r="B523" s="11"/>
      <c r="C523" s="11"/>
      <c r="D523" s="11"/>
      <c r="E523" s="11"/>
      <c r="F523" s="11" t="s">
        <v>240</v>
      </c>
      <c r="G523" s="11" t="s">
        <v>54</v>
      </c>
      <c r="H523" t="s">
        <v>424</v>
      </c>
      <c r="L523" t="s">
        <v>82</v>
      </c>
      <c r="M523" s="12">
        <f>(1/0.78)*3.12</f>
        <v>4</v>
      </c>
      <c r="N523" t="s">
        <v>37</v>
      </c>
      <c r="P523" t="s">
        <v>429</v>
      </c>
    </row>
    <row r="524" spans="1:16" x14ac:dyDescent="0.25">
      <c r="A524" s="6"/>
      <c r="B524" s="6"/>
      <c r="C524" s="6"/>
      <c r="D524" s="6"/>
      <c r="E524" s="6"/>
      <c r="F524" s="6"/>
      <c r="G524" s="6"/>
      <c r="H524" s="6"/>
    </row>
    <row r="525" spans="1:16" x14ac:dyDescent="0.25">
      <c r="A525" t="s">
        <v>404</v>
      </c>
      <c r="H525" t="s">
        <v>412</v>
      </c>
      <c r="L525" t="s">
        <v>81</v>
      </c>
      <c r="M525">
        <v>100</v>
      </c>
      <c r="N525" t="s">
        <v>37</v>
      </c>
    </row>
    <row r="526" spans="1:16" x14ac:dyDescent="0.25">
      <c r="A526" t="s">
        <v>405</v>
      </c>
      <c r="H526" t="s">
        <v>423</v>
      </c>
      <c r="L526" t="s">
        <v>81</v>
      </c>
      <c r="M526">
        <v>100</v>
      </c>
      <c r="N526" t="s">
        <v>37</v>
      </c>
    </row>
    <row r="527" spans="1:16" x14ac:dyDescent="0.25">
      <c r="A527" s="4" t="s">
        <v>14</v>
      </c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5"/>
      <c r="M527" s="5"/>
      <c r="N527" s="5"/>
      <c r="O527" s="5"/>
      <c r="P527" s="5"/>
    </row>
    <row r="528" spans="1:16" x14ac:dyDescent="0.25">
      <c r="A528" t="s">
        <v>14</v>
      </c>
      <c r="F528" t="s">
        <v>240</v>
      </c>
      <c r="G528" t="s">
        <v>289</v>
      </c>
      <c r="L528" t="s">
        <v>81</v>
      </c>
      <c r="M528">
        <v>100</v>
      </c>
      <c r="N528" t="s">
        <v>37</v>
      </c>
    </row>
    <row r="529" spans="1:16" x14ac:dyDescent="0.25">
      <c r="A529" s="6" t="s">
        <v>332</v>
      </c>
      <c r="B529" s="6"/>
      <c r="C529" s="6"/>
      <c r="D529" s="6"/>
      <c r="E529" s="6"/>
      <c r="F529" s="6" t="s">
        <v>240</v>
      </c>
      <c r="G529" s="6" t="s">
        <v>289</v>
      </c>
      <c r="H529" s="6"/>
      <c r="I529" s="6"/>
      <c r="J529" s="6"/>
      <c r="K529" s="6"/>
      <c r="L529" s="6" t="s">
        <v>81</v>
      </c>
      <c r="M529" s="6">
        <v>100</v>
      </c>
      <c r="N529" s="6" t="s">
        <v>37</v>
      </c>
    </row>
    <row r="530" spans="1:16" x14ac:dyDescent="0.25">
      <c r="A530" s="4" t="s">
        <v>19</v>
      </c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5"/>
      <c r="M530" s="5"/>
      <c r="N530" s="5"/>
      <c r="O530" s="5"/>
      <c r="P530" s="5"/>
    </row>
    <row r="531" spans="1:16" x14ac:dyDescent="0.25">
      <c r="A531" t="s">
        <v>176</v>
      </c>
      <c r="D531" t="s">
        <v>185</v>
      </c>
      <c r="L531" t="s">
        <v>81</v>
      </c>
      <c r="M531">
        <v>100</v>
      </c>
      <c r="N531" t="s">
        <v>37</v>
      </c>
    </row>
    <row r="532" spans="1:16" x14ac:dyDescent="0.25">
      <c r="A532" s="16" t="s">
        <v>177</v>
      </c>
      <c r="D532" t="s">
        <v>186</v>
      </c>
      <c r="L532" t="s">
        <v>81</v>
      </c>
      <c r="M532">
        <v>100</v>
      </c>
      <c r="N532" t="s">
        <v>37</v>
      </c>
    </row>
    <row r="533" spans="1:16" x14ac:dyDescent="0.25">
      <c r="A533" s="16" t="s">
        <v>178</v>
      </c>
      <c r="D533" t="s">
        <v>187</v>
      </c>
      <c r="L533" t="s">
        <v>81</v>
      </c>
      <c r="M533">
        <v>100</v>
      </c>
      <c r="N533" t="s">
        <v>37</v>
      </c>
    </row>
    <row r="534" spans="1:16" x14ac:dyDescent="0.25">
      <c r="A534" s="6" t="s">
        <v>179</v>
      </c>
    </row>
    <row r="535" spans="1:16" s="11" customFormat="1" x14ac:dyDescent="0.25">
      <c r="A535" s="11" t="s">
        <v>180</v>
      </c>
      <c r="D535" s="11" t="s">
        <v>380</v>
      </c>
      <c r="L535" s="11" t="s">
        <v>81</v>
      </c>
      <c r="M535" s="11">
        <v>100</v>
      </c>
      <c r="N535" s="11" t="s">
        <v>37</v>
      </c>
    </row>
    <row r="536" spans="1:16" s="11" customFormat="1" x14ac:dyDescent="0.25">
      <c r="A536" s="11" t="s">
        <v>334</v>
      </c>
      <c r="D536" s="11" t="s">
        <v>381</v>
      </c>
      <c r="L536" s="11" t="s">
        <v>81</v>
      </c>
      <c r="M536" s="11">
        <v>100</v>
      </c>
      <c r="N536" s="11" t="s">
        <v>37</v>
      </c>
    </row>
    <row r="537" spans="1:16" s="11" customFormat="1" x14ac:dyDescent="0.25">
      <c r="A537" s="11" t="s">
        <v>335</v>
      </c>
      <c r="D537" s="11" t="s">
        <v>382</v>
      </c>
      <c r="L537" s="11" t="s">
        <v>81</v>
      </c>
      <c r="M537" s="11">
        <v>100</v>
      </c>
      <c r="N537" s="11" t="s">
        <v>37</v>
      </c>
    </row>
    <row r="538" spans="1:16" s="11" customFormat="1" x14ac:dyDescent="0.25">
      <c r="A538" s="35" t="s">
        <v>20</v>
      </c>
      <c r="B538" s="36"/>
      <c r="C538" s="36"/>
      <c r="D538" s="36"/>
      <c r="E538" s="36"/>
      <c r="F538" s="36"/>
      <c r="G538" s="36"/>
      <c r="H538" s="36"/>
      <c r="I538" s="36"/>
      <c r="J538" s="36"/>
      <c r="K538" s="36"/>
      <c r="L538" s="36"/>
      <c r="M538" s="36"/>
      <c r="N538" s="36"/>
      <c r="O538" s="36"/>
      <c r="P538" s="36"/>
    </row>
    <row r="539" spans="1:16" s="11" customFormat="1" x14ac:dyDescent="0.25">
      <c r="A539" t="s">
        <v>336</v>
      </c>
      <c r="B539"/>
      <c r="C539"/>
      <c r="D539" t="s">
        <v>438</v>
      </c>
      <c r="E539"/>
      <c r="F539"/>
      <c r="G539"/>
      <c r="H539"/>
      <c r="I539"/>
      <c r="J539"/>
      <c r="K539"/>
      <c r="L539" t="s">
        <v>81</v>
      </c>
      <c r="M539">
        <v>50</v>
      </c>
      <c r="N539" t="s">
        <v>37</v>
      </c>
    </row>
    <row r="540" spans="1:16" s="11" customFormat="1" x14ac:dyDescent="0.25">
      <c r="A540" t="s">
        <v>336</v>
      </c>
      <c r="B540"/>
      <c r="C540"/>
      <c r="D540" t="s">
        <v>438</v>
      </c>
      <c r="E540"/>
      <c r="F540"/>
      <c r="G540"/>
      <c r="H540" t="s">
        <v>440</v>
      </c>
      <c r="I540"/>
      <c r="J540"/>
      <c r="K540"/>
      <c r="L540" t="s">
        <v>82</v>
      </c>
      <c r="M540">
        <v>50</v>
      </c>
      <c r="N540" t="s">
        <v>37</v>
      </c>
    </row>
    <row r="541" spans="1:16" s="11" customFormat="1" x14ac:dyDescent="0.25">
      <c r="A541" t="s">
        <v>338</v>
      </c>
      <c r="B541"/>
      <c r="C541"/>
      <c r="D541" t="s">
        <v>439</v>
      </c>
      <c r="E541"/>
      <c r="F541"/>
      <c r="G541"/>
      <c r="H541"/>
      <c r="I541"/>
      <c r="J541"/>
      <c r="K541"/>
      <c r="L541" t="s">
        <v>81</v>
      </c>
      <c r="M541">
        <v>53</v>
      </c>
      <c r="N541" t="s">
        <v>37</v>
      </c>
    </row>
    <row r="542" spans="1:16" s="11" customFormat="1" x14ac:dyDescent="0.25">
      <c r="A542" t="s">
        <v>338</v>
      </c>
      <c r="B542"/>
      <c r="C542"/>
      <c r="D542" t="s">
        <v>439</v>
      </c>
      <c r="E542"/>
      <c r="F542"/>
      <c r="G542"/>
      <c r="H542" t="s">
        <v>441</v>
      </c>
      <c r="I542"/>
      <c r="J542"/>
      <c r="K542"/>
      <c r="L542" t="s">
        <v>82</v>
      </c>
      <c r="M542">
        <v>47</v>
      </c>
      <c r="N542" t="s">
        <v>37</v>
      </c>
    </row>
    <row r="543" spans="1:16" s="11" customFormat="1" x14ac:dyDescent="0.25">
      <c r="A543" s="35" t="s">
        <v>339</v>
      </c>
      <c r="B543" s="36"/>
      <c r="C543" s="36"/>
      <c r="D543" s="36"/>
      <c r="E543" s="36"/>
      <c r="F543" s="36"/>
      <c r="G543" s="36"/>
      <c r="H543" s="36"/>
      <c r="I543" s="36"/>
      <c r="J543" s="36"/>
      <c r="K543" s="36"/>
      <c r="L543" s="36"/>
      <c r="M543" s="36"/>
      <c r="N543" s="36"/>
      <c r="O543" s="36"/>
      <c r="P543" s="36"/>
    </row>
    <row r="544" spans="1:16" s="11" customFormat="1" x14ac:dyDescent="0.25">
      <c r="A544" t="s">
        <v>340</v>
      </c>
      <c r="B544"/>
      <c r="C544"/>
      <c r="D544" t="s">
        <v>383</v>
      </c>
      <c r="E544"/>
      <c r="F544"/>
      <c r="G544"/>
      <c r="H544"/>
      <c r="I544"/>
      <c r="J544"/>
      <c r="K544"/>
      <c r="L544" t="s">
        <v>81</v>
      </c>
      <c r="M544">
        <v>100</v>
      </c>
      <c r="N544" t="s">
        <v>37</v>
      </c>
    </row>
    <row r="545" spans="1:16" x14ac:dyDescent="0.25">
      <c r="A545" s="4" t="s">
        <v>21</v>
      </c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5"/>
      <c r="M545" s="5"/>
      <c r="N545" s="5"/>
      <c r="O545" s="5"/>
      <c r="P545" s="5"/>
    </row>
    <row r="546" spans="1:16" x14ac:dyDescent="0.25">
      <c r="A546" t="s">
        <v>113</v>
      </c>
      <c r="D546" t="s">
        <v>115</v>
      </c>
      <c r="J546" t="s">
        <v>44</v>
      </c>
      <c r="L546" t="s">
        <v>81</v>
      </c>
      <c r="M546" s="10">
        <v>38</v>
      </c>
      <c r="N546" t="s">
        <v>37</v>
      </c>
      <c r="O546" s="6"/>
      <c r="P546" t="s">
        <v>87</v>
      </c>
    </row>
    <row r="547" spans="1:16" x14ac:dyDescent="0.25">
      <c r="A547" t="s">
        <v>113</v>
      </c>
      <c r="D547" t="s">
        <v>115</v>
      </c>
      <c r="H547" t="s">
        <v>116</v>
      </c>
      <c r="J547" t="s">
        <v>44</v>
      </c>
      <c r="L547" t="s">
        <v>82</v>
      </c>
      <c r="M547" s="10">
        <v>60</v>
      </c>
      <c r="N547" t="s">
        <v>37</v>
      </c>
      <c r="P547" t="s">
        <v>87</v>
      </c>
    </row>
    <row r="548" spans="1:16" x14ac:dyDescent="0.25">
      <c r="A548" t="s">
        <v>113</v>
      </c>
      <c r="D548" t="s">
        <v>115</v>
      </c>
      <c r="J548" t="s">
        <v>42</v>
      </c>
      <c r="L548" t="s">
        <v>81</v>
      </c>
      <c r="M548" s="10">
        <v>32</v>
      </c>
      <c r="N548" t="s">
        <v>37</v>
      </c>
      <c r="O548" t="s">
        <v>118</v>
      </c>
    </row>
    <row r="549" spans="1:16" x14ac:dyDescent="0.25">
      <c r="A549" t="s">
        <v>113</v>
      </c>
      <c r="D549" t="s">
        <v>115</v>
      </c>
      <c r="H549" t="s">
        <v>117</v>
      </c>
      <c r="J549" t="s">
        <v>42</v>
      </c>
      <c r="L549" t="s">
        <v>82</v>
      </c>
      <c r="M549" s="10">
        <v>68</v>
      </c>
      <c r="N549" t="s">
        <v>37</v>
      </c>
    </row>
    <row r="550" spans="1:16" s="11" customFormat="1" x14ac:dyDescent="0.25">
      <c r="A550" s="11" t="s">
        <v>342</v>
      </c>
      <c r="D550" s="11" t="s">
        <v>115</v>
      </c>
      <c r="J550" s="11" t="s">
        <v>44</v>
      </c>
      <c r="L550" s="11" t="s">
        <v>81</v>
      </c>
      <c r="M550" s="9">
        <v>38</v>
      </c>
      <c r="N550" s="11" t="s">
        <v>37</v>
      </c>
    </row>
    <row r="551" spans="1:16" s="11" customFormat="1" x14ac:dyDescent="0.25">
      <c r="A551" s="11" t="s">
        <v>342</v>
      </c>
      <c r="D551" s="11" t="s">
        <v>115</v>
      </c>
      <c r="H551" s="11" t="s">
        <v>116</v>
      </c>
      <c r="J551" s="11" t="s">
        <v>44</v>
      </c>
      <c r="L551" s="11" t="s">
        <v>82</v>
      </c>
      <c r="M551" s="9">
        <v>60</v>
      </c>
      <c r="N551" s="11" t="s">
        <v>37</v>
      </c>
    </row>
    <row r="552" spans="1:16" s="11" customFormat="1" x14ac:dyDescent="0.25">
      <c r="A552" s="11" t="s">
        <v>342</v>
      </c>
      <c r="D552" s="11" t="s">
        <v>115</v>
      </c>
      <c r="J552" s="11" t="s">
        <v>42</v>
      </c>
      <c r="L552" s="11" t="s">
        <v>81</v>
      </c>
      <c r="M552" s="9">
        <v>32</v>
      </c>
      <c r="N552" s="11" t="s">
        <v>37</v>
      </c>
    </row>
    <row r="553" spans="1:16" s="11" customFormat="1" x14ac:dyDescent="0.25">
      <c r="A553" s="11" t="s">
        <v>342</v>
      </c>
      <c r="D553" s="11" t="s">
        <v>115</v>
      </c>
      <c r="H553" s="11" t="s">
        <v>117</v>
      </c>
      <c r="J553" s="11" t="s">
        <v>42</v>
      </c>
      <c r="L553" s="11" t="s">
        <v>82</v>
      </c>
      <c r="M553" s="9">
        <v>68</v>
      </c>
      <c r="N553" s="11" t="s">
        <v>37</v>
      </c>
    </row>
    <row r="554" spans="1:16" s="11" customFormat="1" x14ac:dyDescent="0.25">
      <c r="A554" s="11" t="s">
        <v>120</v>
      </c>
      <c r="D554" s="11" t="s">
        <v>383</v>
      </c>
      <c r="L554" s="11" t="s">
        <v>81</v>
      </c>
      <c r="M554" s="9">
        <v>43</v>
      </c>
      <c r="N554" s="11" t="s">
        <v>37</v>
      </c>
      <c r="O554" s="11" t="s">
        <v>384</v>
      </c>
    </row>
    <row r="555" spans="1:16" s="11" customFormat="1" x14ac:dyDescent="0.25">
      <c r="A555" s="11" t="s">
        <v>120</v>
      </c>
      <c r="D555" s="11" t="s">
        <v>383</v>
      </c>
      <c r="H555" s="11" t="s">
        <v>413</v>
      </c>
      <c r="L555" s="11" t="s">
        <v>82</v>
      </c>
      <c r="M555" s="9">
        <v>47</v>
      </c>
      <c r="N555" s="11" t="s">
        <v>37</v>
      </c>
    </row>
    <row r="556" spans="1:16" x14ac:dyDescent="0.25">
      <c r="A556" s="4" t="s">
        <v>23</v>
      </c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5"/>
      <c r="M556" s="5"/>
      <c r="N556" s="5"/>
      <c r="O556" s="5"/>
      <c r="P556" s="5"/>
    </row>
    <row r="557" spans="1:16" x14ac:dyDescent="0.25">
      <c r="A557" t="s">
        <v>191</v>
      </c>
      <c r="D557" t="s">
        <v>198</v>
      </c>
      <c r="L557" t="s">
        <v>81</v>
      </c>
      <c r="M557" s="12">
        <f>161/1000*100</f>
        <v>16.100000000000001</v>
      </c>
      <c r="N557" t="s">
        <v>37</v>
      </c>
      <c r="O557" t="s">
        <v>299</v>
      </c>
      <c r="P557" s="11" t="s">
        <v>301</v>
      </c>
    </row>
    <row r="558" spans="1:16" x14ac:dyDescent="0.25">
      <c r="A558" t="s">
        <v>191</v>
      </c>
      <c r="D558" t="s">
        <v>198</v>
      </c>
      <c r="H558" t="s">
        <v>199</v>
      </c>
      <c r="L558" t="s">
        <v>82</v>
      </c>
      <c r="M558" s="12">
        <f>(6.4+25.2)/1000/0.9*100</f>
        <v>3.5111111111111115</v>
      </c>
      <c r="N558" t="s">
        <v>37</v>
      </c>
      <c r="O558" t="s">
        <v>302</v>
      </c>
      <c r="P558" s="11" t="s">
        <v>301</v>
      </c>
    </row>
    <row r="559" spans="1:16" x14ac:dyDescent="0.25">
      <c r="A559" t="s">
        <v>191</v>
      </c>
      <c r="D559" t="s">
        <v>198</v>
      </c>
      <c r="H559" t="s">
        <v>200</v>
      </c>
      <c r="L559" t="s">
        <v>82</v>
      </c>
      <c r="M559" s="12">
        <f>19/1000/0.76*100</f>
        <v>2.5</v>
      </c>
      <c r="N559" t="s">
        <v>37</v>
      </c>
      <c r="O559" t="s">
        <v>303</v>
      </c>
      <c r="P559" s="11" t="s">
        <v>301</v>
      </c>
    </row>
    <row r="560" spans="1:16" x14ac:dyDescent="0.25">
      <c r="A560" t="s">
        <v>193</v>
      </c>
      <c r="D560" t="s">
        <v>198</v>
      </c>
      <c r="L560" t="s">
        <v>81</v>
      </c>
      <c r="M560" s="32">
        <f>M557/0.8</f>
        <v>20.125</v>
      </c>
      <c r="N560" t="s">
        <v>37</v>
      </c>
      <c r="O560" s="11" t="s">
        <v>304</v>
      </c>
    </row>
    <row r="561" spans="1:16" x14ac:dyDescent="0.25">
      <c r="A561" t="s">
        <v>193</v>
      </c>
      <c r="D561" t="s">
        <v>198</v>
      </c>
      <c r="H561" t="s">
        <v>199</v>
      </c>
      <c r="L561" t="s">
        <v>82</v>
      </c>
      <c r="M561" s="32">
        <f>M558</f>
        <v>3.5111111111111115</v>
      </c>
      <c r="N561" t="s">
        <v>37</v>
      </c>
    </row>
    <row r="562" spans="1:16" x14ac:dyDescent="0.25">
      <c r="A562" t="s">
        <v>193</v>
      </c>
      <c r="D562" t="s">
        <v>198</v>
      </c>
      <c r="H562" t="s">
        <v>200</v>
      </c>
      <c r="L562" t="s">
        <v>82</v>
      </c>
      <c r="M562" s="32">
        <f>M559</f>
        <v>2.5</v>
      </c>
      <c r="N562" t="s">
        <v>37</v>
      </c>
    </row>
    <row r="563" spans="1:16" x14ac:dyDescent="0.25">
      <c r="A563" s="6" t="s">
        <v>192</v>
      </c>
    </row>
    <row r="564" spans="1:16" x14ac:dyDescent="0.25">
      <c r="A564" s="4" t="s">
        <v>28</v>
      </c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5"/>
      <c r="M564" s="5"/>
      <c r="N564" s="5"/>
      <c r="O564" s="5"/>
      <c r="P564" s="5"/>
    </row>
    <row r="565" spans="1:16" x14ac:dyDescent="0.25">
      <c r="A565" t="s">
        <v>201</v>
      </c>
      <c r="B565" s="6"/>
      <c r="C565" s="6"/>
      <c r="D565" t="s">
        <v>211</v>
      </c>
      <c r="F565" s="6"/>
      <c r="G565" s="6"/>
      <c r="H565" s="6"/>
      <c r="I565" s="6"/>
      <c r="J565" s="6"/>
      <c r="K565" s="6"/>
      <c r="L565" t="s">
        <v>81</v>
      </c>
      <c r="M565" s="9">
        <v>70</v>
      </c>
      <c r="N565" t="s">
        <v>37</v>
      </c>
      <c r="P565" t="s">
        <v>87</v>
      </c>
    </row>
    <row r="566" spans="1:16" x14ac:dyDescent="0.25">
      <c r="A566" t="s">
        <v>204</v>
      </c>
      <c r="B566" s="6"/>
      <c r="C566" s="6"/>
      <c r="D566" t="s">
        <v>47</v>
      </c>
      <c r="F566" s="6"/>
      <c r="G566" s="6"/>
      <c r="H566" s="6"/>
      <c r="I566" s="6"/>
      <c r="J566" s="6"/>
      <c r="K566" s="6"/>
      <c r="L566" t="s">
        <v>81</v>
      </c>
      <c r="M566" s="9">
        <f>655*0.7</f>
        <v>458.49999999999994</v>
      </c>
      <c r="N566" t="s">
        <v>37</v>
      </c>
      <c r="P566" t="s">
        <v>87</v>
      </c>
    </row>
    <row r="567" spans="1:16" x14ac:dyDescent="0.25">
      <c r="A567" t="s">
        <v>204</v>
      </c>
      <c r="B567" s="6"/>
      <c r="C567" s="6"/>
      <c r="D567" t="s">
        <v>47</v>
      </c>
      <c r="F567" s="6"/>
      <c r="G567" s="6"/>
      <c r="H567" s="11" t="s">
        <v>112</v>
      </c>
      <c r="I567" s="6"/>
      <c r="J567" s="6"/>
      <c r="K567" s="6"/>
      <c r="L567" t="s">
        <v>82</v>
      </c>
      <c r="M567" s="9">
        <f>1*(M566/100)*0.2*100</f>
        <v>91.699999999999989</v>
      </c>
      <c r="N567" t="s">
        <v>37</v>
      </c>
      <c r="O567" t="s">
        <v>110</v>
      </c>
      <c r="P567" t="s">
        <v>109</v>
      </c>
    </row>
    <row r="568" spans="1:16" x14ac:dyDescent="0.25">
      <c r="B568" s="6"/>
      <c r="C568" s="6"/>
      <c r="F568" s="6"/>
      <c r="G568" s="6"/>
      <c r="H568" s="6" t="s">
        <v>150</v>
      </c>
      <c r="I568" s="6"/>
      <c r="J568" s="6"/>
      <c r="K568" s="6"/>
      <c r="M568" s="9"/>
      <c r="O568" s="6" t="s">
        <v>151</v>
      </c>
    </row>
    <row r="569" spans="1:16" x14ac:dyDescent="0.25">
      <c r="A569" t="s">
        <v>202</v>
      </c>
      <c r="B569" s="6"/>
      <c r="C569" s="6"/>
      <c r="D569" t="s">
        <v>212</v>
      </c>
      <c r="F569" s="6"/>
      <c r="G569" s="6"/>
      <c r="H569" s="11"/>
      <c r="I569" s="6"/>
      <c r="J569" s="6"/>
      <c r="K569" s="6"/>
      <c r="L569" t="s">
        <v>81</v>
      </c>
      <c r="M569" s="9">
        <v>65</v>
      </c>
      <c r="N569" t="s">
        <v>37</v>
      </c>
      <c r="P569" t="s">
        <v>87</v>
      </c>
    </row>
    <row r="570" spans="1:16" x14ac:dyDescent="0.25">
      <c r="A570" t="s">
        <v>202</v>
      </c>
      <c r="B570" s="6"/>
      <c r="C570" s="6"/>
      <c r="D570" t="s">
        <v>212</v>
      </c>
      <c r="F570" s="6"/>
      <c r="G570" s="6"/>
      <c r="H570" s="11" t="s">
        <v>213</v>
      </c>
      <c r="I570" s="6"/>
      <c r="J570" s="6"/>
      <c r="K570" s="6"/>
      <c r="L570" t="s">
        <v>82</v>
      </c>
      <c r="M570" s="9">
        <v>35</v>
      </c>
      <c r="N570" t="s">
        <v>37</v>
      </c>
      <c r="P570" t="s">
        <v>87</v>
      </c>
    </row>
    <row r="571" spans="1:16" x14ac:dyDescent="0.25">
      <c r="A571" t="s">
        <v>205</v>
      </c>
      <c r="B571" s="6"/>
      <c r="C571" s="6"/>
      <c r="D571" t="s">
        <v>36</v>
      </c>
      <c r="F571" s="6"/>
      <c r="G571" s="6"/>
      <c r="H571" s="11"/>
      <c r="I571" s="6"/>
      <c r="J571" s="6"/>
      <c r="K571" s="6"/>
      <c r="L571" t="s">
        <v>81</v>
      </c>
      <c r="M571" s="9">
        <v>68</v>
      </c>
      <c r="N571" t="s">
        <v>37</v>
      </c>
      <c r="P571" t="s">
        <v>87</v>
      </c>
    </row>
    <row r="572" spans="1:16" x14ac:dyDescent="0.25">
      <c r="A572" t="s">
        <v>205</v>
      </c>
      <c r="B572" s="6"/>
      <c r="C572" s="6"/>
      <c r="D572" t="s">
        <v>36</v>
      </c>
      <c r="F572" s="6"/>
      <c r="G572" s="6"/>
      <c r="H572" t="s">
        <v>277</v>
      </c>
      <c r="I572" s="6"/>
      <c r="J572" s="6"/>
      <c r="K572" s="6"/>
      <c r="L572" t="s">
        <v>82</v>
      </c>
      <c r="M572" s="43">
        <f>M628</f>
        <v>36.402116402116405</v>
      </c>
      <c r="N572" s="17" t="s">
        <v>37</v>
      </c>
      <c r="O572" s="11" t="s">
        <v>430</v>
      </c>
      <c r="P572" s="6"/>
    </row>
    <row r="573" spans="1:16" x14ac:dyDescent="0.25">
      <c r="A573" s="4" t="s">
        <v>32</v>
      </c>
      <c r="B573" s="4"/>
      <c r="C573" s="4"/>
      <c r="D573" s="4"/>
      <c r="E573" s="33"/>
      <c r="F573" s="4"/>
      <c r="G573" s="4"/>
      <c r="H573" s="4"/>
      <c r="I573" s="4"/>
      <c r="J573" s="4"/>
      <c r="K573" s="4"/>
      <c r="L573" s="5"/>
      <c r="M573" s="5"/>
      <c r="N573" s="5"/>
      <c r="O573" s="5"/>
      <c r="P573" s="5"/>
    </row>
    <row r="574" spans="1:16" s="11" customFormat="1" x14ac:dyDescent="0.25">
      <c r="A574" s="11" t="s">
        <v>344</v>
      </c>
      <c r="D574" s="11" t="s">
        <v>185</v>
      </c>
      <c r="F574" s="38"/>
      <c r="G574" s="38"/>
      <c r="H574" s="38"/>
      <c r="I574" s="38"/>
      <c r="K574" s="38"/>
      <c r="L574" s="11" t="s">
        <v>81</v>
      </c>
      <c r="M574" s="11">
        <v>94</v>
      </c>
      <c r="N574" s="11" t="s">
        <v>37</v>
      </c>
    </row>
    <row r="575" spans="1:16" s="11" customFormat="1" x14ac:dyDescent="0.25">
      <c r="A575" s="11" t="s">
        <v>344</v>
      </c>
      <c r="D575" s="11" t="s">
        <v>185</v>
      </c>
      <c r="F575" s="38"/>
      <c r="G575" s="38"/>
      <c r="H575" s="11" t="s">
        <v>385</v>
      </c>
      <c r="I575" s="38"/>
      <c r="K575" s="38"/>
      <c r="L575" s="11" t="s">
        <v>82</v>
      </c>
      <c r="M575" s="19">
        <f>11*0.94</f>
        <v>10.34</v>
      </c>
      <c r="N575" s="11" t="s">
        <v>37</v>
      </c>
      <c r="O575" s="11" t="s">
        <v>386</v>
      </c>
    </row>
    <row r="576" spans="1:16" s="11" customFormat="1" x14ac:dyDescent="0.25">
      <c r="A576" s="11" t="s">
        <v>348</v>
      </c>
      <c r="D576" s="11" t="s">
        <v>36</v>
      </c>
      <c r="L576" s="11" t="s">
        <v>81</v>
      </c>
      <c r="M576" s="11">
        <v>31</v>
      </c>
      <c r="N576" s="11" t="s">
        <v>37</v>
      </c>
      <c r="O576" s="11" t="s">
        <v>371</v>
      </c>
    </row>
    <row r="577" spans="1:14" s="11" customFormat="1" x14ac:dyDescent="0.25">
      <c r="A577" s="11" t="s">
        <v>348</v>
      </c>
      <c r="D577" s="11" t="s">
        <v>36</v>
      </c>
      <c r="H577" s="11" t="s">
        <v>387</v>
      </c>
      <c r="L577" s="11" t="s">
        <v>82</v>
      </c>
      <c r="M577" s="19">
        <f>69*0.31</f>
        <v>21.39</v>
      </c>
      <c r="N577" s="11" t="s">
        <v>37</v>
      </c>
    </row>
    <row r="578" spans="1:14" s="11" customFormat="1" x14ac:dyDescent="0.25">
      <c r="A578" s="11" t="s">
        <v>348</v>
      </c>
      <c r="D578" s="11" t="s">
        <v>36</v>
      </c>
      <c r="H578" s="11" t="s">
        <v>388</v>
      </c>
      <c r="L578" s="11" t="s">
        <v>82</v>
      </c>
      <c r="M578" s="19">
        <f>1.9*0.31</f>
        <v>0.58899999999999997</v>
      </c>
      <c r="N578" s="11" t="s">
        <v>37</v>
      </c>
    </row>
    <row r="579" spans="1:14" s="11" customFormat="1" x14ac:dyDescent="0.25">
      <c r="A579" s="11" t="s">
        <v>349</v>
      </c>
      <c r="D579" s="11" t="s">
        <v>86</v>
      </c>
      <c r="L579" s="11" t="s">
        <v>81</v>
      </c>
      <c r="M579" s="11">
        <v>769</v>
      </c>
      <c r="N579" s="11" t="s">
        <v>37</v>
      </c>
    </row>
    <row r="580" spans="1:14" s="11" customFormat="1" x14ac:dyDescent="0.25">
      <c r="A580" s="11" t="s">
        <v>349</v>
      </c>
      <c r="D580" s="11" t="s">
        <v>86</v>
      </c>
      <c r="H580" s="11" t="s">
        <v>389</v>
      </c>
      <c r="L580" s="11" t="s">
        <v>82</v>
      </c>
      <c r="M580" s="19">
        <f>1.5*7.69</f>
        <v>11.535</v>
      </c>
      <c r="N580" s="11" t="s">
        <v>37</v>
      </c>
    </row>
    <row r="581" spans="1:14" s="11" customFormat="1" x14ac:dyDescent="0.25">
      <c r="A581" s="11" t="s">
        <v>351</v>
      </c>
      <c r="D581" s="11" t="s">
        <v>198</v>
      </c>
      <c r="F581" s="38"/>
      <c r="G581" s="38"/>
      <c r="H581" s="38"/>
      <c r="I581" s="38"/>
      <c r="K581" s="38"/>
      <c r="L581" s="11" t="s">
        <v>81</v>
      </c>
      <c r="M581" s="19">
        <f>M557*0.55</f>
        <v>8.8550000000000022</v>
      </c>
      <c r="N581" s="11" t="s">
        <v>37</v>
      </c>
    </row>
    <row r="582" spans="1:14" s="11" customFormat="1" x14ac:dyDescent="0.25">
      <c r="A582" s="11" t="s">
        <v>351</v>
      </c>
      <c r="D582" s="11" t="s">
        <v>198</v>
      </c>
      <c r="F582" s="38"/>
      <c r="G582" s="38"/>
      <c r="H582" s="11" t="s">
        <v>199</v>
      </c>
      <c r="I582" s="38"/>
      <c r="K582" s="38"/>
      <c r="L582" s="11" t="s">
        <v>82</v>
      </c>
      <c r="M582" s="19">
        <f>M558*0.55</f>
        <v>1.9311111111111114</v>
      </c>
      <c r="N582" s="11" t="s">
        <v>37</v>
      </c>
    </row>
    <row r="583" spans="1:14" s="11" customFormat="1" x14ac:dyDescent="0.25">
      <c r="A583" s="11" t="s">
        <v>351</v>
      </c>
      <c r="D583" s="11" t="s">
        <v>198</v>
      </c>
      <c r="F583" s="38"/>
      <c r="G583" s="38"/>
      <c r="H583" s="11" t="s">
        <v>200</v>
      </c>
      <c r="I583" s="38"/>
      <c r="K583" s="38"/>
      <c r="L583" s="11" t="s">
        <v>82</v>
      </c>
      <c r="M583" s="19">
        <f>M559*0.55</f>
        <v>1.375</v>
      </c>
      <c r="N583" s="11" t="s">
        <v>37</v>
      </c>
    </row>
    <row r="584" spans="1:14" s="11" customFormat="1" x14ac:dyDescent="0.25">
      <c r="A584" s="11" t="s">
        <v>352</v>
      </c>
      <c r="D584" s="11" t="s">
        <v>198</v>
      </c>
      <c r="F584" s="38"/>
      <c r="G584" s="38"/>
      <c r="H584" s="38"/>
      <c r="I584" s="38"/>
      <c r="K584" s="38"/>
      <c r="L584" s="11" t="s">
        <v>81</v>
      </c>
      <c r="M584" s="19">
        <f>M557*1.09</f>
        <v>17.549000000000003</v>
      </c>
      <c r="N584" s="11" t="s">
        <v>37</v>
      </c>
    </row>
    <row r="585" spans="1:14" s="11" customFormat="1" x14ac:dyDescent="0.25">
      <c r="A585" s="11" t="s">
        <v>352</v>
      </c>
      <c r="D585" s="11" t="s">
        <v>198</v>
      </c>
      <c r="F585" s="38"/>
      <c r="G585" s="38"/>
      <c r="H585" s="11" t="s">
        <v>199</v>
      </c>
      <c r="I585" s="38"/>
      <c r="K585" s="38"/>
      <c r="L585" s="11" t="s">
        <v>82</v>
      </c>
      <c r="M585" s="19">
        <f t="shared" ref="M585:M586" si="3">M558*1.09</f>
        <v>3.8271111111111118</v>
      </c>
      <c r="N585" s="11" t="s">
        <v>37</v>
      </c>
    </row>
    <row r="586" spans="1:14" s="11" customFormat="1" x14ac:dyDescent="0.25">
      <c r="A586" s="11" t="s">
        <v>352</v>
      </c>
      <c r="D586" s="11" t="s">
        <v>198</v>
      </c>
      <c r="F586" s="38"/>
      <c r="G586" s="38"/>
      <c r="H586" s="11" t="s">
        <v>200</v>
      </c>
      <c r="I586" s="38"/>
      <c r="K586" s="38"/>
      <c r="L586" s="11" t="s">
        <v>82</v>
      </c>
      <c r="M586" s="19">
        <f t="shared" si="3"/>
        <v>2.7250000000000001</v>
      </c>
      <c r="N586" s="11" t="s">
        <v>37</v>
      </c>
    </row>
    <row r="587" spans="1:14" s="11" customFormat="1" x14ac:dyDescent="0.25">
      <c r="A587" s="11" t="s">
        <v>353</v>
      </c>
      <c r="D587" s="11" t="s">
        <v>198</v>
      </c>
      <c r="F587" s="38"/>
      <c r="G587" s="38"/>
      <c r="H587" s="38"/>
      <c r="I587" s="38"/>
      <c r="K587" s="38"/>
      <c r="L587" s="11" t="s">
        <v>81</v>
      </c>
      <c r="M587" s="19">
        <f>M557*0.67</f>
        <v>10.787000000000001</v>
      </c>
      <c r="N587" s="11" t="s">
        <v>37</v>
      </c>
    </row>
    <row r="588" spans="1:14" s="11" customFormat="1" x14ac:dyDescent="0.25">
      <c r="A588" s="11" t="s">
        <v>353</v>
      </c>
      <c r="D588" s="11" t="s">
        <v>198</v>
      </c>
      <c r="F588" s="38"/>
      <c r="G588" s="38"/>
      <c r="H588" s="11" t="s">
        <v>199</v>
      </c>
      <c r="I588" s="38"/>
      <c r="K588" s="38"/>
      <c r="L588" s="11" t="s">
        <v>82</v>
      </c>
      <c r="M588" s="19">
        <f t="shared" ref="M588:M589" si="4">M558*0.67</f>
        <v>2.352444444444445</v>
      </c>
      <c r="N588" s="11" t="s">
        <v>37</v>
      </c>
    </row>
    <row r="589" spans="1:14" s="11" customFormat="1" x14ac:dyDescent="0.25">
      <c r="A589" s="11" t="s">
        <v>353</v>
      </c>
      <c r="D589" s="11" t="s">
        <v>198</v>
      </c>
      <c r="F589" s="38"/>
      <c r="G589" s="38"/>
      <c r="H589" s="11" t="s">
        <v>200</v>
      </c>
      <c r="I589" s="38"/>
      <c r="K589" s="38"/>
      <c r="L589" s="11" t="s">
        <v>82</v>
      </c>
      <c r="M589" s="19">
        <f t="shared" si="4"/>
        <v>1.675</v>
      </c>
      <c r="N589" s="11" t="s">
        <v>37</v>
      </c>
    </row>
    <row r="590" spans="1:14" s="11" customFormat="1" x14ac:dyDescent="0.25">
      <c r="A590" s="11" t="s">
        <v>354</v>
      </c>
      <c r="D590" s="11" t="s">
        <v>186</v>
      </c>
      <c r="F590" s="38"/>
      <c r="G590" s="38"/>
      <c r="H590" s="38"/>
      <c r="I590" s="38"/>
      <c r="K590" s="38"/>
      <c r="L590" s="11" t="s">
        <v>81</v>
      </c>
      <c r="M590" s="11">
        <v>150</v>
      </c>
      <c r="N590" s="11" t="s">
        <v>37</v>
      </c>
    </row>
    <row r="591" spans="1:14" s="11" customFormat="1" x14ac:dyDescent="0.25">
      <c r="A591" s="11" t="s">
        <v>355</v>
      </c>
      <c r="D591" s="11" t="s">
        <v>186</v>
      </c>
      <c r="F591" s="38"/>
      <c r="G591" s="38"/>
      <c r="H591" s="38"/>
      <c r="I591" s="38"/>
      <c r="K591" s="38"/>
      <c r="L591" s="11" t="s">
        <v>81</v>
      </c>
      <c r="M591" s="11">
        <v>100</v>
      </c>
      <c r="N591" s="11" t="s">
        <v>37</v>
      </c>
    </row>
    <row r="592" spans="1:14" s="11" customFormat="1" x14ac:dyDescent="0.25">
      <c r="A592" s="11" t="s">
        <v>355</v>
      </c>
      <c r="D592" s="11" t="s">
        <v>186</v>
      </c>
      <c r="F592" s="38"/>
      <c r="G592" s="38"/>
      <c r="H592" s="11" t="s">
        <v>390</v>
      </c>
      <c r="I592" s="38"/>
      <c r="K592" s="38"/>
      <c r="L592" s="11" t="s">
        <v>82</v>
      </c>
      <c r="M592" s="11">
        <v>22</v>
      </c>
      <c r="N592" s="11" t="s">
        <v>37</v>
      </c>
    </row>
    <row r="593" spans="1:16" s="11" customFormat="1" x14ac:dyDescent="0.25">
      <c r="A593" s="11" t="s">
        <v>356</v>
      </c>
      <c r="D593" s="11" t="s">
        <v>198</v>
      </c>
      <c r="F593" s="38"/>
      <c r="G593" s="38"/>
      <c r="H593" s="38"/>
      <c r="I593" s="38"/>
      <c r="K593" s="38"/>
      <c r="L593" s="11" t="s">
        <v>81</v>
      </c>
      <c r="M593" s="19">
        <v>8.9</v>
      </c>
      <c r="N593" s="11" t="s">
        <v>37</v>
      </c>
    </row>
    <row r="594" spans="1:16" s="11" customFormat="1" x14ac:dyDescent="0.25">
      <c r="A594" s="11" t="s">
        <v>356</v>
      </c>
      <c r="D594" s="11" t="s">
        <v>198</v>
      </c>
      <c r="F594" s="38"/>
      <c r="G594" s="38"/>
      <c r="H594" s="11" t="s">
        <v>199</v>
      </c>
      <c r="I594" s="38"/>
      <c r="K594" s="38"/>
      <c r="L594" s="11" t="s">
        <v>82</v>
      </c>
      <c r="M594" s="19">
        <v>1.9</v>
      </c>
      <c r="N594" s="11" t="s">
        <v>37</v>
      </c>
    </row>
    <row r="595" spans="1:16" s="11" customFormat="1" x14ac:dyDescent="0.25">
      <c r="A595" s="11" t="s">
        <v>356</v>
      </c>
      <c r="D595" s="11" t="s">
        <v>198</v>
      </c>
      <c r="F595" s="38"/>
      <c r="G595" s="38"/>
      <c r="H595" s="11" t="s">
        <v>200</v>
      </c>
      <c r="I595" s="38"/>
      <c r="K595" s="38"/>
      <c r="L595" s="11" t="s">
        <v>82</v>
      </c>
      <c r="M595" s="19">
        <v>1.4</v>
      </c>
      <c r="N595" s="11" t="s">
        <v>37</v>
      </c>
    </row>
    <row r="596" spans="1:16" s="11" customFormat="1" x14ac:dyDescent="0.25">
      <c r="A596" s="11" t="s">
        <v>357</v>
      </c>
      <c r="D596" s="38"/>
      <c r="E596" s="38"/>
      <c r="F596" s="38"/>
      <c r="G596" s="38"/>
      <c r="H596" s="38"/>
      <c r="I596" s="38"/>
      <c r="K596" s="38"/>
    </row>
    <row r="597" spans="1:16" s="11" customFormat="1" x14ac:dyDescent="0.25">
      <c r="A597" s="11" t="s">
        <v>358</v>
      </c>
      <c r="D597" s="11" t="s">
        <v>198</v>
      </c>
      <c r="F597" s="38"/>
      <c r="G597" s="38"/>
      <c r="H597" s="38"/>
      <c r="I597" s="38"/>
      <c r="K597" s="38"/>
      <c r="L597" s="11" t="s">
        <v>81</v>
      </c>
      <c r="M597" s="19">
        <v>4.83</v>
      </c>
      <c r="N597" s="11" t="s">
        <v>37</v>
      </c>
    </row>
    <row r="598" spans="1:16" s="11" customFormat="1" x14ac:dyDescent="0.25">
      <c r="A598" s="11" t="s">
        <v>358</v>
      </c>
      <c r="D598" s="11" t="s">
        <v>198</v>
      </c>
      <c r="F598" s="38"/>
      <c r="G598" s="38"/>
      <c r="H598" s="11" t="s">
        <v>199</v>
      </c>
      <c r="I598" s="38"/>
      <c r="K598" s="38"/>
      <c r="L598" s="11" t="s">
        <v>82</v>
      </c>
      <c r="M598" s="18">
        <v>1.0533300000000001</v>
      </c>
      <c r="N598" s="11" t="s">
        <v>37</v>
      </c>
    </row>
    <row r="599" spans="1:16" s="11" customFormat="1" x14ac:dyDescent="0.25">
      <c r="A599" s="11" t="s">
        <v>358</v>
      </c>
      <c r="D599" s="11" t="s">
        <v>198</v>
      </c>
      <c r="F599" s="38"/>
      <c r="G599" s="38"/>
      <c r="H599" s="11" t="s">
        <v>200</v>
      </c>
      <c r="I599" s="38"/>
      <c r="K599" s="38"/>
      <c r="L599" s="11" t="s">
        <v>82</v>
      </c>
      <c r="M599" s="11">
        <v>0.75</v>
      </c>
      <c r="N599" s="11" t="s">
        <v>37</v>
      </c>
    </row>
    <row r="600" spans="1:16" s="11" customFormat="1" x14ac:dyDescent="0.25">
      <c r="A600" s="11" t="s">
        <v>359</v>
      </c>
      <c r="D600" s="11" t="s">
        <v>198</v>
      </c>
      <c r="L600" s="11" t="s">
        <v>81</v>
      </c>
      <c r="M600" s="19">
        <v>6.9</v>
      </c>
      <c r="N600" s="11" t="s">
        <v>37</v>
      </c>
    </row>
    <row r="601" spans="1:16" s="11" customFormat="1" x14ac:dyDescent="0.25">
      <c r="A601" s="11" t="s">
        <v>359</v>
      </c>
      <c r="D601" s="11" t="s">
        <v>198</v>
      </c>
      <c r="H601" s="11" t="s">
        <v>199</v>
      </c>
      <c r="L601" s="11" t="s">
        <v>82</v>
      </c>
      <c r="M601" s="19">
        <v>1.5</v>
      </c>
      <c r="N601" s="11" t="s">
        <v>37</v>
      </c>
    </row>
    <row r="602" spans="1:16" s="11" customFormat="1" x14ac:dyDescent="0.25">
      <c r="A602" s="11" t="s">
        <v>359</v>
      </c>
      <c r="D602" s="11" t="s">
        <v>198</v>
      </c>
      <c r="H602" s="11" t="s">
        <v>200</v>
      </c>
      <c r="L602" s="11" t="s">
        <v>82</v>
      </c>
      <c r="M602" s="19">
        <v>1.1000000000000001</v>
      </c>
      <c r="N602" s="11" t="s">
        <v>37</v>
      </c>
    </row>
    <row r="603" spans="1:16" s="11" customFormat="1" x14ac:dyDescent="0.25">
      <c r="A603" s="4" t="s">
        <v>15</v>
      </c>
      <c r="B603" s="4"/>
      <c r="C603" s="4"/>
      <c r="D603" s="4"/>
      <c r="E603" s="33"/>
      <c r="F603" s="4"/>
      <c r="G603" s="4"/>
      <c r="H603" s="4"/>
      <c r="I603" s="4"/>
      <c r="J603" s="4"/>
      <c r="K603" s="4"/>
      <c r="L603" s="5"/>
      <c r="M603" s="5"/>
      <c r="N603" s="5"/>
      <c r="O603" s="5"/>
      <c r="P603" s="5"/>
    </row>
    <row r="604" spans="1:16" s="11" customFormat="1" x14ac:dyDescent="0.25">
      <c r="A604" s="16" t="s">
        <v>496</v>
      </c>
      <c r="D604" s="16"/>
      <c r="L604" s="11" t="s">
        <v>81</v>
      </c>
      <c r="M604" s="19">
        <v>100</v>
      </c>
      <c r="N604" s="11" t="s">
        <v>37</v>
      </c>
      <c r="O604" s="11" t="s">
        <v>497</v>
      </c>
    </row>
    <row r="605" spans="1:16" s="11" customFormat="1" x14ac:dyDescent="0.25">
      <c r="A605" s="16" t="s">
        <v>498</v>
      </c>
      <c r="D605" s="16"/>
      <c r="L605" s="11" t="s">
        <v>81</v>
      </c>
      <c r="M605" s="19">
        <v>100</v>
      </c>
      <c r="N605" s="11" t="s">
        <v>37</v>
      </c>
    </row>
    <row r="606" spans="1:16" s="11" customFormat="1" x14ac:dyDescent="0.25">
      <c r="A606" s="16" t="s">
        <v>499</v>
      </c>
      <c r="D606" s="16"/>
      <c r="L606" s="11" t="s">
        <v>81</v>
      </c>
      <c r="M606" s="19">
        <v>100</v>
      </c>
      <c r="N606" s="11" t="s">
        <v>37</v>
      </c>
    </row>
    <row r="607" spans="1:16" s="11" customFormat="1" x14ac:dyDescent="0.25">
      <c r="A607" s="16" t="s">
        <v>500</v>
      </c>
      <c r="D607" s="16"/>
      <c r="L607" s="11" t="s">
        <v>81</v>
      </c>
      <c r="M607" s="19">
        <v>100</v>
      </c>
      <c r="N607" s="11" t="s">
        <v>37</v>
      </c>
    </row>
    <row r="608" spans="1:16" s="11" customFormat="1" x14ac:dyDescent="0.25">
      <c r="A608" s="16" t="s">
        <v>501</v>
      </c>
      <c r="D608" s="16"/>
      <c r="L608" s="11" t="s">
        <v>81</v>
      </c>
      <c r="M608" s="19">
        <v>100</v>
      </c>
      <c r="N608" s="11" t="s">
        <v>37</v>
      </c>
    </row>
    <row r="609" spans="1:16" s="11" customFormat="1" x14ac:dyDescent="0.25">
      <c r="A609" s="16" t="s">
        <v>468</v>
      </c>
      <c r="D609" s="16"/>
      <c r="L609" s="11" t="s">
        <v>81</v>
      </c>
      <c r="M609" s="19">
        <v>100</v>
      </c>
      <c r="N609" s="11" t="s">
        <v>37</v>
      </c>
    </row>
    <row r="610" spans="1:16" s="11" customFormat="1" x14ac:dyDescent="0.25">
      <c r="A610" s="16" t="s">
        <v>469</v>
      </c>
      <c r="D610" s="16"/>
      <c r="L610" s="11" t="s">
        <v>81</v>
      </c>
      <c r="M610" s="19">
        <v>100</v>
      </c>
      <c r="N610" s="11" t="s">
        <v>37</v>
      </c>
    </row>
    <row r="611" spans="1:16" s="11" customFormat="1" x14ac:dyDescent="0.25">
      <c r="A611" s="16" t="s">
        <v>470</v>
      </c>
      <c r="D611" s="16"/>
      <c r="L611" s="11" t="s">
        <v>81</v>
      </c>
      <c r="M611" s="19">
        <v>100</v>
      </c>
      <c r="N611" s="11" t="s">
        <v>37</v>
      </c>
    </row>
    <row r="612" spans="1:16" s="11" customFormat="1" x14ac:dyDescent="0.25">
      <c r="A612" s="16" t="s">
        <v>471</v>
      </c>
      <c r="D612" s="16"/>
      <c r="L612" s="11" t="s">
        <v>81</v>
      </c>
      <c r="M612" s="19">
        <v>100</v>
      </c>
      <c r="N612" s="11" t="s">
        <v>37</v>
      </c>
    </row>
    <row r="613" spans="1:16" s="11" customFormat="1" x14ac:dyDescent="0.25">
      <c r="A613" s="16" t="s">
        <v>472</v>
      </c>
      <c r="D613" s="16"/>
      <c r="L613" s="11" t="s">
        <v>81</v>
      </c>
      <c r="M613" s="19">
        <v>100</v>
      </c>
      <c r="N613" s="11" t="s">
        <v>37</v>
      </c>
    </row>
    <row r="614" spans="1:16" s="11" customFormat="1" x14ac:dyDescent="0.25">
      <c r="A614" s="16" t="s">
        <v>473</v>
      </c>
      <c r="D614" s="16"/>
      <c r="L614" s="11" t="s">
        <v>81</v>
      </c>
      <c r="M614" s="19">
        <v>100</v>
      </c>
      <c r="N614" s="11" t="s">
        <v>37</v>
      </c>
    </row>
    <row r="615" spans="1:16" s="11" customFormat="1" x14ac:dyDescent="0.25">
      <c r="A615" s="16" t="s">
        <v>474</v>
      </c>
      <c r="D615" s="16"/>
      <c r="L615" s="11" t="s">
        <v>81</v>
      </c>
      <c r="M615" s="19">
        <v>100</v>
      </c>
      <c r="N615" s="11" t="s">
        <v>37</v>
      </c>
    </row>
    <row r="616" spans="1:16" s="11" customFormat="1" x14ac:dyDescent="0.25">
      <c r="A616" s="16" t="s">
        <v>475</v>
      </c>
      <c r="D616" s="16"/>
      <c r="L616" s="11" t="s">
        <v>81</v>
      </c>
      <c r="M616" s="19">
        <v>100</v>
      </c>
      <c r="N616" s="11" t="s">
        <v>37</v>
      </c>
    </row>
    <row r="617" spans="1:16" s="11" customFormat="1" x14ac:dyDescent="0.25">
      <c r="A617" s="16" t="s">
        <v>31</v>
      </c>
      <c r="D617" s="16"/>
      <c r="L617" s="11" t="s">
        <v>81</v>
      </c>
      <c r="M617" s="19">
        <v>100</v>
      </c>
      <c r="N617" s="11" t="s">
        <v>37</v>
      </c>
    </row>
    <row r="618" spans="1:16" s="11" customFormat="1" x14ac:dyDescent="0.25">
      <c r="A618" s="54" t="s">
        <v>31</v>
      </c>
      <c r="B618" s="36"/>
      <c r="C618" s="36"/>
      <c r="D618" s="36"/>
      <c r="E618" s="36"/>
      <c r="F618" s="36"/>
      <c r="G618" s="36"/>
      <c r="H618" s="36"/>
      <c r="I618" s="36"/>
      <c r="J618" s="36"/>
      <c r="K618" s="36"/>
      <c r="L618" s="36"/>
      <c r="M618" s="55"/>
      <c r="N618" s="36"/>
      <c r="O618" s="36"/>
      <c r="P618" s="36"/>
    </row>
    <row r="619" spans="1:16" s="11" customFormat="1" x14ac:dyDescent="0.25">
      <c r="A619" s="16" t="s">
        <v>489</v>
      </c>
      <c r="L619" s="11" t="s">
        <v>81</v>
      </c>
      <c r="M619" s="19">
        <v>100</v>
      </c>
      <c r="N619" s="11" t="s">
        <v>37</v>
      </c>
    </row>
    <row r="620" spans="1:16" s="11" customFormat="1" x14ac:dyDescent="0.25">
      <c r="A620" s="16" t="s">
        <v>491</v>
      </c>
      <c r="L620" s="11" t="s">
        <v>81</v>
      </c>
      <c r="M620" s="19">
        <v>100</v>
      </c>
      <c r="N620" s="11" t="s">
        <v>37</v>
      </c>
    </row>
    <row r="621" spans="1:16" s="11" customFormat="1" x14ac:dyDescent="0.25">
      <c r="A621" s="16" t="s">
        <v>492</v>
      </c>
      <c r="L621" s="11" t="s">
        <v>81</v>
      </c>
      <c r="M621" s="19">
        <v>100</v>
      </c>
      <c r="N621" s="11" t="s">
        <v>37</v>
      </c>
    </row>
    <row r="622" spans="1:16" s="11" customFormat="1" x14ac:dyDescent="0.25">
      <c r="A622" s="16" t="s">
        <v>493</v>
      </c>
      <c r="L622" s="11" t="s">
        <v>81</v>
      </c>
      <c r="M622" s="19">
        <v>100</v>
      </c>
      <c r="N622" s="11" t="s">
        <v>37</v>
      </c>
    </row>
    <row r="623" spans="1:16" s="11" customFormat="1" x14ac:dyDescent="0.25">
      <c r="A623" s="16" t="s">
        <v>494</v>
      </c>
      <c r="L623" s="11" t="s">
        <v>81</v>
      </c>
      <c r="M623" s="19">
        <v>100</v>
      </c>
      <c r="N623" s="11" t="s">
        <v>37</v>
      </c>
    </row>
    <row r="624" spans="1:16" x14ac:dyDescent="0.25">
      <c r="A624" s="4" t="s">
        <v>173</v>
      </c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5"/>
      <c r="M624" s="5"/>
      <c r="N624" s="5"/>
      <c r="O624" s="5"/>
      <c r="P624" s="5"/>
    </row>
    <row r="625" spans="1:16" x14ac:dyDescent="0.25">
      <c r="A625" t="s">
        <v>169</v>
      </c>
      <c r="B625" s="6"/>
      <c r="C625" s="6"/>
      <c r="D625" t="s">
        <v>115</v>
      </c>
      <c r="L625" t="s">
        <v>81</v>
      </c>
      <c r="M625" s="10">
        <v>38</v>
      </c>
      <c r="N625" t="s">
        <v>37</v>
      </c>
      <c r="O625" s="6" t="s">
        <v>175</v>
      </c>
      <c r="P625" t="s">
        <v>87</v>
      </c>
    </row>
    <row r="626" spans="1:16" x14ac:dyDescent="0.25">
      <c r="A626" t="s">
        <v>169</v>
      </c>
      <c r="B626" s="6"/>
      <c r="C626" s="6"/>
      <c r="D626" t="s">
        <v>115</v>
      </c>
      <c r="H626" t="s">
        <v>116</v>
      </c>
      <c r="L626" t="s">
        <v>82</v>
      </c>
      <c r="M626" s="10">
        <v>60</v>
      </c>
      <c r="N626" t="s">
        <v>37</v>
      </c>
      <c r="P626" t="s">
        <v>87</v>
      </c>
    </row>
    <row r="627" spans="1:16" x14ac:dyDescent="0.25">
      <c r="A627" s="11" t="s">
        <v>168</v>
      </c>
      <c r="B627" s="6"/>
      <c r="C627" s="6"/>
      <c r="D627" t="s">
        <v>36</v>
      </c>
      <c r="L627" t="s">
        <v>81</v>
      </c>
      <c r="M627" s="9">
        <f>(1*0.766) / (2.1/0.86) * 100</f>
        <v>31.369523809523809</v>
      </c>
      <c r="N627" s="11" t="s">
        <v>37</v>
      </c>
      <c r="O627" s="11" t="s">
        <v>298</v>
      </c>
      <c r="P627" t="s">
        <v>295</v>
      </c>
    </row>
    <row r="628" spans="1:16" x14ac:dyDescent="0.25">
      <c r="A628" s="11" t="s">
        <v>168</v>
      </c>
      <c r="B628" s="6"/>
      <c r="C628" s="6"/>
      <c r="D628" t="s">
        <v>36</v>
      </c>
      <c r="H628" t="s">
        <v>277</v>
      </c>
      <c r="L628" t="s">
        <v>82</v>
      </c>
      <c r="M628" s="9">
        <f>(0.8/0.9) / (2.1/0.86) * 100</f>
        <v>36.402116402116405</v>
      </c>
      <c r="N628" s="11" t="s">
        <v>37</v>
      </c>
      <c r="O628" s="31" t="s">
        <v>294</v>
      </c>
      <c r="P628" t="s">
        <v>296</v>
      </c>
    </row>
    <row r="629" spans="1:16" s="11" customFormat="1" x14ac:dyDescent="0.25">
      <c r="A629" s="11" t="s">
        <v>360</v>
      </c>
      <c r="E629" s="11" t="s">
        <v>391</v>
      </c>
      <c r="L629" s="11" t="s">
        <v>81</v>
      </c>
      <c r="M629" s="9">
        <f>((7.8762418/27)/(1/0.86))*100</f>
        <v>25.087288696296294</v>
      </c>
      <c r="N629" s="11" t="s">
        <v>37</v>
      </c>
      <c r="O629" s="11" t="s">
        <v>392</v>
      </c>
    </row>
    <row r="630" spans="1:16" s="11" customFormat="1" x14ac:dyDescent="0.25">
      <c r="A630" s="6" t="s">
        <v>360</v>
      </c>
      <c r="B630" s="6"/>
      <c r="C630" s="6"/>
      <c r="D630" s="6"/>
      <c r="E630" s="6" t="s">
        <v>391</v>
      </c>
      <c r="F630" s="6"/>
      <c r="G630" s="6"/>
      <c r="H630" s="6"/>
      <c r="I630" s="6"/>
      <c r="J630" s="6"/>
      <c r="K630" s="6"/>
      <c r="L630" s="6" t="s">
        <v>82</v>
      </c>
      <c r="M630" s="8">
        <f>((0.4565/55)/(1/0.86))*100</f>
        <v>0.71379999999999999</v>
      </c>
      <c r="N630" s="6" t="s">
        <v>37</v>
      </c>
      <c r="O630" s="6" t="s">
        <v>393</v>
      </c>
    </row>
    <row r="631" spans="1:16" x14ac:dyDescent="0.25">
      <c r="A631" s="11" t="s">
        <v>327</v>
      </c>
      <c r="B631" s="6"/>
      <c r="C631" s="6"/>
      <c r="D631" t="s">
        <v>326</v>
      </c>
      <c r="H631" s="6"/>
      <c r="L631" t="s">
        <v>81</v>
      </c>
      <c r="M631" s="9">
        <v>100</v>
      </c>
      <c r="N631" s="11" t="s">
        <v>37</v>
      </c>
      <c r="O631" s="6"/>
    </row>
    <row r="632" spans="1:16" x14ac:dyDescent="0.25">
      <c r="A632" s="4" t="s">
        <v>268</v>
      </c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5"/>
      <c r="M632" s="27" t="s">
        <v>278</v>
      </c>
      <c r="N632" s="5"/>
      <c r="O632" s="5"/>
      <c r="P632" s="5"/>
    </row>
    <row r="633" spans="1:16" x14ac:dyDescent="0.25">
      <c r="A633" t="s">
        <v>243</v>
      </c>
      <c r="B633" s="6"/>
      <c r="C633" s="6"/>
      <c r="D633" s="6"/>
      <c r="E633" s="6"/>
      <c r="F633" s="11" t="s">
        <v>241</v>
      </c>
      <c r="G633" s="11" t="s">
        <v>242</v>
      </c>
      <c r="H633" s="6"/>
      <c r="I633" s="6"/>
      <c r="J633" s="6"/>
      <c r="K633" s="6"/>
      <c r="L633" t="s">
        <v>81</v>
      </c>
      <c r="M633" s="11">
        <v>100</v>
      </c>
      <c r="N633" t="s">
        <v>37</v>
      </c>
    </row>
    <row r="634" spans="1:16" x14ac:dyDescent="0.25">
      <c r="A634" t="s">
        <v>306</v>
      </c>
      <c r="B634" s="6"/>
      <c r="C634" s="6"/>
      <c r="D634" s="6"/>
      <c r="E634" s="6"/>
      <c r="F634" s="11" t="s">
        <v>307</v>
      </c>
      <c r="G634" s="11" t="s">
        <v>242</v>
      </c>
      <c r="H634" s="6"/>
      <c r="I634" s="6"/>
      <c r="J634" s="6"/>
      <c r="K634" s="6"/>
      <c r="L634" t="s">
        <v>81</v>
      </c>
      <c r="M634" s="11">
        <v>100</v>
      </c>
      <c r="N634" t="s">
        <v>37</v>
      </c>
    </row>
    <row r="635" spans="1:16" x14ac:dyDescent="0.25">
      <c r="B635" s="6"/>
      <c r="C635" s="6"/>
      <c r="D635" s="6"/>
      <c r="E635" s="6"/>
      <c r="F635" s="11"/>
      <c r="G635" s="11"/>
      <c r="H635" s="6"/>
      <c r="I635" s="6"/>
      <c r="J635" s="6"/>
      <c r="K635" s="6"/>
      <c r="M635" s="11"/>
    </row>
    <row r="636" spans="1:16" x14ac:dyDescent="0.25">
      <c r="A636" s="2" t="s">
        <v>280</v>
      </c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</row>
    <row r="637" spans="1:16" x14ac:dyDescent="0.25">
      <c r="A637" s="6" t="s">
        <v>510</v>
      </c>
    </row>
  </sheetData>
  <hyperlinks>
    <hyperlink ref="P507" r:id="rId1" xr:uid="{00000000-0004-0000-0000-000000000000}"/>
    <hyperlink ref="P513" r:id="rId2" xr:uid="{00000000-0004-0000-0000-000001000000}"/>
  </hyperlinks>
  <pageMargins left="0.7" right="0.7" top="0.75" bottom="0.75" header="0.3" footer="0.3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19"/>
  <sheetViews>
    <sheetView workbookViewId="0">
      <selection activeCell="M24" sqref="M24"/>
    </sheetView>
  </sheetViews>
  <sheetFormatPr defaultRowHeight="15" x14ac:dyDescent="0.25"/>
  <cols>
    <col min="3" max="22" width="8.7109375" customWidth="1"/>
  </cols>
  <sheetData>
    <row r="1" spans="1:22" x14ac:dyDescent="0.25">
      <c r="A1" t="s">
        <v>247</v>
      </c>
    </row>
    <row r="2" spans="1:22" x14ac:dyDescent="0.25">
      <c r="A2" t="s">
        <v>249</v>
      </c>
      <c r="F2" s="21" t="s">
        <v>248</v>
      </c>
    </row>
    <row r="3" spans="1:22" x14ac:dyDescent="0.25">
      <c r="A3" t="s">
        <v>258</v>
      </c>
      <c r="F3" s="21" t="s">
        <v>257</v>
      </c>
    </row>
    <row r="4" spans="1:22" x14ac:dyDescent="0.25">
      <c r="F4" s="21"/>
    </row>
    <row r="5" spans="1:22" x14ac:dyDescent="0.25">
      <c r="C5" s="15" t="s">
        <v>270</v>
      </c>
    </row>
    <row r="6" spans="1:22" x14ac:dyDescent="0.25">
      <c r="C6" s="1" t="s">
        <v>246</v>
      </c>
      <c r="J6" s="1" t="s">
        <v>250</v>
      </c>
      <c r="Q6" s="1" t="s">
        <v>259</v>
      </c>
    </row>
    <row r="7" spans="1:22" x14ac:dyDescent="0.25">
      <c r="C7">
        <v>2016</v>
      </c>
      <c r="D7">
        <v>2017</v>
      </c>
      <c r="E7">
        <v>2018</v>
      </c>
      <c r="F7">
        <v>2019</v>
      </c>
      <c r="G7">
        <v>2020</v>
      </c>
      <c r="H7" s="22" t="s">
        <v>253</v>
      </c>
      <c r="I7" s="22"/>
      <c r="J7">
        <v>2016</v>
      </c>
      <c r="K7">
        <v>2017</v>
      </c>
      <c r="L7">
        <v>2018</v>
      </c>
      <c r="M7">
        <v>2019</v>
      </c>
      <c r="N7">
        <v>2020</v>
      </c>
      <c r="O7" s="22" t="s">
        <v>253</v>
      </c>
      <c r="P7" s="22"/>
      <c r="Q7">
        <v>2016</v>
      </c>
      <c r="R7">
        <v>2017</v>
      </c>
      <c r="S7">
        <v>2018</v>
      </c>
      <c r="T7">
        <v>2019</v>
      </c>
      <c r="U7">
        <v>2020</v>
      </c>
      <c r="V7" s="22" t="s">
        <v>253</v>
      </c>
    </row>
    <row r="8" spans="1:22" x14ac:dyDescent="0.25">
      <c r="A8" t="s">
        <v>139</v>
      </c>
      <c r="B8" t="s">
        <v>251</v>
      </c>
      <c r="C8" s="23">
        <v>142352</v>
      </c>
      <c r="D8" s="23">
        <v>244799</v>
      </c>
      <c r="E8" s="23">
        <v>272946</v>
      </c>
      <c r="F8" s="23">
        <v>283717</v>
      </c>
      <c r="G8" s="23">
        <v>40867</v>
      </c>
      <c r="H8" s="23">
        <f>AVERAGE(C8:G8)</f>
        <v>196936.2</v>
      </c>
      <c r="I8" s="23"/>
      <c r="J8" s="23">
        <v>967062</v>
      </c>
      <c r="K8" s="23">
        <v>705522</v>
      </c>
      <c r="L8" s="23">
        <v>418327</v>
      </c>
      <c r="M8" s="23">
        <v>627125</v>
      </c>
      <c r="N8" s="23">
        <v>1057894</v>
      </c>
      <c r="O8" s="23">
        <f>AVERAGE(J8:N8)</f>
        <v>755186</v>
      </c>
      <c r="P8" s="23"/>
      <c r="Q8" s="23">
        <f t="shared" ref="Q8:Q12" si="0">J8-C8</f>
        <v>824710</v>
      </c>
      <c r="R8" s="23">
        <f t="shared" ref="R8:R12" si="1">K8-D8</f>
        <v>460723</v>
      </c>
      <c r="S8" s="23">
        <f>L8-E8</f>
        <v>145381</v>
      </c>
      <c r="T8" s="23">
        <f>M8-F8</f>
        <v>343408</v>
      </c>
      <c r="U8" s="23">
        <f>N8-G8</f>
        <v>1017027</v>
      </c>
      <c r="V8" s="24">
        <f>AVERAGE(Q8:U8)</f>
        <v>558249.80000000005</v>
      </c>
    </row>
    <row r="9" spans="1:22" x14ac:dyDescent="0.25">
      <c r="A9" t="s">
        <v>273</v>
      </c>
      <c r="B9" t="s">
        <v>252</v>
      </c>
      <c r="C9" s="23">
        <v>11521</v>
      </c>
      <c r="D9" s="23">
        <v>6953</v>
      </c>
      <c r="E9" s="23">
        <v>11274</v>
      </c>
      <c r="F9" s="23">
        <v>13965</v>
      </c>
      <c r="G9" s="23">
        <v>9115</v>
      </c>
      <c r="H9" s="23">
        <f t="shared" ref="H9:H12" si="2">AVERAGE(C9:G9)</f>
        <v>10565.6</v>
      </c>
      <c r="I9" s="23"/>
      <c r="J9" s="23">
        <v>34581</v>
      </c>
      <c r="K9" s="23">
        <v>6354</v>
      </c>
      <c r="L9" s="23">
        <v>6898</v>
      </c>
      <c r="M9" s="23">
        <v>59879</v>
      </c>
      <c r="N9" s="23">
        <v>57117</v>
      </c>
      <c r="O9" s="23">
        <f t="shared" ref="O9:O14" si="3">AVERAGE(J9:N9)</f>
        <v>32965.800000000003</v>
      </c>
      <c r="P9" s="23"/>
      <c r="Q9" s="23">
        <f t="shared" si="0"/>
        <v>23060</v>
      </c>
      <c r="R9" s="23">
        <f t="shared" si="1"/>
        <v>-599</v>
      </c>
      <c r="S9" s="23">
        <f t="shared" ref="S9:S12" si="4">L9-E9</f>
        <v>-4376</v>
      </c>
      <c r="T9" s="23">
        <f t="shared" ref="T9:T12" si="5">M9-F9</f>
        <v>45914</v>
      </c>
      <c r="U9" s="23">
        <f t="shared" ref="U9:U12" si="6">N9-G9</f>
        <v>48002</v>
      </c>
      <c r="V9" s="24">
        <f t="shared" ref="V9:V12" si="7">AVERAGE(Q9:U9)</f>
        <v>22400.2</v>
      </c>
    </row>
    <row r="10" spans="1:22" x14ac:dyDescent="0.25">
      <c r="A10" t="s">
        <v>274</v>
      </c>
      <c r="B10" t="s">
        <v>254</v>
      </c>
      <c r="C10" s="23">
        <v>77862</v>
      </c>
      <c r="D10" s="23">
        <v>32519</v>
      </c>
      <c r="E10" s="23">
        <v>87405</v>
      </c>
      <c r="F10" s="23">
        <v>110802</v>
      </c>
      <c r="G10" s="23">
        <v>50039</v>
      </c>
      <c r="H10" s="23">
        <f t="shared" si="2"/>
        <v>71725.399999999994</v>
      </c>
      <c r="I10" s="23"/>
      <c r="J10" s="23">
        <v>479848</v>
      </c>
      <c r="K10" s="23">
        <v>430370</v>
      </c>
      <c r="L10" s="23">
        <v>330483</v>
      </c>
      <c r="M10" s="23">
        <v>219501</v>
      </c>
      <c r="N10" s="23">
        <v>421677</v>
      </c>
      <c r="O10" s="23">
        <f t="shared" si="3"/>
        <v>376375.8</v>
      </c>
      <c r="P10" s="23"/>
      <c r="Q10" s="23">
        <f t="shared" si="0"/>
        <v>401986</v>
      </c>
      <c r="R10" s="23">
        <f t="shared" si="1"/>
        <v>397851</v>
      </c>
      <c r="S10" s="23">
        <f t="shared" si="4"/>
        <v>243078</v>
      </c>
      <c r="T10" s="23">
        <f t="shared" si="5"/>
        <v>108699</v>
      </c>
      <c r="U10" s="23">
        <f t="shared" si="6"/>
        <v>371638</v>
      </c>
      <c r="V10" s="24">
        <f t="shared" si="7"/>
        <v>304650.40000000002</v>
      </c>
    </row>
    <row r="11" spans="1:22" x14ac:dyDescent="0.25">
      <c r="A11" t="s">
        <v>275</v>
      </c>
      <c r="B11" t="s">
        <v>255</v>
      </c>
      <c r="C11" s="23">
        <v>2564</v>
      </c>
      <c r="D11" s="23">
        <v>3548</v>
      </c>
      <c r="E11" s="23">
        <v>49759</v>
      </c>
      <c r="F11" s="23">
        <v>36264</v>
      </c>
      <c r="G11" s="23">
        <v>4522</v>
      </c>
      <c r="H11" s="23">
        <f t="shared" si="2"/>
        <v>19331.400000000001</v>
      </c>
      <c r="I11" s="23"/>
      <c r="J11" s="23">
        <v>226191</v>
      </c>
      <c r="K11" s="23">
        <v>269865</v>
      </c>
      <c r="L11" s="23">
        <v>164780</v>
      </c>
      <c r="M11" s="23">
        <v>135097</v>
      </c>
      <c r="N11" s="23">
        <v>186972</v>
      </c>
      <c r="O11" s="23">
        <f t="shared" si="3"/>
        <v>196581</v>
      </c>
      <c r="P11" s="23"/>
      <c r="Q11" s="23">
        <f t="shared" si="0"/>
        <v>223627</v>
      </c>
      <c r="R11" s="23">
        <f t="shared" si="1"/>
        <v>266317</v>
      </c>
      <c r="S11" s="23">
        <f t="shared" si="4"/>
        <v>115021</v>
      </c>
      <c r="T11" s="23">
        <f>M11-F11</f>
        <v>98833</v>
      </c>
      <c r="U11" s="23">
        <f t="shared" si="6"/>
        <v>182450</v>
      </c>
      <c r="V11" s="24">
        <f t="shared" si="7"/>
        <v>177249.6</v>
      </c>
    </row>
    <row r="12" spans="1:22" x14ac:dyDescent="0.25">
      <c r="A12" t="s">
        <v>276</v>
      </c>
      <c r="B12" t="s">
        <v>256</v>
      </c>
      <c r="C12" s="23">
        <v>32168</v>
      </c>
      <c r="D12" s="23">
        <v>36677</v>
      </c>
      <c r="E12" s="23">
        <v>77572</v>
      </c>
      <c r="F12" s="23">
        <v>126538</v>
      </c>
      <c r="G12" s="23">
        <v>53450</v>
      </c>
      <c r="H12" s="23">
        <f t="shared" si="2"/>
        <v>65281</v>
      </c>
      <c r="I12" s="23"/>
      <c r="J12">
        <v>412</v>
      </c>
      <c r="K12">
        <v>595</v>
      </c>
      <c r="L12">
        <v>601</v>
      </c>
      <c r="M12">
        <v>607</v>
      </c>
      <c r="N12">
        <v>221</v>
      </c>
      <c r="O12" s="23">
        <f t="shared" si="3"/>
        <v>487.2</v>
      </c>
      <c r="P12" s="23"/>
      <c r="Q12" s="23">
        <f t="shared" si="0"/>
        <v>-31756</v>
      </c>
      <c r="R12" s="23">
        <f t="shared" si="1"/>
        <v>-36082</v>
      </c>
      <c r="S12" s="23">
        <f t="shared" si="4"/>
        <v>-76971</v>
      </c>
      <c r="T12" s="23">
        <f t="shared" si="5"/>
        <v>-125931</v>
      </c>
      <c r="U12" s="23">
        <f t="shared" si="6"/>
        <v>-53229</v>
      </c>
      <c r="V12" s="24">
        <f t="shared" si="7"/>
        <v>-64793.8</v>
      </c>
    </row>
    <row r="13" spans="1:22" x14ac:dyDescent="0.25">
      <c r="C13" s="23"/>
      <c r="D13" s="23"/>
      <c r="E13" s="23"/>
      <c r="F13" s="23"/>
      <c r="G13" s="23"/>
      <c r="H13" s="23"/>
      <c r="I13" s="23"/>
      <c r="O13" s="23"/>
      <c r="P13" s="23"/>
      <c r="Q13" s="23"/>
      <c r="R13" s="23"/>
      <c r="S13" s="23"/>
      <c r="T13" s="23"/>
      <c r="U13" s="23"/>
      <c r="V13" s="24"/>
    </row>
    <row r="14" spans="1:22" x14ac:dyDescent="0.25">
      <c r="A14" t="s">
        <v>433</v>
      </c>
      <c r="C14" s="23"/>
      <c r="D14" s="23"/>
      <c r="E14" s="23"/>
      <c r="F14" s="23"/>
      <c r="G14" s="23"/>
      <c r="H14" s="23"/>
      <c r="I14" s="23"/>
      <c r="J14" s="23">
        <v>155167</v>
      </c>
      <c r="K14" s="23">
        <v>158492</v>
      </c>
      <c r="L14" s="23">
        <v>134849</v>
      </c>
      <c r="M14" s="23">
        <v>133496</v>
      </c>
      <c r="N14" s="23">
        <v>127100</v>
      </c>
      <c r="O14" s="23">
        <f t="shared" si="3"/>
        <v>141820.79999999999</v>
      </c>
      <c r="P14" s="23"/>
      <c r="Q14" s="23"/>
      <c r="R14" s="23"/>
      <c r="S14" s="23"/>
      <c r="T14" s="23"/>
      <c r="U14" s="23"/>
      <c r="V14" s="24"/>
    </row>
    <row r="16" spans="1:22" x14ac:dyDescent="0.25">
      <c r="C16" s="15" t="s">
        <v>271</v>
      </c>
    </row>
    <row r="17" spans="1:22" x14ac:dyDescent="0.25">
      <c r="C17" s="1" t="s">
        <v>246</v>
      </c>
      <c r="J17" s="1" t="s">
        <v>250</v>
      </c>
      <c r="Q17" s="1" t="s">
        <v>259</v>
      </c>
    </row>
    <row r="18" spans="1:22" x14ac:dyDescent="0.25">
      <c r="C18">
        <v>2016</v>
      </c>
      <c r="D18">
        <v>2017</v>
      </c>
      <c r="E18">
        <v>2018</v>
      </c>
      <c r="F18">
        <v>2019</v>
      </c>
      <c r="G18">
        <v>2020</v>
      </c>
      <c r="H18" s="22" t="s">
        <v>253</v>
      </c>
      <c r="I18" s="22"/>
      <c r="J18">
        <v>2016</v>
      </c>
      <c r="K18">
        <v>2017</v>
      </c>
      <c r="L18">
        <v>2018</v>
      </c>
      <c r="M18">
        <v>2019</v>
      </c>
      <c r="N18">
        <v>2020</v>
      </c>
      <c r="O18" s="22" t="s">
        <v>253</v>
      </c>
      <c r="P18" s="22"/>
      <c r="Q18">
        <v>2016</v>
      </c>
      <c r="R18">
        <v>2017</v>
      </c>
      <c r="S18">
        <v>2018</v>
      </c>
      <c r="T18">
        <v>2019</v>
      </c>
      <c r="U18">
        <v>2020</v>
      </c>
      <c r="V18" s="22" t="s">
        <v>253</v>
      </c>
    </row>
    <row r="19" spans="1:22" x14ac:dyDescent="0.25">
      <c r="A19" t="s">
        <v>272</v>
      </c>
      <c r="B19" t="s">
        <v>176</v>
      </c>
      <c r="C19" s="23">
        <v>9962</v>
      </c>
      <c r="D19" s="23">
        <v>9725</v>
      </c>
      <c r="E19" s="23">
        <v>33834</v>
      </c>
      <c r="F19" s="23">
        <v>15706</v>
      </c>
      <c r="G19" s="23">
        <v>20607</v>
      </c>
      <c r="H19" s="23">
        <f>AVERAGE(C19:G19)</f>
        <v>17966.8</v>
      </c>
      <c r="I19" s="23"/>
      <c r="J19" s="23">
        <v>57573</v>
      </c>
      <c r="K19" s="23">
        <v>60238</v>
      </c>
      <c r="L19" s="23">
        <v>34935</v>
      </c>
      <c r="M19" s="23">
        <v>20423</v>
      </c>
      <c r="N19" s="23">
        <v>26979</v>
      </c>
      <c r="O19" s="23">
        <f>AVERAGE(J19:N19)</f>
        <v>40029.599999999999</v>
      </c>
      <c r="P19" s="23"/>
      <c r="Q19" s="23">
        <f t="shared" ref="Q19" si="8">J19-C19</f>
        <v>47611</v>
      </c>
      <c r="R19" s="23">
        <f t="shared" ref="R19" si="9">K19-D19</f>
        <v>50513</v>
      </c>
      <c r="S19" s="23">
        <f t="shared" ref="S19" si="10">L19-E19</f>
        <v>1101</v>
      </c>
      <c r="T19" s="23">
        <f t="shared" ref="T19" si="11">M19-F19</f>
        <v>4717</v>
      </c>
      <c r="U19" s="23">
        <f t="shared" ref="U19" si="12">N19-G19</f>
        <v>6372</v>
      </c>
      <c r="V19" s="23">
        <f>AVERAGE(Q19:U19)</f>
        <v>22062.799999999999</v>
      </c>
    </row>
  </sheetData>
  <hyperlinks>
    <hyperlink ref="F2" r:id="rId1" xr:uid="{00000000-0004-0000-0200-000000000000}"/>
    <hyperlink ref="F3" r:id="rId2" xr:uid="{00000000-0004-0000-0200-000001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2"/>
  <sheetViews>
    <sheetView workbookViewId="0">
      <selection activeCell="A2" sqref="A2"/>
    </sheetView>
  </sheetViews>
  <sheetFormatPr defaultRowHeight="15" x14ac:dyDescent="0.25"/>
  <sheetData>
    <row r="1" spans="1:1" x14ac:dyDescent="0.25">
      <c r="A1" t="s">
        <v>279</v>
      </c>
    </row>
    <row r="2" spans="1:1" x14ac:dyDescent="0.25">
      <c r="A2" t="s">
        <v>300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default</vt:lpstr>
      <vt:lpstr>Trade</vt:lpstr>
      <vt:lpstr>references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2025-04-25T10:09:54Z</dcterms:modified>
</cp:coreProperties>
</file>