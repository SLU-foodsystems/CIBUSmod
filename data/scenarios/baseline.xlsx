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mandAndConversions" sheetId="2" r:id="rId1"/>
    <sheet name="CropProduction" sheetId="3" r:id="rId2"/>
    <sheet name="CattleHerd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F2" i="1" s="1"/>
  <c r="G2" i="1" s="1"/>
  <c r="H2" i="1" s="1"/>
  <c r="I2" i="1" s="1"/>
  <c r="J2" i="1" s="1"/>
  <c r="L2" i="2"/>
  <c r="K2" i="2"/>
  <c r="J2" i="2"/>
  <c r="I2" i="2"/>
  <c r="H2" i="2"/>
  <c r="G2" i="2"/>
</calcChain>
</file>

<file path=xl/sharedStrings.xml><?xml version="1.0" encoding="utf-8"?>
<sst xmlns="http://schemas.openxmlformats.org/spreadsheetml/2006/main" count="38" uniqueCount="20">
  <si>
    <t>f_food</t>
  </si>
  <si>
    <t>f_origin</t>
  </si>
  <si>
    <t>f_prod_system</t>
  </si>
  <si>
    <t>parameter</t>
  </si>
  <si>
    <t>val_is</t>
  </si>
  <si>
    <t>y_2020</t>
  </si>
  <si>
    <t>y_2025</t>
  </si>
  <si>
    <t>y_2030</t>
  </si>
  <si>
    <t>y_2035</t>
  </si>
  <si>
    <t>y_2040</t>
  </si>
  <si>
    <t>y_2045</t>
  </si>
  <si>
    <t>y_2050</t>
  </si>
  <si>
    <t>population</t>
  </si>
  <si>
    <t>rel</t>
  </si>
  <si>
    <t>consumption</t>
  </si>
  <si>
    <t>Pig meat and products</t>
  </si>
  <si>
    <t>f_breed</t>
  </si>
  <si>
    <t>dairy</t>
  </si>
  <si>
    <t>milk_prod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</si>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</sst>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ont="1"/>
    <xf numFmtId="2" fontId="0" fillId="0" borderId="0" xfId="0" applyNumberFormat="1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F9" sqref="F9"/>
    </sheetView>
  </sheetViews>
  <sheetFormatPr defaultRowHeight="15" x14ac:dyDescent="0.25"/>
  <cols>
    <col min="1" max="1" width="20.85546875" bestFit="1" customWidth="1"/>
    <col min="2" max="2" width="9.5703125" customWidth="1"/>
    <col min="3" max="3" width="14.85546875" customWidth="1"/>
    <col min="4" max="4" width="12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/>
      <c r="B2" s="1"/>
      <c r="C2" s="1"/>
      <c r="D2" t="s">
        <v>12</v>
      </c>
      <c r="E2" s="2" t="s">
        <v>13</v>
      </c>
      <c r="F2" s="2">
        <v>1</v>
      </c>
      <c r="G2" s="3">
        <f>10642196/(5222847+5156448)</f>
        <v>1.0253293696729884</v>
      </c>
      <c r="H2" s="3">
        <f>10884214/(5222847+5156448)</f>
        <v>1.048646752982741</v>
      </c>
      <c r="I2" s="3">
        <f>11101837/(5222847+5156448)</f>
        <v>1.0696137839805111</v>
      </c>
      <c r="J2" s="3">
        <f>11328285/(5222847+5156448)</f>
        <v>1.0914310654047312</v>
      </c>
      <c r="K2" s="3">
        <f>11557052/(5222847+5156448)</f>
        <v>1.1134717724084342</v>
      </c>
      <c r="L2" s="3">
        <f>11761182/(5222847+5156448)</f>
        <v>1.1331388114510668</v>
      </c>
    </row>
    <row r="3" spans="1:12" x14ac:dyDescent="0.25">
      <c r="A3" s="1"/>
      <c r="B3" s="1"/>
      <c r="C3" s="1"/>
      <c r="D3" s="4" t="s">
        <v>14</v>
      </c>
      <c r="E3" s="4" t="s">
        <v>13</v>
      </c>
      <c r="F3" s="4">
        <v>1</v>
      </c>
      <c r="G3" s="2"/>
      <c r="H3" s="2"/>
      <c r="I3" s="2"/>
      <c r="J3" s="2"/>
      <c r="K3" s="2"/>
      <c r="L3" s="2"/>
    </row>
    <row r="4" spans="1:12" x14ac:dyDescent="0.25">
      <c r="A4" t="s">
        <v>15</v>
      </c>
      <c r="D4" t="s">
        <v>14</v>
      </c>
      <c r="E4" t="s">
        <v>13</v>
      </c>
      <c r="F4">
        <v>1</v>
      </c>
      <c r="G4" s="3">
        <v>0.95</v>
      </c>
      <c r="H4" s="3">
        <v>0.85</v>
      </c>
      <c r="I4" s="3">
        <v>0.75</v>
      </c>
      <c r="J4" s="5">
        <v>0.7</v>
      </c>
      <c r="K4" s="3"/>
      <c r="L4" s="3"/>
    </row>
    <row r="5" spans="1:12" x14ac:dyDescent="0.25">
      <c r="G5" s="3"/>
      <c r="H5" s="3"/>
      <c r="I5" s="3"/>
      <c r="J5" s="3"/>
      <c r="K5" s="3"/>
      <c r="L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8" sqref="C8"/>
    </sheetView>
  </sheetViews>
  <sheetFormatPr defaultRowHeight="15" x14ac:dyDescent="0.25"/>
  <cols>
    <col min="1" max="1" width="10.28515625" bestFit="1" customWidth="1"/>
    <col min="2" max="2" width="7.42578125" customWidth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11</v>
      </c>
    </row>
    <row r="2" spans="1:4" x14ac:dyDescent="0.25">
      <c r="A2" t="s">
        <v>19</v>
      </c>
      <c r="B2" t="s">
        <v>13</v>
      </c>
      <c r="C2">
        <v>1</v>
      </c>
      <c r="D2">
        <v>1.05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F19" sqref="F19"/>
    </sheetView>
  </sheetViews>
  <sheetFormatPr defaultRowHeight="15" x14ac:dyDescent="0.25"/>
  <cols>
    <col min="1" max="1" width="12.5703125" customWidth="1"/>
    <col min="2" max="2" width="15.140625" bestFit="1" customWidth="1"/>
    <col min="3" max="3" width="15.140625" customWidth="1"/>
  </cols>
  <sheetData>
    <row r="1" spans="1:11" x14ac:dyDescent="0.25">
      <c r="A1" s="1" t="s">
        <v>16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1" x14ac:dyDescent="0.25">
      <c r="A2" t="s">
        <v>17</v>
      </c>
      <c r="B2" t="s">
        <v>18</v>
      </c>
      <c r="C2" t="s">
        <v>13</v>
      </c>
      <c r="D2">
        <v>1</v>
      </c>
      <c r="E2" s="3">
        <f>D2*1.01^5</f>
        <v>1.0510100500999999</v>
      </c>
      <c r="F2" s="3">
        <f>E2*1.0081^5</f>
        <v>1.0942711329791557</v>
      </c>
      <c r="G2" s="3">
        <f>F2*1.0061^5</f>
        <v>1.1280560721959558</v>
      </c>
      <c r="H2" s="3">
        <f>G2*1.004^5</f>
        <v>1.1507984060123795</v>
      </c>
      <c r="I2" s="3">
        <f>H2*1.002^5</f>
        <v>1.1623525141647169</v>
      </c>
      <c r="J2" s="3">
        <f>I2*1.001^5</f>
        <v>1.1681759118900195</v>
      </c>
      <c r="K2" s="6"/>
    </row>
    <row r="11" spans="1:11" x14ac:dyDescent="0.25">
      <c r="E11" s="3"/>
      <c r="F11" s="3"/>
      <c r="G11" s="3"/>
      <c r="H11" s="3"/>
      <c r="I11" s="3"/>
      <c r="J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DemandAndConversions</vt:lpstr>
      <vt:lpstr>CropProduction</vt:lpstr>
      <vt:lpstr>CattleHerd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2023-07-15T11:14:37Z</dcterms:modified>
</cp:coreProperties>
</file>