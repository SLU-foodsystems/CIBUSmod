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9870"/>
  </bookViews>
  <sheets>
    <sheet name="default" sheetId="1" r:id="rId1"/>
    <sheet name="scn_baseline" sheetId="3" r:id="rId2"/>
    <sheet name="Sheet1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3" l="1"/>
  <c r="K2" i="3"/>
  <c r="J2" i="3"/>
  <c r="I2" i="3"/>
  <c r="H2" i="3"/>
  <c r="G2" i="3"/>
  <c r="K41" i="1" l="1"/>
  <c r="K44" i="1"/>
  <c r="K333" i="1"/>
  <c r="K34" i="1"/>
  <c r="K305" i="1" l="1"/>
  <c r="K251" i="1"/>
  <c r="K69" i="1" l="1"/>
  <c r="K156" i="1" l="1"/>
  <c r="K255" i="1" l="1"/>
  <c r="K253" i="1"/>
  <c r="K248" i="1"/>
  <c r="K245" i="1"/>
  <c r="K71" i="1" l="1"/>
  <c r="K70" i="1"/>
  <c r="K228" i="1" l="1"/>
  <c r="K229" i="1" s="1"/>
  <c r="K203" i="1" l="1"/>
  <c r="K202" i="1"/>
  <c r="K201" i="1"/>
  <c r="K284" i="1"/>
  <c r="K283" i="1"/>
  <c r="K285" i="1" l="1"/>
  <c r="K290" i="1"/>
  <c r="K111" i="1"/>
  <c r="K47" i="1"/>
  <c r="K48" i="1"/>
  <c r="K193" i="1" l="1"/>
  <c r="K192" i="1"/>
  <c r="K180" i="1"/>
  <c r="K282" i="1"/>
  <c r="K46" i="1"/>
  <c r="K191" i="1" l="1"/>
  <c r="K190" i="1"/>
  <c r="K189" i="1"/>
  <c r="K188" i="1"/>
  <c r="K186" i="1" l="1"/>
  <c r="K187" i="1" s="1"/>
  <c r="K184" i="1"/>
  <c r="K183" i="1" s="1"/>
  <c r="K182" i="1"/>
  <c r="K181" i="1" s="1"/>
  <c r="K179" i="1"/>
  <c r="K185" i="1" l="1"/>
  <c r="K198" i="1"/>
  <c r="K197" i="1"/>
  <c r="K196" i="1"/>
  <c r="K3" i="1" l="1"/>
</calcChain>
</file>

<file path=xl/sharedStrings.xml><?xml version="1.0" encoding="utf-8"?>
<sst xmlns="http://schemas.openxmlformats.org/spreadsheetml/2006/main" count="1431" uniqueCount="303">
  <si>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</si>
  <si>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</si>
  <si>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</si>
  <si>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</si>
  <si>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</si>
  <si>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</si>
  <si>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</si>
  <si>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</si>
  <si>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</si>
  <si>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</si>
  <si>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</si>
  <si>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</si>
  <si>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</si>
  <si>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</si>
  <si>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</si>
  <si>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</si>
  <si>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</si>
  <si>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</si>
  <si>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</si>
  <si>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</si>
  <si>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</si>
  <si>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</si>
  <si>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</si>
  <si>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</si>
  <si>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</si>
  <si>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</si>
  <si>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</si>
  <si>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</si>
  <si>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</si>
  <si>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</si>
  <si>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</si>
  <si>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</si>
  <si>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</si>
  <si>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</si>
  <si>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</si>
  <si>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Wheat and products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</si>
  <si>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</si>
  <si>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</si>
  <si>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</si>
  <si>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</si>
  <si>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</si>
  <si>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</si>
  <si>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</si>
  <si>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</si>
  <si>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Rice and products</t>
  </si>
  <si>
    <t>organic</t>
  </si>
  <si>
    <t>Fallback</t>
  </si>
  <si>
    <t>conventional</t>
  </si>
  <si>
    <t>-</t>
  </si>
  <si>
    <t>f_origin</t>
  </si>
  <si>
    <t>Barley and products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</si>
  <si>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</si>
  <si>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</si>
  <si>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</si>
  <si>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</si>
  <si>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</si>
  <si>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</si>
  <si>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</si>
  <si>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</si>
  <si>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</si>
  <si>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</si>
  <si>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</si>
  <si>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</si>
  <si>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</si>
  <si>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</si>
  <si>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</si>
  <si>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</si>
  <si>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</si>
  <si>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</si>
  <si>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</si>
  <si>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</si>
  <si>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</si>
  <si>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</si>
  <si>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</si>
  <si>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</si>
  <si>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</si>
  <si>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</si>
  <si>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</si>
  <si>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</si>
  <si>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</si>
  <si>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</si>
  <si>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</si>
  <si>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</si>
  <si>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</si>
  <si>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</si>
  <si>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</si>
  <si>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</si>
  <si>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</si>
  <si>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</si>
  <si>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</si>
  <si>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</si>
  <si>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Other cereals and products</t>
  </si>
  <si>
    <t>Oats and products</t>
  </si>
  <si>
    <t>Rye and products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</si>
  <si>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</si>
  <si>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</si>
  <si>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</si>
  <si>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</si>
  <si>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</si>
  <si>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</si>
  <si>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</si>
  <si>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</si>
  <si>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</si>
  <si>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</si>
  <si>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</si>
  <si>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</si>
  <si>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</si>
  <si>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</si>
  <si>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</si>
  <si>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</si>
  <si>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</si>
  <si>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</si>
  <si>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</si>
  <si>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</si>
  <si>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</si>
  <si>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</si>
  <si>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</si>
  <si>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</si>
  <si>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</si>
  <si>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</si>
  <si>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</si>
  <si>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</si>
  <si>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</si>
  <si>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</si>
  <si>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</si>
  <si>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</si>
  <si>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</si>
  <si>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oat offals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</si>
  <si>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</si>
  <si>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</si>
  <si>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</si>
  <si>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</si>
  <si>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</si>
  <si>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</si>
  <si>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</si>
  <si>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</si>
  <si>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</si>
  <si>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</si>
  <si>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</si>
  <si>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</si>
  <si>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</si>
  <si>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</si>
  <si>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</si>
  <si>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</si>
  <si>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</si>
  <si>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</si>
  <si>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</si>
  <si>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</si>
  <si>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</si>
  <si>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</si>
  <si>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</si>
  <si>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</si>
  <si>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</si>
  <si>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</si>
  <si>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</si>
  <si>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</si>
  <si>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</si>
  <si>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</si>
  <si>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</si>
  <si>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</si>
  <si>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</si>
  <si>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</si>
  <si>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</si>
  <si>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</si>
  <si>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</si>
  <si>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</si>
  <si>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</si>
  <si>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</si>
  <si>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</si>
  <si>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</si>
  <si>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</si>
  <si>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</si>
  <si>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</si>
  <si>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</si>
  <si>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</si>
  <si>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</si>
  <si>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</si>
  <si>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</si>
  <si>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</si>
  <si>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</si>
  <si>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</si>
  <si>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</si>
  <si>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</si>
  <si>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</si>
  <si>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</si>
  <si>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</si>
  <si>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</si>
  <si>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</si>
  <si>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</si>
  <si>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</si>
  <si>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</si>
  <si>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</si>
  <si>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</si>
  <si>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</si>
  <si>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</si>
  <si>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</si>
  <si>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</si>
  <si>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</si>
  <si>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</si>
  <si>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</si>
  <si>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</si>
  <si>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flour of mixed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</si>
  <si>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</si>
  <si>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</si>
  <si>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</si>
  <si>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</si>
  <si>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</si>
  <si>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</si>
  <si>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</si>
  <si>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</si>
  <si>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 xml:space="preserve">SJV 2015. Marknadsöversikt potatis till mat och stärkelseproduktion </t>
  </si>
  <si>
    <t>Used in paper industry</t>
  </si>
  <si>
    <t>Produced from domestic rapseed</t>
  </si>
  <si>
    <t>non_food_demand</t>
  </si>
  <si>
    <t>exports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</si>
  <si>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</si>
  <si>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</si>
  <si>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</si>
  <si>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</si>
  <si>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</si>
  <si>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</si>
  <si>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</si>
  <si>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</si>
  <si>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</si>
  <si>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</si>
  <si>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</si>
  <si>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</si>
  <si>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</si>
  <si>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</si>
  <si>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</si>
  <si>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</si>
  <si>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</si>
  <si>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</si>
  <si>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</si>
  <si>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</si>
  <si>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</si>
  <si>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</si>
  <si>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</si>
  <si>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</si>
  <si>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</si>
  <si>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</si>
  <si>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</si>
  <si>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r>
      <rPr>
        <sz val="11"/>
        <color rgb="FFFF0000"/>
        <rFont val="Calibri"/>
        <family val="2"/>
        <scheme val="minor"/>
      </rPr>
      <t>Higher factor for syrup than sugar?</t>
    </r>
    <r>
      <rPr>
        <sz val="11"/>
        <color theme="1"/>
        <rFont val="Calibri"/>
        <family val="2"/>
        <scheme val="minor"/>
      </rPr>
      <t xml:space="preserve"> Assumed from sugar beet for domestic prod</t>
    </r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</si>
  <si>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</si>
  <si>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</si>
  <si>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</si>
  <si>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</si>
  <si>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</si>
  <si>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</si>
  <si>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</si>
  <si>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</si>
  <si>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</si>
  <si>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</si>
  <si>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</si>
  <si>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</si>
  <si>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</si>
  <si>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</si>
  <si>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</si>
  <si>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</si>
  <si>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</si>
  <si>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</si>
  <si>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</si>
  <si>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</si>
  <si>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</si>
  <si>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</si>
  <si>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</si>
  <si>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</si>
  <si>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val_is</t>
  </si>
  <si>
    <t>y_2020</t>
  </si>
  <si>
    <t>y_2025</t>
  </si>
  <si>
    <t>y_2030</t>
  </si>
  <si>
    <t>y_2035</t>
  </si>
  <si>
    <t>y_2040</t>
  </si>
  <si>
    <t>y_2045</t>
  </si>
  <si>
    <t>y_2050</t>
  </si>
  <si>
    <t>rel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</si>
  <si>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</si>
  <si>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</si>
  <si>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</si>
  <si>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</si>
  <si>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</si>
  <si>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</si>
  <si>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</si>
  <si>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</si>
  <si>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</si>
  <si>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</si>
  <si>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</si>
  <si>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</si>
  <si>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</si>
  <si>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</si>
  <si>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</si>
  <si>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</si>
  <si>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</si>
  <si>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</si>
  <si>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</si>
  <si>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</si>
  <si>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</si>
  <si>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</si>
  <si>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</si>
  <si>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</si>
  <si>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</si>
  <si>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</si>
  <si>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Other non-food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</si>
</sst>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2" fontId="0" fillId="0" borderId="0" xfId="0" applyNumberFormat="1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0" fontId="0" fillId="0" borderId="0" xfId="0" applyFont="1"/>
    <xf numFmtId="164" fontId="5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3"/>
  <sheetViews>
    <sheetView tabSelected="1" zoomScale="80" zoomScaleNormal="80" zoomScaleSheetLayoutView="80" workbookViewId="0">
      <pane ySplit="1" topLeftCell="A208" activePane="bottomLeft" state="frozen"/>
      <selection pane="bottomLeft" activeCell="D239" sqref="D239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3" max="13" width="48" customWidth="1"/>
    <col min="14" max="14" width="18.28515625" customWidth="1"/>
  </cols>
  <sheetData>
    <row r="1" spans="1:14" x14ac:dyDescent="0.25">
      <c r="A1" s="2" t="s">
        <v>37</v>
      </c>
      <c r="B1" s="2" t="s">
        <v>25</v>
      </c>
      <c r="C1" s="2" t="s">
        <v>27</v>
      </c>
      <c r="D1" s="2" t="s">
        <v>59</v>
      </c>
      <c r="E1" s="2" t="s">
        <v>36</v>
      </c>
      <c r="F1" s="2" t="s">
        <v>28</v>
      </c>
      <c r="G1" s="2" t="s">
        <v>49</v>
      </c>
      <c r="H1" s="2" t="s">
        <v>43</v>
      </c>
      <c r="I1" s="2" t="s">
        <v>52</v>
      </c>
      <c r="J1" s="2" t="s">
        <v>0</v>
      </c>
      <c r="K1" s="2" t="s">
        <v>1</v>
      </c>
      <c r="L1" s="2" t="s">
        <v>4</v>
      </c>
      <c r="M1" s="2" t="s">
        <v>2</v>
      </c>
      <c r="N1" s="2" t="s">
        <v>3</v>
      </c>
    </row>
    <row r="2" spans="1:14" x14ac:dyDescent="0.25">
      <c r="A2" s="3" t="s">
        <v>17</v>
      </c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</row>
    <row r="3" spans="1:14" x14ac:dyDescent="0.25">
      <c r="J3" t="s">
        <v>5</v>
      </c>
      <c r="K3" s="32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3" t="s">
        <v>9</v>
      </c>
      <c r="B5" s="3"/>
      <c r="C5" s="3"/>
      <c r="D5" s="3"/>
      <c r="E5" s="3"/>
      <c r="F5" s="3"/>
      <c r="G5" s="3"/>
      <c r="H5" s="3"/>
      <c r="I5" s="3"/>
      <c r="J5" s="4"/>
      <c r="K5" s="4"/>
      <c r="L5" s="4"/>
      <c r="M5" s="4"/>
      <c r="N5" s="4"/>
    </row>
    <row r="6" spans="1:14" x14ac:dyDescent="0.25">
      <c r="A6" s="5" t="s">
        <v>10</v>
      </c>
      <c r="B6" s="5"/>
      <c r="C6" s="5"/>
      <c r="D6" s="5"/>
      <c r="E6" s="5"/>
      <c r="F6" s="5"/>
      <c r="G6" s="5"/>
      <c r="H6" s="5"/>
      <c r="I6" s="5"/>
      <c r="J6" s="6"/>
      <c r="K6" s="6"/>
      <c r="L6" s="6"/>
      <c r="M6" s="6"/>
      <c r="N6" s="6"/>
    </row>
    <row r="7" spans="1:14" x14ac:dyDescent="0.25">
      <c r="A7" t="s">
        <v>192</v>
      </c>
      <c r="B7" t="s">
        <v>26</v>
      </c>
      <c r="J7" t="s">
        <v>18</v>
      </c>
      <c r="K7">
        <v>93.1</v>
      </c>
      <c r="L7" t="s">
        <v>19</v>
      </c>
      <c r="M7" s="7"/>
    </row>
    <row r="8" spans="1:14" x14ac:dyDescent="0.25">
      <c r="A8" t="s">
        <v>197</v>
      </c>
      <c r="B8" t="s">
        <v>26</v>
      </c>
      <c r="J8" t="s">
        <v>18</v>
      </c>
      <c r="K8" s="7">
        <v>0</v>
      </c>
      <c r="L8" t="s">
        <v>19</v>
      </c>
      <c r="M8" s="7"/>
    </row>
    <row r="9" spans="1:14" x14ac:dyDescent="0.25">
      <c r="A9" t="s">
        <v>44</v>
      </c>
      <c r="B9" t="s">
        <v>26</v>
      </c>
      <c r="J9" t="s">
        <v>18</v>
      </c>
      <c r="K9">
        <v>14.1</v>
      </c>
      <c r="L9" t="s">
        <v>19</v>
      </c>
      <c r="M9" s="7"/>
    </row>
    <row r="10" spans="1:14" x14ac:dyDescent="0.25">
      <c r="A10" t="s">
        <v>193</v>
      </c>
      <c r="B10" t="s">
        <v>26</v>
      </c>
      <c r="J10" t="s">
        <v>18</v>
      </c>
      <c r="K10">
        <v>3.5</v>
      </c>
      <c r="L10" t="s">
        <v>19</v>
      </c>
      <c r="M10" s="7"/>
    </row>
    <row r="11" spans="1:14" x14ac:dyDescent="0.25">
      <c r="A11" t="s">
        <v>198</v>
      </c>
      <c r="B11" t="s">
        <v>26</v>
      </c>
      <c r="J11" t="s">
        <v>18</v>
      </c>
      <c r="K11" s="7">
        <v>0</v>
      </c>
      <c r="L11" t="s">
        <v>19</v>
      </c>
      <c r="M11" s="7"/>
    </row>
    <row r="12" spans="1:14" x14ac:dyDescent="0.25">
      <c r="A12" t="s">
        <v>94</v>
      </c>
      <c r="B12" t="s">
        <v>26</v>
      </c>
      <c r="J12" t="s">
        <v>18</v>
      </c>
      <c r="K12">
        <v>3.8</v>
      </c>
      <c r="L12" t="s">
        <v>19</v>
      </c>
    </row>
    <row r="13" spans="1:14" x14ac:dyDescent="0.25">
      <c r="A13" t="s">
        <v>194</v>
      </c>
      <c r="B13" t="s">
        <v>26</v>
      </c>
      <c r="J13" t="s">
        <v>18</v>
      </c>
      <c r="K13">
        <v>12.8</v>
      </c>
      <c r="L13" t="s">
        <v>19</v>
      </c>
      <c r="M13" s="7"/>
    </row>
    <row r="14" spans="1:14" x14ac:dyDescent="0.25">
      <c r="A14" t="s">
        <v>199</v>
      </c>
      <c r="B14" t="s">
        <v>26</v>
      </c>
      <c r="J14" t="s">
        <v>18</v>
      </c>
      <c r="K14" s="7">
        <v>0</v>
      </c>
      <c r="L14" t="s">
        <v>19</v>
      </c>
      <c r="M14" s="7"/>
    </row>
    <row r="15" spans="1:14" x14ac:dyDescent="0.25">
      <c r="A15" t="s">
        <v>195</v>
      </c>
      <c r="B15" t="s">
        <v>26</v>
      </c>
      <c r="J15" t="s">
        <v>18</v>
      </c>
      <c r="K15">
        <v>5.2</v>
      </c>
      <c r="L15" t="s">
        <v>19</v>
      </c>
      <c r="M15" s="7"/>
    </row>
    <row r="16" spans="1:14" x14ac:dyDescent="0.25">
      <c r="A16" t="s">
        <v>200</v>
      </c>
      <c r="B16" t="s">
        <v>26</v>
      </c>
      <c r="J16" t="s">
        <v>18</v>
      </c>
      <c r="K16" s="7">
        <v>0</v>
      </c>
      <c r="L16" t="s">
        <v>19</v>
      </c>
      <c r="M16" s="7"/>
    </row>
    <row r="17" spans="1:14" x14ac:dyDescent="0.25">
      <c r="A17" s="7" t="s">
        <v>196</v>
      </c>
      <c r="B17" t="s">
        <v>26</v>
      </c>
      <c r="J17" t="s">
        <v>18</v>
      </c>
      <c r="K17" s="7">
        <v>0.5</v>
      </c>
      <c r="L17" t="s">
        <v>19</v>
      </c>
      <c r="M17" s="7" t="s">
        <v>201</v>
      </c>
    </row>
    <row r="18" spans="1:14" x14ac:dyDescent="0.25">
      <c r="A18" s="7" t="s">
        <v>202</v>
      </c>
      <c r="B18" t="s">
        <v>26</v>
      </c>
      <c r="J18" t="s">
        <v>18</v>
      </c>
      <c r="K18" s="7">
        <v>0</v>
      </c>
      <c r="L18" t="s">
        <v>19</v>
      </c>
      <c r="M18" s="7" t="s">
        <v>201</v>
      </c>
    </row>
    <row r="19" spans="1:14" x14ac:dyDescent="0.25">
      <c r="A19" s="5" t="s">
        <v>11</v>
      </c>
      <c r="B19" s="5"/>
      <c r="C19" s="5"/>
      <c r="D19" s="5"/>
      <c r="E19" s="5"/>
      <c r="F19" s="5"/>
      <c r="G19" s="5"/>
      <c r="H19" s="5"/>
      <c r="I19" s="5"/>
      <c r="J19" s="6"/>
      <c r="K19" s="6"/>
      <c r="L19" s="6"/>
      <c r="M19" s="6"/>
      <c r="N19" s="6"/>
    </row>
    <row r="20" spans="1:14" x14ac:dyDescent="0.25">
      <c r="A20" s="18" t="s">
        <v>105</v>
      </c>
      <c r="B20" t="s">
        <v>109</v>
      </c>
      <c r="J20" t="s">
        <v>18</v>
      </c>
      <c r="K20">
        <v>108.1</v>
      </c>
      <c r="L20" t="s">
        <v>19</v>
      </c>
    </row>
    <row r="21" spans="1:14" x14ac:dyDescent="0.25">
      <c r="A21" s="18" t="s">
        <v>106</v>
      </c>
      <c r="B21" t="s">
        <v>109</v>
      </c>
      <c r="J21" t="s">
        <v>18</v>
      </c>
      <c r="K21">
        <v>24.1</v>
      </c>
      <c r="L21" t="s">
        <v>19</v>
      </c>
    </row>
    <row r="22" spans="1:14" x14ac:dyDescent="0.25">
      <c r="A22" s="18" t="s">
        <v>226</v>
      </c>
      <c r="B22" t="s">
        <v>109</v>
      </c>
      <c r="J22" t="s">
        <v>18</v>
      </c>
      <c r="K22">
        <v>0.9</v>
      </c>
      <c r="L22" t="s">
        <v>19</v>
      </c>
      <c r="M22" t="s">
        <v>108</v>
      </c>
    </row>
    <row r="23" spans="1:14" x14ac:dyDescent="0.25">
      <c r="A23" s="18" t="s">
        <v>107</v>
      </c>
      <c r="B23" t="s">
        <v>109</v>
      </c>
      <c r="J23" t="s">
        <v>18</v>
      </c>
      <c r="K23">
        <v>0.3</v>
      </c>
      <c r="L23" t="s">
        <v>19</v>
      </c>
    </row>
    <row r="24" spans="1:14" x14ac:dyDescent="0.25">
      <c r="A24" s="5" t="s">
        <v>278</v>
      </c>
      <c r="B24" s="5"/>
      <c r="C24" s="5"/>
      <c r="D24" s="5"/>
      <c r="E24" s="5"/>
      <c r="F24" s="5"/>
      <c r="G24" s="5"/>
      <c r="H24" s="5"/>
      <c r="I24" s="5"/>
      <c r="J24" s="6"/>
      <c r="K24" s="6"/>
      <c r="L24" s="6"/>
      <c r="M24" s="6"/>
      <c r="N24" s="6"/>
    </row>
    <row r="25" spans="1:14" x14ac:dyDescent="0.25">
      <c r="A25" s="18" t="s">
        <v>147</v>
      </c>
      <c r="B25" t="s">
        <v>114</v>
      </c>
      <c r="J25" t="s">
        <v>18</v>
      </c>
      <c r="K25">
        <v>25</v>
      </c>
      <c r="L25" t="s">
        <v>19</v>
      </c>
    </row>
    <row r="26" spans="1:14" x14ac:dyDescent="0.25">
      <c r="A26" s="18" t="s">
        <v>153</v>
      </c>
      <c r="B26" t="s">
        <v>114</v>
      </c>
      <c r="J26" t="s">
        <v>18</v>
      </c>
      <c r="K26">
        <v>19.3</v>
      </c>
      <c r="L26" t="s">
        <v>19</v>
      </c>
    </row>
    <row r="27" spans="1:14" x14ac:dyDescent="0.25">
      <c r="A27" s="18" t="s">
        <v>149</v>
      </c>
      <c r="B27" t="s">
        <v>114</v>
      </c>
      <c r="J27" t="s">
        <v>18</v>
      </c>
      <c r="K27">
        <v>14.6</v>
      </c>
      <c r="L27" t="s">
        <v>19</v>
      </c>
    </row>
    <row r="28" spans="1:14" x14ac:dyDescent="0.25">
      <c r="A28" s="18" t="s">
        <v>150</v>
      </c>
      <c r="B28" t="s">
        <v>114</v>
      </c>
      <c r="J28" t="s">
        <v>18</v>
      </c>
      <c r="K28">
        <v>11.3</v>
      </c>
      <c r="L28" t="s">
        <v>19</v>
      </c>
    </row>
    <row r="29" spans="1:14" x14ac:dyDescent="0.25">
      <c r="A29" s="18" t="s">
        <v>151</v>
      </c>
      <c r="B29" t="s">
        <v>114</v>
      </c>
      <c r="J29" t="s">
        <v>18</v>
      </c>
      <c r="K29">
        <v>3.8</v>
      </c>
      <c r="L29" t="s">
        <v>19</v>
      </c>
    </row>
    <row r="30" spans="1:14" x14ac:dyDescent="0.25">
      <c r="A30" s="18" t="s">
        <v>152</v>
      </c>
      <c r="B30" t="s">
        <v>114</v>
      </c>
      <c r="J30" t="s">
        <v>18</v>
      </c>
      <c r="K30">
        <v>3.5</v>
      </c>
      <c r="L30" t="s">
        <v>19</v>
      </c>
    </row>
    <row r="31" spans="1:14" x14ac:dyDescent="0.25">
      <c r="A31" s="18" t="s">
        <v>113</v>
      </c>
      <c r="B31" t="s">
        <v>114</v>
      </c>
      <c r="J31" t="s">
        <v>18</v>
      </c>
      <c r="K31">
        <v>37</v>
      </c>
      <c r="L31" t="s">
        <v>19</v>
      </c>
    </row>
    <row r="32" spans="1:14" x14ac:dyDescent="0.25">
      <c r="A32" s="18" t="s">
        <v>116</v>
      </c>
      <c r="B32" t="s">
        <v>114</v>
      </c>
      <c r="J32" t="s">
        <v>18</v>
      </c>
      <c r="K32">
        <v>14.3</v>
      </c>
      <c r="L32" t="s">
        <v>19</v>
      </c>
    </row>
    <row r="33" spans="1:14" x14ac:dyDescent="0.25">
      <c r="A33" s="18" t="s">
        <v>276</v>
      </c>
      <c r="B33" t="s">
        <v>114</v>
      </c>
      <c r="J33" t="s">
        <v>18</v>
      </c>
      <c r="K33">
        <v>2.8</v>
      </c>
      <c r="L33" t="s">
        <v>19</v>
      </c>
    </row>
    <row r="34" spans="1:14" x14ac:dyDescent="0.25">
      <c r="A34" s="18" t="s">
        <v>160</v>
      </c>
      <c r="B34" t="s">
        <v>114</v>
      </c>
      <c r="J34" t="s">
        <v>18</v>
      </c>
      <c r="K34" s="18">
        <f>0.3+0+0.1+0.6+6.6+0.4+3.4</f>
        <v>11.4</v>
      </c>
      <c r="L34" t="s">
        <v>19</v>
      </c>
      <c r="M34" t="s">
        <v>277</v>
      </c>
    </row>
    <row r="35" spans="1:14" x14ac:dyDescent="0.25">
      <c r="A35" s="18"/>
      <c r="K35" s="7"/>
    </row>
    <row r="36" spans="1:14" x14ac:dyDescent="0.25">
      <c r="A36" s="5" t="s">
        <v>280</v>
      </c>
      <c r="B36" s="5"/>
      <c r="C36" s="5"/>
      <c r="D36" s="5"/>
      <c r="E36" s="5"/>
      <c r="F36" s="5"/>
      <c r="G36" s="5"/>
      <c r="H36" s="5"/>
      <c r="I36" s="5"/>
      <c r="J36" s="6"/>
      <c r="K36" s="6"/>
      <c r="L36" s="6"/>
      <c r="M36" s="6"/>
      <c r="N36" s="6"/>
    </row>
    <row r="37" spans="1:14" x14ac:dyDescent="0.25">
      <c r="A37" s="18" t="s">
        <v>259</v>
      </c>
      <c r="B37" t="s">
        <v>262</v>
      </c>
      <c r="J37" t="s">
        <v>18</v>
      </c>
      <c r="K37" s="18">
        <v>12.9</v>
      </c>
      <c r="L37" t="s">
        <v>19</v>
      </c>
    </row>
    <row r="38" spans="1:14" x14ac:dyDescent="0.25">
      <c r="A38" s="18" t="s">
        <v>260</v>
      </c>
      <c r="B38" t="s">
        <v>262</v>
      </c>
      <c r="J38" t="s">
        <v>18</v>
      </c>
      <c r="K38" s="18">
        <v>2.1</v>
      </c>
      <c r="L38" t="s">
        <v>19</v>
      </c>
    </row>
    <row r="39" spans="1:14" x14ac:dyDescent="0.25">
      <c r="A39" s="18" t="s">
        <v>261</v>
      </c>
      <c r="B39" t="s">
        <v>262</v>
      </c>
      <c r="J39" t="s">
        <v>18</v>
      </c>
      <c r="K39" s="18">
        <v>1.8</v>
      </c>
      <c r="L39" t="s">
        <v>19</v>
      </c>
    </row>
    <row r="40" spans="1:14" x14ac:dyDescent="0.25">
      <c r="A40" s="18" t="s">
        <v>263</v>
      </c>
      <c r="B40" t="s">
        <v>262</v>
      </c>
      <c r="J40" t="s">
        <v>18</v>
      </c>
      <c r="K40" s="18">
        <v>5</v>
      </c>
      <c r="L40" t="s">
        <v>19</v>
      </c>
    </row>
    <row r="41" spans="1:14" x14ac:dyDescent="0.25">
      <c r="A41" s="18" t="s">
        <v>281</v>
      </c>
      <c r="B41" t="s">
        <v>262</v>
      </c>
      <c r="J41" t="s">
        <v>18</v>
      </c>
      <c r="K41" s="31">
        <f>0.8+0.3/0.35+0.3</f>
        <v>1.9571428571428573</v>
      </c>
      <c r="L41" t="s">
        <v>19</v>
      </c>
      <c r="M41" t="s">
        <v>285</v>
      </c>
    </row>
    <row r="42" spans="1:14" x14ac:dyDescent="0.25">
      <c r="A42" s="18" t="s">
        <v>282</v>
      </c>
      <c r="B42" t="s">
        <v>262</v>
      </c>
      <c r="J42" t="s">
        <v>18</v>
      </c>
      <c r="K42" s="18">
        <v>4.9000000000000004</v>
      </c>
      <c r="L42" t="s">
        <v>19</v>
      </c>
    </row>
    <row r="43" spans="1:14" x14ac:dyDescent="0.25">
      <c r="A43" s="18" t="s">
        <v>288</v>
      </c>
      <c r="B43" t="s">
        <v>262</v>
      </c>
      <c r="C43" s="10"/>
      <c r="J43" t="s">
        <v>18</v>
      </c>
      <c r="K43" s="7">
        <v>0.2</v>
      </c>
      <c r="L43" t="s">
        <v>19</v>
      </c>
      <c r="M43" s="7" t="s">
        <v>291</v>
      </c>
    </row>
    <row r="44" spans="1:14" x14ac:dyDescent="0.25">
      <c r="A44" s="18" t="s">
        <v>283</v>
      </c>
      <c r="B44" t="s">
        <v>262</v>
      </c>
      <c r="J44" t="s">
        <v>18</v>
      </c>
      <c r="K44" s="31">
        <f>0.5</f>
        <v>0.5</v>
      </c>
      <c r="L44" t="s">
        <v>19</v>
      </c>
      <c r="M44" t="s">
        <v>284</v>
      </c>
    </row>
    <row r="45" spans="1:14" x14ac:dyDescent="0.25">
      <c r="A45" s="5" t="s">
        <v>14</v>
      </c>
      <c r="B45" s="5"/>
      <c r="C45" s="5"/>
      <c r="D45" s="5"/>
      <c r="E45" s="5"/>
      <c r="F45" s="5"/>
      <c r="G45" s="5"/>
      <c r="H45" s="5"/>
      <c r="I45" s="5"/>
      <c r="J45" s="6"/>
      <c r="K45" s="6"/>
      <c r="L45" s="6"/>
      <c r="M45" s="6"/>
      <c r="N45" s="6"/>
    </row>
    <row r="46" spans="1:14" x14ac:dyDescent="0.25">
      <c r="A46" s="7" t="s">
        <v>65</v>
      </c>
      <c r="B46" t="s">
        <v>84</v>
      </c>
      <c r="J46" t="s">
        <v>18</v>
      </c>
      <c r="K46" s="7">
        <f>29.5+8.5</f>
        <v>38</v>
      </c>
      <c r="L46" t="s">
        <v>19</v>
      </c>
      <c r="M46" s="7" t="s">
        <v>87</v>
      </c>
    </row>
    <row r="47" spans="1:14" x14ac:dyDescent="0.25">
      <c r="A47" s="7" t="s">
        <v>64</v>
      </c>
      <c r="B47" t="s">
        <v>84</v>
      </c>
      <c r="J47" t="s">
        <v>18</v>
      </c>
      <c r="K47" s="7">
        <f>80.7+14.4+0.3*5</f>
        <v>96.600000000000009</v>
      </c>
      <c r="L47" t="s">
        <v>19</v>
      </c>
      <c r="M47" s="7" t="s">
        <v>87</v>
      </c>
    </row>
    <row r="48" spans="1:14" x14ac:dyDescent="0.25">
      <c r="A48" s="7" t="s">
        <v>66</v>
      </c>
      <c r="B48" t="s">
        <v>84</v>
      </c>
      <c r="J48" t="s">
        <v>18</v>
      </c>
      <c r="K48" s="7">
        <f>45.6+44.1+1.3*5+1.8*10</f>
        <v>114.2</v>
      </c>
      <c r="L48" t="s">
        <v>19</v>
      </c>
      <c r="M48" s="7" t="s">
        <v>87</v>
      </c>
    </row>
    <row r="49" spans="1:14" x14ac:dyDescent="0.25">
      <c r="A49" s="7" t="s">
        <v>67</v>
      </c>
      <c r="B49" t="s">
        <v>84</v>
      </c>
      <c r="J49" t="s">
        <v>18</v>
      </c>
      <c r="K49">
        <v>46.8</v>
      </c>
      <c r="L49" t="s">
        <v>19</v>
      </c>
    </row>
    <row r="50" spans="1:14" x14ac:dyDescent="0.25">
      <c r="A50" s="7" t="s">
        <v>71</v>
      </c>
      <c r="B50" t="s">
        <v>84</v>
      </c>
      <c r="J50" t="s">
        <v>18</v>
      </c>
      <c r="K50">
        <v>8.1</v>
      </c>
      <c r="L50" t="s">
        <v>19</v>
      </c>
    </row>
    <row r="51" spans="1:14" x14ac:dyDescent="0.25">
      <c r="A51" s="7" t="s">
        <v>72</v>
      </c>
      <c r="B51" t="s">
        <v>84</v>
      </c>
      <c r="J51" t="s">
        <v>18</v>
      </c>
      <c r="K51">
        <v>1</v>
      </c>
      <c r="L51" t="s">
        <v>19</v>
      </c>
    </row>
    <row r="52" spans="1:14" x14ac:dyDescent="0.25">
      <c r="A52" s="7" t="s">
        <v>69</v>
      </c>
      <c r="B52" t="s">
        <v>84</v>
      </c>
      <c r="J52" t="s">
        <v>18</v>
      </c>
      <c r="K52">
        <v>6.6</v>
      </c>
      <c r="L52" t="s">
        <v>19</v>
      </c>
    </row>
    <row r="53" spans="1:14" x14ac:dyDescent="0.25">
      <c r="A53" s="7" t="s">
        <v>70</v>
      </c>
      <c r="B53" t="s">
        <v>84</v>
      </c>
      <c r="J53" t="s">
        <v>18</v>
      </c>
      <c r="K53">
        <v>8.3000000000000007</v>
      </c>
      <c r="L53" t="s">
        <v>19</v>
      </c>
    </row>
    <row r="54" spans="1:14" x14ac:dyDescent="0.25">
      <c r="A54" s="7" t="s">
        <v>68</v>
      </c>
      <c r="B54" t="s">
        <v>84</v>
      </c>
      <c r="J54" t="s">
        <v>18</v>
      </c>
      <c r="K54">
        <v>15.3</v>
      </c>
      <c r="L54" t="s">
        <v>19</v>
      </c>
    </row>
    <row r="55" spans="1:14" x14ac:dyDescent="0.25">
      <c r="A55" s="5" t="s">
        <v>23</v>
      </c>
      <c r="B55" s="5"/>
      <c r="C55" s="5"/>
      <c r="D55" s="5"/>
      <c r="E55" s="5"/>
      <c r="F55" s="5"/>
      <c r="G55" s="5"/>
      <c r="H55" s="5"/>
      <c r="I55" s="5"/>
      <c r="J55" s="6"/>
      <c r="K55" s="6"/>
      <c r="L55" s="6"/>
      <c r="M55" s="6"/>
      <c r="N55" s="6"/>
    </row>
    <row r="56" spans="1:14" x14ac:dyDescent="0.25">
      <c r="A56" t="s">
        <v>57</v>
      </c>
      <c r="B56" t="s">
        <v>58</v>
      </c>
      <c r="J56" t="s">
        <v>18</v>
      </c>
      <c r="K56">
        <v>60.6</v>
      </c>
      <c r="L56" t="s">
        <v>19</v>
      </c>
    </row>
    <row r="57" spans="1:14" x14ac:dyDescent="0.25">
      <c r="A57" t="s">
        <v>101</v>
      </c>
      <c r="B57" t="s">
        <v>58</v>
      </c>
      <c r="J57" t="s">
        <v>18</v>
      </c>
      <c r="K57">
        <v>39.9</v>
      </c>
      <c r="L57" t="s">
        <v>19</v>
      </c>
    </row>
    <row r="58" spans="1:14" x14ac:dyDescent="0.25">
      <c r="A58" t="s">
        <v>294</v>
      </c>
      <c r="B58" t="s">
        <v>58</v>
      </c>
      <c r="J58" t="s">
        <v>18</v>
      </c>
      <c r="K58">
        <v>49.5</v>
      </c>
      <c r="L58" t="s">
        <v>19</v>
      </c>
    </row>
    <row r="59" spans="1:14" x14ac:dyDescent="0.25">
      <c r="A59" s="5" t="s">
        <v>15</v>
      </c>
      <c r="B59" s="5"/>
      <c r="C59" s="5"/>
      <c r="D59" s="5"/>
      <c r="E59" s="5"/>
      <c r="F59" s="5"/>
      <c r="G59" s="5"/>
      <c r="H59" s="5"/>
      <c r="I59" s="5"/>
      <c r="J59" s="6"/>
      <c r="K59" s="6"/>
      <c r="L59" s="6"/>
      <c r="M59" s="6"/>
      <c r="N59" s="6"/>
    </row>
    <row r="60" spans="1:14" x14ac:dyDescent="0.25">
      <c r="A60" s="5" t="s">
        <v>16</v>
      </c>
      <c r="B60" s="5"/>
      <c r="C60" s="5"/>
      <c r="D60" s="5"/>
      <c r="E60" s="5"/>
      <c r="F60" s="5"/>
      <c r="G60" s="5"/>
      <c r="H60" s="5"/>
      <c r="I60" s="5"/>
      <c r="J60" s="6"/>
      <c r="K60" s="6"/>
      <c r="L60" s="6"/>
      <c r="M60" s="6"/>
      <c r="N60" s="6"/>
    </row>
    <row r="61" spans="1:14" x14ac:dyDescent="0.25">
      <c r="A61" s="5" t="s">
        <v>20</v>
      </c>
      <c r="B61" s="5"/>
      <c r="C61" s="5"/>
      <c r="D61" s="5"/>
      <c r="E61" s="5"/>
      <c r="F61" s="5"/>
      <c r="G61" s="5"/>
      <c r="H61" s="5"/>
      <c r="I61" s="5"/>
      <c r="J61" s="6"/>
      <c r="K61" s="6"/>
      <c r="L61" s="6"/>
      <c r="M61" s="6"/>
      <c r="N61" s="6"/>
    </row>
    <row r="62" spans="1:14" x14ac:dyDescent="0.25">
      <c r="A62" t="s">
        <v>219</v>
      </c>
      <c r="B62" t="s">
        <v>224</v>
      </c>
      <c r="J62" t="s">
        <v>18</v>
      </c>
      <c r="K62">
        <v>4.5</v>
      </c>
      <c r="L62" t="s">
        <v>19</v>
      </c>
    </row>
    <row r="63" spans="1:14" x14ac:dyDescent="0.25">
      <c r="A63" s="27" t="s">
        <v>220</v>
      </c>
      <c r="B63" t="s">
        <v>224</v>
      </c>
      <c r="J63" t="s">
        <v>18</v>
      </c>
      <c r="K63" s="7">
        <v>0</v>
      </c>
      <c r="L63" t="s">
        <v>19</v>
      </c>
    </row>
    <row r="64" spans="1:14" x14ac:dyDescent="0.25">
      <c r="A64" s="27" t="s">
        <v>221</v>
      </c>
      <c r="B64" t="s">
        <v>224</v>
      </c>
      <c r="J64" t="s">
        <v>18</v>
      </c>
      <c r="K64">
        <v>0.7</v>
      </c>
      <c r="L64" t="s">
        <v>19</v>
      </c>
    </row>
    <row r="65" spans="1:14" x14ac:dyDescent="0.25">
      <c r="A65" s="27" t="s">
        <v>222</v>
      </c>
      <c r="B65" t="s">
        <v>224</v>
      </c>
      <c r="J65" t="s">
        <v>18</v>
      </c>
      <c r="K65">
        <v>0.3</v>
      </c>
      <c r="L65" t="s">
        <v>19</v>
      </c>
    </row>
    <row r="66" spans="1:14" x14ac:dyDescent="0.25">
      <c r="A66" s="27" t="s">
        <v>223</v>
      </c>
      <c r="B66" t="s">
        <v>224</v>
      </c>
      <c r="J66" t="s">
        <v>18</v>
      </c>
      <c r="K66">
        <v>0.6</v>
      </c>
      <c r="L66" t="s">
        <v>19</v>
      </c>
    </row>
    <row r="67" spans="1:14" x14ac:dyDescent="0.25">
      <c r="A67" s="5" t="s">
        <v>21</v>
      </c>
      <c r="B67" s="5"/>
      <c r="C67" s="5"/>
      <c r="D67" s="5"/>
      <c r="E67" s="5"/>
      <c r="F67" s="5"/>
      <c r="G67" s="5"/>
      <c r="H67" s="5"/>
      <c r="I67" s="5"/>
      <c r="J67" s="6"/>
      <c r="K67" s="6"/>
      <c r="L67" s="6"/>
      <c r="M67" s="6"/>
      <c r="N67" s="6"/>
    </row>
    <row r="68" spans="1:14" x14ac:dyDescent="0.25">
      <c r="A68" s="5" t="s">
        <v>22</v>
      </c>
      <c r="B68" s="5"/>
      <c r="C68" s="5"/>
      <c r="D68" s="5"/>
      <c r="E68" s="5"/>
      <c r="F68" s="5"/>
      <c r="G68" s="5"/>
      <c r="H68" s="5"/>
      <c r="I68" s="5"/>
      <c r="J68" s="6"/>
      <c r="K68" s="6"/>
      <c r="L68" s="6"/>
      <c r="M68" s="6"/>
      <c r="N68" s="6"/>
    </row>
    <row r="69" spans="1:14" x14ac:dyDescent="0.25">
      <c r="A69" t="s">
        <v>138</v>
      </c>
      <c r="B69" t="s">
        <v>139</v>
      </c>
      <c r="J69" t="s">
        <v>18</v>
      </c>
      <c r="K69" s="14">
        <f>6+4.4/3+13*0.6</f>
        <v>15.266666666666666</v>
      </c>
      <c r="L69" t="s">
        <v>19</v>
      </c>
      <c r="M69" s="7" t="s">
        <v>225</v>
      </c>
    </row>
    <row r="70" spans="1:14" x14ac:dyDescent="0.25">
      <c r="A70" t="s">
        <v>145</v>
      </c>
      <c r="B70" t="s">
        <v>139</v>
      </c>
      <c r="J70" t="s">
        <v>18</v>
      </c>
      <c r="K70" s="23">
        <f>8.2+4.4/3</f>
        <v>9.6666666666666661</v>
      </c>
      <c r="L70" t="s">
        <v>19</v>
      </c>
      <c r="M70" t="s">
        <v>144</v>
      </c>
    </row>
    <row r="71" spans="1:14" x14ac:dyDescent="0.25">
      <c r="A71" t="s">
        <v>146</v>
      </c>
      <c r="B71" t="s">
        <v>139</v>
      </c>
      <c r="J71" t="s">
        <v>18</v>
      </c>
      <c r="K71" s="23">
        <f>2.8+4.4/3</f>
        <v>4.2666666666666666</v>
      </c>
      <c r="L71" t="s">
        <v>19</v>
      </c>
      <c r="M71" t="s">
        <v>144</v>
      </c>
    </row>
    <row r="72" spans="1:14" x14ac:dyDescent="0.25">
      <c r="A72" s="5" t="s">
        <v>24</v>
      </c>
      <c r="B72" s="5"/>
      <c r="C72" s="5"/>
      <c r="D72" s="5"/>
      <c r="E72" s="5"/>
      <c r="F72" s="5"/>
      <c r="G72" s="5"/>
      <c r="H72" s="5"/>
      <c r="I72" s="5"/>
      <c r="J72" s="6"/>
      <c r="K72" s="6"/>
      <c r="L72" s="6"/>
      <c r="M72" s="6"/>
      <c r="N72" s="6"/>
    </row>
    <row r="73" spans="1:14" x14ac:dyDescent="0.25">
      <c r="A73" t="s">
        <v>234</v>
      </c>
      <c r="B73" t="s">
        <v>237</v>
      </c>
      <c r="J73" t="s">
        <v>18</v>
      </c>
      <c r="K73">
        <v>79.3</v>
      </c>
      <c r="L73" t="s">
        <v>19</v>
      </c>
    </row>
    <row r="74" spans="1:14" x14ac:dyDescent="0.25">
      <c r="A74" t="s">
        <v>236</v>
      </c>
      <c r="B74" t="s">
        <v>237</v>
      </c>
      <c r="J74" t="s">
        <v>18</v>
      </c>
      <c r="K74">
        <v>10</v>
      </c>
      <c r="L74" t="s">
        <v>19</v>
      </c>
      <c r="M74" t="s">
        <v>240</v>
      </c>
    </row>
    <row r="75" spans="1:14" x14ac:dyDescent="0.25">
      <c r="A75" t="s">
        <v>235</v>
      </c>
      <c r="B75" t="s">
        <v>237</v>
      </c>
      <c r="J75" t="s">
        <v>18</v>
      </c>
      <c r="K75">
        <v>1</v>
      </c>
      <c r="L75" t="s">
        <v>19</v>
      </c>
    </row>
    <row r="76" spans="1:14" x14ac:dyDescent="0.25">
      <c r="A76" s="5" t="s">
        <v>29</v>
      </c>
      <c r="B76" s="5"/>
      <c r="C76" s="5"/>
      <c r="D76" s="5"/>
      <c r="E76" s="5"/>
      <c r="F76" s="5"/>
      <c r="G76" s="5"/>
      <c r="H76" s="5"/>
      <c r="I76" s="5"/>
      <c r="J76" s="6"/>
      <c r="K76" s="6"/>
      <c r="L76" s="6"/>
      <c r="M76" s="6"/>
      <c r="N76" s="6"/>
    </row>
    <row r="77" spans="1:14" x14ac:dyDescent="0.25">
      <c r="A77" t="s">
        <v>245</v>
      </c>
      <c r="B77" t="s">
        <v>118</v>
      </c>
      <c r="J77" t="s">
        <v>18</v>
      </c>
      <c r="K77">
        <v>67.400000000000006</v>
      </c>
      <c r="L77" t="s">
        <v>19</v>
      </c>
    </row>
    <row r="78" spans="1:14" x14ac:dyDescent="0.25">
      <c r="A78" t="s">
        <v>248</v>
      </c>
      <c r="B78" t="s">
        <v>118</v>
      </c>
      <c r="J78" t="s">
        <v>18</v>
      </c>
      <c r="K78">
        <v>125.5</v>
      </c>
      <c r="L78" t="s">
        <v>19</v>
      </c>
    </row>
    <row r="79" spans="1:14" x14ac:dyDescent="0.25">
      <c r="A79" t="s">
        <v>246</v>
      </c>
      <c r="B79" t="s">
        <v>118</v>
      </c>
      <c r="J79" t="s">
        <v>18</v>
      </c>
      <c r="K79">
        <v>6.9</v>
      </c>
      <c r="L79" t="s">
        <v>19</v>
      </c>
      <c r="M79" t="s">
        <v>247</v>
      </c>
    </row>
    <row r="80" spans="1:14" x14ac:dyDescent="0.25">
      <c r="A80" t="s">
        <v>249</v>
      </c>
      <c r="B80" t="s">
        <v>118</v>
      </c>
      <c r="J80" t="s">
        <v>18</v>
      </c>
      <c r="K80">
        <v>7.9</v>
      </c>
      <c r="L80" t="s">
        <v>19</v>
      </c>
      <c r="M80" t="s">
        <v>250</v>
      </c>
    </row>
    <row r="81" spans="1:14" x14ac:dyDescent="0.25">
      <c r="A81" s="5" t="s">
        <v>30</v>
      </c>
      <c r="B81" s="5"/>
      <c r="C81" s="5"/>
      <c r="D81" s="5"/>
      <c r="E81" s="5"/>
      <c r="F81" s="5"/>
      <c r="G81" s="5"/>
      <c r="H81" s="5"/>
      <c r="I81" s="5"/>
      <c r="J81" s="6"/>
      <c r="K81" s="6"/>
      <c r="L81" s="6"/>
      <c r="M81" s="6"/>
      <c r="N81" s="6"/>
    </row>
    <row r="82" spans="1:14" x14ac:dyDescent="0.25">
      <c r="A82" s="5" t="s">
        <v>31</v>
      </c>
      <c r="B82" s="5"/>
      <c r="C82" s="5"/>
      <c r="D82" s="5"/>
      <c r="E82" s="5"/>
      <c r="F82" s="5"/>
      <c r="G82" s="5"/>
      <c r="H82" s="5"/>
      <c r="I82" s="5"/>
      <c r="J82" s="6"/>
      <c r="K82" s="6"/>
      <c r="L82" s="6"/>
      <c r="M82" s="6"/>
      <c r="N82" s="6"/>
    </row>
    <row r="83" spans="1:14" x14ac:dyDescent="0.25">
      <c r="A83" s="5" t="s">
        <v>32</v>
      </c>
      <c r="B83" s="5"/>
      <c r="C83" s="5"/>
      <c r="D83" s="5"/>
      <c r="E83" s="5"/>
      <c r="F83" s="5"/>
      <c r="G83" s="5"/>
      <c r="H83" s="5"/>
      <c r="I83" s="5"/>
      <c r="J83" s="6"/>
      <c r="K83" s="6"/>
      <c r="L83" s="6"/>
      <c r="M83" s="6"/>
      <c r="N83" s="6"/>
    </row>
    <row r="84" spans="1:14" x14ac:dyDescent="0.25">
      <c r="A84" s="5" t="s">
        <v>33</v>
      </c>
      <c r="B84" s="5"/>
      <c r="C84" s="5"/>
      <c r="D84" s="5"/>
      <c r="E84" s="5"/>
      <c r="F84" s="5"/>
      <c r="G84" s="5"/>
      <c r="H84" s="5"/>
      <c r="I84" s="5"/>
      <c r="J84" s="6"/>
      <c r="K84" s="6"/>
      <c r="L84" s="6"/>
      <c r="M84" s="6"/>
      <c r="N84" s="6"/>
    </row>
    <row r="86" spans="1:14" x14ac:dyDescent="0.25">
      <c r="A86" s="3" t="s">
        <v>215</v>
      </c>
      <c r="B86" s="3"/>
      <c r="C86" s="3"/>
      <c r="D86" s="3"/>
      <c r="E86" s="3"/>
      <c r="F86" s="3"/>
      <c r="G86" s="3"/>
      <c r="H86" s="3"/>
      <c r="I86" s="3"/>
      <c r="J86" s="4"/>
      <c r="K86" s="4"/>
      <c r="L86" s="4"/>
      <c r="M86" s="4"/>
      <c r="N86" s="4"/>
    </row>
    <row r="87" spans="1:14" x14ac:dyDescent="0.25">
      <c r="A87" t="s">
        <v>208</v>
      </c>
      <c r="B87" t="s">
        <v>217</v>
      </c>
      <c r="J87" t="s">
        <v>213</v>
      </c>
      <c r="K87" s="7">
        <v>0</v>
      </c>
      <c r="L87" t="s">
        <v>204</v>
      </c>
    </row>
    <row r="88" spans="1:14" x14ac:dyDescent="0.25">
      <c r="A88" t="s">
        <v>209</v>
      </c>
      <c r="B88" t="s">
        <v>217</v>
      </c>
      <c r="J88" t="s">
        <v>213</v>
      </c>
      <c r="K88">
        <v>10000</v>
      </c>
      <c r="L88" t="s">
        <v>204</v>
      </c>
      <c r="M88" t="s">
        <v>212</v>
      </c>
    </row>
    <row r="90" spans="1:14" x14ac:dyDescent="0.25">
      <c r="A90" t="s">
        <v>107</v>
      </c>
      <c r="B90" t="s">
        <v>217</v>
      </c>
      <c r="J90" t="s">
        <v>213</v>
      </c>
      <c r="K90">
        <v>30000</v>
      </c>
      <c r="L90" t="s">
        <v>204</v>
      </c>
      <c r="M90" t="s">
        <v>211</v>
      </c>
      <c r="N90" t="s">
        <v>210</v>
      </c>
    </row>
    <row r="92" spans="1:14" x14ac:dyDescent="0.25">
      <c r="A92" t="s">
        <v>299</v>
      </c>
      <c r="B92" t="s">
        <v>217</v>
      </c>
      <c r="J92" t="s">
        <v>213</v>
      </c>
      <c r="K92">
        <v>355.5</v>
      </c>
      <c r="L92" t="s">
        <v>300</v>
      </c>
      <c r="M92" t="s">
        <v>301</v>
      </c>
    </row>
    <row r="94" spans="1:14" x14ac:dyDescent="0.25">
      <c r="A94" s="3" t="s">
        <v>203</v>
      </c>
      <c r="B94" s="3"/>
      <c r="C94" s="3"/>
      <c r="D94" s="3"/>
      <c r="E94" s="3"/>
      <c r="F94" s="3"/>
      <c r="G94" s="3"/>
      <c r="H94" s="3"/>
      <c r="I94" s="3"/>
      <c r="J94" s="4"/>
      <c r="K94" s="4"/>
      <c r="L94" s="4"/>
      <c r="M94" s="4"/>
      <c r="N94" s="4"/>
    </row>
    <row r="95" spans="1:14" x14ac:dyDescent="0.25">
      <c r="J95" t="s">
        <v>214</v>
      </c>
      <c r="L95" t="s">
        <v>204</v>
      </c>
    </row>
    <row r="97" spans="1:14" x14ac:dyDescent="0.25">
      <c r="A97" s="3" t="s">
        <v>34</v>
      </c>
      <c r="B97" s="3"/>
      <c r="C97" s="3"/>
      <c r="D97" s="3"/>
      <c r="E97" s="3"/>
      <c r="F97" s="3"/>
      <c r="G97" s="3"/>
      <c r="H97" s="3"/>
      <c r="I97" s="3"/>
      <c r="J97" s="4"/>
      <c r="K97" s="4"/>
      <c r="L97" s="4"/>
      <c r="M97" s="4"/>
      <c r="N97" s="4"/>
    </row>
    <row r="98" spans="1:14" x14ac:dyDescent="0.25">
      <c r="B98" t="s">
        <v>26</v>
      </c>
      <c r="I98" t="s">
        <v>53</v>
      </c>
      <c r="J98" t="s">
        <v>56</v>
      </c>
      <c r="K98">
        <v>25</v>
      </c>
      <c r="L98" t="s">
        <v>39</v>
      </c>
    </row>
    <row r="99" spans="1:14" x14ac:dyDescent="0.25">
      <c r="B99" t="s">
        <v>26</v>
      </c>
      <c r="I99" t="s">
        <v>54</v>
      </c>
      <c r="J99" t="s">
        <v>56</v>
      </c>
      <c r="K99">
        <v>2</v>
      </c>
      <c r="L99" t="s">
        <v>39</v>
      </c>
    </row>
    <row r="100" spans="1:14" x14ac:dyDescent="0.25">
      <c r="B100" t="s">
        <v>26</v>
      </c>
      <c r="I100" t="s">
        <v>55</v>
      </c>
      <c r="J100" t="s">
        <v>56</v>
      </c>
      <c r="K100" s="7">
        <v>10.5</v>
      </c>
      <c r="L100" t="s">
        <v>39</v>
      </c>
      <c r="M100" s="7" t="s">
        <v>95</v>
      </c>
    </row>
    <row r="101" spans="1:14" x14ac:dyDescent="0.25">
      <c r="B101" t="s">
        <v>109</v>
      </c>
      <c r="I101" t="s">
        <v>53</v>
      </c>
      <c r="J101" t="s">
        <v>56</v>
      </c>
      <c r="K101">
        <v>17</v>
      </c>
      <c r="L101" t="s">
        <v>39</v>
      </c>
    </row>
    <row r="102" spans="1:14" x14ac:dyDescent="0.25">
      <c r="B102" t="s">
        <v>109</v>
      </c>
      <c r="I102" t="s">
        <v>54</v>
      </c>
      <c r="J102" t="s">
        <v>56</v>
      </c>
      <c r="K102">
        <v>7</v>
      </c>
      <c r="L102" t="s">
        <v>39</v>
      </c>
    </row>
    <row r="103" spans="1:14" x14ac:dyDescent="0.25">
      <c r="B103" t="s">
        <v>109</v>
      </c>
      <c r="I103" t="s">
        <v>55</v>
      </c>
      <c r="J103" t="s">
        <v>56</v>
      </c>
      <c r="K103" s="7">
        <v>15</v>
      </c>
      <c r="L103" t="s">
        <v>39</v>
      </c>
      <c r="M103" s="7" t="s">
        <v>95</v>
      </c>
    </row>
    <row r="104" spans="1:14" x14ac:dyDescent="0.25">
      <c r="B104" t="s">
        <v>114</v>
      </c>
      <c r="I104" t="s">
        <v>53</v>
      </c>
      <c r="J104" t="s">
        <v>56</v>
      </c>
      <c r="K104">
        <v>19</v>
      </c>
      <c r="L104" t="s">
        <v>39</v>
      </c>
    </row>
    <row r="105" spans="1:14" x14ac:dyDescent="0.25">
      <c r="B105" t="s">
        <v>114</v>
      </c>
      <c r="I105" t="s">
        <v>54</v>
      </c>
      <c r="J105" t="s">
        <v>56</v>
      </c>
      <c r="K105">
        <v>10</v>
      </c>
      <c r="L105" t="s">
        <v>39</v>
      </c>
    </row>
    <row r="106" spans="1:14" x14ac:dyDescent="0.25">
      <c r="B106" t="s">
        <v>114</v>
      </c>
      <c r="I106" t="s">
        <v>55</v>
      </c>
      <c r="J106" t="s">
        <v>56</v>
      </c>
      <c r="K106" s="7">
        <v>2</v>
      </c>
      <c r="L106" t="s">
        <v>39</v>
      </c>
      <c r="M106" s="7" t="s">
        <v>95</v>
      </c>
    </row>
    <row r="107" spans="1:14" x14ac:dyDescent="0.25">
      <c r="B107" t="s">
        <v>262</v>
      </c>
      <c r="I107" t="s">
        <v>53</v>
      </c>
      <c r="J107" t="s">
        <v>56</v>
      </c>
      <c r="K107">
        <v>19</v>
      </c>
      <c r="L107" t="s">
        <v>39</v>
      </c>
    </row>
    <row r="108" spans="1:14" x14ac:dyDescent="0.25">
      <c r="B108" t="s">
        <v>262</v>
      </c>
      <c r="I108" t="s">
        <v>54</v>
      </c>
      <c r="J108" t="s">
        <v>56</v>
      </c>
      <c r="K108">
        <v>10</v>
      </c>
      <c r="L108" t="s">
        <v>39</v>
      </c>
    </row>
    <row r="109" spans="1:14" x14ac:dyDescent="0.25">
      <c r="B109" t="s">
        <v>262</v>
      </c>
      <c r="I109" t="s">
        <v>55</v>
      </c>
      <c r="J109" t="s">
        <v>56</v>
      </c>
      <c r="K109" s="7">
        <v>2</v>
      </c>
      <c r="L109" t="s">
        <v>39</v>
      </c>
      <c r="M109" s="7" t="s">
        <v>95</v>
      </c>
    </row>
    <row r="110" spans="1:14" x14ac:dyDescent="0.25">
      <c r="B110" t="s">
        <v>84</v>
      </c>
      <c r="I110" t="s">
        <v>53</v>
      </c>
      <c r="J110" t="s">
        <v>56</v>
      </c>
      <c r="K110">
        <v>11</v>
      </c>
      <c r="L110" t="s">
        <v>39</v>
      </c>
    </row>
    <row r="111" spans="1:14" x14ac:dyDescent="0.25">
      <c r="B111" t="s">
        <v>84</v>
      </c>
      <c r="I111" t="s">
        <v>54</v>
      </c>
      <c r="J111" t="s">
        <v>56</v>
      </c>
      <c r="K111">
        <f>0.5</f>
        <v>0.5</v>
      </c>
      <c r="L111" t="s">
        <v>39</v>
      </c>
    </row>
    <row r="112" spans="1:14" x14ac:dyDescent="0.25">
      <c r="B112" t="s">
        <v>84</v>
      </c>
      <c r="I112" t="s">
        <v>55</v>
      </c>
      <c r="J112" t="s">
        <v>56</v>
      </c>
      <c r="K112" s="7">
        <v>1</v>
      </c>
      <c r="L112" t="s">
        <v>39</v>
      </c>
      <c r="M112" s="7" t="s">
        <v>95</v>
      </c>
    </row>
    <row r="113" spans="2:13" x14ac:dyDescent="0.25">
      <c r="B113" t="s">
        <v>58</v>
      </c>
      <c r="I113" t="s">
        <v>53</v>
      </c>
      <c r="J113" t="s">
        <v>56</v>
      </c>
      <c r="K113">
        <v>11</v>
      </c>
      <c r="L113" t="s">
        <v>39</v>
      </c>
    </row>
    <row r="114" spans="2:13" x14ac:dyDescent="0.25">
      <c r="B114" t="s">
        <v>58</v>
      </c>
      <c r="I114" t="s">
        <v>54</v>
      </c>
      <c r="J114" t="s">
        <v>56</v>
      </c>
      <c r="K114">
        <v>4</v>
      </c>
      <c r="L114" t="s">
        <v>39</v>
      </c>
    </row>
    <row r="115" spans="2:13" x14ac:dyDescent="0.25">
      <c r="B115" t="s">
        <v>58</v>
      </c>
      <c r="I115" t="s">
        <v>55</v>
      </c>
      <c r="J115" t="s">
        <v>56</v>
      </c>
      <c r="K115" s="7">
        <v>5</v>
      </c>
      <c r="L115" t="s">
        <v>39</v>
      </c>
      <c r="M115" s="7" t="s">
        <v>95</v>
      </c>
    </row>
    <row r="116" spans="2:13" x14ac:dyDescent="0.25">
      <c r="B116" t="s">
        <v>224</v>
      </c>
      <c r="I116" t="s">
        <v>53</v>
      </c>
      <c r="J116" t="s">
        <v>56</v>
      </c>
      <c r="K116">
        <v>4</v>
      </c>
      <c r="L116" t="s">
        <v>39</v>
      </c>
    </row>
    <row r="117" spans="2:13" x14ac:dyDescent="0.25">
      <c r="B117" t="s">
        <v>224</v>
      </c>
      <c r="I117" t="s">
        <v>54</v>
      </c>
      <c r="J117" t="s">
        <v>56</v>
      </c>
      <c r="K117">
        <v>1</v>
      </c>
      <c r="L117" t="s">
        <v>39</v>
      </c>
    </row>
    <row r="118" spans="2:13" x14ac:dyDescent="0.25">
      <c r="B118" t="s">
        <v>224</v>
      </c>
      <c r="I118" t="s">
        <v>55</v>
      </c>
      <c r="J118" t="s">
        <v>56</v>
      </c>
      <c r="K118" s="7">
        <v>5</v>
      </c>
      <c r="L118" t="s">
        <v>39</v>
      </c>
      <c r="M118" s="7" t="s">
        <v>95</v>
      </c>
    </row>
    <row r="119" spans="2:13" x14ac:dyDescent="0.25">
      <c r="B119" t="s">
        <v>139</v>
      </c>
      <c r="I119" t="s">
        <v>53</v>
      </c>
      <c r="J119" t="s">
        <v>56</v>
      </c>
      <c r="K119">
        <v>4</v>
      </c>
      <c r="L119" t="s">
        <v>39</v>
      </c>
    </row>
    <row r="120" spans="2:13" x14ac:dyDescent="0.25">
      <c r="B120" t="s">
        <v>139</v>
      </c>
      <c r="I120" t="s">
        <v>54</v>
      </c>
      <c r="J120" t="s">
        <v>56</v>
      </c>
      <c r="K120">
        <v>1</v>
      </c>
      <c r="L120" t="s">
        <v>39</v>
      </c>
    </row>
    <row r="121" spans="2:13" x14ac:dyDescent="0.25">
      <c r="B121" t="s">
        <v>139</v>
      </c>
      <c r="I121" t="s">
        <v>55</v>
      </c>
      <c r="J121" t="s">
        <v>56</v>
      </c>
      <c r="K121" s="7">
        <v>5</v>
      </c>
      <c r="L121" t="s">
        <v>39</v>
      </c>
      <c r="M121" s="7" t="s">
        <v>95</v>
      </c>
    </row>
    <row r="122" spans="2:13" x14ac:dyDescent="0.25">
      <c r="B122" t="s">
        <v>237</v>
      </c>
      <c r="I122" t="s">
        <v>53</v>
      </c>
      <c r="J122" t="s">
        <v>56</v>
      </c>
      <c r="K122">
        <v>13</v>
      </c>
      <c r="L122" t="s">
        <v>39</v>
      </c>
    </row>
    <row r="123" spans="2:13" x14ac:dyDescent="0.25">
      <c r="B123" t="s">
        <v>237</v>
      </c>
      <c r="I123" t="s">
        <v>54</v>
      </c>
      <c r="J123" t="s">
        <v>56</v>
      </c>
      <c r="K123">
        <v>5</v>
      </c>
      <c r="L123" t="s">
        <v>39</v>
      </c>
    </row>
    <row r="124" spans="2:13" x14ac:dyDescent="0.25">
      <c r="B124" t="s">
        <v>237</v>
      </c>
      <c r="I124" t="s">
        <v>55</v>
      </c>
      <c r="J124" t="s">
        <v>56</v>
      </c>
      <c r="K124" s="7">
        <v>5</v>
      </c>
      <c r="L124" t="s">
        <v>39</v>
      </c>
      <c r="M124" s="7" t="s">
        <v>95</v>
      </c>
    </row>
    <row r="125" spans="2:13" x14ac:dyDescent="0.25">
      <c r="B125" t="s">
        <v>118</v>
      </c>
      <c r="I125" t="s">
        <v>53</v>
      </c>
      <c r="J125" t="s">
        <v>56</v>
      </c>
      <c r="K125">
        <v>0</v>
      </c>
      <c r="L125" t="s">
        <v>39</v>
      </c>
    </row>
    <row r="126" spans="2:13" x14ac:dyDescent="0.25">
      <c r="B126" t="s">
        <v>118</v>
      </c>
      <c r="I126" t="s">
        <v>54</v>
      </c>
      <c r="J126" t="s">
        <v>56</v>
      </c>
      <c r="K126">
        <v>5</v>
      </c>
      <c r="L126" t="s">
        <v>39</v>
      </c>
    </row>
    <row r="127" spans="2:13" x14ac:dyDescent="0.25">
      <c r="B127" t="s">
        <v>118</v>
      </c>
      <c r="I127" t="s">
        <v>55</v>
      </c>
      <c r="J127" t="s">
        <v>56</v>
      </c>
      <c r="K127" s="7">
        <v>5</v>
      </c>
      <c r="L127" t="s">
        <v>39</v>
      </c>
      <c r="M127" s="7" t="s">
        <v>95</v>
      </c>
    </row>
    <row r="129" spans="1:14" x14ac:dyDescent="0.25">
      <c r="A129" s="3" t="s">
        <v>61</v>
      </c>
      <c r="B129" s="3"/>
      <c r="C129" s="3"/>
      <c r="D129" s="3"/>
      <c r="E129" s="3"/>
      <c r="F129" s="3"/>
      <c r="G129" s="3"/>
      <c r="H129" s="3"/>
      <c r="I129" s="3"/>
      <c r="J129" s="4"/>
      <c r="K129" s="4"/>
      <c r="L129" s="4"/>
      <c r="M129" s="4"/>
      <c r="N129" s="4"/>
    </row>
    <row r="130" spans="1:14" x14ac:dyDescent="0.25">
      <c r="J130" s="8" t="s">
        <v>88</v>
      </c>
      <c r="K130" s="8">
        <v>0</v>
      </c>
      <c r="L130" s="8" t="s">
        <v>39</v>
      </c>
      <c r="M130" s="8" t="s">
        <v>46</v>
      </c>
    </row>
    <row r="131" spans="1:14" x14ac:dyDescent="0.25">
      <c r="J131" s="8" t="s">
        <v>89</v>
      </c>
      <c r="K131" s="8">
        <v>0</v>
      </c>
      <c r="L131" s="8" t="s">
        <v>39</v>
      </c>
      <c r="M131" s="8" t="s">
        <v>46</v>
      </c>
    </row>
    <row r="132" spans="1:14" x14ac:dyDescent="0.25">
      <c r="A132" s="5" t="s">
        <v>10</v>
      </c>
      <c r="B132" s="5"/>
      <c r="C132" s="5"/>
      <c r="D132" s="5"/>
      <c r="E132" s="5"/>
      <c r="F132" s="5"/>
      <c r="G132" s="5"/>
      <c r="H132" s="5"/>
      <c r="I132" s="5"/>
      <c r="J132" s="6"/>
      <c r="K132" s="6"/>
      <c r="L132" s="6"/>
      <c r="M132" s="6"/>
      <c r="N132" s="6"/>
    </row>
    <row r="133" spans="1:14" x14ac:dyDescent="0.25">
      <c r="A133" t="s">
        <v>192</v>
      </c>
      <c r="C133" t="s">
        <v>38</v>
      </c>
      <c r="J133" t="s">
        <v>88</v>
      </c>
      <c r="K133">
        <v>79</v>
      </c>
      <c r="L133" t="s">
        <v>39</v>
      </c>
      <c r="N133" t="s">
        <v>98</v>
      </c>
    </row>
    <row r="134" spans="1:14" x14ac:dyDescent="0.25">
      <c r="A134" t="s">
        <v>192</v>
      </c>
      <c r="C134" t="s">
        <v>38</v>
      </c>
      <c r="F134" t="s">
        <v>122</v>
      </c>
      <c r="J134" t="s">
        <v>89</v>
      </c>
      <c r="K134">
        <v>19</v>
      </c>
      <c r="L134" t="s">
        <v>39</v>
      </c>
      <c r="N134" t="s">
        <v>98</v>
      </c>
    </row>
    <row r="135" spans="1:14" x14ac:dyDescent="0.25">
      <c r="A135" t="s">
        <v>192</v>
      </c>
      <c r="C135" t="s">
        <v>38</v>
      </c>
      <c r="F135" t="s">
        <v>123</v>
      </c>
      <c r="J135" t="s">
        <v>89</v>
      </c>
      <c r="K135">
        <v>2</v>
      </c>
      <c r="L135" t="s">
        <v>39</v>
      </c>
      <c r="N135" t="s">
        <v>98</v>
      </c>
    </row>
    <row r="136" spans="1:14" x14ac:dyDescent="0.25">
      <c r="A136" t="s">
        <v>197</v>
      </c>
      <c r="C136" t="s">
        <v>38</v>
      </c>
      <c r="J136" t="s">
        <v>88</v>
      </c>
      <c r="K136">
        <v>100</v>
      </c>
      <c r="L136" t="s">
        <v>39</v>
      </c>
      <c r="N136" t="s">
        <v>98</v>
      </c>
    </row>
    <row r="137" spans="1:14" x14ac:dyDescent="0.25">
      <c r="A137" s="9" t="s">
        <v>193</v>
      </c>
      <c r="B137" s="9"/>
      <c r="C137" s="9" t="s">
        <v>51</v>
      </c>
      <c r="D137" s="9"/>
      <c r="E137" s="9"/>
      <c r="F137" s="9"/>
      <c r="G137" s="9"/>
      <c r="H137" s="9"/>
      <c r="I137" s="9"/>
      <c r="J137" t="s">
        <v>88</v>
      </c>
      <c r="K137" s="9">
        <v>72</v>
      </c>
      <c r="L137" s="9" t="s">
        <v>39</v>
      </c>
      <c r="M137" s="9"/>
      <c r="N137" t="s">
        <v>98</v>
      </c>
    </row>
    <row r="138" spans="1:14" x14ac:dyDescent="0.25">
      <c r="A138" s="9" t="s">
        <v>193</v>
      </c>
      <c r="B138" s="9"/>
      <c r="C138" s="9" t="s">
        <v>51</v>
      </c>
      <c r="D138" s="9"/>
      <c r="E138" s="9"/>
      <c r="F138" s="9" t="s">
        <v>124</v>
      </c>
      <c r="G138" s="9"/>
      <c r="H138" s="9"/>
      <c r="I138" s="9"/>
      <c r="J138" t="s">
        <v>89</v>
      </c>
      <c r="K138" s="9">
        <v>19</v>
      </c>
      <c r="L138" s="9" t="s">
        <v>39</v>
      </c>
      <c r="M138" s="9"/>
      <c r="N138" t="s">
        <v>98</v>
      </c>
    </row>
    <row r="139" spans="1:14" x14ac:dyDescent="0.25">
      <c r="A139" s="9" t="s">
        <v>193</v>
      </c>
      <c r="B139" s="9"/>
      <c r="C139" s="9" t="s">
        <v>51</v>
      </c>
      <c r="D139" s="9"/>
      <c r="E139" s="9"/>
      <c r="F139" s="9" t="s">
        <v>125</v>
      </c>
      <c r="G139" s="9"/>
      <c r="H139" s="9"/>
      <c r="I139" s="9"/>
      <c r="J139" t="s">
        <v>89</v>
      </c>
      <c r="K139" s="9">
        <v>9</v>
      </c>
      <c r="L139" s="9" t="s">
        <v>39</v>
      </c>
      <c r="M139" s="9"/>
      <c r="N139" t="s">
        <v>98</v>
      </c>
    </row>
    <row r="140" spans="1:14" x14ac:dyDescent="0.25">
      <c r="A140" s="9" t="s">
        <v>198</v>
      </c>
      <c r="B140" s="9"/>
      <c r="C140" s="9" t="s">
        <v>51</v>
      </c>
      <c r="D140" s="9"/>
      <c r="E140" s="9"/>
      <c r="F140" s="9"/>
      <c r="G140" s="9"/>
      <c r="H140" s="9"/>
      <c r="I140" s="9"/>
      <c r="J140" t="s">
        <v>88</v>
      </c>
      <c r="K140" s="10">
        <v>91</v>
      </c>
      <c r="L140" s="9" t="s">
        <v>39</v>
      </c>
      <c r="M140" s="9"/>
      <c r="N140" t="s">
        <v>98</v>
      </c>
    </row>
    <row r="141" spans="1:14" x14ac:dyDescent="0.25">
      <c r="A141" s="9" t="s">
        <v>198</v>
      </c>
      <c r="B141" s="9"/>
      <c r="C141" s="9" t="s">
        <v>51</v>
      </c>
      <c r="D141" s="9"/>
      <c r="E141" s="9"/>
      <c r="F141" s="9" t="s">
        <v>125</v>
      </c>
      <c r="G141" s="9"/>
      <c r="H141" s="9"/>
      <c r="I141" s="9"/>
      <c r="J141" t="s">
        <v>89</v>
      </c>
      <c r="K141" s="10">
        <v>9</v>
      </c>
      <c r="L141" s="10" t="s">
        <v>39</v>
      </c>
      <c r="M141" s="9"/>
      <c r="N141" t="s">
        <v>98</v>
      </c>
    </row>
    <row r="142" spans="1:14" x14ac:dyDescent="0.25">
      <c r="A142" t="s">
        <v>194</v>
      </c>
      <c r="B142" s="9"/>
      <c r="C142" s="10" t="s">
        <v>96</v>
      </c>
      <c r="D142" s="9"/>
      <c r="E142" s="9"/>
      <c r="F142" s="9"/>
      <c r="G142" s="9"/>
      <c r="H142" s="9"/>
      <c r="I142" s="9"/>
      <c r="J142" t="s">
        <v>88</v>
      </c>
      <c r="K142" s="10">
        <v>80</v>
      </c>
      <c r="L142" s="10" t="s">
        <v>39</v>
      </c>
      <c r="M142" s="9"/>
      <c r="N142" t="s">
        <v>98</v>
      </c>
    </row>
    <row r="143" spans="1:14" x14ac:dyDescent="0.25">
      <c r="A143" t="s">
        <v>194</v>
      </c>
      <c r="B143" s="9"/>
      <c r="C143" s="10" t="s">
        <v>96</v>
      </c>
      <c r="D143" s="9"/>
      <c r="E143" s="9"/>
      <c r="F143" s="10" t="s">
        <v>126</v>
      </c>
      <c r="G143" s="9"/>
      <c r="H143" s="9"/>
      <c r="I143" s="9"/>
      <c r="J143" t="s">
        <v>89</v>
      </c>
      <c r="K143" s="10">
        <v>20</v>
      </c>
      <c r="L143" s="10" t="s">
        <v>39</v>
      </c>
      <c r="M143" s="9"/>
      <c r="N143" t="s">
        <v>98</v>
      </c>
    </row>
    <row r="144" spans="1:14" x14ac:dyDescent="0.25">
      <c r="A144" t="s">
        <v>199</v>
      </c>
      <c r="B144" s="9"/>
      <c r="C144" s="10" t="s">
        <v>96</v>
      </c>
      <c r="D144" s="9"/>
      <c r="E144" s="9"/>
      <c r="F144" s="10"/>
      <c r="G144" s="9"/>
      <c r="H144" s="9"/>
      <c r="I144" s="9"/>
      <c r="J144" t="s">
        <v>88</v>
      </c>
      <c r="K144" s="10">
        <v>100</v>
      </c>
      <c r="L144" s="10" t="s">
        <v>39</v>
      </c>
      <c r="M144" s="9"/>
      <c r="N144" t="s">
        <v>98</v>
      </c>
    </row>
    <row r="145" spans="1:14" x14ac:dyDescent="0.25">
      <c r="A145" t="s">
        <v>195</v>
      </c>
      <c r="B145" s="9"/>
      <c r="C145" s="10" t="s">
        <v>97</v>
      </c>
      <c r="D145" s="9"/>
      <c r="E145" s="9"/>
      <c r="F145" s="9"/>
      <c r="G145" s="9"/>
      <c r="H145" s="9"/>
      <c r="I145" s="9"/>
      <c r="J145" t="s">
        <v>88</v>
      </c>
      <c r="K145" s="10">
        <v>53</v>
      </c>
      <c r="L145" s="10" t="s">
        <v>39</v>
      </c>
      <c r="M145" s="9"/>
      <c r="N145" t="s">
        <v>98</v>
      </c>
    </row>
    <row r="146" spans="1:14" x14ac:dyDescent="0.25">
      <c r="A146" t="s">
        <v>195</v>
      </c>
      <c r="B146" s="9"/>
      <c r="C146" s="10" t="s">
        <v>97</v>
      </c>
      <c r="D146" s="9"/>
      <c r="E146" s="9"/>
      <c r="F146" s="10" t="s">
        <v>127</v>
      </c>
      <c r="G146" s="9"/>
      <c r="H146" s="9"/>
      <c r="I146" s="9"/>
      <c r="J146" t="s">
        <v>89</v>
      </c>
      <c r="K146" s="10">
        <v>20</v>
      </c>
      <c r="L146" s="10" t="s">
        <v>39</v>
      </c>
      <c r="M146" s="9"/>
      <c r="N146" t="s">
        <v>98</v>
      </c>
    </row>
    <row r="147" spans="1:14" x14ac:dyDescent="0.25">
      <c r="A147" t="s">
        <v>195</v>
      </c>
      <c r="B147" s="9"/>
      <c r="C147" s="10" t="s">
        <v>97</v>
      </c>
      <c r="D147" s="9"/>
      <c r="E147" s="9"/>
      <c r="F147" s="10" t="s">
        <v>191</v>
      </c>
      <c r="G147" s="9"/>
      <c r="H147" s="9"/>
      <c r="I147" s="9"/>
      <c r="J147" t="s">
        <v>89</v>
      </c>
      <c r="K147" s="10">
        <v>27</v>
      </c>
      <c r="L147" s="10" t="s">
        <v>39</v>
      </c>
      <c r="M147" s="9"/>
      <c r="N147" t="s">
        <v>98</v>
      </c>
    </row>
    <row r="148" spans="1:14" x14ac:dyDescent="0.25">
      <c r="A148" t="s">
        <v>200</v>
      </c>
      <c r="B148" s="9"/>
      <c r="C148" s="10" t="s">
        <v>97</v>
      </c>
      <c r="D148" s="9"/>
      <c r="E148" s="9"/>
      <c r="F148" s="10"/>
      <c r="G148" s="9"/>
      <c r="H148" s="9"/>
      <c r="I148" s="9"/>
      <c r="J148" t="s">
        <v>88</v>
      </c>
      <c r="K148" s="10">
        <v>73</v>
      </c>
      <c r="L148" s="10" t="s">
        <v>39</v>
      </c>
      <c r="M148" s="9"/>
      <c r="N148" t="s">
        <v>98</v>
      </c>
    </row>
    <row r="149" spans="1:14" x14ac:dyDescent="0.25">
      <c r="A149" t="s">
        <v>200</v>
      </c>
      <c r="B149" s="9"/>
      <c r="C149" s="10" t="s">
        <v>97</v>
      </c>
      <c r="D149" s="9"/>
      <c r="E149" s="9"/>
      <c r="F149" s="10" t="s">
        <v>191</v>
      </c>
      <c r="G149" s="9"/>
      <c r="H149" s="9"/>
      <c r="I149" s="9"/>
      <c r="J149" t="s">
        <v>89</v>
      </c>
      <c r="K149" s="10">
        <v>27</v>
      </c>
      <c r="L149" s="10" t="s">
        <v>39</v>
      </c>
      <c r="M149" s="9"/>
      <c r="N149" t="s">
        <v>98</v>
      </c>
    </row>
    <row r="150" spans="1:14" x14ac:dyDescent="0.25">
      <c r="A150" s="5" t="s">
        <v>11</v>
      </c>
      <c r="B150" s="5"/>
      <c r="C150" s="5"/>
      <c r="D150" s="5"/>
      <c r="E150" s="5"/>
      <c r="F150" s="5"/>
      <c r="G150" s="5"/>
      <c r="H150" s="5"/>
      <c r="I150" s="5"/>
      <c r="J150" s="6"/>
      <c r="K150" s="6"/>
      <c r="L150" s="6"/>
      <c r="M150" s="6"/>
      <c r="N150" s="6"/>
    </row>
    <row r="151" spans="1:14" x14ac:dyDescent="0.25">
      <c r="A151" s="18" t="s">
        <v>105</v>
      </c>
      <c r="B151" s="9"/>
      <c r="C151" s="10" t="s">
        <v>111</v>
      </c>
      <c r="D151" s="9"/>
      <c r="E151" s="9"/>
      <c r="F151" s="10"/>
      <c r="G151" s="9"/>
      <c r="H151" s="9"/>
      <c r="I151" s="9"/>
      <c r="J151" t="s">
        <v>88</v>
      </c>
      <c r="K151" s="12">
        <v>100</v>
      </c>
      <c r="L151" s="10" t="s">
        <v>39</v>
      </c>
      <c r="M151" s="11" t="s">
        <v>110</v>
      </c>
    </row>
    <row r="152" spans="1:14" x14ac:dyDescent="0.25">
      <c r="A152" s="18" t="s">
        <v>106</v>
      </c>
      <c r="B152" s="9"/>
      <c r="C152" s="10" t="s">
        <v>111</v>
      </c>
      <c r="D152" s="9"/>
      <c r="E152" s="9"/>
      <c r="F152" s="10"/>
      <c r="G152" s="9"/>
      <c r="H152" s="9"/>
      <c r="I152" s="9"/>
      <c r="J152" t="s">
        <v>88</v>
      </c>
      <c r="K152" s="10">
        <v>50</v>
      </c>
      <c r="L152" s="10" t="s">
        <v>39</v>
      </c>
      <c r="M152" s="9"/>
    </row>
    <row r="153" spans="1:14" x14ac:dyDescent="0.25">
      <c r="A153" s="18" t="s">
        <v>106</v>
      </c>
      <c r="B153" s="9"/>
      <c r="C153" s="10" t="s">
        <v>111</v>
      </c>
      <c r="D153" s="9"/>
      <c r="E153" s="9"/>
      <c r="F153" s="10" t="s">
        <v>128</v>
      </c>
      <c r="G153" s="9"/>
      <c r="H153" s="9"/>
      <c r="I153" s="9"/>
      <c r="J153" t="s">
        <v>89</v>
      </c>
      <c r="K153" s="10">
        <v>50</v>
      </c>
      <c r="L153" s="10" t="s">
        <v>39</v>
      </c>
      <c r="M153" s="9"/>
    </row>
    <row r="154" spans="1:14" x14ac:dyDescent="0.25">
      <c r="A154" s="18" t="s">
        <v>226</v>
      </c>
      <c r="B154" s="9"/>
      <c r="C154" s="12" t="s">
        <v>112</v>
      </c>
      <c r="D154" s="9"/>
      <c r="E154" s="9"/>
      <c r="F154" s="10"/>
      <c r="G154" s="9"/>
      <c r="H154" s="9"/>
      <c r="I154" s="9"/>
      <c r="J154" t="s">
        <v>88</v>
      </c>
      <c r="K154" s="19">
        <v>20</v>
      </c>
      <c r="L154" s="10" t="s">
        <v>39</v>
      </c>
      <c r="M154" s="11" t="s">
        <v>227</v>
      </c>
    </row>
    <row r="155" spans="1:14" x14ac:dyDescent="0.25">
      <c r="A155" s="18" t="s">
        <v>107</v>
      </c>
      <c r="B155" s="9"/>
      <c r="C155" s="10" t="s">
        <v>112</v>
      </c>
      <c r="D155" s="9"/>
      <c r="E155" s="9"/>
      <c r="F155" s="10"/>
      <c r="G155" s="9"/>
      <c r="H155" s="9"/>
      <c r="I155" s="9"/>
      <c r="J155" t="s">
        <v>88</v>
      </c>
      <c r="K155" s="19">
        <v>19</v>
      </c>
      <c r="L155" s="10" t="s">
        <v>39</v>
      </c>
      <c r="M155" s="20"/>
    </row>
    <row r="156" spans="1:14" x14ac:dyDescent="0.25">
      <c r="A156" s="18" t="s">
        <v>107</v>
      </c>
      <c r="B156" s="9"/>
      <c r="C156" s="10" t="s">
        <v>112</v>
      </c>
      <c r="D156" s="9"/>
      <c r="E156" s="9"/>
      <c r="F156" t="s">
        <v>205</v>
      </c>
      <c r="G156" s="9"/>
      <c r="H156" s="9"/>
      <c r="I156" s="9"/>
      <c r="J156" t="s">
        <v>89</v>
      </c>
      <c r="K156" s="29">
        <f>0.02*0.5*100/(844/1000)/0.9</f>
        <v>1.3164823591363877</v>
      </c>
      <c r="L156" s="10" t="s">
        <v>39</v>
      </c>
      <c r="M156" s="20" t="s">
        <v>206</v>
      </c>
      <c r="N156" s="10" t="s">
        <v>207</v>
      </c>
    </row>
    <row r="157" spans="1:14" x14ac:dyDescent="0.25">
      <c r="A157" s="5" t="s">
        <v>12</v>
      </c>
      <c r="B157" s="5"/>
      <c r="C157" s="5"/>
      <c r="D157" s="5"/>
      <c r="E157" s="5"/>
      <c r="F157" s="5"/>
      <c r="G157" s="5"/>
      <c r="H157" s="5"/>
      <c r="I157" s="5"/>
      <c r="J157" s="6"/>
      <c r="K157" s="6"/>
      <c r="L157" s="6"/>
      <c r="M157" s="6"/>
      <c r="N157" s="6"/>
    </row>
    <row r="158" spans="1:14" x14ac:dyDescent="0.25">
      <c r="A158" s="18" t="s">
        <v>147</v>
      </c>
      <c r="C158" s="10" t="s">
        <v>148</v>
      </c>
      <c r="J158" t="s">
        <v>88</v>
      </c>
      <c r="K158" s="19">
        <v>100</v>
      </c>
      <c r="L158" s="18" t="s">
        <v>39</v>
      </c>
    </row>
    <row r="159" spans="1:14" x14ac:dyDescent="0.25">
      <c r="A159" s="18" t="s">
        <v>153</v>
      </c>
      <c r="C159" s="10" t="s">
        <v>159</v>
      </c>
      <c r="J159" t="s">
        <v>88</v>
      </c>
      <c r="K159" s="19">
        <v>100</v>
      </c>
      <c r="L159" s="18" t="s">
        <v>39</v>
      </c>
    </row>
    <row r="160" spans="1:14" x14ac:dyDescent="0.25">
      <c r="A160" s="18" t="s">
        <v>149</v>
      </c>
      <c r="C160" s="10" t="s">
        <v>155</v>
      </c>
      <c r="J160" t="s">
        <v>88</v>
      </c>
      <c r="K160" s="19">
        <v>100</v>
      </c>
      <c r="L160" s="18" t="s">
        <v>39</v>
      </c>
    </row>
    <row r="161" spans="1:14" x14ac:dyDescent="0.25">
      <c r="A161" s="18" t="s">
        <v>150</v>
      </c>
      <c r="C161" s="10" t="s">
        <v>156</v>
      </c>
      <c r="J161" t="s">
        <v>88</v>
      </c>
      <c r="K161" s="19">
        <v>100</v>
      </c>
      <c r="L161" s="18" t="s">
        <v>39</v>
      </c>
    </row>
    <row r="162" spans="1:14" x14ac:dyDescent="0.25">
      <c r="A162" s="18" t="s">
        <v>151</v>
      </c>
      <c r="C162" s="10" t="s">
        <v>157</v>
      </c>
      <c r="J162" t="s">
        <v>88</v>
      </c>
      <c r="K162" s="19">
        <v>100</v>
      </c>
      <c r="L162" s="18" t="s">
        <v>39</v>
      </c>
    </row>
    <row r="163" spans="1:14" x14ac:dyDescent="0.25">
      <c r="A163" s="18" t="s">
        <v>152</v>
      </c>
      <c r="C163" s="10" t="s">
        <v>154</v>
      </c>
      <c r="J163" t="s">
        <v>88</v>
      </c>
      <c r="K163" s="19">
        <v>100</v>
      </c>
      <c r="L163" s="18" t="s">
        <v>39</v>
      </c>
    </row>
    <row r="164" spans="1:14" x14ac:dyDescent="0.25">
      <c r="A164" s="18" t="s">
        <v>113</v>
      </c>
      <c r="B164" s="9"/>
      <c r="C164" s="10" t="s">
        <v>115</v>
      </c>
      <c r="D164" s="9"/>
      <c r="E164" s="9"/>
      <c r="F164" s="10"/>
      <c r="G164" s="9"/>
      <c r="H164" s="9"/>
      <c r="I164" s="9"/>
      <c r="J164" t="s">
        <v>88</v>
      </c>
      <c r="K164" s="19">
        <v>100</v>
      </c>
      <c r="L164" s="18" t="s">
        <v>39</v>
      </c>
      <c r="M164" s="11"/>
    </row>
    <row r="165" spans="1:14" x14ac:dyDescent="0.25">
      <c r="A165" s="18" t="s">
        <v>116</v>
      </c>
      <c r="B165" s="9"/>
      <c r="C165" s="10" t="s">
        <v>117</v>
      </c>
      <c r="D165" s="9"/>
      <c r="E165" s="9"/>
      <c r="F165" s="10"/>
      <c r="G165" s="9"/>
      <c r="H165" s="9"/>
      <c r="I165" s="9"/>
      <c r="J165" t="s">
        <v>88</v>
      </c>
      <c r="K165" s="19">
        <v>100</v>
      </c>
      <c r="L165" s="18" t="s">
        <v>39</v>
      </c>
      <c r="M165" s="11"/>
    </row>
    <row r="166" spans="1:14" x14ac:dyDescent="0.25">
      <c r="A166" s="18" t="s">
        <v>160</v>
      </c>
      <c r="B166" s="9"/>
      <c r="C166" s="10" t="s">
        <v>158</v>
      </c>
      <c r="D166" s="9"/>
      <c r="E166" s="9"/>
      <c r="F166" s="10"/>
      <c r="G166" s="9"/>
      <c r="H166" s="9"/>
      <c r="I166" s="9"/>
      <c r="J166" t="s">
        <v>88</v>
      </c>
      <c r="K166" s="19">
        <v>100</v>
      </c>
      <c r="L166" s="18" t="s">
        <v>39</v>
      </c>
      <c r="M166" s="11"/>
    </row>
    <row r="167" spans="1:14" x14ac:dyDescent="0.25">
      <c r="A167" s="5" t="s">
        <v>13</v>
      </c>
      <c r="B167" s="5"/>
      <c r="C167" s="5"/>
      <c r="D167" s="5"/>
      <c r="E167" s="5"/>
      <c r="F167" s="5"/>
      <c r="G167" s="5"/>
      <c r="H167" s="5"/>
      <c r="I167" s="5"/>
      <c r="J167" s="6"/>
      <c r="K167" s="6"/>
      <c r="L167" s="6"/>
      <c r="M167" s="6"/>
      <c r="N167" s="6"/>
    </row>
    <row r="168" spans="1:14" x14ac:dyDescent="0.25">
      <c r="A168" s="18" t="s">
        <v>259</v>
      </c>
      <c r="C168" s="10" t="s">
        <v>256</v>
      </c>
      <c r="J168" t="s">
        <v>88</v>
      </c>
      <c r="K168" s="18">
        <v>100</v>
      </c>
      <c r="L168" s="18" t="s">
        <v>39</v>
      </c>
    </row>
    <row r="169" spans="1:14" x14ac:dyDescent="0.25">
      <c r="A169" s="18" t="s">
        <v>260</v>
      </c>
      <c r="C169" s="10" t="s">
        <v>256</v>
      </c>
      <c r="J169" t="s">
        <v>88</v>
      </c>
      <c r="K169" s="18">
        <v>65</v>
      </c>
      <c r="L169" s="18" t="s">
        <v>39</v>
      </c>
      <c r="N169" t="s">
        <v>98</v>
      </c>
    </row>
    <row r="170" spans="1:14" x14ac:dyDescent="0.25">
      <c r="A170" s="18" t="s">
        <v>260</v>
      </c>
      <c r="C170" s="10" t="s">
        <v>256</v>
      </c>
      <c r="F170" s="20" t="s">
        <v>257</v>
      </c>
      <c r="J170" t="s">
        <v>89</v>
      </c>
      <c r="K170" s="18">
        <v>35</v>
      </c>
      <c r="L170" s="18" t="s">
        <v>39</v>
      </c>
      <c r="N170" t="s">
        <v>98</v>
      </c>
    </row>
    <row r="171" spans="1:14" x14ac:dyDescent="0.25">
      <c r="A171" s="18" t="s">
        <v>261</v>
      </c>
      <c r="C171" s="10" t="s">
        <v>256</v>
      </c>
      <c r="J171" t="s">
        <v>88</v>
      </c>
      <c r="K171" s="18">
        <v>22</v>
      </c>
      <c r="L171" s="18" t="s">
        <v>39</v>
      </c>
      <c r="N171" t="s">
        <v>98</v>
      </c>
    </row>
    <row r="172" spans="1:14" x14ac:dyDescent="0.25">
      <c r="A172" s="18" t="s">
        <v>261</v>
      </c>
      <c r="C172" s="10" t="s">
        <v>256</v>
      </c>
      <c r="F172" s="20" t="s">
        <v>257</v>
      </c>
      <c r="J172" t="s">
        <v>89</v>
      </c>
      <c r="K172" s="18">
        <v>35</v>
      </c>
      <c r="L172" s="18" t="s">
        <v>39</v>
      </c>
      <c r="N172" t="s">
        <v>98</v>
      </c>
    </row>
    <row r="173" spans="1:14" x14ac:dyDescent="0.25">
      <c r="A173" s="18" t="s">
        <v>263</v>
      </c>
      <c r="C173" s="10" t="s">
        <v>265</v>
      </c>
      <c r="J173" t="s">
        <v>88</v>
      </c>
      <c r="K173" s="18">
        <v>100</v>
      </c>
      <c r="L173" s="18" t="s">
        <v>39</v>
      </c>
    </row>
    <row r="174" spans="1:14" x14ac:dyDescent="0.25">
      <c r="A174" s="18" t="s">
        <v>281</v>
      </c>
      <c r="C174" s="10" t="s">
        <v>286</v>
      </c>
      <c r="J174" t="s">
        <v>88</v>
      </c>
      <c r="K174" s="18">
        <v>100</v>
      </c>
      <c r="L174" s="18" t="s">
        <v>39</v>
      </c>
    </row>
    <row r="175" spans="1:14" x14ac:dyDescent="0.25">
      <c r="A175" s="18" t="s">
        <v>282</v>
      </c>
      <c r="C175" s="10" t="s">
        <v>287</v>
      </c>
      <c r="J175" t="s">
        <v>88</v>
      </c>
      <c r="K175" s="18">
        <v>100</v>
      </c>
      <c r="L175" s="18" t="s">
        <v>39</v>
      </c>
    </row>
    <row r="176" spans="1:14" x14ac:dyDescent="0.25">
      <c r="A176" s="18" t="s">
        <v>288</v>
      </c>
      <c r="C176" s="10" t="s">
        <v>289</v>
      </c>
      <c r="J176" t="s">
        <v>88</v>
      </c>
      <c r="K176" s="18">
        <v>100</v>
      </c>
      <c r="L176" s="18" t="s">
        <v>39</v>
      </c>
    </row>
    <row r="177" spans="1:14" x14ac:dyDescent="0.25">
      <c r="A177" s="18" t="s">
        <v>283</v>
      </c>
      <c r="C177" s="10" t="s">
        <v>290</v>
      </c>
      <c r="J177" t="s">
        <v>88</v>
      </c>
      <c r="K177" s="18">
        <v>100</v>
      </c>
      <c r="L177" s="18" t="s">
        <v>39</v>
      </c>
    </row>
    <row r="178" spans="1:14" x14ac:dyDescent="0.25">
      <c r="A178" s="5" t="s">
        <v>14</v>
      </c>
      <c r="B178" s="5"/>
      <c r="C178" s="5"/>
      <c r="D178" s="5"/>
      <c r="E178" s="5"/>
      <c r="F178" s="5"/>
      <c r="G178" s="5"/>
      <c r="H178" s="5"/>
      <c r="I178" s="5"/>
      <c r="J178" s="6"/>
      <c r="K178" s="6"/>
      <c r="L178" s="6"/>
      <c r="M178" s="6"/>
      <c r="N178" s="6"/>
    </row>
    <row r="179" spans="1:14" x14ac:dyDescent="0.25">
      <c r="A179" s="11" t="s">
        <v>65</v>
      </c>
      <c r="B179" s="11"/>
      <c r="C179" s="11"/>
      <c r="D179" s="11" t="s">
        <v>82</v>
      </c>
      <c r="E179" s="11" t="s">
        <v>62</v>
      </c>
      <c r="F179" s="11"/>
      <c r="G179" s="11"/>
      <c r="H179" s="11"/>
      <c r="I179" s="11"/>
      <c r="J179" t="s">
        <v>88</v>
      </c>
      <c r="K179" s="13">
        <f>100-K180</f>
        <v>90.75</v>
      </c>
      <c r="L179" s="11" t="s">
        <v>39</v>
      </c>
      <c r="M179" t="s">
        <v>74</v>
      </c>
      <c r="N179" s="9" t="s">
        <v>99</v>
      </c>
    </row>
    <row r="180" spans="1:14" x14ac:dyDescent="0.25">
      <c r="A180" s="11" t="s">
        <v>65</v>
      </c>
      <c r="B180" s="11"/>
      <c r="C180" s="11"/>
      <c r="D180" s="11" t="s">
        <v>82</v>
      </c>
      <c r="E180" s="11" t="s">
        <v>62</v>
      </c>
      <c r="F180" s="11" t="s">
        <v>63</v>
      </c>
      <c r="G180" s="11"/>
      <c r="H180" s="11"/>
      <c r="I180" s="11"/>
      <c r="J180" t="s">
        <v>89</v>
      </c>
      <c r="K180" s="13">
        <f>(0.042-0.005)/0.4*100</f>
        <v>9.2500000000000018</v>
      </c>
      <c r="L180" s="11" t="s">
        <v>39</v>
      </c>
      <c r="N180" s="9" t="s">
        <v>99</v>
      </c>
    </row>
    <row r="181" spans="1:14" x14ac:dyDescent="0.25">
      <c r="A181" s="11" t="s">
        <v>64</v>
      </c>
      <c r="B181" s="11"/>
      <c r="C181" s="11"/>
      <c r="D181" s="11" t="s">
        <v>82</v>
      </c>
      <c r="E181" s="11" t="s">
        <v>62</v>
      </c>
      <c r="F181" s="11"/>
      <c r="G181" s="11"/>
      <c r="H181" s="11"/>
      <c r="I181" s="11"/>
      <c r="J181" t="s">
        <v>88</v>
      </c>
      <c r="K181" s="13">
        <f>100-K182</f>
        <v>93.25</v>
      </c>
      <c r="L181" s="11" t="s">
        <v>39</v>
      </c>
      <c r="M181" t="s">
        <v>75</v>
      </c>
      <c r="N181" s="9" t="s">
        <v>99</v>
      </c>
    </row>
    <row r="182" spans="1:14" x14ac:dyDescent="0.25">
      <c r="A182" s="11" t="s">
        <v>64</v>
      </c>
      <c r="B182" s="11"/>
      <c r="C182" s="11"/>
      <c r="D182" s="11" t="s">
        <v>82</v>
      </c>
      <c r="E182" s="11" t="s">
        <v>62</v>
      </c>
      <c r="F182" s="11" t="s">
        <v>63</v>
      </c>
      <c r="G182" s="11"/>
      <c r="H182" s="11"/>
      <c r="I182" s="11"/>
      <c r="J182" t="s">
        <v>89</v>
      </c>
      <c r="K182" s="13">
        <f>(0.042-0.015)/0.4*100</f>
        <v>6.75</v>
      </c>
      <c r="L182" s="11" t="s">
        <v>39</v>
      </c>
      <c r="N182" s="9" t="s">
        <v>99</v>
      </c>
    </row>
    <row r="183" spans="1:14" x14ac:dyDescent="0.25">
      <c r="A183" s="11" t="s">
        <v>66</v>
      </c>
      <c r="B183" s="11"/>
      <c r="C183" s="11"/>
      <c r="D183" s="11" t="s">
        <v>82</v>
      </c>
      <c r="E183" s="11" t="s">
        <v>62</v>
      </c>
      <c r="F183" s="11"/>
      <c r="G183" s="11"/>
      <c r="H183" s="11"/>
      <c r="I183" s="11"/>
      <c r="J183" t="s">
        <v>88</v>
      </c>
      <c r="K183" s="13">
        <f>100-K184</f>
        <v>93.25</v>
      </c>
      <c r="L183" s="11" t="s">
        <v>39</v>
      </c>
      <c r="M183" t="s">
        <v>76</v>
      </c>
      <c r="N183" s="9" t="s">
        <v>99</v>
      </c>
    </row>
    <row r="184" spans="1:14" x14ac:dyDescent="0.25">
      <c r="A184" s="11" t="s">
        <v>66</v>
      </c>
      <c r="B184" s="11"/>
      <c r="C184" s="11"/>
      <c r="D184" s="11" t="s">
        <v>82</v>
      </c>
      <c r="E184" s="11" t="s">
        <v>62</v>
      </c>
      <c r="F184" s="11" t="s">
        <v>63</v>
      </c>
      <c r="G184" s="11"/>
      <c r="H184" s="11"/>
      <c r="I184" s="11"/>
      <c r="J184" t="s">
        <v>89</v>
      </c>
      <c r="K184" s="13">
        <f>(0.042-0.015)/0.4*100</f>
        <v>6.75</v>
      </c>
      <c r="L184" s="11" t="s">
        <v>39</v>
      </c>
      <c r="N184" s="9" t="s">
        <v>99</v>
      </c>
    </row>
    <row r="185" spans="1:14" x14ac:dyDescent="0.25">
      <c r="A185" s="11" t="s">
        <v>67</v>
      </c>
      <c r="B185" s="11"/>
      <c r="C185" s="11"/>
      <c r="D185" s="11" t="s">
        <v>82</v>
      </c>
      <c r="E185" s="11" t="s">
        <v>62</v>
      </c>
      <c r="F185" s="11"/>
      <c r="G185" s="11"/>
      <c r="H185" s="11"/>
      <c r="I185" s="11"/>
      <c r="J185" t="s">
        <v>88</v>
      </c>
      <c r="K185" s="13">
        <f>(100-K186)*0.1</f>
        <v>9.3250000000000011</v>
      </c>
      <c r="L185" s="11" t="s">
        <v>39</v>
      </c>
      <c r="M185" t="s">
        <v>83</v>
      </c>
      <c r="N185" s="9" t="s">
        <v>99</v>
      </c>
    </row>
    <row r="186" spans="1:14" x14ac:dyDescent="0.25">
      <c r="A186" s="11" t="s">
        <v>67</v>
      </c>
      <c r="B186" s="11"/>
      <c r="C186" s="11"/>
      <c r="D186" s="11" t="s">
        <v>82</v>
      </c>
      <c r="E186" s="11" t="s">
        <v>62</v>
      </c>
      <c r="F186" s="11" t="s">
        <v>63</v>
      </c>
      <c r="G186" s="11"/>
      <c r="H186" s="11"/>
      <c r="I186" s="11"/>
      <c r="J186" t="s">
        <v>89</v>
      </c>
      <c r="K186" s="13">
        <f>(0.042-0.015)/0.4*100</f>
        <v>6.75</v>
      </c>
      <c r="L186" s="11" t="s">
        <v>39</v>
      </c>
      <c r="N186" s="9" t="s">
        <v>99</v>
      </c>
    </row>
    <row r="187" spans="1:14" x14ac:dyDescent="0.25">
      <c r="A187" s="11" t="s">
        <v>67</v>
      </c>
      <c r="B187" s="11"/>
      <c r="C187" s="11"/>
      <c r="D187" s="11" t="s">
        <v>82</v>
      </c>
      <c r="E187" s="11" t="s">
        <v>62</v>
      </c>
      <c r="F187" s="11" t="s">
        <v>73</v>
      </c>
      <c r="G187" s="11"/>
      <c r="H187" s="11"/>
      <c r="I187" s="11"/>
      <c r="J187" t="s">
        <v>89</v>
      </c>
      <c r="K187" s="13">
        <f>(100-K186)*0.9</f>
        <v>83.924999999999997</v>
      </c>
      <c r="L187" s="11" t="s">
        <v>39</v>
      </c>
      <c r="N187" s="9" t="s">
        <v>99</v>
      </c>
    </row>
    <row r="188" spans="1:14" x14ac:dyDescent="0.25">
      <c r="A188" s="11" t="s">
        <v>71</v>
      </c>
      <c r="B188" s="11"/>
      <c r="C188" s="11"/>
      <c r="D188" s="11" t="s">
        <v>82</v>
      </c>
      <c r="E188" s="11" t="s">
        <v>63</v>
      </c>
      <c r="F188" s="11"/>
      <c r="G188" s="11"/>
      <c r="H188" s="11"/>
      <c r="I188" s="11"/>
      <c r="J188" t="s">
        <v>88</v>
      </c>
      <c r="K188" s="11">
        <f>1/(0.1/0.4)*100</f>
        <v>400</v>
      </c>
      <c r="L188" s="11" t="s">
        <v>39</v>
      </c>
      <c r="M188" t="s">
        <v>81</v>
      </c>
      <c r="N188" s="9" t="s">
        <v>99</v>
      </c>
    </row>
    <row r="189" spans="1:14" x14ac:dyDescent="0.25">
      <c r="A189" s="12" t="s">
        <v>72</v>
      </c>
      <c r="B189" s="11"/>
      <c r="C189" s="11"/>
      <c r="D189" s="11" t="s">
        <v>82</v>
      </c>
      <c r="E189" s="11" t="s">
        <v>63</v>
      </c>
      <c r="F189" s="11"/>
      <c r="G189" s="11"/>
      <c r="H189" s="11"/>
      <c r="I189" s="11"/>
      <c r="J189" t="s">
        <v>88</v>
      </c>
      <c r="K189" s="13">
        <f>1/(0.12/0.4)*100</f>
        <v>333.33333333333337</v>
      </c>
      <c r="L189" s="11" t="s">
        <v>39</v>
      </c>
      <c r="M189" t="s">
        <v>77</v>
      </c>
      <c r="N189" s="9" t="s">
        <v>99</v>
      </c>
    </row>
    <row r="190" spans="1:14" x14ac:dyDescent="0.25">
      <c r="A190" s="11" t="s">
        <v>69</v>
      </c>
      <c r="B190" s="11"/>
      <c r="C190" s="11"/>
      <c r="D190" s="11" t="s">
        <v>82</v>
      </c>
      <c r="E190" s="11" t="s">
        <v>63</v>
      </c>
      <c r="F190" s="11"/>
      <c r="G190" s="11"/>
      <c r="H190" s="11"/>
      <c r="I190" s="11"/>
      <c r="J190" t="s">
        <v>88</v>
      </c>
      <c r="K190" s="13">
        <f>1/(0.13/0.4)*100</f>
        <v>307.69230769230768</v>
      </c>
      <c r="L190" s="11" t="s">
        <v>39</v>
      </c>
      <c r="M190" t="s">
        <v>78</v>
      </c>
      <c r="N190" s="9" t="s">
        <v>99</v>
      </c>
    </row>
    <row r="191" spans="1:14" x14ac:dyDescent="0.25">
      <c r="A191" s="11" t="s">
        <v>70</v>
      </c>
      <c r="B191" s="11"/>
      <c r="C191" s="11"/>
      <c r="D191" s="11" t="s">
        <v>82</v>
      </c>
      <c r="E191" s="11" t="s">
        <v>63</v>
      </c>
      <c r="F191" s="11"/>
      <c r="G191" s="11"/>
      <c r="H191" s="11"/>
      <c r="I191" s="11"/>
      <c r="J191" t="s">
        <v>88</v>
      </c>
      <c r="K191" s="11">
        <f>1/(0.4/0.4)*100</f>
        <v>100</v>
      </c>
      <c r="L191" s="11" t="s">
        <v>39</v>
      </c>
      <c r="M191" t="s">
        <v>79</v>
      </c>
      <c r="N191" s="9" t="s">
        <v>99</v>
      </c>
    </row>
    <row r="192" spans="1:14" x14ac:dyDescent="0.25">
      <c r="A192" s="11" t="s">
        <v>68</v>
      </c>
      <c r="B192" s="11"/>
      <c r="C192" s="11"/>
      <c r="D192" s="11" t="s">
        <v>82</v>
      </c>
      <c r="E192" s="11" t="s">
        <v>63</v>
      </c>
      <c r="F192" s="11"/>
      <c r="G192" s="11"/>
      <c r="H192" s="11"/>
      <c r="I192" s="11"/>
      <c r="J192" t="s">
        <v>88</v>
      </c>
      <c r="K192" s="13">
        <f>1/((0.4-0.8)/(0.01-0.4)+1)*100</f>
        <v>49.367088607594937</v>
      </c>
      <c r="L192" s="11" t="s">
        <v>39</v>
      </c>
      <c r="M192" t="s">
        <v>80</v>
      </c>
      <c r="N192" s="9" t="s">
        <v>99</v>
      </c>
    </row>
    <row r="193" spans="1:14" x14ac:dyDescent="0.25">
      <c r="A193" s="11" t="s">
        <v>68</v>
      </c>
      <c r="B193" s="9"/>
      <c r="C193" s="9"/>
      <c r="D193" s="11" t="s">
        <v>82</v>
      </c>
      <c r="E193" s="11" t="s">
        <v>63</v>
      </c>
      <c r="F193" s="11" t="s">
        <v>85</v>
      </c>
      <c r="G193" s="9"/>
      <c r="H193" s="9"/>
      <c r="I193" s="9"/>
      <c r="J193" t="s">
        <v>89</v>
      </c>
      <c r="K193" s="15">
        <f>1/((0.01-0.4)/(0.4-0.8)+1)*100</f>
        <v>50.632911392405056</v>
      </c>
      <c r="L193" s="11" t="s">
        <v>39</v>
      </c>
      <c r="M193" s="9" t="s">
        <v>86</v>
      </c>
      <c r="N193" s="9" t="s">
        <v>99</v>
      </c>
    </row>
    <row r="194" spans="1:14" x14ac:dyDescent="0.25">
      <c r="A194" s="5" t="s">
        <v>23</v>
      </c>
      <c r="B194" s="5"/>
      <c r="C194" s="5"/>
      <c r="D194" s="5"/>
      <c r="E194" s="5"/>
      <c r="F194" s="5"/>
      <c r="G194" s="5"/>
      <c r="H194" s="5"/>
      <c r="I194" s="5"/>
      <c r="J194" s="6"/>
      <c r="K194" s="6"/>
      <c r="L194" s="6"/>
      <c r="M194" s="6"/>
      <c r="N194" s="6"/>
    </row>
    <row r="195" spans="1:14" x14ac:dyDescent="0.25">
      <c r="A195" s="9" t="s">
        <v>57</v>
      </c>
      <c r="B195" s="9"/>
      <c r="C195" s="9"/>
      <c r="D195" s="9" t="s">
        <v>60</v>
      </c>
      <c r="E195" s="9" t="s">
        <v>58</v>
      </c>
      <c r="F195" s="9"/>
      <c r="G195" s="9"/>
      <c r="H195" s="9"/>
      <c r="I195" s="9"/>
      <c r="J195" t="s">
        <v>88</v>
      </c>
      <c r="K195" s="10">
        <v>73</v>
      </c>
      <c r="L195" s="9" t="s">
        <v>39</v>
      </c>
      <c r="M195" s="9"/>
      <c r="N195" s="9" t="s">
        <v>98</v>
      </c>
    </row>
    <row r="196" spans="1:14" x14ac:dyDescent="0.25">
      <c r="A196" s="9" t="s">
        <v>57</v>
      </c>
      <c r="B196" s="9"/>
      <c r="C196" s="9"/>
      <c r="D196" s="9" t="s">
        <v>60</v>
      </c>
      <c r="E196" s="9" t="s">
        <v>58</v>
      </c>
      <c r="F196" s="9" t="s">
        <v>129</v>
      </c>
      <c r="G196" s="9"/>
      <c r="H196" s="9"/>
      <c r="I196" s="9"/>
      <c r="J196" t="s">
        <v>89</v>
      </c>
      <c r="K196" s="17">
        <f>(1/0.76)*4</f>
        <v>5.2631578947368425</v>
      </c>
      <c r="L196" s="9" t="s">
        <v>39</v>
      </c>
      <c r="M196" s="10" t="s">
        <v>102</v>
      </c>
      <c r="N196" s="9" t="s">
        <v>98</v>
      </c>
    </row>
    <row r="197" spans="1:14" x14ac:dyDescent="0.25">
      <c r="A197" s="9" t="s">
        <v>57</v>
      </c>
      <c r="B197" s="9"/>
      <c r="C197" s="9"/>
      <c r="D197" s="9" t="s">
        <v>60</v>
      </c>
      <c r="E197" s="9" t="s">
        <v>58</v>
      </c>
      <c r="F197" s="9" t="s">
        <v>130</v>
      </c>
      <c r="G197" s="9"/>
      <c r="H197" s="9"/>
      <c r="I197" s="9"/>
      <c r="J197" t="s">
        <v>89</v>
      </c>
      <c r="K197" s="17">
        <f>(1/0.76)*6</f>
        <v>7.8947368421052637</v>
      </c>
      <c r="L197" s="9" t="s">
        <v>39</v>
      </c>
      <c r="M197" s="10" t="s">
        <v>102</v>
      </c>
      <c r="N197" s="9" t="s">
        <v>98</v>
      </c>
    </row>
    <row r="198" spans="1:14" x14ac:dyDescent="0.25">
      <c r="A198" s="9" t="s">
        <v>57</v>
      </c>
      <c r="B198" s="9"/>
      <c r="C198" s="9"/>
      <c r="D198" s="9" t="s">
        <v>60</v>
      </c>
      <c r="E198" s="9" t="s">
        <v>58</v>
      </c>
      <c r="F198" s="9" t="s">
        <v>131</v>
      </c>
      <c r="G198" s="9"/>
      <c r="H198" s="9"/>
      <c r="I198" s="9"/>
      <c r="J198" t="s">
        <v>89</v>
      </c>
      <c r="K198" s="17">
        <f>(1/0.76)*5</f>
        <v>6.5789473684210531</v>
      </c>
      <c r="L198" s="9" t="s">
        <v>39</v>
      </c>
      <c r="M198" s="10" t="s">
        <v>102</v>
      </c>
      <c r="N198" s="9" t="s">
        <v>98</v>
      </c>
    </row>
    <row r="199" spans="1:14" x14ac:dyDescent="0.25">
      <c r="A199" s="9" t="s">
        <v>57</v>
      </c>
      <c r="B199" s="9"/>
      <c r="C199" s="9"/>
      <c r="D199" s="9" t="s">
        <v>60</v>
      </c>
      <c r="E199" s="9" t="s">
        <v>58</v>
      </c>
      <c r="F199" s="9" t="s">
        <v>132</v>
      </c>
      <c r="G199" s="9"/>
      <c r="H199" s="9"/>
      <c r="I199" s="9"/>
      <c r="J199" t="s">
        <v>89</v>
      </c>
      <c r="K199" s="10">
        <v>18</v>
      </c>
      <c r="L199" s="9" t="s">
        <v>39</v>
      </c>
      <c r="M199" s="9"/>
      <c r="N199" s="9" t="s">
        <v>98</v>
      </c>
    </row>
    <row r="200" spans="1:14" x14ac:dyDescent="0.25">
      <c r="A200" t="s">
        <v>101</v>
      </c>
      <c r="B200" s="9"/>
      <c r="C200" s="9"/>
      <c r="D200" s="10" t="s">
        <v>82</v>
      </c>
      <c r="E200" s="10" t="s">
        <v>58</v>
      </c>
      <c r="F200" s="9"/>
      <c r="G200" s="9"/>
      <c r="H200" s="9"/>
      <c r="I200" s="9"/>
      <c r="J200" t="s">
        <v>88</v>
      </c>
      <c r="K200" s="10">
        <v>71</v>
      </c>
      <c r="L200" s="10" t="s">
        <v>39</v>
      </c>
      <c r="M200" s="9"/>
      <c r="N200" s="9" t="s">
        <v>98</v>
      </c>
    </row>
    <row r="201" spans="1:14" x14ac:dyDescent="0.25">
      <c r="A201" t="s">
        <v>101</v>
      </c>
      <c r="B201" s="9"/>
      <c r="C201" s="9"/>
      <c r="D201" s="10" t="s">
        <v>82</v>
      </c>
      <c r="E201" s="10" t="s">
        <v>58</v>
      </c>
      <c r="F201" s="10" t="s">
        <v>133</v>
      </c>
      <c r="G201" s="9"/>
      <c r="H201" s="9"/>
      <c r="I201" s="9"/>
      <c r="J201" t="s">
        <v>89</v>
      </c>
      <c r="K201" s="17">
        <f>(1/0.52)*7</f>
        <v>13.46153846153846</v>
      </c>
      <c r="L201" s="10" t="s">
        <v>39</v>
      </c>
      <c r="M201" s="10" t="s">
        <v>103</v>
      </c>
      <c r="N201" s="9" t="s">
        <v>98</v>
      </c>
    </row>
    <row r="202" spans="1:14" x14ac:dyDescent="0.25">
      <c r="A202" t="s">
        <v>101</v>
      </c>
      <c r="B202" s="9"/>
      <c r="C202" s="9"/>
      <c r="D202" s="10" t="s">
        <v>82</v>
      </c>
      <c r="E202" s="10" t="s">
        <v>58</v>
      </c>
      <c r="F202" s="9" t="s">
        <v>134</v>
      </c>
      <c r="G202" s="9"/>
      <c r="H202" s="9"/>
      <c r="I202" s="9"/>
      <c r="J202" t="s">
        <v>89</v>
      </c>
      <c r="K202" s="17">
        <f>(1/0.52)*3</f>
        <v>5.7692307692307683</v>
      </c>
      <c r="L202" s="10" t="s">
        <v>39</v>
      </c>
      <c r="M202" s="10" t="s">
        <v>103</v>
      </c>
      <c r="N202" s="9" t="s">
        <v>98</v>
      </c>
    </row>
    <row r="203" spans="1:14" x14ac:dyDescent="0.25">
      <c r="A203" t="s">
        <v>101</v>
      </c>
      <c r="B203" s="9"/>
      <c r="C203" s="9"/>
      <c r="D203" s="10" t="s">
        <v>82</v>
      </c>
      <c r="E203" s="10" t="s">
        <v>58</v>
      </c>
      <c r="F203" s="10" t="s">
        <v>135</v>
      </c>
      <c r="G203" s="9"/>
      <c r="H203" s="9"/>
      <c r="I203" s="9"/>
      <c r="J203" t="s">
        <v>89</v>
      </c>
      <c r="K203" s="17">
        <f>(1/0.52)*6</f>
        <v>11.538461538461537</v>
      </c>
      <c r="L203" s="10" t="s">
        <v>39</v>
      </c>
      <c r="M203" s="10" t="s">
        <v>103</v>
      </c>
      <c r="N203" s="9" t="s">
        <v>98</v>
      </c>
    </row>
    <row r="204" spans="1:14" x14ac:dyDescent="0.25">
      <c r="A204" t="s">
        <v>101</v>
      </c>
      <c r="B204" s="9"/>
      <c r="C204" s="9"/>
      <c r="D204" s="10" t="s">
        <v>82</v>
      </c>
      <c r="E204" s="10" t="s">
        <v>58</v>
      </c>
      <c r="F204" s="9" t="s">
        <v>136</v>
      </c>
      <c r="G204" s="9"/>
      <c r="H204" s="9"/>
      <c r="I204" s="9"/>
      <c r="J204" t="s">
        <v>89</v>
      </c>
      <c r="K204" s="10">
        <v>12</v>
      </c>
      <c r="L204" s="10" t="s">
        <v>39</v>
      </c>
      <c r="M204" s="9"/>
      <c r="N204" s="9" t="s">
        <v>98</v>
      </c>
    </row>
    <row r="205" spans="1:14" x14ac:dyDescent="0.25">
      <c r="A205" t="s">
        <v>294</v>
      </c>
      <c r="B205" s="9"/>
      <c r="C205" s="9"/>
      <c r="D205" s="10" t="s">
        <v>295</v>
      </c>
      <c r="E205" s="10" t="s">
        <v>58</v>
      </c>
      <c r="F205" s="9"/>
      <c r="G205" s="9"/>
      <c r="H205" s="9"/>
      <c r="I205" s="9"/>
      <c r="J205" t="s">
        <v>88</v>
      </c>
      <c r="K205" s="10">
        <v>77</v>
      </c>
      <c r="L205" s="10" t="s">
        <v>39</v>
      </c>
      <c r="M205" s="9"/>
      <c r="N205" s="9"/>
    </row>
    <row r="206" spans="1:14" x14ac:dyDescent="0.25">
      <c r="A206" s="7" t="s">
        <v>294</v>
      </c>
      <c r="B206" s="11"/>
      <c r="C206" s="11"/>
      <c r="D206" s="12" t="s">
        <v>295</v>
      </c>
      <c r="E206" s="12" t="s">
        <v>58</v>
      </c>
      <c r="F206" s="12" t="s">
        <v>296</v>
      </c>
      <c r="G206" s="9"/>
      <c r="H206" s="9"/>
      <c r="I206" s="9"/>
      <c r="K206" s="10"/>
      <c r="L206" s="10"/>
      <c r="M206" s="9"/>
      <c r="N206" s="9"/>
    </row>
    <row r="207" spans="1:14" x14ac:dyDescent="0.25">
      <c r="A207" s="5" t="s">
        <v>20</v>
      </c>
      <c r="B207" s="5"/>
      <c r="C207" s="5"/>
      <c r="D207" s="5"/>
      <c r="E207" s="5"/>
      <c r="F207" s="5"/>
      <c r="G207" s="5"/>
      <c r="H207" s="5"/>
      <c r="I207" s="5"/>
      <c r="J207" s="6"/>
      <c r="K207" s="6"/>
      <c r="L207" s="6"/>
      <c r="M207" s="6"/>
      <c r="N207" s="6"/>
    </row>
    <row r="208" spans="1:14" x14ac:dyDescent="0.25">
      <c r="A208" t="s">
        <v>219</v>
      </c>
      <c r="C208" t="s">
        <v>228</v>
      </c>
      <c r="J208" t="s">
        <v>88</v>
      </c>
      <c r="K208">
        <v>100</v>
      </c>
      <c r="L208" t="s">
        <v>39</v>
      </c>
    </row>
    <row r="209" spans="1:14" x14ac:dyDescent="0.25">
      <c r="A209" s="27" t="s">
        <v>220</v>
      </c>
      <c r="C209" t="s">
        <v>229</v>
      </c>
      <c r="J209" t="s">
        <v>88</v>
      </c>
      <c r="K209">
        <v>100</v>
      </c>
      <c r="L209" t="s">
        <v>39</v>
      </c>
    </row>
    <row r="210" spans="1:14" x14ac:dyDescent="0.25">
      <c r="A210" s="27" t="s">
        <v>221</v>
      </c>
      <c r="C210" t="s">
        <v>230</v>
      </c>
      <c r="J210" t="s">
        <v>88</v>
      </c>
      <c r="K210">
        <v>100</v>
      </c>
      <c r="L210" t="s">
        <v>39</v>
      </c>
    </row>
    <row r="211" spans="1:14" x14ac:dyDescent="0.25">
      <c r="A211" s="7" t="s">
        <v>222</v>
      </c>
    </row>
    <row r="212" spans="1:14" x14ac:dyDescent="0.25">
      <c r="A212" s="7" t="s">
        <v>223</v>
      </c>
      <c r="B212" s="9"/>
      <c r="C212" s="9"/>
      <c r="D212" s="10"/>
      <c r="E212" s="10"/>
      <c r="F212" s="9"/>
      <c r="G212" s="9"/>
      <c r="H212" s="9"/>
      <c r="I212" s="9"/>
      <c r="M212" s="9"/>
      <c r="N212" s="9"/>
    </row>
    <row r="213" spans="1:14" x14ac:dyDescent="0.25">
      <c r="A213" s="5" t="s">
        <v>22</v>
      </c>
      <c r="B213" s="5"/>
      <c r="C213" s="5"/>
      <c r="D213" s="5"/>
      <c r="E213" s="5"/>
      <c r="F213" s="5"/>
      <c r="G213" s="5"/>
      <c r="H213" s="5"/>
      <c r="I213" s="5"/>
      <c r="J213" s="6"/>
      <c r="K213" s="6"/>
      <c r="L213" s="6"/>
      <c r="M213" s="6"/>
      <c r="N213" s="6"/>
    </row>
    <row r="214" spans="1:14" x14ac:dyDescent="0.25">
      <c r="A214" t="s">
        <v>138</v>
      </c>
      <c r="C214" t="s">
        <v>140</v>
      </c>
      <c r="H214" t="s">
        <v>47</v>
      </c>
      <c r="J214" t="s">
        <v>88</v>
      </c>
      <c r="K214" s="22">
        <v>38</v>
      </c>
      <c r="L214" t="s">
        <v>39</v>
      </c>
      <c r="M214" s="12"/>
      <c r="N214" s="9" t="s">
        <v>98</v>
      </c>
    </row>
    <row r="215" spans="1:14" x14ac:dyDescent="0.25">
      <c r="A215" t="s">
        <v>138</v>
      </c>
      <c r="C215" t="s">
        <v>140</v>
      </c>
      <c r="F215" t="s">
        <v>141</v>
      </c>
      <c r="H215" t="s">
        <v>47</v>
      </c>
      <c r="J215" t="s">
        <v>89</v>
      </c>
      <c r="K215" s="22">
        <v>60</v>
      </c>
      <c r="L215" t="s">
        <v>39</v>
      </c>
      <c r="N215" s="9" t="s">
        <v>98</v>
      </c>
    </row>
    <row r="216" spans="1:14" x14ac:dyDescent="0.25">
      <c r="A216" t="s">
        <v>138</v>
      </c>
      <c r="C216" t="s">
        <v>140</v>
      </c>
      <c r="H216" t="s">
        <v>45</v>
      </c>
      <c r="J216" t="s">
        <v>88</v>
      </c>
      <c r="K216" s="22">
        <v>32</v>
      </c>
      <c r="L216" t="s">
        <v>39</v>
      </c>
      <c r="M216" t="s">
        <v>143</v>
      </c>
      <c r="N216" s="9"/>
    </row>
    <row r="217" spans="1:14" x14ac:dyDescent="0.25">
      <c r="A217" t="s">
        <v>138</v>
      </c>
      <c r="C217" t="s">
        <v>140</v>
      </c>
      <c r="F217" t="s">
        <v>142</v>
      </c>
      <c r="H217" t="s">
        <v>45</v>
      </c>
      <c r="J217" t="s">
        <v>89</v>
      </c>
      <c r="K217" s="22">
        <v>68</v>
      </c>
      <c r="L217" t="s">
        <v>39</v>
      </c>
      <c r="N217" s="9"/>
    </row>
    <row r="218" spans="1:14" x14ac:dyDescent="0.25">
      <c r="A218" s="5" t="s">
        <v>24</v>
      </c>
      <c r="B218" s="5"/>
      <c r="C218" s="5"/>
      <c r="D218" s="5"/>
      <c r="E218" s="5"/>
      <c r="F218" s="5"/>
      <c r="G218" s="5"/>
      <c r="H218" s="5"/>
      <c r="I218" s="5"/>
      <c r="J218" s="6"/>
      <c r="K218" s="6"/>
      <c r="L218" s="6"/>
      <c r="M218" s="6"/>
      <c r="N218" s="6"/>
    </row>
    <row r="219" spans="1:14" x14ac:dyDescent="0.25">
      <c r="A219" t="s">
        <v>234</v>
      </c>
      <c r="C219" t="s">
        <v>241</v>
      </c>
      <c r="J219" t="s">
        <v>88</v>
      </c>
      <c r="K219" s="22">
        <v>13</v>
      </c>
      <c r="L219" t="s">
        <v>39</v>
      </c>
    </row>
    <row r="220" spans="1:14" x14ac:dyDescent="0.25">
      <c r="A220" t="s">
        <v>234</v>
      </c>
      <c r="C220" t="s">
        <v>241</v>
      </c>
      <c r="F220" t="s">
        <v>243</v>
      </c>
      <c r="J220" t="s">
        <v>89</v>
      </c>
      <c r="K220" s="22">
        <v>7</v>
      </c>
      <c r="L220" t="s">
        <v>39</v>
      </c>
    </row>
    <row r="221" spans="1:14" x14ac:dyDescent="0.25">
      <c r="A221" t="s">
        <v>234</v>
      </c>
      <c r="C221" t="s">
        <v>241</v>
      </c>
      <c r="F221" t="s">
        <v>244</v>
      </c>
      <c r="J221" t="s">
        <v>89</v>
      </c>
      <c r="K221" s="22">
        <v>4</v>
      </c>
      <c r="L221" t="s">
        <v>39</v>
      </c>
    </row>
    <row r="222" spans="1:14" x14ac:dyDescent="0.25">
      <c r="A222" t="s">
        <v>236</v>
      </c>
      <c r="C222" t="s">
        <v>241</v>
      </c>
      <c r="J222" t="s">
        <v>88</v>
      </c>
      <c r="K222" s="24">
        <v>13</v>
      </c>
      <c r="L222" t="s">
        <v>39</v>
      </c>
      <c r="M222" t="s">
        <v>242</v>
      </c>
    </row>
    <row r="223" spans="1:14" x14ac:dyDescent="0.25">
      <c r="A223" t="s">
        <v>236</v>
      </c>
      <c r="C223" t="s">
        <v>241</v>
      </c>
      <c r="F223" t="s">
        <v>243</v>
      </c>
      <c r="J223" t="s">
        <v>89</v>
      </c>
      <c r="K223" s="22">
        <v>7</v>
      </c>
      <c r="L223" t="s">
        <v>39</v>
      </c>
    </row>
    <row r="224" spans="1:14" x14ac:dyDescent="0.25">
      <c r="A224" t="s">
        <v>236</v>
      </c>
      <c r="C224" t="s">
        <v>241</v>
      </c>
      <c r="F224" t="s">
        <v>244</v>
      </c>
      <c r="J224" t="s">
        <v>89</v>
      </c>
      <c r="K224" s="22">
        <v>4</v>
      </c>
      <c r="L224" t="s">
        <v>39</v>
      </c>
    </row>
    <row r="225" spans="1:14" x14ac:dyDescent="0.25">
      <c r="A225" s="7" t="s">
        <v>235</v>
      </c>
    </row>
    <row r="226" spans="1:14" x14ac:dyDescent="0.25">
      <c r="A226" s="5" t="s">
        <v>29</v>
      </c>
      <c r="B226" s="5"/>
      <c r="C226" s="5"/>
      <c r="D226" s="5"/>
      <c r="E226" s="5"/>
      <c r="F226" s="5"/>
      <c r="G226" s="5"/>
      <c r="H226" s="5"/>
      <c r="I226" s="5"/>
      <c r="J226" s="6"/>
      <c r="K226" s="6"/>
      <c r="L226" s="6"/>
      <c r="M226" s="6"/>
      <c r="N226" s="6"/>
    </row>
    <row r="227" spans="1:14" x14ac:dyDescent="0.25">
      <c r="A227" t="s">
        <v>245</v>
      </c>
      <c r="B227" s="11"/>
      <c r="C227" s="9" t="s">
        <v>255</v>
      </c>
      <c r="D227" s="11"/>
      <c r="E227" s="11"/>
      <c r="F227" s="11"/>
      <c r="G227" s="11"/>
      <c r="H227" s="11"/>
      <c r="I227" s="11"/>
      <c r="J227" t="s">
        <v>88</v>
      </c>
      <c r="K227" s="21">
        <v>70</v>
      </c>
      <c r="L227" s="10" t="s">
        <v>39</v>
      </c>
      <c r="M227" s="9"/>
      <c r="N227" s="9" t="s">
        <v>98</v>
      </c>
    </row>
    <row r="228" spans="1:14" x14ac:dyDescent="0.25">
      <c r="A228" t="s">
        <v>248</v>
      </c>
      <c r="B228" s="11"/>
      <c r="C228" s="9" t="s">
        <v>51</v>
      </c>
      <c r="D228" s="11"/>
      <c r="E228" s="11"/>
      <c r="F228" s="11"/>
      <c r="G228" s="11"/>
      <c r="H228" s="11"/>
      <c r="I228" s="11"/>
      <c r="J228" t="s">
        <v>88</v>
      </c>
      <c r="K228" s="21">
        <f>655*0.7</f>
        <v>458.49999999999994</v>
      </c>
      <c r="L228" s="10" t="s">
        <v>39</v>
      </c>
      <c r="M228" s="9"/>
      <c r="N228" s="9" t="s">
        <v>98</v>
      </c>
    </row>
    <row r="229" spans="1:14" x14ac:dyDescent="0.25">
      <c r="A229" t="s">
        <v>248</v>
      </c>
      <c r="B229" s="11"/>
      <c r="C229" s="9" t="s">
        <v>51</v>
      </c>
      <c r="D229" s="11"/>
      <c r="E229" s="11"/>
      <c r="F229" s="20" t="s">
        <v>137</v>
      </c>
      <c r="G229" s="11"/>
      <c r="H229" s="11"/>
      <c r="I229" s="11"/>
      <c r="J229" t="s">
        <v>89</v>
      </c>
      <c r="K229" s="21">
        <f>1*(K228/100)*0.2*100</f>
        <v>91.699999999999989</v>
      </c>
      <c r="L229" s="10" t="s">
        <v>39</v>
      </c>
      <c r="M229" s="9" t="s">
        <v>121</v>
      </c>
      <c r="N229" s="9" t="s">
        <v>120</v>
      </c>
    </row>
    <row r="230" spans="1:14" x14ac:dyDescent="0.25">
      <c r="B230" s="11"/>
      <c r="C230" s="9"/>
      <c r="D230" s="11"/>
      <c r="E230" s="11"/>
      <c r="F230" s="11" t="s">
        <v>188</v>
      </c>
      <c r="G230" s="11"/>
      <c r="H230" s="11"/>
      <c r="I230" s="11"/>
      <c r="K230" s="21"/>
      <c r="L230" s="10"/>
      <c r="M230" s="11" t="s">
        <v>189</v>
      </c>
      <c r="N230" s="9"/>
    </row>
    <row r="231" spans="1:14" x14ac:dyDescent="0.25">
      <c r="A231" t="s">
        <v>246</v>
      </c>
      <c r="B231" s="11"/>
      <c r="C231" s="10" t="s">
        <v>256</v>
      </c>
      <c r="D231" s="11"/>
      <c r="E231" s="11"/>
      <c r="F231" s="20"/>
      <c r="G231" s="11"/>
      <c r="H231" s="11"/>
      <c r="I231" s="11"/>
      <c r="J231" t="s">
        <v>88</v>
      </c>
      <c r="K231" s="21">
        <v>65</v>
      </c>
      <c r="L231" s="10" t="s">
        <v>39</v>
      </c>
      <c r="M231" s="9"/>
      <c r="N231" s="9" t="s">
        <v>98</v>
      </c>
    </row>
    <row r="232" spans="1:14" x14ac:dyDescent="0.25">
      <c r="A232" t="s">
        <v>246</v>
      </c>
      <c r="B232" s="11"/>
      <c r="C232" s="10" t="s">
        <v>256</v>
      </c>
      <c r="D232" s="11"/>
      <c r="E232" s="11"/>
      <c r="F232" s="20" t="s">
        <v>257</v>
      </c>
      <c r="G232" s="11"/>
      <c r="H232" s="11"/>
      <c r="I232" s="11"/>
      <c r="J232" t="s">
        <v>89</v>
      </c>
      <c r="K232" s="21">
        <v>35</v>
      </c>
      <c r="L232" s="10" t="s">
        <v>39</v>
      </c>
      <c r="M232" s="9"/>
      <c r="N232" s="9" t="s">
        <v>98</v>
      </c>
    </row>
    <row r="233" spans="1:14" x14ac:dyDescent="0.25">
      <c r="A233" t="s">
        <v>249</v>
      </c>
      <c r="B233" s="11"/>
      <c r="C233" s="10" t="s">
        <v>38</v>
      </c>
      <c r="D233" s="11"/>
      <c r="E233" s="11"/>
      <c r="F233" s="20"/>
      <c r="G233" s="11"/>
      <c r="H233" s="11"/>
      <c r="I233" s="11"/>
      <c r="J233" t="s">
        <v>88</v>
      </c>
      <c r="K233" s="21">
        <v>30</v>
      </c>
      <c r="L233" s="10" t="s">
        <v>39</v>
      </c>
      <c r="M233" s="9"/>
      <c r="N233" s="9" t="s">
        <v>98</v>
      </c>
    </row>
    <row r="234" spans="1:14" x14ac:dyDescent="0.25">
      <c r="A234" t="s">
        <v>249</v>
      </c>
      <c r="B234" s="11"/>
      <c r="C234" s="10" t="s">
        <v>38</v>
      </c>
      <c r="D234" s="11"/>
      <c r="E234" s="11"/>
      <c r="F234" s="11" t="s">
        <v>258</v>
      </c>
      <c r="G234" s="11"/>
      <c r="H234" s="11"/>
      <c r="I234" s="11"/>
      <c r="J234" t="s">
        <v>89</v>
      </c>
      <c r="K234" s="21">
        <v>11</v>
      </c>
      <c r="L234" s="10" t="s">
        <v>39</v>
      </c>
      <c r="M234" s="9"/>
      <c r="N234" s="9" t="s">
        <v>98</v>
      </c>
    </row>
    <row r="235" spans="1:14" x14ac:dyDescent="0.25">
      <c r="A235" s="5" t="s">
        <v>216</v>
      </c>
      <c r="B235" s="5"/>
      <c r="C235" s="5"/>
      <c r="D235" s="5"/>
      <c r="E235" s="5"/>
      <c r="F235" s="5"/>
      <c r="G235" s="5"/>
      <c r="H235" s="5"/>
      <c r="I235" s="5"/>
      <c r="J235" s="6"/>
      <c r="K235" s="6"/>
      <c r="L235" s="6"/>
      <c r="M235" s="6"/>
      <c r="N235" s="6"/>
    </row>
    <row r="236" spans="1:14" x14ac:dyDescent="0.25">
      <c r="A236" t="s">
        <v>209</v>
      </c>
      <c r="B236" s="11"/>
      <c r="C236" t="s">
        <v>140</v>
      </c>
      <c r="J236" t="s">
        <v>88</v>
      </c>
      <c r="K236" s="22">
        <v>38</v>
      </c>
      <c r="L236" t="s">
        <v>39</v>
      </c>
      <c r="M236" s="12" t="s">
        <v>218</v>
      </c>
      <c r="N236" s="9" t="s">
        <v>98</v>
      </c>
    </row>
    <row r="237" spans="1:14" x14ac:dyDescent="0.25">
      <c r="A237" t="s">
        <v>209</v>
      </c>
      <c r="B237" s="11"/>
      <c r="C237" t="s">
        <v>140</v>
      </c>
      <c r="F237" t="s">
        <v>141</v>
      </c>
      <c r="J237" t="s">
        <v>89</v>
      </c>
      <c r="K237" s="22">
        <v>60</v>
      </c>
      <c r="L237" t="s">
        <v>39</v>
      </c>
      <c r="N237" s="9" t="s">
        <v>98</v>
      </c>
    </row>
    <row r="238" spans="1:14" x14ac:dyDescent="0.25">
      <c r="A238" s="5" t="s">
        <v>302</v>
      </c>
      <c r="B238" s="5"/>
      <c r="C238" s="5"/>
      <c r="D238" s="5"/>
      <c r="E238" s="5"/>
      <c r="F238" s="5"/>
      <c r="G238" s="5"/>
      <c r="H238" s="5"/>
      <c r="I238" s="5"/>
      <c r="J238" s="6"/>
      <c r="K238" s="6"/>
      <c r="L238" s="6"/>
      <c r="M238" s="6"/>
      <c r="N238" s="6"/>
    </row>
    <row r="239" spans="1:14" x14ac:dyDescent="0.25">
      <c r="A239" t="s">
        <v>299</v>
      </c>
      <c r="B239" s="11"/>
      <c r="C239" s="11"/>
      <c r="D239" s="20" t="s">
        <v>297</v>
      </c>
      <c r="E239" s="20" t="s">
        <v>298</v>
      </c>
      <c r="F239" s="11"/>
      <c r="G239" s="11"/>
      <c r="H239" s="11"/>
      <c r="I239" s="11"/>
      <c r="J239" t="s">
        <v>88</v>
      </c>
      <c r="K239" s="20">
        <v>100</v>
      </c>
      <c r="L239" s="9" t="s">
        <v>39</v>
      </c>
      <c r="M239" s="9"/>
      <c r="N239" s="9"/>
    </row>
    <row r="240" spans="1:14" x14ac:dyDescent="0.25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9"/>
      <c r="M240" s="9"/>
      <c r="N240" s="9"/>
    </row>
    <row r="241" spans="1:14" x14ac:dyDescent="0.25">
      <c r="A241" s="3" t="s">
        <v>40</v>
      </c>
      <c r="B241" s="3"/>
      <c r="C241" s="3"/>
      <c r="D241" s="3"/>
      <c r="E241" s="3"/>
      <c r="F241" s="3"/>
      <c r="G241" s="3"/>
      <c r="H241" s="3"/>
      <c r="I241" s="3"/>
      <c r="J241" s="4"/>
      <c r="K241" s="4"/>
      <c r="L241" s="4"/>
      <c r="M241" s="4"/>
      <c r="N241" s="4"/>
    </row>
    <row r="242" spans="1:14" x14ac:dyDescent="0.25">
      <c r="J242" s="8" t="s">
        <v>41</v>
      </c>
      <c r="K242" s="8">
        <v>100</v>
      </c>
      <c r="L242" s="8" t="s">
        <v>39</v>
      </c>
      <c r="M242" s="8" t="s">
        <v>46</v>
      </c>
    </row>
    <row r="243" spans="1:14" x14ac:dyDescent="0.25">
      <c r="A243" s="5" t="s">
        <v>10</v>
      </c>
      <c r="B243" s="5"/>
      <c r="C243" s="5"/>
      <c r="D243" s="5"/>
      <c r="E243" s="5"/>
      <c r="F243" s="5"/>
      <c r="G243" s="5"/>
      <c r="H243" s="5"/>
      <c r="I243" s="5"/>
      <c r="J243" s="6"/>
      <c r="K243" s="6"/>
      <c r="L243" s="6"/>
      <c r="M243" s="6"/>
      <c r="N243" s="6"/>
    </row>
    <row r="244" spans="1:14" x14ac:dyDescent="0.25">
      <c r="A244" t="s">
        <v>192</v>
      </c>
      <c r="J244" t="s">
        <v>41</v>
      </c>
      <c r="K244">
        <v>22</v>
      </c>
      <c r="L244" t="s">
        <v>39</v>
      </c>
    </row>
    <row r="245" spans="1:14" x14ac:dyDescent="0.25">
      <c r="A245" t="s">
        <v>197</v>
      </c>
      <c r="J245" t="s">
        <v>41</v>
      </c>
      <c r="K245" s="28">
        <f>K244</f>
        <v>22</v>
      </c>
      <c r="L245" s="28" t="s">
        <v>39</v>
      </c>
      <c r="M245" s="28" t="s">
        <v>233</v>
      </c>
    </row>
    <row r="246" spans="1:14" x14ac:dyDescent="0.25">
      <c r="A246" t="s">
        <v>44</v>
      </c>
      <c r="J246" t="s">
        <v>41</v>
      </c>
      <c r="K246">
        <v>100</v>
      </c>
      <c r="L246" t="s">
        <v>39</v>
      </c>
    </row>
    <row r="247" spans="1:14" x14ac:dyDescent="0.25">
      <c r="A247" t="s">
        <v>193</v>
      </c>
      <c r="J247" t="s">
        <v>41</v>
      </c>
      <c r="K247">
        <v>4</v>
      </c>
      <c r="L247" t="s">
        <v>39</v>
      </c>
    </row>
    <row r="248" spans="1:14" x14ac:dyDescent="0.25">
      <c r="A248" t="s">
        <v>198</v>
      </c>
      <c r="J248" t="s">
        <v>41</v>
      </c>
      <c r="K248" s="28">
        <f>K247</f>
        <v>4</v>
      </c>
      <c r="L248" s="28" t="s">
        <v>39</v>
      </c>
      <c r="M248" s="28" t="s">
        <v>233</v>
      </c>
    </row>
    <row r="249" spans="1:14" x14ac:dyDescent="0.25">
      <c r="A249" t="s">
        <v>94</v>
      </c>
      <c r="J249" t="s">
        <v>41</v>
      </c>
      <c r="K249">
        <v>100</v>
      </c>
      <c r="L249" t="s">
        <v>39</v>
      </c>
    </row>
    <row r="250" spans="1:14" x14ac:dyDescent="0.25">
      <c r="A250" t="s">
        <v>194</v>
      </c>
      <c r="J250" t="s">
        <v>41</v>
      </c>
      <c r="K250">
        <v>8</v>
      </c>
      <c r="L250" t="s">
        <v>39</v>
      </c>
    </row>
    <row r="251" spans="1:14" x14ac:dyDescent="0.25">
      <c r="A251" t="s">
        <v>199</v>
      </c>
      <c r="J251" t="s">
        <v>41</v>
      </c>
      <c r="K251" s="28">
        <f>K250</f>
        <v>8</v>
      </c>
      <c r="L251" s="28" t="s">
        <v>39</v>
      </c>
      <c r="M251" s="28" t="s">
        <v>233</v>
      </c>
    </row>
    <row r="252" spans="1:14" x14ac:dyDescent="0.25">
      <c r="A252" t="s">
        <v>195</v>
      </c>
      <c r="J252" t="s">
        <v>41</v>
      </c>
      <c r="K252">
        <v>1</v>
      </c>
      <c r="L252" t="s">
        <v>39</v>
      </c>
    </row>
    <row r="253" spans="1:14" x14ac:dyDescent="0.25">
      <c r="A253" t="s">
        <v>200</v>
      </c>
      <c r="J253" t="s">
        <v>41</v>
      </c>
      <c r="K253" s="28">
        <f>K252</f>
        <v>1</v>
      </c>
      <c r="L253" s="28" t="s">
        <v>39</v>
      </c>
      <c r="M253" s="28" t="s">
        <v>233</v>
      </c>
    </row>
    <row r="254" spans="1:14" x14ac:dyDescent="0.25">
      <c r="A254" t="s">
        <v>196</v>
      </c>
      <c r="J254" t="s">
        <v>41</v>
      </c>
      <c r="K254" s="7">
        <v>22</v>
      </c>
      <c r="L254" s="18" t="s">
        <v>39</v>
      </c>
      <c r="M254" t="s">
        <v>161</v>
      </c>
    </row>
    <row r="255" spans="1:14" x14ac:dyDescent="0.25">
      <c r="A255" t="s">
        <v>202</v>
      </c>
      <c r="J255" t="s">
        <v>41</v>
      </c>
      <c r="K255" s="28">
        <f>K254</f>
        <v>22</v>
      </c>
      <c r="L255" s="28" t="s">
        <v>39</v>
      </c>
      <c r="M255" s="28" t="s">
        <v>233</v>
      </c>
    </row>
    <row r="256" spans="1:14" x14ac:dyDescent="0.25">
      <c r="A256" s="5" t="s">
        <v>11</v>
      </c>
      <c r="B256" s="5"/>
      <c r="C256" s="5"/>
      <c r="D256" s="5"/>
      <c r="E256" s="5"/>
      <c r="F256" s="5"/>
      <c r="G256" s="5"/>
      <c r="H256" s="5"/>
      <c r="I256" s="5"/>
      <c r="J256" s="6"/>
      <c r="K256" s="6"/>
      <c r="L256" s="6"/>
      <c r="M256" s="6"/>
      <c r="N256" s="6"/>
    </row>
    <row r="257" spans="1:14" x14ac:dyDescent="0.25">
      <c r="A257" s="18" t="s">
        <v>105</v>
      </c>
      <c r="J257" t="s">
        <v>41</v>
      </c>
      <c r="K257" s="18">
        <v>16</v>
      </c>
      <c r="L257" s="18" t="s">
        <v>39</v>
      </c>
    </row>
    <row r="258" spans="1:14" x14ac:dyDescent="0.25">
      <c r="A258" s="18" t="s">
        <v>106</v>
      </c>
      <c r="J258" t="s">
        <v>41</v>
      </c>
      <c r="K258" s="18">
        <v>16</v>
      </c>
      <c r="L258" s="18" t="s">
        <v>39</v>
      </c>
    </row>
    <row r="259" spans="1:14" x14ac:dyDescent="0.25">
      <c r="A259" s="18" t="s">
        <v>226</v>
      </c>
      <c r="J259" t="s">
        <v>41</v>
      </c>
      <c r="K259" s="18">
        <v>16</v>
      </c>
      <c r="L259" s="18" t="s">
        <v>39</v>
      </c>
    </row>
    <row r="260" spans="1:14" x14ac:dyDescent="0.25">
      <c r="A260" s="18" t="s">
        <v>107</v>
      </c>
      <c r="J260" t="s">
        <v>41</v>
      </c>
      <c r="K260" s="18">
        <v>16</v>
      </c>
      <c r="L260" s="18" t="s">
        <v>39</v>
      </c>
    </row>
    <row r="261" spans="1:14" x14ac:dyDescent="0.25">
      <c r="A261" s="5" t="s">
        <v>13</v>
      </c>
      <c r="B261" s="5"/>
      <c r="C261" s="5"/>
      <c r="D261" s="5"/>
      <c r="E261" s="5"/>
      <c r="F261" s="5"/>
      <c r="G261" s="5"/>
      <c r="H261" s="5"/>
      <c r="I261" s="5"/>
      <c r="J261" s="6"/>
      <c r="K261" s="6"/>
      <c r="L261" s="6"/>
      <c r="M261" s="6"/>
      <c r="N261" s="6"/>
    </row>
    <row r="262" spans="1:14" x14ac:dyDescent="0.25">
      <c r="A262" s="18" t="s">
        <v>259</v>
      </c>
      <c r="J262" t="s">
        <v>41</v>
      </c>
      <c r="K262" s="18">
        <v>85</v>
      </c>
      <c r="L262" s="18" t="s">
        <v>39</v>
      </c>
    </row>
    <row r="263" spans="1:14" x14ac:dyDescent="0.25">
      <c r="A263" s="18" t="s">
        <v>260</v>
      </c>
      <c r="J263" t="s">
        <v>41</v>
      </c>
      <c r="K263" s="18">
        <v>85</v>
      </c>
      <c r="L263" s="18" t="s">
        <v>39</v>
      </c>
    </row>
    <row r="264" spans="1:14" x14ac:dyDescent="0.25">
      <c r="A264" s="18" t="s">
        <v>261</v>
      </c>
      <c r="J264" t="s">
        <v>41</v>
      </c>
      <c r="K264" s="18">
        <v>85</v>
      </c>
      <c r="L264" s="18" t="s">
        <v>39</v>
      </c>
    </row>
    <row r="265" spans="1:14" x14ac:dyDescent="0.25">
      <c r="A265" s="18" t="s">
        <v>263</v>
      </c>
      <c r="J265" t="s">
        <v>41</v>
      </c>
      <c r="K265" s="18">
        <v>95</v>
      </c>
      <c r="L265" s="18" t="s">
        <v>39</v>
      </c>
    </row>
    <row r="266" spans="1:14" x14ac:dyDescent="0.25">
      <c r="A266" s="18" t="s">
        <v>281</v>
      </c>
      <c r="J266" t="s">
        <v>41</v>
      </c>
      <c r="K266" s="7">
        <v>97</v>
      </c>
      <c r="L266" s="18" t="s">
        <v>39</v>
      </c>
      <c r="M266" s="7" t="s">
        <v>293</v>
      </c>
    </row>
    <row r="267" spans="1:14" x14ac:dyDescent="0.25">
      <c r="A267" s="18" t="s">
        <v>282</v>
      </c>
      <c r="J267" t="s">
        <v>41</v>
      </c>
      <c r="K267" s="18">
        <v>29</v>
      </c>
      <c r="L267" s="18" t="s">
        <v>39</v>
      </c>
    </row>
    <row r="268" spans="1:14" x14ac:dyDescent="0.25">
      <c r="A268" s="18" t="s">
        <v>288</v>
      </c>
      <c r="C268" s="10"/>
      <c r="J268" t="s">
        <v>41</v>
      </c>
      <c r="K268" s="7">
        <v>50</v>
      </c>
      <c r="L268" s="18" t="s">
        <v>39</v>
      </c>
      <c r="M268" s="7" t="s">
        <v>292</v>
      </c>
    </row>
    <row r="269" spans="1:14" x14ac:dyDescent="0.25">
      <c r="A269" s="18" t="s">
        <v>283</v>
      </c>
      <c r="J269" t="s">
        <v>41</v>
      </c>
      <c r="K269" s="7">
        <v>90</v>
      </c>
      <c r="L269" s="18" t="s">
        <v>39</v>
      </c>
      <c r="M269" s="7" t="s">
        <v>292</v>
      </c>
    </row>
    <row r="270" spans="1:14" x14ac:dyDescent="0.25">
      <c r="A270" s="5" t="s">
        <v>12</v>
      </c>
      <c r="B270" s="5"/>
      <c r="C270" s="5"/>
      <c r="D270" s="5"/>
      <c r="E270" s="5"/>
      <c r="F270" s="5"/>
      <c r="G270" s="5"/>
      <c r="H270" s="5"/>
      <c r="I270" s="5"/>
      <c r="J270" s="6"/>
      <c r="K270" s="6"/>
      <c r="L270" s="6"/>
      <c r="M270" s="6"/>
      <c r="N270" s="6"/>
    </row>
    <row r="271" spans="1:14" x14ac:dyDescent="0.25">
      <c r="A271" s="18" t="s">
        <v>147</v>
      </c>
      <c r="J271" t="s">
        <v>41</v>
      </c>
      <c r="K271">
        <v>7</v>
      </c>
      <c r="L271" s="18" t="s">
        <v>39</v>
      </c>
    </row>
    <row r="272" spans="1:14" x14ac:dyDescent="0.25">
      <c r="A272" s="18" t="s">
        <v>153</v>
      </c>
      <c r="J272" t="s">
        <v>41</v>
      </c>
      <c r="K272" s="18">
        <v>35</v>
      </c>
      <c r="L272" s="18" t="s">
        <v>39</v>
      </c>
    </row>
    <row r="273" spans="1:14" x14ac:dyDescent="0.25">
      <c r="A273" s="18" t="s">
        <v>149</v>
      </c>
      <c r="J273" t="s">
        <v>41</v>
      </c>
      <c r="K273" s="18">
        <v>63</v>
      </c>
      <c r="L273" s="18" t="s">
        <v>39</v>
      </c>
    </row>
    <row r="274" spans="1:14" x14ac:dyDescent="0.25">
      <c r="A274" s="18" t="s">
        <v>150</v>
      </c>
      <c r="J274" t="s">
        <v>41</v>
      </c>
      <c r="K274" s="18">
        <v>54</v>
      </c>
      <c r="L274" s="18" t="s">
        <v>39</v>
      </c>
      <c r="M274" s="7"/>
    </row>
    <row r="275" spans="1:14" x14ac:dyDescent="0.25">
      <c r="A275" s="18" t="s">
        <v>151</v>
      </c>
      <c r="J275" t="s">
        <v>41</v>
      </c>
      <c r="K275" s="7">
        <v>75</v>
      </c>
      <c r="L275" s="18" t="s">
        <v>39</v>
      </c>
      <c r="M275" s="7" t="s">
        <v>279</v>
      </c>
    </row>
    <row r="276" spans="1:14" x14ac:dyDescent="0.25">
      <c r="A276" s="18" t="s">
        <v>152</v>
      </c>
      <c r="J276" t="s">
        <v>41</v>
      </c>
      <c r="K276" s="18">
        <v>10</v>
      </c>
      <c r="L276" s="18" t="s">
        <v>39</v>
      </c>
    </row>
    <row r="277" spans="1:14" x14ac:dyDescent="0.25">
      <c r="A277" s="18" t="s">
        <v>113</v>
      </c>
      <c r="J277" t="s">
        <v>41</v>
      </c>
      <c r="K277" s="18">
        <v>90</v>
      </c>
      <c r="L277" s="18" t="s">
        <v>39</v>
      </c>
    </row>
    <row r="278" spans="1:14" x14ac:dyDescent="0.25">
      <c r="A278" s="18" t="s">
        <v>116</v>
      </c>
      <c r="J278" t="s">
        <v>41</v>
      </c>
      <c r="K278" s="18">
        <v>46</v>
      </c>
      <c r="L278" s="18" t="s">
        <v>39</v>
      </c>
    </row>
    <row r="279" spans="1:14" x14ac:dyDescent="0.25">
      <c r="A279" s="18" t="s">
        <v>276</v>
      </c>
      <c r="J279" t="s">
        <v>41</v>
      </c>
      <c r="K279" s="18">
        <v>100</v>
      </c>
      <c r="L279" s="18" t="s">
        <v>39</v>
      </c>
    </row>
    <row r="280" spans="1:14" x14ac:dyDescent="0.25">
      <c r="A280" s="18" t="s">
        <v>160</v>
      </c>
      <c r="J280" t="s">
        <v>41</v>
      </c>
      <c r="K280" s="7">
        <v>90</v>
      </c>
      <c r="L280" s="18" t="s">
        <v>39</v>
      </c>
      <c r="M280" s="7" t="s">
        <v>292</v>
      </c>
    </row>
    <row r="281" spans="1:14" x14ac:dyDescent="0.25">
      <c r="A281" s="5" t="s">
        <v>14</v>
      </c>
      <c r="B281" s="5"/>
      <c r="C281" s="5"/>
      <c r="D281" s="5"/>
      <c r="E281" s="5"/>
      <c r="F281" s="5"/>
      <c r="G281" s="5"/>
      <c r="H281" s="5"/>
      <c r="I281" s="5"/>
      <c r="J281" s="6"/>
      <c r="K281" s="6"/>
      <c r="L281" s="6"/>
      <c r="M281" s="6"/>
      <c r="N281" s="6"/>
    </row>
    <row r="282" spans="1:14" x14ac:dyDescent="0.25">
      <c r="A282" s="7" t="s">
        <v>65</v>
      </c>
      <c r="J282" t="s">
        <v>41</v>
      </c>
      <c r="K282" s="14">
        <f>8.5*20/(29.5+8.5)</f>
        <v>4.4736842105263159</v>
      </c>
      <c r="L282" t="s">
        <v>39</v>
      </c>
    </row>
    <row r="283" spans="1:14" x14ac:dyDescent="0.25">
      <c r="A283" s="7" t="s">
        <v>64</v>
      </c>
      <c r="J283" t="s">
        <v>41</v>
      </c>
      <c r="K283" s="14">
        <f>(80.7*0+14.4*20+0.3*5*0)/(80.7+14.4+0.3*5)</f>
        <v>2.981366459627329</v>
      </c>
      <c r="L283" t="s">
        <v>39</v>
      </c>
    </row>
    <row r="284" spans="1:14" x14ac:dyDescent="0.25">
      <c r="A284" s="7" t="s">
        <v>66</v>
      </c>
      <c r="J284" t="s">
        <v>41</v>
      </c>
      <c r="K284" s="14">
        <f>(45.6*0+44.1*20+1.3*5*0+1.8*10*0)/(45.6+44.1+1.3*5+1.8*10)</f>
        <v>7.723292469352014</v>
      </c>
      <c r="L284" t="s">
        <v>39</v>
      </c>
    </row>
    <row r="285" spans="1:14" x14ac:dyDescent="0.25">
      <c r="A285" s="7" t="s">
        <v>67</v>
      </c>
      <c r="J285" t="s">
        <v>41</v>
      </c>
      <c r="K285">
        <f>60</f>
        <v>60</v>
      </c>
      <c r="L285" t="s">
        <v>39</v>
      </c>
    </row>
    <row r="286" spans="1:14" x14ac:dyDescent="0.25">
      <c r="A286" s="7" t="s">
        <v>71</v>
      </c>
      <c r="J286" t="s">
        <v>41</v>
      </c>
      <c r="K286">
        <v>0</v>
      </c>
      <c r="L286" t="s">
        <v>39</v>
      </c>
    </row>
    <row r="287" spans="1:14" x14ac:dyDescent="0.25">
      <c r="A287" s="7" t="s">
        <v>72</v>
      </c>
      <c r="J287" t="s">
        <v>41</v>
      </c>
      <c r="K287">
        <v>20</v>
      </c>
      <c r="L287" t="s">
        <v>39</v>
      </c>
    </row>
    <row r="288" spans="1:14" x14ac:dyDescent="0.25">
      <c r="A288" s="7" t="s">
        <v>69</v>
      </c>
      <c r="J288" t="s">
        <v>41</v>
      </c>
      <c r="K288">
        <v>20</v>
      </c>
      <c r="L288" t="s">
        <v>39</v>
      </c>
    </row>
    <row r="289" spans="1:14" x14ac:dyDescent="0.25">
      <c r="A289" s="7" t="s">
        <v>70</v>
      </c>
      <c r="J289" t="s">
        <v>41</v>
      </c>
      <c r="K289">
        <v>20</v>
      </c>
      <c r="L289" t="s">
        <v>39</v>
      </c>
    </row>
    <row r="290" spans="1:14" x14ac:dyDescent="0.25">
      <c r="A290" s="7" t="s">
        <v>68</v>
      </c>
      <c r="J290" t="s">
        <v>41</v>
      </c>
      <c r="K290">
        <f>43</f>
        <v>43</v>
      </c>
      <c r="L290" t="s">
        <v>39</v>
      </c>
    </row>
    <row r="291" spans="1:14" x14ac:dyDescent="0.25">
      <c r="A291" s="5" t="s">
        <v>23</v>
      </c>
      <c r="B291" s="5"/>
      <c r="C291" s="5"/>
      <c r="D291" s="5"/>
      <c r="E291" s="5"/>
      <c r="F291" s="5"/>
      <c r="G291" s="5"/>
      <c r="H291" s="5"/>
      <c r="I291" s="5"/>
      <c r="J291" s="6"/>
      <c r="K291" s="6"/>
      <c r="L291" s="6"/>
      <c r="M291" s="6"/>
      <c r="N291" s="6"/>
    </row>
    <row r="292" spans="1:14" x14ac:dyDescent="0.25">
      <c r="A292" t="s">
        <v>57</v>
      </c>
      <c r="J292" t="s">
        <v>41</v>
      </c>
      <c r="K292">
        <v>37</v>
      </c>
      <c r="L292" t="s">
        <v>39</v>
      </c>
    </row>
    <row r="293" spans="1:14" x14ac:dyDescent="0.25">
      <c r="A293" t="s">
        <v>101</v>
      </c>
      <c r="J293" t="s">
        <v>41</v>
      </c>
      <c r="K293" s="18">
        <v>43</v>
      </c>
      <c r="L293" t="s">
        <v>39</v>
      </c>
    </row>
    <row r="294" spans="1:14" x14ac:dyDescent="0.25">
      <c r="A294" t="s">
        <v>294</v>
      </c>
      <c r="J294" t="s">
        <v>41</v>
      </c>
      <c r="K294" s="18">
        <v>36</v>
      </c>
      <c r="L294" t="s">
        <v>39</v>
      </c>
    </row>
    <row r="295" spans="1:14" x14ac:dyDescent="0.25">
      <c r="A295" s="5" t="s">
        <v>20</v>
      </c>
      <c r="B295" s="5"/>
      <c r="C295" s="5"/>
      <c r="D295" s="5"/>
      <c r="E295" s="5"/>
      <c r="F295" s="5"/>
      <c r="G295" s="5"/>
      <c r="H295" s="5"/>
      <c r="I295" s="5"/>
      <c r="J295" s="6"/>
      <c r="K295" s="6"/>
      <c r="L295" s="6"/>
      <c r="M295" s="6"/>
      <c r="N295" s="6"/>
    </row>
    <row r="296" spans="1:14" x14ac:dyDescent="0.25">
      <c r="A296" t="s">
        <v>219</v>
      </c>
      <c r="J296" t="s">
        <v>41</v>
      </c>
      <c r="K296">
        <v>5</v>
      </c>
      <c r="L296" t="s">
        <v>39</v>
      </c>
    </row>
    <row r="297" spans="1:14" x14ac:dyDescent="0.25">
      <c r="A297" s="27" t="s">
        <v>220</v>
      </c>
      <c r="J297" t="s">
        <v>41</v>
      </c>
      <c r="K297">
        <v>0.4</v>
      </c>
      <c r="L297" t="s">
        <v>39</v>
      </c>
    </row>
    <row r="298" spans="1:14" x14ac:dyDescent="0.25">
      <c r="A298" s="27" t="s">
        <v>221</v>
      </c>
      <c r="J298" t="s">
        <v>41</v>
      </c>
      <c r="K298" s="7">
        <v>95</v>
      </c>
      <c r="L298" t="s">
        <v>39</v>
      </c>
      <c r="M298" s="7" t="s">
        <v>162</v>
      </c>
    </row>
    <row r="299" spans="1:14" x14ac:dyDescent="0.25">
      <c r="A299" s="27" t="s">
        <v>222</v>
      </c>
      <c r="J299" t="s">
        <v>41</v>
      </c>
      <c r="K299">
        <v>100</v>
      </c>
      <c r="L299" t="s">
        <v>39</v>
      </c>
    </row>
    <row r="300" spans="1:14" x14ac:dyDescent="0.25">
      <c r="A300" s="27" t="s">
        <v>223</v>
      </c>
      <c r="B300" s="9"/>
      <c r="C300" s="9"/>
      <c r="D300" s="10"/>
      <c r="E300" s="10"/>
      <c r="F300" s="9"/>
      <c r="G300" s="9"/>
      <c r="H300" s="9"/>
      <c r="I300" s="9"/>
      <c r="J300" t="s">
        <v>41</v>
      </c>
      <c r="K300">
        <v>100</v>
      </c>
      <c r="L300" t="s">
        <v>39</v>
      </c>
      <c r="M300" s="9"/>
      <c r="N300" s="9"/>
    </row>
    <row r="301" spans="1:14" x14ac:dyDescent="0.25">
      <c r="A301" s="5" t="s">
        <v>22</v>
      </c>
      <c r="B301" s="5"/>
      <c r="C301" s="5"/>
      <c r="D301" s="5"/>
      <c r="E301" s="5"/>
      <c r="F301" s="5"/>
      <c r="G301" s="5"/>
      <c r="H301" s="5"/>
      <c r="I301" s="5"/>
      <c r="J301" s="6"/>
      <c r="K301" s="6"/>
      <c r="L301" s="6"/>
      <c r="M301" s="6"/>
      <c r="N301" s="6"/>
    </row>
    <row r="302" spans="1:14" x14ac:dyDescent="0.25">
      <c r="A302" t="s">
        <v>138</v>
      </c>
      <c r="J302" t="s">
        <v>41</v>
      </c>
      <c r="K302" s="16">
        <v>52</v>
      </c>
      <c r="L302" t="s">
        <v>39</v>
      </c>
      <c r="M302" s="25"/>
    </row>
    <row r="303" spans="1:14" x14ac:dyDescent="0.25">
      <c r="A303" s="5" t="s">
        <v>24</v>
      </c>
      <c r="B303" s="5"/>
      <c r="C303" s="5"/>
      <c r="D303" s="5"/>
      <c r="E303" s="5"/>
      <c r="F303" s="5"/>
      <c r="G303" s="5"/>
      <c r="H303" s="5"/>
      <c r="I303" s="5"/>
      <c r="J303" s="6"/>
      <c r="K303" s="6"/>
      <c r="L303" s="6"/>
      <c r="M303" s="6"/>
      <c r="N303" s="6"/>
    </row>
    <row r="304" spans="1:14" x14ac:dyDescent="0.25">
      <c r="A304" t="s">
        <v>234</v>
      </c>
      <c r="J304" t="s">
        <v>41</v>
      </c>
      <c r="K304" s="7">
        <v>24</v>
      </c>
      <c r="L304" t="s">
        <v>39</v>
      </c>
      <c r="M304" s="7" t="s">
        <v>239</v>
      </c>
    </row>
    <row r="305" spans="1:14" x14ac:dyDescent="0.25">
      <c r="A305" t="s">
        <v>236</v>
      </c>
      <c r="J305" t="s">
        <v>41</v>
      </c>
      <c r="K305" s="28">
        <f>K304</f>
        <v>24</v>
      </c>
      <c r="L305" s="28" t="s">
        <v>39</v>
      </c>
      <c r="M305" s="28" t="s">
        <v>238</v>
      </c>
    </row>
    <row r="306" spans="1:14" x14ac:dyDescent="0.25">
      <c r="A306" t="s">
        <v>235</v>
      </c>
      <c r="J306" t="s">
        <v>41</v>
      </c>
      <c r="K306">
        <v>61</v>
      </c>
      <c r="L306" t="s">
        <v>39</v>
      </c>
    </row>
    <row r="307" spans="1:14" x14ac:dyDescent="0.25">
      <c r="A307" s="5" t="s">
        <v>29</v>
      </c>
      <c r="B307" s="5"/>
      <c r="C307" s="5"/>
      <c r="D307" s="5"/>
      <c r="E307" s="5"/>
      <c r="F307" s="5"/>
      <c r="G307" s="5"/>
      <c r="H307" s="5"/>
      <c r="I307" s="5"/>
      <c r="J307" s="6"/>
      <c r="K307" s="6"/>
      <c r="L307" s="6"/>
      <c r="M307" s="6"/>
      <c r="N307" s="6"/>
    </row>
    <row r="308" spans="1:14" x14ac:dyDescent="0.25">
      <c r="A308" t="s">
        <v>245</v>
      </c>
      <c r="J308" t="s">
        <v>41</v>
      </c>
      <c r="K308">
        <v>100</v>
      </c>
      <c r="L308" t="s">
        <v>39</v>
      </c>
    </row>
    <row r="309" spans="1:14" x14ac:dyDescent="0.25">
      <c r="A309" t="s">
        <v>248</v>
      </c>
      <c r="J309" t="s">
        <v>41</v>
      </c>
      <c r="K309">
        <v>4</v>
      </c>
      <c r="L309" t="s">
        <v>39</v>
      </c>
      <c r="M309" t="s">
        <v>119</v>
      </c>
    </row>
    <row r="310" spans="1:14" x14ac:dyDescent="0.25">
      <c r="A310" t="s">
        <v>246</v>
      </c>
      <c r="J310" t="s">
        <v>41</v>
      </c>
      <c r="K310">
        <v>85</v>
      </c>
      <c r="L310" t="s">
        <v>39</v>
      </c>
      <c r="M310" t="s">
        <v>251</v>
      </c>
    </row>
    <row r="311" spans="1:14" x14ac:dyDescent="0.25">
      <c r="A311" t="s">
        <v>249</v>
      </c>
      <c r="J311" t="s">
        <v>41</v>
      </c>
      <c r="K311">
        <v>22</v>
      </c>
      <c r="L311" t="s">
        <v>39</v>
      </c>
      <c r="M311" t="s">
        <v>252</v>
      </c>
    </row>
    <row r="313" spans="1:14" x14ac:dyDescent="0.25">
      <c r="A313" s="3" t="s">
        <v>163</v>
      </c>
      <c r="B313" s="3"/>
      <c r="C313" s="3"/>
      <c r="D313" s="3"/>
      <c r="E313" s="3"/>
      <c r="F313" s="3"/>
      <c r="G313" s="3"/>
      <c r="H313" s="3"/>
      <c r="I313" s="3"/>
      <c r="J313" s="4"/>
      <c r="K313" s="4"/>
      <c r="L313" s="4"/>
      <c r="M313" s="4"/>
      <c r="N313" s="4"/>
    </row>
    <row r="314" spans="1:14" x14ac:dyDescent="0.25">
      <c r="G314" s="8"/>
      <c r="H314" s="8" t="s">
        <v>47</v>
      </c>
      <c r="I314" s="8"/>
      <c r="J314" s="8" t="s">
        <v>42</v>
      </c>
      <c r="K314" s="8">
        <v>-100</v>
      </c>
      <c r="L314" s="8" t="s">
        <v>48</v>
      </c>
      <c r="M314" s="8" t="s">
        <v>190</v>
      </c>
    </row>
    <row r="315" spans="1:14" x14ac:dyDescent="0.25">
      <c r="G315" s="8"/>
      <c r="H315" s="8" t="s">
        <v>45</v>
      </c>
      <c r="I315" s="8"/>
      <c r="J315" s="8" t="s">
        <v>42</v>
      </c>
      <c r="K315" s="8">
        <v>0</v>
      </c>
      <c r="L315" s="8" t="s">
        <v>39</v>
      </c>
      <c r="M315" s="8" t="s">
        <v>46</v>
      </c>
    </row>
    <row r="316" spans="1:14" x14ac:dyDescent="0.25">
      <c r="A316" s="5" t="s">
        <v>10</v>
      </c>
      <c r="B316" s="5"/>
      <c r="C316" s="5"/>
      <c r="D316" s="5"/>
      <c r="E316" s="5"/>
      <c r="F316" s="5"/>
      <c r="G316" s="5"/>
      <c r="H316" s="5"/>
      <c r="I316" s="5"/>
      <c r="J316" s="6"/>
      <c r="K316" s="6"/>
      <c r="L316" s="6"/>
      <c r="M316" s="6"/>
      <c r="N316" s="6"/>
    </row>
    <row r="317" spans="1:14" x14ac:dyDescent="0.25">
      <c r="A317" t="s">
        <v>35</v>
      </c>
      <c r="G317" t="s">
        <v>90</v>
      </c>
      <c r="H317" t="s">
        <v>45</v>
      </c>
      <c r="J317" t="s">
        <v>42</v>
      </c>
      <c r="K317" s="18">
        <v>5.3</v>
      </c>
      <c r="L317" t="s">
        <v>39</v>
      </c>
      <c r="M317" t="s">
        <v>181</v>
      </c>
      <c r="N317" t="s">
        <v>104</v>
      </c>
    </row>
    <row r="318" spans="1:14" x14ac:dyDescent="0.25">
      <c r="A318" t="s">
        <v>50</v>
      </c>
      <c r="G318" t="s">
        <v>90</v>
      </c>
      <c r="H318" t="s">
        <v>45</v>
      </c>
      <c r="J318" t="s">
        <v>42</v>
      </c>
      <c r="K318" s="18">
        <v>4.9000000000000004</v>
      </c>
      <c r="L318" t="s">
        <v>39</v>
      </c>
      <c r="M318" t="s">
        <v>181</v>
      </c>
      <c r="N318" t="s">
        <v>104</v>
      </c>
    </row>
    <row r="319" spans="1:14" x14ac:dyDescent="0.25">
      <c r="A319" t="s">
        <v>93</v>
      </c>
      <c r="G319" t="s">
        <v>90</v>
      </c>
      <c r="H319" t="s">
        <v>45</v>
      </c>
      <c r="J319" t="s">
        <v>42</v>
      </c>
      <c r="K319" s="18">
        <v>12.7</v>
      </c>
      <c r="L319" t="s">
        <v>39</v>
      </c>
      <c r="M319" t="s">
        <v>181</v>
      </c>
      <c r="N319" t="s">
        <v>104</v>
      </c>
    </row>
    <row r="320" spans="1:14" x14ac:dyDescent="0.25">
      <c r="A320" t="s">
        <v>92</v>
      </c>
      <c r="G320" t="s">
        <v>90</v>
      </c>
      <c r="H320" t="s">
        <v>45</v>
      </c>
      <c r="J320" t="s">
        <v>42</v>
      </c>
      <c r="K320" s="18">
        <v>24</v>
      </c>
      <c r="L320" t="s">
        <v>39</v>
      </c>
      <c r="M320" t="s">
        <v>182</v>
      </c>
      <c r="N320" s="27" t="s">
        <v>179</v>
      </c>
    </row>
    <row r="321" spans="1:14" x14ac:dyDescent="0.25">
      <c r="A321" t="s">
        <v>91</v>
      </c>
      <c r="G321" t="s">
        <v>90</v>
      </c>
      <c r="H321" t="s">
        <v>45</v>
      </c>
      <c r="J321" t="s">
        <v>42</v>
      </c>
      <c r="K321" s="7">
        <v>10</v>
      </c>
      <c r="L321" t="s">
        <v>39</v>
      </c>
    </row>
    <row r="322" spans="1:14" x14ac:dyDescent="0.25">
      <c r="A322" s="5" t="s">
        <v>11</v>
      </c>
      <c r="B322" s="5"/>
      <c r="C322" s="5"/>
      <c r="D322" s="5"/>
      <c r="E322" s="5"/>
      <c r="F322" s="5"/>
      <c r="G322" s="5"/>
      <c r="H322" s="5"/>
      <c r="I322" s="5"/>
      <c r="J322" s="6"/>
      <c r="K322" s="6"/>
      <c r="L322" s="6"/>
      <c r="M322" s="6"/>
      <c r="N322" s="6"/>
    </row>
    <row r="323" spans="1:14" x14ac:dyDescent="0.25">
      <c r="A323" s="18" t="s">
        <v>105</v>
      </c>
      <c r="G323" t="s">
        <v>90</v>
      </c>
      <c r="H323" t="s">
        <v>45</v>
      </c>
      <c r="J323" t="s">
        <v>42</v>
      </c>
      <c r="K323" s="18">
        <v>12</v>
      </c>
      <c r="L323" t="s">
        <v>39</v>
      </c>
      <c r="N323" s="27" t="s">
        <v>179</v>
      </c>
    </row>
    <row r="324" spans="1:14" x14ac:dyDescent="0.25">
      <c r="A324" s="18" t="s">
        <v>106</v>
      </c>
      <c r="G324" t="s">
        <v>90</v>
      </c>
      <c r="H324" t="s">
        <v>45</v>
      </c>
      <c r="J324" t="s">
        <v>42</v>
      </c>
      <c r="K324" s="18">
        <v>12</v>
      </c>
      <c r="L324" t="s">
        <v>39</v>
      </c>
      <c r="N324" s="27" t="s">
        <v>179</v>
      </c>
    </row>
    <row r="325" spans="1:14" x14ac:dyDescent="0.25">
      <c r="A325" s="18" t="s">
        <v>226</v>
      </c>
      <c r="G325" t="s">
        <v>90</v>
      </c>
      <c r="H325" t="s">
        <v>45</v>
      </c>
      <c r="J325" t="s">
        <v>42</v>
      </c>
      <c r="K325" s="18">
        <v>0</v>
      </c>
      <c r="L325" t="s">
        <v>39</v>
      </c>
    </row>
    <row r="326" spans="1:14" x14ac:dyDescent="0.25">
      <c r="A326" s="18" t="s">
        <v>107</v>
      </c>
      <c r="G326" t="s">
        <v>90</v>
      </c>
      <c r="H326" t="s">
        <v>45</v>
      </c>
      <c r="J326" t="s">
        <v>42</v>
      </c>
      <c r="K326" s="18">
        <v>0</v>
      </c>
      <c r="L326" t="s">
        <v>39</v>
      </c>
    </row>
    <row r="327" spans="1:14" x14ac:dyDescent="0.25">
      <c r="A327" s="5" t="s">
        <v>12</v>
      </c>
      <c r="B327" s="5"/>
      <c r="C327" s="5"/>
      <c r="D327" s="5"/>
      <c r="E327" s="5"/>
      <c r="F327" s="5"/>
      <c r="G327" s="5"/>
      <c r="H327" s="5"/>
      <c r="I327" s="5"/>
      <c r="J327" s="6"/>
      <c r="K327" s="6"/>
      <c r="L327" s="6"/>
      <c r="M327" s="6"/>
      <c r="N327" s="6"/>
    </row>
    <row r="328" spans="1:14" x14ac:dyDescent="0.25">
      <c r="A328" s="18" t="s">
        <v>147</v>
      </c>
      <c r="G328" t="s">
        <v>90</v>
      </c>
      <c r="H328" t="s">
        <v>45</v>
      </c>
      <c r="J328" t="s">
        <v>42</v>
      </c>
      <c r="K328" s="18">
        <v>25</v>
      </c>
      <c r="L328" t="s">
        <v>39</v>
      </c>
      <c r="M328" t="s">
        <v>184</v>
      </c>
      <c r="N328" s="27" t="s">
        <v>179</v>
      </c>
    </row>
    <row r="329" spans="1:14" x14ac:dyDescent="0.25">
      <c r="A329" s="18" t="s">
        <v>153</v>
      </c>
      <c r="G329" t="s">
        <v>90</v>
      </c>
      <c r="H329" t="s">
        <v>45</v>
      </c>
      <c r="J329" t="s">
        <v>42</v>
      </c>
      <c r="K329" s="18">
        <v>13</v>
      </c>
      <c r="L329" t="s">
        <v>39</v>
      </c>
      <c r="M329" t="s">
        <v>185</v>
      </c>
      <c r="N329" s="27" t="s">
        <v>179</v>
      </c>
    </row>
    <row r="330" spans="1:14" x14ac:dyDescent="0.25">
      <c r="A330" s="18" t="s">
        <v>150</v>
      </c>
      <c r="G330" t="s">
        <v>90</v>
      </c>
      <c r="H330" t="s">
        <v>45</v>
      </c>
      <c r="J330" t="s">
        <v>42</v>
      </c>
      <c r="K330" s="18">
        <v>19</v>
      </c>
      <c r="L330" t="s">
        <v>39</v>
      </c>
      <c r="M330" t="s">
        <v>183</v>
      </c>
      <c r="N330" s="27" t="s">
        <v>179</v>
      </c>
    </row>
    <row r="331" spans="1:14" x14ac:dyDescent="0.25">
      <c r="A331" s="18" t="s">
        <v>113</v>
      </c>
      <c r="G331" t="s">
        <v>90</v>
      </c>
      <c r="H331" t="s">
        <v>45</v>
      </c>
      <c r="J331" t="s">
        <v>42</v>
      </c>
      <c r="K331" s="18">
        <v>9</v>
      </c>
      <c r="L331" t="s">
        <v>39</v>
      </c>
      <c r="M331" t="s">
        <v>187</v>
      </c>
      <c r="N331" s="27" t="s">
        <v>179</v>
      </c>
    </row>
    <row r="332" spans="1:14" x14ac:dyDescent="0.25">
      <c r="A332" s="18" t="s">
        <v>116</v>
      </c>
      <c r="G332" t="s">
        <v>90</v>
      </c>
      <c r="H332" t="s">
        <v>45</v>
      </c>
      <c r="J332" t="s">
        <v>42</v>
      </c>
      <c r="K332" s="18">
        <v>11</v>
      </c>
      <c r="L332" t="s">
        <v>39</v>
      </c>
      <c r="M332" s="27" t="s">
        <v>186</v>
      </c>
      <c r="N332" s="27" t="s">
        <v>179</v>
      </c>
    </row>
    <row r="333" spans="1:14" x14ac:dyDescent="0.25">
      <c r="A333" s="18" t="s">
        <v>160</v>
      </c>
      <c r="G333" t="s">
        <v>90</v>
      </c>
      <c r="H333" t="s">
        <v>45</v>
      </c>
      <c r="J333" t="s">
        <v>42</v>
      </c>
      <c r="K333" s="7">
        <f>AVERAGE(K329:K332)</f>
        <v>13</v>
      </c>
      <c r="L333" t="s">
        <v>39</v>
      </c>
      <c r="M333" s="27"/>
      <c r="N333" s="27"/>
    </row>
    <row r="334" spans="1:14" x14ac:dyDescent="0.25">
      <c r="A334" s="5" t="s">
        <v>13</v>
      </c>
      <c r="B334" s="5"/>
      <c r="C334" s="5"/>
      <c r="D334" s="5"/>
      <c r="E334" s="5"/>
      <c r="F334" s="5"/>
      <c r="G334" s="5"/>
      <c r="H334" s="5"/>
      <c r="I334" s="5"/>
      <c r="J334" s="6"/>
      <c r="K334" s="6"/>
      <c r="L334" s="6"/>
      <c r="M334" s="6"/>
      <c r="N334" s="6"/>
    </row>
    <row r="335" spans="1:14" x14ac:dyDescent="0.25">
      <c r="A335" s="18" t="s">
        <v>259</v>
      </c>
      <c r="H335" t="s">
        <v>45</v>
      </c>
      <c r="J335" t="s">
        <v>42</v>
      </c>
      <c r="K335" s="18">
        <v>7.9</v>
      </c>
      <c r="L335" s="18" t="s">
        <v>39</v>
      </c>
      <c r="M335" t="s">
        <v>264</v>
      </c>
      <c r="N335" t="s">
        <v>179</v>
      </c>
    </row>
    <row r="336" spans="1:14" x14ac:dyDescent="0.25">
      <c r="A336" s="18" t="s">
        <v>260</v>
      </c>
      <c r="H336" t="s">
        <v>45</v>
      </c>
      <c r="J336" t="s">
        <v>42</v>
      </c>
      <c r="K336" s="18">
        <v>7.9</v>
      </c>
      <c r="L336" s="18" t="s">
        <v>39</v>
      </c>
      <c r="M336" t="s">
        <v>264</v>
      </c>
      <c r="N336" t="s">
        <v>179</v>
      </c>
    </row>
    <row r="337" spans="1:14" x14ac:dyDescent="0.25">
      <c r="A337" s="18" t="s">
        <v>261</v>
      </c>
      <c r="H337" t="s">
        <v>45</v>
      </c>
      <c r="J337" t="s">
        <v>42</v>
      </c>
      <c r="K337" s="18">
        <v>7.9</v>
      </c>
      <c r="L337" s="18" t="s">
        <v>39</v>
      </c>
      <c r="M337" t="s">
        <v>264</v>
      </c>
      <c r="N337" t="s">
        <v>179</v>
      </c>
    </row>
    <row r="338" spans="1:14" x14ac:dyDescent="0.25">
      <c r="A338" s="18" t="s">
        <v>263</v>
      </c>
      <c r="H338" t="s">
        <v>45</v>
      </c>
      <c r="J338" t="s">
        <v>42</v>
      </c>
      <c r="K338" s="18">
        <v>7.9</v>
      </c>
      <c r="L338" s="18" t="s">
        <v>39</v>
      </c>
      <c r="M338" t="s">
        <v>264</v>
      </c>
      <c r="N338" t="s">
        <v>179</v>
      </c>
    </row>
    <row r="339" spans="1:14" x14ac:dyDescent="0.25">
      <c r="A339" s="5" t="s">
        <v>14</v>
      </c>
      <c r="B339" s="5"/>
      <c r="C339" s="5"/>
      <c r="D339" s="5"/>
      <c r="E339" s="5"/>
      <c r="F339" s="5"/>
      <c r="G339" s="5"/>
      <c r="H339" s="5"/>
      <c r="I339" s="5"/>
      <c r="J339" s="6"/>
      <c r="K339" s="6"/>
      <c r="L339" s="6"/>
      <c r="M339" s="6"/>
      <c r="N339" s="6"/>
    </row>
    <row r="340" spans="1:14" x14ac:dyDescent="0.25">
      <c r="A340" s="7"/>
      <c r="B340" t="s">
        <v>84</v>
      </c>
      <c r="G340" t="s">
        <v>90</v>
      </c>
      <c r="H340" t="s">
        <v>45</v>
      </c>
      <c r="J340" t="s">
        <v>42</v>
      </c>
      <c r="K340" s="16">
        <v>17</v>
      </c>
      <c r="L340" t="s">
        <v>39</v>
      </c>
      <c r="M340" t="s">
        <v>180</v>
      </c>
      <c r="N340" t="s">
        <v>100</v>
      </c>
    </row>
    <row r="341" spans="1:14" x14ac:dyDescent="0.25">
      <c r="A341" s="5" t="s">
        <v>23</v>
      </c>
      <c r="B341" s="5"/>
      <c r="C341" s="5"/>
      <c r="D341" s="5"/>
      <c r="E341" s="5"/>
      <c r="F341" s="5"/>
      <c r="G341" s="5"/>
      <c r="H341" s="5"/>
      <c r="I341" s="5"/>
      <c r="J341" s="6"/>
      <c r="K341" s="6"/>
      <c r="L341" s="6"/>
      <c r="M341" s="6"/>
      <c r="N341" s="6"/>
    </row>
    <row r="342" spans="1:14" x14ac:dyDescent="0.25">
      <c r="A342" t="s">
        <v>57</v>
      </c>
      <c r="G342" t="s">
        <v>90</v>
      </c>
      <c r="H342" t="s">
        <v>45</v>
      </c>
      <c r="J342" t="s">
        <v>42</v>
      </c>
      <c r="K342" s="7">
        <v>2.4</v>
      </c>
      <c r="L342" t="s">
        <v>39</v>
      </c>
    </row>
    <row r="343" spans="1:14" x14ac:dyDescent="0.25">
      <c r="A343" t="s">
        <v>101</v>
      </c>
      <c r="G343" t="s">
        <v>90</v>
      </c>
      <c r="H343" t="s">
        <v>45</v>
      </c>
      <c r="J343" t="s">
        <v>42</v>
      </c>
      <c r="K343" s="7">
        <v>15.4</v>
      </c>
      <c r="L343" t="s">
        <v>39</v>
      </c>
    </row>
    <row r="344" spans="1:14" x14ac:dyDescent="0.25">
      <c r="A344" t="s">
        <v>294</v>
      </c>
      <c r="G344" t="s">
        <v>90</v>
      </c>
      <c r="H344" t="s">
        <v>45</v>
      </c>
      <c r="J344" t="s">
        <v>42</v>
      </c>
      <c r="K344" s="7">
        <v>0</v>
      </c>
      <c r="L344" t="s">
        <v>39</v>
      </c>
    </row>
    <row r="345" spans="1:14" x14ac:dyDescent="0.25">
      <c r="A345" s="5" t="s">
        <v>20</v>
      </c>
      <c r="B345" s="5"/>
      <c r="C345" s="5"/>
      <c r="D345" s="5"/>
      <c r="E345" s="5"/>
      <c r="F345" s="5"/>
      <c r="G345" s="5"/>
      <c r="H345" s="5"/>
      <c r="I345" s="5"/>
      <c r="J345" s="6"/>
      <c r="K345" s="6"/>
      <c r="L345" s="6"/>
      <c r="M345" s="6"/>
      <c r="N345" s="6"/>
    </row>
    <row r="346" spans="1:14" x14ac:dyDescent="0.25">
      <c r="B346" t="s">
        <v>224</v>
      </c>
      <c r="H346" t="s">
        <v>45</v>
      </c>
      <c r="J346" t="s">
        <v>42</v>
      </c>
      <c r="K346">
        <v>34.200000000000003</v>
      </c>
      <c r="L346" t="s">
        <v>39</v>
      </c>
      <c r="M346" t="s">
        <v>231</v>
      </c>
      <c r="N346" s="27" t="s">
        <v>232</v>
      </c>
    </row>
    <row r="347" spans="1:14" x14ac:dyDescent="0.25">
      <c r="A347" s="5" t="s">
        <v>22</v>
      </c>
      <c r="B347" s="5"/>
      <c r="C347" s="5"/>
      <c r="D347" s="5"/>
      <c r="E347" s="5"/>
      <c r="F347" s="5"/>
      <c r="G347" s="5"/>
      <c r="H347" s="5"/>
      <c r="I347" s="5"/>
      <c r="J347" s="6"/>
      <c r="K347" s="6"/>
      <c r="L347" s="6"/>
      <c r="M347" s="6"/>
      <c r="N347" s="6"/>
    </row>
    <row r="348" spans="1:14" x14ac:dyDescent="0.25">
      <c r="A348" t="s">
        <v>138</v>
      </c>
      <c r="G348" t="s">
        <v>90</v>
      </c>
      <c r="H348" t="s">
        <v>45</v>
      </c>
      <c r="J348" t="s">
        <v>42</v>
      </c>
      <c r="K348" s="24">
        <v>1</v>
      </c>
      <c r="L348" t="s">
        <v>39</v>
      </c>
    </row>
    <row r="349" spans="1:14" x14ac:dyDescent="0.25">
      <c r="A349" s="5" t="s">
        <v>29</v>
      </c>
      <c r="B349" s="5"/>
      <c r="C349" s="5"/>
      <c r="D349" s="5"/>
      <c r="E349" s="5"/>
      <c r="F349" s="5"/>
      <c r="G349" s="5"/>
      <c r="H349" s="5"/>
      <c r="I349" s="5"/>
      <c r="J349" s="6"/>
      <c r="K349" s="6"/>
      <c r="L349" s="6"/>
      <c r="M349" s="6"/>
      <c r="N349" s="6"/>
    </row>
    <row r="350" spans="1:14" x14ac:dyDescent="0.25">
      <c r="A350" t="s">
        <v>245</v>
      </c>
      <c r="H350" t="s">
        <v>45</v>
      </c>
      <c r="J350" t="s">
        <v>42</v>
      </c>
      <c r="K350" s="18">
        <v>24.7</v>
      </c>
      <c r="L350" t="s">
        <v>39</v>
      </c>
      <c r="M350" t="s">
        <v>253</v>
      </c>
      <c r="N350" s="27" t="s">
        <v>179</v>
      </c>
    </row>
    <row r="351" spans="1:14" x14ac:dyDescent="0.25">
      <c r="A351" t="s">
        <v>248</v>
      </c>
      <c r="H351" t="s">
        <v>45</v>
      </c>
      <c r="J351" t="s">
        <v>42</v>
      </c>
      <c r="K351" s="18">
        <v>8</v>
      </c>
      <c r="L351" t="s">
        <v>39</v>
      </c>
      <c r="M351" t="s">
        <v>178</v>
      </c>
      <c r="N351" s="27" t="s">
        <v>179</v>
      </c>
    </row>
    <row r="352" spans="1:14" x14ac:dyDescent="0.25">
      <c r="A352" t="s">
        <v>246</v>
      </c>
      <c r="H352" t="s">
        <v>45</v>
      </c>
      <c r="J352" t="s">
        <v>42</v>
      </c>
      <c r="K352">
        <v>7.9</v>
      </c>
      <c r="L352" t="s">
        <v>39</v>
      </c>
      <c r="M352" t="s">
        <v>266</v>
      </c>
      <c r="N352" s="27" t="s">
        <v>179</v>
      </c>
    </row>
    <row r="353" spans="1:14" x14ac:dyDescent="0.25">
      <c r="A353" t="s">
        <v>249</v>
      </c>
      <c r="H353" t="s">
        <v>45</v>
      </c>
      <c r="J353" t="s">
        <v>42</v>
      </c>
      <c r="K353">
        <v>4.7</v>
      </c>
      <c r="L353" t="s">
        <v>39</v>
      </c>
      <c r="M353" t="s">
        <v>254</v>
      </c>
      <c r="N353" s="27" t="s">
        <v>179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Views>
    <sheetView workbookViewId="0">
      <selection activeCell="L2" sqref="L2"/>
    </sheetView>
  </sheetViews>
  <sheetFormatPr defaultRowHeight="15" x14ac:dyDescent="0.25"/>
  <cols>
    <col min="1" max="1" width="20.85546875" bestFit="1" customWidth="1"/>
    <col min="2" max="2" width="9.5703125" customWidth="1"/>
    <col min="3" max="3" width="14.85546875" customWidth="1"/>
  </cols>
  <sheetData>
    <row r="1" spans="1:12" x14ac:dyDescent="0.25">
      <c r="A1" s="2" t="s">
        <v>37</v>
      </c>
      <c r="B1" s="2" t="s">
        <v>49</v>
      </c>
      <c r="C1" s="2" t="s">
        <v>43</v>
      </c>
      <c r="D1" s="2" t="s">
        <v>0</v>
      </c>
      <c r="E1" s="2" t="s">
        <v>267</v>
      </c>
      <c r="F1" s="2" t="s">
        <v>268</v>
      </c>
      <c r="G1" s="2" t="s">
        <v>269</v>
      </c>
      <c r="H1" s="2" t="s">
        <v>270</v>
      </c>
      <c r="I1" s="2" t="s">
        <v>271</v>
      </c>
      <c r="J1" s="2" t="s">
        <v>272</v>
      </c>
      <c r="K1" s="2" t="s">
        <v>273</v>
      </c>
      <c r="L1" s="2" t="s">
        <v>274</v>
      </c>
    </row>
    <row r="2" spans="1:12" x14ac:dyDescent="0.25">
      <c r="A2" s="2"/>
      <c r="B2" s="2"/>
      <c r="C2" s="2"/>
      <c r="D2" t="s">
        <v>5</v>
      </c>
      <c r="E2" s="30" t="s">
        <v>275</v>
      </c>
      <c r="F2" s="30">
        <v>1</v>
      </c>
      <c r="G2" s="1">
        <f>10642196/(5222847+5156448)</f>
        <v>1.0253293696729884</v>
      </c>
      <c r="H2" s="1">
        <f>10884214/(5222847+5156448)</f>
        <v>1.048646752982741</v>
      </c>
      <c r="I2" s="1">
        <f>11101837/(5222847+5156448)</f>
        <v>1.0696137839805111</v>
      </c>
      <c r="J2" s="1">
        <f>11328285/(5222847+5156448)</f>
        <v>1.0914310654047312</v>
      </c>
      <c r="K2" s="1">
        <f>11557052/(5222847+5156448)</f>
        <v>1.1134717724084342</v>
      </c>
      <c r="L2" s="1">
        <f>11761182/(5222847+5156448)</f>
        <v>1.1331388114510668</v>
      </c>
    </row>
    <row r="3" spans="1:12" x14ac:dyDescent="0.25">
      <c r="A3" s="2"/>
      <c r="B3" s="2"/>
      <c r="C3" s="2"/>
      <c r="D3" s="7" t="s">
        <v>18</v>
      </c>
      <c r="E3" s="7" t="s">
        <v>275</v>
      </c>
      <c r="F3" s="7">
        <v>1</v>
      </c>
      <c r="G3" s="30"/>
      <c r="H3" s="30"/>
      <c r="I3" s="30"/>
      <c r="J3" s="30"/>
      <c r="K3" s="30"/>
      <c r="L3" s="30"/>
    </row>
    <row r="4" spans="1:12" x14ac:dyDescent="0.25">
      <c r="A4" t="s">
        <v>57</v>
      </c>
      <c r="D4" t="s">
        <v>18</v>
      </c>
      <c r="E4" t="s">
        <v>275</v>
      </c>
      <c r="F4">
        <v>1</v>
      </c>
      <c r="G4" s="1">
        <v>0.95</v>
      </c>
      <c r="H4" s="1">
        <v>0.85</v>
      </c>
      <c r="I4" s="1">
        <v>0.75</v>
      </c>
      <c r="J4" s="23">
        <v>0.7</v>
      </c>
      <c r="K4" s="1"/>
      <c r="L4" s="1"/>
    </row>
    <row r="5" spans="1:12" x14ac:dyDescent="0.25">
      <c r="A5" t="s">
        <v>101</v>
      </c>
      <c r="D5" t="s">
        <v>18</v>
      </c>
      <c r="E5" t="s">
        <v>275</v>
      </c>
      <c r="F5">
        <v>1</v>
      </c>
      <c r="L5">
        <v>0.9</v>
      </c>
    </row>
    <row r="6" spans="1:12" x14ac:dyDescent="0.25">
      <c r="G6" s="1"/>
      <c r="H6" s="1"/>
      <c r="I6" s="1"/>
      <c r="J6" s="1"/>
      <c r="K6" s="1"/>
      <c r="L6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6" t="s">
        <v>164</v>
      </c>
    </row>
    <row r="9" spans="5:5" x14ac:dyDescent="0.25">
      <c r="E9" t="s">
        <v>167</v>
      </c>
    </row>
    <row r="10" spans="5:5" x14ac:dyDescent="0.25">
      <c r="E10" t="s">
        <v>165</v>
      </c>
    </row>
    <row r="11" spans="5:5" x14ac:dyDescent="0.25">
      <c r="E11" t="s">
        <v>166</v>
      </c>
    </row>
    <row r="12" spans="5:5" x14ac:dyDescent="0.25">
      <c r="E12" t="s">
        <v>169</v>
      </c>
    </row>
    <row r="13" spans="5:5" x14ac:dyDescent="0.25">
      <c r="E13" t="s">
        <v>168</v>
      </c>
    </row>
    <row r="15" spans="5:5" x14ac:dyDescent="0.25">
      <c r="E15" s="26" t="s">
        <v>170</v>
      </c>
    </row>
    <row r="16" spans="5:5" x14ac:dyDescent="0.25">
      <c r="E16" t="s">
        <v>171</v>
      </c>
    </row>
    <row r="17" spans="5:5" x14ac:dyDescent="0.25">
      <c r="E17" t="s">
        <v>172</v>
      </c>
    </row>
    <row r="19" spans="5:5" x14ac:dyDescent="0.25">
      <c r="E19" s="26" t="s">
        <v>173</v>
      </c>
    </row>
    <row r="20" spans="5:5" x14ac:dyDescent="0.25">
      <c r="E20" t="s">
        <v>175</v>
      </c>
    </row>
    <row r="21" spans="5:5" x14ac:dyDescent="0.25">
      <c r="E21" t="s">
        <v>174</v>
      </c>
    </row>
    <row r="23" spans="5:5" x14ac:dyDescent="0.25">
      <c r="E23" s="26" t="s">
        <v>176</v>
      </c>
    </row>
    <row r="24" spans="5:5" x14ac:dyDescent="0.25">
      <c r="E24" t="s">
        <v>177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default</vt:lpstr>
      <vt:lpstr>scn_baseline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2023-06-12T13:47:11Z</dcterms:modified>
</cp:coreProperties>
</file>