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7170"/>
  </bookViews>
  <sheets>
    <sheet name="default" sheetId="1" r:id="rId1"/>
    <sheet name="Sheet1" sheetId="2" r:id="rId2"/>
    <sheet name="Trade" sheetId="4" r:id="rId3"/>
    <sheet name="referenc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44" i="1" l="1"/>
  <c r="M543" i="1"/>
  <c r="M514" i="1"/>
  <c r="M512" i="1"/>
  <c r="M511" i="1"/>
  <c r="M509" i="1"/>
  <c r="M206" i="1" l="1"/>
  <c r="M398" i="1" l="1"/>
  <c r="M387" i="1"/>
  <c r="M465" i="1" l="1"/>
  <c r="M464" i="1"/>
  <c r="M463" i="1"/>
  <c r="M124" i="1"/>
  <c r="M123" i="1"/>
  <c r="M133" i="1" l="1"/>
  <c r="M131" i="1"/>
  <c r="M275" i="1" l="1"/>
  <c r="M66" i="1"/>
  <c r="M493" i="1"/>
  <c r="M492" i="1"/>
  <c r="M491" i="1"/>
  <c r="M494" i="1" l="1"/>
  <c r="M521" i="1"/>
  <c r="M518" i="1"/>
  <c r="M515" i="1"/>
  <c r="M495" i="1"/>
  <c r="M522" i="1"/>
  <c r="M519" i="1"/>
  <c r="M516" i="1"/>
  <c r="M496" i="1"/>
  <c r="M523" i="1"/>
  <c r="M520" i="1"/>
  <c r="M517" i="1"/>
  <c r="M541" i="1"/>
  <c r="M540" i="1"/>
  <c r="M115" i="1" s="1"/>
  <c r="M267" i="1" l="1"/>
  <c r="M266" i="1"/>
  <c r="M265" i="1"/>
  <c r="M264" i="1"/>
  <c r="M263" i="1"/>
  <c r="M262" i="1"/>
  <c r="M261" i="1"/>
  <c r="M260" i="1"/>
  <c r="M259" i="1"/>
  <c r="M331" i="1" l="1"/>
  <c r="M329" i="1"/>
  <c r="M327" i="1"/>
  <c r="M325" i="1"/>
  <c r="M323" i="1"/>
  <c r="M221" i="1" l="1"/>
  <c r="M20" i="1"/>
  <c r="M19" i="1"/>
  <c r="M18" i="1"/>
  <c r="M17" i="1"/>
  <c r="M16" i="1"/>
  <c r="M15" i="1"/>
  <c r="M13" i="1"/>
  <c r="M12" i="1"/>
  <c r="M9" i="1"/>
  <c r="M8" i="1"/>
  <c r="M10" i="1"/>
  <c r="M11" i="1"/>
  <c r="T17" i="4" l="1"/>
  <c r="P17" i="4"/>
  <c r="Q17" i="4"/>
  <c r="R17" i="4"/>
  <c r="S17" i="4"/>
  <c r="O17" i="4"/>
  <c r="N17" i="4"/>
  <c r="H17" i="4"/>
  <c r="O8" i="4"/>
  <c r="P8" i="4"/>
  <c r="O9" i="4"/>
  <c r="P9" i="4"/>
  <c r="O10" i="4"/>
  <c r="P10" i="4"/>
  <c r="O11" i="4"/>
  <c r="P11" i="4"/>
  <c r="T11" i="4" s="1"/>
  <c r="O12" i="4"/>
  <c r="P12" i="4"/>
  <c r="R11" i="4"/>
  <c r="Q9" i="4"/>
  <c r="R9" i="4"/>
  <c r="S9" i="4"/>
  <c r="Q10" i="4"/>
  <c r="R10" i="4"/>
  <c r="S10" i="4"/>
  <c r="Q11" i="4"/>
  <c r="S11" i="4"/>
  <c r="T12" i="4"/>
  <c r="Q12" i="4"/>
  <c r="R12" i="4"/>
  <c r="S12" i="4"/>
  <c r="Q8" i="4"/>
  <c r="R8" i="4"/>
  <c r="T8" i="4" s="1"/>
  <c r="S8" i="4"/>
  <c r="T10" i="4"/>
  <c r="N12" i="4"/>
  <c r="N11" i="4"/>
  <c r="N10" i="4"/>
  <c r="N9" i="4"/>
  <c r="N8" i="4"/>
  <c r="H9" i="4"/>
  <c r="H10" i="4"/>
  <c r="H11" i="4"/>
  <c r="H12" i="4"/>
  <c r="H8" i="4"/>
  <c r="T9" i="4" l="1"/>
  <c r="M442" i="1"/>
  <c r="M440" i="1"/>
  <c r="M45" i="1" l="1"/>
  <c r="M48" i="1"/>
  <c r="M345" i="1"/>
  <c r="M38" i="1"/>
  <c r="M296" i="1" l="1"/>
  <c r="M226" i="1"/>
  <c r="M83" i="1" l="1"/>
  <c r="M411" i="1" l="1"/>
  <c r="M230" i="1" l="1"/>
  <c r="M228" i="1"/>
  <c r="M223" i="1"/>
  <c r="M219" i="1"/>
  <c r="M86" i="1" l="1"/>
  <c r="M85" i="1"/>
  <c r="M500" i="1" l="1"/>
  <c r="M501" i="1" s="1"/>
  <c r="M460" i="1" l="1"/>
  <c r="M459" i="1"/>
  <c r="M458" i="1"/>
  <c r="M182" i="1" l="1"/>
  <c r="M51" i="1"/>
  <c r="M52" i="1"/>
  <c r="M449" i="1" l="1"/>
  <c r="M448" i="1"/>
  <c r="M436" i="1"/>
  <c r="M50" i="1"/>
  <c r="M447" i="1" l="1"/>
  <c r="M446" i="1"/>
  <c r="M445" i="1"/>
  <c r="M444" i="1"/>
  <c r="M443" i="1" l="1"/>
  <c r="M439" i="1"/>
  <c r="M438" i="1"/>
  <c r="M437" i="1" s="1"/>
  <c r="M435" i="1"/>
  <c r="M441" i="1" l="1"/>
  <c r="M455" i="1"/>
  <c r="M454" i="1"/>
  <c r="M453" i="1"/>
  <c r="M3" i="1" l="1"/>
</calcChain>
</file>

<file path=xl/sharedStrings.xml><?xml version="1.0" encoding="utf-8"?>
<sst xmlns="http://schemas.openxmlformats.org/spreadsheetml/2006/main" count="2336" uniqueCount="460">
  <si>
    <t>parameter</t>
  </si>
  <si>
    <t>value</t>
  </si>
  <si>
    <t>description</t>
  </si>
  <si>
    <t>source</t>
  </si>
  <si>
    <t>unit</t>
  </si>
  <si>
    <t>population</t>
  </si>
  <si>
    <t>millions</t>
  </si>
  <si>
    <t>SCB</t>
  </si>
  <si>
    <t>Swedish pop. in 2020</t>
  </si>
  <si>
    <t>DIET</t>
  </si>
  <si>
    <t>Cereals (excl. beer)</t>
  </si>
  <si>
    <t>Tubers or starchy vegetables</t>
  </si>
  <si>
    <t>Vegetables</t>
  </si>
  <si>
    <t>Fruits (excl. wine)</t>
  </si>
  <si>
    <t>Dairy foods</t>
  </si>
  <si>
    <t>Eggs</t>
  </si>
  <si>
    <t>Fish</t>
  </si>
  <si>
    <t>POPULATION</t>
  </si>
  <si>
    <t>consumption</t>
  </si>
  <si>
    <t>g/day</t>
  </si>
  <si>
    <t>Pulses and oil seeds</t>
  </si>
  <si>
    <t>Treenuts</t>
  </si>
  <si>
    <t>Vegetable oils</t>
  </si>
  <si>
    <t>Meat, offals and animal fats</t>
  </si>
  <si>
    <t>Sweeteners</t>
  </si>
  <si>
    <t>f_food_group</t>
  </si>
  <si>
    <t>cereals</t>
  </si>
  <si>
    <t>f_crop_prod</t>
  </si>
  <si>
    <t>f_by_prod</t>
  </si>
  <si>
    <t>Alcoholic beverages</t>
  </si>
  <si>
    <t>Stimulants</t>
  </si>
  <si>
    <t>Spices</t>
  </si>
  <si>
    <t>Wild food</t>
  </si>
  <si>
    <t>Novel foods</t>
  </si>
  <si>
    <t>WASTE</t>
  </si>
  <si>
    <t>f_animal_prod</t>
  </si>
  <si>
    <t>f_food</t>
  </si>
  <si>
    <t>wheat</t>
  </si>
  <si>
    <t>%</t>
  </si>
  <si>
    <t>IMPORT SHARES</t>
  </si>
  <si>
    <t>share_imported</t>
  </si>
  <si>
    <t>share_in_prod_system</t>
  </si>
  <si>
    <t>f_prod_system</t>
  </si>
  <si>
    <t>organic</t>
  </si>
  <si>
    <t>Fallback</t>
  </si>
  <si>
    <t>conventional</t>
  </si>
  <si>
    <t>-</t>
  </si>
  <si>
    <t>f_origin</t>
  </si>
  <si>
    <t>barley</t>
  </si>
  <si>
    <t>f_waste_level</t>
  </si>
  <si>
    <t>household</t>
  </si>
  <si>
    <t>retail</t>
  </si>
  <si>
    <t>processing</t>
  </si>
  <si>
    <t>waste_share</t>
  </si>
  <si>
    <t>Pig meat and products</t>
  </si>
  <si>
    <t>meat</t>
  </si>
  <si>
    <t>f_species</t>
  </si>
  <si>
    <t>pigs</t>
  </si>
  <si>
    <r>
      <t>CONVERSION FACTORS</t>
    </r>
    <r>
      <rPr>
        <sz val="11"/>
        <color theme="1"/>
        <rFont val="Calibri"/>
        <family val="2"/>
        <scheme val="minor"/>
      </rPr>
      <t xml:space="preserve"> (share of crop/animal product ending up as corresponding food or by-product)</t>
    </r>
  </si>
  <si>
    <t>milk</t>
  </si>
  <si>
    <t>cream</t>
  </si>
  <si>
    <t>Milk and products 1-2% fat</t>
  </si>
  <si>
    <t>Milk and products less than 1% fat</t>
  </si>
  <si>
    <t>Milk and products more than 2% fat</t>
  </si>
  <si>
    <t>Cheese</t>
  </si>
  <si>
    <t>Butter</t>
  </si>
  <si>
    <t>Cream low fat</t>
  </si>
  <si>
    <t>Cream high fat</t>
  </si>
  <si>
    <t>Icecream</t>
  </si>
  <si>
    <t>Sourcream</t>
  </si>
  <si>
    <t>whey</t>
  </si>
  <si>
    <t>0.5% fat (4.2% fat in raw milk and 40% in cream)</t>
  </si>
  <si>
    <t>1.5% fat</t>
  </si>
  <si>
    <t>3% fat</t>
  </si>
  <si>
    <t>12% fat</t>
  </si>
  <si>
    <t>13% fat</t>
  </si>
  <si>
    <t>40% fat</t>
  </si>
  <si>
    <t>80% fat</t>
  </si>
  <si>
    <t>10% fat</t>
  </si>
  <si>
    <t>cattle</t>
  </si>
  <si>
    <t>produced from milk w. 3% fat</t>
  </si>
  <si>
    <t>dairy</t>
  </si>
  <si>
    <t>buttermilk</t>
  </si>
  <si>
    <t>1% fat in buttermilk</t>
  </si>
  <si>
    <t>disagg?</t>
  </si>
  <si>
    <t>conv_factor_main</t>
  </si>
  <si>
    <t>conv_factor_by</t>
  </si>
  <si>
    <t>domestic</t>
  </si>
  <si>
    <t>Maize and products</t>
  </si>
  <si>
    <t>need to check overlap with conversion factors</t>
  </si>
  <si>
    <t>rye</t>
  </si>
  <si>
    <t>oats</t>
  </si>
  <si>
    <t>FAO 1992</t>
  </si>
  <si>
    <t>calc from fat content</t>
  </si>
  <si>
    <t>SJV stat</t>
  </si>
  <si>
    <t>Bovine meat and products</t>
  </si>
  <si>
    <t>(1/0.76)=carcass weight--&gt;live weight</t>
  </si>
  <si>
    <t>(1/0.52)=carcass weight--&gt;live weight</t>
  </si>
  <si>
    <t>SJV stat (2016-2020)</t>
  </si>
  <si>
    <t>Potatoes, fresh</t>
  </si>
  <si>
    <t>Potatoes, frozen</t>
  </si>
  <si>
    <t>Starch of potatoes</t>
  </si>
  <si>
    <t>Potato flour, meal, powder, granulates and pellets of potatoes</t>
  </si>
  <si>
    <t>tubers</t>
  </si>
  <si>
    <t>where do we handle discarded potatoes?</t>
  </si>
  <si>
    <t>potatoes table</t>
  </si>
  <si>
    <t>potatoes starch</t>
  </si>
  <si>
    <t>Tomatoes and products</t>
  </si>
  <si>
    <t>vegetables</t>
  </si>
  <si>
    <t>tomatoes</t>
  </si>
  <si>
    <t>Cucumbers and gherkins</t>
  </si>
  <si>
    <t>cucumbers</t>
  </si>
  <si>
    <t>alcoholic beverages</t>
  </si>
  <si>
    <t>Assumed same as 'Barley and products'</t>
  </si>
  <si>
    <t>Chapter 16.2 in Pandey. 2009. Biotechnology for Agro-Industrial Residues Utilisation</t>
  </si>
  <si>
    <t>~75% water content. 20% of produced beer</t>
  </si>
  <si>
    <t>potatoe offals</t>
  </si>
  <si>
    <t>pig offals</t>
  </si>
  <si>
    <t>pig slaughterhouse fat</t>
  </si>
  <si>
    <t>pig skins</t>
  </si>
  <si>
    <t>pig butcher fat</t>
  </si>
  <si>
    <t>cattle offals</t>
  </si>
  <si>
    <t>cattle slaughterhouse fat</t>
  </si>
  <si>
    <t>cattle skins</t>
  </si>
  <si>
    <t>cattle butcher fat</t>
  </si>
  <si>
    <t>barley brewers grain</t>
  </si>
  <si>
    <t>Rape and mustard oil and products</t>
  </si>
  <si>
    <t>vegetable oils</t>
  </si>
  <si>
    <t>rapeseed</t>
  </si>
  <si>
    <t>rapeseed meal</t>
  </si>
  <si>
    <t>rapeseed cake</t>
  </si>
  <si>
    <t>calc. based on 45.5% fat in seed and 20% fat in cold pressed cake</t>
  </si>
  <si>
    <t>1/3 of oil other added here</t>
  </si>
  <si>
    <t>Sunflowerseed oil and products</t>
  </si>
  <si>
    <t>Olive oil and products</t>
  </si>
  <si>
    <t>Carrots and turnips</t>
  </si>
  <si>
    <t>carrots</t>
  </si>
  <si>
    <t>Cabbages (and cauliflower &amp; broccoli)</t>
  </si>
  <si>
    <t>Lettuce and spinach</t>
  </si>
  <si>
    <t>Pumpkins, squash and gourds</t>
  </si>
  <si>
    <t>Peas, green</t>
  </si>
  <si>
    <t>Onions, dry</t>
  </si>
  <si>
    <t>peas green</t>
  </si>
  <si>
    <t>cabbages etc</t>
  </si>
  <si>
    <t>lettuce and spinach</t>
  </si>
  <si>
    <t>pumpkins and squash</t>
  </si>
  <si>
    <t>other vegetables</t>
  </si>
  <si>
    <t>onions</t>
  </si>
  <si>
    <t>Other vegetables</t>
  </si>
  <si>
    <t>assumed same as wheat</t>
  </si>
  <si>
    <t>100% in Hanna's sheet</t>
  </si>
  <si>
    <r>
      <t>PRODUCTION SYSTEM SHARES</t>
    </r>
    <r>
      <rPr>
        <sz val="11"/>
        <color theme="1"/>
        <rFont val="Calibri"/>
        <family val="2"/>
        <scheme val="minor"/>
      </rPr>
      <t xml:space="preserve"> (shares can be different for 'domestic' and 'imported' by specifying 'f_origin')</t>
    </r>
  </si>
  <si>
    <t>Raps</t>
  </si>
  <si>
    <t>Kanske används lite I FAME. Troligen ej I HVO</t>
  </si>
  <si>
    <t>Kan vara annat, såpa</t>
  </si>
  <si>
    <t>Margarin, Hanna kollar</t>
  </si>
  <si>
    <t>Hönsen?</t>
  </si>
  <si>
    <t>Fiskfoder? Export till Norge?</t>
  </si>
  <si>
    <t>Potatis stärkelse</t>
  </si>
  <si>
    <t>Konsumption kan vara underskattad</t>
  </si>
  <si>
    <t>Finns det export</t>
  </si>
  <si>
    <t>Vete</t>
  </si>
  <si>
    <t>200 000 ton foder</t>
  </si>
  <si>
    <t>600 000 ton spannmål (absolut majoritet vete) per år till Agroetanol. Även lite rågvete</t>
  </si>
  <si>
    <t>Morötter</t>
  </si>
  <si>
    <t>Morötter till foder</t>
  </si>
  <si>
    <t>Avg. of "Klass 1&amp;2" and "Klass 3"</t>
  </si>
  <si>
    <t>Ekologiska årsrapporten 2021</t>
  </si>
  <si>
    <t>From share organic raw milk to dairies. Using product level shares difficult</t>
  </si>
  <si>
    <t>From prod. stat</t>
  </si>
  <si>
    <t>"Havregryn"</t>
  </si>
  <si>
    <t>"Sallat"</t>
  </si>
  <si>
    <t>"Morötter"</t>
  </si>
  <si>
    <t>"Lök"</t>
  </si>
  <si>
    <t>"Gurka"</t>
  </si>
  <si>
    <t>"Tomater"</t>
  </si>
  <si>
    <t>barley malt culms</t>
  </si>
  <si>
    <t>maltgroddar</t>
  </si>
  <si>
    <t>Share conventional is calculated as what remains (value should be -100). Do not specify per food</t>
  </si>
  <si>
    <t>Wheat and products, refined</t>
  </si>
  <si>
    <t>Barley and products, refined</t>
  </si>
  <si>
    <t>Rye and products, refined</t>
  </si>
  <si>
    <t>Oats and products, refined</t>
  </si>
  <si>
    <t>Other cereals and products, refined</t>
  </si>
  <si>
    <t>Wheat and products, whole grain</t>
  </si>
  <si>
    <t>Barley and products, whole grain</t>
  </si>
  <si>
    <t>Rye and products, whole grain</t>
  </si>
  <si>
    <t>Oats and products, whole grain</t>
  </si>
  <si>
    <t>Other cereals and products, whole grain</t>
  </si>
  <si>
    <t>EXPORTS</t>
  </si>
  <si>
    <t>tonnes</t>
  </si>
  <si>
    <t>potatoe protein</t>
  </si>
  <si>
    <t>2% prot. in potatoes, 50% recovery, 84.4% prot. in potatoe protein DM, 90% DM</t>
  </si>
  <si>
    <t>Pers. Com. Kalle Johansson, Lyckeby, 2023-05</t>
  </si>
  <si>
    <t>Biofuel, ethanol</t>
  </si>
  <si>
    <t>Biofuel, RME</t>
  </si>
  <si>
    <t>Produced from domestic rapseed</t>
  </si>
  <si>
    <t>non_food_demand</t>
  </si>
  <si>
    <t>BIOENERGY AND OTHER NON-FOOD DEMAND</t>
  </si>
  <si>
    <t>Bioenergy</t>
  </si>
  <si>
    <t>non-food</t>
  </si>
  <si>
    <t>Assuming Oil:RME = 1:1</t>
  </si>
  <si>
    <t>Peas, dry</t>
  </si>
  <si>
    <t>Broad beans and horse beans, dry</t>
  </si>
  <si>
    <t>Beans, dry</t>
  </si>
  <si>
    <t>Chick peas, dry</t>
  </si>
  <si>
    <t>Lentils, dry</t>
  </si>
  <si>
    <t>pulses</t>
  </si>
  <si>
    <t>1/3 of oil other added here + margarine*0.6</t>
  </si>
  <si>
    <t>Potato flour</t>
  </si>
  <si>
    <t>made from starch potatoes??</t>
  </si>
  <si>
    <t>peas</t>
  </si>
  <si>
    <t>broad beans</t>
  </si>
  <si>
    <t>beans</t>
  </si>
  <si>
    <t>"Ärtor/bönor/linser torkade"</t>
  </si>
  <si>
    <t>Ekologiska årsrapporten 2022</t>
  </si>
  <si>
    <t>same as refined</t>
  </si>
  <si>
    <t>Sugar and products</t>
  </si>
  <si>
    <t>Honey</t>
  </si>
  <si>
    <t>Other sweeteners</t>
  </si>
  <si>
    <t>sweeteners</t>
  </si>
  <si>
    <t>same as sugar</t>
  </si>
  <si>
    <t>may be higher?</t>
  </si>
  <si>
    <t>sirup and maple syrup</t>
  </si>
  <si>
    <t>sugar beet</t>
  </si>
  <si>
    <t>sugar beet pulp</t>
  </si>
  <si>
    <t>sugar beet molasses</t>
  </si>
  <si>
    <t>Wine and products</t>
  </si>
  <si>
    <t>Beverages, fermented and products</t>
  </si>
  <si>
    <t>fermented beverages other than barley beer</t>
  </si>
  <si>
    <t>Barley beer</t>
  </si>
  <si>
    <t>Beverages, alcoholic</t>
  </si>
  <si>
    <t>spirits</t>
  </si>
  <si>
    <t>Assuming same as 'Apples'</t>
  </si>
  <si>
    <t>Assuming same as 'Wheat and products'</t>
  </si>
  <si>
    <t>"Vin"</t>
  </si>
  <si>
    <t>"Starksprit"</t>
  </si>
  <si>
    <t>grapes</t>
  </si>
  <si>
    <t>apples</t>
  </si>
  <si>
    <t>apple pulp</t>
  </si>
  <si>
    <t>wheat gluten?</t>
  </si>
  <si>
    <t>Apples</t>
  </si>
  <si>
    <t>Apple juice</t>
  </si>
  <si>
    <t>Apple juice concentrate</t>
  </si>
  <si>
    <t>fruits</t>
  </si>
  <si>
    <t>Pears</t>
  </si>
  <si>
    <t>"Äpplen"</t>
  </si>
  <si>
    <t>pears</t>
  </si>
  <si>
    <t>Assuming same as "Äpplen"</t>
  </si>
  <si>
    <t>Mushrooms and truffles</t>
  </si>
  <si>
    <t>Other beans, green + String beans + Artichokes + Asparagus + Chillies and peppers, green (capsicum spp. and pimenta spp.) + Sweet corn frozen + Sweet corn prepared or preserved</t>
  </si>
  <si>
    <t>Vegetables DONE!</t>
  </si>
  <si>
    <t>Adjusted to match prod. 100% in Hanna's sheet</t>
  </si>
  <si>
    <t>Fruits and berries (excl. wine)</t>
  </si>
  <si>
    <t>Other fruit</t>
  </si>
  <si>
    <t>Strawberries</t>
  </si>
  <si>
    <t>Other berries</t>
  </si>
  <si>
    <t>Raspberries</t>
  </si>
  <si>
    <t>Plums and sloes + Plums dried (CF=35%) + Cherries</t>
  </si>
  <si>
    <t>other fruit</t>
  </si>
  <si>
    <t>strawberries</t>
  </si>
  <si>
    <t>Currants</t>
  </si>
  <si>
    <t>currants</t>
  </si>
  <si>
    <t>other berries</t>
  </si>
  <si>
    <t>no cons. data?</t>
  </si>
  <si>
    <t>guess</t>
  </si>
  <si>
    <t>adjusted to match prod.</t>
  </si>
  <si>
    <t>Poultry meat and products</t>
  </si>
  <si>
    <t>poultry</t>
  </si>
  <si>
    <t>By-products??</t>
  </si>
  <si>
    <t>horses</t>
  </si>
  <si>
    <t>heads</t>
  </si>
  <si>
    <t>Recreational horses</t>
  </si>
  <si>
    <t>1000 heads</t>
  </si>
  <si>
    <t>Current number of horses</t>
  </si>
  <si>
    <t>Imports</t>
  </si>
  <si>
    <t>Sources:</t>
  </si>
  <si>
    <t>https://www2.jordbruksverket.se/download/18.bd0539d17ee49dae393071f/1644574503673/ra21_9.pdf</t>
  </si>
  <si>
    <t>SJV (2021) Sveriges utrikeshandel med jordbruksvaror och livsmedel 2018–2020. Rapport 2021:9</t>
  </si>
  <si>
    <t>Exports</t>
  </si>
  <si>
    <t>Wheat</t>
  </si>
  <si>
    <t>Rye</t>
  </si>
  <si>
    <t>AVG</t>
  </si>
  <si>
    <t>Barley</t>
  </si>
  <si>
    <t>Oats</t>
  </si>
  <si>
    <t>Maize</t>
  </si>
  <si>
    <t>https://jordbruksverket.se/download/18.28f4d91b172cdd65219e9d30/1592810968452/Sveriges_utrikeshandel_med%20jordbruksvaror_och_livsmedel_2016-2018_webb%20(003).pdf</t>
  </si>
  <si>
    <t>SJV (2019) Sveriges utrikeshandel med jordbruksvaror och livsmedel 2016–2018. Rapport 2019:18</t>
  </si>
  <si>
    <t>Net Exports</t>
  </si>
  <si>
    <t>Wheat grains</t>
  </si>
  <si>
    <t>Barley grains</t>
  </si>
  <si>
    <t>Rye grains</t>
  </si>
  <si>
    <t>Oat grains</t>
  </si>
  <si>
    <t>export_demand</t>
  </si>
  <si>
    <t>SJV (2019 &amp; 2021) Sveriges utrikeshandel med jordbruksvaror och livsmedel 2016-2018 &amp; 2018-2020</t>
  </si>
  <si>
    <t xml:space="preserve">Pers. com. Kalle Johansson, Lyckeby (2023-05-30) | SJV 2015. Marknadsöversikt potatis till mat och stärkelseproduktion </t>
  </si>
  <si>
    <t>Use net exports as no feed imports assumed. OK?</t>
  </si>
  <si>
    <t xml:space="preserve">Pers. com. Kalle Johansson, Lyckeby (2023-05-30) </t>
  </si>
  <si>
    <t>"Majority for food exported". Adjusted to match demand and production</t>
  </si>
  <si>
    <t>Other</t>
  </si>
  <si>
    <t>Adjusted to ~1/2 of prod. used in paper industry</t>
  </si>
  <si>
    <t>Cereals [tonnes]</t>
  </si>
  <si>
    <t>Other [tonnes]</t>
  </si>
  <si>
    <t>Torkade ärter, bönor m.m.</t>
  </si>
  <si>
    <t>Råg</t>
  </si>
  <si>
    <t>Korn</t>
  </si>
  <si>
    <t>Havre</t>
  </si>
  <si>
    <t>Majs</t>
  </si>
  <si>
    <t>Use total exports as import accounted for in food demand. OK?</t>
  </si>
  <si>
    <t>carbon dioxide</t>
  </si>
  <si>
    <t>wheat distillers grain</t>
  </si>
  <si>
    <t>ska vi ha med denna?</t>
  </si>
  <si>
    <t/>
  </si>
  <si>
    <t>Börjesson, P., Tufvesson, L., &amp; Lantz, M. (2010). Livscykelanalys av svenska biodrivmedel. (Environmental and Energy System Studies report no. 70; Vol. 70). Environmental and Energy Systems Studies, Lund university.</t>
  </si>
  <si>
    <t>PROCESSING ENERGY USE</t>
  </si>
  <si>
    <t>Add processing energy use factors per food item</t>
  </si>
  <si>
    <t>Rice and products, refined</t>
  </si>
  <si>
    <t>Rice and products, whole grain</t>
  </si>
  <si>
    <t>10% whole grain</t>
  </si>
  <si>
    <t>Riksmaten 2011. Tabell 153</t>
  </si>
  <si>
    <t>Riksmaten 2011. Tabell 7 and page 87</t>
  </si>
  <si>
    <t>Assume 28% whole grain to reach 25% total whole grain share (42g/165g=0.25). Whole grain intake=42 g/d. Recommendation=70 g/d (F) &amp; 90 g/d (M)</t>
  </si>
  <si>
    <t>Assume 28% whole grain to reach 25% total whole grain share</t>
  </si>
  <si>
    <t>flour of mixed grain, Assume 28% whole grain to reach 25% total whole grain share</t>
  </si>
  <si>
    <t>eggs</t>
  </si>
  <si>
    <t>Adjusted to match slaughter statistics</t>
  </si>
  <si>
    <t>adj factor:</t>
  </si>
  <si>
    <t>Adjusted to match egg prod. statistics</t>
  </si>
  <si>
    <t>Adjusted to match prod. statistics. "Ägg"</t>
  </si>
  <si>
    <t>CHECK THIS! Should be wheat distillers grain???</t>
  </si>
  <si>
    <t>@ 90% DM</t>
  </si>
  <si>
    <t>Tabell A18 in Börjesson et al (2010)</t>
  </si>
  <si>
    <t>Börjesson et al (2010)</t>
  </si>
  <si>
    <t>Based on assuming 600 000 tonnes cereals used</t>
  </si>
  <si>
    <t>2.1 kg DM wheat --&gt; 1 L bioethanol + 0.8 kg DM distillers grain. Wheat 86% DM, distillers grain 90% DM. Bioethanol 21.3 MJ/L and 27.8 MJ/kg --&gt; 0.766 kg/L</t>
  </si>
  <si>
    <t>161 kg WS/t SB</t>
  </si>
  <si>
    <t>Garcia Gonzalez, M. N., &amp; Björnsson, L. (2022). Life cycle assessment of the production of beet sugar and its by-products. Journal of Cleaner Production, 346, 131211. doi:https://doi.org/10.1016/j.jclepro.2022.131211</t>
  </si>
  <si>
    <t>Garcia Gonzalez and Börjesson 2022</t>
  </si>
  <si>
    <t>(90% DM) 6.4 kg DM PSBP and 25.2 kg DM DSBP per t wet weight sugar beet</t>
  </si>
  <si>
    <t>(76% DM) 19 kg DM molasses per t wet weight sugar beet</t>
  </si>
  <si>
    <t>Based on sugar but adjusted to 20% w.c. in syrup</t>
  </si>
  <si>
    <t>https://fransverige.se/aktuellt/nya-siffror-visar-sveriges-sjalvforsorjningsgrad/</t>
  </si>
  <si>
    <t>for 2019</t>
  </si>
  <si>
    <t>temp add 303000</t>
  </si>
  <si>
    <t>temp add 246000</t>
  </si>
  <si>
    <t>Mutton/goat meat</t>
  </si>
  <si>
    <t>Recreational sheep</t>
  </si>
  <si>
    <t>Around 103 100 "surpluss" ewes+rams in statistics. 78% total sheep conventional. 0.12 heads of lamb per ewe+ram in "other sheep" sub-system</t>
  </si>
  <si>
    <t>sheep</t>
  </si>
  <si>
    <t xml:space="preserve">FAO 1992/Clune et al </t>
  </si>
  <si>
    <t>sheep skins fresh (by-product from live weight)</t>
  </si>
  <si>
    <t>sheep slaughterhouse fat (by-product from live weight)</t>
  </si>
  <si>
    <t>sheep offals (by-product from live weight)</t>
  </si>
  <si>
    <t>(1/0.50)=carcass weight--&gt;live weight</t>
  </si>
  <si>
    <t>Need to check!!</t>
  </si>
  <si>
    <r>
      <rPr>
        <b/>
        <sz val="11"/>
        <color rgb="FFC00000"/>
        <rFont val="Calibri"/>
        <family val="2"/>
        <scheme val="minor"/>
      </rPr>
      <t>Note:</t>
    </r>
    <r>
      <rPr>
        <sz val="11"/>
        <color rgb="FFC00000"/>
        <rFont val="Calibri"/>
        <family val="2"/>
        <scheme val="minor"/>
      </rPr>
      <t xml:space="preserve"> No demand for the number of 'other sheep'. Their number is instead controlled by setting 'max_share_in_sub_system' parameter</t>
    </r>
  </si>
  <si>
    <t>SOURCE?</t>
  </si>
  <si>
    <t>milling by-products from wheat, barley or rye</t>
  </si>
  <si>
    <t>bran?</t>
  </si>
  <si>
    <t>19% bran + 2% germ</t>
  </si>
  <si>
    <t>19% bran + 9% hulls</t>
  </si>
  <si>
    <t>hulls</t>
  </si>
  <si>
    <t>bran</t>
  </si>
  <si>
    <t>20% offals + 27% hulls</t>
  </si>
  <si>
    <t>milling by-products from oats</t>
  </si>
  <si>
    <t>27% hulls</t>
  </si>
  <si>
    <t>Unprocessed commodity</t>
  </si>
  <si>
    <t>adjusted from 73% to match slaughter statistics</t>
  </si>
  <si>
    <t>adjusted from 71% to match slaughter statistics</t>
  </si>
  <si>
    <t>Clune et al</t>
  </si>
  <si>
    <t>adjusted from 77% (= bone free) to match slaughter statistics. Large change needed, potentially cons./imp./waste wrong</t>
  </si>
  <si>
    <t>changed from 2.9 g/day to match slaughter statistics</t>
  </si>
  <si>
    <t>chnaged from 66% to match slaughter statistics</t>
  </si>
  <si>
    <t>population_region</t>
  </si>
  <si>
    <t>nr</t>
  </si>
  <si>
    <t>Population per region</t>
  </si>
  <si>
    <t>Calculated from SCB 1x1km Gridded Population 2022-12-31. https://www.scb.se/en/services/open-data-api/open-geodata/grid-statistics/</t>
  </si>
  <si>
    <t>DemandAndConversions-population.csv</t>
  </si>
  <si>
    <t>fodder</t>
  </si>
  <si>
    <t>Ley, biogas feedstock</t>
  </si>
  <si>
    <t>tonnes DM</t>
  </si>
  <si>
    <t>Beetroot</t>
  </si>
  <si>
    <t>f_crop_resid</t>
  </si>
  <si>
    <t>Milk powder</t>
  </si>
  <si>
    <t>Eggs novel foods</t>
  </si>
  <si>
    <t>eggs for quorn</t>
  </si>
  <si>
    <t>Sweet lupin</t>
  </si>
  <si>
    <t>Grey pea</t>
  </si>
  <si>
    <t>Hazelnuts</t>
  </si>
  <si>
    <t>treenuts</t>
  </si>
  <si>
    <t>Walnuts</t>
  </si>
  <si>
    <t>Seeds</t>
  </si>
  <si>
    <t>Sunflower seeds</t>
  </si>
  <si>
    <t>seeds</t>
  </si>
  <si>
    <t>Rapeseed oil novel foods</t>
  </si>
  <si>
    <t>rapeseed oil in novel foods</t>
  </si>
  <si>
    <t>Pea protein product</t>
  </si>
  <si>
    <t>alternatives meat</t>
  </si>
  <si>
    <t>Soy protein product</t>
  </si>
  <si>
    <t>not included below as it is only the rapeseed and this is included in novel foods in the scnearios weher it adds to rapeseed use</t>
  </si>
  <si>
    <t>Wheat protein product</t>
  </si>
  <si>
    <t>Oat drink</t>
  </si>
  <si>
    <t>alternatives dairy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</si>
  <si>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</si>
  <si>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</si>
  <si>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</si>
  <si>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</si>
  <si>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</si>
  <si>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</si>
  <si>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</si>
  <si>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</si>
  <si>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</si>
  <si>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Biofuel, ethanol straw</t>
  </si>
  <si>
    <t>conversion based on Karlsson et al 2014</t>
  </si>
  <si>
    <t>"andelen svenskproducerat kött i vår konsumtion har ökat de senaste åren" 2019</t>
  </si>
  <si>
    <t>"Import och export av mejeriprodukter" 2019</t>
  </si>
  <si>
    <t>assumed the same as potatoes</t>
  </si>
  <si>
    <t>Quinoa</t>
  </si>
  <si>
    <t>assumed to be the same as milk for now</t>
  </si>
  <si>
    <t>test</t>
  </si>
  <si>
    <t>same as regular rapeseed</t>
  </si>
  <si>
    <t>assumed same as pea, but this product also contains raspeed oil</t>
  </si>
  <si>
    <t>alternative meat</t>
  </si>
  <si>
    <t>assuming all soybeans are imported, rapeseed partley produced in Swden, regulated in scnearios</t>
  </si>
  <si>
    <t>assumed same as wheat, but this product also contains rapseed oil</t>
  </si>
  <si>
    <t>assumed same as oat, but thsi product also contains raseed oil</t>
  </si>
  <si>
    <t>assumed the same as sugar</t>
  </si>
  <si>
    <t>assumed to be the same as faba bean</t>
  </si>
  <si>
    <t>straw main substrate, assumed to be domestic</t>
  </si>
  <si>
    <t>assume same as "Morötter"</t>
  </si>
  <si>
    <t>assumtion for now</t>
  </si>
  <si>
    <t>assumption for now</t>
  </si>
  <si>
    <t>beetroot</t>
  </si>
  <si>
    <t>Milk Powder</t>
  </si>
  <si>
    <t>lentils</t>
  </si>
  <si>
    <t>sweet lupin</t>
  </si>
  <si>
    <t>grey pea</t>
  </si>
  <si>
    <t>sunflower seeds</t>
  </si>
  <si>
    <t>It says 41 in the FAO report, but adjust to 43 to make it up to a 100%</t>
  </si>
  <si>
    <t>sunflower seed cake</t>
  </si>
  <si>
    <t>pea starch</t>
  </si>
  <si>
    <t>adds to more than a 100% as peas are dry and pea protein product is a ready to eat product</t>
  </si>
  <si>
    <t>wheat starch</t>
  </si>
  <si>
    <t>wheat oil</t>
  </si>
  <si>
    <t>oat fibers</t>
  </si>
  <si>
    <t>broad bean okara</t>
  </si>
  <si>
    <t>straw</t>
  </si>
  <si>
    <t>conversion from Karlsson et al 2014</t>
  </si>
  <si>
    <t>biogas</t>
  </si>
  <si>
    <t>Should instead define the by-product substrate to be handled in the WasteAndCircularity module</t>
  </si>
  <si>
    <t>assumption for now, probably high due to no persticides approved, very small production today</t>
  </si>
  <si>
    <t>RECIPIES</t>
  </si>
  <si>
    <t>Test 1</t>
  </si>
  <si>
    <t>f_food_ingr</t>
  </si>
  <si>
    <t>recipie</t>
  </si>
  <si>
    <t>Here recipies for foods made up of several other foods can be specified (i.e. compound foods). In the model these foods are converted to their constituent foods.</t>
  </si>
  <si>
    <t>Import shares are applied both for the compound food and the constituent foods, so that e.g. a compound food can be specified as 100% domestic while some</t>
  </si>
  <si>
    <t>This is an example that is not used</t>
  </si>
  <si>
    <t>of its ingredients are 100% imported. For production system shares the share of the compound food are used also for its ingredients. NOTE! Conversion factors</t>
  </si>
  <si>
    <t>are not applicable for compound foods (i.e. all fods with the 'recipie' parameter specified).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</si>
</sst>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0"/>
    <numFmt numFmtId="166" formatCode="#,##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 applyBorder="1"/>
    <xf numFmtId="0" fontId="3" fillId="0" borderId="0" xfId="0" applyFont="1" applyFill="1" applyBorder="1"/>
    <xf numFmtId="1" fontId="3" fillId="0" borderId="0" xfId="0" applyNumberFormat="1" applyFont="1" applyBorder="1"/>
    <xf numFmtId="164" fontId="3" fillId="0" borderId="0" xfId="0" applyNumberFormat="1" applyFont="1"/>
    <xf numFmtId="1" fontId="3" fillId="0" borderId="0" xfId="0" applyNumberFormat="1" applyFont="1" applyFill="1" applyBorder="1"/>
    <xf numFmtId="1" fontId="5" fillId="0" borderId="0" xfId="0" applyNumberFormat="1" applyFont="1"/>
    <xf numFmtId="1" fontId="0" fillId="0" borderId="0" xfId="0" applyNumberFormat="1" applyFill="1" applyBorder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1" fontId="5" fillId="0" borderId="0" xfId="0" applyNumberFormat="1" applyFont="1" applyBorder="1"/>
    <xf numFmtId="1" fontId="0" fillId="0" borderId="0" xfId="0" applyNumberFormat="1"/>
    <xf numFmtId="164" fontId="0" fillId="0" borderId="0" xfId="0" applyNumberFormat="1"/>
    <xf numFmtId="1" fontId="3" fillId="0" borderId="0" xfId="0" applyNumberFormat="1" applyFont="1"/>
    <xf numFmtId="9" fontId="0" fillId="0" borderId="0" xfId="0" applyNumberFormat="1"/>
    <xf numFmtId="0" fontId="2" fillId="0" borderId="0" xfId="0" applyFont="1"/>
    <xf numFmtId="0" fontId="6" fillId="0" borderId="0" xfId="0" applyFont="1"/>
    <xf numFmtId="0" fontId="7" fillId="0" borderId="0" xfId="0" applyFont="1"/>
    <xf numFmtId="2" fontId="5" fillId="0" borderId="0" xfId="0" applyNumberFormat="1" applyFont="1" applyFill="1" applyBorder="1"/>
    <xf numFmtId="164" fontId="5" fillId="0" borderId="0" xfId="0" applyNumberFormat="1" applyFont="1"/>
    <xf numFmtId="165" fontId="0" fillId="0" borderId="0" xfId="0" applyNumberFormat="1"/>
    <xf numFmtId="0" fontId="8" fillId="0" borderId="0" xfId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Font="1"/>
    <xf numFmtId="3" fontId="1" fillId="0" borderId="0" xfId="0" applyNumberFormat="1" applyFont="1"/>
    <xf numFmtId="3" fontId="0" fillId="2" borderId="0" xfId="0" applyNumberFormat="1" applyFill="1"/>
    <xf numFmtId="166" fontId="0" fillId="0" borderId="0" xfId="0" applyNumberFormat="1"/>
    <xf numFmtId="0" fontId="0" fillId="3" borderId="0" xfId="0" quotePrefix="1" applyFill="1"/>
    <xf numFmtId="2" fontId="0" fillId="2" borderId="0" xfId="0" applyNumberFormat="1" applyFill="1"/>
    <xf numFmtId="0" fontId="9" fillId="0" borderId="0" xfId="0" applyFont="1"/>
    <xf numFmtId="0" fontId="0" fillId="3" borderId="0" xfId="0" applyFill="1" applyAlignment="1">
      <alignment horizontal="left"/>
    </xf>
    <xf numFmtId="0" fontId="5" fillId="0" borderId="0" xfId="0" quotePrefix="1" applyFont="1"/>
    <xf numFmtId="164" fontId="9" fillId="0" borderId="0" xfId="0" applyNumberFormat="1" applyFont="1"/>
    <xf numFmtId="0" fontId="0" fillId="0" borderId="0" xfId="0" applyFill="1"/>
    <xf numFmtId="0" fontId="10" fillId="0" borderId="0" xfId="0" applyFont="1"/>
    <xf numFmtId="9" fontId="0" fillId="0" borderId="0" xfId="0" applyNumberFormat="1" applyBorder="1"/>
    <xf numFmtId="0" fontId="6" fillId="0" borderId="0" xfId="0" applyFont="1" applyBorder="1"/>
    <xf numFmtId="0" fontId="12" fillId="3" borderId="0" xfId="0" applyFont="1" applyFill="1"/>
    <xf numFmtId="0" fontId="0" fillId="0" borderId="0" xfId="0" applyFont="1"/>
    <xf numFmtId="0" fontId="4" fillId="0" borderId="0" xfId="0" applyFont="1" applyBorder="1"/>
    <xf numFmtId="0" fontId="4" fillId="3" borderId="0" xfId="0" applyFont="1" applyFill="1" applyBorder="1"/>
    <xf numFmtId="0" fontId="5" fillId="0" borderId="0" xfId="0" applyNumberFormat="1" applyFont="1"/>
    <xf numFmtId="0" fontId="13" fillId="3" borderId="0" xfId="0" applyFont="1" applyFill="1"/>
    <xf numFmtId="0" fontId="5" fillId="3" borderId="0" xfId="0" applyFont="1" applyFill="1" applyBorder="1"/>
    <xf numFmtId="0" fontId="5" fillId="3" borderId="0" xfId="0" applyFont="1" applyFill="1"/>
    <xf numFmtId="0" fontId="5" fillId="3" borderId="0" xfId="0" applyNumberFormat="1" applyFont="1" applyFill="1"/>
    <xf numFmtId="9" fontId="5" fillId="0" borderId="0" xfId="0" applyNumberFormat="1" applyFont="1"/>
    <xf numFmtId="0" fontId="5" fillId="0" borderId="0" xfId="0" applyFont="1" applyFill="1"/>
    <xf numFmtId="0" fontId="13" fillId="0" borderId="0" xfId="0" applyFont="1" applyFill="1"/>
    <xf numFmtId="1" fontId="5" fillId="0" borderId="0" xfId="0" applyNumberFormat="1" applyFont="1" applyFill="1"/>
    <xf numFmtId="2" fontId="5" fillId="0" borderId="0" xfId="0" applyNumberFormat="1" applyFont="1"/>
    <xf numFmtId="0" fontId="14" fillId="2" borderId="0" xfId="0" applyFont="1" applyFill="1"/>
    <xf numFmtId="0" fontId="15" fillId="0" borderId="0" xfId="0" applyFont="1"/>
    <xf numFmtId="3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</xdr:colOff>
      <xdr:row>122</xdr:row>
      <xdr:rowOff>0</xdr:rowOff>
    </xdr:from>
    <xdr:to>
      <xdr:col>12</xdr:col>
      <xdr:colOff>0</xdr:colOff>
      <xdr:row>123</xdr:row>
      <xdr:rowOff>178594</xdr:rowOff>
    </xdr:to>
    <xdr:cxnSp macro="">
      <xdr:nvCxnSpPr>
        <xdr:cNvPr id="3" name="Straight Connector 2"/>
        <xdr:cNvCxnSpPr/>
      </xdr:nvCxnSpPr>
      <xdr:spPr>
        <a:xfrm>
          <a:off x="11263312" y="18288000"/>
          <a:ext cx="1416844" cy="369094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121</xdr:row>
      <xdr:rowOff>188119</xdr:rowOff>
    </xdr:from>
    <xdr:to>
      <xdr:col>11</xdr:col>
      <xdr:colOff>1426369</xdr:colOff>
      <xdr:row>123</xdr:row>
      <xdr:rowOff>176213</xdr:rowOff>
    </xdr:to>
    <xdr:cxnSp macro="">
      <xdr:nvCxnSpPr>
        <xdr:cNvPr id="4" name="Straight Connector 3"/>
        <xdr:cNvCxnSpPr/>
      </xdr:nvCxnSpPr>
      <xdr:spPr>
        <a:xfrm flipV="1">
          <a:off x="11260931" y="18285619"/>
          <a:ext cx="1416844" cy="369094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jordbruksverket.se/download/18.28f4d91b172cdd65219e9d30/1592810968452/Sveriges_utrikeshandel_med%20jordbruksvaror_och_livsmedel_2016-2018_webb%20(003).pdf" TargetMode="External"/><Relationship Id="rId1" Type="http://schemas.openxmlformats.org/officeDocument/2006/relationships/hyperlink" Target="https://www2.jordbruksverket.se/download/18.bd0539d17ee49dae393071f/1644574503673/ra21_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1"/>
  <sheetViews>
    <sheetView tabSelected="1" zoomScale="80" zoomScaleNormal="80" zoomScaleSheetLayoutView="80" workbookViewId="0">
      <pane ySplit="1" topLeftCell="A536" activePane="bottomLeft" state="frozen"/>
      <selection pane="bottomLeft" activeCell="D549" sqref="D549"/>
    </sheetView>
  </sheetViews>
  <sheetFormatPr defaultRowHeight="15" x14ac:dyDescent="0.25"/>
  <cols>
    <col min="1" max="1" width="41.42578125" customWidth="1"/>
    <col min="2" max="3" width="19" customWidth="1"/>
    <col min="4" max="7" width="15.42578125" customWidth="1"/>
    <col min="8" max="8" width="19.42578125" customWidth="1"/>
    <col min="9" max="11" width="14.28515625" customWidth="1"/>
    <col min="12" max="12" width="21.42578125" bestFit="1" customWidth="1"/>
    <col min="14" max="14" width="12.140625" bestFit="1" customWidth="1"/>
    <col min="15" max="15" width="50" customWidth="1"/>
    <col min="16" max="16" width="71.28515625" customWidth="1"/>
  </cols>
  <sheetData>
    <row r="1" spans="1:16" x14ac:dyDescent="0.25">
      <c r="A1" s="1" t="s">
        <v>36</v>
      </c>
      <c r="B1" s="1" t="s">
        <v>25</v>
      </c>
      <c r="C1" s="1" t="s">
        <v>453</v>
      </c>
      <c r="D1" s="1" t="s">
        <v>27</v>
      </c>
      <c r="E1" s="1" t="s">
        <v>382</v>
      </c>
      <c r="F1" s="1" t="s">
        <v>56</v>
      </c>
      <c r="G1" s="1" t="s">
        <v>35</v>
      </c>
      <c r="H1" s="1" t="s">
        <v>28</v>
      </c>
      <c r="I1" s="1" t="s">
        <v>47</v>
      </c>
      <c r="J1" s="1" t="s">
        <v>42</v>
      </c>
      <c r="K1" s="1" t="s">
        <v>49</v>
      </c>
      <c r="L1" s="1" t="s">
        <v>0</v>
      </c>
      <c r="M1" s="1" t="s">
        <v>1</v>
      </c>
      <c r="N1" s="1" t="s">
        <v>4</v>
      </c>
      <c r="O1" s="1" t="s">
        <v>2</v>
      </c>
      <c r="P1" s="1" t="s">
        <v>3</v>
      </c>
    </row>
    <row r="2" spans="1:16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</row>
    <row r="3" spans="1:16" x14ac:dyDescent="0.25">
      <c r="L3" t="s">
        <v>5</v>
      </c>
      <c r="M3" s="30">
        <f>(5222847+5156448)/1000000</f>
        <v>10.379295000000001</v>
      </c>
      <c r="N3" t="s">
        <v>6</v>
      </c>
      <c r="O3" t="s">
        <v>8</v>
      </c>
      <c r="P3" t="s">
        <v>7</v>
      </c>
    </row>
    <row r="4" spans="1:16" x14ac:dyDescent="0.25">
      <c r="L4" t="s">
        <v>373</v>
      </c>
      <c r="M4" s="30" t="s">
        <v>377</v>
      </c>
      <c r="N4" t="s">
        <v>374</v>
      </c>
      <c r="O4" t="s">
        <v>375</v>
      </c>
      <c r="P4" t="s">
        <v>376</v>
      </c>
    </row>
    <row r="6" spans="1:16" x14ac:dyDescent="0.25">
      <c r="A6" s="2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9"/>
      <c r="N6" s="3"/>
      <c r="O6" s="3"/>
      <c r="P6" s="3"/>
    </row>
    <row r="7" spans="1:16" x14ac:dyDescent="0.25">
      <c r="A7" s="4" t="s">
        <v>10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5"/>
      <c r="O7" s="5"/>
      <c r="P7" s="5"/>
    </row>
    <row r="8" spans="1:16" x14ac:dyDescent="0.25">
      <c r="A8" t="s">
        <v>179</v>
      </c>
      <c r="B8" t="s">
        <v>26</v>
      </c>
      <c r="L8" t="s">
        <v>18</v>
      </c>
      <c r="M8" s="22">
        <f>93.1*0.72</f>
        <v>67.031999999999996</v>
      </c>
      <c r="N8" t="s">
        <v>19</v>
      </c>
      <c r="O8" s="17" t="s">
        <v>321</v>
      </c>
      <c r="P8" t="s">
        <v>320</v>
      </c>
    </row>
    <row r="9" spans="1:16" x14ac:dyDescent="0.25">
      <c r="A9" t="s">
        <v>184</v>
      </c>
      <c r="B9" t="s">
        <v>26</v>
      </c>
      <c r="L9" t="s">
        <v>18</v>
      </c>
      <c r="M9" s="29">
        <f>93.1*0.28</f>
        <v>26.068000000000001</v>
      </c>
      <c r="N9" t="s">
        <v>19</v>
      </c>
    </row>
    <row r="10" spans="1:16" x14ac:dyDescent="0.25">
      <c r="A10" t="s">
        <v>316</v>
      </c>
      <c r="B10" t="s">
        <v>26</v>
      </c>
      <c r="L10" t="s">
        <v>18</v>
      </c>
      <c r="M10" s="22">
        <f>14.1*0.9</f>
        <v>12.69</v>
      </c>
      <c r="N10" t="s">
        <v>19</v>
      </c>
      <c r="O10" s="17" t="s">
        <v>318</v>
      </c>
      <c r="P10" t="s">
        <v>319</v>
      </c>
    </row>
    <row r="11" spans="1:16" x14ac:dyDescent="0.25">
      <c r="A11" t="s">
        <v>317</v>
      </c>
      <c r="B11" t="s">
        <v>26</v>
      </c>
      <c r="L11" t="s">
        <v>18</v>
      </c>
      <c r="M11" s="22">
        <f>14.1*0.1</f>
        <v>1.4100000000000001</v>
      </c>
      <c r="N11" t="s">
        <v>19</v>
      </c>
      <c r="O11" s="6"/>
    </row>
    <row r="12" spans="1:16" x14ac:dyDescent="0.25">
      <c r="A12" t="s">
        <v>180</v>
      </c>
      <c r="B12" t="s">
        <v>26</v>
      </c>
      <c r="L12" t="s">
        <v>18</v>
      </c>
      <c r="M12" s="22">
        <f>3.5*0.72</f>
        <v>2.52</v>
      </c>
      <c r="N12" t="s">
        <v>19</v>
      </c>
      <c r="O12" s="6" t="s">
        <v>322</v>
      </c>
    </row>
    <row r="13" spans="1:16" x14ac:dyDescent="0.25">
      <c r="A13" t="s">
        <v>185</v>
      </c>
      <c r="B13" t="s">
        <v>26</v>
      </c>
      <c r="L13" t="s">
        <v>18</v>
      </c>
      <c r="M13" s="22">
        <f>3.5*0.28</f>
        <v>0.98000000000000009</v>
      </c>
      <c r="N13" t="s">
        <v>19</v>
      </c>
      <c r="O13" s="6"/>
    </row>
    <row r="14" spans="1:16" x14ac:dyDescent="0.25">
      <c r="A14" t="s">
        <v>88</v>
      </c>
      <c r="B14" t="s">
        <v>26</v>
      </c>
      <c r="L14" t="s">
        <v>18</v>
      </c>
      <c r="M14">
        <v>3.8</v>
      </c>
      <c r="N14" t="s">
        <v>19</v>
      </c>
    </row>
    <row r="15" spans="1:16" x14ac:dyDescent="0.25">
      <c r="A15" t="s">
        <v>181</v>
      </c>
      <c r="B15" t="s">
        <v>26</v>
      </c>
      <c r="L15" t="s">
        <v>18</v>
      </c>
      <c r="M15" s="22">
        <f>12.8*0.72</f>
        <v>9.2159999999999993</v>
      </c>
      <c r="N15" t="s">
        <v>19</v>
      </c>
      <c r="O15" s="6" t="s">
        <v>322</v>
      </c>
    </row>
    <row r="16" spans="1:16" x14ac:dyDescent="0.25">
      <c r="A16" t="s">
        <v>186</v>
      </c>
      <c r="B16" t="s">
        <v>26</v>
      </c>
      <c r="L16" t="s">
        <v>18</v>
      </c>
      <c r="M16" s="22">
        <f>12.8*0.28</f>
        <v>3.5840000000000005</v>
      </c>
      <c r="N16" t="s">
        <v>19</v>
      </c>
      <c r="O16" s="6"/>
    </row>
    <row r="17" spans="1:16" x14ac:dyDescent="0.25">
      <c r="A17" t="s">
        <v>182</v>
      </c>
      <c r="B17" t="s">
        <v>26</v>
      </c>
      <c r="L17" t="s">
        <v>18</v>
      </c>
      <c r="M17" s="22">
        <f>5.2*0.72</f>
        <v>3.7439999999999998</v>
      </c>
      <c r="N17" t="s">
        <v>19</v>
      </c>
      <c r="O17" s="6" t="s">
        <v>322</v>
      </c>
    </row>
    <row r="18" spans="1:16" x14ac:dyDescent="0.25">
      <c r="A18" t="s">
        <v>187</v>
      </c>
      <c r="B18" t="s">
        <v>26</v>
      </c>
      <c r="L18" t="s">
        <v>18</v>
      </c>
      <c r="M18" s="22">
        <f>5.2*0.28</f>
        <v>1.4560000000000002</v>
      </c>
      <c r="N18" t="s">
        <v>19</v>
      </c>
      <c r="O18" s="6"/>
    </row>
    <row r="19" spans="1:16" x14ac:dyDescent="0.25">
      <c r="A19" s="6" t="s">
        <v>183</v>
      </c>
      <c r="B19" t="s">
        <v>26</v>
      </c>
      <c r="L19" t="s">
        <v>18</v>
      </c>
      <c r="M19" s="13">
        <f>0.5*0.72</f>
        <v>0.36</v>
      </c>
      <c r="N19" t="s">
        <v>19</v>
      </c>
      <c r="O19" s="6" t="s">
        <v>323</v>
      </c>
    </row>
    <row r="20" spans="1:16" x14ac:dyDescent="0.25">
      <c r="A20" s="6" t="s">
        <v>188</v>
      </c>
      <c r="B20" t="s">
        <v>26</v>
      </c>
      <c r="L20" t="s">
        <v>18</v>
      </c>
      <c r="M20" s="13">
        <f>0.5*0.28</f>
        <v>0.14000000000000001</v>
      </c>
      <c r="N20" t="s">
        <v>19</v>
      </c>
      <c r="O20" s="6"/>
    </row>
    <row r="21" spans="1:16" s="7" customFormat="1" x14ac:dyDescent="0.25">
      <c r="A21" s="17" t="s">
        <v>417</v>
      </c>
      <c r="B21" s="17" t="s">
        <v>26</v>
      </c>
      <c r="C21" s="17"/>
      <c r="D21" s="17"/>
      <c r="E21" s="17"/>
      <c r="F21" s="17"/>
      <c r="G21" s="17"/>
      <c r="H21" s="17"/>
      <c r="I21" s="17"/>
      <c r="J21" s="17"/>
      <c r="K21" s="17"/>
      <c r="L21" s="17" t="s">
        <v>18</v>
      </c>
      <c r="M21" s="29">
        <v>0.1</v>
      </c>
      <c r="N21" s="17" t="s">
        <v>19</v>
      </c>
      <c r="O21" s="17"/>
    </row>
    <row r="22" spans="1:16" x14ac:dyDescent="0.25">
      <c r="A22" s="4" t="s">
        <v>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5"/>
      <c r="O22" s="5"/>
      <c r="P22" s="5"/>
    </row>
    <row r="23" spans="1:16" x14ac:dyDescent="0.25">
      <c r="A23" s="17" t="s">
        <v>99</v>
      </c>
      <c r="B23" t="s">
        <v>103</v>
      </c>
      <c r="L23" t="s">
        <v>18</v>
      </c>
      <c r="M23">
        <v>108.1</v>
      </c>
      <c r="N23" t="s">
        <v>19</v>
      </c>
    </row>
    <row r="24" spans="1:16" x14ac:dyDescent="0.25">
      <c r="A24" s="17" t="s">
        <v>100</v>
      </c>
      <c r="B24" t="s">
        <v>103</v>
      </c>
      <c r="L24" t="s">
        <v>18</v>
      </c>
      <c r="M24">
        <v>24.1</v>
      </c>
      <c r="N24" t="s">
        <v>19</v>
      </c>
    </row>
    <row r="25" spans="1:16" x14ac:dyDescent="0.25">
      <c r="A25" s="17" t="s">
        <v>209</v>
      </c>
      <c r="B25" t="s">
        <v>103</v>
      </c>
      <c r="L25" t="s">
        <v>18</v>
      </c>
      <c r="M25">
        <v>0.9</v>
      </c>
      <c r="N25" t="s">
        <v>19</v>
      </c>
      <c r="O25" t="s">
        <v>102</v>
      </c>
    </row>
    <row r="26" spans="1:16" x14ac:dyDescent="0.25">
      <c r="A26" s="17" t="s">
        <v>101</v>
      </c>
      <c r="B26" t="s">
        <v>103</v>
      </c>
      <c r="L26" t="s">
        <v>18</v>
      </c>
      <c r="M26">
        <v>0.3</v>
      </c>
      <c r="N26" t="s">
        <v>19</v>
      </c>
    </row>
    <row r="27" spans="1:16" x14ac:dyDescent="0.25">
      <c r="A27" s="4" t="s">
        <v>251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5"/>
      <c r="O27" s="5"/>
      <c r="P27" s="5"/>
    </row>
    <row r="28" spans="1:16" x14ac:dyDescent="0.25">
      <c r="A28" s="17" t="s">
        <v>135</v>
      </c>
      <c r="B28" t="s">
        <v>108</v>
      </c>
      <c r="L28" t="s">
        <v>18</v>
      </c>
      <c r="M28">
        <v>25</v>
      </c>
      <c r="N28" t="s">
        <v>19</v>
      </c>
    </row>
    <row r="29" spans="1:16" x14ac:dyDescent="0.25">
      <c r="A29" s="17" t="s">
        <v>381</v>
      </c>
      <c r="B29" s="17" t="s">
        <v>108</v>
      </c>
      <c r="C29" s="17"/>
      <c r="D29" s="17"/>
      <c r="E29" s="17"/>
      <c r="F29" s="17"/>
      <c r="G29" s="17"/>
      <c r="H29" s="17"/>
      <c r="I29" s="17"/>
      <c r="J29" s="17"/>
      <c r="K29" s="17"/>
      <c r="L29" s="17" t="s">
        <v>18</v>
      </c>
      <c r="M29" s="17">
        <v>3.6</v>
      </c>
      <c r="N29" s="17" t="s">
        <v>19</v>
      </c>
    </row>
    <row r="30" spans="1:16" x14ac:dyDescent="0.25">
      <c r="A30" s="17" t="s">
        <v>141</v>
      </c>
      <c r="B30" t="s">
        <v>108</v>
      </c>
      <c r="L30" t="s">
        <v>18</v>
      </c>
      <c r="M30">
        <v>19.3</v>
      </c>
      <c r="N30" t="s">
        <v>19</v>
      </c>
    </row>
    <row r="31" spans="1:16" x14ac:dyDescent="0.25">
      <c r="A31" s="17" t="s">
        <v>137</v>
      </c>
      <c r="B31" t="s">
        <v>108</v>
      </c>
      <c r="L31" t="s">
        <v>18</v>
      </c>
      <c r="M31">
        <v>14.6</v>
      </c>
      <c r="N31" t="s">
        <v>19</v>
      </c>
    </row>
    <row r="32" spans="1:16" x14ac:dyDescent="0.25">
      <c r="A32" s="17" t="s">
        <v>138</v>
      </c>
      <c r="B32" t="s">
        <v>108</v>
      </c>
      <c r="L32" t="s">
        <v>18</v>
      </c>
      <c r="M32">
        <v>11.3</v>
      </c>
      <c r="N32" t="s">
        <v>19</v>
      </c>
    </row>
    <row r="33" spans="1:16" x14ac:dyDescent="0.25">
      <c r="A33" s="17" t="s">
        <v>139</v>
      </c>
      <c r="B33" t="s">
        <v>108</v>
      </c>
      <c r="L33" t="s">
        <v>18</v>
      </c>
      <c r="M33">
        <v>3.8</v>
      </c>
      <c r="N33" t="s">
        <v>19</v>
      </c>
    </row>
    <row r="34" spans="1:16" x14ac:dyDescent="0.25">
      <c r="A34" s="17" t="s">
        <v>140</v>
      </c>
      <c r="B34" t="s">
        <v>108</v>
      </c>
      <c r="L34" t="s">
        <v>18</v>
      </c>
      <c r="M34">
        <v>3.5</v>
      </c>
      <c r="N34" t="s">
        <v>19</v>
      </c>
    </row>
    <row r="35" spans="1:16" x14ac:dyDescent="0.25">
      <c r="A35" s="17" t="s">
        <v>107</v>
      </c>
      <c r="B35" t="s">
        <v>108</v>
      </c>
      <c r="L35" t="s">
        <v>18</v>
      </c>
      <c r="M35">
        <v>37</v>
      </c>
      <c r="N35" t="s">
        <v>19</v>
      </c>
    </row>
    <row r="36" spans="1:16" x14ac:dyDescent="0.25">
      <c r="A36" s="17" t="s">
        <v>110</v>
      </c>
      <c r="B36" t="s">
        <v>108</v>
      </c>
      <c r="L36" t="s">
        <v>18</v>
      </c>
      <c r="M36">
        <v>14.3</v>
      </c>
      <c r="N36" t="s">
        <v>19</v>
      </c>
    </row>
    <row r="37" spans="1:16" x14ac:dyDescent="0.25">
      <c r="A37" s="17" t="s">
        <v>249</v>
      </c>
      <c r="B37" t="s">
        <v>108</v>
      </c>
      <c r="L37" t="s">
        <v>18</v>
      </c>
      <c r="M37">
        <v>2.8</v>
      </c>
      <c r="N37" t="s">
        <v>19</v>
      </c>
    </row>
    <row r="38" spans="1:16" x14ac:dyDescent="0.25">
      <c r="A38" s="17" t="s">
        <v>148</v>
      </c>
      <c r="B38" t="s">
        <v>108</v>
      </c>
      <c r="L38" t="s">
        <v>18</v>
      </c>
      <c r="M38" s="17">
        <f>0.3+0+0.1+0.6+6.6+0.4+3.4</f>
        <v>11.4</v>
      </c>
      <c r="N38" t="s">
        <v>19</v>
      </c>
      <c r="O38" t="s">
        <v>250</v>
      </c>
    </row>
    <row r="39" spans="1:16" x14ac:dyDescent="0.25">
      <c r="A39" s="17"/>
      <c r="M39" s="6"/>
    </row>
    <row r="40" spans="1:16" x14ac:dyDescent="0.25">
      <c r="A40" s="4" t="s">
        <v>253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5"/>
      <c r="O40" s="5"/>
      <c r="P40" s="5"/>
    </row>
    <row r="41" spans="1:16" x14ac:dyDescent="0.25">
      <c r="A41" s="17" t="s">
        <v>241</v>
      </c>
      <c r="B41" t="s">
        <v>244</v>
      </c>
      <c r="L41" t="s">
        <v>18</v>
      </c>
      <c r="M41" s="17">
        <v>12.9</v>
      </c>
      <c r="N41" t="s">
        <v>19</v>
      </c>
    </row>
    <row r="42" spans="1:16" x14ac:dyDescent="0.25">
      <c r="A42" s="17" t="s">
        <v>242</v>
      </c>
      <c r="B42" t="s">
        <v>244</v>
      </c>
      <c r="L42" t="s">
        <v>18</v>
      </c>
      <c r="M42" s="17">
        <v>2.1</v>
      </c>
      <c r="N42" t="s">
        <v>19</v>
      </c>
    </row>
    <row r="43" spans="1:16" x14ac:dyDescent="0.25">
      <c r="A43" s="17" t="s">
        <v>243</v>
      </c>
      <c r="B43" t="s">
        <v>244</v>
      </c>
      <c r="L43" t="s">
        <v>18</v>
      </c>
      <c r="M43" s="17">
        <v>1.8</v>
      </c>
      <c r="N43" t="s">
        <v>19</v>
      </c>
    </row>
    <row r="44" spans="1:16" x14ac:dyDescent="0.25">
      <c r="A44" s="17" t="s">
        <v>245</v>
      </c>
      <c r="B44" t="s">
        <v>244</v>
      </c>
      <c r="L44" t="s">
        <v>18</v>
      </c>
      <c r="M44" s="17">
        <v>5</v>
      </c>
      <c r="N44" t="s">
        <v>19</v>
      </c>
    </row>
    <row r="45" spans="1:16" x14ac:dyDescent="0.25">
      <c r="A45" s="17" t="s">
        <v>254</v>
      </c>
      <c r="B45" t="s">
        <v>244</v>
      </c>
      <c r="L45" t="s">
        <v>18</v>
      </c>
      <c r="M45" s="29">
        <f>0.8+0.3/0.35+0.3</f>
        <v>1.9571428571428573</v>
      </c>
      <c r="N45" t="s">
        <v>19</v>
      </c>
      <c r="O45" t="s">
        <v>258</v>
      </c>
    </row>
    <row r="46" spans="1:16" x14ac:dyDescent="0.25">
      <c r="A46" s="17" t="s">
        <v>255</v>
      </c>
      <c r="B46" t="s">
        <v>244</v>
      </c>
      <c r="L46" t="s">
        <v>18</v>
      </c>
      <c r="M46" s="17">
        <v>4.9000000000000004</v>
      </c>
      <c r="N46" t="s">
        <v>19</v>
      </c>
    </row>
    <row r="47" spans="1:16" x14ac:dyDescent="0.25">
      <c r="A47" s="17" t="s">
        <v>261</v>
      </c>
      <c r="B47" t="s">
        <v>244</v>
      </c>
      <c r="D47" s="9"/>
      <c r="E47" s="9"/>
      <c r="L47" t="s">
        <v>18</v>
      </c>
      <c r="M47" s="6">
        <v>0.2</v>
      </c>
      <c r="N47" t="s">
        <v>19</v>
      </c>
      <c r="O47" s="6" t="s">
        <v>264</v>
      </c>
    </row>
    <row r="48" spans="1:16" x14ac:dyDescent="0.25">
      <c r="A48" s="17" t="s">
        <v>256</v>
      </c>
      <c r="B48" t="s">
        <v>244</v>
      </c>
      <c r="L48" t="s">
        <v>18</v>
      </c>
      <c r="M48" s="29">
        <f>0.5</f>
        <v>0.5</v>
      </c>
      <c r="N48" t="s">
        <v>19</v>
      </c>
      <c r="O48" t="s">
        <v>257</v>
      </c>
    </row>
    <row r="49" spans="1:16" x14ac:dyDescent="0.25">
      <c r="A49" s="4" t="s">
        <v>14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5"/>
      <c r="O49" s="5"/>
      <c r="P49" s="5"/>
    </row>
    <row r="50" spans="1:16" x14ac:dyDescent="0.25">
      <c r="A50" s="6" t="s">
        <v>62</v>
      </c>
      <c r="B50" t="s">
        <v>81</v>
      </c>
      <c r="L50" t="s">
        <v>18</v>
      </c>
      <c r="M50" s="6">
        <f>29.5+8.5</f>
        <v>38</v>
      </c>
      <c r="N50" t="s">
        <v>19</v>
      </c>
      <c r="O50" s="6" t="s">
        <v>84</v>
      </c>
    </row>
    <row r="51" spans="1:16" x14ac:dyDescent="0.25">
      <c r="A51" s="6" t="s">
        <v>61</v>
      </c>
      <c r="B51" t="s">
        <v>81</v>
      </c>
      <c r="L51" t="s">
        <v>18</v>
      </c>
      <c r="M51" s="6">
        <f>80.7+14.4+0.3*5</f>
        <v>96.600000000000009</v>
      </c>
      <c r="N51" t="s">
        <v>19</v>
      </c>
      <c r="O51" s="6" t="s">
        <v>84</v>
      </c>
    </row>
    <row r="52" spans="1:16" x14ac:dyDescent="0.25">
      <c r="A52" s="6" t="s">
        <v>63</v>
      </c>
      <c r="B52" t="s">
        <v>81</v>
      </c>
      <c r="L52" t="s">
        <v>18</v>
      </c>
      <c r="M52" s="6">
        <f>45.6+44.1+1.3*5+1.8*10</f>
        <v>114.2</v>
      </c>
      <c r="N52" t="s">
        <v>19</v>
      </c>
      <c r="O52" s="6" t="s">
        <v>84</v>
      </c>
    </row>
    <row r="53" spans="1:16" x14ac:dyDescent="0.25">
      <c r="A53" s="6" t="s">
        <v>64</v>
      </c>
      <c r="B53" t="s">
        <v>81</v>
      </c>
      <c r="L53" t="s">
        <v>18</v>
      </c>
      <c r="M53">
        <v>46.8</v>
      </c>
      <c r="N53" t="s">
        <v>19</v>
      </c>
    </row>
    <row r="54" spans="1:16" x14ac:dyDescent="0.25">
      <c r="A54" s="6" t="s">
        <v>68</v>
      </c>
      <c r="B54" t="s">
        <v>81</v>
      </c>
      <c r="L54" t="s">
        <v>18</v>
      </c>
      <c r="M54">
        <v>8.1</v>
      </c>
      <c r="N54" t="s">
        <v>19</v>
      </c>
    </row>
    <row r="55" spans="1:16" x14ac:dyDescent="0.25">
      <c r="A55" s="6" t="s">
        <v>69</v>
      </c>
      <c r="B55" t="s">
        <v>81</v>
      </c>
      <c r="L55" t="s">
        <v>18</v>
      </c>
      <c r="M55">
        <v>1</v>
      </c>
      <c r="N55" t="s">
        <v>19</v>
      </c>
    </row>
    <row r="56" spans="1:16" x14ac:dyDescent="0.25">
      <c r="A56" s="6" t="s">
        <v>66</v>
      </c>
      <c r="B56" t="s">
        <v>81</v>
      </c>
      <c r="L56" t="s">
        <v>18</v>
      </c>
      <c r="M56">
        <v>6.6</v>
      </c>
      <c r="N56" t="s">
        <v>19</v>
      </c>
    </row>
    <row r="57" spans="1:16" x14ac:dyDescent="0.25">
      <c r="A57" s="6" t="s">
        <v>67</v>
      </c>
      <c r="B57" t="s">
        <v>81</v>
      </c>
      <c r="L57" t="s">
        <v>18</v>
      </c>
      <c r="M57">
        <v>8.3000000000000007</v>
      </c>
      <c r="N57" t="s">
        <v>19</v>
      </c>
    </row>
    <row r="58" spans="1:16" x14ac:dyDescent="0.25">
      <c r="A58" s="6" t="s">
        <v>65</v>
      </c>
      <c r="B58" t="s">
        <v>81</v>
      </c>
      <c r="L58" t="s">
        <v>18</v>
      </c>
      <c r="M58">
        <v>15.3</v>
      </c>
      <c r="N58" t="s">
        <v>19</v>
      </c>
    </row>
    <row r="59" spans="1:16" x14ac:dyDescent="0.25">
      <c r="A59" s="17" t="s">
        <v>383</v>
      </c>
      <c r="B59" s="17" t="s">
        <v>81</v>
      </c>
      <c r="C59" s="17"/>
      <c r="D59" s="17"/>
      <c r="E59" s="17"/>
      <c r="F59" s="17"/>
      <c r="G59" s="17"/>
      <c r="H59" s="17"/>
      <c r="I59" s="17"/>
      <c r="J59" s="17"/>
      <c r="K59" s="17"/>
      <c r="L59" s="17" t="s">
        <v>18</v>
      </c>
      <c r="M59" s="17">
        <v>0</v>
      </c>
      <c r="N59" s="17" t="s">
        <v>19</v>
      </c>
    </row>
    <row r="60" spans="1:16" x14ac:dyDescent="0.25">
      <c r="A60" s="4" t="s">
        <v>23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</row>
    <row r="61" spans="1:16" x14ac:dyDescent="0.25">
      <c r="A61" t="s">
        <v>54</v>
      </c>
      <c r="B61" t="s">
        <v>55</v>
      </c>
      <c r="L61" t="s">
        <v>18</v>
      </c>
      <c r="M61">
        <v>60.6</v>
      </c>
      <c r="N61" t="s">
        <v>19</v>
      </c>
    </row>
    <row r="62" spans="1:16" x14ac:dyDescent="0.25">
      <c r="A62" t="s">
        <v>95</v>
      </c>
      <c r="B62" t="s">
        <v>55</v>
      </c>
      <c r="L62" t="s">
        <v>18</v>
      </c>
      <c r="M62">
        <v>39.9</v>
      </c>
      <c r="N62" t="s">
        <v>19</v>
      </c>
    </row>
    <row r="63" spans="1:16" x14ac:dyDescent="0.25">
      <c r="A63" t="s">
        <v>345</v>
      </c>
      <c r="B63" t="s">
        <v>55</v>
      </c>
      <c r="L63" t="s">
        <v>18</v>
      </c>
      <c r="M63" s="6">
        <v>2.1</v>
      </c>
      <c r="N63" t="s">
        <v>19</v>
      </c>
      <c r="O63" t="s">
        <v>371</v>
      </c>
    </row>
    <row r="64" spans="1:16" x14ac:dyDescent="0.25">
      <c r="A64" t="s">
        <v>267</v>
      </c>
      <c r="B64" t="s">
        <v>55</v>
      </c>
      <c r="L64" t="s">
        <v>18</v>
      </c>
      <c r="M64">
        <v>49.5</v>
      </c>
      <c r="N64" t="s">
        <v>19</v>
      </c>
    </row>
    <row r="65" spans="1:16" x14ac:dyDescent="0.25">
      <c r="A65" s="4" t="s">
        <v>15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5"/>
      <c r="O65" s="5"/>
      <c r="P65" s="5"/>
    </row>
    <row r="66" spans="1:16" x14ac:dyDescent="0.25">
      <c r="A66" t="s">
        <v>15</v>
      </c>
      <c r="B66" t="s">
        <v>324</v>
      </c>
      <c r="L66" t="s">
        <v>18</v>
      </c>
      <c r="M66" s="6">
        <f>29.3+1.6</f>
        <v>30.900000000000002</v>
      </c>
      <c r="N66" t="s">
        <v>19</v>
      </c>
      <c r="O66" s="6" t="s">
        <v>327</v>
      </c>
    </row>
    <row r="67" spans="1:16" x14ac:dyDescent="0.25">
      <c r="A67" s="17" t="s">
        <v>384</v>
      </c>
      <c r="B67" s="17" t="s">
        <v>324</v>
      </c>
      <c r="C67" s="17"/>
      <c r="D67" s="17"/>
      <c r="E67" s="17"/>
      <c r="F67" s="17"/>
      <c r="G67" s="17"/>
      <c r="H67" s="17"/>
      <c r="I67" s="17"/>
      <c r="J67" s="17"/>
      <c r="K67" s="17"/>
      <c r="L67" s="17" t="s">
        <v>18</v>
      </c>
      <c r="M67" s="17">
        <v>0</v>
      </c>
      <c r="N67" s="17" t="s">
        <v>19</v>
      </c>
      <c r="O67" s="17" t="s">
        <v>385</v>
      </c>
    </row>
    <row r="68" spans="1:16" x14ac:dyDescent="0.25">
      <c r="A68" s="4" t="s">
        <v>16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5"/>
      <c r="O68" s="5"/>
      <c r="P68" s="5"/>
    </row>
    <row r="69" spans="1:16" x14ac:dyDescent="0.25">
      <c r="A69" s="4" t="s">
        <v>20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5"/>
      <c r="O69" s="5"/>
      <c r="P69" s="5"/>
    </row>
    <row r="70" spans="1:16" x14ac:dyDescent="0.25">
      <c r="A70" t="s">
        <v>202</v>
      </c>
      <c r="B70" t="s">
        <v>207</v>
      </c>
      <c r="L70" t="s">
        <v>18</v>
      </c>
      <c r="M70">
        <v>4.5</v>
      </c>
      <c r="N70" t="s">
        <v>19</v>
      </c>
    </row>
    <row r="71" spans="1:16" x14ac:dyDescent="0.25">
      <c r="A71" s="26" t="s">
        <v>203</v>
      </c>
      <c r="B71" t="s">
        <v>207</v>
      </c>
      <c r="L71" t="s">
        <v>18</v>
      </c>
      <c r="M71" s="6">
        <v>0</v>
      </c>
      <c r="N71" t="s">
        <v>19</v>
      </c>
    </row>
    <row r="72" spans="1:16" x14ac:dyDescent="0.25">
      <c r="A72" s="26" t="s">
        <v>204</v>
      </c>
      <c r="B72" t="s">
        <v>207</v>
      </c>
      <c r="L72" t="s">
        <v>18</v>
      </c>
      <c r="M72">
        <v>0.7</v>
      </c>
      <c r="N72" t="s">
        <v>19</v>
      </c>
    </row>
    <row r="73" spans="1:16" x14ac:dyDescent="0.25">
      <c r="A73" s="26" t="s">
        <v>205</v>
      </c>
      <c r="B73" t="s">
        <v>207</v>
      </c>
      <c r="L73" t="s">
        <v>18</v>
      </c>
      <c r="M73">
        <v>0.3</v>
      </c>
      <c r="N73" t="s">
        <v>19</v>
      </c>
    </row>
    <row r="74" spans="1:16" x14ac:dyDescent="0.25">
      <c r="A74" s="17" t="s">
        <v>386</v>
      </c>
      <c r="B74" s="17" t="s">
        <v>207</v>
      </c>
      <c r="C74" s="17"/>
      <c r="D74" s="17"/>
      <c r="E74" s="17"/>
      <c r="F74" s="17"/>
      <c r="G74" s="17"/>
      <c r="H74" s="17"/>
      <c r="I74" s="17"/>
      <c r="J74" s="17"/>
      <c r="K74" s="17"/>
      <c r="L74" s="17" t="s">
        <v>18</v>
      </c>
      <c r="M74" s="17">
        <v>0</v>
      </c>
      <c r="N74" s="17" t="s">
        <v>19</v>
      </c>
      <c r="O74" s="7"/>
    </row>
    <row r="75" spans="1:16" x14ac:dyDescent="0.25">
      <c r="A75" s="17" t="s">
        <v>387</v>
      </c>
      <c r="B75" s="17" t="s">
        <v>207</v>
      </c>
      <c r="C75" s="17"/>
      <c r="D75" s="17"/>
      <c r="E75" s="17"/>
      <c r="F75" s="17"/>
      <c r="G75" s="17"/>
      <c r="H75" s="17"/>
      <c r="I75" s="17"/>
      <c r="J75" s="17"/>
      <c r="K75" s="17"/>
      <c r="L75" s="17" t="s">
        <v>18</v>
      </c>
      <c r="M75" s="17">
        <v>0</v>
      </c>
      <c r="N75" s="17" t="s">
        <v>19</v>
      </c>
      <c r="O75" s="7"/>
    </row>
    <row r="76" spans="1:16" x14ac:dyDescent="0.25">
      <c r="A76" s="26" t="s">
        <v>206</v>
      </c>
      <c r="B76" t="s">
        <v>207</v>
      </c>
      <c r="L76" t="s">
        <v>18</v>
      </c>
      <c r="M76">
        <v>0.6</v>
      </c>
      <c r="N76" t="s">
        <v>19</v>
      </c>
    </row>
    <row r="77" spans="1:16" x14ac:dyDescent="0.25">
      <c r="A77" s="4" t="s">
        <v>21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5"/>
      <c r="O77" s="5"/>
      <c r="P77" s="5"/>
    </row>
    <row r="78" spans="1:16" s="44" customFormat="1" x14ac:dyDescent="0.25">
      <c r="A78" s="58" t="s">
        <v>388</v>
      </c>
      <c r="B78" s="58" t="s">
        <v>389</v>
      </c>
      <c r="C78" s="58"/>
      <c r="D78" s="59"/>
      <c r="E78" s="59"/>
      <c r="F78" s="59"/>
      <c r="G78" s="59"/>
      <c r="H78" s="59"/>
      <c r="I78" s="59"/>
      <c r="J78" s="59"/>
      <c r="K78" s="59"/>
      <c r="L78" s="17" t="s">
        <v>18</v>
      </c>
      <c r="M78" s="58">
        <v>0.2</v>
      </c>
      <c r="N78" s="58" t="s">
        <v>19</v>
      </c>
      <c r="O78" s="58"/>
      <c r="P78" s="58"/>
    </row>
    <row r="79" spans="1:16" s="44" customFormat="1" x14ac:dyDescent="0.25">
      <c r="A79" s="58" t="s">
        <v>390</v>
      </c>
      <c r="B79" s="58" t="s">
        <v>389</v>
      </c>
      <c r="C79" s="58"/>
      <c r="D79" s="59"/>
      <c r="E79" s="59"/>
      <c r="F79" s="59"/>
      <c r="G79" s="59"/>
      <c r="H79" s="59"/>
      <c r="I79" s="59"/>
      <c r="J79" s="59"/>
      <c r="K79" s="59"/>
      <c r="L79" s="17" t="s">
        <v>18</v>
      </c>
      <c r="M79" s="58">
        <v>0.1</v>
      </c>
      <c r="N79" s="58" t="s">
        <v>19</v>
      </c>
      <c r="O79" s="58"/>
      <c r="P79" s="58"/>
    </row>
    <row r="80" spans="1:16" s="44" customFormat="1" x14ac:dyDescent="0.25">
      <c r="A80" s="53" t="s">
        <v>391</v>
      </c>
      <c r="B80" s="55"/>
      <c r="C80" s="55"/>
      <c r="D80" s="53"/>
      <c r="E80" s="53"/>
      <c r="F80" s="53"/>
      <c r="G80" s="53"/>
      <c r="H80" s="53"/>
      <c r="I80" s="53"/>
      <c r="J80" s="53"/>
      <c r="K80" s="53"/>
      <c r="L80" s="55"/>
      <c r="M80" s="55"/>
      <c r="N80" s="55"/>
      <c r="O80" s="55"/>
      <c r="P80" s="55"/>
    </row>
    <row r="81" spans="1:16" s="44" customFormat="1" x14ac:dyDescent="0.25">
      <c r="A81" s="58" t="s">
        <v>392</v>
      </c>
      <c r="B81" s="58" t="s">
        <v>393</v>
      </c>
      <c r="C81" s="58"/>
      <c r="D81" s="59"/>
      <c r="E81" s="59"/>
      <c r="F81" s="59"/>
      <c r="G81" s="59"/>
      <c r="H81" s="59"/>
      <c r="I81" s="59"/>
      <c r="J81" s="59"/>
      <c r="K81" s="59"/>
      <c r="L81" s="17" t="s">
        <v>18</v>
      </c>
      <c r="M81" s="58">
        <v>0</v>
      </c>
      <c r="N81" s="58" t="s">
        <v>19</v>
      </c>
      <c r="O81" s="58"/>
      <c r="P81" s="58"/>
    </row>
    <row r="82" spans="1:16" x14ac:dyDescent="0.25">
      <c r="A82" s="4" t="s">
        <v>22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5"/>
      <c r="O82" s="5"/>
      <c r="P82" s="5"/>
    </row>
    <row r="83" spans="1:16" x14ac:dyDescent="0.25">
      <c r="A83" t="s">
        <v>126</v>
      </c>
      <c r="B83" t="s">
        <v>127</v>
      </c>
      <c r="L83" t="s">
        <v>18</v>
      </c>
      <c r="M83" s="13">
        <f>6+4.4/3+13*0.6</f>
        <v>15.266666666666666</v>
      </c>
      <c r="N83" t="s">
        <v>19</v>
      </c>
      <c r="O83" s="6" t="s">
        <v>208</v>
      </c>
    </row>
    <row r="84" spans="1:16" s="7" customFormat="1" x14ac:dyDescent="0.25">
      <c r="A84" s="17" t="s">
        <v>394</v>
      </c>
      <c r="B84" s="17" t="s">
        <v>127</v>
      </c>
      <c r="C84" s="17"/>
      <c r="D84" s="17"/>
      <c r="E84" s="17"/>
      <c r="F84" s="17"/>
      <c r="G84" s="17"/>
      <c r="H84" s="17"/>
      <c r="I84" s="17"/>
      <c r="J84" s="17"/>
      <c r="K84" s="17"/>
      <c r="L84" s="17" t="s">
        <v>18</v>
      </c>
      <c r="M84" s="29">
        <v>0</v>
      </c>
      <c r="N84" s="17" t="s">
        <v>19</v>
      </c>
      <c r="O84" s="17" t="s">
        <v>395</v>
      </c>
    </row>
    <row r="85" spans="1:16" x14ac:dyDescent="0.25">
      <c r="A85" t="s">
        <v>133</v>
      </c>
      <c r="B85" t="s">
        <v>127</v>
      </c>
      <c r="L85" t="s">
        <v>18</v>
      </c>
      <c r="M85" s="22">
        <f>8.2+4.4/3</f>
        <v>9.6666666666666661</v>
      </c>
      <c r="N85" t="s">
        <v>19</v>
      </c>
      <c r="O85" t="s">
        <v>132</v>
      </c>
    </row>
    <row r="86" spans="1:16" x14ac:dyDescent="0.25">
      <c r="A86" t="s">
        <v>134</v>
      </c>
      <c r="B86" t="s">
        <v>127</v>
      </c>
      <c r="L86" t="s">
        <v>18</v>
      </c>
      <c r="M86" s="22">
        <f>2.8+4.4/3</f>
        <v>4.2666666666666666</v>
      </c>
      <c r="N86" t="s">
        <v>19</v>
      </c>
      <c r="O86" t="s">
        <v>132</v>
      </c>
    </row>
    <row r="87" spans="1:16" x14ac:dyDescent="0.25">
      <c r="A87" s="4" t="s">
        <v>24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5"/>
      <c r="O87" s="5"/>
      <c r="P87" s="5"/>
    </row>
    <row r="88" spans="1:16" x14ac:dyDescent="0.25">
      <c r="A88" t="s">
        <v>217</v>
      </c>
      <c r="B88" t="s">
        <v>220</v>
      </c>
      <c r="L88" t="s">
        <v>18</v>
      </c>
      <c r="M88">
        <v>79.3</v>
      </c>
      <c r="N88" t="s">
        <v>19</v>
      </c>
    </row>
    <row r="89" spans="1:16" x14ac:dyDescent="0.25">
      <c r="A89" t="s">
        <v>219</v>
      </c>
      <c r="B89" t="s">
        <v>220</v>
      </c>
      <c r="L89" t="s">
        <v>18</v>
      </c>
      <c r="M89">
        <v>10</v>
      </c>
      <c r="N89" t="s">
        <v>19</v>
      </c>
      <c r="O89" t="s">
        <v>223</v>
      </c>
    </row>
    <row r="90" spans="1:16" x14ac:dyDescent="0.25">
      <c r="A90" t="s">
        <v>218</v>
      </c>
      <c r="B90" t="s">
        <v>220</v>
      </c>
      <c r="L90" t="s">
        <v>18</v>
      </c>
      <c r="M90">
        <v>1</v>
      </c>
      <c r="N90" t="s">
        <v>19</v>
      </c>
    </row>
    <row r="91" spans="1:16" x14ac:dyDescent="0.25">
      <c r="A91" s="4" t="s">
        <v>29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5"/>
      <c r="O91" s="5"/>
      <c r="P91" s="5"/>
    </row>
    <row r="92" spans="1:16" x14ac:dyDescent="0.25">
      <c r="A92" t="s">
        <v>227</v>
      </c>
      <c r="B92" t="s">
        <v>112</v>
      </c>
      <c r="L92" t="s">
        <v>18</v>
      </c>
      <c r="M92">
        <v>67.400000000000006</v>
      </c>
      <c r="N92" t="s">
        <v>19</v>
      </c>
    </row>
    <row r="93" spans="1:16" x14ac:dyDescent="0.25">
      <c r="A93" t="s">
        <v>230</v>
      </c>
      <c r="B93" t="s">
        <v>112</v>
      </c>
      <c r="L93" t="s">
        <v>18</v>
      </c>
      <c r="M93">
        <v>125.5</v>
      </c>
      <c r="N93" t="s">
        <v>19</v>
      </c>
    </row>
    <row r="94" spans="1:16" x14ac:dyDescent="0.25">
      <c r="A94" t="s">
        <v>228</v>
      </c>
      <c r="B94" t="s">
        <v>112</v>
      </c>
      <c r="L94" t="s">
        <v>18</v>
      </c>
      <c r="M94">
        <v>6.9</v>
      </c>
      <c r="N94" t="s">
        <v>19</v>
      </c>
      <c r="O94" t="s">
        <v>229</v>
      </c>
    </row>
    <row r="95" spans="1:16" x14ac:dyDescent="0.25">
      <c r="A95" t="s">
        <v>231</v>
      </c>
      <c r="B95" t="s">
        <v>112</v>
      </c>
      <c r="L95" t="s">
        <v>18</v>
      </c>
      <c r="M95">
        <v>7.9</v>
      </c>
      <c r="N95" t="s">
        <v>19</v>
      </c>
      <c r="O95" t="s">
        <v>232</v>
      </c>
    </row>
    <row r="96" spans="1:16" x14ac:dyDescent="0.25">
      <c r="A96" s="4" t="s">
        <v>30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5"/>
      <c r="O96" s="5"/>
      <c r="P96" s="5"/>
    </row>
    <row r="97" spans="1:16" x14ac:dyDescent="0.25">
      <c r="A97" s="4" t="s">
        <v>31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5"/>
      <c r="O97" s="5"/>
      <c r="P97" s="5"/>
    </row>
    <row r="98" spans="1:16" x14ac:dyDescent="0.25">
      <c r="A98" s="4" t="s">
        <v>32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5"/>
      <c r="O98" s="5"/>
      <c r="P98" s="5"/>
    </row>
    <row r="99" spans="1:16" x14ac:dyDescent="0.25">
      <c r="A99" s="4" t="s">
        <v>33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5"/>
      <c r="O99" s="5"/>
      <c r="P99" s="5"/>
    </row>
    <row r="100" spans="1:16" s="44" customFormat="1" x14ac:dyDescent="0.25">
      <c r="A100" s="58" t="s">
        <v>396</v>
      </c>
      <c r="B100" s="58" t="s">
        <v>397</v>
      </c>
      <c r="C100" s="58"/>
      <c r="D100" s="59"/>
      <c r="E100" s="59"/>
      <c r="F100" s="59"/>
      <c r="G100" s="59"/>
      <c r="H100" s="59"/>
      <c r="I100" s="59"/>
      <c r="J100" s="59"/>
      <c r="K100" s="59"/>
      <c r="L100" s="58" t="s">
        <v>18</v>
      </c>
      <c r="M100" s="58">
        <v>0</v>
      </c>
      <c r="N100" s="58" t="s">
        <v>19</v>
      </c>
      <c r="O100" s="58"/>
    </row>
    <row r="101" spans="1:16" s="44" customFormat="1" x14ac:dyDescent="0.25">
      <c r="A101" s="58" t="s">
        <v>398</v>
      </c>
      <c r="B101" s="58" t="s">
        <v>397</v>
      </c>
      <c r="C101" s="58"/>
      <c r="D101" s="59"/>
      <c r="E101" s="59"/>
      <c r="F101" s="59"/>
      <c r="G101" s="59"/>
      <c r="H101" s="59"/>
      <c r="I101" s="59"/>
      <c r="J101" s="59"/>
      <c r="K101" s="59"/>
      <c r="L101" s="58" t="s">
        <v>18</v>
      </c>
      <c r="M101" s="58">
        <v>0</v>
      </c>
      <c r="N101" s="58" t="s">
        <v>19</v>
      </c>
      <c r="O101" s="58" t="s">
        <v>399</v>
      </c>
    </row>
    <row r="102" spans="1:16" s="44" customFormat="1" x14ac:dyDescent="0.25">
      <c r="A102" s="58" t="s">
        <v>400</v>
      </c>
      <c r="B102" s="58" t="s">
        <v>397</v>
      </c>
      <c r="C102" s="58"/>
      <c r="D102" s="58"/>
      <c r="E102" s="58"/>
      <c r="F102" s="58"/>
      <c r="G102" s="58"/>
      <c r="H102" s="58"/>
      <c r="I102" s="58"/>
      <c r="J102" s="58"/>
      <c r="K102" s="58"/>
      <c r="L102" s="58" t="s">
        <v>18</v>
      </c>
      <c r="M102" s="58">
        <v>0</v>
      </c>
      <c r="N102" s="58" t="s">
        <v>19</v>
      </c>
      <c r="O102" s="58"/>
    </row>
    <row r="103" spans="1:16" x14ac:dyDescent="0.25">
      <c r="A103" s="58" t="s">
        <v>401</v>
      </c>
      <c r="B103" s="58" t="s">
        <v>402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 t="s">
        <v>18</v>
      </c>
      <c r="M103" s="58">
        <v>0</v>
      </c>
      <c r="N103" s="58" t="s">
        <v>19</v>
      </c>
      <c r="O103" s="17"/>
    </row>
    <row r="104" spans="1:16" x14ac:dyDescent="0.25">
      <c r="A104" s="58" t="s">
        <v>403</v>
      </c>
      <c r="B104" s="58" t="s">
        <v>397</v>
      </c>
      <c r="C104" s="58"/>
      <c r="D104" s="59"/>
      <c r="E104" s="59"/>
      <c r="F104" s="59"/>
      <c r="G104" s="59"/>
      <c r="H104" s="59"/>
      <c r="I104" s="59"/>
      <c r="J104" s="59"/>
      <c r="K104" s="59"/>
      <c r="L104" s="58" t="s">
        <v>18</v>
      </c>
      <c r="M104" s="58">
        <v>0</v>
      </c>
      <c r="N104" s="58" t="s">
        <v>19</v>
      </c>
      <c r="O104" s="17"/>
      <c r="P104" s="49"/>
    </row>
    <row r="105" spans="1:16" x14ac:dyDescent="0.25">
      <c r="A105" s="58" t="s">
        <v>404</v>
      </c>
      <c r="B105" s="58" t="s">
        <v>402</v>
      </c>
      <c r="C105" s="58"/>
      <c r="D105" s="59"/>
      <c r="E105" s="59"/>
      <c r="F105" s="59"/>
      <c r="G105" s="59"/>
      <c r="H105" s="59"/>
      <c r="I105" s="59"/>
      <c r="J105" s="59"/>
      <c r="K105" s="59"/>
      <c r="L105" s="58" t="s">
        <v>18</v>
      </c>
      <c r="M105" s="58">
        <v>0</v>
      </c>
      <c r="N105" s="58" t="s">
        <v>19</v>
      </c>
      <c r="O105" s="17"/>
      <c r="P105" s="49"/>
    </row>
    <row r="106" spans="1:16" x14ac:dyDescent="0.25">
      <c r="A106" s="58" t="s">
        <v>405</v>
      </c>
      <c r="B106" s="58" t="s">
        <v>397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 t="s">
        <v>18</v>
      </c>
      <c r="M106" s="58">
        <v>0</v>
      </c>
      <c r="N106" s="58" t="s">
        <v>19</v>
      </c>
      <c r="O106" s="17"/>
      <c r="P106" s="49"/>
    </row>
    <row r="107" spans="1:16" x14ac:dyDescent="0.25">
      <c r="A107" s="58" t="s">
        <v>406</v>
      </c>
      <c r="B107" s="58" t="s">
        <v>397</v>
      </c>
      <c r="C107" s="58"/>
      <c r="D107" s="59"/>
      <c r="E107" s="59"/>
      <c r="F107" s="59"/>
      <c r="G107" s="59"/>
      <c r="H107" s="59"/>
      <c r="I107" s="59"/>
      <c r="J107" s="59"/>
      <c r="K107" s="59"/>
      <c r="L107" s="58" t="s">
        <v>18</v>
      </c>
      <c r="M107" s="58">
        <v>0</v>
      </c>
      <c r="N107" s="58" t="s">
        <v>19</v>
      </c>
      <c r="O107" s="17"/>
      <c r="P107" s="49"/>
    </row>
    <row r="108" spans="1:16" x14ac:dyDescent="0.25">
      <c r="A108" s="58" t="s">
        <v>407</v>
      </c>
      <c r="B108" s="58" t="s">
        <v>397</v>
      </c>
      <c r="C108" s="58"/>
      <c r="D108" s="59"/>
      <c r="E108" s="59"/>
      <c r="F108" s="59"/>
      <c r="G108" s="59"/>
      <c r="H108" s="59"/>
      <c r="I108" s="59"/>
      <c r="J108" s="59"/>
      <c r="K108" s="59"/>
      <c r="L108" s="58" t="s">
        <v>18</v>
      </c>
      <c r="M108" s="58">
        <v>0</v>
      </c>
      <c r="N108" s="58" t="s">
        <v>19</v>
      </c>
      <c r="O108" s="17"/>
      <c r="P108" s="49"/>
    </row>
    <row r="109" spans="1:16" x14ac:dyDescent="0.25">
      <c r="A109" s="58" t="s">
        <v>408</v>
      </c>
      <c r="B109" s="58" t="s">
        <v>397</v>
      </c>
      <c r="C109" s="58"/>
      <c r="D109" s="59"/>
      <c r="E109" s="59"/>
      <c r="F109" s="59"/>
      <c r="G109" s="59"/>
      <c r="H109" s="59"/>
      <c r="I109" s="59"/>
      <c r="J109" s="59"/>
      <c r="K109" s="59"/>
      <c r="L109" s="58" t="s">
        <v>18</v>
      </c>
      <c r="M109" s="58">
        <v>0</v>
      </c>
      <c r="N109" s="58" t="s">
        <v>19</v>
      </c>
      <c r="O109" s="17"/>
      <c r="P109" s="49"/>
    </row>
    <row r="110" spans="1:16" x14ac:dyDescent="0.25">
      <c r="A110" s="58" t="s">
        <v>409</v>
      </c>
      <c r="B110" s="58" t="s">
        <v>397</v>
      </c>
      <c r="C110" s="58"/>
      <c r="D110" s="59"/>
      <c r="E110" s="59"/>
      <c r="F110" s="59"/>
      <c r="G110" s="59"/>
      <c r="H110" s="59"/>
      <c r="I110" s="59"/>
      <c r="J110" s="59"/>
      <c r="K110" s="59"/>
      <c r="L110" s="58" t="s">
        <v>18</v>
      </c>
      <c r="M110" s="58">
        <v>0</v>
      </c>
      <c r="N110" s="58" t="s">
        <v>19</v>
      </c>
      <c r="O110" s="17"/>
      <c r="P110" s="49"/>
    </row>
    <row r="111" spans="1:16" x14ac:dyDescent="0.25">
      <c r="A111" s="58" t="s">
        <v>410</v>
      </c>
      <c r="B111" s="58" t="s">
        <v>397</v>
      </c>
      <c r="C111" s="58"/>
      <c r="D111" s="59"/>
      <c r="E111" s="59"/>
      <c r="F111" s="59"/>
      <c r="G111" s="59"/>
      <c r="H111" s="59"/>
      <c r="I111" s="59"/>
      <c r="J111" s="59"/>
      <c r="K111" s="59"/>
      <c r="L111" s="58" t="s">
        <v>18</v>
      </c>
      <c r="M111" s="58">
        <v>0</v>
      </c>
      <c r="N111" s="58" t="s">
        <v>19</v>
      </c>
      <c r="O111" s="17"/>
      <c r="P111" s="49"/>
    </row>
    <row r="112" spans="1:16" x14ac:dyDescent="0.25">
      <c r="A112" s="58" t="s">
        <v>411</v>
      </c>
      <c r="B112" s="58" t="s">
        <v>397</v>
      </c>
      <c r="C112" s="58"/>
      <c r="D112" s="17"/>
      <c r="E112" s="17"/>
      <c r="F112" s="17"/>
      <c r="G112" s="17"/>
      <c r="H112" s="17"/>
      <c r="I112" s="17"/>
      <c r="J112" s="17"/>
      <c r="K112" s="17"/>
      <c r="L112" s="58" t="s">
        <v>18</v>
      </c>
      <c r="M112" s="58">
        <v>0</v>
      </c>
      <c r="N112" s="58" t="s">
        <v>19</v>
      </c>
      <c r="O112" s="17"/>
      <c r="P112" s="49"/>
    </row>
    <row r="114" spans="1:16" x14ac:dyDescent="0.25">
      <c r="A114" s="2" t="s">
        <v>198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</row>
    <row r="115" spans="1:16" x14ac:dyDescent="0.25">
      <c r="A115" t="s">
        <v>194</v>
      </c>
      <c r="B115" t="s">
        <v>200</v>
      </c>
      <c r="J115" t="s">
        <v>45</v>
      </c>
      <c r="L115" t="s">
        <v>197</v>
      </c>
      <c r="M115" s="33">
        <f>600000*(M540/100)</f>
        <v>188217.14285714284</v>
      </c>
      <c r="N115" t="s">
        <v>190</v>
      </c>
      <c r="O115" s="17" t="s">
        <v>333</v>
      </c>
      <c r="P115" s="21"/>
    </row>
    <row r="116" spans="1:16" x14ac:dyDescent="0.25">
      <c r="A116" t="s">
        <v>195</v>
      </c>
      <c r="B116" t="s">
        <v>200</v>
      </c>
      <c r="J116" t="s">
        <v>45</v>
      </c>
      <c r="L116" t="s">
        <v>197</v>
      </c>
      <c r="M116" s="33">
        <v>10000</v>
      </c>
      <c r="N116" t="s">
        <v>190</v>
      </c>
      <c r="O116" t="s">
        <v>196</v>
      </c>
    </row>
    <row r="117" spans="1:16" x14ac:dyDescent="0.25">
      <c r="A117" s="17" t="s">
        <v>412</v>
      </c>
      <c r="B117" s="17" t="s">
        <v>200</v>
      </c>
      <c r="C117" s="17"/>
      <c r="D117" s="17"/>
      <c r="E117" s="17"/>
      <c r="F117" s="17"/>
      <c r="G117" s="17"/>
      <c r="H117" s="17"/>
      <c r="I117" s="17"/>
      <c r="J117" s="17" t="s">
        <v>45</v>
      </c>
      <c r="K117" s="17"/>
      <c r="L117" s="17" t="s">
        <v>197</v>
      </c>
      <c r="M117" s="64">
        <v>0</v>
      </c>
      <c r="N117" s="17" t="s">
        <v>190</v>
      </c>
      <c r="O117" s="17" t="s">
        <v>413</v>
      </c>
      <c r="P117" s="7"/>
    </row>
    <row r="118" spans="1:16" x14ac:dyDescent="0.25">
      <c r="M118" s="33"/>
    </row>
    <row r="119" spans="1:16" x14ac:dyDescent="0.25">
      <c r="A119" t="s">
        <v>101</v>
      </c>
      <c r="B119" t="s">
        <v>200</v>
      </c>
      <c r="J119" t="s">
        <v>45</v>
      </c>
      <c r="L119" t="s">
        <v>197</v>
      </c>
      <c r="M119" s="33">
        <v>34000</v>
      </c>
      <c r="N119" t="s">
        <v>190</v>
      </c>
      <c r="O119" t="s">
        <v>300</v>
      </c>
      <c r="P119" t="s">
        <v>295</v>
      </c>
    </row>
    <row r="120" spans="1:16" x14ac:dyDescent="0.25">
      <c r="M120" s="33"/>
    </row>
    <row r="121" spans="1:16" x14ac:dyDescent="0.25">
      <c r="A121" t="s">
        <v>272</v>
      </c>
      <c r="B121" t="s">
        <v>200</v>
      </c>
      <c r="J121" t="s">
        <v>45</v>
      </c>
      <c r="L121" t="s">
        <v>197</v>
      </c>
      <c r="M121" s="37">
        <v>355.5</v>
      </c>
      <c r="N121" t="s">
        <v>273</v>
      </c>
      <c r="O121" t="s">
        <v>274</v>
      </c>
    </row>
    <row r="122" spans="1:16" x14ac:dyDescent="0.25">
      <c r="A122" s="45" t="s">
        <v>355</v>
      </c>
      <c r="M122" s="37"/>
    </row>
    <row r="123" spans="1:16" x14ac:dyDescent="0.25">
      <c r="A123" t="s">
        <v>346</v>
      </c>
      <c r="B123" t="s">
        <v>200</v>
      </c>
      <c r="J123" t="s">
        <v>45</v>
      </c>
      <c r="L123" s="44"/>
      <c r="M123" s="37">
        <f>103.1*1.12*0.78</f>
        <v>90.068160000000006</v>
      </c>
      <c r="N123" t="s">
        <v>273</v>
      </c>
      <c r="O123" t="s">
        <v>347</v>
      </c>
    </row>
    <row r="124" spans="1:16" x14ac:dyDescent="0.25">
      <c r="A124" t="s">
        <v>346</v>
      </c>
      <c r="B124" t="s">
        <v>200</v>
      </c>
      <c r="J124" t="s">
        <v>43</v>
      </c>
      <c r="L124" s="44"/>
      <c r="M124" s="37">
        <f>103.1*1.12*(1-0.78)</f>
        <v>25.403839999999999</v>
      </c>
      <c r="N124" t="s">
        <v>273</v>
      </c>
    </row>
    <row r="125" spans="1:16" x14ac:dyDescent="0.25">
      <c r="L125" s="44"/>
      <c r="M125" s="37"/>
    </row>
    <row r="126" spans="1:16" x14ac:dyDescent="0.25">
      <c r="L126" s="44"/>
      <c r="M126" s="37"/>
    </row>
    <row r="127" spans="1:16" x14ac:dyDescent="0.25">
      <c r="A127" s="17" t="s">
        <v>379</v>
      </c>
      <c r="B127" t="s">
        <v>200</v>
      </c>
      <c r="J127" t="s">
        <v>45</v>
      </c>
      <c r="L127" t="s">
        <v>197</v>
      </c>
      <c r="M127" s="15">
        <v>1000</v>
      </c>
      <c r="N127" t="s">
        <v>380</v>
      </c>
      <c r="O127" s="6"/>
      <c r="P127" s="9"/>
    </row>
    <row r="128" spans="1:16" x14ac:dyDescent="0.25">
      <c r="M128" s="33"/>
    </row>
    <row r="129" spans="1:20" x14ac:dyDescent="0.25">
      <c r="A129" s="2" t="s">
        <v>189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6"/>
      <c r="N129" s="3"/>
      <c r="O129" s="3"/>
      <c r="P129" s="3"/>
    </row>
    <row r="130" spans="1:20" x14ac:dyDescent="0.25">
      <c r="A130" t="s">
        <v>289</v>
      </c>
      <c r="B130" t="s">
        <v>26</v>
      </c>
      <c r="J130" t="s">
        <v>45</v>
      </c>
      <c r="L130" t="s">
        <v>293</v>
      </c>
      <c r="M130" s="33">
        <v>558249.80000000005</v>
      </c>
      <c r="N130" t="s">
        <v>190</v>
      </c>
      <c r="O130" t="s">
        <v>296</v>
      </c>
      <c r="P130" t="s">
        <v>294</v>
      </c>
    </row>
    <row r="131" spans="1:20" x14ac:dyDescent="0.25">
      <c r="A131" t="s">
        <v>290</v>
      </c>
      <c r="B131" t="s">
        <v>26</v>
      </c>
      <c r="J131" t="s">
        <v>45</v>
      </c>
      <c r="L131" t="s">
        <v>293</v>
      </c>
      <c r="M131" s="33">
        <f>304650.4+303000</f>
        <v>607650.4</v>
      </c>
      <c r="N131" t="s">
        <v>190</v>
      </c>
      <c r="O131" t="s">
        <v>296</v>
      </c>
      <c r="P131" t="s">
        <v>294</v>
      </c>
      <c r="T131" s="6" t="s">
        <v>343</v>
      </c>
    </row>
    <row r="132" spans="1:20" x14ac:dyDescent="0.25">
      <c r="A132" t="s">
        <v>291</v>
      </c>
      <c r="B132" t="s">
        <v>26</v>
      </c>
      <c r="J132" t="s">
        <v>45</v>
      </c>
      <c r="L132" t="s">
        <v>293</v>
      </c>
      <c r="M132" s="33">
        <v>32965.800000000003</v>
      </c>
      <c r="N132" t="s">
        <v>190</v>
      </c>
      <c r="O132" t="s">
        <v>308</v>
      </c>
      <c r="P132" t="s">
        <v>294</v>
      </c>
    </row>
    <row r="133" spans="1:20" x14ac:dyDescent="0.25">
      <c r="A133" t="s">
        <v>292</v>
      </c>
      <c r="B133" t="s">
        <v>26</v>
      </c>
      <c r="J133" t="s">
        <v>45</v>
      </c>
      <c r="L133" t="s">
        <v>293</v>
      </c>
      <c r="M133" s="33">
        <f>177249.6+246000</f>
        <v>423249.6</v>
      </c>
      <c r="N133" t="s">
        <v>190</v>
      </c>
      <c r="O133" t="s">
        <v>296</v>
      </c>
      <c r="P133" t="s">
        <v>294</v>
      </c>
      <c r="T133" s="6" t="s">
        <v>344</v>
      </c>
    </row>
    <row r="134" spans="1:20" x14ac:dyDescent="0.25">
      <c r="A134" t="s">
        <v>202</v>
      </c>
      <c r="B134" t="s">
        <v>207</v>
      </c>
      <c r="J134" t="s">
        <v>45</v>
      </c>
      <c r="L134" t="s">
        <v>293</v>
      </c>
      <c r="M134" s="33">
        <v>22062.799999999999</v>
      </c>
      <c r="N134" t="s">
        <v>190</v>
      </c>
      <c r="O134" t="s">
        <v>296</v>
      </c>
      <c r="P134" t="s">
        <v>294</v>
      </c>
    </row>
    <row r="135" spans="1:20" x14ac:dyDescent="0.25">
      <c r="A135" t="s">
        <v>101</v>
      </c>
      <c r="B135" t="s">
        <v>103</v>
      </c>
      <c r="J135" t="s">
        <v>45</v>
      </c>
      <c r="L135" t="s">
        <v>293</v>
      </c>
      <c r="M135" s="33">
        <v>25000</v>
      </c>
      <c r="N135" t="s">
        <v>190</v>
      </c>
      <c r="O135" t="s">
        <v>298</v>
      </c>
      <c r="P135" t="s">
        <v>297</v>
      </c>
    </row>
    <row r="136" spans="1:20" x14ac:dyDescent="0.25">
      <c r="A136" s="17" t="s">
        <v>54</v>
      </c>
      <c r="B136" s="17" t="s">
        <v>55</v>
      </c>
      <c r="C136" s="17"/>
      <c r="D136" s="17"/>
      <c r="E136" s="17"/>
      <c r="F136" s="17"/>
      <c r="G136" s="17"/>
      <c r="H136" s="17"/>
      <c r="I136" s="17"/>
      <c r="J136" s="17" t="s">
        <v>45</v>
      </c>
      <c r="K136" s="17"/>
      <c r="L136" s="17" t="s">
        <v>293</v>
      </c>
      <c r="M136" s="64">
        <v>0</v>
      </c>
      <c r="N136" s="17" t="s">
        <v>190</v>
      </c>
      <c r="O136" s="17"/>
    </row>
    <row r="137" spans="1:20" x14ac:dyDescent="0.25">
      <c r="A137" s="17" t="s">
        <v>54</v>
      </c>
      <c r="B137" s="17" t="s">
        <v>55</v>
      </c>
      <c r="C137" s="17"/>
      <c r="D137" s="17"/>
      <c r="E137" s="17"/>
      <c r="F137" s="17"/>
      <c r="G137" s="17"/>
      <c r="H137" s="17"/>
      <c r="I137" s="17"/>
      <c r="J137" s="17" t="s">
        <v>43</v>
      </c>
      <c r="K137" s="17"/>
      <c r="L137" s="17" t="s">
        <v>293</v>
      </c>
      <c r="M137" s="64">
        <v>0</v>
      </c>
      <c r="N137" s="17" t="s">
        <v>190</v>
      </c>
      <c r="O137" s="17"/>
    </row>
    <row r="138" spans="1:20" x14ac:dyDescent="0.25">
      <c r="A138" s="17" t="s">
        <v>95</v>
      </c>
      <c r="B138" s="17" t="s">
        <v>55</v>
      </c>
      <c r="C138" s="17"/>
      <c r="D138" s="17"/>
      <c r="E138" s="17"/>
      <c r="F138" s="17"/>
      <c r="G138" s="17"/>
      <c r="H138" s="17"/>
      <c r="I138" s="17"/>
      <c r="J138" s="17" t="s">
        <v>45</v>
      </c>
      <c r="K138" s="17"/>
      <c r="L138" s="17" t="s">
        <v>293</v>
      </c>
      <c r="M138" s="64">
        <v>0</v>
      </c>
      <c r="N138" s="17" t="s">
        <v>190</v>
      </c>
      <c r="O138" s="17" t="s">
        <v>414</v>
      </c>
      <c r="P138">
        <v>20000</v>
      </c>
    </row>
    <row r="139" spans="1:20" x14ac:dyDescent="0.25">
      <c r="A139" s="17" t="s">
        <v>95</v>
      </c>
      <c r="B139" s="17" t="s">
        <v>55</v>
      </c>
      <c r="C139" s="17"/>
      <c r="D139" s="17"/>
      <c r="E139" s="17"/>
      <c r="F139" s="17"/>
      <c r="G139" s="17"/>
      <c r="H139" s="17"/>
      <c r="I139" s="17"/>
      <c r="J139" s="17" t="s">
        <v>43</v>
      </c>
      <c r="K139" s="17"/>
      <c r="L139" s="17" t="s">
        <v>293</v>
      </c>
      <c r="M139" s="64">
        <v>0</v>
      </c>
      <c r="N139" s="17" t="s">
        <v>190</v>
      </c>
      <c r="O139" s="17"/>
    </row>
    <row r="140" spans="1:20" x14ac:dyDescent="0.25">
      <c r="A140" s="17" t="s">
        <v>345</v>
      </c>
      <c r="B140" s="17" t="s">
        <v>55</v>
      </c>
      <c r="C140" s="17"/>
      <c r="D140" s="17"/>
      <c r="E140" s="17"/>
      <c r="F140" s="17"/>
      <c r="G140" s="17"/>
      <c r="H140" s="17"/>
      <c r="I140" s="17"/>
      <c r="J140" s="17" t="s">
        <v>45</v>
      </c>
      <c r="K140" s="17"/>
      <c r="L140" s="17" t="s">
        <v>293</v>
      </c>
      <c r="M140" s="64">
        <v>0</v>
      </c>
      <c r="N140" s="17" t="s">
        <v>190</v>
      </c>
      <c r="O140" s="17"/>
    </row>
    <row r="141" spans="1:20" x14ac:dyDescent="0.25">
      <c r="A141" s="17" t="s">
        <v>345</v>
      </c>
      <c r="B141" s="17" t="s">
        <v>55</v>
      </c>
      <c r="C141" s="17"/>
      <c r="D141" s="17"/>
      <c r="E141" s="17"/>
      <c r="F141" s="17"/>
      <c r="G141" s="17"/>
      <c r="H141" s="17"/>
      <c r="I141" s="17"/>
      <c r="J141" s="17" t="s">
        <v>43</v>
      </c>
      <c r="K141" s="17"/>
      <c r="L141" s="17" t="s">
        <v>293</v>
      </c>
      <c r="M141" s="64">
        <v>0</v>
      </c>
      <c r="N141" s="17" t="s">
        <v>190</v>
      </c>
      <c r="O141" s="17"/>
    </row>
    <row r="142" spans="1:20" x14ac:dyDescent="0.25">
      <c r="A142" s="17" t="s">
        <v>267</v>
      </c>
      <c r="B142" s="17" t="s">
        <v>55</v>
      </c>
      <c r="C142" s="17"/>
      <c r="D142" s="17"/>
      <c r="E142" s="17"/>
      <c r="F142" s="17"/>
      <c r="G142" s="17"/>
      <c r="H142" s="17"/>
      <c r="I142" s="17"/>
      <c r="J142" s="17" t="s">
        <v>45</v>
      </c>
      <c r="K142" s="17"/>
      <c r="L142" s="17" t="s">
        <v>293</v>
      </c>
      <c r="M142" s="64">
        <v>0</v>
      </c>
      <c r="N142" s="17" t="s">
        <v>190</v>
      </c>
      <c r="O142" s="17"/>
    </row>
    <row r="143" spans="1:20" x14ac:dyDescent="0.25">
      <c r="A143" s="17" t="s">
        <v>267</v>
      </c>
      <c r="B143" s="17" t="s">
        <v>55</v>
      </c>
      <c r="C143" s="17"/>
      <c r="D143" s="17"/>
      <c r="E143" s="17"/>
      <c r="F143" s="17"/>
      <c r="G143" s="17"/>
      <c r="H143" s="17"/>
      <c r="I143" s="17"/>
      <c r="J143" s="17" t="s">
        <v>43</v>
      </c>
      <c r="K143" s="17"/>
      <c r="L143" s="17" t="s">
        <v>293</v>
      </c>
      <c r="M143" s="64">
        <v>0</v>
      </c>
      <c r="N143" s="17" t="s">
        <v>190</v>
      </c>
      <c r="O143" s="17"/>
    </row>
    <row r="144" spans="1:20" x14ac:dyDescent="0.25">
      <c r="A144" s="17" t="s">
        <v>383</v>
      </c>
      <c r="B144" s="17" t="s">
        <v>81</v>
      </c>
      <c r="C144" s="17"/>
      <c r="D144" s="17"/>
      <c r="E144" s="17"/>
      <c r="F144" s="17"/>
      <c r="G144" s="17"/>
      <c r="H144" s="17"/>
      <c r="I144" s="17"/>
      <c r="J144" s="17" t="s">
        <v>45</v>
      </c>
      <c r="K144" s="17"/>
      <c r="L144" s="17" t="s">
        <v>293</v>
      </c>
      <c r="M144" s="64">
        <v>0</v>
      </c>
      <c r="N144" s="17" t="s">
        <v>190</v>
      </c>
      <c r="O144" s="17"/>
    </row>
    <row r="145" spans="1:16" x14ac:dyDescent="0.25">
      <c r="A145" s="17" t="s">
        <v>383</v>
      </c>
      <c r="B145" s="17" t="s">
        <v>81</v>
      </c>
      <c r="C145" s="17"/>
      <c r="D145" s="17"/>
      <c r="E145" s="17"/>
      <c r="F145" s="17"/>
      <c r="G145" s="17"/>
      <c r="H145" s="17"/>
      <c r="I145" s="17"/>
      <c r="J145" s="17" t="s">
        <v>43</v>
      </c>
      <c r="K145" s="17"/>
      <c r="L145" s="17" t="s">
        <v>293</v>
      </c>
      <c r="M145" s="64">
        <v>0</v>
      </c>
      <c r="N145" s="17" t="s">
        <v>190</v>
      </c>
      <c r="O145" s="17"/>
    </row>
    <row r="146" spans="1:16" x14ac:dyDescent="0.25">
      <c r="A146" s="17" t="s">
        <v>64</v>
      </c>
      <c r="B146" s="17" t="s">
        <v>81</v>
      </c>
      <c r="C146" s="17"/>
      <c r="D146" s="17"/>
      <c r="E146" s="17"/>
      <c r="F146" s="17"/>
      <c r="G146" s="17"/>
      <c r="H146" s="17"/>
      <c r="I146" s="17"/>
      <c r="J146" s="17" t="s">
        <v>45</v>
      </c>
      <c r="K146" s="17"/>
      <c r="L146" s="17" t="s">
        <v>293</v>
      </c>
      <c r="M146" s="64">
        <v>20000</v>
      </c>
      <c r="N146" s="17" t="s">
        <v>190</v>
      </c>
      <c r="O146" s="17" t="s">
        <v>415</v>
      </c>
    </row>
    <row r="147" spans="1:16" x14ac:dyDescent="0.25">
      <c r="A147" s="17" t="s">
        <v>64</v>
      </c>
      <c r="B147" s="17" t="s">
        <v>81</v>
      </c>
      <c r="C147" s="17"/>
      <c r="D147" s="17"/>
      <c r="E147" s="17"/>
      <c r="F147" s="17"/>
      <c r="G147" s="17"/>
      <c r="H147" s="17"/>
      <c r="I147" s="17"/>
      <c r="J147" s="17" t="s">
        <v>43</v>
      </c>
      <c r="K147" s="17"/>
      <c r="L147" s="17" t="s">
        <v>293</v>
      </c>
      <c r="M147" s="64">
        <v>0</v>
      </c>
      <c r="N147" s="17" t="s">
        <v>190</v>
      </c>
      <c r="O147" s="17"/>
    </row>
    <row r="148" spans="1:16" x14ac:dyDescent="0.25">
      <c r="A148" s="58" t="s">
        <v>396</v>
      </c>
      <c r="B148" s="58" t="s">
        <v>397</v>
      </c>
      <c r="C148" s="17"/>
      <c r="D148" s="17"/>
      <c r="E148" s="17"/>
      <c r="F148" s="17"/>
      <c r="G148" s="17"/>
      <c r="H148" s="17"/>
      <c r="I148" s="17"/>
      <c r="J148" s="17" t="s">
        <v>45</v>
      </c>
      <c r="K148" s="17"/>
      <c r="L148" s="17" t="s">
        <v>293</v>
      </c>
      <c r="M148" s="64">
        <v>0</v>
      </c>
      <c r="N148" s="17" t="s">
        <v>190</v>
      </c>
      <c r="O148" s="17"/>
    </row>
    <row r="149" spans="1:16" x14ac:dyDescent="0.25">
      <c r="A149" s="58" t="s">
        <v>403</v>
      </c>
      <c r="B149" s="58" t="s">
        <v>397</v>
      </c>
      <c r="C149" s="17"/>
      <c r="D149" s="17"/>
      <c r="E149" s="17"/>
      <c r="F149" s="17"/>
      <c r="G149" s="17"/>
      <c r="H149" s="17"/>
      <c r="I149" s="17"/>
      <c r="J149" s="17" t="s">
        <v>45</v>
      </c>
      <c r="K149" s="17"/>
      <c r="L149" s="17" t="s">
        <v>293</v>
      </c>
      <c r="M149" s="64">
        <v>0</v>
      </c>
      <c r="N149" s="17" t="s">
        <v>190</v>
      </c>
      <c r="O149" s="17"/>
    </row>
    <row r="150" spans="1:16" x14ac:dyDescent="0.25">
      <c r="A150" s="58" t="s">
        <v>403</v>
      </c>
      <c r="B150" s="58" t="s">
        <v>397</v>
      </c>
      <c r="C150" s="17"/>
      <c r="D150" s="17"/>
      <c r="E150" s="17"/>
      <c r="F150" s="17"/>
      <c r="G150" s="17"/>
      <c r="H150" s="17"/>
      <c r="I150" s="17"/>
      <c r="J150" s="17" t="s">
        <v>43</v>
      </c>
      <c r="K150" s="17"/>
      <c r="L150" s="17" t="s">
        <v>293</v>
      </c>
      <c r="M150" s="64">
        <v>0</v>
      </c>
      <c r="N150" s="17" t="s">
        <v>190</v>
      </c>
      <c r="O150" s="17"/>
    </row>
    <row r="151" spans="1:16" x14ac:dyDescent="0.25">
      <c r="A151" s="58" t="s">
        <v>404</v>
      </c>
      <c r="B151" s="58" t="s">
        <v>397</v>
      </c>
      <c r="C151" s="17"/>
      <c r="D151" s="17"/>
      <c r="E151" s="17"/>
      <c r="F151" s="17"/>
      <c r="G151" s="17"/>
      <c r="H151" s="17"/>
      <c r="I151" s="17"/>
      <c r="J151" s="17" t="s">
        <v>45</v>
      </c>
      <c r="K151" s="17"/>
      <c r="L151" s="17" t="s">
        <v>293</v>
      </c>
      <c r="M151" s="64">
        <v>0</v>
      </c>
      <c r="N151" s="17" t="s">
        <v>190</v>
      </c>
      <c r="O151" s="17"/>
    </row>
    <row r="152" spans="1:16" x14ac:dyDescent="0.25">
      <c r="A152" s="58" t="s">
        <v>404</v>
      </c>
      <c r="B152" s="58" t="s">
        <v>402</v>
      </c>
      <c r="C152" s="17"/>
      <c r="D152" s="17"/>
      <c r="E152" s="17"/>
      <c r="F152" s="17"/>
      <c r="G152" s="17"/>
      <c r="H152" s="17"/>
      <c r="I152" s="17"/>
      <c r="J152" s="17" t="s">
        <v>43</v>
      </c>
      <c r="K152" s="17"/>
      <c r="L152" s="17" t="s">
        <v>293</v>
      </c>
      <c r="M152" s="64">
        <v>0</v>
      </c>
      <c r="N152" s="17" t="s">
        <v>190</v>
      </c>
      <c r="O152" s="17"/>
    </row>
    <row r="153" spans="1:16" x14ac:dyDescent="0.25">
      <c r="A153" s="58" t="s">
        <v>408</v>
      </c>
      <c r="B153" s="58" t="s">
        <v>397</v>
      </c>
      <c r="C153" s="17"/>
      <c r="D153" s="17"/>
      <c r="E153" s="17"/>
      <c r="F153" s="17"/>
      <c r="G153" s="17"/>
      <c r="H153" s="17"/>
      <c r="I153" s="17"/>
      <c r="J153" s="17" t="s">
        <v>45</v>
      </c>
      <c r="K153" s="17"/>
      <c r="L153" s="17" t="s">
        <v>293</v>
      </c>
      <c r="M153" s="64">
        <v>0</v>
      </c>
      <c r="N153" s="17" t="s">
        <v>190</v>
      </c>
      <c r="O153" s="17"/>
    </row>
    <row r="154" spans="1:16" x14ac:dyDescent="0.25">
      <c r="A154" s="58" t="s">
        <v>408</v>
      </c>
      <c r="B154" s="58" t="s">
        <v>397</v>
      </c>
      <c r="C154" s="17"/>
      <c r="D154" s="17"/>
      <c r="E154" s="17"/>
      <c r="F154" s="17"/>
      <c r="G154" s="17"/>
      <c r="H154" s="17"/>
      <c r="I154" s="17"/>
      <c r="J154" s="17" t="s">
        <v>43</v>
      </c>
      <c r="K154" s="17"/>
      <c r="L154" s="17" t="s">
        <v>293</v>
      </c>
      <c r="M154" s="64">
        <v>0</v>
      </c>
      <c r="N154" s="17" t="s">
        <v>190</v>
      </c>
      <c r="O154" s="17"/>
    </row>
    <row r="155" spans="1:16" x14ac:dyDescent="0.25">
      <c r="A155" s="17" t="s">
        <v>406</v>
      </c>
      <c r="B155" s="58" t="s">
        <v>397</v>
      </c>
      <c r="C155" s="17"/>
      <c r="D155" s="17"/>
      <c r="E155" s="17"/>
      <c r="F155" s="17"/>
      <c r="G155" s="17"/>
      <c r="H155" s="17"/>
      <c r="I155" s="17"/>
      <c r="J155" s="17" t="s">
        <v>45</v>
      </c>
      <c r="K155" s="17"/>
      <c r="L155" s="17" t="s">
        <v>293</v>
      </c>
      <c r="M155" s="64">
        <v>0</v>
      </c>
      <c r="N155" s="17" t="s">
        <v>190</v>
      </c>
      <c r="O155" s="17"/>
    </row>
    <row r="156" spans="1:16" x14ac:dyDescent="0.25">
      <c r="A156" s="17" t="s">
        <v>406</v>
      </c>
      <c r="B156" s="58" t="s">
        <v>397</v>
      </c>
      <c r="C156" s="17"/>
      <c r="D156" s="17"/>
      <c r="E156" s="17"/>
      <c r="F156" s="17"/>
      <c r="G156" s="17"/>
      <c r="H156" s="17"/>
      <c r="I156" s="17"/>
      <c r="J156" s="17" t="s">
        <v>43</v>
      </c>
      <c r="K156" s="17"/>
      <c r="L156" s="17" t="s">
        <v>293</v>
      </c>
      <c r="M156" s="64">
        <v>0</v>
      </c>
      <c r="N156" s="17" t="s">
        <v>190</v>
      </c>
      <c r="O156" s="17"/>
    </row>
    <row r="157" spans="1:16" x14ac:dyDescent="0.25">
      <c r="A157" s="17" t="s">
        <v>407</v>
      </c>
      <c r="B157" s="58" t="s">
        <v>397</v>
      </c>
      <c r="C157" s="17"/>
      <c r="D157" s="17"/>
      <c r="E157" s="17"/>
      <c r="F157" s="17"/>
      <c r="G157" s="17"/>
      <c r="H157" s="17"/>
      <c r="I157" s="17"/>
      <c r="J157" s="17" t="s">
        <v>45</v>
      </c>
      <c r="K157" s="17"/>
      <c r="L157" s="17" t="s">
        <v>293</v>
      </c>
      <c r="M157" s="64">
        <v>0</v>
      </c>
      <c r="N157" s="17" t="s">
        <v>190</v>
      </c>
      <c r="O157" s="17"/>
    </row>
    <row r="158" spans="1:16" x14ac:dyDescent="0.25">
      <c r="A158" s="17" t="s">
        <v>407</v>
      </c>
      <c r="B158" s="58" t="s">
        <v>397</v>
      </c>
      <c r="C158" s="17"/>
      <c r="D158" s="17"/>
      <c r="E158" s="17"/>
      <c r="F158" s="17"/>
      <c r="G158" s="17"/>
      <c r="H158" s="17"/>
      <c r="I158" s="17"/>
      <c r="J158" s="17" t="s">
        <v>43</v>
      </c>
      <c r="K158" s="17"/>
      <c r="L158" s="17" t="s">
        <v>293</v>
      </c>
      <c r="M158" s="64">
        <v>0</v>
      </c>
      <c r="N158" s="17" t="s">
        <v>190</v>
      </c>
      <c r="O158" s="17"/>
    </row>
    <row r="160" spans="1:16" x14ac:dyDescent="0.25">
      <c r="A160" s="62" t="s">
        <v>451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63" t="s">
        <v>455</v>
      </c>
    </row>
    <row r="162" spans="1:16" x14ac:dyDescent="0.25">
      <c r="A162" s="63" t="s">
        <v>456</v>
      </c>
    </row>
    <row r="163" spans="1:16" x14ac:dyDescent="0.25">
      <c r="A163" s="63" t="s">
        <v>458</v>
      </c>
    </row>
    <row r="164" spans="1:16" x14ac:dyDescent="0.25">
      <c r="A164" s="63" t="s">
        <v>459</v>
      </c>
    </row>
    <row r="165" spans="1:16" x14ac:dyDescent="0.25">
      <c r="A165" s="58" t="s">
        <v>452</v>
      </c>
      <c r="C165" t="s">
        <v>202</v>
      </c>
      <c r="L165" t="s">
        <v>454</v>
      </c>
      <c r="M165">
        <v>50</v>
      </c>
      <c r="N165" t="s">
        <v>38</v>
      </c>
      <c r="O165" s="6" t="s">
        <v>457</v>
      </c>
    </row>
    <row r="166" spans="1:16" x14ac:dyDescent="0.25">
      <c r="A166" s="58" t="s">
        <v>452</v>
      </c>
      <c r="C166" t="s">
        <v>126</v>
      </c>
      <c r="L166" t="s">
        <v>454</v>
      </c>
      <c r="M166">
        <v>50</v>
      </c>
      <c r="N166" t="s">
        <v>38</v>
      </c>
    </row>
    <row r="168" spans="1:16" x14ac:dyDescent="0.25">
      <c r="A168" s="2" t="s">
        <v>34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</row>
    <row r="169" spans="1:16" x14ac:dyDescent="0.25">
      <c r="B169" t="s">
        <v>26</v>
      </c>
      <c r="K169" t="s">
        <v>50</v>
      </c>
      <c r="L169" t="s">
        <v>53</v>
      </c>
      <c r="M169">
        <v>25</v>
      </c>
      <c r="N169" t="s">
        <v>38</v>
      </c>
    </row>
    <row r="170" spans="1:16" x14ac:dyDescent="0.25">
      <c r="B170" t="s">
        <v>26</v>
      </c>
      <c r="K170" t="s">
        <v>51</v>
      </c>
      <c r="L170" t="s">
        <v>53</v>
      </c>
      <c r="M170">
        <v>2</v>
      </c>
      <c r="N170" t="s">
        <v>38</v>
      </c>
    </row>
    <row r="171" spans="1:16" x14ac:dyDescent="0.25">
      <c r="B171" t="s">
        <v>26</v>
      </c>
      <c r="K171" t="s">
        <v>52</v>
      </c>
      <c r="L171" t="s">
        <v>53</v>
      </c>
      <c r="M171" s="6">
        <v>10.5</v>
      </c>
      <c r="N171" t="s">
        <v>38</v>
      </c>
      <c r="O171" s="6" t="s">
        <v>89</v>
      </c>
    </row>
    <row r="172" spans="1:16" x14ac:dyDescent="0.25">
      <c r="B172" t="s">
        <v>103</v>
      </c>
      <c r="K172" t="s">
        <v>50</v>
      </c>
      <c r="L172" t="s">
        <v>53</v>
      </c>
      <c r="M172">
        <v>17</v>
      </c>
      <c r="N172" t="s">
        <v>38</v>
      </c>
    </row>
    <row r="173" spans="1:16" x14ac:dyDescent="0.25">
      <c r="B173" t="s">
        <v>103</v>
      </c>
      <c r="K173" t="s">
        <v>51</v>
      </c>
      <c r="L173" t="s">
        <v>53</v>
      </c>
      <c r="M173">
        <v>7</v>
      </c>
      <c r="N173" t="s">
        <v>38</v>
      </c>
    </row>
    <row r="174" spans="1:16" x14ac:dyDescent="0.25">
      <c r="B174" t="s">
        <v>103</v>
      </c>
      <c r="K174" t="s">
        <v>52</v>
      </c>
      <c r="L174" t="s">
        <v>53</v>
      </c>
      <c r="M174" s="6">
        <v>15</v>
      </c>
      <c r="N174" t="s">
        <v>38</v>
      </c>
      <c r="O174" s="6" t="s">
        <v>89</v>
      </c>
    </row>
    <row r="175" spans="1:16" x14ac:dyDescent="0.25">
      <c r="B175" t="s">
        <v>108</v>
      </c>
      <c r="K175" t="s">
        <v>50</v>
      </c>
      <c r="L175" t="s">
        <v>53</v>
      </c>
      <c r="M175">
        <v>19</v>
      </c>
      <c r="N175" t="s">
        <v>38</v>
      </c>
    </row>
    <row r="176" spans="1:16" x14ac:dyDescent="0.25">
      <c r="B176" t="s">
        <v>108</v>
      </c>
      <c r="K176" t="s">
        <v>51</v>
      </c>
      <c r="L176" t="s">
        <v>53</v>
      </c>
      <c r="M176">
        <v>10</v>
      </c>
      <c r="N176" t="s">
        <v>38</v>
      </c>
    </row>
    <row r="177" spans="2:15" x14ac:dyDescent="0.25">
      <c r="B177" t="s">
        <v>108</v>
      </c>
      <c r="K177" t="s">
        <v>52</v>
      </c>
      <c r="L177" t="s">
        <v>53</v>
      </c>
      <c r="M177" s="6">
        <v>2</v>
      </c>
      <c r="N177" t="s">
        <v>38</v>
      </c>
      <c r="O177" s="6" t="s">
        <v>89</v>
      </c>
    </row>
    <row r="178" spans="2:15" x14ac:dyDescent="0.25">
      <c r="B178" t="s">
        <v>244</v>
      </c>
      <c r="K178" t="s">
        <v>50</v>
      </c>
      <c r="L178" t="s">
        <v>53</v>
      </c>
      <c r="M178">
        <v>19</v>
      </c>
      <c r="N178" t="s">
        <v>38</v>
      </c>
    </row>
    <row r="179" spans="2:15" x14ac:dyDescent="0.25">
      <c r="B179" t="s">
        <v>244</v>
      </c>
      <c r="K179" t="s">
        <v>51</v>
      </c>
      <c r="L179" t="s">
        <v>53</v>
      </c>
      <c r="M179">
        <v>10</v>
      </c>
      <c r="N179" t="s">
        <v>38</v>
      </c>
    </row>
    <row r="180" spans="2:15" x14ac:dyDescent="0.25">
      <c r="B180" t="s">
        <v>244</v>
      </c>
      <c r="K180" t="s">
        <v>52</v>
      </c>
      <c r="L180" t="s">
        <v>53</v>
      </c>
      <c r="M180" s="6">
        <v>2</v>
      </c>
      <c r="N180" t="s">
        <v>38</v>
      </c>
      <c r="O180" s="6" t="s">
        <v>89</v>
      </c>
    </row>
    <row r="181" spans="2:15" x14ac:dyDescent="0.25">
      <c r="B181" t="s">
        <v>81</v>
      </c>
      <c r="K181" t="s">
        <v>50</v>
      </c>
      <c r="L181" t="s">
        <v>53</v>
      </c>
      <c r="M181">
        <v>11</v>
      </c>
      <c r="N181" t="s">
        <v>38</v>
      </c>
    </row>
    <row r="182" spans="2:15" x14ac:dyDescent="0.25">
      <c r="B182" t="s">
        <v>81</v>
      </c>
      <c r="K182" t="s">
        <v>51</v>
      </c>
      <c r="L182" t="s">
        <v>53</v>
      </c>
      <c r="M182">
        <f>0.5</f>
        <v>0.5</v>
      </c>
      <c r="N182" t="s">
        <v>38</v>
      </c>
    </row>
    <row r="183" spans="2:15" x14ac:dyDescent="0.25">
      <c r="B183" t="s">
        <v>81</v>
      </c>
      <c r="K183" t="s">
        <v>52</v>
      </c>
      <c r="L183" t="s">
        <v>53</v>
      </c>
      <c r="M183" s="6">
        <v>1</v>
      </c>
      <c r="N183" t="s">
        <v>38</v>
      </c>
      <c r="O183" s="6" t="s">
        <v>89</v>
      </c>
    </row>
    <row r="184" spans="2:15" x14ac:dyDescent="0.25">
      <c r="B184" t="s">
        <v>55</v>
      </c>
      <c r="K184" t="s">
        <v>50</v>
      </c>
      <c r="L184" t="s">
        <v>53</v>
      </c>
      <c r="M184">
        <v>11</v>
      </c>
      <c r="N184" t="s">
        <v>38</v>
      </c>
    </row>
    <row r="185" spans="2:15" x14ac:dyDescent="0.25">
      <c r="B185" t="s">
        <v>55</v>
      </c>
      <c r="K185" t="s">
        <v>51</v>
      </c>
      <c r="L185" t="s">
        <v>53</v>
      </c>
      <c r="M185">
        <v>4</v>
      </c>
      <c r="N185" t="s">
        <v>38</v>
      </c>
    </row>
    <row r="186" spans="2:15" x14ac:dyDescent="0.25">
      <c r="B186" t="s">
        <v>55</v>
      </c>
      <c r="K186" t="s">
        <v>52</v>
      </c>
      <c r="L186" t="s">
        <v>53</v>
      </c>
      <c r="M186" s="6">
        <v>5</v>
      </c>
      <c r="N186" t="s">
        <v>38</v>
      </c>
      <c r="O186" s="6" t="s">
        <v>89</v>
      </c>
    </row>
    <row r="187" spans="2:15" x14ac:dyDescent="0.25">
      <c r="B187" t="s">
        <v>324</v>
      </c>
      <c r="K187" t="s">
        <v>50</v>
      </c>
      <c r="L187" t="s">
        <v>53</v>
      </c>
      <c r="M187">
        <v>11</v>
      </c>
      <c r="N187" t="s">
        <v>38</v>
      </c>
    </row>
    <row r="188" spans="2:15" x14ac:dyDescent="0.25">
      <c r="B188" t="s">
        <v>324</v>
      </c>
      <c r="K188" t="s">
        <v>51</v>
      </c>
      <c r="L188" t="s">
        <v>53</v>
      </c>
      <c r="M188">
        <v>4</v>
      </c>
      <c r="N188" t="s">
        <v>38</v>
      </c>
    </row>
    <row r="189" spans="2:15" x14ac:dyDescent="0.25">
      <c r="B189" t="s">
        <v>324</v>
      </c>
      <c r="K189" t="s">
        <v>52</v>
      </c>
      <c r="L189" t="s">
        <v>53</v>
      </c>
      <c r="M189" s="6">
        <v>5</v>
      </c>
      <c r="N189" t="s">
        <v>38</v>
      </c>
      <c r="O189" s="6" t="s">
        <v>89</v>
      </c>
    </row>
    <row r="190" spans="2:15" x14ac:dyDescent="0.25">
      <c r="B190" t="s">
        <v>207</v>
      </c>
      <c r="K190" t="s">
        <v>50</v>
      </c>
      <c r="L190" t="s">
        <v>53</v>
      </c>
      <c r="M190">
        <v>4</v>
      </c>
      <c r="N190" t="s">
        <v>38</v>
      </c>
    </row>
    <row r="191" spans="2:15" x14ac:dyDescent="0.25">
      <c r="B191" t="s">
        <v>207</v>
      </c>
      <c r="K191" t="s">
        <v>51</v>
      </c>
      <c r="L191" t="s">
        <v>53</v>
      </c>
      <c r="M191">
        <v>1</v>
      </c>
      <c r="N191" t="s">
        <v>38</v>
      </c>
    </row>
    <row r="192" spans="2:15" x14ac:dyDescent="0.25">
      <c r="B192" t="s">
        <v>207</v>
      </c>
      <c r="K192" t="s">
        <v>52</v>
      </c>
      <c r="L192" t="s">
        <v>53</v>
      </c>
      <c r="M192" s="6">
        <v>5</v>
      </c>
      <c r="N192" t="s">
        <v>38</v>
      </c>
      <c r="O192" s="6" t="s">
        <v>89</v>
      </c>
    </row>
    <row r="193" spans="1:15" x14ac:dyDescent="0.25">
      <c r="B193" t="s">
        <v>127</v>
      </c>
      <c r="K193" t="s">
        <v>50</v>
      </c>
      <c r="L193" t="s">
        <v>53</v>
      </c>
      <c r="M193">
        <v>4</v>
      </c>
      <c r="N193" t="s">
        <v>38</v>
      </c>
    </row>
    <row r="194" spans="1:15" x14ac:dyDescent="0.25">
      <c r="B194" t="s">
        <v>127</v>
      </c>
      <c r="K194" t="s">
        <v>51</v>
      </c>
      <c r="L194" t="s">
        <v>53</v>
      </c>
      <c r="M194">
        <v>1</v>
      </c>
      <c r="N194" t="s">
        <v>38</v>
      </c>
    </row>
    <row r="195" spans="1:15" x14ac:dyDescent="0.25">
      <c r="B195" t="s">
        <v>127</v>
      </c>
      <c r="K195" t="s">
        <v>52</v>
      </c>
      <c r="L195" t="s">
        <v>53</v>
      </c>
      <c r="M195" s="6">
        <v>5</v>
      </c>
      <c r="N195" t="s">
        <v>38</v>
      </c>
      <c r="O195" s="6" t="s">
        <v>89</v>
      </c>
    </row>
    <row r="196" spans="1:15" x14ac:dyDescent="0.25">
      <c r="B196" t="s">
        <v>220</v>
      </c>
      <c r="K196" t="s">
        <v>50</v>
      </c>
      <c r="L196" t="s">
        <v>53</v>
      </c>
      <c r="M196">
        <v>13</v>
      </c>
      <c r="N196" t="s">
        <v>38</v>
      </c>
    </row>
    <row r="197" spans="1:15" x14ac:dyDescent="0.25">
      <c r="B197" t="s">
        <v>220</v>
      </c>
      <c r="K197" t="s">
        <v>51</v>
      </c>
      <c r="L197" t="s">
        <v>53</v>
      </c>
      <c r="M197">
        <v>5</v>
      </c>
      <c r="N197" t="s">
        <v>38</v>
      </c>
    </row>
    <row r="198" spans="1:15" x14ac:dyDescent="0.25">
      <c r="B198" t="s">
        <v>220</v>
      </c>
      <c r="K198" t="s">
        <v>52</v>
      </c>
      <c r="L198" t="s">
        <v>53</v>
      </c>
      <c r="M198" s="6">
        <v>5</v>
      </c>
      <c r="N198" t="s">
        <v>38</v>
      </c>
      <c r="O198" s="6" t="s">
        <v>89</v>
      </c>
    </row>
    <row r="199" spans="1:15" x14ac:dyDescent="0.25">
      <c r="B199" t="s">
        <v>112</v>
      </c>
      <c r="K199" t="s">
        <v>50</v>
      </c>
      <c r="L199" t="s">
        <v>53</v>
      </c>
      <c r="M199">
        <v>0</v>
      </c>
      <c r="N199" t="s">
        <v>38</v>
      </c>
    </row>
    <row r="200" spans="1:15" x14ac:dyDescent="0.25">
      <c r="B200" t="s">
        <v>112</v>
      </c>
      <c r="K200" t="s">
        <v>51</v>
      </c>
      <c r="L200" t="s">
        <v>53</v>
      </c>
      <c r="M200">
        <v>5</v>
      </c>
      <c r="N200" t="s">
        <v>38</v>
      </c>
    </row>
    <row r="201" spans="1:15" x14ac:dyDescent="0.25">
      <c r="B201" t="s">
        <v>112</v>
      </c>
      <c r="K201" t="s">
        <v>52</v>
      </c>
      <c r="L201" t="s">
        <v>53</v>
      </c>
      <c r="M201" s="6">
        <v>5</v>
      </c>
      <c r="N201" t="s">
        <v>38</v>
      </c>
      <c r="O201" s="6" t="s">
        <v>89</v>
      </c>
    </row>
    <row r="202" spans="1:15" x14ac:dyDescent="0.25">
      <c r="A202" s="7"/>
      <c r="B202" s="17" t="s">
        <v>397</v>
      </c>
      <c r="C202" s="17"/>
      <c r="D202" s="17"/>
      <c r="E202" s="17"/>
      <c r="F202" s="17"/>
      <c r="G202" s="17"/>
      <c r="H202" s="17"/>
      <c r="I202" s="17"/>
      <c r="J202" s="17"/>
      <c r="K202" s="17" t="s">
        <v>50</v>
      </c>
      <c r="L202" s="17" t="s">
        <v>53</v>
      </c>
      <c r="M202" s="17">
        <v>11</v>
      </c>
      <c r="N202" s="17" t="s">
        <v>38</v>
      </c>
      <c r="O202" s="7"/>
    </row>
    <row r="203" spans="1:15" x14ac:dyDescent="0.25">
      <c r="A203" s="7"/>
      <c r="B203" s="17" t="s">
        <v>397</v>
      </c>
      <c r="C203" s="17"/>
      <c r="D203" s="17"/>
      <c r="E203" s="17"/>
      <c r="F203" s="17"/>
      <c r="G203" s="17"/>
      <c r="H203" s="17"/>
      <c r="I203" s="17"/>
      <c r="J203" s="17"/>
      <c r="K203" s="17" t="s">
        <v>51</v>
      </c>
      <c r="L203" s="17" t="s">
        <v>53</v>
      </c>
      <c r="M203" s="17">
        <v>4</v>
      </c>
      <c r="N203" s="17" t="s">
        <v>38</v>
      </c>
      <c r="O203" s="7"/>
    </row>
    <row r="204" spans="1:15" x14ac:dyDescent="0.25">
      <c r="A204" s="7"/>
      <c r="B204" s="17" t="s">
        <v>397</v>
      </c>
      <c r="C204" s="17"/>
      <c r="D204" s="17"/>
      <c r="E204" s="17"/>
      <c r="F204" s="17"/>
      <c r="G204" s="17"/>
      <c r="H204" s="17"/>
      <c r="I204" s="17"/>
      <c r="J204" s="17"/>
      <c r="K204" s="17" t="s">
        <v>52</v>
      </c>
      <c r="L204" s="17" t="s">
        <v>53</v>
      </c>
      <c r="M204" s="17">
        <v>5</v>
      </c>
      <c r="N204" s="17" t="s">
        <v>38</v>
      </c>
      <c r="O204" s="7"/>
    </row>
    <row r="205" spans="1:15" x14ac:dyDescent="0.25">
      <c r="A205" s="7"/>
      <c r="B205" s="58" t="s">
        <v>402</v>
      </c>
      <c r="C205" s="58"/>
      <c r="D205" s="17"/>
      <c r="E205" s="17"/>
      <c r="F205" s="17"/>
      <c r="G205" s="17"/>
      <c r="H205" s="17"/>
      <c r="I205" s="17"/>
      <c r="J205" s="17"/>
      <c r="K205" s="17" t="s">
        <v>50</v>
      </c>
      <c r="L205" s="17" t="s">
        <v>53</v>
      </c>
      <c r="M205" s="17">
        <v>11</v>
      </c>
      <c r="N205" s="17" t="s">
        <v>38</v>
      </c>
      <c r="O205" s="7"/>
    </row>
    <row r="206" spans="1:15" x14ac:dyDescent="0.25">
      <c r="A206" s="7"/>
      <c r="B206" s="58" t="s">
        <v>402</v>
      </c>
      <c r="C206" s="58"/>
      <c r="D206" s="17"/>
      <c r="E206" s="17"/>
      <c r="F206" s="17"/>
      <c r="G206" s="17"/>
      <c r="H206" s="17"/>
      <c r="I206" s="17"/>
      <c r="J206" s="17"/>
      <c r="K206" s="17" t="s">
        <v>51</v>
      </c>
      <c r="L206" s="17" t="s">
        <v>53</v>
      </c>
      <c r="M206" s="17">
        <f>0.5</f>
        <v>0.5</v>
      </c>
      <c r="N206" s="17" t="s">
        <v>38</v>
      </c>
      <c r="O206" s="7"/>
    </row>
    <row r="207" spans="1:15" x14ac:dyDescent="0.25">
      <c r="B207" s="58" t="s">
        <v>402</v>
      </c>
      <c r="C207" s="58"/>
      <c r="D207" s="17"/>
      <c r="E207" s="17"/>
      <c r="F207" s="17"/>
      <c r="G207" s="17"/>
      <c r="H207" s="17"/>
      <c r="I207" s="17"/>
      <c r="J207" s="17"/>
      <c r="K207" s="17" t="s">
        <v>52</v>
      </c>
      <c r="L207" s="17" t="s">
        <v>53</v>
      </c>
      <c r="M207" s="17">
        <v>1</v>
      </c>
      <c r="N207" s="17" t="s">
        <v>38</v>
      </c>
      <c r="O207" s="6"/>
    </row>
    <row r="208" spans="1:15" x14ac:dyDescent="0.25">
      <c r="B208" s="58" t="s">
        <v>389</v>
      </c>
      <c r="C208" s="58"/>
      <c r="D208" s="17"/>
      <c r="E208" s="17"/>
      <c r="F208" s="17"/>
      <c r="G208" s="17"/>
      <c r="H208" s="17"/>
      <c r="I208" s="17"/>
      <c r="J208" s="17"/>
      <c r="K208" s="17" t="s">
        <v>50</v>
      </c>
      <c r="L208" s="17" t="s">
        <v>53</v>
      </c>
      <c r="M208" s="17">
        <v>4</v>
      </c>
      <c r="N208" s="17" t="s">
        <v>38</v>
      </c>
      <c r="O208" s="6"/>
    </row>
    <row r="209" spans="1:16" x14ac:dyDescent="0.25">
      <c r="B209" s="58" t="s">
        <v>389</v>
      </c>
      <c r="C209" s="58"/>
      <c r="D209" s="17"/>
      <c r="E209" s="17"/>
      <c r="F209" s="17"/>
      <c r="G209" s="17"/>
      <c r="H209" s="17"/>
      <c r="I209" s="17"/>
      <c r="J209" s="17"/>
      <c r="K209" s="17" t="s">
        <v>51</v>
      </c>
      <c r="L209" s="17" t="s">
        <v>53</v>
      </c>
      <c r="M209" s="17">
        <v>1</v>
      </c>
      <c r="N209" s="17" t="s">
        <v>38</v>
      </c>
      <c r="O209" s="6"/>
    </row>
    <row r="210" spans="1:16" x14ac:dyDescent="0.25">
      <c r="B210" s="58" t="s">
        <v>389</v>
      </c>
      <c r="C210" s="58"/>
      <c r="D210" s="17"/>
      <c r="E210" s="17"/>
      <c r="F210" s="17"/>
      <c r="G210" s="17"/>
      <c r="H210" s="17"/>
      <c r="I210" s="17"/>
      <c r="J210" s="17"/>
      <c r="K210" s="17" t="s">
        <v>52</v>
      </c>
      <c r="L210" s="17" t="s">
        <v>53</v>
      </c>
      <c r="M210" s="17">
        <v>5</v>
      </c>
      <c r="N210" s="17" t="s">
        <v>38</v>
      </c>
      <c r="O210" s="6"/>
    </row>
    <row r="211" spans="1:16" x14ac:dyDescent="0.25">
      <c r="B211" s="58" t="s">
        <v>393</v>
      </c>
      <c r="C211" s="58"/>
      <c r="D211" s="17"/>
      <c r="E211" s="17"/>
      <c r="F211" s="17"/>
      <c r="G211" s="17"/>
      <c r="H211" s="17"/>
      <c r="I211" s="17"/>
      <c r="J211" s="17"/>
      <c r="K211" s="17" t="s">
        <v>50</v>
      </c>
      <c r="L211" s="17" t="s">
        <v>53</v>
      </c>
      <c r="M211" s="17">
        <v>4</v>
      </c>
      <c r="N211" s="17" t="s">
        <v>38</v>
      </c>
      <c r="O211" s="6"/>
    </row>
    <row r="212" spans="1:16" x14ac:dyDescent="0.25">
      <c r="B212" s="58" t="s">
        <v>393</v>
      </c>
      <c r="C212" s="58"/>
      <c r="D212" s="17"/>
      <c r="E212" s="17"/>
      <c r="F212" s="17"/>
      <c r="G212" s="17"/>
      <c r="H212" s="17"/>
      <c r="I212" s="17"/>
      <c r="J212" s="17"/>
      <c r="K212" s="17" t="s">
        <v>51</v>
      </c>
      <c r="L212" s="17" t="s">
        <v>53</v>
      </c>
      <c r="M212" s="17">
        <v>1</v>
      </c>
      <c r="N212" s="17" t="s">
        <v>38</v>
      </c>
      <c r="O212" s="6"/>
    </row>
    <row r="213" spans="1:16" x14ac:dyDescent="0.25">
      <c r="B213" s="58" t="s">
        <v>393</v>
      </c>
      <c r="C213" s="58"/>
      <c r="D213" s="17"/>
      <c r="E213" s="17"/>
      <c r="F213" s="17"/>
      <c r="G213" s="17"/>
      <c r="H213" s="17"/>
      <c r="I213" s="17"/>
      <c r="J213" s="17"/>
      <c r="K213" s="17" t="s">
        <v>52</v>
      </c>
      <c r="L213" s="17" t="s">
        <v>53</v>
      </c>
      <c r="M213" s="17">
        <v>5</v>
      </c>
      <c r="N213" s="17" t="s">
        <v>38</v>
      </c>
      <c r="O213" s="6"/>
    </row>
    <row r="214" spans="1:16" x14ac:dyDescent="0.25">
      <c r="M214" s="6"/>
      <c r="O214" s="6"/>
    </row>
    <row r="215" spans="1:16" x14ac:dyDescent="0.25">
      <c r="A215" s="2" t="s">
        <v>39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</row>
    <row r="216" spans="1:16" x14ac:dyDescent="0.25">
      <c r="L216" s="7" t="s">
        <v>40</v>
      </c>
      <c r="M216" s="7">
        <v>100</v>
      </c>
      <c r="N216" s="7" t="s">
        <v>38</v>
      </c>
      <c r="O216" s="7" t="s">
        <v>44</v>
      </c>
    </row>
    <row r="217" spans="1:16" x14ac:dyDescent="0.25">
      <c r="A217" s="4" t="s">
        <v>10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5"/>
      <c r="M217" s="5"/>
      <c r="N217" s="5"/>
      <c r="O217" s="5"/>
      <c r="P217" s="5"/>
    </row>
    <row r="218" spans="1:16" x14ac:dyDescent="0.25">
      <c r="A218" t="s">
        <v>179</v>
      </c>
      <c r="L218" t="s">
        <v>40</v>
      </c>
      <c r="M218">
        <v>22</v>
      </c>
      <c r="N218" t="s">
        <v>38</v>
      </c>
    </row>
    <row r="219" spans="1:16" x14ac:dyDescent="0.25">
      <c r="A219" t="s">
        <v>184</v>
      </c>
      <c r="L219" t="s">
        <v>40</v>
      </c>
      <c r="M219" s="27">
        <f>M218</f>
        <v>22</v>
      </c>
      <c r="N219" s="27" t="s">
        <v>38</v>
      </c>
      <c r="O219" s="27" t="s">
        <v>216</v>
      </c>
    </row>
    <row r="220" spans="1:16" x14ac:dyDescent="0.25">
      <c r="A220" t="s">
        <v>316</v>
      </c>
      <c r="L220" t="s">
        <v>40</v>
      </c>
      <c r="M220">
        <v>100</v>
      </c>
      <c r="N220" t="s">
        <v>38</v>
      </c>
    </row>
    <row r="221" spans="1:16" x14ac:dyDescent="0.25">
      <c r="A221" t="s">
        <v>317</v>
      </c>
      <c r="L221" t="s">
        <v>40</v>
      </c>
      <c r="M221" s="27">
        <f>M220</f>
        <v>100</v>
      </c>
      <c r="N221" s="27" t="s">
        <v>38</v>
      </c>
      <c r="O221" s="27" t="s">
        <v>216</v>
      </c>
    </row>
    <row r="222" spans="1:16" x14ac:dyDescent="0.25">
      <c r="A222" t="s">
        <v>180</v>
      </c>
      <c r="L222" t="s">
        <v>40</v>
      </c>
      <c r="M222">
        <v>4</v>
      </c>
      <c r="N222" t="s">
        <v>38</v>
      </c>
    </row>
    <row r="223" spans="1:16" x14ac:dyDescent="0.25">
      <c r="A223" t="s">
        <v>185</v>
      </c>
      <c r="L223" t="s">
        <v>40</v>
      </c>
      <c r="M223" s="27">
        <f>M222</f>
        <v>4</v>
      </c>
      <c r="N223" s="27" t="s">
        <v>38</v>
      </c>
      <c r="O223" s="27" t="s">
        <v>216</v>
      </c>
    </row>
    <row r="224" spans="1:16" x14ac:dyDescent="0.25">
      <c r="A224" t="s">
        <v>88</v>
      </c>
      <c r="L224" t="s">
        <v>40</v>
      </c>
      <c r="M224">
        <v>100</v>
      </c>
      <c r="N224" t="s">
        <v>38</v>
      </c>
    </row>
    <row r="225" spans="1:16" x14ac:dyDescent="0.25">
      <c r="A225" t="s">
        <v>181</v>
      </c>
      <c r="L225" t="s">
        <v>40</v>
      </c>
      <c r="M225">
        <v>8</v>
      </c>
      <c r="N225" t="s">
        <v>38</v>
      </c>
    </row>
    <row r="226" spans="1:16" x14ac:dyDescent="0.25">
      <c r="A226" t="s">
        <v>186</v>
      </c>
      <c r="L226" t="s">
        <v>40</v>
      </c>
      <c r="M226" s="27">
        <f>M225</f>
        <v>8</v>
      </c>
      <c r="N226" s="27" t="s">
        <v>38</v>
      </c>
      <c r="O226" s="27" t="s">
        <v>216</v>
      </c>
    </row>
    <row r="227" spans="1:16" x14ac:dyDescent="0.25">
      <c r="A227" t="s">
        <v>182</v>
      </c>
      <c r="L227" t="s">
        <v>40</v>
      </c>
      <c r="M227">
        <v>1</v>
      </c>
      <c r="N227" t="s">
        <v>38</v>
      </c>
    </row>
    <row r="228" spans="1:16" x14ac:dyDescent="0.25">
      <c r="A228" t="s">
        <v>187</v>
      </c>
      <c r="L228" t="s">
        <v>40</v>
      </c>
      <c r="M228" s="27">
        <f>M227</f>
        <v>1</v>
      </c>
      <c r="N228" s="27" t="s">
        <v>38</v>
      </c>
      <c r="O228" s="27" t="s">
        <v>216</v>
      </c>
    </row>
    <row r="229" spans="1:16" x14ac:dyDescent="0.25">
      <c r="A229" t="s">
        <v>183</v>
      </c>
      <c r="L229" t="s">
        <v>40</v>
      </c>
      <c r="M229" s="6">
        <v>22</v>
      </c>
      <c r="N229" s="17" t="s">
        <v>38</v>
      </c>
      <c r="O229" t="s">
        <v>149</v>
      </c>
    </row>
    <row r="230" spans="1:16" x14ac:dyDescent="0.25">
      <c r="A230" t="s">
        <v>188</v>
      </c>
      <c r="L230" t="s">
        <v>40</v>
      </c>
      <c r="M230" s="27">
        <f>M229</f>
        <v>22</v>
      </c>
      <c r="N230" s="27" t="s">
        <v>38</v>
      </c>
      <c r="O230" s="27" t="s">
        <v>216</v>
      </c>
    </row>
    <row r="231" spans="1:16" s="17" customFormat="1" x14ac:dyDescent="0.25">
      <c r="A231" s="17" t="s">
        <v>417</v>
      </c>
      <c r="L231" s="17" t="s">
        <v>40</v>
      </c>
      <c r="M231" s="17">
        <v>0</v>
      </c>
      <c r="N231" s="17" t="s">
        <v>38</v>
      </c>
    </row>
    <row r="232" spans="1:16" x14ac:dyDescent="0.25">
      <c r="A232" s="4" t="s">
        <v>11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5"/>
      <c r="M232" s="5"/>
      <c r="N232" s="5"/>
      <c r="O232" s="5"/>
      <c r="P232" s="5"/>
    </row>
    <row r="233" spans="1:16" x14ac:dyDescent="0.25">
      <c r="A233" s="17" t="s">
        <v>99</v>
      </c>
      <c r="L233" t="s">
        <v>40</v>
      </c>
      <c r="M233" s="17">
        <v>16</v>
      </c>
      <c r="N233" s="17" t="s">
        <v>38</v>
      </c>
    </row>
    <row r="234" spans="1:16" x14ac:dyDescent="0.25">
      <c r="A234" s="17" t="s">
        <v>100</v>
      </c>
      <c r="L234" t="s">
        <v>40</v>
      </c>
      <c r="M234" s="17">
        <v>16</v>
      </c>
      <c r="N234" s="17" t="s">
        <v>38</v>
      </c>
    </row>
    <row r="235" spans="1:16" x14ac:dyDescent="0.25">
      <c r="A235" s="17" t="s">
        <v>209</v>
      </c>
      <c r="L235" t="s">
        <v>40</v>
      </c>
      <c r="M235" s="17">
        <v>16</v>
      </c>
      <c r="N235" s="17" t="s">
        <v>38</v>
      </c>
    </row>
    <row r="236" spans="1:16" x14ac:dyDescent="0.25">
      <c r="A236" s="17" t="s">
        <v>101</v>
      </c>
      <c r="L236" t="s">
        <v>40</v>
      </c>
      <c r="M236" s="17">
        <v>16</v>
      </c>
      <c r="N236" s="17" t="s">
        <v>38</v>
      </c>
    </row>
    <row r="237" spans="1:16" x14ac:dyDescent="0.25">
      <c r="A237" s="4" t="s">
        <v>13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"/>
      <c r="M237" s="5"/>
      <c r="N237" s="5"/>
      <c r="O237" s="5"/>
      <c r="P237" s="5"/>
    </row>
    <row r="238" spans="1:16" x14ac:dyDescent="0.25">
      <c r="A238" s="17" t="s">
        <v>241</v>
      </c>
      <c r="L238" t="s">
        <v>40</v>
      </c>
      <c r="M238" s="17">
        <v>85</v>
      </c>
      <c r="N238" s="17" t="s">
        <v>38</v>
      </c>
    </row>
    <row r="239" spans="1:16" x14ac:dyDescent="0.25">
      <c r="A239" s="17" t="s">
        <v>242</v>
      </c>
      <c r="L239" t="s">
        <v>40</v>
      </c>
      <c r="M239" s="17">
        <v>85</v>
      </c>
      <c r="N239" s="17" t="s">
        <v>38</v>
      </c>
    </row>
    <row r="240" spans="1:16" x14ac:dyDescent="0.25">
      <c r="A240" s="17" t="s">
        <v>243</v>
      </c>
      <c r="L240" t="s">
        <v>40</v>
      </c>
      <c r="M240" s="17">
        <v>85</v>
      </c>
      <c r="N240" s="17" t="s">
        <v>38</v>
      </c>
    </row>
    <row r="241" spans="1:16" x14ac:dyDescent="0.25">
      <c r="A241" s="17" t="s">
        <v>245</v>
      </c>
      <c r="L241" t="s">
        <v>40</v>
      </c>
      <c r="M241" s="17">
        <v>95</v>
      </c>
      <c r="N241" s="17" t="s">
        <v>38</v>
      </c>
    </row>
    <row r="242" spans="1:16" x14ac:dyDescent="0.25">
      <c r="A242" s="17" t="s">
        <v>254</v>
      </c>
      <c r="L242" t="s">
        <v>40</v>
      </c>
      <c r="M242" s="6">
        <v>97</v>
      </c>
      <c r="N242" s="17" t="s">
        <v>38</v>
      </c>
      <c r="O242" s="6" t="s">
        <v>266</v>
      </c>
    </row>
    <row r="243" spans="1:16" x14ac:dyDescent="0.25">
      <c r="A243" s="17" t="s">
        <v>255</v>
      </c>
      <c r="L243" t="s">
        <v>40</v>
      </c>
      <c r="M243" s="17">
        <v>29</v>
      </c>
      <c r="N243" s="17" t="s">
        <v>38</v>
      </c>
    </row>
    <row r="244" spans="1:16" x14ac:dyDescent="0.25">
      <c r="A244" s="17" t="s">
        <v>261</v>
      </c>
      <c r="D244" s="9"/>
      <c r="E244" s="9"/>
      <c r="L244" t="s">
        <v>40</v>
      </c>
      <c r="M244" s="6">
        <v>50</v>
      </c>
      <c r="N244" s="17" t="s">
        <v>38</v>
      </c>
      <c r="O244" s="6" t="s">
        <v>265</v>
      </c>
    </row>
    <row r="245" spans="1:16" x14ac:dyDescent="0.25">
      <c r="A245" s="17" t="s">
        <v>256</v>
      </c>
      <c r="L245" t="s">
        <v>40</v>
      </c>
      <c r="M245" s="6">
        <v>90</v>
      </c>
      <c r="N245" s="17" t="s">
        <v>38</v>
      </c>
      <c r="O245" s="6" t="s">
        <v>265</v>
      </c>
    </row>
    <row r="246" spans="1:16" x14ac:dyDescent="0.25">
      <c r="A246" s="4" t="s">
        <v>12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5"/>
      <c r="M246" s="5"/>
      <c r="N246" s="5"/>
      <c r="O246" s="5"/>
      <c r="P246" s="5"/>
    </row>
    <row r="247" spans="1:16" x14ac:dyDescent="0.25">
      <c r="A247" s="17" t="s">
        <v>135</v>
      </c>
      <c r="L247" t="s">
        <v>40</v>
      </c>
      <c r="M247">
        <v>7</v>
      </c>
      <c r="N247" s="17" t="s">
        <v>38</v>
      </c>
    </row>
    <row r="248" spans="1:16" x14ac:dyDescent="0.25">
      <c r="A248" s="17" t="s">
        <v>381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 t="s">
        <v>40</v>
      </c>
      <c r="M248" s="17">
        <v>7</v>
      </c>
      <c r="N248" s="17" t="s">
        <v>38</v>
      </c>
      <c r="O248" s="17" t="s">
        <v>416</v>
      </c>
    </row>
    <row r="249" spans="1:16" x14ac:dyDescent="0.25">
      <c r="A249" s="17" t="s">
        <v>141</v>
      </c>
      <c r="L249" t="s">
        <v>40</v>
      </c>
      <c r="M249" s="17">
        <v>35</v>
      </c>
      <c r="N249" s="17" t="s">
        <v>38</v>
      </c>
    </row>
    <row r="250" spans="1:16" x14ac:dyDescent="0.25">
      <c r="A250" s="17" t="s">
        <v>137</v>
      </c>
      <c r="L250" t="s">
        <v>40</v>
      </c>
      <c r="M250" s="17">
        <v>63</v>
      </c>
      <c r="N250" s="17" t="s">
        <v>38</v>
      </c>
    </row>
    <row r="251" spans="1:16" x14ac:dyDescent="0.25">
      <c r="A251" s="17" t="s">
        <v>138</v>
      </c>
      <c r="L251" t="s">
        <v>40</v>
      </c>
      <c r="M251" s="17">
        <v>54</v>
      </c>
      <c r="N251" s="17" t="s">
        <v>38</v>
      </c>
      <c r="O251" s="6"/>
    </row>
    <row r="252" spans="1:16" x14ac:dyDescent="0.25">
      <c r="A252" s="17" t="s">
        <v>139</v>
      </c>
      <c r="L252" t="s">
        <v>40</v>
      </c>
      <c r="M252" s="6">
        <v>75</v>
      </c>
      <c r="N252" s="17" t="s">
        <v>38</v>
      </c>
      <c r="O252" s="6" t="s">
        <v>252</v>
      </c>
    </row>
    <row r="253" spans="1:16" x14ac:dyDescent="0.25">
      <c r="A253" s="17" t="s">
        <v>140</v>
      </c>
      <c r="L253" t="s">
        <v>40</v>
      </c>
      <c r="M253" s="17">
        <v>10</v>
      </c>
      <c r="N253" s="17" t="s">
        <v>38</v>
      </c>
    </row>
    <row r="254" spans="1:16" x14ac:dyDescent="0.25">
      <c r="A254" s="17" t="s">
        <v>107</v>
      </c>
      <c r="L254" t="s">
        <v>40</v>
      </c>
      <c r="M254" s="17">
        <v>90</v>
      </c>
      <c r="N254" s="17" t="s">
        <v>38</v>
      </c>
    </row>
    <row r="255" spans="1:16" x14ac:dyDescent="0.25">
      <c r="A255" s="17" t="s">
        <v>110</v>
      </c>
      <c r="L255" t="s">
        <v>40</v>
      </c>
      <c r="M255" s="17">
        <v>46</v>
      </c>
      <c r="N255" s="17" t="s">
        <v>38</v>
      </c>
    </row>
    <row r="256" spans="1:16" x14ac:dyDescent="0.25">
      <c r="A256" s="17" t="s">
        <v>249</v>
      </c>
      <c r="L256" t="s">
        <v>40</v>
      </c>
      <c r="M256" s="17">
        <v>100</v>
      </c>
      <c r="N256" s="17" t="s">
        <v>38</v>
      </c>
    </row>
    <row r="257" spans="1:16" x14ac:dyDescent="0.25">
      <c r="A257" s="17" t="s">
        <v>148</v>
      </c>
      <c r="L257" t="s">
        <v>40</v>
      </c>
      <c r="M257" s="6">
        <v>90</v>
      </c>
      <c r="N257" s="17" t="s">
        <v>38</v>
      </c>
      <c r="O257" s="6" t="s">
        <v>265</v>
      </c>
    </row>
    <row r="258" spans="1:16" x14ac:dyDescent="0.25">
      <c r="A258" s="4" t="s">
        <v>14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5"/>
      <c r="M258" s="5"/>
      <c r="N258" s="5" t="s">
        <v>326</v>
      </c>
      <c r="O258" s="41">
        <v>0.81799999999999995</v>
      </c>
      <c r="P258" s="5"/>
    </row>
    <row r="259" spans="1:16" x14ac:dyDescent="0.25">
      <c r="A259" s="6" t="s">
        <v>62</v>
      </c>
      <c r="L259" t="s">
        <v>40</v>
      </c>
      <c r="M259" s="13">
        <f>8.5*20/(29.5+8.5)*$O$258</f>
        <v>3.6594736842105262</v>
      </c>
      <c r="N259" t="s">
        <v>38</v>
      </c>
    </row>
    <row r="260" spans="1:16" x14ac:dyDescent="0.25">
      <c r="A260" s="6" t="s">
        <v>61</v>
      </c>
      <c r="L260" t="s">
        <v>40</v>
      </c>
      <c r="M260" s="13">
        <f>(80.7*0+14.4*20+0.3*5*0)/(80.7+14.4+0.3*5)*$O$258</f>
        <v>2.438757763975155</v>
      </c>
      <c r="N260" t="s">
        <v>38</v>
      </c>
    </row>
    <row r="261" spans="1:16" x14ac:dyDescent="0.25">
      <c r="A261" s="6" t="s">
        <v>63</v>
      </c>
      <c r="L261" t="s">
        <v>40</v>
      </c>
      <c r="M261" s="13">
        <f>(45.6*0+44.1*20+1.3*5*0+1.8*10*0)/(45.6+44.1+1.3*5+1.8*10)*$O$258</f>
        <v>6.317653239929947</v>
      </c>
      <c r="N261" t="s">
        <v>38</v>
      </c>
    </row>
    <row r="262" spans="1:16" x14ac:dyDescent="0.25">
      <c r="A262" s="6" t="s">
        <v>64</v>
      </c>
      <c r="L262" t="s">
        <v>40</v>
      </c>
      <c r="M262">
        <f>60*$O$258</f>
        <v>49.08</v>
      </c>
      <c r="N262" t="s">
        <v>38</v>
      </c>
    </row>
    <row r="263" spans="1:16" x14ac:dyDescent="0.25">
      <c r="A263" s="6" t="s">
        <v>68</v>
      </c>
      <c r="L263" t="s">
        <v>40</v>
      </c>
      <c r="M263">
        <f>0*$O$258</f>
        <v>0</v>
      </c>
      <c r="N263" t="s">
        <v>38</v>
      </c>
    </row>
    <row r="264" spans="1:16" x14ac:dyDescent="0.25">
      <c r="A264" s="6" t="s">
        <v>69</v>
      </c>
      <c r="L264" t="s">
        <v>40</v>
      </c>
      <c r="M264">
        <f>20*$O$258</f>
        <v>16.36</v>
      </c>
      <c r="N264" t="s">
        <v>38</v>
      </c>
    </row>
    <row r="265" spans="1:16" x14ac:dyDescent="0.25">
      <c r="A265" s="6" t="s">
        <v>66</v>
      </c>
      <c r="L265" t="s">
        <v>40</v>
      </c>
      <c r="M265">
        <f>20*$O$258</f>
        <v>16.36</v>
      </c>
      <c r="N265" t="s">
        <v>38</v>
      </c>
    </row>
    <row r="266" spans="1:16" x14ac:dyDescent="0.25">
      <c r="A266" s="6" t="s">
        <v>67</v>
      </c>
      <c r="L266" t="s">
        <v>40</v>
      </c>
      <c r="M266">
        <f>20*$O$258</f>
        <v>16.36</v>
      </c>
      <c r="N266" t="s">
        <v>38</v>
      </c>
    </row>
    <row r="267" spans="1:16" x14ac:dyDescent="0.25">
      <c r="A267" s="6" t="s">
        <v>65</v>
      </c>
      <c r="L267" t="s">
        <v>40</v>
      </c>
      <c r="M267">
        <f>43*$O$258</f>
        <v>35.173999999999999</v>
      </c>
      <c r="N267" t="s">
        <v>38</v>
      </c>
    </row>
    <row r="268" spans="1:16" s="17" customFormat="1" x14ac:dyDescent="0.25">
      <c r="A268" s="17" t="s">
        <v>383</v>
      </c>
      <c r="L268" s="17" t="s">
        <v>40</v>
      </c>
      <c r="M268" s="17">
        <v>3.7</v>
      </c>
      <c r="N268" s="17" t="s">
        <v>38</v>
      </c>
      <c r="O268" s="17" t="s">
        <v>418</v>
      </c>
    </row>
    <row r="269" spans="1:16" x14ac:dyDescent="0.25">
      <c r="A269" s="4" t="s">
        <v>23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"/>
      <c r="M269" s="5"/>
      <c r="N269" s="5"/>
      <c r="O269" s="5"/>
      <c r="P269" s="5"/>
    </row>
    <row r="270" spans="1:16" x14ac:dyDescent="0.25">
      <c r="A270" t="s">
        <v>54</v>
      </c>
      <c r="L270" t="s">
        <v>40</v>
      </c>
      <c r="M270" s="17">
        <v>36.909999999999997</v>
      </c>
      <c r="N270" t="s">
        <v>38</v>
      </c>
      <c r="O270" s="6"/>
    </row>
    <row r="271" spans="1:16" x14ac:dyDescent="0.25">
      <c r="A271" t="s">
        <v>95</v>
      </c>
      <c r="L271" t="s">
        <v>40</v>
      </c>
      <c r="M271" s="17">
        <v>43.11</v>
      </c>
      <c r="N271" t="s">
        <v>38</v>
      </c>
      <c r="O271" s="6"/>
    </row>
    <row r="272" spans="1:16" x14ac:dyDescent="0.25">
      <c r="A272" t="s">
        <v>345</v>
      </c>
      <c r="L272" t="s">
        <v>40</v>
      </c>
      <c r="M272" s="17">
        <v>63.94</v>
      </c>
      <c r="N272" s="17" t="s">
        <v>38</v>
      </c>
      <c r="O272" s="6"/>
    </row>
    <row r="273" spans="1:16" x14ac:dyDescent="0.25">
      <c r="A273" t="s">
        <v>267</v>
      </c>
      <c r="L273" t="s">
        <v>40</v>
      </c>
      <c r="M273" s="17">
        <v>36.49</v>
      </c>
      <c r="N273" t="s">
        <v>38</v>
      </c>
      <c r="O273" s="6"/>
    </row>
    <row r="274" spans="1:16" x14ac:dyDescent="0.25">
      <c r="A274" s="4" t="s">
        <v>15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5"/>
      <c r="M274" s="5"/>
      <c r="N274" s="5"/>
      <c r="O274" s="5"/>
      <c r="P274" s="5"/>
    </row>
    <row r="275" spans="1:16" x14ac:dyDescent="0.25">
      <c r="A275" t="s">
        <v>15</v>
      </c>
      <c r="L275" t="s">
        <v>40</v>
      </c>
      <c r="M275" s="17">
        <f>2.5</f>
        <v>2.5</v>
      </c>
      <c r="N275" t="s">
        <v>38</v>
      </c>
      <c r="O275" s="17" t="s">
        <v>342</v>
      </c>
      <c r="P275" t="s">
        <v>341</v>
      </c>
    </row>
    <row r="276" spans="1:16" x14ac:dyDescent="0.25">
      <c r="A276" s="17" t="s">
        <v>384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 t="s">
        <v>40</v>
      </c>
      <c r="M276" s="17">
        <v>2.5</v>
      </c>
      <c r="N276" s="17" t="s">
        <v>38</v>
      </c>
      <c r="O276" s="17"/>
    </row>
    <row r="277" spans="1:16" x14ac:dyDescent="0.25">
      <c r="A277" s="4" t="s">
        <v>20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"/>
      <c r="M277" s="5"/>
      <c r="N277" s="5"/>
      <c r="O277" s="5"/>
      <c r="P277" s="5"/>
    </row>
    <row r="278" spans="1:16" x14ac:dyDescent="0.25">
      <c r="A278" t="s">
        <v>202</v>
      </c>
      <c r="L278" t="s">
        <v>40</v>
      </c>
      <c r="M278">
        <v>5</v>
      </c>
      <c r="N278" t="s">
        <v>38</v>
      </c>
    </row>
    <row r="279" spans="1:16" x14ac:dyDescent="0.25">
      <c r="A279" s="26" t="s">
        <v>203</v>
      </c>
      <c r="L279" t="s">
        <v>40</v>
      </c>
      <c r="M279">
        <v>0.4</v>
      </c>
      <c r="N279" t="s">
        <v>38</v>
      </c>
    </row>
    <row r="280" spans="1:16" x14ac:dyDescent="0.25">
      <c r="A280" s="26" t="s">
        <v>204</v>
      </c>
      <c r="L280" t="s">
        <v>40</v>
      </c>
      <c r="M280" s="6">
        <v>95</v>
      </c>
      <c r="N280" t="s">
        <v>38</v>
      </c>
      <c r="O280" s="6" t="s">
        <v>150</v>
      </c>
    </row>
    <row r="281" spans="1:16" x14ac:dyDescent="0.25">
      <c r="A281" s="26" t="s">
        <v>205</v>
      </c>
      <c r="L281" t="s">
        <v>40</v>
      </c>
      <c r="M281">
        <v>100</v>
      </c>
      <c r="N281" t="s">
        <v>38</v>
      </c>
    </row>
    <row r="282" spans="1:16" x14ac:dyDescent="0.25">
      <c r="A282" s="26" t="s">
        <v>206</v>
      </c>
      <c r="B282" s="8"/>
      <c r="C282" s="8"/>
      <c r="D282" s="8"/>
      <c r="E282" s="8"/>
      <c r="F282" s="9"/>
      <c r="G282" s="9"/>
      <c r="H282" s="8"/>
      <c r="I282" s="8"/>
      <c r="J282" s="8"/>
      <c r="K282" s="8"/>
      <c r="L282" t="s">
        <v>40</v>
      </c>
      <c r="M282">
        <v>100</v>
      </c>
      <c r="N282" t="s">
        <v>38</v>
      </c>
      <c r="O282" s="8"/>
      <c r="P282" s="8"/>
    </row>
    <row r="283" spans="1:16" s="17" customFormat="1" x14ac:dyDescent="0.25">
      <c r="A283" s="17" t="s">
        <v>386</v>
      </c>
      <c r="B283" s="19"/>
      <c r="C283" s="19"/>
      <c r="D283" s="19"/>
      <c r="E283" s="19"/>
      <c r="F283" s="18"/>
      <c r="G283" s="18"/>
      <c r="H283" s="19"/>
      <c r="I283" s="19"/>
      <c r="J283" s="19"/>
      <c r="K283" s="19"/>
      <c r="L283" s="17" t="s">
        <v>40</v>
      </c>
      <c r="M283" s="17">
        <v>100</v>
      </c>
      <c r="N283" s="17" t="s">
        <v>38</v>
      </c>
      <c r="O283" s="19" t="s">
        <v>419</v>
      </c>
      <c r="P283" s="19"/>
    </row>
    <row r="284" spans="1:16" s="17" customFormat="1" x14ac:dyDescent="0.25">
      <c r="A284" s="17" t="s">
        <v>387</v>
      </c>
      <c r="B284" s="19"/>
      <c r="C284" s="19"/>
      <c r="D284" s="19"/>
      <c r="E284" s="19"/>
      <c r="F284" s="18"/>
      <c r="G284" s="18"/>
      <c r="H284" s="19"/>
      <c r="I284" s="19"/>
      <c r="J284" s="19"/>
      <c r="K284" s="19"/>
      <c r="L284" s="17" t="s">
        <v>40</v>
      </c>
      <c r="M284" s="17">
        <v>100</v>
      </c>
      <c r="N284" s="17" t="s">
        <v>38</v>
      </c>
      <c r="O284" s="19" t="s">
        <v>419</v>
      </c>
      <c r="P284" s="19"/>
    </row>
    <row r="285" spans="1:16" x14ac:dyDescent="0.25">
      <c r="A285" s="4" t="s">
        <v>21</v>
      </c>
      <c r="B285" s="4"/>
      <c r="C285" s="4"/>
      <c r="D285" s="4"/>
      <c r="E285" s="48"/>
      <c r="F285" s="4"/>
      <c r="G285" s="4"/>
      <c r="H285" s="4"/>
      <c r="I285" s="4"/>
      <c r="J285" s="4"/>
      <c r="K285" s="4"/>
      <c r="L285" s="5"/>
      <c r="M285" s="5"/>
      <c r="N285" s="5"/>
      <c r="O285" s="5"/>
      <c r="P285" s="5"/>
    </row>
    <row r="286" spans="1:16" s="7" customFormat="1" x14ac:dyDescent="0.25">
      <c r="A286" s="17" t="s">
        <v>388</v>
      </c>
      <c r="B286" s="19"/>
      <c r="C286" s="19"/>
      <c r="D286" s="19"/>
      <c r="E286" s="19"/>
      <c r="F286" s="18"/>
      <c r="G286" s="18"/>
      <c r="H286" s="19"/>
      <c r="I286" s="19"/>
      <c r="J286" s="19"/>
      <c r="K286" s="19"/>
      <c r="L286" s="17" t="s">
        <v>40</v>
      </c>
      <c r="M286" s="52">
        <v>100</v>
      </c>
      <c r="N286" s="17" t="s">
        <v>38</v>
      </c>
      <c r="O286" s="50" t="s">
        <v>419</v>
      </c>
      <c r="P286" s="50"/>
    </row>
    <row r="287" spans="1:16" s="7" customFormat="1" x14ac:dyDescent="0.25">
      <c r="A287" s="17" t="s">
        <v>390</v>
      </c>
      <c r="B287" s="19"/>
      <c r="C287" s="19"/>
      <c r="D287" s="19"/>
      <c r="E287" s="19"/>
      <c r="F287" s="18"/>
      <c r="G287" s="18"/>
      <c r="H287" s="19"/>
      <c r="I287" s="19"/>
      <c r="J287" s="19"/>
      <c r="K287" s="19"/>
      <c r="L287" s="17" t="s">
        <v>40</v>
      </c>
      <c r="M287" s="52">
        <v>100</v>
      </c>
      <c r="N287" s="17" t="s">
        <v>38</v>
      </c>
      <c r="O287" s="50" t="s">
        <v>419</v>
      </c>
      <c r="P287" s="50"/>
    </row>
    <row r="288" spans="1:16" s="7" customFormat="1" x14ac:dyDescent="0.25">
      <c r="A288" s="53" t="s">
        <v>391</v>
      </c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5"/>
      <c r="M288" s="56"/>
      <c r="N288" s="55"/>
      <c r="O288" s="51"/>
      <c r="P288" s="51"/>
    </row>
    <row r="289" spans="1:16" s="7" customFormat="1" x14ac:dyDescent="0.25">
      <c r="A289" s="17" t="s">
        <v>392</v>
      </c>
      <c r="B289" s="19"/>
      <c r="C289" s="19"/>
      <c r="D289" s="19"/>
      <c r="E289" s="19"/>
      <c r="F289" s="18"/>
      <c r="G289" s="18"/>
      <c r="H289" s="19"/>
      <c r="I289" s="19"/>
      <c r="J289" s="19"/>
      <c r="K289" s="19"/>
      <c r="L289" s="17" t="s">
        <v>40</v>
      </c>
      <c r="M289" s="52">
        <v>100</v>
      </c>
      <c r="N289" s="17" t="s">
        <v>38</v>
      </c>
      <c r="O289" s="50" t="s">
        <v>419</v>
      </c>
      <c r="P289" s="50"/>
    </row>
    <row r="290" spans="1:16" x14ac:dyDescent="0.25">
      <c r="A290" s="4" t="s">
        <v>22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5"/>
      <c r="M290" s="5"/>
      <c r="N290" s="5"/>
      <c r="O290" s="5"/>
      <c r="P290" s="5"/>
    </row>
    <row r="291" spans="1:16" x14ac:dyDescent="0.25">
      <c r="A291" t="s">
        <v>126</v>
      </c>
      <c r="L291" t="s">
        <v>40</v>
      </c>
      <c r="M291" s="15">
        <v>52</v>
      </c>
      <c r="N291" t="s">
        <v>38</v>
      </c>
      <c r="O291" s="24"/>
    </row>
    <row r="292" spans="1:16" s="17" customFormat="1" x14ac:dyDescent="0.25">
      <c r="A292" s="17" t="s">
        <v>394</v>
      </c>
      <c r="L292" s="17" t="s">
        <v>40</v>
      </c>
      <c r="M292" s="15">
        <v>52</v>
      </c>
      <c r="N292" s="17" t="s">
        <v>38</v>
      </c>
      <c r="O292" s="57" t="s">
        <v>420</v>
      </c>
    </row>
    <row r="293" spans="1:16" s="17" customFormat="1" x14ac:dyDescent="0.25">
      <c r="A293" s="17" t="s">
        <v>133</v>
      </c>
      <c r="L293" s="17" t="s">
        <v>40</v>
      </c>
      <c r="M293" s="15">
        <v>100</v>
      </c>
      <c r="N293" s="17" t="s">
        <v>38</v>
      </c>
      <c r="O293" s="57"/>
    </row>
    <row r="294" spans="1:16" x14ac:dyDescent="0.25">
      <c r="A294" s="4" t="s">
        <v>24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5"/>
      <c r="M294" s="5"/>
      <c r="N294" s="5"/>
      <c r="O294" s="5"/>
      <c r="P294" s="5"/>
    </row>
    <row r="295" spans="1:16" x14ac:dyDescent="0.25">
      <c r="A295" t="s">
        <v>217</v>
      </c>
      <c r="L295" t="s">
        <v>40</v>
      </c>
      <c r="M295" s="6">
        <v>24</v>
      </c>
      <c r="N295" t="s">
        <v>38</v>
      </c>
      <c r="O295" s="6" t="s">
        <v>222</v>
      </c>
    </row>
    <row r="296" spans="1:16" x14ac:dyDescent="0.25">
      <c r="A296" t="s">
        <v>219</v>
      </c>
      <c r="L296" t="s">
        <v>40</v>
      </c>
      <c r="M296" s="27">
        <f>M295</f>
        <v>24</v>
      </c>
      <c r="N296" s="27" t="s">
        <v>38</v>
      </c>
      <c r="O296" s="27" t="s">
        <v>221</v>
      </c>
    </row>
    <row r="297" spans="1:16" x14ac:dyDescent="0.25">
      <c r="A297" t="s">
        <v>218</v>
      </c>
      <c r="L297" t="s">
        <v>40</v>
      </c>
      <c r="M297">
        <v>61</v>
      </c>
      <c r="N297" t="s">
        <v>38</v>
      </c>
    </row>
    <row r="298" spans="1:16" x14ac:dyDescent="0.25">
      <c r="A298" s="4" t="s">
        <v>29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/>
      <c r="M298" s="5"/>
      <c r="N298" s="5"/>
      <c r="O298" s="5"/>
      <c r="P298" s="5"/>
    </row>
    <row r="299" spans="1:16" x14ac:dyDescent="0.25">
      <c r="A299" t="s">
        <v>227</v>
      </c>
      <c r="L299" t="s">
        <v>40</v>
      </c>
      <c r="M299">
        <v>100</v>
      </c>
      <c r="N299" t="s">
        <v>38</v>
      </c>
    </row>
    <row r="300" spans="1:16" x14ac:dyDescent="0.25">
      <c r="A300" t="s">
        <v>230</v>
      </c>
      <c r="L300" t="s">
        <v>40</v>
      </c>
      <c r="M300">
        <v>4</v>
      </c>
      <c r="N300" t="s">
        <v>38</v>
      </c>
      <c r="O300" t="s">
        <v>113</v>
      </c>
    </row>
    <row r="301" spans="1:16" x14ac:dyDescent="0.25">
      <c r="A301" t="s">
        <v>228</v>
      </c>
      <c r="L301" t="s">
        <v>40</v>
      </c>
      <c r="M301">
        <v>85</v>
      </c>
      <c r="N301" t="s">
        <v>38</v>
      </c>
      <c r="O301" t="s">
        <v>233</v>
      </c>
    </row>
    <row r="302" spans="1:16" x14ac:dyDescent="0.25">
      <c r="A302" t="s">
        <v>231</v>
      </c>
      <c r="L302" t="s">
        <v>40</v>
      </c>
      <c r="M302">
        <v>22</v>
      </c>
      <c r="N302" t="s">
        <v>38</v>
      </c>
      <c r="O302" t="s">
        <v>234</v>
      </c>
    </row>
    <row r="303" spans="1:16" s="17" customFormat="1" x14ac:dyDescent="0.25">
      <c r="A303" s="53" t="s">
        <v>33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5"/>
      <c r="M303" s="55"/>
      <c r="N303" s="55"/>
      <c r="O303" s="55"/>
      <c r="P303" s="55"/>
    </row>
    <row r="304" spans="1:16" s="17" customFormat="1" x14ac:dyDescent="0.25">
      <c r="A304" s="58" t="s">
        <v>396</v>
      </c>
      <c r="B304" s="58" t="s">
        <v>397</v>
      </c>
      <c r="C304" s="58"/>
      <c r="D304" s="59"/>
      <c r="E304" s="59"/>
      <c r="F304" s="59"/>
      <c r="G304" s="59"/>
      <c r="H304" s="59"/>
      <c r="I304" s="59"/>
      <c r="J304" s="59"/>
      <c r="K304" s="59"/>
      <c r="L304" s="58" t="s">
        <v>40</v>
      </c>
      <c r="M304" s="17">
        <v>5</v>
      </c>
      <c r="N304" s="58" t="s">
        <v>38</v>
      </c>
      <c r="O304" s="58" t="s">
        <v>421</v>
      </c>
    </row>
    <row r="305" spans="1:16" s="17" customFormat="1" x14ac:dyDescent="0.25">
      <c r="A305" s="58" t="s">
        <v>398</v>
      </c>
      <c r="B305" s="58" t="s">
        <v>422</v>
      </c>
      <c r="C305" s="58"/>
      <c r="D305" s="59"/>
      <c r="E305" s="59"/>
      <c r="F305" s="59"/>
      <c r="G305" s="59"/>
      <c r="H305" s="59"/>
      <c r="I305" s="59"/>
      <c r="J305" s="59"/>
      <c r="K305" s="59"/>
      <c r="L305" s="58" t="s">
        <v>40</v>
      </c>
      <c r="M305" s="17">
        <v>100</v>
      </c>
      <c r="N305" s="58" t="s">
        <v>38</v>
      </c>
      <c r="O305" s="58" t="s">
        <v>423</v>
      </c>
    </row>
    <row r="306" spans="1:16" s="17" customFormat="1" x14ac:dyDescent="0.25">
      <c r="A306" s="58" t="s">
        <v>400</v>
      </c>
      <c r="B306" s="58" t="s">
        <v>397</v>
      </c>
      <c r="C306" s="58"/>
      <c r="D306" s="58"/>
      <c r="E306" s="58"/>
      <c r="F306" s="58"/>
      <c r="G306" s="58"/>
      <c r="H306" s="58"/>
      <c r="I306" s="58"/>
      <c r="J306" s="58"/>
      <c r="K306" s="58"/>
      <c r="L306" s="58" t="s">
        <v>40</v>
      </c>
      <c r="M306" s="17">
        <v>22</v>
      </c>
      <c r="N306" s="58" t="s">
        <v>38</v>
      </c>
      <c r="O306" s="58" t="s">
        <v>424</v>
      </c>
      <c r="P306" s="58"/>
    </row>
    <row r="307" spans="1:16" s="17" customFormat="1" x14ac:dyDescent="0.25">
      <c r="A307" s="17" t="s">
        <v>401</v>
      </c>
      <c r="B307" s="17" t="s">
        <v>402</v>
      </c>
      <c r="L307" s="17" t="s">
        <v>40</v>
      </c>
      <c r="M307" s="17">
        <v>1</v>
      </c>
      <c r="N307" s="17" t="s">
        <v>38</v>
      </c>
      <c r="O307" s="58" t="s">
        <v>425</v>
      </c>
    </row>
    <row r="308" spans="1:16" s="17" customFormat="1" x14ac:dyDescent="0.25">
      <c r="A308" s="58" t="s">
        <v>403</v>
      </c>
      <c r="B308" s="58" t="s">
        <v>397</v>
      </c>
      <c r="C308" s="58"/>
      <c r="D308" s="59"/>
      <c r="E308" s="59"/>
      <c r="F308" s="59"/>
      <c r="G308" s="59"/>
      <c r="H308" s="59"/>
      <c r="I308" s="59"/>
      <c r="J308" s="59"/>
      <c r="K308" s="59"/>
      <c r="L308" s="58" t="s">
        <v>40</v>
      </c>
      <c r="M308" s="17">
        <v>24</v>
      </c>
      <c r="N308" s="17" t="s">
        <v>38</v>
      </c>
      <c r="O308" s="58" t="s">
        <v>426</v>
      </c>
    </row>
    <row r="309" spans="1:16" s="17" customFormat="1" x14ac:dyDescent="0.25">
      <c r="A309" s="58" t="s">
        <v>404</v>
      </c>
      <c r="B309" s="58" t="s">
        <v>402</v>
      </c>
      <c r="C309" s="58"/>
      <c r="D309" s="59"/>
      <c r="E309" s="59"/>
      <c r="F309" s="59"/>
      <c r="G309" s="59"/>
      <c r="H309" s="59"/>
      <c r="I309" s="59"/>
      <c r="J309" s="59"/>
      <c r="K309" s="59"/>
      <c r="L309" s="58" t="s">
        <v>40</v>
      </c>
      <c r="M309" s="17">
        <v>24</v>
      </c>
      <c r="N309" s="17" t="s">
        <v>38</v>
      </c>
      <c r="O309" s="58" t="s">
        <v>426</v>
      </c>
    </row>
    <row r="310" spans="1:16" s="17" customFormat="1" x14ac:dyDescent="0.25">
      <c r="A310" s="58" t="s">
        <v>405</v>
      </c>
      <c r="B310" s="58" t="s">
        <v>397</v>
      </c>
      <c r="C310" s="58"/>
      <c r="D310" s="59"/>
      <c r="E310" s="59"/>
      <c r="F310" s="59"/>
      <c r="G310" s="59"/>
      <c r="H310" s="59"/>
      <c r="I310" s="59"/>
      <c r="J310" s="59"/>
      <c r="K310" s="59"/>
      <c r="L310" s="58" t="s">
        <v>40</v>
      </c>
      <c r="M310" s="17">
        <v>24</v>
      </c>
      <c r="N310" s="17" t="s">
        <v>38</v>
      </c>
      <c r="O310" s="58" t="s">
        <v>426</v>
      </c>
    </row>
    <row r="311" spans="1:16" s="17" customFormat="1" x14ac:dyDescent="0.25">
      <c r="A311" s="58" t="s">
        <v>406</v>
      </c>
      <c r="B311" s="58" t="s">
        <v>397</v>
      </c>
      <c r="C311" s="58"/>
      <c r="D311" s="59"/>
      <c r="E311" s="59"/>
      <c r="F311" s="59"/>
      <c r="G311" s="59"/>
      <c r="H311" s="59"/>
      <c r="I311" s="59"/>
      <c r="J311" s="59"/>
      <c r="K311" s="59"/>
      <c r="L311" s="58" t="s">
        <v>40</v>
      </c>
      <c r="M311" s="17">
        <v>0.4</v>
      </c>
      <c r="N311" s="58" t="s">
        <v>38</v>
      </c>
      <c r="O311" s="58" t="s">
        <v>427</v>
      </c>
    </row>
    <row r="312" spans="1:16" s="17" customFormat="1" x14ac:dyDescent="0.25">
      <c r="A312" s="58" t="s">
        <v>407</v>
      </c>
      <c r="B312" s="58" t="s">
        <v>397</v>
      </c>
      <c r="C312" s="58"/>
      <c r="D312" s="59"/>
      <c r="E312" s="59"/>
      <c r="F312" s="59"/>
      <c r="G312" s="59"/>
      <c r="H312" s="59"/>
      <c r="I312" s="59"/>
      <c r="J312" s="59"/>
      <c r="K312" s="59"/>
      <c r="L312" s="58" t="s">
        <v>40</v>
      </c>
      <c r="M312" s="17">
        <v>0.4</v>
      </c>
      <c r="N312" s="58" t="s">
        <v>38</v>
      </c>
      <c r="O312" s="58" t="s">
        <v>427</v>
      </c>
    </row>
    <row r="313" spans="1:16" s="17" customFormat="1" x14ac:dyDescent="0.25">
      <c r="A313" s="58" t="s">
        <v>408</v>
      </c>
      <c r="B313" s="58" t="s">
        <v>397</v>
      </c>
      <c r="C313" s="58"/>
      <c r="D313" s="59"/>
      <c r="E313" s="59"/>
      <c r="F313" s="59"/>
      <c r="G313" s="59"/>
      <c r="H313" s="59"/>
      <c r="I313" s="59"/>
      <c r="J313" s="59"/>
      <c r="K313" s="59"/>
      <c r="L313" s="58" t="s">
        <v>40</v>
      </c>
      <c r="M313" s="17">
        <v>24</v>
      </c>
      <c r="N313" s="58" t="s">
        <v>38</v>
      </c>
      <c r="O313" s="58" t="s">
        <v>426</v>
      </c>
    </row>
    <row r="314" spans="1:16" s="17" customFormat="1" x14ac:dyDescent="0.25">
      <c r="A314" s="58" t="s">
        <v>409</v>
      </c>
      <c r="B314" s="58" t="s">
        <v>397</v>
      </c>
      <c r="C314" s="58"/>
      <c r="D314" s="59"/>
      <c r="E314" s="59"/>
      <c r="F314" s="59"/>
      <c r="G314" s="59"/>
      <c r="H314" s="59"/>
      <c r="I314" s="59"/>
      <c r="J314" s="59"/>
      <c r="K314" s="59"/>
      <c r="L314" s="58" t="s">
        <v>40</v>
      </c>
      <c r="M314" s="58">
        <v>0</v>
      </c>
      <c r="N314" s="58" t="s">
        <v>38</v>
      </c>
      <c r="O314" s="58" t="s">
        <v>428</v>
      </c>
    </row>
    <row r="315" spans="1:16" s="17" customFormat="1" x14ac:dyDescent="0.25">
      <c r="A315" s="58" t="s">
        <v>410</v>
      </c>
      <c r="B315" s="58" t="s">
        <v>397</v>
      </c>
      <c r="C315" s="58"/>
      <c r="D315" s="59"/>
      <c r="E315" s="59"/>
      <c r="F315" s="59"/>
      <c r="G315" s="59"/>
      <c r="H315" s="59"/>
      <c r="I315" s="59"/>
      <c r="J315" s="59"/>
      <c r="K315" s="59"/>
      <c r="L315" s="58" t="s">
        <v>40</v>
      </c>
      <c r="M315" s="17">
        <v>24</v>
      </c>
      <c r="N315" s="58" t="s">
        <v>38</v>
      </c>
      <c r="O315" s="58" t="s">
        <v>426</v>
      </c>
    </row>
    <row r="316" spans="1:16" s="17" customFormat="1" x14ac:dyDescent="0.25">
      <c r="A316" s="58" t="s">
        <v>411</v>
      </c>
      <c r="B316" s="58" t="s">
        <v>397</v>
      </c>
      <c r="C316" s="58"/>
      <c r="L316" s="58" t="s">
        <v>40</v>
      </c>
      <c r="M316" s="17">
        <v>24</v>
      </c>
      <c r="N316" s="58" t="s">
        <v>38</v>
      </c>
      <c r="O316" s="58" t="s">
        <v>426</v>
      </c>
    </row>
    <row r="318" spans="1:16" x14ac:dyDescent="0.25">
      <c r="A318" s="2" t="s">
        <v>151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</row>
    <row r="319" spans="1:16" x14ac:dyDescent="0.25">
      <c r="I319" s="7"/>
      <c r="J319" s="7" t="s">
        <v>45</v>
      </c>
      <c r="K319" s="7"/>
      <c r="L319" s="7" t="s">
        <v>41</v>
      </c>
      <c r="M319" s="7">
        <v>-100</v>
      </c>
      <c r="N319" s="7" t="s">
        <v>46</v>
      </c>
      <c r="O319" s="7" t="s">
        <v>178</v>
      </c>
    </row>
    <row r="320" spans="1:16" x14ac:dyDescent="0.25">
      <c r="I320" s="7"/>
      <c r="J320" s="7" t="s">
        <v>43</v>
      </c>
      <c r="K320" s="7"/>
      <c r="L320" s="7" t="s">
        <v>41</v>
      </c>
      <c r="M320" s="7">
        <v>0</v>
      </c>
      <c r="N320" s="7" t="s">
        <v>38</v>
      </c>
      <c r="O320" s="7" t="s">
        <v>44</v>
      </c>
    </row>
    <row r="321" spans="1:16" x14ac:dyDescent="0.25">
      <c r="A321" s="4" t="s">
        <v>10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5"/>
      <c r="M321" s="5"/>
      <c r="N321" s="5"/>
      <c r="O321" s="5"/>
      <c r="P321" s="5"/>
    </row>
    <row r="322" spans="1:16" x14ac:dyDescent="0.25">
      <c r="A322" t="s">
        <v>179</v>
      </c>
      <c r="I322" t="s">
        <v>87</v>
      </c>
      <c r="J322" t="s">
        <v>43</v>
      </c>
      <c r="L322" t="s">
        <v>41</v>
      </c>
      <c r="M322" s="17">
        <v>5.3</v>
      </c>
      <c r="N322" t="s">
        <v>38</v>
      </c>
      <c r="O322" t="s">
        <v>169</v>
      </c>
      <c r="P322" t="s">
        <v>98</v>
      </c>
    </row>
    <row r="323" spans="1:16" x14ac:dyDescent="0.25">
      <c r="A323" t="s">
        <v>184</v>
      </c>
      <c r="I323" t="s">
        <v>87</v>
      </c>
      <c r="J323" t="s">
        <v>43</v>
      </c>
      <c r="L323" t="s">
        <v>41</v>
      </c>
      <c r="M323" s="40">
        <f>M322</f>
        <v>5.3</v>
      </c>
      <c r="N323" t="s">
        <v>38</v>
      </c>
    </row>
    <row r="324" spans="1:16" x14ac:dyDescent="0.25">
      <c r="A324" t="s">
        <v>180</v>
      </c>
      <c r="I324" t="s">
        <v>87</v>
      </c>
      <c r="J324" t="s">
        <v>43</v>
      </c>
      <c r="L324" t="s">
        <v>41</v>
      </c>
      <c r="M324" s="17">
        <v>4.9000000000000004</v>
      </c>
      <c r="N324" t="s">
        <v>38</v>
      </c>
      <c r="O324" t="s">
        <v>169</v>
      </c>
      <c r="P324" t="s">
        <v>98</v>
      </c>
    </row>
    <row r="325" spans="1:16" x14ac:dyDescent="0.25">
      <c r="A325" t="s">
        <v>185</v>
      </c>
      <c r="I325" t="s">
        <v>87</v>
      </c>
      <c r="J325" t="s">
        <v>43</v>
      </c>
      <c r="L325" t="s">
        <v>41</v>
      </c>
      <c r="M325" s="40">
        <f>M324</f>
        <v>4.9000000000000004</v>
      </c>
      <c r="N325" t="s">
        <v>38</v>
      </c>
    </row>
    <row r="326" spans="1:16" x14ac:dyDescent="0.25">
      <c r="A326" t="s">
        <v>181</v>
      </c>
      <c r="I326" t="s">
        <v>87</v>
      </c>
      <c r="J326" t="s">
        <v>43</v>
      </c>
      <c r="L326" t="s">
        <v>41</v>
      </c>
      <c r="M326" s="17">
        <v>12.7</v>
      </c>
      <c r="N326" t="s">
        <v>38</v>
      </c>
      <c r="O326" t="s">
        <v>169</v>
      </c>
      <c r="P326" t="s">
        <v>98</v>
      </c>
    </row>
    <row r="327" spans="1:16" x14ac:dyDescent="0.25">
      <c r="A327" t="s">
        <v>186</v>
      </c>
      <c r="I327" t="s">
        <v>87</v>
      </c>
      <c r="J327" t="s">
        <v>43</v>
      </c>
      <c r="L327" t="s">
        <v>41</v>
      </c>
      <c r="M327" s="40">
        <f>M326</f>
        <v>12.7</v>
      </c>
      <c r="N327" t="s">
        <v>38</v>
      </c>
    </row>
    <row r="328" spans="1:16" x14ac:dyDescent="0.25">
      <c r="A328" t="s">
        <v>182</v>
      </c>
      <c r="I328" t="s">
        <v>87</v>
      </c>
      <c r="J328" t="s">
        <v>43</v>
      </c>
      <c r="L328" t="s">
        <v>41</v>
      </c>
      <c r="M328" s="17">
        <v>24</v>
      </c>
      <c r="N328" t="s">
        <v>38</v>
      </c>
      <c r="O328" t="s">
        <v>170</v>
      </c>
      <c r="P328" s="26" t="s">
        <v>167</v>
      </c>
    </row>
    <row r="329" spans="1:16" x14ac:dyDescent="0.25">
      <c r="A329" t="s">
        <v>187</v>
      </c>
      <c r="I329" t="s">
        <v>87</v>
      </c>
      <c r="J329" t="s">
        <v>43</v>
      </c>
      <c r="L329" t="s">
        <v>41</v>
      </c>
      <c r="M329" s="40">
        <f>M328</f>
        <v>24</v>
      </c>
      <c r="N329" t="s">
        <v>38</v>
      </c>
      <c r="P329" s="26"/>
    </row>
    <row r="330" spans="1:16" x14ac:dyDescent="0.25">
      <c r="A330" t="s">
        <v>183</v>
      </c>
      <c r="I330" t="s">
        <v>87</v>
      </c>
      <c r="J330" t="s">
        <v>43</v>
      </c>
      <c r="L330" t="s">
        <v>41</v>
      </c>
      <c r="M330" s="6">
        <v>10</v>
      </c>
      <c r="N330" t="s">
        <v>38</v>
      </c>
    </row>
    <row r="331" spans="1:16" x14ac:dyDescent="0.25">
      <c r="A331" t="s">
        <v>188</v>
      </c>
      <c r="I331" t="s">
        <v>87</v>
      </c>
      <c r="J331" t="s">
        <v>43</v>
      </c>
      <c r="L331" t="s">
        <v>41</v>
      </c>
      <c r="M331" s="40">
        <f>M330</f>
        <v>10</v>
      </c>
      <c r="N331" t="s">
        <v>38</v>
      </c>
    </row>
    <row r="332" spans="1:16" s="17" customFormat="1" x14ac:dyDescent="0.25">
      <c r="A332" s="17" t="s">
        <v>417</v>
      </c>
      <c r="I332" s="17" t="s">
        <v>87</v>
      </c>
      <c r="J332" s="17" t="s">
        <v>43</v>
      </c>
      <c r="L332" s="17" t="s">
        <v>41</v>
      </c>
      <c r="M332" s="17">
        <v>0</v>
      </c>
      <c r="N332" s="17" t="s">
        <v>38</v>
      </c>
      <c r="O332" s="17" t="s">
        <v>450</v>
      </c>
    </row>
    <row r="333" spans="1:16" x14ac:dyDescent="0.25">
      <c r="A333" s="4" t="s">
        <v>11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5"/>
      <c r="M333" s="5"/>
      <c r="N333" s="5"/>
      <c r="O333" s="5"/>
      <c r="P333" s="5"/>
    </row>
    <row r="334" spans="1:16" x14ac:dyDescent="0.25">
      <c r="A334" s="17" t="s">
        <v>99</v>
      </c>
      <c r="I334" t="s">
        <v>87</v>
      </c>
      <c r="J334" t="s">
        <v>43</v>
      </c>
      <c r="L334" t="s">
        <v>41</v>
      </c>
      <c r="M334" s="17">
        <v>12</v>
      </c>
      <c r="N334" t="s">
        <v>38</v>
      </c>
      <c r="P334" s="26" t="s">
        <v>167</v>
      </c>
    </row>
    <row r="335" spans="1:16" x14ac:dyDescent="0.25">
      <c r="A335" s="17" t="s">
        <v>100</v>
      </c>
      <c r="I335" t="s">
        <v>87</v>
      </c>
      <c r="J335" t="s">
        <v>43</v>
      </c>
      <c r="L335" t="s">
        <v>41</v>
      </c>
      <c r="M335" s="17">
        <v>12</v>
      </c>
      <c r="N335" t="s">
        <v>38</v>
      </c>
      <c r="P335" s="26" t="s">
        <v>167</v>
      </c>
    </row>
    <row r="336" spans="1:16" x14ac:dyDescent="0.25">
      <c r="A336" s="17" t="s">
        <v>209</v>
      </c>
      <c r="I336" t="s">
        <v>87</v>
      </c>
      <c r="J336" t="s">
        <v>43</v>
      </c>
      <c r="L336" t="s">
        <v>41</v>
      </c>
      <c r="M336" s="17">
        <v>0</v>
      </c>
      <c r="N336" t="s">
        <v>38</v>
      </c>
    </row>
    <row r="337" spans="1:16" x14ac:dyDescent="0.25">
      <c r="A337" s="17" t="s">
        <v>101</v>
      </c>
      <c r="I337" t="s">
        <v>87</v>
      </c>
      <c r="J337" t="s">
        <v>43</v>
      </c>
      <c r="L337" t="s">
        <v>41</v>
      </c>
      <c r="M337" s="17">
        <v>0</v>
      </c>
      <c r="N337" t="s">
        <v>38</v>
      </c>
    </row>
    <row r="338" spans="1:16" x14ac:dyDescent="0.25">
      <c r="A338" s="4" t="s">
        <v>12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5"/>
      <c r="M338" s="5"/>
      <c r="N338" s="5"/>
      <c r="O338" s="5"/>
      <c r="P338" s="5"/>
    </row>
    <row r="339" spans="1:16" x14ac:dyDescent="0.25">
      <c r="A339" s="17" t="s">
        <v>135</v>
      </c>
      <c r="I339" t="s">
        <v>87</v>
      </c>
      <c r="J339" t="s">
        <v>43</v>
      </c>
      <c r="L339" t="s">
        <v>41</v>
      </c>
      <c r="M339" s="17">
        <v>25</v>
      </c>
      <c r="N339" t="s">
        <v>38</v>
      </c>
      <c r="O339" t="s">
        <v>172</v>
      </c>
      <c r="P339" s="26" t="s">
        <v>167</v>
      </c>
    </row>
    <row r="340" spans="1:16" s="17" customFormat="1" x14ac:dyDescent="0.25">
      <c r="A340" s="17" t="s">
        <v>381</v>
      </c>
      <c r="I340" s="17" t="s">
        <v>87</v>
      </c>
      <c r="J340" s="17" t="s">
        <v>43</v>
      </c>
      <c r="L340" s="17" t="s">
        <v>41</v>
      </c>
      <c r="M340" s="17">
        <v>25</v>
      </c>
      <c r="N340" s="17" t="s">
        <v>38</v>
      </c>
      <c r="O340" s="17" t="s">
        <v>429</v>
      </c>
      <c r="P340" s="17" t="s">
        <v>167</v>
      </c>
    </row>
    <row r="341" spans="1:16" x14ac:dyDescent="0.25">
      <c r="A341" s="17" t="s">
        <v>141</v>
      </c>
      <c r="I341" t="s">
        <v>87</v>
      </c>
      <c r="J341" t="s">
        <v>43</v>
      </c>
      <c r="L341" t="s">
        <v>41</v>
      </c>
      <c r="M341" s="17">
        <v>13</v>
      </c>
      <c r="N341" t="s">
        <v>38</v>
      </c>
      <c r="O341" t="s">
        <v>173</v>
      </c>
      <c r="P341" s="26" t="s">
        <v>167</v>
      </c>
    </row>
    <row r="342" spans="1:16" x14ac:dyDescent="0.25">
      <c r="A342" s="17" t="s">
        <v>138</v>
      </c>
      <c r="I342" t="s">
        <v>87</v>
      </c>
      <c r="J342" t="s">
        <v>43</v>
      </c>
      <c r="L342" t="s">
        <v>41</v>
      </c>
      <c r="M342" s="17">
        <v>19</v>
      </c>
      <c r="N342" t="s">
        <v>38</v>
      </c>
      <c r="O342" t="s">
        <v>171</v>
      </c>
      <c r="P342" s="26" t="s">
        <v>167</v>
      </c>
    </row>
    <row r="343" spans="1:16" x14ac:dyDescent="0.25">
      <c r="A343" s="17" t="s">
        <v>107</v>
      </c>
      <c r="I343" t="s">
        <v>87</v>
      </c>
      <c r="J343" t="s">
        <v>43</v>
      </c>
      <c r="L343" t="s">
        <v>41</v>
      </c>
      <c r="M343" s="17">
        <v>9</v>
      </c>
      <c r="N343" t="s">
        <v>38</v>
      </c>
      <c r="O343" t="s">
        <v>175</v>
      </c>
      <c r="P343" s="26" t="s">
        <v>167</v>
      </c>
    </row>
    <row r="344" spans="1:16" x14ac:dyDescent="0.25">
      <c r="A344" s="17" t="s">
        <v>110</v>
      </c>
      <c r="I344" t="s">
        <v>87</v>
      </c>
      <c r="J344" t="s">
        <v>43</v>
      </c>
      <c r="L344" t="s">
        <v>41</v>
      </c>
      <c r="M344" s="17">
        <v>11</v>
      </c>
      <c r="N344" t="s">
        <v>38</v>
      </c>
      <c r="O344" s="26" t="s">
        <v>174</v>
      </c>
      <c r="P344" s="26" t="s">
        <v>167</v>
      </c>
    </row>
    <row r="345" spans="1:16" x14ac:dyDescent="0.25">
      <c r="A345" s="17" t="s">
        <v>148</v>
      </c>
      <c r="I345" t="s">
        <v>87</v>
      </c>
      <c r="J345" t="s">
        <v>43</v>
      </c>
      <c r="L345" t="s">
        <v>41</v>
      </c>
      <c r="M345" s="6">
        <f>AVERAGE(M341:M344)</f>
        <v>13</v>
      </c>
      <c r="N345" t="s">
        <v>38</v>
      </c>
      <c r="O345" s="26"/>
      <c r="P345" s="26"/>
    </row>
    <row r="346" spans="1:16" x14ac:dyDescent="0.25">
      <c r="A346" s="4" t="s">
        <v>13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"/>
      <c r="M346" s="5"/>
      <c r="N346" s="5"/>
      <c r="O346" s="5"/>
      <c r="P346" s="5"/>
    </row>
    <row r="347" spans="1:16" x14ac:dyDescent="0.25">
      <c r="A347" s="17" t="s">
        <v>241</v>
      </c>
      <c r="J347" t="s">
        <v>43</v>
      </c>
      <c r="L347" t="s">
        <v>41</v>
      </c>
      <c r="M347" s="17">
        <v>7.9</v>
      </c>
      <c r="N347" s="17" t="s">
        <v>38</v>
      </c>
      <c r="O347" t="s">
        <v>246</v>
      </c>
      <c r="P347" t="s">
        <v>167</v>
      </c>
    </row>
    <row r="348" spans="1:16" x14ac:dyDescent="0.25">
      <c r="A348" s="17" t="s">
        <v>242</v>
      </c>
      <c r="J348" t="s">
        <v>43</v>
      </c>
      <c r="L348" t="s">
        <v>41</v>
      </c>
      <c r="M348" s="17">
        <v>7.9</v>
      </c>
      <c r="N348" s="17" t="s">
        <v>38</v>
      </c>
      <c r="O348" t="s">
        <v>246</v>
      </c>
      <c r="P348" t="s">
        <v>167</v>
      </c>
    </row>
    <row r="349" spans="1:16" x14ac:dyDescent="0.25">
      <c r="A349" s="17" t="s">
        <v>243</v>
      </c>
      <c r="J349" t="s">
        <v>43</v>
      </c>
      <c r="L349" t="s">
        <v>41</v>
      </c>
      <c r="M349" s="17">
        <v>7.9</v>
      </c>
      <c r="N349" s="17" t="s">
        <v>38</v>
      </c>
      <c r="O349" t="s">
        <v>246</v>
      </c>
      <c r="P349" t="s">
        <v>167</v>
      </c>
    </row>
    <row r="350" spans="1:16" x14ac:dyDescent="0.25">
      <c r="A350" s="17" t="s">
        <v>245</v>
      </c>
      <c r="J350" t="s">
        <v>43</v>
      </c>
      <c r="L350" t="s">
        <v>41</v>
      </c>
      <c r="M350" s="17">
        <v>7.9</v>
      </c>
      <c r="N350" s="17" t="s">
        <v>38</v>
      </c>
      <c r="O350" t="s">
        <v>246</v>
      </c>
      <c r="P350" t="s">
        <v>167</v>
      </c>
    </row>
    <row r="351" spans="1:16" x14ac:dyDescent="0.25">
      <c r="A351" s="4" t="s">
        <v>14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5"/>
      <c r="M351" s="5"/>
      <c r="N351" s="5"/>
      <c r="O351" s="5"/>
      <c r="P351" s="5"/>
    </row>
    <row r="352" spans="1:16" x14ac:dyDescent="0.25">
      <c r="A352" s="6"/>
      <c r="B352" t="s">
        <v>81</v>
      </c>
      <c r="I352" t="s">
        <v>87</v>
      </c>
      <c r="J352" t="s">
        <v>43</v>
      </c>
      <c r="L352" t="s">
        <v>41</v>
      </c>
      <c r="M352" s="29">
        <v>15.75</v>
      </c>
      <c r="N352" t="s">
        <v>38</v>
      </c>
      <c r="O352" t="s">
        <v>168</v>
      </c>
      <c r="P352" t="s">
        <v>94</v>
      </c>
    </row>
    <row r="353" spans="1:16" x14ac:dyDescent="0.25">
      <c r="A353" s="4" t="s">
        <v>23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5"/>
      <c r="M353" s="5"/>
      <c r="N353" s="5"/>
      <c r="O353" s="5"/>
      <c r="P353" s="5"/>
    </row>
    <row r="354" spans="1:16" x14ac:dyDescent="0.25">
      <c r="A354" t="s">
        <v>54</v>
      </c>
      <c r="I354" t="s">
        <v>87</v>
      </c>
      <c r="J354" t="s">
        <v>43</v>
      </c>
      <c r="L354" t="s">
        <v>41</v>
      </c>
      <c r="M354" s="6">
        <v>2.2999999999999998</v>
      </c>
      <c r="N354" t="s">
        <v>38</v>
      </c>
      <c r="O354" t="s">
        <v>325</v>
      </c>
    </row>
    <row r="355" spans="1:16" x14ac:dyDescent="0.25">
      <c r="A355" t="s">
        <v>95</v>
      </c>
      <c r="I355" t="s">
        <v>87</v>
      </c>
      <c r="J355" t="s">
        <v>43</v>
      </c>
      <c r="L355" t="s">
        <v>41</v>
      </c>
      <c r="M355" s="6">
        <v>18.100000000000001</v>
      </c>
      <c r="N355" t="s">
        <v>38</v>
      </c>
      <c r="O355" t="s">
        <v>325</v>
      </c>
    </row>
    <row r="356" spans="1:16" x14ac:dyDescent="0.25">
      <c r="A356" t="s">
        <v>345</v>
      </c>
      <c r="I356" t="s">
        <v>87</v>
      </c>
      <c r="J356" t="s">
        <v>43</v>
      </c>
      <c r="L356" t="s">
        <v>41</v>
      </c>
      <c r="M356" s="6">
        <v>20</v>
      </c>
      <c r="N356" t="s">
        <v>38</v>
      </c>
      <c r="O356" s="6" t="s">
        <v>354</v>
      </c>
    </row>
    <row r="357" spans="1:16" x14ac:dyDescent="0.25">
      <c r="A357" t="s">
        <v>267</v>
      </c>
      <c r="I357" t="s">
        <v>87</v>
      </c>
      <c r="J357" t="s">
        <v>43</v>
      </c>
      <c r="L357" t="s">
        <v>41</v>
      </c>
      <c r="M357" s="6">
        <v>0.95</v>
      </c>
      <c r="N357" t="s">
        <v>38</v>
      </c>
      <c r="O357" t="s">
        <v>325</v>
      </c>
    </row>
    <row r="358" spans="1:16" x14ac:dyDescent="0.25">
      <c r="A358" s="4" t="s">
        <v>15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"/>
      <c r="M358" s="5"/>
      <c r="N358" s="5"/>
      <c r="O358" s="5"/>
      <c r="P358" s="5"/>
    </row>
    <row r="359" spans="1:16" x14ac:dyDescent="0.25">
      <c r="A359" t="s">
        <v>15</v>
      </c>
      <c r="I359" t="s">
        <v>87</v>
      </c>
      <c r="J359" t="s">
        <v>43</v>
      </c>
      <c r="L359" t="s">
        <v>41</v>
      </c>
      <c r="M359" s="6">
        <v>16.5</v>
      </c>
      <c r="N359" t="s">
        <v>38</v>
      </c>
      <c r="O359" s="6" t="s">
        <v>328</v>
      </c>
      <c r="P359" s="26" t="s">
        <v>215</v>
      </c>
    </row>
    <row r="360" spans="1:16" s="17" customFormat="1" x14ac:dyDescent="0.25">
      <c r="A360" s="17" t="s">
        <v>384</v>
      </c>
      <c r="I360" s="17" t="s">
        <v>87</v>
      </c>
      <c r="J360" s="17" t="s">
        <v>43</v>
      </c>
      <c r="L360" s="17" t="s">
        <v>41</v>
      </c>
      <c r="M360" s="17">
        <v>16.5</v>
      </c>
      <c r="N360" s="17" t="s">
        <v>38</v>
      </c>
    </row>
    <row r="361" spans="1:16" x14ac:dyDescent="0.25">
      <c r="A361" s="4" t="s">
        <v>20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5"/>
      <c r="M361" s="5"/>
      <c r="N361" s="5"/>
      <c r="O361" s="5"/>
      <c r="P361" s="5"/>
    </row>
    <row r="362" spans="1:16" x14ac:dyDescent="0.25">
      <c r="B362" t="s">
        <v>207</v>
      </c>
      <c r="J362" t="s">
        <v>43</v>
      </c>
      <c r="L362" t="s">
        <v>41</v>
      </c>
      <c r="M362">
        <v>34.200000000000003</v>
      </c>
      <c r="N362" t="s">
        <v>38</v>
      </c>
      <c r="O362" t="s">
        <v>214</v>
      </c>
      <c r="P362" s="26" t="s">
        <v>215</v>
      </c>
    </row>
    <row r="363" spans="1:16" s="17" customFormat="1" x14ac:dyDescent="0.25">
      <c r="A363" s="53" t="s">
        <v>21</v>
      </c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5"/>
      <c r="M363" s="55"/>
      <c r="N363" s="55"/>
      <c r="O363" s="55"/>
      <c r="P363" s="55"/>
    </row>
    <row r="364" spans="1:16" s="17" customFormat="1" x14ac:dyDescent="0.25">
      <c r="A364" s="17" t="s">
        <v>388</v>
      </c>
      <c r="I364" s="17" t="s">
        <v>87</v>
      </c>
      <c r="J364" s="17" t="s">
        <v>43</v>
      </c>
      <c r="L364" s="17" t="s">
        <v>41</v>
      </c>
      <c r="M364" s="17">
        <v>0</v>
      </c>
      <c r="N364" s="17" t="s">
        <v>38</v>
      </c>
      <c r="O364" s="17" t="s">
        <v>430</v>
      </c>
    </row>
    <row r="365" spans="1:16" s="17" customFormat="1" x14ac:dyDescent="0.25">
      <c r="A365" s="17" t="s">
        <v>390</v>
      </c>
      <c r="I365" s="17" t="s">
        <v>87</v>
      </c>
      <c r="J365" s="17" t="s">
        <v>43</v>
      </c>
      <c r="L365" s="17" t="s">
        <v>41</v>
      </c>
      <c r="M365" s="17">
        <v>0</v>
      </c>
      <c r="N365" s="17" t="s">
        <v>38</v>
      </c>
      <c r="O365" s="17" t="s">
        <v>430</v>
      </c>
    </row>
    <row r="366" spans="1:16" s="17" customFormat="1" x14ac:dyDescent="0.25">
      <c r="A366" s="53" t="s">
        <v>391</v>
      </c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</row>
    <row r="367" spans="1:16" s="17" customFormat="1" x14ac:dyDescent="0.25">
      <c r="A367" s="17" t="s">
        <v>392</v>
      </c>
      <c r="I367" s="17" t="s">
        <v>87</v>
      </c>
      <c r="J367" s="17" t="s">
        <v>43</v>
      </c>
      <c r="L367" s="17" t="s">
        <v>41</v>
      </c>
      <c r="M367" s="17">
        <v>0</v>
      </c>
      <c r="N367" s="17" t="s">
        <v>38</v>
      </c>
      <c r="O367" s="17" t="s">
        <v>431</v>
      </c>
    </row>
    <row r="368" spans="1:16" x14ac:dyDescent="0.25">
      <c r="A368" s="4" t="s">
        <v>22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5"/>
      <c r="M368" s="5"/>
      <c r="N368" s="5"/>
      <c r="O368" s="5"/>
      <c r="P368" s="5"/>
    </row>
    <row r="369" spans="1:16" x14ac:dyDescent="0.25">
      <c r="A369" t="s">
        <v>126</v>
      </c>
      <c r="I369" t="s">
        <v>87</v>
      </c>
      <c r="J369" t="s">
        <v>43</v>
      </c>
      <c r="L369" t="s">
        <v>41</v>
      </c>
      <c r="M369" s="23">
        <v>1</v>
      </c>
      <c r="N369" t="s">
        <v>38</v>
      </c>
    </row>
    <row r="370" spans="1:16" s="17" customFormat="1" x14ac:dyDescent="0.25">
      <c r="A370" s="58" t="s">
        <v>394</v>
      </c>
      <c r="B370" s="58"/>
      <c r="C370" s="58"/>
      <c r="D370" s="58"/>
      <c r="E370" s="58"/>
      <c r="F370" s="58"/>
      <c r="G370" s="58"/>
      <c r="H370" s="58"/>
      <c r="I370" s="58" t="s">
        <v>87</v>
      </c>
      <c r="J370" s="58" t="s">
        <v>43</v>
      </c>
      <c r="K370" s="58"/>
      <c r="L370" s="58" t="s">
        <v>41</v>
      </c>
      <c r="M370" s="60">
        <v>1</v>
      </c>
      <c r="N370" s="58" t="s">
        <v>38</v>
      </c>
    </row>
    <row r="371" spans="1:16" x14ac:dyDescent="0.25">
      <c r="A371" s="4" t="s">
        <v>29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5"/>
      <c r="M371" s="5"/>
      <c r="N371" s="5"/>
      <c r="O371" s="5"/>
      <c r="P371" s="5"/>
    </row>
    <row r="372" spans="1:16" x14ac:dyDescent="0.25">
      <c r="A372" t="s">
        <v>227</v>
      </c>
      <c r="J372" t="s">
        <v>43</v>
      </c>
      <c r="L372" t="s">
        <v>41</v>
      </c>
      <c r="M372" s="17">
        <v>24.7</v>
      </c>
      <c r="N372" t="s">
        <v>38</v>
      </c>
      <c r="O372" t="s">
        <v>235</v>
      </c>
      <c r="P372" s="26" t="s">
        <v>167</v>
      </c>
    </row>
    <row r="373" spans="1:16" x14ac:dyDescent="0.25">
      <c r="A373" t="s">
        <v>230</v>
      </c>
      <c r="J373" t="s">
        <v>43</v>
      </c>
      <c r="L373" t="s">
        <v>41</v>
      </c>
      <c r="M373" s="17">
        <v>8</v>
      </c>
      <c r="N373" t="s">
        <v>38</v>
      </c>
      <c r="O373" t="s">
        <v>166</v>
      </c>
      <c r="P373" s="26" t="s">
        <v>167</v>
      </c>
    </row>
    <row r="374" spans="1:16" x14ac:dyDescent="0.25">
      <c r="A374" t="s">
        <v>228</v>
      </c>
      <c r="J374" t="s">
        <v>43</v>
      </c>
      <c r="L374" t="s">
        <v>41</v>
      </c>
      <c r="M374">
        <v>7.9</v>
      </c>
      <c r="N374" t="s">
        <v>38</v>
      </c>
      <c r="O374" t="s">
        <v>248</v>
      </c>
      <c r="P374" s="26" t="s">
        <v>167</v>
      </c>
    </row>
    <row r="375" spans="1:16" x14ac:dyDescent="0.25">
      <c r="A375" t="s">
        <v>231</v>
      </c>
      <c r="J375" t="s">
        <v>43</v>
      </c>
      <c r="L375" t="s">
        <v>41</v>
      </c>
      <c r="M375">
        <v>4.7</v>
      </c>
      <c r="N375" t="s">
        <v>38</v>
      </c>
      <c r="O375" t="s">
        <v>236</v>
      </c>
      <c r="P375" s="26" t="s">
        <v>167</v>
      </c>
    </row>
    <row r="376" spans="1:16" x14ac:dyDescent="0.25">
      <c r="A376" s="4" t="s">
        <v>33</v>
      </c>
      <c r="B376" s="4"/>
      <c r="C376" s="4"/>
      <c r="D376" s="4"/>
      <c r="E376" s="48"/>
      <c r="F376" s="4"/>
      <c r="G376" s="4"/>
      <c r="H376" s="4"/>
      <c r="I376" s="4"/>
      <c r="J376" s="4"/>
      <c r="K376" s="4"/>
      <c r="L376" s="5"/>
      <c r="M376" s="5"/>
      <c r="N376" s="5"/>
      <c r="O376" s="5"/>
      <c r="P376" s="5"/>
    </row>
    <row r="377" spans="1:16" s="17" customFormat="1" x14ac:dyDescent="0.25">
      <c r="A377" s="58" t="s">
        <v>396</v>
      </c>
      <c r="B377" s="58"/>
      <c r="C377" s="58"/>
      <c r="D377" s="59"/>
      <c r="E377" s="59"/>
      <c r="F377" s="59"/>
      <c r="G377" s="59"/>
      <c r="H377" s="59"/>
      <c r="I377" s="59"/>
      <c r="J377" s="58" t="s">
        <v>43</v>
      </c>
      <c r="K377" s="59"/>
      <c r="L377" s="17" t="s">
        <v>41</v>
      </c>
      <c r="M377" s="17">
        <v>34.200000000000003</v>
      </c>
      <c r="N377" s="58" t="s">
        <v>38</v>
      </c>
      <c r="O377" s="58" t="s">
        <v>421</v>
      </c>
    </row>
    <row r="378" spans="1:16" s="17" customFormat="1" x14ac:dyDescent="0.25">
      <c r="A378" s="58" t="s">
        <v>400</v>
      </c>
      <c r="B378" s="58"/>
      <c r="C378" s="58"/>
      <c r="D378" s="58"/>
      <c r="E378" s="58"/>
      <c r="F378" s="58"/>
      <c r="G378" s="58"/>
      <c r="H378" s="58"/>
      <c r="I378" s="58"/>
      <c r="J378" s="58" t="s">
        <v>43</v>
      </c>
      <c r="K378" s="58"/>
      <c r="L378" s="17" t="s">
        <v>41</v>
      </c>
      <c r="M378" s="17">
        <v>5.3</v>
      </c>
      <c r="N378" s="17" t="s">
        <v>38</v>
      </c>
      <c r="O378" s="58" t="s">
        <v>424</v>
      </c>
    </row>
    <row r="379" spans="1:16" s="17" customFormat="1" x14ac:dyDescent="0.25">
      <c r="A379" s="17" t="s">
        <v>401</v>
      </c>
      <c r="J379" s="17" t="s">
        <v>43</v>
      </c>
      <c r="L379" s="17" t="s">
        <v>41</v>
      </c>
      <c r="M379" s="17">
        <v>24</v>
      </c>
      <c r="N379" s="17" t="s">
        <v>38</v>
      </c>
      <c r="O379" s="58" t="s">
        <v>425</v>
      </c>
    </row>
    <row r="382" spans="1:16" x14ac:dyDescent="0.25">
      <c r="A382" s="2" t="s">
        <v>58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</row>
    <row r="383" spans="1:16" x14ac:dyDescent="0.25">
      <c r="L383" s="7" t="s">
        <v>85</v>
      </c>
      <c r="M383" s="7">
        <v>0</v>
      </c>
      <c r="N383" s="7" t="s">
        <v>38</v>
      </c>
      <c r="O383" s="7" t="s">
        <v>44</v>
      </c>
    </row>
    <row r="384" spans="1:16" x14ac:dyDescent="0.25">
      <c r="L384" s="7" t="s">
        <v>86</v>
      </c>
      <c r="M384" s="7">
        <v>0</v>
      </c>
      <c r="N384" s="7" t="s">
        <v>38</v>
      </c>
      <c r="O384" s="7" t="s">
        <v>44</v>
      </c>
    </row>
    <row r="385" spans="1:16" x14ac:dyDescent="0.25">
      <c r="A385" s="4" t="s">
        <v>10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5"/>
      <c r="M385" s="5"/>
      <c r="N385" s="5"/>
      <c r="O385" s="5"/>
      <c r="P385" s="5"/>
    </row>
    <row r="386" spans="1:16" x14ac:dyDescent="0.25">
      <c r="A386" t="s">
        <v>179</v>
      </c>
      <c r="D386" t="s">
        <v>37</v>
      </c>
      <c r="L386" t="s">
        <v>85</v>
      </c>
      <c r="M386">
        <v>79</v>
      </c>
      <c r="N386" t="s">
        <v>38</v>
      </c>
      <c r="P386" t="s">
        <v>92</v>
      </c>
    </row>
    <row r="387" spans="1:16" x14ac:dyDescent="0.25">
      <c r="A387" t="s">
        <v>179</v>
      </c>
      <c r="D387" t="s">
        <v>37</v>
      </c>
      <c r="H387" t="s">
        <v>357</v>
      </c>
      <c r="L387" t="s">
        <v>86</v>
      </c>
      <c r="M387">
        <f>19+2</f>
        <v>21</v>
      </c>
      <c r="N387" t="s">
        <v>38</v>
      </c>
      <c r="O387" t="s">
        <v>359</v>
      </c>
      <c r="P387" t="s">
        <v>92</v>
      </c>
    </row>
    <row r="388" spans="1:16" x14ac:dyDescent="0.25">
      <c r="A388" t="s">
        <v>184</v>
      </c>
      <c r="D388" t="s">
        <v>37</v>
      </c>
      <c r="L388" t="s">
        <v>85</v>
      </c>
      <c r="M388">
        <v>95</v>
      </c>
      <c r="N388" t="s">
        <v>38</v>
      </c>
      <c r="P388" s="6" t="s">
        <v>356</v>
      </c>
    </row>
    <row r="389" spans="1:16" x14ac:dyDescent="0.25">
      <c r="A389" t="s">
        <v>184</v>
      </c>
      <c r="D389" t="s">
        <v>37</v>
      </c>
      <c r="H389" t="s">
        <v>357</v>
      </c>
      <c r="L389" t="s">
        <v>86</v>
      </c>
      <c r="M389">
        <v>5</v>
      </c>
      <c r="N389" t="s">
        <v>38</v>
      </c>
      <c r="O389" t="s">
        <v>358</v>
      </c>
      <c r="P389" s="6" t="s">
        <v>356</v>
      </c>
    </row>
    <row r="390" spans="1:16" x14ac:dyDescent="0.25">
      <c r="A390" s="8" t="s">
        <v>180</v>
      </c>
      <c r="B390" s="8"/>
      <c r="C390" s="8"/>
      <c r="D390" s="8" t="s">
        <v>48</v>
      </c>
      <c r="E390" s="8"/>
      <c r="F390" s="8"/>
      <c r="G390" s="8"/>
      <c r="H390" s="8"/>
      <c r="I390" s="8"/>
      <c r="J390" s="8"/>
      <c r="K390" s="8"/>
      <c r="L390" t="s">
        <v>85</v>
      </c>
      <c r="M390" s="8">
        <v>72</v>
      </c>
      <c r="N390" s="8" t="s">
        <v>38</v>
      </c>
      <c r="O390" s="8"/>
      <c r="P390" t="s">
        <v>92</v>
      </c>
    </row>
    <row r="391" spans="1:16" x14ac:dyDescent="0.25">
      <c r="A391" s="8" t="s">
        <v>180</v>
      </c>
      <c r="B391" s="8"/>
      <c r="C391" s="8"/>
      <c r="D391" s="8" t="s">
        <v>48</v>
      </c>
      <c r="E391" s="8"/>
      <c r="F391" s="8"/>
      <c r="G391" s="8"/>
      <c r="H391" t="s">
        <v>357</v>
      </c>
      <c r="I391" s="8"/>
      <c r="J391" s="8"/>
      <c r="K391" s="8"/>
      <c r="L391" t="s">
        <v>86</v>
      </c>
      <c r="M391" s="8">
        <v>19</v>
      </c>
      <c r="N391" s="8" t="s">
        <v>38</v>
      </c>
      <c r="O391" s="8" t="s">
        <v>360</v>
      </c>
      <c r="P391" t="s">
        <v>92</v>
      </c>
    </row>
    <row r="392" spans="1:16" x14ac:dyDescent="0.25">
      <c r="A392" s="8" t="s">
        <v>185</v>
      </c>
      <c r="B392" s="8"/>
      <c r="C392" s="8"/>
      <c r="D392" s="8" t="s">
        <v>48</v>
      </c>
      <c r="E392" s="8"/>
      <c r="F392" s="8"/>
      <c r="G392" s="8"/>
      <c r="H392" s="8"/>
      <c r="I392" s="8"/>
      <c r="J392" s="8"/>
      <c r="K392" s="8"/>
      <c r="L392" t="s">
        <v>85</v>
      </c>
      <c r="M392" s="9">
        <v>91</v>
      </c>
      <c r="N392" s="8" t="s">
        <v>38</v>
      </c>
      <c r="O392" s="8"/>
      <c r="P392" t="s">
        <v>92</v>
      </c>
    </row>
    <row r="393" spans="1:16" x14ac:dyDescent="0.25">
      <c r="A393" s="8" t="s">
        <v>185</v>
      </c>
      <c r="B393" s="8"/>
      <c r="C393" s="8"/>
      <c r="D393" s="8" t="s">
        <v>48</v>
      </c>
      <c r="E393" s="8"/>
      <c r="F393" s="8"/>
      <c r="G393" s="8"/>
      <c r="H393" t="s">
        <v>357</v>
      </c>
      <c r="I393" s="8"/>
      <c r="J393" s="8"/>
      <c r="K393" s="8"/>
      <c r="L393" t="s">
        <v>86</v>
      </c>
      <c r="M393" s="9">
        <v>9</v>
      </c>
      <c r="N393" s="9" t="s">
        <v>38</v>
      </c>
      <c r="O393" s="8" t="s">
        <v>361</v>
      </c>
      <c r="P393" t="s">
        <v>92</v>
      </c>
    </row>
    <row r="394" spans="1:16" x14ac:dyDescent="0.25">
      <c r="A394" t="s">
        <v>181</v>
      </c>
      <c r="B394" s="8"/>
      <c r="C394" s="8"/>
      <c r="D394" s="9" t="s">
        <v>90</v>
      </c>
      <c r="E394" s="9"/>
      <c r="F394" s="8"/>
      <c r="G394" s="8"/>
      <c r="H394" s="8"/>
      <c r="I394" s="8"/>
      <c r="J394" s="8"/>
      <c r="K394" s="8"/>
      <c r="L394" t="s">
        <v>85</v>
      </c>
      <c r="M394" s="9">
        <v>80</v>
      </c>
      <c r="N394" s="9" t="s">
        <v>38</v>
      </c>
      <c r="O394" s="8"/>
      <c r="P394" t="s">
        <v>92</v>
      </c>
    </row>
    <row r="395" spans="1:16" x14ac:dyDescent="0.25">
      <c r="A395" t="s">
        <v>181</v>
      </c>
      <c r="B395" s="8"/>
      <c r="C395" s="8"/>
      <c r="D395" s="9" t="s">
        <v>90</v>
      </c>
      <c r="E395" s="9"/>
      <c r="F395" s="8"/>
      <c r="G395" s="8"/>
      <c r="H395" t="s">
        <v>357</v>
      </c>
      <c r="I395" s="8"/>
      <c r="J395" s="8"/>
      <c r="K395" s="8"/>
      <c r="L395" t="s">
        <v>86</v>
      </c>
      <c r="M395" s="9">
        <v>20</v>
      </c>
      <c r="N395" s="9" t="s">
        <v>38</v>
      </c>
      <c r="O395" s="8" t="s">
        <v>362</v>
      </c>
      <c r="P395" t="s">
        <v>92</v>
      </c>
    </row>
    <row r="396" spans="1:16" x14ac:dyDescent="0.25">
      <c r="A396" t="s">
        <v>186</v>
      </c>
      <c r="B396" s="8"/>
      <c r="C396" s="8"/>
      <c r="D396" s="9" t="s">
        <v>90</v>
      </c>
      <c r="E396" s="9"/>
      <c r="F396" s="8"/>
      <c r="G396" s="8"/>
      <c r="H396" s="9"/>
      <c r="I396" s="8"/>
      <c r="J396" s="8"/>
      <c r="K396" s="8"/>
      <c r="L396" t="s">
        <v>85</v>
      </c>
      <c r="M396" s="9">
        <v>100</v>
      </c>
      <c r="N396" s="9" t="s">
        <v>38</v>
      </c>
      <c r="O396" s="8"/>
      <c r="P396" t="s">
        <v>92</v>
      </c>
    </row>
    <row r="397" spans="1:16" x14ac:dyDescent="0.25">
      <c r="A397" t="s">
        <v>182</v>
      </c>
      <c r="B397" s="8"/>
      <c r="C397" s="8"/>
      <c r="D397" s="9" t="s">
        <v>91</v>
      </c>
      <c r="E397" s="9"/>
      <c r="F397" s="8"/>
      <c r="G397" s="8"/>
      <c r="H397" s="8"/>
      <c r="I397" s="8"/>
      <c r="J397" s="8"/>
      <c r="K397" s="8"/>
      <c r="L397" t="s">
        <v>85</v>
      </c>
      <c r="M397" s="9">
        <v>53</v>
      </c>
      <c r="N397" s="9" t="s">
        <v>38</v>
      </c>
      <c r="O397" s="8"/>
      <c r="P397" t="s">
        <v>92</v>
      </c>
    </row>
    <row r="398" spans="1:16" x14ac:dyDescent="0.25">
      <c r="A398" t="s">
        <v>182</v>
      </c>
      <c r="B398" s="8"/>
      <c r="C398" s="8"/>
      <c r="D398" s="9" t="s">
        <v>91</v>
      </c>
      <c r="E398" s="9"/>
      <c r="F398" s="8"/>
      <c r="G398" s="8"/>
      <c r="H398" t="s">
        <v>364</v>
      </c>
      <c r="I398" s="8"/>
      <c r="J398" s="8"/>
      <c r="K398" s="8"/>
      <c r="L398" t="s">
        <v>86</v>
      </c>
      <c r="M398" s="9">
        <f>20+27</f>
        <v>47</v>
      </c>
      <c r="N398" s="9" t="s">
        <v>38</v>
      </c>
      <c r="O398" s="19" t="s">
        <v>363</v>
      </c>
      <c r="P398" t="s">
        <v>92</v>
      </c>
    </row>
    <row r="399" spans="1:16" x14ac:dyDescent="0.25">
      <c r="A399" t="s">
        <v>187</v>
      </c>
      <c r="B399" s="8"/>
      <c r="C399" s="8"/>
      <c r="D399" s="9" t="s">
        <v>91</v>
      </c>
      <c r="E399" s="9"/>
      <c r="F399" s="8"/>
      <c r="G399" s="8"/>
      <c r="H399" s="9"/>
      <c r="I399" s="8"/>
      <c r="J399" s="8"/>
      <c r="K399" s="8"/>
      <c r="L399" t="s">
        <v>85</v>
      </c>
      <c r="M399" s="9">
        <v>73</v>
      </c>
      <c r="N399" s="9" t="s">
        <v>38</v>
      </c>
      <c r="O399" s="8"/>
      <c r="P399" t="s">
        <v>92</v>
      </c>
    </row>
    <row r="400" spans="1:16" x14ac:dyDescent="0.25">
      <c r="A400" t="s">
        <v>187</v>
      </c>
      <c r="B400" s="8"/>
      <c r="C400" s="8"/>
      <c r="D400" s="9" t="s">
        <v>91</v>
      </c>
      <c r="E400" s="9"/>
      <c r="F400" s="8"/>
      <c r="G400" s="8"/>
      <c r="H400" t="s">
        <v>364</v>
      </c>
      <c r="I400" s="8"/>
      <c r="J400" s="8"/>
      <c r="K400" s="8"/>
      <c r="L400" t="s">
        <v>86</v>
      </c>
      <c r="M400" s="9">
        <v>27</v>
      </c>
      <c r="N400" s="9" t="s">
        <v>38</v>
      </c>
      <c r="O400" s="8" t="s">
        <v>365</v>
      </c>
      <c r="P400" t="s">
        <v>92</v>
      </c>
    </row>
    <row r="401" spans="1:16" x14ac:dyDescent="0.25">
      <c r="A401" t="s">
        <v>289</v>
      </c>
      <c r="B401" s="10"/>
      <c r="C401" s="10"/>
      <c r="D401" s="9" t="s">
        <v>37</v>
      </c>
      <c r="E401" s="9"/>
      <c r="F401" s="10"/>
      <c r="G401" s="10"/>
      <c r="H401" s="10"/>
      <c r="I401" s="10"/>
      <c r="J401" s="10"/>
      <c r="K401" s="10"/>
      <c r="L401" t="s">
        <v>85</v>
      </c>
      <c r="M401" s="20">
        <v>100</v>
      </c>
      <c r="N401" s="9" t="s">
        <v>38</v>
      </c>
      <c r="O401" s="8" t="s">
        <v>366</v>
      </c>
      <c r="P401" s="8"/>
    </row>
    <row r="402" spans="1:16" x14ac:dyDescent="0.25">
      <c r="A402" t="s">
        <v>290</v>
      </c>
      <c r="B402" s="10"/>
      <c r="C402" s="10"/>
      <c r="D402" s="8" t="s">
        <v>48</v>
      </c>
      <c r="E402" s="8"/>
      <c r="F402" s="10"/>
      <c r="G402" s="10"/>
      <c r="H402" s="10"/>
      <c r="I402" s="10"/>
      <c r="J402" s="10"/>
      <c r="K402" s="10"/>
      <c r="L402" t="s">
        <v>85</v>
      </c>
      <c r="M402" s="20">
        <v>100</v>
      </c>
      <c r="N402" s="9" t="s">
        <v>38</v>
      </c>
      <c r="O402" s="8" t="s">
        <v>366</v>
      </c>
      <c r="P402" s="8"/>
    </row>
    <row r="403" spans="1:16" x14ac:dyDescent="0.25">
      <c r="A403" t="s">
        <v>291</v>
      </c>
      <c r="B403" s="10"/>
      <c r="C403" s="10"/>
      <c r="D403" s="9" t="s">
        <v>90</v>
      </c>
      <c r="E403" s="9"/>
      <c r="F403" s="10"/>
      <c r="G403" s="10"/>
      <c r="H403" s="10"/>
      <c r="I403" s="10"/>
      <c r="J403" s="10"/>
      <c r="K403" s="10"/>
      <c r="L403" t="s">
        <v>85</v>
      </c>
      <c r="M403" s="20">
        <v>100</v>
      </c>
      <c r="N403" s="9" t="s">
        <v>38</v>
      </c>
      <c r="O403" s="8" t="s">
        <v>366</v>
      </c>
      <c r="P403" s="8"/>
    </row>
    <row r="404" spans="1:16" x14ac:dyDescent="0.25">
      <c r="A404" t="s">
        <v>292</v>
      </c>
      <c r="B404" s="10"/>
      <c r="C404" s="10"/>
      <c r="D404" s="9" t="s">
        <v>91</v>
      </c>
      <c r="E404" s="9"/>
      <c r="F404" s="10"/>
      <c r="G404" s="10"/>
      <c r="H404" s="10"/>
      <c r="I404" s="10"/>
      <c r="J404" s="10"/>
      <c r="K404" s="10"/>
      <c r="L404" t="s">
        <v>85</v>
      </c>
      <c r="M404" s="20">
        <v>100</v>
      </c>
      <c r="N404" s="9" t="s">
        <v>38</v>
      </c>
      <c r="O404" s="8" t="s">
        <v>366</v>
      </c>
      <c r="P404" s="8"/>
    </row>
    <row r="405" spans="1:16" x14ac:dyDescent="0.25">
      <c r="A405" s="4" t="s">
        <v>11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/>
      <c r="M405" s="5"/>
      <c r="N405" s="5"/>
      <c r="O405" s="5"/>
      <c r="P405" s="5"/>
    </row>
    <row r="406" spans="1:16" x14ac:dyDescent="0.25">
      <c r="A406" s="17" t="s">
        <v>99</v>
      </c>
      <c r="B406" s="8"/>
      <c r="C406" s="8"/>
      <c r="D406" s="9" t="s">
        <v>105</v>
      </c>
      <c r="E406" s="9"/>
      <c r="F406" s="8"/>
      <c r="G406" s="8"/>
      <c r="H406" s="9"/>
      <c r="I406" s="8"/>
      <c r="J406" s="8"/>
      <c r="K406" s="8"/>
      <c r="L406" t="s">
        <v>85</v>
      </c>
      <c r="M406" s="11">
        <v>100</v>
      </c>
      <c r="N406" s="9" t="s">
        <v>38</v>
      </c>
      <c r="O406" s="10" t="s">
        <v>104</v>
      </c>
    </row>
    <row r="407" spans="1:16" x14ac:dyDescent="0.25">
      <c r="A407" s="17" t="s">
        <v>100</v>
      </c>
      <c r="B407" s="8"/>
      <c r="C407" s="8"/>
      <c r="D407" s="9" t="s">
        <v>105</v>
      </c>
      <c r="E407" s="9"/>
      <c r="F407" s="8"/>
      <c r="G407" s="8"/>
      <c r="H407" s="9"/>
      <c r="I407" s="8"/>
      <c r="J407" s="8"/>
      <c r="K407" s="8"/>
      <c r="L407" t="s">
        <v>85</v>
      </c>
      <c r="M407" s="9">
        <v>50</v>
      </c>
      <c r="N407" s="9" t="s">
        <v>38</v>
      </c>
      <c r="O407" s="8"/>
    </row>
    <row r="408" spans="1:16" x14ac:dyDescent="0.25">
      <c r="A408" s="17" t="s">
        <v>100</v>
      </c>
      <c r="B408" s="8"/>
      <c r="C408" s="8"/>
      <c r="D408" s="9" t="s">
        <v>105</v>
      </c>
      <c r="E408" s="9"/>
      <c r="F408" s="8"/>
      <c r="G408" s="8"/>
      <c r="H408" s="9" t="s">
        <v>116</v>
      </c>
      <c r="I408" s="8"/>
      <c r="J408" s="8"/>
      <c r="K408" s="8"/>
      <c r="L408" t="s">
        <v>86</v>
      </c>
      <c r="M408" s="9">
        <v>50</v>
      </c>
      <c r="N408" s="9" t="s">
        <v>38</v>
      </c>
      <c r="O408" s="8"/>
    </row>
    <row r="409" spans="1:16" x14ac:dyDescent="0.25">
      <c r="A409" s="17" t="s">
        <v>209</v>
      </c>
      <c r="B409" s="8"/>
      <c r="C409" s="8"/>
      <c r="D409" s="11" t="s">
        <v>106</v>
      </c>
      <c r="E409" s="11"/>
      <c r="F409" s="8"/>
      <c r="G409" s="8"/>
      <c r="H409" s="9"/>
      <c r="I409" s="8"/>
      <c r="J409" s="8"/>
      <c r="K409" s="8"/>
      <c r="L409" t="s">
        <v>85</v>
      </c>
      <c r="M409" s="18">
        <v>20</v>
      </c>
      <c r="N409" s="9" t="s">
        <v>38</v>
      </c>
      <c r="O409" s="10" t="s">
        <v>210</v>
      </c>
    </row>
    <row r="410" spans="1:16" x14ac:dyDescent="0.25">
      <c r="A410" s="17" t="s">
        <v>101</v>
      </c>
      <c r="B410" s="8"/>
      <c r="C410" s="8"/>
      <c r="D410" s="9" t="s">
        <v>106</v>
      </c>
      <c r="E410" s="9"/>
      <c r="F410" s="8"/>
      <c r="G410" s="8"/>
      <c r="H410" s="9"/>
      <c r="I410" s="8"/>
      <c r="J410" s="8"/>
      <c r="K410" s="8"/>
      <c r="L410" t="s">
        <v>85</v>
      </c>
      <c r="M410" s="18">
        <v>19</v>
      </c>
      <c r="N410" s="9" t="s">
        <v>38</v>
      </c>
      <c r="O410" s="19"/>
    </row>
    <row r="411" spans="1:16" x14ac:dyDescent="0.25">
      <c r="A411" s="17" t="s">
        <v>101</v>
      </c>
      <c r="B411" s="8"/>
      <c r="C411" s="8"/>
      <c r="D411" s="9" t="s">
        <v>106</v>
      </c>
      <c r="E411" s="9"/>
      <c r="F411" s="8"/>
      <c r="G411" s="8"/>
      <c r="H411" t="s">
        <v>191</v>
      </c>
      <c r="I411" s="8"/>
      <c r="J411" s="8"/>
      <c r="K411" s="8"/>
      <c r="L411" t="s">
        <v>86</v>
      </c>
      <c r="M411" s="28">
        <f>0.02*0.5*100/(844/1000)/0.9</f>
        <v>1.3164823591363877</v>
      </c>
      <c r="N411" s="9" t="s">
        <v>38</v>
      </c>
      <c r="O411" s="19" t="s">
        <v>192</v>
      </c>
      <c r="P411" s="9" t="s">
        <v>193</v>
      </c>
    </row>
    <row r="412" spans="1:16" x14ac:dyDescent="0.25">
      <c r="A412" s="4" t="s">
        <v>12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/>
      <c r="M412" s="5"/>
      <c r="N412" s="5"/>
      <c r="O412" s="5"/>
      <c r="P412" s="5"/>
    </row>
    <row r="413" spans="1:16" x14ac:dyDescent="0.25">
      <c r="A413" s="17" t="s">
        <v>135</v>
      </c>
      <c r="D413" s="9" t="s">
        <v>136</v>
      </c>
      <c r="E413" s="9"/>
      <c r="L413" t="s">
        <v>85</v>
      </c>
      <c r="M413" s="18">
        <v>100</v>
      </c>
      <c r="N413" s="17" t="s">
        <v>38</v>
      </c>
    </row>
    <row r="414" spans="1:16" s="17" customFormat="1" x14ac:dyDescent="0.25">
      <c r="A414" s="17" t="s">
        <v>381</v>
      </c>
      <c r="D414" s="18" t="s">
        <v>432</v>
      </c>
      <c r="E414" s="18"/>
      <c r="L414" s="17" t="s">
        <v>85</v>
      </c>
      <c r="M414" s="18">
        <v>100</v>
      </c>
      <c r="N414" s="17" t="s">
        <v>38</v>
      </c>
    </row>
    <row r="415" spans="1:16" x14ac:dyDescent="0.25">
      <c r="A415" s="17" t="s">
        <v>141</v>
      </c>
      <c r="D415" s="9" t="s">
        <v>147</v>
      </c>
      <c r="E415" s="9"/>
      <c r="L415" t="s">
        <v>85</v>
      </c>
      <c r="M415" s="18">
        <v>100</v>
      </c>
      <c r="N415" s="17" t="s">
        <v>38</v>
      </c>
    </row>
    <row r="416" spans="1:16" x14ac:dyDescent="0.25">
      <c r="A416" s="17" t="s">
        <v>137</v>
      </c>
      <c r="D416" s="9" t="s">
        <v>143</v>
      </c>
      <c r="E416" s="9"/>
      <c r="L416" t="s">
        <v>85</v>
      </c>
      <c r="M416" s="18">
        <v>100</v>
      </c>
      <c r="N416" s="17" t="s">
        <v>38</v>
      </c>
    </row>
    <row r="417" spans="1:16" x14ac:dyDescent="0.25">
      <c r="A417" s="17" t="s">
        <v>138</v>
      </c>
      <c r="D417" s="9" t="s">
        <v>144</v>
      </c>
      <c r="E417" s="9"/>
      <c r="L417" t="s">
        <v>85</v>
      </c>
      <c r="M417" s="18">
        <v>100</v>
      </c>
      <c r="N417" s="17" t="s">
        <v>38</v>
      </c>
    </row>
    <row r="418" spans="1:16" x14ac:dyDescent="0.25">
      <c r="A418" s="17" t="s">
        <v>139</v>
      </c>
      <c r="D418" s="9" t="s">
        <v>145</v>
      </c>
      <c r="E418" s="9"/>
      <c r="L418" t="s">
        <v>85</v>
      </c>
      <c r="M418" s="18">
        <v>100</v>
      </c>
      <c r="N418" s="17" t="s">
        <v>38</v>
      </c>
    </row>
    <row r="419" spans="1:16" x14ac:dyDescent="0.25">
      <c r="A419" s="17" t="s">
        <v>140</v>
      </c>
      <c r="D419" s="9" t="s">
        <v>142</v>
      </c>
      <c r="E419" s="9"/>
      <c r="L419" t="s">
        <v>85</v>
      </c>
      <c r="M419" s="18">
        <v>100</v>
      </c>
      <c r="N419" s="17" t="s">
        <v>38</v>
      </c>
    </row>
    <row r="420" spans="1:16" x14ac:dyDescent="0.25">
      <c r="A420" s="17" t="s">
        <v>107</v>
      </c>
      <c r="B420" s="8"/>
      <c r="C420" s="8"/>
      <c r="D420" s="9" t="s">
        <v>109</v>
      </c>
      <c r="E420" s="9"/>
      <c r="F420" s="8"/>
      <c r="G420" s="8"/>
      <c r="H420" s="9"/>
      <c r="I420" s="8"/>
      <c r="J420" s="8"/>
      <c r="K420" s="8"/>
      <c r="L420" t="s">
        <v>85</v>
      </c>
      <c r="M420" s="18">
        <v>100</v>
      </c>
      <c r="N420" s="17" t="s">
        <v>38</v>
      </c>
      <c r="O420" s="10"/>
    </row>
    <row r="421" spans="1:16" x14ac:dyDescent="0.25">
      <c r="A421" s="17" t="s">
        <v>110</v>
      </c>
      <c r="B421" s="8"/>
      <c r="C421" s="8"/>
      <c r="D421" s="9" t="s">
        <v>111</v>
      </c>
      <c r="E421" s="9"/>
      <c r="F421" s="8"/>
      <c r="G421" s="8"/>
      <c r="H421" s="9"/>
      <c r="I421" s="8"/>
      <c r="J421" s="8"/>
      <c r="K421" s="8"/>
      <c r="L421" t="s">
        <v>85</v>
      </c>
      <c r="M421" s="18">
        <v>100</v>
      </c>
      <c r="N421" s="17" t="s">
        <v>38</v>
      </c>
      <c r="O421" s="10"/>
    </row>
    <row r="422" spans="1:16" x14ac:dyDescent="0.25">
      <c r="A422" s="17" t="s">
        <v>148</v>
      </c>
      <c r="B422" s="8"/>
      <c r="C422" s="8"/>
      <c r="D422" s="9" t="s">
        <v>146</v>
      </c>
      <c r="E422" s="9"/>
      <c r="F422" s="8"/>
      <c r="G422" s="8"/>
      <c r="H422" s="9"/>
      <c r="I422" s="8"/>
      <c r="J422" s="8"/>
      <c r="K422" s="8"/>
      <c r="L422" t="s">
        <v>85</v>
      </c>
      <c r="M422" s="18">
        <v>100</v>
      </c>
      <c r="N422" s="17" t="s">
        <v>38</v>
      </c>
      <c r="O422" s="10"/>
    </row>
    <row r="423" spans="1:16" x14ac:dyDescent="0.25">
      <c r="A423" s="4" t="s">
        <v>13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/>
      <c r="M423" s="5"/>
      <c r="N423" s="5"/>
      <c r="O423" s="5"/>
      <c r="P423" s="5"/>
    </row>
    <row r="424" spans="1:16" x14ac:dyDescent="0.25">
      <c r="A424" s="17" t="s">
        <v>241</v>
      </c>
      <c r="D424" s="9" t="s">
        <v>238</v>
      </c>
      <c r="E424" s="9"/>
      <c r="L424" t="s">
        <v>85</v>
      </c>
      <c r="M424" s="17">
        <v>100</v>
      </c>
      <c r="N424" s="17" t="s">
        <v>38</v>
      </c>
    </row>
    <row r="425" spans="1:16" x14ac:dyDescent="0.25">
      <c r="A425" s="17" t="s">
        <v>242</v>
      </c>
      <c r="D425" s="9" t="s">
        <v>238</v>
      </c>
      <c r="E425" s="9"/>
      <c r="L425" t="s">
        <v>85</v>
      </c>
      <c r="M425" s="17">
        <v>65</v>
      </c>
      <c r="N425" s="17" t="s">
        <v>38</v>
      </c>
      <c r="P425" t="s">
        <v>92</v>
      </c>
    </row>
    <row r="426" spans="1:16" x14ac:dyDescent="0.25">
      <c r="A426" s="17" t="s">
        <v>242</v>
      </c>
      <c r="D426" s="9" t="s">
        <v>238</v>
      </c>
      <c r="E426" s="9"/>
      <c r="H426" s="19" t="s">
        <v>239</v>
      </c>
      <c r="L426" t="s">
        <v>86</v>
      </c>
      <c r="M426" s="17">
        <v>35</v>
      </c>
      <c r="N426" s="17" t="s">
        <v>38</v>
      </c>
      <c r="P426" t="s">
        <v>92</v>
      </c>
    </row>
    <row r="427" spans="1:16" x14ac:dyDescent="0.25">
      <c r="A427" s="17" t="s">
        <v>243</v>
      </c>
      <c r="D427" s="9" t="s">
        <v>238</v>
      </c>
      <c r="E427" s="9"/>
      <c r="L427" t="s">
        <v>85</v>
      </c>
      <c r="M427" s="17">
        <v>22</v>
      </c>
      <c r="N427" s="17" t="s">
        <v>38</v>
      </c>
      <c r="P427" t="s">
        <v>92</v>
      </c>
    </row>
    <row r="428" spans="1:16" x14ac:dyDescent="0.25">
      <c r="A428" s="17" t="s">
        <v>243</v>
      </c>
      <c r="D428" s="9" t="s">
        <v>238</v>
      </c>
      <c r="E428" s="9"/>
      <c r="H428" s="19" t="s">
        <v>239</v>
      </c>
      <c r="L428" t="s">
        <v>86</v>
      </c>
      <c r="M428" s="17">
        <v>35</v>
      </c>
      <c r="N428" s="17" t="s">
        <v>38</v>
      </c>
      <c r="P428" t="s">
        <v>92</v>
      </c>
    </row>
    <row r="429" spans="1:16" x14ac:dyDescent="0.25">
      <c r="A429" s="17" t="s">
        <v>245</v>
      </c>
      <c r="D429" s="9" t="s">
        <v>247</v>
      </c>
      <c r="E429" s="9"/>
      <c r="L429" t="s">
        <v>85</v>
      </c>
      <c r="M429" s="17">
        <v>100</v>
      </c>
      <c r="N429" s="17" t="s">
        <v>38</v>
      </c>
    </row>
    <row r="430" spans="1:16" x14ac:dyDescent="0.25">
      <c r="A430" s="17" t="s">
        <v>254</v>
      </c>
      <c r="D430" s="9" t="s">
        <v>259</v>
      </c>
      <c r="E430" s="9"/>
      <c r="L430" t="s">
        <v>85</v>
      </c>
      <c r="M430" s="17">
        <v>100</v>
      </c>
      <c r="N430" s="17" t="s">
        <v>38</v>
      </c>
    </row>
    <row r="431" spans="1:16" x14ac:dyDescent="0.25">
      <c r="A431" s="17" t="s">
        <v>255</v>
      </c>
      <c r="D431" s="9" t="s">
        <v>260</v>
      </c>
      <c r="E431" s="9"/>
      <c r="L431" t="s">
        <v>85</v>
      </c>
      <c r="M431" s="17">
        <v>100</v>
      </c>
      <c r="N431" s="17" t="s">
        <v>38</v>
      </c>
    </row>
    <row r="432" spans="1:16" x14ac:dyDescent="0.25">
      <c r="A432" s="17" t="s">
        <v>261</v>
      </c>
      <c r="D432" s="9" t="s">
        <v>262</v>
      </c>
      <c r="E432" s="9"/>
      <c r="L432" t="s">
        <v>85</v>
      </c>
      <c r="M432" s="17">
        <v>100</v>
      </c>
      <c r="N432" s="17" t="s">
        <v>38</v>
      </c>
    </row>
    <row r="433" spans="1:16" x14ac:dyDescent="0.25">
      <c r="A433" s="17" t="s">
        <v>256</v>
      </c>
      <c r="D433" s="9" t="s">
        <v>263</v>
      </c>
      <c r="E433" s="9"/>
      <c r="L433" t="s">
        <v>85</v>
      </c>
      <c r="M433" s="17">
        <v>100</v>
      </c>
      <c r="N433" s="17" t="s">
        <v>38</v>
      </c>
    </row>
    <row r="434" spans="1:16" x14ac:dyDescent="0.25">
      <c r="A434" s="4" t="s">
        <v>14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/>
      <c r="M434" s="5"/>
      <c r="N434" s="5"/>
      <c r="O434" s="5"/>
      <c r="P434" s="5"/>
    </row>
    <row r="435" spans="1:16" x14ac:dyDescent="0.25">
      <c r="A435" s="10" t="s">
        <v>62</v>
      </c>
      <c r="B435" s="10"/>
      <c r="C435" s="10"/>
      <c r="D435" s="10"/>
      <c r="E435" s="10"/>
      <c r="F435" s="10" t="s">
        <v>79</v>
      </c>
      <c r="G435" s="10" t="s">
        <v>59</v>
      </c>
      <c r="H435" s="10"/>
      <c r="I435" s="10"/>
      <c r="J435" s="10"/>
      <c r="K435" s="10"/>
      <c r="L435" t="s">
        <v>85</v>
      </c>
      <c r="M435" s="12">
        <f>100-M436</f>
        <v>90.75</v>
      </c>
      <c r="N435" s="10" t="s">
        <v>38</v>
      </c>
      <c r="O435" t="s">
        <v>71</v>
      </c>
      <c r="P435" s="8" t="s">
        <v>93</v>
      </c>
    </row>
    <row r="436" spans="1:16" x14ac:dyDescent="0.25">
      <c r="A436" s="10" t="s">
        <v>62</v>
      </c>
      <c r="B436" s="10"/>
      <c r="C436" s="10"/>
      <c r="D436" s="10"/>
      <c r="E436" s="10"/>
      <c r="F436" s="10" t="s">
        <v>79</v>
      </c>
      <c r="G436" s="10" t="s">
        <v>59</v>
      </c>
      <c r="H436" s="10" t="s">
        <v>60</v>
      </c>
      <c r="I436" s="10"/>
      <c r="J436" s="10"/>
      <c r="K436" s="10"/>
      <c r="L436" t="s">
        <v>86</v>
      </c>
      <c r="M436" s="12">
        <f>(0.042-0.005)/0.4*100</f>
        <v>9.2500000000000018</v>
      </c>
      <c r="N436" s="10" t="s">
        <v>38</v>
      </c>
      <c r="P436" s="8" t="s">
        <v>93</v>
      </c>
    </row>
    <row r="437" spans="1:16" x14ac:dyDescent="0.25">
      <c r="A437" s="10" t="s">
        <v>61</v>
      </c>
      <c r="B437" s="10"/>
      <c r="C437" s="10"/>
      <c r="D437" s="10"/>
      <c r="E437" s="10"/>
      <c r="F437" s="10" t="s">
        <v>79</v>
      </c>
      <c r="G437" s="10" t="s">
        <v>59</v>
      </c>
      <c r="H437" s="10"/>
      <c r="I437" s="10"/>
      <c r="J437" s="10"/>
      <c r="K437" s="10"/>
      <c r="L437" t="s">
        <v>85</v>
      </c>
      <c r="M437" s="12">
        <f>100-M438</f>
        <v>93.25</v>
      </c>
      <c r="N437" s="10" t="s">
        <v>38</v>
      </c>
      <c r="O437" t="s">
        <v>72</v>
      </c>
      <c r="P437" s="8" t="s">
        <v>93</v>
      </c>
    </row>
    <row r="438" spans="1:16" x14ac:dyDescent="0.25">
      <c r="A438" s="10" t="s">
        <v>61</v>
      </c>
      <c r="B438" s="10"/>
      <c r="C438" s="10"/>
      <c r="D438" s="10"/>
      <c r="E438" s="10"/>
      <c r="F438" s="10" t="s">
        <v>79</v>
      </c>
      <c r="G438" s="10" t="s">
        <v>59</v>
      </c>
      <c r="H438" s="10" t="s">
        <v>60</v>
      </c>
      <c r="I438" s="10"/>
      <c r="J438" s="10"/>
      <c r="K438" s="10"/>
      <c r="L438" t="s">
        <v>86</v>
      </c>
      <c r="M438" s="12">
        <f>(0.042-0.015)/0.4*100</f>
        <v>6.75</v>
      </c>
      <c r="N438" s="10" t="s">
        <v>38</v>
      </c>
      <c r="P438" s="8" t="s">
        <v>93</v>
      </c>
    </row>
    <row r="439" spans="1:16" x14ac:dyDescent="0.25">
      <c r="A439" s="10" t="s">
        <v>63</v>
      </c>
      <c r="B439" s="10"/>
      <c r="C439" s="10"/>
      <c r="D439" s="10"/>
      <c r="E439" s="10"/>
      <c r="F439" s="10" t="s">
        <v>79</v>
      </c>
      <c r="G439" s="10" t="s">
        <v>59</v>
      </c>
      <c r="H439" s="10"/>
      <c r="I439" s="10"/>
      <c r="J439" s="10"/>
      <c r="K439" s="10"/>
      <c r="L439" t="s">
        <v>85</v>
      </c>
      <c r="M439" s="12">
        <f>100-M440</f>
        <v>97</v>
      </c>
      <c r="N439" s="10" t="s">
        <v>38</v>
      </c>
      <c r="O439" t="s">
        <v>73</v>
      </c>
      <c r="P439" s="8" t="s">
        <v>93</v>
      </c>
    </row>
    <row r="440" spans="1:16" x14ac:dyDescent="0.25">
      <c r="A440" s="10" t="s">
        <v>63</v>
      </c>
      <c r="B440" s="10"/>
      <c r="C440" s="10"/>
      <c r="D440" s="10"/>
      <c r="E440" s="10"/>
      <c r="F440" s="10" t="s">
        <v>79</v>
      </c>
      <c r="G440" s="10" t="s">
        <v>59</v>
      </c>
      <c r="H440" s="10" t="s">
        <v>60</v>
      </c>
      <c r="I440" s="10"/>
      <c r="J440" s="10"/>
      <c r="K440" s="10"/>
      <c r="L440" t="s">
        <v>86</v>
      </c>
      <c r="M440" s="12">
        <f>(0.042-0.03)/0.4*100</f>
        <v>3.0000000000000009</v>
      </c>
      <c r="N440" s="10" t="s">
        <v>38</v>
      </c>
      <c r="P440" s="8" t="s">
        <v>93</v>
      </c>
    </row>
    <row r="441" spans="1:16" x14ac:dyDescent="0.25">
      <c r="A441" s="10" t="s">
        <v>64</v>
      </c>
      <c r="B441" s="10"/>
      <c r="C441" s="10"/>
      <c r="D441" s="10"/>
      <c r="E441" s="10"/>
      <c r="F441" s="10" t="s">
        <v>79</v>
      </c>
      <c r="G441" s="10" t="s">
        <v>59</v>
      </c>
      <c r="H441" s="10"/>
      <c r="I441" s="10"/>
      <c r="J441" s="10"/>
      <c r="K441" s="10"/>
      <c r="L441" t="s">
        <v>85</v>
      </c>
      <c r="M441" s="12">
        <f>(100-M442)*0.1</f>
        <v>9.7000000000000011</v>
      </c>
      <c r="N441" s="10" t="s">
        <v>38</v>
      </c>
      <c r="O441" t="s">
        <v>80</v>
      </c>
      <c r="P441" s="8" t="s">
        <v>93</v>
      </c>
    </row>
    <row r="442" spans="1:16" x14ac:dyDescent="0.25">
      <c r="A442" s="10" t="s">
        <v>64</v>
      </c>
      <c r="B442" s="10"/>
      <c r="C442" s="10"/>
      <c r="D442" s="10"/>
      <c r="E442" s="10"/>
      <c r="F442" s="10" t="s">
        <v>79</v>
      </c>
      <c r="G442" s="10" t="s">
        <v>59</v>
      </c>
      <c r="H442" s="10" t="s">
        <v>60</v>
      </c>
      <c r="I442" s="10"/>
      <c r="J442" s="10"/>
      <c r="K442" s="10"/>
      <c r="L442" t="s">
        <v>86</v>
      </c>
      <c r="M442" s="12">
        <f>(0.042-0.03)/0.4*100</f>
        <v>3.0000000000000009</v>
      </c>
      <c r="N442" s="10" t="s">
        <v>38</v>
      </c>
      <c r="P442" s="8" t="s">
        <v>93</v>
      </c>
    </row>
    <row r="443" spans="1:16" x14ac:dyDescent="0.25">
      <c r="A443" s="10" t="s">
        <v>64</v>
      </c>
      <c r="B443" s="10"/>
      <c r="C443" s="10"/>
      <c r="D443" s="10"/>
      <c r="E443" s="10"/>
      <c r="F443" s="10" t="s">
        <v>79</v>
      </c>
      <c r="G443" s="10" t="s">
        <v>59</v>
      </c>
      <c r="H443" s="10" t="s">
        <v>70</v>
      </c>
      <c r="I443" s="10"/>
      <c r="J443" s="10"/>
      <c r="K443" s="10"/>
      <c r="L443" t="s">
        <v>86</v>
      </c>
      <c r="M443" s="12">
        <f>(100-M442)*0.9</f>
        <v>87.3</v>
      </c>
      <c r="N443" s="10" t="s">
        <v>38</v>
      </c>
      <c r="P443" s="8" t="s">
        <v>93</v>
      </c>
    </row>
    <row r="444" spans="1:16" x14ac:dyDescent="0.25">
      <c r="A444" s="10" t="s">
        <v>68</v>
      </c>
      <c r="B444" s="10"/>
      <c r="C444" s="10"/>
      <c r="D444" s="10"/>
      <c r="E444" s="10"/>
      <c r="F444" s="10" t="s">
        <v>79</v>
      </c>
      <c r="G444" s="10" t="s">
        <v>60</v>
      </c>
      <c r="H444" s="10"/>
      <c r="I444" s="10"/>
      <c r="J444" s="10"/>
      <c r="K444" s="10"/>
      <c r="L444" t="s">
        <v>85</v>
      </c>
      <c r="M444" s="10">
        <f>1/(0.1/0.4)*100</f>
        <v>400</v>
      </c>
      <c r="N444" s="10" t="s">
        <v>38</v>
      </c>
      <c r="O444" t="s">
        <v>78</v>
      </c>
      <c r="P444" s="8" t="s">
        <v>93</v>
      </c>
    </row>
    <row r="445" spans="1:16" x14ac:dyDescent="0.25">
      <c r="A445" s="11" t="s">
        <v>69</v>
      </c>
      <c r="B445" s="10"/>
      <c r="C445" s="10"/>
      <c r="D445" s="10"/>
      <c r="E445" s="10"/>
      <c r="F445" s="10" t="s">
        <v>79</v>
      </c>
      <c r="G445" s="10" t="s">
        <v>60</v>
      </c>
      <c r="H445" s="10"/>
      <c r="I445" s="10"/>
      <c r="J445" s="10"/>
      <c r="K445" s="10"/>
      <c r="L445" t="s">
        <v>85</v>
      </c>
      <c r="M445" s="12">
        <f>1/(0.12/0.4)*100</f>
        <v>333.33333333333337</v>
      </c>
      <c r="N445" s="10" t="s">
        <v>38</v>
      </c>
      <c r="O445" t="s">
        <v>74</v>
      </c>
      <c r="P445" s="8" t="s">
        <v>93</v>
      </c>
    </row>
    <row r="446" spans="1:16" x14ac:dyDescent="0.25">
      <c r="A446" s="10" t="s">
        <v>66</v>
      </c>
      <c r="B446" s="10"/>
      <c r="C446" s="10"/>
      <c r="D446" s="10"/>
      <c r="E446" s="10"/>
      <c r="F446" s="10" t="s">
        <v>79</v>
      </c>
      <c r="G446" s="10" t="s">
        <v>60</v>
      </c>
      <c r="H446" s="10"/>
      <c r="I446" s="10"/>
      <c r="J446" s="10"/>
      <c r="K446" s="10"/>
      <c r="L446" t="s">
        <v>85</v>
      </c>
      <c r="M446" s="12">
        <f>1/(0.13/0.4)*100</f>
        <v>307.69230769230768</v>
      </c>
      <c r="N446" s="10" t="s">
        <v>38</v>
      </c>
      <c r="O446" t="s">
        <v>75</v>
      </c>
      <c r="P446" s="8" t="s">
        <v>93</v>
      </c>
    </row>
    <row r="447" spans="1:16" x14ac:dyDescent="0.25">
      <c r="A447" s="10" t="s">
        <v>67</v>
      </c>
      <c r="B447" s="10"/>
      <c r="C447" s="10"/>
      <c r="D447" s="10"/>
      <c r="E447" s="10"/>
      <c r="F447" s="10" t="s">
        <v>79</v>
      </c>
      <c r="G447" s="10" t="s">
        <v>60</v>
      </c>
      <c r="H447" s="10"/>
      <c r="I447" s="10"/>
      <c r="J447" s="10"/>
      <c r="K447" s="10"/>
      <c r="L447" t="s">
        <v>85</v>
      </c>
      <c r="M447" s="10">
        <f>1/(0.4/0.4)*100</f>
        <v>100</v>
      </c>
      <c r="N447" s="10" t="s">
        <v>38</v>
      </c>
      <c r="O447" t="s">
        <v>76</v>
      </c>
      <c r="P447" s="8" t="s">
        <v>93</v>
      </c>
    </row>
    <row r="448" spans="1:16" x14ac:dyDescent="0.25">
      <c r="A448" s="10" t="s">
        <v>65</v>
      </c>
      <c r="B448" s="10"/>
      <c r="C448" s="10"/>
      <c r="D448" s="10"/>
      <c r="E448" s="10"/>
      <c r="F448" s="10" t="s">
        <v>79</v>
      </c>
      <c r="G448" s="10" t="s">
        <v>60</v>
      </c>
      <c r="H448" s="10"/>
      <c r="I448" s="10"/>
      <c r="J448" s="10"/>
      <c r="K448" s="10"/>
      <c r="L448" t="s">
        <v>85</v>
      </c>
      <c r="M448" s="12">
        <f>1/((0.4-0.8)/(0.01-0.4)+1)*100</f>
        <v>49.367088607594937</v>
      </c>
      <c r="N448" s="10" t="s">
        <v>38</v>
      </c>
      <c r="O448" t="s">
        <v>77</v>
      </c>
      <c r="P448" s="8" t="s">
        <v>93</v>
      </c>
    </row>
    <row r="449" spans="1:16" x14ac:dyDescent="0.25">
      <c r="A449" s="10" t="s">
        <v>65</v>
      </c>
      <c r="B449" s="8"/>
      <c r="C449" s="8"/>
      <c r="D449" s="8"/>
      <c r="E449" s="8"/>
      <c r="F449" s="10" t="s">
        <v>79</v>
      </c>
      <c r="G449" s="10" t="s">
        <v>60</v>
      </c>
      <c r="H449" s="10" t="s">
        <v>82</v>
      </c>
      <c r="I449" s="8"/>
      <c r="J449" s="8"/>
      <c r="K449" s="8"/>
      <c r="L449" t="s">
        <v>86</v>
      </c>
      <c r="M449" s="14">
        <f>1/((0.01-0.4)/(0.4-0.8)+1)*100</f>
        <v>50.632911392405056</v>
      </c>
      <c r="N449" s="10" t="s">
        <v>38</v>
      </c>
      <c r="O449" s="8" t="s">
        <v>83</v>
      </c>
      <c r="P449" s="8" t="s">
        <v>93</v>
      </c>
    </row>
    <row r="450" spans="1:16" x14ac:dyDescent="0.25">
      <c r="A450" s="10" t="s">
        <v>433</v>
      </c>
      <c r="B450" s="8"/>
      <c r="C450" s="8"/>
      <c r="D450" s="8"/>
      <c r="E450" s="8"/>
      <c r="F450" s="10"/>
      <c r="G450" s="10"/>
      <c r="H450" s="10"/>
      <c r="I450" s="8"/>
      <c r="J450" s="8"/>
      <c r="K450" s="8"/>
      <c r="M450" s="14"/>
      <c r="N450" s="10"/>
      <c r="O450" s="8"/>
      <c r="P450" s="8"/>
    </row>
    <row r="451" spans="1:16" x14ac:dyDescent="0.25">
      <c r="A451" s="4" t="s">
        <v>23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/>
      <c r="M451" s="5"/>
      <c r="N451" s="5"/>
      <c r="O451" s="5"/>
      <c r="P451" s="5"/>
    </row>
    <row r="452" spans="1:16" x14ac:dyDescent="0.25">
      <c r="A452" s="8" t="s">
        <v>54</v>
      </c>
      <c r="B452" s="8"/>
      <c r="C452" s="8"/>
      <c r="D452" s="8"/>
      <c r="E452" s="8"/>
      <c r="F452" s="8" t="s">
        <v>57</v>
      </c>
      <c r="G452" s="8" t="s">
        <v>55</v>
      </c>
      <c r="H452" s="8"/>
      <c r="I452" s="8"/>
      <c r="J452" s="8"/>
      <c r="K452" s="8"/>
      <c r="L452" t="s">
        <v>85</v>
      </c>
      <c r="M452" s="11">
        <v>73.5</v>
      </c>
      <c r="N452" s="8" t="s">
        <v>38</v>
      </c>
      <c r="O452" s="46" t="s">
        <v>367</v>
      </c>
      <c r="P452" s="8" t="s">
        <v>92</v>
      </c>
    </row>
    <row r="453" spans="1:16" x14ac:dyDescent="0.25">
      <c r="A453" s="8" t="s">
        <v>54</v>
      </c>
      <c r="B453" s="8"/>
      <c r="C453" s="8"/>
      <c r="D453" s="8"/>
      <c r="E453" s="8"/>
      <c r="F453" s="8" t="s">
        <v>57</v>
      </c>
      <c r="G453" s="8" t="s">
        <v>55</v>
      </c>
      <c r="H453" s="8" t="s">
        <v>117</v>
      </c>
      <c r="I453" s="8"/>
      <c r="J453" s="8"/>
      <c r="K453" s="8"/>
      <c r="L453" t="s">
        <v>86</v>
      </c>
      <c r="M453" s="16">
        <f>(1/0.76)*4</f>
        <v>5.2631578947368425</v>
      </c>
      <c r="N453" s="8" t="s">
        <v>38</v>
      </c>
      <c r="O453" s="9" t="s">
        <v>96</v>
      </c>
      <c r="P453" s="8" t="s">
        <v>92</v>
      </c>
    </row>
    <row r="454" spans="1:16" x14ac:dyDescent="0.25">
      <c r="A454" s="8" t="s">
        <v>54</v>
      </c>
      <c r="B454" s="8"/>
      <c r="C454" s="8"/>
      <c r="D454" s="8"/>
      <c r="E454" s="8"/>
      <c r="F454" s="8" t="s">
        <v>57</v>
      </c>
      <c r="G454" s="8" t="s">
        <v>55</v>
      </c>
      <c r="H454" s="8" t="s">
        <v>118</v>
      </c>
      <c r="I454" s="8"/>
      <c r="J454" s="8"/>
      <c r="K454" s="8"/>
      <c r="L454" t="s">
        <v>86</v>
      </c>
      <c r="M454" s="16">
        <f>(1/0.76)*6</f>
        <v>7.8947368421052637</v>
      </c>
      <c r="N454" s="8" t="s">
        <v>38</v>
      </c>
      <c r="O454" s="9" t="s">
        <v>96</v>
      </c>
      <c r="P454" s="8" t="s">
        <v>92</v>
      </c>
    </row>
    <row r="455" spans="1:16" x14ac:dyDescent="0.25">
      <c r="A455" s="8" t="s">
        <v>54</v>
      </c>
      <c r="B455" s="8"/>
      <c r="C455" s="8"/>
      <c r="D455" s="8"/>
      <c r="E455" s="8"/>
      <c r="F455" s="8" t="s">
        <v>57</v>
      </c>
      <c r="G455" s="8" t="s">
        <v>55</v>
      </c>
      <c r="H455" s="8" t="s">
        <v>119</v>
      </c>
      <c r="I455" s="8"/>
      <c r="J455" s="8"/>
      <c r="K455" s="8"/>
      <c r="L455" t="s">
        <v>86</v>
      </c>
      <c r="M455" s="16">
        <f>(1/0.76)*5</f>
        <v>6.5789473684210531</v>
      </c>
      <c r="N455" s="8" t="s">
        <v>38</v>
      </c>
      <c r="O455" s="9" t="s">
        <v>96</v>
      </c>
      <c r="P455" s="8" t="s">
        <v>92</v>
      </c>
    </row>
    <row r="456" spans="1:16" x14ac:dyDescent="0.25">
      <c r="A456" s="8" t="s">
        <v>54</v>
      </c>
      <c r="B456" s="8"/>
      <c r="C456" s="8"/>
      <c r="D456" s="8"/>
      <c r="E456" s="8"/>
      <c r="F456" s="8" t="s">
        <v>57</v>
      </c>
      <c r="G456" s="8" t="s">
        <v>55</v>
      </c>
      <c r="H456" s="8" t="s">
        <v>120</v>
      </c>
      <c r="I456" s="8"/>
      <c r="J456" s="8"/>
      <c r="K456" s="8"/>
      <c r="L456" t="s">
        <v>86</v>
      </c>
      <c r="M456" s="9">
        <v>18</v>
      </c>
      <c r="N456" s="8" t="s">
        <v>38</v>
      </c>
      <c r="O456" s="8"/>
      <c r="P456" s="8" t="s">
        <v>92</v>
      </c>
    </row>
    <row r="457" spans="1:16" x14ac:dyDescent="0.25">
      <c r="A457" t="s">
        <v>95</v>
      </c>
      <c r="B457" s="8"/>
      <c r="C457" s="8"/>
      <c r="D457" s="8"/>
      <c r="E457" s="8"/>
      <c r="F457" s="9" t="s">
        <v>79</v>
      </c>
      <c r="G457" s="9" t="s">
        <v>55</v>
      </c>
      <c r="H457" s="8"/>
      <c r="I457" s="8"/>
      <c r="J457" s="8"/>
      <c r="K457" s="8"/>
      <c r="L457" t="s">
        <v>85</v>
      </c>
      <c r="M457" s="11">
        <v>77.7</v>
      </c>
      <c r="N457" s="9" t="s">
        <v>38</v>
      </c>
      <c r="O457" s="9" t="s">
        <v>368</v>
      </c>
      <c r="P457" s="8" t="s">
        <v>92</v>
      </c>
    </row>
    <row r="458" spans="1:16" x14ac:dyDescent="0.25">
      <c r="A458" t="s">
        <v>95</v>
      </c>
      <c r="B458" s="8"/>
      <c r="C458" s="8"/>
      <c r="D458" s="8"/>
      <c r="E458" s="8"/>
      <c r="F458" s="9" t="s">
        <v>79</v>
      </c>
      <c r="G458" s="9" t="s">
        <v>55</v>
      </c>
      <c r="H458" s="9" t="s">
        <v>121</v>
      </c>
      <c r="I458" s="8"/>
      <c r="J458" s="8"/>
      <c r="K458" s="8"/>
      <c r="L458" t="s">
        <v>86</v>
      </c>
      <c r="M458" s="16">
        <f>(1/0.52)*7</f>
        <v>13.46153846153846</v>
      </c>
      <c r="N458" s="9" t="s">
        <v>38</v>
      </c>
      <c r="O458" s="9" t="s">
        <v>97</v>
      </c>
      <c r="P458" s="8" t="s">
        <v>92</v>
      </c>
    </row>
    <row r="459" spans="1:16" x14ac:dyDescent="0.25">
      <c r="A459" t="s">
        <v>95</v>
      </c>
      <c r="B459" s="8"/>
      <c r="C459" s="8"/>
      <c r="D459" s="8"/>
      <c r="E459" s="8"/>
      <c r="F459" s="9" t="s">
        <v>79</v>
      </c>
      <c r="G459" s="9" t="s">
        <v>55</v>
      </c>
      <c r="H459" s="8" t="s">
        <v>122</v>
      </c>
      <c r="I459" s="8"/>
      <c r="J459" s="8"/>
      <c r="K459" s="8"/>
      <c r="L459" t="s">
        <v>86</v>
      </c>
      <c r="M459" s="16">
        <f>(1/0.52)*3</f>
        <v>5.7692307692307683</v>
      </c>
      <c r="N459" s="9" t="s">
        <v>38</v>
      </c>
      <c r="O459" s="9" t="s">
        <v>97</v>
      </c>
      <c r="P459" s="8" t="s">
        <v>92</v>
      </c>
    </row>
    <row r="460" spans="1:16" x14ac:dyDescent="0.25">
      <c r="A460" t="s">
        <v>95</v>
      </c>
      <c r="B460" s="8"/>
      <c r="C460" s="8"/>
      <c r="D460" s="8"/>
      <c r="E460" s="8"/>
      <c r="F460" s="9" t="s">
        <v>79</v>
      </c>
      <c r="G460" s="9" t="s">
        <v>55</v>
      </c>
      <c r="H460" s="9" t="s">
        <v>123</v>
      </c>
      <c r="I460" s="8"/>
      <c r="J460" s="8"/>
      <c r="K460" s="8"/>
      <c r="L460" t="s">
        <v>86</v>
      </c>
      <c r="M460" s="16">
        <f>(1/0.52)*6</f>
        <v>11.538461538461537</v>
      </c>
      <c r="N460" s="9" t="s">
        <v>38</v>
      </c>
      <c r="O460" s="9" t="s">
        <v>97</v>
      </c>
      <c r="P460" s="8" t="s">
        <v>92</v>
      </c>
    </row>
    <row r="461" spans="1:16" x14ac:dyDescent="0.25">
      <c r="A461" t="s">
        <v>95</v>
      </c>
      <c r="B461" s="8"/>
      <c r="C461" s="8"/>
      <c r="D461" s="8"/>
      <c r="E461" s="8"/>
      <c r="F461" s="9" t="s">
        <v>79</v>
      </c>
      <c r="G461" s="9" t="s">
        <v>55</v>
      </c>
      <c r="H461" s="8" t="s">
        <v>124</v>
      </c>
      <c r="I461" s="8"/>
      <c r="J461" s="8"/>
      <c r="K461" s="8"/>
      <c r="L461" t="s">
        <v>86</v>
      </c>
      <c r="M461" s="9">
        <v>12</v>
      </c>
      <c r="N461" s="9" t="s">
        <v>38</v>
      </c>
      <c r="O461" s="8"/>
      <c r="P461" s="8" t="s">
        <v>92</v>
      </c>
    </row>
    <row r="462" spans="1:16" x14ac:dyDescent="0.25">
      <c r="A462" t="s">
        <v>345</v>
      </c>
      <c r="B462" s="8"/>
      <c r="C462" s="8"/>
      <c r="D462" s="8"/>
      <c r="E462" s="8"/>
      <c r="F462" s="9" t="s">
        <v>348</v>
      </c>
      <c r="G462" s="9" t="s">
        <v>55</v>
      </c>
      <c r="H462" s="8"/>
      <c r="I462" s="8"/>
      <c r="J462" s="8"/>
      <c r="K462" s="8"/>
      <c r="L462" t="s">
        <v>85</v>
      </c>
      <c r="M462" s="11">
        <v>69</v>
      </c>
      <c r="N462" s="9" t="s">
        <v>38</v>
      </c>
      <c r="O462" s="9" t="s">
        <v>372</v>
      </c>
      <c r="P462" s="26" t="s">
        <v>349</v>
      </c>
    </row>
    <row r="463" spans="1:16" x14ac:dyDescent="0.25">
      <c r="A463" t="s">
        <v>345</v>
      </c>
      <c r="B463" s="8"/>
      <c r="C463" s="8"/>
      <c r="D463" s="8"/>
      <c r="E463" s="8"/>
      <c r="F463" s="9" t="s">
        <v>348</v>
      </c>
      <c r="G463" s="9" t="s">
        <v>55</v>
      </c>
      <c r="H463" s="26" t="s">
        <v>352</v>
      </c>
      <c r="I463" s="26"/>
      <c r="J463" s="26"/>
      <c r="K463" s="26"/>
      <c r="L463" t="s">
        <v>86</v>
      </c>
      <c r="M463" s="16">
        <f>(1/0.5)*8</f>
        <v>16</v>
      </c>
      <c r="N463" s="9" t="s">
        <v>38</v>
      </c>
      <c r="O463" s="9" t="s">
        <v>353</v>
      </c>
      <c r="P463" s="26" t="s">
        <v>349</v>
      </c>
    </row>
    <row r="464" spans="1:16" x14ac:dyDescent="0.25">
      <c r="A464" t="s">
        <v>345</v>
      </c>
      <c r="B464" s="8"/>
      <c r="C464" s="8"/>
      <c r="D464" s="8"/>
      <c r="E464" s="8"/>
      <c r="F464" s="9" t="s">
        <v>348</v>
      </c>
      <c r="G464" s="9" t="s">
        <v>55</v>
      </c>
      <c r="H464" s="26" t="s">
        <v>351</v>
      </c>
      <c r="I464" s="8"/>
      <c r="J464" s="8"/>
      <c r="K464" s="8"/>
      <c r="L464" t="s">
        <v>86</v>
      </c>
      <c r="M464" s="16">
        <f>(1/0.5)*3</f>
        <v>6</v>
      </c>
      <c r="N464" s="9" t="s">
        <v>38</v>
      </c>
      <c r="O464" s="9" t="s">
        <v>353</v>
      </c>
      <c r="P464" s="26" t="s">
        <v>349</v>
      </c>
    </row>
    <row r="465" spans="1:16" x14ac:dyDescent="0.25">
      <c r="A465" t="s">
        <v>345</v>
      </c>
      <c r="B465" s="8"/>
      <c r="C465" s="8"/>
      <c r="D465" s="8"/>
      <c r="E465" s="8"/>
      <c r="F465" s="9" t="s">
        <v>348</v>
      </c>
      <c r="G465" s="9" t="s">
        <v>55</v>
      </c>
      <c r="H465" s="26" t="s">
        <v>350</v>
      </c>
      <c r="I465" s="8"/>
      <c r="J465" s="8"/>
      <c r="K465" s="8"/>
      <c r="L465" t="s">
        <v>86</v>
      </c>
      <c r="M465" s="9">
        <f>(1/0.5)*8</f>
        <v>16</v>
      </c>
      <c r="N465" s="9" t="s">
        <v>38</v>
      </c>
      <c r="O465" s="9" t="s">
        <v>353</v>
      </c>
      <c r="P465" s="26" t="s">
        <v>349</v>
      </c>
    </row>
    <row r="466" spans="1:16" x14ac:dyDescent="0.25">
      <c r="A466" t="s">
        <v>267</v>
      </c>
      <c r="B466" s="8"/>
      <c r="C466" s="8"/>
      <c r="D466" s="8"/>
      <c r="E466" s="8"/>
      <c r="F466" s="9" t="s">
        <v>268</v>
      </c>
      <c r="G466" s="9" t="s">
        <v>55</v>
      </c>
      <c r="H466" s="8"/>
      <c r="I466" s="8"/>
      <c r="J466" s="8"/>
      <c r="K466" s="8"/>
      <c r="L466" t="s">
        <v>85</v>
      </c>
      <c r="M466" s="11">
        <v>90</v>
      </c>
      <c r="N466" s="9" t="s">
        <v>38</v>
      </c>
      <c r="O466" s="9" t="s">
        <v>370</v>
      </c>
      <c r="P466" s="47" t="s">
        <v>369</v>
      </c>
    </row>
    <row r="467" spans="1:16" x14ac:dyDescent="0.25">
      <c r="A467" s="6" t="s">
        <v>267</v>
      </c>
      <c r="B467" s="10"/>
      <c r="C467" s="10"/>
      <c r="D467" s="10"/>
      <c r="E467" s="10"/>
      <c r="F467" s="11" t="s">
        <v>268</v>
      </c>
      <c r="G467" s="11" t="s">
        <v>55</v>
      </c>
      <c r="H467" s="11" t="s">
        <v>269</v>
      </c>
      <c r="I467" s="8"/>
      <c r="J467" s="8"/>
      <c r="K467" s="8"/>
      <c r="M467" s="9"/>
      <c r="N467" s="9"/>
      <c r="O467" s="8"/>
      <c r="P467" s="8"/>
    </row>
    <row r="468" spans="1:16" x14ac:dyDescent="0.25">
      <c r="A468" s="4" t="s">
        <v>15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/>
      <c r="M468" s="5"/>
      <c r="N468" s="5"/>
      <c r="O468" s="5"/>
      <c r="P468" s="5"/>
    </row>
    <row r="469" spans="1:16" x14ac:dyDescent="0.25">
      <c r="A469" t="s">
        <v>15</v>
      </c>
      <c r="B469" s="8"/>
      <c r="C469" s="8"/>
      <c r="D469" s="8"/>
      <c r="E469" s="8"/>
      <c r="F469" s="9" t="s">
        <v>268</v>
      </c>
      <c r="G469" s="9" t="s">
        <v>324</v>
      </c>
      <c r="H469" s="8"/>
      <c r="I469" s="8"/>
      <c r="J469" s="8"/>
      <c r="K469" s="8"/>
      <c r="L469" t="s">
        <v>85</v>
      </c>
      <c r="M469" s="9">
        <v>100</v>
      </c>
      <c r="N469" s="9" t="s">
        <v>38</v>
      </c>
      <c r="O469" s="8"/>
      <c r="P469" s="8"/>
    </row>
    <row r="470" spans="1:16" x14ac:dyDescent="0.25">
      <c r="A470" s="6" t="s">
        <v>384</v>
      </c>
      <c r="B470" s="10"/>
      <c r="C470" s="10"/>
      <c r="D470" s="10"/>
      <c r="E470" s="10"/>
      <c r="F470" s="11" t="s">
        <v>268</v>
      </c>
      <c r="G470" s="11" t="s">
        <v>324</v>
      </c>
      <c r="H470" s="10"/>
      <c r="I470" s="10"/>
      <c r="J470" s="10"/>
      <c r="K470" s="10"/>
      <c r="L470" s="6" t="s">
        <v>85</v>
      </c>
      <c r="M470" s="11">
        <v>100</v>
      </c>
      <c r="N470" s="11" t="s">
        <v>38</v>
      </c>
      <c r="O470" s="8"/>
      <c r="P470" s="8"/>
    </row>
    <row r="471" spans="1:16" x14ac:dyDescent="0.25">
      <c r="A471" s="4" t="s">
        <v>20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/>
      <c r="M471" s="5"/>
      <c r="N471" s="5"/>
      <c r="O471" s="5"/>
      <c r="P471" s="5"/>
    </row>
    <row r="472" spans="1:16" x14ac:dyDescent="0.25">
      <c r="A472" t="s">
        <v>202</v>
      </c>
      <c r="D472" t="s">
        <v>211</v>
      </c>
      <c r="L472" t="s">
        <v>85</v>
      </c>
      <c r="M472">
        <v>100</v>
      </c>
      <c r="N472" t="s">
        <v>38</v>
      </c>
    </row>
    <row r="473" spans="1:16" x14ac:dyDescent="0.25">
      <c r="A473" s="26" t="s">
        <v>203</v>
      </c>
      <c r="D473" t="s">
        <v>212</v>
      </c>
      <c r="L473" t="s">
        <v>85</v>
      </c>
      <c r="M473">
        <v>100</v>
      </c>
      <c r="N473" t="s">
        <v>38</v>
      </c>
    </row>
    <row r="474" spans="1:16" x14ac:dyDescent="0.25">
      <c r="A474" s="26" t="s">
        <v>204</v>
      </c>
      <c r="D474" t="s">
        <v>213</v>
      </c>
      <c r="L474" t="s">
        <v>85</v>
      </c>
      <c r="M474">
        <v>100</v>
      </c>
      <c r="N474" t="s">
        <v>38</v>
      </c>
    </row>
    <row r="475" spans="1:16" x14ac:dyDescent="0.25">
      <c r="A475" s="6" t="s">
        <v>205</v>
      </c>
    </row>
    <row r="476" spans="1:16" s="17" customFormat="1" x14ac:dyDescent="0.25">
      <c r="A476" s="17" t="s">
        <v>206</v>
      </c>
      <c r="B476" s="19"/>
      <c r="C476" s="19"/>
      <c r="D476" s="19" t="s">
        <v>434</v>
      </c>
      <c r="E476" s="19"/>
      <c r="F476" s="18"/>
      <c r="G476" s="18"/>
      <c r="H476" s="19"/>
      <c r="I476" s="19"/>
      <c r="J476" s="19"/>
      <c r="K476" s="19"/>
      <c r="L476" s="17" t="s">
        <v>85</v>
      </c>
      <c r="M476" s="17">
        <v>100</v>
      </c>
      <c r="N476" s="17" t="s">
        <v>38</v>
      </c>
      <c r="O476" s="19"/>
      <c r="P476" s="19"/>
    </row>
    <row r="477" spans="1:16" s="17" customFormat="1" x14ac:dyDescent="0.25">
      <c r="A477" s="17" t="s">
        <v>386</v>
      </c>
      <c r="B477" s="19"/>
      <c r="C477" s="19"/>
      <c r="D477" s="19" t="s">
        <v>435</v>
      </c>
      <c r="E477" s="19"/>
      <c r="F477" s="18"/>
      <c r="G477" s="18"/>
      <c r="H477" s="19"/>
      <c r="I477" s="19"/>
      <c r="J477" s="19"/>
      <c r="K477" s="19"/>
      <c r="L477" s="17" t="s">
        <v>85</v>
      </c>
      <c r="M477" s="17">
        <v>100</v>
      </c>
      <c r="N477" s="17" t="s">
        <v>38</v>
      </c>
      <c r="O477" s="19"/>
      <c r="P477" s="19"/>
    </row>
    <row r="478" spans="1:16" s="17" customFormat="1" x14ac:dyDescent="0.25">
      <c r="A478" s="17" t="s">
        <v>387</v>
      </c>
      <c r="B478" s="19"/>
      <c r="C478" s="19"/>
      <c r="D478" s="19" t="s">
        <v>436</v>
      </c>
      <c r="E478" s="19"/>
      <c r="F478" s="18"/>
      <c r="G478" s="18"/>
      <c r="H478" s="19"/>
      <c r="I478" s="19"/>
      <c r="J478" s="19"/>
      <c r="K478" s="19"/>
      <c r="L478" s="17" t="s">
        <v>85</v>
      </c>
      <c r="M478" s="17">
        <v>100</v>
      </c>
      <c r="N478" s="17" t="s">
        <v>38</v>
      </c>
      <c r="O478" s="19"/>
      <c r="P478" s="19"/>
    </row>
    <row r="479" spans="1:16" x14ac:dyDescent="0.25">
      <c r="A479" s="4" t="s">
        <v>22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/>
      <c r="M479" s="5"/>
      <c r="N479" s="5"/>
      <c r="O479" s="5"/>
      <c r="P479" s="5"/>
    </row>
    <row r="480" spans="1:16" x14ac:dyDescent="0.25">
      <c r="A480" t="s">
        <v>126</v>
      </c>
      <c r="D480" t="s">
        <v>128</v>
      </c>
      <c r="J480" t="s">
        <v>45</v>
      </c>
      <c r="L480" t="s">
        <v>85</v>
      </c>
      <c r="M480" s="21">
        <v>38</v>
      </c>
      <c r="N480" t="s">
        <v>38</v>
      </c>
      <c r="O480" s="11"/>
      <c r="P480" s="8" t="s">
        <v>92</v>
      </c>
    </row>
    <row r="481" spans="1:16" x14ac:dyDescent="0.25">
      <c r="A481" t="s">
        <v>126</v>
      </c>
      <c r="D481" t="s">
        <v>128</v>
      </c>
      <c r="H481" t="s">
        <v>129</v>
      </c>
      <c r="J481" t="s">
        <v>45</v>
      </c>
      <c r="L481" t="s">
        <v>86</v>
      </c>
      <c r="M481" s="21">
        <v>60</v>
      </c>
      <c r="N481" t="s">
        <v>38</v>
      </c>
      <c r="P481" s="8" t="s">
        <v>92</v>
      </c>
    </row>
    <row r="482" spans="1:16" x14ac:dyDescent="0.25">
      <c r="A482" t="s">
        <v>126</v>
      </c>
      <c r="D482" t="s">
        <v>128</v>
      </c>
      <c r="J482" t="s">
        <v>43</v>
      </c>
      <c r="L482" t="s">
        <v>85</v>
      </c>
      <c r="M482" s="21">
        <v>32</v>
      </c>
      <c r="N482" t="s">
        <v>38</v>
      </c>
      <c r="O482" t="s">
        <v>131</v>
      </c>
      <c r="P482" s="8"/>
    </row>
    <row r="483" spans="1:16" x14ac:dyDescent="0.25">
      <c r="A483" t="s">
        <v>126</v>
      </c>
      <c r="D483" t="s">
        <v>128</v>
      </c>
      <c r="H483" t="s">
        <v>130</v>
      </c>
      <c r="J483" t="s">
        <v>43</v>
      </c>
      <c r="L483" t="s">
        <v>86</v>
      </c>
      <c r="M483" s="21">
        <v>68</v>
      </c>
      <c r="N483" t="s">
        <v>38</v>
      </c>
      <c r="P483" s="8"/>
    </row>
    <row r="484" spans="1:16" s="17" customFormat="1" x14ac:dyDescent="0.25">
      <c r="A484" s="17" t="s">
        <v>394</v>
      </c>
      <c r="D484" s="17" t="s">
        <v>128</v>
      </c>
      <c r="J484" s="17" t="s">
        <v>45</v>
      </c>
      <c r="L484" s="17" t="s">
        <v>85</v>
      </c>
      <c r="M484" s="15">
        <v>38</v>
      </c>
      <c r="N484" s="17" t="s">
        <v>38</v>
      </c>
      <c r="P484" s="19"/>
    </row>
    <row r="485" spans="1:16" s="17" customFormat="1" x14ac:dyDescent="0.25">
      <c r="A485" s="17" t="s">
        <v>394</v>
      </c>
      <c r="D485" s="17" t="s">
        <v>128</v>
      </c>
      <c r="H485" s="17" t="s">
        <v>129</v>
      </c>
      <c r="J485" s="17" t="s">
        <v>45</v>
      </c>
      <c r="L485" s="17" t="s">
        <v>86</v>
      </c>
      <c r="M485" s="15">
        <v>60</v>
      </c>
      <c r="N485" s="17" t="s">
        <v>38</v>
      </c>
      <c r="P485" s="19"/>
    </row>
    <row r="486" spans="1:16" s="17" customFormat="1" x14ac:dyDescent="0.25">
      <c r="A486" s="17" t="s">
        <v>394</v>
      </c>
      <c r="D486" s="17" t="s">
        <v>128</v>
      </c>
      <c r="J486" s="17" t="s">
        <v>43</v>
      </c>
      <c r="L486" s="17" t="s">
        <v>85</v>
      </c>
      <c r="M486" s="15">
        <v>32</v>
      </c>
      <c r="N486" s="17" t="s">
        <v>38</v>
      </c>
      <c r="P486" s="19"/>
    </row>
    <row r="487" spans="1:16" s="17" customFormat="1" x14ac:dyDescent="0.25">
      <c r="A487" s="17" t="s">
        <v>394</v>
      </c>
      <c r="D487" s="17" t="s">
        <v>128</v>
      </c>
      <c r="H487" s="17" t="s">
        <v>130</v>
      </c>
      <c r="J487" s="17" t="s">
        <v>43</v>
      </c>
      <c r="L487" s="17" t="s">
        <v>86</v>
      </c>
      <c r="M487" s="15">
        <v>68</v>
      </c>
      <c r="N487" s="17" t="s">
        <v>38</v>
      </c>
      <c r="P487" s="19"/>
    </row>
    <row r="488" spans="1:16" s="17" customFormat="1" x14ac:dyDescent="0.25">
      <c r="A488" s="17" t="s">
        <v>133</v>
      </c>
      <c r="D488" s="17" t="s">
        <v>437</v>
      </c>
      <c r="L488" s="17" t="s">
        <v>85</v>
      </c>
      <c r="M488" s="15">
        <v>43</v>
      </c>
      <c r="N488" s="17" t="s">
        <v>38</v>
      </c>
      <c r="O488" s="17" t="s">
        <v>438</v>
      </c>
      <c r="P488" s="19"/>
    </row>
    <row r="489" spans="1:16" s="17" customFormat="1" x14ac:dyDescent="0.25">
      <c r="A489" s="17" t="s">
        <v>133</v>
      </c>
      <c r="D489" s="17" t="s">
        <v>437</v>
      </c>
      <c r="H489" s="17" t="s">
        <v>439</v>
      </c>
      <c r="L489" s="17" t="s">
        <v>86</v>
      </c>
      <c r="M489" s="15">
        <v>47</v>
      </c>
      <c r="N489" s="17" t="s">
        <v>38</v>
      </c>
      <c r="P489" s="19"/>
    </row>
    <row r="490" spans="1:16" x14ac:dyDescent="0.25">
      <c r="A490" s="4" t="s">
        <v>24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/>
      <c r="M490" s="5"/>
      <c r="N490" s="5"/>
      <c r="O490" s="5"/>
      <c r="P490" s="5"/>
    </row>
    <row r="491" spans="1:16" x14ac:dyDescent="0.25">
      <c r="A491" t="s">
        <v>217</v>
      </c>
      <c r="D491" t="s">
        <v>224</v>
      </c>
      <c r="L491" t="s">
        <v>85</v>
      </c>
      <c r="M491" s="22">
        <f>161/1000*100</f>
        <v>16.100000000000001</v>
      </c>
      <c r="N491" t="s">
        <v>38</v>
      </c>
      <c r="O491" t="s">
        <v>335</v>
      </c>
      <c r="P491" s="17" t="s">
        <v>337</v>
      </c>
    </row>
    <row r="492" spans="1:16" x14ac:dyDescent="0.25">
      <c r="A492" t="s">
        <v>217</v>
      </c>
      <c r="D492" t="s">
        <v>224</v>
      </c>
      <c r="H492" t="s">
        <v>225</v>
      </c>
      <c r="L492" t="s">
        <v>86</v>
      </c>
      <c r="M492" s="22">
        <f>(6.4+25.2)/1000/0.9*100</f>
        <v>3.5111111111111115</v>
      </c>
      <c r="N492" t="s">
        <v>38</v>
      </c>
      <c r="O492" t="s">
        <v>338</v>
      </c>
      <c r="P492" s="17" t="s">
        <v>337</v>
      </c>
    </row>
    <row r="493" spans="1:16" x14ac:dyDescent="0.25">
      <c r="A493" t="s">
        <v>217</v>
      </c>
      <c r="D493" t="s">
        <v>224</v>
      </c>
      <c r="H493" t="s">
        <v>226</v>
      </c>
      <c r="L493" t="s">
        <v>86</v>
      </c>
      <c r="M493" s="22">
        <f>19/1000/0.76*100</f>
        <v>2.5</v>
      </c>
      <c r="N493" t="s">
        <v>38</v>
      </c>
      <c r="O493" t="s">
        <v>339</v>
      </c>
      <c r="P493" s="17" t="s">
        <v>337</v>
      </c>
    </row>
    <row r="494" spans="1:16" x14ac:dyDescent="0.25">
      <c r="A494" t="s">
        <v>219</v>
      </c>
      <c r="D494" t="s">
        <v>224</v>
      </c>
      <c r="L494" t="s">
        <v>85</v>
      </c>
      <c r="M494" s="43">
        <f>M491/0.8</f>
        <v>20.125</v>
      </c>
      <c r="N494" t="s">
        <v>38</v>
      </c>
      <c r="O494" s="17" t="s">
        <v>340</v>
      </c>
    </row>
    <row r="495" spans="1:16" x14ac:dyDescent="0.25">
      <c r="A495" t="s">
        <v>219</v>
      </c>
      <c r="D495" t="s">
        <v>224</v>
      </c>
      <c r="H495" t="s">
        <v>225</v>
      </c>
      <c r="L495" t="s">
        <v>86</v>
      </c>
      <c r="M495" s="43">
        <f>M492</f>
        <v>3.5111111111111115</v>
      </c>
      <c r="N495" t="s">
        <v>38</v>
      </c>
    </row>
    <row r="496" spans="1:16" x14ac:dyDescent="0.25">
      <c r="A496" t="s">
        <v>219</v>
      </c>
      <c r="D496" t="s">
        <v>224</v>
      </c>
      <c r="H496" t="s">
        <v>226</v>
      </c>
      <c r="L496" t="s">
        <v>86</v>
      </c>
      <c r="M496" s="43">
        <f>M493</f>
        <v>2.5</v>
      </c>
      <c r="N496" t="s">
        <v>38</v>
      </c>
    </row>
    <row r="497" spans="1:16" x14ac:dyDescent="0.25">
      <c r="A497" s="6" t="s">
        <v>218</v>
      </c>
    </row>
    <row r="498" spans="1:16" x14ac:dyDescent="0.25">
      <c r="A498" s="4" t="s">
        <v>29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/>
      <c r="M498" s="5"/>
      <c r="N498" s="5"/>
      <c r="O498" s="5"/>
      <c r="P498" s="5"/>
    </row>
    <row r="499" spans="1:16" x14ac:dyDescent="0.25">
      <c r="A499" t="s">
        <v>227</v>
      </c>
      <c r="B499" s="10"/>
      <c r="C499" s="10"/>
      <c r="D499" s="8" t="s">
        <v>237</v>
      </c>
      <c r="E499" s="8"/>
      <c r="F499" s="10"/>
      <c r="G499" s="10"/>
      <c r="H499" s="10"/>
      <c r="I499" s="10"/>
      <c r="J499" s="10"/>
      <c r="K499" s="10"/>
      <c r="L499" t="s">
        <v>85</v>
      </c>
      <c r="M499" s="20">
        <v>70</v>
      </c>
      <c r="N499" s="9" t="s">
        <v>38</v>
      </c>
      <c r="O499" s="8"/>
      <c r="P499" s="8" t="s">
        <v>92</v>
      </c>
    </row>
    <row r="500" spans="1:16" x14ac:dyDescent="0.25">
      <c r="A500" t="s">
        <v>230</v>
      </c>
      <c r="B500" s="10"/>
      <c r="C500" s="10"/>
      <c r="D500" s="8" t="s">
        <v>48</v>
      </c>
      <c r="E500" s="8"/>
      <c r="F500" s="10"/>
      <c r="G500" s="10"/>
      <c r="H500" s="10"/>
      <c r="I500" s="10"/>
      <c r="J500" s="10"/>
      <c r="K500" s="10"/>
      <c r="L500" t="s">
        <v>85</v>
      </c>
      <c r="M500" s="20">
        <f>655*0.7</f>
        <v>458.49999999999994</v>
      </c>
      <c r="N500" s="9" t="s">
        <v>38</v>
      </c>
      <c r="O500" s="8"/>
      <c r="P500" s="8" t="s">
        <v>92</v>
      </c>
    </row>
    <row r="501" spans="1:16" x14ac:dyDescent="0.25">
      <c r="A501" t="s">
        <v>230</v>
      </c>
      <c r="B501" s="10"/>
      <c r="C501" s="10"/>
      <c r="D501" s="8" t="s">
        <v>48</v>
      </c>
      <c r="E501" s="8"/>
      <c r="F501" s="10"/>
      <c r="G501" s="10"/>
      <c r="H501" s="19" t="s">
        <v>125</v>
      </c>
      <c r="I501" s="10"/>
      <c r="J501" s="10"/>
      <c r="K501" s="10"/>
      <c r="L501" t="s">
        <v>86</v>
      </c>
      <c r="M501" s="20">
        <f>1*(M500/100)*0.2*100</f>
        <v>91.699999999999989</v>
      </c>
      <c r="N501" s="9" t="s">
        <v>38</v>
      </c>
      <c r="O501" s="8" t="s">
        <v>115</v>
      </c>
      <c r="P501" s="8" t="s">
        <v>114</v>
      </c>
    </row>
    <row r="502" spans="1:16" x14ac:dyDescent="0.25">
      <c r="B502" s="10"/>
      <c r="C502" s="10"/>
      <c r="D502" s="8"/>
      <c r="E502" s="8"/>
      <c r="F502" s="10"/>
      <c r="G502" s="10"/>
      <c r="H502" s="10" t="s">
        <v>176</v>
      </c>
      <c r="I502" s="10"/>
      <c r="J502" s="10"/>
      <c r="K502" s="10"/>
      <c r="M502" s="20"/>
      <c r="N502" s="9"/>
      <c r="O502" s="10" t="s">
        <v>177</v>
      </c>
      <c r="P502" s="8"/>
    </row>
    <row r="503" spans="1:16" x14ac:dyDescent="0.25">
      <c r="A503" t="s">
        <v>228</v>
      </c>
      <c r="B503" s="10"/>
      <c r="C503" s="10"/>
      <c r="D503" s="9" t="s">
        <v>238</v>
      </c>
      <c r="E503" s="9"/>
      <c r="F503" s="10"/>
      <c r="G503" s="10"/>
      <c r="H503" s="19"/>
      <c r="I503" s="10"/>
      <c r="J503" s="10"/>
      <c r="K503" s="10"/>
      <c r="L503" t="s">
        <v>85</v>
      </c>
      <c r="M503" s="20">
        <v>65</v>
      </c>
      <c r="N503" s="9" t="s">
        <v>38</v>
      </c>
      <c r="O503" s="8"/>
      <c r="P503" s="8" t="s">
        <v>92</v>
      </c>
    </row>
    <row r="504" spans="1:16" x14ac:dyDescent="0.25">
      <c r="A504" t="s">
        <v>228</v>
      </c>
      <c r="B504" s="10"/>
      <c r="C504" s="10"/>
      <c r="D504" s="9" t="s">
        <v>238</v>
      </c>
      <c r="E504" s="9"/>
      <c r="F504" s="10"/>
      <c r="G504" s="10"/>
      <c r="H504" s="19" t="s">
        <v>239</v>
      </c>
      <c r="I504" s="10"/>
      <c r="J504" s="10"/>
      <c r="K504" s="10"/>
      <c r="L504" t="s">
        <v>86</v>
      </c>
      <c r="M504" s="20">
        <v>35</v>
      </c>
      <c r="N504" s="9" t="s">
        <v>38</v>
      </c>
      <c r="O504" s="8"/>
      <c r="P504" s="8" t="s">
        <v>92</v>
      </c>
    </row>
    <row r="505" spans="1:16" x14ac:dyDescent="0.25">
      <c r="A505" t="s">
        <v>231</v>
      </c>
      <c r="B505" s="10"/>
      <c r="C505" s="10"/>
      <c r="D505" s="9" t="s">
        <v>37</v>
      </c>
      <c r="E505" s="9"/>
      <c r="F505" s="10"/>
      <c r="G505" s="10"/>
      <c r="H505" s="19"/>
      <c r="I505" s="10"/>
      <c r="J505" s="10"/>
      <c r="K505" s="10"/>
      <c r="L505" t="s">
        <v>85</v>
      </c>
      <c r="M505" s="20">
        <v>30</v>
      </c>
      <c r="N505" s="9" t="s">
        <v>38</v>
      </c>
      <c r="O505" s="8"/>
      <c r="P505" s="8" t="s">
        <v>92</v>
      </c>
    </row>
    <row r="506" spans="1:16" x14ac:dyDescent="0.25">
      <c r="A506" t="s">
        <v>231</v>
      </c>
      <c r="B506" s="10"/>
      <c r="C506" s="10"/>
      <c r="D506" s="9" t="s">
        <v>37</v>
      </c>
      <c r="E506" s="9"/>
      <c r="F506" s="10"/>
      <c r="G506" s="10"/>
      <c r="H506" s="10" t="s">
        <v>240</v>
      </c>
      <c r="I506" s="10"/>
      <c r="J506" s="10"/>
      <c r="K506" s="10"/>
      <c r="L506" s="6" t="s">
        <v>86</v>
      </c>
      <c r="M506" s="12">
        <v>11</v>
      </c>
      <c r="N506" s="11" t="s">
        <v>38</v>
      </c>
      <c r="O506" s="10" t="s">
        <v>329</v>
      </c>
      <c r="P506" s="10" t="s">
        <v>92</v>
      </c>
    </row>
    <row r="507" spans="1:16" x14ac:dyDescent="0.25">
      <c r="A507" s="4" t="s">
        <v>33</v>
      </c>
      <c r="B507" s="4"/>
      <c r="C507" s="4"/>
      <c r="D507" s="4"/>
      <c r="E507" s="48"/>
      <c r="F507" s="4"/>
      <c r="G507" s="4"/>
      <c r="H507" s="4"/>
      <c r="I507" s="4"/>
      <c r="J507" s="4"/>
      <c r="K507" s="4"/>
      <c r="L507" s="5"/>
      <c r="M507" s="5"/>
      <c r="N507" s="5"/>
      <c r="O507" s="5"/>
      <c r="P507" s="5"/>
    </row>
    <row r="508" spans="1:16" s="17" customFormat="1" x14ac:dyDescent="0.25">
      <c r="A508" s="58" t="s">
        <v>396</v>
      </c>
      <c r="B508" s="58"/>
      <c r="C508" s="58"/>
      <c r="D508" s="58" t="s">
        <v>211</v>
      </c>
      <c r="E508" s="58"/>
      <c r="F508" s="59"/>
      <c r="G508" s="59"/>
      <c r="H508" s="59"/>
      <c r="I508" s="59"/>
      <c r="J508" s="58"/>
      <c r="K508" s="59"/>
      <c r="L508" s="17" t="s">
        <v>85</v>
      </c>
      <c r="M508" s="52">
        <v>94</v>
      </c>
      <c r="N508" s="58" t="s">
        <v>38</v>
      </c>
      <c r="O508" s="58"/>
      <c r="P508" s="19"/>
    </row>
    <row r="509" spans="1:16" s="17" customFormat="1" x14ac:dyDescent="0.25">
      <c r="A509" s="58" t="s">
        <v>396</v>
      </c>
      <c r="B509" s="58"/>
      <c r="C509" s="58"/>
      <c r="D509" s="58" t="s">
        <v>211</v>
      </c>
      <c r="E509" s="58"/>
      <c r="F509" s="59"/>
      <c r="G509" s="59"/>
      <c r="H509" s="58" t="s">
        <v>440</v>
      </c>
      <c r="I509" s="59"/>
      <c r="J509" s="58"/>
      <c r="K509" s="59"/>
      <c r="L509" s="17" t="s">
        <v>86</v>
      </c>
      <c r="M509" s="29">
        <f>11*0.94</f>
        <v>10.34</v>
      </c>
      <c r="N509" s="58" t="s">
        <v>38</v>
      </c>
      <c r="O509" s="58" t="s">
        <v>441</v>
      </c>
      <c r="P509" s="19"/>
    </row>
    <row r="510" spans="1:16" s="17" customFormat="1" x14ac:dyDescent="0.25">
      <c r="A510" s="58" t="s">
        <v>400</v>
      </c>
      <c r="B510" s="58"/>
      <c r="C510" s="58"/>
      <c r="D510" s="58" t="s">
        <v>37</v>
      </c>
      <c r="E510" s="58"/>
      <c r="F510" s="58"/>
      <c r="G510" s="58"/>
      <c r="H510" s="58"/>
      <c r="I510" s="58"/>
      <c r="J510" s="58"/>
      <c r="K510" s="58"/>
      <c r="L510" s="17" t="s">
        <v>85</v>
      </c>
      <c r="M510" s="17">
        <v>31</v>
      </c>
      <c r="N510" s="58" t="s">
        <v>38</v>
      </c>
      <c r="O510" s="58" t="s">
        <v>424</v>
      </c>
      <c r="P510" s="19"/>
    </row>
    <row r="511" spans="1:16" s="17" customFormat="1" x14ac:dyDescent="0.25">
      <c r="A511" s="58" t="s">
        <v>400</v>
      </c>
      <c r="B511" s="58"/>
      <c r="C511" s="58"/>
      <c r="D511" s="58" t="s">
        <v>37</v>
      </c>
      <c r="E511" s="58"/>
      <c r="F511" s="58"/>
      <c r="G511" s="58"/>
      <c r="H511" s="58" t="s">
        <v>442</v>
      </c>
      <c r="I511" s="58"/>
      <c r="J511" s="58"/>
      <c r="K511" s="58"/>
      <c r="L511" s="17" t="s">
        <v>86</v>
      </c>
      <c r="M511" s="29">
        <f>69*0.31</f>
        <v>21.39</v>
      </c>
      <c r="N511" s="58" t="s">
        <v>38</v>
      </c>
      <c r="O511" s="58"/>
      <c r="P511" s="19"/>
    </row>
    <row r="512" spans="1:16" s="17" customFormat="1" x14ac:dyDescent="0.25">
      <c r="A512" s="58" t="s">
        <v>400</v>
      </c>
      <c r="B512" s="58"/>
      <c r="C512" s="58"/>
      <c r="D512" s="58" t="s">
        <v>37</v>
      </c>
      <c r="E512" s="58"/>
      <c r="F512" s="58"/>
      <c r="G512" s="58"/>
      <c r="H512" s="58" t="s">
        <v>443</v>
      </c>
      <c r="I512" s="58"/>
      <c r="J512" s="58"/>
      <c r="K512" s="58"/>
      <c r="L512" s="17" t="s">
        <v>86</v>
      </c>
      <c r="M512" s="29">
        <f>1.9*0.31</f>
        <v>0.58899999999999997</v>
      </c>
      <c r="N512" s="58" t="s">
        <v>38</v>
      </c>
      <c r="O512" s="58"/>
      <c r="P512" s="19"/>
    </row>
    <row r="513" spans="1:16" s="17" customFormat="1" x14ac:dyDescent="0.25">
      <c r="A513" s="58" t="s">
        <v>401</v>
      </c>
      <c r="B513" s="58"/>
      <c r="C513" s="58"/>
      <c r="D513" s="58" t="s">
        <v>91</v>
      </c>
      <c r="E513" s="58"/>
      <c r="F513" s="58"/>
      <c r="G513" s="58"/>
      <c r="H513" s="58"/>
      <c r="I513" s="58"/>
      <c r="J513" s="58"/>
      <c r="K513" s="58"/>
      <c r="L513" s="17" t="s">
        <v>85</v>
      </c>
      <c r="M513" s="17">
        <v>769</v>
      </c>
      <c r="N513" s="58" t="s">
        <v>38</v>
      </c>
      <c r="O513" s="58"/>
      <c r="P513" s="19"/>
    </row>
    <row r="514" spans="1:16" s="17" customFormat="1" x14ac:dyDescent="0.25">
      <c r="A514" s="58" t="s">
        <v>401</v>
      </c>
      <c r="B514" s="58"/>
      <c r="C514" s="58"/>
      <c r="D514" s="58" t="s">
        <v>91</v>
      </c>
      <c r="E514" s="58"/>
      <c r="F514" s="58"/>
      <c r="G514" s="58"/>
      <c r="H514" s="58" t="s">
        <v>444</v>
      </c>
      <c r="I514" s="58"/>
      <c r="J514" s="58"/>
      <c r="K514" s="58"/>
      <c r="L514" s="17" t="s">
        <v>86</v>
      </c>
      <c r="M514" s="29">
        <f>1.5*7.69</f>
        <v>11.535</v>
      </c>
      <c r="N514" s="58" t="s">
        <v>38</v>
      </c>
      <c r="O514" s="58"/>
      <c r="P514" s="19"/>
    </row>
    <row r="515" spans="1:16" s="17" customFormat="1" x14ac:dyDescent="0.25">
      <c r="A515" s="58" t="s">
        <v>403</v>
      </c>
      <c r="B515" s="58"/>
      <c r="C515" s="58"/>
      <c r="D515" s="58" t="s">
        <v>224</v>
      </c>
      <c r="E515" s="58"/>
      <c r="F515" s="59"/>
      <c r="G515" s="59"/>
      <c r="H515" s="59"/>
      <c r="I515" s="59"/>
      <c r="J515" s="58"/>
      <c r="K515" s="59"/>
      <c r="L515" s="17" t="s">
        <v>85</v>
      </c>
      <c r="M515" s="29">
        <f>M491*0.55</f>
        <v>8.8550000000000022</v>
      </c>
      <c r="N515" s="58" t="s">
        <v>38</v>
      </c>
      <c r="O515" s="58"/>
      <c r="P515" s="19"/>
    </row>
    <row r="516" spans="1:16" s="17" customFormat="1" x14ac:dyDescent="0.25">
      <c r="A516" s="58" t="s">
        <v>403</v>
      </c>
      <c r="B516" s="58"/>
      <c r="C516" s="58"/>
      <c r="D516" s="58" t="s">
        <v>224</v>
      </c>
      <c r="E516" s="58"/>
      <c r="F516" s="59"/>
      <c r="G516" s="59"/>
      <c r="H516" s="17" t="s">
        <v>225</v>
      </c>
      <c r="I516" s="59"/>
      <c r="J516" s="58"/>
      <c r="K516" s="59"/>
      <c r="L516" s="17" t="s">
        <v>86</v>
      </c>
      <c r="M516" s="29">
        <f>M492*0.55</f>
        <v>1.9311111111111114</v>
      </c>
      <c r="N516" s="58" t="s">
        <v>38</v>
      </c>
      <c r="O516" s="58"/>
      <c r="P516" s="19"/>
    </row>
    <row r="517" spans="1:16" s="17" customFormat="1" x14ac:dyDescent="0.25">
      <c r="A517" s="58" t="s">
        <v>403</v>
      </c>
      <c r="B517" s="58"/>
      <c r="C517" s="58"/>
      <c r="D517" s="58" t="s">
        <v>224</v>
      </c>
      <c r="E517" s="58"/>
      <c r="F517" s="59"/>
      <c r="G517" s="59"/>
      <c r="H517" s="17" t="s">
        <v>226</v>
      </c>
      <c r="I517" s="59"/>
      <c r="J517" s="58"/>
      <c r="K517" s="59"/>
      <c r="L517" s="17" t="s">
        <v>86</v>
      </c>
      <c r="M517" s="29">
        <f>M493*0.55</f>
        <v>1.375</v>
      </c>
      <c r="N517" s="58" t="s">
        <v>38</v>
      </c>
      <c r="O517" s="58"/>
      <c r="P517" s="19"/>
    </row>
    <row r="518" spans="1:16" s="17" customFormat="1" x14ac:dyDescent="0.25">
      <c r="A518" s="58" t="s">
        <v>404</v>
      </c>
      <c r="B518" s="58"/>
      <c r="C518" s="58"/>
      <c r="D518" s="58" t="s">
        <v>224</v>
      </c>
      <c r="E518" s="58"/>
      <c r="F518" s="59"/>
      <c r="G518" s="59"/>
      <c r="H518" s="59"/>
      <c r="I518" s="59"/>
      <c r="J518" s="58"/>
      <c r="K518" s="59"/>
      <c r="L518" s="17" t="s">
        <v>85</v>
      </c>
      <c r="M518" s="29">
        <f>M491*1.09</f>
        <v>17.549000000000003</v>
      </c>
      <c r="N518" s="58" t="s">
        <v>38</v>
      </c>
      <c r="O518" s="58"/>
      <c r="P518" s="19"/>
    </row>
    <row r="519" spans="1:16" s="17" customFormat="1" x14ac:dyDescent="0.25">
      <c r="A519" s="58" t="s">
        <v>404</v>
      </c>
      <c r="B519" s="58"/>
      <c r="C519" s="58"/>
      <c r="D519" s="58" t="s">
        <v>224</v>
      </c>
      <c r="E519" s="58"/>
      <c r="F519" s="59"/>
      <c r="G519" s="59"/>
      <c r="H519" s="17" t="s">
        <v>225</v>
      </c>
      <c r="I519" s="59"/>
      <c r="J519" s="58"/>
      <c r="K519" s="59"/>
      <c r="L519" s="17" t="s">
        <v>86</v>
      </c>
      <c r="M519" s="29">
        <f t="shared" ref="M519:M520" si="0">M492*1.09</f>
        <v>3.8271111111111118</v>
      </c>
      <c r="N519" s="58" t="s">
        <v>38</v>
      </c>
      <c r="O519" s="58"/>
      <c r="P519" s="19"/>
    </row>
    <row r="520" spans="1:16" s="17" customFormat="1" x14ac:dyDescent="0.25">
      <c r="A520" s="58" t="s">
        <v>404</v>
      </c>
      <c r="B520" s="58"/>
      <c r="C520" s="58"/>
      <c r="D520" s="58" t="s">
        <v>224</v>
      </c>
      <c r="E520" s="58"/>
      <c r="F520" s="59"/>
      <c r="G520" s="59"/>
      <c r="H520" s="17" t="s">
        <v>226</v>
      </c>
      <c r="I520" s="59"/>
      <c r="J520" s="58"/>
      <c r="K520" s="59"/>
      <c r="L520" s="17" t="s">
        <v>86</v>
      </c>
      <c r="M520" s="29">
        <f t="shared" si="0"/>
        <v>2.7250000000000001</v>
      </c>
      <c r="N520" s="58" t="s">
        <v>38</v>
      </c>
      <c r="O520" s="58"/>
      <c r="P520" s="19"/>
    </row>
    <row r="521" spans="1:16" s="17" customFormat="1" x14ac:dyDescent="0.25">
      <c r="A521" s="58" t="s">
        <v>405</v>
      </c>
      <c r="B521" s="58"/>
      <c r="C521" s="58"/>
      <c r="D521" s="58" t="s">
        <v>224</v>
      </c>
      <c r="E521" s="58"/>
      <c r="F521" s="59"/>
      <c r="G521" s="59"/>
      <c r="H521" s="59"/>
      <c r="I521" s="59"/>
      <c r="J521" s="58"/>
      <c r="K521" s="59"/>
      <c r="L521" s="17" t="s">
        <v>85</v>
      </c>
      <c r="M521" s="29">
        <f>M491*0.67</f>
        <v>10.787000000000001</v>
      </c>
      <c r="N521" s="58" t="s">
        <v>38</v>
      </c>
      <c r="O521" s="58"/>
      <c r="P521" s="19"/>
    </row>
    <row r="522" spans="1:16" s="17" customFormat="1" x14ac:dyDescent="0.25">
      <c r="A522" s="58" t="s">
        <v>405</v>
      </c>
      <c r="B522" s="58"/>
      <c r="C522" s="58"/>
      <c r="D522" s="58" t="s">
        <v>224</v>
      </c>
      <c r="E522" s="58"/>
      <c r="F522" s="59"/>
      <c r="G522" s="59"/>
      <c r="H522" s="17" t="s">
        <v>225</v>
      </c>
      <c r="I522" s="59"/>
      <c r="J522" s="58"/>
      <c r="K522" s="59"/>
      <c r="L522" s="17" t="s">
        <v>86</v>
      </c>
      <c r="M522" s="29">
        <f t="shared" ref="M522:M523" si="1">M492*0.67</f>
        <v>2.352444444444445</v>
      </c>
      <c r="N522" s="58" t="s">
        <v>38</v>
      </c>
      <c r="O522" s="58"/>
      <c r="P522" s="19"/>
    </row>
    <row r="523" spans="1:16" s="17" customFormat="1" x14ac:dyDescent="0.25">
      <c r="A523" s="58" t="s">
        <v>405</v>
      </c>
      <c r="B523" s="58"/>
      <c r="C523" s="58"/>
      <c r="D523" s="58" t="s">
        <v>224</v>
      </c>
      <c r="E523" s="58"/>
      <c r="F523" s="59"/>
      <c r="G523" s="59"/>
      <c r="H523" s="17" t="s">
        <v>226</v>
      </c>
      <c r="I523" s="59"/>
      <c r="J523" s="58"/>
      <c r="K523" s="59"/>
      <c r="L523" s="17" t="s">
        <v>86</v>
      </c>
      <c r="M523" s="29">
        <f t="shared" si="1"/>
        <v>1.675</v>
      </c>
      <c r="N523" s="58" t="s">
        <v>38</v>
      </c>
      <c r="O523" s="58"/>
      <c r="P523" s="19"/>
    </row>
    <row r="524" spans="1:16" s="17" customFormat="1" x14ac:dyDescent="0.25">
      <c r="A524" s="58" t="s">
        <v>406</v>
      </c>
      <c r="B524" s="58"/>
      <c r="C524" s="58"/>
      <c r="D524" s="58" t="s">
        <v>212</v>
      </c>
      <c r="E524" s="58"/>
      <c r="F524" s="59"/>
      <c r="G524" s="59"/>
      <c r="H524" s="59"/>
      <c r="I524" s="59"/>
      <c r="J524" s="58"/>
      <c r="K524" s="59"/>
      <c r="L524" s="17" t="s">
        <v>85</v>
      </c>
      <c r="M524" s="17">
        <v>150</v>
      </c>
      <c r="N524" s="58" t="s">
        <v>38</v>
      </c>
      <c r="O524" s="58"/>
      <c r="P524" s="19"/>
    </row>
    <row r="525" spans="1:16" s="17" customFormat="1" x14ac:dyDescent="0.25">
      <c r="A525" s="58" t="s">
        <v>407</v>
      </c>
      <c r="B525" s="58"/>
      <c r="C525" s="58"/>
      <c r="D525" s="58" t="s">
        <v>212</v>
      </c>
      <c r="E525" s="58"/>
      <c r="F525" s="59"/>
      <c r="G525" s="59"/>
      <c r="H525" s="59"/>
      <c r="I525" s="59"/>
      <c r="J525" s="58"/>
      <c r="K525" s="59"/>
      <c r="L525" s="17" t="s">
        <v>85</v>
      </c>
      <c r="M525" s="17">
        <v>100</v>
      </c>
      <c r="N525" s="58" t="s">
        <v>38</v>
      </c>
      <c r="O525" s="58"/>
      <c r="P525" s="19"/>
    </row>
    <row r="526" spans="1:16" s="17" customFormat="1" x14ac:dyDescent="0.25">
      <c r="A526" s="58" t="s">
        <v>407</v>
      </c>
      <c r="B526" s="58"/>
      <c r="C526" s="58"/>
      <c r="D526" s="58" t="s">
        <v>212</v>
      </c>
      <c r="E526" s="58"/>
      <c r="F526" s="59"/>
      <c r="G526" s="59"/>
      <c r="H526" s="58" t="s">
        <v>445</v>
      </c>
      <c r="I526" s="59"/>
      <c r="J526" s="58"/>
      <c r="K526" s="59"/>
      <c r="L526" s="17" t="s">
        <v>86</v>
      </c>
      <c r="M526" s="17">
        <v>22</v>
      </c>
      <c r="N526" s="58" t="s">
        <v>38</v>
      </c>
      <c r="O526" s="58"/>
      <c r="P526" s="19"/>
    </row>
    <row r="527" spans="1:16" s="17" customFormat="1" x14ac:dyDescent="0.25">
      <c r="A527" s="58" t="s">
        <v>408</v>
      </c>
      <c r="B527" s="58"/>
      <c r="C527" s="58"/>
      <c r="D527" s="58" t="s">
        <v>224</v>
      </c>
      <c r="E527" s="58"/>
      <c r="F527" s="59"/>
      <c r="G527" s="59"/>
      <c r="H527" s="59"/>
      <c r="I527" s="59"/>
      <c r="J527" s="58"/>
      <c r="K527" s="59"/>
      <c r="L527" s="17" t="s">
        <v>85</v>
      </c>
      <c r="M527" s="29">
        <v>8.9</v>
      </c>
      <c r="N527" s="58" t="s">
        <v>38</v>
      </c>
      <c r="O527" s="58"/>
      <c r="P527" s="19"/>
    </row>
    <row r="528" spans="1:16" s="17" customFormat="1" x14ac:dyDescent="0.25">
      <c r="A528" s="58" t="s">
        <v>408</v>
      </c>
      <c r="B528" s="58"/>
      <c r="C528" s="58"/>
      <c r="D528" s="58" t="s">
        <v>224</v>
      </c>
      <c r="E528" s="58"/>
      <c r="F528" s="59"/>
      <c r="G528" s="59"/>
      <c r="H528" s="17" t="s">
        <v>225</v>
      </c>
      <c r="I528" s="59"/>
      <c r="J528" s="58"/>
      <c r="K528" s="59"/>
      <c r="L528" s="17" t="s">
        <v>86</v>
      </c>
      <c r="M528" s="29">
        <v>1.9</v>
      </c>
      <c r="N528" s="58" t="s">
        <v>38</v>
      </c>
      <c r="O528" s="58"/>
      <c r="P528" s="19"/>
    </row>
    <row r="529" spans="1:16" s="17" customFormat="1" x14ac:dyDescent="0.25">
      <c r="A529" s="58" t="s">
        <v>408</v>
      </c>
      <c r="B529" s="58"/>
      <c r="C529" s="58"/>
      <c r="D529" s="58" t="s">
        <v>224</v>
      </c>
      <c r="E529" s="58"/>
      <c r="F529" s="59"/>
      <c r="G529" s="59"/>
      <c r="H529" s="17" t="s">
        <v>226</v>
      </c>
      <c r="I529" s="59"/>
      <c r="J529" s="58"/>
      <c r="K529" s="59"/>
      <c r="L529" s="17" t="s">
        <v>86</v>
      </c>
      <c r="M529" s="29">
        <v>1.4</v>
      </c>
      <c r="N529" s="58" t="s">
        <v>38</v>
      </c>
      <c r="O529" s="58"/>
      <c r="P529" s="19"/>
    </row>
    <row r="530" spans="1:16" s="17" customFormat="1" x14ac:dyDescent="0.25">
      <c r="A530" s="58" t="s">
        <v>409</v>
      </c>
      <c r="B530" s="58"/>
      <c r="C530" s="58"/>
      <c r="D530" s="59"/>
      <c r="E530" s="59"/>
      <c r="F530" s="59"/>
      <c r="G530" s="59"/>
      <c r="H530" s="59"/>
      <c r="I530" s="59"/>
      <c r="J530" s="58"/>
      <c r="K530" s="59"/>
      <c r="M530" s="58"/>
      <c r="N530" s="58"/>
      <c r="O530" s="58"/>
      <c r="P530" s="19"/>
    </row>
    <row r="531" spans="1:16" s="17" customFormat="1" x14ac:dyDescent="0.25">
      <c r="A531" s="58" t="s">
        <v>410</v>
      </c>
      <c r="B531" s="58"/>
      <c r="C531" s="58"/>
      <c r="D531" s="58" t="s">
        <v>224</v>
      </c>
      <c r="E531" s="58"/>
      <c r="F531" s="59"/>
      <c r="G531" s="59"/>
      <c r="H531" s="59"/>
      <c r="I531" s="59"/>
      <c r="J531" s="58"/>
      <c r="K531" s="59"/>
      <c r="L531" s="17" t="s">
        <v>85</v>
      </c>
      <c r="M531" s="29">
        <v>4.83</v>
      </c>
      <c r="N531" s="58" t="s">
        <v>38</v>
      </c>
      <c r="O531" s="58"/>
      <c r="P531" s="19"/>
    </row>
    <row r="532" spans="1:16" s="17" customFormat="1" x14ac:dyDescent="0.25">
      <c r="A532" s="58" t="s">
        <v>410</v>
      </c>
      <c r="B532" s="58"/>
      <c r="C532" s="58"/>
      <c r="D532" s="58" t="s">
        <v>224</v>
      </c>
      <c r="E532" s="58"/>
      <c r="F532" s="59"/>
      <c r="G532" s="59"/>
      <c r="H532" s="17" t="s">
        <v>225</v>
      </c>
      <c r="I532" s="59"/>
      <c r="J532" s="58"/>
      <c r="K532" s="59"/>
      <c r="L532" s="17" t="s">
        <v>86</v>
      </c>
      <c r="M532" s="61">
        <v>1.0533300000000001</v>
      </c>
      <c r="N532" s="58" t="s">
        <v>38</v>
      </c>
      <c r="O532" s="58"/>
      <c r="P532" s="19"/>
    </row>
    <row r="533" spans="1:16" s="17" customFormat="1" x14ac:dyDescent="0.25">
      <c r="A533" s="58" t="s">
        <v>410</v>
      </c>
      <c r="B533" s="58"/>
      <c r="C533" s="58"/>
      <c r="D533" s="58" t="s">
        <v>224</v>
      </c>
      <c r="E533" s="58"/>
      <c r="F533" s="59"/>
      <c r="G533" s="59"/>
      <c r="H533" s="17" t="s">
        <v>226</v>
      </c>
      <c r="I533" s="59"/>
      <c r="J533" s="58"/>
      <c r="K533" s="59"/>
      <c r="L533" s="17" t="s">
        <v>86</v>
      </c>
      <c r="M533" s="17">
        <v>0.75</v>
      </c>
      <c r="N533" s="58" t="s">
        <v>38</v>
      </c>
      <c r="O533" s="58"/>
      <c r="P533" s="19"/>
    </row>
    <row r="534" spans="1:16" s="17" customFormat="1" x14ac:dyDescent="0.25">
      <c r="A534" s="58" t="s">
        <v>411</v>
      </c>
      <c r="B534" s="58"/>
      <c r="C534" s="58"/>
      <c r="D534" s="58" t="s">
        <v>224</v>
      </c>
      <c r="E534" s="58"/>
      <c r="L534" s="17" t="s">
        <v>85</v>
      </c>
      <c r="M534" s="29">
        <v>6.9</v>
      </c>
      <c r="N534" s="58" t="s">
        <v>38</v>
      </c>
      <c r="O534" s="58"/>
      <c r="P534" s="19"/>
    </row>
    <row r="535" spans="1:16" s="17" customFormat="1" x14ac:dyDescent="0.25">
      <c r="A535" s="58" t="s">
        <v>411</v>
      </c>
      <c r="B535" s="58"/>
      <c r="C535" s="58"/>
      <c r="D535" s="58" t="s">
        <v>224</v>
      </c>
      <c r="E535" s="58"/>
      <c r="H535" s="17" t="s">
        <v>225</v>
      </c>
      <c r="L535" s="17" t="s">
        <v>86</v>
      </c>
      <c r="M535" s="29">
        <v>1.5</v>
      </c>
      <c r="N535" s="58" t="s">
        <v>38</v>
      </c>
      <c r="O535" s="58"/>
      <c r="P535" s="19"/>
    </row>
    <row r="536" spans="1:16" s="17" customFormat="1" x14ac:dyDescent="0.25">
      <c r="A536" s="58" t="s">
        <v>411</v>
      </c>
      <c r="B536" s="58"/>
      <c r="C536" s="58"/>
      <c r="D536" s="58" t="s">
        <v>224</v>
      </c>
      <c r="E536" s="58"/>
      <c r="H536" s="17" t="s">
        <v>226</v>
      </c>
      <c r="L536" s="17" t="s">
        <v>86</v>
      </c>
      <c r="M536" s="29">
        <v>1.1000000000000001</v>
      </c>
      <c r="N536" s="58" t="s">
        <v>38</v>
      </c>
      <c r="O536" s="58"/>
      <c r="P536" s="19"/>
    </row>
    <row r="537" spans="1:16" x14ac:dyDescent="0.25">
      <c r="A537" s="4" t="s">
        <v>199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/>
      <c r="M537" s="5"/>
      <c r="N537" s="5"/>
      <c r="O537" s="5"/>
      <c r="P537" s="5"/>
    </row>
    <row r="538" spans="1:16" x14ac:dyDescent="0.25">
      <c r="A538" t="s">
        <v>195</v>
      </c>
      <c r="B538" s="10"/>
      <c r="C538" s="10"/>
      <c r="D538" t="s">
        <v>128</v>
      </c>
      <c r="L538" t="s">
        <v>85</v>
      </c>
      <c r="M538" s="21">
        <v>38</v>
      </c>
      <c r="N538" t="s">
        <v>38</v>
      </c>
      <c r="O538" s="11" t="s">
        <v>201</v>
      </c>
      <c r="P538" s="8" t="s">
        <v>92</v>
      </c>
    </row>
    <row r="539" spans="1:16" x14ac:dyDescent="0.25">
      <c r="A539" t="s">
        <v>195</v>
      </c>
      <c r="B539" s="10"/>
      <c r="C539" s="10"/>
      <c r="D539" t="s">
        <v>128</v>
      </c>
      <c r="H539" t="s">
        <v>129</v>
      </c>
      <c r="L539" t="s">
        <v>86</v>
      </c>
      <c r="M539" s="21">
        <v>60</v>
      </c>
      <c r="N539" t="s">
        <v>38</v>
      </c>
      <c r="P539" s="8" t="s">
        <v>92</v>
      </c>
    </row>
    <row r="540" spans="1:16" x14ac:dyDescent="0.25">
      <c r="A540" s="17" t="s">
        <v>194</v>
      </c>
      <c r="B540" s="10"/>
      <c r="C540" s="10"/>
      <c r="D540" t="s">
        <v>37</v>
      </c>
      <c r="L540" t="s">
        <v>85</v>
      </c>
      <c r="M540" s="15">
        <f>(1*0.766) / (2.1/0.86) * 100</f>
        <v>31.369523809523809</v>
      </c>
      <c r="N540" s="17" t="s">
        <v>38</v>
      </c>
      <c r="O540" s="17" t="s">
        <v>334</v>
      </c>
      <c r="P540" s="9" t="s">
        <v>331</v>
      </c>
    </row>
    <row r="541" spans="1:16" x14ac:dyDescent="0.25">
      <c r="A541" s="17" t="s">
        <v>194</v>
      </c>
      <c r="B541" s="10"/>
      <c r="C541" s="10"/>
      <c r="D541" t="s">
        <v>37</v>
      </c>
      <c r="H541" t="s">
        <v>310</v>
      </c>
      <c r="L541" t="s">
        <v>86</v>
      </c>
      <c r="M541" s="15">
        <f>(0.8/0.9) / (2.1/0.86) * 100</f>
        <v>36.402116402116405</v>
      </c>
      <c r="N541" s="17" t="s">
        <v>38</v>
      </c>
      <c r="O541" s="42" t="s">
        <v>330</v>
      </c>
      <c r="P541" s="9" t="s">
        <v>332</v>
      </c>
    </row>
    <row r="542" spans="1:16" x14ac:dyDescent="0.25">
      <c r="A542" s="6"/>
      <c r="B542" s="10"/>
      <c r="C542" s="10"/>
      <c r="H542" s="6" t="s">
        <v>309</v>
      </c>
      <c r="M542" s="23"/>
      <c r="N542" s="6"/>
      <c r="O542" s="6" t="s">
        <v>311</v>
      </c>
      <c r="P542" s="9"/>
    </row>
    <row r="543" spans="1:16" s="17" customFormat="1" x14ac:dyDescent="0.25">
      <c r="A543" s="17" t="s">
        <v>412</v>
      </c>
      <c r="B543" s="19"/>
      <c r="C543" s="19"/>
      <c r="E543" s="17" t="s">
        <v>446</v>
      </c>
      <c r="L543" s="17" t="s">
        <v>85</v>
      </c>
      <c r="M543" s="15">
        <f>((7.8762418/27)/(1/0.86))*100</f>
        <v>25.087288696296294</v>
      </c>
      <c r="N543" s="17" t="s">
        <v>38</v>
      </c>
      <c r="O543" s="17" t="s">
        <v>447</v>
      </c>
      <c r="P543" s="18"/>
    </row>
    <row r="544" spans="1:16" s="17" customFormat="1" x14ac:dyDescent="0.25">
      <c r="A544" s="6" t="s">
        <v>412</v>
      </c>
      <c r="B544" s="10"/>
      <c r="C544" s="10"/>
      <c r="D544" s="6"/>
      <c r="E544" s="6" t="s">
        <v>446</v>
      </c>
      <c r="F544" s="6"/>
      <c r="G544" s="6"/>
      <c r="H544" s="6" t="s">
        <v>448</v>
      </c>
      <c r="I544" s="6"/>
      <c r="J544" s="6"/>
      <c r="K544" s="6"/>
      <c r="L544" s="6" t="s">
        <v>86</v>
      </c>
      <c r="M544" s="13">
        <f>((0.4565/55)/(1/0.86))*100</f>
        <v>0.71379999999999999</v>
      </c>
      <c r="N544" s="6" t="s">
        <v>38</v>
      </c>
      <c r="O544" s="6" t="s">
        <v>449</v>
      </c>
      <c r="P544" s="18"/>
    </row>
    <row r="545" spans="1:16" x14ac:dyDescent="0.25">
      <c r="A545" s="17" t="s">
        <v>379</v>
      </c>
      <c r="B545" s="10"/>
      <c r="C545" s="10"/>
      <c r="D545" t="s">
        <v>378</v>
      </c>
      <c r="H545" s="6"/>
      <c r="L545" t="s">
        <v>85</v>
      </c>
      <c r="M545" s="15">
        <v>100</v>
      </c>
      <c r="N545" s="17" t="s">
        <v>38</v>
      </c>
      <c r="O545" s="6"/>
      <c r="P545" s="9"/>
    </row>
    <row r="546" spans="1:16" x14ac:dyDescent="0.25">
      <c r="A546" s="4" t="s">
        <v>299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/>
      <c r="M546" s="38" t="s">
        <v>312</v>
      </c>
      <c r="N546" s="5"/>
      <c r="O546" s="5"/>
      <c r="P546" s="5"/>
    </row>
    <row r="547" spans="1:16" x14ac:dyDescent="0.25">
      <c r="A547" t="s">
        <v>272</v>
      </c>
      <c r="B547" s="10"/>
      <c r="C547" s="10"/>
      <c r="D547" s="10"/>
      <c r="E547" s="10"/>
      <c r="F547" s="19" t="s">
        <v>270</v>
      </c>
      <c r="G547" s="19" t="s">
        <v>271</v>
      </c>
      <c r="H547" s="10"/>
      <c r="I547" s="10"/>
      <c r="J547" s="10"/>
      <c r="K547" s="10"/>
      <c r="L547" t="s">
        <v>85</v>
      </c>
      <c r="M547" s="19">
        <v>100</v>
      </c>
      <c r="N547" s="8" t="s">
        <v>38</v>
      </c>
      <c r="O547" s="8"/>
      <c r="P547" s="8"/>
    </row>
    <row r="548" spans="1:16" x14ac:dyDescent="0.25">
      <c r="A548" t="s">
        <v>346</v>
      </c>
      <c r="B548" s="10"/>
      <c r="C548" s="10"/>
      <c r="D548" s="10"/>
      <c r="E548" s="10"/>
      <c r="F548" s="19" t="s">
        <v>348</v>
      </c>
      <c r="G548" s="19" t="s">
        <v>271</v>
      </c>
      <c r="H548" s="10"/>
      <c r="I548" s="10"/>
      <c r="J548" s="10"/>
      <c r="K548" s="10"/>
      <c r="L548" t="s">
        <v>85</v>
      </c>
      <c r="M548" s="19">
        <v>100</v>
      </c>
      <c r="N548" s="8" t="s">
        <v>38</v>
      </c>
      <c r="O548" s="8"/>
      <c r="P548" s="8"/>
    </row>
    <row r="549" spans="1:16" x14ac:dyDescent="0.25">
      <c r="B549" s="10"/>
      <c r="C549" s="10"/>
      <c r="D549" s="10"/>
      <c r="E549" s="10"/>
      <c r="F549" s="19"/>
      <c r="G549" s="19"/>
      <c r="H549" s="10"/>
      <c r="I549" s="10"/>
      <c r="J549" s="10"/>
      <c r="K549" s="10"/>
      <c r="M549" s="19"/>
      <c r="N549" s="8"/>
      <c r="O549" s="8"/>
      <c r="P549" s="8"/>
    </row>
    <row r="550" spans="1:16" x14ac:dyDescent="0.25">
      <c r="A550" s="2" t="s">
        <v>314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25">
      <c r="A551" s="6" t="s">
        <v>315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E24"/>
  <sheetViews>
    <sheetView workbookViewId="0">
      <selection activeCell="H27" sqref="H27"/>
    </sheetView>
  </sheetViews>
  <sheetFormatPr defaultRowHeight="15" x14ac:dyDescent="0.25"/>
  <sheetData>
    <row r="8" spans="5:5" x14ac:dyDescent="0.25">
      <c r="E8" s="25" t="s">
        <v>152</v>
      </c>
    </row>
    <row r="9" spans="5:5" x14ac:dyDescent="0.25">
      <c r="E9" t="s">
        <v>155</v>
      </c>
    </row>
    <row r="10" spans="5:5" x14ac:dyDescent="0.25">
      <c r="E10" t="s">
        <v>153</v>
      </c>
    </row>
    <row r="11" spans="5:5" x14ac:dyDescent="0.25">
      <c r="E11" t="s">
        <v>154</v>
      </c>
    </row>
    <row r="12" spans="5:5" x14ac:dyDescent="0.25">
      <c r="E12" t="s">
        <v>157</v>
      </c>
    </row>
    <row r="13" spans="5:5" x14ac:dyDescent="0.25">
      <c r="E13" t="s">
        <v>156</v>
      </c>
    </row>
    <row r="15" spans="5:5" x14ac:dyDescent="0.25">
      <c r="E15" s="25" t="s">
        <v>158</v>
      </c>
    </row>
    <row r="16" spans="5:5" x14ac:dyDescent="0.25">
      <c r="E16" t="s">
        <v>159</v>
      </c>
    </row>
    <row r="17" spans="5:5" x14ac:dyDescent="0.25">
      <c r="E17" t="s">
        <v>160</v>
      </c>
    </row>
    <row r="19" spans="5:5" x14ac:dyDescent="0.25">
      <c r="E19" s="25" t="s">
        <v>161</v>
      </c>
    </row>
    <row r="20" spans="5:5" x14ac:dyDescent="0.25">
      <c r="E20" t="s">
        <v>163</v>
      </c>
    </row>
    <row r="21" spans="5:5" x14ac:dyDescent="0.25">
      <c r="E21" t="s">
        <v>162</v>
      </c>
    </row>
    <row r="23" spans="5:5" x14ac:dyDescent="0.25">
      <c r="E23" s="25" t="s">
        <v>164</v>
      </c>
    </row>
    <row r="24" spans="5:5" x14ac:dyDescent="0.25">
      <c r="E24" t="s">
        <v>165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activeCell="T10" sqref="T10"/>
    </sheetView>
  </sheetViews>
  <sheetFormatPr defaultRowHeight="15" x14ac:dyDescent="0.25"/>
  <cols>
    <col min="3" max="20" width="8.7109375" customWidth="1"/>
  </cols>
  <sheetData>
    <row r="1" spans="1:20" x14ac:dyDescent="0.25">
      <c r="A1" t="s">
        <v>276</v>
      </c>
    </row>
    <row r="2" spans="1:20" x14ac:dyDescent="0.25">
      <c r="A2" t="s">
        <v>278</v>
      </c>
      <c r="F2" s="31" t="s">
        <v>277</v>
      </c>
    </row>
    <row r="3" spans="1:20" x14ac:dyDescent="0.25">
      <c r="A3" t="s">
        <v>287</v>
      </c>
      <c r="F3" s="31" t="s">
        <v>286</v>
      </c>
    </row>
    <row r="4" spans="1:20" x14ac:dyDescent="0.25">
      <c r="F4" s="31"/>
    </row>
    <row r="5" spans="1:20" x14ac:dyDescent="0.25">
      <c r="C5" s="25" t="s">
        <v>301</v>
      </c>
    </row>
    <row r="6" spans="1:20" x14ac:dyDescent="0.25">
      <c r="C6" s="1" t="s">
        <v>275</v>
      </c>
      <c r="I6" s="1" t="s">
        <v>279</v>
      </c>
      <c r="O6" s="1" t="s">
        <v>288</v>
      </c>
    </row>
    <row r="7" spans="1:20" x14ac:dyDescent="0.25">
      <c r="C7">
        <v>2016</v>
      </c>
      <c r="D7">
        <v>2017</v>
      </c>
      <c r="E7">
        <v>2018</v>
      </c>
      <c r="F7">
        <v>2019</v>
      </c>
      <c r="G7">
        <v>2020</v>
      </c>
      <c r="H7" s="32" t="s">
        <v>282</v>
      </c>
      <c r="I7">
        <v>2016</v>
      </c>
      <c r="J7">
        <v>2017</v>
      </c>
      <c r="K7">
        <v>2018</v>
      </c>
      <c r="L7">
        <v>2019</v>
      </c>
      <c r="M7">
        <v>2020</v>
      </c>
      <c r="N7" s="32" t="s">
        <v>282</v>
      </c>
      <c r="O7">
        <v>2016</v>
      </c>
      <c r="P7">
        <v>2017</v>
      </c>
      <c r="Q7">
        <v>2018</v>
      </c>
      <c r="R7">
        <v>2019</v>
      </c>
      <c r="S7">
        <v>2020</v>
      </c>
      <c r="T7" s="32" t="s">
        <v>282</v>
      </c>
    </row>
    <row r="8" spans="1:20" x14ac:dyDescent="0.25">
      <c r="A8" t="s">
        <v>161</v>
      </c>
      <c r="B8" t="s">
        <v>280</v>
      </c>
      <c r="C8" s="34">
        <v>142352</v>
      </c>
      <c r="D8" s="33">
        <v>244799</v>
      </c>
      <c r="E8" s="34">
        <v>272946</v>
      </c>
      <c r="F8" s="34">
        <v>283717</v>
      </c>
      <c r="G8" s="34">
        <v>40867</v>
      </c>
      <c r="H8" s="34">
        <f>AVERAGE(C8:G8)</f>
        <v>196936.2</v>
      </c>
      <c r="I8" s="33">
        <v>967062</v>
      </c>
      <c r="J8" s="33">
        <v>705522</v>
      </c>
      <c r="K8" s="34">
        <v>418327</v>
      </c>
      <c r="L8" s="34">
        <v>627125</v>
      </c>
      <c r="M8" s="34">
        <v>1057894</v>
      </c>
      <c r="N8" s="34">
        <f>AVERAGE(I8:M8)</f>
        <v>755186</v>
      </c>
      <c r="O8" s="34">
        <f t="shared" ref="O8:O12" si="0">I8-C8</f>
        <v>824710</v>
      </c>
      <c r="P8" s="34">
        <f t="shared" ref="P8:P12" si="1">J8-D8</f>
        <v>460723</v>
      </c>
      <c r="Q8" s="34">
        <f t="shared" ref="Q8:S8" si="2">K8-E8</f>
        <v>145381</v>
      </c>
      <c r="R8" s="34">
        <f t="shared" si="2"/>
        <v>343408</v>
      </c>
      <c r="S8" s="34">
        <f t="shared" si="2"/>
        <v>1017027</v>
      </c>
      <c r="T8" s="35">
        <f>AVERAGE(O8:S8)</f>
        <v>558249.80000000005</v>
      </c>
    </row>
    <row r="9" spans="1:20" x14ac:dyDescent="0.25">
      <c r="A9" t="s">
        <v>304</v>
      </c>
      <c r="B9" t="s">
        <v>281</v>
      </c>
      <c r="C9" s="33">
        <v>11521</v>
      </c>
      <c r="D9" s="33">
        <v>6953</v>
      </c>
      <c r="E9" s="34">
        <v>11274</v>
      </c>
      <c r="F9" s="34">
        <v>13965</v>
      </c>
      <c r="G9" s="34">
        <v>9115</v>
      </c>
      <c r="H9" s="34">
        <f t="shared" ref="H9:H12" si="3">AVERAGE(C9:G9)</f>
        <v>10565.6</v>
      </c>
      <c r="I9" s="33">
        <v>34581</v>
      </c>
      <c r="J9" s="33">
        <v>6354</v>
      </c>
      <c r="K9" s="33">
        <v>6898</v>
      </c>
      <c r="L9" s="33">
        <v>59879</v>
      </c>
      <c r="M9" s="33">
        <v>57117</v>
      </c>
      <c r="N9" s="34">
        <f t="shared" ref="N9:N12" si="4">AVERAGE(I9:M9)</f>
        <v>32965.800000000003</v>
      </c>
      <c r="O9" s="34">
        <f t="shared" si="0"/>
        <v>23060</v>
      </c>
      <c r="P9" s="34">
        <f t="shared" si="1"/>
        <v>-599</v>
      </c>
      <c r="Q9" s="34">
        <f t="shared" ref="Q9:Q12" si="5">K9-E9</f>
        <v>-4376</v>
      </c>
      <c r="R9" s="34">
        <f t="shared" ref="R9:R12" si="6">L9-F9</f>
        <v>45914</v>
      </c>
      <c r="S9" s="34">
        <f t="shared" ref="S9:S12" si="7">M9-G9</f>
        <v>48002</v>
      </c>
      <c r="T9" s="35">
        <f t="shared" ref="T9:T12" si="8">AVERAGE(O9:S9)</f>
        <v>22400.2</v>
      </c>
    </row>
    <row r="10" spans="1:20" x14ac:dyDescent="0.25">
      <c r="A10" t="s">
        <v>305</v>
      </c>
      <c r="B10" t="s">
        <v>283</v>
      </c>
      <c r="C10" s="33">
        <v>77862</v>
      </c>
      <c r="D10" s="33">
        <v>32519</v>
      </c>
      <c r="E10" s="34">
        <v>87405</v>
      </c>
      <c r="F10" s="34">
        <v>110802</v>
      </c>
      <c r="G10" s="34">
        <v>50039</v>
      </c>
      <c r="H10" s="34">
        <f t="shared" si="3"/>
        <v>71725.399999999994</v>
      </c>
      <c r="I10" s="33">
        <v>479848</v>
      </c>
      <c r="J10" s="33">
        <v>430370</v>
      </c>
      <c r="K10" s="33">
        <v>330483</v>
      </c>
      <c r="L10" s="33">
        <v>219501</v>
      </c>
      <c r="M10" s="33">
        <v>421677</v>
      </c>
      <c r="N10" s="34">
        <f t="shared" si="4"/>
        <v>376375.8</v>
      </c>
      <c r="O10" s="34">
        <f t="shared" si="0"/>
        <v>401986</v>
      </c>
      <c r="P10" s="34">
        <f t="shared" si="1"/>
        <v>397851</v>
      </c>
      <c r="Q10" s="34">
        <f t="shared" si="5"/>
        <v>243078</v>
      </c>
      <c r="R10" s="34">
        <f t="shared" si="6"/>
        <v>108699</v>
      </c>
      <c r="S10" s="34">
        <f t="shared" si="7"/>
        <v>371638</v>
      </c>
      <c r="T10" s="35">
        <f t="shared" si="8"/>
        <v>304650.40000000002</v>
      </c>
    </row>
    <row r="11" spans="1:20" x14ac:dyDescent="0.25">
      <c r="A11" t="s">
        <v>306</v>
      </c>
      <c r="B11" t="s">
        <v>284</v>
      </c>
      <c r="C11" s="33">
        <v>2564</v>
      </c>
      <c r="D11" s="33">
        <v>3548</v>
      </c>
      <c r="E11" s="34">
        <v>49759</v>
      </c>
      <c r="F11" s="33">
        <v>36264</v>
      </c>
      <c r="G11" s="34">
        <v>4522</v>
      </c>
      <c r="H11" s="34">
        <f t="shared" si="3"/>
        <v>19331.400000000001</v>
      </c>
      <c r="I11" s="33">
        <v>226191</v>
      </c>
      <c r="J11" s="33">
        <v>269865</v>
      </c>
      <c r="K11" s="33">
        <v>164780</v>
      </c>
      <c r="L11" s="33">
        <v>135097</v>
      </c>
      <c r="M11" s="33">
        <v>186972</v>
      </c>
      <c r="N11" s="34">
        <f t="shared" si="4"/>
        <v>196581</v>
      </c>
      <c r="O11" s="34">
        <f t="shared" si="0"/>
        <v>223627</v>
      </c>
      <c r="P11" s="34">
        <f t="shared" si="1"/>
        <v>266317</v>
      </c>
      <c r="Q11" s="34">
        <f t="shared" si="5"/>
        <v>115021</v>
      </c>
      <c r="R11" s="34">
        <f>L11-F11</f>
        <v>98833</v>
      </c>
      <c r="S11" s="34">
        <f t="shared" si="7"/>
        <v>182450</v>
      </c>
      <c r="T11" s="35">
        <f t="shared" si="8"/>
        <v>177249.6</v>
      </c>
    </row>
    <row r="12" spans="1:20" x14ac:dyDescent="0.25">
      <c r="A12" t="s">
        <v>307</v>
      </c>
      <c r="B12" t="s">
        <v>285</v>
      </c>
      <c r="C12" s="33">
        <v>32168</v>
      </c>
      <c r="D12" s="33">
        <v>36677</v>
      </c>
      <c r="E12" s="34">
        <v>77572</v>
      </c>
      <c r="F12" s="34">
        <v>126538</v>
      </c>
      <c r="G12" s="34">
        <v>53450</v>
      </c>
      <c r="H12" s="34">
        <f t="shared" si="3"/>
        <v>65281</v>
      </c>
      <c r="I12">
        <v>412</v>
      </c>
      <c r="J12">
        <v>595</v>
      </c>
      <c r="K12">
        <v>601</v>
      </c>
      <c r="L12">
        <v>607</v>
      </c>
      <c r="M12">
        <v>221</v>
      </c>
      <c r="N12" s="34">
        <f t="shared" si="4"/>
        <v>487.2</v>
      </c>
      <c r="O12" s="34">
        <f t="shared" si="0"/>
        <v>-31756</v>
      </c>
      <c r="P12" s="34">
        <f t="shared" si="1"/>
        <v>-36082</v>
      </c>
      <c r="Q12" s="34">
        <f t="shared" si="5"/>
        <v>-76971</v>
      </c>
      <c r="R12" s="34">
        <f t="shared" si="6"/>
        <v>-125931</v>
      </c>
      <c r="S12" s="34">
        <f t="shared" si="7"/>
        <v>-53229</v>
      </c>
      <c r="T12" s="35">
        <f t="shared" si="8"/>
        <v>-64793.8</v>
      </c>
    </row>
    <row r="14" spans="1:20" x14ac:dyDescent="0.25">
      <c r="C14" s="25" t="s">
        <v>302</v>
      </c>
    </row>
    <row r="15" spans="1:20" x14ac:dyDescent="0.25">
      <c r="C15" s="1" t="s">
        <v>275</v>
      </c>
      <c r="I15" s="1" t="s">
        <v>279</v>
      </c>
      <c r="O15" s="1" t="s">
        <v>288</v>
      </c>
    </row>
    <row r="16" spans="1:20" x14ac:dyDescent="0.25">
      <c r="C16">
        <v>2016</v>
      </c>
      <c r="D16">
        <v>2017</v>
      </c>
      <c r="E16">
        <v>2018</v>
      </c>
      <c r="F16">
        <v>2019</v>
      </c>
      <c r="G16">
        <v>2020</v>
      </c>
      <c r="H16" s="32" t="s">
        <v>282</v>
      </c>
      <c r="I16">
        <v>2016</v>
      </c>
      <c r="J16">
        <v>2017</v>
      </c>
      <c r="K16">
        <v>2018</v>
      </c>
      <c r="L16">
        <v>2019</v>
      </c>
      <c r="M16">
        <v>2020</v>
      </c>
      <c r="N16" s="32" t="s">
        <v>282</v>
      </c>
      <c r="O16">
        <v>2016</v>
      </c>
      <c r="P16">
        <v>2017</v>
      </c>
      <c r="Q16">
        <v>2018</v>
      </c>
      <c r="R16">
        <v>2019</v>
      </c>
      <c r="S16">
        <v>2020</v>
      </c>
      <c r="T16" s="32" t="s">
        <v>282</v>
      </c>
    </row>
    <row r="17" spans="1:20" x14ac:dyDescent="0.25">
      <c r="A17" t="s">
        <v>303</v>
      </c>
      <c r="B17" t="s">
        <v>202</v>
      </c>
      <c r="C17" s="33">
        <v>9962</v>
      </c>
      <c r="D17" s="33">
        <v>9725</v>
      </c>
      <c r="E17" s="33">
        <v>33834</v>
      </c>
      <c r="F17" s="33">
        <v>15706</v>
      </c>
      <c r="G17" s="33">
        <v>20607</v>
      </c>
      <c r="H17" s="34">
        <f>AVERAGE(C17:G17)</f>
        <v>17966.8</v>
      </c>
      <c r="I17" s="33">
        <v>57573</v>
      </c>
      <c r="J17" s="33">
        <v>60238</v>
      </c>
      <c r="K17" s="33">
        <v>34935</v>
      </c>
      <c r="L17" s="33">
        <v>20423</v>
      </c>
      <c r="M17" s="33">
        <v>26979</v>
      </c>
      <c r="N17" s="34">
        <f>AVERAGE(I17:M17)</f>
        <v>40029.599999999999</v>
      </c>
      <c r="O17" s="34">
        <f t="shared" ref="O17" si="9">I17-C17</f>
        <v>47611</v>
      </c>
      <c r="P17" s="34">
        <f t="shared" ref="P17" si="10">J17-D17</f>
        <v>50513</v>
      </c>
      <c r="Q17" s="34">
        <f t="shared" ref="Q17" si="11">K17-E17</f>
        <v>1101</v>
      </c>
      <c r="R17" s="34">
        <f t="shared" ref="R17" si="12">L17-F17</f>
        <v>4717</v>
      </c>
      <c r="S17" s="34">
        <f t="shared" ref="S17" si="13">M17-G17</f>
        <v>6372</v>
      </c>
      <c r="T17" s="34">
        <f>AVERAGE(O17:S17)</f>
        <v>22062.799999999999</v>
      </c>
    </row>
  </sheetData>
  <hyperlinks>
    <hyperlink ref="F2" r:id="rId1"/>
    <hyperlink ref="F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313</v>
      </c>
    </row>
    <row r="2" spans="1:1" x14ac:dyDescent="0.25">
      <c r="A2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Sheet1</vt:lpstr>
      <vt:lpstr>Trade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2024-09-10T11:50:21Z</dcterms:modified>
</cp:coreProperties>
</file>