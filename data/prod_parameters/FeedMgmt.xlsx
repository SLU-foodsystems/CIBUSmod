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9" i="1" l="1"/>
  <c r="J48" i="1"/>
  <c r="J47" i="1"/>
  <c r="J46" i="1"/>
  <c r="I34" i="2"/>
  <c r="K34" i="2" s="1"/>
  <c r="I14" i="2"/>
  <c r="J14" i="2" s="1"/>
  <c r="I15" i="2"/>
  <c r="J15" i="2" s="1"/>
  <c r="I16" i="2"/>
  <c r="J16" i="2" s="1"/>
  <c r="I17" i="2"/>
  <c r="K17" i="2" s="1"/>
  <c r="I18" i="2"/>
  <c r="J18" i="2" s="1"/>
  <c r="I20" i="2"/>
  <c r="J20" i="2" s="1"/>
  <c r="I21" i="2"/>
  <c r="J21" i="2" s="1"/>
  <c r="I22" i="2"/>
  <c r="K22" i="2" s="1"/>
  <c r="I23" i="2"/>
  <c r="J23" i="2" s="1"/>
  <c r="I25" i="2"/>
  <c r="J25" i="2" s="1"/>
  <c r="I26" i="2"/>
  <c r="J26" i="2" s="1"/>
  <c r="I27" i="2"/>
  <c r="K27" i="2" s="1"/>
  <c r="I28" i="2"/>
  <c r="J28" i="2" s="1"/>
  <c r="I30" i="2"/>
  <c r="J30" i="2" s="1"/>
  <c r="I32" i="2"/>
  <c r="J32" i="2" s="1"/>
  <c r="I33" i="2"/>
  <c r="K33" i="2" s="1"/>
  <c r="I36" i="2"/>
  <c r="J36" i="2" s="1"/>
  <c r="I13" i="2"/>
  <c r="K13" i="2" s="1"/>
  <c r="E13" i="2"/>
  <c r="J34" i="2" l="1"/>
  <c r="K30" i="2"/>
  <c r="K25" i="2"/>
  <c r="K20" i="2"/>
  <c r="J13" i="2"/>
  <c r="K15" i="2"/>
  <c r="J33" i="2"/>
  <c r="J27" i="2"/>
  <c r="J22" i="2"/>
  <c r="C22" i="2" s="1"/>
  <c r="J17" i="1" s="1"/>
  <c r="J17" i="2"/>
  <c r="K36" i="2"/>
  <c r="K32" i="2"/>
  <c r="K28" i="2"/>
  <c r="K26" i="2"/>
  <c r="K23" i="2"/>
  <c r="K21" i="2"/>
  <c r="K18" i="2"/>
  <c r="K16" i="2"/>
  <c r="K14" i="2"/>
  <c r="E37" i="2"/>
  <c r="H37" i="2" s="1"/>
  <c r="J96" i="1" s="1"/>
  <c r="E14" i="2"/>
  <c r="F14" i="2" s="1"/>
  <c r="C14" i="2" s="1"/>
  <c r="J9" i="1" s="1"/>
  <c r="E15" i="2"/>
  <c r="G15" i="2" s="1"/>
  <c r="J99" i="1" s="1"/>
  <c r="E16" i="2"/>
  <c r="H16" i="2" s="1"/>
  <c r="J76" i="1" s="1"/>
  <c r="E17" i="2"/>
  <c r="F17" i="2" s="1"/>
  <c r="E18" i="2"/>
  <c r="F18" i="2" s="1"/>
  <c r="C18" i="2" s="1"/>
  <c r="J13" i="1" s="1"/>
  <c r="E19" i="2"/>
  <c r="G19" i="2" s="1"/>
  <c r="J103" i="1" s="1"/>
  <c r="E20" i="2"/>
  <c r="H20" i="2" s="1"/>
  <c r="J80" i="1" s="1"/>
  <c r="E21" i="2"/>
  <c r="F21" i="2" s="1"/>
  <c r="C21" i="2" s="1"/>
  <c r="J16" i="1" s="1"/>
  <c r="E23" i="2"/>
  <c r="F23" i="2" s="1"/>
  <c r="C23" i="2" s="1"/>
  <c r="J18" i="1" s="1"/>
  <c r="E24" i="2"/>
  <c r="G24" i="2" s="1"/>
  <c r="J107" i="1" s="1"/>
  <c r="E25" i="2"/>
  <c r="H25" i="2" s="1"/>
  <c r="J84" i="1" s="1"/>
  <c r="E26" i="2"/>
  <c r="F26" i="2" s="1"/>
  <c r="C26" i="2" s="1"/>
  <c r="J21" i="1" s="1"/>
  <c r="E27" i="2"/>
  <c r="F27" i="2" s="1"/>
  <c r="C27" i="2" s="1"/>
  <c r="J22" i="1" s="1"/>
  <c r="E28" i="2"/>
  <c r="G28" i="2" s="1"/>
  <c r="J111" i="1" s="1"/>
  <c r="E29" i="2"/>
  <c r="H29" i="2" s="1"/>
  <c r="J88" i="1" s="1"/>
  <c r="E30" i="2"/>
  <c r="F30" i="2" s="1"/>
  <c r="C30" i="2" s="1"/>
  <c r="E31" i="2"/>
  <c r="F31" i="2" s="1"/>
  <c r="C31" i="2" s="1"/>
  <c r="J26" i="1" s="1"/>
  <c r="J25" i="1" s="1"/>
  <c r="E32" i="2"/>
  <c r="G32" i="2" s="1"/>
  <c r="J115" i="1" s="1"/>
  <c r="E33" i="2"/>
  <c r="H33" i="2" s="1"/>
  <c r="J92" i="1" s="1"/>
  <c r="E34" i="2"/>
  <c r="F34" i="2" s="1"/>
  <c r="E35" i="2"/>
  <c r="F35" i="2" s="1"/>
  <c r="C35" i="2" s="1"/>
  <c r="E36" i="2"/>
  <c r="G36" i="2" s="1"/>
  <c r="J119" i="1" s="1"/>
  <c r="G13" i="2"/>
  <c r="J97" i="1" s="1"/>
  <c r="C34" i="2" l="1"/>
  <c r="J29" i="1" s="1"/>
  <c r="J30" i="1" s="1"/>
  <c r="C17" i="2"/>
  <c r="J12" i="1" s="1"/>
  <c r="F36" i="2"/>
  <c r="C36" i="2" s="1"/>
  <c r="J31" i="1" s="1"/>
  <c r="F32" i="2"/>
  <c r="C32" i="2" s="1"/>
  <c r="J27" i="1" s="1"/>
  <c r="F28" i="2"/>
  <c r="C28" i="2" s="1"/>
  <c r="J23" i="1" s="1"/>
  <c r="F24" i="2"/>
  <c r="C24" i="2" s="1"/>
  <c r="J19" i="1" s="1"/>
  <c r="F19" i="2"/>
  <c r="C19" i="2" s="1"/>
  <c r="J14" i="1" s="1"/>
  <c r="F15" i="2"/>
  <c r="C15" i="2" s="1"/>
  <c r="J10" i="1" s="1"/>
  <c r="H35" i="2"/>
  <c r="J94" i="1" s="1"/>
  <c r="H31" i="2"/>
  <c r="J90" i="1" s="1"/>
  <c r="H27" i="2"/>
  <c r="J86" i="1" s="1"/>
  <c r="H23" i="2"/>
  <c r="J82" i="1" s="1"/>
  <c r="H18" i="2"/>
  <c r="J78" i="1" s="1"/>
  <c r="H14" i="2"/>
  <c r="J74" i="1" s="1"/>
  <c r="G37" i="2"/>
  <c r="J120" i="1" s="1"/>
  <c r="H34" i="2"/>
  <c r="J93" i="1" s="1"/>
  <c r="H30" i="2"/>
  <c r="J89" i="1" s="1"/>
  <c r="H26" i="2"/>
  <c r="J85" i="1" s="1"/>
  <c r="H21" i="2"/>
  <c r="J81" i="1" s="1"/>
  <c r="H17" i="2"/>
  <c r="J77" i="1" s="1"/>
  <c r="F37" i="2"/>
  <c r="C37" i="2" s="1"/>
  <c r="J32" i="1" s="1"/>
  <c r="G34" i="2"/>
  <c r="J117" i="1" s="1"/>
  <c r="G30" i="2"/>
  <c r="J113" i="1" s="1"/>
  <c r="G26" i="2"/>
  <c r="J109" i="1" s="1"/>
  <c r="G21" i="2"/>
  <c r="J105" i="1" s="1"/>
  <c r="G17" i="2"/>
  <c r="J101" i="1" s="1"/>
  <c r="F13" i="2"/>
  <c r="C13" i="2" s="1"/>
  <c r="J8" i="1" s="1"/>
  <c r="G33" i="2"/>
  <c r="J116" i="1" s="1"/>
  <c r="F33" i="2"/>
  <c r="C33" i="2" s="1"/>
  <c r="J28" i="1" s="1"/>
  <c r="F20" i="2"/>
  <c r="C20" i="2" s="1"/>
  <c r="J15" i="1" s="1"/>
  <c r="G29" i="2"/>
  <c r="J112" i="1" s="1"/>
  <c r="G16" i="2"/>
  <c r="J100" i="1" s="1"/>
  <c r="H13" i="2"/>
  <c r="J73" i="1" s="1"/>
  <c r="F16" i="2"/>
  <c r="C16" i="2" s="1"/>
  <c r="J11" i="1" s="1"/>
  <c r="H36" i="2"/>
  <c r="J95" i="1" s="1"/>
  <c r="G35" i="2"/>
  <c r="J118" i="1" s="1"/>
  <c r="H32" i="2"/>
  <c r="J91" i="1" s="1"/>
  <c r="G31" i="2"/>
  <c r="J114" i="1" s="1"/>
  <c r="H28" i="2"/>
  <c r="J87" i="1" s="1"/>
  <c r="G27" i="2"/>
  <c r="J110" i="1" s="1"/>
  <c r="H24" i="2"/>
  <c r="J83" i="1" s="1"/>
  <c r="G23" i="2"/>
  <c r="J106" i="1" s="1"/>
  <c r="H19" i="2"/>
  <c r="J79" i="1" s="1"/>
  <c r="G18" i="2"/>
  <c r="J102" i="1" s="1"/>
  <c r="H15" i="2"/>
  <c r="J75" i="1" s="1"/>
  <c r="G14" i="2"/>
  <c r="J98" i="1" s="1"/>
  <c r="G25" i="2"/>
  <c r="J108" i="1" s="1"/>
  <c r="G20" i="2"/>
  <c r="J104" i="1" s="1"/>
  <c r="F29" i="2"/>
  <c r="C29" i="2" s="1"/>
  <c r="J24" i="1" s="1"/>
  <c r="F25" i="2"/>
  <c r="C25" i="2" s="1"/>
  <c r="J20" i="1" s="1"/>
</calcChain>
</file>

<file path=xl/sharedStrings.xml><?xml version="1.0" encoding="utf-8"?>
<sst xmlns="http://schemas.openxmlformats.org/spreadsheetml/2006/main" count="767" uniqueCount="317">
  <si>
    <t>f_feed</t>
  </si>
  <si>
    <t>f_crop_prod</t>
  </si>
  <si>
    <t>silage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</si>
  <si>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</si>
  <si>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</si>
  <si>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</si>
  <si>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</si>
  <si>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</si>
  <si>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</si>
  <si>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</si>
  <si>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</si>
  <si>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</si>
  <si>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</si>
  <si>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</si>
  <si>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</si>
  <si>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</si>
  <si>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</si>
  <si>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</si>
  <si>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</si>
  <si>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</si>
  <si>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</si>
  <si>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dairy</t>
  </si>
  <si>
    <t>cows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</si>
  <si>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</si>
  <si>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</si>
  <si>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</si>
  <si>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</si>
  <si>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</si>
  <si>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</si>
  <si>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</si>
  <si>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</si>
  <si>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</si>
  <si>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</si>
  <si>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</si>
  <si>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</si>
  <si>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</si>
  <si>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</si>
  <si>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</si>
  <si>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</si>
  <si>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</si>
  <si>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</si>
  <si>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</si>
  <si>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</si>
  <si>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</si>
  <si>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</si>
  <si>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</si>
  <si>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</si>
  <si>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</si>
  <si>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</si>
  <si>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</si>
  <si>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</si>
  <si>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</si>
  <si>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</si>
  <si>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</si>
  <si>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</si>
  <si>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</si>
  <si>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</si>
  <si>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</si>
  <si>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</si>
  <si>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</si>
  <si>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</si>
  <si>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</si>
  <si>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</si>
  <si>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</si>
  <si>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</si>
  <si>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</si>
  <si>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</si>
  <si>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</si>
  <si>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</si>
  <si>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</si>
  <si>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</si>
  <si>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</si>
  <si>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</si>
  <si>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</si>
  <si>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</si>
  <si>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</si>
  <si>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</si>
  <si>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</si>
  <si>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</si>
  <si>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</si>
  <si>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</si>
  <si>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</si>
  <si>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</si>
  <si>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</si>
  <si>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</si>
  <si>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</si>
  <si>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</si>
  <si>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</si>
  <si>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</si>
  <si>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</si>
  <si>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</si>
  <si>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</si>
  <si>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</si>
  <si>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</si>
  <si>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</si>
  <si>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</si>
  <si>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</si>
  <si>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</si>
  <si>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</si>
  <si>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</si>
  <si>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</si>
  <si>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</si>
  <si>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</si>
  <si>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</si>
  <si>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</si>
  <si>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</si>
  <si>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</si>
  <si>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</si>
  <si>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</si>
  <si>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</si>
  <si>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</si>
  <si>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</si>
  <si>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</si>
  <si>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</si>
  <si>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</si>
  <si>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</si>
  <si>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</si>
  <si>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</si>
  <si>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</si>
  <si>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</si>
  <si>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</si>
  <si>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</si>
  <si>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</si>
  <si>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</si>
  <si>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</si>
  <si>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</si>
  <si>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</si>
  <si>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</si>
  <si>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</si>
  <si>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</si>
  <si>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</si>
  <si>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</si>
  <si>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</si>
  <si>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</si>
  <si>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</si>
  <si>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</si>
  <si>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</si>
  <si>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</si>
  <si>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</si>
  <si>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</si>
  <si>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</si>
  <si>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</si>
  <si>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</si>
  <si>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</si>
  <si>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</si>
  <si>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</si>
  <si>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</si>
  <si>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</si>
  <si>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</si>
  <si>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</si>
  <si>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</si>
  <si>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</si>
  <si>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</si>
  <si>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</si>
  <si>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</si>
  <si>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</si>
  <si>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</si>
  <si>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</si>
  <si>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</si>
  <si>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</si>
  <si>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</si>
  <si>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</si>
  <si>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</si>
  <si>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</si>
  <si>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</si>
  <si>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</si>
  <si>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</si>
  <si>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</si>
  <si>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</si>
  <si>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</si>
  <si>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</si>
  <si>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</si>
  <si>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</si>
  <si>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</si>
  <si>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</si>
  <si>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</si>
  <si>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</si>
  <si>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</si>
  <si>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</si>
  <si>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</si>
  <si>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</si>
  <si>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</si>
  <si>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</si>
  <si>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</si>
  <si>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</si>
  <si>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</si>
  <si>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</si>
  <si>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</si>
  <si>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</si>
  <si>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</si>
  <si>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</si>
  <si>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</si>
  <si>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</si>
  <si>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</si>
  <si>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</si>
  <si>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</si>
  <si>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</si>
  <si>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</si>
  <si>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</si>
  <si>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</si>
  <si>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</si>
  <si>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</si>
  <si>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</si>
  <si>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</si>
  <si>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</si>
  <si>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</si>
  <si>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</si>
  <si>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</si>
  <si>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</si>
  <si>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</si>
  <si>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</si>
  <si>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</si>
  <si>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</si>
  <si>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</si>
  <si>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</si>
  <si>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</si>
  <si>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</si>
  <si>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</si>
  <si>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</si>
  <si>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</si>
  <si>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</si>
  <si>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</si>
  <si>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</si>
  <si>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</si>
  <si>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</si>
  <si>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</si>
  <si>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</si>
  <si>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</si>
  <si>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</si>
  <si>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</si>
  <si>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</si>
  <si>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</si>
  <si>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</si>
  <si>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</si>
  <si>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</si>
  <si>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</si>
  <si>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</si>
  <si>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</si>
  <si>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</si>
  <si>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</si>
  <si>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</si>
  <si>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</si>
  <si>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</si>
  <si>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</si>
  <si>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</si>
  <si>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</si>
  <si>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</si>
  <si>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</si>
  <si>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</si>
  <si>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</si>
  <si>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</si>
  <si>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</si>
  <si>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</si>
  <si>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</si>
  <si>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</si>
  <si>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</si>
  <si>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</si>
  <si>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</si>
  <si>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</si>
  <si>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</si>
  <si>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</si>
  <si>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</si>
  <si>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</si>
  <si>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</si>
  <si>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</si>
  <si>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</si>
  <si>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</si>
  <si>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</si>
  <si>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</si>
  <si>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</si>
  <si>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</si>
  <si>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</si>
  <si>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</si>
  <si>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</si>
  <si>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</si>
  <si>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</si>
  <si>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</si>
  <si>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</si>
  <si>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</si>
  <si>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</si>
  <si>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</si>
  <si>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</si>
  <si>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</si>
  <si>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</si>
  <si>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</si>
  <si>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</si>
  <si>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</si>
  <si>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</si>
  <si>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</si>
  <si>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</si>
  <si>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</si>
  <si>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</si>
  <si>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</si>
  <si>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</si>
  <si>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</si>
  <si>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</si>
  <si>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</si>
  <si>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</si>
  <si>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</si>
  <si>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</si>
  <si>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</si>
  <si>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</si>
  <si>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</si>
  <si>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</si>
  <si>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</si>
  <si>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</si>
  <si>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</si>
  <si>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</si>
  <si>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</si>
  <si>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</si>
  <si>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</si>
  <si>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</si>
  <si>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</si>
  <si>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 xml:space="preserve">   1st cut</t>
  </si>
  <si>
    <t xml:space="preserve">   regrowth</t>
  </si>
  <si>
    <t>80% 1st cut</t>
  </si>
  <si>
    <t>50% 1st 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</si>
</sst>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0" fontId="8" fillId="0" borderId="0" xfId="0" applyFont="1"/>
    <xf numFmtId="1" fontId="0" fillId="0" borderId="0" xfId="0" applyNumberFormat="1"/>
    <xf numFmtId="0" fontId="2" fillId="2" borderId="0" xfId="0" applyFont="1" applyFill="1"/>
    <xf numFmtId="0" fontId="9" fillId="0" borderId="0" xfId="0" applyFont="1"/>
    <xf numFmtId="164" fontId="2" fillId="0" borderId="0" xfId="0" applyNumberFormat="1" applyFon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2.freefarm.se/fodertabell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0"/>
  <sheetViews>
    <sheetView tabSelected="1" zoomScale="80" zoomScaleNormal="80" workbookViewId="0">
      <pane ySplit="1" topLeftCell="A50" activePane="bottomLeft" state="frozen"/>
      <selection pane="bottomLeft" activeCell="L65" sqref="L65"/>
    </sheetView>
  </sheetViews>
  <sheetFormatPr defaultRowHeight="15" x14ac:dyDescent="0.25"/>
  <cols>
    <col min="6" max="6" width="20.28515625" customWidth="1"/>
    <col min="7" max="7" width="19.5703125" bestFit="1" customWidth="1"/>
    <col min="8" max="8" width="20.140625" customWidth="1"/>
    <col min="9" max="9" width="16.42578125" bestFit="1" customWidth="1"/>
    <col min="11" max="11" width="12.7109375" bestFit="1" customWidth="1"/>
    <col min="12" max="12" width="38.140625" customWidth="1"/>
    <col min="13" max="13" width="58" customWidth="1"/>
  </cols>
  <sheetData>
    <row r="1" spans="1:14" x14ac:dyDescent="0.25">
      <c r="A1" s="4" t="s">
        <v>26</v>
      </c>
      <c r="B1" s="4" t="s">
        <v>15</v>
      </c>
      <c r="C1" s="4" t="s">
        <v>14</v>
      </c>
      <c r="D1" s="4" t="s">
        <v>16</v>
      </c>
      <c r="E1" s="4" t="s">
        <v>17</v>
      </c>
      <c r="F1" s="4" t="s">
        <v>0</v>
      </c>
      <c r="G1" s="4" t="s">
        <v>1</v>
      </c>
      <c r="H1" s="4" t="s">
        <v>10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</row>
    <row r="2" spans="1:14" x14ac:dyDescent="0.25">
      <c r="A2" s="1" t="s">
        <v>9</v>
      </c>
      <c r="B2" s="1"/>
      <c r="C2" s="1"/>
      <c r="D2" s="1"/>
      <c r="E2" s="1"/>
      <c r="F2" s="1"/>
      <c r="G2" s="1"/>
      <c r="H2" s="1"/>
      <c r="I2" s="2"/>
      <c r="J2" s="2"/>
      <c r="K2" s="2" t="s">
        <v>305</v>
      </c>
      <c r="L2" s="25" t="s">
        <v>312</v>
      </c>
      <c r="M2" s="2"/>
      <c r="N2" s="5"/>
    </row>
    <row r="3" spans="1:14" x14ac:dyDescent="0.25">
      <c r="I3" s="10" t="s">
        <v>35</v>
      </c>
      <c r="J3" s="21">
        <v>0</v>
      </c>
      <c r="K3" s="10"/>
      <c r="L3" s="10" t="s">
        <v>37</v>
      </c>
    </row>
    <row r="4" spans="1:14" x14ac:dyDescent="0.25">
      <c r="F4" t="s">
        <v>2</v>
      </c>
      <c r="G4" t="s">
        <v>11</v>
      </c>
      <c r="I4" t="s">
        <v>35</v>
      </c>
      <c r="J4" s="22">
        <v>1</v>
      </c>
    </row>
    <row r="5" spans="1:14" x14ac:dyDescent="0.25">
      <c r="F5" t="s">
        <v>3</v>
      </c>
      <c r="G5" t="s">
        <v>11</v>
      </c>
      <c r="I5" t="s">
        <v>35</v>
      </c>
      <c r="J5" s="22">
        <v>1</v>
      </c>
    </row>
    <row r="6" spans="1:14" x14ac:dyDescent="0.25">
      <c r="F6" t="s">
        <v>13</v>
      </c>
      <c r="G6" t="s">
        <v>12</v>
      </c>
      <c r="I6" t="s">
        <v>35</v>
      </c>
      <c r="J6" s="22">
        <v>1</v>
      </c>
    </row>
    <row r="7" spans="1:14" x14ac:dyDescent="0.25">
      <c r="F7" t="s">
        <v>36</v>
      </c>
      <c r="G7" t="s">
        <v>36</v>
      </c>
      <c r="I7" t="s">
        <v>35</v>
      </c>
      <c r="J7" s="22">
        <v>1</v>
      </c>
    </row>
    <row r="8" spans="1:14" x14ac:dyDescent="0.25">
      <c r="F8" t="s">
        <v>18</v>
      </c>
      <c r="G8" t="s">
        <v>18</v>
      </c>
      <c r="I8" t="s">
        <v>35</v>
      </c>
      <c r="J8" s="22">
        <f>'feed pars'!C13/100</f>
        <v>0.87</v>
      </c>
    </row>
    <row r="9" spans="1:14" x14ac:dyDescent="0.25">
      <c r="F9" t="s">
        <v>40</v>
      </c>
      <c r="G9" t="s">
        <v>40</v>
      </c>
      <c r="I9" t="s">
        <v>35</v>
      </c>
      <c r="J9" s="22">
        <f>'feed pars'!C14/100</f>
        <v>0.87</v>
      </c>
    </row>
    <row r="10" spans="1:14" x14ac:dyDescent="0.25">
      <c r="F10" t="s">
        <v>41</v>
      </c>
      <c r="G10" t="s">
        <v>41</v>
      </c>
      <c r="I10" t="s">
        <v>35</v>
      </c>
      <c r="J10" s="22">
        <f>'feed pars'!C15/100</f>
        <v>0.86</v>
      </c>
    </row>
    <row r="11" spans="1:14" x14ac:dyDescent="0.25">
      <c r="F11" t="s">
        <v>42</v>
      </c>
      <c r="G11" t="s">
        <v>42</v>
      </c>
      <c r="I11" t="s">
        <v>35</v>
      </c>
      <c r="J11" s="22">
        <f>'feed pars'!C16/100</f>
        <v>0.87</v>
      </c>
    </row>
    <row r="12" spans="1:14" x14ac:dyDescent="0.25">
      <c r="F12" t="s">
        <v>43</v>
      </c>
      <c r="G12" t="s">
        <v>43</v>
      </c>
      <c r="I12" t="s">
        <v>35</v>
      </c>
      <c r="J12" s="22">
        <f>'feed pars'!C17/100</f>
        <v>0.67500000000000004</v>
      </c>
    </row>
    <row r="13" spans="1:14" x14ac:dyDescent="0.25">
      <c r="F13" t="s">
        <v>44</v>
      </c>
      <c r="G13" t="s">
        <v>44</v>
      </c>
      <c r="I13" t="s">
        <v>35</v>
      </c>
      <c r="J13" s="22">
        <f>'feed pars'!C18/100</f>
        <v>0.87</v>
      </c>
    </row>
    <row r="14" spans="1:14" x14ac:dyDescent="0.25">
      <c r="F14" t="s">
        <v>45</v>
      </c>
      <c r="G14" t="s">
        <v>45</v>
      </c>
      <c r="I14" t="s">
        <v>35</v>
      </c>
      <c r="J14" s="22">
        <f>'feed pars'!C19/100</f>
        <v>0.87</v>
      </c>
    </row>
    <row r="15" spans="1:14" x14ac:dyDescent="0.25">
      <c r="F15" t="s">
        <v>38</v>
      </c>
      <c r="G15" t="s">
        <v>38</v>
      </c>
      <c r="I15" t="s">
        <v>35</v>
      </c>
      <c r="J15" s="22">
        <f>'feed pars'!C20/100</f>
        <v>0.92500000000000004</v>
      </c>
    </row>
    <row r="16" spans="1:14" x14ac:dyDescent="0.25">
      <c r="F16" t="s">
        <v>46</v>
      </c>
      <c r="G16" t="s">
        <v>46</v>
      </c>
      <c r="I16" t="s">
        <v>35</v>
      </c>
      <c r="J16" s="22">
        <f>'feed pars'!C21/100</f>
        <v>0.92</v>
      </c>
    </row>
    <row r="17" spans="6:10" x14ac:dyDescent="0.25">
      <c r="F17" t="s">
        <v>308</v>
      </c>
      <c r="H17" t="s">
        <v>308</v>
      </c>
      <c r="I17" t="s">
        <v>35</v>
      </c>
      <c r="J17" s="22">
        <f>'feed pars'!C22/100</f>
        <v>0.85</v>
      </c>
    </row>
    <row r="18" spans="6:10" x14ac:dyDescent="0.25">
      <c r="F18" t="s">
        <v>47</v>
      </c>
      <c r="H18" t="s">
        <v>47</v>
      </c>
      <c r="I18" t="s">
        <v>35</v>
      </c>
      <c r="J18" s="22">
        <f>'feed pars'!C23/100</f>
        <v>0.875</v>
      </c>
    </row>
    <row r="19" spans="6:10" x14ac:dyDescent="0.25">
      <c r="F19" t="s">
        <v>48</v>
      </c>
      <c r="H19" t="s">
        <v>48</v>
      </c>
      <c r="I19" t="s">
        <v>35</v>
      </c>
      <c r="J19" s="22">
        <f>'feed pars'!C24/100</f>
        <v>0.87</v>
      </c>
    </row>
    <row r="20" spans="6:10" x14ac:dyDescent="0.25">
      <c r="F20" t="s">
        <v>39</v>
      </c>
      <c r="H20" t="s">
        <v>39</v>
      </c>
      <c r="I20" t="s">
        <v>35</v>
      </c>
      <c r="J20" s="22">
        <f>'feed pars'!C25/100</f>
        <v>0.89500000000000002</v>
      </c>
    </row>
    <row r="21" spans="6:10" x14ac:dyDescent="0.25">
      <c r="F21" t="s">
        <v>49</v>
      </c>
      <c r="H21" t="s">
        <v>49</v>
      </c>
      <c r="I21" t="s">
        <v>35</v>
      </c>
      <c r="J21" s="22">
        <f>'feed pars'!C26/100</f>
        <v>0.91</v>
      </c>
    </row>
    <row r="22" spans="6:10" x14ac:dyDescent="0.25">
      <c r="F22" t="s">
        <v>50</v>
      </c>
      <c r="H22" t="s">
        <v>50</v>
      </c>
      <c r="I22" t="s">
        <v>35</v>
      </c>
      <c r="J22" s="22">
        <f>'feed pars'!C27/100</f>
        <v>0.91</v>
      </c>
    </row>
    <row r="23" spans="6:10" x14ac:dyDescent="0.25">
      <c r="F23" t="s">
        <v>51</v>
      </c>
      <c r="H23" t="s">
        <v>51</v>
      </c>
      <c r="I23" t="s">
        <v>35</v>
      </c>
      <c r="J23" s="22">
        <f>'feed pars'!C28/100</f>
        <v>0.87</v>
      </c>
    </row>
    <row r="24" spans="6:10" x14ac:dyDescent="0.25">
      <c r="F24" t="s">
        <v>52</v>
      </c>
      <c r="H24" t="s">
        <v>51</v>
      </c>
      <c r="I24" t="s">
        <v>35</v>
      </c>
      <c r="J24" s="22">
        <f>'feed pars'!C29/100</f>
        <v>0.88</v>
      </c>
    </row>
    <row r="25" spans="6:10" x14ac:dyDescent="0.25">
      <c r="F25" t="s">
        <v>53</v>
      </c>
      <c r="H25" t="s">
        <v>304</v>
      </c>
      <c r="I25" t="s">
        <v>35</v>
      </c>
      <c r="J25" s="20">
        <f>J26</f>
        <v>0.11</v>
      </c>
    </row>
    <row r="26" spans="6:10" x14ac:dyDescent="0.25">
      <c r="F26" t="s">
        <v>54</v>
      </c>
      <c r="H26" t="s">
        <v>304</v>
      </c>
      <c r="I26" t="s">
        <v>35</v>
      </c>
      <c r="J26" s="22">
        <f>'feed pars'!C31/100</f>
        <v>0.11</v>
      </c>
    </row>
    <row r="27" spans="6:10" x14ac:dyDescent="0.25">
      <c r="F27" t="s">
        <v>55</v>
      </c>
      <c r="H27" t="s">
        <v>55</v>
      </c>
      <c r="I27" t="s">
        <v>35</v>
      </c>
      <c r="J27" s="22">
        <f>'feed pars'!C32/100</f>
        <v>0.755</v>
      </c>
    </row>
    <row r="28" spans="6:10" x14ac:dyDescent="0.25">
      <c r="F28" t="s">
        <v>56</v>
      </c>
      <c r="H28" t="s">
        <v>56</v>
      </c>
      <c r="I28" t="s">
        <v>35</v>
      </c>
      <c r="J28" s="22">
        <f>'feed pars'!C33/100</f>
        <v>0.89500000000000002</v>
      </c>
    </row>
    <row r="29" spans="6:10" x14ac:dyDescent="0.25">
      <c r="F29" t="s">
        <v>57</v>
      </c>
      <c r="H29" t="s">
        <v>57</v>
      </c>
      <c r="I29" t="s">
        <v>35</v>
      </c>
      <c r="J29" s="22">
        <f>'feed pars'!C34/100</f>
        <v>6.25E-2</v>
      </c>
    </row>
    <row r="30" spans="6:10" x14ac:dyDescent="0.25">
      <c r="F30" t="s">
        <v>58</v>
      </c>
      <c r="H30" t="s">
        <v>57</v>
      </c>
      <c r="I30" t="s">
        <v>35</v>
      </c>
      <c r="J30" s="20">
        <f>J29</f>
        <v>6.25E-2</v>
      </c>
    </row>
    <row r="31" spans="6:10" x14ac:dyDescent="0.25">
      <c r="F31" t="s">
        <v>59</v>
      </c>
      <c r="H31" t="s">
        <v>59</v>
      </c>
      <c r="I31" t="s">
        <v>35</v>
      </c>
      <c r="J31" s="22">
        <f>'feed pars'!C36/100</f>
        <v>0.91</v>
      </c>
    </row>
    <row r="32" spans="6:10" x14ac:dyDescent="0.25">
      <c r="F32" t="s">
        <v>60</v>
      </c>
      <c r="H32" t="s">
        <v>60</v>
      </c>
      <c r="I32" t="s">
        <v>35</v>
      </c>
      <c r="J32" s="22">
        <f>'feed pars'!C37/100</f>
        <v>0.92</v>
      </c>
    </row>
    <row r="33" spans="1:13" x14ac:dyDescent="0.25">
      <c r="A33" s="1" t="s">
        <v>32</v>
      </c>
      <c r="B33" s="1"/>
      <c r="C33" s="1"/>
      <c r="D33" s="1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I34" s="10" t="s">
        <v>30</v>
      </c>
      <c r="J34" s="10">
        <v>0</v>
      </c>
      <c r="K34" s="10"/>
      <c r="L34" s="10" t="s">
        <v>37</v>
      </c>
    </row>
    <row r="35" spans="1:13" x14ac:dyDescent="0.25">
      <c r="G35" t="s">
        <v>11</v>
      </c>
      <c r="I35" t="s">
        <v>30</v>
      </c>
      <c r="J35" s="3">
        <v>95</v>
      </c>
      <c r="K35" t="s">
        <v>31</v>
      </c>
    </row>
    <row r="36" spans="1:13" x14ac:dyDescent="0.25">
      <c r="G36" t="s">
        <v>12</v>
      </c>
      <c r="I36" t="s">
        <v>30</v>
      </c>
      <c r="J36" s="3">
        <v>95</v>
      </c>
      <c r="K36" t="s">
        <v>31</v>
      </c>
    </row>
    <row r="37" spans="1:13" x14ac:dyDescent="0.25">
      <c r="G37" t="s">
        <v>36</v>
      </c>
      <c r="I37" t="s">
        <v>30</v>
      </c>
      <c r="J37" s="3">
        <v>95</v>
      </c>
      <c r="K37" t="s">
        <v>31</v>
      </c>
    </row>
    <row r="38" spans="1:13" x14ac:dyDescent="0.25">
      <c r="A38" s="1" t="s">
        <v>33</v>
      </c>
      <c r="B38" s="1"/>
      <c r="C38" s="1"/>
      <c r="D38" s="1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I39" s="10" t="s">
        <v>34</v>
      </c>
      <c r="J39" s="10">
        <v>0</v>
      </c>
      <c r="K39" s="10"/>
      <c r="L39" s="10" t="s">
        <v>37</v>
      </c>
    </row>
    <row r="40" spans="1:13" x14ac:dyDescent="0.25">
      <c r="H40" t="s">
        <v>39</v>
      </c>
      <c r="I40" t="s">
        <v>34</v>
      </c>
      <c r="J40" s="3">
        <v>20</v>
      </c>
      <c r="K40" t="s">
        <v>31</v>
      </c>
    </row>
    <row r="41" spans="1:13" x14ac:dyDescent="0.25">
      <c r="G41" t="s">
        <v>43</v>
      </c>
      <c r="I41" t="s">
        <v>34</v>
      </c>
      <c r="J41" s="3">
        <v>100</v>
      </c>
      <c r="K41" t="s">
        <v>31</v>
      </c>
    </row>
    <row r="42" spans="1:13" x14ac:dyDescent="0.25">
      <c r="G42" t="s">
        <v>46</v>
      </c>
      <c r="I42" t="s">
        <v>34</v>
      </c>
      <c r="J42" s="3">
        <v>100</v>
      </c>
      <c r="K42" t="s">
        <v>31</v>
      </c>
      <c r="L42" s="3" t="s">
        <v>307</v>
      </c>
    </row>
    <row r="43" spans="1:13" x14ac:dyDescent="0.25">
      <c r="J43" s="3"/>
      <c r="L43" s="3"/>
    </row>
    <row r="44" spans="1:13" x14ac:dyDescent="0.25">
      <c r="A44" s="1" t="s">
        <v>29</v>
      </c>
      <c r="B44" s="1"/>
      <c r="C44" s="1"/>
      <c r="D44" s="1"/>
      <c r="E44" s="2"/>
      <c r="F44" s="2"/>
      <c r="G44" s="2"/>
      <c r="H44" s="2"/>
      <c r="I44" s="2"/>
      <c r="J44" s="2"/>
      <c r="K44" s="2"/>
      <c r="L44" s="2" t="s">
        <v>306</v>
      </c>
      <c r="M44" s="2"/>
    </row>
    <row r="45" spans="1:13" x14ac:dyDescent="0.25">
      <c r="A45" s="7" t="s">
        <v>23</v>
      </c>
      <c r="B45" s="7"/>
      <c r="C45" s="6"/>
      <c r="D45" s="6"/>
      <c r="E45" s="6"/>
      <c r="F45" s="6"/>
      <c r="G45" s="6"/>
      <c r="H45" s="6"/>
      <c r="I45" s="6"/>
      <c r="J45" s="6"/>
      <c r="K45" s="6" t="s">
        <v>20</v>
      </c>
      <c r="L45" s="6"/>
      <c r="M45" s="6"/>
    </row>
    <row r="46" spans="1:13" x14ac:dyDescent="0.25">
      <c r="A46" t="s">
        <v>27</v>
      </c>
      <c r="B46" t="s">
        <v>21</v>
      </c>
      <c r="E46" t="s">
        <v>22</v>
      </c>
      <c r="F46" t="s">
        <v>2</v>
      </c>
      <c r="I46" t="s">
        <v>19</v>
      </c>
      <c r="J46" s="27">
        <f>'feed pars'!K7*0.8+'feed pars'!K8*0.2</f>
        <v>11.280000000000001</v>
      </c>
      <c r="L46" s="3" t="s">
        <v>315</v>
      </c>
    </row>
    <row r="47" spans="1:13" x14ac:dyDescent="0.25">
      <c r="A47" t="s">
        <v>27</v>
      </c>
      <c r="F47" t="s">
        <v>2</v>
      </c>
      <c r="I47" t="s">
        <v>19</v>
      </c>
      <c r="J47" s="27">
        <f>'feed pars'!K7*0.5+'feed pars'!K8*0.5</f>
        <v>10.95</v>
      </c>
      <c r="L47" s="3" t="s">
        <v>316</v>
      </c>
    </row>
    <row r="48" spans="1:13" x14ac:dyDescent="0.25">
      <c r="A48" t="s">
        <v>27</v>
      </c>
      <c r="F48" t="s">
        <v>13</v>
      </c>
      <c r="I48" t="s">
        <v>19</v>
      </c>
      <c r="J48" s="3">
        <f>'feed pars'!K10</f>
        <v>11.3</v>
      </c>
    </row>
    <row r="49" spans="1:10" x14ac:dyDescent="0.25">
      <c r="A49" t="s">
        <v>27</v>
      </c>
      <c r="F49" t="s">
        <v>36</v>
      </c>
      <c r="I49" t="s">
        <v>19</v>
      </c>
      <c r="J49" s="27">
        <f>'feed pars'!K11</f>
        <v>10</v>
      </c>
    </row>
    <row r="50" spans="1:10" x14ac:dyDescent="0.25">
      <c r="J50" s="3"/>
    </row>
    <row r="51" spans="1:10" x14ac:dyDescent="0.25">
      <c r="A51" t="s">
        <v>27</v>
      </c>
      <c r="F51" t="s">
        <v>18</v>
      </c>
      <c r="I51" t="s">
        <v>19</v>
      </c>
      <c r="J51">
        <v>14.1</v>
      </c>
    </row>
    <row r="52" spans="1:10" x14ac:dyDescent="0.25">
      <c r="A52" t="s">
        <v>27</v>
      </c>
      <c r="F52" t="s">
        <v>40</v>
      </c>
      <c r="I52" t="s">
        <v>19</v>
      </c>
      <c r="J52">
        <v>13.2</v>
      </c>
    </row>
    <row r="53" spans="1:10" x14ac:dyDescent="0.25">
      <c r="A53" t="s">
        <v>27</v>
      </c>
      <c r="F53" t="s">
        <v>41</v>
      </c>
      <c r="I53" t="s">
        <v>19</v>
      </c>
      <c r="J53">
        <v>11.7</v>
      </c>
    </row>
    <row r="54" spans="1:10" x14ac:dyDescent="0.25">
      <c r="A54" t="s">
        <v>27</v>
      </c>
      <c r="F54" t="s">
        <v>42</v>
      </c>
      <c r="I54" t="s">
        <v>19</v>
      </c>
      <c r="J54" s="28">
        <v>14</v>
      </c>
    </row>
    <row r="55" spans="1:10" x14ac:dyDescent="0.25">
      <c r="A55" t="s">
        <v>27</v>
      </c>
      <c r="F55" t="s">
        <v>43</v>
      </c>
      <c r="I55" t="s">
        <v>19</v>
      </c>
      <c r="J55">
        <v>12.8</v>
      </c>
    </row>
    <row r="56" spans="1:10" x14ac:dyDescent="0.25">
      <c r="A56" t="s">
        <v>27</v>
      </c>
      <c r="F56" t="s">
        <v>44</v>
      </c>
      <c r="I56" t="s">
        <v>19</v>
      </c>
      <c r="J56">
        <v>13.8</v>
      </c>
    </row>
    <row r="57" spans="1:10" x14ac:dyDescent="0.25">
      <c r="A57" t="s">
        <v>27</v>
      </c>
      <c r="F57" t="s">
        <v>38</v>
      </c>
      <c r="I57" t="s">
        <v>19</v>
      </c>
      <c r="J57">
        <v>22.1</v>
      </c>
    </row>
    <row r="58" spans="1:10" x14ac:dyDescent="0.25">
      <c r="A58" t="s">
        <v>27</v>
      </c>
      <c r="F58" t="s">
        <v>46</v>
      </c>
      <c r="I58" t="s">
        <v>19</v>
      </c>
      <c r="J58">
        <v>20.100000000000001</v>
      </c>
    </row>
    <row r="59" spans="1:10" x14ac:dyDescent="0.25">
      <c r="A59" t="s">
        <v>27</v>
      </c>
      <c r="F59" t="s">
        <v>308</v>
      </c>
      <c r="I59" t="s">
        <v>19</v>
      </c>
      <c r="J59">
        <v>6.6</v>
      </c>
    </row>
    <row r="60" spans="1:10" x14ac:dyDescent="0.25">
      <c r="A60" t="s">
        <v>27</v>
      </c>
      <c r="F60" t="s">
        <v>47</v>
      </c>
      <c r="I60" t="s">
        <v>19</v>
      </c>
      <c r="J60">
        <v>14.6</v>
      </c>
    </row>
    <row r="61" spans="1:10" x14ac:dyDescent="0.25">
      <c r="A61" t="s">
        <v>27</v>
      </c>
      <c r="F61" t="s">
        <v>39</v>
      </c>
      <c r="I61" t="s">
        <v>19</v>
      </c>
      <c r="J61">
        <v>12.2</v>
      </c>
    </row>
    <row r="62" spans="1:10" x14ac:dyDescent="0.25">
      <c r="A62" t="s">
        <v>27</v>
      </c>
      <c r="F62" t="s">
        <v>49</v>
      </c>
      <c r="I62" t="s">
        <v>19</v>
      </c>
      <c r="J62">
        <v>11.4</v>
      </c>
    </row>
    <row r="63" spans="1:10" x14ac:dyDescent="0.25">
      <c r="A63" t="s">
        <v>27</v>
      </c>
      <c r="F63" t="s">
        <v>50</v>
      </c>
      <c r="I63" t="s">
        <v>19</v>
      </c>
      <c r="J63">
        <v>13.4</v>
      </c>
    </row>
    <row r="64" spans="1:10" x14ac:dyDescent="0.25">
      <c r="A64" t="s">
        <v>27</v>
      </c>
      <c r="F64" t="s">
        <v>51</v>
      </c>
      <c r="I64" t="s">
        <v>19</v>
      </c>
      <c r="J64" s="28">
        <v>11</v>
      </c>
    </row>
    <row r="65" spans="1:13" x14ac:dyDescent="0.25">
      <c r="A65" t="s">
        <v>27</v>
      </c>
      <c r="F65" t="s">
        <v>53</v>
      </c>
      <c r="I65" t="s">
        <v>19</v>
      </c>
      <c r="J65">
        <v>13.3</v>
      </c>
    </row>
    <row r="66" spans="1:13" x14ac:dyDescent="0.25">
      <c r="A66" t="s">
        <v>27</v>
      </c>
      <c r="F66" t="s">
        <v>55</v>
      </c>
      <c r="I66" t="s">
        <v>19</v>
      </c>
      <c r="J66">
        <v>12.4</v>
      </c>
    </row>
    <row r="67" spans="1:13" x14ac:dyDescent="0.25">
      <c r="A67" t="s">
        <v>27</v>
      </c>
      <c r="F67" t="s">
        <v>56</v>
      </c>
      <c r="I67" t="s">
        <v>19</v>
      </c>
      <c r="J67">
        <v>12.3</v>
      </c>
    </row>
    <row r="68" spans="1:13" x14ac:dyDescent="0.25">
      <c r="A68" t="s">
        <v>27</v>
      </c>
      <c r="F68" t="s">
        <v>57</v>
      </c>
      <c r="I68" t="s">
        <v>19</v>
      </c>
      <c r="J68">
        <v>13.6</v>
      </c>
    </row>
    <row r="69" spans="1:13" x14ac:dyDescent="0.25">
      <c r="A69" t="s">
        <v>27</v>
      </c>
      <c r="F69" t="s">
        <v>59</v>
      </c>
      <c r="I69" t="s">
        <v>19</v>
      </c>
      <c r="J69">
        <v>15.5</v>
      </c>
    </row>
    <row r="70" spans="1:13" x14ac:dyDescent="0.25">
      <c r="J70" s="3"/>
    </row>
    <row r="71" spans="1:13" x14ac:dyDescent="0.25">
      <c r="J71" s="3"/>
    </row>
    <row r="72" spans="1:13" x14ac:dyDescent="0.25">
      <c r="A72" s="8" t="s">
        <v>24</v>
      </c>
      <c r="B72" s="8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</row>
    <row r="73" spans="1:13" x14ac:dyDescent="0.25">
      <c r="A73" t="s">
        <v>28</v>
      </c>
      <c r="E73" t="s">
        <v>302</v>
      </c>
      <c r="F73" t="s">
        <v>18</v>
      </c>
      <c r="I73" t="s">
        <v>19</v>
      </c>
      <c r="J73" s="23">
        <f>'feed pars'!H13</f>
        <v>12.3</v>
      </c>
      <c r="K73" t="s">
        <v>303</v>
      </c>
    </row>
    <row r="74" spans="1:13" x14ac:dyDescent="0.25">
      <c r="A74" t="s">
        <v>28</v>
      </c>
      <c r="E74" t="s">
        <v>302</v>
      </c>
      <c r="F74" t="s">
        <v>40</v>
      </c>
      <c r="I74" t="s">
        <v>19</v>
      </c>
      <c r="J74" s="23">
        <f>'feed pars'!H14</f>
        <v>11.2</v>
      </c>
      <c r="K74" t="s">
        <v>303</v>
      </c>
    </row>
    <row r="75" spans="1:13" x14ac:dyDescent="0.25">
      <c r="A75" t="s">
        <v>28</v>
      </c>
      <c r="E75" t="s">
        <v>302</v>
      </c>
      <c r="F75" t="s">
        <v>41</v>
      </c>
      <c r="I75" t="s">
        <v>19</v>
      </c>
      <c r="J75" s="23">
        <f>'feed pars'!H15</f>
        <v>9.4</v>
      </c>
      <c r="K75" t="s">
        <v>303</v>
      </c>
    </row>
    <row r="76" spans="1:13" x14ac:dyDescent="0.25">
      <c r="A76" t="s">
        <v>28</v>
      </c>
      <c r="E76" t="s">
        <v>302</v>
      </c>
      <c r="F76" t="s">
        <v>42</v>
      </c>
      <c r="I76" t="s">
        <v>19</v>
      </c>
      <c r="J76" s="23">
        <f>'feed pars'!H16</f>
        <v>12</v>
      </c>
      <c r="K76" t="s">
        <v>303</v>
      </c>
    </row>
    <row r="77" spans="1:13" x14ac:dyDescent="0.25">
      <c r="A77" t="s">
        <v>28</v>
      </c>
      <c r="E77" t="s">
        <v>302</v>
      </c>
      <c r="F77" t="s">
        <v>43</v>
      </c>
      <c r="I77" t="s">
        <v>19</v>
      </c>
      <c r="J77" s="23">
        <f>'feed pars'!H17</f>
        <v>13.2</v>
      </c>
      <c r="K77" t="s">
        <v>303</v>
      </c>
    </row>
    <row r="78" spans="1:13" x14ac:dyDescent="0.25">
      <c r="A78" t="s">
        <v>28</v>
      </c>
      <c r="E78" t="s">
        <v>302</v>
      </c>
      <c r="F78" t="s">
        <v>44</v>
      </c>
      <c r="I78" t="s">
        <v>19</v>
      </c>
      <c r="J78" s="23">
        <f>'feed pars'!H18</f>
        <v>11.5</v>
      </c>
      <c r="K78" t="s">
        <v>303</v>
      </c>
    </row>
    <row r="79" spans="1:13" x14ac:dyDescent="0.25">
      <c r="A79" t="s">
        <v>28</v>
      </c>
      <c r="E79" t="s">
        <v>302</v>
      </c>
      <c r="F79" t="s">
        <v>45</v>
      </c>
      <c r="I79" t="s">
        <v>19</v>
      </c>
      <c r="J79" s="23">
        <f>'feed pars'!H19</f>
        <v>10.9</v>
      </c>
      <c r="K79" t="s">
        <v>303</v>
      </c>
    </row>
    <row r="80" spans="1:13" x14ac:dyDescent="0.25">
      <c r="A80" t="s">
        <v>28</v>
      </c>
      <c r="E80" t="s">
        <v>302</v>
      </c>
      <c r="F80" t="s">
        <v>38</v>
      </c>
      <c r="I80" t="s">
        <v>19</v>
      </c>
      <c r="J80" s="23">
        <f>'feed pars'!H20</f>
        <v>18.5</v>
      </c>
      <c r="K80" t="s">
        <v>303</v>
      </c>
    </row>
    <row r="81" spans="1:11" x14ac:dyDescent="0.25">
      <c r="A81" t="s">
        <v>28</v>
      </c>
      <c r="E81" t="s">
        <v>302</v>
      </c>
      <c r="F81" t="s">
        <v>46</v>
      </c>
      <c r="I81" t="s">
        <v>19</v>
      </c>
      <c r="J81" s="23">
        <f>'feed pars'!H21</f>
        <v>17.5</v>
      </c>
      <c r="K81" t="s">
        <v>303</v>
      </c>
    </row>
    <row r="82" spans="1:11" x14ac:dyDescent="0.25">
      <c r="A82" t="s">
        <v>28</v>
      </c>
      <c r="E82" t="s">
        <v>302</v>
      </c>
      <c r="F82" t="s">
        <v>47</v>
      </c>
      <c r="I82" t="s">
        <v>19</v>
      </c>
      <c r="J82" s="23">
        <f>'feed pars'!H23</f>
        <v>9.9</v>
      </c>
      <c r="K82" t="s">
        <v>303</v>
      </c>
    </row>
    <row r="83" spans="1:11" x14ac:dyDescent="0.25">
      <c r="A83" t="s">
        <v>28</v>
      </c>
      <c r="E83" t="s">
        <v>302</v>
      </c>
      <c r="F83" t="s">
        <v>48</v>
      </c>
      <c r="I83" t="s">
        <v>19</v>
      </c>
      <c r="J83" s="23">
        <f>'feed pars'!H24</f>
        <v>10.3</v>
      </c>
      <c r="K83" t="s">
        <v>303</v>
      </c>
    </row>
    <row r="84" spans="1:11" x14ac:dyDescent="0.25">
      <c r="A84" t="s">
        <v>28</v>
      </c>
      <c r="E84" t="s">
        <v>302</v>
      </c>
      <c r="F84" t="s">
        <v>39</v>
      </c>
      <c r="I84" t="s">
        <v>19</v>
      </c>
      <c r="J84" s="23">
        <f>'feed pars'!H25</f>
        <v>7.7</v>
      </c>
      <c r="K84" t="s">
        <v>303</v>
      </c>
    </row>
    <row r="85" spans="1:11" x14ac:dyDescent="0.25">
      <c r="A85" t="s">
        <v>28</v>
      </c>
      <c r="E85" t="s">
        <v>302</v>
      </c>
      <c r="F85" t="s">
        <v>49</v>
      </c>
      <c r="I85" t="s">
        <v>19</v>
      </c>
      <c r="J85" s="23">
        <f>'feed pars'!H26</f>
        <v>6.5</v>
      </c>
      <c r="K85" t="s">
        <v>303</v>
      </c>
    </row>
    <row r="86" spans="1:11" x14ac:dyDescent="0.25">
      <c r="A86" t="s">
        <v>28</v>
      </c>
      <c r="E86" t="s">
        <v>302</v>
      </c>
      <c r="F86" t="s">
        <v>50</v>
      </c>
      <c r="I86" t="s">
        <v>19</v>
      </c>
      <c r="J86" s="23">
        <f>'feed pars'!H27</f>
        <v>6.2</v>
      </c>
      <c r="K86" t="s">
        <v>303</v>
      </c>
    </row>
    <row r="87" spans="1:11" x14ac:dyDescent="0.25">
      <c r="A87" t="s">
        <v>28</v>
      </c>
      <c r="E87" t="s">
        <v>302</v>
      </c>
      <c r="F87" t="s">
        <v>51</v>
      </c>
      <c r="I87" t="s">
        <v>19</v>
      </c>
      <c r="J87" s="23">
        <f>'feed pars'!H28</f>
        <v>7.8</v>
      </c>
      <c r="K87" t="s">
        <v>303</v>
      </c>
    </row>
    <row r="88" spans="1:11" x14ac:dyDescent="0.25">
      <c r="A88" t="s">
        <v>28</v>
      </c>
      <c r="E88" t="s">
        <v>302</v>
      </c>
      <c r="F88" t="s">
        <v>52</v>
      </c>
      <c r="I88" t="s">
        <v>19</v>
      </c>
      <c r="J88" s="23">
        <f>'feed pars'!H29</f>
        <v>9.1999999999999993</v>
      </c>
      <c r="K88" t="s">
        <v>303</v>
      </c>
    </row>
    <row r="89" spans="1:11" x14ac:dyDescent="0.25">
      <c r="A89" t="s">
        <v>28</v>
      </c>
      <c r="E89" t="s">
        <v>302</v>
      </c>
      <c r="F89" t="s">
        <v>53</v>
      </c>
      <c r="I89" t="s">
        <v>19</v>
      </c>
      <c r="J89" s="23">
        <f>'feed pars'!H30</f>
        <v>8.6999999999999993</v>
      </c>
      <c r="K89" t="s">
        <v>303</v>
      </c>
    </row>
    <row r="90" spans="1:11" x14ac:dyDescent="0.25">
      <c r="A90" t="s">
        <v>28</v>
      </c>
      <c r="E90" t="s">
        <v>302</v>
      </c>
      <c r="F90" t="s">
        <v>54</v>
      </c>
      <c r="I90" t="s">
        <v>19</v>
      </c>
      <c r="J90" s="23">
        <f>'feed pars'!H31</f>
        <v>8.9</v>
      </c>
      <c r="K90" t="s">
        <v>303</v>
      </c>
    </row>
    <row r="91" spans="1:11" x14ac:dyDescent="0.25">
      <c r="A91" t="s">
        <v>28</v>
      </c>
      <c r="E91" t="s">
        <v>302</v>
      </c>
      <c r="F91" t="s">
        <v>55</v>
      </c>
      <c r="I91" t="s">
        <v>19</v>
      </c>
      <c r="J91" s="23">
        <f>'feed pars'!H32</f>
        <v>9</v>
      </c>
      <c r="K91" t="s">
        <v>303</v>
      </c>
    </row>
    <row r="92" spans="1:11" x14ac:dyDescent="0.25">
      <c r="A92" t="s">
        <v>28</v>
      </c>
      <c r="E92" t="s">
        <v>302</v>
      </c>
      <c r="F92" t="s">
        <v>56</v>
      </c>
      <c r="I92" t="s">
        <v>19</v>
      </c>
      <c r="J92" s="23">
        <f>'feed pars'!H33</f>
        <v>8</v>
      </c>
      <c r="K92" t="s">
        <v>303</v>
      </c>
    </row>
    <row r="93" spans="1:11" x14ac:dyDescent="0.25">
      <c r="A93" t="s">
        <v>28</v>
      </c>
      <c r="E93" t="s">
        <v>302</v>
      </c>
      <c r="F93" t="s">
        <v>57</v>
      </c>
      <c r="I93" t="s">
        <v>19</v>
      </c>
      <c r="J93" s="23">
        <f>'feed pars'!H34</f>
        <v>12.2</v>
      </c>
      <c r="K93" t="s">
        <v>303</v>
      </c>
    </row>
    <row r="94" spans="1:11" x14ac:dyDescent="0.25">
      <c r="A94" t="s">
        <v>28</v>
      </c>
      <c r="E94" t="s">
        <v>302</v>
      </c>
      <c r="F94" t="s">
        <v>58</v>
      </c>
      <c r="I94" t="s">
        <v>19</v>
      </c>
      <c r="J94" s="23">
        <f>'feed pars'!H35</f>
        <v>12.2</v>
      </c>
      <c r="K94" t="s">
        <v>303</v>
      </c>
    </row>
    <row r="95" spans="1:11" x14ac:dyDescent="0.25">
      <c r="A95" t="s">
        <v>28</v>
      </c>
      <c r="E95" t="s">
        <v>302</v>
      </c>
      <c r="F95" t="s">
        <v>59</v>
      </c>
      <c r="I95" t="s">
        <v>19</v>
      </c>
      <c r="J95" s="23">
        <f>'feed pars'!H36</f>
        <v>11.3</v>
      </c>
      <c r="K95" t="s">
        <v>303</v>
      </c>
    </row>
    <row r="96" spans="1:11" x14ac:dyDescent="0.25">
      <c r="A96" t="s">
        <v>28</v>
      </c>
      <c r="E96" t="s">
        <v>302</v>
      </c>
      <c r="F96" t="s">
        <v>60</v>
      </c>
      <c r="I96" t="s">
        <v>19</v>
      </c>
      <c r="J96" s="23">
        <f>'feed pars'!H37</f>
        <v>10.8</v>
      </c>
      <c r="K96" t="s">
        <v>303</v>
      </c>
    </row>
    <row r="97" spans="1:11" x14ac:dyDescent="0.25">
      <c r="A97" t="s">
        <v>28</v>
      </c>
      <c r="F97" t="s">
        <v>18</v>
      </c>
      <c r="I97" t="s">
        <v>19</v>
      </c>
      <c r="J97">
        <f>'feed pars'!G13</f>
        <v>12.1</v>
      </c>
      <c r="K97" t="s">
        <v>25</v>
      </c>
    </row>
    <row r="98" spans="1:11" x14ac:dyDescent="0.25">
      <c r="A98" t="s">
        <v>28</v>
      </c>
      <c r="F98" t="s">
        <v>40</v>
      </c>
      <c r="I98" t="s">
        <v>19</v>
      </c>
      <c r="J98">
        <f>'feed pars'!G14</f>
        <v>11</v>
      </c>
      <c r="K98" t="s">
        <v>25</v>
      </c>
    </row>
    <row r="99" spans="1:11" x14ac:dyDescent="0.25">
      <c r="A99" t="s">
        <v>28</v>
      </c>
      <c r="F99" t="s">
        <v>41</v>
      </c>
      <c r="I99" t="s">
        <v>19</v>
      </c>
      <c r="J99">
        <f>'feed pars'!G15</f>
        <v>9</v>
      </c>
      <c r="K99" t="s">
        <v>25</v>
      </c>
    </row>
    <row r="100" spans="1:11" x14ac:dyDescent="0.25">
      <c r="A100" t="s">
        <v>28</v>
      </c>
      <c r="F100" t="s">
        <v>42</v>
      </c>
      <c r="I100" t="s">
        <v>19</v>
      </c>
      <c r="J100">
        <f>'feed pars'!G16</f>
        <v>11.9</v>
      </c>
      <c r="K100" t="s">
        <v>25</v>
      </c>
    </row>
    <row r="101" spans="1:11" x14ac:dyDescent="0.25">
      <c r="A101" t="s">
        <v>28</v>
      </c>
      <c r="F101" t="s">
        <v>43</v>
      </c>
      <c r="I101" t="s">
        <v>19</v>
      </c>
      <c r="J101">
        <f>'feed pars'!G17</f>
        <v>12.8</v>
      </c>
      <c r="K101" t="s">
        <v>25</v>
      </c>
    </row>
    <row r="102" spans="1:11" x14ac:dyDescent="0.25">
      <c r="A102" t="s">
        <v>28</v>
      </c>
      <c r="F102" t="s">
        <v>44</v>
      </c>
      <c r="I102" t="s">
        <v>19</v>
      </c>
      <c r="J102">
        <f>'feed pars'!G18</f>
        <v>11.2</v>
      </c>
      <c r="K102" t="s">
        <v>25</v>
      </c>
    </row>
    <row r="103" spans="1:11" x14ac:dyDescent="0.25">
      <c r="A103" t="s">
        <v>28</v>
      </c>
      <c r="F103" t="s">
        <v>45</v>
      </c>
      <c r="I103" t="s">
        <v>19</v>
      </c>
      <c r="J103">
        <f>'feed pars'!G19</f>
        <v>10.7</v>
      </c>
      <c r="K103" t="s">
        <v>25</v>
      </c>
    </row>
    <row r="104" spans="1:11" x14ac:dyDescent="0.25">
      <c r="A104" t="s">
        <v>28</v>
      </c>
      <c r="F104" t="s">
        <v>38</v>
      </c>
      <c r="I104" t="s">
        <v>19</v>
      </c>
      <c r="J104">
        <f>'feed pars'!G20</f>
        <v>18</v>
      </c>
      <c r="K104" t="s">
        <v>25</v>
      </c>
    </row>
    <row r="105" spans="1:11" x14ac:dyDescent="0.25">
      <c r="A105" t="s">
        <v>28</v>
      </c>
      <c r="F105" t="s">
        <v>46</v>
      </c>
      <c r="I105" t="s">
        <v>19</v>
      </c>
      <c r="J105">
        <f>'feed pars'!G21</f>
        <v>17.3</v>
      </c>
      <c r="K105" t="s">
        <v>25</v>
      </c>
    </row>
    <row r="106" spans="1:11" x14ac:dyDescent="0.25">
      <c r="A106" t="s">
        <v>28</v>
      </c>
      <c r="F106" t="s">
        <v>47</v>
      </c>
      <c r="I106" t="s">
        <v>19</v>
      </c>
      <c r="J106">
        <f>'feed pars'!G23</f>
        <v>9.3000000000000007</v>
      </c>
      <c r="K106" t="s">
        <v>25</v>
      </c>
    </row>
    <row r="107" spans="1:11" x14ac:dyDescent="0.25">
      <c r="A107" t="s">
        <v>28</v>
      </c>
      <c r="F107" t="s">
        <v>48</v>
      </c>
      <c r="I107" t="s">
        <v>19</v>
      </c>
      <c r="J107">
        <f>'feed pars'!G24</f>
        <v>9.6999999999999993</v>
      </c>
      <c r="K107" t="s">
        <v>25</v>
      </c>
    </row>
    <row r="108" spans="1:11" x14ac:dyDescent="0.25">
      <c r="A108" t="s">
        <v>28</v>
      </c>
      <c r="F108" t="s">
        <v>39</v>
      </c>
      <c r="I108" t="s">
        <v>19</v>
      </c>
      <c r="J108">
        <f>'feed pars'!G25</f>
        <v>7.1</v>
      </c>
      <c r="K108" t="s">
        <v>25</v>
      </c>
    </row>
    <row r="109" spans="1:11" x14ac:dyDescent="0.25">
      <c r="A109" t="s">
        <v>28</v>
      </c>
      <c r="F109" t="s">
        <v>49</v>
      </c>
      <c r="I109" t="s">
        <v>19</v>
      </c>
      <c r="J109">
        <f>'feed pars'!G26</f>
        <v>5.9</v>
      </c>
      <c r="K109" t="s">
        <v>25</v>
      </c>
    </row>
    <row r="110" spans="1:11" x14ac:dyDescent="0.25">
      <c r="A110" t="s">
        <v>28</v>
      </c>
      <c r="F110" t="s">
        <v>50</v>
      </c>
      <c r="I110" t="s">
        <v>19</v>
      </c>
      <c r="J110">
        <f>'feed pars'!G27</f>
        <v>5.4</v>
      </c>
      <c r="K110" t="s">
        <v>25</v>
      </c>
    </row>
    <row r="111" spans="1:11" x14ac:dyDescent="0.25">
      <c r="A111" t="s">
        <v>28</v>
      </c>
      <c r="F111" t="s">
        <v>51</v>
      </c>
      <c r="I111" t="s">
        <v>19</v>
      </c>
      <c r="J111">
        <f>'feed pars'!G28</f>
        <v>7.2</v>
      </c>
      <c r="K111" t="s">
        <v>25</v>
      </c>
    </row>
    <row r="112" spans="1:11" x14ac:dyDescent="0.25">
      <c r="A112" t="s">
        <v>28</v>
      </c>
      <c r="F112" t="s">
        <v>52</v>
      </c>
      <c r="I112" t="s">
        <v>19</v>
      </c>
      <c r="J112">
        <f>'feed pars'!G29</f>
        <v>8.6999999999999993</v>
      </c>
      <c r="K112" t="s">
        <v>25</v>
      </c>
    </row>
    <row r="113" spans="1:11" x14ac:dyDescent="0.25">
      <c r="A113" t="s">
        <v>28</v>
      </c>
      <c r="F113" t="s">
        <v>53</v>
      </c>
      <c r="I113" t="s">
        <v>19</v>
      </c>
      <c r="J113">
        <f>'feed pars'!G30</f>
        <v>8.1</v>
      </c>
      <c r="K113" t="s">
        <v>25</v>
      </c>
    </row>
    <row r="114" spans="1:11" x14ac:dyDescent="0.25">
      <c r="A114" t="s">
        <v>28</v>
      </c>
      <c r="F114" t="s">
        <v>54</v>
      </c>
      <c r="I114" t="s">
        <v>19</v>
      </c>
      <c r="J114">
        <f>'feed pars'!G31</f>
        <v>8.1999999999999993</v>
      </c>
      <c r="K114" t="s">
        <v>25</v>
      </c>
    </row>
    <row r="115" spans="1:11" x14ac:dyDescent="0.25">
      <c r="A115" t="s">
        <v>28</v>
      </c>
      <c r="F115" t="s">
        <v>55</v>
      </c>
      <c r="I115" t="s">
        <v>19</v>
      </c>
      <c r="J115">
        <f>'feed pars'!G32</f>
        <v>8.6999999999999993</v>
      </c>
      <c r="K115" t="s">
        <v>25</v>
      </c>
    </row>
    <row r="116" spans="1:11" x14ac:dyDescent="0.25">
      <c r="A116" t="s">
        <v>28</v>
      </c>
      <c r="F116" t="s">
        <v>56</v>
      </c>
      <c r="I116" t="s">
        <v>19</v>
      </c>
      <c r="J116">
        <f>'feed pars'!G33</f>
        <v>6.9</v>
      </c>
      <c r="K116" t="s">
        <v>25</v>
      </c>
    </row>
    <row r="117" spans="1:11" x14ac:dyDescent="0.25">
      <c r="A117" t="s">
        <v>28</v>
      </c>
      <c r="F117" t="s">
        <v>57</v>
      </c>
      <c r="I117" t="s">
        <v>19</v>
      </c>
      <c r="J117">
        <f>'feed pars'!G34</f>
        <v>12.4</v>
      </c>
      <c r="K117" t="s">
        <v>25</v>
      </c>
    </row>
    <row r="118" spans="1:11" x14ac:dyDescent="0.25">
      <c r="A118" t="s">
        <v>28</v>
      </c>
      <c r="F118" t="s">
        <v>58</v>
      </c>
      <c r="I118" t="s">
        <v>19</v>
      </c>
      <c r="J118">
        <f>'feed pars'!G35</f>
        <v>12.4</v>
      </c>
      <c r="K118" t="s">
        <v>25</v>
      </c>
    </row>
    <row r="119" spans="1:11" x14ac:dyDescent="0.25">
      <c r="A119" t="s">
        <v>28</v>
      </c>
      <c r="F119" t="s">
        <v>59</v>
      </c>
      <c r="I119" t="s">
        <v>19</v>
      </c>
      <c r="J119">
        <f>'feed pars'!G36</f>
        <v>11.1</v>
      </c>
      <c r="K119" t="s">
        <v>25</v>
      </c>
    </row>
    <row r="120" spans="1:11" x14ac:dyDescent="0.25">
      <c r="A120" t="s">
        <v>28</v>
      </c>
      <c r="F120" t="s">
        <v>60</v>
      </c>
      <c r="I120" t="s">
        <v>19</v>
      </c>
      <c r="J120">
        <f>'feed pars'!G37</f>
        <v>10.8</v>
      </c>
      <c r="K120" t="s">
        <v>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7"/>
  <sheetViews>
    <sheetView topLeftCell="A3" workbookViewId="0">
      <selection activeCell="K13" activeCellId="1" sqref="B13:B37 K13:K37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2" x14ac:dyDescent="0.25">
      <c r="B1" t="s">
        <v>122</v>
      </c>
      <c r="C1" s="11" t="s">
        <v>121</v>
      </c>
      <c r="D1" s="11"/>
      <c r="E1" s="11"/>
    </row>
    <row r="3" spans="2:12" x14ac:dyDescent="0.25">
      <c r="C3" s="4" t="s">
        <v>310</v>
      </c>
      <c r="E3" s="4" t="s">
        <v>28</v>
      </c>
      <c r="I3" s="4" t="s">
        <v>27</v>
      </c>
    </row>
    <row r="4" spans="2:12" x14ac:dyDescent="0.25">
      <c r="C4" s="4"/>
      <c r="E4" s="4" t="s">
        <v>300</v>
      </c>
      <c r="F4" s="4">
        <v>1</v>
      </c>
      <c r="G4" s="4">
        <v>2</v>
      </c>
      <c r="H4" s="4">
        <v>3</v>
      </c>
      <c r="I4" s="4" t="s">
        <v>300</v>
      </c>
      <c r="J4" s="4">
        <v>1</v>
      </c>
      <c r="K4" s="4">
        <v>2</v>
      </c>
      <c r="L4" s="4"/>
    </row>
    <row r="5" spans="2:12" x14ac:dyDescent="0.25">
      <c r="B5" s="4" t="s">
        <v>61</v>
      </c>
      <c r="C5" s="4" t="s">
        <v>62</v>
      </c>
      <c r="E5" s="4" t="s">
        <v>301</v>
      </c>
      <c r="F5" s="4" t="s">
        <v>62</v>
      </c>
      <c r="G5" s="4" t="s">
        <v>123</v>
      </c>
      <c r="H5" s="4" t="s">
        <v>124</v>
      </c>
      <c r="I5" s="4" t="s">
        <v>301</v>
      </c>
      <c r="J5" s="4" t="s">
        <v>62</v>
      </c>
      <c r="K5" s="4" t="s">
        <v>309</v>
      </c>
    </row>
    <row r="6" spans="2:12" x14ac:dyDescent="0.25">
      <c r="B6" t="s">
        <v>2</v>
      </c>
      <c r="C6">
        <v>100</v>
      </c>
    </row>
    <row r="7" spans="2:12" x14ac:dyDescent="0.25">
      <c r="B7" s="26" t="s">
        <v>313</v>
      </c>
      <c r="C7">
        <v>100</v>
      </c>
      <c r="K7">
        <v>11.5</v>
      </c>
    </row>
    <row r="8" spans="2:12" x14ac:dyDescent="0.25">
      <c r="B8" s="26" t="s">
        <v>314</v>
      </c>
      <c r="C8">
        <v>100</v>
      </c>
      <c r="K8">
        <v>10.4</v>
      </c>
    </row>
    <row r="9" spans="2:12" x14ac:dyDescent="0.25">
      <c r="B9" t="s">
        <v>3</v>
      </c>
      <c r="C9">
        <v>100</v>
      </c>
      <c r="K9">
        <v>9.1</v>
      </c>
    </row>
    <row r="10" spans="2:12" x14ac:dyDescent="0.25">
      <c r="B10" t="s">
        <v>13</v>
      </c>
      <c r="C10">
        <v>100</v>
      </c>
      <c r="I10" s="4"/>
      <c r="K10">
        <v>11.3</v>
      </c>
    </row>
    <row r="11" spans="2:12" x14ac:dyDescent="0.25">
      <c r="B11" t="s">
        <v>36</v>
      </c>
      <c r="C11">
        <v>100</v>
      </c>
      <c r="K11">
        <v>10</v>
      </c>
    </row>
    <row r="12" spans="2:12" x14ac:dyDescent="0.25">
      <c r="B12" s="4"/>
      <c r="C12" s="4"/>
      <c r="E12" s="4"/>
      <c r="F12" s="4"/>
      <c r="G12" s="4"/>
      <c r="H12" s="4"/>
      <c r="I12" s="4"/>
      <c r="J12" s="4"/>
      <c r="K12" s="4"/>
    </row>
    <row r="13" spans="2:12" x14ac:dyDescent="0.25">
      <c r="B13" t="s">
        <v>18</v>
      </c>
      <c r="C13" s="24">
        <f>AVERAGE(F13,J13)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I13" s="4">
        <f>MATCH($B13,cattle!$A$3:$A$120,0)</f>
        <v>112</v>
      </c>
      <c r="J13">
        <f>INDEX(cattle!$D$3:$AH$120,$I13,J$4)</f>
        <v>87</v>
      </c>
      <c r="K13">
        <f>INDEX(cattle!$D$3:$AH$120,$I13,K$4)</f>
        <v>14.1</v>
      </c>
    </row>
    <row r="14" spans="2:12" x14ac:dyDescent="0.25">
      <c r="B14" t="s">
        <v>40</v>
      </c>
      <c r="C14" s="24">
        <f t="shared" ref="C14:C37" si="0">AVERAGE(F14,J14)</f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I14" s="4">
        <f>MATCH($B14,cattle!$A$3:$A$120,0)</f>
        <v>42</v>
      </c>
      <c r="J14">
        <f>INDEX(cattle!$D$3:$AH$120,$I14,J$4)</f>
        <v>87</v>
      </c>
      <c r="K14">
        <f>INDEX(cattle!$D$3:$AH$120,$I14,K$4)</f>
        <v>13.2</v>
      </c>
    </row>
    <row r="15" spans="2:12" x14ac:dyDescent="0.25">
      <c r="B15" t="s">
        <v>41</v>
      </c>
      <c r="C15" s="24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I15" s="4">
        <f>MATCH($B15,cattle!$A$3:$A$120,0)</f>
        <v>28</v>
      </c>
      <c r="J15">
        <f>INDEX(cattle!$D$3:$AH$120,$I15,J$4)</f>
        <v>85</v>
      </c>
      <c r="K15">
        <f>INDEX(cattle!$D$3:$AH$120,$I15,K$4)</f>
        <v>11.7</v>
      </c>
    </row>
    <row r="16" spans="2:12" x14ac:dyDescent="0.25">
      <c r="B16" t="s">
        <v>42</v>
      </c>
      <c r="C16" s="24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I16" s="4">
        <f>MATCH($B16,cattle!$A$3:$A$120,0)</f>
        <v>78</v>
      </c>
      <c r="J16">
        <f>INDEX(cattle!$D$3:$AH$120,$I16,J$4)</f>
        <v>87</v>
      </c>
      <c r="K16">
        <f>INDEX(cattle!$D$3:$AH$120,$I16,K$4)</f>
        <v>14</v>
      </c>
    </row>
    <row r="17" spans="2:11" x14ac:dyDescent="0.25">
      <c r="B17" t="s">
        <v>43</v>
      </c>
      <c r="C17" s="24">
        <f t="shared" si="0"/>
        <v>67.5</v>
      </c>
      <c r="D17" s="4"/>
      <c r="E17" s="4">
        <f>MATCH($B17,pigs!$A$3:$A$60,0)</f>
        <v>19</v>
      </c>
      <c r="F17">
        <f>INDEX(pigs!$D$3:$AO$60,$E17,F$4)</f>
        <v>87</v>
      </c>
      <c r="G17">
        <f>INDEX(pigs!$D$3:$AO$60,$E17,G$4)</f>
        <v>12.8</v>
      </c>
      <c r="H17">
        <f>INDEX(pigs!$D$3:$AO$60,$E17,H$4)</f>
        <v>13.2</v>
      </c>
      <c r="I17" s="4">
        <f>MATCH($B17,cattle!$A$3:$A$120,0)</f>
        <v>53</v>
      </c>
      <c r="J17">
        <f>INDEX(cattle!$D$3:$AH$120,$I17,J$4)</f>
        <v>48</v>
      </c>
      <c r="K17">
        <f>INDEX(cattle!$D$3:$AH$120,$I17,K$4)</f>
        <v>12.8</v>
      </c>
    </row>
    <row r="18" spans="2:11" x14ac:dyDescent="0.25">
      <c r="B18" t="s">
        <v>44</v>
      </c>
      <c r="C18" s="24">
        <f t="shared" si="0"/>
        <v>87</v>
      </c>
      <c r="D18" s="4"/>
      <c r="E18" s="4">
        <f>MATCH($B18,pigs!$A$3:$A$60,0)</f>
        <v>56</v>
      </c>
      <c r="F18">
        <f>INDEX(pigs!$D$3:$AO$60,$E18,F$4)</f>
        <v>87</v>
      </c>
      <c r="G18">
        <f>INDEX(pigs!$D$3:$AO$60,$E18,G$4)</f>
        <v>11.2</v>
      </c>
      <c r="H18">
        <f>INDEX(pigs!$D$3:$AO$60,$E18,H$4)</f>
        <v>11.5</v>
      </c>
      <c r="I18" s="4">
        <f>MATCH($B18,cattle!$A$3:$A$120,0)</f>
        <v>115</v>
      </c>
      <c r="J18">
        <f>INDEX(cattle!$D$3:$AH$120,$I18,J$4)</f>
        <v>87</v>
      </c>
      <c r="K18">
        <f>INDEX(cattle!$D$3:$AH$120,$I18,K$4)</f>
        <v>13.8</v>
      </c>
    </row>
    <row r="19" spans="2:11" x14ac:dyDescent="0.25">
      <c r="B19" t="s">
        <v>45</v>
      </c>
      <c r="C19" s="24">
        <f t="shared" si="0"/>
        <v>87</v>
      </c>
      <c r="D19" s="4"/>
      <c r="E19" s="4">
        <f>MATCH($B19,pigs!$A$3:$A$60,0)</f>
        <v>57</v>
      </c>
      <c r="F19">
        <f>INDEX(pigs!$D$3:$AO$60,$E19,F$4)</f>
        <v>87</v>
      </c>
      <c r="G19">
        <f>INDEX(pigs!$D$3:$AO$60,$E19,G$4)</f>
        <v>10.7</v>
      </c>
      <c r="H19">
        <f>INDEX(pigs!$D$3:$AO$60,$E19,H$4)</f>
        <v>10.9</v>
      </c>
      <c r="I19" s="4"/>
    </row>
    <row r="20" spans="2:11" x14ac:dyDescent="0.25">
      <c r="B20" t="s">
        <v>38</v>
      </c>
      <c r="C20" s="24">
        <f t="shared" si="0"/>
        <v>92.5</v>
      </c>
      <c r="D20" s="4"/>
      <c r="E20" s="4">
        <f>MATCH($B20,pigs!$A$3:$A$60,0)</f>
        <v>33</v>
      </c>
      <c r="F20">
        <f>INDEX(pigs!$D$3:$AO$60,$E20,F$4)</f>
        <v>92</v>
      </c>
      <c r="G20">
        <f>INDEX(pigs!$D$3:$AO$60,$E20,G$4)</f>
        <v>18</v>
      </c>
      <c r="H20">
        <f>INDEX(pigs!$D$3:$AO$60,$E20,H$4)</f>
        <v>18.5</v>
      </c>
      <c r="I20" s="4">
        <f>MATCH($B20,cattle!$A$3:$A$120,0)</f>
        <v>71</v>
      </c>
      <c r="J20">
        <f>INDEX(cattle!$D$3:$AH$120,$I20,J$4)</f>
        <v>93</v>
      </c>
      <c r="K20">
        <f>INDEX(cattle!$D$3:$AH$120,$I20,K$4)</f>
        <v>22.1</v>
      </c>
    </row>
    <row r="21" spans="2:11" x14ac:dyDescent="0.25">
      <c r="B21" t="s">
        <v>46</v>
      </c>
      <c r="C21" s="24">
        <f t="shared" si="0"/>
        <v>92</v>
      </c>
      <c r="D21" s="4"/>
      <c r="E21" s="4">
        <f>MATCH($B21,pigs!$A$3:$A$60,0)</f>
        <v>14</v>
      </c>
      <c r="F21">
        <f>INDEX(pigs!$D$3:$AO$60,$E21,F$4)</f>
        <v>91</v>
      </c>
      <c r="G21">
        <f>INDEX(pigs!$D$3:$AO$60,$E21,G$4)</f>
        <v>17.3</v>
      </c>
      <c r="H21">
        <f>INDEX(pigs!$D$3:$AO$60,$E21,H$4)</f>
        <v>17.5</v>
      </c>
      <c r="I21" s="4">
        <f>MATCH($B21,cattle!$A$3:$A$120,0)</f>
        <v>45</v>
      </c>
      <c r="J21">
        <f>INDEX(cattle!$D$3:$AH$120,$I21,J$4)</f>
        <v>93</v>
      </c>
      <c r="K21">
        <f>INDEX(cattle!$D$3:$AH$120,$I21,K$4)</f>
        <v>20.100000000000001</v>
      </c>
    </row>
    <row r="22" spans="2:11" x14ac:dyDescent="0.25">
      <c r="B22" t="s">
        <v>308</v>
      </c>
      <c r="C22" s="24">
        <f t="shared" si="0"/>
        <v>85</v>
      </c>
      <c r="D22" s="4"/>
      <c r="E22" s="4"/>
      <c r="F22">
        <v>85</v>
      </c>
      <c r="I22" s="4">
        <f>MATCH($B22,cattle!$A$3:$A$120,0)</f>
        <v>22</v>
      </c>
      <c r="J22">
        <f>INDEX(cattle!$D$3:$AH$120,$I22,J$4)</f>
        <v>85</v>
      </c>
      <c r="K22">
        <f>INDEX(cattle!$D$3:$AH$120,$I22,K$4)</f>
        <v>6.6</v>
      </c>
    </row>
    <row r="23" spans="2:11" x14ac:dyDescent="0.25">
      <c r="B23" t="s">
        <v>47</v>
      </c>
      <c r="C23" s="24">
        <f t="shared" si="0"/>
        <v>87.5</v>
      </c>
      <c r="D23" s="4"/>
      <c r="E23" s="4">
        <f>MATCH($B23,pigs!$A$3:$A$60,0)</f>
        <v>43</v>
      </c>
      <c r="F23">
        <f>INDEX(pigs!$D$3:$AO$60,$E23,F$4)</f>
        <v>88</v>
      </c>
      <c r="G23">
        <f>INDEX(pigs!$D$3:$AO$60,$E23,G$4)</f>
        <v>9.3000000000000007</v>
      </c>
      <c r="H23">
        <f>INDEX(pigs!$D$3:$AO$60,$E23,H$4)</f>
        <v>9.9</v>
      </c>
      <c r="I23" s="4">
        <f>MATCH($B23,cattle!$A$3:$A$120,0)</f>
        <v>93</v>
      </c>
      <c r="J23">
        <f>INDEX(cattle!$D$3:$AH$120,$I23,J$4)</f>
        <v>87</v>
      </c>
      <c r="K23">
        <f>INDEX(cattle!$D$3:$AH$120,$I23,K$4)</f>
        <v>14.6</v>
      </c>
    </row>
    <row r="24" spans="2:11" x14ac:dyDescent="0.25">
      <c r="B24" t="s">
        <v>48</v>
      </c>
      <c r="C24" s="24">
        <f t="shared" si="0"/>
        <v>87</v>
      </c>
      <c r="D24" s="4"/>
      <c r="E24" s="4">
        <f>MATCH($B24,pigs!$A$3:$A$60,0)</f>
        <v>45</v>
      </c>
      <c r="F24">
        <f>INDEX(pigs!$D$3:$AO$60,$E24,F$4)</f>
        <v>87</v>
      </c>
      <c r="G24">
        <f>INDEX(pigs!$D$3:$AO$60,$E24,G$4)</f>
        <v>9.6999999999999993</v>
      </c>
      <c r="H24">
        <f>INDEX(pigs!$D$3:$AO$60,$E24,H$4)</f>
        <v>10.3</v>
      </c>
      <c r="I24" s="4"/>
    </row>
    <row r="25" spans="2:11" x14ac:dyDescent="0.25">
      <c r="B25" t="s">
        <v>39</v>
      </c>
      <c r="C25" s="24">
        <f t="shared" si="0"/>
        <v>89.5</v>
      </c>
      <c r="D25" s="4"/>
      <c r="E25" s="4">
        <f>MATCH($B25,pigs!$A$3:$A$60,0)</f>
        <v>36</v>
      </c>
      <c r="F25">
        <f>INDEX(pigs!$D$3:$AO$60,$E25,F$4)</f>
        <v>89</v>
      </c>
      <c r="G25">
        <f>INDEX(pigs!$D$3:$AO$60,$E25,G$4)</f>
        <v>7.1</v>
      </c>
      <c r="H25">
        <f>INDEX(pigs!$D$3:$AO$60,$E25,H$4)</f>
        <v>7.7</v>
      </c>
      <c r="I25" s="4">
        <f>MATCH($B25,cattle!$A$3:$A$120,0)</f>
        <v>70</v>
      </c>
      <c r="J25">
        <f>INDEX(cattle!$D$3:$AH$120,$I25,J$4)</f>
        <v>90</v>
      </c>
      <c r="K25">
        <f>INDEX(cattle!$D$3:$AH$120,$I25,K$4)</f>
        <v>12.2</v>
      </c>
    </row>
    <row r="26" spans="2:11" x14ac:dyDescent="0.25">
      <c r="B26" t="s">
        <v>49</v>
      </c>
      <c r="C26" s="24">
        <f t="shared" si="0"/>
        <v>91</v>
      </c>
      <c r="D26" s="4"/>
      <c r="E26" s="4">
        <f>MATCH($B26,pigs!$A$3:$A$60,0)</f>
        <v>46</v>
      </c>
      <c r="F26">
        <f>INDEX(pigs!$D$3:$AO$60,$E26,F$4)</f>
        <v>90</v>
      </c>
      <c r="G26">
        <f>INDEX(pigs!$D$3:$AO$60,$E26,G$4)</f>
        <v>5.9</v>
      </c>
      <c r="H26">
        <f>INDEX(pigs!$D$3:$AO$60,$E26,H$4)</f>
        <v>6.5</v>
      </c>
      <c r="I26" s="4">
        <f>MATCH($B26,cattle!$A$3:$A$120,0)</f>
        <v>99</v>
      </c>
      <c r="J26">
        <f>INDEX(cattle!$D$3:$AH$120,$I26,J$4)</f>
        <v>92</v>
      </c>
      <c r="K26">
        <f>INDEX(cattle!$D$3:$AH$120,$I26,K$4)</f>
        <v>11.4</v>
      </c>
    </row>
    <row r="27" spans="2:11" x14ac:dyDescent="0.25">
      <c r="B27" t="s">
        <v>50</v>
      </c>
      <c r="C27" s="24">
        <f t="shared" si="0"/>
        <v>91</v>
      </c>
      <c r="D27" s="4"/>
      <c r="E27" s="4">
        <f>MATCH($B27,pigs!$A$3:$A$60,0)</f>
        <v>29</v>
      </c>
      <c r="F27">
        <f>INDEX(pigs!$D$3:$AO$60,$E27,F$4)</f>
        <v>91</v>
      </c>
      <c r="G27">
        <f>INDEX(pigs!$D$3:$AO$60,$E27,G$4)</f>
        <v>5.4</v>
      </c>
      <c r="H27">
        <f>INDEX(pigs!$D$3:$AO$60,$E27,H$4)</f>
        <v>6.2</v>
      </c>
      <c r="I27" s="4">
        <f>MATCH($B27,cattle!$A$3:$A$120,0)</f>
        <v>60</v>
      </c>
      <c r="J27">
        <f>INDEX(cattle!$D$3:$AH$120,$I27,J$4)</f>
        <v>91</v>
      </c>
      <c r="K27">
        <f>INDEX(cattle!$D$3:$AH$120,$I27,K$4)</f>
        <v>13.4</v>
      </c>
    </row>
    <row r="28" spans="2:11" x14ac:dyDescent="0.25">
      <c r="B28" t="s">
        <v>51</v>
      </c>
      <c r="C28" s="24">
        <f t="shared" si="0"/>
        <v>87</v>
      </c>
      <c r="D28" s="4"/>
      <c r="E28" s="4">
        <f>MATCH($B28,pigs!$A$3:$A$60,0)</f>
        <v>55</v>
      </c>
      <c r="F28">
        <f>INDEX(pigs!$D$3:$AO$60,$E28,F$4)</f>
        <v>87</v>
      </c>
      <c r="G28">
        <f>INDEX(pigs!$D$3:$AO$60,$E28,G$4)</f>
        <v>7.2</v>
      </c>
      <c r="H28">
        <f>INDEX(pigs!$D$3:$AO$60,$E28,H$4)</f>
        <v>7.8</v>
      </c>
      <c r="I28" s="4">
        <f>MATCH($B28,cattle!$A$3:$A$120,0)</f>
        <v>111</v>
      </c>
      <c r="J28">
        <f>INDEX(cattle!$D$3:$AH$120,$I28,J$4)</f>
        <v>87</v>
      </c>
      <c r="K28">
        <f>INDEX(cattle!$D$3:$AH$120,$I28,K$4)</f>
        <v>11</v>
      </c>
    </row>
    <row r="29" spans="2:11" x14ac:dyDescent="0.25">
      <c r="B29" t="s">
        <v>52</v>
      </c>
      <c r="C29" s="24">
        <f t="shared" si="0"/>
        <v>88</v>
      </c>
      <c r="D29" s="4"/>
      <c r="E29" s="4">
        <f>MATCH($B29,pigs!$A$3:$A$60,0)</f>
        <v>54</v>
      </c>
      <c r="F29">
        <f>INDEX(pigs!$D$3:$AO$60,$E29,F$4)</f>
        <v>88</v>
      </c>
      <c r="G29">
        <f>INDEX(pigs!$D$3:$AO$60,$E29,G$4)</f>
        <v>8.6999999999999993</v>
      </c>
      <c r="H29">
        <f>INDEX(pigs!$D$3:$AO$60,$E29,H$4)</f>
        <v>9.1999999999999993</v>
      </c>
      <c r="I29" s="4"/>
    </row>
    <row r="30" spans="2:11" x14ac:dyDescent="0.25">
      <c r="B30" t="s">
        <v>53</v>
      </c>
      <c r="C30" s="24">
        <f t="shared" si="0"/>
        <v>90</v>
      </c>
      <c r="D30" s="4"/>
      <c r="E30" s="4">
        <f>MATCH($B30,pigs!$A$3:$A$60,0)</f>
        <v>3</v>
      </c>
      <c r="F30">
        <f>INDEX(pigs!$D$3:$AO$60,$E30,F$4)</f>
        <v>90</v>
      </c>
      <c r="G30">
        <f>INDEX(pigs!$D$3:$AO$60,$E30,G$4)</f>
        <v>8.1</v>
      </c>
      <c r="H30">
        <f>INDEX(pigs!$D$3:$AO$60,$E30,H$4)</f>
        <v>8.6999999999999993</v>
      </c>
      <c r="I30" s="4">
        <f>MATCH($B30,cattle!$A$3:$A$120,0)</f>
        <v>109</v>
      </c>
      <c r="J30">
        <f>INDEX(cattle!$D$3:$AH$120,$I30,J$4)</f>
        <v>90</v>
      </c>
      <c r="K30">
        <f>INDEX(cattle!$D$3:$AH$120,$I30,K$4)</f>
        <v>13.3</v>
      </c>
    </row>
    <row r="31" spans="2:11" x14ac:dyDescent="0.25">
      <c r="B31" t="s">
        <v>54</v>
      </c>
      <c r="C31" s="24">
        <f t="shared" si="0"/>
        <v>11</v>
      </c>
      <c r="D31" s="4"/>
      <c r="E31" s="4">
        <f>MATCH($B31,pigs!$A$3:$A$60,0)</f>
        <v>1</v>
      </c>
      <c r="F31">
        <f>INDEX(pigs!$D$3:$AO$60,$E31,F$4)</f>
        <v>11</v>
      </c>
      <c r="G31">
        <f>INDEX(pigs!$D$3:$AO$60,$E31,G$4)</f>
        <v>8.1999999999999993</v>
      </c>
      <c r="H31">
        <f>INDEX(pigs!$D$3:$AO$60,$E31,H$4)</f>
        <v>8.9</v>
      </c>
      <c r="I31" s="4"/>
    </row>
    <row r="32" spans="2:11" x14ac:dyDescent="0.25">
      <c r="B32" t="s">
        <v>55</v>
      </c>
      <c r="C32" s="24">
        <f t="shared" si="0"/>
        <v>75.5</v>
      </c>
      <c r="D32" s="4"/>
      <c r="E32" s="4">
        <f>MATCH($B32,pigs!$A$3:$A$60,0)</f>
        <v>23</v>
      </c>
      <c r="F32">
        <f>INDEX(pigs!$D$3:$AO$60,$E32,F$4)</f>
        <v>76</v>
      </c>
      <c r="G32">
        <f>INDEX(pigs!$D$3:$AO$60,$E32,G$4)</f>
        <v>8.6999999999999993</v>
      </c>
      <c r="H32">
        <f>INDEX(pigs!$D$3:$AO$60,$E32,H$4)</f>
        <v>9</v>
      </c>
      <c r="I32" s="4">
        <f>MATCH($B32,cattle!$A$3:$A$120,0)</f>
        <v>88</v>
      </c>
      <c r="J32">
        <f>INDEX(cattle!$D$3:$AH$120,$I32,J$4)</f>
        <v>75</v>
      </c>
      <c r="K32">
        <f>INDEX(cattle!$D$3:$AH$120,$I32,K$4)</f>
        <v>12.4</v>
      </c>
    </row>
    <row r="33" spans="2:11" x14ac:dyDescent="0.25">
      <c r="B33" t="s">
        <v>56</v>
      </c>
      <c r="C33" s="24">
        <f t="shared" si="0"/>
        <v>89.5</v>
      </c>
      <c r="D33" s="4"/>
      <c r="E33" s="4">
        <f>MATCH($B33,pigs!$A$3:$A$60,0)</f>
        <v>4</v>
      </c>
      <c r="F33">
        <f>INDEX(pigs!$D$3:$AO$60,$E33,F$4)</f>
        <v>89</v>
      </c>
      <c r="G33">
        <f>INDEX(pigs!$D$3:$AO$60,$E33,G$4)</f>
        <v>6.9</v>
      </c>
      <c r="H33">
        <f>INDEX(pigs!$D$3:$AO$60,$E33,H$4)</f>
        <v>8</v>
      </c>
      <c r="I33" s="4">
        <f>MATCH($B33,cattle!$A$3:$A$120,0)</f>
        <v>91</v>
      </c>
      <c r="J33">
        <f>INDEX(cattle!$D$3:$AH$120,$I33,J$4)</f>
        <v>90</v>
      </c>
      <c r="K33">
        <f>INDEX(cattle!$D$3:$AH$120,$I33,K$4)</f>
        <v>12.3</v>
      </c>
    </row>
    <row r="34" spans="2:11" x14ac:dyDescent="0.25">
      <c r="B34" t="s">
        <v>57</v>
      </c>
      <c r="C34" s="24">
        <f t="shared" si="0"/>
        <v>6.25</v>
      </c>
      <c r="D34" s="4"/>
      <c r="E34" s="4">
        <f>MATCH($B34,pigs!$A$3:$A$60,0)</f>
        <v>50</v>
      </c>
      <c r="F34">
        <f>INDEX(pigs!$D$3:$AO$60,$E34,F$4)</f>
        <v>5.5</v>
      </c>
      <c r="G34">
        <f>INDEX(pigs!$D$3:$AO$60,$E34,G$4)</f>
        <v>12.4</v>
      </c>
      <c r="H34">
        <f>INDEX(pigs!$D$3:$AO$60,$E34,H$4)</f>
        <v>12.2</v>
      </c>
      <c r="I34" s="4">
        <f>MATCH($B34,cattle!$A$3:$A$120,0)</f>
        <v>57</v>
      </c>
      <c r="J34">
        <f>INDEX(cattle!$D$3:$AH$120,$I34,J$4)</f>
        <v>7</v>
      </c>
      <c r="K34">
        <f>INDEX(cattle!$D$3:$AH$120,$I34,K$4)</f>
        <v>13.6</v>
      </c>
    </row>
    <row r="35" spans="2:11" x14ac:dyDescent="0.25">
      <c r="B35" t="s">
        <v>58</v>
      </c>
      <c r="C35" s="24">
        <f t="shared" si="0"/>
        <v>97</v>
      </c>
      <c r="D35" s="4"/>
      <c r="E35" s="4">
        <f>MATCH($B35,pigs!$A$3:$A$60,0)</f>
        <v>52</v>
      </c>
      <c r="F35">
        <f>INDEX(pigs!$D$3:$AO$60,$E35,F$4)</f>
        <v>97</v>
      </c>
      <c r="G35">
        <f>INDEX(pigs!$D$3:$AO$60,$E35,G$4)</f>
        <v>12.4</v>
      </c>
      <c r="H35">
        <f>INDEX(pigs!$D$3:$AO$60,$E35,H$4)</f>
        <v>12.2</v>
      </c>
      <c r="I35" s="4"/>
    </row>
    <row r="36" spans="2:11" x14ac:dyDescent="0.25">
      <c r="B36" t="s">
        <v>59</v>
      </c>
      <c r="C36" s="24">
        <f t="shared" si="0"/>
        <v>91</v>
      </c>
      <c r="D36" s="4"/>
      <c r="E36" s="4">
        <f>MATCH($B36,pigs!$A$3:$A$60,0)</f>
        <v>31</v>
      </c>
      <c r="F36">
        <f>INDEX(pigs!$D$3:$AO$60,$E36,F$4)</f>
        <v>92</v>
      </c>
      <c r="G36">
        <f>INDEX(pigs!$D$3:$AO$60,$E36,G$4)</f>
        <v>11.1</v>
      </c>
      <c r="H36">
        <f>INDEX(pigs!$D$3:$AO$60,$E36,H$4)</f>
        <v>11.3</v>
      </c>
      <c r="I36" s="4">
        <f>MATCH($B36,cattle!$A$3:$A$120,0)</f>
        <v>65</v>
      </c>
      <c r="J36">
        <f>INDEX(cattle!$D$3:$AH$120,$I36,J$4)</f>
        <v>90</v>
      </c>
      <c r="K36">
        <f>INDEX(cattle!$D$3:$AH$120,$I36,K$4)</f>
        <v>15.5</v>
      </c>
    </row>
    <row r="37" spans="2:11" x14ac:dyDescent="0.25">
      <c r="B37" t="s">
        <v>60</v>
      </c>
      <c r="C37" s="24">
        <f t="shared" si="0"/>
        <v>92</v>
      </c>
      <c r="D37" s="4"/>
      <c r="E37" s="4">
        <f>MATCH($B37,pigs!$A$3:$A$60,0)</f>
        <v>7</v>
      </c>
      <c r="F37">
        <f>INDEX(pigs!$D$3:$AO$60,$E37,F$4)</f>
        <v>92</v>
      </c>
      <c r="G37">
        <f>INDEX(pigs!$D$3:$AO$60,$E37,G$4)</f>
        <v>10.8</v>
      </c>
      <c r="H37">
        <f>INDEX(pigs!$D$3:$AO$60,$E37,H$4)</f>
        <v>10.8</v>
      </c>
      <c r="I37" s="4"/>
    </row>
  </sheetData>
  <hyperlinks>
    <hyperlink ref="C1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I37" sqref="I37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61</v>
      </c>
      <c r="B2" s="19" t="s">
        <v>128</v>
      </c>
      <c r="C2" s="19" t="s">
        <v>131</v>
      </c>
      <c r="D2" s="19" t="s">
        <v>132</v>
      </c>
      <c r="E2" s="19" t="s">
        <v>127</v>
      </c>
      <c r="F2" s="19" t="s">
        <v>126</v>
      </c>
      <c r="G2" s="19" t="s">
        <v>125</v>
      </c>
      <c r="H2" s="19" t="s">
        <v>133</v>
      </c>
      <c r="I2" s="19" t="s">
        <v>134</v>
      </c>
      <c r="J2" s="19" t="s">
        <v>135</v>
      </c>
      <c r="K2" s="19" t="s">
        <v>129</v>
      </c>
      <c r="L2" s="19" t="s">
        <v>130</v>
      </c>
      <c r="M2" s="19" t="s">
        <v>136</v>
      </c>
      <c r="N2" s="19" t="s">
        <v>137</v>
      </c>
      <c r="O2" s="19" t="s">
        <v>138</v>
      </c>
      <c r="P2" s="19" t="s">
        <v>139</v>
      </c>
      <c r="Q2" s="19" t="s">
        <v>140</v>
      </c>
      <c r="R2" s="19" t="s">
        <v>141</v>
      </c>
      <c r="S2" s="19" t="s">
        <v>142</v>
      </c>
      <c r="T2" s="19" t="s">
        <v>143</v>
      </c>
      <c r="U2" s="19" t="s">
        <v>144</v>
      </c>
      <c r="V2" s="19" t="s">
        <v>145</v>
      </c>
      <c r="W2" s="19" t="s">
        <v>146</v>
      </c>
      <c r="X2" s="19" t="s">
        <v>147</v>
      </c>
      <c r="Y2" s="19" t="s">
        <v>148</v>
      </c>
      <c r="Z2" s="19" t="s">
        <v>149</v>
      </c>
      <c r="AA2" s="19" t="s">
        <v>150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156</v>
      </c>
      <c r="AH2" s="19" t="s">
        <v>157</v>
      </c>
      <c r="AI2" s="19" t="s">
        <v>158</v>
      </c>
      <c r="AJ2" s="19" t="s">
        <v>159</v>
      </c>
      <c r="AK2" s="19" t="s">
        <v>160</v>
      </c>
      <c r="AL2" s="19" t="s">
        <v>161</v>
      </c>
      <c r="AM2" s="19" t="s">
        <v>162</v>
      </c>
      <c r="AN2" s="19" t="s">
        <v>163</v>
      </c>
      <c r="AO2" s="19" t="s">
        <v>164</v>
      </c>
    </row>
    <row r="3" spans="1:41" x14ac:dyDescent="0.25">
      <c r="A3" t="s">
        <v>54</v>
      </c>
      <c r="B3" s="12">
        <v>1</v>
      </c>
      <c r="C3" s="13" t="s">
        <v>64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65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53</v>
      </c>
      <c r="B5" s="12">
        <v>3</v>
      </c>
      <c r="C5" s="13" t="s">
        <v>66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56</v>
      </c>
      <c r="B6" s="15">
        <v>4</v>
      </c>
      <c r="C6" s="16" t="s">
        <v>67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68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63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60</v>
      </c>
      <c r="B9" s="12">
        <v>7</v>
      </c>
      <c r="C9" s="13" t="s">
        <v>69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70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71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72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41</v>
      </c>
      <c r="B13" s="12">
        <v>11</v>
      </c>
      <c r="C13" s="13" t="s">
        <v>73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74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40</v>
      </c>
      <c r="B15" s="12">
        <v>13</v>
      </c>
      <c r="C15" s="13" t="s">
        <v>75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46</v>
      </c>
      <c r="B16" s="15">
        <v>14</v>
      </c>
      <c r="C16" s="16" t="s">
        <v>76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77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78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79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80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43</v>
      </c>
      <c r="B21" s="12">
        <v>19</v>
      </c>
      <c r="C21" s="13" t="s">
        <v>81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82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83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84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55</v>
      </c>
      <c r="B25" s="12">
        <v>23</v>
      </c>
      <c r="C25" s="13" t="s">
        <v>85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86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87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88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89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B30" s="15">
        <v>28</v>
      </c>
      <c r="C30" s="16" t="s">
        <v>90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50</v>
      </c>
      <c r="B31" s="12">
        <v>29</v>
      </c>
      <c r="C31" s="13" t="s">
        <v>91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92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59</v>
      </c>
      <c r="B33" s="12">
        <v>31</v>
      </c>
      <c r="C33" s="13" t="s">
        <v>93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94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38</v>
      </c>
      <c r="B35" s="12">
        <v>33</v>
      </c>
      <c r="C35" s="13" t="s">
        <v>95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96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97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39</v>
      </c>
      <c r="B38" s="15">
        <v>36</v>
      </c>
      <c r="C38" s="16" t="s">
        <v>98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99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B40" s="15">
        <v>38</v>
      </c>
      <c r="C40" s="16" t="s">
        <v>100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42</v>
      </c>
      <c r="B41" s="12">
        <v>39</v>
      </c>
      <c r="C41" s="13" t="s">
        <v>101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102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103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104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47</v>
      </c>
      <c r="B45" s="12">
        <v>43</v>
      </c>
      <c r="C45" s="13" t="s">
        <v>105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106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48</v>
      </c>
      <c r="B47" s="12">
        <v>45</v>
      </c>
      <c r="C47" s="13" t="s">
        <v>107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49</v>
      </c>
      <c r="B48" s="15">
        <v>46</v>
      </c>
      <c r="C48" s="16" t="s">
        <v>108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109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110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111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57</v>
      </c>
      <c r="B52" s="15">
        <v>50</v>
      </c>
      <c r="C52" s="16" t="s">
        <v>112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113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58</v>
      </c>
      <c r="B54" s="15">
        <v>52</v>
      </c>
      <c r="C54" s="16" t="s">
        <v>114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18</v>
      </c>
      <c r="B55" s="12">
        <v>53</v>
      </c>
      <c r="C55" s="13" t="s">
        <v>115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52</v>
      </c>
      <c r="B56" s="15">
        <v>54</v>
      </c>
      <c r="C56" s="16" t="s">
        <v>116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51</v>
      </c>
      <c r="B57" s="12">
        <v>55</v>
      </c>
      <c r="C57" s="13" t="s">
        <v>117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44</v>
      </c>
      <c r="B58" s="15">
        <v>56</v>
      </c>
      <c r="C58" s="16" t="s">
        <v>118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45</v>
      </c>
      <c r="B59" s="12">
        <v>57</v>
      </c>
      <c r="C59" s="13" t="s">
        <v>119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120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97" workbookViewId="0">
      <selection activeCell="C28" sqref="C28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61</v>
      </c>
      <c r="B2" s="19" t="s">
        <v>128</v>
      </c>
      <c r="C2" s="19" t="s">
        <v>131</v>
      </c>
      <c r="D2" s="19" t="s">
        <v>132</v>
      </c>
      <c r="E2" s="19" t="s">
        <v>282</v>
      </c>
      <c r="F2" s="19" t="s">
        <v>283</v>
      </c>
      <c r="G2" s="19" t="s">
        <v>284</v>
      </c>
      <c r="H2" s="19" t="s">
        <v>285</v>
      </c>
      <c r="I2" s="19" t="s">
        <v>286</v>
      </c>
      <c r="J2" s="19" t="s">
        <v>287</v>
      </c>
      <c r="K2" s="19" t="s">
        <v>134</v>
      </c>
      <c r="L2" s="19" t="s">
        <v>135</v>
      </c>
      <c r="M2" s="19" t="s">
        <v>138</v>
      </c>
      <c r="N2" s="19" t="s">
        <v>288</v>
      </c>
      <c r="O2" s="19" t="s">
        <v>289</v>
      </c>
      <c r="P2" s="19" t="s">
        <v>290</v>
      </c>
      <c r="Q2" s="19" t="s">
        <v>291</v>
      </c>
      <c r="R2" s="19" t="s">
        <v>292</v>
      </c>
      <c r="S2" s="19" t="s">
        <v>293</v>
      </c>
      <c r="T2" s="19" t="s">
        <v>294</v>
      </c>
      <c r="U2" s="19" t="s">
        <v>295</v>
      </c>
      <c r="V2" s="19" t="s">
        <v>296</v>
      </c>
      <c r="W2" s="19" t="s">
        <v>137</v>
      </c>
      <c r="X2" s="19" t="s">
        <v>297</v>
      </c>
      <c r="Y2" s="19" t="s">
        <v>136</v>
      </c>
      <c r="Z2" s="19" t="s">
        <v>129</v>
      </c>
      <c r="AA2" s="19" t="s">
        <v>298</v>
      </c>
      <c r="AB2" s="19" t="s">
        <v>154</v>
      </c>
      <c r="AC2" s="19" t="s">
        <v>155</v>
      </c>
      <c r="AD2" s="19" t="s">
        <v>156</v>
      </c>
      <c r="AE2" s="19" t="s">
        <v>157</v>
      </c>
      <c r="AF2" s="19" t="s">
        <v>158</v>
      </c>
      <c r="AG2" s="19" t="s">
        <v>299</v>
      </c>
      <c r="AH2" s="19" t="s">
        <v>158</v>
      </c>
    </row>
    <row r="3" spans="1:34" x14ac:dyDescent="0.25">
      <c r="B3" s="12">
        <v>1</v>
      </c>
      <c r="C3" s="14" t="s">
        <v>165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166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167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168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169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170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171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172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173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174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175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176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177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178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179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180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181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182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183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184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185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308</v>
      </c>
      <c r="B24" s="15">
        <v>22</v>
      </c>
      <c r="C24" s="17" t="s">
        <v>186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187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188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189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190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191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41</v>
      </c>
      <c r="B30" s="15">
        <v>28</v>
      </c>
      <c r="C30" s="17" t="s">
        <v>192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193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74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194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195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196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197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198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199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200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B40" s="15">
        <v>38</v>
      </c>
      <c r="C40" s="17" t="s">
        <v>201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202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203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204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40</v>
      </c>
      <c r="B44" s="15">
        <v>42</v>
      </c>
      <c r="C44" s="17" t="s">
        <v>205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206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207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46</v>
      </c>
      <c r="B47" s="12">
        <v>45</v>
      </c>
      <c r="C47" s="14" t="s">
        <v>208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209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210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211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212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213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13</v>
      </c>
      <c r="B53" s="12">
        <v>51</v>
      </c>
      <c r="C53" s="14" t="s">
        <v>214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215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43</v>
      </c>
      <c r="B55" s="12">
        <v>53</v>
      </c>
      <c r="C55" s="14" t="s">
        <v>216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217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218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219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57</v>
      </c>
      <c r="B59" s="12">
        <v>57</v>
      </c>
      <c r="C59" s="14" t="s">
        <v>220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221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222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50</v>
      </c>
      <c r="B62" s="15">
        <v>60</v>
      </c>
      <c r="C62" s="17" t="s">
        <v>223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224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225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226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227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59</v>
      </c>
      <c r="B67" s="12">
        <v>65</v>
      </c>
      <c r="C67" s="14" t="s">
        <v>228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311</v>
      </c>
      <c r="B68" s="15">
        <v>66</v>
      </c>
      <c r="C68" s="17" t="s">
        <v>229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230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231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232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39</v>
      </c>
      <c r="B72" s="15">
        <v>70</v>
      </c>
      <c r="C72" s="17" t="s">
        <v>233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38</v>
      </c>
      <c r="B73" s="12">
        <v>71</v>
      </c>
      <c r="C73" s="14" t="s">
        <v>234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235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236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237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238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239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B79" s="12">
        <v>77</v>
      </c>
      <c r="C79" s="14" t="s">
        <v>240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42</v>
      </c>
      <c r="B80" s="15">
        <v>78</v>
      </c>
      <c r="C80" s="17" t="s">
        <v>241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242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243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244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245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246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247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248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249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250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55</v>
      </c>
      <c r="B90" s="15">
        <v>88</v>
      </c>
      <c r="C90" s="17" t="s">
        <v>251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252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253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56</v>
      </c>
      <c r="B93" s="12">
        <v>91</v>
      </c>
      <c r="C93" s="14" t="s">
        <v>254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B94" s="15">
        <v>92</v>
      </c>
      <c r="C94" s="17" t="s">
        <v>255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47</v>
      </c>
      <c r="B95" s="12">
        <v>93</v>
      </c>
      <c r="C95" s="14" t="s">
        <v>256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257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258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259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260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261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49</v>
      </c>
      <c r="B101" s="12">
        <v>99</v>
      </c>
      <c r="C101" s="14" t="s">
        <v>262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263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264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265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266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267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268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269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270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271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53</v>
      </c>
      <c r="B111" s="12">
        <v>109</v>
      </c>
      <c r="C111" s="14" t="s">
        <v>272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273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51</v>
      </c>
      <c r="B113" s="12">
        <v>111</v>
      </c>
      <c r="C113" s="14" t="s">
        <v>274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18</v>
      </c>
      <c r="B114" s="15">
        <v>112</v>
      </c>
      <c r="C114" s="17" t="s">
        <v>275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276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277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44</v>
      </c>
      <c r="B117" s="12">
        <v>115</v>
      </c>
      <c r="C117" s="14" t="s">
        <v>278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279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280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281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feed pars</vt:lpstr>
      <vt:lpstr>pigs</vt:lpstr>
      <vt:lpstr>cattle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2023-05-08T07:08:25Z</dcterms:modified>
</cp:coreProperties>
</file>