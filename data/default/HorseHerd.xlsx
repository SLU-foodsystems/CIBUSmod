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8235" activeTab="1"/>
  </bookViews>
  <sheets>
    <sheet name="default" sheetId="1" r:id="rId1"/>
    <sheet name="Feed rations" sheetId="3" r:id="rId2"/>
    <sheet name="ME req young hors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M4" i="3" s="1"/>
  <c r="J5" i="3"/>
  <c r="N5" i="3" s="1"/>
  <c r="J6" i="3"/>
  <c r="N6" i="3" s="1"/>
  <c r="J7" i="3"/>
  <c r="N7" i="3" s="1"/>
  <c r="J8" i="3"/>
  <c r="N8" i="3" s="1"/>
  <c r="J9" i="3"/>
  <c r="N9" i="3" s="1"/>
  <c r="J10" i="3"/>
  <c r="N10" i="3" s="1"/>
  <c r="J11" i="3"/>
  <c r="N11" i="3" s="1"/>
  <c r="J12" i="3"/>
  <c r="N12" i="3" s="1"/>
  <c r="J13" i="3"/>
  <c r="N13" i="3" s="1"/>
  <c r="J14" i="3"/>
  <c r="N14" i="3" s="1"/>
  <c r="J15" i="3"/>
  <c r="N15" i="3" s="1"/>
  <c r="J16" i="3"/>
  <c r="N16" i="3" s="1"/>
  <c r="J17" i="3"/>
  <c r="N17" i="3" s="1"/>
  <c r="J18" i="3"/>
  <c r="N18" i="3" s="1"/>
  <c r="J19" i="3"/>
  <c r="N19" i="3" s="1"/>
  <c r="J4" i="3"/>
  <c r="N4" i="3" s="1"/>
  <c r="G4" i="3"/>
  <c r="I19" i="3" l="1"/>
  <c r="M19" i="3" s="1"/>
  <c r="I16" i="3"/>
  <c r="M16" i="3" s="1"/>
  <c r="I15" i="3"/>
  <c r="M15" i="3" s="1"/>
  <c r="I14" i="3"/>
  <c r="M14" i="3" s="1"/>
  <c r="I11" i="3"/>
  <c r="M11" i="3" s="1"/>
  <c r="I9" i="3"/>
  <c r="M9" i="3" s="1"/>
  <c r="I7" i="3"/>
  <c r="M7" i="3" s="1"/>
  <c r="I5" i="3"/>
  <c r="M5" i="3" s="1"/>
  <c r="I18" i="3"/>
  <c r="M18" i="3" s="1"/>
  <c r="I17" i="3"/>
  <c r="M17" i="3" s="1"/>
  <c r="I13" i="3"/>
  <c r="M13" i="3" s="1"/>
  <c r="I12" i="3"/>
  <c r="M12" i="3" s="1"/>
  <c r="I10" i="3"/>
  <c r="M10" i="3" s="1"/>
  <c r="I8" i="3"/>
  <c r="M8" i="3" s="1"/>
  <c r="I6" i="3"/>
  <c r="M6" i="3" s="1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4" i="3"/>
  <c r="R4" i="3"/>
  <c r="T4" i="3"/>
  <c r="S4" i="3"/>
  <c r="Q4" i="3"/>
  <c r="P4" i="3"/>
  <c r="N24" i="3"/>
  <c r="R25" i="3" s="1"/>
  <c r="N23" i="3"/>
  <c r="S25" i="3"/>
  <c r="S5" i="3" s="1"/>
  <c r="T25" i="3"/>
  <c r="U25" i="3"/>
  <c r="V25" i="3"/>
  <c r="W25" i="3"/>
  <c r="X25" i="3"/>
  <c r="Y25" i="3"/>
  <c r="Z25" i="3"/>
  <c r="AA25" i="3"/>
  <c r="AB25" i="3"/>
  <c r="AC25" i="3"/>
  <c r="AD25" i="3"/>
  <c r="AC5" i="3" s="1"/>
  <c r="G17" i="3"/>
  <c r="F17" i="3"/>
  <c r="AC8" i="3"/>
  <c r="AC12" i="3"/>
  <c r="AC16" i="3"/>
  <c r="S7" i="3"/>
  <c r="S10" i="3"/>
  <c r="S17" i="3"/>
  <c r="T11" i="3"/>
  <c r="R5" i="3" l="1"/>
  <c r="R18" i="3"/>
  <c r="R6" i="3"/>
  <c r="R14" i="3"/>
  <c r="R10" i="3"/>
  <c r="S19" i="3"/>
  <c r="S16" i="3"/>
  <c r="S13" i="3"/>
  <c r="S6" i="3"/>
  <c r="S18" i="3"/>
  <c r="S15" i="3"/>
  <c r="S12" i="3"/>
  <c r="S9" i="3"/>
  <c r="P25" i="3"/>
  <c r="S14" i="3"/>
  <c r="S11" i="3"/>
  <c r="S8" i="3"/>
  <c r="R19" i="3"/>
  <c r="R15" i="3"/>
  <c r="R11" i="3"/>
  <c r="R7" i="3"/>
  <c r="AC19" i="3"/>
  <c r="AC15" i="3"/>
  <c r="AC11" i="3"/>
  <c r="AC7" i="3"/>
  <c r="Q25" i="3"/>
  <c r="R16" i="3"/>
  <c r="R12" i="3"/>
  <c r="R8" i="3"/>
  <c r="AC18" i="3"/>
  <c r="AC14" i="3"/>
  <c r="AC10" i="3"/>
  <c r="AC6" i="3"/>
  <c r="R17" i="3"/>
  <c r="R13" i="3"/>
  <c r="R9" i="3"/>
  <c r="AC17" i="3"/>
  <c r="AC13" i="3"/>
  <c r="AC9" i="3"/>
  <c r="Q8" i="3" l="1"/>
  <c r="Q12" i="3"/>
  <c r="Q16" i="3"/>
  <c r="Q5" i="3"/>
  <c r="Q9" i="3"/>
  <c r="Q13" i="3"/>
  <c r="Q7" i="3"/>
  <c r="Q11" i="3"/>
  <c r="Q15" i="3"/>
  <c r="Q19" i="3"/>
  <c r="Q6" i="3"/>
  <c r="Q10" i="3"/>
  <c r="Q14" i="3"/>
  <c r="Q18" i="3"/>
  <c r="Q17" i="3"/>
  <c r="Z7" i="3" l="1"/>
  <c r="O25" i="3" l="1"/>
  <c r="O7" i="3"/>
  <c r="O5" i="3"/>
  <c r="O10" i="3"/>
  <c r="O14" i="3"/>
  <c r="O18" i="3"/>
  <c r="O9" i="3"/>
  <c r="O13" i="3"/>
  <c r="O6" i="3"/>
  <c r="O11" i="3"/>
  <c r="O15" i="3"/>
  <c r="O19" i="3"/>
  <c r="O8" i="3"/>
  <c r="O12" i="3"/>
  <c r="O16" i="3"/>
  <c r="O17" i="3" l="1"/>
  <c r="O4" i="3"/>
  <c r="G19" i="3"/>
  <c r="F19" i="3" s="1"/>
  <c r="G18" i="3"/>
  <c r="F18" i="3"/>
  <c r="G16" i="3"/>
  <c r="F16" i="3"/>
  <c r="G15" i="3"/>
  <c r="F15" i="3"/>
  <c r="G14" i="3"/>
  <c r="F14" i="3"/>
  <c r="G13" i="3"/>
  <c r="F13" i="3"/>
  <c r="G12" i="3"/>
  <c r="F12" i="3"/>
  <c r="G11" i="3"/>
  <c r="F11" i="3" s="1"/>
  <c r="G10" i="3"/>
  <c r="F10" i="3" s="1"/>
  <c r="G9" i="3"/>
  <c r="F9" i="3" s="1"/>
  <c r="G8" i="3"/>
  <c r="F8" i="3"/>
  <c r="F7" i="3"/>
  <c r="G7" i="3"/>
  <c r="G6" i="3"/>
  <c r="F6" i="3" s="1"/>
  <c r="G5" i="3"/>
  <c r="F5" i="3" s="1"/>
  <c r="F4" i="3"/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N25" i="3" l="1"/>
  <c r="Q26" i="3"/>
  <c r="T26" i="3"/>
  <c r="U26" i="3"/>
  <c r="V26" i="3"/>
  <c r="W26" i="3"/>
  <c r="X26" i="3"/>
  <c r="Y26" i="3"/>
  <c r="Z26" i="3"/>
  <c r="AA26" i="3"/>
  <c r="AB26" i="3"/>
  <c r="AC26" i="3"/>
  <c r="AD26" i="3"/>
  <c r="R26" i="3"/>
  <c r="S26" i="3"/>
  <c r="P26" i="3"/>
  <c r="O26" i="3"/>
  <c r="N26" i="3" l="1"/>
  <c r="AA8" i="3" l="1"/>
  <c r="T10" i="3"/>
  <c r="W5" i="3"/>
  <c r="W7" i="3"/>
  <c r="W9" i="3"/>
  <c r="W11" i="3"/>
  <c r="W13" i="3"/>
  <c r="W15" i="3"/>
  <c r="W17" i="3"/>
  <c r="W19" i="3"/>
  <c r="W6" i="3"/>
  <c r="W8" i="3"/>
  <c r="W10" i="3"/>
  <c r="W12" i="3"/>
  <c r="W14" i="3"/>
  <c r="W16" i="3"/>
  <c r="W18" i="3"/>
  <c r="X5" i="3"/>
  <c r="X7" i="3"/>
  <c r="X9" i="3"/>
  <c r="X11" i="3"/>
  <c r="X13" i="3"/>
  <c r="X15" i="3"/>
  <c r="X17" i="3"/>
  <c r="X19" i="3"/>
  <c r="X10" i="3"/>
  <c r="X18" i="3"/>
  <c r="X8" i="3"/>
  <c r="X16" i="3"/>
  <c r="X12" i="3"/>
  <c r="X6" i="3"/>
  <c r="X14" i="3"/>
  <c r="V9" i="3"/>
  <c r="V13" i="3"/>
  <c r="V17" i="3"/>
  <c r="V16" i="3"/>
  <c r="V5" i="3"/>
  <c r="V10" i="3"/>
  <c r="V14" i="3"/>
  <c r="V18" i="3"/>
  <c r="V8" i="3"/>
  <c r="V12" i="3"/>
  <c r="V6" i="3"/>
  <c r="V7" i="3"/>
  <c r="V11" i="3"/>
  <c r="V15" i="3"/>
  <c r="V19" i="3"/>
  <c r="AA12" i="3"/>
  <c r="AA16" i="3"/>
  <c r="AA11" i="3"/>
  <c r="AA9" i="3"/>
  <c r="AA13" i="3"/>
  <c r="AA17" i="3"/>
  <c r="AA15" i="3"/>
  <c r="AA19" i="3"/>
  <c r="AA5" i="3"/>
  <c r="AA10" i="3"/>
  <c r="AA14" i="3"/>
  <c r="AA18" i="3"/>
  <c r="AA6" i="3"/>
  <c r="AA7" i="3"/>
  <c r="T6" i="3"/>
  <c r="T7" i="3"/>
  <c r="T15" i="3"/>
  <c r="T19" i="3"/>
  <c r="T14" i="3"/>
  <c r="T8" i="3"/>
  <c r="T12" i="3"/>
  <c r="T16" i="3"/>
  <c r="T9" i="3"/>
  <c r="T13" i="3"/>
  <c r="T17" i="3"/>
  <c r="T5" i="3"/>
  <c r="T18" i="3"/>
  <c r="Z9" i="3"/>
  <c r="Z13" i="3"/>
  <c r="Z17" i="3"/>
  <c r="Z5" i="3"/>
  <c r="Z10" i="3"/>
  <c r="Z14" i="3"/>
  <c r="Z18" i="3"/>
  <c r="Z6" i="3"/>
  <c r="Z11" i="3"/>
  <c r="Z15" i="3"/>
  <c r="Z19" i="3"/>
  <c r="Z8" i="3"/>
  <c r="Z12" i="3"/>
  <c r="Z16" i="3"/>
  <c r="P9" i="3"/>
  <c r="P13" i="3"/>
  <c r="P17" i="3"/>
  <c r="P5" i="3"/>
  <c r="P10" i="3"/>
  <c r="P14" i="3"/>
  <c r="P18" i="3"/>
  <c r="P8" i="3"/>
  <c r="P6" i="3"/>
  <c r="P7" i="3"/>
  <c r="P11" i="3"/>
  <c r="P15" i="3"/>
  <c r="P19" i="3"/>
  <c r="P12" i="3"/>
  <c r="P16" i="3"/>
  <c r="F28" i="1"/>
  <c r="F29" i="1" l="1"/>
  <c r="U30" i="2"/>
  <c r="T30" i="2"/>
  <c r="S30" i="2"/>
  <c r="T15" i="2"/>
  <c r="U15" i="2"/>
  <c r="S15" i="2"/>
  <c r="U28" i="2"/>
  <c r="R28" i="2"/>
  <c r="Q28" i="2"/>
  <c r="T28" i="2" s="1"/>
  <c r="P28" i="2"/>
  <c r="S28" i="2" s="1"/>
  <c r="S27" i="2"/>
  <c r="R27" i="2"/>
  <c r="U27" i="2" s="1"/>
  <c r="Q27" i="2"/>
  <c r="T27" i="2" s="1"/>
  <c r="P27" i="2"/>
  <c r="U26" i="2"/>
  <c r="S26" i="2"/>
  <c r="R26" i="2"/>
  <c r="Q26" i="2"/>
  <c r="T26" i="2" s="1"/>
  <c r="P26" i="2"/>
  <c r="U25" i="2"/>
  <c r="S25" i="2"/>
  <c r="R25" i="2"/>
  <c r="Q25" i="2"/>
  <c r="T25" i="2" s="1"/>
  <c r="P25" i="2"/>
  <c r="U24" i="2"/>
  <c r="S24" i="2"/>
  <c r="R24" i="2"/>
  <c r="Q24" i="2"/>
  <c r="T24" i="2" s="1"/>
  <c r="P24" i="2"/>
  <c r="S23" i="2"/>
  <c r="R23" i="2"/>
  <c r="U23" i="2" s="1"/>
  <c r="Q23" i="2"/>
  <c r="T23" i="2" s="1"/>
  <c r="P23" i="2"/>
  <c r="U22" i="2"/>
  <c r="R22" i="2"/>
  <c r="Q22" i="2"/>
  <c r="T22" i="2" s="1"/>
  <c r="P22" i="2"/>
  <c r="S22" i="2" s="1"/>
  <c r="S21" i="2"/>
  <c r="S29" i="2" s="1"/>
  <c r="R21" i="2"/>
  <c r="U21" i="2" s="1"/>
  <c r="U29" i="2" s="1"/>
  <c r="Q21" i="2"/>
  <c r="T21" i="2" s="1"/>
  <c r="T29" i="2" s="1"/>
  <c r="P21" i="2"/>
  <c r="O28" i="2"/>
  <c r="O27" i="2"/>
  <c r="O26" i="2"/>
  <c r="O25" i="2"/>
  <c r="O24" i="2"/>
  <c r="O23" i="2"/>
  <c r="O22" i="2"/>
  <c r="O21" i="2"/>
  <c r="O6" i="2" l="1"/>
  <c r="T6" i="2" s="1"/>
  <c r="O7" i="2"/>
  <c r="O8" i="2"/>
  <c r="O9" i="2"/>
  <c r="U9" i="2" s="1"/>
  <c r="O10" i="2"/>
  <c r="O11" i="2"/>
  <c r="O12" i="2"/>
  <c r="O13" i="2"/>
  <c r="T13" i="2" s="1"/>
  <c r="S10" i="2"/>
  <c r="U6" i="2"/>
  <c r="T7" i="2"/>
  <c r="U7" i="2"/>
  <c r="T8" i="2"/>
  <c r="U8" i="2"/>
  <c r="T9" i="2"/>
  <c r="T11" i="2"/>
  <c r="U11" i="2"/>
  <c r="T12" i="2"/>
  <c r="U12" i="2"/>
  <c r="U13" i="2"/>
  <c r="S7" i="2"/>
  <c r="S8" i="2"/>
  <c r="S9" i="2"/>
  <c r="S11" i="2"/>
  <c r="S12" i="2"/>
  <c r="S13" i="2"/>
  <c r="S6" i="2"/>
  <c r="P7" i="2"/>
  <c r="Q7" i="2"/>
  <c r="R7" i="2"/>
  <c r="P8" i="2"/>
  <c r="Q8" i="2"/>
  <c r="R8" i="2"/>
  <c r="P9" i="2"/>
  <c r="Q9" i="2"/>
  <c r="R9" i="2"/>
  <c r="P10" i="2"/>
  <c r="Q10" i="2"/>
  <c r="R10" i="2"/>
  <c r="P11" i="2"/>
  <c r="Q11" i="2"/>
  <c r="R11" i="2"/>
  <c r="P12" i="2"/>
  <c r="Q12" i="2"/>
  <c r="R12" i="2"/>
  <c r="P13" i="2"/>
  <c r="Q13" i="2"/>
  <c r="R13" i="2"/>
  <c r="Q6" i="2"/>
  <c r="R6" i="2"/>
  <c r="P6" i="2"/>
  <c r="F23" i="1"/>
  <c r="F22" i="1"/>
  <c r="U10" i="2" l="1"/>
  <c r="U14" i="2" s="1"/>
  <c r="T10" i="2"/>
  <c r="T14" i="2" s="1"/>
  <c r="S14" i="2"/>
  <c r="AC4" i="3" l="1"/>
  <c r="W4" i="3"/>
  <c r="Z4" i="3"/>
  <c r="AA4" i="3"/>
  <c r="V4" i="3"/>
  <c r="E4" i="3"/>
  <c r="X4" i="3"/>
</calcChain>
</file>

<file path=xl/sharedStrings.xml><?xml version="1.0" encoding="utf-8"?>
<sst xmlns="http://schemas.openxmlformats.org/spreadsheetml/2006/main" count="243" uniqueCount="113">
  <si>
    <t>f_breed</t>
  </si>
  <si>
    <t>f_prod_system</t>
  </si>
  <si>
    <t>f_animal</t>
  </si>
  <si>
    <t>ponies and Icelandic horses</t>
  </si>
  <si>
    <t>broodmares</t>
  </si>
  <si>
    <t>young horses</t>
  </si>
  <si>
    <t>cold blooded horses</t>
  </si>
  <si>
    <t>riding horses</t>
  </si>
  <si>
    <t>trotters and racehorses</t>
  </si>
  <si>
    <t>low-performing horses</t>
  </si>
  <si>
    <t>medium-performing horses</t>
  </si>
  <si>
    <t>parameter</t>
  </si>
  <si>
    <t>value</t>
  </si>
  <si>
    <t>unit</t>
  </si>
  <si>
    <t>description</t>
  </si>
  <si>
    <t>source</t>
  </si>
  <si>
    <t>share_of_horses</t>
  </si>
  <si>
    <t>%</t>
  </si>
  <si>
    <t>slaughter_weight</t>
  </si>
  <si>
    <t>kg CW</t>
  </si>
  <si>
    <t>live_weight</t>
  </si>
  <si>
    <t>kg</t>
  </si>
  <si>
    <t>Live and slaughter weight</t>
  </si>
  <si>
    <t>Feed requirements</t>
  </si>
  <si>
    <t>energy_adjustment_factor</t>
  </si>
  <si>
    <t>gestation_energy_factor</t>
  </si>
  <si>
    <t>lactation_energy_factor</t>
  </si>
  <si>
    <t>Tabell 9</t>
  </si>
  <si>
    <t>3 months lactation</t>
  </si>
  <si>
    <t>foals_per_year</t>
  </si>
  <si>
    <t>Seems to be common with one foal per year but some room for a missed year</t>
  </si>
  <si>
    <t>MJ ME per day/kg LW^0.75</t>
  </si>
  <si>
    <t>Tabell 5b. Grundenergibehov (underhåll+tillväxt)* (MJ/dag) för unghästar med hög tillväxttakt (L=lättfödd, N=normalfödd, S= svårfödd). Vid hög tillväxttakt blir den dagliga tillväxten 40 % högre än vid låg från 7 mån</t>
  </si>
  <si>
    <t>Uppskattad vuxenvikt</t>
  </si>
  <si>
    <t>3-6 mån</t>
  </si>
  <si>
    <t>7-12 mån</t>
  </si>
  <si>
    <t>13-18 mån</t>
  </si>
  <si>
    <t>19-36 mån</t>
  </si>
  <si>
    <t>L</t>
  </si>
  <si>
    <t>N</t>
  </si>
  <si>
    <t>S</t>
  </si>
  <si>
    <t>LW^0.75</t>
  </si>
  <si>
    <t>Adult live weight</t>
  </si>
  <si>
    <t>maintenance_energy_factor</t>
  </si>
  <si>
    <t>Feed rations</t>
  </si>
  <si>
    <t>share_in_ration</t>
  </si>
  <si>
    <t>Fallback</t>
  </si>
  <si>
    <t>f_feed</t>
  </si>
  <si>
    <t>% of DM</t>
  </si>
  <si>
    <t>hay</t>
  </si>
  <si>
    <t>grazing</t>
  </si>
  <si>
    <t>Tabell 5a. Grundenergibehov (underhåll+tillväxt)* (MJ/dag) för unghästar med låg tillväxttakt (L=lättfödd, N=normalfödd, S= svårfödd)</t>
  </si>
  <si>
    <t>MEAN</t>
  </si>
  <si>
    <t>SD</t>
  </si>
  <si>
    <t>calculated from Tabell 5b</t>
  </si>
  <si>
    <t>Tabell 13. 11 mont gestation. Assume linear growth from month 1 (+0%) to 8 (+15%)</t>
  </si>
  <si>
    <t>No activity adjustment</t>
  </si>
  <si>
    <t>Assumes lower activity than "lätt träning" but some</t>
  </si>
  <si>
    <t>breed</t>
  </si>
  <si>
    <t>animal</t>
  </si>
  <si>
    <t>Roughage</t>
  </si>
  <si>
    <t>Concentrates</t>
  </si>
  <si>
    <t>TOTAL</t>
  </si>
  <si>
    <t>Havre</t>
  </si>
  <si>
    <t>Kli av skalad havre</t>
  </si>
  <si>
    <t>Havreskal med kli</t>
  </si>
  <si>
    <t>Korn</t>
  </si>
  <si>
    <t>Vete</t>
  </si>
  <si>
    <t>Vetekli</t>
  </si>
  <si>
    <t>Vegetabilisk olja</t>
  </si>
  <si>
    <t>(socker)betmelass</t>
  </si>
  <si>
    <t>Potatisprotein</t>
  </si>
  <si>
    <t>Lussernmjöl</t>
  </si>
  <si>
    <t>Grönmjöl</t>
  </si>
  <si>
    <t>Kalciumkarbonat</t>
  </si>
  <si>
    <t>Koksalt</t>
  </si>
  <si>
    <t>SE</t>
  </si>
  <si>
    <t>INF</t>
  </si>
  <si>
    <t>% imported</t>
  </si>
  <si>
    <t>% of TOTAL</t>
  </si>
  <si>
    <t>hay of rough</t>
  </si>
  <si>
    <t>grazing of rough</t>
  </si>
  <si>
    <t>Total feed ration</t>
  </si>
  <si>
    <t>oats</t>
  </si>
  <si>
    <t>barley</t>
  </si>
  <si>
    <t>wheat</t>
  </si>
  <si>
    <t>wheat bran, fine</t>
  </si>
  <si>
    <t>vegetable oils</t>
  </si>
  <si>
    <t>wheat bran</t>
  </si>
  <si>
    <t>sugar beet molasses</t>
  </si>
  <si>
    <t>sugar beet pulp</t>
  </si>
  <si>
    <t>potatoe protein</t>
  </si>
  <si>
    <t>luzern meal</t>
  </si>
  <si>
    <t>Vetefodermjöl (plus fodervete 2022)</t>
  </si>
  <si>
    <t>(socker)betmassa (torkad betmassa</t>
  </si>
  <si>
    <t>Melasserad pressmassa (melasseard torkad betma.. 2022)</t>
  </si>
  <si>
    <t>From feed industry statistics (2022)</t>
  </si>
  <si>
    <t>oat bran</t>
  </si>
  <si>
    <t>oat hulls</t>
  </si>
  <si>
    <t>minerals</t>
  </si>
  <si>
    <t>HorseHerd-feed_rations.csv</t>
  </si>
  <si>
    <t>Grazing</t>
  </si>
  <si>
    <t>grazing_period</t>
  </si>
  <si>
    <t>months</t>
  </si>
  <si>
    <t>NIR 2022 page Table 5.9</t>
  </si>
  <si>
    <t>indoors_during_grazing</t>
  </si>
  <si>
    <t>Assumed included in the grazing period</t>
  </si>
  <si>
    <t>grazing factor</t>
  </si>
  <si>
    <t>Grazing factor set to align 'Ley for fodder'</t>
  </si>
  <si>
    <t>and 'Ley for grazing' areas better to</t>
  </si>
  <si>
    <t>agricultrual statistics</t>
  </si>
  <si>
    <t>grazing of rough (adjusted)</t>
  </si>
  <si>
    <t>hay of rough (adjusted)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</si>
</sst>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Times New Roman"/>
      <family val="1"/>
      <charset val="204"/>
    </font>
    <font>
      <b/>
      <sz val="12"/>
      <color indexed="8"/>
      <name val="Times New Roman"/>
      <family val="2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1" fontId="0" fillId="0" borderId="0" xfId="0" applyNumberFormat="1"/>
    <xf numFmtId="1" fontId="1" fillId="0" borderId="0" xfId="0" applyNumberFormat="1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/>
    <xf numFmtId="0" fontId="4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8" fillId="0" borderId="2" xfId="0" applyFont="1" applyBorder="1" applyAlignment="1">
      <alignment horizontal="left" vertical="top" wrapText="1" indent="2"/>
    </xf>
    <xf numFmtId="0" fontId="8" fillId="0" borderId="2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left" vertical="top" shrinkToFit="1"/>
    </xf>
    <xf numFmtId="1" fontId="6" fillId="0" borderId="1" xfId="0" applyNumberFormat="1" applyFont="1" applyBorder="1" applyAlignment="1">
      <alignment horizontal="left" vertical="top" indent="1" shrinkToFit="1"/>
    </xf>
    <xf numFmtId="1" fontId="5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left" vertical="top" shrinkToFit="1"/>
    </xf>
    <xf numFmtId="1" fontId="6" fillId="0" borderId="0" xfId="0" applyNumberFormat="1" applyFont="1" applyAlignment="1">
      <alignment horizontal="left" vertical="top" indent="1" shrinkToFit="1"/>
    </xf>
    <xf numFmtId="1" fontId="5" fillId="0" borderId="2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left" vertical="top" shrinkToFit="1"/>
    </xf>
    <xf numFmtId="1" fontId="6" fillId="0" borderId="2" xfId="0" applyNumberFormat="1" applyFont="1" applyBorder="1" applyAlignment="1">
      <alignment horizontal="left" vertical="top" indent="1" shrinkToFit="1"/>
    </xf>
    <xf numFmtId="0" fontId="8" fillId="0" borderId="0" xfId="0" applyFont="1" applyFill="1" applyBorder="1" applyAlignment="1">
      <alignment horizontal="left" vertical="top" wrapText="1" indent="2"/>
    </xf>
    <xf numFmtId="164" fontId="2" fillId="0" borderId="0" xfId="0" applyNumberFormat="1" applyFont="1"/>
    <xf numFmtId="2" fontId="9" fillId="0" borderId="0" xfId="0" applyNumberFormat="1" applyFont="1"/>
    <xf numFmtId="0" fontId="10" fillId="0" borderId="0" xfId="0" applyFont="1"/>
    <xf numFmtId="0" fontId="8" fillId="0" borderId="2" xfId="0" applyFont="1" applyBorder="1" applyAlignment="1">
      <alignment horizontal="right" vertical="top" wrapText="1" indent="1"/>
    </xf>
    <xf numFmtId="1" fontId="6" fillId="0" borderId="1" xfId="0" applyNumberFormat="1" applyFont="1" applyBorder="1" applyAlignment="1">
      <alignment horizontal="right" vertical="top" indent="2" shrinkToFit="1"/>
    </xf>
    <xf numFmtId="1" fontId="6" fillId="0" borderId="0" xfId="0" applyNumberFormat="1" applyFont="1" applyAlignment="1">
      <alignment horizontal="right" vertical="top" indent="2" shrinkToFit="1"/>
    </xf>
    <xf numFmtId="1" fontId="6" fillId="0" borderId="2" xfId="0" applyNumberFormat="1" applyFont="1" applyBorder="1" applyAlignment="1">
      <alignment horizontal="right" vertical="top" indent="2" shrinkToFit="1"/>
    </xf>
    <xf numFmtId="0" fontId="3" fillId="0" borderId="0" xfId="0" applyFont="1"/>
    <xf numFmtId="9" fontId="0" fillId="0" borderId="0" xfId="1" applyFont="1"/>
    <xf numFmtId="9" fontId="0" fillId="0" borderId="0" xfId="0" applyNumberFormat="1"/>
    <xf numFmtId="0" fontId="0" fillId="0" borderId="0" xfId="0"/>
    <xf numFmtId="1" fontId="0" fillId="0" borderId="0" xfId="0" applyNumberFormat="1"/>
    <xf numFmtId="9" fontId="0" fillId="0" borderId="0" xfId="1" applyFont="1"/>
    <xf numFmtId="9" fontId="0" fillId="0" borderId="0" xfId="0" applyNumberFormat="1"/>
    <xf numFmtId="0" fontId="9" fillId="0" borderId="0" xfId="0" applyFont="1"/>
    <xf numFmtId="1" fontId="9" fillId="0" borderId="0" xfId="0" applyNumberFormat="1" applyFont="1"/>
    <xf numFmtId="0" fontId="12" fillId="0" borderId="0" xfId="0" applyFont="1"/>
    <xf numFmtId="2" fontId="12" fillId="0" borderId="0" xfId="1" applyNumberFormat="1" applyFont="1"/>
    <xf numFmtId="0" fontId="13" fillId="3" borderId="0" xfId="0" applyFont="1" applyFill="1"/>
    <xf numFmtId="1" fontId="13" fillId="3" borderId="0" xfId="0" applyNumberFormat="1" applyFont="1" applyFill="1"/>
    <xf numFmtId="1" fontId="13" fillId="0" borderId="0" xfId="0" applyNumberFormat="1" applyFont="1" applyFill="1"/>
    <xf numFmtId="0" fontId="13" fillId="0" borderId="0" xfId="0" applyFont="1" applyFill="1"/>
    <xf numFmtId="0" fontId="14" fillId="0" borderId="0" xfId="0" applyFont="1"/>
    <xf numFmtId="9" fontId="14" fillId="0" borderId="0" xfId="1" applyFont="1"/>
    <xf numFmtId="0" fontId="7" fillId="0" borderId="0" xfId="0" applyFont="1" applyAlignment="1">
      <alignment horizontal="left" wrapText="1" indent="1"/>
    </xf>
    <xf numFmtId="0" fontId="8" fillId="0" borderId="1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4"/>
    </xf>
    <xf numFmtId="0" fontId="7" fillId="0" borderId="0" xfId="0" applyFont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00526191073828"/>
          <c:y val="5.4320987654320987E-2"/>
          <c:w val="0.71268022894524086"/>
          <c:h val="0.83173636628754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'ME req young horses'!$S$5</c:f>
              <c:strCache>
                <c:ptCount val="1"/>
                <c:pt idx="0">
                  <c:v>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horses'!$O$21:$O$28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horses'!$S$21:$S$28</c:f>
              <c:numCache>
                <c:formatCode>0.000</c:formatCode>
                <c:ptCount val="8"/>
                <c:pt idx="0">
                  <c:v>0.5454928963790453</c:v>
                </c:pt>
                <c:pt idx="1">
                  <c:v>0.55468895623024339</c:v>
                </c:pt>
                <c:pt idx="2">
                  <c:v>0.55490552670504234</c:v>
                </c:pt>
                <c:pt idx="3">
                  <c:v>0.5562219094030727</c:v>
                </c:pt>
                <c:pt idx="4">
                  <c:v>0.55325884126685776</c:v>
                </c:pt>
                <c:pt idx="5">
                  <c:v>0.55266424042877405</c:v>
                </c:pt>
                <c:pt idx="6">
                  <c:v>0.55662038473355446</c:v>
                </c:pt>
                <c:pt idx="7">
                  <c:v>0.55343516677583804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A6-4EE6-98ED-B52090D957FC}"/>
            </c:ext>
          </c:extLst>
        </c:ser>
        <c:ser>
          <c:idx val="1"/>
          <c:order val="1"/>
          <c:tx>
            <c:strRef>
              <c:f>'ME req young horses'!$T$5</c:f>
              <c:strCache>
                <c:ptCount val="1"/>
                <c:pt idx="0">
                  <c:v>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horses'!$O$21:$O$28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horses'!$T$21:$T$28</c:f>
              <c:numCache>
                <c:formatCode>0.000</c:formatCode>
                <c:ptCount val="8"/>
                <c:pt idx="0">
                  <c:v>0.57711567298072908</c:v>
                </c:pt>
                <c:pt idx="1">
                  <c:v>0.58289347942839131</c:v>
                </c:pt>
                <c:pt idx="2">
                  <c:v>0.58265080304029448</c:v>
                </c:pt>
                <c:pt idx="3">
                  <c:v>0.58417275912181998</c:v>
                </c:pt>
                <c:pt idx="4">
                  <c:v>0.58163108953695297</c:v>
                </c:pt>
                <c:pt idx="5">
                  <c:v>0.57947258044957284</c:v>
                </c:pt>
                <c:pt idx="6">
                  <c:v>0.58601288029704246</c:v>
                </c:pt>
                <c:pt idx="7">
                  <c:v>0.58002664626056299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A6-4EE6-98ED-B52090D957FC}"/>
            </c:ext>
          </c:extLst>
        </c:ser>
        <c:ser>
          <c:idx val="2"/>
          <c:order val="2"/>
          <c:tx>
            <c:strRef>
              <c:f>'ME req young horses'!$U$5</c:f>
              <c:strCache>
                <c:ptCount val="1"/>
                <c:pt idx="0">
                  <c:v>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horses'!$O$21:$O$28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horses'!$U$21:$U$28</c:f>
              <c:numCache>
                <c:formatCode>0.000</c:formatCode>
                <c:ptCount val="8"/>
                <c:pt idx="0">
                  <c:v>0.60873844958241285</c:v>
                </c:pt>
                <c:pt idx="1">
                  <c:v>0.61109800262653935</c:v>
                </c:pt>
                <c:pt idx="2">
                  <c:v>0.61039607937554663</c:v>
                </c:pt>
                <c:pt idx="3">
                  <c:v>0.61212360884056738</c:v>
                </c:pt>
                <c:pt idx="4">
                  <c:v>0.6100033378070483</c:v>
                </c:pt>
                <c:pt idx="5">
                  <c:v>0.60834310047197149</c:v>
                </c:pt>
                <c:pt idx="6">
                  <c:v>0.61356834488781253</c:v>
                </c:pt>
                <c:pt idx="7">
                  <c:v>0.60994206068087853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A6-4EE6-98ED-B52090D95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639632"/>
        <c:axId val="815649200"/>
      </c:scatterChart>
      <c:valAx>
        <c:axId val="81563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49200"/>
        <c:crosses val="autoZero"/>
        <c:crossBetween val="midCat"/>
      </c:valAx>
      <c:valAx>
        <c:axId val="81564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3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8173121816893341"/>
          <c:y val="5.343248760571595E-2"/>
          <c:w val="8.4253046374238888E-2"/>
          <c:h val="0.257714017450752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00526191073828"/>
          <c:y val="5.4320987654320987E-2"/>
          <c:w val="0.71268022894524086"/>
          <c:h val="0.831736366287547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'ME req young horses'!$S$5</c:f>
              <c:strCache>
                <c:ptCount val="1"/>
                <c:pt idx="0">
                  <c:v>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horses'!$O$6:$O$13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horses'!$S$6:$S$13</c:f>
              <c:numCache>
                <c:formatCode>0.000</c:formatCode>
                <c:ptCount val="8"/>
                <c:pt idx="0">
                  <c:v>0.60873844958241285</c:v>
                </c:pt>
                <c:pt idx="1">
                  <c:v>0.60639724876018131</c:v>
                </c:pt>
                <c:pt idx="2">
                  <c:v>0.60692791983364014</c:v>
                </c:pt>
                <c:pt idx="3">
                  <c:v>0.60653343889681788</c:v>
                </c:pt>
                <c:pt idx="4">
                  <c:v>0.6100033378070483</c:v>
                </c:pt>
                <c:pt idx="5">
                  <c:v>0.60628092047037152</c:v>
                </c:pt>
                <c:pt idx="6">
                  <c:v>0.60622022099694051</c:v>
                </c:pt>
                <c:pt idx="7">
                  <c:v>0.60661812574528795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3-4230-BB93-7C29A99186A4}"/>
            </c:ext>
          </c:extLst>
        </c:ser>
        <c:ser>
          <c:idx val="1"/>
          <c:order val="1"/>
          <c:tx>
            <c:strRef>
              <c:f>'ME req young horses'!$T$5</c:f>
              <c:strCache>
                <c:ptCount val="1"/>
                <c:pt idx="0">
                  <c:v>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horses'!$O$6:$O$13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horses'!$T$6:$T$13</c:f>
              <c:numCache>
                <c:formatCode>0.000</c:formatCode>
                <c:ptCount val="8"/>
                <c:pt idx="0">
                  <c:v>0.64036122618409663</c:v>
                </c:pt>
                <c:pt idx="1">
                  <c:v>0.63930252582468727</c:v>
                </c:pt>
                <c:pt idx="2">
                  <c:v>0.63467319616889217</c:v>
                </c:pt>
                <c:pt idx="3">
                  <c:v>0.63727937358744002</c:v>
                </c:pt>
                <c:pt idx="4">
                  <c:v>0.63837558607714351</c:v>
                </c:pt>
                <c:pt idx="5">
                  <c:v>0.63721362049437014</c:v>
                </c:pt>
                <c:pt idx="6">
                  <c:v>0.6356127165604285</c:v>
                </c:pt>
                <c:pt idx="7">
                  <c:v>0.63819550763339883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53-4230-BB93-7C29A99186A4}"/>
            </c:ext>
          </c:extLst>
        </c:ser>
        <c:ser>
          <c:idx val="2"/>
          <c:order val="2"/>
          <c:tx>
            <c:strRef>
              <c:f>'ME req young horses'!$U$5</c:f>
              <c:strCache>
                <c:ptCount val="1"/>
                <c:pt idx="0">
                  <c:v>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'ME req young horses'!$O$6:$O$13</c:f>
              <c:numCache>
                <c:formatCode>0</c:formatCode>
                <c:ptCount val="8"/>
                <c:pt idx="0">
                  <c:v>31.622776601683803</c:v>
                </c:pt>
                <c:pt idx="1">
                  <c:v>53.182958969449857</c:v>
                </c:pt>
                <c:pt idx="2">
                  <c:v>72.084342424042617</c:v>
                </c:pt>
                <c:pt idx="3">
                  <c:v>89.442719099991592</c:v>
                </c:pt>
                <c:pt idx="4">
                  <c:v>105.73712634405643</c:v>
                </c:pt>
                <c:pt idx="5">
                  <c:v>121.23093028059735</c:v>
                </c:pt>
                <c:pt idx="6">
                  <c:v>136.0891589269774</c:v>
                </c:pt>
                <c:pt idx="7">
                  <c:v>150.42412372345569</c:v>
                </c:pt>
              </c:numCache>
            </c:numRef>
          </c:xVal>
          <c:yVal>
            <c:numRef>
              <c:f>'ME req young horses'!$U$6:$U$13</c:f>
              <c:numCache>
                <c:formatCode>0.000</c:formatCode>
                <c:ptCount val="8"/>
                <c:pt idx="0">
                  <c:v>0.67198400278578041</c:v>
                </c:pt>
                <c:pt idx="1">
                  <c:v>0.66280629515647727</c:v>
                </c:pt>
                <c:pt idx="2">
                  <c:v>0.66935479158795741</c:v>
                </c:pt>
                <c:pt idx="3">
                  <c:v>0.67082039324993692</c:v>
                </c:pt>
                <c:pt idx="4">
                  <c:v>0.67384089641476264</c:v>
                </c:pt>
                <c:pt idx="5">
                  <c:v>0.66814632051836864</c:v>
                </c:pt>
                <c:pt idx="6">
                  <c:v>0.66684224309663453</c:v>
                </c:pt>
                <c:pt idx="7">
                  <c:v>0.66644895458591913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53-4230-BB93-7C29A9918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639632"/>
        <c:axId val="815649200"/>
      </c:scatterChart>
      <c:valAx>
        <c:axId val="815639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49200"/>
        <c:crosses val="autoZero"/>
        <c:crossBetween val="midCat"/>
      </c:valAx>
      <c:valAx>
        <c:axId val="81564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3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8173121816893341"/>
          <c:y val="5.343248760571595E-2"/>
          <c:w val="8.4253046374238888E-2"/>
          <c:h val="0.257714017450752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20</xdr:row>
      <xdr:rowOff>0</xdr:rowOff>
    </xdr:from>
    <xdr:to>
      <xdr:col>26</xdr:col>
      <xdr:colOff>266701</xdr:colOff>
      <xdr:row>31</xdr:row>
      <xdr:rowOff>9524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5</xdr:row>
      <xdr:rowOff>0</xdr:rowOff>
    </xdr:from>
    <xdr:to>
      <xdr:col>26</xdr:col>
      <xdr:colOff>266701</xdr:colOff>
      <xdr:row>16</xdr:row>
      <xdr:rowOff>9524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zoomScale="80" zoomScaleNormal="80" workbookViewId="0">
      <pane ySplit="1" topLeftCell="A2" activePane="bottomLeft" state="frozen"/>
      <selection pane="bottomLeft" activeCell="F37" sqref="F37"/>
    </sheetView>
  </sheetViews>
  <sheetFormatPr defaultRowHeight="15" x14ac:dyDescent="0.25"/>
  <cols>
    <col min="1" max="1" width="25.85546875" bestFit="1" customWidth="1"/>
    <col min="2" max="2" width="14.28515625" bestFit="1" customWidth="1"/>
    <col min="3" max="3" width="28.5703125" bestFit="1" customWidth="1"/>
    <col min="4" max="4" width="28.5703125" customWidth="1"/>
    <col min="5" max="5" width="28.85546875" bestFit="1" customWidth="1"/>
    <col min="7" max="7" width="11.28515625" customWidth="1"/>
    <col min="8" max="8" width="38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47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 x14ac:dyDescent="0.25">
      <c r="A2" s="6"/>
      <c r="B2" s="6"/>
      <c r="C2" s="6"/>
      <c r="D2" s="6"/>
      <c r="E2" s="6"/>
      <c r="F2" s="6"/>
      <c r="G2" s="6"/>
      <c r="H2" s="6"/>
      <c r="I2" s="6"/>
    </row>
    <row r="3" spans="1:9" x14ac:dyDescent="0.25">
      <c r="C3" t="s">
        <v>9</v>
      </c>
      <c r="E3" t="s">
        <v>16</v>
      </c>
      <c r="F3" s="2">
        <v>60.549226441631497</v>
      </c>
      <c r="G3" t="s">
        <v>17</v>
      </c>
    </row>
    <row r="4" spans="1:9" x14ac:dyDescent="0.25">
      <c r="C4" t="s">
        <v>10</v>
      </c>
      <c r="E4" t="s">
        <v>16</v>
      </c>
      <c r="F4" s="2">
        <v>27.5045007032349</v>
      </c>
      <c r="G4" t="s">
        <v>17</v>
      </c>
    </row>
    <row r="5" spans="1:9" x14ac:dyDescent="0.25">
      <c r="C5" t="s">
        <v>4</v>
      </c>
      <c r="E5" t="s">
        <v>16</v>
      </c>
      <c r="F5" s="2">
        <v>3.7389592123769302</v>
      </c>
      <c r="G5" t="s">
        <v>17</v>
      </c>
    </row>
    <row r="6" spans="1:9" x14ac:dyDescent="0.25">
      <c r="C6" t="s">
        <v>5</v>
      </c>
      <c r="E6" t="s">
        <v>16</v>
      </c>
      <c r="F6" s="2">
        <v>8.2073136427566808</v>
      </c>
      <c r="G6" t="s">
        <v>17</v>
      </c>
    </row>
    <row r="7" spans="1:9" x14ac:dyDescent="0.25">
      <c r="E7" t="s">
        <v>29</v>
      </c>
      <c r="F7" s="10">
        <v>0.9</v>
      </c>
      <c r="H7" t="s">
        <v>30</v>
      </c>
    </row>
    <row r="8" spans="1:9" x14ac:dyDescent="0.25">
      <c r="A8" s="7" t="s">
        <v>22</v>
      </c>
      <c r="B8" s="5"/>
      <c r="C8" s="5"/>
      <c r="D8" s="5"/>
      <c r="E8" s="5"/>
      <c r="F8" s="5"/>
      <c r="G8" s="5"/>
      <c r="H8" s="5"/>
      <c r="I8" s="5"/>
    </row>
    <row r="9" spans="1:9" x14ac:dyDescent="0.25">
      <c r="A9" t="s">
        <v>3</v>
      </c>
      <c r="E9" t="s">
        <v>20</v>
      </c>
      <c r="F9" s="2">
        <v>394.61241132208016</v>
      </c>
      <c r="G9" t="s">
        <v>21</v>
      </c>
      <c r="H9" t="s">
        <v>42</v>
      </c>
    </row>
    <row r="10" spans="1:9" x14ac:dyDescent="0.25">
      <c r="A10" t="s">
        <v>6</v>
      </c>
      <c r="E10" t="s">
        <v>20</v>
      </c>
      <c r="F10" s="2">
        <v>585.45178524024413</v>
      </c>
      <c r="G10" t="s">
        <v>21</v>
      </c>
      <c r="H10" t="s">
        <v>42</v>
      </c>
    </row>
    <row r="11" spans="1:9" x14ac:dyDescent="0.25">
      <c r="A11" t="s">
        <v>7</v>
      </c>
      <c r="E11" t="s">
        <v>20</v>
      </c>
      <c r="F11" s="2">
        <v>567.18533165122039</v>
      </c>
      <c r="G11" t="s">
        <v>21</v>
      </c>
      <c r="H11" t="s">
        <v>42</v>
      </c>
    </row>
    <row r="12" spans="1:9" x14ac:dyDescent="0.25">
      <c r="A12" t="s">
        <v>8</v>
      </c>
      <c r="E12" t="s">
        <v>20</v>
      </c>
      <c r="F12" s="2">
        <v>496.52359083562101</v>
      </c>
      <c r="G12" t="s">
        <v>21</v>
      </c>
      <c r="H12" t="s">
        <v>42</v>
      </c>
    </row>
    <row r="13" spans="1:9" x14ac:dyDescent="0.25">
      <c r="E13" s="4" t="s">
        <v>18</v>
      </c>
      <c r="F13" s="3">
        <v>0</v>
      </c>
      <c r="G13" t="s">
        <v>19</v>
      </c>
    </row>
    <row r="14" spans="1:9" s="37" customFormat="1" x14ac:dyDescent="0.25">
      <c r="E14" s="4"/>
      <c r="F14" s="3"/>
    </row>
    <row r="15" spans="1:9" s="37" customFormat="1" x14ac:dyDescent="0.25">
      <c r="A15" s="7" t="s">
        <v>101</v>
      </c>
      <c r="B15" s="7"/>
      <c r="C15" s="7"/>
      <c r="D15" s="7"/>
      <c r="E15" s="7"/>
      <c r="F15" s="7"/>
      <c r="G15" s="7"/>
      <c r="H15" s="7"/>
      <c r="I15" s="7"/>
    </row>
    <row r="16" spans="1:9" s="37" customFormat="1" x14ac:dyDescent="0.25">
      <c r="E16" s="41" t="s">
        <v>102</v>
      </c>
      <c r="F16" s="42">
        <v>6</v>
      </c>
      <c r="G16" s="37" t="s">
        <v>103</v>
      </c>
      <c r="I16" s="41" t="s">
        <v>104</v>
      </c>
    </row>
    <row r="17" spans="1:9" s="37" customFormat="1" x14ac:dyDescent="0.25">
      <c r="E17" s="41" t="s">
        <v>105</v>
      </c>
      <c r="F17" s="42">
        <v>0</v>
      </c>
      <c r="G17" s="37" t="s">
        <v>17</v>
      </c>
      <c r="H17" s="37" t="s">
        <v>106</v>
      </c>
      <c r="I17" s="41"/>
    </row>
    <row r="18" spans="1:9" s="37" customFormat="1" x14ac:dyDescent="0.25">
      <c r="E18" s="4"/>
      <c r="F18" s="3"/>
    </row>
    <row r="19" spans="1:9" x14ac:dyDescent="0.25">
      <c r="A19" s="7" t="s">
        <v>23</v>
      </c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t="s">
        <v>3</v>
      </c>
      <c r="E20" t="s">
        <v>43</v>
      </c>
      <c r="F20" s="8">
        <v>0.5</v>
      </c>
      <c r="G20" t="s">
        <v>31</v>
      </c>
    </row>
    <row r="21" spans="1:9" x14ac:dyDescent="0.25">
      <c r="A21" t="s">
        <v>6</v>
      </c>
      <c r="E21" t="s">
        <v>43</v>
      </c>
      <c r="F21" s="8">
        <v>0.5</v>
      </c>
      <c r="G21" t="s">
        <v>31</v>
      </c>
    </row>
    <row r="22" spans="1:9" x14ac:dyDescent="0.25">
      <c r="A22" t="s">
        <v>7</v>
      </c>
      <c r="E22" t="s">
        <v>43</v>
      </c>
      <c r="F22" s="8">
        <f>0.5*1.05</f>
        <v>0.52500000000000002</v>
      </c>
      <c r="G22" t="s">
        <v>31</v>
      </c>
    </row>
    <row r="23" spans="1:9" x14ac:dyDescent="0.25">
      <c r="A23" t="s">
        <v>8</v>
      </c>
      <c r="E23" t="s">
        <v>43</v>
      </c>
      <c r="F23" s="8">
        <f>0.5*1.1</f>
        <v>0.55000000000000004</v>
      </c>
      <c r="G23" t="s">
        <v>31</v>
      </c>
    </row>
    <row r="24" spans="1:9" x14ac:dyDescent="0.25">
      <c r="A24" t="s">
        <v>3</v>
      </c>
      <c r="C24" t="s">
        <v>5</v>
      </c>
      <c r="E24" t="s">
        <v>43</v>
      </c>
      <c r="F24" s="8">
        <v>0.60721495776158751</v>
      </c>
      <c r="G24" t="s">
        <v>31</v>
      </c>
      <c r="H24" t="s">
        <v>54</v>
      </c>
    </row>
    <row r="25" spans="1:9" x14ac:dyDescent="0.25">
      <c r="A25" t="s">
        <v>6</v>
      </c>
      <c r="C25" t="s">
        <v>5</v>
      </c>
      <c r="E25" t="s">
        <v>43</v>
      </c>
      <c r="F25" s="8">
        <v>0.60721495776158751</v>
      </c>
      <c r="G25" t="s">
        <v>31</v>
      </c>
      <c r="H25" t="s">
        <v>54</v>
      </c>
    </row>
    <row r="26" spans="1:9" x14ac:dyDescent="0.25">
      <c r="A26" t="s">
        <v>7</v>
      </c>
      <c r="C26" t="s">
        <v>5</v>
      </c>
      <c r="E26" t="s">
        <v>43</v>
      </c>
      <c r="F26" s="8">
        <v>0.63762671906630719</v>
      </c>
      <c r="G26" t="s">
        <v>31</v>
      </c>
      <c r="H26" t="s">
        <v>54</v>
      </c>
    </row>
    <row r="27" spans="1:9" x14ac:dyDescent="0.25">
      <c r="A27" t="s">
        <v>8</v>
      </c>
      <c r="C27" t="s">
        <v>5</v>
      </c>
      <c r="E27" t="s">
        <v>43</v>
      </c>
      <c r="F27" s="8">
        <v>0.66878048717447958</v>
      </c>
      <c r="G27" t="s">
        <v>31</v>
      </c>
      <c r="H27" t="s">
        <v>54</v>
      </c>
    </row>
    <row r="28" spans="1:9" x14ac:dyDescent="0.25">
      <c r="E28" t="s">
        <v>25</v>
      </c>
      <c r="F28" s="9">
        <f>( (0.15/2)*8 + 0.15 + 0.25 + 0.3 ) / 12</f>
        <v>0.10833333333333334</v>
      </c>
      <c r="H28" t="s">
        <v>55</v>
      </c>
    </row>
    <row r="29" spans="1:9" x14ac:dyDescent="0.25">
      <c r="E29" t="s">
        <v>26</v>
      </c>
      <c r="F29" s="9">
        <f xml:space="preserve"> (1*3 + 0.7*1)/12</f>
        <v>0.30833333333333335</v>
      </c>
      <c r="H29" t="s">
        <v>28</v>
      </c>
    </row>
    <row r="30" spans="1:9" x14ac:dyDescent="0.25">
      <c r="C30" t="s">
        <v>9</v>
      </c>
      <c r="E30" t="s">
        <v>24</v>
      </c>
      <c r="F30">
        <v>0.25</v>
      </c>
      <c r="H30" t="s">
        <v>27</v>
      </c>
    </row>
    <row r="31" spans="1:9" x14ac:dyDescent="0.25">
      <c r="C31" t="s">
        <v>10</v>
      </c>
      <c r="E31" t="s">
        <v>24</v>
      </c>
      <c r="F31" s="9">
        <v>0.75</v>
      </c>
      <c r="H31" t="s">
        <v>27</v>
      </c>
    </row>
    <row r="32" spans="1:9" x14ac:dyDescent="0.25">
      <c r="C32" t="s">
        <v>4</v>
      </c>
      <c r="E32" t="s">
        <v>24</v>
      </c>
      <c r="F32" s="9">
        <v>0.15</v>
      </c>
      <c r="H32" s="4" t="s">
        <v>57</v>
      </c>
    </row>
    <row r="33" spans="1:9" x14ac:dyDescent="0.25">
      <c r="C33" t="s">
        <v>5</v>
      </c>
      <c r="E33" t="s">
        <v>24</v>
      </c>
      <c r="F33" s="28">
        <v>0</v>
      </c>
      <c r="H33" s="4" t="s">
        <v>56</v>
      </c>
    </row>
    <row r="35" spans="1:9" x14ac:dyDescent="0.25">
      <c r="A35" s="7" t="s">
        <v>44</v>
      </c>
      <c r="B35" s="7"/>
      <c r="C35" s="7"/>
      <c r="D35" s="7"/>
      <c r="E35" s="5"/>
      <c r="F35" s="5"/>
      <c r="G35" s="5" t="s">
        <v>48</v>
      </c>
      <c r="H35" s="5"/>
      <c r="I35" s="5"/>
    </row>
    <row r="36" spans="1:9" x14ac:dyDescent="0.25">
      <c r="E36" s="29" t="s">
        <v>45</v>
      </c>
      <c r="F36" s="29">
        <v>0</v>
      </c>
      <c r="G36" s="29"/>
      <c r="H36" s="29" t="s">
        <v>46</v>
      </c>
    </row>
    <row r="37" spans="1:9" x14ac:dyDescent="0.25">
      <c r="E37" s="37" t="s">
        <v>45</v>
      </c>
      <c r="F37" t="s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F56"/>
  <sheetViews>
    <sheetView tabSelected="1" topLeftCell="J1" workbookViewId="0">
      <selection activeCell="P14" sqref="P14"/>
    </sheetView>
  </sheetViews>
  <sheetFormatPr defaultRowHeight="15" x14ac:dyDescent="0.25"/>
  <cols>
    <col min="3" max="3" width="25.85546875" bestFit="1" customWidth="1"/>
    <col min="4" max="4" width="26" bestFit="1" customWidth="1"/>
    <col min="5" max="5" width="10.140625" customWidth="1"/>
    <col min="6" max="6" width="12" bestFit="1" customWidth="1"/>
    <col min="7" max="7" width="15.28515625" bestFit="1" customWidth="1"/>
    <col min="8" max="10" width="15.28515625" style="37" customWidth="1"/>
    <col min="11" max="11" width="12.7109375" bestFit="1" customWidth="1"/>
    <col min="12" max="12" width="9.140625" style="37"/>
    <col min="15" max="15" width="8.28515625" customWidth="1"/>
  </cols>
  <sheetData>
    <row r="1" spans="3:31" x14ac:dyDescent="0.25">
      <c r="E1" s="1" t="s">
        <v>48</v>
      </c>
    </row>
    <row r="2" spans="3:31" x14ac:dyDescent="0.25">
      <c r="E2" s="1" t="s">
        <v>60</v>
      </c>
      <c r="K2" s="1" t="s">
        <v>61</v>
      </c>
      <c r="L2" s="1"/>
      <c r="M2" s="1" t="s">
        <v>82</v>
      </c>
    </row>
    <row r="3" spans="3:31" x14ac:dyDescent="0.25">
      <c r="C3" s="1" t="s">
        <v>58</v>
      </c>
      <c r="D3" s="1" t="s">
        <v>59</v>
      </c>
      <c r="E3" t="s">
        <v>62</v>
      </c>
      <c r="F3" t="s">
        <v>80</v>
      </c>
      <c r="G3" t="s">
        <v>81</v>
      </c>
      <c r="H3" s="43" t="s">
        <v>107</v>
      </c>
      <c r="I3" s="49" t="s">
        <v>112</v>
      </c>
      <c r="J3" s="49" t="s">
        <v>111</v>
      </c>
      <c r="K3" t="s">
        <v>62</v>
      </c>
      <c r="M3" t="s">
        <v>49</v>
      </c>
      <c r="N3" t="s">
        <v>50</v>
      </c>
      <c r="O3" s="37" t="s">
        <v>83</v>
      </c>
      <c r="P3" s="37" t="s">
        <v>84</v>
      </c>
      <c r="Q3" s="37" t="s">
        <v>85</v>
      </c>
      <c r="R3" s="41" t="s">
        <v>97</v>
      </c>
      <c r="S3" s="41" t="s">
        <v>98</v>
      </c>
      <c r="T3" s="37" t="s">
        <v>86</v>
      </c>
      <c r="U3" s="37" t="s">
        <v>88</v>
      </c>
      <c r="V3" t="s">
        <v>87</v>
      </c>
      <c r="W3" s="37" t="s">
        <v>90</v>
      </c>
      <c r="X3" s="37" t="s">
        <v>89</v>
      </c>
      <c r="Z3" s="37" t="s">
        <v>91</v>
      </c>
      <c r="AA3" s="37" t="s">
        <v>92</v>
      </c>
      <c r="AC3" s="37" t="s">
        <v>99</v>
      </c>
    </row>
    <row r="4" spans="3:31" x14ac:dyDescent="0.25">
      <c r="C4" t="s">
        <v>3</v>
      </c>
      <c r="D4" t="s">
        <v>9</v>
      </c>
      <c r="E4" s="36">
        <f>1-K4</f>
        <v>0.99</v>
      </c>
      <c r="F4" s="36">
        <f>1-G4</f>
        <v>0.66666666666666674</v>
      </c>
      <c r="G4" s="39">
        <f>(3+2*0.5)/12</f>
        <v>0.33333333333333331</v>
      </c>
      <c r="H4" s="44">
        <v>1</v>
      </c>
      <c r="I4" s="50">
        <f>1-J4</f>
        <v>0.66666666666666674</v>
      </c>
      <c r="J4" s="50">
        <f>G4*H4</f>
        <v>0.33333333333333331</v>
      </c>
      <c r="K4" s="36">
        <v>0.01</v>
      </c>
      <c r="L4" s="40"/>
      <c r="M4" s="38">
        <f>E4*I4*100</f>
        <v>66</v>
      </c>
      <c r="N4" s="38">
        <f>E4*J4*100</f>
        <v>32.999999999999993</v>
      </c>
      <c r="O4" s="9">
        <f t="shared" ref="O4:V4" si="0">$K4*O$25*100</f>
        <v>0.23222788444440265</v>
      </c>
      <c r="P4" s="9">
        <f t="shared" si="0"/>
        <v>2.39611841182896E-2</v>
      </c>
      <c r="Q4" s="9">
        <f t="shared" si="0"/>
        <v>8.3427301057299189E-2</v>
      </c>
      <c r="R4" s="9">
        <f t="shared" si="0"/>
        <v>5.8354448396922961E-3</v>
      </c>
      <c r="S4" s="9">
        <f t="shared" si="0"/>
        <v>0.14563835908849923</v>
      </c>
      <c r="T4" s="9">
        <f t="shared" si="0"/>
        <v>6.5200501002148558E-4</v>
      </c>
      <c r="U4" s="9">
        <f t="shared" si="0"/>
        <v>0.18662665404349996</v>
      </c>
      <c r="V4" s="9">
        <f t="shared" si="0"/>
        <v>1.9931118668415414E-2</v>
      </c>
      <c r="W4" s="9">
        <f>$K4*SUM(W$25,Y$25*0.5)*100</f>
        <v>0.11736525787182231</v>
      </c>
      <c r="X4" s="9">
        <f>$K4*SUM(X$25,Y$25*0.5)*100</f>
        <v>5.1422820134132047E-2</v>
      </c>
      <c r="Y4" s="9"/>
      <c r="Z4" s="9">
        <f t="shared" ref="T4:Z19" si="1">$K4*Z$25*100</f>
        <v>5.5308011194926036E-4</v>
      </c>
      <c r="AA4" s="9">
        <f>$K4*SUM(AA$25,AB$25)*100</f>
        <v>9.5052213142011593E-2</v>
      </c>
      <c r="AC4" s="9">
        <f t="shared" ref="AC4:AC19" si="2">$K4*SUM(AC$25,AD$25)*100</f>
        <v>3.7306677469965008E-2</v>
      </c>
      <c r="AE4" s="9"/>
    </row>
    <row r="5" spans="3:31" x14ac:dyDescent="0.25">
      <c r="C5" s="37" t="s">
        <v>3</v>
      </c>
      <c r="D5" t="s">
        <v>10</v>
      </c>
      <c r="E5" s="36">
        <f t="shared" ref="E5:E19" si="3">1-K5</f>
        <v>0.98</v>
      </c>
      <c r="F5" s="40">
        <f t="shared" ref="F5:F19" si="4">1-G5</f>
        <v>0.83333333333333337</v>
      </c>
      <c r="G5" s="39">
        <f>(3*0.5+2*0.25)/12</f>
        <v>0.16666666666666666</v>
      </c>
      <c r="H5" s="44">
        <v>1</v>
      </c>
      <c r="I5" s="50">
        <f t="shared" ref="I5:I19" si="5">1-J5</f>
        <v>0.83333333333333337</v>
      </c>
      <c r="J5" s="50">
        <f t="shared" ref="J5:J19" si="6">G5*H5</f>
        <v>0.16666666666666666</v>
      </c>
      <c r="K5" s="36">
        <v>0.02</v>
      </c>
      <c r="L5" s="40"/>
      <c r="M5" s="38">
        <f t="shared" ref="M5:M19" si="7">E5*I5*100</f>
        <v>81.666666666666671</v>
      </c>
      <c r="N5" s="38">
        <f t="shared" ref="N5:N19" si="8">E5*J5*100</f>
        <v>16.333333333333332</v>
      </c>
      <c r="O5" s="9">
        <f t="shared" ref="O5:O19" si="9">$K5*O$25*100</f>
        <v>0.4644557688888053</v>
      </c>
      <c r="P5" s="9">
        <f t="shared" ref="P5:Q19" si="10">$K5*P$25*100</f>
        <v>4.7922368236579201E-2</v>
      </c>
      <c r="Q5" s="9">
        <f t="shared" si="10"/>
        <v>0.16685460211459838</v>
      </c>
      <c r="R5" s="9">
        <f t="shared" ref="R5:S19" si="11">$K5*R$25*100</f>
        <v>1.1670889679384592E-2</v>
      </c>
      <c r="S5" s="9">
        <f t="shared" si="11"/>
        <v>0.29127671817699846</v>
      </c>
      <c r="T5" s="9">
        <f t="shared" si="1"/>
        <v>1.3040100200429712E-3</v>
      </c>
      <c r="U5" s="9">
        <f t="shared" si="1"/>
        <v>0.37325330808699991</v>
      </c>
      <c r="V5" s="9">
        <f t="shared" si="1"/>
        <v>3.9862237336830829E-2</v>
      </c>
      <c r="W5" s="9">
        <f t="shared" ref="W5:W19" si="12">$K5*SUM(W$25,Y$25*0.5)*100</f>
        <v>0.23473051574364462</v>
      </c>
      <c r="X5" s="9">
        <f t="shared" ref="X5:X19" si="13">$K5*SUM(X$25,Y$25*0.5)*100</f>
        <v>0.10284564026826409</v>
      </c>
      <c r="Y5" s="9"/>
      <c r="Z5" s="9">
        <f t="shared" si="1"/>
        <v>1.1061602238985207E-3</v>
      </c>
      <c r="AA5" s="9">
        <f t="shared" ref="AA5:AA19" si="14">$K5*SUM(AA$25,AB$25)*100</f>
        <v>0.19010442628402319</v>
      </c>
      <c r="AC5" s="9">
        <f t="shared" si="2"/>
        <v>7.4613354939930016E-2</v>
      </c>
      <c r="AE5" s="9"/>
    </row>
    <row r="6" spans="3:31" x14ac:dyDescent="0.25">
      <c r="C6" s="37" t="s">
        <v>3</v>
      </c>
      <c r="D6" t="s">
        <v>4</v>
      </c>
      <c r="E6" s="36">
        <f t="shared" si="3"/>
        <v>0.92999999999999994</v>
      </c>
      <c r="F6" s="40">
        <f t="shared" si="4"/>
        <v>0.66666666666666674</v>
      </c>
      <c r="G6" s="39">
        <f>(3+2*0.5)/12</f>
        <v>0.33333333333333331</v>
      </c>
      <c r="H6" s="44">
        <v>1</v>
      </c>
      <c r="I6" s="50">
        <f t="shared" si="5"/>
        <v>0.66666666666666674</v>
      </c>
      <c r="J6" s="50">
        <f t="shared" si="6"/>
        <v>0.33333333333333331</v>
      </c>
      <c r="K6" s="36">
        <v>7.0000000000000007E-2</v>
      </c>
      <c r="L6" s="40"/>
      <c r="M6" s="38">
        <f t="shared" si="7"/>
        <v>62</v>
      </c>
      <c r="N6" s="38">
        <f t="shared" si="8"/>
        <v>30.999999999999993</v>
      </c>
      <c r="O6" s="9">
        <f t="shared" si="9"/>
        <v>1.6255951911108186</v>
      </c>
      <c r="P6" s="9">
        <f t="shared" si="10"/>
        <v>0.16772828882802723</v>
      </c>
      <c r="Q6" s="9">
        <f t="shared" si="10"/>
        <v>0.58399110740109439</v>
      </c>
      <c r="R6" s="9">
        <f t="shared" si="11"/>
        <v>4.0848113877846079E-2</v>
      </c>
      <c r="S6" s="9">
        <f t="shared" si="11"/>
        <v>1.0194685136194948</v>
      </c>
      <c r="T6" s="9">
        <f t="shared" si="1"/>
        <v>4.5640350701503995E-3</v>
      </c>
      <c r="U6" s="9">
        <f t="shared" si="1"/>
        <v>1.3063865783044997</v>
      </c>
      <c r="V6" s="9">
        <f t="shared" si="1"/>
        <v>0.13951783067890791</v>
      </c>
      <c r="W6" s="9">
        <f t="shared" si="12"/>
        <v>0.82155680510275619</v>
      </c>
      <c r="X6" s="9">
        <f t="shared" si="13"/>
        <v>0.35995974093892436</v>
      </c>
      <c r="Y6" s="9"/>
      <c r="Z6" s="9">
        <f t="shared" si="1"/>
        <v>3.8715607836448231E-3</v>
      </c>
      <c r="AA6" s="9">
        <f t="shared" si="14"/>
        <v>0.66536549199408124</v>
      </c>
      <c r="AC6" s="9">
        <f t="shared" si="2"/>
        <v>0.2611467422897551</v>
      </c>
      <c r="AE6" s="9"/>
    </row>
    <row r="7" spans="3:31" x14ac:dyDescent="0.25">
      <c r="C7" s="37" t="s">
        <v>3</v>
      </c>
      <c r="D7" t="s">
        <v>5</v>
      </c>
      <c r="E7" s="36">
        <f t="shared" si="3"/>
        <v>0.92</v>
      </c>
      <c r="F7" s="40">
        <f t="shared" si="4"/>
        <v>0.66666666666666674</v>
      </c>
      <c r="G7" s="39">
        <f>(3+2*0.5)/12</f>
        <v>0.33333333333333331</v>
      </c>
      <c r="H7" s="44">
        <v>1</v>
      </c>
      <c r="I7" s="50">
        <f t="shared" si="5"/>
        <v>0.66666666666666674</v>
      </c>
      <c r="J7" s="50">
        <f t="shared" si="6"/>
        <v>0.33333333333333331</v>
      </c>
      <c r="K7" s="36">
        <v>0.08</v>
      </c>
      <c r="L7" s="40"/>
      <c r="M7" s="38">
        <f t="shared" si="7"/>
        <v>61.333333333333343</v>
      </c>
      <c r="N7" s="38">
        <f t="shared" si="8"/>
        <v>30.666666666666664</v>
      </c>
      <c r="O7" s="9">
        <f t="shared" si="9"/>
        <v>1.8578230755552212</v>
      </c>
      <c r="P7" s="9">
        <f t="shared" si="10"/>
        <v>0.1916894729463168</v>
      </c>
      <c r="Q7" s="9">
        <f t="shared" si="10"/>
        <v>0.66741840845839351</v>
      </c>
      <c r="R7" s="9">
        <f t="shared" si="11"/>
        <v>4.6683558717538369E-2</v>
      </c>
      <c r="S7" s="9">
        <f t="shared" si="11"/>
        <v>1.1651068727079938</v>
      </c>
      <c r="T7" s="9">
        <f t="shared" si="1"/>
        <v>5.2160400801718847E-3</v>
      </c>
      <c r="U7" s="9">
        <f t="shared" si="1"/>
        <v>1.4930132323479997</v>
      </c>
      <c r="V7" s="9">
        <f t="shared" si="1"/>
        <v>0.15944894934732332</v>
      </c>
      <c r="W7" s="9">
        <f t="shared" si="12"/>
        <v>0.93892206297457848</v>
      </c>
      <c r="X7" s="9">
        <f t="shared" si="13"/>
        <v>0.41138256107305637</v>
      </c>
      <c r="Y7" s="9"/>
      <c r="Z7" s="9">
        <f>$K7*Z$25*100</f>
        <v>4.4246408955940829E-3</v>
      </c>
      <c r="AA7" s="9">
        <f t="shared" si="14"/>
        <v>0.76041770513609275</v>
      </c>
      <c r="AC7" s="9">
        <f t="shared" si="2"/>
        <v>0.29845341975972006</v>
      </c>
      <c r="AE7" s="9"/>
    </row>
    <row r="8" spans="3:31" x14ac:dyDescent="0.25">
      <c r="C8" t="s">
        <v>6</v>
      </c>
      <c r="D8" t="s">
        <v>9</v>
      </c>
      <c r="E8" s="36">
        <f t="shared" si="3"/>
        <v>0.99</v>
      </c>
      <c r="F8" s="40">
        <f>1-G8</f>
        <v>0.66666666666666674</v>
      </c>
      <c r="G8" s="39">
        <f>(3+2*0.5)/12</f>
        <v>0.33333333333333331</v>
      </c>
      <c r="H8" s="44">
        <v>1</v>
      </c>
      <c r="I8" s="50">
        <f t="shared" si="5"/>
        <v>0.66666666666666674</v>
      </c>
      <c r="J8" s="50">
        <f t="shared" si="6"/>
        <v>0.33333333333333331</v>
      </c>
      <c r="K8" s="36">
        <v>0.01</v>
      </c>
      <c r="L8" s="40"/>
      <c r="M8" s="38">
        <f t="shared" si="7"/>
        <v>66</v>
      </c>
      <c r="N8" s="38">
        <f t="shared" si="8"/>
        <v>32.999999999999993</v>
      </c>
      <c r="O8" s="9">
        <f t="shared" si="9"/>
        <v>0.23222788444440265</v>
      </c>
      <c r="P8" s="9">
        <f t="shared" si="10"/>
        <v>2.39611841182896E-2</v>
      </c>
      <c r="Q8" s="9">
        <f t="shared" si="10"/>
        <v>8.3427301057299189E-2</v>
      </c>
      <c r="R8" s="9">
        <f t="shared" si="11"/>
        <v>5.8354448396922961E-3</v>
      </c>
      <c r="S8" s="9">
        <f t="shared" si="11"/>
        <v>0.14563835908849923</v>
      </c>
      <c r="T8" s="9">
        <f t="shared" si="1"/>
        <v>6.5200501002148558E-4</v>
      </c>
      <c r="U8" s="9">
        <f t="shared" si="1"/>
        <v>0.18662665404349996</v>
      </c>
      <c r="V8" s="9">
        <f t="shared" si="1"/>
        <v>1.9931118668415414E-2</v>
      </c>
      <c r="W8" s="9">
        <f t="shared" si="12"/>
        <v>0.11736525787182231</v>
      </c>
      <c r="X8" s="9">
        <f t="shared" si="13"/>
        <v>5.1422820134132047E-2</v>
      </c>
      <c r="Y8" s="9"/>
      <c r="Z8" s="9">
        <f t="shared" si="1"/>
        <v>5.5308011194926036E-4</v>
      </c>
      <c r="AA8" s="9">
        <f>$K8*SUM(AA$25,AB$25)*100</f>
        <v>9.5052213142011593E-2</v>
      </c>
      <c r="AC8" s="9">
        <f t="shared" si="2"/>
        <v>3.7306677469965008E-2</v>
      </c>
      <c r="AE8" s="9"/>
    </row>
    <row r="9" spans="3:31" x14ac:dyDescent="0.25">
      <c r="C9" s="37" t="s">
        <v>6</v>
      </c>
      <c r="D9" t="s">
        <v>10</v>
      </c>
      <c r="E9" s="36">
        <f t="shared" si="3"/>
        <v>0.98</v>
      </c>
      <c r="F9" s="40">
        <f t="shared" si="4"/>
        <v>0.83333333333333337</v>
      </c>
      <c r="G9" s="39">
        <f>(3*0.5+2*0.25)/12</f>
        <v>0.16666666666666666</v>
      </c>
      <c r="H9" s="44">
        <v>1</v>
      </c>
      <c r="I9" s="50">
        <f t="shared" si="5"/>
        <v>0.83333333333333337</v>
      </c>
      <c r="J9" s="50">
        <f t="shared" si="6"/>
        <v>0.16666666666666666</v>
      </c>
      <c r="K9" s="36">
        <v>0.02</v>
      </c>
      <c r="L9" s="40"/>
      <c r="M9" s="38">
        <f t="shared" si="7"/>
        <v>81.666666666666671</v>
      </c>
      <c r="N9" s="38">
        <f t="shared" si="8"/>
        <v>16.333333333333332</v>
      </c>
      <c r="O9" s="9">
        <f t="shared" si="9"/>
        <v>0.4644557688888053</v>
      </c>
      <c r="P9" s="9">
        <f t="shared" si="10"/>
        <v>4.7922368236579201E-2</v>
      </c>
      <c r="Q9" s="9">
        <f t="shared" si="10"/>
        <v>0.16685460211459838</v>
      </c>
      <c r="R9" s="9">
        <f t="shared" si="11"/>
        <v>1.1670889679384592E-2</v>
      </c>
      <c r="S9" s="9">
        <f t="shared" si="11"/>
        <v>0.29127671817699846</v>
      </c>
      <c r="T9" s="9">
        <f t="shared" si="1"/>
        <v>1.3040100200429712E-3</v>
      </c>
      <c r="U9" s="9">
        <f t="shared" si="1"/>
        <v>0.37325330808699991</v>
      </c>
      <c r="V9" s="9">
        <f t="shared" si="1"/>
        <v>3.9862237336830829E-2</v>
      </c>
      <c r="W9" s="9">
        <f t="shared" si="12"/>
        <v>0.23473051574364462</v>
      </c>
      <c r="X9" s="9">
        <f t="shared" si="13"/>
        <v>0.10284564026826409</v>
      </c>
      <c r="Y9" s="9"/>
      <c r="Z9" s="9">
        <f t="shared" si="1"/>
        <v>1.1061602238985207E-3</v>
      </c>
      <c r="AA9" s="9">
        <f t="shared" si="14"/>
        <v>0.19010442628402319</v>
      </c>
      <c r="AC9" s="9">
        <f t="shared" si="2"/>
        <v>7.4613354939930016E-2</v>
      </c>
      <c r="AE9" s="9"/>
    </row>
    <row r="10" spans="3:31" x14ac:dyDescent="0.25">
      <c r="C10" s="37" t="s">
        <v>6</v>
      </c>
      <c r="D10" t="s">
        <v>4</v>
      </c>
      <c r="E10" s="36">
        <f t="shared" si="3"/>
        <v>0.92999999999999994</v>
      </c>
      <c r="F10" s="40">
        <f t="shared" si="4"/>
        <v>0.66666666666666674</v>
      </c>
      <c r="G10" s="39">
        <f>(3+2*0.5)/12</f>
        <v>0.33333333333333331</v>
      </c>
      <c r="H10" s="44">
        <v>1</v>
      </c>
      <c r="I10" s="50">
        <f t="shared" si="5"/>
        <v>0.66666666666666674</v>
      </c>
      <c r="J10" s="50">
        <f t="shared" si="6"/>
        <v>0.33333333333333331</v>
      </c>
      <c r="K10" s="36">
        <v>7.0000000000000007E-2</v>
      </c>
      <c r="L10" s="40"/>
      <c r="M10" s="38">
        <f t="shared" si="7"/>
        <v>62</v>
      </c>
      <c r="N10" s="38">
        <f t="shared" si="8"/>
        <v>30.999999999999993</v>
      </c>
      <c r="O10" s="9">
        <f t="shared" si="9"/>
        <v>1.6255951911108186</v>
      </c>
      <c r="P10" s="9">
        <f t="shared" si="10"/>
        <v>0.16772828882802723</v>
      </c>
      <c r="Q10" s="9">
        <f t="shared" si="10"/>
        <v>0.58399110740109439</v>
      </c>
      <c r="R10" s="9">
        <f t="shared" si="11"/>
        <v>4.0848113877846079E-2</v>
      </c>
      <c r="S10" s="9">
        <f t="shared" si="11"/>
        <v>1.0194685136194948</v>
      </c>
      <c r="T10" s="9">
        <f>$K10*T$25*100</f>
        <v>4.5640350701503995E-3</v>
      </c>
      <c r="U10" s="9">
        <f t="shared" si="1"/>
        <v>1.3063865783044997</v>
      </c>
      <c r="V10" s="9">
        <f t="shared" si="1"/>
        <v>0.13951783067890791</v>
      </c>
      <c r="W10" s="9">
        <f t="shared" si="12"/>
        <v>0.82155680510275619</v>
      </c>
      <c r="X10" s="9">
        <f t="shared" si="13"/>
        <v>0.35995974093892436</v>
      </c>
      <c r="Y10" s="9"/>
      <c r="Z10" s="9">
        <f t="shared" si="1"/>
        <v>3.8715607836448231E-3</v>
      </c>
      <c r="AA10" s="9">
        <f t="shared" si="14"/>
        <v>0.66536549199408124</v>
      </c>
      <c r="AC10" s="9">
        <f t="shared" si="2"/>
        <v>0.2611467422897551</v>
      </c>
      <c r="AE10" s="9"/>
    </row>
    <row r="11" spans="3:31" x14ac:dyDescent="0.25">
      <c r="C11" s="37" t="s">
        <v>6</v>
      </c>
      <c r="D11" t="s">
        <v>5</v>
      </c>
      <c r="E11" s="36">
        <f t="shared" si="3"/>
        <v>0.97</v>
      </c>
      <c r="F11" s="40">
        <f t="shared" si="4"/>
        <v>0.66666666666666674</v>
      </c>
      <c r="G11" s="39">
        <f>(3+2*0.5)/12</f>
        <v>0.33333333333333331</v>
      </c>
      <c r="H11" s="44">
        <v>1</v>
      </c>
      <c r="I11" s="50">
        <f t="shared" si="5"/>
        <v>0.66666666666666674</v>
      </c>
      <c r="J11" s="50">
        <f t="shared" si="6"/>
        <v>0.33333333333333331</v>
      </c>
      <c r="K11" s="36">
        <v>0.03</v>
      </c>
      <c r="L11" s="40"/>
      <c r="M11" s="38">
        <f t="shared" si="7"/>
        <v>64.666666666666671</v>
      </c>
      <c r="N11" s="38">
        <f t="shared" si="8"/>
        <v>32.333333333333329</v>
      </c>
      <c r="O11" s="9">
        <f t="shared" si="9"/>
        <v>0.69668365333320792</v>
      </c>
      <c r="P11" s="9">
        <f t="shared" si="10"/>
        <v>7.188355235486879E-2</v>
      </c>
      <c r="Q11" s="9">
        <f t="shared" si="10"/>
        <v>0.25028190317189752</v>
      </c>
      <c r="R11" s="9">
        <f t="shared" si="11"/>
        <v>1.7506334519076888E-2</v>
      </c>
      <c r="S11" s="9">
        <f t="shared" si="11"/>
        <v>0.43691507726549772</v>
      </c>
      <c r="T11" s="9">
        <f>$K11*T$25*100</f>
        <v>1.9560150300644568E-3</v>
      </c>
      <c r="U11" s="9">
        <f t="shared" si="1"/>
        <v>0.55987996213049984</v>
      </c>
      <c r="V11" s="9">
        <f t="shared" si="1"/>
        <v>5.9793356005246247E-2</v>
      </c>
      <c r="W11" s="9">
        <f t="shared" si="12"/>
        <v>0.3520957736154669</v>
      </c>
      <c r="X11" s="9">
        <f t="shared" si="13"/>
        <v>0.15426846040239614</v>
      </c>
      <c r="Y11" s="9"/>
      <c r="Z11" s="9">
        <f t="shared" si="1"/>
        <v>1.659240335847781E-3</v>
      </c>
      <c r="AA11" s="9">
        <f t="shared" si="14"/>
        <v>0.28515663942603475</v>
      </c>
      <c r="AC11" s="9">
        <f t="shared" si="2"/>
        <v>0.11192003240989502</v>
      </c>
      <c r="AE11" s="9"/>
    </row>
    <row r="12" spans="3:31" x14ac:dyDescent="0.25">
      <c r="C12" t="s">
        <v>7</v>
      </c>
      <c r="D12" t="s">
        <v>9</v>
      </c>
      <c r="E12" s="36">
        <f t="shared" si="3"/>
        <v>0.99</v>
      </c>
      <c r="F12" s="40">
        <f>1-G12</f>
        <v>0.66666666666666674</v>
      </c>
      <c r="G12" s="39">
        <f>(3+2*0.5)/12</f>
        <v>0.33333333333333331</v>
      </c>
      <c r="H12" s="44">
        <v>1</v>
      </c>
      <c r="I12" s="50">
        <f t="shared" si="5"/>
        <v>0.66666666666666674</v>
      </c>
      <c r="J12" s="50">
        <f t="shared" si="6"/>
        <v>0.33333333333333331</v>
      </c>
      <c r="K12" s="36">
        <v>0.01</v>
      </c>
      <c r="L12" s="40"/>
      <c r="M12" s="38">
        <f t="shared" si="7"/>
        <v>66</v>
      </c>
      <c r="N12" s="38">
        <f t="shared" si="8"/>
        <v>32.999999999999993</v>
      </c>
      <c r="O12" s="9">
        <f t="shared" si="9"/>
        <v>0.23222788444440265</v>
      </c>
      <c r="P12" s="9">
        <f t="shared" si="10"/>
        <v>2.39611841182896E-2</v>
      </c>
      <c r="Q12" s="9">
        <f t="shared" si="10"/>
        <v>8.3427301057299189E-2</v>
      </c>
      <c r="R12" s="9">
        <f t="shared" si="11"/>
        <v>5.8354448396922961E-3</v>
      </c>
      <c r="S12" s="9">
        <f t="shared" si="11"/>
        <v>0.14563835908849923</v>
      </c>
      <c r="T12" s="9">
        <f t="shared" si="1"/>
        <v>6.5200501002148558E-4</v>
      </c>
      <c r="U12" s="9">
        <f t="shared" si="1"/>
        <v>0.18662665404349996</v>
      </c>
      <c r="V12" s="9">
        <f t="shared" si="1"/>
        <v>1.9931118668415414E-2</v>
      </c>
      <c r="W12" s="9">
        <f t="shared" si="12"/>
        <v>0.11736525787182231</v>
      </c>
      <c r="X12" s="9">
        <f t="shared" si="13"/>
        <v>5.1422820134132047E-2</v>
      </c>
      <c r="Y12" s="9"/>
      <c r="Z12" s="9">
        <f t="shared" si="1"/>
        <v>5.5308011194926036E-4</v>
      </c>
      <c r="AA12" s="9">
        <f t="shared" si="14"/>
        <v>9.5052213142011593E-2</v>
      </c>
      <c r="AC12" s="9">
        <f t="shared" si="2"/>
        <v>3.7306677469965008E-2</v>
      </c>
      <c r="AE12" s="9"/>
    </row>
    <row r="13" spans="3:31" x14ac:dyDescent="0.25">
      <c r="C13" s="37" t="s">
        <v>7</v>
      </c>
      <c r="D13" t="s">
        <v>10</v>
      </c>
      <c r="E13" s="36">
        <f t="shared" si="3"/>
        <v>0.96</v>
      </c>
      <c r="F13" s="40">
        <f t="shared" si="4"/>
        <v>0.83333333333333337</v>
      </c>
      <c r="G13" s="39">
        <f>(3*0.5+2*0.25)/12</f>
        <v>0.16666666666666666</v>
      </c>
      <c r="H13" s="44">
        <v>1</v>
      </c>
      <c r="I13" s="50">
        <f t="shared" si="5"/>
        <v>0.83333333333333337</v>
      </c>
      <c r="J13" s="50">
        <f t="shared" si="6"/>
        <v>0.16666666666666666</v>
      </c>
      <c r="K13" s="36">
        <v>0.04</v>
      </c>
      <c r="L13" s="40"/>
      <c r="M13" s="38">
        <f t="shared" si="7"/>
        <v>80</v>
      </c>
      <c r="N13" s="38">
        <f t="shared" si="8"/>
        <v>15.999999999999998</v>
      </c>
      <c r="O13" s="9">
        <f t="shared" si="9"/>
        <v>0.9289115377776106</v>
      </c>
      <c r="P13" s="9">
        <f t="shared" si="10"/>
        <v>9.5844736473158401E-2</v>
      </c>
      <c r="Q13" s="9">
        <f t="shared" si="10"/>
        <v>0.33370920422919675</v>
      </c>
      <c r="R13" s="9">
        <f t="shared" si="11"/>
        <v>2.3341779358769184E-2</v>
      </c>
      <c r="S13" s="9">
        <f t="shared" si="11"/>
        <v>0.58255343635399692</v>
      </c>
      <c r="T13" s="9">
        <f t="shared" si="1"/>
        <v>2.6080200400859423E-3</v>
      </c>
      <c r="U13" s="9">
        <f t="shared" si="1"/>
        <v>0.74650661617399983</v>
      </c>
      <c r="V13" s="9">
        <f t="shared" si="1"/>
        <v>7.9724474673661658E-2</v>
      </c>
      <c r="W13" s="9">
        <f t="shared" si="12"/>
        <v>0.46946103148728924</v>
      </c>
      <c r="X13" s="9">
        <f t="shared" si="13"/>
        <v>0.20569128053652819</v>
      </c>
      <c r="Y13" s="9"/>
      <c r="Z13" s="9">
        <f t="shared" si="1"/>
        <v>2.2123204477970415E-3</v>
      </c>
      <c r="AA13" s="9">
        <f t="shared" si="14"/>
        <v>0.38020885256804637</v>
      </c>
      <c r="AC13" s="9">
        <f t="shared" si="2"/>
        <v>0.14922670987986003</v>
      </c>
      <c r="AE13" s="9"/>
    </row>
    <row r="14" spans="3:31" x14ac:dyDescent="0.25">
      <c r="C14" s="37" t="s">
        <v>7</v>
      </c>
      <c r="D14" t="s">
        <v>4</v>
      </c>
      <c r="E14" s="36">
        <f t="shared" si="3"/>
        <v>0.92999999999999994</v>
      </c>
      <c r="F14" s="40">
        <f t="shared" si="4"/>
        <v>0.66666666666666674</v>
      </c>
      <c r="G14" s="39">
        <f>(3+2*0.5)/12</f>
        <v>0.33333333333333331</v>
      </c>
      <c r="H14" s="44">
        <v>1</v>
      </c>
      <c r="I14" s="50">
        <f t="shared" si="5"/>
        <v>0.66666666666666674</v>
      </c>
      <c r="J14" s="50">
        <f t="shared" si="6"/>
        <v>0.33333333333333331</v>
      </c>
      <c r="K14" s="36">
        <v>7.0000000000000007E-2</v>
      </c>
      <c r="L14" s="40"/>
      <c r="M14" s="38">
        <f t="shared" si="7"/>
        <v>62</v>
      </c>
      <c r="N14" s="38">
        <f t="shared" si="8"/>
        <v>30.999999999999993</v>
      </c>
      <c r="O14" s="9">
        <f t="shared" si="9"/>
        <v>1.6255951911108186</v>
      </c>
      <c r="P14" s="9">
        <f t="shared" si="10"/>
        <v>0.16772828882802723</v>
      </c>
      <c r="Q14" s="9">
        <f t="shared" si="10"/>
        <v>0.58399110740109439</v>
      </c>
      <c r="R14" s="9">
        <f t="shared" si="11"/>
        <v>4.0848113877846079E-2</v>
      </c>
      <c r="S14" s="9">
        <f t="shared" si="11"/>
        <v>1.0194685136194948</v>
      </c>
      <c r="T14" s="9">
        <f t="shared" si="1"/>
        <v>4.5640350701503995E-3</v>
      </c>
      <c r="U14" s="9">
        <f t="shared" si="1"/>
        <v>1.3063865783044997</v>
      </c>
      <c r="V14" s="9">
        <f t="shared" si="1"/>
        <v>0.13951783067890791</v>
      </c>
      <c r="W14" s="9">
        <f t="shared" si="12"/>
        <v>0.82155680510275619</v>
      </c>
      <c r="X14" s="9">
        <f t="shared" si="13"/>
        <v>0.35995974093892436</v>
      </c>
      <c r="Y14" s="9"/>
      <c r="Z14" s="9">
        <f t="shared" si="1"/>
        <v>3.8715607836448231E-3</v>
      </c>
      <c r="AA14" s="9">
        <f t="shared" si="14"/>
        <v>0.66536549199408124</v>
      </c>
      <c r="AC14" s="9">
        <f t="shared" si="2"/>
        <v>0.2611467422897551</v>
      </c>
      <c r="AE14" s="9"/>
    </row>
    <row r="15" spans="3:31" x14ac:dyDescent="0.25">
      <c r="C15" s="37" t="s">
        <v>7</v>
      </c>
      <c r="D15" t="s">
        <v>5</v>
      </c>
      <c r="E15" s="36">
        <f t="shared" si="3"/>
        <v>0.95</v>
      </c>
      <c r="F15" s="40">
        <f t="shared" si="4"/>
        <v>0.66666666666666674</v>
      </c>
      <c r="G15" s="39">
        <f>(3+2*0.5)/12</f>
        <v>0.33333333333333331</v>
      </c>
      <c r="H15" s="44">
        <v>1</v>
      </c>
      <c r="I15" s="50">
        <f t="shared" si="5"/>
        <v>0.66666666666666674</v>
      </c>
      <c r="J15" s="50">
        <f t="shared" si="6"/>
        <v>0.33333333333333331</v>
      </c>
      <c r="K15" s="36">
        <v>0.05</v>
      </c>
      <c r="L15" s="40"/>
      <c r="M15" s="38">
        <f t="shared" si="7"/>
        <v>63.333333333333343</v>
      </c>
      <c r="N15" s="38">
        <f t="shared" si="8"/>
        <v>31.666666666666664</v>
      </c>
      <c r="O15" s="9">
        <f t="shared" si="9"/>
        <v>1.1611394222220133</v>
      </c>
      <c r="P15" s="9">
        <f t="shared" si="10"/>
        <v>0.11980592059144801</v>
      </c>
      <c r="Q15" s="9">
        <f t="shared" si="10"/>
        <v>0.41713650528649598</v>
      </c>
      <c r="R15" s="9">
        <f t="shared" si="11"/>
        <v>2.9177224198461485E-2</v>
      </c>
      <c r="S15" s="9">
        <f t="shared" si="11"/>
        <v>0.72819179544249613</v>
      </c>
      <c r="T15" s="9">
        <f t="shared" si="1"/>
        <v>3.2600250501074284E-3</v>
      </c>
      <c r="U15" s="9">
        <f t="shared" si="1"/>
        <v>0.93313327021749981</v>
      </c>
      <c r="V15" s="9">
        <f t="shared" si="1"/>
        <v>9.9655593342077062E-2</v>
      </c>
      <c r="W15" s="9">
        <f t="shared" si="12"/>
        <v>0.58682628935911163</v>
      </c>
      <c r="X15" s="9">
        <f t="shared" si="13"/>
        <v>0.25711410067066026</v>
      </c>
      <c r="Y15" s="9"/>
      <c r="Z15" s="9">
        <f t="shared" si="1"/>
        <v>2.7654005597463021E-3</v>
      </c>
      <c r="AA15" s="9">
        <f t="shared" si="14"/>
        <v>0.47526106571005799</v>
      </c>
      <c r="AC15" s="9">
        <f t="shared" si="2"/>
        <v>0.18653338734982505</v>
      </c>
      <c r="AE15" s="9"/>
    </row>
    <row r="16" spans="3:31" x14ac:dyDescent="0.25">
      <c r="C16" t="s">
        <v>8</v>
      </c>
      <c r="D16" t="s">
        <v>9</v>
      </c>
      <c r="E16" s="36">
        <f t="shared" si="3"/>
        <v>0.94</v>
      </c>
      <c r="F16" s="40">
        <f>1-G16</f>
        <v>0.66666666666666674</v>
      </c>
      <c r="G16" s="39">
        <f>(3+2*0.5)/12</f>
        <v>0.33333333333333331</v>
      </c>
      <c r="H16" s="44">
        <v>1</v>
      </c>
      <c r="I16" s="50">
        <f t="shared" si="5"/>
        <v>0.66666666666666674</v>
      </c>
      <c r="J16" s="50">
        <f t="shared" si="6"/>
        <v>0.33333333333333331</v>
      </c>
      <c r="K16" s="36">
        <v>0.06</v>
      </c>
      <c r="L16" s="40"/>
      <c r="M16" s="38">
        <f t="shared" si="7"/>
        <v>62.666666666666671</v>
      </c>
      <c r="N16" s="38">
        <f t="shared" si="8"/>
        <v>31.333333333333329</v>
      </c>
      <c r="O16" s="9">
        <f t="shared" si="9"/>
        <v>1.3933673066664158</v>
      </c>
      <c r="P16" s="9">
        <f t="shared" si="10"/>
        <v>0.14376710470973758</v>
      </c>
      <c r="Q16" s="9">
        <f t="shared" si="10"/>
        <v>0.50056380634379505</v>
      </c>
      <c r="R16" s="9">
        <f t="shared" si="11"/>
        <v>3.5012669038153775E-2</v>
      </c>
      <c r="S16" s="9">
        <f t="shared" si="11"/>
        <v>0.87383015453099544</v>
      </c>
      <c r="T16" s="9">
        <f t="shared" si="1"/>
        <v>3.9120300601289135E-3</v>
      </c>
      <c r="U16" s="9">
        <f t="shared" si="1"/>
        <v>1.1197599242609997</v>
      </c>
      <c r="V16" s="9">
        <f t="shared" si="1"/>
        <v>0.11958671201049249</v>
      </c>
      <c r="W16" s="9">
        <f t="shared" si="12"/>
        <v>0.7041915472309338</v>
      </c>
      <c r="X16" s="9">
        <f t="shared" si="13"/>
        <v>0.30853692080479228</v>
      </c>
      <c r="Y16" s="9"/>
      <c r="Z16" s="9">
        <f t="shared" si="1"/>
        <v>3.318480671695562E-3</v>
      </c>
      <c r="AA16" s="9">
        <f t="shared" si="14"/>
        <v>0.57031327885206951</v>
      </c>
      <c r="AC16" s="9">
        <f t="shared" si="2"/>
        <v>0.22384006481979005</v>
      </c>
      <c r="AE16" s="9"/>
    </row>
    <row r="17" spans="3:32" x14ac:dyDescent="0.25">
      <c r="C17" s="37" t="s">
        <v>8</v>
      </c>
      <c r="D17" t="s">
        <v>10</v>
      </c>
      <c r="E17" s="36">
        <f t="shared" si="3"/>
        <v>0.89</v>
      </c>
      <c r="F17" s="40">
        <f>1-G17</f>
        <v>0.83333333333333337</v>
      </c>
      <c r="G17" s="39">
        <f>(3*0.5+2*0.25)/12</f>
        <v>0.16666666666666666</v>
      </c>
      <c r="H17" s="44">
        <v>1</v>
      </c>
      <c r="I17" s="50">
        <f t="shared" si="5"/>
        <v>0.83333333333333337</v>
      </c>
      <c r="J17" s="50">
        <f t="shared" si="6"/>
        <v>0.16666666666666666</v>
      </c>
      <c r="K17" s="36">
        <v>0.11</v>
      </c>
      <c r="L17" s="40"/>
      <c r="M17" s="38">
        <f t="shared" si="7"/>
        <v>74.166666666666671</v>
      </c>
      <c r="N17" s="38">
        <f t="shared" si="8"/>
        <v>14.833333333333332</v>
      </c>
      <c r="O17" s="9">
        <f>$K17*O$25*100</f>
        <v>2.5545067288884291</v>
      </c>
      <c r="P17" s="9">
        <f t="shared" si="10"/>
        <v>0.26357302530118559</v>
      </c>
      <c r="Q17" s="9">
        <f t="shared" si="10"/>
        <v>0.91770031163029109</v>
      </c>
      <c r="R17" s="9">
        <f t="shared" si="11"/>
        <v>6.4189893236615267E-2</v>
      </c>
      <c r="S17" s="9">
        <f t="shared" si="11"/>
        <v>1.6020219499734916</v>
      </c>
      <c r="T17" s="9">
        <f t="shared" si="1"/>
        <v>7.172055110236341E-3</v>
      </c>
      <c r="U17" s="9">
        <f t="shared" si="1"/>
        <v>2.0528931944784996</v>
      </c>
      <c r="V17" s="9">
        <f t="shared" si="1"/>
        <v>0.21924230535256958</v>
      </c>
      <c r="W17" s="9">
        <f t="shared" si="12"/>
        <v>1.2910178365900453</v>
      </c>
      <c r="X17" s="9">
        <f t="shared" si="13"/>
        <v>0.56565102147545254</v>
      </c>
      <c r="Y17" s="9"/>
      <c r="Z17" s="9">
        <f t="shared" si="1"/>
        <v>6.0838812314418641E-3</v>
      </c>
      <c r="AA17" s="9">
        <f t="shared" si="14"/>
        <v>1.0455743445621275</v>
      </c>
      <c r="AC17" s="9">
        <f t="shared" si="2"/>
        <v>0.41037345216961513</v>
      </c>
      <c r="AE17" s="9"/>
    </row>
    <row r="18" spans="3:32" x14ac:dyDescent="0.25">
      <c r="C18" s="37" t="s">
        <v>8</v>
      </c>
      <c r="D18" t="s">
        <v>4</v>
      </c>
      <c r="E18" s="36">
        <f t="shared" si="3"/>
        <v>0.9</v>
      </c>
      <c r="F18" s="40">
        <f t="shared" si="4"/>
        <v>0.66666666666666674</v>
      </c>
      <c r="G18" s="39">
        <f>(3+2*0.5)/12</f>
        <v>0.33333333333333331</v>
      </c>
      <c r="H18" s="44">
        <v>1</v>
      </c>
      <c r="I18" s="50">
        <f t="shared" si="5"/>
        <v>0.66666666666666674</v>
      </c>
      <c r="J18" s="50">
        <f t="shared" si="6"/>
        <v>0.33333333333333331</v>
      </c>
      <c r="K18" s="36">
        <v>0.1</v>
      </c>
      <c r="L18" s="40"/>
      <c r="M18" s="38">
        <f t="shared" si="7"/>
        <v>60.000000000000007</v>
      </c>
      <c r="N18" s="38">
        <f t="shared" si="8"/>
        <v>30</v>
      </c>
      <c r="O18" s="9">
        <f t="shared" si="9"/>
        <v>2.3222788444440265</v>
      </c>
      <c r="P18" s="9">
        <f t="shared" si="10"/>
        <v>0.23961184118289602</v>
      </c>
      <c r="Q18" s="9">
        <f t="shared" si="10"/>
        <v>0.83427301057299197</v>
      </c>
      <c r="R18" s="9">
        <f t="shared" si="11"/>
        <v>5.835444839692297E-2</v>
      </c>
      <c r="S18" s="9">
        <f t="shared" si="11"/>
        <v>1.4563835908849923</v>
      </c>
      <c r="T18" s="9">
        <f t="shared" si="1"/>
        <v>6.5200501002148567E-3</v>
      </c>
      <c r="U18" s="9">
        <f t="shared" si="1"/>
        <v>1.8662665404349996</v>
      </c>
      <c r="V18" s="9">
        <f t="shared" si="1"/>
        <v>0.19931118668415412</v>
      </c>
      <c r="W18" s="9">
        <f t="shared" si="12"/>
        <v>1.1736525787182233</v>
      </c>
      <c r="X18" s="9">
        <f t="shared" si="13"/>
        <v>0.51422820134132052</v>
      </c>
      <c r="Y18" s="9"/>
      <c r="Z18" s="9">
        <f t="shared" si="1"/>
        <v>5.5308011194926043E-3</v>
      </c>
      <c r="AA18" s="9">
        <f t="shared" si="14"/>
        <v>0.95052213142011599</v>
      </c>
      <c r="AC18" s="9">
        <f t="shared" si="2"/>
        <v>0.37306677469965011</v>
      </c>
      <c r="AE18" s="9"/>
    </row>
    <row r="19" spans="3:32" x14ac:dyDescent="0.25">
      <c r="C19" s="37" t="s">
        <v>8</v>
      </c>
      <c r="D19" t="s">
        <v>5</v>
      </c>
      <c r="E19" s="36">
        <f t="shared" si="3"/>
        <v>0.88</v>
      </c>
      <c r="F19" s="40">
        <f t="shared" si="4"/>
        <v>0.66666666666666674</v>
      </c>
      <c r="G19" s="39">
        <f>(3+2*0.5)/12</f>
        <v>0.33333333333333331</v>
      </c>
      <c r="H19" s="44">
        <v>1</v>
      </c>
      <c r="I19" s="50">
        <f t="shared" si="5"/>
        <v>0.66666666666666674</v>
      </c>
      <c r="J19" s="50">
        <f t="shared" si="6"/>
        <v>0.33333333333333331</v>
      </c>
      <c r="K19" s="36">
        <v>0.12</v>
      </c>
      <c r="L19" s="40"/>
      <c r="M19" s="38">
        <f t="shared" si="7"/>
        <v>58.666666666666679</v>
      </c>
      <c r="N19" s="38">
        <f t="shared" si="8"/>
        <v>29.333333333333332</v>
      </c>
      <c r="O19" s="9">
        <f t="shared" si="9"/>
        <v>2.7867346133328317</v>
      </c>
      <c r="P19" s="9">
        <f t="shared" si="10"/>
        <v>0.28753420941947516</v>
      </c>
      <c r="Q19" s="9">
        <f t="shared" si="10"/>
        <v>1.0011276126875901</v>
      </c>
      <c r="R19" s="9">
        <f t="shared" si="11"/>
        <v>7.002533807630755E-2</v>
      </c>
      <c r="S19" s="9">
        <f t="shared" si="11"/>
        <v>1.7476603090619909</v>
      </c>
      <c r="T19" s="9">
        <f t="shared" si="1"/>
        <v>7.824060120257827E-3</v>
      </c>
      <c r="U19" s="9">
        <f t="shared" si="1"/>
        <v>2.2395198485219994</v>
      </c>
      <c r="V19" s="9">
        <f t="shared" si="1"/>
        <v>0.23917342402098499</v>
      </c>
      <c r="W19" s="9">
        <f t="shared" si="12"/>
        <v>1.4083830944618676</v>
      </c>
      <c r="X19" s="9">
        <f t="shared" si="13"/>
        <v>0.61707384160958456</v>
      </c>
      <c r="Y19" s="9"/>
      <c r="Z19" s="9">
        <f t="shared" si="1"/>
        <v>6.6369613433911239E-3</v>
      </c>
      <c r="AA19" s="9">
        <f t="shared" si="14"/>
        <v>1.140626557704139</v>
      </c>
      <c r="AC19" s="9">
        <f t="shared" si="2"/>
        <v>0.44768012963958009</v>
      </c>
      <c r="AE19" s="9"/>
    </row>
    <row r="21" spans="3:32" x14ac:dyDescent="0.25">
      <c r="H21" s="45" t="s">
        <v>108</v>
      </c>
      <c r="I21" s="45"/>
      <c r="J21" s="45"/>
      <c r="K21" s="48"/>
      <c r="L21" s="47"/>
      <c r="M21" s="34" t="s">
        <v>96</v>
      </c>
    </row>
    <row r="22" spans="3:32" x14ac:dyDescent="0.25">
      <c r="H22" s="45" t="s">
        <v>109</v>
      </c>
      <c r="I22" s="45"/>
      <c r="J22" s="45"/>
      <c r="K22" s="48"/>
      <c r="L22" s="47"/>
      <c r="N22" t="s">
        <v>62</v>
      </c>
      <c r="O22" t="s">
        <v>63</v>
      </c>
      <c r="P22" t="s">
        <v>66</v>
      </c>
      <c r="Q22" t="s">
        <v>67</v>
      </c>
      <c r="R22" s="41" t="s">
        <v>64</v>
      </c>
      <c r="S22" s="41" t="s">
        <v>65</v>
      </c>
      <c r="T22" t="s">
        <v>93</v>
      </c>
      <c r="U22" t="s">
        <v>68</v>
      </c>
      <c r="V22" t="s">
        <v>69</v>
      </c>
      <c r="W22" t="s">
        <v>94</v>
      </c>
      <c r="X22" t="s">
        <v>70</v>
      </c>
      <c r="Y22" s="41" t="s">
        <v>95</v>
      </c>
      <c r="Z22" t="s">
        <v>71</v>
      </c>
      <c r="AA22" t="s">
        <v>72</v>
      </c>
      <c r="AB22" s="41" t="s">
        <v>73</v>
      </c>
      <c r="AC22" s="41" t="s">
        <v>74</v>
      </c>
      <c r="AD22" s="41" t="s">
        <v>75</v>
      </c>
    </row>
    <row r="23" spans="3:32" x14ac:dyDescent="0.25">
      <c r="H23" s="46" t="s">
        <v>110</v>
      </c>
      <c r="I23" s="45"/>
      <c r="J23" s="45"/>
      <c r="K23" s="48"/>
      <c r="L23" s="47"/>
      <c r="M23" t="s">
        <v>76</v>
      </c>
      <c r="N23">
        <f>SUM(O23:AD23)</f>
        <v>23690.191499999997</v>
      </c>
      <c r="O23">
        <v>6197.4449999999997</v>
      </c>
      <c r="P23">
        <v>639.45000000000005</v>
      </c>
      <c r="Q23">
        <v>2226.4169999999999</v>
      </c>
      <c r="R23">
        <v>155.72999999999999</v>
      </c>
      <c r="S23">
        <v>3886.6379999999995</v>
      </c>
      <c r="T23">
        <v>17.399999999999999</v>
      </c>
      <c r="U23">
        <v>4980.4890000000005</v>
      </c>
      <c r="V23">
        <v>402.4</v>
      </c>
      <c r="W23">
        <v>118.8</v>
      </c>
      <c r="X23">
        <v>1224.5999999999999</v>
      </c>
      <c r="Y23">
        <v>295.43249999999995</v>
      </c>
      <c r="Z23">
        <v>13.14</v>
      </c>
      <c r="AA23">
        <v>2536.65</v>
      </c>
      <c r="AB23">
        <v>0</v>
      </c>
      <c r="AC23">
        <v>995.6</v>
      </c>
      <c r="AD23">
        <v>0</v>
      </c>
    </row>
    <row r="24" spans="3:32" x14ac:dyDescent="0.25">
      <c r="E24" s="40"/>
      <c r="F24" s="40"/>
      <c r="G24" s="40"/>
      <c r="H24" s="40"/>
      <c r="I24" s="40"/>
      <c r="J24" s="40"/>
      <c r="M24" t="s">
        <v>77</v>
      </c>
      <c r="N24" s="37">
        <f>SUM(O24:AD24)</f>
        <v>2996.72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129.5</v>
      </c>
      <c r="W24">
        <v>2865.6</v>
      </c>
      <c r="X24">
        <v>0</v>
      </c>
      <c r="Y24">
        <v>0</v>
      </c>
      <c r="Z24">
        <v>1.62</v>
      </c>
      <c r="AA24">
        <v>0</v>
      </c>
      <c r="AB24">
        <v>0</v>
      </c>
      <c r="AC24">
        <v>0</v>
      </c>
      <c r="AD24">
        <v>0</v>
      </c>
    </row>
    <row r="25" spans="3:32" x14ac:dyDescent="0.25">
      <c r="E25" s="40"/>
      <c r="F25" s="40"/>
      <c r="G25" s="40"/>
      <c r="H25" s="40"/>
      <c r="I25" s="40"/>
      <c r="J25" s="40"/>
      <c r="L25" s="39"/>
      <c r="M25" t="s">
        <v>79</v>
      </c>
      <c r="N25" s="35">
        <f t="shared" ref="N25:O25" si="15">SUM(N23:N24)/SUM($N23:$N24)</f>
        <v>1</v>
      </c>
      <c r="O25" s="35">
        <f t="shared" si="15"/>
        <v>0.23222788444440265</v>
      </c>
      <c r="P25" s="39">
        <f t="shared" ref="P25" si="16">SUM(P23:P24)/SUM($N23:$N24)</f>
        <v>2.39611841182896E-2</v>
      </c>
      <c r="Q25" s="39">
        <f t="shared" ref="Q25" si="17">SUM(Q23:Q24)/SUM($N23:$N24)</f>
        <v>8.3427301057299189E-2</v>
      </c>
      <c r="R25" s="39">
        <f t="shared" ref="R25" si="18">SUM(R23:R24)/SUM($N23:$N24)</f>
        <v>5.8354448396922961E-3</v>
      </c>
      <c r="S25" s="39">
        <f t="shared" ref="S25" si="19">SUM(S23:S24)/SUM($N23:$N24)</f>
        <v>0.14563835908849923</v>
      </c>
      <c r="T25" s="39">
        <f t="shared" ref="T25" si="20">SUM(T23:T24)/SUM($N23:$N24)</f>
        <v>6.5200501002148558E-4</v>
      </c>
      <c r="U25" s="39">
        <f t="shared" ref="U25" si="21">SUM(U23:U24)/SUM($N23:$N24)</f>
        <v>0.18662665404349996</v>
      </c>
      <c r="V25" s="39">
        <f t="shared" ref="V25" si="22">SUM(V23:V24)/SUM($N23:$N24)</f>
        <v>1.9931118668415414E-2</v>
      </c>
      <c r="W25" s="39">
        <f t="shared" ref="W25" si="23">SUM(W23:W24)/SUM($N23:$N24)</f>
        <v>0.11183010068437482</v>
      </c>
      <c r="X25" s="39">
        <f t="shared" ref="X25" si="24">SUM(X23:X24)/SUM($N23:$N24)</f>
        <v>4.588766294668456E-2</v>
      </c>
      <c r="Y25" s="39">
        <f t="shared" ref="Y25" si="25">SUM(Y23:Y24)/SUM($N23:$N24)</f>
        <v>1.1070314374894972E-2</v>
      </c>
      <c r="Z25" s="39">
        <f t="shared" ref="Z25" si="26">SUM(Z23:Z24)/SUM($N23:$N24)</f>
        <v>5.5308011194926036E-4</v>
      </c>
      <c r="AA25" s="39">
        <f t="shared" ref="AA25" si="27">SUM(AA23:AA24)/SUM($N23:$N24)</f>
        <v>9.5052213142011593E-2</v>
      </c>
      <c r="AB25" s="39">
        <f t="shared" ref="AB25" si="28">SUM(AB23:AB24)/SUM($N23:$N24)</f>
        <v>0</v>
      </c>
      <c r="AC25" s="39">
        <f t="shared" ref="AC25" si="29">SUM(AC23:AC24)/SUM($N23:$N24)</f>
        <v>3.7306677469965008E-2</v>
      </c>
      <c r="AD25" s="39">
        <f t="shared" ref="AD25" si="30">SUM(AD23:AD24)/SUM($N23:$N24)</f>
        <v>0</v>
      </c>
      <c r="AF25" s="40"/>
    </row>
    <row r="26" spans="3:32" x14ac:dyDescent="0.25">
      <c r="E26" s="40"/>
      <c r="F26" s="40"/>
      <c r="G26" s="40"/>
      <c r="H26" s="40"/>
      <c r="I26" s="40"/>
      <c r="J26" s="40"/>
      <c r="L26" s="39"/>
      <c r="M26" t="s">
        <v>78</v>
      </c>
      <c r="N26" s="35">
        <f>N24/SUM(N23:N24)</f>
        <v>0.11229175020871186</v>
      </c>
      <c r="O26" s="35">
        <f>O24/SUM(O23:O24)</f>
        <v>0</v>
      </c>
      <c r="P26" s="35">
        <f>P24/SUM(P23:P24)</f>
        <v>0</v>
      </c>
      <c r="Q26" s="35">
        <f>Q24/SUM(Q23:Q24)</f>
        <v>0</v>
      </c>
      <c r="R26" s="35">
        <f t="shared" ref="R26:S26" si="31">R24/SUM(R23:R24)</f>
        <v>0</v>
      </c>
      <c r="S26" s="35">
        <f t="shared" si="31"/>
        <v>0</v>
      </c>
      <c r="T26" s="35">
        <f t="shared" ref="T26:AD26" si="32">T24/SUM(T23:T24)</f>
        <v>0</v>
      </c>
      <c r="U26" s="35">
        <f t="shared" si="32"/>
        <v>0</v>
      </c>
      <c r="V26" s="35">
        <f t="shared" si="32"/>
        <v>0.243466817070878</v>
      </c>
      <c r="W26" s="35">
        <f t="shared" si="32"/>
        <v>0.96019300361881776</v>
      </c>
      <c r="X26" s="35">
        <f t="shared" si="32"/>
        <v>0</v>
      </c>
      <c r="Y26" s="35">
        <f t="shared" si="32"/>
        <v>0</v>
      </c>
      <c r="Z26" s="35">
        <f t="shared" si="32"/>
        <v>0.10975609756097561</v>
      </c>
      <c r="AA26" s="35">
        <f t="shared" si="32"/>
        <v>0</v>
      </c>
      <c r="AB26" s="35" t="e">
        <f t="shared" si="32"/>
        <v>#DIV/0!</v>
      </c>
      <c r="AC26" s="35">
        <f t="shared" si="32"/>
        <v>0</v>
      </c>
      <c r="AD26" s="35" t="e">
        <f t="shared" si="32"/>
        <v>#DIV/0!</v>
      </c>
    </row>
    <row r="27" spans="3:32" x14ac:dyDescent="0.25">
      <c r="E27" s="40"/>
      <c r="F27" s="40"/>
      <c r="G27" s="40"/>
      <c r="H27" s="40"/>
      <c r="I27" s="40"/>
      <c r="J27" s="40"/>
    </row>
    <row r="28" spans="3:32" x14ac:dyDescent="0.25">
      <c r="E28" s="40"/>
      <c r="F28" s="40"/>
      <c r="G28" s="40"/>
      <c r="H28" s="40"/>
      <c r="I28" s="40"/>
      <c r="J28" s="40"/>
      <c r="K28" s="40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</row>
    <row r="29" spans="3:32" x14ac:dyDescent="0.25">
      <c r="E29" s="40"/>
      <c r="F29" s="40"/>
      <c r="G29" s="40"/>
      <c r="H29" s="40"/>
      <c r="I29" s="40"/>
      <c r="J29" s="40"/>
      <c r="K29" s="40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</row>
    <row r="30" spans="3:32" x14ac:dyDescent="0.25">
      <c r="E30" s="40"/>
      <c r="F30" s="40"/>
      <c r="G30" s="40"/>
      <c r="H30" s="40"/>
      <c r="I30" s="40"/>
      <c r="J30" s="40"/>
      <c r="K30" s="40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</row>
    <row r="31" spans="3:32" x14ac:dyDescent="0.25">
      <c r="E31" s="40"/>
      <c r="F31" s="40"/>
      <c r="G31" s="40"/>
      <c r="H31" s="40"/>
      <c r="I31" s="40"/>
      <c r="J31" s="40"/>
      <c r="K31" s="40"/>
      <c r="M31" s="37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</row>
    <row r="32" spans="3:32" x14ac:dyDescent="0.25">
      <c r="E32" s="40"/>
      <c r="F32" s="40"/>
      <c r="G32" s="40"/>
      <c r="H32" s="40"/>
      <c r="I32" s="40"/>
      <c r="J32" s="40"/>
      <c r="K32" s="40"/>
      <c r="M32" s="37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</row>
    <row r="33" spans="5:30" x14ac:dyDescent="0.25">
      <c r="E33" s="40"/>
      <c r="F33" s="40"/>
      <c r="G33" s="40"/>
      <c r="H33" s="40"/>
      <c r="I33" s="40"/>
      <c r="J33" s="40"/>
      <c r="K33" s="40"/>
    </row>
    <row r="34" spans="5:30" x14ac:dyDescent="0.25">
      <c r="E34" s="40"/>
      <c r="F34" s="40"/>
      <c r="G34" s="40"/>
      <c r="H34" s="40"/>
      <c r="I34" s="40"/>
      <c r="J34" s="40"/>
      <c r="K34" s="40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</row>
    <row r="35" spans="5:30" x14ac:dyDescent="0.25">
      <c r="E35" s="40"/>
      <c r="F35" s="40"/>
      <c r="G35" s="40"/>
      <c r="H35" s="40"/>
      <c r="I35" s="40"/>
      <c r="J35" s="40"/>
      <c r="K35" s="40"/>
    </row>
    <row r="36" spans="5:30" x14ac:dyDescent="0.25">
      <c r="E36" s="40"/>
      <c r="F36" s="40"/>
      <c r="G36" s="40"/>
      <c r="H36" s="40"/>
      <c r="I36" s="40"/>
      <c r="J36" s="40"/>
      <c r="K36" s="40"/>
      <c r="M36" s="34"/>
    </row>
    <row r="37" spans="5:30" x14ac:dyDescent="0.25">
      <c r="E37" s="40"/>
      <c r="F37" s="40"/>
      <c r="G37" s="40"/>
      <c r="H37" s="40"/>
      <c r="I37" s="40"/>
      <c r="J37" s="40"/>
      <c r="K37" s="40"/>
    </row>
    <row r="38" spans="5:30" x14ac:dyDescent="0.25">
      <c r="E38" s="40"/>
      <c r="F38" s="40"/>
      <c r="G38" s="40"/>
      <c r="H38" s="40"/>
      <c r="I38" s="40"/>
      <c r="J38" s="40"/>
      <c r="K38" s="40"/>
      <c r="R38" s="37"/>
    </row>
    <row r="39" spans="5:30" x14ac:dyDescent="0.25">
      <c r="E39" s="40"/>
      <c r="F39" s="40"/>
      <c r="G39" s="40"/>
      <c r="H39" s="40"/>
      <c r="I39" s="40"/>
      <c r="J39" s="40"/>
      <c r="K39" s="40"/>
      <c r="R39" s="39"/>
    </row>
    <row r="40" spans="5:30" x14ac:dyDescent="0.25">
      <c r="E40" s="40"/>
      <c r="F40" s="40"/>
      <c r="G40" s="40"/>
      <c r="H40" s="40"/>
      <c r="I40" s="40"/>
      <c r="J40" s="40"/>
      <c r="K40" s="40"/>
      <c r="P40" s="37"/>
      <c r="R40" s="39"/>
    </row>
    <row r="41" spans="5:30" x14ac:dyDescent="0.25">
      <c r="E41" s="40"/>
      <c r="F41" s="40"/>
      <c r="G41" s="40"/>
      <c r="H41" s="40"/>
      <c r="I41" s="40"/>
      <c r="J41" s="40"/>
      <c r="K41" s="40"/>
      <c r="P41" s="37"/>
      <c r="R41" s="39"/>
    </row>
    <row r="42" spans="5:30" x14ac:dyDescent="0.25">
      <c r="E42" s="40"/>
      <c r="F42" s="40"/>
      <c r="G42" s="40"/>
      <c r="H42" s="40"/>
      <c r="I42" s="40"/>
      <c r="J42" s="40"/>
      <c r="K42" s="40"/>
      <c r="P42" s="37"/>
      <c r="R42" s="39"/>
    </row>
    <row r="43" spans="5:30" x14ac:dyDescent="0.25">
      <c r="E43" s="40"/>
      <c r="F43" s="40"/>
      <c r="G43" s="40"/>
      <c r="H43" s="40"/>
      <c r="I43" s="40"/>
      <c r="J43" s="40"/>
      <c r="K43" s="40"/>
      <c r="P43" s="37"/>
      <c r="R43" s="39"/>
    </row>
    <row r="44" spans="5:30" x14ac:dyDescent="0.25">
      <c r="K44" s="40"/>
      <c r="P44" s="37"/>
      <c r="R44" s="39"/>
    </row>
    <row r="45" spans="5:30" x14ac:dyDescent="0.25">
      <c r="P45" s="37"/>
      <c r="R45" s="39"/>
    </row>
    <row r="46" spans="5:30" x14ac:dyDescent="0.25">
      <c r="P46" s="37"/>
      <c r="R46" s="39"/>
    </row>
    <row r="47" spans="5:30" x14ac:dyDescent="0.25">
      <c r="P47" s="37"/>
      <c r="R47" s="39"/>
    </row>
    <row r="48" spans="5:30" x14ac:dyDescent="0.25">
      <c r="P48" s="37"/>
      <c r="R48" s="39"/>
    </row>
    <row r="49" spans="14:18" x14ac:dyDescent="0.25">
      <c r="P49" s="37"/>
      <c r="R49" s="39"/>
    </row>
    <row r="50" spans="14:18" x14ac:dyDescent="0.25">
      <c r="P50" s="37"/>
      <c r="R50" s="39"/>
    </row>
    <row r="51" spans="14:18" x14ac:dyDescent="0.25">
      <c r="P51" s="37"/>
      <c r="R51" s="39"/>
    </row>
    <row r="52" spans="14:18" x14ac:dyDescent="0.25">
      <c r="P52" s="37"/>
      <c r="R52" s="39"/>
    </row>
    <row r="53" spans="14:18" x14ac:dyDescent="0.25">
      <c r="P53" s="37"/>
      <c r="R53" s="39"/>
    </row>
    <row r="54" spans="14:18" x14ac:dyDescent="0.25">
      <c r="P54" s="37"/>
      <c r="R54" s="39"/>
    </row>
    <row r="56" spans="14:18" x14ac:dyDescent="0.25">
      <c r="N56" s="3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30"/>
  <sheetViews>
    <sheetView topLeftCell="K5" workbookViewId="0">
      <selection activeCell="Q26" sqref="Q26"/>
    </sheetView>
  </sheetViews>
  <sheetFormatPr defaultRowHeight="15" x14ac:dyDescent="0.25"/>
  <sheetData>
    <row r="3" spans="2:21" ht="15.75" x14ac:dyDescent="0.25">
      <c r="B3" s="55" t="s">
        <v>32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</row>
    <row r="4" spans="2:21" ht="15.75" x14ac:dyDescent="0.25">
      <c r="B4" s="52" t="s">
        <v>33</v>
      </c>
      <c r="C4" s="11"/>
      <c r="D4" s="12" t="s">
        <v>34</v>
      </c>
      <c r="E4" s="11"/>
      <c r="F4" s="54" t="s">
        <v>35</v>
      </c>
      <c r="G4" s="54"/>
      <c r="H4" s="11"/>
      <c r="I4" s="54" t="s">
        <v>36</v>
      </c>
      <c r="J4" s="54"/>
      <c r="K4" s="54"/>
      <c r="L4" s="54" t="s">
        <v>37</v>
      </c>
      <c r="M4" s="54"/>
      <c r="N4" s="54"/>
      <c r="O4" s="13"/>
    </row>
    <row r="5" spans="2:21" ht="31.5" x14ac:dyDescent="0.25">
      <c r="B5" s="53"/>
      <c r="C5" s="14" t="s">
        <v>38</v>
      </c>
      <c r="D5" s="15" t="s">
        <v>39</v>
      </c>
      <c r="E5" s="15" t="s">
        <v>40</v>
      </c>
      <c r="F5" s="14" t="s">
        <v>38</v>
      </c>
      <c r="G5" s="15" t="s">
        <v>39</v>
      </c>
      <c r="H5" s="16" t="s">
        <v>40</v>
      </c>
      <c r="I5" s="14" t="s">
        <v>38</v>
      </c>
      <c r="J5" s="14" t="s">
        <v>39</v>
      </c>
      <c r="K5" s="14" t="s">
        <v>40</v>
      </c>
      <c r="L5" s="14" t="s">
        <v>38</v>
      </c>
      <c r="M5" s="14" t="s">
        <v>39</v>
      </c>
      <c r="N5" s="14" t="s">
        <v>40</v>
      </c>
      <c r="O5" s="26" t="s">
        <v>41</v>
      </c>
      <c r="P5" s="26" t="s">
        <v>38</v>
      </c>
      <c r="Q5" s="26" t="s">
        <v>39</v>
      </c>
      <c r="R5" s="26" t="s">
        <v>40</v>
      </c>
      <c r="S5" s="26" t="s">
        <v>38</v>
      </c>
      <c r="T5" s="26" t="s">
        <v>39</v>
      </c>
      <c r="U5" s="26" t="s">
        <v>40</v>
      </c>
    </row>
    <row r="6" spans="2:21" ht="15.75" x14ac:dyDescent="0.25">
      <c r="B6" s="17">
        <v>100</v>
      </c>
      <c r="C6" s="18">
        <v>17</v>
      </c>
      <c r="D6" s="19">
        <v>18</v>
      </c>
      <c r="E6" s="18">
        <v>19</v>
      </c>
      <c r="F6" s="19">
        <v>20</v>
      </c>
      <c r="G6" s="19">
        <v>21</v>
      </c>
      <c r="H6" s="18">
        <v>22</v>
      </c>
      <c r="I6" s="19">
        <v>21</v>
      </c>
      <c r="J6" s="19">
        <v>22</v>
      </c>
      <c r="K6" s="19">
        <v>23</v>
      </c>
      <c r="L6" s="19">
        <v>19</v>
      </c>
      <c r="M6" s="19">
        <v>20</v>
      </c>
      <c r="N6" s="19">
        <v>21</v>
      </c>
      <c r="O6" s="2">
        <f>B6^0.75</f>
        <v>31.622776601683803</v>
      </c>
      <c r="P6" s="2">
        <f>AVERAGE(C6,F6,I6,L6)</f>
        <v>19.25</v>
      </c>
      <c r="Q6" s="2">
        <f t="shared" ref="Q6:R6" si="0">AVERAGE(D6,G6,J6,M6)</f>
        <v>20.25</v>
      </c>
      <c r="R6" s="2">
        <f t="shared" si="0"/>
        <v>21.25</v>
      </c>
      <c r="S6" s="8">
        <f>P6/$O6</f>
        <v>0.60873844958241285</v>
      </c>
      <c r="T6" s="8">
        <f t="shared" ref="T6:U13" si="1">Q6/$O6</f>
        <v>0.64036122618409663</v>
      </c>
      <c r="U6" s="8">
        <f t="shared" si="1"/>
        <v>0.67198400278578041</v>
      </c>
    </row>
    <row r="7" spans="2:21" ht="15.75" x14ac:dyDescent="0.25">
      <c r="B7" s="20">
        <v>200</v>
      </c>
      <c r="C7" s="21">
        <v>29</v>
      </c>
      <c r="D7" s="22">
        <v>30</v>
      </c>
      <c r="E7" s="21">
        <v>32</v>
      </c>
      <c r="F7" s="22">
        <v>33</v>
      </c>
      <c r="G7" s="22">
        <v>35</v>
      </c>
      <c r="H7" s="21">
        <v>36</v>
      </c>
      <c r="I7" s="22">
        <v>34</v>
      </c>
      <c r="J7" s="22">
        <v>36</v>
      </c>
      <c r="K7" s="22">
        <v>37</v>
      </c>
      <c r="L7" s="22">
        <v>33</v>
      </c>
      <c r="M7" s="22">
        <v>35</v>
      </c>
      <c r="N7" s="22">
        <v>36</v>
      </c>
      <c r="O7" s="2">
        <f t="shared" ref="O7:O13" si="2">B7^0.75</f>
        <v>53.182958969449857</v>
      </c>
      <c r="P7" s="2">
        <f t="shared" ref="P7:P13" si="3">AVERAGE(C7,F7,I7,L7)</f>
        <v>32.25</v>
      </c>
      <c r="Q7" s="2">
        <f t="shared" ref="Q7:Q13" si="4">AVERAGE(D7,G7,J7,M7)</f>
        <v>34</v>
      </c>
      <c r="R7" s="2">
        <f t="shared" ref="R7:R13" si="5">AVERAGE(E7,H7,K7,N7)</f>
        <v>35.25</v>
      </c>
      <c r="S7" s="8">
        <f t="shared" ref="S7:S13" si="6">P7/$O7</f>
        <v>0.60639724876018131</v>
      </c>
      <c r="T7" s="8">
        <f t="shared" si="1"/>
        <v>0.63930252582468727</v>
      </c>
      <c r="U7" s="8">
        <f t="shared" si="1"/>
        <v>0.66280629515647727</v>
      </c>
    </row>
    <row r="8" spans="2:21" ht="15.75" x14ac:dyDescent="0.25">
      <c r="B8" s="20">
        <v>300</v>
      </c>
      <c r="C8" s="21">
        <v>39</v>
      </c>
      <c r="D8" s="22">
        <v>41</v>
      </c>
      <c r="E8" s="21">
        <v>43</v>
      </c>
      <c r="F8" s="22">
        <v>45</v>
      </c>
      <c r="G8" s="22">
        <v>47</v>
      </c>
      <c r="H8" s="21">
        <v>50</v>
      </c>
      <c r="I8" s="22">
        <v>47</v>
      </c>
      <c r="J8" s="22">
        <v>49</v>
      </c>
      <c r="K8" s="22">
        <v>52</v>
      </c>
      <c r="L8" s="22">
        <v>44</v>
      </c>
      <c r="M8" s="22">
        <v>46</v>
      </c>
      <c r="N8" s="22">
        <v>48</v>
      </c>
      <c r="O8" s="2">
        <f t="shared" si="2"/>
        <v>72.084342424042617</v>
      </c>
      <c r="P8" s="2">
        <f t="shared" si="3"/>
        <v>43.75</v>
      </c>
      <c r="Q8" s="2">
        <f t="shared" si="4"/>
        <v>45.75</v>
      </c>
      <c r="R8" s="2">
        <f t="shared" si="5"/>
        <v>48.25</v>
      </c>
      <c r="S8" s="8">
        <f t="shared" si="6"/>
        <v>0.60692791983364014</v>
      </c>
      <c r="T8" s="8">
        <f t="shared" si="1"/>
        <v>0.63467319616889217</v>
      </c>
      <c r="U8" s="8">
        <f t="shared" si="1"/>
        <v>0.66935479158795741</v>
      </c>
    </row>
    <row r="9" spans="2:21" ht="15.75" x14ac:dyDescent="0.25">
      <c r="B9" s="20">
        <v>400</v>
      </c>
      <c r="C9" s="21">
        <v>49</v>
      </c>
      <c r="D9" s="22">
        <v>51</v>
      </c>
      <c r="E9" s="21">
        <v>54</v>
      </c>
      <c r="F9" s="22">
        <v>55</v>
      </c>
      <c r="G9" s="22">
        <v>58</v>
      </c>
      <c r="H9" s="21">
        <v>61</v>
      </c>
      <c r="I9" s="22">
        <v>58</v>
      </c>
      <c r="J9" s="22">
        <v>61</v>
      </c>
      <c r="K9" s="22">
        <v>64</v>
      </c>
      <c r="L9" s="22">
        <v>55</v>
      </c>
      <c r="M9" s="22">
        <v>58</v>
      </c>
      <c r="N9" s="22">
        <v>61</v>
      </c>
      <c r="O9" s="2">
        <f t="shared" si="2"/>
        <v>89.442719099991592</v>
      </c>
      <c r="P9" s="2">
        <f t="shared" si="3"/>
        <v>54.25</v>
      </c>
      <c r="Q9" s="2">
        <f t="shared" si="4"/>
        <v>57</v>
      </c>
      <c r="R9" s="2">
        <f t="shared" si="5"/>
        <v>60</v>
      </c>
      <c r="S9" s="8">
        <f t="shared" si="6"/>
        <v>0.60653343889681788</v>
      </c>
      <c r="T9" s="8">
        <f t="shared" si="1"/>
        <v>0.63727937358744002</v>
      </c>
      <c r="U9" s="8">
        <f t="shared" si="1"/>
        <v>0.67082039324993692</v>
      </c>
    </row>
    <row r="10" spans="2:21" ht="15.75" x14ac:dyDescent="0.25">
      <c r="B10" s="20">
        <v>500</v>
      </c>
      <c r="C10" s="21">
        <v>58</v>
      </c>
      <c r="D10" s="22">
        <v>61</v>
      </c>
      <c r="E10" s="21">
        <v>64</v>
      </c>
      <c r="F10" s="22">
        <v>66</v>
      </c>
      <c r="G10" s="22">
        <v>69</v>
      </c>
      <c r="H10" s="21">
        <v>73</v>
      </c>
      <c r="I10" s="22">
        <v>69</v>
      </c>
      <c r="J10" s="22">
        <v>72</v>
      </c>
      <c r="K10" s="22">
        <v>76</v>
      </c>
      <c r="L10" s="22">
        <v>65</v>
      </c>
      <c r="M10" s="22">
        <v>68</v>
      </c>
      <c r="N10" s="22">
        <v>72</v>
      </c>
      <c r="O10" s="2">
        <f t="shared" si="2"/>
        <v>105.73712634405643</v>
      </c>
      <c r="P10" s="2">
        <f t="shared" si="3"/>
        <v>64.5</v>
      </c>
      <c r="Q10" s="2">
        <f t="shared" si="4"/>
        <v>67.5</v>
      </c>
      <c r="R10" s="2">
        <f t="shared" si="5"/>
        <v>71.25</v>
      </c>
      <c r="S10" s="8">
        <f t="shared" si="6"/>
        <v>0.6100033378070483</v>
      </c>
      <c r="T10" s="8">
        <f t="shared" si="1"/>
        <v>0.63837558607714351</v>
      </c>
      <c r="U10" s="8">
        <f t="shared" si="1"/>
        <v>0.67384089641476264</v>
      </c>
    </row>
    <row r="11" spans="2:21" ht="15.75" x14ac:dyDescent="0.25">
      <c r="B11" s="20">
        <v>600</v>
      </c>
      <c r="C11" s="21">
        <v>66</v>
      </c>
      <c r="D11" s="22">
        <v>69</v>
      </c>
      <c r="E11" s="21">
        <v>73</v>
      </c>
      <c r="F11" s="22">
        <v>75</v>
      </c>
      <c r="G11" s="22">
        <v>79</v>
      </c>
      <c r="H11" s="21">
        <v>83</v>
      </c>
      <c r="I11" s="22">
        <v>79</v>
      </c>
      <c r="J11" s="22">
        <v>83</v>
      </c>
      <c r="K11" s="22">
        <v>87</v>
      </c>
      <c r="L11" s="22">
        <v>74</v>
      </c>
      <c r="M11" s="22">
        <v>78</v>
      </c>
      <c r="N11" s="22">
        <v>81</v>
      </c>
      <c r="O11" s="2">
        <f t="shared" si="2"/>
        <v>121.23093028059735</v>
      </c>
      <c r="P11" s="2">
        <f t="shared" si="3"/>
        <v>73.5</v>
      </c>
      <c r="Q11" s="2">
        <f t="shared" si="4"/>
        <v>77.25</v>
      </c>
      <c r="R11" s="2">
        <f t="shared" si="5"/>
        <v>81</v>
      </c>
      <c r="S11" s="8">
        <f t="shared" si="6"/>
        <v>0.60628092047037152</v>
      </c>
      <c r="T11" s="8">
        <f t="shared" si="1"/>
        <v>0.63721362049437014</v>
      </c>
      <c r="U11" s="8">
        <f t="shared" si="1"/>
        <v>0.66814632051836864</v>
      </c>
    </row>
    <row r="12" spans="2:21" ht="15.75" x14ac:dyDescent="0.25">
      <c r="B12" s="20">
        <v>700</v>
      </c>
      <c r="C12" s="21">
        <v>75</v>
      </c>
      <c r="D12" s="22">
        <v>79</v>
      </c>
      <c r="E12" s="21">
        <v>83</v>
      </c>
      <c r="F12" s="22">
        <v>84</v>
      </c>
      <c r="G12" s="22">
        <v>88</v>
      </c>
      <c r="H12" s="21">
        <v>92</v>
      </c>
      <c r="I12" s="22">
        <v>88</v>
      </c>
      <c r="J12" s="22">
        <v>92</v>
      </c>
      <c r="K12" s="22">
        <v>97</v>
      </c>
      <c r="L12" s="22">
        <v>83</v>
      </c>
      <c r="M12" s="22">
        <v>87</v>
      </c>
      <c r="N12" s="22">
        <v>91</v>
      </c>
      <c r="O12" s="2">
        <f t="shared" si="2"/>
        <v>136.0891589269774</v>
      </c>
      <c r="P12" s="2">
        <f t="shared" si="3"/>
        <v>82.5</v>
      </c>
      <c r="Q12" s="2">
        <f t="shared" si="4"/>
        <v>86.5</v>
      </c>
      <c r="R12" s="2">
        <f t="shared" si="5"/>
        <v>90.75</v>
      </c>
      <c r="S12" s="8">
        <f t="shared" si="6"/>
        <v>0.60622022099694051</v>
      </c>
      <c r="T12" s="8">
        <f t="shared" si="1"/>
        <v>0.6356127165604285</v>
      </c>
      <c r="U12" s="8">
        <f t="shared" si="1"/>
        <v>0.66684224309663453</v>
      </c>
    </row>
    <row r="13" spans="2:21" ht="15.75" x14ac:dyDescent="0.25">
      <c r="B13" s="23">
        <v>800</v>
      </c>
      <c r="C13" s="24">
        <v>82</v>
      </c>
      <c r="D13" s="25">
        <v>86</v>
      </c>
      <c r="E13" s="24">
        <v>90</v>
      </c>
      <c r="F13" s="25">
        <v>93</v>
      </c>
      <c r="G13" s="25">
        <v>98</v>
      </c>
      <c r="H13" s="24">
        <v>102</v>
      </c>
      <c r="I13" s="25">
        <v>98</v>
      </c>
      <c r="J13" s="25">
        <v>103</v>
      </c>
      <c r="K13" s="25">
        <v>108</v>
      </c>
      <c r="L13" s="25">
        <v>92</v>
      </c>
      <c r="M13" s="25">
        <v>97</v>
      </c>
      <c r="N13" s="25">
        <v>101</v>
      </c>
      <c r="O13" s="2">
        <f t="shared" si="2"/>
        <v>150.42412372345569</v>
      </c>
      <c r="P13" s="2">
        <f t="shared" si="3"/>
        <v>91.25</v>
      </c>
      <c r="Q13" s="2">
        <f t="shared" si="4"/>
        <v>96</v>
      </c>
      <c r="R13" s="2">
        <f t="shared" si="5"/>
        <v>100.25</v>
      </c>
      <c r="S13" s="8">
        <f t="shared" si="6"/>
        <v>0.60661812574528795</v>
      </c>
      <c r="T13" s="8">
        <f t="shared" si="1"/>
        <v>0.63819550763339883</v>
      </c>
      <c r="U13" s="8">
        <f t="shared" si="1"/>
        <v>0.66644895458591913</v>
      </c>
    </row>
    <row r="14" spans="2:21" x14ac:dyDescent="0.25">
      <c r="P14" s="9"/>
      <c r="Q14" s="9"/>
      <c r="R14" s="1" t="s">
        <v>52</v>
      </c>
      <c r="S14" s="27">
        <f>AVERAGE(S6:S13)</f>
        <v>0.60721495776158751</v>
      </c>
      <c r="T14" s="27">
        <f t="shared" ref="T14:U14" si="7">AVERAGE(T6:T13)</f>
        <v>0.63762671906630719</v>
      </c>
      <c r="U14" s="27">
        <f t="shared" si="7"/>
        <v>0.66878048717447958</v>
      </c>
    </row>
    <row r="15" spans="2:21" x14ac:dyDescent="0.25">
      <c r="R15" t="s">
        <v>53</v>
      </c>
      <c r="S15" s="8">
        <f>_xlfn.STDEV.P(S6:S13)</f>
        <v>1.3004678340959768E-3</v>
      </c>
      <c r="T15" s="8">
        <f t="shared" ref="T15:U15" si="8">_xlfn.STDEV.P(T6:T13)</f>
        <v>1.7407247992471731E-3</v>
      </c>
      <c r="U15" s="8">
        <f t="shared" si="8"/>
        <v>3.2719884672688794E-3</v>
      </c>
    </row>
    <row r="17" spans="2:21" x14ac:dyDescent="0.25">
      <c r="B17" s="51" t="s">
        <v>51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</row>
    <row r="18" spans="2:21" x14ac:dyDescent="0.25"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</row>
    <row r="19" spans="2:21" ht="15.75" x14ac:dyDescent="0.25">
      <c r="B19" s="52" t="s">
        <v>33</v>
      </c>
      <c r="C19" s="11"/>
      <c r="D19" s="12" t="s">
        <v>34</v>
      </c>
      <c r="E19" s="11"/>
      <c r="F19" s="54" t="s">
        <v>35</v>
      </c>
      <c r="G19" s="54"/>
      <c r="H19" s="11"/>
      <c r="I19" s="54" t="s">
        <v>36</v>
      </c>
      <c r="J19" s="54"/>
      <c r="K19" s="54"/>
      <c r="L19" s="54" t="s">
        <v>37</v>
      </c>
      <c r="M19" s="54"/>
      <c r="N19" s="54"/>
      <c r="O19" s="13"/>
    </row>
    <row r="20" spans="2:21" ht="31.5" x14ac:dyDescent="0.25">
      <c r="B20" s="53"/>
      <c r="C20" s="14" t="s">
        <v>38</v>
      </c>
      <c r="D20" s="15" t="s">
        <v>39</v>
      </c>
      <c r="E20" s="15" t="s">
        <v>40</v>
      </c>
      <c r="F20" s="14" t="s">
        <v>38</v>
      </c>
      <c r="G20" s="15" t="s">
        <v>39</v>
      </c>
      <c r="H20" s="15" t="s">
        <v>40</v>
      </c>
      <c r="I20" s="14" t="s">
        <v>38</v>
      </c>
      <c r="J20" s="14" t="s">
        <v>39</v>
      </c>
      <c r="K20" s="30" t="s">
        <v>40</v>
      </c>
      <c r="L20" s="14" t="s">
        <v>38</v>
      </c>
      <c r="M20" s="14" t="s">
        <v>39</v>
      </c>
      <c r="N20" s="30" t="s">
        <v>40</v>
      </c>
      <c r="O20" s="26" t="s">
        <v>41</v>
      </c>
      <c r="P20" s="26" t="s">
        <v>38</v>
      </c>
      <c r="Q20" s="26" t="s">
        <v>39</v>
      </c>
      <c r="R20" s="26" t="s">
        <v>40</v>
      </c>
      <c r="S20" s="26" t="s">
        <v>38</v>
      </c>
      <c r="T20" s="26" t="s">
        <v>39</v>
      </c>
      <c r="U20" s="26" t="s">
        <v>40</v>
      </c>
    </row>
    <row r="21" spans="2:21" ht="15.75" x14ac:dyDescent="0.25">
      <c r="B21" s="17">
        <v>100</v>
      </c>
      <c r="C21" s="18">
        <v>17</v>
      </c>
      <c r="D21" s="19">
        <v>18</v>
      </c>
      <c r="E21" s="18">
        <v>19</v>
      </c>
      <c r="F21" s="19">
        <v>16</v>
      </c>
      <c r="G21" s="19">
        <v>17</v>
      </c>
      <c r="H21" s="18">
        <v>18</v>
      </c>
      <c r="I21" s="19">
        <v>18</v>
      </c>
      <c r="J21" s="19">
        <v>19</v>
      </c>
      <c r="K21" s="31">
        <v>20</v>
      </c>
      <c r="L21" s="19">
        <v>18</v>
      </c>
      <c r="M21" s="19">
        <v>19</v>
      </c>
      <c r="N21" s="31">
        <v>20</v>
      </c>
      <c r="O21" s="2">
        <f>B21^0.75</f>
        <v>31.622776601683803</v>
      </c>
      <c r="P21" s="2">
        <f>AVERAGE(C21,F21,I21,L21)</f>
        <v>17.25</v>
      </c>
      <c r="Q21" s="2">
        <f t="shared" ref="Q21:Q28" si="9">AVERAGE(D21,G21,J21,M21)</f>
        <v>18.25</v>
      </c>
      <c r="R21" s="2">
        <f t="shared" ref="R21:R28" si="10">AVERAGE(E21,H21,K21,N21)</f>
        <v>19.25</v>
      </c>
      <c r="S21" s="8">
        <f>P21/$O21</f>
        <v>0.5454928963790453</v>
      </c>
      <c r="T21" s="8">
        <f t="shared" ref="T21:T28" si="11">Q21/$O21</f>
        <v>0.57711567298072908</v>
      </c>
      <c r="U21" s="8">
        <f t="shared" ref="U21:U28" si="12">R21/$O21</f>
        <v>0.60873844958241285</v>
      </c>
    </row>
    <row r="22" spans="2:21" ht="15.75" x14ac:dyDescent="0.25">
      <c r="B22" s="20">
        <v>200</v>
      </c>
      <c r="C22" s="21">
        <v>29</v>
      </c>
      <c r="D22" s="22">
        <v>30</v>
      </c>
      <c r="E22" s="21">
        <v>32</v>
      </c>
      <c r="F22" s="22">
        <v>28</v>
      </c>
      <c r="G22" s="22">
        <v>29</v>
      </c>
      <c r="H22" s="21">
        <v>31</v>
      </c>
      <c r="I22" s="22">
        <v>30</v>
      </c>
      <c r="J22" s="22">
        <v>32</v>
      </c>
      <c r="K22" s="32">
        <v>33</v>
      </c>
      <c r="L22" s="22">
        <v>31</v>
      </c>
      <c r="M22" s="22">
        <v>33</v>
      </c>
      <c r="N22" s="32">
        <v>34</v>
      </c>
      <c r="O22" s="2">
        <f t="shared" ref="O22:O28" si="13">B22^0.75</f>
        <v>53.182958969449857</v>
      </c>
      <c r="P22" s="2">
        <f t="shared" ref="P22:P28" si="14">AVERAGE(C22,F22,I22,L22)</f>
        <v>29.5</v>
      </c>
      <c r="Q22" s="2">
        <f t="shared" si="9"/>
        <v>31</v>
      </c>
      <c r="R22" s="2">
        <f t="shared" si="10"/>
        <v>32.5</v>
      </c>
      <c r="S22" s="8">
        <f t="shared" ref="S22:S28" si="15">P22/$O22</f>
        <v>0.55468895623024339</v>
      </c>
      <c r="T22" s="8">
        <f t="shared" si="11"/>
        <v>0.58289347942839131</v>
      </c>
      <c r="U22" s="8">
        <f t="shared" si="12"/>
        <v>0.61109800262653935</v>
      </c>
    </row>
    <row r="23" spans="2:21" ht="15.75" x14ac:dyDescent="0.25">
      <c r="B23" s="20">
        <v>300</v>
      </c>
      <c r="C23" s="21">
        <v>39</v>
      </c>
      <c r="D23" s="22">
        <v>41</v>
      </c>
      <c r="E23" s="21">
        <v>43</v>
      </c>
      <c r="F23" s="22">
        <v>38</v>
      </c>
      <c r="G23" s="22">
        <v>40</v>
      </c>
      <c r="H23" s="21">
        <v>42</v>
      </c>
      <c r="I23" s="22">
        <v>41</v>
      </c>
      <c r="J23" s="22">
        <v>43</v>
      </c>
      <c r="K23" s="32">
        <v>45</v>
      </c>
      <c r="L23" s="22">
        <v>42</v>
      </c>
      <c r="M23" s="22">
        <v>44</v>
      </c>
      <c r="N23" s="32">
        <v>46</v>
      </c>
      <c r="O23" s="2">
        <f t="shared" si="13"/>
        <v>72.084342424042617</v>
      </c>
      <c r="P23" s="2">
        <f t="shared" si="14"/>
        <v>40</v>
      </c>
      <c r="Q23" s="2">
        <f t="shared" si="9"/>
        <v>42</v>
      </c>
      <c r="R23" s="2">
        <f t="shared" si="10"/>
        <v>44</v>
      </c>
      <c r="S23" s="8">
        <f t="shared" si="15"/>
        <v>0.55490552670504234</v>
      </c>
      <c r="T23" s="8">
        <f t="shared" si="11"/>
        <v>0.58265080304029448</v>
      </c>
      <c r="U23" s="8">
        <f t="shared" si="12"/>
        <v>0.61039607937554663</v>
      </c>
    </row>
    <row r="24" spans="2:21" ht="15.75" x14ac:dyDescent="0.25">
      <c r="B24" s="20">
        <v>400</v>
      </c>
      <c r="C24" s="21">
        <v>49</v>
      </c>
      <c r="D24" s="22">
        <v>51</v>
      </c>
      <c r="E24" s="21">
        <v>54</v>
      </c>
      <c r="F24" s="22">
        <v>47</v>
      </c>
      <c r="G24" s="22">
        <v>49</v>
      </c>
      <c r="H24" s="21">
        <v>52</v>
      </c>
      <c r="I24" s="22">
        <v>51</v>
      </c>
      <c r="J24" s="22">
        <v>54</v>
      </c>
      <c r="K24" s="32">
        <v>56</v>
      </c>
      <c r="L24" s="22">
        <v>52</v>
      </c>
      <c r="M24" s="22">
        <v>55</v>
      </c>
      <c r="N24" s="32">
        <v>57</v>
      </c>
      <c r="O24" s="2">
        <f t="shared" si="13"/>
        <v>89.442719099991592</v>
      </c>
      <c r="P24" s="2">
        <f t="shared" si="14"/>
        <v>49.75</v>
      </c>
      <c r="Q24" s="2">
        <f t="shared" si="9"/>
        <v>52.25</v>
      </c>
      <c r="R24" s="2">
        <f t="shared" si="10"/>
        <v>54.75</v>
      </c>
      <c r="S24" s="8">
        <f t="shared" si="15"/>
        <v>0.5562219094030727</v>
      </c>
      <c r="T24" s="8">
        <f t="shared" si="11"/>
        <v>0.58417275912181998</v>
      </c>
      <c r="U24" s="8">
        <f t="shared" si="12"/>
        <v>0.61212360884056738</v>
      </c>
    </row>
    <row r="25" spans="2:21" ht="15.75" x14ac:dyDescent="0.25">
      <c r="B25" s="20">
        <v>500</v>
      </c>
      <c r="C25" s="21">
        <v>58</v>
      </c>
      <c r="D25" s="22">
        <v>61</v>
      </c>
      <c r="E25" s="21">
        <v>64</v>
      </c>
      <c r="F25" s="22">
        <v>55</v>
      </c>
      <c r="G25" s="22">
        <v>58</v>
      </c>
      <c r="H25" s="21">
        <v>61</v>
      </c>
      <c r="I25" s="22">
        <v>60</v>
      </c>
      <c r="J25" s="22">
        <v>63</v>
      </c>
      <c r="K25" s="32">
        <v>66</v>
      </c>
      <c r="L25" s="22">
        <v>61</v>
      </c>
      <c r="M25" s="22">
        <v>64</v>
      </c>
      <c r="N25" s="32">
        <v>67</v>
      </c>
      <c r="O25" s="2">
        <f t="shared" si="13"/>
        <v>105.73712634405643</v>
      </c>
      <c r="P25" s="2">
        <f t="shared" si="14"/>
        <v>58.5</v>
      </c>
      <c r="Q25" s="2">
        <f t="shared" si="9"/>
        <v>61.5</v>
      </c>
      <c r="R25" s="2">
        <f t="shared" si="10"/>
        <v>64.5</v>
      </c>
      <c r="S25" s="8">
        <f t="shared" si="15"/>
        <v>0.55325884126685776</v>
      </c>
      <c r="T25" s="8">
        <f t="shared" si="11"/>
        <v>0.58163108953695297</v>
      </c>
      <c r="U25" s="8">
        <f t="shared" si="12"/>
        <v>0.6100033378070483</v>
      </c>
    </row>
    <row r="26" spans="2:21" ht="15.75" x14ac:dyDescent="0.25">
      <c r="B26" s="20">
        <v>600</v>
      </c>
      <c r="C26" s="21">
        <v>66</v>
      </c>
      <c r="D26" s="22">
        <v>69</v>
      </c>
      <c r="E26" s="21">
        <v>73</v>
      </c>
      <c r="F26" s="22">
        <v>63</v>
      </c>
      <c r="G26" s="22">
        <v>66</v>
      </c>
      <c r="H26" s="21">
        <v>69</v>
      </c>
      <c r="I26" s="22">
        <v>69</v>
      </c>
      <c r="J26" s="22">
        <v>72</v>
      </c>
      <c r="K26" s="32">
        <v>76</v>
      </c>
      <c r="L26" s="22">
        <v>70</v>
      </c>
      <c r="M26" s="22">
        <v>74</v>
      </c>
      <c r="N26" s="32">
        <v>77</v>
      </c>
      <c r="O26" s="2">
        <f t="shared" si="13"/>
        <v>121.23093028059735</v>
      </c>
      <c r="P26" s="2">
        <f t="shared" si="14"/>
        <v>67</v>
      </c>
      <c r="Q26" s="2">
        <f t="shared" si="9"/>
        <v>70.25</v>
      </c>
      <c r="R26" s="2">
        <f t="shared" si="10"/>
        <v>73.75</v>
      </c>
      <c r="S26" s="8">
        <f t="shared" si="15"/>
        <v>0.55266424042877405</v>
      </c>
      <c r="T26" s="8">
        <f t="shared" si="11"/>
        <v>0.57947258044957284</v>
      </c>
      <c r="U26" s="8">
        <f t="shared" si="12"/>
        <v>0.60834310047197149</v>
      </c>
    </row>
    <row r="27" spans="2:21" ht="15.75" x14ac:dyDescent="0.25">
      <c r="B27" s="20">
        <v>700</v>
      </c>
      <c r="C27" s="21">
        <v>75</v>
      </c>
      <c r="D27" s="22">
        <v>79</v>
      </c>
      <c r="E27" s="21">
        <v>83</v>
      </c>
      <c r="F27" s="22">
        <v>71</v>
      </c>
      <c r="G27" s="22">
        <v>75</v>
      </c>
      <c r="H27" s="21">
        <v>78</v>
      </c>
      <c r="I27" s="22">
        <v>78</v>
      </c>
      <c r="J27" s="22">
        <v>82</v>
      </c>
      <c r="K27" s="32">
        <v>86</v>
      </c>
      <c r="L27" s="22">
        <v>79</v>
      </c>
      <c r="M27" s="22">
        <v>83</v>
      </c>
      <c r="N27" s="32">
        <v>87</v>
      </c>
      <c r="O27" s="2">
        <f t="shared" si="13"/>
        <v>136.0891589269774</v>
      </c>
      <c r="P27" s="2">
        <f t="shared" si="14"/>
        <v>75.75</v>
      </c>
      <c r="Q27" s="2">
        <f t="shared" si="9"/>
        <v>79.75</v>
      </c>
      <c r="R27" s="2">
        <f t="shared" si="10"/>
        <v>83.5</v>
      </c>
      <c r="S27" s="8">
        <f t="shared" si="15"/>
        <v>0.55662038473355446</v>
      </c>
      <c r="T27" s="8">
        <f t="shared" si="11"/>
        <v>0.58601288029704246</v>
      </c>
      <c r="U27" s="8">
        <f t="shared" si="12"/>
        <v>0.61356834488781253</v>
      </c>
    </row>
    <row r="28" spans="2:21" ht="15.75" x14ac:dyDescent="0.25">
      <c r="B28" s="23">
        <v>800</v>
      </c>
      <c r="C28" s="24">
        <v>82</v>
      </c>
      <c r="D28" s="25">
        <v>86</v>
      </c>
      <c r="E28" s="24">
        <v>90</v>
      </c>
      <c r="F28" s="25">
        <v>78</v>
      </c>
      <c r="G28" s="25">
        <v>82</v>
      </c>
      <c r="H28" s="24">
        <v>86</v>
      </c>
      <c r="I28" s="25">
        <v>86</v>
      </c>
      <c r="J28" s="25">
        <v>90</v>
      </c>
      <c r="K28" s="33">
        <v>95</v>
      </c>
      <c r="L28" s="25">
        <v>87</v>
      </c>
      <c r="M28" s="25">
        <v>91</v>
      </c>
      <c r="N28" s="33">
        <v>96</v>
      </c>
      <c r="O28" s="2">
        <f t="shared" si="13"/>
        <v>150.42412372345569</v>
      </c>
      <c r="P28" s="2">
        <f t="shared" si="14"/>
        <v>83.25</v>
      </c>
      <c r="Q28" s="2">
        <f t="shared" si="9"/>
        <v>87.25</v>
      </c>
      <c r="R28" s="2">
        <f t="shared" si="10"/>
        <v>91.75</v>
      </c>
      <c r="S28" s="8">
        <f t="shared" si="15"/>
        <v>0.55343516677583804</v>
      </c>
      <c r="T28" s="8">
        <f t="shared" si="11"/>
        <v>0.58002664626056299</v>
      </c>
      <c r="U28" s="8">
        <f t="shared" si="12"/>
        <v>0.60994206068087853</v>
      </c>
    </row>
    <row r="29" spans="2:21" x14ac:dyDescent="0.25">
      <c r="P29" s="9"/>
      <c r="Q29" s="9"/>
      <c r="R29" s="1" t="s">
        <v>52</v>
      </c>
      <c r="S29" s="27">
        <f>AVERAGE(S21:S28)</f>
        <v>0.55341099024030349</v>
      </c>
      <c r="T29" s="27">
        <f t="shared" ref="T29:U29" si="16">AVERAGE(T21:T28)</f>
        <v>0.58174698888942067</v>
      </c>
      <c r="U29" s="27">
        <f t="shared" si="16"/>
        <v>0.6105266230340971</v>
      </c>
    </row>
    <row r="30" spans="2:21" x14ac:dyDescent="0.25">
      <c r="R30" t="s">
        <v>53</v>
      </c>
      <c r="S30" s="8">
        <f>_xlfn.STDEV.P(S21:S28)</f>
        <v>3.2662267098387964E-3</v>
      </c>
      <c r="T30" s="8">
        <f t="shared" ref="T30:U30" si="17">_xlfn.STDEV.P(T21:T28)</f>
        <v>2.6412247044506464E-3</v>
      </c>
      <c r="U30" s="8">
        <f t="shared" si="17"/>
        <v>1.6096128196383399E-3</v>
      </c>
    </row>
  </sheetData>
  <mergeCells count="10">
    <mergeCell ref="B3:O3"/>
    <mergeCell ref="B4:B5"/>
    <mergeCell ref="F4:G4"/>
    <mergeCell ref="I4:K4"/>
    <mergeCell ref="L4:N4"/>
    <mergeCell ref="B17:O18"/>
    <mergeCell ref="B19:B20"/>
    <mergeCell ref="F19:G19"/>
    <mergeCell ref="I19:K19"/>
    <mergeCell ref="L19:N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</vt:lpstr>
      <vt:lpstr>Feed rations</vt:lpstr>
      <vt:lpstr>ME req young horses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2024-10-03T10:12:48Z</dcterms:modified>
</cp:coreProperties>
</file>