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references" sheetId="9" r:id="rId1"/>
    <sheet name="default" sheetId="1" r:id="rId2"/>
    <sheet name="feed pars" sheetId="2" r:id="rId3"/>
    <sheet name="feed pars csv" sheetId="8" r:id="rId4"/>
    <sheet name="pigs" sheetId="3" r:id="rId5"/>
    <sheet name="ruminants" sheetId="4" r:id="rId6"/>
    <sheet name="ruminants, roughage" sheetId="6" r:id="rId7"/>
    <sheet name="horses" sheetId="7" r:id="rId8"/>
    <sheet name="poultry" sheetId="5" r:id="rId9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8" i="1" l="1"/>
  <c r="H48" i="2" l="1"/>
  <c r="G48" i="2"/>
  <c r="F48" i="2"/>
  <c r="R54" i="2" l="1"/>
  <c r="O6" i="2"/>
  <c r="P6" i="2"/>
  <c r="O7" i="2"/>
  <c r="P7" i="2"/>
  <c r="O9" i="2"/>
  <c r="P9" i="2"/>
  <c r="O11" i="2"/>
  <c r="P11" i="2"/>
  <c r="R52" i="2"/>
  <c r="Q54" i="2"/>
  <c r="Q52" i="2"/>
  <c r="P54" i="2"/>
  <c r="P52" i="2"/>
  <c r="O54" i="2"/>
  <c r="S54" i="2" s="1"/>
  <c r="O52" i="2"/>
  <c r="S52" i="2" s="1"/>
  <c r="P47" i="2"/>
  <c r="O47" i="2"/>
  <c r="P44" i="2"/>
  <c r="O44" i="2"/>
  <c r="P26" i="2"/>
  <c r="O26" i="2"/>
  <c r="P22" i="2"/>
  <c r="O22" i="2"/>
  <c r="P19" i="2"/>
  <c r="O19" i="2"/>
  <c r="AS4" i="8" l="1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G4" i="8"/>
  <c r="AG5" i="8"/>
  <c r="AG6" i="8"/>
  <c r="AG7" i="8"/>
  <c r="AG8" i="8"/>
  <c r="AG9" i="8"/>
  <c r="AG10" i="8"/>
  <c r="AG11" i="8"/>
  <c r="AG12" i="8"/>
  <c r="AG13" i="8"/>
  <c r="AG14" i="8"/>
  <c r="AG15" i="8"/>
  <c r="AG16" i="8"/>
  <c r="AG17" i="8"/>
  <c r="AG18" i="8"/>
  <c r="AG19" i="8"/>
  <c r="AG20" i="8"/>
  <c r="AG21" i="8"/>
  <c r="AG22" i="8"/>
  <c r="AG23" i="8"/>
  <c r="AG24" i="8"/>
  <c r="AG25" i="8"/>
  <c r="AG26" i="8"/>
  <c r="AG27" i="8"/>
  <c r="AG28" i="8"/>
  <c r="AG29" i="8"/>
  <c r="AG30" i="8"/>
  <c r="AG31" i="8"/>
  <c r="AG32" i="8"/>
  <c r="AG33" i="8"/>
  <c r="AG34" i="8"/>
  <c r="AG35" i="8"/>
  <c r="AG36" i="8"/>
  <c r="AG37" i="8"/>
  <c r="AG38" i="8"/>
  <c r="AG39" i="8"/>
  <c r="AG40" i="8"/>
  <c r="AG41" i="8"/>
  <c r="AG42" i="8"/>
  <c r="AG43" i="8"/>
  <c r="AG44" i="8"/>
  <c r="AG45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H23" i="8" l="1"/>
  <c r="G23" i="8"/>
  <c r="E23" i="8"/>
  <c r="Q23" i="8"/>
  <c r="F23" i="8"/>
  <c r="D23" i="8"/>
  <c r="AP23" i="8"/>
  <c r="P23" i="8"/>
  <c r="AV23" i="8"/>
  <c r="AQ23" i="8"/>
  <c r="AD23" i="8"/>
  <c r="AK23" i="8"/>
  <c r="O23" i="8"/>
  <c r="N23" i="8"/>
  <c r="AJ23" i="8"/>
  <c r="M23" i="8"/>
  <c r="V23" i="8"/>
  <c r="W23" i="8"/>
  <c r="X23" i="8"/>
  <c r="AE23" i="8"/>
  <c r="AC23" i="8"/>
  <c r="AD37" i="8"/>
  <c r="X37" i="8"/>
  <c r="G37" i="8"/>
  <c r="AK37" i="8"/>
  <c r="AC37" i="8"/>
  <c r="W37" i="8"/>
  <c r="Q37" i="8"/>
  <c r="F37" i="8"/>
  <c r="AJ37" i="8"/>
  <c r="V37" i="8"/>
  <c r="P37" i="8"/>
  <c r="E37" i="8"/>
  <c r="O37" i="8"/>
  <c r="D37" i="8"/>
  <c r="N37" i="8"/>
  <c r="M37" i="8"/>
  <c r="AV37" i="8"/>
  <c r="H37" i="8"/>
  <c r="AQ37" i="8"/>
  <c r="AP37" i="8"/>
  <c r="AE37" i="8"/>
  <c r="AD21" i="8"/>
  <c r="X21" i="8"/>
  <c r="G21" i="8"/>
  <c r="AK21" i="8"/>
  <c r="AC21" i="8"/>
  <c r="W21" i="8"/>
  <c r="Q21" i="8"/>
  <c r="F21" i="8"/>
  <c r="AJ21" i="8"/>
  <c r="V21" i="8"/>
  <c r="P21" i="8"/>
  <c r="E21" i="8"/>
  <c r="O21" i="8"/>
  <c r="D21" i="8"/>
  <c r="N21" i="8"/>
  <c r="M21" i="8"/>
  <c r="AV21" i="8"/>
  <c r="H21" i="8"/>
  <c r="AE21" i="8"/>
  <c r="AP21" i="8"/>
  <c r="AQ21" i="8"/>
  <c r="AD5" i="8"/>
  <c r="X5" i="8"/>
  <c r="G5" i="8"/>
  <c r="AK5" i="8"/>
  <c r="AC5" i="8"/>
  <c r="W5" i="8"/>
  <c r="Q5" i="8"/>
  <c r="F5" i="8"/>
  <c r="AJ5" i="8"/>
  <c r="V5" i="8"/>
  <c r="P5" i="8"/>
  <c r="E5" i="8"/>
  <c r="O5" i="8"/>
  <c r="D5" i="8"/>
  <c r="N5" i="8"/>
  <c r="M5" i="8"/>
  <c r="AV5" i="8"/>
  <c r="H5" i="8"/>
  <c r="AE5" i="8"/>
  <c r="AQ5" i="8"/>
  <c r="AP5" i="8"/>
  <c r="Q39" i="8"/>
  <c r="AP39" i="8"/>
  <c r="H39" i="8"/>
  <c r="G39" i="8"/>
  <c r="E39" i="8"/>
  <c r="P39" i="8"/>
  <c r="F39" i="8"/>
  <c r="AV39" i="8"/>
  <c r="AQ39" i="8"/>
  <c r="D39" i="8"/>
  <c r="X39" i="8"/>
  <c r="M39" i="8"/>
  <c r="W39" i="8"/>
  <c r="V39" i="8"/>
  <c r="AK39" i="8"/>
  <c r="AJ39" i="8"/>
  <c r="AD39" i="8"/>
  <c r="AE39" i="8"/>
  <c r="AC39" i="8"/>
  <c r="O39" i="8"/>
  <c r="N39" i="8"/>
  <c r="AJ38" i="8"/>
  <c r="M38" i="8"/>
  <c r="AQ38" i="8"/>
  <c r="AV38" i="8"/>
  <c r="H38" i="8"/>
  <c r="F38" i="8"/>
  <c r="AP38" i="8"/>
  <c r="Q38" i="8"/>
  <c r="G38" i="8"/>
  <c r="P38" i="8"/>
  <c r="X38" i="8"/>
  <c r="O38" i="8"/>
  <c r="E38" i="8"/>
  <c r="W38" i="8"/>
  <c r="N38" i="8"/>
  <c r="D38" i="8"/>
  <c r="AE38" i="8"/>
  <c r="AK38" i="8"/>
  <c r="V38" i="8"/>
  <c r="AD38" i="8"/>
  <c r="AC38" i="8"/>
  <c r="AP19" i="8"/>
  <c r="AK19" i="8"/>
  <c r="AE19" i="8"/>
  <c r="AJ19" i="8"/>
  <c r="AD19" i="8"/>
  <c r="X19" i="8"/>
  <c r="V19" i="8"/>
  <c r="AC19" i="8"/>
  <c r="W19" i="8"/>
  <c r="G19" i="8"/>
  <c r="AQ19" i="8"/>
  <c r="N19" i="8"/>
  <c r="H19" i="8"/>
  <c r="AV19" i="8"/>
  <c r="F19" i="8"/>
  <c r="E19" i="8"/>
  <c r="D19" i="8"/>
  <c r="Q19" i="8"/>
  <c r="M19" i="8"/>
  <c r="P19" i="8"/>
  <c r="O19" i="8"/>
  <c r="Q34" i="8"/>
  <c r="AQ34" i="8"/>
  <c r="P34" i="8"/>
  <c r="H34" i="8"/>
  <c r="AE34" i="8"/>
  <c r="AP34" i="8"/>
  <c r="O34" i="8"/>
  <c r="G34" i="8"/>
  <c r="N34" i="8"/>
  <c r="F34" i="8"/>
  <c r="M34" i="8"/>
  <c r="E34" i="8"/>
  <c r="D34" i="8"/>
  <c r="AK34" i="8"/>
  <c r="AV34" i="8"/>
  <c r="W34" i="8"/>
  <c r="AC34" i="8"/>
  <c r="AJ34" i="8"/>
  <c r="X34" i="8"/>
  <c r="V34" i="8"/>
  <c r="AD34" i="8"/>
  <c r="Q18" i="8"/>
  <c r="AQ18" i="8"/>
  <c r="P18" i="8"/>
  <c r="H18" i="8"/>
  <c r="AP18" i="8"/>
  <c r="O18" i="8"/>
  <c r="G18" i="8"/>
  <c r="N18" i="8"/>
  <c r="F18" i="8"/>
  <c r="M18" i="8"/>
  <c r="E18" i="8"/>
  <c r="AE18" i="8"/>
  <c r="D18" i="8"/>
  <c r="AK18" i="8"/>
  <c r="AJ18" i="8"/>
  <c r="X18" i="8"/>
  <c r="AD18" i="8"/>
  <c r="V18" i="8"/>
  <c r="AC18" i="8"/>
  <c r="W18" i="8"/>
  <c r="AV18" i="8"/>
  <c r="AK17" i="8"/>
  <c r="G17" i="8"/>
  <c r="H17" i="8"/>
  <c r="AQ17" i="8"/>
  <c r="AP17" i="8"/>
  <c r="P17" i="8"/>
  <c r="Q17" i="8"/>
  <c r="O17" i="8"/>
  <c r="N17" i="8"/>
  <c r="V17" i="8"/>
  <c r="M17" i="8"/>
  <c r="F17" i="8"/>
  <c r="AJ17" i="8"/>
  <c r="AC17" i="8"/>
  <c r="E17" i="8"/>
  <c r="AE17" i="8"/>
  <c r="D17" i="8"/>
  <c r="W17" i="8"/>
  <c r="AD17" i="8"/>
  <c r="AV17" i="8"/>
  <c r="X17" i="8"/>
  <c r="AC16" i="8"/>
  <c r="W16" i="8"/>
  <c r="E16" i="8"/>
  <c r="V16" i="8"/>
  <c r="D16" i="8"/>
  <c r="AQ16" i="8"/>
  <c r="AP16" i="8"/>
  <c r="Q16" i="8"/>
  <c r="G16" i="8"/>
  <c r="X16" i="8"/>
  <c r="P16" i="8"/>
  <c r="O16" i="8"/>
  <c r="N16" i="8"/>
  <c r="AE16" i="8"/>
  <c r="M16" i="8"/>
  <c r="AD16" i="8"/>
  <c r="AK16" i="8"/>
  <c r="AJ16" i="8"/>
  <c r="H16" i="8"/>
  <c r="F16" i="8"/>
  <c r="AV16" i="8"/>
  <c r="N33" i="8"/>
  <c r="G33" i="8"/>
  <c r="H33" i="8"/>
  <c r="AQ33" i="8"/>
  <c r="AP33" i="8"/>
  <c r="Q33" i="8"/>
  <c r="O33" i="8"/>
  <c r="AK33" i="8"/>
  <c r="P33" i="8"/>
  <c r="AE33" i="8"/>
  <c r="D33" i="8"/>
  <c r="AD33" i="8"/>
  <c r="AV33" i="8"/>
  <c r="AC33" i="8"/>
  <c r="AJ33" i="8"/>
  <c r="X33" i="8"/>
  <c r="V33" i="8"/>
  <c r="M33" i="8"/>
  <c r="F33" i="8"/>
  <c r="W33" i="8"/>
  <c r="E33" i="8"/>
  <c r="AC32" i="8"/>
  <c r="W32" i="8"/>
  <c r="E32" i="8"/>
  <c r="V32" i="8"/>
  <c r="D32" i="8"/>
  <c r="AQ32" i="8"/>
  <c r="AP32" i="8"/>
  <c r="AV32" i="8"/>
  <c r="N32" i="8"/>
  <c r="M32" i="8"/>
  <c r="H32" i="8"/>
  <c r="X32" i="8"/>
  <c r="AE32" i="8"/>
  <c r="G32" i="8"/>
  <c r="F32" i="8"/>
  <c r="AJ32" i="8"/>
  <c r="O32" i="8"/>
  <c r="AD32" i="8"/>
  <c r="P32" i="8"/>
  <c r="AK32" i="8"/>
  <c r="Q32" i="8"/>
  <c r="P31" i="8"/>
  <c r="AP31" i="8"/>
  <c r="AE31" i="8"/>
  <c r="O31" i="8"/>
  <c r="AD31" i="8"/>
  <c r="X31" i="8"/>
  <c r="N31" i="8"/>
  <c r="AC31" i="8"/>
  <c r="W31" i="8"/>
  <c r="M31" i="8"/>
  <c r="H31" i="8"/>
  <c r="V31" i="8"/>
  <c r="G31" i="8"/>
  <c r="F31" i="8"/>
  <c r="E31" i="8"/>
  <c r="D31" i="8"/>
  <c r="AQ31" i="8"/>
  <c r="Q31" i="8"/>
  <c r="AV31" i="8"/>
  <c r="AJ31" i="8"/>
  <c r="AK31" i="8"/>
  <c r="P15" i="8"/>
  <c r="D15" i="8"/>
  <c r="AE15" i="8"/>
  <c r="O15" i="8"/>
  <c r="AD15" i="8"/>
  <c r="X15" i="8"/>
  <c r="N15" i="8"/>
  <c r="AP15" i="8"/>
  <c r="AC15" i="8"/>
  <c r="W15" i="8"/>
  <c r="M15" i="8"/>
  <c r="H15" i="8"/>
  <c r="V15" i="8"/>
  <c r="G15" i="8"/>
  <c r="F15" i="8"/>
  <c r="E15" i="8"/>
  <c r="AQ15" i="8"/>
  <c r="Q15" i="8"/>
  <c r="AK15" i="8"/>
  <c r="AJ15" i="8"/>
  <c r="AV15" i="8"/>
  <c r="AJ22" i="8"/>
  <c r="M22" i="8"/>
  <c r="AQ22" i="8"/>
  <c r="AV22" i="8"/>
  <c r="AD22" i="8"/>
  <c r="F22" i="8"/>
  <c r="AC22" i="8"/>
  <c r="AK22" i="8"/>
  <c r="Q22" i="8"/>
  <c r="N22" i="8"/>
  <c r="V22" i="8"/>
  <c r="W22" i="8"/>
  <c r="P22" i="8"/>
  <c r="O22" i="8"/>
  <c r="G22" i="8"/>
  <c r="X22" i="8"/>
  <c r="E22" i="8"/>
  <c r="D22" i="8"/>
  <c r="AE22" i="8"/>
  <c r="H22" i="8"/>
  <c r="AP22" i="8"/>
  <c r="G20" i="8"/>
  <c r="F20" i="8"/>
  <c r="AV20" i="8"/>
  <c r="O20" i="8"/>
  <c r="AE20" i="8"/>
  <c r="AK20" i="8"/>
  <c r="AD20" i="8"/>
  <c r="X20" i="8"/>
  <c r="AJ20" i="8"/>
  <c r="AC20" i="8"/>
  <c r="W20" i="8"/>
  <c r="V20" i="8"/>
  <c r="H20" i="8"/>
  <c r="Q20" i="8"/>
  <c r="P20" i="8"/>
  <c r="E20" i="8"/>
  <c r="AQ20" i="8"/>
  <c r="D20" i="8"/>
  <c r="AP20" i="8"/>
  <c r="N20" i="8"/>
  <c r="M20" i="8"/>
  <c r="AV45" i="8"/>
  <c r="H45" i="8"/>
  <c r="AK45" i="8"/>
  <c r="G45" i="8"/>
  <c r="F45" i="8"/>
  <c r="AD45" i="8"/>
  <c r="X45" i="8"/>
  <c r="AJ45" i="8"/>
  <c r="E45" i="8"/>
  <c r="D45" i="8"/>
  <c r="AE45" i="8"/>
  <c r="AC45" i="8"/>
  <c r="Q45" i="8"/>
  <c r="W45" i="8"/>
  <c r="P45" i="8"/>
  <c r="O45" i="8"/>
  <c r="N45" i="8"/>
  <c r="M45" i="8"/>
  <c r="AQ45" i="8"/>
  <c r="V45" i="8"/>
  <c r="AP45" i="8"/>
  <c r="AV29" i="8"/>
  <c r="G29" i="8"/>
  <c r="AK29" i="8"/>
  <c r="F29" i="8"/>
  <c r="AJ29" i="8"/>
  <c r="E29" i="8"/>
  <c r="D29" i="8"/>
  <c r="AD29" i="8"/>
  <c r="AE29" i="8"/>
  <c r="X29" i="8"/>
  <c r="O29" i="8"/>
  <c r="M29" i="8"/>
  <c r="Q29" i="8"/>
  <c r="P29" i="8"/>
  <c r="AP29" i="8"/>
  <c r="AC29" i="8"/>
  <c r="N29" i="8"/>
  <c r="AQ29" i="8"/>
  <c r="H29" i="8"/>
  <c r="W29" i="8"/>
  <c r="V29" i="8"/>
  <c r="AV13" i="8"/>
  <c r="G13" i="8"/>
  <c r="AD13" i="8"/>
  <c r="AK13" i="8"/>
  <c r="F13" i="8"/>
  <c r="D13" i="8"/>
  <c r="X13" i="8"/>
  <c r="AJ13" i="8"/>
  <c r="E13" i="8"/>
  <c r="AE13" i="8"/>
  <c r="W13" i="8"/>
  <c r="H13" i="8"/>
  <c r="Q13" i="8"/>
  <c r="V13" i="8"/>
  <c r="M13" i="8"/>
  <c r="AQ13" i="8"/>
  <c r="P13" i="8"/>
  <c r="AP13" i="8"/>
  <c r="N13" i="8"/>
  <c r="O13" i="8"/>
  <c r="AC13" i="8"/>
  <c r="H7" i="8"/>
  <c r="E7" i="8"/>
  <c r="Q7" i="8"/>
  <c r="G7" i="8"/>
  <c r="D7" i="8"/>
  <c r="AP7" i="8"/>
  <c r="P7" i="8"/>
  <c r="F7" i="8"/>
  <c r="AV7" i="8"/>
  <c r="AQ7" i="8"/>
  <c r="M7" i="8"/>
  <c r="AJ7" i="8"/>
  <c r="AE7" i="8"/>
  <c r="N7" i="8"/>
  <c r="AD7" i="8"/>
  <c r="AC7" i="8"/>
  <c r="O7" i="8"/>
  <c r="X7" i="8"/>
  <c r="W7" i="8"/>
  <c r="V7" i="8"/>
  <c r="AK7" i="8"/>
  <c r="O36" i="8"/>
  <c r="AE36" i="8"/>
  <c r="P36" i="8"/>
  <c r="AK36" i="8"/>
  <c r="AD36" i="8"/>
  <c r="X36" i="8"/>
  <c r="AJ36" i="8"/>
  <c r="AC36" i="8"/>
  <c r="W36" i="8"/>
  <c r="F36" i="8"/>
  <c r="V36" i="8"/>
  <c r="H36" i="8"/>
  <c r="E36" i="8"/>
  <c r="AV36" i="8"/>
  <c r="Q36" i="8"/>
  <c r="G36" i="8"/>
  <c r="M36" i="8"/>
  <c r="N36" i="8"/>
  <c r="D36" i="8"/>
  <c r="AQ36" i="8"/>
  <c r="AP36" i="8"/>
  <c r="AJ14" i="8"/>
  <c r="O14" i="8"/>
  <c r="N14" i="8"/>
  <c r="AE14" i="8"/>
  <c r="Q14" i="8"/>
  <c r="AD14" i="8"/>
  <c r="X14" i="8"/>
  <c r="P14" i="8"/>
  <c r="AC14" i="8"/>
  <c r="W14" i="8"/>
  <c r="V14" i="8"/>
  <c r="M14" i="8"/>
  <c r="AQ14" i="8"/>
  <c r="G14" i="8"/>
  <c r="F14" i="8"/>
  <c r="AK14" i="8"/>
  <c r="E14" i="8"/>
  <c r="AP14" i="8"/>
  <c r="D14" i="8"/>
  <c r="H14" i="8"/>
  <c r="AV14" i="8"/>
  <c r="O44" i="8"/>
  <c r="AV44" i="8"/>
  <c r="N44" i="8"/>
  <c r="M44" i="8"/>
  <c r="AK44" i="8"/>
  <c r="AJ44" i="8"/>
  <c r="H44" i="8"/>
  <c r="G44" i="8"/>
  <c r="E44" i="8"/>
  <c r="F44" i="8"/>
  <c r="AE44" i="8"/>
  <c r="D44" i="8"/>
  <c r="Q44" i="8"/>
  <c r="AD44" i="8"/>
  <c r="X44" i="8"/>
  <c r="W44" i="8"/>
  <c r="AC44" i="8"/>
  <c r="P44" i="8"/>
  <c r="AQ44" i="8"/>
  <c r="V44" i="8"/>
  <c r="AP44" i="8"/>
  <c r="O28" i="8"/>
  <c r="F28" i="8"/>
  <c r="AV28" i="8"/>
  <c r="N28" i="8"/>
  <c r="G28" i="8"/>
  <c r="M28" i="8"/>
  <c r="AK28" i="8"/>
  <c r="AJ28" i="8"/>
  <c r="H28" i="8"/>
  <c r="E28" i="8"/>
  <c r="W28" i="8"/>
  <c r="AD28" i="8"/>
  <c r="V28" i="8"/>
  <c r="P28" i="8"/>
  <c r="AC28" i="8"/>
  <c r="Q28" i="8"/>
  <c r="AP28" i="8"/>
  <c r="AE28" i="8"/>
  <c r="D28" i="8"/>
  <c r="X28" i="8"/>
  <c r="AQ28" i="8"/>
  <c r="O12" i="8"/>
  <c r="AV12" i="8"/>
  <c r="N12" i="8"/>
  <c r="M12" i="8"/>
  <c r="E12" i="8"/>
  <c r="AK12" i="8"/>
  <c r="G12" i="8"/>
  <c r="F12" i="8"/>
  <c r="AJ12" i="8"/>
  <c r="H12" i="8"/>
  <c r="V12" i="8"/>
  <c r="Q12" i="8"/>
  <c r="X12" i="8"/>
  <c r="AC12" i="8"/>
  <c r="W12" i="8"/>
  <c r="AQ12" i="8"/>
  <c r="D12" i="8"/>
  <c r="AP12" i="8"/>
  <c r="AE12" i="8"/>
  <c r="AD12" i="8"/>
  <c r="P12" i="8"/>
  <c r="O4" i="8"/>
  <c r="Q4" i="8"/>
  <c r="AE4" i="8"/>
  <c r="AV4" i="8"/>
  <c r="AK4" i="8"/>
  <c r="AD4" i="8"/>
  <c r="X4" i="8"/>
  <c r="AJ4" i="8"/>
  <c r="AC4" i="8"/>
  <c r="W4" i="8"/>
  <c r="V4" i="8"/>
  <c r="H4" i="8"/>
  <c r="G4" i="8"/>
  <c r="P4" i="8"/>
  <c r="F4" i="8"/>
  <c r="E4" i="8"/>
  <c r="N4" i="8"/>
  <c r="AQ4" i="8"/>
  <c r="D4" i="8"/>
  <c r="M4" i="8"/>
  <c r="AP4" i="8"/>
  <c r="AP35" i="8"/>
  <c r="V35" i="8"/>
  <c r="AK35" i="8"/>
  <c r="AE35" i="8"/>
  <c r="AJ35" i="8"/>
  <c r="AD35" i="8"/>
  <c r="X35" i="8"/>
  <c r="AC35" i="8"/>
  <c r="W35" i="8"/>
  <c r="AV35" i="8"/>
  <c r="G35" i="8"/>
  <c r="P35" i="8"/>
  <c r="Q35" i="8"/>
  <c r="E35" i="8"/>
  <c r="AQ35" i="8"/>
  <c r="O35" i="8"/>
  <c r="F35" i="8"/>
  <c r="D35" i="8"/>
  <c r="M35" i="8"/>
  <c r="H35" i="8"/>
  <c r="N35" i="8"/>
  <c r="AJ30" i="8"/>
  <c r="N30" i="8"/>
  <c r="AE30" i="8"/>
  <c r="Q30" i="8"/>
  <c r="AQ30" i="8"/>
  <c r="AD30" i="8"/>
  <c r="X30" i="8"/>
  <c r="P30" i="8"/>
  <c r="AC30" i="8"/>
  <c r="W30" i="8"/>
  <c r="O30" i="8"/>
  <c r="V30" i="8"/>
  <c r="M30" i="8"/>
  <c r="G30" i="8"/>
  <c r="D30" i="8"/>
  <c r="AV30" i="8"/>
  <c r="H30" i="8"/>
  <c r="F30" i="8"/>
  <c r="AK30" i="8"/>
  <c r="AP30" i="8"/>
  <c r="E30" i="8"/>
  <c r="AP43" i="8"/>
  <c r="V43" i="8"/>
  <c r="AV43" i="8"/>
  <c r="Q43" i="8"/>
  <c r="P43" i="8"/>
  <c r="AK43" i="8"/>
  <c r="O43" i="8"/>
  <c r="AJ43" i="8"/>
  <c r="N43" i="8"/>
  <c r="M43" i="8"/>
  <c r="AQ43" i="8"/>
  <c r="E43" i="8"/>
  <c r="H43" i="8"/>
  <c r="G43" i="8"/>
  <c r="AE43" i="8"/>
  <c r="F43" i="8"/>
  <c r="D43" i="8"/>
  <c r="AD43" i="8"/>
  <c r="AC43" i="8"/>
  <c r="X43" i="8"/>
  <c r="W43" i="8"/>
  <c r="AE42" i="8"/>
  <c r="AQ42" i="8"/>
  <c r="AD42" i="8"/>
  <c r="X42" i="8"/>
  <c r="H42" i="8"/>
  <c r="AP42" i="8"/>
  <c r="AC42" i="8"/>
  <c r="W42" i="8"/>
  <c r="G42" i="8"/>
  <c r="AV42" i="8"/>
  <c r="V42" i="8"/>
  <c r="F42" i="8"/>
  <c r="E42" i="8"/>
  <c r="D42" i="8"/>
  <c r="Q42" i="8"/>
  <c r="AK42" i="8"/>
  <c r="AJ42" i="8"/>
  <c r="O42" i="8"/>
  <c r="M42" i="8"/>
  <c r="N42" i="8"/>
  <c r="P42" i="8"/>
  <c r="AE26" i="8"/>
  <c r="AQ26" i="8"/>
  <c r="AD26" i="8"/>
  <c r="X26" i="8"/>
  <c r="H26" i="8"/>
  <c r="AP26" i="8"/>
  <c r="AC26" i="8"/>
  <c r="W26" i="8"/>
  <c r="G26" i="8"/>
  <c r="Q26" i="8"/>
  <c r="AV26" i="8"/>
  <c r="V26" i="8"/>
  <c r="F26" i="8"/>
  <c r="E26" i="8"/>
  <c r="D26" i="8"/>
  <c r="AJ26" i="8"/>
  <c r="AK26" i="8"/>
  <c r="N26" i="8"/>
  <c r="P26" i="8"/>
  <c r="O26" i="8"/>
  <c r="M26" i="8"/>
  <c r="AE10" i="8"/>
  <c r="AQ10" i="8"/>
  <c r="AD10" i="8"/>
  <c r="X10" i="8"/>
  <c r="H10" i="8"/>
  <c r="AP10" i="8"/>
  <c r="AC10" i="8"/>
  <c r="W10" i="8"/>
  <c r="G10" i="8"/>
  <c r="F10" i="8"/>
  <c r="AV10" i="8"/>
  <c r="V10" i="8"/>
  <c r="E10" i="8"/>
  <c r="D10" i="8"/>
  <c r="Q10" i="8"/>
  <c r="AK10" i="8"/>
  <c r="AJ10" i="8"/>
  <c r="M10" i="8"/>
  <c r="N10" i="8"/>
  <c r="O10" i="8"/>
  <c r="P10" i="8"/>
  <c r="AJ6" i="8"/>
  <c r="M6" i="8"/>
  <c r="AQ6" i="8"/>
  <c r="AV6" i="8"/>
  <c r="H6" i="8"/>
  <c r="G6" i="8"/>
  <c r="E6" i="8"/>
  <c r="P6" i="8"/>
  <c r="O6" i="8"/>
  <c r="AE6" i="8"/>
  <c r="F6" i="8"/>
  <c r="W6" i="8"/>
  <c r="AD6" i="8"/>
  <c r="Q6" i="8"/>
  <c r="AC6" i="8"/>
  <c r="D6" i="8"/>
  <c r="AP6" i="8"/>
  <c r="X6" i="8"/>
  <c r="N6" i="8"/>
  <c r="V6" i="8"/>
  <c r="AK6" i="8"/>
  <c r="AP27" i="8"/>
  <c r="V27" i="8"/>
  <c r="AV27" i="8"/>
  <c r="Q27" i="8"/>
  <c r="M27" i="8"/>
  <c r="P27" i="8"/>
  <c r="AK27" i="8"/>
  <c r="O27" i="8"/>
  <c r="AJ27" i="8"/>
  <c r="N27" i="8"/>
  <c r="F27" i="8"/>
  <c r="AD27" i="8"/>
  <c r="E27" i="8"/>
  <c r="D27" i="8"/>
  <c r="X27" i="8"/>
  <c r="AE27" i="8"/>
  <c r="W27" i="8"/>
  <c r="AQ27" i="8"/>
  <c r="H27" i="8"/>
  <c r="G27" i="8"/>
  <c r="AC27" i="8"/>
  <c r="N41" i="8"/>
  <c r="H41" i="8"/>
  <c r="M41" i="8"/>
  <c r="G41" i="8"/>
  <c r="AQ41" i="8"/>
  <c r="AE41" i="8"/>
  <c r="AV41" i="8"/>
  <c r="AP41" i="8"/>
  <c r="AD41" i="8"/>
  <c r="X41" i="8"/>
  <c r="AC41" i="8"/>
  <c r="W41" i="8"/>
  <c r="V41" i="8"/>
  <c r="AJ41" i="8"/>
  <c r="E41" i="8"/>
  <c r="F41" i="8"/>
  <c r="AK41" i="8"/>
  <c r="D41" i="8"/>
  <c r="Q41" i="8"/>
  <c r="O41" i="8"/>
  <c r="P41" i="8"/>
  <c r="N25" i="8"/>
  <c r="M25" i="8"/>
  <c r="H25" i="8"/>
  <c r="AQ25" i="8"/>
  <c r="AE25" i="8"/>
  <c r="AV25" i="8"/>
  <c r="AP25" i="8"/>
  <c r="AD25" i="8"/>
  <c r="X25" i="8"/>
  <c r="AC25" i="8"/>
  <c r="W25" i="8"/>
  <c r="V25" i="8"/>
  <c r="G25" i="8"/>
  <c r="O25" i="8"/>
  <c r="Q25" i="8"/>
  <c r="E25" i="8"/>
  <c r="F25" i="8"/>
  <c r="D25" i="8"/>
  <c r="AJ25" i="8"/>
  <c r="P25" i="8"/>
  <c r="AK25" i="8"/>
  <c r="N9" i="8"/>
  <c r="G9" i="8"/>
  <c r="M9" i="8"/>
  <c r="AK9" i="8"/>
  <c r="AQ9" i="8"/>
  <c r="AE9" i="8"/>
  <c r="AV9" i="8"/>
  <c r="AP9" i="8"/>
  <c r="AD9" i="8"/>
  <c r="X9" i="8"/>
  <c r="AC9" i="8"/>
  <c r="W9" i="8"/>
  <c r="V9" i="8"/>
  <c r="H9" i="8"/>
  <c r="P9" i="8"/>
  <c r="E9" i="8"/>
  <c r="Q9" i="8"/>
  <c r="O9" i="8"/>
  <c r="D9" i="8"/>
  <c r="AJ9" i="8"/>
  <c r="F9" i="8"/>
  <c r="AP11" i="8"/>
  <c r="V11" i="8"/>
  <c r="AV11" i="8"/>
  <c r="M11" i="8"/>
  <c r="Q11" i="8"/>
  <c r="P11" i="8"/>
  <c r="AK11" i="8"/>
  <c r="O11" i="8"/>
  <c r="AJ11" i="8"/>
  <c r="N11" i="8"/>
  <c r="AC11" i="8"/>
  <c r="X11" i="8"/>
  <c r="H11" i="8"/>
  <c r="W11" i="8"/>
  <c r="AE11" i="8"/>
  <c r="D11" i="8"/>
  <c r="G11" i="8"/>
  <c r="F11" i="8"/>
  <c r="AD11" i="8"/>
  <c r="AQ11" i="8"/>
  <c r="E11" i="8"/>
  <c r="E40" i="8"/>
  <c r="AC40" i="8"/>
  <c r="D40" i="8"/>
  <c r="Q40" i="8"/>
  <c r="P40" i="8"/>
  <c r="O40" i="8"/>
  <c r="AV40" i="8"/>
  <c r="AQ40" i="8"/>
  <c r="N40" i="8"/>
  <c r="W40" i="8"/>
  <c r="AP40" i="8"/>
  <c r="AE40" i="8"/>
  <c r="M40" i="8"/>
  <c r="AD40" i="8"/>
  <c r="X40" i="8"/>
  <c r="V40" i="8"/>
  <c r="AK40" i="8"/>
  <c r="AJ40" i="8"/>
  <c r="H40" i="8"/>
  <c r="F40" i="8"/>
  <c r="G40" i="8"/>
  <c r="E24" i="8"/>
  <c r="D24" i="8"/>
  <c r="Q24" i="8"/>
  <c r="AC24" i="8"/>
  <c r="W24" i="8"/>
  <c r="P24" i="8"/>
  <c r="O24" i="8"/>
  <c r="AV24" i="8"/>
  <c r="AQ24" i="8"/>
  <c r="N24" i="8"/>
  <c r="M24" i="8"/>
  <c r="AP24" i="8"/>
  <c r="AE24" i="8"/>
  <c r="AD24" i="8"/>
  <c r="X24" i="8"/>
  <c r="AJ24" i="8"/>
  <c r="G24" i="8"/>
  <c r="V24" i="8"/>
  <c r="H24" i="8"/>
  <c r="F24" i="8"/>
  <c r="AK24" i="8"/>
  <c r="E8" i="8"/>
  <c r="D8" i="8"/>
  <c r="Q8" i="8"/>
  <c r="M8" i="8"/>
  <c r="W8" i="8"/>
  <c r="P8" i="8"/>
  <c r="O8" i="8"/>
  <c r="AV8" i="8"/>
  <c r="AQ8" i="8"/>
  <c r="N8" i="8"/>
  <c r="AP8" i="8"/>
  <c r="AE8" i="8"/>
  <c r="AD8" i="8"/>
  <c r="X8" i="8"/>
  <c r="AC8" i="8"/>
  <c r="G8" i="8"/>
  <c r="V8" i="8"/>
  <c r="AK8" i="8"/>
  <c r="AJ8" i="8"/>
  <c r="H8" i="8"/>
  <c r="F8" i="8"/>
  <c r="AB28" i="2"/>
  <c r="AN28" i="2" s="1"/>
  <c r="K28" i="2"/>
  <c r="Q28" i="2" l="1"/>
  <c r="P28" i="2"/>
  <c r="O28" i="2"/>
  <c r="V28" i="2"/>
  <c r="U28" i="2"/>
  <c r="X28" i="2"/>
  <c r="T28" i="2"/>
  <c r="N28" i="2"/>
  <c r="AM28" i="2"/>
  <c r="G28" i="2" s="1"/>
  <c r="AH28" i="2"/>
  <c r="AF28" i="2"/>
  <c r="L28" i="2"/>
  <c r="AG28" i="2"/>
  <c r="Y28" i="2"/>
  <c r="H28" i="2" s="1"/>
  <c r="AK28" i="2"/>
  <c r="AI28" i="2"/>
  <c r="AC28" i="2"/>
  <c r="S28" i="2"/>
  <c r="R28" i="2"/>
  <c r="C28" i="2" l="1"/>
  <c r="AJ28" i="2"/>
  <c r="AD28" i="2" s="1"/>
  <c r="E28" i="2"/>
  <c r="M28" i="2"/>
  <c r="D28" i="2" s="1"/>
  <c r="K40" i="2"/>
  <c r="N36" i="1"/>
  <c r="C35" i="2"/>
  <c r="C36" i="2"/>
  <c r="K36" i="2"/>
  <c r="Y44" i="2"/>
  <c r="X44" i="2"/>
  <c r="U44" i="2"/>
  <c r="M44" i="2" s="1"/>
  <c r="Q44" i="2" s="1"/>
  <c r="Y47" i="2"/>
  <c r="X47" i="2"/>
  <c r="M47" i="2"/>
  <c r="Q47" i="2" s="1"/>
  <c r="X26" i="2"/>
  <c r="Y26" i="2"/>
  <c r="U26" i="2"/>
  <c r="M26" i="2" s="1"/>
  <c r="Q26" i="2" s="1"/>
  <c r="N36" i="2" l="1"/>
  <c r="O36" i="2"/>
  <c r="P36" i="2"/>
  <c r="V40" i="2"/>
  <c r="P40" i="2"/>
  <c r="O40" i="2"/>
  <c r="U40" i="2"/>
  <c r="T40" i="2"/>
  <c r="S40" i="2"/>
  <c r="S36" i="2"/>
  <c r="R40" i="2"/>
  <c r="Q40" i="2"/>
  <c r="N40" i="2"/>
  <c r="L40" i="2"/>
  <c r="Y40" i="2"/>
  <c r="X40" i="2"/>
  <c r="Y36" i="2"/>
  <c r="H36" i="2" s="1"/>
  <c r="U36" i="2"/>
  <c r="Q36" i="2"/>
  <c r="V36" i="2"/>
  <c r="E36" i="2" s="1"/>
  <c r="R36" i="2"/>
  <c r="X36" i="2"/>
  <c r="G36" i="2" s="1"/>
  <c r="T36" i="2"/>
  <c r="M40" i="2" l="1"/>
  <c r="M36" i="2"/>
  <c r="D36" i="2" s="1"/>
  <c r="AS3" i="8" l="1"/>
  <c r="E48" i="2"/>
  <c r="E31" i="2"/>
  <c r="E10" i="2"/>
  <c r="K46" i="2" l="1"/>
  <c r="U46" i="2" l="1"/>
  <c r="P46" i="2"/>
  <c r="O46" i="2"/>
  <c r="R46" i="2"/>
  <c r="V46" i="2"/>
  <c r="E46" i="2" s="1"/>
  <c r="L46" i="2"/>
  <c r="C46" i="2" s="1"/>
  <c r="S46" i="2"/>
  <c r="X46" i="2"/>
  <c r="G46" i="2" s="1"/>
  <c r="N46" i="2"/>
  <c r="T46" i="2"/>
  <c r="Y46" i="2"/>
  <c r="H46" i="2" s="1"/>
  <c r="Q46" i="2"/>
  <c r="N45" i="1" l="1"/>
  <c r="M46" i="2"/>
  <c r="D46" i="2" s="1"/>
  <c r="C48" i="2"/>
  <c r="D48" i="2"/>
  <c r="AM3" i="8"/>
  <c r="AG3" i="8"/>
  <c r="Z3" i="8"/>
  <c r="S3" i="8"/>
  <c r="A3" i="8"/>
  <c r="J3" i="8"/>
  <c r="C34" i="2"/>
  <c r="K35" i="2"/>
  <c r="K34" i="2"/>
  <c r="V34" i="2" s="1"/>
  <c r="E34" i="2" s="1"/>
  <c r="AP3" i="8" l="1"/>
  <c r="V3" i="8"/>
  <c r="AK3" i="8"/>
  <c r="AE3" i="8"/>
  <c r="AJ3" i="8"/>
  <c r="AD3" i="8"/>
  <c r="X3" i="8"/>
  <c r="AC3" i="8"/>
  <c r="W3" i="8"/>
  <c r="N3" i="8"/>
  <c r="E3" i="8"/>
  <c r="D3" i="8"/>
  <c r="F3" i="8"/>
  <c r="M3" i="8"/>
  <c r="Q3" i="8"/>
  <c r="AV3" i="8"/>
  <c r="AQ3" i="8"/>
  <c r="O3" i="8"/>
  <c r="G3" i="8"/>
  <c r="H3" i="8"/>
  <c r="P3" i="8"/>
  <c r="R35" i="2"/>
  <c r="P35" i="2"/>
  <c r="O35" i="2"/>
  <c r="S34" i="2"/>
  <c r="X34" i="2"/>
  <c r="G34" i="2" s="1"/>
  <c r="U35" i="2"/>
  <c r="Q35" i="2"/>
  <c r="Y35" i="2"/>
  <c r="H35" i="2" s="1"/>
  <c r="T35" i="2"/>
  <c r="N35" i="2"/>
  <c r="X35" i="2"/>
  <c r="S35" i="2"/>
  <c r="V35" i="2"/>
  <c r="Y34" i="2"/>
  <c r="H34" i="2" s="1"/>
  <c r="N34" i="2"/>
  <c r="T34" i="2"/>
  <c r="Q34" i="2"/>
  <c r="U34" i="2"/>
  <c r="E35" i="2" l="1"/>
  <c r="G35" i="2"/>
  <c r="M35" i="2"/>
  <c r="M34" i="2"/>
  <c r="D34" i="2" s="1"/>
  <c r="D35" i="2" l="1"/>
  <c r="U19" i="2"/>
  <c r="M19" i="2" s="1"/>
  <c r="AE47" i="2"/>
  <c r="Q22" i="2" l="1"/>
  <c r="M22" i="2"/>
  <c r="AB16" i="2"/>
  <c r="AI16" i="2" s="1"/>
  <c r="AG16" i="2" l="1"/>
  <c r="AF16" i="2"/>
  <c r="AK16" i="2"/>
  <c r="AM16" i="2"/>
  <c r="AH16" i="2"/>
  <c r="AN16" i="2"/>
  <c r="AC16" i="2"/>
  <c r="K12" i="6"/>
  <c r="AJ16" i="2" l="1"/>
  <c r="AD16" i="2" s="1"/>
  <c r="Q19" i="2"/>
  <c r="Q11" i="2"/>
  <c r="Q10" i="2"/>
  <c r="Q9" i="2"/>
  <c r="Q8" i="2"/>
  <c r="Q7" i="2"/>
  <c r="Q6" i="2"/>
  <c r="C21" i="2" l="1"/>
  <c r="C20" i="2"/>
  <c r="C19" i="2"/>
  <c r="C18" i="2"/>
  <c r="C13" i="2"/>
  <c r="C14" i="2"/>
  <c r="C15" i="2"/>
  <c r="C16" i="2"/>
  <c r="C17" i="2"/>
  <c r="C12" i="2"/>
  <c r="Y10" i="2" l="1"/>
  <c r="X10" i="2"/>
  <c r="G10" i="2" s="1"/>
  <c r="Y9" i="2"/>
  <c r="H9" i="2" s="1"/>
  <c r="X9" i="2"/>
  <c r="G9" i="2" s="1"/>
  <c r="Y7" i="2"/>
  <c r="H7" i="2" s="1"/>
  <c r="X7" i="2"/>
  <c r="X11" i="2" s="1"/>
  <c r="G11" i="2" s="1"/>
  <c r="Y8" i="2"/>
  <c r="H8" i="2" s="1"/>
  <c r="X8" i="2"/>
  <c r="G8" i="2" s="1"/>
  <c r="V8" i="2"/>
  <c r="E8" i="2" s="1"/>
  <c r="S8" i="2"/>
  <c r="R8" i="2"/>
  <c r="N8" i="2"/>
  <c r="Y6" i="2"/>
  <c r="H6" i="2" s="1"/>
  <c r="X6" i="2"/>
  <c r="G6" i="2" s="1"/>
  <c r="V6" i="2"/>
  <c r="E6" i="2" s="1"/>
  <c r="H10" i="2"/>
  <c r="AN39" i="2"/>
  <c r="AM39" i="2"/>
  <c r="Y33" i="2"/>
  <c r="X33" i="2"/>
  <c r="Y31" i="2"/>
  <c r="H31" i="2" s="1"/>
  <c r="X31" i="2"/>
  <c r="G31" i="2" s="1"/>
  <c r="Y19" i="2"/>
  <c r="X19" i="2"/>
  <c r="AL3" i="2"/>
  <c r="AL28" i="2" s="1"/>
  <c r="W3" i="2"/>
  <c r="W22" i="2" s="1"/>
  <c r="W8" i="2" l="1"/>
  <c r="W44" i="2"/>
  <c r="W26" i="2"/>
  <c r="W47" i="2"/>
  <c r="W28" i="2"/>
  <c r="F28" i="2" s="1"/>
  <c r="W40" i="2"/>
  <c r="W36" i="2"/>
  <c r="F36" i="2" s="1"/>
  <c r="W46" i="2"/>
  <c r="F46" i="2" s="1"/>
  <c r="W10" i="2"/>
  <c r="F10" i="2" s="1"/>
  <c r="G7" i="2"/>
  <c r="AL39" i="2"/>
  <c r="AL16" i="2"/>
  <c r="F8" i="2"/>
  <c r="W19" i="2"/>
  <c r="W35" i="2"/>
  <c r="W34" i="2"/>
  <c r="F34" i="2" s="1"/>
  <c r="W33" i="2"/>
  <c r="W31" i="2"/>
  <c r="F31" i="2" s="1"/>
  <c r="Y11" i="2"/>
  <c r="H11" i="2" s="1"/>
  <c r="F35" i="2" l="1"/>
  <c r="AB40" i="2"/>
  <c r="AJ39" i="2"/>
  <c r="D22" i="2"/>
  <c r="C11" i="2"/>
  <c r="C10" i="2"/>
  <c r="C9" i="2"/>
  <c r="C8" i="2"/>
  <c r="C7" i="2"/>
  <c r="C6" i="2"/>
  <c r="AD39" i="2"/>
  <c r="U31" i="2"/>
  <c r="M31" i="2" s="1"/>
  <c r="D31" i="2" s="1"/>
  <c r="D19" i="2"/>
  <c r="R6" i="2"/>
  <c r="V7" i="2"/>
  <c r="E7" i="2" s="1"/>
  <c r="V9" i="2"/>
  <c r="E9" i="2" s="1"/>
  <c r="R9" i="2"/>
  <c r="N9" i="2"/>
  <c r="N7" i="2"/>
  <c r="V11" i="2"/>
  <c r="E11" i="2" s="1"/>
  <c r="N11" i="2"/>
  <c r="R11" i="2"/>
  <c r="W11" i="2" s="1"/>
  <c r="F11" i="2" s="1"/>
  <c r="U10" i="2"/>
  <c r="M10" i="2" s="1"/>
  <c r="D10" i="2" s="1"/>
  <c r="W9" i="2" l="1"/>
  <c r="F9" i="2" s="1"/>
  <c r="N34" i="1"/>
  <c r="N35" i="1"/>
  <c r="N5" i="1"/>
  <c r="W6" i="2"/>
  <c r="F6" i="2" s="1"/>
  <c r="U6" i="2"/>
  <c r="AG40" i="2"/>
  <c r="AN40" i="2"/>
  <c r="H40" i="2" s="1"/>
  <c r="AM40" i="2"/>
  <c r="G40" i="2" s="1"/>
  <c r="U11" i="2"/>
  <c r="M11" i="2" s="1"/>
  <c r="D11" i="2" s="1"/>
  <c r="AH40" i="2"/>
  <c r="AL40" i="2" s="1"/>
  <c r="F40" i="2" s="1"/>
  <c r="AF40" i="2"/>
  <c r="AK40" i="2"/>
  <c r="E40" i="2" s="1"/>
  <c r="AC40" i="2"/>
  <c r="AI40" i="2"/>
  <c r="U8" i="2"/>
  <c r="M8" i="2" s="1"/>
  <c r="D8" i="2" s="1"/>
  <c r="U9" i="2"/>
  <c r="M9" i="2" s="1"/>
  <c r="D9" i="2" s="1"/>
  <c r="AJ40" i="2" l="1"/>
  <c r="AD40" i="2" s="1"/>
  <c r="D40" i="2" s="1"/>
  <c r="M6" i="2"/>
  <c r="D6" i="2" s="1"/>
  <c r="R7" i="2" l="1"/>
  <c r="W7" i="2" s="1"/>
  <c r="F7" i="2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U7" i="2" l="1"/>
  <c r="M7" i="2" s="1"/>
  <c r="D7" i="2" l="1"/>
  <c r="Q111" i="1"/>
  <c r="Q110" i="1"/>
  <c r="Q109" i="1"/>
  <c r="Q108" i="1"/>
  <c r="Q107" i="1"/>
  <c r="P109" i="1"/>
  <c r="P108" i="1"/>
  <c r="P107" i="1"/>
  <c r="O111" i="1"/>
  <c r="O110" i="1"/>
  <c r="O109" i="1"/>
  <c r="O108" i="1"/>
  <c r="O107" i="1"/>
  <c r="N111" i="1"/>
  <c r="N110" i="1"/>
  <c r="N108" i="1"/>
  <c r="N107" i="1"/>
  <c r="E108" i="1"/>
  <c r="E107" i="1"/>
  <c r="B107" i="1"/>
  <c r="A111" i="1"/>
  <c r="A110" i="1"/>
  <c r="A109" i="1"/>
  <c r="A108" i="1"/>
  <c r="M111" i="1"/>
  <c r="M110" i="1"/>
  <c r="M109" i="1"/>
  <c r="M108" i="1"/>
  <c r="M107" i="1"/>
  <c r="A107" i="1"/>
  <c r="Q104" i="1"/>
  <c r="Q103" i="1"/>
  <c r="Q102" i="1"/>
  <c r="Q101" i="1"/>
  <c r="Q100" i="1"/>
  <c r="P102" i="1"/>
  <c r="P101" i="1"/>
  <c r="P100" i="1"/>
  <c r="O104" i="1"/>
  <c r="N104" i="1"/>
  <c r="O103" i="1"/>
  <c r="N103" i="1"/>
  <c r="O102" i="1"/>
  <c r="O101" i="1"/>
  <c r="N101" i="1"/>
  <c r="O100" i="1"/>
  <c r="N100" i="1"/>
  <c r="M104" i="1"/>
  <c r="M103" i="1"/>
  <c r="M102" i="1"/>
  <c r="M101" i="1"/>
  <c r="M100" i="1"/>
  <c r="E101" i="1"/>
  <c r="E100" i="1"/>
  <c r="B100" i="1"/>
  <c r="A104" i="1"/>
  <c r="A103" i="1"/>
  <c r="A102" i="1"/>
  <c r="A101" i="1"/>
  <c r="A100" i="1"/>
  <c r="N95" i="1"/>
  <c r="N89" i="1"/>
  <c r="N88" i="1"/>
  <c r="N109" i="1" l="1"/>
  <c r="N102" i="1"/>
  <c r="AR40" i="2"/>
  <c r="AS40" i="2" l="1"/>
  <c r="C40" i="2" s="1"/>
  <c r="AR13" i="2"/>
  <c r="AR14" i="2"/>
  <c r="AR15" i="2"/>
  <c r="AR16" i="2"/>
  <c r="AR17" i="2"/>
  <c r="AR18" i="2"/>
  <c r="AR22" i="2"/>
  <c r="AR25" i="2"/>
  <c r="AR27" i="2"/>
  <c r="AR32" i="2"/>
  <c r="AR33" i="2"/>
  <c r="AR45" i="2"/>
  <c r="AR47" i="2"/>
  <c r="AR12" i="2"/>
  <c r="K12" i="2"/>
  <c r="Q12" i="2" l="1"/>
  <c r="P12" i="2"/>
  <c r="O12" i="2"/>
  <c r="AT40" i="2"/>
  <c r="AS12" i="2"/>
  <c r="AT12" i="2" s="1"/>
  <c r="AS32" i="2"/>
  <c r="AT32" i="2" s="1"/>
  <c r="AS14" i="2"/>
  <c r="AT14" i="2" s="1"/>
  <c r="AS47" i="2"/>
  <c r="AT47" i="2" s="1"/>
  <c r="AS27" i="2"/>
  <c r="AT27" i="2" s="1"/>
  <c r="AS17" i="2"/>
  <c r="AT17" i="2" s="1"/>
  <c r="AS13" i="2"/>
  <c r="AT13" i="2" s="1"/>
  <c r="AS18" i="2"/>
  <c r="AT18" i="2" s="1"/>
  <c r="AS45" i="2"/>
  <c r="AT45" i="2" s="1"/>
  <c r="AS25" i="2"/>
  <c r="AT25" i="2" s="1"/>
  <c r="AS16" i="2"/>
  <c r="AT16" i="2" s="1"/>
  <c r="AS33" i="2"/>
  <c r="AT33" i="2" s="1"/>
  <c r="AS22" i="2"/>
  <c r="AT22" i="2" s="1"/>
  <c r="AS15" i="2"/>
  <c r="AT15" i="2" s="1"/>
  <c r="V12" i="2"/>
  <c r="Y12" i="2"/>
  <c r="X12" i="2"/>
  <c r="L12" i="2"/>
  <c r="U12" i="2"/>
  <c r="R12" i="2"/>
  <c r="W12" i="2" s="1"/>
  <c r="T12" i="2"/>
  <c r="S12" i="2"/>
  <c r="K24" i="2"/>
  <c r="C31" i="2"/>
  <c r="K16" i="2"/>
  <c r="Q16" i="2" l="1"/>
  <c r="O16" i="2"/>
  <c r="P16" i="2"/>
  <c r="Q24" i="2"/>
  <c r="P24" i="2"/>
  <c r="O24" i="2"/>
  <c r="AA12" i="2"/>
  <c r="V16" i="2"/>
  <c r="E16" i="2" s="1"/>
  <c r="Y16" i="2"/>
  <c r="H16" i="2" s="1"/>
  <c r="X16" i="2"/>
  <c r="G16" i="2" s="1"/>
  <c r="V24" i="2"/>
  <c r="E24" i="2" s="1"/>
  <c r="Y24" i="2"/>
  <c r="H24" i="2" s="1"/>
  <c r="X24" i="2"/>
  <c r="G24" i="2" s="1"/>
  <c r="M12" i="2"/>
  <c r="D12" i="2" s="1"/>
  <c r="N31" i="1"/>
  <c r="N16" i="2"/>
  <c r="U16" i="2"/>
  <c r="T16" i="2"/>
  <c r="S16" i="2"/>
  <c r="R16" i="2"/>
  <c r="W16" i="2" s="1"/>
  <c r="F16" i="2" s="1"/>
  <c r="L24" i="2"/>
  <c r="C24" i="2" s="1"/>
  <c r="U24" i="2"/>
  <c r="R24" i="2"/>
  <c r="W24" i="2" s="1"/>
  <c r="F24" i="2" s="1"/>
  <c r="T24" i="2"/>
  <c r="S24" i="2"/>
  <c r="L16" i="2"/>
  <c r="N15" i="1" s="1"/>
  <c r="N24" i="2"/>
  <c r="N39" i="1"/>
  <c r="N10" i="1"/>
  <c r="N9" i="1"/>
  <c r="N6" i="1"/>
  <c r="N7" i="1"/>
  <c r="N8" i="1"/>
  <c r="AB22" i="2"/>
  <c r="K39" i="2"/>
  <c r="Q39" i="2" l="1"/>
  <c r="P39" i="2"/>
  <c r="O39" i="2"/>
  <c r="AA16" i="2"/>
  <c r="N23" i="1"/>
  <c r="AN22" i="2"/>
  <c r="H22" i="2" s="1"/>
  <c r="AM22" i="2"/>
  <c r="G22" i="2" s="1"/>
  <c r="V39" i="2"/>
  <c r="E39" i="2" s="1"/>
  <c r="Y39" i="2"/>
  <c r="H39" i="2" s="1"/>
  <c r="X39" i="2"/>
  <c r="G39" i="2" s="1"/>
  <c r="M16" i="2"/>
  <c r="D16" i="2" s="1"/>
  <c r="M24" i="2"/>
  <c r="D24" i="2" s="1"/>
  <c r="AG22" i="2"/>
  <c r="AH22" i="2"/>
  <c r="AL22" i="2" s="1"/>
  <c r="F22" i="2" s="1"/>
  <c r="AI22" i="2"/>
  <c r="AK22" i="2"/>
  <c r="E22" i="2" s="1"/>
  <c r="L39" i="2"/>
  <c r="C39" i="2" s="1"/>
  <c r="U39" i="2"/>
  <c r="R39" i="2"/>
  <c r="W39" i="2" s="1"/>
  <c r="F39" i="2" s="1"/>
  <c r="T39" i="2"/>
  <c r="S39" i="2"/>
  <c r="AC22" i="2"/>
  <c r="C22" i="2" s="1"/>
  <c r="AF22" i="2"/>
  <c r="N39" i="2"/>
  <c r="AJ22" i="2" l="1"/>
  <c r="AD22" i="2" s="1"/>
  <c r="M39" i="2"/>
  <c r="D39" i="2" s="1"/>
  <c r="N21" i="1"/>
  <c r="K43" i="2"/>
  <c r="K13" i="2"/>
  <c r="K14" i="2"/>
  <c r="K15" i="2"/>
  <c r="K17" i="2"/>
  <c r="Q17" i="2" s="1"/>
  <c r="K18" i="2"/>
  <c r="K20" i="2"/>
  <c r="K21" i="2"/>
  <c r="K23" i="2"/>
  <c r="K25" i="2"/>
  <c r="K27" i="2"/>
  <c r="K29" i="2"/>
  <c r="K30" i="2"/>
  <c r="K32" i="2"/>
  <c r="K37" i="2"/>
  <c r="K41" i="2"/>
  <c r="K42" i="2"/>
  <c r="K45" i="2"/>
  <c r="N12" i="2"/>
  <c r="AB12" i="2"/>
  <c r="Q20" i="2" l="1"/>
  <c r="P20" i="2"/>
  <c r="O20" i="2"/>
  <c r="P41" i="2"/>
  <c r="O41" i="2"/>
  <c r="Q18" i="2"/>
  <c r="P18" i="2"/>
  <c r="O18" i="2"/>
  <c r="Q14" i="2"/>
  <c r="P14" i="2"/>
  <c r="O14" i="2"/>
  <c r="Q45" i="2"/>
  <c r="P45" i="2"/>
  <c r="O45" i="2"/>
  <c r="Q30" i="2"/>
  <c r="O30" i="2"/>
  <c r="P30" i="2"/>
  <c r="Q42" i="2"/>
  <c r="O42" i="2"/>
  <c r="P42" i="2"/>
  <c r="Q32" i="2"/>
  <c r="P32" i="2"/>
  <c r="O32" i="2"/>
  <c r="Q37" i="2"/>
  <c r="P37" i="2"/>
  <c r="O37" i="2"/>
  <c r="Q15" i="2"/>
  <c r="P15" i="2"/>
  <c r="O15" i="2"/>
  <c r="Q43" i="2"/>
  <c r="P43" i="2"/>
  <c r="O43" i="2"/>
  <c r="Q27" i="2"/>
  <c r="P27" i="2"/>
  <c r="O27" i="2"/>
  <c r="Q25" i="2"/>
  <c r="P25" i="2"/>
  <c r="O25" i="2"/>
  <c r="Q23" i="2"/>
  <c r="P23" i="2"/>
  <c r="O23" i="2"/>
  <c r="Q13" i="2"/>
  <c r="O13" i="2"/>
  <c r="P13" i="2"/>
  <c r="Q29" i="2"/>
  <c r="P29" i="2"/>
  <c r="O29" i="2"/>
  <c r="Q21" i="2"/>
  <c r="P21" i="2"/>
  <c r="O21" i="2"/>
  <c r="Q41" i="2"/>
  <c r="S41" i="2"/>
  <c r="V41" i="2"/>
  <c r="Y41" i="2"/>
  <c r="X41" i="2"/>
  <c r="V15" i="2"/>
  <c r="Y15" i="2"/>
  <c r="X15" i="2"/>
  <c r="V37" i="2"/>
  <c r="X37" i="2"/>
  <c r="Y37" i="2"/>
  <c r="V32" i="2"/>
  <c r="Y32" i="2"/>
  <c r="X32" i="2"/>
  <c r="V18" i="2"/>
  <c r="X18" i="2"/>
  <c r="Y18" i="2"/>
  <c r="V13" i="2"/>
  <c r="Y13" i="2"/>
  <c r="X13" i="2"/>
  <c r="AM12" i="2"/>
  <c r="G12" i="2" s="1"/>
  <c r="AN12" i="2"/>
  <c r="H12" i="2" s="1"/>
  <c r="V29" i="2"/>
  <c r="Y29" i="2"/>
  <c r="X29" i="2"/>
  <c r="V21" i="2"/>
  <c r="X21" i="2"/>
  <c r="Y21" i="2"/>
  <c r="V27" i="2"/>
  <c r="X27" i="2"/>
  <c r="Y27" i="2"/>
  <c r="V20" i="2"/>
  <c r="Y20" i="2"/>
  <c r="X20" i="2"/>
  <c r="V14" i="2"/>
  <c r="X14" i="2"/>
  <c r="Y14" i="2"/>
  <c r="V45" i="2"/>
  <c r="Y45" i="2"/>
  <c r="X45" i="2"/>
  <c r="V25" i="2"/>
  <c r="Y25" i="2"/>
  <c r="X25" i="2"/>
  <c r="V42" i="2"/>
  <c r="Y42" i="2"/>
  <c r="X42" i="2"/>
  <c r="V30" i="2"/>
  <c r="X30" i="2"/>
  <c r="Y30" i="2"/>
  <c r="V23" i="2"/>
  <c r="E23" i="2" s="1"/>
  <c r="Y23" i="2"/>
  <c r="H23" i="2" s="1"/>
  <c r="X23" i="2"/>
  <c r="G23" i="2" s="1"/>
  <c r="V17" i="2"/>
  <c r="Y17" i="2"/>
  <c r="X17" i="2"/>
  <c r="V43" i="2"/>
  <c r="X43" i="2"/>
  <c r="Y43" i="2"/>
  <c r="AH12" i="2"/>
  <c r="AL12" i="2" s="1"/>
  <c r="F12" i="2" s="1"/>
  <c r="AK12" i="2"/>
  <c r="E12" i="2" s="1"/>
  <c r="AI12" i="2"/>
  <c r="L45" i="2"/>
  <c r="U45" i="2"/>
  <c r="R45" i="2"/>
  <c r="W45" i="2" s="1"/>
  <c r="T45" i="2"/>
  <c r="S45" i="2"/>
  <c r="L32" i="2"/>
  <c r="U32" i="2"/>
  <c r="S32" i="2"/>
  <c r="R32" i="2"/>
  <c r="T32" i="2"/>
  <c r="U25" i="2"/>
  <c r="S25" i="2"/>
  <c r="R25" i="2"/>
  <c r="T25" i="2"/>
  <c r="L18" i="2"/>
  <c r="U18" i="2"/>
  <c r="T18" i="2"/>
  <c r="S18" i="2"/>
  <c r="R18" i="2"/>
  <c r="W18" i="2" s="1"/>
  <c r="L13" i="2"/>
  <c r="U13" i="2"/>
  <c r="S13" i="2"/>
  <c r="R13" i="2"/>
  <c r="T13" i="2"/>
  <c r="N42" i="2"/>
  <c r="U42" i="2"/>
  <c r="R42" i="2"/>
  <c r="W42" i="2" s="1"/>
  <c r="T42" i="2"/>
  <c r="S42" i="2"/>
  <c r="N30" i="2"/>
  <c r="U30" i="2"/>
  <c r="T30" i="2"/>
  <c r="S30" i="2"/>
  <c r="R30" i="2"/>
  <c r="W30" i="2" s="1"/>
  <c r="N23" i="2"/>
  <c r="U23" i="2"/>
  <c r="S23" i="2"/>
  <c r="R23" i="2"/>
  <c r="W23" i="2" s="1"/>
  <c r="F23" i="2" s="1"/>
  <c r="T23" i="2"/>
  <c r="N17" i="2"/>
  <c r="U17" i="2"/>
  <c r="S17" i="2"/>
  <c r="R17" i="2"/>
  <c r="T17" i="2"/>
  <c r="N43" i="2"/>
  <c r="U43" i="2"/>
  <c r="S43" i="2"/>
  <c r="T43" i="2"/>
  <c r="R43" i="2"/>
  <c r="L41" i="2"/>
  <c r="U41" i="2"/>
  <c r="T41" i="2"/>
  <c r="R41" i="2"/>
  <c r="W41" i="2" s="1"/>
  <c r="L29" i="2"/>
  <c r="U29" i="2"/>
  <c r="S29" i="2"/>
  <c r="R29" i="2"/>
  <c r="W29" i="2" s="1"/>
  <c r="T29" i="2"/>
  <c r="L21" i="2"/>
  <c r="U21" i="2"/>
  <c r="T21" i="2"/>
  <c r="S21" i="2"/>
  <c r="R21" i="2"/>
  <c r="W21" i="2" s="1"/>
  <c r="L15" i="2"/>
  <c r="U15" i="2"/>
  <c r="S15" i="2"/>
  <c r="R15" i="2"/>
  <c r="W15" i="2" s="1"/>
  <c r="T15" i="2"/>
  <c r="L37" i="2"/>
  <c r="U37" i="2"/>
  <c r="S37" i="2"/>
  <c r="T37" i="2"/>
  <c r="R37" i="2"/>
  <c r="W37" i="2" s="1"/>
  <c r="L27" i="2"/>
  <c r="U27" i="2"/>
  <c r="T27" i="2"/>
  <c r="S27" i="2"/>
  <c r="R27" i="2"/>
  <c r="W27" i="2" s="1"/>
  <c r="L20" i="2"/>
  <c r="U20" i="2"/>
  <c r="S20" i="2"/>
  <c r="R20" i="2"/>
  <c r="W20" i="2" s="1"/>
  <c r="T20" i="2"/>
  <c r="L14" i="2"/>
  <c r="U14" i="2"/>
  <c r="T14" i="2"/>
  <c r="S14" i="2"/>
  <c r="R14" i="2"/>
  <c r="L25" i="2"/>
  <c r="N25" i="2"/>
  <c r="L43" i="2"/>
  <c r="N37" i="2"/>
  <c r="N27" i="2"/>
  <c r="N20" i="2"/>
  <c r="N14" i="2"/>
  <c r="L42" i="2"/>
  <c r="L30" i="2"/>
  <c r="L23" i="2"/>
  <c r="C23" i="2" s="1"/>
  <c r="L17" i="2"/>
  <c r="N45" i="2"/>
  <c r="N41" i="2"/>
  <c r="N32" i="2"/>
  <c r="N29" i="2"/>
  <c r="N21" i="2"/>
  <c r="N18" i="2"/>
  <c r="N15" i="2"/>
  <c r="N13" i="2"/>
  <c r="AB47" i="2"/>
  <c r="AB13" i="2"/>
  <c r="AB14" i="2"/>
  <c r="AB15" i="2"/>
  <c r="AC15" i="2" s="1"/>
  <c r="AB17" i="2"/>
  <c r="AB18" i="2"/>
  <c r="AB19" i="2"/>
  <c r="AB20" i="2"/>
  <c r="AB21" i="2"/>
  <c r="AB25" i="2"/>
  <c r="AB26" i="2"/>
  <c r="AB27" i="2"/>
  <c r="AB29" i="2"/>
  <c r="AB30" i="2"/>
  <c r="AB32" i="2"/>
  <c r="AB33" i="2"/>
  <c r="AB37" i="2"/>
  <c r="AB38" i="2"/>
  <c r="AB41" i="2"/>
  <c r="AB42" i="2"/>
  <c r="AB43" i="2"/>
  <c r="AB44" i="2"/>
  <c r="AB45" i="2"/>
  <c r="AF12" i="2"/>
  <c r="AA15" i="2" l="1"/>
  <c r="AA13" i="2"/>
  <c r="AA14" i="2"/>
  <c r="W17" i="2"/>
  <c r="AA17" i="2"/>
  <c r="W13" i="2"/>
  <c r="M13" i="2"/>
  <c r="D13" i="2" s="1"/>
  <c r="U33" i="2"/>
  <c r="M33" i="2" s="1"/>
  <c r="D33" i="2"/>
  <c r="Q33" i="2"/>
  <c r="AM37" i="2"/>
  <c r="G37" i="2" s="1"/>
  <c r="AN37" i="2"/>
  <c r="H37" i="2" s="1"/>
  <c r="AM17" i="2"/>
  <c r="G17" i="2" s="1"/>
  <c r="AN17" i="2"/>
  <c r="H17" i="2" s="1"/>
  <c r="AM47" i="2"/>
  <c r="G47" i="2" s="1"/>
  <c r="AN47" i="2"/>
  <c r="H47" i="2" s="1"/>
  <c r="M43" i="2"/>
  <c r="D43" i="2" s="1"/>
  <c r="W43" i="2"/>
  <c r="AM42" i="2"/>
  <c r="G42" i="2" s="1"/>
  <c r="AN42" i="2"/>
  <c r="H42" i="2" s="1"/>
  <c r="AM33" i="2"/>
  <c r="G33" i="2" s="1"/>
  <c r="AN33" i="2"/>
  <c r="H33" i="2" s="1"/>
  <c r="AM27" i="2"/>
  <c r="G27" i="2" s="1"/>
  <c r="AN27" i="2"/>
  <c r="H27" i="2" s="1"/>
  <c r="AN20" i="2"/>
  <c r="H20" i="2" s="1"/>
  <c r="AM20" i="2"/>
  <c r="G20" i="2" s="1"/>
  <c r="AN15" i="2"/>
  <c r="H15" i="2" s="1"/>
  <c r="AM15" i="2"/>
  <c r="G15" i="2" s="1"/>
  <c r="AN29" i="2"/>
  <c r="H29" i="2" s="1"/>
  <c r="AM29" i="2"/>
  <c r="G29" i="2" s="1"/>
  <c r="M14" i="2"/>
  <c r="D14" i="2" s="1"/>
  <c r="W14" i="2"/>
  <c r="M25" i="2"/>
  <c r="D25" i="2" s="1"/>
  <c r="W25" i="2"/>
  <c r="M32" i="2"/>
  <c r="D32" i="2" s="1"/>
  <c r="W32" i="2"/>
  <c r="AN45" i="2"/>
  <c r="H45" i="2" s="1"/>
  <c r="AM45" i="2"/>
  <c r="G45" i="2" s="1"/>
  <c r="AN41" i="2"/>
  <c r="H41" i="2" s="1"/>
  <c r="AM41" i="2"/>
  <c r="G41" i="2" s="1"/>
  <c r="AN32" i="2"/>
  <c r="H32" i="2" s="1"/>
  <c r="AM32" i="2"/>
  <c r="G32" i="2" s="1"/>
  <c r="AN26" i="2"/>
  <c r="H26" i="2" s="1"/>
  <c r="AM26" i="2"/>
  <c r="G26" i="2" s="1"/>
  <c r="AM19" i="2"/>
  <c r="G19" i="2" s="1"/>
  <c r="AN19" i="2"/>
  <c r="H19" i="2" s="1"/>
  <c r="AM14" i="2"/>
  <c r="G14" i="2" s="1"/>
  <c r="AN14" i="2"/>
  <c r="H14" i="2" s="1"/>
  <c r="AN43" i="2"/>
  <c r="H43" i="2" s="1"/>
  <c r="AM43" i="2"/>
  <c r="G43" i="2" s="1"/>
  <c r="AM21" i="2"/>
  <c r="G21" i="2" s="1"/>
  <c r="AN21" i="2"/>
  <c r="H21" i="2" s="1"/>
  <c r="AM44" i="2"/>
  <c r="G44" i="2" s="1"/>
  <c r="AN44" i="2"/>
  <c r="H44" i="2" s="1"/>
  <c r="AN38" i="2"/>
  <c r="H38" i="2" s="1"/>
  <c r="AM38" i="2"/>
  <c r="G38" i="2" s="1"/>
  <c r="AM30" i="2"/>
  <c r="G30" i="2" s="1"/>
  <c r="AN30" i="2"/>
  <c r="H30" i="2" s="1"/>
  <c r="AM25" i="2"/>
  <c r="G25" i="2" s="1"/>
  <c r="AN25" i="2"/>
  <c r="H25" i="2" s="1"/>
  <c r="AN18" i="2"/>
  <c r="H18" i="2" s="1"/>
  <c r="AM18" i="2"/>
  <c r="G18" i="2" s="1"/>
  <c r="AN13" i="2"/>
  <c r="H13" i="2" s="1"/>
  <c r="AM13" i="2"/>
  <c r="G13" i="2" s="1"/>
  <c r="M15" i="2"/>
  <c r="M21" i="2"/>
  <c r="D21" i="2" s="1"/>
  <c r="M20" i="2"/>
  <c r="D20" i="2" s="1"/>
  <c r="M27" i="2"/>
  <c r="D27" i="2" s="1"/>
  <c r="M17" i="2"/>
  <c r="D17" i="2" s="1"/>
  <c r="M42" i="2"/>
  <c r="D42" i="2" s="1"/>
  <c r="M18" i="2"/>
  <c r="M45" i="2"/>
  <c r="D45" i="2" s="1"/>
  <c r="M37" i="2"/>
  <c r="D37" i="2" s="1"/>
  <c r="M29" i="2"/>
  <c r="D29" i="2" s="1"/>
  <c r="M41" i="2"/>
  <c r="D41" i="2" s="1"/>
  <c r="M23" i="2"/>
  <c r="D23" i="2" s="1"/>
  <c r="M30" i="2"/>
  <c r="D30" i="2" s="1"/>
  <c r="AJ12" i="2"/>
  <c r="AD12" i="2" s="1"/>
  <c r="AC43" i="2"/>
  <c r="C43" i="2" s="1"/>
  <c r="AH43" i="2"/>
  <c r="AL43" i="2" s="1"/>
  <c r="AI43" i="2"/>
  <c r="AK43" i="2"/>
  <c r="E43" i="2" s="1"/>
  <c r="AC37" i="2"/>
  <c r="C37" i="2" s="1"/>
  <c r="AH37" i="2"/>
  <c r="AL37" i="2" s="1"/>
  <c r="F37" i="2" s="1"/>
  <c r="AI37" i="2"/>
  <c r="AK37" i="2"/>
  <c r="E37" i="2" s="1"/>
  <c r="AC29" i="2"/>
  <c r="C29" i="2" s="1"/>
  <c r="AH29" i="2"/>
  <c r="AL29" i="2" s="1"/>
  <c r="F29" i="2" s="1"/>
  <c r="AI29" i="2"/>
  <c r="AK29" i="2"/>
  <c r="E29" i="2" s="1"/>
  <c r="AC21" i="2"/>
  <c r="N20" i="1" s="1"/>
  <c r="AH21" i="2"/>
  <c r="AL21" i="2" s="1"/>
  <c r="F21" i="2" s="1"/>
  <c r="AK21" i="2"/>
  <c r="E21" i="2" s="1"/>
  <c r="AI21" i="2"/>
  <c r="AC17" i="2"/>
  <c r="AK17" i="2"/>
  <c r="E17" i="2" s="1"/>
  <c r="AH17" i="2"/>
  <c r="AL17" i="2" s="1"/>
  <c r="F17" i="2" s="1"/>
  <c r="AI17" i="2"/>
  <c r="AG47" i="2"/>
  <c r="AK47" i="2"/>
  <c r="E47" i="2" s="1"/>
  <c r="AH47" i="2"/>
  <c r="AL47" i="2" s="1"/>
  <c r="F47" i="2" s="1"/>
  <c r="AI47" i="2"/>
  <c r="AG42" i="2"/>
  <c r="AK42" i="2"/>
  <c r="E42" i="2" s="1"/>
  <c r="AH42" i="2"/>
  <c r="AL42" i="2" s="1"/>
  <c r="F42" i="2" s="1"/>
  <c r="AI42" i="2"/>
  <c r="AG33" i="2"/>
  <c r="AK33" i="2"/>
  <c r="E33" i="2" s="1"/>
  <c r="AH33" i="2"/>
  <c r="AL33" i="2" s="1"/>
  <c r="F33" i="2" s="1"/>
  <c r="AI33" i="2"/>
  <c r="AG27" i="2"/>
  <c r="AH27" i="2"/>
  <c r="AL27" i="2" s="1"/>
  <c r="F27" i="2" s="1"/>
  <c r="AK27" i="2"/>
  <c r="E27" i="2" s="1"/>
  <c r="AI27" i="2"/>
  <c r="AG20" i="2"/>
  <c r="AK20" i="2"/>
  <c r="E20" i="2" s="1"/>
  <c r="AI20" i="2"/>
  <c r="AH20" i="2"/>
  <c r="AL20" i="2" s="1"/>
  <c r="F20" i="2" s="1"/>
  <c r="AG15" i="2"/>
  <c r="AK15" i="2"/>
  <c r="E15" i="2" s="1"/>
  <c r="AI15" i="2"/>
  <c r="AH15" i="2"/>
  <c r="AL15" i="2" s="1"/>
  <c r="F15" i="2" s="1"/>
  <c r="AF45" i="2"/>
  <c r="AK45" i="2"/>
  <c r="E45" i="2" s="1"/>
  <c r="AI45" i="2"/>
  <c r="AH45" i="2"/>
  <c r="AL45" i="2" s="1"/>
  <c r="F45" i="2" s="1"/>
  <c r="AF41" i="2"/>
  <c r="AK41" i="2"/>
  <c r="E41" i="2" s="1"/>
  <c r="AI41" i="2"/>
  <c r="AH41" i="2"/>
  <c r="AL41" i="2" s="1"/>
  <c r="F41" i="2" s="1"/>
  <c r="AF32" i="2"/>
  <c r="AK32" i="2"/>
  <c r="E32" i="2" s="1"/>
  <c r="AI32" i="2"/>
  <c r="AH32" i="2"/>
  <c r="AL32" i="2" s="1"/>
  <c r="AF26" i="2"/>
  <c r="AK26" i="2"/>
  <c r="E26" i="2" s="1"/>
  <c r="AI26" i="2"/>
  <c r="AH26" i="2"/>
  <c r="AL26" i="2" s="1"/>
  <c r="F26" i="2" s="1"/>
  <c r="AF19" i="2"/>
  <c r="AI19" i="2"/>
  <c r="AH19" i="2"/>
  <c r="AL19" i="2" s="1"/>
  <c r="F19" i="2" s="1"/>
  <c r="AK19" i="2"/>
  <c r="E19" i="2" s="1"/>
  <c r="AF14" i="2"/>
  <c r="AI14" i="2"/>
  <c r="AK14" i="2"/>
  <c r="E14" i="2" s="1"/>
  <c r="AH14" i="2"/>
  <c r="AL14" i="2" s="1"/>
  <c r="AC44" i="2"/>
  <c r="C44" i="2" s="1"/>
  <c r="AI44" i="2"/>
  <c r="AH44" i="2"/>
  <c r="AL44" i="2" s="1"/>
  <c r="F44" i="2" s="1"/>
  <c r="AK44" i="2"/>
  <c r="E44" i="2" s="1"/>
  <c r="AC38" i="2"/>
  <c r="C38" i="2" s="1"/>
  <c r="AI38" i="2"/>
  <c r="AH38" i="2"/>
  <c r="AL38" i="2" s="1"/>
  <c r="F38" i="2" s="1"/>
  <c r="AK38" i="2"/>
  <c r="E38" i="2" s="1"/>
  <c r="AC30" i="2"/>
  <c r="C30" i="2" s="1"/>
  <c r="AI30" i="2"/>
  <c r="AK30" i="2"/>
  <c r="E30" i="2" s="1"/>
  <c r="AH30" i="2"/>
  <c r="AL30" i="2" s="1"/>
  <c r="F30" i="2" s="1"/>
  <c r="AC25" i="2"/>
  <c r="C25" i="2" s="1"/>
  <c r="AI25" i="2"/>
  <c r="AH25" i="2"/>
  <c r="AL25" i="2" s="1"/>
  <c r="AK25" i="2"/>
  <c r="E25" i="2" s="1"/>
  <c r="AC18" i="2"/>
  <c r="AH18" i="2"/>
  <c r="AL18" i="2" s="1"/>
  <c r="F18" i="2" s="1"/>
  <c r="AI18" i="2"/>
  <c r="AK18" i="2"/>
  <c r="E18" i="2" s="1"/>
  <c r="AC13" i="2"/>
  <c r="N12" i="1" s="1"/>
  <c r="AH13" i="2"/>
  <c r="AL13" i="2" s="1"/>
  <c r="F13" i="2" s="1"/>
  <c r="AI13" i="2"/>
  <c r="AK13" i="2"/>
  <c r="E13" i="2" s="1"/>
  <c r="N17" i="1"/>
  <c r="AC45" i="2"/>
  <c r="C45" i="2" s="1"/>
  <c r="AC41" i="2"/>
  <c r="C41" i="2" s="1"/>
  <c r="AC32" i="2"/>
  <c r="C32" i="2" s="1"/>
  <c r="AC26" i="2"/>
  <c r="C26" i="2" s="1"/>
  <c r="AC19" i="2"/>
  <c r="AC14" i="2"/>
  <c r="AG44" i="2"/>
  <c r="AG38" i="2"/>
  <c r="AG30" i="2"/>
  <c r="AG25" i="2"/>
  <c r="AG18" i="2"/>
  <c r="AG13" i="2"/>
  <c r="AF47" i="2"/>
  <c r="AG43" i="2"/>
  <c r="AG37" i="2"/>
  <c r="AG29" i="2"/>
  <c r="AG21" i="2"/>
  <c r="AG17" i="2"/>
  <c r="AC47" i="2"/>
  <c r="C47" i="2" s="1"/>
  <c r="AF43" i="2"/>
  <c r="AF37" i="2"/>
  <c r="AF29" i="2"/>
  <c r="AF21" i="2"/>
  <c r="AF17" i="2"/>
  <c r="AC12" i="2"/>
  <c r="AF42" i="2"/>
  <c r="AC42" i="2"/>
  <c r="C42" i="2" s="1"/>
  <c r="AC20" i="2"/>
  <c r="AF33" i="2"/>
  <c r="AF15" i="2"/>
  <c r="AG12" i="2"/>
  <c r="AG45" i="2"/>
  <c r="AF44" i="2"/>
  <c r="AG41" i="2"/>
  <c r="AF38" i="2"/>
  <c r="AG32" i="2"/>
  <c r="AF30" i="2"/>
  <c r="AG26" i="2"/>
  <c r="AF25" i="2"/>
  <c r="AG19" i="2"/>
  <c r="AF18" i="2"/>
  <c r="AG14" i="2"/>
  <c r="AF13" i="2"/>
  <c r="AF27" i="2"/>
  <c r="AF20" i="2"/>
  <c r="AC33" i="2"/>
  <c r="C33" i="2" s="1"/>
  <c r="AC27" i="2"/>
  <c r="C27" i="2" s="1"/>
  <c r="N32" i="1" l="1"/>
  <c r="N28" i="1"/>
  <c r="D18" i="2"/>
  <c r="N42" i="1"/>
  <c r="N43" i="1" s="1"/>
  <c r="N37" i="1"/>
  <c r="N38" i="1" s="1"/>
  <c r="F43" i="2"/>
  <c r="F25" i="2"/>
  <c r="D15" i="2"/>
  <c r="F32" i="2"/>
  <c r="F14" i="2"/>
  <c r="AJ30" i="2"/>
  <c r="AD30" i="2" s="1"/>
  <c r="AJ32" i="2"/>
  <c r="AD32" i="2" s="1"/>
  <c r="AJ45" i="2"/>
  <c r="AD45" i="2" s="1"/>
  <c r="AJ15" i="2"/>
  <c r="AD15" i="2" s="1"/>
  <c r="AJ25" i="2"/>
  <c r="AD25" i="2" s="1"/>
  <c r="AJ38" i="2"/>
  <c r="AD38" i="2" s="1"/>
  <c r="D38" i="2" s="1"/>
  <c r="AJ44" i="2"/>
  <c r="AD44" i="2" s="1"/>
  <c r="AJ19" i="2"/>
  <c r="AD19" i="2" s="1"/>
  <c r="AJ33" i="2"/>
  <c r="AD33" i="2" s="1"/>
  <c r="AJ42" i="2"/>
  <c r="AD42" i="2" s="1"/>
  <c r="AJ47" i="2"/>
  <c r="AD47" i="2" s="1"/>
  <c r="D47" i="2" s="1"/>
  <c r="AJ17" i="2"/>
  <c r="AD17" i="2" s="1"/>
  <c r="N25" i="1"/>
  <c r="AJ13" i="2"/>
  <c r="AD13" i="2" s="1"/>
  <c r="AJ18" i="2"/>
  <c r="AD18" i="2" s="1"/>
  <c r="AJ27" i="2"/>
  <c r="AD27" i="2" s="1"/>
  <c r="AJ21" i="2"/>
  <c r="AD21" i="2" s="1"/>
  <c r="AJ29" i="2"/>
  <c r="AD29" i="2" s="1"/>
  <c r="AJ37" i="2"/>
  <c r="AD37" i="2" s="1"/>
  <c r="AJ43" i="2"/>
  <c r="AD43" i="2" s="1"/>
  <c r="AJ14" i="2"/>
  <c r="AD14" i="2" s="1"/>
  <c r="AJ26" i="2"/>
  <c r="AD26" i="2" s="1"/>
  <c r="D26" i="2" s="1"/>
  <c r="AJ41" i="2"/>
  <c r="AD41" i="2" s="1"/>
  <c r="AJ20" i="2"/>
  <c r="AD20" i="2" s="1"/>
  <c r="N29" i="1"/>
  <c r="N27" i="1"/>
  <c r="N16" i="1"/>
  <c r="N26" i="1"/>
  <c r="N41" i="1"/>
  <c r="N13" i="1"/>
  <c r="N40" i="1"/>
  <c r="N30" i="1"/>
  <c r="N14" i="1"/>
  <c r="N33" i="1"/>
  <c r="N46" i="1"/>
  <c r="N11" i="1"/>
  <c r="N18" i="1"/>
  <c r="N44" i="1"/>
  <c r="AG39" i="2"/>
  <c r="AE38" i="2" l="1"/>
  <c r="D44" i="2"/>
  <c r="AE43" i="2"/>
  <c r="N19" i="1"/>
</calcChain>
</file>

<file path=xl/comments1.xml><?xml version="1.0" encoding="utf-8"?>
<comments xmlns="http://schemas.openxmlformats.org/spreadsheetml/2006/main">
  <authors>
    <author>Author</author>
  </authors>
  <commentList>
    <comment ref="O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https://feedstuffs.norfor.info/
001-0021
AAT8 / PBV8
[2024-11-15]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https://feedstuffs.norfor.info/
006-0430
AAT8 / PBV8
[2024-11-15]</t>
        </r>
      </text>
    </comment>
    <comment ref="O3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https://feedstuffs.norfor.info/
001-0108
AAT8 / PBV8
[2024-11-15]</t>
        </r>
      </text>
    </comment>
    <comment ref="O3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<sst xmlns="http://schemas.openxmlformats.org/spreadsheetml/2006/main" count="1566" uniqueCount="679">
  <si>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</si>
  <si>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</si>
  <si>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</si>
  <si>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</si>
  <si>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</si>
  <si>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</si>
  <si>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</si>
  <si>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</si>
  <si>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</si>
  <si>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</si>
  <si>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</si>
  <si>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</si>
  <si>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</si>
  <si>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</si>
  <si>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</si>
  <si>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</si>
  <si>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</si>
  <si>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</si>
  <si>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</si>
  <si>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</si>
  <si>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</si>
  <si>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share_regional</t>
  </si>
  <si>
    <t>%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</si>
  <si>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</si>
  <si>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</si>
  <si>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</si>
  <si>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</si>
  <si>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</si>
  <si>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</si>
  <si>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</si>
  <si>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</si>
  <si>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</si>
  <si>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</si>
  <si>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</si>
  <si>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</si>
  <si>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</si>
  <si>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</si>
  <si>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</si>
  <si>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</si>
  <si>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</si>
  <si>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</si>
  <si>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</si>
  <si>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</si>
  <si>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</si>
  <si>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</si>
  <si>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</si>
  <si>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</si>
  <si>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</si>
  <si>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</si>
  <si>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</si>
  <si>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</si>
  <si>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</si>
  <si>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</si>
  <si>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</si>
  <si>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</si>
  <si>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</si>
  <si>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</si>
  <si>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</si>
  <si>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</si>
  <si>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</si>
  <si>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</si>
  <si>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</si>
  <si>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</si>
  <si>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</si>
  <si>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</si>
  <si>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</si>
  <si>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</si>
  <si>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</si>
  <si>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</si>
  <si>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</si>
  <si>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</si>
  <si>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</si>
  <si>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</si>
  <si>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</si>
  <si>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</si>
  <si>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</si>
  <si>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</si>
  <si>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</si>
  <si>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</si>
  <si>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</si>
  <si>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</si>
  <si>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</si>
  <si>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</si>
  <si>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</si>
  <si>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</si>
  <si>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</si>
  <si>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</si>
  <si>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</si>
  <si>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</si>
  <si>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</si>
  <si>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</si>
  <si>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</si>
  <si>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</si>
  <si>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</si>
  <si>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</si>
  <si>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</si>
  <si>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</si>
  <si>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</si>
  <si>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</si>
  <si>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</si>
  <si>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</si>
  <si>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</si>
  <si>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</si>
  <si>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</si>
  <si>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</si>
  <si>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</si>
  <si>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</si>
  <si>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</si>
  <si>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</si>
  <si>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</si>
  <si>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</si>
  <si>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</si>
  <si>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</si>
  <si>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</si>
  <si>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</si>
  <si>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</si>
  <si>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</si>
  <si>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</si>
  <si>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</si>
  <si>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</si>
  <si>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</si>
  <si>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</si>
  <si>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</si>
  <si>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</si>
  <si>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</si>
  <si>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</si>
  <si>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</si>
  <si>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</si>
  <si>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</si>
  <si>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</si>
  <si>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</si>
  <si>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</si>
  <si>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</si>
  <si>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</si>
  <si>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</si>
  <si>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</si>
  <si>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</si>
  <si>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</si>
  <si>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</si>
  <si>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</si>
  <si>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</si>
  <si>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</si>
  <si>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</si>
  <si>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</si>
  <si>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</si>
  <si>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</si>
  <si>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</si>
  <si>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</si>
  <si>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</si>
  <si>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</si>
  <si>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</si>
  <si>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</si>
  <si>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</si>
  <si>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</si>
  <si>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</si>
  <si>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</si>
  <si>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</si>
  <si>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</si>
  <si>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</si>
  <si>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</si>
  <si>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</si>
  <si>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</si>
  <si>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</si>
  <si>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</si>
  <si>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</si>
  <si>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</si>
  <si>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</si>
  <si>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</si>
  <si>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</si>
  <si>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</si>
  <si>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</si>
  <si>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</si>
  <si>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</si>
  <si>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</si>
  <si>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</si>
  <si>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</si>
  <si>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</si>
  <si>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</si>
  <si>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</si>
  <si>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</si>
  <si>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</si>
  <si>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</si>
  <si>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</si>
  <si>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</si>
  <si>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</si>
  <si>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</si>
  <si>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</si>
  <si>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</si>
  <si>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</si>
  <si>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</si>
  <si>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</si>
  <si>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</si>
  <si>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</si>
  <si>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</si>
  <si>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</si>
  <si>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</si>
  <si>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</si>
  <si>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</si>
  <si>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</si>
  <si>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</si>
  <si>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</si>
  <si>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</si>
  <si>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</si>
  <si>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</si>
  <si>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</si>
  <si>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</si>
  <si>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</si>
  <si>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</si>
  <si>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</si>
  <si>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</si>
  <si>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</si>
  <si>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</si>
  <si>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</si>
  <si>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</si>
  <si>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</si>
  <si>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</si>
  <si>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</si>
  <si>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</si>
  <si>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</si>
  <si>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</si>
  <si>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</si>
  <si>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</si>
  <si>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</si>
  <si>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</si>
  <si>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</si>
  <si>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</si>
  <si>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</si>
  <si>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</si>
  <si>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</si>
  <si>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</si>
  <si>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</si>
  <si>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</si>
  <si>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</si>
  <si>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</si>
  <si>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</si>
  <si>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</si>
  <si>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</si>
  <si>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</si>
  <si>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</si>
  <si>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</si>
  <si>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</si>
  <si>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</si>
  <si>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</si>
  <si>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</si>
  <si>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</si>
  <si>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</si>
  <si>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</si>
  <si>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</si>
  <si>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</si>
  <si>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</si>
  <si>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</si>
  <si>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</si>
  <si>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</si>
  <si>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</si>
  <si>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</si>
  <si>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</si>
  <si>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</si>
  <si>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</si>
  <si>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</si>
  <si>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</si>
  <si>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</si>
  <si>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</si>
  <si>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</si>
  <si>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</si>
  <si>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</si>
  <si>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</si>
  <si>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</si>
  <si>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</si>
  <si>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</si>
  <si>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</si>
  <si>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</si>
  <si>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</si>
  <si>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</si>
  <si>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</si>
  <si>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</si>
  <si>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</si>
  <si>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</si>
  <si>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</si>
  <si>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</si>
  <si>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</si>
  <si>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</si>
  <si>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</si>
  <si>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</si>
  <si>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</si>
  <si>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</si>
  <si>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</si>
  <si>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</si>
  <si>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</si>
  <si>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</si>
  <si>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</si>
  <si>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</si>
  <si>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</si>
  <si>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</si>
  <si>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</si>
  <si>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</si>
  <si>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</si>
  <si>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</si>
  <si>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</si>
  <si>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</si>
  <si>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</si>
  <si>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</si>
  <si>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</si>
  <si>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</si>
  <si>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</si>
  <si>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</si>
  <si>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</si>
  <si>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</si>
  <si>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</si>
  <si>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</si>
  <si>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</si>
  <si>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</si>
  <si>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dairy</t>
  </si>
  <si>
    <t>cows</t>
  </si>
  <si>
    <t>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</si>
  <si>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</si>
  <si>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</si>
  <si>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</si>
  <si>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</si>
  <si>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</si>
  <si>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</si>
  <si>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</si>
  <si>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</si>
  <si>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</si>
  <si>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</si>
  <si>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</si>
  <si>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</si>
  <si>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</si>
  <si>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</si>
  <si>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</si>
  <si>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</si>
  <si>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</si>
  <si>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</si>
  <si>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</si>
  <si>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</si>
  <si>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</si>
  <si>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</si>
  <si>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</si>
  <si>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</si>
  <si>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</si>
  <si>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</si>
  <si>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</si>
  <si>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</si>
  <si>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</si>
  <si>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</si>
  <si>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</si>
  <si>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</si>
  <si>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</si>
  <si>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</si>
  <si>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</si>
  <si>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</si>
  <si>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</si>
  <si>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</si>
  <si>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</si>
  <si>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</si>
  <si>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</si>
  <si>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</si>
  <si>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</si>
  <si>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</si>
  <si>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</si>
  <si>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</si>
  <si>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</si>
  <si>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</si>
  <si>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</si>
  <si>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</si>
  <si>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</si>
  <si>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</si>
  <si>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</si>
  <si>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</si>
  <si>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</si>
  <si>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</si>
  <si>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</si>
  <si>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</si>
  <si>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</si>
  <si>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</si>
  <si>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</si>
  <si>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</si>
  <si>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</si>
  <si>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</si>
  <si>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</si>
  <si>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</si>
  <si>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</si>
  <si>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</si>
  <si>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</si>
  <si>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</si>
  <si>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</si>
  <si>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</si>
  <si>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</si>
  <si>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</si>
  <si>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</si>
  <si>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</si>
  <si>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</si>
  <si>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</si>
  <si>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</si>
  <si>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</si>
  <si>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</si>
  <si>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</si>
  <si>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</si>
  <si>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</si>
  <si>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</si>
  <si>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</si>
  <si>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</si>
  <si>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</si>
  <si>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</si>
  <si>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</si>
  <si>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</si>
  <si>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</si>
  <si>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</si>
  <si>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</si>
  <si>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</si>
  <si>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</si>
  <si>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</si>
  <si>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</si>
  <si>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</si>
  <si>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</si>
  <si>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</si>
  <si>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</si>
  <si>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</si>
  <si>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</si>
  <si>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</si>
  <si>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</si>
  <si>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</si>
  <si>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</si>
  <si>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</si>
  <si>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</si>
  <si>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</si>
  <si>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</si>
  <si>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</si>
  <si>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</si>
  <si>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</si>
  <si>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</si>
  <si>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</si>
  <si>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</si>
  <si>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</si>
  <si>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</si>
  <si>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</si>
  <si>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</si>
  <si>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</si>
  <si>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</si>
  <si>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</si>
  <si>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</si>
  <si>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</si>
  <si>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</si>
  <si>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</si>
  <si>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</si>
  <si>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</si>
  <si>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</si>
  <si>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</si>
  <si>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</si>
  <si>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</si>
  <si>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</si>
  <si>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</si>
  <si>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</si>
  <si>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</si>
  <si>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</si>
  <si>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</si>
  <si>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</si>
  <si>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</si>
  <si>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</si>
  <si>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</si>
  <si>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</si>
  <si>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</si>
  <si>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</si>
  <si>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</si>
  <si>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</si>
  <si>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</si>
  <si>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</si>
  <si>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</si>
  <si>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</si>
  <si>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</si>
  <si>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</si>
  <si>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</si>
  <si>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</si>
  <si>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</si>
  <si>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</si>
  <si>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</si>
  <si>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</si>
  <si>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</si>
  <si>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</si>
  <si>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</si>
  <si>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</si>
  <si>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</si>
  <si>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</si>
  <si>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</si>
  <si>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</si>
  <si>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</si>
  <si>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</si>
  <si>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</si>
  <si>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</si>
  <si>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</si>
  <si>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</si>
  <si>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</si>
  <si>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</si>
  <si>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</si>
  <si>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</si>
  <si>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</si>
  <si>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</si>
  <si>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</si>
  <si>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</si>
  <si>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</si>
  <si>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</si>
  <si>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</si>
  <si>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</si>
  <si>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</si>
  <si>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</si>
  <si>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</si>
  <si>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</si>
  <si>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</si>
  <si>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</si>
  <si>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</si>
  <si>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</si>
  <si>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</si>
  <si>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</si>
  <si>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</si>
  <si>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</si>
  <si>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</si>
  <si>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</si>
  <si>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</si>
  <si>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</si>
  <si>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</si>
  <si>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</si>
  <si>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</si>
  <si>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</si>
  <si>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</si>
  <si>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</si>
  <si>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</si>
  <si>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</si>
  <si>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</si>
  <si>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</si>
  <si>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</si>
  <si>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</si>
  <si>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</si>
  <si>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</si>
  <si>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</si>
  <si>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</si>
  <si>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</si>
  <si>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</si>
  <si>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</si>
  <si>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</si>
  <si>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</si>
  <si>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</si>
  <si>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</si>
  <si>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</si>
  <si>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</si>
  <si>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</si>
  <si>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</si>
  <si>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</si>
  <si>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</si>
  <si>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</si>
  <si>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</si>
  <si>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</si>
  <si>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</si>
  <si>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</si>
  <si>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</si>
  <si>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</si>
  <si>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</si>
  <si>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</si>
  <si>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</si>
  <si>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</si>
  <si>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</si>
  <si>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</si>
  <si>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</si>
  <si>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</si>
  <si>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</si>
  <si>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</si>
  <si>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</si>
  <si>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</si>
  <si>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</si>
  <si>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</si>
  <si>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</si>
  <si>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</si>
  <si>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</si>
  <si>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</si>
  <si>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</si>
  <si>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</si>
  <si>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</si>
  <si>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</si>
  <si>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</si>
  <si>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</si>
  <si>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</si>
  <si>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</si>
  <si>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</si>
  <si>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</si>
  <si>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</si>
  <si>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</si>
  <si>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</si>
  <si>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</si>
  <si>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</si>
  <si>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</si>
  <si>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</si>
  <si>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</si>
  <si>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</si>
  <si>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</si>
  <si>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</si>
  <si>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</si>
  <si>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</si>
  <si>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</si>
  <si>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</si>
  <si>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</si>
  <si>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</si>
  <si>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</si>
  <si>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</si>
  <si>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</si>
  <si>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</si>
  <si>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</si>
  <si>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</si>
  <si>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</si>
  <si>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</si>
  <si>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</si>
  <si>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</si>
  <si>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</si>
  <si>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</si>
  <si>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</si>
  <si>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</si>
  <si>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</si>
  <si>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</si>
  <si>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</si>
  <si>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</si>
  <si>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</si>
  <si>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</si>
  <si>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</si>
  <si>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</si>
  <si>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</si>
  <si>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</si>
  <si>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</si>
  <si>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</si>
  <si>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</si>
  <si>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</si>
  <si>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</si>
  <si>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</si>
  <si>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</si>
  <si>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</si>
  <si>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</si>
  <si>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</si>
  <si>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</si>
  <si>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</si>
  <si>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</si>
  <si>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</si>
  <si>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</si>
  <si>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</si>
  <si>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</si>
  <si>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</si>
  <si>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</si>
  <si>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t>milling by-products from wheat, barley or rye</t>
  </si>
  <si>
    <t>milling by-products from oats</t>
  </si>
  <si>
    <t>add as crop product?</t>
  </si>
  <si>
    <t>f_crop_group</t>
  </si>
  <si>
    <t>autumn lamb</t>
  </si>
  <si>
    <t>max_overproduction</t>
  </si>
  <si>
    <t>Parameters to constrain regional feed supply</t>
  </si>
  <si>
    <r>
      <t>The parameter</t>
    </r>
    <r>
      <rPr>
        <b/>
        <sz val="11"/>
        <color theme="4"/>
        <rFont val="Calibri"/>
        <family val="2"/>
        <scheme val="minor"/>
      </rPr>
      <t xml:space="preserve"> share_regional</t>
    </r>
    <r>
      <rPr>
        <sz val="11"/>
        <color theme="4"/>
        <rFont val="Calibri"/>
        <family val="2"/>
        <scheme val="minor"/>
      </rPr>
      <t xml:space="preserve"> constrains crop production in a region to supply at least X% of feed demand in that region. Can differ per species/breed/animal etc.</t>
    </r>
  </si>
  <si>
    <r>
      <t xml:space="preserve">The paramter </t>
    </r>
    <r>
      <rPr>
        <b/>
        <sz val="11"/>
        <color theme="4"/>
        <rFont val="Calibri"/>
        <family val="2"/>
        <scheme val="minor"/>
      </rPr>
      <t>max_overproduction</t>
    </r>
    <r>
      <rPr>
        <sz val="11"/>
        <color theme="4"/>
        <rFont val="Calibri"/>
        <family val="2"/>
        <scheme val="minor"/>
      </rPr>
      <t xml:space="preserve"> constrains crop production to not exceed feed demand plus X% in any region. Only specify this for crop products exclusively used for feed</t>
    </r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</si>
  <si>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</si>
  <si>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</si>
  <si>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Based on 4 weeks grazing for cows with dry period coinciding with grazing period</t>
  </si>
  <si>
    <t>IPCC 2019</t>
  </si>
  <si>
    <t>https://www.feedipedia.org/node/225</t>
  </si>
  <si>
    <t>Feed nutritional parameters (these will be removed once Wilhelm's work is fully incorporated)</t>
  </si>
  <si>
    <t>NorFor AAT20 --&gt; AAT</t>
  </si>
  <si>
    <t>NorFor PBV20 --&gt; PBV</t>
  </si>
  <si>
    <t>drank, torr</t>
  </si>
  <si>
    <t>GE</t>
  </si>
  <si>
    <t>ASH</t>
  </si>
  <si>
    <t>N</t>
  </si>
  <si>
    <t>P</t>
  </si>
  <si>
    <t>K</t>
  </si>
  <si>
    <t>ME</t>
  </si>
  <si>
    <t>AAT</t>
  </si>
  <si>
    <t>PBV</t>
  </si>
  <si>
    <t>fat</t>
  </si>
  <si>
    <t>NE</t>
  </si>
  <si>
    <t>DE</t>
  </si>
  <si>
    <t>AME</t>
  </si>
  <si>
    <t>feed_composition</t>
  </si>
  <si>
    <t>FeedMgmt-feed_pars.csv</t>
  </si>
  <si>
    <t>Around 4% P seems common in mineral feed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</si>
  <si>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</si>
  <si>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Hessle &amp; Danielsson (2024)</t>
  </si>
  <si>
    <t>calves, suckling</t>
  </si>
  <si>
    <t>same as suckler cows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</si>
</sst>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CCCC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20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  <xf numFmtId="0" fontId="1" fillId="0" borderId="0" xfId="0" applyFont="1" applyFill="1"/>
    <xf numFmtId="0" fontId="13" fillId="0" borderId="0" xfId="0" quotePrefix="1" applyFont="1" applyFill="1"/>
    <xf numFmtId="0" fontId="1" fillId="8" borderId="0" xfId="0" applyFont="1" applyFill="1"/>
    <xf numFmtId="0" fontId="0" fillId="8" borderId="0" xfId="0" applyFill="1"/>
    <xf numFmtId="0" fontId="8" fillId="0" borderId="0" xfId="0" applyFont="1" applyFill="1"/>
    <xf numFmtId="0" fontId="0" fillId="9" borderId="0" xfId="0" applyFill="1"/>
    <xf numFmtId="0" fontId="1" fillId="9" borderId="0" xfId="0" applyFont="1" applyFill="1"/>
    <xf numFmtId="0" fontId="8" fillId="9" borderId="0" xfId="0" applyFont="1" applyFill="1"/>
    <xf numFmtId="0" fontId="2" fillId="9" borderId="0" xfId="0" applyFont="1" applyFill="1"/>
    <xf numFmtId="0" fontId="0" fillId="9" borderId="0" xfId="0" applyFill="1" applyBorder="1"/>
    <xf numFmtId="1" fontId="18" fillId="0" borderId="1" xfId="0" applyNumberFormat="1" applyFont="1" applyBorder="1"/>
    <xf numFmtId="0" fontId="29" fillId="0" borderId="0" xfId="0" applyFont="1"/>
    <xf numFmtId="2" fontId="0" fillId="0" borderId="0" xfId="0" applyNumberFormat="1"/>
    <xf numFmtId="2" fontId="3" fillId="0" borderId="0" xfId="0" applyNumberFormat="1" applyFont="1"/>
    <xf numFmtId="0" fontId="2" fillId="0" borderId="0" xfId="1" applyFont="1"/>
    <xf numFmtId="0" fontId="30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CCCC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2799" TargetMode="External"/><Relationship Id="rId13" Type="http://schemas.openxmlformats.org/officeDocument/2006/relationships/hyperlink" Target="https://www.feedipedia.org/node/227" TargetMode="External"/><Relationship Id="rId18" Type="http://schemas.openxmlformats.org/officeDocument/2006/relationships/hyperlink" Target="https://www.feedipedia.org/node/26068" TargetMode="External"/><Relationship Id="rId26" Type="http://schemas.openxmlformats.org/officeDocument/2006/relationships/hyperlink" Target="https://www.feedipedia.org/node/12340" TargetMode="External"/><Relationship Id="rId39" Type="http://schemas.openxmlformats.org/officeDocument/2006/relationships/comments" Target="../comments1.xm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2893" TargetMode="External"/><Relationship Id="rId7" Type="http://schemas.openxmlformats.org/officeDocument/2006/relationships/hyperlink" Target="https://www.ncbi.nlm.nih.gov/pmc/articles/PMC3544805/" TargetMode="External"/><Relationship Id="rId12" Type="http://schemas.openxmlformats.org/officeDocument/2006/relationships/hyperlink" Target="https://www.feedipedia.org/node/231" TargetMode="External"/><Relationship Id="rId17" Type="http://schemas.openxmlformats.org/officeDocument/2006/relationships/hyperlink" Target="https://www.feedtables.com/content/rapeseed-oil" TargetMode="External"/><Relationship Id="rId25" Type="http://schemas.openxmlformats.org/officeDocument/2006/relationships/hyperlink" Target="https://www.feedipedia.org/node/12288" TargetMode="External"/><Relationship Id="rId33" Type="http://schemas.openxmlformats.org/officeDocument/2006/relationships/hyperlink" Target="https://www.feedipedia.org/node/11685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36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tables.com/content/table-feed-profile?feed_pr_id=12371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tables.com/content/rapeseed-oil" TargetMode="External"/><Relationship Id="rId11" Type="http://schemas.openxmlformats.org/officeDocument/2006/relationships/hyperlink" Target="https://www.feedipedia.org/node/6476" TargetMode="External"/><Relationship Id="rId24" Type="http://schemas.openxmlformats.org/officeDocument/2006/relationships/hyperlink" Target="https://www.feedipedia.org/node/12801" TargetMode="External"/><Relationship Id="rId32" Type="http://schemas.openxmlformats.org/officeDocument/2006/relationships/hyperlink" Target="https://www.feedipedia.org/node/11683" TargetMode="External"/><Relationship Id="rId37" Type="http://schemas.openxmlformats.org/officeDocument/2006/relationships/printerSettings" Target="../printerSettings/printerSettings2.bin"/><Relationship Id="rId5" Type="http://schemas.openxmlformats.org/officeDocument/2006/relationships/hyperlink" Target="https://www.feedipedia.org/node/12799" TargetMode="External"/><Relationship Id="rId15" Type="http://schemas.openxmlformats.org/officeDocument/2006/relationships/hyperlink" Target="https://www.feedipedia.org/node/15617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893" TargetMode="External"/><Relationship Id="rId36" Type="http://schemas.openxmlformats.org/officeDocument/2006/relationships/hyperlink" Target="https://www.feedtables.com/content/wheat-feed-flour" TargetMode="External"/><Relationship Id="rId10" Type="http://schemas.openxmlformats.org/officeDocument/2006/relationships/hyperlink" Target="https://www.feedipedia.org/node/556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625" TargetMode="External"/><Relationship Id="rId4" Type="http://schemas.openxmlformats.org/officeDocument/2006/relationships/hyperlink" Target="https://www.feedipedia.org/node/13883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ipedia.org/node/223" TargetMode="External"/><Relationship Id="rId22" Type="http://schemas.openxmlformats.org/officeDocument/2006/relationships/hyperlink" Target="https://www.feedtables.com/content/wheat-feed-flour" TargetMode="External"/><Relationship Id="rId27" Type="http://schemas.openxmlformats.org/officeDocument/2006/relationships/hyperlink" Target="https://www.feedipedia.org/node/24378" TargetMode="External"/><Relationship Id="rId30" Type="http://schemas.openxmlformats.org/officeDocument/2006/relationships/hyperlink" Target="https://www.feedipedia.org/node/11685" TargetMode="External"/><Relationship Id="rId35" Type="http://schemas.openxmlformats.org/officeDocument/2006/relationships/hyperlink" Target="https://www.feedipedia.org/node/2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632</v>
      </c>
    </row>
    <row r="2" spans="1:1" x14ac:dyDescent="0.25">
      <c r="A2" t="s">
        <v>636</v>
      </c>
    </row>
    <row r="3" spans="1:1" x14ac:dyDescent="0.25">
      <c r="A3" t="s">
        <v>675</v>
      </c>
    </row>
    <row r="4" spans="1:1" x14ac:dyDescent="0.25">
      <c r="A4" t="s">
        <v>651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6"/>
  <sheetViews>
    <sheetView tabSelected="1" zoomScale="80" zoomScaleNormal="80" workbookViewId="0">
      <pane ySplit="1" topLeftCell="A59" activePane="bottomLeft" state="frozen"/>
      <selection pane="bottomLeft" activeCell="I84" sqref="I84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626</v>
      </c>
      <c r="H1" s="4" t="s">
        <v>645</v>
      </c>
      <c r="I1" s="4" t="s">
        <v>1</v>
      </c>
      <c r="J1" s="4" t="s">
        <v>8</v>
      </c>
      <c r="K1" s="4" t="s">
        <v>637</v>
      </c>
      <c r="L1" s="4" t="s">
        <v>578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638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579</v>
      </c>
      <c r="P2" s="20" t="s">
        <v>296</v>
      </c>
      <c r="Q2" s="2"/>
      <c r="R2" s="5"/>
    </row>
    <row r="3" spans="1:18" x14ac:dyDescent="0.25">
      <c r="M3" s="6" t="s">
        <v>25</v>
      </c>
      <c r="N3" s="17">
        <v>0</v>
      </c>
      <c r="O3" s="6"/>
      <c r="P3" s="6" t="s">
        <v>27</v>
      </c>
    </row>
    <row r="4" spans="1:18" x14ac:dyDescent="0.25">
      <c r="A4" s="102" t="s">
        <v>639</v>
      </c>
      <c r="M4" s="6"/>
      <c r="N4" s="17"/>
      <c r="O4" s="6"/>
      <c r="P4" s="6"/>
    </row>
    <row r="5" spans="1:18" x14ac:dyDescent="0.25">
      <c r="F5" t="s">
        <v>297</v>
      </c>
      <c r="I5" t="s">
        <v>9</v>
      </c>
      <c r="M5" t="s">
        <v>25</v>
      </c>
      <c r="N5" s="18">
        <f>1/INDEX('feed pars'!C$6:C$47/100,MATCH(F5,'feed pars'!B$6:B$47,0))</f>
        <v>1</v>
      </c>
    </row>
    <row r="6" spans="1:18" x14ac:dyDescent="0.25">
      <c r="F6" t="s">
        <v>298</v>
      </c>
      <c r="I6" t="s">
        <v>9</v>
      </c>
      <c r="M6" t="s">
        <v>25</v>
      </c>
      <c r="N6" s="18">
        <f>1/INDEX('feed pars'!C$6:C$47/100,MATCH(F6,'feed pars'!B$6:B$47,0))</f>
        <v>1</v>
      </c>
    </row>
    <row r="7" spans="1:18" x14ac:dyDescent="0.25">
      <c r="F7" t="s">
        <v>299</v>
      </c>
      <c r="I7" t="s">
        <v>9</v>
      </c>
      <c r="M7" t="s">
        <v>25</v>
      </c>
      <c r="N7" s="18">
        <f>1/INDEX('feed pars'!C$6:C$47/100,MATCH(F7,'feed pars'!B$6:B$47,0))</f>
        <v>1</v>
      </c>
    </row>
    <row r="8" spans="1:18" x14ac:dyDescent="0.25">
      <c r="F8" t="s">
        <v>2</v>
      </c>
      <c r="I8" t="s">
        <v>9</v>
      </c>
      <c r="M8" t="s">
        <v>25</v>
      </c>
      <c r="N8" s="18">
        <f>1/INDEX('feed pars'!C$6:C$47/100,MATCH(F8,'feed pars'!B$6:B$47,0))</f>
        <v>1</v>
      </c>
    </row>
    <row r="9" spans="1:18" x14ac:dyDescent="0.25">
      <c r="F9" t="s">
        <v>11</v>
      </c>
      <c r="I9" t="s">
        <v>10</v>
      </c>
      <c r="M9" t="s">
        <v>25</v>
      </c>
      <c r="N9" s="18">
        <f>1/INDEX('feed pars'!C$6:C$47/100,MATCH(F9,'feed pars'!B$6:B$47,0))</f>
        <v>1</v>
      </c>
    </row>
    <row r="10" spans="1:18" x14ac:dyDescent="0.25">
      <c r="F10" t="s">
        <v>26</v>
      </c>
      <c r="I10" t="s">
        <v>26</v>
      </c>
      <c r="M10" t="s">
        <v>25</v>
      </c>
      <c r="N10" s="18">
        <f>1/INDEX('feed pars'!C$6:C$47/100,MATCH(F10,'feed pars'!B$6:B$47,0))</f>
        <v>1</v>
      </c>
    </row>
    <row r="11" spans="1:18" x14ac:dyDescent="0.25">
      <c r="F11" t="s">
        <v>16</v>
      </c>
      <c r="I11" t="s">
        <v>16</v>
      </c>
      <c r="M11" t="s">
        <v>25</v>
      </c>
      <c r="N11" s="18">
        <f>1/INDEX('feed pars'!C$6:C$47/100,MATCH(F11,'feed pars'!B$6:B$47,0))</f>
        <v>1.1627906976744187</v>
      </c>
    </row>
    <row r="12" spans="1:18" x14ac:dyDescent="0.25">
      <c r="F12" t="s">
        <v>30</v>
      </c>
      <c r="I12" t="s">
        <v>30</v>
      </c>
      <c r="M12" t="s">
        <v>25</v>
      </c>
      <c r="N12" s="18">
        <f>1/INDEX('feed pars'!C$6:C$47/100,MATCH(F12,'feed pars'!B$6:B$47,0))</f>
        <v>1.1627906976744187</v>
      </c>
    </row>
    <row r="13" spans="1:18" x14ac:dyDescent="0.25">
      <c r="F13" t="s">
        <v>31</v>
      </c>
      <c r="I13" t="s">
        <v>31</v>
      </c>
      <c r="M13" t="s">
        <v>25</v>
      </c>
      <c r="N13" s="18">
        <f>1/INDEX('feed pars'!C$6:C$47/100,MATCH(F13,'feed pars'!B$6:B$47,0))</f>
        <v>1.1627906976744187</v>
      </c>
    </row>
    <row r="14" spans="1:18" x14ac:dyDescent="0.25">
      <c r="F14" t="s">
        <v>32</v>
      </c>
      <c r="I14" t="s">
        <v>32</v>
      </c>
      <c r="M14" t="s">
        <v>25</v>
      </c>
      <c r="N14" s="18">
        <f>1/INDEX('feed pars'!C$6:C$47/100,MATCH(F14,'feed pars'!B$6:B$47,0))</f>
        <v>1.1627906976744187</v>
      </c>
    </row>
    <row r="15" spans="1:18" x14ac:dyDescent="0.25">
      <c r="F15" t="s">
        <v>303</v>
      </c>
      <c r="I15" t="s">
        <v>303</v>
      </c>
      <c r="M15" t="s">
        <v>25</v>
      </c>
      <c r="N15" s="18">
        <f>1/INDEX('feed pars'!C$6:C$47/100,MATCH(F15,'feed pars'!B$6:B$47,0))</f>
        <v>1.1627906976744187</v>
      </c>
    </row>
    <row r="16" spans="1:18" x14ac:dyDescent="0.25">
      <c r="F16" t="s">
        <v>33</v>
      </c>
      <c r="I16" t="s">
        <v>33</v>
      </c>
      <c r="M16" t="s">
        <v>25</v>
      </c>
      <c r="N16" s="18">
        <f>1/INDEX('feed pars'!C$6:C$47/100,MATCH(F16,'feed pars'!B$6:B$47,0))</f>
        <v>1.1627906976744187</v>
      </c>
    </row>
    <row r="17" spans="1:16" x14ac:dyDescent="0.25">
      <c r="F17" t="s">
        <v>34</v>
      </c>
      <c r="I17" t="s">
        <v>34</v>
      </c>
      <c r="M17" t="s">
        <v>25</v>
      </c>
      <c r="N17" s="18">
        <f>1/INDEX('feed pars'!C$6:C$47/100,MATCH(F17,'feed pars'!B$6:B$47,0))</f>
        <v>1.1764705882352942</v>
      </c>
    </row>
    <row r="18" spans="1:16" x14ac:dyDescent="0.25">
      <c r="F18" t="s">
        <v>35</v>
      </c>
      <c r="I18" t="s">
        <v>35</v>
      </c>
      <c r="M18" t="s">
        <v>25</v>
      </c>
      <c r="N18" s="18">
        <f>1/INDEX('feed pars'!C$6:C$47/100,MATCH(F18,'feed pars'!B$6:B$47,0))</f>
        <v>1.1764705882352942</v>
      </c>
    </row>
    <row r="19" spans="1:16" x14ac:dyDescent="0.25">
      <c r="F19" t="s">
        <v>28</v>
      </c>
      <c r="I19" t="s">
        <v>28</v>
      </c>
      <c r="M19" t="s">
        <v>25</v>
      </c>
      <c r="N19" s="18">
        <f>1/INDEX('feed pars'!C$6:C$47/100,MATCH(F19,'feed pars'!B$6:B$47,0))</f>
        <v>1.0989010989010988</v>
      </c>
    </row>
    <row r="20" spans="1:16" x14ac:dyDescent="0.25">
      <c r="F20" t="s">
        <v>36</v>
      </c>
      <c r="I20" t="s">
        <v>36</v>
      </c>
      <c r="M20" t="s">
        <v>25</v>
      </c>
      <c r="N20" s="18">
        <f>1/INDEX('feed pars'!C$6:C$47/100,MATCH(F20,'feed pars'!B$6:B$47,0))</f>
        <v>1.0989010989010988</v>
      </c>
    </row>
    <row r="21" spans="1:16" x14ac:dyDescent="0.25">
      <c r="F21" s="3" t="s">
        <v>301</v>
      </c>
      <c r="G21" s="3"/>
      <c r="H21" s="3"/>
      <c r="I21" s="3" t="s">
        <v>28</v>
      </c>
      <c r="J21" s="3"/>
      <c r="K21" s="3"/>
      <c r="L21" s="3"/>
      <c r="M21" s="3" t="s">
        <v>25</v>
      </c>
      <c r="N21" s="16">
        <f>1/INDEX('feed pars'!C$6:C$47/100,MATCH(F21,'feed pars'!B$6:B$47,0))*1/0.38</f>
        <v>2.6315789473684212</v>
      </c>
    </row>
    <row r="22" spans="1:16" x14ac:dyDescent="0.25">
      <c r="F22" s="3" t="s">
        <v>301</v>
      </c>
      <c r="G22" s="3"/>
      <c r="H22" s="3"/>
      <c r="I22" s="3" t="s">
        <v>28</v>
      </c>
      <c r="J22" s="3" t="s">
        <v>29</v>
      </c>
      <c r="K22" s="3"/>
      <c r="L22" s="3"/>
      <c r="M22" s="3" t="s">
        <v>302</v>
      </c>
      <c r="N22" s="18"/>
      <c r="P22" s="3" t="s">
        <v>307</v>
      </c>
    </row>
    <row r="23" spans="1:16" x14ac:dyDescent="0.25">
      <c r="F23" s="21" t="s">
        <v>304</v>
      </c>
      <c r="G23" s="21"/>
      <c r="H23" s="21"/>
      <c r="I23" s="21" t="s">
        <v>304</v>
      </c>
      <c r="J23" s="21"/>
      <c r="K23" s="21"/>
      <c r="L23" s="21"/>
      <c r="M23" s="21" t="s">
        <v>25</v>
      </c>
      <c r="N23" s="18">
        <f>1/INDEX('feed pars'!C$6:C$47/100,MATCH(F23,'feed pars'!B$6:B$47,0))</f>
        <v>1.1494252873563218</v>
      </c>
      <c r="O23" s="21"/>
      <c r="P23" s="3"/>
    </row>
    <row r="24" spans="1:16" x14ac:dyDescent="0.25">
      <c r="A24" s="102" t="s">
        <v>640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37</v>
      </c>
      <c r="J25" t="s">
        <v>37</v>
      </c>
      <c r="M25" t="s">
        <v>25</v>
      </c>
      <c r="N25" s="18">
        <f>1/INDEX('feed pars'!C$6:C$47/100,MATCH(F25,'feed pars'!B$6:B$47,0))</f>
        <v>1.1428571428571428</v>
      </c>
    </row>
    <row r="26" spans="1:16" x14ac:dyDescent="0.25">
      <c r="F26" s="3" t="s">
        <v>38</v>
      </c>
      <c r="G26" s="3"/>
      <c r="H26" s="3"/>
      <c r="I26" s="3"/>
      <c r="J26" s="3" t="s">
        <v>38</v>
      </c>
      <c r="K26" s="3"/>
      <c r="L26" s="3"/>
      <c r="M26" s="3" t="s">
        <v>25</v>
      </c>
      <c r="N26" s="16">
        <f>1/INDEX('feed pars'!C$6:C$47/100,MATCH(F26,'feed pars'!B$6:B$47,0))</f>
        <v>1.1428571428571428</v>
      </c>
      <c r="O26" s="3"/>
      <c r="P26" s="3" t="s">
        <v>580</v>
      </c>
    </row>
    <row r="27" spans="1:16" x14ac:dyDescent="0.25">
      <c r="F27" t="s">
        <v>29</v>
      </c>
      <c r="J27" t="s">
        <v>29</v>
      </c>
      <c r="M27" t="s">
        <v>25</v>
      </c>
      <c r="N27" s="18">
        <f>1/INDEX('feed pars'!C$6:C$47/100,MATCH(F27,'feed pars'!B$6:B$47,0))</f>
        <v>1.1173184357541899</v>
      </c>
    </row>
    <row r="28" spans="1:16" x14ac:dyDescent="0.25">
      <c r="F28" t="s">
        <v>295</v>
      </c>
      <c r="J28" t="s">
        <v>295</v>
      </c>
      <c r="M28" t="s">
        <v>25</v>
      </c>
      <c r="N28" s="18">
        <f>1/INDEX('feed pars'!C$6:C$47/100,MATCH(F28,'feed pars'!B$6:B$47,0))</f>
        <v>1.0928961748633879</v>
      </c>
    </row>
    <row r="29" spans="1:16" x14ac:dyDescent="0.25">
      <c r="F29" t="s">
        <v>39</v>
      </c>
      <c r="J29" t="s">
        <v>39</v>
      </c>
      <c r="M29" t="s">
        <v>25</v>
      </c>
      <c r="N29" s="18">
        <f>1/INDEX('feed pars'!C$6:C$47/100,MATCH(F29,'feed pars'!B$6:B$47,0))</f>
        <v>1.0989010989010988</v>
      </c>
    </row>
    <row r="30" spans="1:16" x14ac:dyDescent="0.25">
      <c r="F30" t="s">
        <v>40</v>
      </c>
      <c r="J30" t="s">
        <v>40</v>
      </c>
      <c r="M30" t="s">
        <v>25</v>
      </c>
      <c r="N30" s="18">
        <f>1/INDEX('feed pars'!C$6:C$47/100,MATCH(F30,'feed pars'!B$6:B$47,0))</f>
        <v>1.0989010989010988</v>
      </c>
    </row>
    <row r="31" spans="1:16" x14ac:dyDescent="0.25">
      <c r="F31" s="3" t="s">
        <v>305</v>
      </c>
      <c r="G31" s="3"/>
      <c r="H31" s="3"/>
      <c r="I31" s="3"/>
      <c r="J31" s="3" t="s">
        <v>305</v>
      </c>
      <c r="K31" s="3"/>
      <c r="L31" s="3"/>
      <c r="M31" s="3" t="s">
        <v>25</v>
      </c>
      <c r="N31" s="16">
        <f>1/INDEX('feed pars'!C$6:C$47/100,MATCH(F31,'feed pars'!B$6:B$47,0))</f>
        <v>1.1111111111111112</v>
      </c>
      <c r="O31" s="3"/>
      <c r="P31" s="3" t="s">
        <v>644</v>
      </c>
    </row>
    <row r="32" spans="1:16" x14ac:dyDescent="0.25">
      <c r="F32" t="s">
        <v>41</v>
      </c>
      <c r="J32" t="s">
        <v>642</v>
      </c>
      <c r="M32" t="s">
        <v>25</v>
      </c>
      <c r="N32" s="18">
        <f>1/INDEX('feed pars'!C$6:C$47/100,MATCH(F32,'feed pars'!B$6:B$47,0))</f>
        <v>1.1494252873563218</v>
      </c>
    </row>
    <row r="33" spans="1:14" x14ac:dyDescent="0.25">
      <c r="F33" t="s">
        <v>42</v>
      </c>
      <c r="J33" t="s">
        <v>642</v>
      </c>
      <c r="M33" t="s">
        <v>25</v>
      </c>
      <c r="N33" s="18">
        <f>1/INDEX('feed pars'!C$6:C$47/100,MATCH(F33,'feed pars'!B$6:B$47,0))</f>
        <v>1.1389521640091116</v>
      </c>
    </row>
    <row r="34" spans="1:14" x14ac:dyDescent="0.25">
      <c r="F34" t="s">
        <v>581</v>
      </c>
      <c r="J34" t="s">
        <v>643</v>
      </c>
      <c r="M34" t="s">
        <v>25</v>
      </c>
      <c r="N34" s="18">
        <f>1/INDEX('feed pars'!C$6:C$47/100,MATCH(F34,'feed pars'!B$6:B$47,0))</f>
        <v>1.1415525114155252</v>
      </c>
    </row>
    <row r="35" spans="1:14" x14ac:dyDescent="0.25">
      <c r="F35" t="s">
        <v>582</v>
      </c>
      <c r="J35" t="s">
        <v>643</v>
      </c>
      <c r="M35" t="s">
        <v>25</v>
      </c>
      <c r="N35" s="18">
        <f>1/INDEX('feed pars'!C$6:C$47/100,MATCH(F35,'feed pars'!B$6:B$47,0))</f>
        <v>1.1415525114155252</v>
      </c>
    </row>
    <row r="36" spans="1:14" x14ac:dyDescent="0.25">
      <c r="F36" t="s">
        <v>625</v>
      </c>
      <c r="J36" t="s">
        <v>642</v>
      </c>
      <c r="M36" t="s">
        <v>25</v>
      </c>
      <c r="N36" s="18">
        <f>1/INDEX('feed pars'!C$6:C$47/100,MATCH(F36,'feed pars'!B$6:B$47,0))</f>
        <v>1.1415525114155252</v>
      </c>
    </row>
    <row r="37" spans="1:14" x14ac:dyDescent="0.25">
      <c r="F37" t="s">
        <v>43</v>
      </c>
      <c r="J37" t="s">
        <v>290</v>
      </c>
      <c r="M37" t="s">
        <v>25</v>
      </c>
      <c r="N37" s="18">
        <f>1/INDEX('feed pars'!C$6:C$47/100,MATCH(F37,'feed pars'!B$6:B$47,0))</f>
        <v>1.1111111111111112</v>
      </c>
    </row>
    <row r="38" spans="1:14" x14ac:dyDescent="0.25">
      <c r="F38" t="s">
        <v>44</v>
      </c>
      <c r="J38" t="s">
        <v>290</v>
      </c>
      <c r="M38" t="s">
        <v>25</v>
      </c>
      <c r="N38" s="18">
        <f>N37</f>
        <v>1.1111111111111112</v>
      </c>
    </row>
    <row r="39" spans="1:14" x14ac:dyDescent="0.25">
      <c r="F39" t="s">
        <v>300</v>
      </c>
      <c r="J39" t="s">
        <v>300</v>
      </c>
      <c r="M39" t="s">
        <v>25</v>
      </c>
      <c r="N39" s="16">
        <f>1/0.25</f>
        <v>4</v>
      </c>
    </row>
    <row r="40" spans="1:14" x14ac:dyDescent="0.25">
      <c r="F40" t="s">
        <v>45</v>
      </c>
      <c r="J40" t="s">
        <v>45</v>
      </c>
      <c r="M40" t="s">
        <v>25</v>
      </c>
      <c r="N40" s="18">
        <f>1/INDEX('feed pars'!C$6:C$47/100,MATCH(F40,'feed pars'!B$6:B$47,0))</f>
        <v>1.3245033112582782</v>
      </c>
    </row>
    <row r="41" spans="1:14" x14ac:dyDescent="0.25">
      <c r="F41" t="s">
        <v>46</v>
      </c>
      <c r="J41" t="s">
        <v>46</v>
      </c>
      <c r="M41" t="s">
        <v>25</v>
      </c>
      <c r="N41" s="18">
        <f>1/INDEX('feed pars'!C$6:C$47/100,MATCH(F41,'feed pars'!B$6:B$47,0))</f>
        <v>1.1173184357541899</v>
      </c>
    </row>
    <row r="42" spans="1:14" x14ac:dyDescent="0.25">
      <c r="F42" t="s">
        <v>47</v>
      </c>
      <c r="J42" t="s">
        <v>47</v>
      </c>
      <c r="M42" t="s">
        <v>25</v>
      </c>
      <c r="N42" s="18">
        <f>1/INDEX('feed pars'!C$6:C$47/100,MATCH(F42,'feed pars'!B$6:B$47,0))</f>
        <v>16</v>
      </c>
    </row>
    <row r="43" spans="1:14" x14ac:dyDescent="0.25">
      <c r="F43" t="s">
        <v>48</v>
      </c>
      <c r="J43" t="s">
        <v>47</v>
      </c>
      <c r="M43" t="s">
        <v>25</v>
      </c>
      <c r="N43" s="16">
        <f>N42</f>
        <v>16</v>
      </c>
    </row>
    <row r="44" spans="1:14" x14ac:dyDescent="0.25">
      <c r="F44" t="s">
        <v>49</v>
      </c>
      <c r="J44" t="s">
        <v>49</v>
      </c>
      <c r="M44" t="s">
        <v>25</v>
      </c>
      <c r="N44" s="18">
        <f>1/INDEX('feed pars'!C$6:C$47/100,MATCH(F44,'feed pars'!B$6:B$47,0))</f>
        <v>1.0989010989010988</v>
      </c>
    </row>
    <row r="45" spans="1:14" x14ac:dyDescent="0.25">
      <c r="F45" t="s">
        <v>594</v>
      </c>
      <c r="J45" t="s">
        <v>594</v>
      </c>
      <c r="M45" t="s">
        <v>25</v>
      </c>
      <c r="N45" s="18">
        <f>1/INDEX('feed pars'!C$6:C$47/100,MATCH(F45,'feed pars'!B$6:B$47,0))</f>
        <v>4.3478260869565215</v>
      </c>
    </row>
    <row r="46" spans="1:14" x14ac:dyDescent="0.25">
      <c r="F46" t="s">
        <v>50</v>
      </c>
      <c r="J46" t="s">
        <v>50</v>
      </c>
      <c r="M46" t="s">
        <v>25</v>
      </c>
      <c r="N46" s="18">
        <f>1/INDEX('feed pars'!C$6:C$47/100,MATCH(F46,'feed pars'!B$6:B$47,0))</f>
        <v>1.0863661053775122</v>
      </c>
    </row>
    <row r="47" spans="1:14" x14ac:dyDescent="0.25">
      <c r="N47" s="18"/>
    </row>
    <row r="48" spans="1:14" x14ac:dyDescent="0.25">
      <c r="A48" s="102" t="s">
        <v>641</v>
      </c>
      <c r="N48" s="18"/>
    </row>
    <row r="49" spans="1:17" x14ac:dyDescent="0.25">
      <c r="F49" t="s">
        <v>293</v>
      </c>
      <c r="K49" t="s">
        <v>293</v>
      </c>
      <c r="M49" t="s">
        <v>25</v>
      </c>
      <c r="N49" s="18">
        <v>1</v>
      </c>
    </row>
    <row r="50" spans="1:17" x14ac:dyDescent="0.25">
      <c r="N50" s="18"/>
    </row>
    <row r="51" spans="1:17" x14ac:dyDescent="0.25">
      <c r="A51" s="1" t="s">
        <v>648</v>
      </c>
      <c r="B51" s="1"/>
      <c r="C51" s="1"/>
      <c r="D51" s="1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s="5" customFormat="1" x14ac:dyDescent="0.25">
      <c r="A52" s="105" t="s">
        <v>649</v>
      </c>
      <c r="B52" s="104"/>
      <c r="C52" s="104"/>
      <c r="D52" s="104"/>
    </row>
    <row r="53" spans="1:17" x14ac:dyDescent="0.25">
      <c r="M53" s="6" t="s">
        <v>21</v>
      </c>
      <c r="N53" s="6">
        <v>0</v>
      </c>
      <c r="O53" s="6" t="s">
        <v>22</v>
      </c>
      <c r="P53" s="6" t="s">
        <v>27</v>
      </c>
    </row>
    <row r="54" spans="1:17" x14ac:dyDescent="0.25">
      <c r="I54" t="s">
        <v>9</v>
      </c>
      <c r="M54" t="s">
        <v>21</v>
      </c>
      <c r="N54" s="3">
        <v>95</v>
      </c>
      <c r="O54" t="s">
        <v>22</v>
      </c>
    </row>
    <row r="55" spans="1:17" x14ac:dyDescent="0.25">
      <c r="I55" t="s">
        <v>10</v>
      </c>
      <c r="M55" t="s">
        <v>21</v>
      </c>
      <c r="N55" s="3">
        <v>95</v>
      </c>
      <c r="O55" t="s">
        <v>22</v>
      </c>
    </row>
    <row r="56" spans="1:17" x14ac:dyDescent="0.25">
      <c r="I56" t="s">
        <v>26</v>
      </c>
      <c r="M56" t="s">
        <v>21</v>
      </c>
      <c r="N56" s="3">
        <v>95</v>
      </c>
      <c r="O56" t="s">
        <v>22</v>
      </c>
    </row>
    <row r="57" spans="1:17" x14ac:dyDescent="0.25">
      <c r="A57" t="s">
        <v>20</v>
      </c>
      <c r="I57" t="s">
        <v>30</v>
      </c>
      <c r="M57" t="s">
        <v>21</v>
      </c>
      <c r="N57" s="3">
        <v>30</v>
      </c>
      <c r="O57" t="s">
        <v>22</v>
      </c>
      <c r="P57" s="3"/>
    </row>
    <row r="58" spans="1:17" x14ac:dyDescent="0.25">
      <c r="A58" t="s">
        <v>369</v>
      </c>
      <c r="I58" t="s">
        <v>30</v>
      </c>
      <c r="M58" t="s">
        <v>21</v>
      </c>
      <c r="N58" s="3">
        <v>30</v>
      </c>
      <c r="O58" t="s">
        <v>22</v>
      </c>
      <c r="P58" s="3"/>
    </row>
    <row r="59" spans="1:17" x14ac:dyDescent="0.25">
      <c r="A59" t="s">
        <v>20</v>
      </c>
      <c r="I59" t="s">
        <v>16</v>
      </c>
      <c r="M59" t="s">
        <v>21</v>
      </c>
      <c r="N59" s="3">
        <v>30</v>
      </c>
      <c r="O59" t="s">
        <v>22</v>
      </c>
      <c r="P59" s="3"/>
    </row>
    <row r="60" spans="1:17" x14ac:dyDescent="0.25">
      <c r="A60" t="s">
        <v>369</v>
      </c>
      <c r="I60" t="s">
        <v>16</v>
      </c>
      <c r="M60" t="s">
        <v>21</v>
      </c>
      <c r="N60" s="3">
        <v>30</v>
      </c>
      <c r="O60" t="s">
        <v>22</v>
      </c>
      <c r="P60" s="3"/>
    </row>
    <row r="61" spans="1:17" x14ac:dyDescent="0.25">
      <c r="A61" t="s">
        <v>20</v>
      </c>
      <c r="I61" t="s">
        <v>31</v>
      </c>
      <c r="M61" t="s">
        <v>21</v>
      </c>
      <c r="N61" s="3">
        <v>30</v>
      </c>
      <c r="O61" t="s">
        <v>22</v>
      </c>
      <c r="P61" s="3"/>
    </row>
    <row r="62" spans="1:17" x14ac:dyDescent="0.25">
      <c r="A62" t="s">
        <v>369</v>
      </c>
      <c r="I62" t="s">
        <v>31</v>
      </c>
      <c r="M62" t="s">
        <v>21</v>
      </c>
      <c r="N62" s="3">
        <v>30</v>
      </c>
      <c r="O62" t="s">
        <v>22</v>
      </c>
      <c r="P62" s="3"/>
    </row>
    <row r="63" spans="1:17" x14ac:dyDescent="0.25">
      <c r="N63" s="3"/>
      <c r="P63" s="3"/>
    </row>
    <row r="64" spans="1:17" x14ac:dyDescent="0.25">
      <c r="A64" s="77" t="s">
        <v>650</v>
      </c>
      <c r="N64" s="3"/>
      <c r="P64" s="3"/>
    </row>
    <row r="65" spans="1:17" x14ac:dyDescent="0.25">
      <c r="I65" t="s">
        <v>9</v>
      </c>
      <c r="M65" t="s">
        <v>647</v>
      </c>
      <c r="N65" s="3">
        <v>5</v>
      </c>
      <c r="O65" t="s">
        <v>22</v>
      </c>
      <c r="P65" s="3"/>
    </row>
    <row r="66" spans="1:17" x14ac:dyDescent="0.25">
      <c r="I66" t="s">
        <v>10</v>
      </c>
      <c r="M66" t="s">
        <v>647</v>
      </c>
      <c r="N66" s="3">
        <v>5</v>
      </c>
      <c r="O66" t="s">
        <v>22</v>
      </c>
      <c r="P66" s="3"/>
    </row>
    <row r="67" spans="1:17" x14ac:dyDescent="0.25">
      <c r="I67" t="s">
        <v>26</v>
      </c>
      <c r="M67" t="s">
        <v>647</v>
      </c>
      <c r="N67" s="3">
        <v>5</v>
      </c>
      <c r="O67" t="s">
        <v>22</v>
      </c>
      <c r="P67" s="3"/>
    </row>
    <row r="68" spans="1:17" x14ac:dyDescent="0.25">
      <c r="N68" s="3"/>
      <c r="P68" s="3"/>
    </row>
    <row r="69" spans="1:17" x14ac:dyDescent="0.25">
      <c r="A69" s="1" t="s">
        <v>23</v>
      </c>
      <c r="B69" s="1"/>
      <c r="C69" s="1"/>
      <c r="D69" s="1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M70" s="6" t="s">
        <v>24</v>
      </c>
      <c r="N70" s="6">
        <v>0</v>
      </c>
      <c r="O70" s="6" t="s">
        <v>22</v>
      </c>
      <c r="P70" s="6" t="s">
        <v>27</v>
      </c>
    </row>
    <row r="71" spans="1:17" x14ac:dyDescent="0.25">
      <c r="I71" t="s">
        <v>304</v>
      </c>
      <c r="M71" t="s">
        <v>24</v>
      </c>
      <c r="N71" s="21">
        <v>100</v>
      </c>
      <c r="O71" s="21" t="s">
        <v>22</v>
      </c>
      <c r="P71" s="6"/>
    </row>
    <row r="72" spans="1:17" x14ac:dyDescent="0.25">
      <c r="I72" t="s">
        <v>36</v>
      </c>
      <c r="M72" t="s">
        <v>24</v>
      </c>
      <c r="N72" s="3">
        <v>100</v>
      </c>
      <c r="O72" t="s">
        <v>22</v>
      </c>
      <c r="P72" s="3" t="s">
        <v>292</v>
      </c>
    </row>
    <row r="73" spans="1:17" x14ac:dyDescent="0.25">
      <c r="I73" t="s">
        <v>33</v>
      </c>
      <c r="M73" t="s">
        <v>24</v>
      </c>
      <c r="N73" s="3">
        <v>50</v>
      </c>
      <c r="O73" t="s">
        <v>22</v>
      </c>
      <c r="P73" s="3" t="s">
        <v>371</v>
      </c>
    </row>
    <row r="74" spans="1:17" x14ac:dyDescent="0.25">
      <c r="A74" s="1" t="s">
        <v>316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6" spans="1:17" x14ac:dyDescent="0.25">
      <c r="A76" t="s">
        <v>19</v>
      </c>
      <c r="B76" t="s">
        <v>311</v>
      </c>
      <c r="E76" t="s">
        <v>312</v>
      </c>
      <c r="H76" t="s">
        <v>314</v>
      </c>
      <c r="I76" t="s">
        <v>26</v>
      </c>
      <c r="M76" t="s">
        <v>315</v>
      </c>
      <c r="N76" s="21">
        <v>28</v>
      </c>
      <c r="O76" t="s">
        <v>22</v>
      </c>
      <c r="P76" s="21" t="s">
        <v>653</v>
      </c>
      <c r="Q76" t="s">
        <v>676</v>
      </c>
    </row>
    <row r="77" spans="1:17" x14ac:dyDescent="0.25">
      <c r="A77" t="s">
        <v>19</v>
      </c>
      <c r="B77" t="s">
        <v>600</v>
      </c>
      <c r="E77" t="s">
        <v>312</v>
      </c>
      <c r="H77" t="s">
        <v>314</v>
      </c>
      <c r="I77" t="s">
        <v>26</v>
      </c>
      <c r="M77" t="s">
        <v>315</v>
      </c>
      <c r="N77" s="21">
        <v>100</v>
      </c>
      <c r="O77" t="s">
        <v>22</v>
      </c>
      <c r="P77" s="21"/>
      <c r="Q77" t="s">
        <v>676</v>
      </c>
    </row>
    <row r="78" spans="1:17" x14ac:dyDescent="0.25">
      <c r="A78" t="s">
        <v>19</v>
      </c>
      <c r="B78" t="s">
        <v>600</v>
      </c>
      <c r="E78" t="s">
        <v>677</v>
      </c>
      <c r="H78" t="s">
        <v>314</v>
      </c>
      <c r="I78" t="s">
        <v>26</v>
      </c>
      <c r="M78" t="s">
        <v>315</v>
      </c>
      <c r="N78" s="119">
        <f>N77</f>
        <v>100</v>
      </c>
      <c r="O78" t="s">
        <v>22</v>
      </c>
      <c r="P78" s="21" t="s">
        <v>678</v>
      </c>
      <c r="Q78" t="s">
        <v>676</v>
      </c>
    </row>
    <row r="79" spans="1:17" x14ac:dyDescent="0.25">
      <c r="A79" t="s">
        <v>19</v>
      </c>
      <c r="H79" t="s">
        <v>314</v>
      </c>
      <c r="I79" t="s">
        <v>26</v>
      </c>
      <c r="M79" t="s">
        <v>315</v>
      </c>
      <c r="N79" s="21">
        <v>80</v>
      </c>
      <c r="O79" t="s">
        <v>22</v>
      </c>
      <c r="P79" s="21"/>
      <c r="Q79" t="s">
        <v>676</v>
      </c>
    </row>
    <row r="80" spans="1:17" x14ac:dyDescent="0.25">
      <c r="A80" t="s">
        <v>372</v>
      </c>
      <c r="H80" t="s">
        <v>314</v>
      </c>
      <c r="I80" t="s">
        <v>26</v>
      </c>
      <c r="M80" t="s">
        <v>315</v>
      </c>
      <c r="N80" s="21">
        <v>14.5</v>
      </c>
      <c r="O80" t="s">
        <v>22</v>
      </c>
      <c r="P80" s="3"/>
      <c r="Q80" t="s">
        <v>634</v>
      </c>
    </row>
    <row r="81" spans="1:17" x14ac:dyDescent="0.25">
      <c r="A81" t="s">
        <v>376</v>
      </c>
      <c r="H81" t="s">
        <v>314</v>
      </c>
      <c r="I81" t="s">
        <v>26</v>
      </c>
      <c r="M81" t="s">
        <v>315</v>
      </c>
      <c r="N81" s="21">
        <v>100</v>
      </c>
      <c r="O81" t="s">
        <v>22</v>
      </c>
      <c r="P81" s="3"/>
      <c r="Q81" t="s">
        <v>652</v>
      </c>
    </row>
    <row r="82" spans="1:17" x14ac:dyDescent="0.25">
      <c r="A82" t="s">
        <v>376</v>
      </c>
      <c r="D82" t="s">
        <v>646</v>
      </c>
      <c r="H82" t="s">
        <v>314</v>
      </c>
      <c r="I82" t="s">
        <v>26</v>
      </c>
      <c r="M82" t="s">
        <v>315</v>
      </c>
      <c r="N82" s="21">
        <v>66</v>
      </c>
      <c r="O82" t="s">
        <v>22</v>
      </c>
      <c r="P82" s="3"/>
      <c r="Q82" t="s">
        <v>652</v>
      </c>
    </row>
    <row r="83" spans="1:17" x14ac:dyDescent="0.25">
      <c r="A83" t="s">
        <v>376</v>
      </c>
      <c r="D83" t="s">
        <v>646</v>
      </c>
      <c r="E83" t="s">
        <v>480</v>
      </c>
      <c r="H83" t="s">
        <v>314</v>
      </c>
      <c r="I83" t="s">
        <v>26</v>
      </c>
      <c r="M83" t="s">
        <v>315</v>
      </c>
      <c r="N83" s="21">
        <v>69</v>
      </c>
      <c r="O83" t="s">
        <v>22</v>
      </c>
      <c r="P83" s="3"/>
      <c r="Q83" t="s">
        <v>652</v>
      </c>
    </row>
    <row r="84" spans="1:17" x14ac:dyDescent="0.25">
      <c r="N84" s="3"/>
      <c r="P84" s="3"/>
    </row>
    <row r="85" spans="1:17" x14ac:dyDescent="0.25">
      <c r="A85" s="1" t="s">
        <v>375</v>
      </c>
      <c r="B85" s="1"/>
      <c r="C85" s="1"/>
      <c r="D85" s="1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M86" s="6" t="s">
        <v>373</v>
      </c>
      <c r="N86" s="6">
        <v>0</v>
      </c>
      <c r="O86" s="6" t="s">
        <v>22</v>
      </c>
      <c r="P86" s="6" t="s">
        <v>27</v>
      </c>
    </row>
    <row r="87" spans="1:17" x14ac:dyDescent="0.25">
      <c r="M87" s="6" t="s">
        <v>374</v>
      </c>
      <c r="N87" s="6">
        <v>0</v>
      </c>
      <c r="O87" s="6" t="s">
        <v>22</v>
      </c>
      <c r="P87" s="6" t="s">
        <v>27</v>
      </c>
    </row>
    <row r="88" spans="1:17" x14ac:dyDescent="0.25">
      <c r="A88" t="s">
        <v>19</v>
      </c>
      <c r="B88" t="s">
        <v>311</v>
      </c>
      <c r="E88" t="s">
        <v>312</v>
      </c>
      <c r="G88" t="s">
        <v>627</v>
      </c>
      <c r="M88" s="21" t="s">
        <v>373</v>
      </c>
      <c r="N88" s="21">
        <f>(0.8*20+0.2*2)</f>
        <v>16.399999999999999</v>
      </c>
      <c r="O88" s="21" t="s">
        <v>22</v>
      </c>
      <c r="P88" s="21" t="s">
        <v>377</v>
      </c>
      <c r="Q88" t="s">
        <v>634</v>
      </c>
    </row>
    <row r="89" spans="1:17" x14ac:dyDescent="0.25">
      <c r="A89" t="s">
        <v>19</v>
      </c>
      <c r="G89" t="s">
        <v>627</v>
      </c>
      <c r="M89" s="21" t="s">
        <v>373</v>
      </c>
      <c r="N89" s="21">
        <f>(0.6*20+0.4*2)</f>
        <v>12.8</v>
      </c>
      <c r="O89" s="21" t="s">
        <v>22</v>
      </c>
      <c r="P89" s="21" t="s">
        <v>378</v>
      </c>
      <c r="Q89" t="s">
        <v>634</v>
      </c>
    </row>
    <row r="90" spans="1:17" x14ac:dyDescent="0.25">
      <c r="A90" t="s">
        <v>376</v>
      </c>
      <c r="G90" t="s">
        <v>627</v>
      </c>
      <c r="M90" s="21" t="s">
        <v>373</v>
      </c>
      <c r="N90" s="21">
        <v>2</v>
      </c>
      <c r="O90" s="21" t="s">
        <v>22</v>
      </c>
      <c r="P90" s="21" t="s">
        <v>379</v>
      </c>
      <c r="Q90" t="s">
        <v>634</v>
      </c>
    </row>
    <row r="91" spans="1:17" x14ac:dyDescent="0.25">
      <c r="A91" t="s">
        <v>372</v>
      </c>
      <c r="G91" t="s">
        <v>627</v>
      </c>
      <c r="M91" s="21" t="s">
        <v>373</v>
      </c>
      <c r="N91" s="21">
        <v>2</v>
      </c>
      <c r="O91" s="21" t="s">
        <v>22</v>
      </c>
      <c r="P91" s="21" t="s">
        <v>379</v>
      </c>
      <c r="Q91" t="s">
        <v>634</v>
      </c>
    </row>
    <row r="92" spans="1:17" x14ac:dyDescent="0.25">
      <c r="M92" s="21"/>
      <c r="N92" s="21"/>
      <c r="O92" s="21"/>
      <c r="P92" s="21"/>
    </row>
    <row r="93" spans="1:17" x14ac:dyDescent="0.25">
      <c r="A93" t="s">
        <v>19</v>
      </c>
      <c r="B93" t="s">
        <v>311</v>
      </c>
      <c r="E93" t="s">
        <v>312</v>
      </c>
      <c r="G93" t="s">
        <v>627</v>
      </c>
      <c r="M93" s="21" t="s">
        <v>374</v>
      </c>
      <c r="N93" s="21">
        <v>5</v>
      </c>
      <c r="O93" s="21" t="s">
        <v>22</v>
      </c>
      <c r="P93" s="21" t="s">
        <v>380</v>
      </c>
      <c r="Q93" t="s">
        <v>634</v>
      </c>
    </row>
    <row r="94" spans="1:17" x14ac:dyDescent="0.25">
      <c r="A94" t="s">
        <v>19</v>
      </c>
      <c r="E94" t="s">
        <v>313</v>
      </c>
      <c r="G94" t="s">
        <v>627</v>
      </c>
      <c r="M94" s="21" t="s">
        <v>374</v>
      </c>
      <c r="N94" s="21">
        <v>5</v>
      </c>
      <c r="O94" s="21" t="s">
        <v>22</v>
      </c>
      <c r="P94" s="21" t="s">
        <v>380</v>
      </c>
      <c r="Q94" t="s">
        <v>634</v>
      </c>
    </row>
    <row r="95" spans="1:17" x14ac:dyDescent="0.25">
      <c r="A95" t="s">
        <v>19</v>
      </c>
      <c r="G95" t="s">
        <v>627</v>
      </c>
      <c r="M95" s="21" t="s">
        <v>374</v>
      </c>
      <c r="N95" s="21">
        <f>0.9*5+0.1*15</f>
        <v>6</v>
      </c>
      <c r="O95" s="21" t="s">
        <v>22</v>
      </c>
      <c r="P95" s="21" t="s">
        <v>381</v>
      </c>
      <c r="Q95" t="s">
        <v>634</v>
      </c>
    </row>
    <row r="96" spans="1:17" x14ac:dyDescent="0.25">
      <c r="A96" t="s">
        <v>376</v>
      </c>
      <c r="G96" t="s">
        <v>627</v>
      </c>
      <c r="M96" s="21" t="s">
        <v>374</v>
      </c>
      <c r="N96" s="21">
        <v>15</v>
      </c>
      <c r="O96" s="21" t="s">
        <v>22</v>
      </c>
      <c r="P96" s="21"/>
      <c r="Q96" t="s">
        <v>634</v>
      </c>
    </row>
    <row r="97" spans="1:17" x14ac:dyDescent="0.25">
      <c r="A97" t="s">
        <v>372</v>
      </c>
      <c r="G97" t="s">
        <v>627</v>
      </c>
      <c r="M97" s="21" t="s">
        <v>374</v>
      </c>
      <c r="N97" s="21">
        <v>15</v>
      </c>
      <c r="O97" s="21" t="s">
        <v>22</v>
      </c>
      <c r="P97" s="21"/>
      <c r="Q97" t="s">
        <v>634</v>
      </c>
    </row>
    <row r="98" spans="1:17" x14ac:dyDescent="0.25">
      <c r="M98" s="21"/>
      <c r="N98" s="21"/>
      <c r="O98" s="21"/>
      <c r="P98" s="21"/>
    </row>
    <row r="99" spans="1:17" x14ac:dyDescent="0.25">
      <c r="A99" s="22"/>
      <c r="B99" s="22"/>
      <c r="E99" s="22"/>
      <c r="G99" t="s">
        <v>299</v>
      </c>
      <c r="M99" s="21" t="s">
        <v>373</v>
      </c>
      <c r="N99" s="21">
        <v>5</v>
      </c>
      <c r="O99" s="21" t="s">
        <v>22</v>
      </c>
      <c r="P99" s="21"/>
      <c r="Q99" t="s">
        <v>634</v>
      </c>
    </row>
    <row r="100" spans="1:17" x14ac:dyDescent="0.25">
      <c r="A100" s="22" t="str">
        <f>A93</f>
        <v>cattle</v>
      </c>
      <c r="B100" s="22" t="str">
        <f>B93</f>
        <v>dairy</v>
      </c>
      <c r="E100" s="22" t="str">
        <f t="shared" ref="E100:E101" si="0">E93</f>
        <v>cows</v>
      </c>
      <c r="G100" t="s">
        <v>299</v>
      </c>
      <c r="M100" s="22" t="str">
        <f t="shared" ref="M100:Q104" si="1">M93</f>
        <v>feeding_losses</v>
      </c>
      <c r="N100" s="22">
        <f t="shared" si="1"/>
        <v>5</v>
      </c>
      <c r="O100" s="22" t="str">
        <f t="shared" si="1"/>
        <v>%</v>
      </c>
      <c r="P100" s="22" t="str">
        <f t="shared" si="1"/>
        <v>No feeding on pasture</v>
      </c>
      <c r="Q100" s="22" t="str">
        <f t="shared" si="1"/>
        <v>Cederberg &amp; Henriksson (2020)</v>
      </c>
    </row>
    <row r="101" spans="1:17" x14ac:dyDescent="0.25">
      <c r="A101" s="22" t="str">
        <f t="shared" ref="A101:A104" si="2">A94</f>
        <v>cattle</v>
      </c>
      <c r="E101" s="22" t="str">
        <f t="shared" si="0"/>
        <v>bulls</v>
      </c>
      <c r="G101" t="s">
        <v>299</v>
      </c>
      <c r="M101" s="22" t="str">
        <f t="shared" si="1"/>
        <v>feeding_losses</v>
      </c>
      <c r="N101" s="22">
        <f t="shared" si="1"/>
        <v>5</v>
      </c>
      <c r="O101" s="22" t="str">
        <f t="shared" si="1"/>
        <v>%</v>
      </c>
      <c r="P101" s="22" t="str">
        <f t="shared" si="1"/>
        <v>No feeding on pasture</v>
      </c>
      <c r="Q101" s="22" t="str">
        <f t="shared" si="1"/>
        <v>Cederberg &amp; Henriksson (2020)</v>
      </c>
    </row>
    <row r="102" spans="1:17" x14ac:dyDescent="0.25">
      <c r="A102" s="22" t="str">
        <f t="shared" si="2"/>
        <v>cattle</v>
      </c>
      <c r="G102" t="s">
        <v>299</v>
      </c>
      <c r="M102" s="22" t="str">
        <f t="shared" si="1"/>
        <v>feeding_losses</v>
      </c>
      <c r="N102" s="22">
        <f t="shared" si="1"/>
        <v>6</v>
      </c>
      <c r="O102" s="22" t="str">
        <f t="shared" si="1"/>
        <v>%</v>
      </c>
      <c r="P102" s="22" t="str">
        <f t="shared" si="1"/>
        <v>10% feeding on pasture</v>
      </c>
      <c r="Q102" s="22" t="str">
        <f t="shared" si="1"/>
        <v>Cederberg &amp; Henriksson (2020)</v>
      </c>
    </row>
    <row r="103" spans="1:17" x14ac:dyDescent="0.25">
      <c r="A103" s="22" t="str">
        <f t="shared" si="2"/>
        <v>sheep</v>
      </c>
      <c r="G103" t="s">
        <v>299</v>
      </c>
      <c r="M103" s="22" t="str">
        <f t="shared" si="1"/>
        <v>feeding_losses</v>
      </c>
      <c r="N103" s="22">
        <f t="shared" si="1"/>
        <v>15</v>
      </c>
      <c r="O103" s="22" t="str">
        <f t="shared" si="1"/>
        <v>%</v>
      </c>
      <c r="P103" s="22"/>
      <c r="Q103" s="22" t="str">
        <f t="shared" si="1"/>
        <v>Cederberg &amp; Henriksson (2020)</v>
      </c>
    </row>
    <row r="104" spans="1:17" x14ac:dyDescent="0.25">
      <c r="A104" s="22" t="str">
        <f t="shared" si="2"/>
        <v>horses</v>
      </c>
      <c r="G104" t="s">
        <v>299</v>
      </c>
      <c r="M104" s="22" t="str">
        <f t="shared" si="1"/>
        <v>feeding_losses</v>
      </c>
      <c r="N104" s="22">
        <f t="shared" si="1"/>
        <v>15</v>
      </c>
      <c r="O104" s="22" t="str">
        <f t="shared" si="1"/>
        <v>%</v>
      </c>
      <c r="P104" s="22"/>
      <c r="Q104" s="22" t="str">
        <f t="shared" si="1"/>
        <v>Cederberg &amp; Henriksson (2020)</v>
      </c>
    </row>
    <row r="105" spans="1:17" x14ac:dyDescent="0.25">
      <c r="A105" s="22"/>
      <c r="M105" s="22"/>
      <c r="N105" s="22"/>
      <c r="O105" s="22"/>
      <c r="P105" s="22"/>
      <c r="Q105" s="22"/>
    </row>
    <row r="106" spans="1:17" x14ac:dyDescent="0.25">
      <c r="G106" t="s">
        <v>628</v>
      </c>
      <c r="M106" s="21" t="s">
        <v>373</v>
      </c>
      <c r="N106" s="21">
        <v>5</v>
      </c>
      <c r="O106" s="21" t="s">
        <v>22</v>
      </c>
      <c r="P106" s="21"/>
      <c r="Q106" t="s">
        <v>634</v>
      </c>
    </row>
    <row r="107" spans="1:17" x14ac:dyDescent="0.25">
      <c r="A107" s="22" t="str">
        <f>A93</f>
        <v>cattle</v>
      </c>
      <c r="B107" s="22" t="str">
        <f>B93</f>
        <v>dairy</v>
      </c>
      <c r="E107" s="22" t="str">
        <f t="shared" ref="E107:E108" si="3">E93</f>
        <v>cows</v>
      </c>
      <c r="G107" t="s">
        <v>628</v>
      </c>
      <c r="M107" s="22" t="str">
        <f t="shared" ref="M107:Q111" si="4">M93</f>
        <v>feeding_losses</v>
      </c>
      <c r="N107" s="22">
        <f t="shared" si="4"/>
        <v>5</v>
      </c>
      <c r="O107" s="22" t="str">
        <f t="shared" si="4"/>
        <v>%</v>
      </c>
      <c r="P107" s="22" t="str">
        <f t="shared" si="4"/>
        <v>No feeding on pasture</v>
      </c>
      <c r="Q107" s="22" t="str">
        <f t="shared" si="4"/>
        <v>Cederberg &amp; Henriksson (2020)</v>
      </c>
    </row>
    <row r="108" spans="1:17" x14ac:dyDescent="0.25">
      <c r="A108" s="22" t="str">
        <f t="shared" ref="A108:A111" si="5">A94</f>
        <v>cattle</v>
      </c>
      <c r="E108" s="22" t="str">
        <f t="shared" si="3"/>
        <v>bulls</v>
      </c>
      <c r="G108" t="s">
        <v>628</v>
      </c>
      <c r="M108" s="22" t="str">
        <f t="shared" si="4"/>
        <v>feeding_losses</v>
      </c>
      <c r="N108" s="22">
        <f t="shared" si="4"/>
        <v>5</v>
      </c>
      <c r="O108" s="22" t="str">
        <f t="shared" si="4"/>
        <v>%</v>
      </c>
      <c r="P108" s="22" t="str">
        <f t="shared" si="4"/>
        <v>No feeding on pasture</v>
      </c>
      <c r="Q108" s="22" t="str">
        <f t="shared" si="4"/>
        <v>Cederberg &amp; Henriksson (2020)</v>
      </c>
    </row>
    <row r="109" spans="1:17" x14ac:dyDescent="0.25">
      <c r="A109" s="22" t="str">
        <f t="shared" si="5"/>
        <v>cattle</v>
      </c>
      <c r="G109" t="s">
        <v>628</v>
      </c>
      <c r="M109" s="22" t="str">
        <f t="shared" si="4"/>
        <v>feeding_losses</v>
      </c>
      <c r="N109" s="22">
        <f t="shared" si="4"/>
        <v>6</v>
      </c>
      <c r="O109" s="22" t="str">
        <f t="shared" si="4"/>
        <v>%</v>
      </c>
      <c r="P109" s="22" t="str">
        <f t="shared" si="4"/>
        <v>10% feeding on pasture</v>
      </c>
      <c r="Q109" s="22" t="str">
        <f t="shared" si="4"/>
        <v>Cederberg &amp; Henriksson (2020)</v>
      </c>
    </row>
    <row r="110" spans="1:17" x14ac:dyDescent="0.25">
      <c r="A110" s="22" t="str">
        <f t="shared" si="5"/>
        <v>sheep</v>
      </c>
      <c r="G110" t="s">
        <v>628</v>
      </c>
      <c r="M110" s="22" t="str">
        <f t="shared" si="4"/>
        <v>feeding_losses</v>
      </c>
      <c r="N110" s="22">
        <f t="shared" si="4"/>
        <v>15</v>
      </c>
      <c r="O110" s="22" t="str">
        <f t="shared" si="4"/>
        <v>%</v>
      </c>
      <c r="P110" s="21"/>
      <c r="Q110" s="22" t="str">
        <f t="shared" ref="Q110:Q111" si="6">Q96</f>
        <v>Cederberg &amp; Henriksson (2020)</v>
      </c>
    </row>
    <row r="111" spans="1:17" x14ac:dyDescent="0.25">
      <c r="A111" s="22" t="str">
        <f t="shared" si="5"/>
        <v>horses</v>
      </c>
      <c r="G111" t="s">
        <v>628</v>
      </c>
      <c r="M111" s="22" t="str">
        <f t="shared" si="4"/>
        <v>feeding_losses</v>
      </c>
      <c r="N111" s="22">
        <f t="shared" si="4"/>
        <v>15</v>
      </c>
      <c r="O111" s="22" t="str">
        <f t="shared" si="4"/>
        <v>%</v>
      </c>
      <c r="P111" s="21"/>
      <c r="Q111" s="22" t="str">
        <f t="shared" si="6"/>
        <v>Cederberg &amp; Henriksson (2020)</v>
      </c>
    </row>
    <row r="112" spans="1:17" x14ac:dyDescent="0.25">
      <c r="N112" s="3"/>
      <c r="P112" s="21"/>
    </row>
    <row r="113" spans="1:17" x14ac:dyDescent="0.25">
      <c r="A113" s="3"/>
      <c r="G113" t="s">
        <v>629</v>
      </c>
      <c r="M113" s="21" t="s">
        <v>373</v>
      </c>
      <c r="N113" s="21"/>
      <c r="P113" s="3" t="s">
        <v>631</v>
      </c>
    </row>
    <row r="114" spans="1:17" x14ac:dyDescent="0.25">
      <c r="A114" s="3"/>
      <c r="G114" t="s">
        <v>629</v>
      </c>
      <c r="M114" s="21" t="s">
        <v>374</v>
      </c>
      <c r="N114" s="21">
        <v>2</v>
      </c>
      <c r="O114" s="21" t="s">
        <v>22</v>
      </c>
      <c r="P114" s="3" t="s">
        <v>635</v>
      </c>
      <c r="Q114" t="s">
        <v>633</v>
      </c>
    </row>
    <row r="115" spans="1:17" x14ac:dyDescent="0.25">
      <c r="A115" s="3"/>
      <c r="M115" s="21"/>
      <c r="N115" s="21"/>
      <c r="O115" s="21"/>
      <c r="P115" s="3"/>
    </row>
    <row r="116" spans="1:17" x14ac:dyDescent="0.25">
      <c r="A116" s="3"/>
      <c r="G116" t="s">
        <v>630</v>
      </c>
      <c r="M116" s="21" t="s">
        <v>373</v>
      </c>
      <c r="N116" s="21"/>
      <c r="P116" s="3" t="s">
        <v>631</v>
      </c>
    </row>
    <row r="117" spans="1:17" x14ac:dyDescent="0.25">
      <c r="A117" s="3"/>
      <c r="G117" t="s">
        <v>630</v>
      </c>
      <c r="M117" s="21" t="s">
        <v>374</v>
      </c>
      <c r="N117" s="21">
        <v>3</v>
      </c>
      <c r="O117" s="21" t="s">
        <v>22</v>
      </c>
      <c r="P117" s="3" t="s">
        <v>635</v>
      </c>
      <c r="Q117" t="s">
        <v>633</v>
      </c>
    </row>
    <row r="118" spans="1:17" x14ac:dyDescent="0.25">
      <c r="N118" s="3"/>
      <c r="P118" s="21"/>
    </row>
    <row r="119" spans="1:17" x14ac:dyDescent="0.25">
      <c r="A119" s="1" t="s">
        <v>595</v>
      </c>
      <c r="B119" s="1"/>
      <c r="C119" s="1"/>
      <c r="D119" s="1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t="s">
        <v>19</v>
      </c>
      <c r="N120" s="21"/>
      <c r="P120" s="21" t="s">
        <v>596</v>
      </c>
    </row>
    <row r="121" spans="1:17" x14ac:dyDescent="0.25">
      <c r="A121" s="21" t="s">
        <v>376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21" t="s">
        <v>481</v>
      </c>
      <c r="N121" s="21">
        <v>6.7</v>
      </c>
      <c r="O121" s="21" t="s">
        <v>482</v>
      </c>
      <c r="P121" s="3"/>
      <c r="Q121" t="s">
        <v>654</v>
      </c>
    </row>
    <row r="122" spans="1:17" x14ac:dyDescent="0.25">
      <c r="A122" t="s">
        <v>372</v>
      </c>
      <c r="M122" t="s">
        <v>483</v>
      </c>
      <c r="N122" s="21">
        <v>18</v>
      </c>
      <c r="O122" t="s">
        <v>484</v>
      </c>
      <c r="P122" s="3"/>
      <c r="Q122" t="s">
        <v>485</v>
      </c>
    </row>
    <row r="123" spans="1:17" x14ac:dyDescent="0.25">
      <c r="A123" t="s">
        <v>20</v>
      </c>
      <c r="M123" t="s">
        <v>483</v>
      </c>
      <c r="N123" s="21">
        <v>1.5</v>
      </c>
      <c r="O123" t="s">
        <v>484</v>
      </c>
      <c r="P123" s="3"/>
      <c r="Q123" t="s">
        <v>485</v>
      </c>
    </row>
    <row r="124" spans="1:17" x14ac:dyDescent="0.25">
      <c r="A124" t="s">
        <v>369</v>
      </c>
      <c r="M124" t="s">
        <v>483</v>
      </c>
      <c r="N124" s="21">
        <v>0</v>
      </c>
      <c r="O124" t="s">
        <v>484</v>
      </c>
      <c r="P124" s="3"/>
      <c r="Q124" t="s">
        <v>485</v>
      </c>
    </row>
    <row r="125" spans="1:17" x14ac:dyDescent="0.25">
      <c r="N125" s="21"/>
      <c r="P125" s="3"/>
    </row>
    <row r="126" spans="1:17" x14ac:dyDescent="0.25">
      <c r="M126" t="s">
        <v>597</v>
      </c>
      <c r="N126" s="21">
        <v>1</v>
      </c>
      <c r="O126" s="21" t="s">
        <v>598</v>
      </c>
      <c r="P126" s="21" t="s">
        <v>599</v>
      </c>
      <c r="Q126" s="21"/>
    </row>
    <row r="127" spans="1:17" x14ac:dyDescent="0.25">
      <c r="A127" t="s">
        <v>19</v>
      </c>
      <c r="M127" t="s">
        <v>597</v>
      </c>
      <c r="N127" s="21">
        <v>1</v>
      </c>
      <c r="O127" s="21" t="s">
        <v>598</v>
      </c>
      <c r="P127" s="21"/>
      <c r="Q127" s="21"/>
    </row>
    <row r="128" spans="1:17" x14ac:dyDescent="0.25">
      <c r="A128" t="s">
        <v>19</v>
      </c>
      <c r="B128" t="s">
        <v>311</v>
      </c>
      <c r="E128" t="s">
        <v>312</v>
      </c>
      <c r="M128" t="s">
        <v>597</v>
      </c>
      <c r="N128" s="21">
        <v>1</v>
      </c>
      <c r="O128" s="21" t="s">
        <v>598</v>
      </c>
      <c r="P128" s="21"/>
      <c r="Q128" s="21"/>
    </row>
    <row r="129" spans="1:17" x14ac:dyDescent="0.25">
      <c r="A129" t="s">
        <v>19</v>
      </c>
      <c r="B129" t="s">
        <v>311</v>
      </c>
      <c r="E129" t="s">
        <v>313</v>
      </c>
      <c r="M129" t="s">
        <v>597</v>
      </c>
      <c r="N129" s="21">
        <v>1</v>
      </c>
      <c r="O129" s="21" t="s">
        <v>598</v>
      </c>
      <c r="P129" s="21"/>
      <c r="Q129" s="21"/>
    </row>
    <row r="130" spans="1:17" x14ac:dyDescent="0.25">
      <c r="A130" t="s">
        <v>19</v>
      </c>
      <c r="B130" t="s">
        <v>600</v>
      </c>
      <c r="E130" t="s">
        <v>313</v>
      </c>
      <c r="M130" t="s">
        <v>597</v>
      </c>
      <c r="N130" s="21">
        <v>1</v>
      </c>
      <c r="O130" s="21" t="s">
        <v>598</v>
      </c>
      <c r="P130" s="21"/>
      <c r="Q130" s="21"/>
    </row>
    <row r="131" spans="1:17" x14ac:dyDescent="0.25">
      <c r="N131" s="3"/>
      <c r="P131" s="3"/>
    </row>
    <row r="132" spans="1:17" x14ac:dyDescent="0.25">
      <c r="A132" s="106" t="s">
        <v>656</v>
      </c>
      <c r="B132" s="106"/>
      <c r="C132" s="106"/>
      <c r="D132" s="106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 t="s">
        <v>291</v>
      </c>
      <c r="Q132" s="107"/>
    </row>
    <row r="133" spans="1:17" x14ac:dyDescent="0.25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10" t="s">
        <v>612</v>
      </c>
      <c r="M133" s="109"/>
      <c r="N133" s="109"/>
      <c r="O133" s="109"/>
      <c r="P133" s="109"/>
      <c r="Q133" s="109"/>
    </row>
    <row r="134" spans="1:17" x14ac:dyDescent="0.25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 t="s">
        <v>370</v>
      </c>
      <c r="N134" s="111" t="s">
        <v>609</v>
      </c>
      <c r="O134" s="109" t="s">
        <v>593</v>
      </c>
      <c r="P134" s="112"/>
      <c r="Q134" s="109"/>
    </row>
    <row r="135" spans="1:17" x14ac:dyDescent="0.25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 t="s">
        <v>471</v>
      </c>
      <c r="N135" s="111" t="s">
        <v>609</v>
      </c>
      <c r="O135" s="109" t="s">
        <v>592</v>
      </c>
      <c r="P135" s="112"/>
      <c r="Q135" s="109"/>
    </row>
    <row r="136" spans="1:17" x14ac:dyDescent="0.25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13" t="s">
        <v>603</v>
      </c>
      <c r="N136" s="111" t="s">
        <v>609</v>
      </c>
      <c r="O136" s="109"/>
      <c r="P136" s="109"/>
      <c r="Q136" s="109"/>
    </row>
    <row r="137" spans="1:17" x14ac:dyDescent="0.25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13" t="s">
        <v>604</v>
      </c>
      <c r="N137" s="111" t="s">
        <v>609</v>
      </c>
      <c r="O137" s="109"/>
      <c r="P137" s="109"/>
      <c r="Q137" s="109"/>
    </row>
    <row r="138" spans="1:17" x14ac:dyDescent="0.25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13" t="s">
        <v>605</v>
      </c>
      <c r="N138" s="111" t="s">
        <v>609</v>
      </c>
      <c r="O138" s="109"/>
      <c r="P138" s="109"/>
      <c r="Q138" s="109"/>
    </row>
    <row r="139" spans="1:17" x14ac:dyDescent="0.25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13" t="s">
        <v>606</v>
      </c>
      <c r="N139" s="111" t="s">
        <v>609</v>
      </c>
      <c r="O139" s="109"/>
      <c r="P139" s="112"/>
      <c r="Q139" s="109"/>
    </row>
    <row r="140" spans="1:17" x14ac:dyDescent="0.25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10" t="s">
        <v>611</v>
      </c>
      <c r="M140" s="109"/>
      <c r="N140" s="109"/>
      <c r="O140" s="109"/>
      <c r="P140" s="109"/>
      <c r="Q140" s="109"/>
    </row>
    <row r="141" spans="1:17" x14ac:dyDescent="0.25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 t="s">
        <v>17</v>
      </c>
      <c r="N141" s="111" t="s">
        <v>610</v>
      </c>
      <c r="O141" s="109" t="s">
        <v>617</v>
      </c>
      <c r="P141" s="111" t="s">
        <v>590</v>
      </c>
      <c r="Q141" s="109"/>
    </row>
    <row r="142" spans="1:17" x14ac:dyDescent="0.25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 t="s">
        <v>583</v>
      </c>
      <c r="N142" s="111" t="s">
        <v>610</v>
      </c>
      <c r="O142" s="109" t="s">
        <v>591</v>
      </c>
      <c r="P142" s="112"/>
      <c r="Q142" s="109"/>
    </row>
    <row r="143" spans="1:17" x14ac:dyDescent="0.25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 t="s">
        <v>472</v>
      </c>
      <c r="N143" s="111" t="s">
        <v>610</v>
      </c>
      <c r="O143" s="109" t="s">
        <v>473</v>
      </c>
      <c r="P143" s="111" t="s">
        <v>474</v>
      </c>
      <c r="Q143" s="109"/>
    </row>
    <row r="144" spans="1:17" x14ac:dyDescent="0.25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10" t="s">
        <v>613</v>
      </c>
      <c r="M144" s="109"/>
      <c r="N144" s="109"/>
      <c r="O144" s="109"/>
      <c r="P144" s="109"/>
      <c r="Q144" s="109"/>
    </row>
    <row r="145" spans="1:17" x14ac:dyDescent="0.25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 t="s">
        <v>17</v>
      </c>
      <c r="N145" s="111" t="s">
        <v>620</v>
      </c>
      <c r="O145" s="109" t="s">
        <v>617</v>
      </c>
      <c r="P145" s="111" t="s">
        <v>590</v>
      </c>
      <c r="Q145" s="109"/>
    </row>
    <row r="146" spans="1:17" x14ac:dyDescent="0.25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 t="s">
        <v>583</v>
      </c>
      <c r="N146" s="111" t="s">
        <v>620</v>
      </c>
      <c r="O146" s="109" t="s">
        <v>591</v>
      </c>
      <c r="P146" s="112"/>
      <c r="Q146" s="109"/>
    </row>
    <row r="147" spans="1:17" x14ac:dyDescent="0.25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10" t="s">
        <v>614</v>
      </c>
      <c r="M147" s="109"/>
      <c r="N147" s="109"/>
      <c r="O147" s="109"/>
      <c r="P147" s="109"/>
      <c r="Q147" s="109"/>
    </row>
    <row r="148" spans="1:17" x14ac:dyDescent="0.25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 t="s">
        <v>17</v>
      </c>
      <c r="N148" s="111" t="s">
        <v>621</v>
      </c>
      <c r="O148" s="109" t="s">
        <v>617</v>
      </c>
      <c r="P148" s="111" t="s">
        <v>590</v>
      </c>
      <c r="Q148" s="109"/>
    </row>
    <row r="149" spans="1:17" x14ac:dyDescent="0.25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 t="s">
        <v>583</v>
      </c>
      <c r="N149" s="111" t="s">
        <v>621</v>
      </c>
      <c r="O149" s="109" t="s">
        <v>591</v>
      </c>
      <c r="P149" s="112"/>
      <c r="Q149" s="109"/>
    </row>
    <row r="150" spans="1:17" x14ac:dyDescent="0.25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10" t="s">
        <v>615</v>
      </c>
      <c r="M150" s="109"/>
      <c r="N150" s="109"/>
      <c r="O150" s="109"/>
      <c r="P150" s="109"/>
      <c r="Q150" s="109"/>
    </row>
    <row r="151" spans="1:17" x14ac:dyDescent="0.25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 t="s">
        <v>17</v>
      </c>
      <c r="N151" s="111" t="s">
        <v>622</v>
      </c>
      <c r="O151" s="109" t="s">
        <v>618</v>
      </c>
      <c r="P151" s="111" t="s">
        <v>590</v>
      </c>
      <c r="Q151" s="109"/>
    </row>
    <row r="152" spans="1:17" x14ac:dyDescent="0.25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 t="s">
        <v>583</v>
      </c>
      <c r="N152" s="111" t="s">
        <v>622</v>
      </c>
      <c r="O152" s="109" t="s">
        <v>591</v>
      </c>
      <c r="P152" s="112"/>
      <c r="Q152" s="109"/>
    </row>
    <row r="153" spans="1:17" x14ac:dyDescent="0.25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10" t="s">
        <v>616</v>
      </c>
      <c r="M153" s="109"/>
      <c r="N153" s="109"/>
      <c r="O153" s="109"/>
      <c r="P153" s="109"/>
      <c r="Q153" s="109"/>
    </row>
    <row r="154" spans="1:17" x14ac:dyDescent="0.25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 t="s">
        <v>608</v>
      </c>
      <c r="N154" s="111" t="s">
        <v>623</v>
      </c>
      <c r="O154" s="109" t="s">
        <v>619</v>
      </c>
      <c r="P154" s="111"/>
      <c r="Q154" s="109"/>
    </row>
    <row r="156" spans="1:17" x14ac:dyDescent="0.25">
      <c r="M156" s="5" t="s">
        <v>672</v>
      </c>
      <c r="N156" s="108" t="s">
        <v>673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6" activePane="bottomRight" state="frozen"/>
      <selection activeCell="B1" sqref="B1"/>
      <selection pane="topRight" activeCell="C1" sqref="C1"/>
      <selection pane="bottomLeft" activeCell="B6" sqref="B6"/>
      <selection pane="bottomRight" activeCell="V50" sqref="V50"/>
    </sheetView>
  </sheetViews>
  <sheetFormatPr defaultRowHeight="15" x14ac:dyDescent="0.25"/>
  <cols>
    <col min="2" max="2" width="27" bestFit="1" customWidth="1"/>
    <col min="3" max="10" width="7.5703125" customWidth="1"/>
    <col min="28" max="28" width="7.5703125" customWidth="1"/>
    <col min="46" max="46" width="10.28515625" customWidth="1"/>
  </cols>
  <sheetData>
    <row r="1" spans="2:47" x14ac:dyDescent="0.25">
      <c r="B1" t="s">
        <v>466</v>
      </c>
      <c r="C1" s="7" t="s">
        <v>111</v>
      </c>
      <c r="D1" s="7"/>
      <c r="E1" s="7"/>
      <c r="F1" s="7"/>
      <c r="G1" s="7"/>
      <c r="H1" s="7"/>
      <c r="I1" s="7"/>
      <c r="J1" s="7"/>
      <c r="AB1" s="7"/>
    </row>
    <row r="2" spans="2:47" x14ac:dyDescent="0.25">
      <c r="B2" t="s">
        <v>287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>
        <v>7</v>
      </c>
      <c r="J2">
        <v>8</v>
      </c>
      <c r="K2">
        <v>9</v>
      </c>
      <c r="L2">
        <v>10</v>
      </c>
      <c r="M2">
        <v>11</v>
      </c>
      <c r="N2" s="4">
        <v>12</v>
      </c>
      <c r="O2" s="4">
        <v>13</v>
      </c>
      <c r="P2" s="4">
        <v>14</v>
      </c>
      <c r="Q2" s="4">
        <v>15</v>
      </c>
      <c r="R2">
        <v>16</v>
      </c>
      <c r="S2" s="4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 s="4">
        <v>29</v>
      </c>
      <c r="AF2" s="4">
        <v>30</v>
      </c>
      <c r="AG2" s="4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 s="4">
        <v>44</v>
      </c>
    </row>
    <row r="3" spans="2:47" x14ac:dyDescent="0.25">
      <c r="C3" s="41" t="s">
        <v>294</v>
      </c>
      <c r="D3" s="42"/>
      <c r="E3" s="42"/>
      <c r="F3" s="42"/>
      <c r="G3" s="42"/>
      <c r="H3" s="42"/>
      <c r="K3" s="41" t="s">
        <v>464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56" t="s">
        <v>478</v>
      </c>
      <c r="W3" s="42">
        <f>1/6.25</f>
        <v>0.16</v>
      </c>
      <c r="X3" s="42"/>
      <c r="Y3" s="42"/>
      <c r="AB3" s="41" t="s">
        <v>20</v>
      </c>
      <c r="AC3" s="42"/>
      <c r="AD3" s="42"/>
      <c r="AE3" s="42"/>
      <c r="AF3" s="42"/>
      <c r="AG3" s="42"/>
      <c r="AH3" s="42"/>
      <c r="AI3" s="42"/>
      <c r="AJ3" s="42"/>
      <c r="AK3" s="56" t="s">
        <v>478</v>
      </c>
      <c r="AL3" s="42">
        <f>1/6.25</f>
        <v>0.16</v>
      </c>
      <c r="AM3" s="42"/>
      <c r="AN3" s="42"/>
      <c r="AR3" s="41" t="s">
        <v>369</v>
      </c>
      <c r="AS3" s="42"/>
      <c r="AT3" s="42"/>
    </row>
    <row r="4" spans="2:47" x14ac:dyDescent="0.25">
      <c r="C4" s="40"/>
      <c r="D4" s="2"/>
      <c r="E4" s="2"/>
      <c r="F4" s="2"/>
      <c r="G4" s="2"/>
      <c r="H4" s="2"/>
      <c r="K4" s="45" t="s">
        <v>287</v>
      </c>
      <c r="L4" s="46">
        <v>1</v>
      </c>
      <c r="M4" s="46" t="s">
        <v>561</v>
      </c>
      <c r="N4" s="46">
        <v>2</v>
      </c>
      <c r="O4" s="46">
        <v>3</v>
      </c>
      <c r="P4" s="46">
        <v>4</v>
      </c>
      <c r="Q4" s="46">
        <v>6</v>
      </c>
      <c r="R4" s="46">
        <v>7</v>
      </c>
      <c r="S4" s="46">
        <v>8</v>
      </c>
      <c r="T4" s="46">
        <v>9</v>
      </c>
      <c r="U4" s="46">
        <v>11</v>
      </c>
      <c r="V4" s="46">
        <v>10</v>
      </c>
      <c r="W4" s="46"/>
      <c r="X4" s="46">
        <v>26</v>
      </c>
      <c r="Y4" s="46">
        <v>28</v>
      </c>
      <c r="Z4" s="4"/>
      <c r="AA4" s="4"/>
      <c r="AB4" s="45" t="s">
        <v>287</v>
      </c>
      <c r="AC4" s="46">
        <v>1</v>
      </c>
      <c r="AD4" s="46" t="s">
        <v>561</v>
      </c>
      <c r="AE4" s="46" t="s">
        <v>560</v>
      </c>
      <c r="AF4" s="46">
        <v>2</v>
      </c>
      <c r="AG4" s="46">
        <v>3</v>
      </c>
      <c r="AH4" s="46">
        <v>5</v>
      </c>
      <c r="AI4" s="46">
        <v>6</v>
      </c>
      <c r="AJ4" s="46"/>
      <c r="AK4" s="46">
        <v>12</v>
      </c>
      <c r="AL4" s="46"/>
      <c r="AM4" s="46">
        <v>29</v>
      </c>
      <c r="AN4" s="46">
        <v>31</v>
      </c>
      <c r="AO4" s="4"/>
      <c r="AP4" s="4"/>
      <c r="AQ4" s="4"/>
      <c r="AR4" s="45" t="s">
        <v>287</v>
      </c>
      <c r="AS4" s="46">
        <v>1</v>
      </c>
      <c r="AT4" s="46">
        <v>2</v>
      </c>
    </row>
    <row r="5" spans="2:47" x14ac:dyDescent="0.25">
      <c r="B5" s="4" t="s">
        <v>51</v>
      </c>
      <c r="C5" s="47" t="s">
        <v>52</v>
      </c>
      <c r="D5" s="49" t="s">
        <v>382</v>
      </c>
      <c r="E5" s="48" t="s">
        <v>602</v>
      </c>
      <c r="F5" s="48" t="s">
        <v>475</v>
      </c>
      <c r="G5" s="48" t="s">
        <v>476</v>
      </c>
      <c r="H5" s="49" t="s">
        <v>477</v>
      </c>
      <c r="I5" s="51" t="s">
        <v>467</v>
      </c>
      <c r="K5" s="45" t="s">
        <v>288</v>
      </c>
      <c r="L5" s="47" t="s">
        <v>52</v>
      </c>
      <c r="M5" s="48" t="s">
        <v>470</v>
      </c>
      <c r="N5" s="48" t="s">
        <v>469</v>
      </c>
      <c r="O5" s="48" t="s">
        <v>270</v>
      </c>
      <c r="P5" s="48" t="s">
        <v>271</v>
      </c>
      <c r="Q5" s="48" t="s">
        <v>487</v>
      </c>
      <c r="R5" s="47" t="s">
        <v>385</v>
      </c>
      <c r="S5" s="48" t="s">
        <v>386</v>
      </c>
      <c r="T5" s="48" t="s">
        <v>387</v>
      </c>
      <c r="U5" s="48" t="s">
        <v>275</v>
      </c>
      <c r="V5" s="49" t="s">
        <v>462</v>
      </c>
      <c r="W5" s="48" t="s">
        <v>475</v>
      </c>
      <c r="X5" s="48" t="s">
        <v>476</v>
      </c>
      <c r="Y5" s="49" t="s">
        <v>477</v>
      </c>
      <c r="Z5" s="76" t="s">
        <v>467</v>
      </c>
      <c r="AB5" s="45" t="s">
        <v>288</v>
      </c>
      <c r="AC5" s="47" t="s">
        <v>52</v>
      </c>
      <c r="AD5" s="48" t="s">
        <v>470</v>
      </c>
      <c r="AE5" s="71" t="s">
        <v>487</v>
      </c>
      <c r="AF5" s="48" t="s">
        <v>114</v>
      </c>
      <c r="AG5" s="48" t="s">
        <v>113</v>
      </c>
      <c r="AH5" s="47" t="s">
        <v>385</v>
      </c>
      <c r="AI5" s="48" t="s">
        <v>386</v>
      </c>
      <c r="AJ5" s="48" t="s">
        <v>468</v>
      </c>
      <c r="AK5" s="49" t="s">
        <v>462</v>
      </c>
      <c r="AL5" s="48" t="s">
        <v>475</v>
      </c>
      <c r="AM5" s="48" t="s">
        <v>476</v>
      </c>
      <c r="AN5" s="49" t="s">
        <v>477</v>
      </c>
      <c r="AO5" s="76" t="s">
        <v>467</v>
      </c>
      <c r="AP5" s="70" t="s">
        <v>554</v>
      </c>
      <c r="AQ5" s="4"/>
      <c r="AR5" s="45" t="s">
        <v>288</v>
      </c>
      <c r="AS5" s="94" t="s">
        <v>52</v>
      </c>
      <c r="AT5" s="93" t="s">
        <v>601</v>
      </c>
      <c r="AU5" s="51" t="s">
        <v>467</v>
      </c>
    </row>
    <row r="6" spans="2:47" x14ac:dyDescent="0.25">
      <c r="B6" t="s">
        <v>297</v>
      </c>
      <c r="C6" s="27">
        <f t="shared" ref="C6:C11" si="0">AVERAGE(AC6,L6)</f>
        <v>100</v>
      </c>
      <c r="D6" s="100">
        <f t="shared" ref="D6:D11" si="1">M6</f>
        <v>17.316948400000001</v>
      </c>
      <c r="E6" s="43">
        <f>AVERAGE(V6,AK6)/1000*100</f>
        <v>7.55</v>
      </c>
      <c r="F6" s="28">
        <f>AVERAGE(W6,AL6)</f>
        <v>2.4239999999999999</v>
      </c>
      <c r="G6" s="58">
        <f>AVERAGE(X6,AM6)</f>
        <v>0.27999999999999997</v>
      </c>
      <c r="H6" s="59">
        <f>AVERAGE(Y6,AN6)</f>
        <v>2.4250000000000003</v>
      </c>
      <c r="K6" s="45"/>
      <c r="L6" s="27">
        <v>100</v>
      </c>
      <c r="M6" s="52">
        <f t="shared" ref="M6:M11" si="2">( 5.7*R6+9.4*S6+4.1*(T6+U6) ) * 0.004184</f>
        <v>17.316948400000001</v>
      </c>
      <c r="N6" s="28">
        <f>AVERAGE('ruminants, roughage'!D21:D22)</f>
        <v>11.3</v>
      </c>
      <c r="O6" s="28">
        <f>AVERAGE('ruminants, roughage'!E21:E22)</f>
        <v>72</v>
      </c>
      <c r="P6" s="28">
        <f>AVERAGE('ruminants, roughage'!F21:F22)</f>
        <v>26.5</v>
      </c>
      <c r="Q6" s="28">
        <f>AVERAGE('ruminants, roughage'!H21:H22)</f>
        <v>13.35</v>
      </c>
      <c r="R6" s="44">
        <f>AVERAGE('ruminants, roughage'!I21:I22)</f>
        <v>151.5</v>
      </c>
      <c r="S6" s="34">
        <v>20</v>
      </c>
      <c r="T6" s="29"/>
      <c r="U6" s="31">
        <f>1000-SUM(R6:T6,V6)</f>
        <v>753</v>
      </c>
      <c r="V6" s="32">
        <f>AVERAGE('ruminants, roughage'!K21:K22)</f>
        <v>75.5</v>
      </c>
      <c r="W6" s="28">
        <f>R6*W$3/1000*100</f>
        <v>2.4239999999999999</v>
      </c>
      <c r="X6" s="58">
        <f>AVERAGE('ruminants, roughage'!X21:X22)/1000*100</f>
        <v>0.27999999999999997</v>
      </c>
      <c r="Y6" s="59">
        <f>AVERAGE('ruminants, roughage'!Z21:Z22)/1000*100</f>
        <v>2.4250000000000003</v>
      </c>
      <c r="Z6" s="78"/>
      <c r="AB6" s="45"/>
      <c r="AC6" s="27"/>
      <c r="AD6" s="37"/>
      <c r="AE6" s="37"/>
      <c r="AF6" s="37"/>
      <c r="AG6" s="37"/>
      <c r="AH6" s="27"/>
      <c r="AI6" s="37"/>
      <c r="AJ6" s="37"/>
      <c r="AK6" s="38"/>
      <c r="AL6" s="29"/>
      <c r="AM6" s="29"/>
      <c r="AN6" s="32"/>
      <c r="AO6" s="77"/>
      <c r="AQ6" t="s">
        <v>465</v>
      </c>
      <c r="AR6" s="45"/>
      <c r="AS6" s="95"/>
      <c r="AT6" s="38"/>
    </row>
    <row r="7" spans="2:47" x14ac:dyDescent="0.25">
      <c r="B7" t="s">
        <v>298</v>
      </c>
      <c r="C7" s="27">
        <f t="shared" si="0"/>
        <v>100</v>
      </c>
      <c r="D7" s="100">
        <f t="shared" si="1"/>
        <v>17.150216</v>
      </c>
      <c r="E7" s="43">
        <f t="shared" ref="E7:E48" si="3">AVERAGE(V7,AK7)/1000*100</f>
        <v>7.8</v>
      </c>
      <c r="F7" s="28">
        <f t="shared" ref="F7:F13" si="4">AVERAGE(W7,AL7)</f>
        <v>2.1280000000000001</v>
      </c>
      <c r="G7" s="58">
        <f t="shared" ref="G7:G13" si="5">AVERAGE(X7,AM7)</f>
        <v>0.27</v>
      </c>
      <c r="H7" s="59">
        <f t="shared" ref="H7:H13" si="6">AVERAGE(Y7,AN7)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roughage'!E25:E25)</f>
        <v>69</v>
      </c>
      <c r="P7" s="28">
        <f>AVERAGE('ruminants, roughage'!F25:F25)</f>
        <v>14</v>
      </c>
      <c r="Q7" s="28">
        <f>AVERAGE('ruminants, roughage'!H22:H23)</f>
        <v>11.899999999999999</v>
      </c>
      <c r="R7" s="44">
        <f>AVERAGE('ruminants, roughage'!I25:I25)</f>
        <v>133</v>
      </c>
      <c r="S7" s="34">
        <v>20</v>
      </c>
      <c r="T7" s="29"/>
      <c r="U7" s="31">
        <f t="shared" ref="U7:U11" si="7">1000-SUM(R7:T7,V7)</f>
        <v>769</v>
      </c>
      <c r="V7" s="32">
        <f>AVERAGE('ruminants, roughage'!K25:K25)</f>
        <v>78</v>
      </c>
      <c r="W7" s="28">
        <f t="shared" ref="W7:W45" si="8">R7*W$3/1000*100</f>
        <v>2.1280000000000001</v>
      </c>
      <c r="X7" s="58">
        <f>AVERAGE('ruminants, roughage'!X25:X25)/1000*100</f>
        <v>0.27</v>
      </c>
      <c r="Y7" s="59">
        <f>AVERAGE('ruminants, roughage'!Z25:Z25)/1000*100</f>
        <v>2.34</v>
      </c>
      <c r="Z7" s="78"/>
      <c r="AB7" s="45"/>
      <c r="AC7" s="27"/>
      <c r="AD7" s="37"/>
      <c r="AE7" s="37"/>
      <c r="AF7" s="37"/>
      <c r="AG7" s="37"/>
      <c r="AH7" s="27"/>
      <c r="AI7" s="37"/>
      <c r="AJ7" s="37"/>
      <c r="AK7" s="38"/>
      <c r="AL7" s="29"/>
      <c r="AM7" s="29"/>
      <c r="AN7" s="32"/>
      <c r="AO7" s="77"/>
      <c r="AQ7" t="s">
        <v>465</v>
      </c>
      <c r="AR7" s="45"/>
      <c r="AS7" s="27"/>
      <c r="AT7" s="38"/>
    </row>
    <row r="8" spans="2:47" x14ac:dyDescent="0.25">
      <c r="B8" t="s">
        <v>299</v>
      </c>
      <c r="C8" s="27">
        <f t="shared" si="0"/>
        <v>100</v>
      </c>
      <c r="D8" s="100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/>
      <c r="P8" s="33"/>
      <c r="Q8" s="33">
        <f>AVERAGE('ruminants, roughage'!H23:H24)</f>
        <v>10.75</v>
      </c>
      <c r="R8" s="54">
        <f>(91+102)/2</f>
        <v>96.5</v>
      </c>
      <c r="S8" s="34">
        <f>(22+23)/2</f>
        <v>22.5</v>
      </c>
      <c r="T8" s="30"/>
      <c r="U8" s="31">
        <f t="shared" si="7"/>
        <v>793</v>
      </c>
      <c r="V8" s="35">
        <f>(83+93)/2</f>
        <v>88</v>
      </c>
      <c r="W8" s="28">
        <f>R8*W$3/1000*100</f>
        <v>1.5439999999999998</v>
      </c>
      <c r="X8" s="58">
        <f>(2+2.2)/2/1000*100</f>
        <v>0.21000000000000002</v>
      </c>
      <c r="Y8" s="59">
        <f>(20.3+26.7)/2/1000*100</f>
        <v>2.35</v>
      </c>
      <c r="Z8" s="78" t="s">
        <v>463</v>
      </c>
      <c r="AA8" t="s">
        <v>465</v>
      </c>
      <c r="AB8" s="45"/>
      <c r="AC8" s="27"/>
      <c r="AD8" s="37"/>
      <c r="AE8" s="37"/>
      <c r="AF8" s="37"/>
      <c r="AG8" s="37"/>
      <c r="AH8" s="27"/>
      <c r="AI8" s="37"/>
      <c r="AJ8" s="37"/>
      <c r="AK8" s="38"/>
      <c r="AL8" s="30"/>
      <c r="AM8" s="30"/>
      <c r="AN8" s="35"/>
      <c r="AO8" s="77"/>
      <c r="AQ8" t="s">
        <v>465</v>
      </c>
      <c r="AR8" s="45"/>
      <c r="AS8" s="27"/>
      <c r="AT8" s="38"/>
    </row>
    <row r="9" spans="2:47" x14ac:dyDescent="0.25">
      <c r="B9" t="s">
        <v>2</v>
      </c>
      <c r="C9" s="27">
        <f t="shared" si="0"/>
        <v>100</v>
      </c>
      <c r="D9" s="100">
        <f t="shared" si="1"/>
        <v>17.160257599999998</v>
      </c>
      <c r="E9" s="43">
        <f t="shared" si="3"/>
        <v>6.2</v>
      </c>
      <c r="F9" s="28">
        <f>AVERAGE(W9,AL9)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roughage'!E33:E33)</f>
        <v>66</v>
      </c>
      <c r="P9" s="28">
        <f>AVERAGE('ruminants, roughage'!F33:F33)</f>
        <v>-19</v>
      </c>
      <c r="Q9" s="28">
        <f>AVERAGE('ruminants, roughage'!H24:H25)</f>
        <v>11.8</v>
      </c>
      <c r="R9" s="44">
        <f>AVERAGE('ruminants, roughage'!I33:I33)</f>
        <v>93.5</v>
      </c>
      <c r="S9" s="34">
        <v>20</v>
      </c>
      <c r="T9" s="29"/>
      <c r="U9" s="31">
        <f t="shared" si="7"/>
        <v>824.5</v>
      </c>
      <c r="V9" s="32">
        <f>AVERAGE('ruminants, roughage'!K33:K33)</f>
        <v>62</v>
      </c>
      <c r="W9" s="28">
        <f>R9*W$3/1000*100</f>
        <v>1.496</v>
      </c>
      <c r="X9" s="58">
        <f>AVERAGE('ruminants, roughage'!X33:X33)/1000*100</f>
        <v>0.21000000000000002</v>
      </c>
      <c r="Y9" s="59">
        <f>AVERAGE('ruminants, roughage'!Z33:Z33)/1000*100</f>
        <v>1.81</v>
      </c>
      <c r="Z9" s="78"/>
      <c r="AB9" s="45"/>
      <c r="AC9" s="27"/>
      <c r="AD9" s="37"/>
      <c r="AE9" s="37"/>
      <c r="AF9" s="37"/>
      <c r="AG9" s="37"/>
      <c r="AH9" s="27"/>
      <c r="AI9" s="37"/>
      <c r="AJ9" s="37"/>
      <c r="AK9" s="38"/>
      <c r="AL9" s="29"/>
      <c r="AM9" s="29"/>
      <c r="AN9" s="32"/>
      <c r="AO9" s="77"/>
      <c r="AQ9" t="s">
        <v>465</v>
      </c>
      <c r="AR9" s="45"/>
      <c r="AS9" s="27"/>
      <c r="AT9" s="38"/>
    </row>
    <row r="10" spans="2:47" x14ac:dyDescent="0.25">
      <c r="B10" t="s">
        <v>11</v>
      </c>
      <c r="C10" s="27">
        <f t="shared" si="0"/>
        <v>100</v>
      </c>
      <c r="D10" s="100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/>
      <c r="P10" s="28"/>
      <c r="Q10" s="28">
        <f>AVERAGE('ruminants, roughage'!H25:H26)</f>
        <v>12.3</v>
      </c>
      <c r="R10" s="44">
        <v>68</v>
      </c>
      <c r="S10" s="29">
        <v>30</v>
      </c>
      <c r="T10" s="29">
        <v>198</v>
      </c>
      <c r="U10" s="31">
        <f t="shared" si="7"/>
        <v>668</v>
      </c>
      <c r="V10" s="32">
        <v>36</v>
      </c>
      <c r="W10" s="28">
        <f t="shared" si="8"/>
        <v>1.0880000000000001</v>
      </c>
      <c r="X10" s="58">
        <f>1.7/1000*100</f>
        <v>0.16999999999999998</v>
      </c>
      <c r="Y10" s="59">
        <f>10.3/1000*100</f>
        <v>1.03</v>
      </c>
      <c r="Z10" s="78" t="s">
        <v>383</v>
      </c>
      <c r="AA10" s="7" t="s">
        <v>465</v>
      </c>
      <c r="AB10" s="45"/>
      <c r="AC10" s="27"/>
      <c r="AD10" s="37"/>
      <c r="AE10" s="37"/>
      <c r="AF10" s="37"/>
      <c r="AG10" s="37"/>
      <c r="AH10" s="27"/>
      <c r="AI10" s="37"/>
      <c r="AJ10" s="37"/>
      <c r="AK10" s="38"/>
      <c r="AL10" s="29"/>
      <c r="AM10" s="29"/>
      <c r="AN10" s="32"/>
      <c r="AO10" s="77"/>
      <c r="AQ10" t="s">
        <v>465</v>
      </c>
      <c r="AR10" s="45"/>
      <c r="AS10" s="27"/>
      <c r="AT10" s="38"/>
    </row>
    <row r="11" spans="2:47" x14ac:dyDescent="0.25">
      <c r="B11" t="s">
        <v>26</v>
      </c>
      <c r="C11" s="27">
        <f t="shared" si="0"/>
        <v>100</v>
      </c>
      <c r="D11" s="100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roughage'!E3:E14)</f>
        <v>74.333333333333329</v>
      </c>
      <c r="P11" s="28">
        <f>AVERAGE('ruminants, roughage'!F3:F14)</f>
        <v>12.25</v>
      </c>
      <c r="Q11" s="28">
        <f>AVERAGE('ruminants, roughage'!H26:H27)</f>
        <v>12.4</v>
      </c>
      <c r="R11" s="44">
        <f>AVERAGE('ruminants, roughage'!I3:I14)</f>
        <v>140.41666666666666</v>
      </c>
      <c r="S11" s="34">
        <v>20</v>
      </c>
      <c r="T11" s="29"/>
      <c r="U11" s="31">
        <f t="shared" si="7"/>
        <v>773.91666666666674</v>
      </c>
      <c r="V11" s="32">
        <f>AVERAGE('ruminants, roughage'!K3:K14)</f>
        <v>65.666666666666657</v>
      </c>
      <c r="W11" s="28">
        <f t="shared" si="8"/>
        <v>2.2466666666666666</v>
      </c>
      <c r="X11" s="60">
        <f>X7</f>
        <v>0.27</v>
      </c>
      <c r="Y11" s="61">
        <f>Y7</f>
        <v>2.34</v>
      </c>
      <c r="Z11" s="78"/>
      <c r="AB11" s="45"/>
      <c r="AC11" s="27"/>
      <c r="AD11" s="37"/>
      <c r="AE11" s="37"/>
      <c r="AF11" s="37"/>
      <c r="AG11" s="37"/>
      <c r="AH11" s="27"/>
      <c r="AI11" s="37"/>
      <c r="AJ11" s="37"/>
      <c r="AK11" s="38"/>
      <c r="AL11" s="29"/>
      <c r="AM11" s="29"/>
      <c r="AN11" s="32"/>
      <c r="AO11" s="77"/>
      <c r="AQ11" t="s">
        <v>465</v>
      </c>
      <c r="AR11" s="45"/>
      <c r="AS11" s="27"/>
      <c r="AT11" s="38"/>
    </row>
    <row r="12" spans="2:47" x14ac:dyDescent="0.25">
      <c r="B12" t="s">
        <v>16</v>
      </c>
      <c r="C12" s="44">
        <f>100-14</f>
        <v>86</v>
      </c>
      <c r="D12" s="100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486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( 5.7*R12+9.4*S12+4.1*(T12+U12) ) * 0.004184</f>
        <v>18.210023200000002</v>
      </c>
      <c r="N12" s="28">
        <f>INDEX(ruminants!$D$3:$AH$120,$K12,N$4)</f>
        <v>14.1</v>
      </c>
      <c r="O12" s="28">
        <f>INDEX(ruminants!$D$3:$AH$120,$K12,O$4)</f>
        <v>95</v>
      </c>
      <c r="P12" s="28">
        <f>INDEX(ruminants!$D$3:$AH$120,$K12,P$4)</f>
        <v>-33</v>
      </c>
      <c r="Q12" s="28">
        <f>INDEX(ruminants!$D$3:$AH$120,$K12,Q$4)</f>
        <v>16</v>
      </c>
      <c r="R12" s="44">
        <f>INDEX(ruminants!$D$3:$AH$120,$K12,R$4)</f>
        <v>121</v>
      </c>
      <c r="S12" s="29">
        <f>INDEX(ruminants!$D$3:$AH$120,$K12,S$4)</f>
        <v>25</v>
      </c>
      <c r="T12" s="29">
        <f>INDEX(ruminants!$D$3:$AH$120,$K12,T$4)</f>
        <v>30</v>
      </c>
      <c r="U12" s="29">
        <f>INDEX(ruminants!$D$3:$AH$120,$K12,U$4)</f>
        <v>806</v>
      </c>
      <c r="V12" s="32">
        <f>INDEX(ruminants!$D$3:$AH$120,$K12,V$4)</f>
        <v>18</v>
      </c>
      <c r="W12" s="28">
        <f t="shared" si="8"/>
        <v>1.9359999999999999</v>
      </c>
      <c r="X12" s="58">
        <f>INDEX(ruminants!$D$3:$AH$120,$K12,X$4)/1000*100</f>
        <v>0.37</v>
      </c>
      <c r="Y12" s="59">
        <f>INDEX(ruminants!$D$3:$AH$120,$K12,Y$4)/1000*100</f>
        <v>0.47000000000000003</v>
      </c>
      <c r="Z12" s="78"/>
      <c r="AA12" s="73">
        <f>O12/R12</f>
        <v>0.78512396694214881</v>
      </c>
      <c r="AB12" s="45">
        <f>MATCH($B12,pigs!$A$3:$A$60,0)</f>
        <v>53</v>
      </c>
      <c r="AC12" s="27">
        <f>INDEX(pigs!$D$3:$AO$60,$AB12,AC$4)</f>
        <v>87</v>
      </c>
      <c r="AD12" s="52">
        <f>( 5.7*AH12+9.4*AI12+4.1*(AJ12) ) * 0.004184</f>
        <v>18.032621599999999</v>
      </c>
      <c r="AE12" s="72">
        <v>15.9</v>
      </c>
      <c r="AF12" s="37">
        <f>INDEX(pigs!$D$3:$AO$60,$AB12,AF$4)</f>
        <v>12.1</v>
      </c>
      <c r="AG12" s="37">
        <f>INDEX(pigs!$D$3:$AO$60,$AB12,AG$4)</f>
        <v>12.3</v>
      </c>
      <c r="AH12" s="27">
        <f>INDEX(pigs!$D$3:$AO$60,$AB12,AH$4)</f>
        <v>121</v>
      </c>
      <c r="AI12" s="37">
        <f>INDEX(pigs!$D$3:$AO$60,$AB12,AI$4)</f>
        <v>17</v>
      </c>
      <c r="AJ12" s="31">
        <f>1000-SUM(AH12:AI12,AK12)</f>
        <v>844</v>
      </c>
      <c r="AK12" s="38">
        <f>INDEX(pigs!$D$3:$AO$60,$AB12,AK$4)</f>
        <v>18</v>
      </c>
      <c r="AL12" s="28">
        <f>AH12*AL$3/1000*100</f>
        <v>1.9359999999999999</v>
      </c>
      <c r="AM12" s="58">
        <f>INDEX(pigs!$D$3:$AO$60,$AB12,AM$4)/1000*100</f>
        <v>0.32</v>
      </c>
      <c r="AN12" s="59">
        <f>INDEX(pigs!$D$3:$AO$60,$AB12,AN$4)/1000*100</f>
        <v>0.57999999999999996</v>
      </c>
      <c r="AO12" s="77"/>
      <c r="AP12" s="74" t="s">
        <v>553</v>
      </c>
      <c r="AQ12" t="s">
        <v>465</v>
      </c>
      <c r="AR12" s="45">
        <f>MATCH($B12,poultry!$A$3:$A$41,0)</f>
        <v>35</v>
      </c>
      <c r="AS12" s="27">
        <f>INDEX(poultry!$D$3:$U$41,$AR12,AS$4)</f>
        <v>87</v>
      </c>
      <c r="AT12" s="96">
        <f>INDEX(poultry!$D$3:$U$41,$AR12,AT$4)/(AS12/100)</f>
        <v>14.712643678160921</v>
      </c>
    </row>
    <row r="13" spans="2:47" x14ac:dyDescent="0.25">
      <c r="B13" t="s">
        <v>30</v>
      </c>
      <c r="C13" s="44">
        <f t="shared" ref="C13:C17" si="10">100-14</f>
        <v>86</v>
      </c>
      <c r="D13" s="100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486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>( 5.7*R13+9.4*S13+4.1*(T13+U13) ) * 0.004184</f>
        <v>18.089524000000001</v>
      </c>
      <c r="N13" s="28">
        <f>INDEX(ruminants!$D$3:$AH$120,$K13,N$4)</f>
        <v>13.2</v>
      </c>
      <c r="O13" s="28">
        <f>INDEX(ruminants!$D$3:$AH$120,$K13,O$4)</f>
        <v>90</v>
      </c>
      <c r="P13" s="28">
        <f>INDEX(ruminants!$D$3:$AH$120,$K13,P$4)</f>
        <v>-29</v>
      </c>
      <c r="Q13" s="28">
        <f>INDEX(ruminants!$D$3:$AH$120,$K13,Q$4)</f>
        <v>15</v>
      </c>
      <c r="R13" s="44">
        <f>INDEX(ruminants!$D$3:$AH$120,$K13,R$4)</f>
        <v>122</v>
      </c>
      <c r="S13" s="29">
        <f>INDEX(ruminants!$D$3:$AH$120,$K13,S$4)</f>
        <v>27</v>
      </c>
      <c r="T13" s="29">
        <f>INDEX(ruminants!$D$3:$AH$120,$K13,T$4)</f>
        <v>62</v>
      </c>
      <c r="U13" s="29">
        <f>INDEX(ruminants!$D$3:$AH$120,$K13,U$4)</f>
        <v>761</v>
      </c>
      <c r="V13" s="32">
        <f>INDEX(ruminants!$D$3:$AH$120,$K13,V$4)</f>
        <v>28</v>
      </c>
      <c r="W13" s="28">
        <f t="shared" si="8"/>
        <v>1.952</v>
      </c>
      <c r="X13" s="58">
        <f>INDEX(ruminants!$D$3:$AH$120,$K13,X$4)/1000*100</f>
        <v>0.4</v>
      </c>
      <c r="Y13" s="59">
        <f>INDEX(ruminants!$D$3:$AH$120,$K13,Y$4)/1000*100</f>
        <v>0.59000000000000008</v>
      </c>
      <c r="Z13" s="78"/>
      <c r="AA13" s="73">
        <f t="shared" ref="AA13:AA17" si="11">O13/R13</f>
        <v>0.73770491803278693</v>
      </c>
      <c r="AB13" s="45">
        <f>MATCH($B13,pigs!$A$3:$A$60,0)</f>
        <v>13</v>
      </c>
      <c r="AC13" s="27">
        <f>INDEX(pigs!$D$3:$AO$60,$AB13,AC$4)</f>
        <v>87</v>
      </c>
      <c r="AD13" s="52">
        <f t="shared" ref="AD13:AD15" si="12">( 5.7*AH13+9.4*AI13+4.1*(AJ13) ) * 0.004184</f>
        <v>17.950615200000001</v>
      </c>
      <c r="AE13" s="72">
        <v>14.8</v>
      </c>
      <c r="AF13" s="37">
        <f>INDEX(pigs!$D$3:$AO$60,$AB13,AF$4)</f>
        <v>11</v>
      </c>
      <c r="AG13" s="37">
        <f>INDEX(pigs!$D$3:$AO$60,$AB13,AG$4)</f>
        <v>11.2</v>
      </c>
      <c r="AH13" s="27">
        <f>INDEX(pigs!$D$3:$AO$60,$AB13,AH$4)</f>
        <v>116</v>
      </c>
      <c r="AI13" s="37">
        <f>INDEX(pigs!$D$3:$AO$60,$AB13,AI$4)</f>
        <v>21</v>
      </c>
      <c r="AJ13" s="31">
        <f t="shared" ref="AJ13:AJ15" si="13">1000-SUM(AH13:AI13,AK13)</f>
        <v>837</v>
      </c>
      <c r="AK13" s="38">
        <f>INDEX(pigs!$D$3:$AO$60,$AB13,AK$4)</f>
        <v>26</v>
      </c>
      <c r="AL13" s="28">
        <f t="shared" ref="AL13:AL47" si="14">AH13*AL$3/1000*100</f>
        <v>1.8560000000000001</v>
      </c>
      <c r="AM13" s="58">
        <f>INDEX(pigs!$D$3:$AO$60,$AB13,AM$4)/1000*100</f>
        <v>0.35000000000000003</v>
      </c>
      <c r="AN13" s="59">
        <f>INDEX(pigs!$D$3:$AO$60,$AB13,AN$4)/1000*100</f>
        <v>0.57000000000000006</v>
      </c>
      <c r="AO13" s="77"/>
      <c r="AP13" s="74" t="s">
        <v>555</v>
      </c>
      <c r="AQ13" t="s">
        <v>465</v>
      </c>
      <c r="AR13" s="45">
        <f>MATCH($B13,poultry!$A$3:$A$41,0)</f>
        <v>16</v>
      </c>
      <c r="AS13" s="27">
        <f>INDEX(poultry!$D$3:$U$41,$AR13,AS$4)</f>
        <v>87</v>
      </c>
      <c r="AT13" s="96">
        <f>INDEX(poultry!$D$3:$U$41,$AR13,AT$4)/(AS13/100)</f>
        <v>13.563218390804598</v>
      </c>
    </row>
    <row r="14" spans="2:47" x14ac:dyDescent="0.25">
      <c r="B14" t="s">
        <v>31</v>
      </c>
      <c r="C14" s="44">
        <f t="shared" si="10"/>
        <v>86</v>
      </c>
      <c r="D14" s="100">
        <f t="shared" si="9"/>
        <v>18.6602216</v>
      </c>
      <c r="E14" s="43">
        <f t="shared" si="3"/>
        <v>3.2</v>
      </c>
      <c r="F14" s="28">
        <f t="shared" ref="F14:F15" si="15">AVERAGE(W14,AL14)</f>
        <v>1.7680000000000002</v>
      </c>
      <c r="G14" s="58">
        <f t="shared" ref="G14:G15" si="16">AVERAGE(X14,AM14)</f>
        <v>0.36499999999999999</v>
      </c>
      <c r="H14" s="59">
        <f t="shared" ref="H14:H15" si="17">AVERAGE(Y14,AN14)</f>
        <v>0.54</v>
      </c>
      <c r="I14" s="63" t="s">
        <v>486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ref="M14:M45" si="18">( 5.7*R14+9.4*S14+4.1*(T14+U14) ) * 0.004184</f>
        <v>18.6602216</v>
      </c>
      <c r="N14" s="28">
        <f>INDEX(ruminants!$D$3:$AH$120,$K14,N$4)</f>
        <v>11.7</v>
      </c>
      <c r="O14" s="28">
        <f>INDEX(ruminants!$D$3:$AH$120,$K14,O$4)</f>
        <v>67</v>
      </c>
      <c r="P14" s="28">
        <f>INDEX(ruminants!$D$3:$AH$120,$K14,P$4)</f>
        <v>-2</v>
      </c>
      <c r="Q14" s="28">
        <f>INDEX(ruminants!$D$3:$AH$120,$K14,Q$4)</f>
        <v>13.3</v>
      </c>
      <c r="R14" s="44">
        <f>INDEX(ruminants!$D$3:$AH$120,$K14,R$4)</f>
        <v>110</v>
      </c>
      <c r="S14" s="29">
        <f>INDEX(ruminants!$D$3:$AH$120,$K14,S$4)</f>
        <v>61</v>
      </c>
      <c r="T14" s="29">
        <f>INDEX(ruminants!$D$3:$AH$120,$K14,T$4)</f>
        <v>141</v>
      </c>
      <c r="U14" s="29">
        <f>INDEX(ruminants!$D$3:$AH$120,$K14,U$4)</f>
        <v>654</v>
      </c>
      <c r="V14" s="32">
        <f>INDEX(ruminants!$D$3:$AH$120,$K14,V$4)</f>
        <v>34</v>
      </c>
      <c r="W14" s="28">
        <f t="shared" si="8"/>
        <v>1.76</v>
      </c>
      <c r="X14" s="58">
        <f>INDEX(ruminants!$D$3:$AH$120,$K14,X$4)/1000*100</f>
        <v>0.37</v>
      </c>
      <c r="Y14" s="59">
        <f>INDEX(ruminants!$D$3:$AH$120,$K14,Y$4)/1000*100</f>
        <v>0.53</v>
      </c>
      <c r="Z14" s="78"/>
      <c r="AA14" s="73">
        <f t="shared" si="11"/>
        <v>0.60909090909090913</v>
      </c>
      <c r="AB14" s="45">
        <f>MATCH($B14,pigs!$A$3:$A$60,0)</f>
        <v>11</v>
      </c>
      <c r="AC14" s="27">
        <f>INDEX(pigs!$D$3:$AO$60,$AB14,AC$4)</f>
        <v>87</v>
      </c>
      <c r="AD14" s="52">
        <f t="shared" si="12"/>
        <v>18.580307199999996</v>
      </c>
      <c r="AE14" s="69">
        <v>12.7</v>
      </c>
      <c r="AF14" s="37">
        <f>INDEX(pigs!$D$3:$AO$60,$AB14,AF$4)</f>
        <v>9</v>
      </c>
      <c r="AG14" s="37">
        <f>INDEX(pigs!$D$3:$AO$60,$AB14,AG$4)</f>
        <v>9.4</v>
      </c>
      <c r="AH14" s="27">
        <f>INDEX(pigs!$D$3:$AO$60,$AB14,AH$4)</f>
        <v>111</v>
      </c>
      <c r="AI14" s="37">
        <f>INDEX(pigs!$D$3:$AO$60,$AB14,AI$4)</f>
        <v>54</v>
      </c>
      <c r="AJ14" s="31">
        <f t="shared" si="13"/>
        <v>805</v>
      </c>
      <c r="AK14" s="38">
        <f>INDEX(pigs!$D$3:$AO$60,$AB14,AK$4)</f>
        <v>30</v>
      </c>
      <c r="AL14" s="28">
        <f t="shared" si="14"/>
        <v>1.7760000000000002</v>
      </c>
      <c r="AM14" s="58">
        <f>INDEX(pigs!$D$3:$AO$60,$AB14,AM$4)/1000*100</f>
        <v>0.36</v>
      </c>
      <c r="AN14" s="59">
        <f>INDEX(pigs!$D$3:$AO$60,$AB14,AN$4)/1000*100</f>
        <v>0.54999999999999993</v>
      </c>
      <c r="AO14" s="77"/>
      <c r="AP14" s="74" t="s">
        <v>556</v>
      </c>
      <c r="AQ14" t="s">
        <v>465</v>
      </c>
      <c r="AR14" s="45">
        <f>MATCH($B14,poultry!$A$3:$A$41,0)</f>
        <v>10</v>
      </c>
      <c r="AS14" s="27">
        <f>INDEX(poultry!$D$3:$U$41,$AR14,AS$4)</f>
        <v>87</v>
      </c>
      <c r="AT14" s="96">
        <f>INDEX(poultry!$D$3:$U$41,$AR14,AT$4)/(AS14/100)</f>
        <v>12.298850574712644</v>
      </c>
    </row>
    <row r="15" spans="2:47" x14ac:dyDescent="0.25">
      <c r="B15" t="s">
        <v>32</v>
      </c>
      <c r="C15" s="44">
        <f t="shared" si="10"/>
        <v>86</v>
      </c>
      <c r="D15" s="100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486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8"/>
        <v>18.2284328</v>
      </c>
      <c r="N15" s="28">
        <f>INDEX(ruminants!$D$3:$AH$120,$K15,N$4)</f>
        <v>14</v>
      </c>
      <c r="O15" s="28">
        <f>INDEX(ruminants!$D$3:$AH$120,$K15,O$4)</f>
        <v>95</v>
      </c>
      <c r="P15" s="28">
        <f>INDEX(ruminants!$D$3:$AH$120,$K15,P$4)</f>
        <v>-31</v>
      </c>
      <c r="Q15" s="28">
        <f>INDEX(ruminants!$D$3:$AH$120,$K15,Q$4)</f>
        <v>15.8</v>
      </c>
      <c r="R15" s="44">
        <f>INDEX(ruminants!$D$3:$AH$120,$K15,R$4)</f>
        <v>123</v>
      </c>
      <c r="S15" s="29">
        <f>INDEX(ruminants!$D$3:$AH$120,$K15,S$4)</f>
        <v>26</v>
      </c>
      <c r="T15" s="29">
        <f>INDEX(ruminants!$D$3:$AH$120,$K15,T$4)</f>
        <v>33</v>
      </c>
      <c r="U15" s="29">
        <f>INDEX(ruminants!$D$3:$AH$120,$K15,U$4)</f>
        <v>799</v>
      </c>
      <c r="V15" s="32">
        <f>INDEX(ruminants!$D$3:$AH$120,$K15,V$4)</f>
        <v>19</v>
      </c>
      <c r="W15" s="28">
        <f t="shared" si="8"/>
        <v>1.968</v>
      </c>
      <c r="X15" s="58">
        <f>INDEX(ruminants!$D$3:$AH$120,$K15,X$4)/1000*100</f>
        <v>0.4</v>
      </c>
      <c r="Y15" s="59">
        <f>INDEX(ruminants!$D$3:$AH$120,$K15,Y$4)/1000*100</f>
        <v>0.54</v>
      </c>
      <c r="Z15" s="78"/>
      <c r="AA15" s="73">
        <f t="shared" si="11"/>
        <v>0.77235772357723576</v>
      </c>
      <c r="AB15" s="45">
        <f>MATCH($B15,pigs!$A$3:$A$60,0)</f>
        <v>39</v>
      </c>
      <c r="AC15" s="27">
        <f>INDEX(pigs!$D$3:$AO$60,$AB15,AC$4)</f>
        <v>87</v>
      </c>
      <c r="AD15" s="52">
        <f t="shared" si="12"/>
        <v>17.846015199999997</v>
      </c>
      <c r="AE15" s="69">
        <v>15.6</v>
      </c>
      <c r="AF15" s="37">
        <f>INDEX(pigs!$D$3:$AO$60,$AB15,AF$4)</f>
        <v>11.9</v>
      </c>
      <c r="AG15" s="37">
        <f>INDEX(pigs!$D$3:$AO$60,$AB15,AG$4)</f>
        <v>12</v>
      </c>
      <c r="AH15" s="27">
        <f>INDEX(pigs!$D$3:$AO$60,$AB15,AH$4)</f>
        <v>110</v>
      </c>
      <c r="AI15" s="37">
        <f>INDEX(pigs!$D$3:$AO$60,$AB15,AI$4)</f>
        <v>15</v>
      </c>
      <c r="AJ15" s="31">
        <f t="shared" si="13"/>
        <v>853</v>
      </c>
      <c r="AK15" s="38">
        <f>INDEX(pigs!$D$3:$AO$60,$AB15,AK$4)</f>
        <v>22</v>
      </c>
      <c r="AL15" s="28">
        <f t="shared" si="14"/>
        <v>1.76</v>
      </c>
      <c r="AM15" s="58">
        <f>INDEX(pigs!$D$3:$AO$60,$AB15,AM$4)/1000*100</f>
        <v>0.36</v>
      </c>
      <c r="AN15" s="59">
        <f>INDEX(pigs!$D$3:$AO$60,$AB15,AN$4)/1000*100</f>
        <v>0.62</v>
      </c>
      <c r="AO15" s="77"/>
      <c r="AP15" s="74" t="s">
        <v>557</v>
      </c>
      <c r="AQ15" t="s">
        <v>465</v>
      </c>
      <c r="AR15" s="45">
        <f>MATCH($B15,poultry!$A$3:$A$41,0)</f>
        <v>31</v>
      </c>
      <c r="AS15" s="27">
        <f>INDEX(poultry!$D$3:$U$41,$AR15,AS$4)</f>
        <v>89</v>
      </c>
      <c r="AT15" s="96">
        <f>INDEX(poultry!$D$3:$U$41,$AR15,AT$4)/(AS15/100)</f>
        <v>14.606741573033707</v>
      </c>
    </row>
    <row r="16" spans="2:47" x14ac:dyDescent="0.25">
      <c r="B16" t="s">
        <v>303</v>
      </c>
      <c r="C16" s="44">
        <f t="shared" si="10"/>
        <v>86</v>
      </c>
      <c r="D16" s="100">
        <f t="shared" si="9"/>
        <v>17.924256</v>
      </c>
      <c r="E16" s="43">
        <f t="shared" si="3"/>
        <v>2.0500000000000003</v>
      </c>
      <c r="F16" s="28">
        <f t="shared" ref="F16:F47" si="19">AVERAGE(W16,AL16)</f>
        <v>1.6240000000000001</v>
      </c>
      <c r="G16" s="58">
        <f t="shared" ref="G16:G47" si="20">AVERAGE(X16,AM16)</f>
        <v>0.32999999999999996</v>
      </c>
      <c r="H16" s="59">
        <f t="shared" ref="H16:H47" si="21">AVERAGE(Y16,AN16)</f>
        <v>0.55499999999999994</v>
      </c>
      <c r="I16" s="63" t="s">
        <v>486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8"/>
        <v>17.924256</v>
      </c>
      <c r="N16" s="28">
        <f>INDEX(ruminants!$D$3:$AH$120,$K16,N$4)</f>
        <v>13.9</v>
      </c>
      <c r="O16" s="28">
        <f>INDEX(ruminants!$D$3:$AH$120,$K16,O$4)</f>
        <v>95</v>
      </c>
      <c r="P16" s="28">
        <f>INDEX(ruminants!$D$3:$AH$120,$K16,P$4)</f>
        <v>-57</v>
      </c>
      <c r="Q16" s="28">
        <f>INDEX(ruminants!$D$3:$AH$120,$K16,Q$4)</f>
        <v>15.8</v>
      </c>
      <c r="R16" s="44">
        <f>INDEX(ruminants!$D$3:$AH$120,$K16,R$4)</f>
        <v>100</v>
      </c>
      <c r="S16" s="29">
        <f>INDEX(ruminants!$D$3:$AH$120,$K16,S$4)</f>
        <v>20</v>
      </c>
      <c r="T16" s="29">
        <f>INDEX(ruminants!$D$3:$AH$120,$K16,T$4)</f>
        <v>25</v>
      </c>
      <c r="U16" s="29">
        <f>INDEX(ruminants!$D$3:$AH$120,$K16,U$4)</f>
        <v>835</v>
      </c>
      <c r="V16" s="32">
        <f>INDEX(ruminants!$D$3:$AH$120,$K16,V$4)</f>
        <v>20</v>
      </c>
      <c r="W16" s="28">
        <f t="shared" si="8"/>
        <v>1.6</v>
      </c>
      <c r="X16" s="58">
        <f>INDEX(ruminants!$D$3:$AH$120,$K16,X$4)/1000*100</f>
        <v>0.33999999999999997</v>
      </c>
      <c r="Y16" s="59">
        <f>INDEX(ruminants!$D$3:$AH$120,$K16,Y$4)/1000*100</f>
        <v>0.54999999999999993</v>
      </c>
      <c r="Z16" s="78"/>
      <c r="AA16" s="73">
        <f t="shared" si="11"/>
        <v>0.95</v>
      </c>
      <c r="AB16" s="45">
        <f>MATCH($B16,pigs!$A$3:$A$60,0)</f>
        <v>38</v>
      </c>
      <c r="AC16" s="27">
        <f>INDEX(pigs!$D$3:$AO$60,$AB16,AC$4)</f>
        <v>87</v>
      </c>
      <c r="AD16" s="52">
        <f>( 5.7*AH16+9.4*AI16+4.1*(AJ16) ) * 0.004184</f>
        <v>17.794133599999999</v>
      </c>
      <c r="AE16" s="69">
        <v>15.1</v>
      </c>
      <c r="AF16" s="37">
        <f>INDEX(pigs!$D$3:$AO$60,$AB16,AF$4)</f>
        <v>11.3</v>
      </c>
      <c r="AG16" s="37">
        <f>INDEX(pigs!$D$3:$AO$60,$AB16,AG$4)</f>
        <v>11.5</v>
      </c>
      <c r="AH16" s="27">
        <f>INDEX(pigs!$D$3:$AO$60,$AB16,AH$4)</f>
        <v>103</v>
      </c>
      <c r="AI16" s="37">
        <f>INDEX(pigs!$D$3:$AO$60,$AB16,AI$4)</f>
        <v>14</v>
      </c>
      <c r="AJ16" s="31">
        <f t="shared" ref="AJ16" si="22">1000-SUM(AH16:AI16,AK16)</f>
        <v>862</v>
      </c>
      <c r="AK16" s="38">
        <f>INDEX(pigs!$D$3:$AO$60,$AB16,AK$4)</f>
        <v>21</v>
      </c>
      <c r="AL16" s="28">
        <f t="shared" ref="AL16" si="23">AH16*AL$3/1000*100</f>
        <v>1.6480000000000001</v>
      </c>
      <c r="AM16" s="58">
        <f>INDEX(pigs!$D$3:$AO$60,$AB16,AM$4)/1000*100</f>
        <v>0.32</v>
      </c>
      <c r="AN16" s="59">
        <f>INDEX(pigs!$D$3:$AO$60,$AB16,AN$4)/1000*100</f>
        <v>0.55999999999999994</v>
      </c>
      <c r="AO16" s="77"/>
      <c r="AP16" s="74" t="s">
        <v>655</v>
      </c>
      <c r="AQ16" t="s">
        <v>465</v>
      </c>
      <c r="AR16" s="45">
        <f>MATCH($B16,poultry!$A$3:$A$41,0)</f>
        <v>30</v>
      </c>
      <c r="AS16" s="27">
        <f>INDEX(poultry!$D$3:$U$41,$AR16,AS$4)</f>
        <v>87</v>
      </c>
      <c r="AT16" s="96">
        <f>INDEX(poultry!$D$3:$U$41,$AR16,AT$4)/(AS16/100)</f>
        <v>12.873563218390803</v>
      </c>
    </row>
    <row r="17" spans="2:47" x14ac:dyDescent="0.25">
      <c r="B17" t="s">
        <v>33</v>
      </c>
      <c r="C17" s="44">
        <f t="shared" si="10"/>
        <v>86</v>
      </c>
      <c r="D17" s="100">
        <f t="shared" si="9"/>
        <v>18.3899352</v>
      </c>
      <c r="E17" s="43">
        <f t="shared" si="3"/>
        <v>1.8499999999999999</v>
      </c>
      <c r="F17" s="28">
        <f t="shared" si="19"/>
        <v>1.6400000000000001</v>
      </c>
      <c r="G17" s="58">
        <f t="shared" si="20"/>
        <v>0.33999999999999997</v>
      </c>
      <c r="H17" s="59">
        <f t="shared" si="21"/>
        <v>0.46500000000000002</v>
      </c>
      <c r="I17" s="63" t="s">
        <v>486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8"/>
        <v>18.3899352</v>
      </c>
      <c r="N17" s="28">
        <f>INDEX(ruminants!$D$3:$AH$120,$K17,N$4)</f>
        <v>12.8</v>
      </c>
      <c r="O17" s="69">
        <v>81</v>
      </c>
      <c r="P17" s="69">
        <v>-30</v>
      </c>
      <c r="Q17" s="28">
        <f>INDEX(ruminants!$D$3:$AH$120,$K17,Q$4)</f>
        <v>14.5</v>
      </c>
      <c r="R17" s="44">
        <f>INDEX(ruminants!$D$3:$AH$120,$K17,R$4)</f>
        <v>111</v>
      </c>
      <c r="S17" s="29">
        <f>INDEX(ruminants!$D$3:$AH$120,$K17,S$4)</f>
        <v>40</v>
      </c>
      <c r="T17" s="29">
        <f>INDEX(ruminants!$D$3:$AH$120,$K17,T$4)</f>
        <v>63</v>
      </c>
      <c r="U17" s="29">
        <f>INDEX(ruminants!$D$3:$AH$120,$K17,U$4)</f>
        <v>763</v>
      </c>
      <c r="V17" s="32">
        <f>INDEX(ruminants!$D$3:$AH$120,$K17,V$4)</f>
        <v>23</v>
      </c>
      <c r="W17" s="28">
        <f t="shared" si="8"/>
        <v>1.7760000000000002</v>
      </c>
      <c r="X17" s="58">
        <f>INDEX(ruminants!$D$3:$AH$120,$K17,X$4)/1000*100</f>
        <v>0.36</v>
      </c>
      <c r="Y17" s="59">
        <f>INDEX(ruminants!$D$3:$AH$120,$K17,Y$4)/1000*100</f>
        <v>0.53</v>
      </c>
      <c r="Z17" s="78"/>
      <c r="AA17" s="73">
        <f t="shared" si="11"/>
        <v>0.72972972972972971</v>
      </c>
      <c r="AB17" s="45">
        <f>MATCH($B17,pigs!$A$3:$A$60,0)</f>
        <v>19</v>
      </c>
      <c r="AC17" s="27">
        <f>INDEX(pigs!$D$3:$AO$60,$AB17,AC$4)</f>
        <v>87</v>
      </c>
      <c r="AD17" s="52">
        <f t="shared" ref="AD17:AD22" si="24">( 5.7*AH17+9.4*AI17+4.1*(AJ17) ) * 0.004184</f>
        <v>18.4970456</v>
      </c>
      <c r="AE17" s="69">
        <v>16.5</v>
      </c>
      <c r="AF17" s="37">
        <f>INDEX(pigs!$D$3:$AO$60,$AB17,AF$4)</f>
        <v>12.8</v>
      </c>
      <c r="AG17" s="37">
        <f>INDEX(pigs!$D$3:$AO$60,$AB17,AG$4)</f>
        <v>13.2</v>
      </c>
      <c r="AH17" s="27">
        <f>INDEX(pigs!$D$3:$AO$60,$AB17,AH$4)</f>
        <v>94</v>
      </c>
      <c r="AI17" s="37">
        <f>INDEX(pigs!$D$3:$AO$60,$AB17,AI$4)</f>
        <v>43</v>
      </c>
      <c r="AJ17" s="31">
        <f t="shared" ref="AJ17:AJ22" si="25">1000-SUM(AH17:AI17,AK17)</f>
        <v>849</v>
      </c>
      <c r="AK17" s="38">
        <f>INDEX(pigs!$D$3:$AO$60,$AB17,AK$4)</f>
        <v>14</v>
      </c>
      <c r="AL17" s="28">
        <f t="shared" si="14"/>
        <v>1.5040000000000002</v>
      </c>
      <c r="AM17" s="58">
        <f>INDEX(pigs!$D$3:$AO$60,$AB17,AM$4)/1000*100</f>
        <v>0.32</v>
      </c>
      <c r="AN17" s="59">
        <f>INDEX(pigs!$D$3:$AO$60,$AB17,AN$4)/1000*100</f>
        <v>0.4</v>
      </c>
      <c r="AO17" s="77"/>
      <c r="AP17" s="74" t="s">
        <v>558</v>
      </c>
      <c r="AQ17" t="s">
        <v>465</v>
      </c>
      <c r="AR17" s="45">
        <f>MATCH($B17,poultry!$A$3:$A$41,0)</f>
        <v>24</v>
      </c>
      <c r="AS17" s="27">
        <f>INDEX(poultry!$D$3:$U$41,$AR17,AS$4)</f>
        <v>87</v>
      </c>
      <c r="AT17" s="96">
        <f>INDEX(poultry!$D$3:$U$41,$AR17,AT$4)/(AS17/100)</f>
        <v>15.862068965517242</v>
      </c>
    </row>
    <row r="18" spans="2:47" x14ac:dyDescent="0.25">
      <c r="B18" t="s">
        <v>34</v>
      </c>
      <c r="C18" s="44">
        <f>100-15</f>
        <v>85</v>
      </c>
      <c r="D18" s="100">
        <f t="shared" si="9"/>
        <v>18.478217600000001</v>
      </c>
      <c r="E18" s="43">
        <f t="shared" si="3"/>
        <v>3.4000000000000004</v>
      </c>
      <c r="F18" s="28">
        <f t="shared" si="19"/>
        <v>3.7200000000000006</v>
      </c>
      <c r="G18" s="58">
        <f t="shared" si="20"/>
        <v>0.44499999999999995</v>
      </c>
      <c r="H18" s="59">
        <f t="shared" si="21"/>
        <v>1.155</v>
      </c>
      <c r="I18" s="63" t="s">
        <v>486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8"/>
        <v>18.478217600000001</v>
      </c>
      <c r="N18" s="28">
        <f>INDEX(ruminants!$D$3:$AH$120,$K18,N$4)</f>
        <v>13.8</v>
      </c>
      <c r="O18" s="28">
        <f>INDEX(ruminants!$D$3:$AH$120,$K18,O$4)</f>
        <v>97</v>
      </c>
      <c r="P18" s="28">
        <f>INDEX(ruminants!$D$3:$AH$120,$K18,P$4)</f>
        <v>69</v>
      </c>
      <c r="Q18" s="28">
        <f>INDEX(ruminants!$D$3:$AH$120,$K18,Q$4)</f>
        <v>16</v>
      </c>
      <c r="R18" s="44">
        <f>INDEX(ruminants!$D$3:$AH$120,$K18,R$4)</f>
        <v>226</v>
      </c>
      <c r="S18" s="29">
        <f>INDEX(ruminants!$D$3:$AH$120,$K18,S$4)</f>
        <v>17</v>
      </c>
      <c r="T18" s="29">
        <f>INDEX(ruminants!$D$3:$AH$120,$K18,T$4)</f>
        <v>78</v>
      </c>
      <c r="U18" s="29">
        <f>INDEX(ruminants!$D$3:$AH$120,$K18,U$4)</f>
        <v>646</v>
      </c>
      <c r="V18" s="32">
        <f>INDEX(ruminants!$D$3:$AH$120,$K18,V$4)</f>
        <v>33</v>
      </c>
      <c r="W18" s="28">
        <f t="shared" si="8"/>
        <v>3.6160000000000005</v>
      </c>
      <c r="X18" s="58">
        <f>INDEX(ruminants!$D$3:$AH$120,$K18,X$4)/1000*100</f>
        <v>0.43</v>
      </c>
      <c r="Y18" s="59">
        <f>INDEX(ruminants!$D$3:$AH$120,$K18,Y$4)/1000*100</f>
        <v>1.1100000000000001</v>
      </c>
      <c r="Z18" s="78"/>
      <c r="AA18" s="73"/>
      <c r="AB18" s="45">
        <f>MATCH($B18,pigs!$A$3:$A$60,0)</f>
        <v>56</v>
      </c>
      <c r="AC18" s="27">
        <f>INDEX(pigs!$D$3:$AO$60,$AB18,AC$4)</f>
        <v>87</v>
      </c>
      <c r="AD18" s="52">
        <f t="shared" si="24"/>
        <v>18.420059999999999</v>
      </c>
      <c r="AE18" s="69">
        <v>16.100000000000001</v>
      </c>
      <c r="AF18" s="37">
        <f>INDEX(pigs!$D$3:$AO$60,$AB18,AF$4)</f>
        <v>11.2</v>
      </c>
      <c r="AG18" s="37">
        <f>INDEX(pigs!$D$3:$AO$60,$AB18,AG$4)</f>
        <v>11.5</v>
      </c>
      <c r="AH18" s="27">
        <f>INDEX(pigs!$D$3:$AO$60,$AB18,AH$4)</f>
        <v>239</v>
      </c>
      <c r="AI18" s="37">
        <f>INDEX(pigs!$D$3:$AO$60,$AB18,AI$4)</f>
        <v>12</v>
      </c>
      <c r="AJ18" s="31">
        <f t="shared" si="25"/>
        <v>714</v>
      </c>
      <c r="AK18" s="38">
        <f>INDEX(pigs!$D$3:$AO$60,$AB18,AK$4)</f>
        <v>35</v>
      </c>
      <c r="AL18" s="28">
        <f t="shared" si="14"/>
        <v>3.8240000000000003</v>
      </c>
      <c r="AM18" s="58">
        <f>INDEX(pigs!$D$3:$AO$60,$AB18,AM$4)/1000*100</f>
        <v>0.45999999999999996</v>
      </c>
      <c r="AN18" s="59">
        <f>INDEX(pigs!$D$3:$AO$60,$AB18,AN$4)/1000*100</f>
        <v>1.2</v>
      </c>
      <c r="AO18" s="77"/>
      <c r="AP18" s="74" t="s">
        <v>559</v>
      </c>
      <c r="AQ18" t="s">
        <v>465</v>
      </c>
      <c r="AR18" s="45">
        <f>MATCH($B18,poultry!$A$3:$A$41,0)</f>
        <v>39</v>
      </c>
      <c r="AS18" s="27">
        <f>INDEX(poultry!$D$3:$U$41,$AR18,AS$4)</f>
        <v>87</v>
      </c>
      <c r="AT18" s="96">
        <f>INDEX(poultry!$D$3:$U$41,$AR18,AT$4)/(AS18/100)</f>
        <v>12.64367816091954</v>
      </c>
    </row>
    <row r="19" spans="2:47" x14ac:dyDescent="0.25">
      <c r="B19" t="s">
        <v>35</v>
      </c>
      <c r="C19" s="44">
        <f>100-15</f>
        <v>85</v>
      </c>
      <c r="D19" s="100">
        <f t="shared" si="9"/>
        <v>18.737207199999997</v>
      </c>
      <c r="E19" s="43">
        <f t="shared" si="3"/>
        <v>4</v>
      </c>
      <c r="F19" s="28">
        <f t="shared" si="19"/>
        <v>4.8079999999999998</v>
      </c>
      <c r="G19" s="58">
        <f t="shared" si="20"/>
        <v>0.61499999999999999</v>
      </c>
      <c r="H19" s="59">
        <f t="shared" si="21"/>
        <v>1.375</v>
      </c>
      <c r="I19" s="63" t="s">
        <v>486</v>
      </c>
      <c r="J19" s="4"/>
      <c r="K19" s="45"/>
      <c r="L19" s="44">
        <v>86.6</v>
      </c>
      <c r="M19" s="52">
        <f>( 5.7*R19+9.4*S19+4.1*(T19+U19) ) * 0.004184</f>
        <v>18.737207199999997</v>
      </c>
      <c r="N19" s="28">
        <v>13.3</v>
      </c>
      <c r="O19" s="28">
        <f>INDEX(ruminants!$D$3:$AH$120,$K19,O$4)</f>
        <v>71</v>
      </c>
      <c r="P19" s="28">
        <f>INDEX(ruminants!$D$3:$AH$120,$K19,P$4)</f>
        <v>12</v>
      </c>
      <c r="Q19" s="28">
        <f>INDEX(ruminants!$D$3:$AH$120,$K19,Q$4)</f>
        <v>12.6</v>
      </c>
      <c r="R19" s="44">
        <v>290</v>
      </c>
      <c r="S19" s="29">
        <v>14</v>
      </c>
      <c r="T19" s="29">
        <v>91</v>
      </c>
      <c r="U19" s="31">
        <f>1000-SUM(R19:T19,V19)</f>
        <v>566</v>
      </c>
      <c r="V19" s="32">
        <v>39</v>
      </c>
      <c r="W19" s="28">
        <f t="shared" si="8"/>
        <v>4.6399999999999997</v>
      </c>
      <c r="X19" s="58">
        <f>5.5/1000*100</f>
        <v>0.54999999999999993</v>
      </c>
      <c r="Y19" s="59">
        <f>11.5/1000*100</f>
        <v>1.1499999999999999</v>
      </c>
      <c r="Z19" s="78" t="s">
        <v>308</v>
      </c>
      <c r="AA19" s="73"/>
      <c r="AB19" s="45">
        <f>MATCH($B19,pigs!$A$3:$A$60,0)</f>
        <v>57</v>
      </c>
      <c r="AC19" s="27">
        <f>INDEX(pigs!$D$3:$AO$60,$AB19,AC$4)</f>
        <v>87</v>
      </c>
      <c r="AD19" s="52">
        <f t="shared" si="24"/>
        <v>18.821305599999999</v>
      </c>
      <c r="AE19" s="69">
        <v>15.5</v>
      </c>
      <c r="AF19" s="37">
        <f>INDEX(pigs!$D$3:$AO$60,$AB19,AF$4)</f>
        <v>10.7</v>
      </c>
      <c r="AG19" s="37">
        <f>INDEX(pigs!$D$3:$AO$60,$AB19,AG$4)</f>
        <v>10.9</v>
      </c>
      <c r="AH19" s="27">
        <f>INDEX(pigs!$D$3:$AO$60,$AB19,AH$4)</f>
        <v>311</v>
      </c>
      <c r="AI19" s="37">
        <f>INDEX(pigs!$D$3:$AO$60,$AB19,AI$4)</f>
        <v>13</v>
      </c>
      <c r="AJ19" s="31">
        <f t="shared" si="25"/>
        <v>635</v>
      </c>
      <c r="AK19" s="38">
        <f>INDEX(pigs!$D$3:$AO$60,$AB19,AK$4)</f>
        <v>41</v>
      </c>
      <c r="AL19" s="28">
        <f t="shared" si="14"/>
        <v>4.976</v>
      </c>
      <c r="AM19" s="58">
        <f>INDEX(pigs!$D$3:$AO$60,$AB19,AM$4)/1000*100</f>
        <v>0.67999999999999994</v>
      </c>
      <c r="AN19" s="59">
        <f>INDEX(pigs!$D$3:$AO$60,$AB19,AN$4)/1000*100</f>
        <v>1.6</v>
      </c>
      <c r="AO19" s="77"/>
      <c r="AP19" s="74" t="s">
        <v>308</v>
      </c>
      <c r="AQ19" t="s">
        <v>465</v>
      </c>
      <c r="AR19" s="45"/>
      <c r="AS19" s="27"/>
      <c r="AT19" s="38"/>
    </row>
    <row r="20" spans="2:47" x14ac:dyDescent="0.25">
      <c r="B20" t="s">
        <v>28</v>
      </c>
      <c r="C20" s="44">
        <f>100-9</f>
        <v>91</v>
      </c>
      <c r="D20" s="100">
        <f t="shared" si="9"/>
        <v>27.903096000000001</v>
      </c>
      <c r="E20" s="43">
        <f t="shared" si="3"/>
        <v>4.6500000000000004</v>
      </c>
      <c r="F20" s="28">
        <f t="shared" si="19"/>
        <v>3.3360000000000003</v>
      </c>
      <c r="G20" s="58">
        <f t="shared" si="20"/>
        <v>0.81</v>
      </c>
      <c r="H20" s="59">
        <f t="shared" si="21"/>
        <v>0.90999999999999992</v>
      </c>
      <c r="I20" s="63" t="s">
        <v>486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8"/>
        <v>27.903096000000001</v>
      </c>
      <c r="N20" s="28">
        <f>INDEX(ruminants!$D$3:$AH$120,$K20,N$4)</f>
        <v>22.1</v>
      </c>
      <c r="O20" s="28">
        <f>INDEX(ruminants!$D$3:$AH$120,$K20,O$4)</f>
        <v>56</v>
      </c>
      <c r="P20" s="28">
        <f>INDEX(ruminants!$D$3:$AH$120,$K20,P$4)</f>
        <v>111</v>
      </c>
      <c r="Q20" s="28">
        <f>INDEX(ruminants!$D$3:$AH$120,$K20,Q$4)</f>
        <v>22.1</v>
      </c>
      <c r="R20" s="44">
        <f>INDEX(ruminants!$D$3:$AH$120,$K20,R$4)</f>
        <v>210</v>
      </c>
      <c r="S20" s="29">
        <f>INDEX(ruminants!$D$3:$AH$120,$K20,S$4)</f>
        <v>460</v>
      </c>
      <c r="T20" s="29">
        <f>INDEX(ruminants!$D$3:$AH$120,$K20,T$4)</f>
        <v>80</v>
      </c>
      <c r="U20" s="29">
        <f>INDEX(ruminants!$D$3:$AH$120,$K20,U$4)</f>
        <v>200</v>
      </c>
      <c r="V20" s="32">
        <f>INDEX(ruminants!$D$3:$AH$120,$K20,V$4)</f>
        <v>50</v>
      </c>
      <c r="W20" s="28">
        <f t="shared" si="8"/>
        <v>3.3600000000000003</v>
      </c>
      <c r="X20" s="58">
        <f>INDEX(ruminants!$D$3:$AH$120,$K20,X$4)/1000*100</f>
        <v>0.86</v>
      </c>
      <c r="Y20" s="59">
        <f>INDEX(ruminants!$D$3:$AH$120,$K20,Y$4)/1000*100</f>
        <v>0.81999999999999984</v>
      </c>
      <c r="Z20" s="78"/>
      <c r="AA20" s="73"/>
      <c r="AB20" s="45">
        <f>MATCH($B20,pigs!$A$3:$A$60,0)</f>
        <v>33</v>
      </c>
      <c r="AC20" s="27">
        <f>INDEX(pigs!$D$3:$AO$60,$AB20,AC$4)</f>
        <v>92</v>
      </c>
      <c r="AD20" s="52">
        <f t="shared" si="24"/>
        <v>27.892217599999999</v>
      </c>
      <c r="AE20" s="69">
        <v>23.5</v>
      </c>
      <c r="AF20" s="37">
        <f>INDEX(pigs!$D$3:$AO$60,$AB20,AF$4)</f>
        <v>18</v>
      </c>
      <c r="AG20" s="37">
        <f>INDEX(pigs!$D$3:$AO$60,$AB20,AG$4)</f>
        <v>18.5</v>
      </c>
      <c r="AH20" s="27">
        <f>INDEX(pigs!$D$3:$AO$60,$AB20,AH$4)</f>
        <v>207</v>
      </c>
      <c r="AI20" s="37">
        <f>INDEX(pigs!$D$3:$AO$60,$AB20,AI$4)</f>
        <v>455</v>
      </c>
      <c r="AJ20" s="31">
        <f t="shared" si="25"/>
        <v>295</v>
      </c>
      <c r="AK20" s="38">
        <f>INDEX(pigs!$D$3:$AO$60,$AB20,AK$4)</f>
        <v>43</v>
      </c>
      <c r="AL20" s="28">
        <f t="shared" si="14"/>
        <v>3.3119999999999998</v>
      </c>
      <c r="AM20" s="58">
        <f>INDEX(pigs!$D$3:$AO$60,$AB20,AM$4)/1000*100</f>
        <v>0.76</v>
      </c>
      <c r="AN20" s="59">
        <f>INDEX(pigs!$D$3:$AO$60,$AB20,AN$4)/1000*100</f>
        <v>1</v>
      </c>
      <c r="AO20" s="77"/>
      <c r="AP20" s="74" t="s">
        <v>562</v>
      </c>
      <c r="AQ20" t="s">
        <v>465</v>
      </c>
      <c r="AR20" s="45"/>
      <c r="AS20" s="27"/>
      <c r="AT20" s="38">
        <v>16.8</v>
      </c>
      <c r="AU20" t="s">
        <v>562</v>
      </c>
    </row>
    <row r="21" spans="2:47" x14ac:dyDescent="0.25">
      <c r="B21" t="s">
        <v>36</v>
      </c>
      <c r="C21" s="44">
        <f>100-9</f>
        <v>91</v>
      </c>
      <c r="D21" s="100">
        <f t="shared" si="9"/>
        <v>26.501456000000001</v>
      </c>
      <c r="E21" s="43">
        <f t="shared" si="3"/>
        <v>3.9</v>
      </c>
      <c r="F21" s="28">
        <f t="shared" si="19"/>
        <v>3.7359999999999998</v>
      </c>
      <c r="G21" s="58">
        <f t="shared" si="20"/>
        <v>0.57000000000000006</v>
      </c>
      <c r="H21" s="59">
        <f t="shared" si="21"/>
        <v>0.89500000000000002</v>
      </c>
      <c r="I21" s="63" t="s">
        <v>486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8"/>
        <v>26.501456000000001</v>
      </c>
      <c r="N21" s="28">
        <f>INDEX(ruminants!$D$3:$AH$120,$K21,N$4)</f>
        <v>20.100000000000001</v>
      </c>
      <c r="O21" s="28">
        <f>INDEX(ruminants!$D$3:$AH$120,$K21,O$4)</f>
        <v>51</v>
      </c>
      <c r="P21" s="28">
        <f>INDEX(ruminants!$D$3:$AH$120,$K21,P$4)</f>
        <v>154</v>
      </c>
      <c r="Q21" s="28">
        <f>INDEX(ruminants!$D$3:$AH$120,$K21,Q$4)</f>
        <v>20.8</v>
      </c>
      <c r="R21" s="44">
        <f>INDEX(ruminants!$D$3:$AH$120,$K21,R$4)</f>
        <v>240</v>
      </c>
      <c r="S21" s="29">
        <f>INDEX(ruminants!$D$3:$AH$120,$K21,S$4)</f>
        <v>380</v>
      </c>
      <c r="T21" s="29">
        <f>INDEX(ruminants!$D$3:$AH$120,$K21,T$4)</f>
        <v>70</v>
      </c>
      <c r="U21" s="29">
        <f>INDEX(ruminants!$D$3:$AH$120,$K21,U$4)</f>
        <v>270</v>
      </c>
      <c r="V21" s="32">
        <f>INDEX(ruminants!$D$3:$AH$120,$K21,V$4)</f>
        <v>40</v>
      </c>
      <c r="W21" s="28">
        <f t="shared" si="8"/>
        <v>3.84</v>
      </c>
      <c r="X21" s="58">
        <f>INDEX(ruminants!$D$3:$AH$120,$K21,X$4)/1000*100</f>
        <v>0.57000000000000006</v>
      </c>
      <c r="Y21" s="59">
        <f>INDEX(ruminants!$D$3:$AH$120,$K21,Y$4)/1000*100</f>
        <v>0.89999999999999991</v>
      </c>
      <c r="Z21" s="78"/>
      <c r="AA21" s="73"/>
      <c r="AB21" s="45">
        <f>MATCH($B21,pigs!$A$3:$A$60,0)</f>
        <v>14</v>
      </c>
      <c r="AC21" s="27">
        <f>INDEX(pigs!$D$3:$AO$60,$AB21,AC$4)</f>
        <v>91</v>
      </c>
      <c r="AD21" s="52">
        <f t="shared" si="24"/>
        <v>27.712724000000005</v>
      </c>
      <c r="AE21" s="69">
        <v>20.9</v>
      </c>
      <c r="AF21" s="37">
        <f>INDEX(pigs!$D$3:$AO$60,$AB21,AF$4)</f>
        <v>17.3</v>
      </c>
      <c r="AG21" s="37">
        <f>INDEX(pigs!$D$3:$AO$60,$AB21,AG$4)</f>
        <v>17.5</v>
      </c>
      <c r="AH21" s="27">
        <f>INDEX(pigs!$D$3:$AO$60,$AB21,AH$4)</f>
        <v>227</v>
      </c>
      <c r="AI21" s="37">
        <f>INDEX(pigs!$D$3:$AO$60,$AB21,AI$4)</f>
        <v>437</v>
      </c>
      <c r="AJ21" s="31">
        <f t="shared" si="25"/>
        <v>298</v>
      </c>
      <c r="AK21" s="38">
        <f>INDEX(pigs!$D$3:$AO$60,$AB21,AK$4)</f>
        <v>38</v>
      </c>
      <c r="AL21" s="28">
        <f t="shared" si="14"/>
        <v>3.6319999999999997</v>
      </c>
      <c r="AM21" s="58">
        <f>INDEX(pigs!$D$3:$AO$60,$AB21,AM$4)/1000*100</f>
        <v>0.57000000000000006</v>
      </c>
      <c r="AN21" s="59">
        <f>INDEX(pigs!$D$3:$AO$60,$AB21,AN$4)/1000*100</f>
        <v>0.89</v>
      </c>
      <c r="AO21" s="77"/>
      <c r="AP21" s="74" t="s">
        <v>563</v>
      </c>
      <c r="AQ21" t="s">
        <v>465</v>
      </c>
      <c r="AR21" s="45"/>
      <c r="AS21" s="27"/>
      <c r="AT21" s="38"/>
    </row>
    <row r="22" spans="2:47" x14ac:dyDescent="0.25">
      <c r="B22" t="s">
        <v>301</v>
      </c>
      <c r="C22" s="44">
        <f t="shared" ref="C22:C39" si="26">AVERAGE(AC22,L22)</f>
        <v>100</v>
      </c>
      <c r="D22" s="100">
        <f t="shared" si="9"/>
        <v>39.329599999999999</v>
      </c>
      <c r="E22" s="43">
        <f t="shared" si="3"/>
        <v>0</v>
      </c>
      <c r="F22" s="28">
        <f t="shared" si="19"/>
        <v>0</v>
      </c>
      <c r="G22" s="58">
        <f t="shared" si="20"/>
        <v>0</v>
      </c>
      <c r="H22" s="59">
        <f t="shared" si="21"/>
        <v>0</v>
      </c>
      <c r="I22" s="4"/>
      <c r="J22" s="4"/>
      <c r="K22" s="45"/>
      <c r="L22" s="27">
        <v>100</v>
      </c>
      <c r="M22" s="52">
        <f>( 5.7*R22+9.4*S22+4.1*(T22+U22) ) * 0.004184</f>
        <v>39.329599999999999</v>
      </c>
      <c r="N22" s="28">
        <v>36.6</v>
      </c>
      <c r="O22" s="28">
        <f>INDEX(ruminants!$D$3:$AH$120,$K22,O$4)</f>
        <v>47</v>
      </c>
      <c r="P22" s="28">
        <f>INDEX(ruminants!$D$3:$AH$120,$K22,P$4)</f>
        <v>-35</v>
      </c>
      <c r="Q22" s="75">
        <f>N22</f>
        <v>36.6</v>
      </c>
      <c r="R22" s="44">
        <v>0</v>
      </c>
      <c r="S22" s="29">
        <v>1000</v>
      </c>
      <c r="T22" s="29">
        <v>0</v>
      </c>
      <c r="U22" s="29">
        <v>0</v>
      </c>
      <c r="V22" s="32">
        <v>0</v>
      </c>
      <c r="W22" s="28">
        <f t="shared" si="8"/>
        <v>0</v>
      </c>
      <c r="X22" s="58">
        <v>0</v>
      </c>
      <c r="Y22" s="59">
        <v>0</v>
      </c>
      <c r="Z22" s="78" t="s">
        <v>309</v>
      </c>
      <c r="AA22" s="73"/>
      <c r="AB22" s="45">
        <f>MATCH($B22,pigs!$A$3:$A$60,0)</f>
        <v>28</v>
      </c>
      <c r="AC22" s="27">
        <f>INDEX(pigs!$D$3:$AO$60,$AB22,AC$4)</f>
        <v>100</v>
      </c>
      <c r="AD22" s="52">
        <f t="shared" si="24"/>
        <v>39.329599999999999</v>
      </c>
      <c r="AE22" s="69">
        <v>34.5</v>
      </c>
      <c r="AF22" s="37">
        <f>INDEX(pigs!$D$3:$AO$60,$AB22,AF$4)</f>
        <v>29.8</v>
      </c>
      <c r="AG22" s="37">
        <f>INDEX(pigs!$D$3:$AO$60,$AB22,AG$4)</f>
        <v>29.8</v>
      </c>
      <c r="AH22" s="27">
        <f>INDEX(pigs!$D$3:$AO$60,$AB22,AH$4)</f>
        <v>0</v>
      </c>
      <c r="AI22" s="37">
        <f>INDEX(pigs!$D$3:$AO$60,$AB22,AI$4)</f>
        <v>1000</v>
      </c>
      <c r="AJ22" s="31">
        <f t="shared" si="25"/>
        <v>0</v>
      </c>
      <c r="AK22" s="38">
        <f>INDEX(pigs!$D$3:$AO$60,$AB22,AK$4)</f>
        <v>0</v>
      </c>
      <c r="AL22" s="28">
        <f t="shared" si="14"/>
        <v>0</v>
      </c>
      <c r="AM22" s="58">
        <f>INDEX(pigs!$D$3:$AO$60,$AB22,AM$4)/1000*100</f>
        <v>0</v>
      </c>
      <c r="AN22" s="59">
        <f>INDEX(pigs!$D$3:$AO$60,$AB22,AN$4)/1000*100</f>
        <v>0</v>
      </c>
      <c r="AO22" s="77"/>
      <c r="AP22" s="74" t="s">
        <v>309</v>
      </c>
      <c r="AQ22" t="s">
        <v>465</v>
      </c>
      <c r="AR22" s="45">
        <f>MATCH($B22,poultry!$A$3:$A$41,0)</f>
        <v>1</v>
      </c>
      <c r="AS22" s="27">
        <f>INDEX(poultry!$D$3:$U$41,$AR22,AS$4)</f>
        <v>99</v>
      </c>
      <c r="AT22" s="96">
        <f>INDEX(poultry!$D$3:$U$41,$AR22,AT$4)/(AS22/100)</f>
        <v>38.080808080808083</v>
      </c>
    </row>
    <row r="23" spans="2:47" x14ac:dyDescent="0.25">
      <c r="B23" t="s">
        <v>293</v>
      </c>
      <c r="C23" s="44">
        <f t="shared" si="26"/>
        <v>85</v>
      </c>
      <c r="D23" s="100">
        <f t="shared" si="9"/>
        <v>16.927627199999996</v>
      </c>
      <c r="E23" s="43">
        <f t="shared" si="3"/>
        <v>6.6000000000000005</v>
      </c>
      <c r="F23" s="28">
        <f t="shared" si="19"/>
        <v>1.1040000000000001</v>
      </c>
      <c r="G23" s="58">
        <f t="shared" si="20"/>
        <v>0.26</v>
      </c>
      <c r="H23" s="59">
        <f t="shared" si="21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8"/>
        <v>16.927627199999996</v>
      </c>
      <c r="N23" s="28">
        <f>INDEX(ruminants!$D$3:$AH$120,$K23,N$4)</f>
        <v>6.6</v>
      </c>
      <c r="O23" s="28">
        <f>INDEX(ruminants!$D$3:$AH$120,$K23,O$4)</f>
        <v>45</v>
      </c>
      <c r="P23" s="28">
        <f>INDEX(ruminants!$D$3:$AH$120,$K23,P$4)</f>
        <v>-60</v>
      </c>
      <c r="Q23" s="28">
        <f>INDEX(ruminants!$D$3:$AH$120,$K23,Q$4)</f>
        <v>7.6</v>
      </c>
      <c r="R23" s="44">
        <f>INDEX(ruminants!$D$3:$AH$120,$K23,R$4)</f>
        <v>69</v>
      </c>
      <c r="S23" s="29">
        <f>INDEX(ruminants!$D$3:$AH$120,$K23,S$4)</f>
        <v>20</v>
      </c>
      <c r="T23" s="29">
        <f>INDEX(ruminants!$D$3:$AH$120,$K23,T$4)</f>
        <v>436</v>
      </c>
      <c r="U23" s="29">
        <f>INDEX(ruminants!$D$3:$AH$120,$K23,U$4)</f>
        <v>409</v>
      </c>
      <c r="V23" s="32">
        <f>INDEX(ruminants!$D$3:$AH$120,$K23,V$4)</f>
        <v>66</v>
      </c>
      <c r="W23" s="28">
        <f t="shared" si="8"/>
        <v>1.1040000000000001</v>
      </c>
      <c r="X23" s="58">
        <f>INDEX(ruminants!$D$3:$AH$120,$K23,X$4)/1000*100</f>
        <v>0.26</v>
      </c>
      <c r="Y23" s="59">
        <f>INDEX(ruminants!$D$3:$AH$120,$K23,Y$4)/1000*100</f>
        <v>1.6800000000000002</v>
      </c>
      <c r="Z23" s="78"/>
      <c r="AA23" s="73"/>
      <c r="AB23" s="45"/>
      <c r="AC23" s="27"/>
      <c r="AD23" s="37"/>
      <c r="AE23" s="72"/>
      <c r="AF23" s="37"/>
      <c r="AG23" s="37"/>
      <c r="AH23" s="27"/>
      <c r="AI23" s="37"/>
      <c r="AJ23" s="37"/>
      <c r="AK23" s="38"/>
      <c r="AL23" s="28"/>
      <c r="AM23" s="58"/>
      <c r="AN23" s="59"/>
      <c r="AO23" s="77"/>
      <c r="AP23" s="74"/>
      <c r="AQ23" t="s">
        <v>465</v>
      </c>
      <c r="AR23" s="45"/>
      <c r="AS23" s="27"/>
      <c r="AT23" s="38"/>
    </row>
    <row r="24" spans="2:47" x14ac:dyDescent="0.25">
      <c r="B24" t="s">
        <v>304</v>
      </c>
      <c r="C24" s="44">
        <f t="shared" si="26"/>
        <v>87</v>
      </c>
      <c r="D24" s="100">
        <f t="shared" si="9"/>
        <v>22.965976000000001</v>
      </c>
      <c r="E24" s="43">
        <f t="shared" si="3"/>
        <v>5</v>
      </c>
      <c r="F24" s="28">
        <f t="shared" si="19"/>
        <v>6.4</v>
      </c>
      <c r="G24" s="58">
        <f t="shared" si="20"/>
        <v>0.63</v>
      </c>
      <c r="H24" s="59">
        <f t="shared" si="21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8"/>
        <v>22.965976000000001</v>
      </c>
      <c r="N24" s="28">
        <f>INDEX(ruminants!$D$3:$AH$120,$K24,N$4)</f>
        <v>16.399999999999999</v>
      </c>
      <c r="O24" s="28">
        <f>INDEX(ruminants!$D$3:$AH$120,$K24,O$4)</f>
        <v>69</v>
      </c>
      <c r="P24" s="28">
        <f>INDEX(ruminants!$D$3:$AH$120,$K24,P$4)</f>
        <v>273</v>
      </c>
      <c r="Q24" s="28">
        <f>INDEX(ruminants!$D$3:$AH$120,$K24,Q$4)</f>
        <v>18.399999999999999</v>
      </c>
      <c r="R24" s="44">
        <f>INDEX(ruminants!$D$3:$AH$120,$K24,R$4)</f>
        <v>400</v>
      </c>
      <c r="S24" s="29">
        <f>INDEX(ruminants!$D$3:$AH$120,$K24,S$4)</f>
        <v>180</v>
      </c>
      <c r="T24" s="29">
        <f>INDEX(ruminants!$D$3:$AH$120,$K24,T$4)</f>
        <v>60</v>
      </c>
      <c r="U24" s="29">
        <f>INDEX(ruminants!$D$3:$AH$120,$K24,U$4)</f>
        <v>310</v>
      </c>
      <c r="V24" s="32">
        <f>INDEX(ruminants!$D$3:$AH$120,$K24,V$4)</f>
        <v>50</v>
      </c>
      <c r="W24" s="28">
        <f t="shared" si="8"/>
        <v>6.4</v>
      </c>
      <c r="X24" s="58">
        <f>INDEX(ruminants!$D$3:$AH$120,$K24,X$4)/1000*100</f>
        <v>0.63</v>
      </c>
      <c r="Y24" s="59">
        <f>INDEX(ruminants!$D$3:$AH$120,$K24,Y$4)/1000*100</f>
        <v>1.9</v>
      </c>
      <c r="Z24" s="78"/>
      <c r="AA24" s="73"/>
      <c r="AB24" s="45"/>
      <c r="AC24" s="27"/>
      <c r="AD24" s="37"/>
      <c r="AE24" s="72"/>
      <c r="AF24" s="37"/>
      <c r="AG24" s="37"/>
      <c r="AH24" s="27"/>
      <c r="AI24" s="37"/>
      <c r="AJ24" s="37"/>
      <c r="AK24" s="38"/>
      <c r="AL24" s="28"/>
      <c r="AM24" s="58"/>
      <c r="AN24" s="59"/>
      <c r="AO24" s="77"/>
      <c r="AP24" s="74"/>
      <c r="AQ24" t="s">
        <v>465</v>
      </c>
      <c r="AR24" s="45"/>
      <c r="AS24" s="27"/>
      <c r="AT24" s="38">
        <v>16</v>
      </c>
      <c r="AU24" s="7" t="s">
        <v>624</v>
      </c>
    </row>
    <row r="25" spans="2:47" x14ac:dyDescent="0.25">
      <c r="B25" t="s">
        <v>37</v>
      </c>
      <c r="C25" s="44">
        <f t="shared" si="26"/>
        <v>87.5</v>
      </c>
      <c r="D25" s="100">
        <f t="shared" si="9"/>
        <v>19.589487999999999</v>
      </c>
      <c r="E25" s="43">
        <f t="shared" si="3"/>
        <v>7.1499999999999995</v>
      </c>
      <c r="F25" s="28">
        <f t="shared" si="19"/>
        <v>8.2080000000000002</v>
      </c>
      <c r="G25" s="58">
        <f t="shared" si="20"/>
        <v>0.71499999999999997</v>
      </c>
      <c r="H25" s="59">
        <f t="shared" si="21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8"/>
        <v>19.589487999999999</v>
      </c>
      <c r="N25" s="28">
        <f>INDEX(ruminants!$D$3:$AH$120,$K25,N$4)</f>
        <v>14.6</v>
      </c>
      <c r="O25" s="28">
        <f>INDEX(ruminants!$D$3:$AH$120,$K25,O$4)</f>
        <v>182</v>
      </c>
      <c r="P25" s="28">
        <f>INDEX(ruminants!$D$3:$AH$120,$K25,P$4)</f>
        <v>261</v>
      </c>
      <c r="Q25" s="28">
        <f>INDEX(ruminants!$D$3:$AH$120,$K25,Q$4)</f>
        <v>17.8</v>
      </c>
      <c r="R25" s="44">
        <f>INDEX(ruminants!$D$3:$AH$120,$K25,R$4)</f>
        <v>510</v>
      </c>
      <c r="S25" s="29">
        <f>INDEX(ruminants!$D$3:$AH$120,$K25,S$4)</f>
        <v>10</v>
      </c>
      <c r="T25" s="29">
        <f>INDEX(ruminants!$D$3:$AH$120,$K25,T$4)</f>
        <v>60</v>
      </c>
      <c r="U25" s="29">
        <f>INDEX(ruminants!$D$3:$AH$120,$K25,U$4)</f>
        <v>350</v>
      </c>
      <c r="V25" s="32">
        <f>INDEX(ruminants!$D$3:$AH$120,$K25,V$4)</f>
        <v>70</v>
      </c>
      <c r="W25" s="28">
        <f t="shared" si="8"/>
        <v>8.16</v>
      </c>
      <c r="X25" s="58">
        <f>INDEX(ruminants!$D$3:$AH$120,$K25,X$4)/1000*100</f>
        <v>0.72</v>
      </c>
      <c r="Y25" s="59">
        <f>INDEX(ruminants!$D$3:$AH$120,$K25,Y$4)/1000*100</f>
        <v>2.2999999999999998</v>
      </c>
      <c r="Z25" s="78"/>
      <c r="AA25" s="73"/>
      <c r="AB25" s="45">
        <f>MATCH($B25,pigs!$A$3:$A$60,0)</f>
        <v>43</v>
      </c>
      <c r="AC25" s="27">
        <f>INDEX(pigs!$D$3:$AO$60,$AB25,AC$4)</f>
        <v>88</v>
      </c>
      <c r="AD25" s="52">
        <f t="shared" ref="AD25:AD30" si="27">( 5.7*AH25+9.4*AI25+4.1*(AJ25) ) * 0.004184</f>
        <v>19.822118400000001</v>
      </c>
      <c r="AE25" s="69">
        <v>16.8</v>
      </c>
      <c r="AF25" s="37">
        <f>INDEX(pigs!$D$3:$AO$60,$AB25,AF$4)</f>
        <v>9.3000000000000007</v>
      </c>
      <c r="AG25" s="37">
        <f>INDEX(pigs!$D$3:$AO$60,$AB25,AG$4)</f>
        <v>9.9</v>
      </c>
      <c r="AH25" s="27">
        <f>INDEX(pigs!$D$3:$AO$60,$AB25,AH$4)</f>
        <v>516</v>
      </c>
      <c r="AI25" s="37">
        <f>INDEX(pigs!$D$3:$AO$60,$AB25,AI$4)</f>
        <v>21</v>
      </c>
      <c r="AJ25" s="31">
        <f t="shared" ref="AJ25:AJ30" si="28">1000-SUM(AH25:AI25,AK25)</f>
        <v>390</v>
      </c>
      <c r="AK25" s="38">
        <f>INDEX(pigs!$D$3:$AO$60,$AB25,AK$4)</f>
        <v>73</v>
      </c>
      <c r="AL25" s="28">
        <f t="shared" si="14"/>
        <v>8.2560000000000002</v>
      </c>
      <c r="AM25" s="58">
        <f>INDEX(pigs!$D$3:$AO$60,$AB25,AM$4)/1000*100</f>
        <v>0.71</v>
      </c>
      <c r="AN25" s="59">
        <f>INDEX(pigs!$D$3:$AO$60,$AB25,AN$4)/1000*100</f>
        <v>2.4</v>
      </c>
      <c r="AO25" s="77"/>
      <c r="AP25" s="74" t="s">
        <v>564</v>
      </c>
      <c r="AQ25" t="s">
        <v>465</v>
      </c>
      <c r="AR25" s="45">
        <f>MATCH($B25,poultry!$A$3:$A$41,0)</f>
        <v>33</v>
      </c>
      <c r="AS25" s="27">
        <f>INDEX(poultry!$D$3:$U$41,$AR25,AS$4)</f>
        <v>87</v>
      </c>
      <c r="AT25" s="96">
        <f>INDEX(poultry!$D$3:$U$41,$AR25,AT$4)/(AS25/100)</f>
        <v>10.459770114942529</v>
      </c>
    </row>
    <row r="26" spans="2:47" x14ac:dyDescent="0.25">
      <c r="B26" t="s">
        <v>38</v>
      </c>
      <c r="C26" s="44">
        <f t="shared" si="26"/>
        <v>87.5</v>
      </c>
      <c r="D26" s="100">
        <f>AD26</f>
        <v>20.560594400000003</v>
      </c>
      <c r="E26" s="43">
        <f t="shared" si="3"/>
        <v>7.35</v>
      </c>
      <c r="F26" s="28">
        <f t="shared" si="19"/>
        <v>9.2880000000000003</v>
      </c>
      <c r="G26" s="58">
        <f t="shared" si="20"/>
        <v>0.78999999999999992</v>
      </c>
      <c r="H26" s="59">
        <f t="shared" si="21"/>
        <v>2.4649999999999999</v>
      </c>
      <c r="I26" s="4"/>
      <c r="J26" s="4"/>
      <c r="K26" s="45"/>
      <c r="L26" s="27">
        <v>88</v>
      </c>
      <c r="M26" s="52">
        <f t="shared" si="18"/>
        <v>19.974416000000002</v>
      </c>
      <c r="N26" s="28">
        <v>13.4</v>
      </c>
      <c r="O26" s="28">
        <f>INDEX(ruminants!$D$3:$AH$120,$K26,O$4)</f>
        <v>59</v>
      </c>
      <c r="P26" s="28">
        <f>INDEX(ruminants!$D$3:$AH$120,$K26,P$4)</f>
        <v>-67</v>
      </c>
      <c r="Q26" s="28">
        <f>M26*0.911</f>
        <v>18.196692976000001</v>
      </c>
      <c r="R26" s="44">
        <v>552</v>
      </c>
      <c r="S26" s="29">
        <v>17</v>
      </c>
      <c r="T26" s="29">
        <v>44</v>
      </c>
      <c r="U26" s="31">
        <f>1000-SUM(R26:T26,V26)</f>
        <v>314</v>
      </c>
      <c r="V26" s="32">
        <v>73</v>
      </c>
      <c r="W26" s="28">
        <f t="shared" si="8"/>
        <v>8.8320000000000007</v>
      </c>
      <c r="X26" s="58">
        <f>7.1/1000*100</f>
        <v>0.71</v>
      </c>
      <c r="Y26" s="59">
        <f>24.3/1000*100</f>
        <v>2.4300000000000002</v>
      </c>
      <c r="Z26" s="78" t="s">
        <v>565</v>
      </c>
      <c r="AA26" s="73"/>
      <c r="AB26" s="45">
        <f>MATCH($B26,pigs!$A$3:$A$60,0)</f>
        <v>45</v>
      </c>
      <c r="AC26" s="27">
        <f>INDEX(pigs!$D$3:$AO$60,$AB26,AC$4)</f>
        <v>87</v>
      </c>
      <c r="AD26" s="52">
        <f t="shared" si="27"/>
        <v>20.560594400000003</v>
      </c>
      <c r="AE26" s="69">
        <v>17.3</v>
      </c>
      <c r="AF26" s="37">
        <f>INDEX(pigs!$D$3:$AO$60,$AB26,AF$4)</f>
        <v>9.6999999999999993</v>
      </c>
      <c r="AG26" s="37">
        <f>INDEX(pigs!$D$3:$AO$60,$AB26,AG$4)</f>
        <v>10.3</v>
      </c>
      <c r="AH26" s="27">
        <f>INDEX(pigs!$D$3:$AO$60,$AB26,AH$4)</f>
        <v>609</v>
      </c>
      <c r="AI26" s="37">
        <f>INDEX(pigs!$D$3:$AO$60,$AB26,AI$4)</f>
        <v>27</v>
      </c>
      <c r="AJ26" s="31">
        <f t="shared" si="28"/>
        <v>290</v>
      </c>
      <c r="AK26" s="38">
        <f>INDEX(pigs!$D$3:$AO$60,$AB26,AK$4)</f>
        <v>74</v>
      </c>
      <c r="AL26" s="28">
        <f t="shared" si="14"/>
        <v>9.7439999999999998</v>
      </c>
      <c r="AM26" s="58">
        <f>INDEX(pigs!$D$3:$AO$60,$AB26,AM$4)/1000*100</f>
        <v>0.86999999999999988</v>
      </c>
      <c r="AN26" s="59">
        <f>INDEX(pigs!$D$3:$AO$60,$AB26,AN$4)/1000*100</f>
        <v>2.5</v>
      </c>
      <c r="AO26" s="77"/>
      <c r="AP26" s="74" t="s">
        <v>565</v>
      </c>
      <c r="AQ26" t="s">
        <v>465</v>
      </c>
      <c r="AR26" s="45"/>
      <c r="AS26" s="27"/>
      <c r="AT26" s="38"/>
    </row>
    <row r="27" spans="2:47" x14ac:dyDescent="0.25">
      <c r="B27" t="s">
        <v>29</v>
      </c>
      <c r="C27" s="44">
        <f t="shared" si="26"/>
        <v>89.5</v>
      </c>
      <c r="D27" s="100">
        <f t="shared" ref="D27:D37" si="29">M27</f>
        <v>19.4920008</v>
      </c>
      <c r="E27" s="43">
        <f t="shared" si="3"/>
        <v>7.7</v>
      </c>
      <c r="F27" s="28">
        <f t="shared" si="19"/>
        <v>6.152000000000001</v>
      </c>
      <c r="G27" s="58">
        <f t="shared" si="20"/>
        <v>1.2450000000000001</v>
      </c>
      <c r="H27" s="59">
        <f t="shared" si="21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8"/>
        <v>19.4920008</v>
      </c>
      <c r="N27" s="28">
        <f>INDEX(ruminants!$D$3:$AH$120,$K27,N$4)</f>
        <v>12.2</v>
      </c>
      <c r="O27" s="28">
        <f>INDEX(ruminants!$D$3:$AH$120,$K27,O$4)</f>
        <v>221</v>
      </c>
      <c r="P27" s="28">
        <f>INDEX(ruminants!$D$3:$AH$120,$K27,P$4)</f>
        <v>79</v>
      </c>
      <c r="Q27" s="28">
        <f>INDEX(ruminants!$D$3:$AH$120,$K27,Q$4)</f>
        <v>14.6</v>
      </c>
      <c r="R27" s="44">
        <f>INDEX(ruminants!$D$3:$AH$120,$K27,R$4)</f>
        <v>389</v>
      </c>
      <c r="S27" s="29">
        <f>INDEX(ruminants!$D$3:$AH$120,$K27,S$4)</f>
        <v>46</v>
      </c>
      <c r="T27" s="29">
        <f>INDEX(ruminants!$D$3:$AH$120,$K27,T$4)</f>
        <v>140</v>
      </c>
      <c r="U27" s="29">
        <f>INDEX(ruminants!$D$3:$AH$120,$K27,U$4)</f>
        <v>350</v>
      </c>
      <c r="V27" s="32">
        <f>INDEX(ruminants!$D$3:$AH$120,$K27,V$4)</f>
        <v>75</v>
      </c>
      <c r="W27" s="28">
        <f t="shared" si="8"/>
        <v>6.2240000000000002</v>
      </c>
      <c r="X27" s="58">
        <f>INDEX(ruminants!$D$3:$AH$120,$K27,X$4)/1000*100</f>
        <v>1.2</v>
      </c>
      <c r="Y27" s="59">
        <f>INDEX(ruminants!$D$3:$AH$120,$K27,Y$4)/1000*100</f>
        <v>1.6</v>
      </c>
      <c r="Z27" s="78"/>
      <c r="AA27" s="73"/>
      <c r="AB27" s="45">
        <f>MATCH($B27,pigs!$A$3:$A$60,0)</f>
        <v>36</v>
      </c>
      <c r="AC27" s="27">
        <f>INDEX(pigs!$D$3:$AO$60,$AB27,AC$4)</f>
        <v>89</v>
      </c>
      <c r="AD27" s="52">
        <f t="shared" si="27"/>
        <v>18.9196296</v>
      </c>
      <c r="AE27" s="69">
        <v>13.3</v>
      </c>
      <c r="AF27" s="37">
        <f>INDEX(pigs!$D$3:$AO$60,$AB27,AF$4)</f>
        <v>7.1</v>
      </c>
      <c r="AG27" s="37">
        <f>INDEX(pigs!$D$3:$AO$60,$AB27,AG$4)</f>
        <v>7.7</v>
      </c>
      <c r="AH27" s="27">
        <f>INDEX(pigs!$D$3:$AO$60,$AB27,AH$4)</f>
        <v>380</v>
      </c>
      <c r="AI27" s="37">
        <f>INDEX(pigs!$D$3:$AO$60,$AB27,AI$4)</f>
        <v>26</v>
      </c>
      <c r="AJ27" s="31">
        <f t="shared" si="28"/>
        <v>515</v>
      </c>
      <c r="AK27" s="38">
        <f>INDEX(pigs!$D$3:$AO$60,$AB27,AK$4)</f>
        <v>79</v>
      </c>
      <c r="AL27" s="28">
        <f t="shared" si="14"/>
        <v>6.080000000000001</v>
      </c>
      <c r="AM27" s="58">
        <f>INDEX(pigs!$D$3:$AO$60,$AB27,AM$4)/1000*100</f>
        <v>1.29</v>
      </c>
      <c r="AN27" s="59">
        <f>INDEX(pigs!$D$3:$AO$60,$AB27,AN$4)/1000*100</f>
        <v>1.5</v>
      </c>
      <c r="AO27" s="77"/>
      <c r="AP27" s="74" t="s">
        <v>566</v>
      </c>
      <c r="AQ27" t="s">
        <v>465</v>
      </c>
      <c r="AR27" s="45">
        <f>MATCH($B27,poultry!$A$3:$A$41,0)</f>
        <v>29</v>
      </c>
      <c r="AS27" s="27">
        <f>INDEX(poultry!$D$3:$U$41,$AR27,AS$4)</f>
        <v>90</v>
      </c>
      <c r="AT27" s="96">
        <f>INDEX(poultry!$D$3:$U$41,$AR27,AT$4)/(AS27/100)</f>
        <v>8.4444444444444446</v>
      </c>
    </row>
    <row r="28" spans="2:47" x14ac:dyDescent="0.25">
      <c r="B28" t="s">
        <v>295</v>
      </c>
      <c r="C28" s="44">
        <f t="shared" ref="C28" si="30">AVERAGE(AC28,L28)</f>
        <v>91.5</v>
      </c>
      <c r="D28" s="100">
        <f t="shared" ref="D28" si="31">M28</f>
        <v>21.972276000000001</v>
      </c>
      <c r="E28" s="43">
        <f t="shared" ref="E28" si="32">AVERAGE(V28,AK28)/1000*100</f>
        <v>6.75</v>
      </c>
      <c r="F28" s="28">
        <f t="shared" ref="F28" si="33">AVERAGE(W28,AL28)</f>
        <v>5.1680000000000001</v>
      </c>
      <c r="G28" s="58">
        <f t="shared" ref="G28" si="34">AVERAGE(X28,AM28)</f>
        <v>1.1499999999999999</v>
      </c>
      <c r="H28" s="59">
        <f t="shared" ref="H28" si="35">AVERAGE(Y28,AN28)</f>
        <v>1.3250000000000002</v>
      </c>
      <c r="I28" s="4"/>
      <c r="J28" s="4"/>
      <c r="K28" s="45">
        <f>MATCH($B28,ruminants!$A$3:$A$120,0)</f>
        <v>66</v>
      </c>
      <c r="L28" s="27">
        <f>INDEX(ruminants!$D$3:$AH$120,$K28,L$4)</f>
        <v>94</v>
      </c>
      <c r="M28" s="52">
        <f t="shared" ref="M28" si="36">( 5.7*R28+9.4*S28+4.1*(T28+U28) ) * 0.004184</f>
        <v>21.972276000000001</v>
      </c>
      <c r="N28" s="28">
        <f>INDEX(ruminants!$D$3:$AH$120,$K28,N$4)</f>
        <v>15.6</v>
      </c>
      <c r="O28" s="28">
        <f>INDEX(ruminants!$D$3:$AH$120,$K28,O$4)</f>
        <v>80</v>
      </c>
      <c r="P28" s="28">
        <f>INDEX(ruminants!$D$3:$AH$120,$K28,P$4)</f>
        <v>180</v>
      </c>
      <c r="Q28" s="28">
        <f>INDEX(ruminants!$D$3:$AH$120,$K28,Q$4)</f>
        <v>17.3</v>
      </c>
      <c r="R28" s="44">
        <f>INDEX(ruminants!$D$3:$AH$120,$K28,R$4)</f>
        <v>315</v>
      </c>
      <c r="S28" s="29">
        <f>INDEX(ruminants!$D$3:$AH$120,$K28,S$4)</f>
        <v>174</v>
      </c>
      <c r="T28" s="29">
        <f>INDEX(ruminants!$D$3:$AH$120,$K28,T$4)</f>
        <v>117</v>
      </c>
      <c r="U28" s="29">
        <f>INDEX(ruminants!$D$3:$AH$120,$K28,U$4)</f>
        <v>327</v>
      </c>
      <c r="V28" s="32">
        <f>INDEX(ruminants!$D$3:$AH$120,$K28,V$4)</f>
        <v>67</v>
      </c>
      <c r="W28" s="28">
        <f t="shared" ref="W28" si="37">R28*W$3/1000*100</f>
        <v>5.04</v>
      </c>
      <c r="X28" s="58">
        <f>INDEX(ruminants!$D$3:$AH$120,$K28,X$4)/1000*100</f>
        <v>1.0999999999999999</v>
      </c>
      <c r="Y28" s="59">
        <f>INDEX(ruminants!$D$3:$AH$120,$K28,Y$4)/1000*100</f>
        <v>1.3</v>
      </c>
      <c r="Z28" s="78"/>
      <c r="AA28" s="73"/>
      <c r="AB28" s="45">
        <f>MATCH($B28,pigs!$A$3:$A$60,0)</f>
        <v>34</v>
      </c>
      <c r="AC28" s="27">
        <f>INDEX(pigs!$D$3:$AO$60,$AB28,AC$4)</f>
        <v>89</v>
      </c>
      <c r="AD28" s="52">
        <f t="shared" ref="AD28" si="38">( 5.7*AH28+9.4*AI28+4.1*(AJ28) ) * 0.004184</f>
        <v>21.840479999999999</v>
      </c>
      <c r="AE28" s="69">
        <v>14.3</v>
      </c>
      <c r="AF28" s="37">
        <f>INDEX(pigs!$D$3:$AO$60,$AB28,AF$4)</f>
        <v>9.6999999999999993</v>
      </c>
      <c r="AG28" s="37">
        <f>INDEX(pigs!$D$3:$AO$60,$AB28,AG$4)</f>
        <v>10.199999999999999</v>
      </c>
      <c r="AH28" s="27">
        <f>INDEX(pigs!$D$3:$AO$60,$AB28,AH$4)</f>
        <v>331</v>
      </c>
      <c r="AI28" s="37">
        <f>INDEX(pigs!$D$3:$AO$60,$AB28,AI$4)</f>
        <v>164</v>
      </c>
      <c r="AJ28" s="31">
        <f t="shared" ref="AJ28" si="39">1000-SUM(AH28:AI28,AK28)</f>
        <v>437</v>
      </c>
      <c r="AK28" s="38">
        <f>INDEX(pigs!$D$3:$AO$60,$AB28,AK$4)</f>
        <v>68</v>
      </c>
      <c r="AL28" s="28">
        <f t="shared" ref="AL28" si="40">AH28*AL$3/1000*100</f>
        <v>5.2960000000000003</v>
      </c>
      <c r="AM28" s="58">
        <f>INDEX(pigs!$D$3:$AO$60,$AB28,AM$4)/1000*100</f>
        <v>1.2</v>
      </c>
      <c r="AN28" s="59">
        <f>INDEX(pigs!$D$3:$AO$60,$AB28,AN$4)/1000*100</f>
        <v>1.35</v>
      </c>
      <c r="AO28" s="77"/>
      <c r="AP28" s="74"/>
      <c r="AR28" s="45"/>
      <c r="AS28" s="27"/>
      <c r="AT28" s="96"/>
    </row>
    <row r="29" spans="2:47" x14ac:dyDescent="0.25">
      <c r="B29" t="s">
        <v>39</v>
      </c>
      <c r="C29" s="44">
        <f t="shared" si="26"/>
        <v>91</v>
      </c>
      <c r="D29" s="100">
        <f t="shared" si="29"/>
        <v>19.083224000000001</v>
      </c>
      <c r="E29" s="43">
        <f t="shared" si="3"/>
        <v>7.75</v>
      </c>
      <c r="F29" s="28">
        <f t="shared" si="19"/>
        <v>6.6640000000000006</v>
      </c>
      <c r="G29" s="58">
        <f t="shared" si="20"/>
        <v>1.3050000000000002</v>
      </c>
      <c r="H29" s="59">
        <f t="shared" si="21"/>
        <v>1.75</v>
      </c>
      <c r="I29" s="4"/>
      <c r="J29" s="4"/>
      <c r="K29" s="45">
        <f>MATCH($B29,ruminants!$A$3:$A$120,0)</f>
        <v>99</v>
      </c>
      <c r="L29" s="27">
        <f>INDEX(ruminants!$D$3:$AH$120,$K29,L$4)</f>
        <v>92</v>
      </c>
      <c r="M29" s="52">
        <f t="shared" si="18"/>
        <v>19.083224000000001</v>
      </c>
      <c r="N29" s="28">
        <f>INDEX(ruminants!$D$3:$AH$120,$K29,N$4)</f>
        <v>11.4</v>
      </c>
      <c r="O29" s="28">
        <f>INDEX(ruminants!$D$3:$AH$120,$K29,O$4)</f>
        <v>109</v>
      </c>
      <c r="P29" s="28">
        <f>INDEX(ruminants!$D$3:$AH$120,$K29,P$4)</f>
        <v>301</v>
      </c>
      <c r="Q29" s="28">
        <f>INDEX(ruminants!$D$3:$AH$120,$K29,Q$4)</f>
        <v>14.1</v>
      </c>
      <c r="R29" s="44">
        <f>INDEX(ruminants!$D$3:$AH$120,$K29,R$4)</f>
        <v>460</v>
      </c>
      <c r="S29" s="29">
        <f>INDEX(ruminants!$D$3:$AH$120,$K29,S$4)</f>
        <v>10</v>
      </c>
      <c r="T29" s="29">
        <f>INDEX(ruminants!$D$3:$AH$120,$K29,T$4)</f>
        <v>170</v>
      </c>
      <c r="U29" s="29">
        <f>INDEX(ruminants!$D$3:$AH$120,$K29,U$4)</f>
        <v>280</v>
      </c>
      <c r="V29" s="32">
        <f>INDEX(ruminants!$D$3:$AH$120,$K29,V$4)</f>
        <v>80</v>
      </c>
      <c r="W29" s="28">
        <f t="shared" si="8"/>
        <v>7.3600000000000012</v>
      </c>
      <c r="X29" s="58">
        <f>INDEX(ruminants!$D$3:$AH$120,$K29,X$4)/1000*100</f>
        <v>1.35</v>
      </c>
      <c r="Y29" s="59">
        <f>INDEX(ruminants!$D$3:$AH$120,$K29,Y$4)/1000*100</f>
        <v>1.7999999999999998</v>
      </c>
      <c r="Z29" s="78"/>
      <c r="AA29" s="73"/>
      <c r="AB29" s="45">
        <f>MATCH($B29,pigs!$A$3:$A$60,0)</f>
        <v>46</v>
      </c>
      <c r="AC29" s="27">
        <f>INDEX(pigs!$D$3:$AO$60,$AB29,AC$4)</f>
        <v>90</v>
      </c>
      <c r="AD29" s="52">
        <f t="shared" si="27"/>
        <v>18.786160000000002</v>
      </c>
      <c r="AE29" s="69">
        <v>10.3</v>
      </c>
      <c r="AF29" s="37">
        <f>INDEX(pigs!$D$3:$AO$60,$AB29,AF$4)</f>
        <v>5.9</v>
      </c>
      <c r="AG29" s="37">
        <f>INDEX(pigs!$D$3:$AO$60,$AB29,AG$4)</f>
        <v>6.5</v>
      </c>
      <c r="AH29" s="27">
        <f>INDEX(pigs!$D$3:$AO$60,$AB29,AH$4)</f>
        <v>373</v>
      </c>
      <c r="AI29" s="37">
        <f>INDEX(pigs!$D$3:$AO$60,$AB29,AI$4)</f>
        <v>19</v>
      </c>
      <c r="AJ29" s="31">
        <f t="shared" si="28"/>
        <v>533</v>
      </c>
      <c r="AK29" s="38">
        <f>INDEX(pigs!$D$3:$AO$60,$AB29,AK$4)</f>
        <v>75</v>
      </c>
      <c r="AL29" s="28">
        <f t="shared" si="14"/>
        <v>5.968</v>
      </c>
      <c r="AM29" s="58">
        <f>INDEX(pigs!$D$3:$AO$60,$AB29,AM$4)/1000*100</f>
        <v>1.26</v>
      </c>
      <c r="AN29" s="59">
        <f>INDEX(pigs!$D$3:$AO$60,$AB29,AN$4)/1000*100</f>
        <v>1.7000000000000002</v>
      </c>
      <c r="AO29" s="77"/>
      <c r="AP29" s="74" t="s">
        <v>567</v>
      </c>
      <c r="AQ29" t="s">
        <v>465</v>
      </c>
      <c r="AR29" s="45"/>
      <c r="AS29" s="27"/>
      <c r="AT29" s="38">
        <v>8.6</v>
      </c>
      <c r="AU29" t="s">
        <v>567</v>
      </c>
    </row>
    <row r="30" spans="2:47" x14ac:dyDescent="0.25">
      <c r="B30" t="s">
        <v>40</v>
      </c>
      <c r="C30" s="44">
        <f t="shared" si="26"/>
        <v>91</v>
      </c>
      <c r="D30" s="100">
        <f t="shared" si="29"/>
        <v>19.581538399999999</v>
      </c>
      <c r="E30" s="43">
        <f t="shared" si="3"/>
        <v>4.5</v>
      </c>
      <c r="F30" s="28">
        <f t="shared" si="19"/>
        <v>2.5360000000000005</v>
      </c>
      <c r="G30" s="58">
        <f t="shared" si="20"/>
        <v>0.64500000000000002</v>
      </c>
      <c r="H30" s="59">
        <f t="shared" si="21"/>
        <v>0.77500000000000002</v>
      </c>
      <c r="I30" s="4"/>
      <c r="J30" s="4"/>
      <c r="K30" s="45">
        <f>MATCH($B30,ruminants!$A$3:$A$120,0)</f>
        <v>60</v>
      </c>
      <c r="L30" s="27">
        <f>INDEX(ruminants!$D$3:$AH$120,$K30,L$4)</f>
        <v>91</v>
      </c>
      <c r="M30" s="52">
        <f t="shared" si="18"/>
        <v>19.581538399999999</v>
      </c>
      <c r="N30" s="28">
        <f>INDEX(ruminants!$D$3:$AH$120,$K30,N$4)</f>
        <v>13.4</v>
      </c>
      <c r="O30" s="28">
        <f>INDEX(ruminants!$D$3:$AH$120,$K30,O$4)</f>
        <v>115</v>
      </c>
      <c r="P30" s="28">
        <f>INDEX(ruminants!$D$3:$AH$120,$K30,P$4)</f>
        <v>-35</v>
      </c>
      <c r="Q30" s="28">
        <f>INDEX(ruminants!$D$3:$AH$120,$K30,Q$4)</f>
        <v>15</v>
      </c>
      <c r="R30" s="44">
        <f>INDEX(ruminants!$D$3:$AH$120,$K30,R$4)</f>
        <v>154</v>
      </c>
      <c r="S30" s="29">
        <f>INDEX(ruminants!$D$3:$AH$120,$K30,S$4)</f>
        <v>97</v>
      </c>
      <c r="T30" s="29">
        <f>INDEX(ruminants!$D$3:$AH$120,$K30,T$4)</f>
        <v>228</v>
      </c>
      <c r="U30" s="29">
        <f>INDEX(ruminants!$D$3:$AH$120,$K30,U$4)</f>
        <v>477</v>
      </c>
      <c r="V30" s="32">
        <f>INDEX(ruminants!$D$3:$AH$120,$K30,V$4)</f>
        <v>44</v>
      </c>
      <c r="W30" s="28">
        <f t="shared" si="8"/>
        <v>2.4640000000000004</v>
      </c>
      <c r="X30" s="58">
        <f>INDEX(ruminants!$D$3:$AH$120,$K30,X$4)/1000*100</f>
        <v>0.65</v>
      </c>
      <c r="Y30" s="59">
        <f>INDEX(ruminants!$D$3:$AH$120,$K30,Y$4)/1000*100</f>
        <v>0.8</v>
      </c>
      <c r="Z30" s="78"/>
      <c r="AA30" s="73"/>
      <c r="AB30" s="45">
        <f>MATCH($B30,pigs!$A$3:$A$60,0)</f>
        <v>29</v>
      </c>
      <c r="AC30" s="27">
        <f>INDEX(pigs!$D$3:$AO$60,$AB30,AC$4)</f>
        <v>91</v>
      </c>
      <c r="AD30" s="52">
        <f t="shared" si="27"/>
        <v>19.540953599999998</v>
      </c>
      <c r="AE30" s="69">
        <v>8.4</v>
      </c>
      <c r="AF30" s="37">
        <f>INDEX(pigs!$D$3:$AO$60,$AB30,AF$4)</f>
        <v>5.4</v>
      </c>
      <c r="AG30" s="37">
        <f>INDEX(pigs!$D$3:$AO$60,$AB30,AG$4)</f>
        <v>6.2</v>
      </c>
      <c r="AH30" s="27">
        <f>INDEX(pigs!$D$3:$AO$60,$AB30,AH$4)</f>
        <v>163</v>
      </c>
      <c r="AI30" s="37">
        <f>INDEX(pigs!$D$3:$AO$60,$AB30,AI$4)</f>
        <v>94</v>
      </c>
      <c r="AJ30" s="31">
        <f t="shared" si="28"/>
        <v>697</v>
      </c>
      <c r="AK30" s="38">
        <f>INDEX(pigs!$D$3:$AO$60,$AB30,AK$4)</f>
        <v>46</v>
      </c>
      <c r="AL30" s="28">
        <f t="shared" si="14"/>
        <v>2.6080000000000001</v>
      </c>
      <c r="AM30" s="58">
        <f>INDEX(pigs!$D$3:$AO$60,$AB30,AM$4)/1000*100</f>
        <v>0.64</v>
      </c>
      <c r="AN30" s="59">
        <f>INDEX(pigs!$D$3:$AO$60,$AB30,AN$4)/1000*100</f>
        <v>0.75</v>
      </c>
      <c r="AO30" s="77"/>
      <c r="AP30" s="74"/>
      <c r="AQ30" t="s">
        <v>465</v>
      </c>
      <c r="AR30" s="45"/>
      <c r="AS30" s="27"/>
      <c r="AT30" s="38"/>
    </row>
    <row r="31" spans="2:47" x14ac:dyDescent="0.25">
      <c r="B31" t="s">
        <v>305</v>
      </c>
      <c r="C31" s="44">
        <f t="shared" si="26"/>
        <v>90</v>
      </c>
      <c r="D31" s="100">
        <f t="shared" si="29"/>
        <v>16.971140800000001</v>
      </c>
      <c r="E31" s="43">
        <f t="shared" si="3"/>
        <v>11.700000000000001</v>
      </c>
      <c r="F31" s="28">
        <f t="shared" si="19"/>
        <v>2.9279999999999999</v>
      </c>
      <c r="G31" s="58">
        <f t="shared" si="20"/>
        <v>0.27</v>
      </c>
      <c r="H31" s="59">
        <f t="shared" si="21"/>
        <v>2.56</v>
      </c>
      <c r="I31" s="4"/>
      <c r="J31" s="4"/>
      <c r="K31" s="45"/>
      <c r="L31" s="27">
        <v>90</v>
      </c>
      <c r="M31" s="52">
        <f t="shared" si="18"/>
        <v>16.971140800000001</v>
      </c>
      <c r="N31" s="28">
        <v>8.5</v>
      </c>
      <c r="O31" s="69">
        <v>62</v>
      </c>
      <c r="P31" s="69">
        <v>86</v>
      </c>
      <c r="Q31" s="28">
        <v>10.7</v>
      </c>
      <c r="R31" s="44">
        <v>183</v>
      </c>
      <c r="S31" s="29">
        <v>27</v>
      </c>
      <c r="T31" s="29">
        <v>286</v>
      </c>
      <c r="U31" s="31">
        <f>1000-SUM(R31:T31,V31)</f>
        <v>387</v>
      </c>
      <c r="V31" s="32">
        <v>117</v>
      </c>
      <c r="W31" s="28">
        <f t="shared" si="8"/>
        <v>2.9279999999999999</v>
      </c>
      <c r="X31" s="58">
        <f>2.7/1000*100</f>
        <v>0.27</v>
      </c>
      <c r="Y31" s="59">
        <f>25.6/1000*100</f>
        <v>2.56</v>
      </c>
      <c r="Z31" s="78" t="s">
        <v>306</v>
      </c>
      <c r="AA31" s="73"/>
      <c r="AB31" s="45"/>
      <c r="AC31" s="27"/>
      <c r="AD31" s="37"/>
      <c r="AE31" s="72"/>
      <c r="AF31" s="37"/>
      <c r="AG31" s="37"/>
      <c r="AH31" s="27"/>
      <c r="AI31" s="37"/>
      <c r="AJ31" s="37"/>
      <c r="AK31" s="38"/>
      <c r="AL31" s="28"/>
      <c r="AM31" s="58"/>
      <c r="AN31" s="59"/>
      <c r="AO31" s="77"/>
      <c r="AP31" s="74"/>
      <c r="AQ31" t="s">
        <v>465</v>
      </c>
      <c r="AR31" s="45"/>
      <c r="AS31" s="27"/>
      <c r="AT31" s="38"/>
    </row>
    <row r="32" spans="2:47" x14ac:dyDescent="0.25">
      <c r="B32" t="s">
        <v>41</v>
      </c>
      <c r="C32" s="44">
        <f t="shared" si="26"/>
        <v>87</v>
      </c>
      <c r="D32" s="100">
        <f t="shared" si="29"/>
        <v>18.194124000000002</v>
      </c>
      <c r="E32" s="43">
        <f t="shared" si="3"/>
        <v>5.8999999999999995</v>
      </c>
      <c r="F32" s="28">
        <f t="shared" si="19"/>
        <v>2.6399999999999997</v>
      </c>
      <c r="G32" s="58">
        <f t="shared" si="20"/>
        <v>1.1950000000000001</v>
      </c>
      <c r="H32" s="59">
        <f t="shared" si="21"/>
        <v>1.35</v>
      </c>
      <c r="I32" s="4"/>
      <c r="J32" s="4"/>
      <c r="K32" s="45">
        <f>MATCH($B32,ruminants!$A$3:$A$120,0)</f>
        <v>111</v>
      </c>
      <c r="L32" s="27">
        <f>INDEX(ruminants!$D$3:$AH$120,$K32,L$4)</f>
        <v>87</v>
      </c>
      <c r="M32" s="52">
        <f t="shared" si="18"/>
        <v>18.194124000000002</v>
      </c>
      <c r="N32" s="28">
        <f>INDEX(ruminants!$D$3:$AH$120,$K32,N$4)</f>
        <v>11</v>
      </c>
      <c r="O32" s="28">
        <f>INDEX(ruminants!$D$3:$AH$120,$K32,O$4)</f>
        <v>73</v>
      </c>
      <c r="P32" s="28">
        <f>INDEX(ruminants!$D$3:$AH$120,$K32,P$4)</f>
        <v>36</v>
      </c>
      <c r="Q32" s="28">
        <f>INDEX(ruminants!$D$3:$AH$120,$K32,Q$4)</f>
        <v>12.7</v>
      </c>
      <c r="R32" s="44">
        <f>INDEX(ruminants!$D$3:$AH$120,$K32,R$4)</f>
        <v>160</v>
      </c>
      <c r="S32" s="29">
        <f>INDEX(ruminants!$D$3:$AH$120,$K32,S$4)</f>
        <v>45</v>
      </c>
      <c r="T32" s="29">
        <f>INDEX(ruminants!$D$3:$AH$120,$K32,T$4)</f>
        <v>115</v>
      </c>
      <c r="U32" s="29">
        <f>INDEX(ruminants!$D$3:$AH$120,$K32,U$4)</f>
        <v>620</v>
      </c>
      <c r="V32" s="32">
        <f>INDEX(ruminants!$D$3:$AH$120,$K32,V$4)</f>
        <v>60</v>
      </c>
      <c r="W32" s="28">
        <f t="shared" si="8"/>
        <v>2.56</v>
      </c>
      <c r="X32" s="58">
        <f>INDEX(ruminants!$D$3:$AH$120,$K32,X$4)/1000*100</f>
        <v>1.2</v>
      </c>
      <c r="Y32" s="59">
        <f>INDEX(ruminants!$D$3:$AH$120,$K32,Y$4)/1000*100</f>
        <v>1.2</v>
      </c>
      <c r="Z32" s="78"/>
      <c r="AA32" s="73"/>
      <c r="AB32" s="45">
        <f>MATCH($B32,pigs!$A$3:$A$60,0)</f>
        <v>55</v>
      </c>
      <c r="AC32" s="27">
        <f>INDEX(pigs!$D$3:$AO$60,$AB32,AC$4)</f>
        <v>87</v>
      </c>
      <c r="AD32" s="52">
        <f t="shared" ref="AD32:AD40" si="41">( 5.7*AH32+9.4*AI32+4.1*(AJ32) ) * 0.004184</f>
        <v>18.184500799999999</v>
      </c>
      <c r="AE32" s="69">
        <v>10.8</v>
      </c>
      <c r="AF32" s="37">
        <f>INDEX(pigs!$D$3:$AO$60,$AB32,AF$4)</f>
        <v>7.2</v>
      </c>
      <c r="AG32" s="37">
        <f>INDEX(pigs!$D$3:$AO$60,$AB32,AG$4)</f>
        <v>7.8</v>
      </c>
      <c r="AH32" s="27">
        <f>INDEX(pigs!$D$3:$AO$60,$AB32,AH$4)</f>
        <v>170</v>
      </c>
      <c r="AI32" s="37">
        <f>INDEX(pigs!$D$3:$AO$60,$AB32,AI$4)</f>
        <v>40</v>
      </c>
      <c r="AJ32" s="31">
        <f t="shared" ref="AJ32:AJ39" si="42">1000-SUM(AH32:AI32,AK32)</f>
        <v>732</v>
      </c>
      <c r="AK32" s="38">
        <f>INDEX(pigs!$D$3:$AO$60,$AB32,AK$4)</f>
        <v>58</v>
      </c>
      <c r="AL32" s="28">
        <f t="shared" si="14"/>
        <v>2.7199999999999998</v>
      </c>
      <c r="AM32" s="58">
        <f>INDEX(pigs!$D$3:$AO$60,$AB32,AM$4)/1000*100</f>
        <v>1.1900000000000002</v>
      </c>
      <c r="AN32" s="59">
        <f>INDEX(pigs!$D$3:$AO$60,$AB32,AN$4)/1000*100</f>
        <v>1.5</v>
      </c>
      <c r="AO32" s="77"/>
      <c r="AP32" s="74" t="s">
        <v>568</v>
      </c>
      <c r="AQ32" t="s">
        <v>465</v>
      </c>
      <c r="AR32" s="45">
        <f>MATCH($B32,poultry!$A$3:$A$41,0)</f>
        <v>38</v>
      </c>
      <c r="AS32" s="27">
        <f>INDEX(poultry!$D$3:$U$41,$AR32,AS$4)</f>
        <v>87</v>
      </c>
      <c r="AT32" s="96">
        <f>INDEX(poultry!$D$3:$U$41,$AR32,AT$4)/(AS32/100)</f>
        <v>7.8160919540229887</v>
      </c>
    </row>
    <row r="33" spans="2:46" x14ac:dyDescent="0.25">
      <c r="B33" t="s">
        <v>42</v>
      </c>
      <c r="C33" s="44">
        <f t="shared" si="26"/>
        <v>87.8</v>
      </c>
      <c r="D33" s="100">
        <f t="shared" si="29"/>
        <v>18.472360000000002</v>
      </c>
      <c r="E33" s="43">
        <f t="shared" si="3"/>
        <v>3.3000000000000003</v>
      </c>
      <c r="F33" s="28">
        <f t="shared" si="19"/>
        <v>2.6160000000000001</v>
      </c>
      <c r="G33" s="58">
        <f t="shared" si="20"/>
        <v>0.81500000000000006</v>
      </c>
      <c r="H33" s="59">
        <f t="shared" si="21"/>
        <v>0.96</v>
      </c>
      <c r="I33" s="4"/>
      <c r="J33" s="4"/>
      <c r="K33" s="45"/>
      <c r="L33" s="44">
        <v>87.6</v>
      </c>
      <c r="M33" s="52">
        <f t="shared" si="18"/>
        <v>18.472360000000002</v>
      </c>
      <c r="N33" s="28">
        <v>13.3</v>
      </c>
      <c r="O33" s="69">
        <v>63</v>
      </c>
      <c r="P33" s="69">
        <v>98</v>
      </c>
      <c r="Q33" s="28">
        <f>M33*0.846</f>
        <v>15.627616560000002</v>
      </c>
      <c r="R33" s="44">
        <v>151</v>
      </c>
      <c r="S33" s="29">
        <v>27</v>
      </c>
      <c r="T33" s="29">
        <v>11</v>
      </c>
      <c r="U33" s="31">
        <f>1000-SUM(R33:T33,V33)</f>
        <v>794</v>
      </c>
      <c r="V33" s="35">
        <v>17</v>
      </c>
      <c r="W33" s="28">
        <f t="shared" si="8"/>
        <v>2.4159999999999999</v>
      </c>
      <c r="X33" s="58">
        <f>4.4/1000*100</f>
        <v>0.44</v>
      </c>
      <c r="Y33" s="59">
        <f>6.2/1000*100</f>
        <v>0.62</v>
      </c>
      <c r="Z33" s="7" t="s">
        <v>479</v>
      </c>
      <c r="AA33" s="73"/>
      <c r="AB33" s="45">
        <f>MATCH($B33,pigs!$A$3:$A$60,0)</f>
        <v>54</v>
      </c>
      <c r="AC33" s="27">
        <f>INDEX(pigs!$D$3:$AO$60,$AB33,AC$4)</f>
        <v>88</v>
      </c>
      <c r="AD33" s="52">
        <f t="shared" si="41"/>
        <v>18.379056800000001</v>
      </c>
      <c r="AE33" s="69">
        <v>17.5</v>
      </c>
      <c r="AF33" s="37">
        <f>INDEX(pigs!$D$3:$AO$60,$AB33,AF$4)</f>
        <v>8.6999999999999993</v>
      </c>
      <c r="AG33" s="37">
        <f>INDEX(pigs!$D$3:$AO$60,$AB33,AG$4)</f>
        <v>9.1999999999999993</v>
      </c>
      <c r="AH33" s="27">
        <f>INDEX(pigs!$D$3:$AO$60,$AB33,AH$4)</f>
        <v>176</v>
      </c>
      <c r="AI33" s="37">
        <f>INDEX(pigs!$D$3:$AO$60,$AB33,AI$4)</f>
        <v>40</v>
      </c>
      <c r="AJ33" s="31">
        <f t="shared" si="42"/>
        <v>735</v>
      </c>
      <c r="AK33" s="38">
        <f>INDEX(pigs!$D$3:$AO$60,$AB33,AK$4)</f>
        <v>49</v>
      </c>
      <c r="AL33" s="28">
        <f t="shared" si="14"/>
        <v>2.8160000000000003</v>
      </c>
      <c r="AM33" s="58">
        <f>INDEX(pigs!$D$3:$AO$60,$AB33,AM$4)/1000*100</f>
        <v>1.1900000000000002</v>
      </c>
      <c r="AN33" s="59">
        <f>INDEX(pigs!$D$3:$AO$60,$AB33,AN$4)/1000*100</f>
        <v>1.3</v>
      </c>
      <c r="AO33" s="77"/>
      <c r="AP33" s="74" t="s">
        <v>479</v>
      </c>
      <c r="AQ33" t="s">
        <v>465</v>
      </c>
      <c r="AR33" s="45">
        <f>MATCH($B33,poultry!$A$3:$A$41,0)</f>
        <v>36</v>
      </c>
      <c r="AS33" s="27">
        <f>INDEX(poultry!$D$3:$U$41,$AR33,AS$4)</f>
        <v>87</v>
      </c>
      <c r="AT33" s="96">
        <f>INDEX(poultry!$D$3:$U$41,$AR33,AT$4)/(AS33/100)</f>
        <v>14.022988505747126</v>
      </c>
    </row>
    <row r="34" spans="2:46" x14ac:dyDescent="0.25">
      <c r="B34" t="s">
        <v>581</v>
      </c>
      <c r="C34" s="44">
        <f t="shared" ref="C34:C36" si="43">AVERAGE(AC34,L34)</f>
        <v>87.6</v>
      </c>
      <c r="D34" s="100">
        <f t="shared" ref="D34" si="44">M34</f>
        <v>16.845620799999999</v>
      </c>
      <c r="E34" s="43">
        <f t="shared" si="3"/>
        <v>5</v>
      </c>
      <c r="F34" s="28">
        <f t="shared" ref="F34" si="45">AVERAGE(W34,AL34)</f>
        <v>0.41600000000000004</v>
      </c>
      <c r="G34" s="58">
        <f>AVERAGE(X34,AM34)</f>
        <v>0.44</v>
      </c>
      <c r="H34" s="59">
        <f t="shared" ref="H34:H35" si="46">AVERAGE(Y34,AN34)</f>
        <v>0.6</v>
      </c>
      <c r="I34" s="4"/>
      <c r="J34" s="4"/>
      <c r="K34" s="45">
        <f>MATCH($B34,ruminants!$A$3:$A$120,0)</f>
        <v>29</v>
      </c>
      <c r="L34" s="44">
        <v>87.6</v>
      </c>
      <c r="M34" s="52">
        <f t="shared" si="18"/>
        <v>16.845620799999999</v>
      </c>
      <c r="N34" s="28">
        <f>INDEX(ruminants!$D$3:$AH$120,$K34,N$4)</f>
        <v>5.2</v>
      </c>
      <c r="O34" s="69">
        <v>32</v>
      </c>
      <c r="P34" s="69">
        <v>-8</v>
      </c>
      <c r="Q34" s="28">
        <f>INDEX(ruminants!$D$3:$AH$120,$K34,Q$4)</f>
        <v>6.2</v>
      </c>
      <c r="R34" s="114">
        <v>26</v>
      </c>
      <c r="S34" s="29">
        <f>INDEX(ruminants!$D$3:$AH$120,$K34,S$4)</f>
        <v>20</v>
      </c>
      <c r="T34" s="29">
        <f>INDEX(ruminants!$D$3:$AH$120,$K34,T$4)</f>
        <v>340</v>
      </c>
      <c r="U34" s="29">
        <f>INDEX(ruminants!$D$3:$AH$120,$K34,U$4)</f>
        <v>560</v>
      </c>
      <c r="V34" s="32">
        <f>INDEX(ruminants!$D$3:$AH$120,$K34,V$4)</f>
        <v>50</v>
      </c>
      <c r="W34" s="28">
        <f t="shared" ref="W34:W35" si="47">R34*W$3/1000*100</f>
        <v>0.41600000000000004</v>
      </c>
      <c r="X34" s="58">
        <f>INDEX(ruminants!$D$3:$AH$120,$K34,X$4)/1000*100</f>
        <v>0.44</v>
      </c>
      <c r="Y34" s="59">
        <f>INDEX(ruminants!$D$3:$AH$120,$K34,Y$4)/1000*100</f>
        <v>0.6</v>
      </c>
      <c r="Z34" s="78"/>
      <c r="AA34" s="73"/>
      <c r="AB34" s="45"/>
      <c r="AC34" s="27"/>
      <c r="AD34" s="52"/>
      <c r="AE34" s="69"/>
      <c r="AF34" s="37"/>
      <c r="AG34" s="37"/>
      <c r="AH34" s="27"/>
      <c r="AI34" s="37"/>
      <c r="AJ34" s="31"/>
      <c r="AK34" s="38"/>
      <c r="AL34" s="28"/>
      <c r="AM34" s="58"/>
      <c r="AN34" s="59"/>
      <c r="AO34" s="77"/>
      <c r="AP34" s="74"/>
      <c r="AR34" s="45"/>
      <c r="AS34" s="27"/>
      <c r="AT34" s="38"/>
    </row>
    <row r="35" spans="2:46" x14ac:dyDescent="0.25">
      <c r="B35" t="s">
        <v>582</v>
      </c>
      <c r="C35" s="44">
        <f>AVERAGE(AC35,L35)</f>
        <v>87.6</v>
      </c>
      <c r="D35" s="100">
        <f>M35</f>
        <v>17.3422616</v>
      </c>
      <c r="E35" s="43">
        <f>AVERAGE(V35,AK35)/1000*100</f>
        <v>5.5</v>
      </c>
      <c r="F35" s="28">
        <f>AVERAGE(W35,AL35)</f>
        <v>1.008</v>
      </c>
      <c r="G35" s="58">
        <f>AVERAGE(X35,AM35)</f>
        <v>0.77</v>
      </c>
      <c r="H35" s="59">
        <f t="shared" si="46"/>
        <v>0</v>
      </c>
      <c r="I35" s="4"/>
      <c r="J35" s="4"/>
      <c r="K35" s="45">
        <f>MATCH($B35,ruminants!$A$3:$A$120,0)</f>
        <v>27</v>
      </c>
      <c r="L35" s="44">
        <v>87.6</v>
      </c>
      <c r="M35" s="52">
        <f t="shared" si="18"/>
        <v>17.3422616</v>
      </c>
      <c r="N35" s="28">
        <f>INDEX(ruminants!$D$3:$AH$120,$K35,N$4)</f>
        <v>7.2</v>
      </c>
      <c r="O35" s="28">
        <f>INDEX(ruminants!$D$3:$AH$120,$K35,O$4)</f>
        <v>56</v>
      </c>
      <c r="P35" s="28">
        <f>INDEX(ruminants!$D$3:$AH$120,$K35,P$4)</f>
        <v>-28</v>
      </c>
      <c r="Q35" s="28">
        <f>INDEX(ruminants!$D$3:$AH$120,$K35,Q$4)</f>
        <v>8.4</v>
      </c>
      <c r="R35" s="44">
        <f>INDEX(ruminants!$D$3:$AH$120,$K35,R$4)</f>
        <v>63</v>
      </c>
      <c r="S35" s="29">
        <f>INDEX(ruminants!$D$3:$AH$120,$K35,S$4)</f>
        <v>32</v>
      </c>
      <c r="T35" s="29">
        <f>INDEX(ruminants!$D$3:$AH$120,$K35,T$4)</f>
        <v>290</v>
      </c>
      <c r="U35" s="29">
        <f>INDEX(ruminants!$D$3:$AH$120,$K35,U$4)</f>
        <v>560</v>
      </c>
      <c r="V35" s="32">
        <f>INDEX(ruminants!$D$3:$AH$120,$K35,V$4)</f>
        <v>55</v>
      </c>
      <c r="W35" s="28">
        <f t="shared" si="47"/>
        <v>1.008</v>
      </c>
      <c r="X35" s="58">
        <f>INDEX(ruminants!$D$3:$AH$120,$K35,X$4)/1000*100</f>
        <v>0.77</v>
      </c>
      <c r="Y35" s="59">
        <f>INDEX(ruminants!$D$3:$AH$120,$K35,Y$4)/1000*100</f>
        <v>0</v>
      </c>
      <c r="Z35" s="78"/>
      <c r="AA35" s="73"/>
      <c r="AB35" s="45"/>
      <c r="AC35" s="27"/>
      <c r="AD35" s="52"/>
      <c r="AE35" s="69"/>
      <c r="AF35" s="37"/>
      <c r="AG35" s="37"/>
      <c r="AH35" s="27"/>
      <c r="AI35" s="37"/>
      <c r="AJ35" s="31"/>
      <c r="AK35" s="38"/>
      <c r="AL35" s="28"/>
      <c r="AM35" s="58"/>
      <c r="AN35" s="59"/>
      <c r="AO35" s="77"/>
      <c r="AP35" s="74"/>
      <c r="AR35" s="45"/>
      <c r="AS35" s="27"/>
      <c r="AT35" s="38"/>
    </row>
    <row r="36" spans="2:46" x14ac:dyDescent="0.25">
      <c r="B36" t="s">
        <v>625</v>
      </c>
      <c r="C36" s="44">
        <f t="shared" si="43"/>
        <v>87.6</v>
      </c>
      <c r="D36" s="100">
        <f>M36</f>
        <v>18.340564000000001</v>
      </c>
      <c r="E36" s="43">
        <f>AVERAGE(V36,AK36)/1000*100</f>
        <v>4.5</v>
      </c>
      <c r="F36" s="28">
        <f>AVERAGE(W36,AL36)</f>
        <v>2.56</v>
      </c>
      <c r="G36" s="58">
        <f>AVERAGE(X36,AM36)</f>
        <v>1.1100000000000001</v>
      </c>
      <c r="H36" s="59">
        <f t="shared" ref="H36" si="48">AVERAGE(Y36,AN36)</f>
        <v>1.6</v>
      </c>
      <c r="I36" s="4"/>
      <c r="J36" s="4"/>
      <c r="K36" s="45">
        <f>MATCH($B36,ruminants!$A$3:$A$120,0)</f>
        <v>76</v>
      </c>
      <c r="L36" s="44">
        <v>87.6</v>
      </c>
      <c r="M36" s="52">
        <f t="shared" si="18"/>
        <v>18.340564000000001</v>
      </c>
      <c r="N36" s="28">
        <f>INDEX(ruminants!$D$3:$AH$120,$K36,N$4)</f>
        <v>11.6</v>
      </c>
      <c r="O36" s="28">
        <f>INDEX(ruminants!$D$3:$AH$120,$K36,O$4)</f>
        <v>78</v>
      </c>
      <c r="P36" s="28">
        <f>INDEX(ruminants!$D$3:$AH$120,$K36,P$4)</f>
        <v>34</v>
      </c>
      <c r="Q36" s="28">
        <f>INDEX(ruminants!$D$3:$AH$120,$K36,Q$4)</f>
        <v>13.2</v>
      </c>
      <c r="R36" s="44">
        <f>INDEX(ruminants!$D$3:$AH$120,$K36,R$4)</f>
        <v>160</v>
      </c>
      <c r="S36" s="29">
        <f>INDEX(ruminants!$D$3:$AH$120,$K36,S$4)</f>
        <v>40</v>
      </c>
      <c r="T36" s="29">
        <f>INDEX(ruminants!$D$3:$AH$120,$K36,T$4)</f>
        <v>55</v>
      </c>
      <c r="U36" s="29">
        <f>INDEX(ruminants!$D$3:$AH$120,$K36,U$4)</f>
        <v>700</v>
      </c>
      <c r="V36" s="32">
        <f>INDEX(ruminants!$D$3:$AH$120,$K36,V$4)</f>
        <v>45</v>
      </c>
      <c r="W36" s="28">
        <f t="shared" ref="W36" si="49">R36*W$3/1000*100</f>
        <v>2.56</v>
      </c>
      <c r="X36" s="58">
        <f>INDEX(ruminants!$D$3:$AH$120,$K36,X$4)/1000*100</f>
        <v>1.1100000000000001</v>
      </c>
      <c r="Y36" s="59">
        <f>INDEX(ruminants!$D$3:$AH$120,$K36,Y$4)/1000*100</f>
        <v>1.6</v>
      </c>
      <c r="Z36" s="78"/>
      <c r="AA36" s="73"/>
      <c r="AB36" s="45"/>
      <c r="AC36" s="27"/>
      <c r="AD36" s="52"/>
      <c r="AE36" s="69"/>
      <c r="AF36" s="37"/>
      <c r="AG36" s="37"/>
      <c r="AH36" s="27"/>
      <c r="AI36" s="37"/>
      <c r="AJ36" s="31"/>
      <c r="AK36" s="38"/>
      <c r="AL36" s="28"/>
      <c r="AM36" s="58"/>
      <c r="AN36" s="59"/>
      <c r="AO36" s="77"/>
      <c r="AP36" s="74"/>
      <c r="AR36" s="45"/>
      <c r="AS36" s="27"/>
      <c r="AT36" s="38"/>
    </row>
    <row r="37" spans="2:46" x14ac:dyDescent="0.25">
      <c r="B37" t="s">
        <v>43</v>
      </c>
      <c r="C37" s="44">
        <f t="shared" si="26"/>
        <v>90</v>
      </c>
      <c r="D37" s="100">
        <f t="shared" si="29"/>
        <v>19.659779199999999</v>
      </c>
      <c r="E37" s="43">
        <f t="shared" si="3"/>
        <v>4.05</v>
      </c>
      <c r="F37" s="28">
        <f t="shared" si="19"/>
        <v>5.2799999999999994</v>
      </c>
      <c r="G37" s="58">
        <f t="shared" si="20"/>
        <v>0.88</v>
      </c>
      <c r="H37" s="59">
        <f t="shared" si="21"/>
        <v>1.165</v>
      </c>
      <c r="I37" s="4"/>
      <c r="J37" s="4"/>
      <c r="K37" s="45">
        <f>MATCH($B37,ruminants!$A$3:$A$120,0)</f>
        <v>109</v>
      </c>
      <c r="L37" s="27">
        <f>INDEX(ruminants!$D$3:$AH$120,$K37,L$4)</f>
        <v>90</v>
      </c>
      <c r="M37" s="52">
        <f t="shared" si="18"/>
        <v>19.659779199999999</v>
      </c>
      <c r="N37" s="28">
        <f>INDEX(ruminants!$D$3:$AH$120,$K37,N$4)</f>
        <v>13.3</v>
      </c>
      <c r="O37" s="28">
        <f>INDEX(ruminants!$D$3:$AH$120,$K37,O$4)</f>
        <v>116</v>
      </c>
      <c r="P37" s="28">
        <f>INDEX(ruminants!$D$3:$AH$120,$K37,P$4)</f>
        <v>142</v>
      </c>
      <c r="Q37" s="28">
        <f>INDEX(ruminants!$D$3:$AH$120,$K37,Q$4)</f>
        <v>15.7</v>
      </c>
      <c r="R37" s="44">
        <f>INDEX(ruminants!$D$3:$AH$120,$K37,R$4)</f>
        <v>320</v>
      </c>
      <c r="S37" s="29">
        <f>INDEX(ruminants!$D$3:$AH$120,$K37,S$4)</f>
        <v>45</v>
      </c>
      <c r="T37" s="29">
        <f>INDEX(ruminants!$D$3:$AH$120,$K37,T$4)</f>
        <v>106</v>
      </c>
      <c r="U37" s="29">
        <f>INDEX(ruminants!$D$3:$AH$120,$K37,U$4)</f>
        <v>492</v>
      </c>
      <c r="V37" s="32">
        <f>INDEX(ruminants!$D$3:$AH$120,$K37,V$4)</f>
        <v>37</v>
      </c>
      <c r="W37" s="28">
        <f t="shared" si="8"/>
        <v>5.12</v>
      </c>
      <c r="X37" s="58">
        <f>INDEX(ruminants!$D$3:$AH$120,$K37,X$4)/1000*100</f>
        <v>1.03</v>
      </c>
      <c r="Y37" s="59">
        <f>INDEX(ruminants!$D$3:$AH$120,$K37,Y$4)/1000*100</f>
        <v>1.3699999999999999</v>
      </c>
      <c r="Z37" s="78"/>
      <c r="AA37" s="73"/>
      <c r="AB37" s="45">
        <f>MATCH($B37,pigs!$A$3:$A$60,0)</f>
        <v>3</v>
      </c>
      <c r="AC37" s="27">
        <f>INDEX(pigs!$D$3:$AO$60,$AB37,AC$4)</f>
        <v>90</v>
      </c>
      <c r="AD37" s="52">
        <f t="shared" si="41"/>
        <v>20.139265599999998</v>
      </c>
      <c r="AE37" s="69">
        <v>13.9</v>
      </c>
      <c r="AF37" s="37">
        <f>INDEX(pigs!$D$3:$AO$60,$AB37,AF$4)</f>
        <v>8.1</v>
      </c>
      <c r="AG37" s="37">
        <f>INDEX(pigs!$D$3:$AO$60,$AB37,AG$4)</f>
        <v>8.6999999999999993</v>
      </c>
      <c r="AH37" s="27">
        <f>INDEX(pigs!$D$3:$AO$60,$AB37,AH$4)</f>
        <v>340</v>
      </c>
      <c r="AI37" s="37">
        <f>INDEX(pigs!$D$3:$AO$60,$AB37,AI$4)</f>
        <v>66</v>
      </c>
      <c r="AJ37" s="31">
        <f t="shared" si="42"/>
        <v>550</v>
      </c>
      <c r="AK37" s="38">
        <f>INDEX(pigs!$D$3:$AO$60,$AB37,AK$4)</f>
        <v>44</v>
      </c>
      <c r="AL37" s="28">
        <f t="shared" si="14"/>
        <v>5.4399999999999995</v>
      </c>
      <c r="AM37" s="58">
        <f>INDEX(pigs!$D$3:$AO$60,$AB37,AM$4)/1000*100</f>
        <v>0.73</v>
      </c>
      <c r="AN37" s="59">
        <f>INDEX(pigs!$D$3:$AO$60,$AB37,AN$4)/1000*100</f>
        <v>0.96</v>
      </c>
      <c r="AO37" s="77"/>
      <c r="AP37" s="74" t="s">
        <v>569</v>
      </c>
      <c r="AQ37" t="s">
        <v>465</v>
      </c>
      <c r="AR37" s="45"/>
      <c r="AS37" s="27"/>
      <c r="AT37" s="38"/>
    </row>
    <row r="38" spans="2:46" x14ac:dyDescent="0.25">
      <c r="B38" t="s">
        <v>44</v>
      </c>
      <c r="C38" s="44">
        <f t="shared" si="26"/>
        <v>11</v>
      </c>
      <c r="D38" s="100">
        <f>AD38</f>
        <v>18.8602168</v>
      </c>
      <c r="E38" s="43">
        <f t="shared" si="3"/>
        <v>6.8000000000000007</v>
      </c>
      <c r="F38" s="28">
        <f t="shared" si="19"/>
        <v>4.4800000000000004</v>
      </c>
      <c r="G38" s="58">
        <f t="shared" si="20"/>
        <v>1.0900000000000001</v>
      </c>
      <c r="H38" s="59">
        <f t="shared" si="21"/>
        <v>0</v>
      </c>
      <c r="I38" s="4"/>
      <c r="J38" s="4"/>
      <c r="K38" s="45"/>
      <c r="L38" s="27"/>
      <c r="M38" s="37"/>
      <c r="N38" s="28"/>
      <c r="O38" s="28"/>
      <c r="P38" s="28"/>
      <c r="Q38" s="28"/>
      <c r="R38" s="44"/>
      <c r="S38" s="29"/>
      <c r="T38" s="29"/>
      <c r="U38" s="29"/>
      <c r="V38" s="32"/>
      <c r="W38" s="28"/>
      <c r="X38" s="29"/>
      <c r="Y38" s="32"/>
      <c r="Z38" s="78"/>
      <c r="AA38" s="73"/>
      <c r="AB38" s="45">
        <f>MATCH($B38,pigs!$A$3:$A$60,0)</f>
        <v>1</v>
      </c>
      <c r="AC38" s="27">
        <f>INDEX(pigs!$D$3:$AO$60,$AB38,AC$4)</f>
        <v>11</v>
      </c>
      <c r="AD38" s="52">
        <f t="shared" si="41"/>
        <v>18.8602168</v>
      </c>
      <c r="AE38" s="75">
        <f>(AE37/AD37)*AD38</f>
        <v>13.017208210412599</v>
      </c>
      <c r="AF38" s="37">
        <f>INDEX(pigs!$D$3:$AO$60,$AB38,AF$4)</f>
        <v>8.1999999999999993</v>
      </c>
      <c r="AG38" s="37">
        <f>INDEX(pigs!$D$3:$AO$60,$AB38,AG$4)</f>
        <v>8.9</v>
      </c>
      <c r="AH38" s="27">
        <f>INDEX(pigs!$D$3:$AO$60,$AB38,AH$4)</f>
        <v>280</v>
      </c>
      <c r="AI38" s="37">
        <f>INDEX(pigs!$D$3:$AO$60,$AB38,AI$4)</f>
        <v>45</v>
      </c>
      <c r="AJ38" s="31">
        <f t="shared" si="42"/>
        <v>607</v>
      </c>
      <c r="AK38" s="38">
        <f>INDEX(pigs!$D$3:$AO$60,$AB38,AK$4)</f>
        <v>68</v>
      </c>
      <c r="AL38" s="28">
        <f t="shared" si="14"/>
        <v>4.4800000000000004</v>
      </c>
      <c r="AM38" s="58">
        <f>INDEX(pigs!$D$3:$AO$60,$AB38,AM$4)/1000*100</f>
        <v>1.0900000000000001</v>
      </c>
      <c r="AN38" s="59">
        <f>INDEX(pigs!$D$3:$AO$60,$AB38,AN$4)/1000*100</f>
        <v>0</v>
      </c>
      <c r="AO38" s="77"/>
      <c r="AP38" s="74"/>
      <c r="AQ38" t="s">
        <v>465</v>
      </c>
      <c r="AR38" s="45"/>
      <c r="AS38" s="27"/>
      <c r="AT38" s="38"/>
    </row>
    <row r="39" spans="2:46" x14ac:dyDescent="0.25">
      <c r="B39" t="s">
        <v>300</v>
      </c>
      <c r="C39" s="44">
        <f t="shared" si="26"/>
        <v>90</v>
      </c>
      <c r="D39" s="100">
        <f>M39</f>
        <v>19.848896</v>
      </c>
      <c r="E39" s="43">
        <f t="shared" si="3"/>
        <v>4.3</v>
      </c>
      <c r="F39" s="28">
        <f t="shared" si="19"/>
        <v>3.984</v>
      </c>
      <c r="G39" s="58">
        <f t="shared" si="20"/>
        <v>0.56000000000000005</v>
      </c>
      <c r="H39" s="59">
        <f t="shared" si="21"/>
        <v>0.19500000000000001</v>
      </c>
      <c r="I39" s="4"/>
      <c r="J39" s="4"/>
      <c r="K39" s="45">
        <f>MATCH($B39,ruminants!$A$3:$A$120,0)</f>
        <v>38</v>
      </c>
      <c r="L39" s="27">
        <f>INDEX(ruminants!$D$3:$AH$120,$K39,L$4)</f>
        <v>90</v>
      </c>
      <c r="M39" s="52">
        <f t="shared" si="18"/>
        <v>19.848896</v>
      </c>
      <c r="N39" s="28">
        <f>INDEX(ruminants!$D$3:$AH$120,$K39,N$4)</f>
        <v>11.6</v>
      </c>
      <c r="O39" s="28">
        <f>INDEX(ruminants!$D$3:$AH$120,$K39,O$4)</f>
        <v>141</v>
      </c>
      <c r="P39" s="28">
        <f>INDEX(ruminants!$D$3:$AH$120,$K39,P$4)</f>
        <v>20</v>
      </c>
      <c r="Q39" s="28">
        <f>INDEX(ruminants!$D$3:$AH$120,$K39,Q$4)</f>
        <v>13.6</v>
      </c>
      <c r="R39" s="44">
        <f>INDEX(ruminants!$D$3:$AH$120,$K39,R$4)</f>
        <v>240</v>
      </c>
      <c r="S39" s="29">
        <f>INDEX(ruminants!$D$3:$AH$120,$K39,S$4)</f>
        <v>80</v>
      </c>
      <c r="T39" s="29">
        <f>INDEX(ruminants!$D$3:$AH$120,$K39,T$4)</f>
        <v>170</v>
      </c>
      <c r="U39" s="29">
        <f>INDEX(ruminants!$D$3:$AH$120,$K39,U$4)</f>
        <v>470</v>
      </c>
      <c r="V39" s="32">
        <f>INDEX(ruminants!$D$3:$AH$120,$K39,V$4)</f>
        <v>40</v>
      </c>
      <c r="W39" s="28">
        <f t="shared" si="8"/>
        <v>3.84</v>
      </c>
      <c r="X39" s="58">
        <f>INDEX(ruminants!$D$3:$AH$120,$K39,X$4)/1000*100</f>
        <v>0.54999999999999993</v>
      </c>
      <c r="Y39" s="59">
        <f>INDEX(ruminants!$D$3:$AH$120,$K39,Y$4)/1000*100</f>
        <v>0.1</v>
      </c>
      <c r="Z39" s="78"/>
      <c r="AA39" s="73"/>
      <c r="AB39" s="45"/>
      <c r="AC39" s="27">
        <v>90</v>
      </c>
      <c r="AD39" s="52">
        <f t="shared" si="41"/>
        <v>19.578191199999999</v>
      </c>
      <c r="AE39" s="69">
        <v>10.6</v>
      </c>
      <c r="AF39" s="50">
        <v>6.6</v>
      </c>
      <c r="AG39" s="53">
        <f>AG37/AF37*AF39</f>
        <v>7.0888888888888877</v>
      </c>
      <c r="AH39" s="55">
        <v>258</v>
      </c>
      <c r="AI39" s="50">
        <v>67</v>
      </c>
      <c r="AJ39" s="31">
        <f t="shared" si="42"/>
        <v>629</v>
      </c>
      <c r="AK39" s="35">
        <v>46</v>
      </c>
      <c r="AL39" s="28">
        <f t="shared" si="14"/>
        <v>4.1280000000000001</v>
      </c>
      <c r="AM39" s="58">
        <f>5.7/1000*100</f>
        <v>0.57000000000000006</v>
      </c>
      <c r="AN39" s="59">
        <f>2.9/1000*100</f>
        <v>0.28999999999999998</v>
      </c>
      <c r="AO39" s="78" t="s">
        <v>571</v>
      </c>
      <c r="AP39" s="74" t="s">
        <v>570</v>
      </c>
      <c r="AQ39" t="s">
        <v>465</v>
      </c>
      <c r="AR39" s="45"/>
      <c r="AS39" s="27"/>
      <c r="AT39" s="38"/>
    </row>
    <row r="40" spans="2:46" x14ac:dyDescent="0.25">
      <c r="B40" t="s">
        <v>368</v>
      </c>
      <c r="C40" s="44">
        <f>AVERAGE(AC40,L40,AS40)</f>
        <v>89.666666666666671</v>
      </c>
      <c r="D40" s="100">
        <f>AD40</f>
        <v>22.900705599999998</v>
      </c>
      <c r="E40" s="43">
        <f t="shared" si="3"/>
        <v>1.95</v>
      </c>
      <c r="F40" s="28">
        <f t="shared" si="19"/>
        <v>10.792</v>
      </c>
      <c r="G40" s="58">
        <f t="shared" si="20"/>
        <v>0.48499999999999999</v>
      </c>
      <c r="H40" s="59">
        <f t="shared" si="21"/>
        <v>0.32499999999999996</v>
      </c>
      <c r="I40" s="4"/>
      <c r="J40" s="4"/>
      <c r="K40" s="45">
        <f>MATCH($B40,ruminants!$A$3:$A$120,0)</f>
        <v>50</v>
      </c>
      <c r="L40" s="27">
        <f>INDEX(ruminants!$D$3:$AH$120,$K40,L$4)</f>
        <v>92</v>
      </c>
      <c r="M40" s="52">
        <f t="shared" ref="M40" si="50">( 5.7*R40+9.4*S40+4.1*(T40+U40) ) * 0.004184</f>
        <v>21.876462400000001</v>
      </c>
      <c r="N40" s="28">
        <f>INDEX(ruminants!$D$3:$AH$120,$K40,N$4)</f>
        <v>16</v>
      </c>
      <c r="O40" s="28">
        <f>INDEX(ruminants!$D$3:$AH$120,$K40,O$4)</f>
        <v>476</v>
      </c>
      <c r="P40" s="28">
        <f>INDEX(ruminants!$D$3:$AH$120,$K40,P$4)</f>
        <v>82</v>
      </c>
      <c r="Q40" s="28">
        <f>INDEX(ruminants!$D$3:$AH$120,$K40,Q$4)</f>
        <v>19.600000000000001</v>
      </c>
      <c r="R40" s="44">
        <f>INDEX(ruminants!$D$3:$AH$120,$K40,R$4)</f>
        <v>672</v>
      </c>
      <c r="S40" s="29">
        <f>INDEX(ruminants!$D$3:$AH$120,$K40,S$4)</f>
        <v>24</v>
      </c>
      <c r="T40" s="29">
        <f>INDEX(ruminants!$D$3:$AH$120,$K40,T$4)</f>
        <v>22</v>
      </c>
      <c r="U40" s="29">
        <f>INDEX(ruminants!$D$3:$AH$120,$K40,U$4)</f>
        <v>264</v>
      </c>
      <c r="V40" s="32">
        <f>INDEX(ruminants!$D$3:$AH$120,$K40,V$4)</f>
        <v>18</v>
      </c>
      <c r="W40" s="28">
        <f t="shared" ref="W40" si="51">R40*W$3/1000*100</f>
        <v>10.751999999999999</v>
      </c>
      <c r="X40" s="58">
        <f>INDEX(ruminants!$D$3:$AH$120,$K40,X$4)/1000*100</f>
        <v>0.33</v>
      </c>
      <c r="Y40" s="59">
        <f>INDEX(ruminants!$D$3:$AH$120,$K40,Y$4)/1000*100</f>
        <v>0.1</v>
      </c>
      <c r="Z40" s="78"/>
      <c r="AA40" s="73"/>
      <c r="AB40" s="45">
        <f>MATCH($B40,pigs!$A$3:$A$60,0)</f>
        <v>22</v>
      </c>
      <c r="AC40" s="27">
        <f>INDEX(pigs!$D$3:$AO$60,$AB40,AC$4)</f>
        <v>90</v>
      </c>
      <c r="AD40" s="52">
        <f t="shared" si="41"/>
        <v>22.900705599999998</v>
      </c>
      <c r="AE40" s="69">
        <v>21.4</v>
      </c>
      <c r="AF40" s="37">
        <f>INDEX(pigs!$D$3:$AO$60,$AB40,AF$4)</f>
        <v>12.9</v>
      </c>
      <c r="AG40" s="37">
        <f>INDEX(pigs!$D$3:$AO$60,$AB40,AG$4)</f>
        <v>13.3</v>
      </c>
      <c r="AH40" s="27">
        <f>INDEX(pigs!$D$3:$AO$60,$AB40,AH$4)</f>
        <v>677</v>
      </c>
      <c r="AI40" s="37">
        <f>INDEX(pigs!$D$3:$AO$60,$AB40,AI$4)</f>
        <v>71</v>
      </c>
      <c r="AJ40" s="31">
        <f t="shared" ref="AJ40" si="52">1000-SUM(AH40:AI40,AK40)</f>
        <v>231</v>
      </c>
      <c r="AK40" s="38">
        <f>INDEX(pigs!$D$3:$AO$60,$AB40,AK$4)</f>
        <v>21</v>
      </c>
      <c r="AL40" s="28">
        <f t="shared" si="14"/>
        <v>10.832000000000001</v>
      </c>
      <c r="AM40" s="58">
        <f>INDEX(pigs!$D$3:$AO$60,$AB40,AM$4)/1000*100</f>
        <v>0.64</v>
      </c>
      <c r="AN40" s="59">
        <f>INDEX(pigs!$D$3:$AO$60,$AB40,AN$4)/1000*100</f>
        <v>0.54999999999999993</v>
      </c>
      <c r="AO40" s="78"/>
      <c r="AP40" s="74" t="s">
        <v>572</v>
      </c>
      <c r="AQ40" t="s">
        <v>465</v>
      </c>
      <c r="AR40" s="45">
        <f>MATCH($B40,poultry!$A$3:$A$41,0)</f>
        <v>25</v>
      </c>
      <c r="AS40" s="27">
        <f>INDEX(poultry!$D$3:$U$41,$AR40,AS$4)</f>
        <v>87</v>
      </c>
      <c r="AT40" s="96">
        <f>INDEX(poultry!$D$3:$U$41,$AR40,AT$4)/(AS40/100)</f>
        <v>16.321839080459771</v>
      </c>
    </row>
    <row r="41" spans="2:46" x14ac:dyDescent="0.25">
      <c r="B41" t="s">
        <v>45</v>
      </c>
      <c r="C41" s="44">
        <f t="shared" ref="C41:C47" si="53">AVERAGE(AC41,L41)</f>
        <v>75.5</v>
      </c>
      <c r="D41" s="100">
        <f>M41</f>
        <v>16.1615368</v>
      </c>
      <c r="E41" s="43">
        <f t="shared" si="3"/>
        <v>11.899999999999999</v>
      </c>
      <c r="F41" s="28">
        <f t="shared" si="19"/>
        <v>2.2080000000000002</v>
      </c>
      <c r="G41" s="58">
        <f t="shared" si="20"/>
        <v>0.03</v>
      </c>
      <c r="H41" s="59">
        <f t="shared" si="21"/>
        <v>3.6500000000000004</v>
      </c>
      <c r="I41" s="4"/>
      <c r="J41" s="4"/>
      <c r="K41" s="45">
        <f>MATCH($B41,ruminants!$A$3:$A$120,0)</f>
        <v>88</v>
      </c>
      <c r="L41" s="27">
        <f>INDEX(ruminants!$D$3:$AH$120,$K41,L$4)</f>
        <v>75</v>
      </c>
      <c r="M41" s="52">
        <f t="shared" si="18"/>
        <v>16.1615368</v>
      </c>
      <c r="N41" s="28">
        <f>INDEX(ruminants!$D$3:$AH$120,$K41,N$4)</f>
        <v>12.4</v>
      </c>
      <c r="O41" s="28">
        <f>INDEX(ruminants!$D$3:$AH$120,$K41,O$4)</f>
        <v>76</v>
      </c>
      <c r="P41" s="28">
        <f>INDEX(ruminants!$D$3:$AH$120,$K41,P$4)</f>
        <v>3</v>
      </c>
      <c r="Q41" s="28">
        <f>INDEX(ruminants!$D$3:$AH$120,$K41,Q$4)</f>
        <v>14.1</v>
      </c>
      <c r="R41" s="44">
        <f>INDEX(ruminants!$D$3:$AH$120,$K41,R$4)</f>
        <v>131</v>
      </c>
      <c r="S41" s="29">
        <f>INDEX(ruminants!$D$3:$AH$120,$K41,S$4)</f>
        <v>0</v>
      </c>
      <c r="T41" s="29">
        <f>INDEX(ruminants!$D$3:$AH$120,$K41,T$4)</f>
        <v>0</v>
      </c>
      <c r="U41" s="29">
        <f>INDEX(ruminants!$D$3:$AH$120,$K41,U$4)</f>
        <v>760</v>
      </c>
      <c r="V41" s="32">
        <f>INDEX(ruminants!$D$3:$AH$120,$K41,V$4)</f>
        <v>109</v>
      </c>
      <c r="W41" s="28">
        <f t="shared" si="8"/>
        <v>2.0960000000000001</v>
      </c>
      <c r="X41" s="58">
        <f>INDEX(ruminants!$D$3:$AH$120,$K41,X$4)/1000*100</f>
        <v>0.02</v>
      </c>
      <c r="Y41" s="59">
        <f>INDEX(ruminants!$D$3:$AH$120,$K41,Y$4)/1000*100</f>
        <v>4.5</v>
      </c>
      <c r="Z41" s="78"/>
      <c r="AA41" s="73"/>
      <c r="AB41" s="45">
        <f>MATCH($B41,pigs!$A$3:$A$60,0)</f>
        <v>23</v>
      </c>
      <c r="AC41" s="27">
        <f>INDEX(pigs!$D$3:$AO$60,$AB41,AC$4)</f>
        <v>76</v>
      </c>
      <c r="AD41" s="52">
        <f t="shared" ref="AD41:AD47" si="54">( 5.7*AH41+9.4*AI41+4.1*(AJ41) ) * 0.004184</f>
        <v>15.9565208</v>
      </c>
      <c r="AE41" s="69">
        <v>13.1</v>
      </c>
      <c r="AF41" s="37">
        <f>INDEX(pigs!$D$3:$AO$60,$AB41,AF$4)</f>
        <v>8.6999999999999993</v>
      </c>
      <c r="AG41" s="37">
        <f>INDEX(pigs!$D$3:$AO$60,$AB41,AG$4)</f>
        <v>9</v>
      </c>
      <c r="AH41" s="27">
        <f>INDEX(pigs!$D$3:$AO$60,$AB41,AH$4)</f>
        <v>145</v>
      </c>
      <c r="AI41" s="37">
        <f>INDEX(pigs!$D$3:$AO$60,$AB41,AI$4)</f>
        <v>2</v>
      </c>
      <c r="AJ41" s="31">
        <f t="shared" ref="AJ41:AJ47" si="55">1000-SUM(AH41:AI41,AK41)</f>
        <v>724</v>
      </c>
      <c r="AK41" s="38">
        <f>INDEX(pigs!$D$3:$AO$60,$AB41,AK$4)</f>
        <v>129</v>
      </c>
      <c r="AL41" s="28">
        <f t="shared" si="14"/>
        <v>2.3199999999999998</v>
      </c>
      <c r="AM41" s="58">
        <f>INDEX(pigs!$D$3:$AO$60,$AB41,AM$4)/1000*100</f>
        <v>0.04</v>
      </c>
      <c r="AN41" s="59">
        <f>INDEX(pigs!$D$3:$AO$60,$AB41,AN$4)/1000*100</f>
        <v>2.8000000000000003</v>
      </c>
      <c r="AO41" s="77"/>
      <c r="AP41" s="74" t="s">
        <v>573</v>
      </c>
      <c r="AQ41" t="s">
        <v>465</v>
      </c>
      <c r="AR41" s="45"/>
      <c r="AS41" s="27"/>
      <c r="AT41" s="38"/>
    </row>
    <row r="42" spans="2:46" x14ac:dyDescent="0.25">
      <c r="B42" t="s">
        <v>46</v>
      </c>
      <c r="C42" s="44">
        <f t="shared" si="53"/>
        <v>89.5</v>
      </c>
      <c r="D42" s="100">
        <f>M42</f>
        <v>17.334312000000001</v>
      </c>
      <c r="E42" s="43">
        <f t="shared" si="3"/>
        <v>7.1499999999999995</v>
      </c>
      <c r="F42" s="28">
        <f t="shared" si="19"/>
        <v>1.448</v>
      </c>
      <c r="G42" s="58">
        <f t="shared" si="20"/>
        <v>0.1</v>
      </c>
      <c r="H42" s="59">
        <f t="shared" si="21"/>
        <v>0.48499999999999999</v>
      </c>
      <c r="I42" s="4"/>
      <c r="J42" s="4"/>
      <c r="K42" s="45">
        <f>MATCH($B42,ruminants!$A$3:$A$120,0)</f>
        <v>91</v>
      </c>
      <c r="L42" s="27">
        <f>INDEX(ruminants!$D$3:$AH$120,$K42,L$4)</f>
        <v>90</v>
      </c>
      <c r="M42" s="52">
        <f t="shared" si="18"/>
        <v>17.334312000000001</v>
      </c>
      <c r="N42" s="28">
        <f>INDEX(ruminants!$D$3:$AH$120,$K42,N$4)</f>
        <v>12.3</v>
      </c>
      <c r="O42" s="28">
        <f>INDEX(ruminants!$D$3:$AH$120,$K42,O$4)</f>
        <v>107</v>
      </c>
      <c r="P42" s="28">
        <f>INDEX(ruminants!$D$3:$AH$120,$K42,P$4)</f>
        <v>-96</v>
      </c>
      <c r="Q42" s="28">
        <f>INDEX(ruminants!$D$3:$AH$120,$K42,Q$4)</f>
        <v>14.7</v>
      </c>
      <c r="R42" s="44">
        <f>INDEX(ruminants!$D$3:$AH$120,$K42,R$4)</f>
        <v>90</v>
      </c>
      <c r="S42" s="29">
        <f>INDEX(ruminants!$D$3:$AH$120,$K42,S$4)</f>
        <v>32</v>
      </c>
      <c r="T42" s="29">
        <f>INDEX(ruminants!$D$3:$AH$120,$K42,T$4)</f>
        <v>187</v>
      </c>
      <c r="U42" s="29">
        <f>INDEX(ruminants!$D$3:$AH$120,$K42,U$4)</f>
        <v>625</v>
      </c>
      <c r="V42" s="32">
        <f>INDEX(ruminants!$D$3:$AH$120,$K42,V$4)</f>
        <v>66</v>
      </c>
      <c r="W42" s="28">
        <f t="shared" si="8"/>
        <v>1.44</v>
      </c>
      <c r="X42" s="58">
        <f>INDEX(ruminants!$D$3:$AH$120,$K42,X$4)/1000*100</f>
        <v>0.1</v>
      </c>
      <c r="Y42" s="59">
        <f>INDEX(ruminants!$D$3:$AH$120,$K42,Y$4)/1000*100</f>
        <v>0.6</v>
      </c>
      <c r="Z42" s="78"/>
      <c r="AA42" s="73"/>
      <c r="AB42" s="45">
        <f>MATCH($B42,pigs!$A$3:$A$60,0)</f>
        <v>4</v>
      </c>
      <c r="AC42" s="27">
        <f>INDEX(pigs!$D$3:$AO$60,$AB42,AC$4)</f>
        <v>89</v>
      </c>
      <c r="AD42" s="52">
        <f t="shared" si="54"/>
        <v>16.664453599999998</v>
      </c>
      <c r="AE42" s="69">
        <v>12.2</v>
      </c>
      <c r="AF42" s="37">
        <f>INDEX(pigs!$D$3:$AO$60,$AB42,AF$4)</f>
        <v>6.9</v>
      </c>
      <c r="AG42" s="37">
        <f>INDEX(pigs!$D$3:$AO$60,$AB42,AG$4)</f>
        <v>8</v>
      </c>
      <c r="AH42" s="27">
        <f>INDEX(pigs!$D$3:$AO$60,$AB42,AH$4)</f>
        <v>91</v>
      </c>
      <c r="AI42" s="37">
        <f>INDEX(pigs!$D$3:$AO$60,$AB42,AI$4)</f>
        <v>10</v>
      </c>
      <c r="AJ42" s="31">
        <f t="shared" si="55"/>
        <v>822</v>
      </c>
      <c r="AK42" s="38">
        <f>INDEX(pigs!$D$3:$AO$60,$AB42,AK$4)</f>
        <v>77</v>
      </c>
      <c r="AL42" s="28">
        <f t="shared" si="14"/>
        <v>1.456</v>
      </c>
      <c r="AM42" s="58">
        <f>INDEX(pigs!$D$3:$AO$60,$AB42,AM$4)/1000*100</f>
        <v>0.1</v>
      </c>
      <c r="AN42" s="59">
        <f>INDEX(pigs!$D$3:$AO$60,$AB42,AN$4)/1000*100</f>
        <v>0.37</v>
      </c>
      <c r="AO42" s="77"/>
      <c r="AP42" s="74" t="s">
        <v>574</v>
      </c>
      <c r="AQ42" t="s">
        <v>465</v>
      </c>
      <c r="AR42" s="45"/>
      <c r="AS42" s="27"/>
      <c r="AT42" s="38"/>
    </row>
    <row r="43" spans="2:46" x14ac:dyDescent="0.25">
      <c r="B43" t="s">
        <v>47</v>
      </c>
      <c r="C43" s="44">
        <f t="shared" si="53"/>
        <v>6.25</v>
      </c>
      <c r="D43" s="100">
        <f>M43</f>
        <v>16.464040000000001</v>
      </c>
      <c r="E43" s="43">
        <f t="shared" si="3"/>
        <v>9.3000000000000007</v>
      </c>
      <c r="F43" s="28">
        <f t="shared" si="19"/>
        <v>1.8800000000000001</v>
      </c>
      <c r="G43" s="58">
        <f t="shared" si="20"/>
        <v>0.76</v>
      </c>
      <c r="H43" s="59">
        <f t="shared" si="21"/>
        <v>2.355</v>
      </c>
      <c r="I43" s="4"/>
      <c r="J43" s="4"/>
      <c r="K43" s="45">
        <f>MATCH($B43,ruminants!$A$3:$A$120,0)</f>
        <v>57</v>
      </c>
      <c r="L43" s="27">
        <f>INDEX(ruminants!$D$3:$AH$120,$K43,L$4)</f>
        <v>7</v>
      </c>
      <c r="M43" s="52">
        <f t="shared" si="18"/>
        <v>16.464040000000001</v>
      </c>
      <c r="N43" s="28">
        <f>INDEX(ruminants!$D$3:$AH$120,$K43,N$4)</f>
        <v>13.6</v>
      </c>
      <c r="O43" s="28">
        <f>INDEX(ruminants!$D$3:$AH$120,$K43,O$4)</f>
        <v>82</v>
      </c>
      <c r="P43" s="28">
        <f>INDEX(ruminants!$D$3:$AH$120,$K43,P$4)</f>
        <v>-18</v>
      </c>
      <c r="Q43" s="28">
        <f>INDEX(ruminants!$D$3:$AH$120,$K43,Q$4)</f>
        <v>15.1</v>
      </c>
      <c r="R43" s="44">
        <f>INDEX(ruminants!$D$3:$AH$120,$K43,R$4)</f>
        <v>120</v>
      </c>
      <c r="S43" s="29">
        <f>INDEX(ruminants!$D$3:$AH$120,$K43,S$4)</f>
        <v>10</v>
      </c>
      <c r="T43" s="29">
        <f>INDEX(ruminants!$D$3:$AH$120,$K43,T$4)</f>
        <v>0</v>
      </c>
      <c r="U43" s="29">
        <f>INDEX(ruminants!$D$3:$AH$120,$K43,U$4)</f>
        <v>770</v>
      </c>
      <c r="V43" s="32">
        <f>INDEX(ruminants!$D$3:$AH$120,$K43,V$4)</f>
        <v>100</v>
      </c>
      <c r="W43" s="28">
        <f t="shared" si="8"/>
        <v>1.92</v>
      </c>
      <c r="X43" s="58">
        <f>INDEX(ruminants!$D$3:$AH$120,$K43,X$4)/1000*100</f>
        <v>0.79</v>
      </c>
      <c r="Y43" s="59">
        <f>INDEX(ruminants!$D$3:$AH$120,$K43,Y$4)/1000*100</f>
        <v>2.4</v>
      </c>
      <c r="Z43" s="78"/>
      <c r="AA43" s="73"/>
      <c r="AB43" s="45">
        <f>MATCH($B43,pigs!$A$3:$A$60,0)</f>
        <v>50</v>
      </c>
      <c r="AC43" s="27">
        <f>INDEX(pigs!$D$3:$AO$60,$AB43,AC$4)</f>
        <v>5.5</v>
      </c>
      <c r="AD43" s="52">
        <f t="shared" si="54"/>
        <v>16.870306399999997</v>
      </c>
      <c r="AE43" s="75">
        <f>(AE44/AD44)*AD43</f>
        <v>15.205346051464064</v>
      </c>
      <c r="AF43" s="37">
        <f>INDEX(pigs!$D$3:$AO$60,$AB43,AF$4)</f>
        <v>12.4</v>
      </c>
      <c r="AG43" s="37">
        <f>INDEX(pigs!$D$3:$AO$60,$AB43,AG$4)</f>
        <v>12.2</v>
      </c>
      <c r="AH43" s="27">
        <f>INDEX(pigs!$D$3:$AO$60,$AB43,AH$4)</f>
        <v>115</v>
      </c>
      <c r="AI43" s="37">
        <f>INDEX(pigs!$D$3:$AO$60,$AB43,AI$4)</f>
        <v>19</v>
      </c>
      <c r="AJ43" s="31">
        <f t="shared" si="55"/>
        <v>780</v>
      </c>
      <c r="AK43" s="38">
        <f>INDEX(pigs!$D$3:$AO$60,$AB43,AK$4)</f>
        <v>86</v>
      </c>
      <c r="AL43" s="28">
        <f t="shared" si="14"/>
        <v>1.8400000000000003</v>
      </c>
      <c r="AM43" s="58">
        <f>INDEX(pigs!$D$3:$AO$60,$AB43,AM$4)/1000*100</f>
        <v>0.73</v>
      </c>
      <c r="AN43" s="59">
        <f>INDEX(pigs!$D$3:$AO$60,$AB43,AN$4)/1000*100</f>
        <v>2.31</v>
      </c>
      <c r="AO43" s="77"/>
      <c r="AP43" s="74"/>
      <c r="AQ43" t="s">
        <v>465</v>
      </c>
      <c r="AR43" s="45"/>
      <c r="AS43" s="27"/>
      <c r="AT43" s="38"/>
    </row>
    <row r="44" spans="2:46" x14ac:dyDescent="0.25">
      <c r="B44" t="s">
        <v>48</v>
      </c>
      <c r="C44" s="44">
        <f t="shared" si="53"/>
        <v>97</v>
      </c>
      <c r="D44" s="100">
        <f>AD44</f>
        <v>16.975324799999999</v>
      </c>
      <c r="E44" s="43">
        <f t="shared" si="3"/>
        <v>8.6</v>
      </c>
      <c r="F44" s="28">
        <f t="shared" si="19"/>
        <v>2.048</v>
      </c>
      <c r="G44" s="58">
        <f t="shared" si="20"/>
        <v>0.67999999999999994</v>
      </c>
      <c r="H44" s="59">
        <f t="shared" si="21"/>
        <v>2.1</v>
      </c>
      <c r="I44" s="4"/>
      <c r="J44" s="4"/>
      <c r="K44" s="45"/>
      <c r="L44" s="27">
        <v>97</v>
      </c>
      <c r="M44" s="52">
        <f t="shared" si="18"/>
        <v>16.872816799999999</v>
      </c>
      <c r="N44" s="28">
        <v>12.3</v>
      </c>
      <c r="O44" s="28">
        <f>INDEX(ruminants!$D$3:$AH$120,$K44,O$4)</f>
        <v>90</v>
      </c>
      <c r="P44" s="28">
        <f>INDEX(ruminants!$D$3:$AH$120,$K44,P$4)</f>
        <v>-29</v>
      </c>
      <c r="Q44" s="28">
        <f>M44*0.913</f>
        <v>15.4048817384</v>
      </c>
      <c r="R44" s="27">
        <v>125</v>
      </c>
      <c r="S44" s="37">
        <v>13</v>
      </c>
      <c r="T44" s="103">
        <v>0</v>
      </c>
      <c r="U44" s="31">
        <f>1000-SUM(R44:T44,V44)</f>
        <v>780</v>
      </c>
      <c r="V44" s="32">
        <v>82</v>
      </c>
      <c r="W44" s="28">
        <f t="shared" si="8"/>
        <v>2</v>
      </c>
      <c r="X44" s="58">
        <f>6.4/1000*100</f>
        <v>0.64</v>
      </c>
      <c r="Y44" s="59">
        <f>21/1000*100</f>
        <v>2.1</v>
      </c>
      <c r="Z44" s="78" t="s">
        <v>575</v>
      </c>
      <c r="AA44" s="73"/>
      <c r="AB44" s="45">
        <f>MATCH($B44,pigs!$A$3:$A$60,0)</f>
        <v>52</v>
      </c>
      <c r="AC44" s="27">
        <f>INDEX(pigs!$D$3:$AO$60,$AB44,AC$4)</f>
        <v>97</v>
      </c>
      <c r="AD44" s="52">
        <f t="shared" si="54"/>
        <v>16.975324799999999</v>
      </c>
      <c r="AE44" s="69">
        <v>15.3</v>
      </c>
      <c r="AF44" s="37">
        <f>INDEX(pigs!$D$3:$AO$60,$AB44,AF$4)</f>
        <v>12.4</v>
      </c>
      <c r="AG44" s="37">
        <f>INDEX(pigs!$D$3:$AO$60,$AB44,AG$4)</f>
        <v>12.2</v>
      </c>
      <c r="AH44" s="27">
        <f>INDEX(pigs!$D$3:$AO$60,$AB44,AH$4)</f>
        <v>131</v>
      </c>
      <c r="AI44" s="37">
        <f>INDEX(pigs!$D$3:$AO$60,$AB44,AI$4)</f>
        <v>22</v>
      </c>
      <c r="AJ44" s="31">
        <f t="shared" si="55"/>
        <v>757</v>
      </c>
      <c r="AK44" s="38">
        <f>INDEX(pigs!$D$3:$AO$60,$AB44,AK$4)</f>
        <v>90</v>
      </c>
      <c r="AL44" s="28">
        <f t="shared" si="14"/>
        <v>2.0960000000000001</v>
      </c>
      <c r="AM44" s="58">
        <f>INDEX(pigs!$D$3:$AO$60,$AB44,AM$4)/1000*100</f>
        <v>0.72</v>
      </c>
      <c r="AN44" s="59">
        <f>INDEX(pigs!$D$3:$AO$60,$AB44,AN$4)/1000*100</f>
        <v>2.1</v>
      </c>
      <c r="AO44" s="77"/>
      <c r="AP44" s="74" t="s">
        <v>575</v>
      </c>
      <c r="AQ44" t="s">
        <v>465</v>
      </c>
      <c r="AR44" s="45"/>
      <c r="AS44" s="27"/>
      <c r="AT44" s="38"/>
    </row>
    <row r="45" spans="2:46" x14ac:dyDescent="0.25">
      <c r="B45" t="s">
        <v>49</v>
      </c>
      <c r="C45" s="44">
        <f t="shared" si="53"/>
        <v>91</v>
      </c>
      <c r="D45" s="100">
        <f>M45</f>
        <v>23.055932000000002</v>
      </c>
      <c r="E45" s="43">
        <f t="shared" si="3"/>
        <v>2.8000000000000003</v>
      </c>
      <c r="F45" s="28">
        <f t="shared" si="19"/>
        <v>13.48</v>
      </c>
      <c r="G45" s="58">
        <f t="shared" si="20"/>
        <v>0.435</v>
      </c>
      <c r="H45" s="59">
        <f t="shared" si="21"/>
        <v>0.81499999999999995</v>
      </c>
      <c r="I45" s="4"/>
      <c r="J45" s="4"/>
      <c r="K45" s="45">
        <f>MATCH($B45,ruminants!$A$3:$A$120,0)</f>
        <v>65</v>
      </c>
      <c r="L45" s="27">
        <f>INDEX(ruminants!$D$3:$AH$120,$K45,L$4)</f>
        <v>90</v>
      </c>
      <c r="M45" s="52">
        <f t="shared" si="18"/>
        <v>23.055932000000002</v>
      </c>
      <c r="N45" s="28">
        <f>INDEX(ruminants!$D$3:$AH$120,$K45,N$4)</f>
        <v>15.5</v>
      </c>
      <c r="O45" s="28">
        <f>INDEX(ruminants!$D$3:$AH$120,$K45,O$4)</f>
        <v>418</v>
      </c>
      <c r="P45" s="28">
        <f>INDEX(ruminants!$D$3:$AH$120,$K45,P$4)</f>
        <v>323</v>
      </c>
      <c r="Q45" s="28">
        <f>INDEX(ruminants!$D$3:$AH$120,$K45,Q$4)</f>
        <v>19.7</v>
      </c>
      <c r="R45" s="44">
        <f>INDEX(ruminants!$D$3:$AH$120,$K45,R$4)</f>
        <v>844</v>
      </c>
      <c r="S45" s="29">
        <f>INDEX(ruminants!$D$3:$AH$120,$K45,S$4)</f>
        <v>33</v>
      </c>
      <c r="T45" s="29">
        <f>INDEX(ruminants!$D$3:$AH$120,$K45,T$4)</f>
        <v>4</v>
      </c>
      <c r="U45" s="29">
        <f>INDEX(ruminants!$D$3:$AH$120,$K45,U$4)</f>
        <v>91</v>
      </c>
      <c r="V45" s="32">
        <f>INDEX(ruminants!$D$3:$AH$120,$K45,V$4)</f>
        <v>28</v>
      </c>
      <c r="W45" s="28">
        <f t="shared" si="8"/>
        <v>13.504</v>
      </c>
      <c r="X45" s="58">
        <f>INDEX(ruminants!$D$3:$AH$120,$K45,X$4)/1000*100</f>
        <v>0.44</v>
      </c>
      <c r="Y45" s="59">
        <f>INDEX(ruminants!$D$3:$AH$120,$K45,Y$4)/1000*100</f>
        <v>0.89</v>
      </c>
      <c r="Z45" s="78"/>
      <c r="AA45" s="73"/>
      <c r="AB45" s="45">
        <f>MATCH($B45,pigs!$A$3:$A$60,0)</f>
        <v>31</v>
      </c>
      <c r="AC45" s="27">
        <f>INDEX(pigs!$D$3:$AO$60,$AB45,AC$4)</f>
        <v>92</v>
      </c>
      <c r="AD45" s="52">
        <f t="shared" si="54"/>
        <v>22.525819200000001</v>
      </c>
      <c r="AE45" s="69">
        <v>20.8</v>
      </c>
      <c r="AF45" s="37">
        <f>INDEX(pigs!$D$3:$AO$60,$AB45,AF$4)</f>
        <v>11.1</v>
      </c>
      <c r="AG45" s="37">
        <f>INDEX(pigs!$D$3:$AO$60,$AB45,AG$4)</f>
        <v>11.3</v>
      </c>
      <c r="AH45" s="27">
        <f>INDEX(pigs!$D$3:$AO$60,$AB45,AH$4)</f>
        <v>841</v>
      </c>
      <c r="AI45" s="37">
        <f>INDEX(pigs!$D$3:$AO$60,$AB45,AI$4)</f>
        <v>10</v>
      </c>
      <c r="AJ45" s="31">
        <f t="shared" si="55"/>
        <v>121</v>
      </c>
      <c r="AK45" s="38">
        <f>INDEX(pigs!$D$3:$AO$60,$AB45,AK$4)</f>
        <v>28</v>
      </c>
      <c r="AL45" s="28">
        <f t="shared" si="14"/>
        <v>13.456000000000001</v>
      </c>
      <c r="AM45" s="58">
        <f>INDEX(pigs!$D$3:$AO$60,$AB45,AM$4)/1000*100</f>
        <v>0.43</v>
      </c>
      <c r="AN45" s="59">
        <f>INDEX(pigs!$D$3:$AO$60,$AB45,AN$4)/1000*100</f>
        <v>0.74</v>
      </c>
      <c r="AO45" s="77"/>
      <c r="AP45" s="74" t="s">
        <v>576</v>
      </c>
      <c r="AQ45" t="s">
        <v>465</v>
      </c>
      <c r="AR45" s="45">
        <f>MATCH($B45,poultry!$A$3:$A$41,0)</f>
        <v>28</v>
      </c>
      <c r="AS45" s="27">
        <f>INDEX(poultry!$D$3:$U$41,$AR45,AS$4)</f>
        <v>90</v>
      </c>
      <c r="AT45" s="96">
        <f>INDEX(poultry!$D$3:$U$41,$AR45,AT$4)/(AS45/100)</f>
        <v>16</v>
      </c>
    </row>
    <row r="46" spans="2:46" x14ac:dyDescent="0.25">
      <c r="B46" t="s">
        <v>594</v>
      </c>
      <c r="C46" s="44">
        <f t="shared" ref="C46" si="56">AVERAGE(AC46,L46)</f>
        <v>23</v>
      </c>
      <c r="D46" s="100">
        <f>M46</f>
        <v>17.035156000000001</v>
      </c>
      <c r="E46" s="43">
        <f t="shared" si="3"/>
        <v>5.5</v>
      </c>
      <c r="F46" s="28">
        <f t="shared" ref="F46" si="57">AVERAGE(W46,AL46)</f>
        <v>1.44</v>
      </c>
      <c r="G46" s="58">
        <f t="shared" ref="G46" si="58">AVERAGE(X46,AM46)</f>
        <v>0.22999999999999998</v>
      </c>
      <c r="H46" s="59">
        <f t="shared" ref="H46" si="59">AVERAGE(Y46,AN46)</f>
        <v>2.1999999999999997</v>
      </c>
      <c r="I46" s="4"/>
      <c r="J46" s="4"/>
      <c r="K46" s="45">
        <f>MATCH($B46,ruminants!$A$3:$A$120,0)</f>
        <v>63</v>
      </c>
      <c r="L46" s="27">
        <f>INDEX(ruminants!$D$3:$AH$120,$K46,L$4)</f>
        <v>23</v>
      </c>
      <c r="M46" s="52">
        <f t="shared" ref="M46:M47" si="60">( 5.7*R46+9.4*S46+4.1*(T46+U46) ) * 0.004184</f>
        <v>17.035156000000001</v>
      </c>
      <c r="N46" s="28">
        <f>INDEX(ruminants!$D$3:$AH$120,$K46,N$4)</f>
        <v>13.1</v>
      </c>
      <c r="O46" s="28">
        <f>INDEX(ruminants!$D$3:$AH$120,$K46,O$4)</f>
        <v>92</v>
      </c>
      <c r="P46" s="28">
        <f>INDEX(ruminants!$D$3:$AH$120,$K46,P$4)</f>
        <v>-70</v>
      </c>
      <c r="Q46" s="28">
        <f>INDEX(ruminants!$D$3:$AH$120,$K46,Q$4)</f>
        <v>14.9</v>
      </c>
      <c r="R46" s="44">
        <f>INDEX(ruminants!$D$3:$AH$120,$K46,R$4)</f>
        <v>90</v>
      </c>
      <c r="S46" s="29">
        <f>INDEX(ruminants!$D$3:$AH$120,$K46,S$4)</f>
        <v>10</v>
      </c>
      <c r="T46" s="29">
        <f>INDEX(ruminants!$D$3:$AH$120,$K46,T$4)</f>
        <v>25</v>
      </c>
      <c r="U46" s="29">
        <f>INDEX(ruminants!$D$3:$AH$120,$K46,U$4)</f>
        <v>820</v>
      </c>
      <c r="V46" s="32">
        <f>INDEX(ruminants!$D$3:$AH$120,$K46,V$4)</f>
        <v>55</v>
      </c>
      <c r="W46" s="28">
        <f t="shared" ref="W46:W47" si="61">R46*W$3/1000*100</f>
        <v>1.44</v>
      </c>
      <c r="X46" s="58">
        <f>INDEX(ruminants!$D$3:$AH$120,$K46,X$4)/1000*100</f>
        <v>0.22999999999999998</v>
      </c>
      <c r="Y46" s="59">
        <f>INDEX(ruminants!$D$3:$AH$120,$K46,Y$4)/1000*100</f>
        <v>2.1999999999999997</v>
      </c>
      <c r="Z46" s="78"/>
      <c r="AA46" s="73"/>
      <c r="AB46" s="45"/>
      <c r="AC46" s="27"/>
      <c r="AD46" s="52"/>
      <c r="AE46" s="69"/>
      <c r="AF46" s="37"/>
      <c r="AG46" s="37"/>
      <c r="AH46" s="27"/>
      <c r="AI46" s="37"/>
      <c r="AJ46" s="31"/>
      <c r="AK46" s="38"/>
      <c r="AL46" s="28"/>
      <c r="AM46" s="58"/>
      <c r="AN46" s="59"/>
      <c r="AO46" s="77"/>
      <c r="AP46" s="74"/>
      <c r="AR46" s="45"/>
      <c r="AS46" s="27"/>
      <c r="AT46" s="38"/>
    </row>
    <row r="47" spans="2:46" x14ac:dyDescent="0.25">
      <c r="B47" t="s">
        <v>50</v>
      </c>
      <c r="C47" s="44">
        <f t="shared" si="53"/>
        <v>92.05</v>
      </c>
      <c r="D47" s="100">
        <f>AD47</f>
        <v>22.254696000000003</v>
      </c>
      <c r="E47" s="43">
        <f t="shared" si="3"/>
        <v>13.55</v>
      </c>
      <c r="F47" s="28">
        <f t="shared" si="19"/>
        <v>12.112000000000002</v>
      </c>
      <c r="G47" s="58">
        <f t="shared" si="20"/>
        <v>2.3499999999999996</v>
      </c>
      <c r="H47" s="59">
        <f t="shared" si="21"/>
        <v>1.1950000000000001</v>
      </c>
      <c r="I47" s="4"/>
      <c r="J47" s="4"/>
      <c r="K47" s="45"/>
      <c r="L47" s="27">
        <v>92.1</v>
      </c>
      <c r="M47" s="52">
        <f t="shared" si="60"/>
        <v>22.308251200000001</v>
      </c>
      <c r="N47" s="28">
        <v>14.8</v>
      </c>
      <c r="O47" s="28">
        <f>INDEX(ruminants!$D$3:$AH$120,$K47,O$4)</f>
        <v>51</v>
      </c>
      <c r="P47" s="28">
        <f>INDEX(ruminants!$D$3:$AH$120,$K47,P$4)</f>
        <v>154</v>
      </c>
      <c r="Q47" s="28">
        <f>M47*0.975</f>
        <v>21.750544919999999</v>
      </c>
      <c r="R47" s="44">
        <v>754</v>
      </c>
      <c r="S47" s="29">
        <v>110</v>
      </c>
      <c r="T47" s="29">
        <v>0</v>
      </c>
      <c r="U47" s="29">
        <v>0</v>
      </c>
      <c r="V47" s="32">
        <v>136</v>
      </c>
      <c r="W47" s="28">
        <f t="shared" si="61"/>
        <v>12.064</v>
      </c>
      <c r="X47" s="58">
        <f>22.3/1000*100</f>
        <v>2.23</v>
      </c>
      <c r="Y47" s="59">
        <f>11.9/1000*100</f>
        <v>1.1900000000000002</v>
      </c>
      <c r="Z47" s="78" t="s">
        <v>577</v>
      </c>
      <c r="AA47" s="73"/>
      <c r="AB47" s="45">
        <f>MATCH($B47,pigs!$A$3:$A$60,0)</f>
        <v>7</v>
      </c>
      <c r="AC47" s="27">
        <f>INDEX(pigs!$D$3:$AO$60,$AB47,AC$4)</f>
        <v>92</v>
      </c>
      <c r="AD47" s="52">
        <f t="shared" si="54"/>
        <v>22.254696000000003</v>
      </c>
      <c r="AE47" s="69">
        <f>19.5</f>
        <v>19.5</v>
      </c>
      <c r="AF47" s="37">
        <f>INDEX(pigs!$D$3:$AO$60,$AB47,AF$4)</f>
        <v>10.8</v>
      </c>
      <c r="AG47" s="37">
        <f>INDEX(pigs!$D$3:$AO$60,$AB47,AG$4)</f>
        <v>10.8</v>
      </c>
      <c r="AH47" s="27">
        <f>INDEX(pigs!$D$3:$AO$60,$AB47,AH$4)</f>
        <v>760</v>
      </c>
      <c r="AI47" s="37">
        <f>INDEX(pigs!$D$3:$AO$60,$AB47,AI$4)</f>
        <v>105</v>
      </c>
      <c r="AJ47" s="31">
        <f t="shared" si="55"/>
        <v>0</v>
      </c>
      <c r="AK47" s="38">
        <f>INDEX(pigs!$D$3:$AO$60,$AB47,AK$4)</f>
        <v>135</v>
      </c>
      <c r="AL47" s="28">
        <f t="shared" si="14"/>
        <v>12.160000000000002</v>
      </c>
      <c r="AM47" s="58">
        <f>INDEX(pigs!$D$3:$AO$60,$AB47,AM$4)/1000*100</f>
        <v>2.4699999999999998</v>
      </c>
      <c r="AN47" s="59">
        <f>INDEX(pigs!$D$3:$AO$60,$AB47,AN$4)/1000*100</f>
        <v>1.2</v>
      </c>
      <c r="AO47" s="77"/>
      <c r="AP47" s="74" t="s">
        <v>577</v>
      </c>
      <c r="AQ47" t="s">
        <v>465</v>
      </c>
      <c r="AR47" s="45">
        <f>MATCH($B47,poultry!$A$3:$A$41,0)</f>
        <v>6</v>
      </c>
      <c r="AS47" s="27">
        <f>INDEX(poultry!$D$3:$U$41,$AR47,AS$4)</f>
        <v>92</v>
      </c>
      <c r="AT47" s="96">
        <f>INDEX(poultry!$D$3:$U$41,$AR47,AT$4)/(AS47/100)</f>
        <v>13.695652173913043</v>
      </c>
    </row>
    <row r="48" spans="2:46" x14ac:dyDescent="0.25">
      <c r="B48" s="3" t="s">
        <v>310</v>
      </c>
      <c r="C48" s="80">
        <f t="shared" ref="C48" si="62">AVERAGE(AC48,L48)</f>
        <v>100</v>
      </c>
      <c r="D48" s="82">
        <f>AD48</f>
        <v>0</v>
      </c>
      <c r="E48" s="81">
        <f t="shared" si="3"/>
        <v>100</v>
      </c>
      <c r="F48" s="82">
        <f t="shared" ref="F48" si="63">AVERAGE(W48,AL48)</f>
        <v>0</v>
      </c>
      <c r="G48" s="83">
        <f t="shared" ref="G48" si="64">AVERAGE(X48,AM48)</f>
        <v>4</v>
      </c>
      <c r="H48" s="84">
        <f t="shared" ref="H48" si="65">AVERAGE(Y48,AN48)</f>
        <v>0</v>
      </c>
      <c r="I48" s="85"/>
      <c r="J48" s="85"/>
      <c r="K48" s="20"/>
      <c r="L48" s="86">
        <v>100</v>
      </c>
      <c r="M48" s="87">
        <v>0</v>
      </c>
      <c r="N48" s="87">
        <v>0</v>
      </c>
      <c r="O48" s="87">
        <v>0</v>
      </c>
      <c r="P48" s="87">
        <v>0</v>
      </c>
      <c r="Q48" s="87">
        <v>0</v>
      </c>
      <c r="R48" s="80"/>
      <c r="S48" s="88">
        <v>0</v>
      </c>
      <c r="T48" s="88">
        <v>0</v>
      </c>
      <c r="U48" s="88">
        <v>0</v>
      </c>
      <c r="V48" s="89">
        <v>1000</v>
      </c>
      <c r="W48" s="88">
        <v>0</v>
      </c>
      <c r="X48" s="88">
        <v>4</v>
      </c>
      <c r="Y48" s="89">
        <v>0</v>
      </c>
      <c r="Z48" s="118" t="s">
        <v>674</v>
      </c>
      <c r="AA48" s="73"/>
      <c r="AB48" s="20"/>
      <c r="AC48" s="86">
        <v>100</v>
      </c>
      <c r="AD48" s="90">
        <v>0</v>
      </c>
      <c r="AE48" s="90">
        <v>0</v>
      </c>
      <c r="AF48" s="87">
        <v>0</v>
      </c>
      <c r="AG48" s="87">
        <v>0</v>
      </c>
      <c r="AH48" s="86">
        <v>0</v>
      </c>
      <c r="AI48" s="87">
        <v>0</v>
      </c>
      <c r="AJ48" s="88">
        <v>0</v>
      </c>
      <c r="AK48" s="91">
        <v>1000</v>
      </c>
      <c r="AL48" s="90"/>
      <c r="AM48" s="83"/>
      <c r="AN48" s="84"/>
      <c r="AO48" s="3"/>
      <c r="AP48" s="92"/>
      <c r="AQ48" s="3"/>
      <c r="AR48" s="20"/>
      <c r="AS48" s="86">
        <v>100</v>
      </c>
      <c r="AT48" s="91"/>
    </row>
    <row r="50" spans="4:19" x14ac:dyDescent="0.25">
      <c r="D50" s="64" t="s">
        <v>490</v>
      </c>
      <c r="E50" s="97"/>
      <c r="F50" s="65"/>
      <c r="G50" s="65"/>
      <c r="H50" s="65"/>
      <c r="I50" s="65"/>
      <c r="J50" s="65"/>
      <c r="K50" s="66"/>
      <c r="O50" s="115" t="s">
        <v>657</v>
      </c>
    </row>
    <row r="51" spans="4:19" x14ac:dyDescent="0.25">
      <c r="D51" s="27" t="s">
        <v>489</v>
      </c>
      <c r="E51" s="37"/>
      <c r="F51" s="37"/>
      <c r="G51" s="37"/>
      <c r="H51" s="37"/>
      <c r="I51" s="37"/>
      <c r="J51" s="37"/>
      <c r="K51" s="38"/>
      <c r="O51" t="s">
        <v>16</v>
      </c>
      <c r="P51" t="s">
        <v>30</v>
      </c>
      <c r="Q51" t="s">
        <v>29</v>
      </c>
      <c r="R51" t="s">
        <v>659</v>
      </c>
      <c r="S51" t="s">
        <v>41</v>
      </c>
    </row>
    <row r="52" spans="4:19" x14ac:dyDescent="0.25">
      <c r="D52" s="67" t="s">
        <v>488</v>
      </c>
      <c r="E52" s="98"/>
      <c r="F52" s="37"/>
      <c r="G52" s="37"/>
      <c r="H52" s="37"/>
      <c r="I52" s="37"/>
      <c r="J52" s="37"/>
      <c r="K52" s="38"/>
      <c r="O52" s="116">
        <f>95/114</f>
        <v>0.83333333333333337</v>
      </c>
      <c r="P52" s="116">
        <f>90/95</f>
        <v>0.94736842105263153</v>
      </c>
      <c r="Q52" s="116">
        <f>80/143</f>
        <v>0.55944055944055948</v>
      </c>
      <c r="R52" s="116">
        <f>116/140</f>
        <v>0.82857142857142863</v>
      </c>
      <c r="S52" s="117">
        <f>AVERAGE(O52:R52)</f>
        <v>0.79217843559948831</v>
      </c>
    </row>
    <row r="53" spans="4:19" x14ac:dyDescent="0.25">
      <c r="D53" s="68" t="s">
        <v>384</v>
      </c>
      <c r="E53" s="99"/>
      <c r="F53" s="36"/>
      <c r="G53" s="36"/>
      <c r="H53" s="36"/>
      <c r="I53" s="36"/>
      <c r="J53" s="36"/>
      <c r="K53" s="39"/>
      <c r="O53" s="115" t="s">
        <v>658</v>
      </c>
    </row>
    <row r="54" spans="4:19" x14ac:dyDescent="0.25">
      <c r="O54" s="116">
        <f>-33/-45</f>
        <v>0.73333333333333328</v>
      </c>
      <c r="P54" s="116">
        <f>-29/-26</f>
        <v>1.1153846153846154</v>
      </c>
      <c r="Q54" s="116">
        <f>180/175</f>
        <v>1.0285714285714285</v>
      </c>
      <c r="R54" s="116">
        <f>142/143</f>
        <v>0.99300699300699302</v>
      </c>
      <c r="S54" s="117">
        <f>AVERAGE(O54:R54)</f>
        <v>0.96757409257409255</v>
      </c>
    </row>
  </sheetData>
  <hyperlinks>
    <hyperlink ref="C1" r:id="rId1"/>
    <hyperlink ref="AO39" r:id="rId2"/>
    <hyperlink ref="Z31" r:id="rId3"/>
    <hyperlink ref="Z10" r:id="rId4"/>
    <hyperlink ref="Z19" r:id="rId5"/>
    <hyperlink ref="Z22" r:id="rId6"/>
    <hyperlink ref="D52" r:id="rId7"/>
    <hyperlink ref="AP19" r:id="rId8"/>
    <hyperlink ref="AP18" r:id="rId9"/>
    <hyperlink ref="AP17" r:id="rId10"/>
    <hyperlink ref="AP15" r:id="rId11"/>
    <hyperlink ref="AP14" r:id="rId12"/>
    <hyperlink ref="AP13" r:id="rId13"/>
    <hyperlink ref="AP12" r:id="rId14"/>
    <hyperlink ref="AP20" r:id="rId15"/>
    <hyperlink ref="AP21" r:id="rId16"/>
    <hyperlink ref="AP22" r:id="rId17"/>
    <hyperlink ref="AP25" r:id="rId18"/>
    <hyperlink ref="AP26" r:id="rId19"/>
    <hyperlink ref="AP27" r:id="rId20"/>
    <hyperlink ref="AP29" r:id="rId21"/>
    <hyperlink ref="AP33" r:id="rId22"/>
    <hyperlink ref="AP32" r:id="rId23"/>
    <hyperlink ref="AP37" r:id="rId24"/>
    <hyperlink ref="AP40" r:id="rId25"/>
    <hyperlink ref="AP41" r:id="rId26"/>
    <hyperlink ref="AP42" r:id="rId27"/>
    <hyperlink ref="AP44" r:id="rId28"/>
    <hyperlink ref="AP45" r:id="rId29"/>
    <hyperlink ref="AP47" r:id="rId30"/>
    <hyperlink ref="AU24" r:id="rId31"/>
    <hyperlink ref="Z26" r:id="rId32"/>
    <hyperlink ref="Z47" r:id="rId33"/>
    <hyperlink ref="Z44" r:id="rId34"/>
    <hyperlink ref="AP16" r:id="rId35"/>
    <hyperlink ref="Z33" r:id="rId36"/>
  </hyperlinks>
  <pageMargins left="0.7" right="0.7" top="0.75" bottom="0.75" header="0.3" footer="0.3"/>
  <pageSetup paperSize="9" orientation="portrait"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A22" workbookViewId="0">
      <selection activeCell="I36" sqref="I36"/>
    </sheetView>
  </sheetViews>
  <sheetFormatPr defaultRowHeight="15" x14ac:dyDescent="0.25"/>
  <cols>
    <col min="1" max="1" width="27" bestFit="1" customWidth="1"/>
    <col min="2" max="3" width="10.140625" customWidth="1"/>
    <col min="4" max="4" width="12.28515625" bestFit="1" customWidth="1"/>
    <col min="5" max="9" width="12.28515625" customWidth="1"/>
    <col min="10" max="24" width="8.85546875" customWidth="1"/>
  </cols>
  <sheetData>
    <row r="1" spans="1:48" x14ac:dyDescent="0.25">
      <c r="A1" s="40" t="s">
        <v>584</v>
      </c>
      <c r="B1" s="40"/>
      <c r="C1" s="40"/>
      <c r="D1" s="2">
        <v>2</v>
      </c>
      <c r="E1" s="2">
        <v>3</v>
      </c>
      <c r="F1" s="2">
        <v>4</v>
      </c>
      <c r="G1" s="2">
        <v>5</v>
      </c>
      <c r="H1" s="2">
        <v>6</v>
      </c>
      <c r="J1" s="40" t="s">
        <v>585</v>
      </c>
      <c r="K1" s="2"/>
      <c r="L1" s="2"/>
      <c r="M1" s="2">
        <v>12</v>
      </c>
      <c r="N1" s="2">
        <v>13</v>
      </c>
      <c r="O1" s="2">
        <v>14</v>
      </c>
      <c r="P1" s="2">
        <v>15</v>
      </c>
      <c r="Q1" s="2">
        <v>17</v>
      </c>
      <c r="S1" s="40" t="s">
        <v>587</v>
      </c>
      <c r="T1" s="2"/>
      <c r="U1" s="2"/>
      <c r="V1" s="2">
        <v>12</v>
      </c>
      <c r="W1" s="2">
        <v>15</v>
      </c>
      <c r="X1" s="2">
        <v>17</v>
      </c>
      <c r="Z1" s="40" t="s">
        <v>586</v>
      </c>
      <c r="AA1" s="2"/>
      <c r="AB1" s="2"/>
      <c r="AC1" s="2">
        <v>12</v>
      </c>
      <c r="AD1" s="2">
        <v>15</v>
      </c>
      <c r="AE1" s="2">
        <v>17</v>
      </c>
      <c r="AG1" s="40" t="s">
        <v>588</v>
      </c>
      <c r="AH1" s="2"/>
      <c r="AI1" s="2"/>
      <c r="AJ1" s="2">
        <v>30</v>
      </c>
      <c r="AK1" s="2">
        <v>29</v>
      </c>
      <c r="AM1" s="40" t="s">
        <v>589</v>
      </c>
      <c r="AN1" s="2"/>
      <c r="AO1" s="2"/>
      <c r="AP1" s="2">
        <v>31</v>
      </c>
      <c r="AQ1" s="2"/>
      <c r="AS1" s="40" t="s">
        <v>607</v>
      </c>
      <c r="AT1" s="2"/>
      <c r="AU1" s="2"/>
      <c r="AV1" s="2">
        <v>44</v>
      </c>
    </row>
    <row r="2" spans="1:48" x14ac:dyDescent="0.25">
      <c r="A2" s="36" t="s">
        <v>0</v>
      </c>
      <c r="B2" s="36" t="s">
        <v>18</v>
      </c>
      <c r="C2" s="36" t="s">
        <v>15</v>
      </c>
      <c r="D2" s="36" t="s">
        <v>660</v>
      </c>
      <c r="E2" s="36" t="s">
        <v>661</v>
      </c>
      <c r="F2" s="36" t="s">
        <v>662</v>
      </c>
      <c r="G2" s="36" t="s">
        <v>663</v>
      </c>
      <c r="H2" s="36" t="s">
        <v>664</v>
      </c>
      <c r="I2" s="37"/>
      <c r="J2" s="36" t="s">
        <v>0</v>
      </c>
      <c r="K2" s="36" t="s">
        <v>18</v>
      </c>
      <c r="L2" s="36" t="s">
        <v>15</v>
      </c>
      <c r="M2" s="36" t="s">
        <v>665</v>
      </c>
      <c r="N2" s="36" t="s">
        <v>666</v>
      </c>
      <c r="O2" s="36" t="s">
        <v>667</v>
      </c>
      <c r="P2" s="36" t="s">
        <v>670</v>
      </c>
      <c r="Q2" s="36" t="s">
        <v>668</v>
      </c>
      <c r="S2" s="36" t="s">
        <v>0</v>
      </c>
      <c r="T2" s="36" t="s">
        <v>18</v>
      </c>
      <c r="U2" s="36" t="s">
        <v>15</v>
      </c>
      <c r="V2" s="36" t="s">
        <v>665</v>
      </c>
      <c r="W2" s="36" t="s">
        <v>670</v>
      </c>
      <c r="X2" s="36" t="s">
        <v>668</v>
      </c>
      <c r="Z2" s="36" t="s">
        <v>0</v>
      </c>
      <c r="AA2" s="36" t="s">
        <v>18</v>
      </c>
      <c r="AB2" s="36" t="s">
        <v>15</v>
      </c>
      <c r="AC2" s="36" t="s">
        <v>665</v>
      </c>
      <c r="AD2" s="36" t="s">
        <v>670</v>
      </c>
      <c r="AE2" s="36" t="s">
        <v>668</v>
      </c>
      <c r="AG2" s="36" t="s">
        <v>0</v>
      </c>
      <c r="AH2" s="36" t="s">
        <v>18</v>
      </c>
      <c r="AI2" s="36" t="s">
        <v>15</v>
      </c>
      <c r="AJ2" s="36" t="s">
        <v>669</v>
      </c>
      <c r="AK2" s="36" t="s">
        <v>670</v>
      </c>
      <c r="AM2" s="36" t="s">
        <v>0</v>
      </c>
      <c r="AN2" s="36" t="s">
        <v>18</v>
      </c>
      <c r="AO2" s="36" t="s">
        <v>15</v>
      </c>
      <c r="AP2" s="36" t="s">
        <v>669</v>
      </c>
      <c r="AQ2" s="36" t="s">
        <v>670</v>
      </c>
      <c r="AS2" s="36" t="s">
        <v>0</v>
      </c>
      <c r="AT2" s="36" t="s">
        <v>18</v>
      </c>
      <c r="AU2" s="36" t="s">
        <v>15</v>
      </c>
      <c r="AV2" s="101" t="s">
        <v>671</v>
      </c>
    </row>
    <row r="3" spans="1:48" x14ac:dyDescent="0.25">
      <c r="A3" t="str">
        <f>'feed pars'!$B6</f>
        <v>ley silage, 1st cut</v>
      </c>
      <c r="D3" s="79">
        <f>IF(AND(INDEX('feed pars'!$C$6:$AT$48,MATCH($A3,'feed pars'!$B$6:$B$48,0),D$1)&lt;&gt;"",D$1&lt;&gt;""), INDEX('feed pars'!$C$6:$AT$48,MATCH($A3,'feed pars'!$B$6:$B$48,0),D$1), "")</f>
        <v>17.316948400000001</v>
      </c>
      <c r="E3" s="79">
        <f>IF(AND(INDEX('feed pars'!$C$6:$AT$48,MATCH($A3,'feed pars'!$B$6:$B$48,0),E$1)&lt;&gt;"",E$1&lt;&gt;""), INDEX('feed pars'!$C$6:$AT$48,MATCH($A3,'feed pars'!$B$6:$B$48,0),E$1), "")</f>
        <v>7.55</v>
      </c>
      <c r="F3" s="79">
        <f>IF(AND(INDEX('feed pars'!$C$6:$AT$48,MATCH($A3,'feed pars'!$B$6:$B$48,0),F$1)&lt;&gt;"",F$1&lt;&gt;""), INDEX('feed pars'!$C$6:$AT$48,MATCH($A3,'feed pars'!$B$6:$B$48,0),F$1), "")</f>
        <v>2.4239999999999999</v>
      </c>
      <c r="G3" s="79">
        <f>IF(AND(INDEX('feed pars'!$C$6:$AT$48,MATCH($A3,'feed pars'!$B$6:$B$48,0),G$1)&lt;&gt;"",G$1&lt;&gt;""), INDEX('feed pars'!$C$6:$AT$48,MATCH($A3,'feed pars'!$B$6:$B$48,0),G$1), "")</f>
        <v>0.27999999999999997</v>
      </c>
      <c r="H3" s="79">
        <f>IF(AND(INDEX('feed pars'!$C$6:$AT$48,MATCH($A3,'feed pars'!$B$6:$B$48,0),H$1)&lt;&gt;"",H$1&lt;&gt;""), INDEX('feed pars'!$C$6:$AT$48,MATCH($A3,'feed pars'!$B$6:$B$48,0),H$1), "")</f>
        <v>2.4250000000000003</v>
      </c>
      <c r="I3" s="28"/>
      <c r="J3" s="28" t="str">
        <f>'feed pars'!$B6</f>
        <v>ley silage, 1st cut</v>
      </c>
      <c r="K3" t="s">
        <v>19</v>
      </c>
      <c r="M3" s="79">
        <f>IF(AND(INDEX('feed pars'!$C$6:$AT$48,MATCH($A3,'feed pars'!$B$6:$B$48,0),M$1)&lt;&gt;"",M$1&lt;&gt;""), INDEX('feed pars'!$C$6:$AT$48,MATCH($A3,'feed pars'!$B$6:$B$48,0),M$1), "")</f>
        <v>11.3</v>
      </c>
      <c r="N3" s="79">
        <f>IF(AND(INDEX('feed pars'!$C$6:$AT$48,MATCH($A3,'feed pars'!$B$6:$B$48,0),N$1)&lt;&gt;"",N$1&lt;&gt;""), INDEX('feed pars'!$C$6:$AT$48,MATCH($A3,'feed pars'!$B$6:$B$48,0),N$1), "")</f>
        <v>72</v>
      </c>
      <c r="O3" s="79">
        <f>IF(AND(INDEX('feed pars'!$C$6:$AT$48,MATCH($A3,'feed pars'!$B$6:$B$48,0),O$1)&lt;&gt;"",O$1&lt;&gt;""), INDEX('feed pars'!$C$6:$AT$48,MATCH($A3,'feed pars'!$B$6:$B$48,0),O$1), "")</f>
        <v>26.5</v>
      </c>
      <c r="P3" s="79">
        <f>IF(AND(INDEX('feed pars'!$C$6:$AT$48,MATCH($A3,'feed pars'!$B$6:$B$48,0),P$1)&lt;&gt;"",P$1&lt;&gt;""), INDEX('feed pars'!$C$6:$AT$48,MATCH($A3,'feed pars'!$B$6:$B$48,0),P$1), "")</f>
        <v>13.35</v>
      </c>
      <c r="Q3" s="79">
        <f>IF(AND(INDEX('feed pars'!$C$6:$AT$48,MATCH($A3,'feed pars'!$B$6:$B$48,0),Q$1)&lt;&gt;"",Q$1&lt;&gt;""), INDEX('feed pars'!$C$6:$AT$48,MATCH($A3,'feed pars'!$B$6:$B$48,0),Q$1), "")</f>
        <v>20</v>
      </c>
      <c r="S3" s="28" t="str">
        <f>'feed pars'!$B6</f>
        <v>ley silage, 1st cut</v>
      </c>
      <c r="T3" t="s">
        <v>376</v>
      </c>
      <c r="V3" s="65">
        <f>IF(AND(INDEX('feed pars'!$C$6:$AT$48,MATCH($A3,'feed pars'!$B$6:$B$48,0),V$1)&lt;&gt;"",V$1&lt;&gt;""), INDEX('feed pars'!$C$6:$AT$48,MATCH($A3,'feed pars'!$B$6:$B$48,0),V$1), "")</f>
        <v>11.3</v>
      </c>
      <c r="W3" s="65">
        <f>IF(AND(INDEX('feed pars'!$C$6:$AT$48,MATCH($A3,'feed pars'!$B$6:$B$48,0),W$1)&lt;&gt;"",W$1&lt;&gt;""), INDEX('feed pars'!$C$6:$AT$48,MATCH($A3,'feed pars'!$B$6:$B$48,0),W$1), "")</f>
        <v>13.35</v>
      </c>
      <c r="X3" s="65">
        <f>IF(AND(INDEX('feed pars'!$C$6:$AT$48,MATCH($A3,'feed pars'!$B$6:$B$48,0),X$1)&lt;&gt;"",X$1&lt;&gt;""), INDEX('feed pars'!$C$6:$AT$48,MATCH($A3,'feed pars'!$B$6:$B$48,0),X$1), "")</f>
        <v>20</v>
      </c>
      <c r="Z3" s="28" t="str">
        <f>'feed pars'!$B6</f>
        <v>ley silage, 1st cut</v>
      </c>
      <c r="AA3" t="s">
        <v>372</v>
      </c>
      <c r="AC3" s="65">
        <f>IF(AND(INDEX('feed pars'!$C$6:$AT$48,MATCH($A3,'feed pars'!$B$6:$B$48,0),AC$1)&lt;&gt;"",AC$1&lt;&gt;""), INDEX('feed pars'!$C$6:$AT$48,MATCH($A3,'feed pars'!$B$6:$B$48,0),AC$1), "")</f>
        <v>11.3</v>
      </c>
      <c r="AD3" s="65">
        <f>IF(AND(INDEX('feed pars'!$C$6:$AT$48,MATCH($A3,'feed pars'!$B$6:$B$48,0),AD$1)&lt;&gt;"",AD$1&lt;&gt;""), INDEX('feed pars'!$C$6:$AT$48,MATCH($A3,'feed pars'!$B$6:$B$48,0),AD$1), "")</f>
        <v>13.35</v>
      </c>
      <c r="AE3" s="65">
        <f>IF(AND(INDEX('feed pars'!$C$6:$AT$48,MATCH($A3,'feed pars'!$B$6:$B$48,0),AE$1)&lt;&gt;"",AE$1&lt;&gt;""), INDEX('feed pars'!$C$6:$AT$48,MATCH($A3,'feed pars'!$B$6:$B$48,0),AE$1), "")</f>
        <v>20</v>
      </c>
      <c r="AG3" s="28" t="str">
        <f>'feed pars'!$B6</f>
        <v>ley silage, 1st cut</v>
      </c>
      <c r="AH3" t="s">
        <v>20</v>
      </c>
      <c r="AJ3" s="65" t="str">
        <f>IF(AND(INDEX('feed pars'!$C$6:$AT$48,MATCH($A3,'feed pars'!$B$6:$B$48,0),AJ$1)&lt;&gt;"",AJ$1&lt;&gt;""), INDEX('feed pars'!$C$6:$AT$48,MATCH($A3,'feed pars'!$B$6:$B$48,0),AJ$1), "")</f>
        <v/>
      </c>
      <c r="AK3" s="65" t="str">
        <f>IF(AND(INDEX('feed pars'!$C$6:$AT$48,MATCH($A3,'feed pars'!$B$6:$B$48,0),AK$1)&lt;&gt;"",AK$1&lt;&gt;""), INDEX('feed pars'!$C$6:$AT$48,MATCH($A3,'feed pars'!$B$6:$B$48,0),AK$1), "")</f>
        <v/>
      </c>
      <c r="AM3" s="28" t="str">
        <f>'feed pars'!$B6</f>
        <v>ley silage, 1st cut</v>
      </c>
      <c r="AN3" t="s">
        <v>20</v>
      </c>
      <c r="AO3" t="s">
        <v>289</v>
      </c>
      <c r="AP3" s="65" t="str">
        <f>IF(AND(INDEX('feed pars'!$C$6:$AT$48,MATCH($A3,'feed pars'!$B$6:$B$48,0),AP$1)&lt;&gt;"",AP$1&lt;&gt;""), INDEX('feed pars'!$C$6:$AT$48,MATCH($A3,'feed pars'!$B$6:$B$48,0),AP$1), "")</f>
        <v/>
      </c>
      <c r="AQ3" s="65" t="str">
        <f>IF(AND(INDEX('feed pars'!$C$6:$AT$48,MATCH($A3,'feed pars'!$B$6:$B$48,0),AQ$1)&lt;&gt;"",AQ$1&lt;&gt;""), INDEX('feed pars'!$C$6:$AT$48,MATCH($A3,'feed pars'!$B$6:$B$48,0),AQ$1), "")</f>
        <v/>
      </c>
      <c r="AS3" s="28" t="str">
        <f>'feed pars'!$B6</f>
        <v>ley silage, 1st cut</v>
      </c>
      <c r="AT3" t="s">
        <v>369</v>
      </c>
      <c r="AV3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t="str">
        <f>'feed pars'!$B7</f>
        <v>ley silage, regrowth</v>
      </c>
      <c r="D4" s="28">
        <f>IF(AND(INDEX('feed pars'!$C$6:$AT$48,MATCH($A4,'feed pars'!$B$6:$B$48,0),D$1)&lt;&gt;"",D$1&lt;&gt;""), INDEX('feed pars'!$C$6:$AT$48,MATCH($A4,'feed pars'!$B$6:$B$48,0),D$1), "")</f>
        <v>17.150216</v>
      </c>
      <c r="E4" s="28">
        <f>IF(AND(INDEX('feed pars'!$C$6:$AT$48,MATCH($A4,'feed pars'!$B$6:$B$48,0),E$1)&lt;&gt;"",E$1&lt;&gt;""), INDEX('feed pars'!$C$6:$AT$48,MATCH($A4,'feed pars'!$B$6:$B$48,0),E$1), "")</f>
        <v>7.8</v>
      </c>
      <c r="F4" s="28">
        <f>IF(AND(INDEX('feed pars'!$C$6:$AT$48,MATCH($A4,'feed pars'!$B$6:$B$48,0),F$1)&lt;&gt;"",F$1&lt;&gt;""), INDEX('feed pars'!$C$6:$AT$48,MATCH($A4,'feed pars'!$B$6:$B$48,0),F$1), "")</f>
        <v>2.1280000000000001</v>
      </c>
      <c r="G4" s="28">
        <f>IF(AND(INDEX('feed pars'!$C$6:$AT$48,MATCH($A4,'feed pars'!$B$6:$B$48,0),G$1)&lt;&gt;"",G$1&lt;&gt;""), INDEX('feed pars'!$C$6:$AT$48,MATCH($A4,'feed pars'!$B$6:$B$48,0),G$1), "")</f>
        <v>0.27</v>
      </c>
      <c r="H4" s="28">
        <f>IF(AND(INDEX('feed pars'!$C$6:$AT$48,MATCH($A4,'feed pars'!$B$6:$B$48,0),H$1)&lt;&gt;"",H$1&lt;&gt;""), INDEX('feed pars'!$C$6:$AT$48,MATCH($A4,'feed pars'!$B$6:$B$48,0),H$1), "")</f>
        <v>2.34</v>
      </c>
      <c r="I4" s="28"/>
      <c r="J4" s="28" t="str">
        <f>'feed pars'!$B7</f>
        <v>ley silage, regrowth</v>
      </c>
      <c r="K4" t="s">
        <v>19</v>
      </c>
      <c r="M4" s="37">
        <f>IF(AND(INDEX('feed pars'!$C$6:$AT$48,MATCH($A4,'feed pars'!$B$6:$B$48,0),M$1)&lt;&gt;"",M$1&lt;&gt;""), INDEX('feed pars'!$C$6:$AT$48,MATCH($A4,'feed pars'!$B$6:$B$48,0),M$1), "")</f>
        <v>10.1</v>
      </c>
      <c r="N4" s="37">
        <f>IF(AND(INDEX('feed pars'!$C$6:$AT$48,MATCH($A4,'feed pars'!$B$6:$B$48,0),N$1)&lt;&gt;"",N$1&lt;&gt;""), INDEX('feed pars'!$C$6:$AT$48,MATCH($A4,'feed pars'!$B$6:$B$48,0),N$1), "")</f>
        <v>69</v>
      </c>
      <c r="O4" s="37">
        <f>IF(AND(INDEX('feed pars'!$C$6:$AT$48,MATCH($A4,'feed pars'!$B$6:$B$48,0),O$1)&lt;&gt;"",O$1&lt;&gt;""), INDEX('feed pars'!$C$6:$AT$48,MATCH($A4,'feed pars'!$B$6:$B$48,0),O$1), "")</f>
        <v>14</v>
      </c>
      <c r="P4" s="37">
        <f>IF(AND(INDEX('feed pars'!$C$6:$AT$48,MATCH($A4,'feed pars'!$B$6:$B$48,0),P$1)&lt;&gt;"",P$1&lt;&gt;""), INDEX('feed pars'!$C$6:$AT$48,MATCH($A4,'feed pars'!$B$6:$B$48,0),P$1), "")</f>
        <v>11.899999999999999</v>
      </c>
      <c r="Q4" s="37">
        <f>IF(AND(INDEX('feed pars'!$C$6:$AT$48,MATCH($A4,'feed pars'!$B$6:$B$48,0),Q$1)&lt;&gt;"",Q$1&lt;&gt;""), INDEX('feed pars'!$C$6:$AT$48,MATCH($A4,'feed pars'!$B$6:$B$48,0),Q$1), "")</f>
        <v>20</v>
      </c>
      <c r="S4" s="28" t="str">
        <f>'feed pars'!$B7</f>
        <v>ley silage, regrowth</v>
      </c>
      <c r="T4" t="s">
        <v>376</v>
      </c>
      <c r="V4" s="37">
        <f>IF(AND(INDEX('feed pars'!$C$6:$AT$48,MATCH($A4,'feed pars'!$B$6:$B$48,0),V$1)&lt;&gt;"",V$1&lt;&gt;""), INDEX('feed pars'!$C$6:$AT$48,MATCH($A4,'feed pars'!$B$6:$B$48,0),V$1), "")</f>
        <v>10.1</v>
      </c>
      <c r="W4" s="37">
        <f>IF(AND(INDEX('feed pars'!$C$6:$AT$48,MATCH($A4,'feed pars'!$B$6:$B$48,0),W$1)&lt;&gt;"",W$1&lt;&gt;""), INDEX('feed pars'!$C$6:$AT$48,MATCH($A4,'feed pars'!$B$6:$B$48,0),W$1), "")</f>
        <v>11.899999999999999</v>
      </c>
      <c r="X4" s="37">
        <f>IF(AND(INDEX('feed pars'!$C$6:$AT$48,MATCH($A4,'feed pars'!$B$6:$B$48,0),X$1)&lt;&gt;"",X$1&lt;&gt;""), INDEX('feed pars'!$C$6:$AT$48,MATCH($A4,'feed pars'!$B$6:$B$48,0),X$1), "")</f>
        <v>20</v>
      </c>
      <c r="Z4" s="28" t="str">
        <f>'feed pars'!$B7</f>
        <v>ley silage, regrowth</v>
      </c>
      <c r="AA4" t="s">
        <v>372</v>
      </c>
      <c r="AC4" s="37">
        <f>IF(AND(INDEX('feed pars'!$C$6:$AT$48,MATCH($A4,'feed pars'!$B$6:$B$48,0),AC$1)&lt;&gt;"",AC$1&lt;&gt;""), INDEX('feed pars'!$C$6:$AT$48,MATCH($A4,'feed pars'!$B$6:$B$48,0),AC$1), "")</f>
        <v>10.1</v>
      </c>
      <c r="AD4" s="37">
        <f>IF(AND(INDEX('feed pars'!$C$6:$AT$48,MATCH($A4,'feed pars'!$B$6:$B$48,0),AD$1)&lt;&gt;"",AD$1&lt;&gt;""), INDEX('feed pars'!$C$6:$AT$48,MATCH($A4,'feed pars'!$B$6:$B$48,0),AD$1), "")</f>
        <v>11.899999999999999</v>
      </c>
      <c r="AE4" s="37">
        <f>IF(AND(INDEX('feed pars'!$C$6:$AT$48,MATCH($A4,'feed pars'!$B$6:$B$48,0),AE$1)&lt;&gt;"",AE$1&lt;&gt;""), INDEX('feed pars'!$C$6:$AT$48,MATCH($A4,'feed pars'!$B$6:$B$48,0),AE$1), "")</f>
        <v>20</v>
      </c>
      <c r="AG4" s="28" t="str">
        <f>'feed pars'!$B7</f>
        <v>ley silage, regrowth</v>
      </c>
      <c r="AH4" t="s">
        <v>20</v>
      </c>
      <c r="AJ4" s="37" t="str">
        <f>IF(AND(INDEX('feed pars'!$C$6:$AT$48,MATCH($A4,'feed pars'!$B$6:$B$48,0),AJ$1)&lt;&gt;"",AJ$1&lt;&gt;""), INDEX('feed pars'!$C$6:$AT$48,MATCH($A4,'feed pars'!$B$6:$B$48,0),AJ$1), "")</f>
        <v/>
      </c>
      <c r="AK4" s="37" t="str">
        <f>IF(AND(INDEX('feed pars'!$C$6:$AT$48,MATCH($A4,'feed pars'!$B$6:$B$48,0),AK$1)&lt;&gt;"",AK$1&lt;&gt;""), INDEX('feed pars'!$C$6:$AT$48,MATCH($A4,'feed pars'!$B$6:$B$48,0),AK$1), "")</f>
        <v/>
      </c>
      <c r="AM4" s="28" t="str">
        <f>'feed pars'!$B7</f>
        <v>ley silage, regrowth</v>
      </c>
      <c r="AN4" t="s">
        <v>20</v>
      </c>
      <c r="AO4" t="s">
        <v>289</v>
      </c>
      <c r="AP4" s="37" t="str">
        <f>IF(AND(INDEX('feed pars'!$C$6:$AT$48,MATCH($A4,'feed pars'!$B$6:$B$48,0),AP$1)&lt;&gt;"",AP$1&lt;&gt;""), INDEX('feed pars'!$C$6:$AT$48,MATCH($A4,'feed pars'!$B$6:$B$48,0),AP$1), "")</f>
        <v/>
      </c>
      <c r="AQ4" s="37" t="str">
        <f>IF(AND(INDEX('feed pars'!$C$6:$AT$48,MATCH($A4,'feed pars'!$B$6:$B$48,0),AQ$1)&lt;&gt;"",AQ$1&lt;&gt;""), INDEX('feed pars'!$C$6:$AT$48,MATCH($A4,'feed pars'!$B$6:$B$48,0),AQ$1), "")</f>
        <v/>
      </c>
      <c r="AS4" s="28" t="str">
        <f>'feed pars'!$B7</f>
        <v>ley silage, regrowth</v>
      </c>
      <c r="AT4" t="s">
        <v>369</v>
      </c>
      <c r="AV4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t="str">
        <f>'feed pars'!$B8</f>
        <v>other silage</v>
      </c>
      <c r="D5" s="28">
        <f>IF(AND(INDEX('feed pars'!$C$6:$AT$48,MATCH($A5,'feed pars'!$B$6:$B$48,0),D$1)&lt;&gt;"",D$1&lt;&gt;""), INDEX('feed pars'!$C$6:$AT$48,MATCH($A5,'feed pars'!$B$6:$B$48,0),D$1), "")</f>
        <v>16.789764399999999</v>
      </c>
      <c r="E5" s="28">
        <f>IF(AND(INDEX('feed pars'!$C$6:$AT$48,MATCH($A5,'feed pars'!$B$6:$B$48,0),E$1)&lt;&gt;"",E$1&lt;&gt;""), INDEX('feed pars'!$C$6:$AT$48,MATCH($A5,'feed pars'!$B$6:$B$48,0),E$1), "")</f>
        <v>8.7999999999999989</v>
      </c>
      <c r="F5" s="28">
        <f>IF(AND(INDEX('feed pars'!$C$6:$AT$48,MATCH($A5,'feed pars'!$B$6:$B$48,0),F$1)&lt;&gt;"",F$1&lt;&gt;""), INDEX('feed pars'!$C$6:$AT$48,MATCH($A5,'feed pars'!$B$6:$B$48,0),F$1), "")</f>
        <v>1.5439999999999998</v>
      </c>
      <c r="G5" s="28">
        <f>IF(AND(INDEX('feed pars'!$C$6:$AT$48,MATCH($A5,'feed pars'!$B$6:$B$48,0),G$1)&lt;&gt;"",G$1&lt;&gt;""), INDEX('feed pars'!$C$6:$AT$48,MATCH($A5,'feed pars'!$B$6:$B$48,0),G$1), "")</f>
        <v>0.21000000000000002</v>
      </c>
      <c r="H5" s="28">
        <f>IF(AND(INDEX('feed pars'!$C$6:$AT$48,MATCH($A5,'feed pars'!$B$6:$B$48,0),H$1)&lt;&gt;"",H$1&lt;&gt;""), INDEX('feed pars'!$C$6:$AT$48,MATCH($A5,'feed pars'!$B$6:$B$48,0),H$1), "")</f>
        <v>2.35</v>
      </c>
      <c r="I5" s="28"/>
      <c r="J5" s="28" t="str">
        <f>'feed pars'!$B8</f>
        <v>other silage</v>
      </c>
      <c r="K5" t="s">
        <v>19</v>
      </c>
      <c r="M5" s="37">
        <f>IF(AND(INDEX('feed pars'!$C$6:$AT$48,MATCH($A5,'feed pars'!$B$6:$B$48,0),M$1)&lt;&gt;"",M$1&lt;&gt;""), INDEX('feed pars'!$C$6:$AT$48,MATCH($A5,'feed pars'!$B$6:$B$48,0),M$1), "")</f>
        <v>8.5</v>
      </c>
      <c r="N5" s="37" t="str">
        <f>IF(AND(INDEX('feed pars'!$C$6:$AT$48,MATCH($A5,'feed pars'!$B$6:$B$48,0),N$1)&lt;&gt;"",N$1&lt;&gt;""), INDEX('feed pars'!$C$6:$AT$48,MATCH($A5,'feed pars'!$B$6:$B$48,0),N$1), "")</f>
        <v/>
      </c>
      <c r="O5" s="37" t="str">
        <f>IF(AND(INDEX('feed pars'!$C$6:$AT$48,MATCH($A5,'feed pars'!$B$6:$B$48,0),O$1)&lt;&gt;"",O$1&lt;&gt;""), INDEX('feed pars'!$C$6:$AT$48,MATCH($A5,'feed pars'!$B$6:$B$48,0),O$1), "")</f>
        <v/>
      </c>
      <c r="P5" s="37">
        <f>IF(AND(INDEX('feed pars'!$C$6:$AT$48,MATCH($A5,'feed pars'!$B$6:$B$48,0),P$1)&lt;&gt;"",P$1&lt;&gt;""), INDEX('feed pars'!$C$6:$AT$48,MATCH($A5,'feed pars'!$B$6:$B$48,0),P$1), "")</f>
        <v>10.75</v>
      </c>
      <c r="Q5" s="37">
        <f>IF(AND(INDEX('feed pars'!$C$6:$AT$48,MATCH($A5,'feed pars'!$B$6:$B$48,0),Q$1)&lt;&gt;"",Q$1&lt;&gt;""), INDEX('feed pars'!$C$6:$AT$48,MATCH($A5,'feed pars'!$B$6:$B$48,0),Q$1), "")</f>
        <v>22.5</v>
      </c>
      <c r="S5" s="28" t="str">
        <f>'feed pars'!$B8</f>
        <v>other silage</v>
      </c>
      <c r="T5" t="s">
        <v>376</v>
      </c>
      <c r="V5" s="37">
        <f>IF(AND(INDEX('feed pars'!$C$6:$AT$48,MATCH($A5,'feed pars'!$B$6:$B$48,0),V$1)&lt;&gt;"",V$1&lt;&gt;""), INDEX('feed pars'!$C$6:$AT$48,MATCH($A5,'feed pars'!$B$6:$B$48,0),V$1), "")</f>
        <v>8.5</v>
      </c>
      <c r="W5" s="37">
        <f>IF(AND(INDEX('feed pars'!$C$6:$AT$48,MATCH($A5,'feed pars'!$B$6:$B$48,0),W$1)&lt;&gt;"",W$1&lt;&gt;""), INDEX('feed pars'!$C$6:$AT$48,MATCH($A5,'feed pars'!$B$6:$B$48,0),W$1), "")</f>
        <v>10.75</v>
      </c>
      <c r="X5" s="37">
        <f>IF(AND(INDEX('feed pars'!$C$6:$AT$48,MATCH($A5,'feed pars'!$B$6:$B$48,0),X$1)&lt;&gt;"",X$1&lt;&gt;""), INDEX('feed pars'!$C$6:$AT$48,MATCH($A5,'feed pars'!$B$6:$B$48,0),X$1), "")</f>
        <v>22.5</v>
      </c>
      <c r="Z5" s="28" t="str">
        <f>'feed pars'!$B8</f>
        <v>other silage</v>
      </c>
      <c r="AA5" t="s">
        <v>372</v>
      </c>
      <c r="AC5" s="37">
        <f>IF(AND(INDEX('feed pars'!$C$6:$AT$48,MATCH($A5,'feed pars'!$B$6:$B$48,0),AC$1)&lt;&gt;"",AC$1&lt;&gt;""), INDEX('feed pars'!$C$6:$AT$48,MATCH($A5,'feed pars'!$B$6:$B$48,0),AC$1), "")</f>
        <v>8.5</v>
      </c>
      <c r="AD5" s="37">
        <f>IF(AND(INDEX('feed pars'!$C$6:$AT$48,MATCH($A5,'feed pars'!$B$6:$B$48,0),AD$1)&lt;&gt;"",AD$1&lt;&gt;""), INDEX('feed pars'!$C$6:$AT$48,MATCH($A5,'feed pars'!$B$6:$B$48,0),AD$1), "")</f>
        <v>10.75</v>
      </c>
      <c r="AE5" s="37">
        <f>IF(AND(INDEX('feed pars'!$C$6:$AT$48,MATCH($A5,'feed pars'!$B$6:$B$48,0),AE$1)&lt;&gt;"",AE$1&lt;&gt;""), INDEX('feed pars'!$C$6:$AT$48,MATCH($A5,'feed pars'!$B$6:$B$48,0),AE$1), "")</f>
        <v>22.5</v>
      </c>
      <c r="AG5" s="28" t="str">
        <f>'feed pars'!$B8</f>
        <v>other silage</v>
      </c>
      <c r="AH5" t="s">
        <v>20</v>
      </c>
      <c r="AJ5" s="37" t="str">
        <f>IF(AND(INDEX('feed pars'!$C$6:$AT$48,MATCH($A5,'feed pars'!$B$6:$B$48,0),AJ$1)&lt;&gt;"",AJ$1&lt;&gt;""), INDEX('feed pars'!$C$6:$AT$48,MATCH($A5,'feed pars'!$B$6:$B$48,0),AJ$1), "")</f>
        <v/>
      </c>
      <c r="AK5" s="37" t="str">
        <f>IF(AND(INDEX('feed pars'!$C$6:$AT$48,MATCH($A5,'feed pars'!$B$6:$B$48,0),AK$1)&lt;&gt;"",AK$1&lt;&gt;""), INDEX('feed pars'!$C$6:$AT$48,MATCH($A5,'feed pars'!$B$6:$B$48,0),AK$1), "")</f>
        <v/>
      </c>
      <c r="AM5" s="28" t="str">
        <f>'feed pars'!$B8</f>
        <v>other silage</v>
      </c>
      <c r="AN5" t="s">
        <v>20</v>
      </c>
      <c r="AO5" t="s">
        <v>289</v>
      </c>
      <c r="AP5" s="37" t="str">
        <f>IF(AND(INDEX('feed pars'!$C$6:$AT$48,MATCH($A5,'feed pars'!$B$6:$B$48,0),AP$1)&lt;&gt;"",AP$1&lt;&gt;""), INDEX('feed pars'!$C$6:$AT$48,MATCH($A5,'feed pars'!$B$6:$B$48,0),AP$1), "")</f>
        <v/>
      </c>
      <c r="AQ5" s="37" t="str">
        <f>IF(AND(INDEX('feed pars'!$C$6:$AT$48,MATCH($A5,'feed pars'!$B$6:$B$48,0),AQ$1)&lt;&gt;"",AQ$1&lt;&gt;""), INDEX('feed pars'!$C$6:$AT$48,MATCH($A5,'feed pars'!$B$6:$B$48,0),AQ$1), "")</f>
        <v/>
      </c>
      <c r="AS5" s="28" t="str">
        <f>'feed pars'!$B8</f>
        <v>other silage</v>
      </c>
      <c r="AT5" t="s">
        <v>369</v>
      </c>
      <c r="AV5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t="str">
        <f>'feed pars'!$B9</f>
        <v>hay</v>
      </c>
      <c r="D6" s="28">
        <f>IF(AND(INDEX('feed pars'!$C$6:$AT$48,MATCH($A6,'feed pars'!$B$6:$B$48,0),D$1)&lt;&gt;"",D$1&lt;&gt;""), INDEX('feed pars'!$C$6:$AT$48,MATCH($A6,'feed pars'!$B$6:$B$48,0),D$1), "")</f>
        <v>17.160257599999998</v>
      </c>
      <c r="E6" s="28">
        <f>IF(AND(INDEX('feed pars'!$C$6:$AT$48,MATCH($A6,'feed pars'!$B$6:$B$48,0),E$1)&lt;&gt;"",E$1&lt;&gt;""), INDEX('feed pars'!$C$6:$AT$48,MATCH($A6,'feed pars'!$B$6:$B$48,0),E$1), "")</f>
        <v>6.2</v>
      </c>
      <c r="F6" s="28">
        <f>IF(AND(INDEX('feed pars'!$C$6:$AT$48,MATCH($A6,'feed pars'!$B$6:$B$48,0),F$1)&lt;&gt;"",F$1&lt;&gt;""), INDEX('feed pars'!$C$6:$AT$48,MATCH($A6,'feed pars'!$B$6:$B$48,0),F$1), "")</f>
        <v>1.496</v>
      </c>
      <c r="G6" s="28">
        <f>IF(AND(INDEX('feed pars'!$C$6:$AT$48,MATCH($A6,'feed pars'!$B$6:$B$48,0),G$1)&lt;&gt;"",G$1&lt;&gt;""), INDEX('feed pars'!$C$6:$AT$48,MATCH($A6,'feed pars'!$B$6:$B$48,0),G$1), "")</f>
        <v>0.21000000000000002</v>
      </c>
      <c r="H6" s="28">
        <f>IF(AND(INDEX('feed pars'!$C$6:$AT$48,MATCH($A6,'feed pars'!$B$6:$B$48,0),H$1)&lt;&gt;"",H$1&lt;&gt;""), INDEX('feed pars'!$C$6:$AT$48,MATCH($A6,'feed pars'!$B$6:$B$48,0),H$1), "")</f>
        <v>1.81</v>
      </c>
      <c r="I6" s="28"/>
      <c r="J6" s="28" t="str">
        <f>'feed pars'!$B9</f>
        <v>hay</v>
      </c>
      <c r="K6" t="s">
        <v>19</v>
      </c>
      <c r="M6" s="37">
        <f>IF(AND(INDEX('feed pars'!$C$6:$AT$48,MATCH($A6,'feed pars'!$B$6:$B$48,0),M$1)&lt;&gt;"",M$1&lt;&gt;""), INDEX('feed pars'!$C$6:$AT$48,MATCH($A6,'feed pars'!$B$6:$B$48,0),M$1), "")</f>
        <v>9.1</v>
      </c>
      <c r="N6" s="37">
        <f>IF(AND(INDEX('feed pars'!$C$6:$AT$48,MATCH($A6,'feed pars'!$B$6:$B$48,0),N$1)&lt;&gt;"",N$1&lt;&gt;""), INDEX('feed pars'!$C$6:$AT$48,MATCH($A6,'feed pars'!$B$6:$B$48,0),N$1), "")</f>
        <v>66</v>
      </c>
      <c r="O6" s="37">
        <f>IF(AND(INDEX('feed pars'!$C$6:$AT$48,MATCH($A6,'feed pars'!$B$6:$B$48,0),O$1)&lt;&gt;"",O$1&lt;&gt;""), INDEX('feed pars'!$C$6:$AT$48,MATCH($A6,'feed pars'!$B$6:$B$48,0),O$1), "")</f>
        <v>-19</v>
      </c>
      <c r="P6" s="37">
        <f>IF(AND(INDEX('feed pars'!$C$6:$AT$48,MATCH($A6,'feed pars'!$B$6:$B$48,0),P$1)&lt;&gt;"",P$1&lt;&gt;""), INDEX('feed pars'!$C$6:$AT$48,MATCH($A6,'feed pars'!$B$6:$B$48,0),P$1), "")</f>
        <v>11.8</v>
      </c>
      <c r="Q6" s="37">
        <f>IF(AND(INDEX('feed pars'!$C$6:$AT$48,MATCH($A6,'feed pars'!$B$6:$B$48,0),Q$1)&lt;&gt;"",Q$1&lt;&gt;""), INDEX('feed pars'!$C$6:$AT$48,MATCH($A6,'feed pars'!$B$6:$B$48,0),Q$1), "")</f>
        <v>20</v>
      </c>
      <c r="S6" s="28" t="str">
        <f>'feed pars'!$B9</f>
        <v>hay</v>
      </c>
      <c r="T6" t="s">
        <v>376</v>
      </c>
      <c r="V6" s="37">
        <f>IF(AND(INDEX('feed pars'!$C$6:$AT$48,MATCH($A6,'feed pars'!$B$6:$B$48,0),V$1)&lt;&gt;"",V$1&lt;&gt;""), INDEX('feed pars'!$C$6:$AT$48,MATCH($A6,'feed pars'!$B$6:$B$48,0),V$1), "")</f>
        <v>9.1</v>
      </c>
      <c r="W6" s="37">
        <f>IF(AND(INDEX('feed pars'!$C$6:$AT$48,MATCH($A6,'feed pars'!$B$6:$B$48,0),W$1)&lt;&gt;"",W$1&lt;&gt;""), INDEX('feed pars'!$C$6:$AT$48,MATCH($A6,'feed pars'!$B$6:$B$48,0),W$1), "")</f>
        <v>11.8</v>
      </c>
      <c r="X6" s="37">
        <f>IF(AND(INDEX('feed pars'!$C$6:$AT$48,MATCH($A6,'feed pars'!$B$6:$B$48,0),X$1)&lt;&gt;"",X$1&lt;&gt;""), INDEX('feed pars'!$C$6:$AT$48,MATCH($A6,'feed pars'!$B$6:$B$48,0),X$1), "")</f>
        <v>20</v>
      </c>
      <c r="Z6" s="28" t="str">
        <f>'feed pars'!$B9</f>
        <v>hay</v>
      </c>
      <c r="AA6" t="s">
        <v>372</v>
      </c>
      <c r="AC6" s="37">
        <f>IF(AND(INDEX('feed pars'!$C$6:$AT$48,MATCH($A6,'feed pars'!$B$6:$B$48,0),AC$1)&lt;&gt;"",AC$1&lt;&gt;""), INDEX('feed pars'!$C$6:$AT$48,MATCH($A6,'feed pars'!$B$6:$B$48,0),AC$1), "")</f>
        <v>9.1</v>
      </c>
      <c r="AD6" s="37">
        <f>IF(AND(INDEX('feed pars'!$C$6:$AT$48,MATCH($A6,'feed pars'!$B$6:$B$48,0),AD$1)&lt;&gt;"",AD$1&lt;&gt;""), INDEX('feed pars'!$C$6:$AT$48,MATCH($A6,'feed pars'!$B$6:$B$48,0),AD$1), "")</f>
        <v>11.8</v>
      </c>
      <c r="AE6" s="37">
        <f>IF(AND(INDEX('feed pars'!$C$6:$AT$48,MATCH($A6,'feed pars'!$B$6:$B$48,0),AE$1)&lt;&gt;"",AE$1&lt;&gt;""), INDEX('feed pars'!$C$6:$AT$48,MATCH($A6,'feed pars'!$B$6:$B$48,0),AE$1), "")</f>
        <v>20</v>
      </c>
      <c r="AG6" s="28" t="str">
        <f>'feed pars'!$B9</f>
        <v>hay</v>
      </c>
      <c r="AH6" t="s">
        <v>20</v>
      </c>
      <c r="AJ6" s="37" t="str">
        <f>IF(AND(INDEX('feed pars'!$C$6:$AT$48,MATCH($A6,'feed pars'!$B$6:$B$48,0),AJ$1)&lt;&gt;"",AJ$1&lt;&gt;""), INDEX('feed pars'!$C$6:$AT$48,MATCH($A6,'feed pars'!$B$6:$B$48,0),AJ$1), "")</f>
        <v/>
      </c>
      <c r="AK6" s="37" t="str">
        <f>IF(AND(INDEX('feed pars'!$C$6:$AT$48,MATCH($A6,'feed pars'!$B$6:$B$48,0),AK$1)&lt;&gt;"",AK$1&lt;&gt;""), INDEX('feed pars'!$C$6:$AT$48,MATCH($A6,'feed pars'!$B$6:$B$48,0),AK$1), "")</f>
        <v/>
      </c>
      <c r="AM6" s="28" t="str">
        <f>'feed pars'!$B9</f>
        <v>hay</v>
      </c>
      <c r="AN6" t="s">
        <v>20</v>
      </c>
      <c r="AO6" t="s">
        <v>289</v>
      </c>
      <c r="AP6" s="37" t="str">
        <f>IF(AND(INDEX('feed pars'!$C$6:$AT$48,MATCH($A6,'feed pars'!$B$6:$B$48,0),AP$1)&lt;&gt;"",AP$1&lt;&gt;""), INDEX('feed pars'!$C$6:$AT$48,MATCH($A6,'feed pars'!$B$6:$B$48,0),AP$1), "")</f>
        <v/>
      </c>
      <c r="AQ6" s="37" t="str">
        <f>IF(AND(INDEX('feed pars'!$C$6:$AT$48,MATCH($A6,'feed pars'!$B$6:$B$48,0),AQ$1)&lt;&gt;"",AQ$1&lt;&gt;""), INDEX('feed pars'!$C$6:$AT$48,MATCH($A6,'feed pars'!$B$6:$B$48,0),AQ$1), "")</f>
        <v/>
      </c>
      <c r="AS6" s="28" t="str">
        <f>'feed pars'!$B9</f>
        <v>hay</v>
      </c>
      <c r="AT6" t="s">
        <v>369</v>
      </c>
      <c r="AV6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t="str">
        <f>'feed pars'!$B10</f>
        <v>maize silage</v>
      </c>
      <c r="D7" s="28">
        <f>IF(AND(INDEX('feed pars'!$C$6:$AT$48,MATCH($A7,'feed pars'!$B$6:$B$48,0),D$1)&lt;&gt;"",D$1&lt;&gt;""), INDEX('feed pars'!$C$6:$AT$48,MATCH($A7,'feed pars'!$B$6:$B$48,0),D$1), "")</f>
        <v>17.6573168</v>
      </c>
      <c r="E7" s="28">
        <f>IF(AND(INDEX('feed pars'!$C$6:$AT$48,MATCH($A7,'feed pars'!$B$6:$B$48,0),E$1)&lt;&gt;"",E$1&lt;&gt;""), INDEX('feed pars'!$C$6:$AT$48,MATCH($A7,'feed pars'!$B$6:$B$48,0),E$1), "")</f>
        <v>3.5999999999999996</v>
      </c>
      <c r="F7" s="28">
        <f>IF(AND(INDEX('feed pars'!$C$6:$AT$48,MATCH($A7,'feed pars'!$B$6:$B$48,0),F$1)&lt;&gt;"",F$1&lt;&gt;""), INDEX('feed pars'!$C$6:$AT$48,MATCH($A7,'feed pars'!$B$6:$B$48,0),F$1), "")</f>
        <v>1.0880000000000001</v>
      </c>
      <c r="G7" s="28">
        <f>IF(AND(INDEX('feed pars'!$C$6:$AT$48,MATCH($A7,'feed pars'!$B$6:$B$48,0),G$1)&lt;&gt;"",G$1&lt;&gt;""), INDEX('feed pars'!$C$6:$AT$48,MATCH($A7,'feed pars'!$B$6:$B$48,0),G$1), "")</f>
        <v>0.16999999999999998</v>
      </c>
      <c r="H7" s="28">
        <f>IF(AND(INDEX('feed pars'!$C$6:$AT$48,MATCH($A7,'feed pars'!$B$6:$B$48,0),H$1)&lt;&gt;"",H$1&lt;&gt;""), INDEX('feed pars'!$C$6:$AT$48,MATCH($A7,'feed pars'!$B$6:$B$48,0),H$1), "")</f>
        <v>1.03</v>
      </c>
      <c r="I7" s="28"/>
      <c r="J7" s="28" t="str">
        <f>'feed pars'!$B10</f>
        <v>maize silage</v>
      </c>
      <c r="K7" t="s">
        <v>19</v>
      </c>
      <c r="M7" s="37">
        <f>IF(AND(INDEX('feed pars'!$C$6:$AT$48,MATCH($A7,'feed pars'!$B$6:$B$48,0),M$1)&lt;&gt;"",M$1&lt;&gt;""), INDEX('feed pars'!$C$6:$AT$48,MATCH($A7,'feed pars'!$B$6:$B$48,0),M$1), "")</f>
        <v>11</v>
      </c>
      <c r="N7" s="37" t="str">
        <f>IF(AND(INDEX('feed pars'!$C$6:$AT$48,MATCH($A7,'feed pars'!$B$6:$B$48,0),N$1)&lt;&gt;"",N$1&lt;&gt;""), INDEX('feed pars'!$C$6:$AT$48,MATCH($A7,'feed pars'!$B$6:$B$48,0),N$1), "")</f>
        <v/>
      </c>
      <c r="O7" s="37" t="str">
        <f>IF(AND(INDEX('feed pars'!$C$6:$AT$48,MATCH($A7,'feed pars'!$B$6:$B$48,0),O$1)&lt;&gt;"",O$1&lt;&gt;""), INDEX('feed pars'!$C$6:$AT$48,MATCH($A7,'feed pars'!$B$6:$B$48,0),O$1), "")</f>
        <v/>
      </c>
      <c r="P7" s="37">
        <f>IF(AND(INDEX('feed pars'!$C$6:$AT$48,MATCH($A7,'feed pars'!$B$6:$B$48,0),P$1)&lt;&gt;"",P$1&lt;&gt;""), INDEX('feed pars'!$C$6:$AT$48,MATCH($A7,'feed pars'!$B$6:$B$48,0),P$1), "")</f>
        <v>12.3</v>
      </c>
      <c r="Q7" s="37">
        <f>IF(AND(INDEX('feed pars'!$C$6:$AT$48,MATCH($A7,'feed pars'!$B$6:$B$48,0),Q$1)&lt;&gt;"",Q$1&lt;&gt;""), INDEX('feed pars'!$C$6:$AT$48,MATCH($A7,'feed pars'!$B$6:$B$48,0),Q$1), "")</f>
        <v>30</v>
      </c>
      <c r="S7" s="28" t="str">
        <f>'feed pars'!$B10</f>
        <v>maize silage</v>
      </c>
      <c r="T7" t="s">
        <v>376</v>
      </c>
      <c r="V7" s="37">
        <f>IF(AND(INDEX('feed pars'!$C$6:$AT$48,MATCH($A7,'feed pars'!$B$6:$B$48,0),V$1)&lt;&gt;"",V$1&lt;&gt;""), INDEX('feed pars'!$C$6:$AT$48,MATCH($A7,'feed pars'!$B$6:$B$48,0),V$1), "")</f>
        <v>11</v>
      </c>
      <c r="W7" s="37">
        <f>IF(AND(INDEX('feed pars'!$C$6:$AT$48,MATCH($A7,'feed pars'!$B$6:$B$48,0),W$1)&lt;&gt;"",W$1&lt;&gt;""), INDEX('feed pars'!$C$6:$AT$48,MATCH($A7,'feed pars'!$B$6:$B$48,0),W$1), "")</f>
        <v>12.3</v>
      </c>
      <c r="X7" s="37">
        <f>IF(AND(INDEX('feed pars'!$C$6:$AT$48,MATCH($A7,'feed pars'!$B$6:$B$48,0),X$1)&lt;&gt;"",X$1&lt;&gt;""), INDEX('feed pars'!$C$6:$AT$48,MATCH($A7,'feed pars'!$B$6:$B$48,0),X$1), "")</f>
        <v>30</v>
      </c>
      <c r="Z7" s="28" t="str">
        <f>'feed pars'!$B10</f>
        <v>maize silage</v>
      </c>
      <c r="AA7" t="s">
        <v>372</v>
      </c>
      <c r="AC7" s="37">
        <f>IF(AND(INDEX('feed pars'!$C$6:$AT$48,MATCH($A7,'feed pars'!$B$6:$B$48,0),AC$1)&lt;&gt;"",AC$1&lt;&gt;""), INDEX('feed pars'!$C$6:$AT$48,MATCH($A7,'feed pars'!$B$6:$B$48,0),AC$1), "")</f>
        <v>11</v>
      </c>
      <c r="AD7" s="37">
        <f>IF(AND(INDEX('feed pars'!$C$6:$AT$48,MATCH($A7,'feed pars'!$B$6:$B$48,0),AD$1)&lt;&gt;"",AD$1&lt;&gt;""), INDEX('feed pars'!$C$6:$AT$48,MATCH($A7,'feed pars'!$B$6:$B$48,0),AD$1), "")</f>
        <v>12.3</v>
      </c>
      <c r="AE7" s="37">
        <f>IF(AND(INDEX('feed pars'!$C$6:$AT$48,MATCH($A7,'feed pars'!$B$6:$B$48,0),AE$1)&lt;&gt;"",AE$1&lt;&gt;""), INDEX('feed pars'!$C$6:$AT$48,MATCH($A7,'feed pars'!$B$6:$B$48,0),AE$1), "")</f>
        <v>30</v>
      </c>
      <c r="AG7" s="28" t="str">
        <f>'feed pars'!$B10</f>
        <v>maize silage</v>
      </c>
      <c r="AH7" t="s">
        <v>20</v>
      </c>
      <c r="AJ7" s="37" t="str">
        <f>IF(AND(INDEX('feed pars'!$C$6:$AT$48,MATCH($A7,'feed pars'!$B$6:$B$48,0),AJ$1)&lt;&gt;"",AJ$1&lt;&gt;""), INDEX('feed pars'!$C$6:$AT$48,MATCH($A7,'feed pars'!$B$6:$B$48,0),AJ$1), "")</f>
        <v/>
      </c>
      <c r="AK7" s="37" t="str">
        <f>IF(AND(INDEX('feed pars'!$C$6:$AT$48,MATCH($A7,'feed pars'!$B$6:$B$48,0),AK$1)&lt;&gt;"",AK$1&lt;&gt;""), INDEX('feed pars'!$C$6:$AT$48,MATCH($A7,'feed pars'!$B$6:$B$48,0),AK$1), "")</f>
        <v/>
      </c>
      <c r="AM7" s="28" t="str">
        <f>'feed pars'!$B10</f>
        <v>maize silage</v>
      </c>
      <c r="AN7" t="s">
        <v>20</v>
      </c>
      <c r="AO7" t="s">
        <v>289</v>
      </c>
      <c r="AP7" s="37" t="str">
        <f>IF(AND(INDEX('feed pars'!$C$6:$AT$48,MATCH($A7,'feed pars'!$B$6:$B$48,0),AP$1)&lt;&gt;"",AP$1&lt;&gt;""), INDEX('feed pars'!$C$6:$AT$48,MATCH($A7,'feed pars'!$B$6:$B$48,0),AP$1), "")</f>
        <v/>
      </c>
      <c r="AQ7" s="37" t="str">
        <f>IF(AND(INDEX('feed pars'!$C$6:$AT$48,MATCH($A7,'feed pars'!$B$6:$B$48,0),AQ$1)&lt;&gt;"",AQ$1&lt;&gt;""), INDEX('feed pars'!$C$6:$AT$48,MATCH($A7,'feed pars'!$B$6:$B$48,0),AQ$1), "")</f>
        <v/>
      </c>
      <c r="AS7" s="28" t="str">
        <f>'feed pars'!$B10</f>
        <v>maize silage</v>
      </c>
      <c r="AT7" t="s">
        <v>369</v>
      </c>
      <c r="AV7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t="str">
        <f>'feed pars'!$B11</f>
        <v>grazing</v>
      </c>
      <c r="D8" s="28">
        <f>IF(AND(INDEX('feed pars'!$C$6:$AT$48,MATCH($A8,'feed pars'!$B$6:$B$48,0),D$1)&lt;&gt;"",D$1&lt;&gt;""), INDEX('feed pars'!$C$6:$AT$48,MATCH($A8,'feed pars'!$B$6:$B$48,0),D$1), "")</f>
        <v>17.411437066666668</v>
      </c>
      <c r="E8" s="28">
        <f>IF(AND(INDEX('feed pars'!$C$6:$AT$48,MATCH($A8,'feed pars'!$B$6:$B$48,0),E$1)&lt;&gt;"",E$1&lt;&gt;""), INDEX('feed pars'!$C$6:$AT$48,MATCH($A8,'feed pars'!$B$6:$B$48,0),E$1), "")</f>
        <v>6.5666666666666647</v>
      </c>
      <c r="F8" s="28">
        <f>IF(AND(INDEX('feed pars'!$C$6:$AT$48,MATCH($A8,'feed pars'!$B$6:$B$48,0),F$1)&lt;&gt;"",F$1&lt;&gt;""), INDEX('feed pars'!$C$6:$AT$48,MATCH($A8,'feed pars'!$B$6:$B$48,0),F$1), "")</f>
        <v>2.2466666666666666</v>
      </c>
      <c r="G8" s="28">
        <f>IF(AND(INDEX('feed pars'!$C$6:$AT$48,MATCH($A8,'feed pars'!$B$6:$B$48,0),G$1)&lt;&gt;"",G$1&lt;&gt;""), INDEX('feed pars'!$C$6:$AT$48,MATCH($A8,'feed pars'!$B$6:$B$48,0),G$1), "")</f>
        <v>0.27</v>
      </c>
      <c r="H8" s="28">
        <f>IF(AND(INDEX('feed pars'!$C$6:$AT$48,MATCH($A8,'feed pars'!$B$6:$B$48,0),H$1)&lt;&gt;"",H$1&lt;&gt;""), INDEX('feed pars'!$C$6:$AT$48,MATCH($A8,'feed pars'!$B$6:$B$48,0),H$1), "")</f>
        <v>2.34</v>
      </c>
      <c r="I8" s="28"/>
      <c r="J8" s="28" t="str">
        <f>'feed pars'!$B11</f>
        <v>grazing</v>
      </c>
      <c r="K8" t="s">
        <v>19</v>
      </c>
      <c r="M8" s="37">
        <f>IF(AND(INDEX('feed pars'!$C$6:$AT$48,MATCH($A8,'feed pars'!$B$6:$B$48,0),M$1)&lt;&gt;"",M$1&lt;&gt;""), INDEX('feed pars'!$C$6:$AT$48,MATCH($A8,'feed pars'!$B$6:$B$48,0),M$1), "")</f>
        <v>9.9416666666666664</v>
      </c>
      <c r="N8" s="28">
        <f>IF(AND(INDEX('feed pars'!$C$6:$AT$48,MATCH($A8,'feed pars'!$B$6:$B$48,0),N$1)&lt;&gt;"",N$1&lt;&gt;""), INDEX('feed pars'!$C$6:$AT$48,MATCH($A8,'feed pars'!$B$6:$B$48,0),N$1), "")</f>
        <v>74.333333333333329</v>
      </c>
      <c r="O8" s="28">
        <f>IF(AND(INDEX('feed pars'!$C$6:$AT$48,MATCH($A8,'feed pars'!$B$6:$B$48,0),O$1)&lt;&gt;"",O$1&lt;&gt;""), INDEX('feed pars'!$C$6:$AT$48,MATCH($A8,'feed pars'!$B$6:$B$48,0),O$1), "")</f>
        <v>12.25</v>
      </c>
      <c r="P8" s="28">
        <f>IF(AND(INDEX('feed pars'!$C$6:$AT$48,MATCH($A8,'feed pars'!$B$6:$B$48,0),P$1)&lt;&gt;"",P$1&lt;&gt;""), INDEX('feed pars'!$C$6:$AT$48,MATCH($A8,'feed pars'!$B$6:$B$48,0),P$1), "")</f>
        <v>12.4</v>
      </c>
      <c r="Q8" s="37">
        <f>IF(AND(INDEX('feed pars'!$C$6:$AT$48,MATCH($A8,'feed pars'!$B$6:$B$48,0),Q$1)&lt;&gt;"",Q$1&lt;&gt;""), INDEX('feed pars'!$C$6:$AT$48,MATCH($A8,'feed pars'!$B$6:$B$48,0),Q$1), "")</f>
        <v>20</v>
      </c>
      <c r="S8" s="28" t="str">
        <f>'feed pars'!$B11</f>
        <v>grazing</v>
      </c>
      <c r="T8" t="s">
        <v>376</v>
      </c>
      <c r="V8" s="37">
        <f>IF(AND(INDEX('feed pars'!$C$6:$AT$48,MATCH($A8,'feed pars'!$B$6:$B$48,0),V$1)&lt;&gt;"",V$1&lt;&gt;""), INDEX('feed pars'!$C$6:$AT$48,MATCH($A8,'feed pars'!$B$6:$B$48,0),V$1), "")</f>
        <v>9.9416666666666664</v>
      </c>
      <c r="W8" s="37">
        <f>IF(AND(INDEX('feed pars'!$C$6:$AT$48,MATCH($A8,'feed pars'!$B$6:$B$48,0),W$1)&lt;&gt;"",W$1&lt;&gt;""), INDEX('feed pars'!$C$6:$AT$48,MATCH($A8,'feed pars'!$B$6:$B$48,0),W$1), "")</f>
        <v>12.4</v>
      </c>
      <c r="X8" s="37">
        <f>IF(AND(INDEX('feed pars'!$C$6:$AT$48,MATCH($A8,'feed pars'!$B$6:$B$48,0),X$1)&lt;&gt;"",X$1&lt;&gt;""), INDEX('feed pars'!$C$6:$AT$48,MATCH($A8,'feed pars'!$B$6:$B$48,0),X$1), "")</f>
        <v>20</v>
      </c>
      <c r="Z8" s="28" t="str">
        <f>'feed pars'!$B11</f>
        <v>grazing</v>
      </c>
      <c r="AA8" t="s">
        <v>372</v>
      </c>
      <c r="AC8" s="37">
        <f>IF(AND(INDEX('feed pars'!$C$6:$AT$48,MATCH($A8,'feed pars'!$B$6:$B$48,0),AC$1)&lt;&gt;"",AC$1&lt;&gt;""), INDEX('feed pars'!$C$6:$AT$48,MATCH($A8,'feed pars'!$B$6:$B$48,0),AC$1), "")</f>
        <v>9.9416666666666664</v>
      </c>
      <c r="AD8" s="37">
        <f>IF(AND(INDEX('feed pars'!$C$6:$AT$48,MATCH($A8,'feed pars'!$B$6:$B$48,0),AD$1)&lt;&gt;"",AD$1&lt;&gt;""), INDEX('feed pars'!$C$6:$AT$48,MATCH($A8,'feed pars'!$B$6:$B$48,0),AD$1), "")</f>
        <v>12.4</v>
      </c>
      <c r="AE8" s="37">
        <f>IF(AND(INDEX('feed pars'!$C$6:$AT$48,MATCH($A8,'feed pars'!$B$6:$B$48,0),AE$1)&lt;&gt;"",AE$1&lt;&gt;""), INDEX('feed pars'!$C$6:$AT$48,MATCH($A8,'feed pars'!$B$6:$B$48,0),AE$1), "")</f>
        <v>20</v>
      </c>
      <c r="AG8" s="28" t="str">
        <f>'feed pars'!$B11</f>
        <v>grazing</v>
      </c>
      <c r="AH8" t="s">
        <v>20</v>
      </c>
      <c r="AJ8" s="37" t="str">
        <f>IF(AND(INDEX('feed pars'!$C$6:$AT$48,MATCH($A8,'feed pars'!$B$6:$B$48,0),AJ$1)&lt;&gt;"",AJ$1&lt;&gt;""), INDEX('feed pars'!$C$6:$AT$48,MATCH($A8,'feed pars'!$B$6:$B$48,0),AJ$1), "")</f>
        <v/>
      </c>
      <c r="AK8" s="37" t="str">
        <f>IF(AND(INDEX('feed pars'!$C$6:$AT$48,MATCH($A8,'feed pars'!$B$6:$B$48,0),AK$1)&lt;&gt;"",AK$1&lt;&gt;""), INDEX('feed pars'!$C$6:$AT$48,MATCH($A8,'feed pars'!$B$6:$B$48,0),AK$1), "")</f>
        <v/>
      </c>
      <c r="AM8" s="28" t="str">
        <f>'feed pars'!$B11</f>
        <v>grazing</v>
      </c>
      <c r="AN8" t="s">
        <v>20</v>
      </c>
      <c r="AO8" t="s">
        <v>289</v>
      </c>
      <c r="AP8" s="37" t="str">
        <f>IF(AND(INDEX('feed pars'!$C$6:$AT$48,MATCH($A8,'feed pars'!$B$6:$B$48,0),AP$1)&lt;&gt;"",AP$1&lt;&gt;""), INDEX('feed pars'!$C$6:$AT$48,MATCH($A8,'feed pars'!$B$6:$B$48,0),AP$1), "")</f>
        <v/>
      </c>
      <c r="AQ8" s="37" t="str">
        <f>IF(AND(INDEX('feed pars'!$C$6:$AT$48,MATCH($A8,'feed pars'!$B$6:$B$48,0),AQ$1)&lt;&gt;"",AQ$1&lt;&gt;""), INDEX('feed pars'!$C$6:$AT$48,MATCH($A8,'feed pars'!$B$6:$B$48,0),AQ$1), "")</f>
        <v/>
      </c>
      <c r="AS8" s="28" t="str">
        <f>'feed pars'!$B11</f>
        <v>grazing</v>
      </c>
      <c r="AT8" t="s">
        <v>369</v>
      </c>
      <c r="AV8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t="str">
        <f>'feed pars'!$B12</f>
        <v>wheat</v>
      </c>
      <c r="D9" s="28">
        <f>IF(AND(INDEX('feed pars'!$C$6:$AT$48,MATCH($A9,'feed pars'!$B$6:$B$48,0),D$1)&lt;&gt;"",D$1&lt;&gt;""), INDEX('feed pars'!$C$6:$AT$48,MATCH($A9,'feed pars'!$B$6:$B$48,0),D$1), "")</f>
        <v>18.210023200000002</v>
      </c>
      <c r="E9" s="28">
        <f>IF(AND(INDEX('feed pars'!$C$6:$AT$48,MATCH($A9,'feed pars'!$B$6:$B$48,0),E$1)&lt;&gt;"",E$1&lt;&gt;""), INDEX('feed pars'!$C$6:$AT$48,MATCH($A9,'feed pars'!$B$6:$B$48,0),E$1), "")</f>
        <v>1.7999999999999998</v>
      </c>
      <c r="F9" s="28">
        <f>IF(AND(INDEX('feed pars'!$C$6:$AT$48,MATCH($A9,'feed pars'!$B$6:$B$48,0),F$1)&lt;&gt;"",F$1&lt;&gt;""), INDEX('feed pars'!$C$6:$AT$48,MATCH($A9,'feed pars'!$B$6:$B$48,0),F$1), "")</f>
        <v>1.9359999999999999</v>
      </c>
      <c r="G9" s="28">
        <f>IF(AND(INDEX('feed pars'!$C$6:$AT$48,MATCH($A9,'feed pars'!$B$6:$B$48,0),G$1)&lt;&gt;"",G$1&lt;&gt;""), INDEX('feed pars'!$C$6:$AT$48,MATCH($A9,'feed pars'!$B$6:$B$48,0),G$1), "")</f>
        <v>0.34499999999999997</v>
      </c>
      <c r="H9" s="28">
        <f>IF(AND(INDEX('feed pars'!$C$6:$AT$48,MATCH($A9,'feed pars'!$B$6:$B$48,0),H$1)&lt;&gt;"",H$1&lt;&gt;""), INDEX('feed pars'!$C$6:$AT$48,MATCH($A9,'feed pars'!$B$6:$B$48,0),H$1), "")</f>
        <v>0.52500000000000002</v>
      </c>
      <c r="I9" s="28"/>
      <c r="J9" s="28" t="str">
        <f>'feed pars'!$B12</f>
        <v>wheat</v>
      </c>
      <c r="K9" t="s">
        <v>19</v>
      </c>
      <c r="M9" s="37">
        <f>IF(AND(INDEX('feed pars'!$C$6:$AT$48,MATCH($A9,'feed pars'!$B$6:$B$48,0),M$1)&lt;&gt;"",M$1&lt;&gt;""), INDEX('feed pars'!$C$6:$AT$48,MATCH($A9,'feed pars'!$B$6:$B$48,0),M$1), "")</f>
        <v>14.1</v>
      </c>
      <c r="N9" s="37">
        <f>IF(AND(INDEX('feed pars'!$C$6:$AT$48,MATCH($A9,'feed pars'!$B$6:$B$48,0),N$1)&lt;&gt;"",N$1&lt;&gt;""), INDEX('feed pars'!$C$6:$AT$48,MATCH($A9,'feed pars'!$B$6:$B$48,0),N$1), "")</f>
        <v>95</v>
      </c>
      <c r="O9" s="37">
        <f>IF(AND(INDEX('feed pars'!$C$6:$AT$48,MATCH($A9,'feed pars'!$B$6:$B$48,0),O$1)&lt;&gt;"",O$1&lt;&gt;""), INDEX('feed pars'!$C$6:$AT$48,MATCH($A9,'feed pars'!$B$6:$B$48,0),O$1), "")</f>
        <v>-33</v>
      </c>
      <c r="P9" s="37">
        <f>IF(AND(INDEX('feed pars'!$C$6:$AT$48,MATCH($A9,'feed pars'!$B$6:$B$48,0),P$1)&lt;&gt;"",P$1&lt;&gt;""), INDEX('feed pars'!$C$6:$AT$48,MATCH($A9,'feed pars'!$B$6:$B$48,0),P$1), "")</f>
        <v>16</v>
      </c>
      <c r="Q9" s="37">
        <f>IF(AND(INDEX('feed pars'!$C$6:$AT$48,MATCH($A9,'feed pars'!$B$6:$B$48,0),Q$1)&lt;&gt;"",Q$1&lt;&gt;""), INDEX('feed pars'!$C$6:$AT$48,MATCH($A9,'feed pars'!$B$6:$B$48,0),Q$1), "")</f>
        <v>25</v>
      </c>
      <c r="S9" s="28" t="str">
        <f>'feed pars'!$B12</f>
        <v>wheat</v>
      </c>
      <c r="T9" t="s">
        <v>376</v>
      </c>
      <c r="V9" s="37">
        <f>IF(AND(INDEX('feed pars'!$C$6:$AT$48,MATCH($A9,'feed pars'!$B$6:$B$48,0),V$1)&lt;&gt;"",V$1&lt;&gt;""), INDEX('feed pars'!$C$6:$AT$48,MATCH($A9,'feed pars'!$B$6:$B$48,0),V$1), "")</f>
        <v>14.1</v>
      </c>
      <c r="W9" s="37">
        <f>IF(AND(INDEX('feed pars'!$C$6:$AT$48,MATCH($A9,'feed pars'!$B$6:$B$48,0),W$1)&lt;&gt;"",W$1&lt;&gt;""), INDEX('feed pars'!$C$6:$AT$48,MATCH($A9,'feed pars'!$B$6:$B$48,0),W$1), "")</f>
        <v>16</v>
      </c>
      <c r="X9" s="37">
        <f>IF(AND(INDEX('feed pars'!$C$6:$AT$48,MATCH($A9,'feed pars'!$B$6:$B$48,0),X$1)&lt;&gt;"",X$1&lt;&gt;""), INDEX('feed pars'!$C$6:$AT$48,MATCH($A9,'feed pars'!$B$6:$B$48,0),X$1), "")</f>
        <v>25</v>
      </c>
      <c r="Z9" s="28" t="str">
        <f>'feed pars'!$B12</f>
        <v>wheat</v>
      </c>
      <c r="AA9" t="s">
        <v>372</v>
      </c>
      <c r="AC9" s="37">
        <f>IF(AND(INDEX('feed pars'!$C$6:$AT$48,MATCH($A9,'feed pars'!$B$6:$B$48,0),AC$1)&lt;&gt;"",AC$1&lt;&gt;""), INDEX('feed pars'!$C$6:$AT$48,MATCH($A9,'feed pars'!$B$6:$B$48,0),AC$1), "")</f>
        <v>14.1</v>
      </c>
      <c r="AD9" s="37">
        <f>IF(AND(INDEX('feed pars'!$C$6:$AT$48,MATCH($A9,'feed pars'!$B$6:$B$48,0),AD$1)&lt;&gt;"",AD$1&lt;&gt;""), INDEX('feed pars'!$C$6:$AT$48,MATCH($A9,'feed pars'!$B$6:$B$48,0),AD$1), "")</f>
        <v>16</v>
      </c>
      <c r="AE9" s="37">
        <f>IF(AND(INDEX('feed pars'!$C$6:$AT$48,MATCH($A9,'feed pars'!$B$6:$B$48,0),AE$1)&lt;&gt;"",AE$1&lt;&gt;""), INDEX('feed pars'!$C$6:$AT$48,MATCH($A9,'feed pars'!$B$6:$B$48,0),AE$1), "")</f>
        <v>25</v>
      </c>
      <c r="AG9" s="28" t="str">
        <f>'feed pars'!$B12</f>
        <v>wheat</v>
      </c>
      <c r="AH9" t="s">
        <v>20</v>
      </c>
      <c r="AI9" s="37"/>
      <c r="AJ9" s="37">
        <f>IF(AND(INDEX('feed pars'!$C$6:$AT$48,MATCH($A9,'feed pars'!$B$6:$B$48,0),AJ$1)&lt;&gt;"",AJ$1&lt;&gt;""), INDEX('feed pars'!$C$6:$AT$48,MATCH($A9,'feed pars'!$B$6:$B$48,0),AJ$1), "")</f>
        <v>12.1</v>
      </c>
      <c r="AK9" s="37">
        <f>IF(AND(INDEX('feed pars'!$C$6:$AT$48,MATCH($A9,'feed pars'!$B$6:$B$48,0),AK$1)&lt;&gt;"",AK$1&lt;&gt;""), INDEX('feed pars'!$C$6:$AT$48,MATCH($A9,'feed pars'!$B$6:$B$48,0),AK$1), "")</f>
        <v>15.9</v>
      </c>
      <c r="AM9" s="28" t="str">
        <f>'feed pars'!$B12</f>
        <v>wheat</v>
      </c>
      <c r="AN9" t="s">
        <v>20</v>
      </c>
      <c r="AO9" t="s">
        <v>289</v>
      </c>
      <c r="AP9" s="37">
        <f>IF(AND(INDEX('feed pars'!$C$6:$AT$48,MATCH($A9,'feed pars'!$B$6:$B$48,0),AP$1)&lt;&gt;"",AP$1&lt;&gt;""), INDEX('feed pars'!$C$6:$AT$48,MATCH($A9,'feed pars'!$B$6:$B$48,0),AP$1), "")</f>
        <v>12.3</v>
      </c>
      <c r="AQ9" s="37" t="str">
        <f>IF(AND(INDEX('feed pars'!$C$6:$AT$48,MATCH($A9,'feed pars'!$B$6:$B$48,0),AQ$1)&lt;&gt;"",AQ$1&lt;&gt;""), INDEX('feed pars'!$C$6:$AT$48,MATCH($A9,'feed pars'!$B$6:$B$48,0),AQ$1), "")</f>
        <v/>
      </c>
      <c r="AS9" s="28" t="str">
        <f>'feed pars'!$B12</f>
        <v>wheat</v>
      </c>
      <c r="AT9" t="s">
        <v>369</v>
      </c>
      <c r="AV9" s="28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t="str">
        <f>'feed pars'!$B13</f>
        <v>barley</v>
      </c>
      <c r="D10" s="28">
        <f>IF(AND(INDEX('feed pars'!$C$6:$AT$48,MATCH($A10,'feed pars'!$B$6:$B$48,0),D$1)&lt;&gt;"",D$1&lt;&gt;""), INDEX('feed pars'!$C$6:$AT$48,MATCH($A10,'feed pars'!$B$6:$B$48,0),D$1), "")</f>
        <v>18.089524000000001</v>
      </c>
      <c r="E10" s="28">
        <f>IF(AND(INDEX('feed pars'!$C$6:$AT$48,MATCH($A10,'feed pars'!$B$6:$B$48,0),E$1)&lt;&gt;"",E$1&lt;&gt;""), INDEX('feed pars'!$C$6:$AT$48,MATCH($A10,'feed pars'!$B$6:$B$48,0),E$1), "")</f>
        <v>2.7</v>
      </c>
      <c r="F10" s="28">
        <f>IF(AND(INDEX('feed pars'!$C$6:$AT$48,MATCH($A10,'feed pars'!$B$6:$B$48,0),F$1)&lt;&gt;"",F$1&lt;&gt;""), INDEX('feed pars'!$C$6:$AT$48,MATCH($A10,'feed pars'!$B$6:$B$48,0),F$1), "")</f>
        <v>1.9039999999999999</v>
      </c>
      <c r="G10" s="28">
        <f>IF(AND(INDEX('feed pars'!$C$6:$AT$48,MATCH($A10,'feed pars'!$B$6:$B$48,0),G$1)&lt;&gt;"",G$1&lt;&gt;""), INDEX('feed pars'!$C$6:$AT$48,MATCH($A10,'feed pars'!$B$6:$B$48,0),G$1), "")</f>
        <v>0.375</v>
      </c>
      <c r="H10" s="28">
        <f>IF(AND(INDEX('feed pars'!$C$6:$AT$48,MATCH($A10,'feed pars'!$B$6:$B$48,0),H$1)&lt;&gt;"",H$1&lt;&gt;""), INDEX('feed pars'!$C$6:$AT$48,MATCH($A10,'feed pars'!$B$6:$B$48,0),H$1), "")</f>
        <v>0.58000000000000007</v>
      </c>
      <c r="I10" s="28"/>
      <c r="J10" s="28" t="str">
        <f>'feed pars'!$B13</f>
        <v>barley</v>
      </c>
      <c r="K10" t="s">
        <v>19</v>
      </c>
      <c r="M10" s="37">
        <f>IF(AND(INDEX('feed pars'!$C$6:$AT$48,MATCH($A10,'feed pars'!$B$6:$B$48,0),M$1)&lt;&gt;"",M$1&lt;&gt;""), INDEX('feed pars'!$C$6:$AT$48,MATCH($A10,'feed pars'!$B$6:$B$48,0),M$1), "")</f>
        <v>13.2</v>
      </c>
      <c r="N10" s="37">
        <f>IF(AND(INDEX('feed pars'!$C$6:$AT$48,MATCH($A10,'feed pars'!$B$6:$B$48,0),N$1)&lt;&gt;"",N$1&lt;&gt;""), INDEX('feed pars'!$C$6:$AT$48,MATCH($A10,'feed pars'!$B$6:$B$48,0),N$1), "")</f>
        <v>90</v>
      </c>
      <c r="O10" s="37">
        <f>IF(AND(INDEX('feed pars'!$C$6:$AT$48,MATCH($A10,'feed pars'!$B$6:$B$48,0),O$1)&lt;&gt;"",O$1&lt;&gt;""), INDEX('feed pars'!$C$6:$AT$48,MATCH($A10,'feed pars'!$B$6:$B$48,0),O$1), "")</f>
        <v>-29</v>
      </c>
      <c r="P10" s="37">
        <f>IF(AND(INDEX('feed pars'!$C$6:$AT$48,MATCH($A10,'feed pars'!$B$6:$B$48,0),P$1)&lt;&gt;"",P$1&lt;&gt;""), INDEX('feed pars'!$C$6:$AT$48,MATCH($A10,'feed pars'!$B$6:$B$48,0),P$1), "")</f>
        <v>15</v>
      </c>
      <c r="Q10" s="37">
        <f>IF(AND(INDEX('feed pars'!$C$6:$AT$48,MATCH($A10,'feed pars'!$B$6:$B$48,0),Q$1)&lt;&gt;"",Q$1&lt;&gt;""), INDEX('feed pars'!$C$6:$AT$48,MATCH($A10,'feed pars'!$B$6:$B$48,0),Q$1), "")</f>
        <v>27</v>
      </c>
      <c r="S10" s="28" t="str">
        <f>'feed pars'!$B13</f>
        <v>barley</v>
      </c>
      <c r="T10" t="s">
        <v>376</v>
      </c>
      <c r="V10" s="37">
        <f>IF(AND(INDEX('feed pars'!$C$6:$AT$48,MATCH($A10,'feed pars'!$B$6:$B$48,0),V$1)&lt;&gt;"",V$1&lt;&gt;""), INDEX('feed pars'!$C$6:$AT$48,MATCH($A10,'feed pars'!$B$6:$B$48,0),V$1), "")</f>
        <v>13.2</v>
      </c>
      <c r="W10" s="37">
        <f>IF(AND(INDEX('feed pars'!$C$6:$AT$48,MATCH($A10,'feed pars'!$B$6:$B$48,0),W$1)&lt;&gt;"",W$1&lt;&gt;""), INDEX('feed pars'!$C$6:$AT$48,MATCH($A10,'feed pars'!$B$6:$B$48,0),W$1), "")</f>
        <v>15</v>
      </c>
      <c r="X10" s="37">
        <f>IF(AND(INDEX('feed pars'!$C$6:$AT$48,MATCH($A10,'feed pars'!$B$6:$B$48,0),X$1)&lt;&gt;"",X$1&lt;&gt;""), INDEX('feed pars'!$C$6:$AT$48,MATCH($A10,'feed pars'!$B$6:$B$48,0),X$1), "")</f>
        <v>27</v>
      </c>
      <c r="Z10" s="28" t="str">
        <f>'feed pars'!$B13</f>
        <v>barley</v>
      </c>
      <c r="AA10" t="s">
        <v>372</v>
      </c>
      <c r="AC10" s="37">
        <f>IF(AND(INDEX('feed pars'!$C$6:$AT$48,MATCH($A10,'feed pars'!$B$6:$B$48,0),AC$1)&lt;&gt;"",AC$1&lt;&gt;""), INDEX('feed pars'!$C$6:$AT$48,MATCH($A10,'feed pars'!$B$6:$B$48,0),AC$1), "")</f>
        <v>13.2</v>
      </c>
      <c r="AD10" s="37">
        <f>IF(AND(INDEX('feed pars'!$C$6:$AT$48,MATCH($A10,'feed pars'!$B$6:$B$48,0),AD$1)&lt;&gt;"",AD$1&lt;&gt;""), INDEX('feed pars'!$C$6:$AT$48,MATCH($A10,'feed pars'!$B$6:$B$48,0),AD$1), "")</f>
        <v>15</v>
      </c>
      <c r="AE10" s="37">
        <f>IF(AND(INDEX('feed pars'!$C$6:$AT$48,MATCH($A10,'feed pars'!$B$6:$B$48,0),AE$1)&lt;&gt;"",AE$1&lt;&gt;""), INDEX('feed pars'!$C$6:$AT$48,MATCH($A10,'feed pars'!$B$6:$B$48,0),AE$1), "")</f>
        <v>27</v>
      </c>
      <c r="AG10" s="28" t="str">
        <f>'feed pars'!$B13</f>
        <v>barley</v>
      </c>
      <c r="AH10" t="s">
        <v>20</v>
      </c>
      <c r="AI10" s="37"/>
      <c r="AJ10" s="37">
        <f>IF(AND(INDEX('feed pars'!$C$6:$AT$48,MATCH($A10,'feed pars'!$B$6:$B$48,0),AJ$1)&lt;&gt;"",AJ$1&lt;&gt;""), INDEX('feed pars'!$C$6:$AT$48,MATCH($A10,'feed pars'!$B$6:$B$48,0),AJ$1), "")</f>
        <v>11</v>
      </c>
      <c r="AK10" s="37">
        <f>IF(AND(INDEX('feed pars'!$C$6:$AT$48,MATCH($A10,'feed pars'!$B$6:$B$48,0),AK$1)&lt;&gt;"",AK$1&lt;&gt;""), INDEX('feed pars'!$C$6:$AT$48,MATCH($A10,'feed pars'!$B$6:$B$48,0),AK$1), "")</f>
        <v>14.8</v>
      </c>
      <c r="AM10" s="28" t="str">
        <f>'feed pars'!$B13</f>
        <v>barley</v>
      </c>
      <c r="AN10" t="s">
        <v>20</v>
      </c>
      <c r="AO10" t="s">
        <v>289</v>
      </c>
      <c r="AP10" s="37">
        <f>IF(AND(INDEX('feed pars'!$C$6:$AT$48,MATCH($A10,'feed pars'!$B$6:$B$48,0),AP$1)&lt;&gt;"",AP$1&lt;&gt;""), INDEX('feed pars'!$C$6:$AT$48,MATCH($A10,'feed pars'!$B$6:$B$48,0),AP$1), "")</f>
        <v>11.2</v>
      </c>
      <c r="AQ10" s="37" t="str">
        <f>IF(AND(INDEX('feed pars'!$C$6:$AT$48,MATCH($A10,'feed pars'!$B$6:$B$48,0),AQ$1)&lt;&gt;"",AQ$1&lt;&gt;""), INDEX('feed pars'!$C$6:$AT$48,MATCH($A10,'feed pars'!$B$6:$B$48,0),AQ$1), "")</f>
        <v/>
      </c>
      <c r="AS10" s="28" t="str">
        <f>'feed pars'!$B13</f>
        <v>barley</v>
      </c>
      <c r="AT10" t="s">
        <v>369</v>
      </c>
      <c r="AV10" s="28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t="str">
        <f>'feed pars'!$B14</f>
        <v>oats</v>
      </c>
      <c r="D11" s="28">
        <f>IF(AND(INDEX('feed pars'!$C$6:$AT$48,MATCH($A11,'feed pars'!$B$6:$B$48,0),D$1)&lt;&gt;"",D$1&lt;&gt;""), INDEX('feed pars'!$C$6:$AT$48,MATCH($A11,'feed pars'!$B$6:$B$48,0),D$1), "")</f>
        <v>18.6602216</v>
      </c>
      <c r="E11" s="28">
        <f>IF(AND(INDEX('feed pars'!$C$6:$AT$48,MATCH($A11,'feed pars'!$B$6:$B$48,0),E$1)&lt;&gt;"",E$1&lt;&gt;""), INDEX('feed pars'!$C$6:$AT$48,MATCH($A11,'feed pars'!$B$6:$B$48,0),E$1), "")</f>
        <v>3.2</v>
      </c>
      <c r="F11" s="28">
        <f>IF(AND(INDEX('feed pars'!$C$6:$AT$48,MATCH($A11,'feed pars'!$B$6:$B$48,0),F$1)&lt;&gt;"",F$1&lt;&gt;""), INDEX('feed pars'!$C$6:$AT$48,MATCH($A11,'feed pars'!$B$6:$B$48,0),F$1), "")</f>
        <v>1.7680000000000002</v>
      </c>
      <c r="G11" s="28">
        <f>IF(AND(INDEX('feed pars'!$C$6:$AT$48,MATCH($A11,'feed pars'!$B$6:$B$48,0),G$1)&lt;&gt;"",G$1&lt;&gt;""), INDEX('feed pars'!$C$6:$AT$48,MATCH($A11,'feed pars'!$B$6:$B$48,0),G$1), "")</f>
        <v>0.36499999999999999</v>
      </c>
      <c r="H11" s="28">
        <f>IF(AND(INDEX('feed pars'!$C$6:$AT$48,MATCH($A11,'feed pars'!$B$6:$B$48,0),H$1)&lt;&gt;"",H$1&lt;&gt;""), INDEX('feed pars'!$C$6:$AT$48,MATCH($A11,'feed pars'!$B$6:$B$48,0),H$1), "")</f>
        <v>0.54</v>
      </c>
      <c r="I11" s="28"/>
      <c r="J11" s="28" t="str">
        <f>'feed pars'!$B14</f>
        <v>oats</v>
      </c>
      <c r="K11" t="s">
        <v>19</v>
      </c>
      <c r="M11" s="37">
        <f>IF(AND(INDEX('feed pars'!$C$6:$AT$48,MATCH($A11,'feed pars'!$B$6:$B$48,0),M$1)&lt;&gt;"",M$1&lt;&gt;""), INDEX('feed pars'!$C$6:$AT$48,MATCH($A11,'feed pars'!$B$6:$B$48,0),M$1), "")</f>
        <v>11.7</v>
      </c>
      <c r="N11" s="37">
        <f>IF(AND(INDEX('feed pars'!$C$6:$AT$48,MATCH($A11,'feed pars'!$B$6:$B$48,0),N$1)&lt;&gt;"",N$1&lt;&gt;""), INDEX('feed pars'!$C$6:$AT$48,MATCH($A11,'feed pars'!$B$6:$B$48,0),N$1), "")</f>
        <v>67</v>
      </c>
      <c r="O11" s="37">
        <f>IF(AND(INDEX('feed pars'!$C$6:$AT$48,MATCH($A11,'feed pars'!$B$6:$B$48,0),O$1)&lt;&gt;"",O$1&lt;&gt;""), INDEX('feed pars'!$C$6:$AT$48,MATCH($A11,'feed pars'!$B$6:$B$48,0),O$1), "")</f>
        <v>-2</v>
      </c>
      <c r="P11" s="37">
        <f>IF(AND(INDEX('feed pars'!$C$6:$AT$48,MATCH($A11,'feed pars'!$B$6:$B$48,0),P$1)&lt;&gt;"",P$1&lt;&gt;""), INDEX('feed pars'!$C$6:$AT$48,MATCH($A11,'feed pars'!$B$6:$B$48,0),P$1), "")</f>
        <v>13.3</v>
      </c>
      <c r="Q11" s="37">
        <f>IF(AND(INDEX('feed pars'!$C$6:$AT$48,MATCH($A11,'feed pars'!$B$6:$B$48,0),Q$1)&lt;&gt;"",Q$1&lt;&gt;""), INDEX('feed pars'!$C$6:$AT$48,MATCH($A11,'feed pars'!$B$6:$B$48,0),Q$1), "")</f>
        <v>61</v>
      </c>
      <c r="S11" s="28" t="str">
        <f>'feed pars'!$B14</f>
        <v>oats</v>
      </c>
      <c r="T11" t="s">
        <v>376</v>
      </c>
      <c r="V11" s="37">
        <f>IF(AND(INDEX('feed pars'!$C$6:$AT$48,MATCH($A11,'feed pars'!$B$6:$B$48,0),V$1)&lt;&gt;"",V$1&lt;&gt;""), INDEX('feed pars'!$C$6:$AT$48,MATCH($A11,'feed pars'!$B$6:$B$48,0),V$1), "")</f>
        <v>11.7</v>
      </c>
      <c r="W11" s="37">
        <f>IF(AND(INDEX('feed pars'!$C$6:$AT$48,MATCH($A11,'feed pars'!$B$6:$B$48,0),W$1)&lt;&gt;"",W$1&lt;&gt;""), INDEX('feed pars'!$C$6:$AT$48,MATCH($A11,'feed pars'!$B$6:$B$48,0),W$1), "")</f>
        <v>13.3</v>
      </c>
      <c r="X11" s="37">
        <f>IF(AND(INDEX('feed pars'!$C$6:$AT$48,MATCH($A11,'feed pars'!$B$6:$B$48,0),X$1)&lt;&gt;"",X$1&lt;&gt;""), INDEX('feed pars'!$C$6:$AT$48,MATCH($A11,'feed pars'!$B$6:$B$48,0),X$1), "")</f>
        <v>61</v>
      </c>
      <c r="Z11" s="28" t="str">
        <f>'feed pars'!$B14</f>
        <v>oats</v>
      </c>
      <c r="AA11" t="s">
        <v>372</v>
      </c>
      <c r="AC11" s="37">
        <f>IF(AND(INDEX('feed pars'!$C$6:$AT$48,MATCH($A11,'feed pars'!$B$6:$B$48,0),AC$1)&lt;&gt;"",AC$1&lt;&gt;""), INDEX('feed pars'!$C$6:$AT$48,MATCH($A11,'feed pars'!$B$6:$B$48,0),AC$1), "")</f>
        <v>11.7</v>
      </c>
      <c r="AD11" s="37">
        <f>IF(AND(INDEX('feed pars'!$C$6:$AT$48,MATCH($A11,'feed pars'!$B$6:$B$48,0),AD$1)&lt;&gt;"",AD$1&lt;&gt;""), INDEX('feed pars'!$C$6:$AT$48,MATCH($A11,'feed pars'!$B$6:$B$48,0),AD$1), "")</f>
        <v>13.3</v>
      </c>
      <c r="AE11" s="37">
        <f>IF(AND(INDEX('feed pars'!$C$6:$AT$48,MATCH($A11,'feed pars'!$B$6:$B$48,0),AE$1)&lt;&gt;"",AE$1&lt;&gt;""), INDEX('feed pars'!$C$6:$AT$48,MATCH($A11,'feed pars'!$B$6:$B$48,0),AE$1), "")</f>
        <v>61</v>
      </c>
      <c r="AG11" s="28" t="str">
        <f>'feed pars'!$B14</f>
        <v>oats</v>
      </c>
      <c r="AH11" t="s">
        <v>20</v>
      </c>
      <c r="AI11" s="37"/>
      <c r="AJ11" s="37">
        <f>IF(AND(INDEX('feed pars'!$C$6:$AT$48,MATCH($A11,'feed pars'!$B$6:$B$48,0),AJ$1)&lt;&gt;"",AJ$1&lt;&gt;""), INDEX('feed pars'!$C$6:$AT$48,MATCH($A11,'feed pars'!$B$6:$B$48,0),AJ$1), "")</f>
        <v>9</v>
      </c>
      <c r="AK11" s="37">
        <f>IF(AND(INDEX('feed pars'!$C$6:$AT$48,MATCH($A11,'feed pars'!$B$6:$B$48,0),AK$1)&lt;&gt;"",AK$1&lt;&gt;""), INDEX('feed pars'!$C$6:$AT$48,MATCH($A11,'feed pars'!$B$6:$B$48,0),AK$1), "")</f>
        <v>12.7</v>
      </c>
      <c r="AM11" s="28" t="str">
        <f>'feed pars'!$B14</f>
        <v>oats</v>
      </c>
      <c r="AN11" t="s">
        <v>20</v>
      </c>
      <c r="AO11" t="s">
        <v>289</v>
      </c>
      <c r="AP11" s="37">
        <f>IF(AND(INDEX('feed pars'!$C$6:$AT$48,MATCH($A11,'feed pars'!$B$6:$B$48,0),AP$1)&lt;&gt;"",AP$1&lt;&gt;""), INDEX('feed pars'!$C$6:$AT$48,MATCH($A11,'feed pars'!$B$6:$B$48,0),AP$1), "")</f>
        <v>9.4</v>
      </c>
      <c r="AQ11" s="37" t="str">
        <f>IF(AND(INDEX('feed pars'!$C$6:$AT$48,MATCH($A11,'feed pars'!$B$6:$B$48,0),AQ$1)&lt;&gt;"",AQ$1&lt;&gt;""), INDEX('feed pars'!$C$6:$AT$48,MATCH($A11,'feed pars'!$B$6:$B$48,0),AQ$1), "")</f>
        <v/>
      </c>
      <c r="AS11" s="28" t="str">
        <f>'feed pars'!$B14</f>
        <v>oats</v>
      </c>
      <c r="AT11" t="s">
        <v>369</v>
      </c>
      <c r="AV11" s="28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t="str">
        <f>'feed pars'!$B15</f>
        <v>triticale</v>
      </c>
      <c r="D12" s="28">
        <f>IF(AND(INDEX('feed pars'!$C$6:$AT$48,MATCH($A12,'feed pars'!$B$6:$B$48,0),D$1)&lt;&gt;"",D$1&lt;&gt;""), INDEX('feed pars'!$C$6:$AT$48,MATCH($A12,'feed pars'!$B$6:$B$48,0),D$1), "")</f>
        <v>18.2284328</v>
      </c>
      <c r="E12" s="28">
        <f>IF(AND(INDEX('feed pars'!$C$6:$AT$48,MATCH($A12,'feed pars'!$B$6:$B$48,0),E$1)&lt;&gt;"",E$1&lt;&gt;""), INDEX('feed pars'!$C$6:$AT$48,MATCH($A12,'feed pars'!$B$6:$B$48,0),E$1), "")</f>
        <v>2.0500000000000003</v>
      </c>
      <c r="F12" s="28">
        <f>IF(AND(INDEX('feed pars'!$C$6:$AT$48,MATCH($A12,'feed pars'!$B$6:$B$48,0),F$1)&lt;&gt;"",F$1&lt;&gt;""), INDEX('feed pars'!$C$6:$AT$48,MATCH($A12,'feed pars'!$B$6:$B$48,0),F$1), "")</f>
        <v>1.8639999999999999</v>
      </c>
      <c r="G12" s="28">
        <f>IF(AND(INDEX('feed pars'!$C$6:$AT$48,MATCH($A12,'feed pars'!$B$6:$B$48,0),G$1)&lt;&gt;"",G$1&lt;&gt;""), INDEX('feed pars'!$C$6:$AT$48,MATCH($A12,'feed pars'!$B$6:$B$48,0),G$1), "")</f>
        <v>0.38</v>
      </c>
      <c r="H12" s="28">
        <f>IF(AND(INDEX('feed pars'!$C$6:$AT$48,MATCH($A12,'feed pars'!$B$6:$B$48,0),H$1)&lt;&gt;"",H$1&lt;&gt;""), INDEX('feed pars'!$C$6:$AT$48,MATCH($A12,'feed pars'!$B$6:$B$48,0),H$1), "")</f>
        <v>0.58000000000000007</v>
      </c>
      <c r="I12" s="28"/>
      <c r="J12" s="28" t="str">
        <f>'feed pars'!$B15</f>
        <v>triticale</v>
      </c>
      <c r="K12" t="s">
        <v>19</v>
      </c>
      <c r="M12" s="37">
        <f>IF(AND(INDEX('feed pars'!$C$6:$AT$48,MATCH($A12,'feed pars'!$B$6:$B$48,0),M$1)&lt;&gt;"",M$1&lt;&gt;""), INDEX('feed pars'!$C$6:$AT$48,MATCH($A12,'feed pars'!$B$6:$B$48,0),M$1), "")</f>
        <v>14</v>
      </c>
      <c r="N12" s="37">
        <f>IF(AND(INDEX('feed pars'!$C$6:$AT$48,MATCH($A12,'feed pars'!$B$6:$B$48,0),N$1)&lt;&gt;"",N$1&lt;&gt;""), INDEX('feed pars'!$C$6:$AT$48,MATCH($A12,'feed pars'!$B$6:$B$48,0),N$1), "")</f>
        <v>95</v>
      </c>
      <c r="O12" s="37">
        <f>IF(AND(INDEX('feed pars'!$C$6:$AT$48,MATCH($A12,'feed pars'!$B$6:$B$48,0),O$1)&lt;&gt;"",O$1&lt;&gt;""), INDEX('feed pars'!$C$6:$AT$48,MATCH($A12,'feed pars'!$B$6:$B$48,0),O$1), "")</f>
        <v>-31</v>
      </c>
      <c r="P12" s="37">
        <f>IF(AND(INDEX('feed pars'!$C$6:$AT$48,MATCH($A12,'feed pars'!$B$6:$B$48,0),P$1)&lt;&gt;"",P$1&lt;&gt;""), INDEX('feed pars'!$C$6:$AT$48,MATCH($A12,'feed pars'!$B$6:$B$48,0),P$1), "")</f>
        <v>15.8</v>
      </c>
      <c r="Q12" s="37">
        <f>IF(AND(INDEX('feed pars'!$C$6:$AT$48,MATCH($A12,'feed pars'!$B$6:$B$48,0),Q$1)&lt;&gt;"",Q$1&lt;&gt;""), INDEX('feed pars'!$C$6:$AT$48,MATCH($A12,'feed pars'!$B$6:$B$48,0),Q$1), "")</f>
        <v>26</v>
      </c>
      <c r="S12" s="28" t="str">
        <f>'feed pars'!$B15</f>
        <v>triticale</v>
      </c>
      <c r="T12" t="s">
        <v>376</v>
      </c>
      <c r="V12" s="37">
        <f>IF(AND(INDEX('feed pars'!$C$6:$AT$48,MATCH($A12,'feed pars'!$B$6:$B$48,0),V$1)&lt;&gt;"",V$1&lt;&gt;""), INDEX('feed pars'!$C$6:$AT$48,MATCH($A12,'feed pars'!$B$6:$B$48,0),V$1), "")</f>
        <v>14</v>
      </c>
      <c r="W12" s="37">
        <f>IF(AND(INDEX('feed pars'!$C$6:$AT$48,MATCH($A12,'feed pars'!$B$6:$B$48,0),W$1)&lt;&gt;"",W$1&lt;&gt;""), INDEX('feed pars'!$C$6:$AT$48,MATCH($A12,'feed pars'!$B$6:$B$48,0),W$1), "")</f>
        <v>15.8</v>
      </c>
      <c r="X12" s="37">
        <f>IF(AND(INDEX('feed pars'!$C$6:$AT$48,MATCH($A12,'feed pars'!$B$6:$B$48,0),X$1)&lt;&gt;"",X$1&lt;&gt;""), INDEX('feed pars'!$C$6:$AT$48,MATCH($A12,'feed pars'!$B$6:$B$48,0),X$1), "")</f>
        <v>26</v>
      </c>
      <c r="Z12" s="28" t="str">
        <f>'feed pars'!$B15</f>
        <v>triticale</v>
      </c>
      <c r="AA12" t="s">
        <v>372</v>
      </c>
      <c r="AC12" s="37">
        <f>IF(AND(INDEX('feed pars'!$C$6:$AT$48,MATCH($A12,'feed pars'!$B$6:$B$48,0),AC$1)&lt;&gt;"",AC$1&lt;&gt;""), INDEX('feed pars'!$C$6:$AT$48,MATCH($A12,'feed pars'!$B$6:$B$48,0),AC$1), "")</f>
        <v>14</v>
      </c>
      <c r="AD12" s="37">
        <f>IF(AND(INDEX('feed pars'!$C$6:$AT$48,MATCH($A12,'feed pars'!$B$6:$B$48,0),AD$1)&lt;&gt;"",AD$1&lt;&gt;""), INDEX('feed pars'!$C$6:$AT$48,MATCH($A12,'feed pars'!$B$6:$B$48,0),AD$1), "")</f>
        <v>15.8</v>
      </c>
      <c r="AE12" s="37">
        <f>IF(AND(INDEX('feed pars'!$C$6:$AT$48,MATCH($A12,'feed pars'!$B$6:$B$48,0),AE$1)&lt;&gt;"",AE$1&lt;&gt;""), INDEX('feed pars'!$C$6:$AT$48,MATCH($A12,'feed pars'!$B$6:$B$48,0),AE$1), "")</f>
        <v>26</v>
      </c>
      <c r="AG12" s="28" t="str">
        <f>'feed pars'!$B15</f>
        <v>triticale</v>
      </c>
      <c r="AH12" t="s">
        <v>20</v>
      </c>
      <c r="AI12" s="37"/>
      <c r="AJ12" s="37">
        <f>IF(AND(INDEX('feed pars'!$C$6:$AT$48,MATCH($A12,'feed pars'!$B$6:$B$48,0),AJ$1)&lt;&gt;"",AJ$1&lt;&gt;""), INDEX('feed pars'!$C$6:$AT$48,MATCH($A12,'feed pars'!$B$6:$B$48,0),AJ$1), "")</f>
        <v>11.9</v>
      </c>
      <c r="AK12" s="37">
        <f>IF(AND(INDEX('feed pars'!$C$6:$AT$48,MATCH($A12,'feed pars'!$B$6:$B$48,0),AK$1)&lt;&gt;"",AK$1&lt;&gt;""), INDEX('feed pars'!$C$6:$AT$48,MATCH($A12,'feed pars'!$B$6:$B$48,0),AK$1), "")</f>
        <v>15.6</v>
      </c>
      <c r="AM12" s="28" t="str">
        <f>'feed pars'!$B15</f>
        <v>triticale</v>
      </c>
      <c r="AN12" t="s">
        <v>20</v>
      </c>
      <c r="AO12" t="s">
        <v>289</v>
      </c>
      <c r="AP12" s="37">
        <f>IF(AND(INDEX('feed pars'!$C$6:$AT$48,MATCH($A12,'feed pars'!$B$6:$B$48,0),AP$1)&lt;&gt;"",AP$1&lt;&gt;""), INDEX('feed pars'!$C$6:$AT$48,MATCH($A12,'feed pars'!$B$6:$B$48,0),AP$1), "")</f>
        <v>12</v>
      </c>
      <c r="AQ12" s="37" t="str">
        <f>IF(AND(INDEX('feed pars'!$C$6:$AT$48,MATCH($A12,'feed pars'!$B$6:$B$48,0),AQ$1)&lt;&gt;"",AQ$1&lt;&gt;""), INDEX('feed pars'!$C$6:$AT$48,MATCH($A12,'feed pars'!$B$6:$B$48,0),AQ$1), "")</f>
        <v/>
      </c>
      <c r="AS12" s="28" t="str">
        <f>'feed pars'!$B15</f>
        <v>triticale</v>
      </c>
      <c r="AT12" t="s">
        <v>369</v>
      </c>
      <c r="AV12" s="28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t="str">
        <f>'feed pars'!$B16</f>
        <v>rye</v>
      </c>
      <c r="D13" s="28">
        <f>IF(AND(INDEX('feed pars'!$C$6:$AT$48,MATCH($A13,'feed pars'!$B$6:$B$48,0),D$1)&lt;&gt;"",D$1&lt;&gt;""), INDEX('feed pars'!$C$6:$AT$48,MATCH($A13,'feed pars'!$B$6:$B$48,0),D$1), "")</f>
        <v>17.924256</v>
      </c>
      <c r="E13" s="28">
        <f>IF(AND(INDEX('feed pars'!$C$6:$AT$48,MATCH($A13,'feed pars'!$B$6:$B$48,0),E$1)&lt;&gt;"",E$1&lt;&gt;""), INDEX('feed pars'!$C$6:$AT$48,MATCH($A13,'feed pars'!$B$6:$B$48,0),E$1), "")</f>
        <v>2.0500000000000003</v>
      </c>
      <c r="F13" s="28">
        <f>IF(AND(INDEX('feed pars'!$C$6:$AT$48,MATCH($A13,'feed pars'!$B$6:$B$48,0),F$1)&lt;&gt;"",F$1&lt;&gt;""), INDEX('feed pars'!$C$6:$AT$48,MATCH($A13,'feed pars'!$B$6:$B$48,0),F$1), "")</f>
        <v>1.6240000000000001</v>
      </c>
      <c r="G13" s="28">
        <f>IF(AND(INDEX('feed pars'!$C$6:$AT$48,MATCH($A13,'feed pars'!$B$6:$B$48,0),G$1)&lt;&gt;"",G$1&lt;&gt;""), INDEX('feed pars'!$C$6:$AT$48,MATCH($A13,'feed pars'!$B$6:$B$48,0),G$1), "")</f>
        <v>0.32999999999999996</v>
      </c>
      <c r="H13" s="28">
        <f>IF(AND(INDEX('feed pars'!$C$6:$AT$48,MATCH($A13,'feed pars'!$B$6:$B$48,0),H$1)&lt;&gt;"",H$1&lt;&gt;""), INDEX('feed pars'!$C$6:$AT$48,MATCH($A13,'feed pars'!$B$6:$B$48,0),H$1), "")</f>
        <v>0.55499999999999994</v>
      </c>
      <c r="I13" s="28"/>
      <c r="J13" s="28" t="str">
        <f>'feed pars'!$B16</f>
        <v>rye</v>
      </c>
      <c r="K13" t="s">
        <v>19</v>
      </c>
      <c r="M13" s="37">
        <f>IF(AND(INDEX('feed pars'!$C$6:$AT$48,MATCH($A13,'feed pars'!$B$6:$B$48,0),M$1)&lt;&gt;"",M$1&lt;&gt;""), INDEX('feed pars'!$C$6:$AT$48,MATCH($A13,'feed pars'!$B$6:$B$48,0),M$1), "")</f>
        <v>13.9</v>
      </c>
      <c r="N13" s="37">
        <f>IF(AND(INDEX('feed pars'!$C$6:$AT$48,MATCH($A13,'feed pars'!$B$6:$B$48,0),N$1)&lt;&gt;"",N$1&lt;&gt;""), INDEX('feed pars'!$C$6:$AT$48,MATCH($A13,'feed pars'!$B$6:$B$48,0),N$1), "")</f>
        <v>95</v>
      </c>
      <c r="O13" s="37">
        <f>IF(AND(INDEX('feed pars'!$C$6:$AT$48,MATCH($A13,'feed pars'!$B$6:$B$48,0),O$1)&lt;&gt;"",O$1&lt;&gt;""), INDEX('feed pars'!$C$6:$AT$48,MATCH($A13,'feed pars'!$B$6:$B$48,0),O$1), "")</f>
        <v>-57</v>
      </c>
      <c r="P13" s="37">
        <f>IF(AND(INDEX('feed pars'!$C$6:$AT$48,MATCH($A13,'feed pars'!$B$6:$B$48,0),P$1)&lt;&gt;"",P$1&lt;&gt;""), INDEX('feed pars'!$C$6:$AT$48,MATCH($A13,'feed pars'!$B$6:$B$48,0),P$1), "")</f>
        <v>15.8</v>
      </c>
      <c r="Q13" s="37">
        <f>IF(AND(INDEX('feed pars'!$C$6:$AT$48,MATCH($A13,'feed pars'!$B$6:$B$48,0),Q$1)&lt;&gt;"",Q$1&lt;&gt;""), INDEX('feed pars'!$C$6:$AT$48,MATCH($A13,'feed pars'!$B$6:$B$48,0),Q$1), "")</f>
        <v>20</v>
      </c>
      <c r="S13" s="28" t="str">
        <f>'feed pars'!$B16</f>
        <v>rye</v>
      </c>
      <c r="T13" t="s">
        <v>376</v>
      </c>
      <c r="V13" s="37">
        <f>IF(AND(INDEX('feed pars'!$C$6:$AT$48,MATCH($A13,'feed pars'!$B$6:$B$48,0),V$1)&lt;&gt;"",V$1&lt;&gt;""), INDEX('feed pars'!$C$6:$AT$48,MATCH($A13,'feed pars'!$B$6:$B$48,0),V$1), "")</f>
        <v>13.9</v>
      </c>
      <c r="W13" s="37">
        <f>IF(AND(INDEX('feed pars'!$C$6:$AT$48,MATCH($A13,'feed pars'!$B$6:$B$48,0),W$1)&lt;&gt;"",W$1&lt;&gt;""), INDEX('feed pars'!$C$6:$AT$48,MATCH($A13,'feed pars'!$B$6:$B$48,0),W$1), "")</f>
        <v>15.8</v>
      </c>
      <c r="X13" s="37">
        <f>IF(AND(INDEX('feed pars'!$C$6:$AT$48,MATCH($A13,'feed pars'!$B$6:$B$48,0),X$1)&lt;&gt;"",X$1&lt;&gt;""), INDEX('feed pars'!$C$6:$AT$48,MATCH($A13,'feed pars'!$B$6:$B$48,0),X$1), "")</f>
        <v>20</v>
      </c>
      <c r="Z13" s="28" t="str">
        <f>'feed pars'!$B16</f>
        <v>rye</v>
      </c>
      <c r="AA13" t="s">
        <v>372</v>
      </c>
      <c r="AC13" s="37">
        <f>IF(AND(INDEX('feed pars'!$C$6:$AT$48,MATCH($A13,'feed pars'!$B$6:$B$48,0),AC$1)&lt;&gt;"",AC$1&lt;&gt;""), INDEX('feed pars'!$C$6:$AT$48,MATCH($A13,'feed pars'!$B$6:$B$48,0),AC$1), "")</f>
        <v>13.9</v>
      </c>
      <c r="AD13" s="37">
        <f>IF(AND(INDEX('feed pars'!$C$6:$AT$48,MATCH($A13,'feed pars'!$B$6:$B$48,0),AD$1)&lt;&gt;"",AD$1&lt;&gt;""), INDEX('feed pars'!$C$6:$AT$48,MATCH($A13,'feed pars'!$B$6:$B$48,0),AD$1), "")</f>
        <v>15.8</v>
      </c>
      <c r="AE13" s="37">
        <f>IF(AND(INDEX('feed pars'!$C$6:$AT$48,MATCH($A13,'feed pars'!$B$6:$B$48,0),AE$1)&lt;&gt;"",AE$1&lt;&gt;""), INDEX('feed pars'!$C$6:$AT$48,MATCH($A13,'feed pars'!$B$6:$B$48,0),AE$1), "")</f>
        <v>20</v>
      </c>
      <c r="AG13" s="28" t="str">
        <f>'feed pars'!$B16</f>
        <v>rye</v>
      </c>
      <c r="AH13" t="s">
        <v>20</v>
      </c>
      <c r="AI13" s="37"/>
      <c r="AJ13" s="37">
        <f>IF(AND(INDEX('feed pars'!$C$6:$AT$48,MATCH($A13,'feed pars'!$B$6:$B$48,0),AJ$1)&lt;&gt;"",AJ$1&lt;&gt;""), INDEX('feed pars'!$C$6:$AT$48,MATCH($A13,'feed pars'!$B$6:$B$48,0),AJ$1), "")</f>
        <v>11.3</v>
      </c>
      <c r="AK13" s="37">
        <f>IF(AND(INDEX('feed pars'!$C$6:$AT$48,MATCH($A13,'feed pars'!$B$6:$B$48,0),AK$1)&lt;&gt;"",AK$1&lt;&gt;""), INDEX('feed pars'!$C$6:$AT$48,MATCH($A13,'feed pars'!$B$6:$B$48,0),AK$1), "")</f>
        <v>15.1</v>
      </c>
      <c r="AM13" s="28" t="str">
        <f>'feed pars'!$B16</f>
        <v>rye</v>
      </c>
      <c r="AN13" t="s">
        <v>20</v>
      </c>
      <c r="AO13" t="s">
        <v>289</v>
      </c>
      <c r="AP13" s="37">
        <f>IF(AND(INDEX('feed pars'!$C$6:$AT$48,MATCH($A13,'feed pars'!$B$6:$B$48,0),AP$1)&lt;&gt;"",AP$1&lt;&gt;""), INDEX('feed pars'!$C$6:$AT$48,MATCH($A13,'feed pars'!$B$6:$B$48,0),AP$1), "")</f>
        <v>11.5</v>
      </c>
      <c r="AQ13" s="37" t="str">
        <f>IF(AND(INDEX('feed pars'!$C$6:$AT$48,MATCH($A13,'feed pars'!$B$6:$B$48,0),AQ$1)&lt;&gt;"",AQ$1&lt;&gt;""), INDEX('feed pars'!$C$6:$AT$48,MATCH($A13,'feed pars'!$B$6:$B$48,0),AQ$1), "")</f>
        <v/>
      </c>
      <c r="AS13" s="28" t="str">
        <f>'feed pars'!$B16</f>
        <v>rye</v>
      </c>
      <c r="AT13" t="s">
        <v>369</v>
      </c>
      <c r="AV13" s="28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t="str">
        <f>'feed pars'!$B17</f>
        <v>maize</v>
      </c>
      <c r="D14" s="28">
        <f>IF(AND(INDEX('feed pars'!$C$6:$AT$48,MATCH($A14,'feed pars'!$B$6:$B$48,0),D$1)&lt;&gt;"",D$1&lt;&gt;""), INDEX('feed pars'!$C$6:$AT$48,MATCH($A14,'feed pars'!$B$6:$B$48,0),D$1), "")</f>
        <v>18.3899352</v>
      </c>
      <c r="E14" s="28">
        <f>IF(AND(INDEX('feed pars'!$C$6:$AT$48,MATCH($A14,'feed pars'!$B$6:$B$48,0),E$1)&lt;&gt;"",E$1&lt;&gt;""), INDEX('feed pars'!$C$6:$AT$48,MATCH($A14,'feed pars'!$B$6:$B$48,0),E$1), "")</f>
        <v>1.8499999999999999</v>
      </c>
      <c r="F14" s="28">
        <f>IF(AND(INDEX('feed pars'!$C$6:$AT$48,MATCH($A14,'feed pars'!$B$6:$B$48,0),F$1)&lt;&gt;"",F$1&lt;&gt;""), INDEX('feed pars'!$C$6:$AT$48,MATCH($A14,'feed pars'!$B$6:$B$48,0),F$1), "")</f>
        <v>1.6400000000000001</v>
      </c>
      <c r="G14" s="28">
        <f>IF(AND(INDEX('feed pars'!$C$6:$AT$48,MATCH($A14,'feed pars'!$B$6:$B$48,0),G$1)&lt;&gt;"",G$1&lt;&gt;""), INDEX('feed pars'!$C$6:$AT$48,MATCH($A14,'feed pars'!$B$6:$B$48,0),G$1), "")</f>
        <v>0.33999999999999997</v>
      </c>
      <c r="H14" s="28">
        <f>IF(AND(INDEX('feed pars'!$C$6:$AT$48,MATCH($A14,'feed pars'!$B$6:$B$48,0),H$1)&lt;&gt;"",H$1&lt;&gt;""), INDEX('feed pars'!$C$6:$AT$48,MATCH($A14,'feed pars'!$B$6:$B$48,0),H$1), "")</f>
        <v>0.46500000000000002</v>
      </c>
      <c r="I14" s="28"/>
      <c r="J14" s="28" t="str">
        <f>'feed pars'!$B17</f>
        <v>maize</v>
      </c>
      <c r="K14" t="s">
        <v>19</v>
      </c>
      <c r="M14" s="37">
        <f>IF(AND(INDEX('feed pars'!$C$6:$AT$48,MATCH($A14,'feed pars'!$B$6:$B$48,0),M$1)&lt;&gt;"",M$1&lt;&gt;""), INDEX('feed pars'!$C$6:$AT$48,MATCH($A14,'feed pars'!$B$6:$B$48,0),M$1), "")</f>
        <v>12.8</v>
      </c>
      <c r="N14" s="37">
        <f>IF(AND(INDEX('feed pars'!$C$6:$AT$48,MATCH($A14,'feed pars'!$B$6:$B$48,0),N$1)&lt;&gt;"",N$1&lt;&gt;""), INDEX('feed pars'!$C$6:$AT$48,MATCH($A14,'feed pars'!$B$6:$B$48,0),N$1), "")</f>
        <v>81</v>
      </c>
      <c r="O14" s="37">
        <f>IF(AND(INDEX('feed pars'!$C$6:$AT$48,MATCH($A14,'feed pars'!$B$6:$B$48,0),O$1)&lt;&gt;"",O$1&lt;&gt;""), INDEX('feed pars'!$C$6:$AT$48,MATCH($A14,'feed pars'!$B$6:$B$48,0),O$1), "")</f>
        <v>-30</v>
      </c>
      <c r="P14" s="37">
        <f>IF(AND(INDEX('feed pars'!$C$6:$AT$48,MATCH($A14,'feed pars'!$B$6:$B$48,0),P$1)&lt;&gt;"",P$1&lt;&gt;""), INDEX('feed pars'!$C$6:$AT$48,MATCH($A14,'feed pars'!$B$6:$B$48,0),P$1), "")</f>
        <v>14.5</v>
      </c>
      <c r="Q14" s="37">
        <f>IF(AND(INDEX('feed pars'!$C$6:$AT$48,MATCH($A14,'feed pars'!$B$6:$B$48,0),Q$1)&lt;&gt;"",Q$1&lt;&gt;""), INDEX('feed pars'!$C$6:$AT$48,MATCH($A14,'feed pars'!$B$6:$B$48,0),Q$1), "")</f>
        <v>40</v>
      </c>
      <c r="S14" s="28" t="str">
        <f>'feed pars'!$B17</f>
        <v>maize</v>
      </c>
      <c r="T14" t="s">
        <v>376</v>
      </c>
      <c r="V14" s="37">
        <f>IF(AND(INDEX('feed pars'!$C$6:$AT$48,MATCH($A14,'feed pars'!$B$6:$B$48,0),V$1)&lt;&gt;"",V$1&lt;&gt;""), INDEX('feed pars'!$C$6:$AT$48,MATCH($A14,'feed pars'!$B$6:$B$48,0),V$1), "")</f>
        <v>12.8</v>
      </c>
      <c r="W14" s="37">
        <f>IF(AND(INDEX('feed pars'!$C$6:$AT$48,MATCH($A14,'feed pars'!$B$6:$B$48,0),W$1)&lt;&gt;"",W$1&lt;&gt;""), INDEX('feed pars'!$C$6:$AT$48,MATCH($A14,'feed pars'!$B$6:$B$48,0),W$1), "")</f>
        <v>14.5</v>
      </c>
      <c r="X14" s="37">
        <f>IF(AND(INDEX('feed pars'!$C$6:$AT$48,MATCH($A14,'feed pars'!$B$6:$B$48,0),X$1)&lt;&gt;"",X$1&lt;&gt;""), INDEX('feed pars'!$C$6:$AT$48,MATCH($A14,'feed pars'!$B$6:$B$48,0),X$1), "")</f>
        <v>40</v>
      </c>
      <c r="Z14" s="28" t="str">
        <f>'feed pars'!$B17</f>
        <v>maize</v>
      </c>
      <c r="AA14" t="s">
        <v>372</v>
      </c>
      <c r="AC14" s="37">
        <f>IF(AND(INDEX('feed pars'!$C$6:$AT$48,MATCH($A14,'feed pars'!$B$6:$B$48,0),AC$1)&lt;&gt;"",AC$1&lt;&gt;""), INDEX('feed pars'!$C$6:$AT$48,MATCH($A14,'feed pars'!$B$6:$B$48,0),AC$1), "")</f>
        <v>12.8</v>
      </c>
      <c r="AD14" s="37">
        <f>IF(AND(INDEX('feed pars'!$C$6:$AT$48,MATCH($A14,'feed pars'!$B$6:$B$48,0),AD$1)&lt;&gt;"",AD$1&lt;&gt;""), INDEX('feed pars'!$C$6:$AT$48,MATCH($A14,'feed pars'!$B$6:$B$48,0),AD$1), "")</f>
        <v>14.5</v>
      </c>
      <c r="AE14" s="37">
        <f>IF(AND(INDEX('feed pars'!$C$6:$AT$48,MATCH($A14,'feed pars'!$B$6:$B$48,0),AE$1)&lt;&gt;"",AE$1&lt;&gt;""), INDEX('feed pars'!$C$6:$AT$48,MATCH($A14,'feed pars'!$B$6:$B$48,0),AE$1), "")</f>
        <v>40</v>
      </c>
      <c r="AG14" s="28" t="str">
        <f>'feed pars'!$B17</f>
        <v>maize</v>
      </c>
      <c r="AH14" t="s">
        <v>20</v>
      </c>
      <c r="AI14" s="37"/>
      <c r="AJ14" s="37">
        <f>IF(AND(INDEX('feed pars'!$C$6:$AT$48,MATCH($A14,'feed pars'!$B$6:$B$48,0),AJ$1)&lt;&gt;"",AJ$1&lt;&gt;""), INDEX('feed pars'!$C$6:$AT$48,MATCH($A14,'feed pars'!$B$6:$B$48,0),AJ$1), "")</f>
        <v>12.8</v>
      </c>
      <c r="AK14" s="37">
        <f>IF(AND(INDEX('feed pars'!$C$6:$AT$48,MATCH($A14,'feed pars'!$B$6:$B$48,0),AK$1)&lt;&gt;"",AK$1&lt;&gt;""), INDEX('feed pars'!$C$6:$AT$48,MATCH($A14,'feed pars'!$B$6:$B$48,0),AK$1), "")</f>
        <v>16.5</v>
      </c>
      <c r="AM14" s="28" t="str">
        <f>'feed pars'!$B17</f>
        <v>maize</v>
      </c>
      <c r="AN14" t="s">
        <v>20</v>
      </c>
      <c r="AO14" t="s">
        <v>289</v>
      </c>
      <c r="AP14" s="37">
        <f>IF(AND(INDEX('feed pars'!$C$6:$AT$48,MATCH($A14,'feed pars'!$B$6:$B$48,0),AP$1)&lt;&gt;"",AP$1&lt;&gt;""), INDEX('feed pars'!$C$6:$AT$48,MATCH($A14,'feed pars'!$B$6:$B$48,0),AP$1), "")</f>
        <v>13.2</v>
      </c>
      <c r="AQ14" s="37" t="str">
        <f>IF(AND(INDEX('feed pars'!$C$6:$AT$48,MATCH($A14,'feed pars'!$B$6:$B$48,0),AQ$1)&lt;&gt;"",AQ$1&lt;&gt;""), INDEX('feed pars'!$C$6:$AT$48,MATCH($A14,'feed pars'!$B$6:$B$48,0),AQ$1), "")</f>
        <v/>
      </c>
      <c r="AS14" s="28" t="str">
        <f>'feed pars'!$B17</f>
        <v>maize</v>
      </c>
      <c r="AT14" t="s">
        <v>369</v>
      </c>
      <c r="AV14" s="28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t="str">
        <f>'feed pars'!$B18</f>
        <v>peas</v>
      </c>
      <c r="D15" s="28">
        <f>IF(AND(INDEX('feed pars'!$C$6:$AT$48,MATCH($A15,'feed pars'!$B$6:$B$48,0),D$1)&lt;&gt;"",D$1&lt;&gt;""), INDEX('feed pars'!$C$6:$AT$48,MATCH($A15,'feed pars'!$B$6:$B$48,0),D$1), "")</f>
        <v>18.478217600000001</v>
      </c>
      <c r="E15" s="28">
        <f>IF(AND(INDEX('feed pars'!$C$6:$AT$48,MATCH($A15,'feed pars'!$B$6:$B$48,0),E$1)&lt;&gt;"",E$1&lt;&gt;""), INDEX('feed pars'!$C$6:$AT$48,MATCH($A15,'feed pars'!$B$6:$B$48,0),E$1), "")</f>
        <v>3.4000000000000004</v>
      </c>
      <c r="F15" s="28">
        <f>IF(AND(INDEX('feed pars'!$C$6:$AT$48,MATCH($A15,'feed pars'!$B$6:$B$48,0),F$1)&lt;&gt;"",F$1&lt;&gt;""), INDEX('feed pars'!$C$6:$AT$48,MATCH($A15,'feed pars'!$B$6:$B$48,0),F$1), "")</f>
        <v>3.7200000000000006</v>
      </c>
      <c r="G15" s="28">
        <f>IF(AND(INDEX('feed pars'!$C$6:$AT$48,MATCH($A15,'feed pars'!$B$6:$B$48,0),G$1)&lt;&gt;"",G$1&lt;&gt;""), INDEX('feed pars'!$C$6:$AT$48,MATCH($A15,'feed pars'!$B$6:$B$48,0),G$1), "")</f>
        <v>0.44499999999999995</v>
      </c>
      <c r="H15" s="28">
        <f>IF(AND(INDEX('feed pars'!$C$6:$AT$48,MATCH($A15,'feed pars'!$B$6:$B$48,0),H$1)&lt;&gt;"",H$1&lt;&gt;""), INDEX('feed pars'!$C$6:$AT$48,MATCH($A15,'feed pars'!$B$6:$B$48,0),H$1), "")</f>
        <v>1.155</v>
      </c>
      <c r="I15" s="28"/>
      <c r="J15" s="28" t="str">
        <f>'feed pars'!$B18</f>
        <v>peas</v>
      </c>
      <c r="K15" t="s">
        <v>19</v>
      </c>
      <c r="M15" s="37">
        <f>IF(AND(INDEX('feed pars'!$C$6:$AT$48,MATCH($A15,'feed pars'!$B$6:$B$48,0),M$1)&lt;&gt;"",M$1&lt;&gt;""), INDEX('feed pars'!$C$6:$AT$48,MATCH($A15,'feed pars'!$B$6:$B$48,0),M$1), "")</f>
        <v>13.8</v>
      </c>
      <c r="N15" s="37">
        <f>IF(AND(INDEX('feed pars'!$C$6:$AT$48,MATCH($A15,'feed pars'!$B$6:$B$48,0),N$1)&lt;&gt;"",N$1&lt;&gt;""), INDEX('feed pars'!$C$6:$AT$48,MATCH($A15,'feed pars'!$B$6:$B$48,0),N$1), "")</f>
        <v>97</v>
      </c>
      <c r="O15" s="37">
        <f>IF(AND(INDEX('feed pars'!$C$6:$AT$48,MATCH($A15,'feed pars'!$B$6:$B$48,0),O$1)&lt;&gt;"",O$1&lt;&gt;""), INDEX('feed pars'!$C$6:$AT$48,MATCH($A15,'feed pars'!$B$6:$B$48,0),O$1), "")</f>
        <v>69</v>
      </c>
      <c r="P15" s="37">
        <f>IF(AND(INDEX('feed pars'!$C$6:$AT$48,MATCH($A15,'feed pars'!$B$6:$B$48,0),P$1)&lt;&gt;"",P$1&lt;&gt;""), INDEX('feed pars'!$C$6:$AT$48,MATCH($A15,'feed pars'!$B$6:$B$48,0),P$1), "")</f>
        <v>16</v>
      </c>
      <c r="Q15" s="37">
        <f>IF(AND(INDEX('feed pars'!$C$6:$AT$48,MATCH($A15,'feed pars'!$B$6:$B$48,0),Q$1)&lt;&gt;"",Q$1&lt;&gt;""), INDEX('feed pars'!$C$6:$AT$48,MATCH($A15,'feed pars'!$B$6:$B$48,0),Q$1), "")</f>
        <v>17</v>
      </c>
      <c r="S15" s="28" t="str">
        <f>'feed pars'!$B18</f>
        <v>peas</v>
      </c>
      <c r="T15" t="s">
        <v>376</v>
      </c>
      <c r="V15" s="37">
        <f>IF(AND(INDEX('feed pars'!$C$6:$AT$48,MATCH($A15,'feed pars'!$B$6:$B$48,0),V$1)&lt;&gt;"",V$1&lt;&gt;""), INDEX('feed pars'!$C$6:$AT$48,MATCH($A15,'feed pars'!$B$6:$B$48,0),V$1), "")</f>
        <v>13.8</v>
      </c>
      <c r="W15" s="37">
        <f>IF(AND(INDEX('feed pars'!$C$6:$AT$48,MATCH($A15,'feed pars'!$B$6:$B$48,0),W$1)&lt;&gt;"",W$1&lt;&gt;""), INDEX('feed pars'!$C$6:$AT$48,MATCH($A15,'feed pars'!$B$6:$B$48,0),W$1), "")</f>
        <v>16</v>
      </c>
      <c r="X15" s="37">
        <f>IF(AND(INDEX('feed pars'!$C$6:$AT$48,MATCH($A15,'feed pars'!$B$6:$B$48,0),X$1)&lt;&gt;"",X$1&lt;&gt;""), INDEX('feed pars'!$C$6:$AT$48,MATCH($A15,'feed pars'!$B$6:$B$48,0),X$1), "")</f>
        <v>17</v>
      </c>
      <c r="Z15" s="28" t="str">
        <f>'feed pars'!$B18</f>
        <v>peas</v>
      </c>
      <c r="AA15" t="s">
        <v>372</v>
      </c>
      <c r="AC15" s="37">
        <f>IF(AND(INDEX('feed pars'!$C$6:$AT$48,MATCH($A15,'feed pars'!$B$6:$B$48,0),AC$1)&lt;&gt;"",AC$1&lt;&gt;""), INDEX('feed pars'!$C$6:$AT$48,MATCH($A15,'feed pars'!$B$6:$B$48,0),AC$1), "")</f>
        <v>13.8</v>
      </c>
      <c r="AD15" s="37">
        <f>IF(AND(INDEX('feed pars'!$C$6:$AT$48,MATCH($A15,'feed pars'!$B$6:$B$48,0),AD$1)&lt;&gt;"",AD$1&lt;&gt;""), INDEX('feed pars'!$C$6:$AT$48,MATCH($A15,'feed pars'!$B$6:$B$48,0),AD$1), "")</f>
        <v>16</v>
      </c>
      <c r="AE15" s="37">
        <f>IF(AND(INDEX('feed pars'!$C$6:$AT$48,MATCH($A15,'feed pars'!$B$6:$B$48,0),AE$1)&lt;&gt;"",AE$1&lt;&gt;""), INDEX('feed pars'!$C$6:$AT$48,MATCH($A15,'feed pars'!$B$6:$B$48,0),AE$1), "")</f>
        <v>17</v>
      </c>
      <c r="AG15" s="28" t="str">
        <f>'feed pars'!$B18</f>
        <v>peas</v>
      </c>
      <c r="AH15" t="s">
        <v>20</v>
      </c>
      <c r="AI15" s="37"/>
      <c r="AJ15" s="37">
        <f>IF(AND(INDEX('feed pars'!$C$6:$AT$48,MATCH($A15,'feed pars'!$B$6:$B$48,0),AJ$1)&lt;&gt;"",AJ$1&lt;&gt;""), INDEX('feed pars'!$C$6:$AT$48,MATCH($A15,'feed pars'!$B$6:$B$48,0),AJ$1), "")</f>
        <v>11.2</v>
      </c>
      <c r="AK15" s="37">
        <f>IF(AND(INDEX('feed pars'!$C$6:$AT$48,MATCH($A15,'feed pars'!$B$6:$B$48,0),AK$1)&lt;&gt;"",AK$1&lt;&gt;""), INDEX('feed pars'!$C$6:$AT$48,MATCH($A15,'feed pars'!$B$6:$B$48,0),AK$1), "")</f>
        <v>16.100000000000001</v>
      </c>
      <c r="AM15" s="28" t="str">
        <f>'feed pars'!$B18</f>
        <v>peas</v>
      </c>
      <c r="AN15" t="s">
        <v>20</v>
      </c>
      <c r="AO15" t="s">
        <v>289</v>
      </c>
      <c r="AP15" s="37">
        <f>IF(AND(INDEX('feed pars'!$C$6:$AT$48,MATCH($A15,'feed pars'!$B$6:$B$48,0),AP$1)&lt;&gt;"",AP$1&lt;&gt;""), INDEX('feed pars'!$C$6:$AT$48,MATCH($A15,'feed pars'!$B$6:$B$48,0),AP$1), "")</f>
        <v>11.5</v>
      </c>
      <c r="AQ15" s="37" t="str">
        <f>IF(AND(INDEX('feed pars'!$C$6:$AT$48,MATCH($A15,'feed pars'!$B$6:$B$48,0),AQ$1)&lt;&gt;"",AQ$1&lt;&gt;""), INDEX('feed pars'!$C$6:$AT$48,MATCH($A15,'feed pars'!$B$6:$B$48,0),AQ$1), "")</f>
        <v/>
      </c>
      <c r="AS15" s="28" t="str">
        <f>'feed pars'!$B18</f>
        <v>peas</v>
      </c>
      <c r="AT15" t="s">
        <v>369</v>
      </c>
      <c r="AV15" s="28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t="str">
        <f>'feed pars'!$B19</f>
        <v>broad beans</v>
      </c>
      <c r="D16" s="28">
        <f>IF(AND(INDEX('feed pars'!$C$6:$AT$48,MATCH($A16,'feed pars'!$B$6:$B$48,0),D$1)&lt;&gt;"",D$1&lt;&gt;""), INDEX('feed pars'!$C$6:$AT$48,MATCH($A16,'feed pars'!$B$6:$B$48,0),D$1), "")</f>
        <v>18.737207199999997</v>
      </c>
      <c r="E16" s="28">
        <f>IF(AND(INDEX('feed pars'!$C$6:$AT$48,MATCH($A16,'feed pars'!$B$6:$B$48,0),E$1)&lt;&gt;"",E$1&lt;&gt;""), INDEX('feed pars'!$C$6:$AT$48,MATCH($A16,'feed pars'!$B$6:$B$48,0),E$1), "")</f>
        <v>4</v>
      </c>
      <c r="F16" s="28">
        <f>IF(AND(INDEX('feed pars'!$C$6:$AT$48,MATCH($A16,'feed pars'!$B$6:$B$48,0),F$1)&lt;&gt;"",F$1&lt;&gt;""), INDEX('feed pars'!$C$6:$AT$48,MATCH($A16,'feed pars'!$B$6:$B$48,0),F$1), "")</f>
        <v>4.8079999999999998</v>
      </c>
      <c r="G16" s="28">
        <f>IF(AND(INDEX('feed pars'!$C$6:$AT$48,MATCH($A16,'feed pars'!$B$6:$B$48,0),G$1)&lt;&gt;"",G$1&lt;&gt;""), INDEX('feed pars'!$C$6:$AT$48,MATCH($A16,'feed pars'!$B$6:$B$48,0),G$1), "")</f>
        <v>0.61499999999999999</v>
      </c>
      <c r="H16" s="28">
        <f>IF(AND(INDEX('feed pars'!$C$6:$AT$48,MATCH($A16,'feed pars'!$B$6:$B$48,0),H$1)&lt;&gt;"",H$1&lt;&gt;""), INDEX('feed pars'!$C$6:$AT$48,MATCH($A16,'feed pars'!$B$6:$B$48,0),H$1), "")</f>
        <v>1.375</v>
      </c>
      <c r="I16" s="28"/>
      <c r="J16" s="28" t="str">
        <f>'feed pars'!$B19</f>
        <v>broad beans</v>
      </c>
      <c r="K16" t="s">
        <v>19</v>
      </c>
      <c r="M16" s="37">
        <f>IF(AND(INDEX('feed pars'!$C$6:$AT$48,MATCH($A16,'feed pars'!$B$6:$B$48,0),M$1)&lt;&gt;"",M$1&lt;&gt;""), INDEX('feed pars'!$C$6:$AT$48,MATCH($A16,'feed pars'!$B$6:$B$48,0),M$1), "")</f>
        <v>13.3</v>
      </c>
      <c r="N16" s="37">
        <f>IF(AND(INDEX('feed pars'!$C$6:$AT$48,MATCH($A16,'feed pars'!$B$6:$B$48,0),N$1)&lt;&gt;"",N$1&lt;&gt;""), INDEX('feed pars'!$C$6:$AT$48,MATCH($A16,'feed pars'!$B$6:$B$48,0),N$1), "")</f>
        <v>71</v>
      </c>
      <c r="O16" s="37">
        <f>IF(AND(INDEX('feed pars'!$C$6:$AT$48,MATCH($A16,'feed pars'!$B$6:$B$48,0),O$1)&lt;&gt;"",O$1&lt;&gt;""), INDEX('feed pars'!$C$6:$AT$48,MATCH($A16,'feed pars'!$B$6:$B$48,0),O$1), "")</f>
        <v>12</v>
      </c>
      <c r="P16" s="37">
        <f>IF(AND(INDEX('feed pars'!$C$6:$AT$48,MATCH($A16,'feed pars'!$B$6:$B$48,0),P$1)&lt;&gt;"",P$1&lt;&gt;""), INDEX('feed pars'!$C$6:$AT$48,MATCH($A16,'feed pars'!$B$6:$B$48,0),P$1), "")</f>
        <v>12.6</v>
      </c>
      <c r="Q16" s="37">
        <f>IF(AND(INDEX('feed pars'!$C$6:$AT$48,MATCH($A16,'feed pars'!$B$6:$B$48,0),Q$1)&lt;&gt;"",Q$1&lt;&gt;""), INDEX('feed pars'!$C$6:$AT$48,MATCH($A16,'feed pars'!$B$6:$B$48,0),Q$1), "")</f>
        <v>14</v>
      </c>
      <c r="S16" s="28" t="str">
        <f>'feed pars'!$B19</f>
        <v>broad beans</v>
      </c>
      <c r="T16" t="s">
        <v>376</v>
      </c>
      <c r="V16" s="37">
        <f>IF(AND(INDEX('feed pars'!$C$6:$AT$48,MATCH($A16,'feed pars'!$B$6:$B$48,0),V$1)&lt;&gt;"",V$1&lt;&gt;""), INDEX('feed pars'!$C$6:$AT$48,MATCH($A16,'feed pars'!$B$6:$B$48,0),V$1), "")</f>
        <v>13.3</v>
      </c>
      <c r="W16" s="37">
        <f>IF(AND(INDEX('feed pars'!$C$6:$AT$48,MATCH($A16,'feed pars'!$B$6:$B$48,0),W$1)&lt;&gt;"",W$1&lt;&gt;""), INDEX('feed pars'!$C$6:$AT$48,MATCH($A16,'feed pars'!$B$6:$B$48,0),W$1), "")</f>
        <v>12.6</v>
      </c>
      <c r="X16" s="37">
        <f>IF(AND(INDEX('feed pars'!$C$6:$AT$48,MATCH($A16,'feed pars'!$B$6:$B$48,0),X$1)&lt;&gt;"",X$1&lt;&gt;""), INDEX('feed pars'!$C$6:$AT$48,MATCH($A16,'feed pars'!$B$6:$B$48,0),X$1), "")</f>
        <v>14</v>
      </c>
      <c r="Z16" s="28" t="str">
        <f>'feed pars'!$B19</f>
        <v>broad beans</v>
      </c>
      <c r="AA16" t="s">
        <v>372</v>
      </c>
      <c r="AC16" s="37">
        <f>IF(AND(INDEX('feed pars'!$C$6:$AT$48,MATCH($A16,'feed pars'!$B$6:$B$48,0),AC$1)&lt;&gt;"",AC$1&lt;&gt;""), INDEX('feed pars'!$C$6:$AT$48,MATCH($A16,'feed pars'!$B$6:$B$48,0),AC$1), "")</f>
        <v>13.3</v>
      </c>
      <c r="AD16" s="37">
        <f>IF(AND(INDEX('feed pars'!$C$6:$AT$48,MATCH($A16,'feed pars'!$B$6:$B$48,0),AD$1)&lt;&gt;"",AD$1&lt;&gt;""), INDEX('feed pars'!$C$6:$AT$48,MATCH($A16,'feed pars'!$B$6:$B$48,0),AD$1), "")</f>
        <v>12.6</v>
      </c>
      <c r="AE16" s="37">
        <f>IF(AND(INDEX('feed pars'!$C$6:$AT$48,MATCH($A16,'feed pars'!$B$6:$B$48,0),AE$1)&lt;&gt;"",AE$1&lt;&gt;""), INDEX('feed pars'!$C$6:$AT$48,MATCH($A16,'feed pars'!$B$6:$B$48,0),AE$1), "")</f>
        <v>14</v>
      </c>
      <c r="AG16" s="28" t="str">
        <f>'feed pars'!$B19</f>
        <v>broad beans</v>
      </c>
      <c r="AH16" t="s">
        <v>20</v>
      </c>
      <c r="AI16" s="37"/>
      <c r="AJ16" s="37">
        <f>IF(AND(INDEX('feed pars'!$C$6:$AT$48,MATCH($A16,'feed pars'!$B$6:$B$48,0),AJ$1)&lt;&gt;"",AJ$1&lt;&gt;""), INDEX('feed pars'!$C$6:$AT$48,MATCH($A16,'feed pars'!$B$6:$B$48,0),AJ$1), "")</f>
        <v>10.7</v>
      </c>
      <c r="AK16" s="37">
        <f>IF(AND(INDEX('feed pars'!$C$6:$AT$48,MATCH($A16,'feed pars'!$B$6:$B$48,0),AK$1)&lt;&gt;"",AK$1&lt;&gt;""), INDEX('feed pars'!$C$6:$AT$48,MATCH($A16,'feed pars'!$B$6:$B$48,0),AK$1), "")</f>
        <v>15.5</v>
      </c>
      <c r="AM16" s="28" t="str">
        <f>'feed pars'!$B19</f>
        <v>broad beans</v>
      </c>
      <c r="AN16" t="s">
        <v>20</v>
      </c>
      <c r="AO16" t="s">
        <v>289</v>
      </c>
      <c r="AP16" s="37">
        <f>IF(AND(INDEX('feed pars'!$C$6:$AT$48,MATCH($A16,'feed pars'!$B$6:$B$48,0),AP$1)&lt;&gt;"",AP$1&lt;&gt;""), INDEX('feed pars'!$C$6:$AT$48,MATCH($A16,'feed pars'!$B$6:$B$48,0),AP$1), "")</f>
        <v>10.9</v>
      </c>
      <c r="AQ16" s="37" t="str">
        <f>IF(AND(INDEX('feed pars'!$C$6:$AT$48,MATCH($A16,'feed pars'!$B$6:$B$48,0),AQ$1)&lt;&gt;"",AQ$1&lt;&gt;""), INDEX('feed pars'!$C$6:$AT$48,MATCH($A16,'feed pars'!$B$6:$B$48,0),AQ$1), "")</f>
        <v/>
      </c>
      <c r="AS16" s="28" t="str">
        <f>'feed pars'!$B19</f>
        <v>broad beans</v>
      </c>
      <c r="AT16" t="s">
        <v>369</v>
      </c>
      <c r="AV16" s="28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t="str">
        <f>'feed pars'!$B20</f>
        <v>rapeseed</v>
      </c>
      <c r="D17" s="28">
        <f>IF(AND(INDEX('feed pars'!$C$6:$AT$48,MATCH($A17,'feed pars'!$B$6:$B$48,0),D$1)&lt;&gt;"",D$1&lt;&gt;""), INDEX('feed pars'!$C$6:$AT$48,MATCH($A17,'feed pars'!$B$6:$B$48,0),D$1), "")</f>
        <v>27.903096000000001</v>
      </c>
      <c r="E17" s="28">
        <f>IF(AND(INDEX('feed pars'!$C$6:$AT$48,MATCH($A17,'feed pars'!$B$6:$B$48,0),E$1)&lt;&gt;"",E$1&lt;&gt;""), INDEX('feed pars'!$C$6:$AT$48,MATCH($A17,'feed pars'!$B$6:$B$48,0),E$1), "")</f>
        <v>4.6500000000000004</v>
      </c>
      <c r="F17" s="28">
        <f>IF(AND(INDEX('feed pars'!$C$6:$AT$48,MATCH($A17,'feed pars'!$B$6:$B$48,0),F$1)&lt;&gt;"",F$1&lt;&gt;""), INDEX('feed pars'!$C$6:$AT$48,MATCH($A17,'feed pars'!$B$6:$B$48,0),F$1), "")</f>
        <v>3.3360000000000003</v>
      </c>
      <c r="G17" s="28">
        <f>IF(AND(INDEX('feed pars'!$C$6:$AT$48,MATCH($A17,'feed pars'!$B$6:$B$48,0),G$1)&lt;&gt;"",G$1&lt;&gt;""), INDEX('feed pars'!$C$6:$AT$48,MATCH($A17,'feed pars'!$B$6:$B$48,0),G$1), "")</f>
        <v>0.81</v>
      </c>
      <c r="H17" s="28">
        <f>IF(AND(INDEX('feed pars'!$C$6:$AT$48,MATCH($A17,'feed pars'!$B$6:$B$48,0),H$1)&lt;&gt;"",H$1&lt;&gt;""), INDEX('feed pars'!$C$6:$AT$48,MATCH($A17,'feed pars'!$B$6:$B$48,0),H$1), "")</f>
        <v>0.90999999999999992</v>
      </c>
      <c r="I17" s="28"/>
      <c r="J17" s="28" t="str">
        <f>'feed pars'!$B20</f>
        <v>rapeseed</v>
      </c>
      <c r="K17" t="s">
        <v>19</v>
      </c>
      <c r="M17" s="37">
        <f>IF(AND(INDEX('feed pars'!$C$6:$AT$48,MATCH($A17,'feed pars'!$B$6:$B$48,0),M$1)&lt;&gt;"",M$1&lt;&gt;""), INDEX('feed pars'!$C$6:$AT$48,MATCH($A17,'feed pars'!$B$6:$B$48,0),M$1), "")</f>
        <v>22.1</v>
      </c>
      <c r="N17" s="37">
        <f>IF(AND(INDEX('feed pars'!$C$6:$AT$48,MATCH($A17,'feed pars'!$B$6:$B$48,0),N$1)&lt;&gt;"",N$1&lt;&gt;""), INDEX('feed pars'!$C$6:$AT$48,MATCH($A17,'feed pars'!$B$6:$B$48,0),N$1), "")</f>
        <v>56</v>
      </c>
      <c r="O17" s="37">
        <f>IF(AND(INDEX('feed pars'!$C$6:$AT$48,MATCH($A17,'feed pars'!$B$6:$B$48,0),O$1)&lt;&gt;"",O$1&lt;&gt;""), INDEX('feed pars'!$C$6:$AT$48,MATCH($A17,'feed pars'!$B$6:$B$48,0),O$1), "")</f>
        <v>111</v>
      </c>
      <c r="P17" s="37">
        <f>IF(AND(INDEX('feed pars'!$C$6:$AT$48,MATCH($A17,'feed pars'!$B$6:$B$48,0),P$1)&lt;&gt;"",P$1&lt;&gt;""), INDEX('feed pars'!$C$6:$AT$48,MATCH($A17,'feed pars'!$B$6:$B$48,0),P$1), "")</f>
        <v>22.1</v>
      </c>
      <c r="Q17" s="37">
        <f>IF(AND(INDEX('feed pars'!$C$6:$AT$48,MATCH($A17,'feed pars'!$B$6:$B$48,0),Q$1)&lt;&gt;"",Q$1&lt;&gt;""), INDEX('feed pars'!$C$6:$AT$48,MATCH($A17,'feed pars'!$B$6:$B$48,0),Q$1), "")</f>
        <v>460</v>
      </c>
      <c r="S17" s="28" t="str">
        <f>'feed pars'!$B20</f>
        <v>rapeseed</v>
      </c>
      <c r="T17" t="s">
        <v>376</v>
      </c>
      <c r="V17" s="37">
        <f>IF(AND(INDEX('feed pars'!$C$6:$AT$48,MATCH($A17,'feed pars'!$B$6:$B$48,0),V$1)&lt;&gt;"",V$1&lt;&gt;""), INDEX('feed pars'!$C$6:$AT$48,MATCH($A17,'feed pars'!$B$6:$B$48,0),V$1), "")</f>
        <v>22.1</v>
      </c>
      <c r="W17" s="37">
        <f>IF(AND(INDEX('feed pars'!$C$6:$AT$48,MATCH($A17,'feed pars'!$B$6:$B$48,0),W$1)&lt;&gt;"",W$1&lt;&gt;""), INDEX('feed pars'!$C$6:$AT$48,MATCH($A17,'feed pars'!$B$6:$B$48,0),W$1), "")</f>
        <v>22.1</v>
      </c>
      <c r="X17" s="37">
        <f>IF(AND(INDEX('feed pars'!$C$6:$AT$48,MATCH($A17,'feed pars'!$B$6:$B$48,0),X$1)&lt;&gt;"",X$1&lt;&gt;""), INDEX('feed pars'!$C$6:$AT$48,MATCH($A17,'feed pars'!$B$6:$B$48,0),X$1), "")</f>
        <v>460</v>
      </c>
      <c r="Z17" s="28" t="str">
        <f>'feed pars'!$B20</f>
        <v>rapeseed</v>
      </c>
      <c r="AA17" t="s">
        <v>372</v>
      </c>
      <c r="AC17" s="37">
        <f>IF(AND(INDEX('feed pars'!$C$6:$AT$48,MATCH($A17,'feed pars'!$B$6:$B$48,0),AC$1)&lt;&gt;"",AC$1&lt;&gt;""), INDEX('feed pars'!$C$6:$AT$48,MATCH($A17,'feed pars'!$B$6:$B$48,0),AC$1), "")</f>
        <v>22.1</v>
      </c>
      <c r="AD17" s="37">
        <f>IF(AND(INDEX('feed pars'!$C$6:$AT$48,MATCH($A17,'feed pars'!$B$6:$B$48,0),AD$1)&lt;&gt;"",AD$1&lt;&gt;""), INDEX('feed pars'!$C$6:$AT$48,MATCH($A17,'feed pars'!$B$6:$B$48,0),AD$1), "")</f>
        <v>22.1</v>
      </c>
      <c r="AE17" s="37">
        <f>IF(AND(INDEX('feed pars'!$C$6:$AT$48,MATCH($A17,'feed pars'!$B$6:$B$48,0),AE$1)&lt;&gt;"",AE$1&lt;&gt;""), INDEX('feed pars'!$C$6:$AT$48,MATCH($A17,'feed pars'!$B$6:$B$48,0),AE$1), "")</f>
        <v>460</v>
      </c>
      <c r="AG17" s="28" t="str">
        <f>'feed pars'!$B20</f>
        <v>rapeseed</v>
      </c>
      <c r="AH17" t="s">
        <v>20</v>
      </c>
      <c r="AI17" s="37"/>
      <c r="AJ17" s="37">
        <f>IF(AND(INDEX('feed pars'!$C$6:$AT$48,MATCH($A17,'feed pars'!$B$6:$B$48,0),AJ$1)&lt;&gt;"",AJ$1&lt;&gt;""), INDEX('feed pars'!$C$6:$AT$48,MATCH($A17,'feed pars'!$B$6:$B$48,0),AJ$1), "")</f>
        <v>18</v>
      </c>
      <c r="AK17" s="37">
        <f>IF(AND(INDEX('feed pars'!$C$6:$AT$48,MATCH($A17,'feed pars'!$B$6:$B$48,0),AK$1)&lt;&gt;"",AK$1&lt;&gt;""), INDEX('feed pars'!$C$6:$AT$48,MATCH($A17,'feed pars'!$B$6:$B$48,0),AK$1), "")</f>
        <v>23.5</v>
      </c>
      <c r="AM17" s="28" t="str">
        <f>'feed pars'!$B20</f>
        <v>rapeseed</v>
      </c>
      <c r="AN17" t="s">
        <v>20</v>
      </c>
      <c r="AO17" t="s">
        <v>289</v>
      </c>
      <c r="AP17" s="37">
        <f>IF(AND(INDEX('feed pars'!$C$6:$AT$48,MATCH($A17,'feed pars'!$B$6:$B$48,0),AP$1)&lt;&gt;"",AP$1&lt;&gt;""), INDEX('feed pars'!$C$6:$AT$48,MATCH($A17,'feed pars'!$B$6:$B$48,0),AP$1), "")</f>
        <v>18.5</v>
      </c>
      <c r="AQ17" s="37" t="str">
        <f>IF(AND(INDEX('feed pars'!$C$6:$AT$48,MATCH($A17,'feed pars'!$B$6:$B$48,0),AQ$1)&lt;&gt;"",AQ$1&lt;&gt;""), INDEX('feed pars'!$C$6:$AT$48,MATCH($A17,'feed pars'!$B$6:$B$48,0),AQ$1), "")</f>
        <v/>
      </c>
      <c r="AS17" s="28" t="str">
        <f>'feed pars'!$B20</f>
        <v>rapeseed</v>
      </c>
      <c r="AT17" t="s">
        <v>369</v>
      </c>
      <c r="AV17" s="28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t="str">
        <f>'feed pars'!$B21</f>
        <v>linseed</v>
      </c>
      <c r="D18" s="28">
        <f>IF(AND(INDEX('feed pars'!$C$6:$AT$48,MATCH($A18,'feed pars'!$B$6:$B$48,0),D$1)&lt;&gt;"",D$1&lt;&gt;""), INDEX('feed pars'!$C$6:$AT$48,MATCH($A18,'feed pars'!$B$6:$B$48,0),D$1), "")</f>
        <v>26.501456000000001</v>
      </c>
      <c r="E18" s="28">
        <f>IF(AND(INDEX('feed pars'!$C$6:$AT$48,MATCH($A18,'feed pars'!$B$6:$B$48,0),E$1)&lt;&gt;"",E$1&lt;&gt;""), INDEX('feed pars'!$C$6:$AT$48,MATCH($A18,'feed pars'!$B$6:$B$48,0),E$1), "")</f>
        <v>3.9</v>
      </c>
      <c r="F18" s="28">
        <f>IF(AND(INDEX('feed pars'!$C$6:$AT$48,MATCH($A18,'feed pars'!$B$6:$B$48,0),F$1)&lt;&gt;"",F$1&lt;&gt;""), INDEX('feed pars'!$C$6:$AT$48,MATCH($A18,'feed pars'!$B$6:$B$48,0),F$1), "")</f>
        <v>3.7359999999999998</v>
      </c>
      <c r="G18" s="28">
        <f>IF(AND(INDEX('feed pars'!$C$6:$AT$48,MATCH($A18,'feed pars'!$B$6:$B$48,0),G$1)&lt;&gt;"",G$1&lt;&gt;""), INDEX('feed pars'!$C$6:$AT$48,MATCH($A18,'feed pars'!$B$6:$B$48,0),G$1), "")</f>
        <v>0.57000000000000006</v>
      </c>
      <c r="H18" s="28">
        <f>IF(AND(INDEX('feed pars'!$C$6:$AT$48,MATCH($A18,'feed pars'!$B$6:$B$48,0),H$1)&lt;&gt;"",H$1&lt;&gt;""), INDEX('feed pars'!$C$6:$AT$48,MATCH($A18,'feed pars'!$B$6:$B$48,0),H$1), "")</f>
        <v>0.89500000000000002</v>
      </c>
      <c r="I18" s="28"/>
      <c r="J18" s="28" t="str">
        <f>'feed pars'!$B21</f>
        <v>linseed</v>
      </c>
      <c r="K18" t="s">
        <v>19</v>
      </c>
      <c r="M18" s="37">
        <f>IF(AND(INDEX('feed pars'!$C$6:$AT$48,MATCH($A18,'feed pars'!$B$6:$B$48,0),M$1)&lt;&gt;"",M$1&lt;&gt;""), INDEX('feed pars'!$C$6:$AT$48,MATCH($A18,'feed pars'!$B$6:$B$48,0),M$1), "")</f>
        <v>20.100000000000001</v>
      </c>
      <c r="N18" s="37">
        <f>IF(AND(INDEX('feed pars'!$C$6:$AT$48,MATCH($A18,'feed pars'!$B$6:$B$48,0),N$1)&lt;&gt;"",N$1&lt;&gt;""), INDEX('feed pars'!$C$6:$AT$48,MATCH($A18,'feed pars'!$B$6:$B$48,0),N$1), "")</f>
        <v>51</v>
      </c>
      <c r="O18" s="37">
        <f>IF(AND(INDEX('feed pars'!$C$6:$AT$48,MATCH($A18,'feed pars'!$B$6:$B$48,0),O$1)&lt;&gt;"",O$1&lt;&gt;""), INDEX('feed pars'!$C$6:$AT$48,MATCH($A18,'feed pars'!$B$6:$B$48,0),O$1), "")</f>
        <v>154</v>
      </c>
      <c r="P18" s="37">
        <f>IF(AND(INDEX('feed pars'!$C$6:$AT$48,MATCH($A18,'feed pars'!$B$6:$B$48,0),P$1)&lt;&gt;"",P$1&lt;&gt;""), INDEX('feed pars'!$C$6:$AT$48,MATCH($A18,'feed pars'!$B$6:$B$48,0),P$1), "")</f>
        <v>20.8</v>
      </c>
      <c r="Q18" s="37">
        <f>IF(AND(INDEX('feed pars'!$C$6:$AT$48,MATCH($A18,'feed pars'!$B$6:$B$48,0),Q$1)&lt;&gt;"",Q$1&lt;&gt;""), INDEX('feed pars'!$C$6:$AT$48,MATCH($A18,'feed pars'!$B$6:$B$48,0),Q$1), "")</f>
        <v>380</v>
      </c>
      <c r="S18" s="28" t="str">
        <f>'feed pars'!$B21</f>
        <v>linseed</v>
      </c>
      <c r="T18" t="s">
        <v>376</v>
      </c>
      <c r="V18" s="37">
        <f>IF(AND(INDEX('feed pars'!$C$6:$AT$48,MATCH($A18,'feed pars'!$B$6:$B$48,0),V$1)&lt;&gt;"",V$1&lt;&gt;""), INDEX('feed pars'!$C$6:$AT$48,MATCH($A18,'feed pars'!$B$6:$B$48,0),V$1), "")</f>
        <v>20.100000000000001</v>
      </c>
      <c r="W18" s="37">
        <f>IF(AND(INDEX('feed pars'!$C$6:$AT$48,MATCH($A18,'feed pars'!$B$6:$B$48,0),W$1)&lt;&gt;"",W$1&lt;&gt;""), INDEX('feed pars'!$C$6:$AT$48,MATCH($A18,'feed pars'!$B$6:$B$48,0),W$1), "")</f>
        <v>20.8</v>
      </c>
      <c r="X18" s="37">
        <f>IF(AND(INDEX('feed pars'!$C$6:$AT$48,MATCH($A18,'feed pars'!$B$6:$B$48,0),X$1)&lt;&gt;"",X$1&lt;&gt;""), INDEX('feed pars'!$C$6:$AT$48,MATCH($A18,'feed pars'!$B$6:$B$48,0),X$1), "")</f>
        <v>380</v>
      </c>
      <c r="Z18" s="28" t="str">
        <f>'feed pars'!$B21</f>
        <v>linseed</v>
      </c>
      <c r="AA18" t="s">
        <v>372</v>
      </c>
      <c r="AC18" s="37">
        <f>IF(AND(INDEX('feed pars'!$C$6:$AT$48,MATCH($A18,'feed pars'!$B$6:$B$48,0),AC$1)&lt;&gt;"",AC$1&lt;&gt;""), INDEX('feed pars'!$C$6:$AT$48,MATCH($A18,'feed pars'!$B$6:$B$48,0),AC$1), "")</f>
        <v>20.100000000000001</v>
      </c>
      <c r="AD18" s="37">
        <f>IF(AND(INDEX('feed pars'!$C$6:$AT$48,MATCH($A18,'feed pars'!$B$6:$B$48,0),AD$1)&lt;&gt;"",AD$1&lt;&gt;""), INDEX('feed pars'!$C$6:$AT$48,MATCH($A18,'feed pars'!$B$6:$B$48,0),AD$1), "")</f>
        <v>20.8</v>
      </c>
      <c r="AE18" s="37">
        <f>IF(AND(INDEX('feed pars'!$C$6:$AT$48,MATCH($A18,'feed pars'!$B$6:$B$48,0),AE$1)&lt;&gt;"",AE$1&lt;&gt;""), INDEX('feed pars'!$C$6:$AT$48,MATCH($A18,'feed pars'!$B$6:$B$48,0),AE$1), "")</f>
        <v>380</v>
      </c>
      <c r="AG18" s="28" t="str">
        <f>'feed pars'!$B21</f>
        <v>linseed</v>
      </c>
      <c r="AH18" t="s">
        <v>20</v>
      </c>
      <c r="AI18" s="37"/>
      <c r="AJ18" s="37">
        <f>IF(AND(INDEX('feed pars'!$C$6:$AT$48,MATCH($A18,'feed pars'!$B$6:$B$48,0),AJ$1)&lt;&gt;"",AJ$1&lt;&gt;""), INDEX('feed pars'!$C$6:$AT$48,MATCH($A18,'feed pars'!$B$6:$B$48,0),AJ$1), "")</f>
        <v>17.3</v>
      </c>
      <c r="AK18" s="37">
        <f>IF(AND(INDEX('feed pars'!$C$6:$AT$48,MATCH($A18,'feed pars'!$B$6:$B$48,0),AK$1)&lt;&gt;"",AK$1&lt;&gt;""), INDEX('feed pars'!$C$6:$AT$48,MATCH($A18,'feed pars'!$B$6:$B$48,0),AK$1), "")</f>
        <v>20.9</v>
      </c>
      <c r="AM18" s="28" t="str">
        <f>'feed pars'!$B21</f>
        <v>linseed</v>
      </c>
      <c r="AN18" t="s">
        <v>20</v>
      </c>
      <c r="AO18" t="s">
        <v>289</v>
      </c>
      <c r="AP18" s="37">
        <f>IF(AND(INDEX('feed pars'!$C$6:$AT$48,MATCH($A18,'feed pars'!$B$6:$B$48,0),AP$1)&lt;&gt;"",AP$1&lt;&gt;""), INDEX('feed pars'!$C$6:$AT$48,MATCH($A18,'feed pars'!$B$6:$B$48,0),AP$1), "")</f>
        <v>17.5</v>
      </c>
      <c r="AQ18" s="37" t="str">
        <f>IF(AND(INDEX('feed pars'!$C$6:$AT$48,MATCH($A18,'feed pars'!$B$6:$B$48,0),AQ$1)&lt;&gt;"",AQ$1&lt;&gt;""), INDEX('feed pars'!$C$6:$AT$48,MATCH($A18,'feed pars'!$B$6:$B$48,0),AQ$1), "")</f>
        <v/>
      </c>
      <c r="AS18" s="28" t="str">
        <f>'feed pars'!$B21</f>
        <v>linseed</v>
      </c>
      <c r="AT18" t="s">
        <v>369</v>
      </c>
      <c r="AV18" s="28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t="str">
        <f>'feed pars'!$B22</f>
        <v>vegetable oils</v>
      </c>
      <c r="D19" s="28">
        <f>IF(AND(INDEX('feed pars'!$C$6:$AT$48,MATCH($A19,'feed pars'!$B$6:$B$48,0),D$1)&lt;&gt;"",D$1&lt;&gt;""), INDEX('feed pars'!$C$6:$AT$48,MATCH($A19,'feed pars'!$B$6:$B$48,0),D$1), "")</f>
        <v>39.329599999999999</v>
      </c>
      <c r="E19" s="28">
        <f>IF(AND(INDEX('feed pars'!$C$6:$AT$48,MATCH($A19,'feed pars'!$B$6:$B$48,0),E$1)&lt;&gt;"",E$1&lt;&gt;""), INDEX('feed pars'!$C$6:$AT$48,MATCH($A19,'feed pars'!$B$6:$B$48,0),E$1), "")</f>
        <v>0</v>
      </c>
      <c r="F19" s="28">
        <f>IF(AND(INDEX('feed pars'!$C$6:$AT$48,MATCH($A19,'feed pars'!$B$6:$B$48,0),F$1)&lt;&gt;"",F$1&lt;&gt;""), INDEX('feed pars'!$C$6:$AT$48,MATCH($A19,'feed pars'!$B$6:$B$48,0),F$1), "")</f>
        <v>0</v>
      </c>
      <c r="G19" s="28">
        <f>IF(AND(INDEX('feed pars'!$C$6:$AT$48,MATCH($A19,'feed pars'!$B$6:$B$48,0),G$1)&lt;&gt;"",G$1&lt;&gt;""), INDEX('feed pars'!$C$6:$AT$48,MATCH($A19,'feed pars'!$B$6:$B$48,0),G$1), "")</f>
        <v>0</v>
      </c>
      <c r="H19" s="28">
        <f>IF(AND(INDEX('feed pars'!$C$6:$AT$48,MATCH($A19,'feed pars'!$B$6:$B$48,0),H$1)&lt;&gt;"",H$1&lt;&gt;""), INDEX('feed pars'!$C$6:$AT$48,MATCH($A19,'feed pars'!$B$6:$B$48,0),H$1), "")</f>
        <v>0</v>
      </c>
      <c r="I19" s="28"/>
      <c r="J19" s="28" t="str">
        <f>'feed pars'!$B22</f>
        <v>vegetable oils</v>
      </c>
      <c r="K19" t="s">
        <v>19</v>
      </c>
      <c r="M19" s="37">
        <f>IF(AND(INDEX('feed pars'!$C$6:$AT$48,MATCH($A19,'feed pars'!$B$6:$B$48,0),M$1)&lt;&gt;"",M$1&lt;&gt;""), INDEX('feed pars'!$C$6:$AT$48,MATCH($A19,'feed pars'!$B$6:$B$48,0),M$1), "")</f>
        <v>36.6</v>
      </c>
      <c r="N19" s="37">
        <f>IF(AND(INDEX('feed pars'!$C$6:$AT$48,MATCH($A19,'feed pars'!$B$6:$B$48,0),N$1)&lt;&gt;"",N$1&lt;&gt;""), INDEX('feed pars'!$C$6:$AT$48,MATCH($A19,'feed pars'!$B$6:$B$48,0),N$1), "")</f>
        <v>47</v>
      </c>
      <c r="O19" s="37">
        <f>IF(AND(INDEX('feed pars'!$C$6:$AT$48,MATCH($A19,'feed pars'!$B$6:$B$48,0),O$1)&lt;&gt;"",O$1&lt;&gt;""), INDEX('feed pars'!$C$6:$AT$48,MATCH($A19,'feed pars'!$B$6:$B$48,0),O$1), "")</f>
        <v>-35</v>
      </c>
      <c r="P19" s="37">
        <f>IF(AND(INDEX('feed pars'!$C$6:$AT$48,MATCH($A19,'feed pars'!$B$6:$B$48,0),P$1)&lt;&gt;"",P$1&lt;&gt;""), INDEX('feed pars'!$C$6:$AT$48,MATCH($A19,'feed pars'!$B$6:$B$48,0),P$1), "")</f>
        <v>36.6</v>
      </c>
      <c r="Q19" s="37">
        <f>IF(AND(INDEX('feed pars'!$C$6:$AT$48,MATCH($A19,'feed pars'!$B$6:$B$48,0),Q$1)&lt;&gt;"",Q$1&lt;&gt;""), INDEX('feed pars'!$C$6:$AT$48,MATCH($A19,'feed pars'!$B$6:$B$48,0),Q$1), "")</f>
        <v>1000</v>
      </c>
      <c r="S19" s="28" t="str">
        <f>'feed pars'!$B22</f>
        <v>vegetable oils</v>
      </c>
      <c r="T19" t="s">
        <v>376</v>
      </c>
      <c r="V19" s="37">
        <f>IF(AND(INDEX('feed pars'!$C$6:$AT$48,MATCH($A19,'feed pars'!$B$6:$B$48,0),V$1)&lt;&gt;"",V$1&lt;&gt;""), INDEX('feed pars'!$C$6:$AT$48,MATCH($A19,'feed pars'!$B$6:$B$48,0),V$1), "")</f>
        <v>36.6</v>
      </c>
      <c r="W19" s="37">
        <f>IF(AND(INDEX('feed pars'!$C$6:$AT$48,MATCH($A19,'feed pars'!$B$6:$B$48,0),W$1)&lt;&gt;"",W$1&lt;&gt;""), INDEX('feed pars'!$C$6:$AT$48,MATCH($A19,'feed pars'!$B$6:$B$48,0),W$1), "")</f>
        <v>36.6</v>
      </c>
      <c r="X19" s="37">
        <f>IF(AND(INDEX('feed pars'!$C$6:$AT$48,MATCH($A19,'feed pars'!$B$6:$B$48,0),X$1)&lt;&gt;"",X$1&lt;&gt;""), INDEX('feed pars'!$C$6:$AT$48,MATCH($A19,'feed pars'!$B$6:$B$48,0),X$1), "")</f>
        <v>1000</v>
      </c>
      <c r="Z19" s="28" t="str">
        <f>'feed pars'!$B22</f>
        <v>vegetable oils</v>
      </c>
      <c r="AA19" t="s">
        <v>372</v>
      </c>
      <c r="AC19" s="37">
        <f>IF(AND(INDEX('feed pars'!$C$6:$AT$48,MATCH($A19,'feed pars'!$B$6:$B$48,0),AC$1)&lt;&gt;"",AC$1&lt;&gt;""), INDEX('feed pars'!$C$6:$AT$48,MATCH($A19,'feed pars'!$B$6:$B$48,0),AC$1), "")</f>
        <v>36.6</v>
      </c>
      <c r="AD19" s="37">
        <f>IF(AND(INDEX('feed pars'!$C$6:$AT$48,MATCH($A19,'feed pars'!$B$6:$B$48,0),AD$1)&lt;&gt;"",AD$1&lt;&gt;""), INDEX('feed pars'!$C$6:$AT$48,MATCH($A19,'feed pars'!$B$6:$B$48,0),AD$1), "")</f>
        <v>36.6</v>
      </c>
      <c r="AE19" s="37">
        <f>IF(AND(INDEX('feed pars'!$C$6:$AT$48,MATCH($A19,'feed pars'!$B$6:$B$48,0),AE$1)&lt;&gt;"",AE$1&lt;&gt;""), INDEX('feed pars'!$C$6:$AT$48,MATCH($A19,'feed pars'!$B$6:$B$48,0),AE$1), "")</f>
        <v>1000</v>
      </c>
      <c r="AG19" s="28" t="str">
        <f>'feed pars'!$B22</f>
        <v>vegetable oils</v>
      </c>
      <c r="AH19" t="s">
        <v>20</v>
      </c>
      <c r="AI19" s="37"/>
      <c r="AJ19" s="37">
        <f>IF(AND(INDEX('feed pars'!$C$6:$AT$48,MATCH($A19,'feed pars'!$B$6:$B$48,0),AJ$1)&lt;&gt;"",AJ$1&lt;&gt;""), INDEX('feed pars'!$C$6:$AT$48,MATCH($A19,'feed pars'!$B$6:$B$48,0),AJ$1), "")</f>
        <v>29.8</v>
      </c>
      <c r="AK19" s="37">
        <f>IF(AND(INDEX('feed pars'!$C$6:$AT$48,MATCH($A19,'feed pars'!$B$6:$B$48,0),AK$1)&lt;&gt;"",AK$1&lt;&gt;""), INDEX('feed pars'!$C$6:$AT$48,MATCH($A19,'feed pars'!$B$6:$B$48,0),AK$1), "")</f>
        <v>34.5</v>
      </c>
      <c r="AM19" s="28" t="str">
        <f>'feed pars'!$B22</f>
        <v>vegetable oils</v>
      </c>
      <c r="AN19" t="s">
        <v>20</v>
      </c>
      <c r="AO19" t="s">
        <v>289</v>
      </c>
      <c r="AP19" s="37">
        <f>IF(AND(INDEX('feed pars'!$C$6:$AT$48,MATCH($A19,'feed pars'!$B$6:$B$48,0),AP$1)&lt;&gt;"",AP$1&lt;&gt;""), INDEX('feed pars'!$C$6:$AT$48,MATCH($A19,'feed pars'!$B$6:$B$48,0),AP$1), "")</f>
        <v>29.8</v>
      </c>
      <c r="AQ19" s="37" t="str">
        <f>IF(AND(INDEX('feed pars'!$C$6:$AT$48,MATCH($A19,'feed pars'!$B$6:$B$48,0),AQ$1)&lt;&gt;"",AQ$1&lt;&gt;""), INDEX('feed pars'!$C$6:$AT$48,MATCH($A19,'feed pars'!$B$6:$B$48,0),AQ$1), "")</f>
        <v/>
      </c>
      <c r="AS19" s="28" t="str">
        <f>'feed pars'!$B22</f>
        <v>vegetable oils</v>
      </c>
      <c r="AT19" t="s">
        <v>369</v>
      </c>
      <c r="AV19" s="28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t="str">
        <f>'feed pars'!$B23</f>
        <v>straw</v>
      </c>
      <c r="D20" s="28">
        <f>IF(AND(INDEX('feed pars'!$C$6:$AT$48,MATCH($A20,'feed pars'!$B$6:$B$48,0),D$1)&lt;&gt;"",D$1&lt;&gt;""), INDEX('feed pars'!$C$6:$AT$48,MATCH($A20,'feed pars'!$B$6:$B$48,0),D$1), "")</f>
        <v>16.927627199999996</v>
      </c>
      <c r="E20" s="28">
        <f>IF(AND(INDEX('feed pars'!$C$6:$AT$48,MATCH($A20,'feed pars'!$B$6:$B$48,0),E$1)&lt;&gt;"",E$1&lt;&gt;""), INDEX('feed pars'!$C$6:$AT$48,MATCH($A20,'feed pars'!$B$6:$B$48,0),E$1), "")</f>
        <v>6.6000000000000005</v>
      </c>
      <c r="F20" s="28">
        <f>IF(AND(INDEX('feed pars'!$C$6:$AT$48,MATCH($A20,'feed pars'!$B$6:$B$48,0),F$1)&lt;&gt;"",F$1&lt;&gt;""), INDEX('feed pars'!$C$6:$AT$48,MATCH($A20,'feed pars'!$B$6:$B$48,0),F$1), "")</f>
        <v>1.1040000000000001</v>
      </c>
      <c r="G20" s="28">
        <f>IF(AND(INDEX('feed pars'!$C$6:$AT$48,MATCH($A20,'feed pars'!$B$6:$B$48,0),G$1)&lt;&gt;"",G$1&lt;&gt;""), INDEX('feed pars'!$C$6:$AT$48,MATCH($A20,'feed pars'!$B$6:$B$48,0),G$1), "")</f>
        <v>0.26</v>
      </c>
      <c r="H20" s="28">
        <f>IF(AND(INDEX('feed pars'!$C$6:$AT$48,MATCH($A20,'feed pars'!$B$6:$B$48,0),H$1)&lt;&gt;"",H$1&lt;&gt;""), INDEX('feed pars'!$C$6:$AT$48,MATCH($A20,'feed pars'!$B$6:$B$48,0),H$1), "")</f>
        <v>1.6800000000000002</v>
      </c>
      <c r="I20" s="28"/>
      <c r="J20" s="28" t="str">
        <f>'feed pars'!$B23</f>
        <v>straw</v>
      </c>
      <c r="K20" t="s">
        <v>19</v>
      </c>
      <c r="M20" s="37">
        <f>IF(AND(INDEX('feed pars'!$C$6:$AT$48,MATCH($A20,'feed pars'!$B$6:$B$48,0),M$1)&lt;&gt;"",M$1&lt;&gt;""), INDEX('feed pars'!$C$6:$AT$48,MATCH($A20,'feed pars'!$B$6:$B$48,0),M$1), "")</f>
        <v>6.6</v>
      </c>
      <c r="N20" s="37">
        <f>IF(AND(INDEX('feed pars'!$C$6:$AT$48,MATCH($A20,'feed pars'!$B$6:$B$48,0),N$1)&lt;&gt;"",N$1&lt;&gt;""), INDEX('feed pars'!$C$6:$AT$48,MATCH($A20,'feed pars'!$B$6:$B$48,0),N$1), "")</f>
        <v>45</v>
      </c>
      <c r="O20" s="37">
        <f>IF(AND(INDEX('feed pars'!$C$6:$AT$48,MATCH($A20,'feed pars'!$B$6:$B$48,0),O$1)&lt;&gt;"",O$1&lt;&gt;""), INDEX('feed pars'!$C$6:$AT$48,MATCH($A20,'feed pars'!$B$6:$B$48,0),O$1), "")</f>
        <v>-60</v>
      </c>
      <c r="P20" s="37">
        <f>IF(AND(INDEX('feed pars'!$C$6:$AT$48,MATCH($A20,'feed pars'!$B$6:$B$48,0),P$1)&lt;&gt;"",P$1&lt;&gt;""), INDEX('feed pars'!$C$6:$AT$48,MATCH($A20,'feed pars'!$B$6:$B$48,0),P$1), "")</f>
        <v>7.6</v>
      </c>
      <c r="Q20" s="37">
        <f>IF(AND(INDEX('feed pars'!$C$6:$AT$48,MATCH($A20,'feed pars'!$B$6:$B$48,0),Q$1)&lt;&gt;"",Q$1&lt;&gt;""), INDEX('feed pars'!$C$6:$AT$48,MATCH($A20,'feed pars'!$B$6:$B$48,0),Q$1), "")</f>
        <v>20</v>
      </c>
      <c r="S20" s="28" t="str">
        <f>'feed pars'!$B23</f>
        <v>straw</v>
      </c>
      <c r="T20" t="s">
        <v>376</v>
      </c>
      <c r="V20" s="37">
        <f>IF(AND(INDEX('feed pars'!$C$6:$AT$48,MATCH($A20,'feed pars'!$B$6:$B$48,0),V$1)&lt;&gt;"",V$1&lt;&gt;""), INDEX('feed pars'!$C$6:$AT$48,MATCH($A20,'feed pars'!$B$6:$B$48,0),V$1), "")</f>
        <v>6.6</v>
      </c>
      <c r="W20" s="37">
        <f>IF(AND(INDEX('feed pars'!$C$6:$AT$48,MATCH($A20,'feed pars'!$B$6:$B$48,0),W$1)&lt;&gt;"",W$1&lt;&gt;""), INDEX('feed pars'!$C$6:$AT$48,MATCH($A20,'feed pars'!$B$6:$B$48,0),W$1), "")</f>
        <v>7.6</v>
      </c>
      <c r="X20" s="37">
        <f>IF(AND(INDEX('feed pars'!$C$6:$AT$48,MATCH($A20,'feed pars'!$B$6:$B$48,0),X$1)&lt;&gt;"",X$1&lt;&gt;""), INDEX('feed pars'!$C$6:$AT$48,MATCH($A20,'feed pars'!$B$6:$B$48,0),X$1), "")</f>
        <v>20</v>
      </c>
      <c r="Z20" s="28" t="str">
        <f>'feed pars'!$B23</f>
        <v>straw</v>
      </c>
      <c r="AA20" t="s">
        <v>372</v>
      </c>
      <c r="AC20" s="37">
        <f>IF(AND(INDEX('feed pars'!$C$6:$AT$48,MATCH($A20,'feed pars'!$B$6:$B$48,0),AC$1)&lt;&gt;"",AC$1&lt;&gt;""), INDEX('feed pars'!$C$6:$AT$48,MATCH($A20,'feed pars'!$B$6:$B$48,0),AC$1), "")</f>
        <v>6.6</v>
      </c>
      <c r="AD20" s="37">
        <f>IF(AND(INDEX('feed pars'!$C$6:$AT$48,MATCH($A20,'feed pars'!$B$6:$B$48,0),AD$1)&lt;&gt;"",AD$1&lt;&gt;""), INDEX('feed pars'!$C$6:$AT$48,MATCH($A20,'feed pars'!$B$6:$B$48,0),AD$1), "")</f>
        <v>7.6</v>
      </c>
      <c r="AE20" s="37">
        <f>IF(AND(INDEX('feed pars'!$C$6:$AT$48,MATCH($A20,'feed pars'!$B$6:$B$48,0),AE$1)&lt;&gt;"",AE$1&lt;&gt;""), INDEX('feed pars'!$C$6:$AT$48,MATCH($A20,'feed pars'!$B$6:$B$48,0),AE$1), "")</f>
        <v>20</v>
      </c>
      <c r="AG20" s="28" t="str">
        <f>'feed pars'!$B23</f>
        <v>straw</v>
      </c>
      <c r="AH20" t="s">
        <v>20</v>
      </c>
      <c r="AI20" s="37"/>
      <c r="AJ20" s="37" t="str">
        <f>IF(AND(INDEX('feed pars'!$C$6:$AT$48,MATCH($A20,'feed pars'!$B$6:$B$48,0),AJ$1)&lt;&gt;"",AJ$1&lt;&gt;""), INDEX('feed pars'!$C$6:$AT$48,MATCH($A20,'feed pars'!$B$6:$B$48,0),AJ$1), "")</f>
        <v/>
      </c>
      <c r="AK20" s="37" t="str">
        <f>IF(AND(INDEX('feed pars'!$C$6:$AT$48,MATCH($A20,'feed pars'!$B$6:$B$48,0),AK$1)&lt;&gt;"",AK$1&lt;&gt;""), INDEX('feed pars'!$C$6:$AT$48,MATCH($A20,'feed pars'!$B$6:$B$48,0),AK$1), "")</f>
        <v/>
      </c>
      <c r="AM20" s="28" t="str">
        <f>'feed pars'!$B23</f>
        <v>straw</v>
      </c>
      <c r="AN20" t="s">
        <v>20</v>
      </c>
      <c r="AO20" t="s">
        <v>289</v>
      </c>
      <c r="AP20" s="37" t="str">
        <f>IF(AND(INDEX('feed pars'!$C$6:$AT$48,MATCH($A20,'feed pars'!$B$6:$B$48,0),AP$1)&lt;&gt;"",AP$1&lt;&gt;""), INDEX('feed pars'!$C$6:$AT$48,MATCH($A20,'feed pars'!$B$6:$B$48,0),AP$1), "")</f>
        <v/>
      </c>
      <c r="AQ20" s="37" t="str">
        <f>IF(AND(INDEX('feed pars'!$C$6:$AT$48,MATCH($A20,'feed pars'!$B$6:$B$48,0),AQ$1)&lt;&gt;"",AQ$1&lt;&gt;""), INDEX('feed pars'!$C$6:$AT$48,MATCH($A20,'feed pars'!$B$6:$B$48,0),AQ$1), "")</f>
        <v/>
      </c>
      <c r="AS20" s="28" t="str">
        <f>'feed pars'!$B23</f>
        <v>straw</v>
      </c>
      <c r="AT20" t="s">
        <v>369</v>
      </c>
      <c r="AV20" s="28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t="str">
        <f>'feed pars'!$B24</f>
        <v>soybeans</v>
      </c>
      <c r="D21" s="28">
        <f>IF(AND(INDEX('feed pars'!$C$6:$AT$48,MATCH($A21,'feed pars'!$B$6:$B$48,0),D$1)&lt;&gt;"",D$1&lt;&gt;""), INDEX('feed pars'!$C$6:$AT$48,MATCH($A21,'feed pars'!$B$6:$B$48,0),D$1), "")</f>
        <v>22.965976000000001</v>
      </c>
      <c r="E21" s="28">
        <f>IF(AND(INDEX('feed pars'!$C$6:$AT$48,MATCH($A21,'feed pars'!$B$6:$B$48,0),E$1)&lt;&gt;"",E$1&lt;&gt;""), INDEX('feed pars'!$C$6:$AT$48,MATCH($A21,'feed pars'!$B$6:$B$48,0),E$1), "")</f>
        <v>5</v>
      </c>
      <c r="F21" s="28">
        <f>IF(AND(INDEX('feed pars'!$C$6:$AT$48,MATCH($A21,'feed pars'!$B$6:$B$48,0),F$1)&lt;&gt;"",F$1&lt;&gt;""), INDEX('feed pars'!$C$6:$AT$48,MATCH($A21,'feed pars'!$B$6:$B$48,0),F$1), "")</f>
        <v>6.4</v>
      </c>
      <c r="G21" s="28">
        <f>IF(AND(INDEX('feed pars'!$C$6:$AT$48,MATCH($A21,'feed pars'!$B$6:$B$48,0),G$1)&lt;&gt;"",G$1&lt;&gt;""), INDEX('feed pars'!$C$6:$AT$48,MATCH($A21,'feed pars'!$B$6:$B$48,0),G$1), "")</f>
        <v>0.63</v>
      </c>
      <c r="H21" s="28">
        <f>IF(AND(INDEX('feed pars'!$C$6:$AT$48,MATCH($A21,'feed pars'!$B$6:$B$48,0),H$1)&lt;&gt;"",H$1&lt;&gt;""), INDEX('feed pars'!$C$6:$AT$48,MATCH($A21,'feed pars'!$B$6:$B$48,0),H$1), "")</f>
        <v>1.9</v>
      </c>
      <c r="I21" s="28"/>
      <c r="J21" s="28" t="str">
        <f>'feed pars'!$B24</f>
        <v>soybeans</v>
      </c>
      <c r="K21" t="s">
        <v>19</v>
      </c>
      <c r="M21" s="37">
        <f>IF(AND(INDEX('feed pars'!$C$6:$AT$48,MATCH($A21,'feed pars'!$B$6:$B$48,0),M$1)&lt;&gt;"",M$1&lt;&gt;""), INDEX('feed pars'!$C$6:$AT$48,MATCH($A21,'feed pars'!$B$6:$B$48,0),M$1), "")</f>
        <v>16.399999999999999</v>
      </c>
      <c r="N21" s="37">
        <f>IF(AND(INDEX('feed pars'!$C$6:$AT$48,MATCH($A21,'feed pars'!$B$6:$B$48,0),N$1)&lt;&gt;"",N$1&lt;&gt;""), INDEX('feed pars'!$C$6:$AT$48,MATCH($A21,'feed pars'!$B$6:$B$48,0),N$1), "")</f>
        <v>69</v>
      </c>
      <c r="O21" s="37">
        <f>IF(AND(INDEX('feed pars'!$C$6:$AT$48,MATCH($A21,'feed pars'!$B$6:$B$48,0),O$1)&lt;&gt;"",O$1&lt;&gt;""), INDEX('feed pars'!$C$6:$AT$48,MATCH($A21,'feed pars'!$B$6:$B$48,0),O$1), "")</f>
        <v>273</v>
      </c>
      <c r="P21" s="37">
        <f>IF(AND(INDEX('feed pars'!$C$6:$AT$48,MATCH($A21,'feed pars'!$B$6:$B$48,0),P$1)&lt;&gt;"",P$1&lt;&gt;""), INDEX('feed pars'!$C$6:$AT$48,MATCH($A21,'feed pars'!$B$6:$B$48,0),P$1), "")</f>
        <v>18.399999999999999</v>
      </c>
      <c r="Q21" s="37">
        <f>IF(AND(INDEX('feed pars'!$C$6:$AT$48,MATCH($A21,'feed pars'!$B$6:$B$48,0),Q$1)&lt;&gt;"",Q$1&lt;&gt;""), INDEX('feed pars'!$C$6:$AT$48,MATCH($A21,'feed pars'!$B$6:$B$48,0),Q$1), "")</f>
        <v>180</v>
      </c>
      <c r="S21" s="28" t="str">
        <f>'feed pars'!$B24</f>
        <v>soybeans</v>
      </c>
      <c r="T21" t="s">
        <v>376</v>
      </c>
      <c r="V21" s="37">
        <f>IF(AND(INDEX('feed pars'!$C$6:$AT$48,MATCH($A21,'feed pars'!$B$6:$B$48,0),V$1)&lt;&gt;"",V$1&lt;&gt;""), INDEX('feed pars'!$C$6:$AT$48,MATCH($A21,'feed pars'!$B$6:$B$48,0),V$1), "")</f>
        <v>16.399999999999999</v>
      </c>
      <c r="W21" s="37">
        <f>IF(AND(INDEX('feed pars'!$C$6:$AT$48,MATCH($A21,'feed pars'!$B$6:$B$48,0),W$1)&lt;&gt;"",W$1&lt;&gt;""), INDEX('feed pars'!$C$6:$AT$48,MATCH($A21,'feed pars'!$B$6:$B$48,0),W$1), "")</f>
        <v>18.399999999999999</v>
      </c>
      <c r="X21" s="37">
        <f>IF(AND(INDEX('feed pars'!$C$6:$AT$48,MATCH($A21,'feed pars'!$B$6:$B$48,0),X$1)&lt;&gt;"",X$1&lt;&gt;""), INDEX('feed pars'!$C$6:$AT$48,MATCH($A21,'feed pars'!$B$6:$B$48,0),X$1), "")</f>
        <v>180</v>
      </c>
      <c r="Z21" s="28" t="str">
        <f>'feed pars'!$B24</f>
        <v>soybeans</v>
      </c>
      <c r="AA21" t="s">
        <v>372</v>
      </c>
      <c r="AC21" s="37">
        <f>IF(AND(INDEX('feed pars'!$C$6:$AT$48,MATCH($A21,'feed pars'!$B$6:$B$48,0),AC$1)&lt;&gt;"",AC$1&lt;&gt;""), INDEX('feed pars'!$C$6:$AT$48,MATCH($A21,'feed pars'!$B$6:$B$48,0),AC$1), "")</f>
        <v>16.399999999999999</v>
      </c>
      <c r="AD21" s="37">
        <f>IF(AND(INDEX('feed pars'!$C$6:$AT$48,MATCH($A21,'feed pars'!$B$6:$B$48,0),AD$1)&lt;&gt;"",AD$1&lt;&gt;""), INDEX('feed pars'!$C$6:$AT$48,MATCH($A21,'feed pars'!$B$6:$B$48,0),AD$1), "")</f>
        <v>18.399999999999999</v>
      </c>
      <c r="AE21" s="37">
        <f>IF(AND(INDEX('feed pars'!$C$6:$AT$48,MATCH($A21,'feed pars'!$B$6:$B$48,0),AE$1)&lt;&gt;"",AE$1&lt;&gt;""), INDEX('feed pars'!$C$6:$AT$48,MATCH($A21,'feed pars'!$B$6:$B$48,0),AE$1), "")</f>
        <v>180</v>
      </c>
      <c r="AG21" s="28" t="str">
        <f>'feed pars'!$B24</f>
        <v>soybeans</v>
      </c>
      <c r="AH21" t="s">
        <v>20</v>
      </c>
      <c r="AI21" s="37"/>
      <c r="AJ21" s="37" t="str">
        <f>IF(AND(INDEX('feed pars'!$C$6:$AT$48,MATCH($A21,'feed pars'!$B$6:$B$48,0),AJ$1)&lt;&gt;"",AJ$1&lt;&gt;""), INDEX('feed pars'!$C$6:$AT$48,MATCH($A21,'feed pars'!$B$6:$B$48,0),AJ$1), "")</f>
        <v/>
      </c>
      <c r="AK21" s="37" t="str">
        <f>IF(AND(INDEX('feed pars'!$C$6:$AT$48,MATCH($A21,'feed pars'!$B$6:$B$48,0),AK$1)&lt;&gt;"",AK$1&lt;&gt;""), INDEX('feed pars'!$C$6:$AT$48,MATCH($A21,'feed pars'!$B$6:$B$48,0),AK$1), "")</f>
        <v/>
      </c>
      <c r="AM21" s="28" t="str">
        <f>'feed pars'!$B24</f>
        <v>soybeans</v>
      </c>
      <c r="AN21" t="s">
        <v>20</v>
      </c>
      <c r="AO21" t="s">
        <v>289</v>
      </c>
      <c r="AP21" s="37" t="str">
        <f>IF(AND(INDEX('feed pars'!$C$6:$AT$48,MATCH($A21,'feed pars'!$B$6:$B$48,0),AP$1)&lt;&gt;"",AP$1&lt;&gt;""), INDEX('feed pars'!$C$6:$AT$48,MATCH($A21,'feed pars'!$B$6:$B$48,0),AP$1), "")</f>
        <v/>
      </c>
      <c r="AQ21" s="37" t="str">
        <f>IF(AND(INDEX('feed pars'!$C$6:$AT$48,MATCH($A21,'feed pars'!$B$6:$B$48,0),AQ$1)&lt;&gt;"",AQ$1&lt;&gt;""), INDEX('feed pars'!$C$6:$AT$48,MATCH($A21,'feed pars'!$B$6:$B$48,0),AQ$1), "")</f>
        <v/>
      </c>
      <c r="AS21" s="28" t="str">
        <f>'feed pars'!$B24</f>
        <v>soybeans</v>
      </c>
      <c r="AT21" t="s">
        <v>369</v>
      </c>
      <c r="AV21" s="28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t="str">
        <f>'feed pars'!$B25</f>
        <v>soybean meal</v>
      </c>
      <c r="D22" s="28">
        <f>IF(AND(INDEX('feed pars'!$C$6:$AT$48,MATCH($A22,'feed pars'!$B$6:$B$48,0),D$1)&lt;&gt;"",D$1&lt;&gt;""), INDEX('feed pars'!$C$6:$AT$48,MATCH($A22,'feed pars'!$B$6:$B$48,0),D$1), "")</f>
        <v>19.589487999999999</v>
      </c>
      <c r="E22" s="28">
        <f>IF(AND(INDEX('feed pars'!$C$6:$AT$48,MATCH($A22,'feed pars'!$B$6:$B$48,0),E$1)&lt;&gt;"",E$1&lt;&gt;""), INDEX('feed pars'!$C$6:$AT$48,MATCH($A22,'feed pars'!$B$6:$B$48,0),E$1), "")</f>
        <v>7.1499999999999995</v>
      </c>
      <c r="F22" s="28">
        <f>IF(AND(INDEX('feed pars'!$C$6:$AT$48,MATCH($A22,'feed pars'!$B$6:$B$48,0),F$1)&lt;&gt;"",F$1&lt;&gt;""), INDEX('feed pars'!$C$6:$AT$48,MATCH($A22,'feed pars'!$B$6:$B$48,0),F$1), "")</f>
        <v>8.2080000000000002</v>
      </c>
      <c r="G22" s="28">
        <f>IF(AND(INDEX('feed pars'!$C$6:$AT$48,MATCH($A22,'feed pars'!$B$6:$B$48,0),G$1)&lt;&gt;"",G$1&lt;&gt;""), INDEX('feed pars'!$C$6:$AT$48,MATCH($A22,'feed pars'!$B$6:$B$48,0),G$1), "")</f>
        <v>0.71499999999999997</v>
      </c>
      <c r="H22" s="28">
        <f>IF(AND(INDEX('feed pars'!$C$6:$AT$48,MATCH($A22,'feed pars'!$B$6:$B$48,0),H$1)&lt;&gt;"",H$1&lt;&gt;""), INDEX('feed pars'!$C$6:$AT$48,MATCH($A22,'feed pars'!$B$6:$B$48,0),H$1), "")</f>
        <v>2.3499999999999996</v>
      </c>
      <c r="I22" s="28"/>
      <c r="J22" s="28" t="str">
        <f>'feed pars'!$B25</f>
        <v>soybean meal</v>
      </c>
      <c r="K22" t="s">
        <v>19</v>
      </c>
      <c r="M22" s="37">
        <f>IF(AND(INDEX('feed pars'!$C$6:$AT$48,MATCH($A22,'feed pars'!$B$6:$B$48,0),M$1)&lt;&gt;"",M$1&lt;&gt;""), INDEX('feed pars'!$C$6:$AT$48,MATCH($A22,'feed pars'!$B$6:$B$48,0),M$1), "")</f>
        <v>14.6</v>
      </c>
      <c r="N22" s="37">
        <f>IF(AND(INDEX('feed pars'!$C$6:$AT$48,MATCH($A22,'feed pars'!$B$6:$B$48,0),N$1)&lt;&gt;"",N$1&lt;&gt;""), INDEX('feed pars'!$C$6:$AT$48,MATCH($A22,'feed pars'!$B$6:$B$48,0),N$1), "")</f>
        <v>182</v>
      </c>
      <c r="O22" s="37">
        <f>IF(AND(INDEX('feed pars'!$C$6:$AT$48,MATCH($A22,'feed pars'!$B$6:$B$48,0),O$1)&lt;&gt;"",O$1&lt;&gt;""), INDEX('feed pars'!$C$6:$AT$48,MATCH($A22,'feed pars'!$B$6:$B$48,0),O$1), "")</f>
        <v>261</v>
      </c>
      <c r="P22" s="37">
        <f>IF(AND(INDEX('feed pars'!$C$6:$AT$48,MATCH($A22,'feed pars'!$B$6:$B$48,0),P$1)&lt;&gt;"",P$1&lt;&gt;""), INDEX('feed pars'!$C$6:$AT$48,MATCH($A22,'feed pars'!$B$6:$B$48,0),P$1), "")</f>
        <v>17.8</v>
      </c>
      <c r="Q22" s="37">
        <f>IF(AND(INDEX('feed pars'!$C$6:$AT$48,MATCH($A22,'feed pars'!$B$6:$B$48,0),Q$1)&lt;&gt;"",Q$1&lt;&gt;""), INDEX('feed pars'!$C$6:$AT$48,MATCH($A22,'feed pars'!$B$6:$B$48,0),Q$1), "")</f>
        <v>10</v>
      </c>
      <c r="S22" s="28" t="str">
        <f>'feed pars'!$B25</f>
        <v>soybean meal</v>
      </c>
      <c r="T22" t="s">
        <v>376</v>
      </c>
      <c r="V22" s="37">
        <f>IF(AND(INDEX('feed pars'!$C$6:$AT$48,MATCH($A22,'feed pars'!$B$6:$B$48,0),V$1)&lt;&gt;"",V$1&lt;&gt;""), INDEX('feed pars'!$C$6:$AT$48,MATCH($A22,'feed pars'!$B$6:$B$48,0),V$1), "")</f>
        <v>14.6</v>
      </c>
      <c r="W22" s="37">
        <f>IF(AND(INDEX('feed pars'!$C$6:$AT$48,MATCH($A22,'feed pars'!$B$6:$B$48,0),W$1)&lt;&gt;"",W$1&lt;&gt;""), INDEX('feed pars'!$C$6:$AT$48,MATCH($A22,'feed pars'!$B$6:$B$48,0),W$1), "")</f>
        <v>17.8</v>
      </c>
      <c r="X22" s="37">
        <f>IF(AND(INDEX('feed pars'!$C$6:$AT$48,MATCH($A22,'feed pars'!$B$6:$B$48,0),X$1)&lt;&gt;"",X$1&lt;&gt;""), INDEX('feed pars'!$C$6:$AT$48,MATCH($A22,'feed pars'!$B$6:$B$48,0),X$1), "")</f>
        <v>10</v>
      </c>
      <c r="Z22" s="28" t="str">
        <f>'feed pars'!$B25</f>
        <v>soybean meal</v>
      </c>
      <c r="AA22" t="s">
        <v>372</v>
      </c>
      <c r="AC22" s="37">
        <f>IF(AND(INDEX('feed pars'!$C$6:$AT$48,MATCH($A22,'feed pars'!$B$6:$B$48,0),AC$1)&lt;&gt;"",AC$1&lt;&gt;""), INDEX('feed pars'!$C$6:$AT$48,MATCH($A22,'feed pars'!$B$6:$B$48,0),AC$1), "")</f>
        <v>14.6</v>
      </c>
      <c r="AD22" s="37">
        <f>IF(AND(INDEX('feed pars'!$C$6:$AT$48,MATCH($A22,'feed pars'!$B$6:$B$48,0),AD$1)&lt;&gt;"",AD$1&lt;&gt;""), INDEX('feed pars'!$C$6:$AT$48,MATCH($A22,'feed pars'!$B$6:$B$48,0),AD$1), "")</f>
        <v>17.8</v>
      </c>
      <c r="AE22" s="37">
        <f>IF(AND(INDEX('feed pars'!$C$6:$AT$48,MATCH($A22,'feed pars'!$B$6:$B$48,0),AE$1)&lt;&gt;"",AE$1&lt;&gt;""), INDEX('feed pars'!$C$6:$AT$48,MATCH($A22,'feed pars'!$B$6:$B$48,0),AE$1), "")</f>
        <v>10</v>
      </c>
      <c r="AG22" s="28" t="str">
        <f>'feed pars'!$B25</f>
        <v>soybean meal</v>
      </c>
      <c r="AH22" t="s">
        <v>20</v>
      </c>
      <c r="AI22" s="37"/>
      <c r="AJ22" s="37">
        <f>IF(AND(INDEX('feed pars'!$C$6:$AT$48,MATCH($A22,'feed pars'!$B$6:$B$48,0),AJ$1)&lt;&gt;"",AJ$1&lt;&gt;""), INDEX('feed pars'!$C$6:$AT$48,MATCH($A22,'feed pars'!$B$6:$B$48,0),AJ$1), "")</f>
        <v>9.3000000000000007</v>
      </c>
      <c r="AK22" s="37">
        <f>IF(AND(INDEX('feed pars'!$C$6:$AT$48,MATCH($A22,'feed pars'!$B$6:$B$48,0),AK$1)&lt;&gt;"",AK$1&lt;&gt;""), INDEX('feed pars'!$C$6:$AT$48,MATCH($A22,'feed pars'!$B$6:$B$48,0),AK$1), "")</f>
        <v>16.8</v>
      </c>
      <c r="AM22" s="28" t="str">
        <f>'feed pars'!$B25</f>
        <v>soybean meal</v>
      </c>
      <c r="AN22" t="s">
        <v>20</v>
      </c>
      <c r="AO22" t="s">
        <v>289</v>
      </c>
      <c r="AP22" s="37">
        <f>IF(AND(INDEX('feed pars'!$C$6:$AT$48,MATCH($A22,'feed pars'!$B$6:$B$48,0),AP$1)&lt;&gt;"",AP$1&lt;&gt;""), INDEX('feed pars'!$C$6:$AT$48,MATCH($A22,'feed pars'!$B$6:$B$48,0),AP$1), "")</f>
        <v>9.9</v>
      </c>
      <c r="AQ22" s="37" t="str">
        <f>IF(AND(INDEX('feed pars'!$C$6:$AT$48,MATCH($A22,'feed pars'!$B$6:$B$48,0),AQ$1)&lt;&gt;"",AQ$1&lt;&gt;""), INDEX('feed pars'!$C$6:$AT$48,MATCH($A22,'feed pars'!$B$6:$B$48,0),AQ$1), "")</f>
        <v/>
      </c>
      <c r="AS22" s="28" t="str">
        <f>'feed pars'!$B25</f>
        <v>soybean meal</v>
      </c>
      <c r="AT22" t="s">
        <v>369</v>
      </c>
      <c r="AV22" s="28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t="str">
        <f>'feed pars'!$B26</f>
        <v>soybean protein concentrate</v>
      </c>
      <c r="D23" s="28">
        <f>IF(AND(INDEX('feed pars'!$C$6:$AT$48,MATCH($A23,'feed pars'!$B$6:$B$48,0),D$1)&lt;&gt;"",D$1&lt;&gt;""), INDEX('feed pars'!$C$6:$AT$48,MATCH($A23,'feed pars'!$B$6:$B$48,0),D$1), "")</f>
        <v>20.560594400000003</v>
      </c>
      <c r="E23" s="28">
        <f>IF(AND(INDEX('feed pars'!$C$6:$AT$48,MATCH($A23,'feed pars'!$B$6:$B$48,0),E$1)&lt;&gt;"",E$1&lt;&gt;""), INDEX('feed pars'!$C$6:$AT$48,MATCH($A23,'feed pars'!$B$6:$B$48,0),E$1), "")</f>
        <v>7.35</v>
      </c>
      <c r="F23" s="28">
        <f>IF(AND(INDEX('feed pars'!$C$6:$AT$48,MATCH($A23,'feed pars'!$B$6:$B$48,0),F$1)&lt;&gt;"",F$1&lt;&gt;""), INDEX('feed pars'!$C$6:$AT$48,MATCH($A23,'feed pars'!$B$6:$B$48,0),F$1), "")</f>
        <v>9.2880000000000003</v>
      </c>
      <c r="G23" s="28">
        <f>IF(AND(INDEX('feed pars'!$C$6:$AT$48,MATCH($A23,'feed pars'!$B$6:$B$48,0),G$1)&lt;&gt;"",G$1&lt;&gt;""), INDEX('feed pars'!$C$6:$AT$48,MATCH($A23,'feed pars'!$B$6:$B$48,0),G$1), "")</f>
        <v>0.78999999999999992</v>
      </c>
      <c r="H23" s="28">
        <f>IF(AND(INDEX('feed pars'!$C$6:$AT$48,MATCH($A23,'feed pars'!$B$6:$B$48,0),H$1)&lt;&gt;"",H$1&lt;&gt;""), INDEX('feed pars'!$C$6:$AT$48,MATCH($A23,'feed pars'!$B$6:$B$48,0),H$1), "")</f>
        <v>2.4649999999999999</v>
      </c>
      <c r="I23" s="28"/>
      <c r="J23" s="28" t="str">
        <f>'feed pars'!$B26</f>
        <v>soybean protein concentrate</v>
      </c>
      <c r="K23" t="s">
        <v>19</v>
      </c>
      <c r="M23" s="28">
        <f>IF(AND(INDEX('feed pars'!$C$6:$AT$48,MATCH($A23,'feed pars'!$B$6:$B$48,0),M$1)&lt;&gt;"",M$1&lt;&gt;""), INDEX('feed pars'!$C$6:$AT$48,MATCH($A23,'feed pars'!$B$6:$B$48,0),M$1), "")</f>
        <v>13.4</v>
      </c>
      <c r="N23" s="37">
        <f>IF(AND(INDEX('feed pars'!$C$6:$AT$48,MATCH($A23,'feed pars'!$B$6:$B$48,0),N$1)&lt;&gt;"",N$1&lt;&gt;""), INDEX('feed pars'!$C$6:$AT$48,MATCH($A23,'feed pars'!$B$6:$B$48,0),N$1), "")</f>
        <v>59</v>
      </c>
      <c r="O23" s="37">
        <f>IF(AND(INDEX('feed pars'!$C$6:$AT$48,MATCH($A23,'feed pars'!$B$6:$B$48,0),O$1)&lt;&gt;"",O$1&lt;&gt;""), INDEX('feed pars'!$C$6:$AT$48,MATCH($A23,'feed pars'!$B$6:$B$48,0),O$1), "")</f>
        <v>-67</v>
      </c>
      <c r="P23" s="37">
        <f>IF(AND(INDEX('feed pars'!$C$6:$AT$48,MATCH($A23,'feed pars'!$B$6:$B$48,0),P$1)&lt;&gt;"",P$1&lt;&gt;""), INDEX('feed pars'!$C$6:$AT$48,MATCH($A23,'feed pars'!$B$6:$B$48,0),P$1), "")</f>
        <v>18.196692976000001</v>
      </c>
      <c r="Q23" s="37">
        <f>IF(AND(INDEX('feed pars'!$C$6:$AT$48,MATCH($A23,'feed pars'!$B$6:$B$48,0),Q$1)&lt;&gt;"",Q$1&lt;&gt;""), INDEX('feed pars'!$C$6:$AT$48,MATCH($A23,'feed pars'!$B$6:$B$48,0),Q$1), "")</f>
        <v>17</v>
      </c>
      <c r="S23" s="28" t="str">
        <f>'feed pars'!$B26</f>
        <v>soybean protein concentrate</v>
      </c>
      <c r="T23" t="s">
        <v>376</v>
      </c>
      <c r="V23" s="37">
        <f>IF(AND(INDEX('feed pars'!$C$6:$AT$48,MATCH($A23,'feed pars'!$B$6:$B$48,0),V$1)&lt;&gt;"",V$1&lt;&gt;""), INDEX('feed pars'!$C$6:$AT$48,MATCH($A23,'feed pars'!$B$6:$B$48,0),V$1), "")</f>
        <v>13.4</v>
      </c>
      <c r="W23" s="37">
        <f>IF(AND(INDEX('feed pars'!$C$6:$AT$48,MATCH($A23,'feed pars'!$B$6:$B$48,0),W$1)&lt;&gt;"",W$1&lt;&gt;""), INDEX('feed pars'!$C$6:$AT$48,MATCH($A23,'feed pars'!$B$6:$B$48,0),W$1), "")</f>
        <v>18.196692976000001</v>
      </c>
      <c r="X23" s="37">
        <f>IF(AND(INDEX('feed pars'!$C$6:$AT$48,MATCH($A23,'feed pars'!$B$6:$B$48,0),X$1)&lt;&gt;"",X$1&lt;&gt;""), INDEX('feed pars'!$C$6:$AT$48,MATCH($A23,'feed pars'!$B$6:$B$48,0),X$1), "")</f>
        <v>17</v>
      </c>
      <c r="Z23" s="28" t="str">
        <f>'feed pars'!$B26</f>
        <v>soybean protein concentrate</v>
      </c>
      <c r="AA23" t="s">
        <v>372</v>
      </c>
      <c r="AC23" s="37">
        <f>IF(AND(INDEX('feed pars'!$C$6:$AT$48,MATCH($A23,'feed pars'!$B$6:$B$48,0),AC$1)&lt;&gt;"",AC$1&lt;&gt;""), INDEX('feed pars'!$C$6:$AT$48,MATCH($A23,'feed pars'!$B$6:$B$48,0),AC$1), "")</f>
        <v>13.4</v>
      </c>
      <c r="AD23" s="37">
        <f>IF(AND(INDEX('feed pars'!$C$6:$AT$48,MATCH($A23,'feed pars'!$B$6:$B$48,0),AD$1)&lt;&gt;"",AD$1&lt;&gt;""), INDEX('feed pars'!$C$6:$AT$48,MATCH($A23,'feed pars'!$B$6:$B$48,0),AD$1), "")</f>
        <v>18.196692976000001</v>
      </c>
      <c r="AE23" s="37">
        <f>IF(AND(INDEX('feed pars'!$C$6:$AT$48,MATCH($A23,'feed pars'!$B$6:$B$48,0),AE$1)&lt;&gt;"",AE$1&lt;&gt;""), INDEX('feed pars'!$C$6:$AT$48,MATCH($A23,'feed pars'!$B$6:$B$48,0),AE$1), "")</f>
        <v>17</v>
      </c>
      <c r="AG23" s="28" t="str">
        <f>'feed pars'!$B26</f>
        <v>soybean protein concentrate</v>
      </c>
      <c r="AH23" t="s">
        <v>20</v>
      </c>
      <c r="AI23" s="37"/>
      <c r="AJ23" s="37">
        <f>IF(AND(INDEX('feed pars'!$C$6:$AT$48,MATCH($A23,'feed pars'!$B$6:$B$48,0),AJ$1)&lt;&gt;"",AJ$1&lt;&gt;""), INDEX('feed pars'!$C$6:$AT$48,MATCH($A23,'feed pars'!$B$6:$B$48,0),AJ$1), "")</f>
        <v>9.6999999999999993</v>
      </c>
      <c r="AK23" s="37">
        <f>IF(AND(INDEX('feed pars'!$C$6:$AT$48,MATCH($A23,'feed pars'!$B$6:$B$48,0),AK$1)&lt;&gt;"",AK$1&lt;&gt;""), INDEX('feed pars'!$C$6:$AT$48,MATCH($A23,'feed pars'!$B$6:$B$48,0),AK$1), "")</f>
        <v>17.3</v>
      </c>
      <c r="AM23" s="28" t="str">
        <f>'feed pars'!$B26</f>
        <v>soybean protein concentrate</v>
      </c>
      <c r="AN23" t="s">
        <v>20</v>
      </c>
      <c r="AO23" t="s">
        <v>289</v>
      </c>
      <c r="AP23" s="37">
        <f>IF(AND(INDEX('feed pars'!$C$6:$AT$48,MATCH($A23,'feed pars'!$B$6:$B$48,0),AP$1)&lt;&gt;"",AP$1&lt;&gt;""), INDEX('feed pars'!$C$6:$AT$48,MATCH($A23,'feed pars'!$B$6:$B$48,0),AP$1), "")</f>
        <v>10.3</v>
      </c>
      <c r="AQ23" s="37" t="str">
        <f>IF(AND(INDEX('feed pars'!$C$6:$AT$48,MATCH($A23,'feed pars'!$B$6:$B$48,0),AQ$1)&lt;&gt;"",AQ$1&lt;&gt;""), INDEX('feed pars'!$C$6:$AT$48,MATCH($A23,'feed pars'!$B$6:$B$48,0),AQ$1), "")</f>
        <v/>
      </c>
      <c r="AS23" s="28" t="str">
        <f>'feed pars'!$B26</f>
        <v>soybean protein concentrate</v>
      </c>
      <c r="AT23" t="s">
        <v>369</v>
      </c>
      <c r="AV23" s="28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t="str">
        <f>'feed pars'!$B27</f>
        <v>rapeseed meal</v>
      </c>
      <c r="D24" s="28">
        <f>IF(AND(INDEX('feed pars'!$C$6:$AT$48,MATCH($A24,'feed pars'!$B$6:$B$48,0),D$1)&lt;&gt;"",D$1&lt;&gt;""), INDEX('feed pars'!$C$6:$AT$48,MATCH($A24,'feed pars'!$B$6:$B$48,0),D$1), "")</f>
        <v>19.4920008</v>
      </c>
      <c r="E24" s="28">
        <f>IF(AND(INDEX('feed pars'!$C$6:$AT$48,MATCH($A24,'feed pars'!$B$6:$B$48,0),E$1)&lt;&gt;"",E$1&lt;&gt;""), INDEX('feed pars'!$C$6:$AT$48,MATCH($A24,'feed pars'!$B$6:$B$48,0),E$1), "")</f>
        <v>7.7</v>
      </c>
      <c r="F24" s="28">
        <f>IF(AND(INDEX('feed pars'!$C$6:$AT$48,MATCH($A24,'feed pars'!$B$6:$B$48,0),F$1)&lt;&gt;"",F$1&lt;&gt;""), INDEX('feed pars'!$C$6:$AT$48,MATCH($A24,'feed pars'!$B$6:$B$48,0),F$1), "")</f>
        <v>6.152000000000001</v>
      </c>
      <c r="G24" s="28">
        <f>IF(AND(INDEX('feed pars'!$C$6:$AT$48,MATCH($A24,'feed pars'!$B$6:$B$48,0),G$1)&lt;&gt;"",G$1&lt;&gt;""), INDEX('feed pars'!$C$6:$AT$48,MATCH($A24,'feed pars'!$B$6:$B$48,0),G$1), "")</f>
        <v>1.2450000000000001</v>
      </c>
      <c r="H24" s="28">
        <f>IF(AND(INDEX('feed pars'!$C$6:$AT$48,MATCH($A24,'feed pars'!$B$6:$B$48,0),H$1)&lt;&gt;"",H$1&lt;&gt;""), INDEX('feed pars'!$C$6:$AT$48,MATCH($A24,'feed pars'!$B$6:$B$48,0),H$1), "")</f>
        <v>1.55</v>
      </c>
      <c r="I24" s="28"/>
      <c r="J24" s="28" t="str">
        <f>'feed pars'!$B27</f>
        <v>rapeseed meal</v>
      </c>
      <c r="K24" t="s">
        <v>19</v>
      </c>
      <c r="M24" s="37">
        <f>IF(AND(INDEX('feed pars'!$C$6:$AT$48,MATCH($A24,'feed pars'!$B$6:$B$48,0),M$1)&lt;&gt;"",M$1&lt;&gt;""), INDEX('feed pars'!$C$6:$AT$48,MATCH($A24,'feed pars'!$B$6:$B$48,0),M$1), "")</f>
        <v>12.2</v>
      </c>
      <c r="N24" s="37">
        <f>IF(AND(INDEX('feed pars'!$C$6:$AT$48,MATCH($A24,'feed pars'!$B$6:$B$48,0),N$1)&lt;&gt;"",N$1&lt;&gt;""), INDEX('feed pars'!$C$6:$AT$48,MATCH($A24,'feed pars'!$B$6:$B$48,0),N$1), "")</f>
        <v>221</v>
      </c>
      <c r="O24" s="37">
        <f>IF(AND(INDEX('feed pars'!$C$6:$AT$48,MATCH($A24,'feed pars'!$B$6:$B$48,0),O$1)&lt;&gt;"",O$1&lt;&gt;""), INDEX('feed pars'!$C$6:$AT$48,MATCH($A24,'feed pars'!$B$6:$B$48,0),O$1), "")</f>
        <v>79</v>
      </c>
      <c r="P24" s="37">
        <f>IF(AND(INDEX('feed pars'!$C$6:$AT$48,MATCH($A24,'feed pars'!$B$6:$B$48,0),P$1)&lt;&gt;"",P$1&lt;&gt;""), INDEX('feed pars'!$C$6:$AT$48,MATCH($A24,'feed pars'!$B$6:$B$48,0),P$1), "")</f>
        <v>14.6</v>
      </c>
      <c r="Q24" s="37">
        <f>IF(AND(INDEX('feed pars'!$C$6:$AT$48,MATCH($A24,'feed pars'!$B$6:$B$48,0),Q$1)&lt;&gt;"",Q$1&lt;&gt;""), INDEX('feed pars'!$C$6:$AT$48,MATCH($A24,'feed pars'!$B$6:$B$48,0),Q$1), "")</f>
        <v>46</v>
      </c>
      <c r="S24" s="28" t="str">
        <f>'feed pars'!$B27</f>
        <v>rapeseed meal</v>
      </c>
      <c r="T24" t="s">
        <v>376</v>
      </c>
      <c r="V24" s="37">
        <f>IF(AND(INDEX('feed pars'!$C$6:$AT$48,MATCH($A24,'feed pars'!$B$6:$B$48,0),V$1)&lt;&gt;"",V$1&lt;&gt;""), INDEX('feed pars'!$C$6:$AT$48,MATCH($A24,'feed pars'!$B$6:$B$48,0),V$1), "")</f>
        <v>12.2</v>
      </c>
      <c r="W24" s="37">
        <f>IF(AND(INDEX('feed pars'!$C$6:$AT$48,MATCH($A24,'feed pars'!$B$6:$B$48,0),W$1)&lt;&gt;"",W$1&lt;&gt;""), INDEX('feed pars'!$C$6:$AT$48,MATCH($A24,'feed pars'!$B$6:$B$48,0),W$1), "")</f>
        <v>14.6</v>
      </c>
      <c r="X24" s="37">
        <f>IF(AND(INDEX('feed pars'!$C$6:$AT$48,MATCH($A24,'feed pars'!$B$6:$B$48,0),X$1)&lt;&gt;"",X$1&lt;&gt;""), INDEX('feed pars'!$C$6:$AT$48,MATCH($A24,'feed pars'!$B$6:$B$48,0),X$1), "")</f>
        <v>46</v>
      </c>
      <c r="Z24" s="28" t="str">
        <f>'feed pars'!$B27</f>
        <v>rapeseed meal</v>
      </c>
      <c r="AA24" t="s">
        <v>372</v>
      </c>
      <c r="AC24" s="37">
        <f>IF(AND(INDEX('feed pars'!$C$6:$AT$48,MATCH($A24,'feed pars'!$B$6:$B$48,0),AC$1)&lt;&gt;"",AC$1&lt;&gt;""), INDEX('feed pars'!$C$6:$AT$48,MATCH($A24,'feed pars'!$B$6:$B$48,0),AC$1), "")</f>
        <v>12.2</v>
      </c>
      <c r="AD24" s="37">
        <f>IF(AND(INDEX('feed pars'!$C$6:$AT$48,MATCH($A24,'feed pars'!$B$6:$B$48,0),AD$1)&lt;&gt;"",AD$1&lt;&gt;""), INDEX('feed pars'!$C$6:$AT$48,MATCH($A24,'feed pars'!$B$6:$B$48,0),AD$1), "")</f>
        <v>14.6</v>
      </c>
      <c r="AE24" s="37">
        <f>IF(AND(INDEX('feed pars'!$C$6:$AT$48,MATCH($A24,'feed pars'!$B$6:$B$48,0),AE$1)&lt;&gt;"",AE$1&lt;&gt;""), INDEX('feed pars'!$C$6:$AT$48,MATCH($A24,'feed pars'!$B$6:$B$48,0),AE$1), "")</f>
        <v>46</v>
      </c>
      <c r="AG24" s="28" t="str">
        <f>'feed pars'!$B27</f>
        <v>rapeseed meal</v>
      </c>
      <c r="AH24" t="s">
        <v>20</v>
      </c>
      <c r="AI24" s="37"/>
      <c r="AJ24" s="37">
        <f>IF(AND(INDEX('feed pars'!$C$6:$AT$48,MATCH($A24,'feed pars'!$B$6:$B$48,0),AJ$1)&lt;&gt;"",AJ$1&lt;&gt;""), INDEX('feed pars'!$C$6:$AT$48,MATCH($A24,'feed pars'!$B$6:$B$48,0),AJ$1), "")</f>
        <v>7.1</v>
      </c>
      <c r="AK24" s="37">
        <f>IF(AND(INDEX('feed pars'!$C$6:$AT$48,MATCH($A24,'feed pars'!$B$6:$B$48,0),AK$1)&lt;&gt;"",AK$1&lt;&gt;""), INDEX('feed pars'!$C$6:$AT$48,MATCH($A24,'feed pars'!$B$6:$B$48,0),AK$1), "")</f>
        <v>13.3</v>
      </c>
      <c r="AM24" s="28" t="str">
        <f>'feed pars'!$B27</f>
        <v>rapeseed meal</v>
      </c>
      <c r="AN24" t="s">
        <v>20</v>
      </c>
      <c r="AO24" t="s">
        <v>289</v>
      </c>
      <c r="AP24" s="37">
        <f>IF(AND(INDEX('feed pars'!$C$6:$AT$48,MATCH($A24,'feed pars'!$B$6:$B$48,0),AP$1)&lt;&gt;"",AP$1&lt;&gt;""), INDEX('feed pars'!$C$6:$AT$48,MATCH($A24,'feed pars'!$B$6:$B$48,0),AP$1), "")</f>
        <v>7.7</v>
      </c>
      <c r="AQ24" s="37" t="str">
        <f>IF(AND(INDEX('feed pars'!$C$6:$AT$48,MATCH($A24,'feed pars'!$B$6:$B$48,0),AQ$1)&lt;&gt;"",AQ$1&lt;&gt;""), INDEX('feed pars'!$C$6:$AT$48,MATCH($A24,'feed pars'!$B$6:$B$48,0),AQ$1), "")</f>
        <v/>
      </c>
      <c r="AS24" s="28" t="str">
        <f>'feed pars'!$B27</f>
        <v>rapeseed meal</v>
      </c>
      <c r="AT24" t="s">
        <v>369</v>
      </c>
      <c r="AV24" s="28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t="str">
        <f>'feed pars'!$B28</f>
        <v>rapeseed cake</v>
      </c>
      <c r="D25" s="28">
        <f>IF(AND(INDEX('feed pars'!$C$6:$AT$48,MATCH($A25,'feed pars'!$B$6:$B$48,0),D$1)&lt;&gt;"",D$1&lt;&gt;""), INDEX('feed pars'!$C$6:$AT$48,MATCH($A25,'feed pars'!$B$6:$B$48,0),D$1), "")</f>
        <v>21.972276000000001</v>
      </c>
      <c r="E25" s="28">
        <f>IF(AND(INDEX('feed pars'!$C$6:$AT$48,MATCH($A25,'feed pars'!$B$6:$B$48,0),E$1)&lt;&gt;"",E$1&lt;&gt;""), INDEX('feed pars'!$C$6:$AT$48,MATCH($A25,'feed pars'!$B$6:$B$48,0),E$1), "")</f>
        <v>6.75</v>
      </c>
      <c r="F25" s="28">
        <f>IF(AND(INDEX('feed pars'!$C$6:$AT$48,MATCH($A25,'feed pars'!$B$6:$B$48,0),F$1)&lt;&gt;"",F$1&lt;&gt;""), INDEX('feed pars'!$C$6:$AT$48,MATCH($A25,'feed pars'!$B$6:$B$48,0),F$1), "")</f>
        <v>5.1680000000000001</v>
      </c>
      <c r="G25" s="28">
        <f>IF(AND(INDEX('feed pars'!$C$6:$AT$48,MATCH($A25,'feed pars'!$B$6:$B$48,0),G$1)&lt;&gt;"",G$1&lt;&gt;""), INDEX('feed pars'!$C$6:$AT$48,MATCH($A25,'feed pars'!$B$6:$B$48,0),G$1), "")</f>
        <v>1.1499999999999999</v>
      </c>
      <c r="H25" s="28">
        <f>IF(AND(INDEX('feed pars'!$C$6:$AT$48,MATCH($A25,'feed pars'!$B$6:$B$48,0),H$1)&lt;&gt;"",H$1&lt;&gt;""), INDEX('feed pars'!$C$6:$AT$48,MATCH($A25,'feed pars'!$B$6:$B$48,0),H$1), "")</f>
        <v>1.3250000000000002</v>
      </c>
      <c r="I25" s="28"/>
      <c r="J25" s="28" t="str">
        <f>'feed pars'!$B28</f>
        <v>rapeseed cake</v>
      </c>
      <c r="K25" t="s">
        <v>19</v>
      </c>
      <c r="M25" s="37">
        <f>IF(AND(INDEX('feed pars'!$C$6:$AT$48,MATCH($A25,'feed pars'!$B$6:$B$48,0),M$1)&lt;&gt;"",M$1&lt;&gt;""), INDEX('feed pars'!$C$6:$AT$48,MATCH($A25,'feed pars'!$B$6:$B$48,0),M$1), "")</f>
        <v>15.6</v>
      </c>
      <c r="N25" s="37">
        <f>IF(AND(INDEX('feed pars'!$C$6:$AT$48,MATCH($A25,'feed pars'!$B$6:$B$48,0),N$1)&lt;&gt;"",N$1&lt;&gt;""), INDEX('feed pars'!$C$6:$AT$48,MATCH($A25,'feed pars'!$B$6:$B$48,0),N$1), "")</f>
        <v>80</v>
      </c>
      <c r="O25" s="37">
        <f>IF(AND(INDEX('feed pars'!$C$6:$AT$48,MATCH($A25,'feed pars'!$B$6:$B$48,0),O$1)&lt;&gt;"",O$1&lt;&gt;""), INDEX('feed pars'!$C$6:$AT$48,MATCH($A25,'feed pars'!$B$6:$B$48,0),O$1), "")</f>
        <v>180</v>
      </c>
      <c r="P25" s="37">
        <f>IF(AND(INDEX('feed pars'!$C$6:$AT$48,MATCH($A25,'feed pars'!$B$6:$B$48,0),P$1)&lt;&gt;"",P$1&lt;&gt;""), INDEX('feed pars'!$C$6:$AT$48,MATCH($A25,'feed pars'!$B$6:$B$48,0),P$1), "")</f>
        <v>17.3</v>
      </c>
      <c r="Q25" s="37">
        <f>IF(AND(INDEX('feed pars'!$C$6:$AT$48,MATCH($A25,'feed pars'!$B$6:$B$48,0),Q$1)&lt;&gt;"",Q$1&lt;&gt;""), INDEX('feed pars'!$C$6:$AT$48,MATCH($A25,'feed pars'!$B$6:$B$48,0),Q$1), "")</f>
        <v>174</v>
      </c>
      <c r="S25" s="28" t="str">
        <f>'feed pars'!$B28</f>
        <v>rapeseed cake</v>
      </c>
      <c r="T25" t="s">
        <v>376</v>
      </c>
      <c r="V25" s="37">
        <f>IF(AND(INDEX('feed pars'!$C$6:$AT$48,MATCH($A25,'feed pars'!$B$6:$B$48,0),V$1)&lt;&gt;"",V$1&lt;&gt;""), INDEX('feed pars'!$C$6:$AT$48,MATCH($A25,'feed pars'!$B$6:$B$48,0),V$1), "")</f>
        <v>15.6</v>
      </c>
      <c r="W25" s="37">
        <f>IF(AND(INDEX('feed pars'!$C$6:$AT$48,MATCH($A25,'feed pars'!$B$6:$B$48,0),W$1)&lt;&gt;"",W$1&lt;&gt;""), INDEX('feed pars'!$C$6:$AT$48,MATCH($A25,'feed pars'!$B$6:$B$48,0),W$1), "")</f>
        <v>17.3</v>
      </c>
      <c r="X25" s="37">
        <f>IF(AND(INDEX('feed pars'!$C$6:$AT$48,MATCH($A25,'feed pars'!$B$6:$B$48,0),X$1)&lt;&gt;"",X$1&lt;&gt;""), INDEX('feed pars'!$C$6:$AT$48,MATCH($A25,'feed pars'!$B$6:$B$48,0),X$1), "")</f>
        <v>174</v>
      </c>
      <c r="Z25" s="28" t="str">
        <f>'feed pars'!$B28</f>
        <v>rapeseed cake</v>
      </c>
      <c r="AA25" t="s">
        <v>372</v>
      </c>
      <c r="AC25" s="37">
        <f>IF(AND(INDEX('feed pars'!$C$6:$AT$48,MATCH($A25,'feed pars'!$B$6:$B$48,0),AC$1)&lt;&gt;"",AC$1&lt;&gt;""), INDEX('feed pars'!$C$6:$AT$48,MATCH($A25,'feed pars'!$B$6:$B$48,0),AC$1), "")</f>
        <v>15.6</v>
      </c>
      <c r="AD25" s="37">
        <f>IF(AND(INDEX('feed pars'!$C$6:$AT$48,MATCH($A25,'feed pars'!$B$6:$B$48,0),AD$1)&lt;&gt;"",AD$1&lt;&gt;""), INDEX('feed pars'!$C$6:$AT$48,MATCH($A25,'feed pars'!$B$6:$B$48,0),AD$1), "")</f>
        <v>17.3</v>
      </c>
      <c r="AE25" s="37">
        <f>IF(AND(INDEX('feed pars'!$C$6:$AT$48,MATCH($A25,'feed pars'!$B$6:$B$48,0),AE$1)&lt;&gt;"",AE$1&lt;&gt;""), INDEX('feed pars'!$C$6:$AT$48,MATCH($A25,'feed pars'!$B$6:$B$48,0),AE$1), "")</f>
        <v>174</v>
      </c>
      <c r="AG25" s="28" t="str">
        <f>'feed pars'!$B28</f>
        <v>rapeseed cake</v>
      </c>
      <c r="AH25" t="s">
        <v>20</v>
      </c>
      <c r="AI25" s="37"/>
      <c r="AJ25" s="37">
        <f>IF(AND(INDEX('feed pars'!$C$6:$AT$48,MATCH($A25,'feed pars'!$B$6:$B$48,0),AJ$1)&lt;&gt;"",AJ$1&lt;&gt;""), INDEX('feed pars'!$C$6:$AT$48,MATCH($A25,'feed pars'!$B$6:$B$48,0),AJ$1), "")</f>
        <v>9.6999999999999993</v>
      </c>
      <c r="AK25" s="37">
        <f>IF(AND(INDEX('feed pars'!$C$6:$AT$48,MATCH($A25,'feed pars'!$B$6:$B$48,0),AK$1)&lt;&gt;"",AK$1&lt;&gt;""), INDEX('feed pars'!$C$6:$AT$48,MATCH($A25,'feed pars'!$B$6:$B$48,0),AK$1), "")</f>
        <v>14.3</v>
      </c>
      <c r="AM25" s="28" t="str">
        <f>'feed pars'!$B28</f>
        <v>rapeseed cake</v>
      </c>
      <c r="AN25" t="s">
        <v>20</v>
      </c>
      <c r="AO25" t="s">
        <v>289</v>
      </c>
      <c r="AP25" s="37">
        <f>IF(AND(INDEX('feed pars'!$C$6:$AT$48,MATCH($A25,'feed pars'!$B$6:$B$48,0),AP$1)&lt;&gt;"",AP$1&lt;&gt;""), INDEX('feed pars'!$C$6:$AT$48,MATCH($A25,'feed pars'!$B$6:$B$48,0),AP$1), "")</f>
        <v>10.199999999999999</v>
      </c>
      <c r="AQ25" s="37" t="str">
        <f>IF(AND(INDEX('feed pars'!$C$6:$AT$48,MATCH($A25,'feed pars'!$B$6:$B$48,0),AQ$1)&lt;&gt;"",AQ$1&lt;&gt;""), INDEX('feed pars'!$C$6:$AT$48,MATCH($A25,'feed pars'!$B$6:$B$48,0),AQ$1), "")</f>
        <v/>
      </c>
      <c r="AS25" s="28" t="str">
        <f>'feed pars'!$B28</f>
        <v>rapeseed cake</v>
      </c>
      <c r="AT25" t="s">
        <v>369</v>
      </c>
      <c r="AV25" s="28" t="str">
        <f>IF(AND(INDEX('feed pars'!$C$6:$AT$48,MATCH($A25,'feed pars'!$B$6:$B$48,0),AV$1)&lt;&gt;"",AV$1&lt;&gt;""), INDEX('feed pars'!$C$6:$AT$48,MATCH($A25,'feed pars'!$B$6:$B$48,0),AV$1), "")</f>
        <v/>
      </c>
    </row>
    <row r="26" spans="1:48" x14ac:dyDescent="0.25">
      <c r="A26" t="str">
        <f>'feed pars'!$B29</f>
        <v>sunflower seed meal</v>
      </c>
      <c r="D26" s="28">
        <f>IF(AND(INDEX('feed pars'!$C$6:$AT$48,MATCH($A26,'feed pars'!$B$6:$B$48,0),D$1)&lt;&gt;"",D$1&lt;&gt;""), INDEX('feed pars'!$C$6:$AT$48,MATCH($A26,'feed pars'!$B$6:$B$48,0),D$1), "")</f>
        <v>19.083224000000001</v>
      </c>
      <c r="E26" s="28">
        <f>IF(AND(INDEX('feed pars'!$C$6:$AT$48,MATCH($A26,'feed pars'!$B$6:$B$48,0),E$1)&lt;&gt;"",E$1&lt;&gt;""), INDEX('feed pars'!$C$6:$AT$48,MATCH($A26,'feed pars'!$B$6:$B$48,0),E$1), "")</f>
        <v>7.75</v>
      </c>
      <c r="F26" s="28">
        <f>IF(AND(INDEX('feed pars'!$C$6:$AT$48,MATCH($A26,'feed pars'!$B$6:$B$48,0),F$1)&lt;&gt;"",F$1&lt;&gt;""), INDEX('feed pars'!$C$6:$AT$48,MATCH($A26,'feed pars'!$B$6:$B$48,0),F$1), "")</f>
        <v>6.6640000000000006</v>
      </c>
      <c r="G26" s="28">
        <f>IF(AND(INDEX('feed pars'!$C$6:$AT$48,MATCH($A26,'feed pars'!$B$6:$B$48,0),G$1)&lt;&gt;"",G$1&lt;&gt;""), INDEX('feed pars'!$C$6:$AT$48,MATCH($A26,'feed pars'!$B$6:$B$48,0),G$1), "")</f>
        <v>1.3050000000000002</v>
      </c>
      <c r="H26" s="28">
        <f>IF(AND(INDEX('feed pars'!$C$6:$AT$48,MATCH($A26,'feed pars'!$B$6:$B$48,0),H$1)&lt;&gt;"",H$1&lt;&gt;""), INDEX('feed pars'!$C$6:$AT$48,MATCH($A26,'feed pars'!$B$6:$B$48,0),H$1), "")</f>
        <v>1.75</v>
      </c>
      <c r="I26" s="28"/>
      <c r="J26" s="28" t="str">
        <f>'feed pars'!$B29</f>
        <v>sunflower seed meal</v>
      </c>
      <c r="K26" t="s">
        <v>19</v>
      </c>
      <c r="M26" s="37">
        <f>IF(AND(INDEX('feed pars'!$C$6:$AT$48,MATCH($A26,'feed pars'!$B$6:$B$48,0),M$1)&lt;&gt;"",M$1&lt;&gt;""), INDEX('feed pars'!$C$6:$AT$48,MATCH($A26,'feed pars'!$B$6:$B$48,0),M$1), "")</f>
        <v>11.4</v>
      </c>
      <c r="N26" s="37">
        <f>IF(AND(INDEX('feed pars'!$C$6:$AT$48,MATCH($A26,'feed pars'!$B$6:$B$48,0),N$1)&lt;&gt;"",N$1&lt;&gt;""), INDEX('feed pars'!$C$6:$AT$48,MATCH($A26,'feed pars'!$B$6:$B$48,0),N$1), "")</f>
        <v>109</v>
      </c>
      <c r="O26" s="37">
        <f>IF(AND(INDEX('feed pars'!$C$6:$AT$48,MATCH($A26,'feed pars'!$B$6:$B$48,0),O$1)&lt;&gt;"",O$1&lt;&gt;""), INDEX('feed pars'!$C$6:$AT$48,MATCH($A26,'feed pars'!$B$6:$B$48,0),O$1), "")</f>
        <v>301</v>
      </c>
      <c r="P26" s="37">
        <f>IF(AND(INDEX('feed pars'!$C$6:$AT$48,MATCH($A26,'feed pars'!$B$6:$B$48,0),P$1)&lt;&gt;"",P$1&lt;&gt;""), INDEX('feed pars'!$C$6:$AT$48,MATCH($A26,'feed pars'!$B$6:$B$48,0),P$1), "")</f>
        <v>14.1</v>
      </c>
      <c r="Q26" s="37">
        <f>IF(AND(INDEX('feed pars'!$C$6:$AT$48,MATCH($A26,'feed pars'!$B$6:$B$48,0),Q$1)&lt;&gt;"",Q$1&lt;&gt;""), INDEX('feed pars'!$C$6:$AT$48,MATCH($A26,'feed pars'!$B$6:$B$48,0),Q$1), "")</f>
        <v>10</v>
      </c>
      <c r="S26" s="28" t="str">
        <f>'feed pars'!$B29</f>
        <v>sunflower seed meal</v>
      </c>
      <c r="T26" t="s">
        <v>376</v>
      </c>
      <c r="V26" s="37">
        <f>IF(AND(INDEX('feed pars'!$C$6:$AT$48,MATCH($A26,'feed pars'!$B$6:$B$48,0),V$1)&lt;&gt;"",V$1&lt;&gt;""), INDEX('feed pars'!$C$6:$AT$48,MATCH($A26,'feed pars'!$B$6:$B$48,0),V$1), "")</f>
        <v>11.4</v>
      </c>
      <c r="W26" s="37">
        <f>IF(AND(INDEX('feed pars'!$C$6:$AT$48,MATCH($A26,'feed pars'!$B$6:$B$48,0),W$1)&lt;&gt;"",W$1&lt;&gt;""), INDEX('feed pars'!$C$6:$AT$48,MATCH($A26,'feed pars'!$B$6:$B$48,0),W$1), "")</f>
        <v>14.1</v>
      </c>
      <c r="X26" s="37">
        <f>IF(AND(INDEX('feed pars'!$C$6:$AT$48,MATCH($A26,'feed pars'!$B$6:$B$48,0),X$1)&lt;&gt;"",X$1&lt;&gt;""), INDEX('feed pars'!$C$6:$AT$48,MATCH($A26,'feed pars'!$B$6:$B$48,0),X$1), "")</f>
        <v>10</v>
      </c>
      <c r="Z26" s="28" t="str">
        <f>'feed pars'!$B29</f>
        <v>sunflower seed meal</v>
      </c>
      <c r="AA26" t="s">
        <v>372</v>
      </c>
      <c r="AC26" s="37">
        <f>IF(AND(INDEX('feed pars'!$C$6:$AT$48,MATCH($A26,'feed pars'!$B$6:$B$48,0),AC$1)&lt;&gt;"",AC$1&lt;&gt;""), INDEX('feed pars'!$C$6:$AT$48,MATCH($A26,'feed pars'!$B$6:$B$48,0),AC$1), "")</f>
        <v>11.4</v>
      </c>
      <c r="AD26" s="37">
        <f>IF(AND(INDEX('feed pars'!$C$6:$AT$48,MATCH($A26,'feed pars'!$B$6:$B$48,0),AD$1)&lt;&gt;"",AD$1&lt;&gt;""), INDEX('feed pars'!$C$6:$AT$48,MATCH($A26,'feed pars'!$B$6:$B$48,0),AD$1), "")</f>
        <v>14.1</v>
      </c>
      <c r="AE26" s="37">
        <f>IF(AND(INDEX('feed pars'!$C$6:$AT$48,MATCH($A26,'feed pars'!$B$6:$B$48,0),AE$1)&lt;&gt;"",AE$1&lt;&gt;""), INDEX('feed pars'!$C$6:$AT$48,MATCH($A26,'feed pars'!$B$6:$B$48,0),AE$1), "")</f>
        <v>10</v>
      </c>
      <c r="AG26" s="28" t="str">
        <f>'feed pars'!$B29</f>
        <v>sunflower seed meal</v>
      </c>
      <c r="AH26" t="s">
        <v>20</v>
      </c>
      <c r="AI26" s="37"/>
      <c r="AJ26" s="37">
        <f>IF(AND(INDEX('feed pars'!$C$6:$AT$48,MATCH($A26,'feed pars'!$B$6:$B$48,0),AJ$1)&lt;&gt;"",AJ$1&lt;&gt;""), INDEX('feed pars'!$C$6:$AT$48,MATCH($A26,'feed pars'!$B$6:$B$48,0),AJ$1), "")</f>
        <v>5.9</v>
      </c>
      <c r="AK26" s="37">
        <f>IF(AND(INDEX('feed pars'!$C$6:$AT$48,MATCH($A26,'feed pars'!$B$6:$B$48,0),AK$1)&lt;&gt;"",AK$1&lt;&gt;""), INDEX('feed pars'!$C$6:$AT$48,MATCH($A26,'feed pars'!$B$6:$B$48,0),AK$1), "")</f>
        <v>10.3</v>
      </c>
      <c r="AM26" s="28" t="str">
        <f>'feed pars'!$B29</f>
        <v>sunflower seed meal</v>
      </c>
      <c r="AN26" t="s">
        <v>20</v>
      </c>
      <c r="AO26" t="s">
        <v>289</v>
      </c>
      <c r="AP26" s="37">
        <f>IF(AND(INDEX('feed pars'!$C$6:$AT$48,MATCH($A26,'feed pars'!$B$6:$B$48,0),AP$1)&lt;&gt;"",AP$1&lt;&gt;""), INDEX('feed pars'!$C$6:$AT$48,MATCH($A26,'feed pars'!$B$6:$B$48,0),AP$1), "")</f>
        <v>6.5</v>
      </c>
      <c r="AQ26" s="37" t="str">
        <f>IF(AND(INDEX('feed pars'!$C$6:$AT$48,MATCH($A26,'feed pars'!$B$6:$B$48,0),AQ$1)&lt;&gt;"",AQ$1&lt;&gt;""), INDEX('feed pars'!$C$6:$AT$48,MATCH($A26,'feed pars'!$B$6:$B$48,0),AQ$1), "")</f>
        <v/>
      </c>
      <c r="AS26" s="28" t="str">
        <f>'feed pars'!$B29</f>
        <v>sunflower seed meal</v>
      </c>
      <c r="AT26" t="s">
        <v>369</v>
      </c>
      <c r="AV26" s="28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t="str">
        <f>'feed pars'!$B30</f>
        <v>palm kernel expeller</v>
      </c>
      <c r="D27" s="28">
        <f>IF(AND(INDEX('feed pars'!$C$6:$AT$48,MATCH($A27,'feed pars'!$B$6:$B$48,0),D$1)&lt;&gt;"",D$1&lt;&gt;""), INDEX('feed pars'!$C$6:$AT$48,MATCH($A27,'feed pars'!$B$6:$B$48,0),D$1), "")</f>
        <v>19.581538399999999</v>
      </c>
      <c r="E27" s="28">
        <f>IF(AND(INDEX('feed pars'!$C$6:$AT$48,MATCH($A27,'feed pars'!$B$6:$B$48,0),E$1)&lt;&gt;"",E$1&lt;&gt;""), INDEX('feed pars'!$C$6:$AT$48,MATCH($A27,'feed pars'!$B$6:$B$48,0),E$1), "")</f>
        <v>4.5</v>
      </c>
      <c r="F27" s="28">
        <f>IF(AND(INDEX('feed pars'!$C$6:$AT$48,MATCH($A27,'feed pars'!$B$6:$B$48,0),F$1)&lt;&gt;"",F$1&lt;&gt;""), INDEX('feed pars'!$C$6:$AT$48,MATCH($A27,'feed pars'!$B$6:$B$48,0),F$1), "")</f>
        <v>2.5360000000000005</v>
      </c>
      <c r="G27" s="28">
        <f>IF(AND(INDEX('feed pars'!$C$6:$AT$48,MATCH($A27,'feed pars'!$B$6:$B$48,0),G$1)&lt;&gt;"",G$1&lt;&gt;""), INDEX('feed pars'!$C$6:$AT$48,MATCH($A27,'feed pars'!$B$6:$B$48,0),G$1), "")</f>
        <v>0.64500000000000002</v>
      </c>
      <c r="H27" s="28">
        <f>IF(AND(INDEX('feed pars'!$C$6:$AT$48,MATCH($A27,'feed pars'!$B$6:$B$48,0),H$1)&lt;&gt;"",H$1&lt;&gt;""), INDEX('feed pars'!$C$6:$AT$48,MATCH($A27,'feed pars'!$B$6:$B$48,0),H$1), "")</f>
        <v>0.77500000000000002</v>
      </c>
      <c r="I27" s="28"/>
      <c r="J27" s="28" t="str">
        <f>'feed pars'!$B30</f>
        <v>palm kernel expeller</v>
      </c>
      <c r="K27" t="s">
        <v>19</v>
      </c>
      <c r="M27" s="37">
        <f>IF(AND(INDEX('feed pars'!$C$6:$AT$48,MATCH($A27,'feed pars'!$B$6:$B$48,0),M$1)&lt;&gt;"",M$1&lt;&gt;""), INDEX('feed pars'!$C$6:$AT$48,MATCH($A27,'feed pars'!$B$6:$B$48,0),M$1), "")</f>
        <v>13.4</v>
      </c>
      <c r="N27" s="37">
        <f>IF(AND(INDEX('feed pars'!$C$6:$AT$48,MATCH($A27,'feed pars'!$B$6:$B$48,0),N$1)&lt;&gt;"",N$1&lt;&gt;""), INDEX('feed pars'!$C$6:$AT$48,MATCH($A27,'feed pars'!$B$6:$B$48,0),N$1), "")</f>
        <v>115</v>
      </c>
      <c r="O27" s="37">
        <f>IF(AND(INDEX('feed pars'!$C$6:$AT$48,MATCH($A27,'feed pars'!$B$6:$B$48,0),O$1)&lt;&gt;"",O$1&lt;&gt;""), INDEX('feed pars'!$C$6:$AT$48,MATCH($A27,'feed pars'!$B$6:$B$48,0),O$1), "")</f>
        <v>-35</v>
      </c>
      <c r="P27" s="37">
        <f>IF(AND(INDEX('feed pars'!$C$6:$AT$48,MATCH($A27,'feed pars'!$B$6:$B$48,0),P$1)&lt;&gt;"",P$1&lt;&gt;""), INDEX('feed pars'!$C$6:$AT$48,MATCH($A27,'feed pars'!$B$6:$B$48,0),P$1), "")</f>
        <v>15</v>
      </c>
      <c r="Q27" s="37">
        <f>IF(AND(INDEX('feed pars'!$C$6:$AT$48,MATCH($A27,'feed pars'!$B$6:$B$48,0),Q$1)&lt;&gt;"",Q$1&lt;&gt;""), INDEX('feed pars'!$C$6:$AT$48,MATCH($A27,'feed pars'!$B$6:$B$48,0),Q$1), "")</f>
        <v>97</v>
      </c>
      <c r="S27" s="28" t="str">
        <f>'feed pars'!$B30</f>
        <v>palm kernel expeller</v>
      </c>
      <c r="T27" t="s">
        <v>376</v>
      </c>
      <c r="V27" s="37">
        <f>IF(AND(INDEX('feed pars'!$C$6:$AT$48,MATCH($A27,'feed pars'!$B$6:$B$48,0),V$1)&lt;&gt;"",V$1&lt;&gt;""), INDEX('feed pars'!$C$6:$AT$48,MATCH($A27,'feed pars'!$B$6:$B$48,0),V$1), "")</f>
        <v>13.4</v>
      </c>
      <c r="W27" s="37">
        <f>IF(AND(INDEX('feed pars'!$C$6:$AT$48,MATCH($A27,'feed pars'!$B$6:$B$48,0),W$1)&lt;&gt;"",W$1&lt;&gt;""), INDEX('feed pars'!$C$6:$AT$48,MATCH($A27,'feed pars'!$B$6:$B$48,0),W$1), "")</f>
        <v>15</v>
      </c>
      <c r="X27" s="37">
        <f>IF(AND(INDEX('feed pars'!$C$6:$AT$48,MATCH($A27,'feed pars'!$B$6:$B$48,0),X$1)&lt;&gt;"",X$1&lt;&gt;""), INDEX('feed pars'!$C$6:$AT$48,MATCH($A27,'feed pars'!$B$6:$B$48,0),X$1), "")</f>
        <v>97</v>
      </c>
      <c r="Z27" s="28" t="str">
        <f>'feed pars'!$B30</f>
        <v>palm kernel expeller</v>
      </c>
      <c r="AA27" t="s">
        <v>372</v>
      </c>
      <c r="AC27" s="37">
        <f>IF(AND(INDEX('feed pars'!$C$6:$AT$48,MATCH($A27,'feed pars'!$B$6:$B$48,0),AC$1)&lt;&gt;"",AC$1&lt;&gt;""), INDEX('feed pars'!$C$6:$AT$48,MATCH($A27,'feed pars'!$B$6:$B$48,0),AC$1), "")</f>
        <v>13.4</v>
      </c>
      <c r="AD27" s="37">
        <f>IF(AND(INDEX('feed pars'!$C$6:$AT$48,MATCH($A27,'feed pars'!$B$6:$B$48,0),AD$1)&lt;&gt;"",AD$1&lt;&gt;""), INDEX('feed pars'!$C$6:$AT$48,MATCH($A27,'feed pars'!$B$6:$B$48,0),AD$1), "")</f>
        <v>15</v>
      </c>
      <c r="AE27" s="37">
        <f>IF(AND(INDEX('feed pars'!$C$6:$AT$48,MATCH($A27,'feed pars'!$B$6:$B$48,0),AE$1)&lt;&gt;"",AE$1&lt;&gt;""), INDEX('feed pars'!$C$6:$AT$48,MATCH($A27,'feed pars'!$B$6:$B$48,0),AE$1), "")</f>
        <v>97</v>
      </c>
      <c r="AG27" s="28" t="str">
        <f>'feed pars'!$B30</f>
        <v>palm kernel expeller</v>
      </c>
      <c r="AH27" t="s">
        <v>20</v>
      </c>
      <c r="AI27" s="37"/>
      <c r="AJ27" s="37">
        <f>IF(AND(INDEX('feed pars'!$C$6:$AT$48,MATCH($A27,'feed pars'!$B$6:$B$48,0),AJ$1)&lt;&gt;"",AJ$1&lt;&gt;""), INDEX('feed pars'!$C$6:$AT$48,MATCH($A27,'feed pars'!$B$6:$B$48,0),AJ$1), "")</f>
        <v>5.4</v>
      </c>
      <c r="AK27" s="37">
        <f>IF(AND(INDEX('feed pars'!$C$6:$AT$48,MATCH($A27,'feed pars'!$B$6:$B$48,0),AK$1)&lt;&gt;"",AK$1&lt;&gt;""), INDEX('feed pars'!$C$6:$AT$48,MATCH($A27,'feed pars'!$B$6:$B$48,0),AK$1), "")</f>
        <v>8.4</v>
      </c>
      <c r="AM27" s="28" t="str">
        <f>'feed pars'!$B30</f>
        <v>palm kernel expeller</v>
      </c>
      <c r="AN27" t="s">
        <v>20</v>
      </c>
      <c r="AO27" t="s">
        <v>289</v>
      </c>
      <c r="AP27" s="37">
        <f>IF(AND(INDEX('feed pars'!$C$6:$AT$48,MATCH($A27,'feed pars'!$B$6:$B$48,0),AP$1)&lt;&gt;"",AP$1&lt;&gt;""), INDEX('feed pars'!$C$6:$AT$48,MATCH($A27,'feed pars'!$B$6:$B$48,0),AP$1), "")</f>
        <v>6.2</v>
      </c>
      <c r="AQ27" s="37" t="str">
        <f>IF(AND(INDEX('feed pars'!$C$6:$AT$48,MATCH($A27,'feed pars'!$B$6:$B$48,0),AQ$1)&lt;&gt;"",AQ$1&lt;&gt;""), INDEX('feed pars'!$C$6:$AT$48,MATCH($A27,'feed pars'!$B$6:$B$48,0),AQ$1), "")</f>
        <v/>
      </c>
      <c r="AS27" s="28" t="str">
        <f>'feed pars'!$B30</f>
        <v>palm kernel expeller</v>
      </c>
      <c r="AT27" t="s">
        <v>369</v>
      </c>
      <c r="AV27" s="28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t="str">
        <f>'feed pars'!$B31</f>
        <v>luzern meal</v>
      </c>
      <c r="D28" s="28">
        <f>IF(AND(INDEX('feed pars'!$C$6:$AT$48,MATCH($A28,'feed pars'!$B$6:$B$48,0),D$1)&lt;&gt;"",D$1&lt;&gt;""), INDEX('feed pars'!$C$6:$AT$48,MATCH($A28,'feed pars'!$B$6:$B$48,0),D$1), "")</f>
        <v>16.971140800000001</v>
      </c>
      <c r="E28" s="28">
        <f>IF(AND(INDEX('feed pars'!$C$6:$AT$48,MATCH($A28,'feed pars'!$B$6:$B$48,0),E$1)&lt;&gt;"",E$1&lt;&gt;""), INDEX('feed pars'!$C$6:$AT$48,MATCH($A28,'feed pars'!$B$6:$B$48,0),E$1), "")</f>
        <v>11.700000000000001</v>
      </c>
      <c r="F28" s="28">
        <f>IF(AND(INDEX('feed pars'!$C$6:$AT$48,MATCH($A28,'feed pars'!$B$6:$B$48,0),F$1)&lt;&gt;"",F$1&lt;&gt;""), INDEX('feed pars'!$C$6:$AT$48,MATCH($A28,'feed pars'!$B$6:$B$48,0),F$1), "")</f>
        <v>2.9279999999999999</v>
      </c>
      <c r="G28" s="28">
        <f>IF(AND(INDEX('feed pars'!$C$6:$AT$48,MATCH($A28,'feed pars'!$B$6:$B$48,0),G$1)&lt;&gt;"",G$1&lt;&gt;""), INDEX('feed pars'!$C$6:$AT$48,MATCH($A28,'feed pars'!$B$6:$B$48,0),G$1), "")</f>
        <v>0.27</v>
      </c>
      <c r="H28" s="28">
        <f>IF(AND(INDEX('feed pars'!$C$6:$AT$48,MATCH($A28,'feed pars'!$B$6:$B$48,0),H$1)&lt;&gt;"",H$1&lt;&gt;""), INDEX('feed pars'!$C$6:$AT$48,MATCH($A28,'feed pars'!$B$6:$B$48,0),H$1), "")</f>
        <v>2.56</v>
      </c>
      <c r="I28" s="28"/>
      <c r="J28" s="28" t="str">
        <f>'feed pars'!$B31</f>
        <v>luzern meal</v>
      </c>
      <c r="K28" t="s">
        <v>19</v>
      </c>
      <c r="M28" s="37">
        <f>IF(AND(INDEX('feed pars'!$C$6:$AT$48,MATCH($A28,'feed pars'!$B$6:$B$48,0),M$1)&lt;&gt;"",M$1&lt;&gt;""), INDEX('feed pars'!$C$6:$AT$48,MATCH($A28,'feed pars'!$B$6:$B$48,0),M$1), "")</f>
        <v>8.5</v>
      </c>
      <c r="N28" s="37">
        <f>IF(AND(INDEX('feed pars'!$C$6:$AT$48,MATCH($A28,'feed pars'!$B$6:$B$48,0),N$1)&lt;&gt;"",N$1&lt;&gt;""), INDEX('feed pars'!$C$6:$AT$48,MATCH($A28,'feed pars'!$B$6:$B$48,0),N$1), "")</f>
        <v>62</v>
      </c>
      <c r="O28" s="37">
        <f>IF(AND(INDEX('feed pars'!$C$6:$AT$48,MATCH($A28,'feed pars'!$B$6:$B$48,0),O$1)&lt;&gt;"",O$1&lt;&gt;""), INDEX('feed pars'!$C$6:$AT$48,MATCH($A28,'feed pars'!$B$6:$B$48,0),O$1), "")</f>
        <v>86</v>
      </c>
      <c r="P28" s="37">
        <f>IF(AND(INDEX('feed pars'!$C$6:$AT$48,MATCH($A28,'feed pars'!$B$6:$B$48,0),P$1)&lt;&gt;"",P$1&lt;&gt;""), INDEX('feed pars'!$C$6:$AT$48,MATCH($A28,'feed pars'!$B$6:$B$48,0),P$1), "")</f>
        <v>10.7</v>
      </c>
      <c r="Q28" s="37">
        <f>IF(AND(INDEX('feed pars'!$C$6:$AT$48,MATCH($A28,'feed pars'!$B$6:$B$48,0),Q$1)&lt;&gt;"",Q$1&lt;&gt;""), INDEX('feed pars'!$C$6:$AT$48,MATCH($A28,'feed pars'!$B$6:$B$48,0),Q$1), "")</f>
        <v>27</v>
      </c>
      <c r="S28" s="28" t="str">
        <f>'feed pars'!$B31</f>
        <v>luzern meal</v>
      </c>
      <c r="T28" t="s">
        <v>376</v>
      </c>
      <c r="V28" s="37">
        <f>IF(AND(INDEX('feed pars'!$C$6:$AT$48,MATCH($A28,'feed pars'!$B$6:$B$48,0),V$1)&lt;&gt;"",V$1&lt;&gt;""), INDEX('feed pars'!$C$6:$AT$48,MATCH($A28,'feed pars'!$B$6:$B$48,0),V$1), "")</f>
        <v>8.5</v>
      </c>
      <c r="W28" s="37">
        <f>IF(AND(INDEX('feed pars'!$C$6:$AT$48,MATCH($A28,'feed pars'!$B$6:$B$48,0),W$1)&lt;&gt;"",W$1&lt;&gt;""), INDEX('feed pars'!$C$6:$AT$48,MATCH($A28,'feed pars'!$B$6:$B$48,0),W$1), "")</f>
        <v>10.7</v>
      </c>
      <c r="X28" s="37">
        <f>IF(AND(INDEX('feed pars'!$C$6:$AT$48,MATCH($A28,'feed pars'!$B$6:$B$48,0),X$1)&lt;&gt;"",X$1&lt;&gt;""), INDEX('feed pars'!$C$6:$AT$48,MATCH($A28,'feed pars'!$B$6:$B$48,0),X$1), "")</f>
        <v>27</v>
      </c>
      <c r="Z28" s="28" t="str">
        <f>'feed pars'!$B31</f>
        <v>luzern meal</v>
      </c>
      <c r="AA28" t="s">
        <v>372</v>
      </c>
      <c r="AC28" s="37">
        <f>IF(AND(INDEX('feed pars'!$C$6:$AT$48,MATCH($A28,'feed pars'!$B$6:$B$48,0),AC$1)&lt;&gt;"",AC$1&lt;&gt;""), INDEX('feed pars'!$C$6:$AT$48,MATCH($A28,'feed pars'!$B$6:$B$48,0),AC$1), "")</f>
        <v>8.5</v>
      </c>
      <c r="AD28" s="37">
        <f>IF(AND(INDEX('feed pars'!$C$6:$AT$48,MATCH($A28,'feed pars'!$B$6:$B$48,0),AD$1)&lt;&gt;"",AD$1&lt;&gt;""), INDEX('feed pars'!$C$6:$AT$48,MATCH($A28,'feed pars'!$B$6:$B$48,0),AD$1), "")</f>
        <v>10.7</v>
      </c>
      <c r="AE28" s="37">
        <f>IF(AND(INDEX('feed pars'!$C$6:$AT$48,MATCH($A28,'feed pars'!$B$6:$B$48,0),AE$1)&lt;&gt;"",AE$1&lt;&gt;""), INDEX('feed pars'!$C$6:$AT$48,MATCH($A28,'feed pars'!$B$6:$B$48,0),AE$1), "")</f>
        <v>27</v>
      </c>
      <c r="AG28" s="28" t="str">
        <f>'feed pars'!$B31</f>
        <v>luzern meal</v>
      </c>
      <c r="AH28" t="s">
        <v>20</v>
      </c>
      <c r="AI28" s="37"/>
      <c r="AJ28" s="37" t="str">
        <f>IF(AND(INDEX('feed pars'!$C$6:$AT$48,MATCH($A28,'feed pars'!$B$6:$B$48,0),AJ$1)&lt;&gt;"",AJ$1&lt;&gt;""), INDEX('feed pars'!$C$6:$AT$48,MATCH($A28,'feed pars'!$B$6:$B$48,0),AJ$1), "")</f>
        <v/>
      </c>
      <c r="AK28" s="37" t="str">
        <f>IF(AND(INDEX('feed pars'!$C$6:$AT$48,MATCH($A28,'feed pars'!$B$6:$B$48,0),AK$1)&lt;&gt;"",AK$1&lt;&gt;""), INDEX('feed pars'!$C$6:$AT$48,MATCH($A28,'feed pars'!$B$6:$B$48,0),AK$1), "")</f>
        <v/>
      </c>
      <c r="AM28" s="28" t="str">
        <f>'feed pars'!$B31</f>
        <v>luzern meal</v>
      </c>
      <c r="AN28" t="s">
        <v>20</v>
      </c>
      <c r="AO28" t="s">
        <v>289</v>
      </c>
      <c r="AP28" s="37" t="str">
        <f>IF(AND(INDEX('feed pars'!$C$6:$AT$48,MATCH($A28,'feed pars'!$B$6:$B$48,0),AP$1)&lt;&gt;"",AP$1&lt;&gt;""), INDEX('feed pars'!$C$6:$AT$48,MATCH($A28,'feed pars'!$B$6:$B$48,0),AP$1), "")</f>
        <v/>
      </c>
      <c r="AQ28" s="37" t="str">
        <f>IF(AND(INDEX('feed pars'!$C$6:$AT$48,MATCH($A28,'feed pars'!$B$6:$B$48,0),AQ$1)&lt;&gt;"",AQ$1&lt;&gt;""), INDEX('feed pars'!$C$6:$AT$48,MATCH($A28,'feed pars'!$B$6:$B$48,0),AQ$1), "")</f>
        <v/>
      </c>
      <c r="AS28" s="28" t="str">
        <f>'feed pars'!$B31</f>
        <v>luzern meal</v>
      </c>
      <c r="AT28" t="s">
        <v>369</v>
      </c>
      <c r="AV28" s="28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t="str">
        <f>'feed pars'!$B32</f>
        <v>wheat bran</v>
      </c>
      <c r="D29" s="28">
        <f>IF(AND(INDEX('feed pars'!$C$6:$AT$48,MATCH($A29,'feed pars'!$B$6:$B$48,0),D$1)&lt;&gt;"",D$1&lt;&gt;""), INDEX('feed pars'!$C$6:$AT$48,MATCH($A29,'feed pars'!$B$6:$B$48,0),D$1), "")</f>
        <v>18.194124000000002</v>
      </c>
      <c r="E29" s="28">
        <f>IF(AND(INDEX('feed pars'!$C$6:$AT$48,MATCH($A29,'feed pars'!$B$6:$B$48,0),E$1)&lt;&gt;"",E$1&lt;&gt;""), INDEX('feed pars'!$C$6:$AT$48,MATCH($A29,'feed pars'!$B$6:$B$48,0),E$1), "")</f>
        <v>5.8999999999999995</v>
      </c>
      <c r="F29" s="28">
        <f>IF(AND(INDEX('feed pars'!$C$6:$AT$48,MATCH($A29,'feed pars'!$B$6:$B$48,0),F$1)&lt;&gt;"",F$1&lt;&gt;""), INDEX('feed pars'!$C$6:$AT$48,MATCH($A29,'feed pars'!$B$6:$B$48,0),F$1), "")</f>
        <v>2.6399999999999997</v>
      </c>
      <c r="G29" s="28">
        <f>IF(AND(INDEX('feed pars'!$C$6:$AT$48,MATCH($A29,'feed pars'!$B$6:$B$48,0),G$1)&lt;&gt;"",G$1&lt;&gt;""), INDEX('feed pars'!$C$6:$AT$48,MATCH($A29,'feed pars'!$B$6:$B$48,0),G$1), "")</f>
        <v>1.1950000000000001</v>
      </c>
      <c r="H29" s="28">
        <f>IF(AND(INDEX('feed pars'!$C$6:$AT$48,MATCH($A29,'feed pars'!$B$6:$B$48,0),H$1)&lt;&gt;"",H$1&lt;&gt;""), INDEX('feed pars'!$C$6:$AT$48,MATCH($A29,'feed pars'!$B$6:$B$48,0),H$1), "")</f>
        <v>1.35</v>
      </c>
      <c r="I29" s="28"/>
      <c r="J29" s="28" t="str">
        <f>'feed pars'!$B32</f>
        <v>wheat bran</v>
      </c>
      <c r="K29" t="s">
        <v>19</v>
      </c>
      <c r="M29" s="37">
        <f>IF(AND(INDEX('feed pars'!$C$6:$AT$48,MATCH($A29,'feed pars'!$B$6:$B$48,0),M$1)&lt;&gt;"",M$1&lt;&gt;""), INDEX('feed pars'!$C$6:$AT$48,MATCH($A29,'feed pars'!$B$6:$B$48,0),M$1), "")</f>
        <v>11</v>
      </c>
      <c r="N29" s="37">
        <f>IF(AND(INDEX('feed pars'!$C$6:$AT$48,MATCH($A29,'feed pars'!$B$6:$B$48,0),N$1)&lt;&gt;"",N$1&lt;&gt;""), INDEX('feed pars'!$C$6:$AT$48,MATCH($A29,'feed pars'!$B$6:$B$48,0),N$1), "")</f>
        <v>73</v>
      </c>
      <c r="O29" s="37">
        <f>IF(AND(INDEX('feed pars'!$C$6:$AT$48,MATCH($A29,'feed pars'!$B$6:$B$48,0),O$1)&lt;&gt;"",O$1&lt;&gt;""), INDEX('feed pars'!$C$6:$AT$48,MATCH($A29,'feed pars'!$B$6:$B$48,0),O$1), "")</f>
        <v>36</v>
      </c>
      <c r="P29" s="37">
        <f>IF(AND(INDEX('feed pars'!$C$6:$AT$48,MATCH($A29,'feed pars'!$B$6:$B$48,0),P$1)&lt;&gt;"",P$1&lt;&gt;""), INDEX('feed pars'!$C$6:$AT$48,MATCH($A29,'feed pars'!$B$6:$B$48,0),P$1), "")</f>
        <v>12.7</v>
      </c>
      <c r="Q29" s="37">
        <f>IF(AND(INDEX('feed pars'!$C$6:$AT$48,MATCH($A29,'feed pars'!$B$6:$B$48,0),Q$1)&lt;&gt;"",Q$1&lt;&gt;""), INDEX('feed pars'!$C$6:$AT$48,MATCH($A29,'feed pars'!$B$6:$B$48,0),Q$1), "")</f>
        <v>45</v>
      </c>
      <c r="S29" s="28" t="str">
        <f>'feed pars'!$B32</f>
        <v>wheat bran</v>
      </c>
      <c r="T29" t="s">
        <v>376</v>
      </c>
      <c r="V29" s="37">
        <f>IF(AND(INDEX('feed pars'!$C$6:$AT$48,MATCH($A29,'feed pars'!$B$6:$B$48,0),V$1)&lt;&gt;"",V$1&lt;&gt;""), INDEX('feed pars'!$C$6:$AT$48,MATCH($A29,'feed pars'!$B$6:$B$48,0),V$1), "")</f>
        <v>11</v>
      </c>
      <c r="W29" s="37">
        <f>IF(AND(INDEX('feed pars'!$C$6:$AT$48,MATCH($A29,'feed pars'!$B$6:$B$48,0),W$1)&lt;&gt;"",W$1&lt;&gt;""), INDEX('feed pars'!$C$6:$AT$48,MATCH($A29,'feed pars'!$B$6:$B$48,0),W$1), "")</f>
        <v>12.7</v>
      </c>
      <c r="X29" s="37">
        <f>IF(AND(INDEX('feed pars'!$C$6:$AT$48,MATCH($A29,'feed pars'!$B$6:$B$48,0),X$1)&lt;&gt;"",X$1&lt;&gt;""), INDEX('feed pars'!$C$6:$AT$48,MATCH($A29,'feed pars'!$B$6:$B$48,0),X$1), "")</f>
        <v>45</v>
      </c>
      <c r="Z29" s="28" t="str">
        <f>'feed pars'!$B32</f>
        <v>wheat bran</v>
      </c>
      <c r="AA29" t="s">
        <v>372</v>
      </c>
      <c r="AC29" s="37">
        <f>IF(AND(INDEX('feed pars'!$C$6:$AT$48,MATCH($A29,'feed pars'!$B$6:$B$48,0),AC$1)&lt;&gt;"",AC$1&lt;&gt;""), INDEX('feed pars'!$C$6:$AT$48,MATCH($A29,'feed pars'!$B$6:$B$48,0),AC$1), "")</f>
        <v>11</v>
      </c>
      <c r="AD29" s="37">
        <f>IF(AND(INDEX('feed pars'!$C$6:$AT$48,MATCH($A29,'feed pars'!$B$6:$B$48,0),AD$1)&lt;&gt;"",AD$1&lt;&gt;""), INDEX('feed pars'!$C$6:$AT$48,MATCH($A29,'feed pars'!$B$6:$B$48,0),AD$1), "")</f>
        <v>12.7</v>
      </c>
      <c r="AE29" s="37">
        <f>IF(AND(INDEX('feed pars'!$C$6:$AT$48,MATCH($A29,'feed pars'!$B$6:$B$48,0),AE$1)&lt;&gt;"",AE$1&lt;&gt;""), INDEX('feed pars'!$C$6:$AT$48,MATCH($A29,'feed pars'!$B$6:$B$48,0),AE$1), "")</f>
        <v>45</v>
      </c>
      <c r="AG29" s="28" t="str">
        <f>'feed pars'!$B32</f>
        <v>wheat bran</v>
      </c>
      <c r="AH29" t="s">
        <v>20</v>
      </c>
      <c r="AI29" s="37"/>
      <c r="AJ29" s="37">
        <f>IF(AND(INDEX('feed pars'!$C$6:$AT$48,MATCH($A29,'feed pars'!$B$6:$B$48,0),AJ$1)&lt;&gt;"",AJ$1&lt;&gt;""), INDEX('feed pars'!$C$6:$AT$48,MATCH($A29,'feed pars'!$B$6:$B$48,0),AJ$1), "")</f>
        <v>7.2</v>
      </c>
      <c r="AK29" s="37">
        <f>IF(AND(INDEX('feed pars'!$C$6:$AT$48,MATCH($A29,'feed pars'!$B$6:$B$48,0),AK$1)&lt;&gt;"",AK$1&lt;&gt;""), INDEX('feed pars'!$C$6:$AT$48,MATCH($A29,'feed pars'!$B$6:$B$48,0),AK$1), "")</f>
        <v>10.8</v>
      </c>
      <c r="AM29" s="28" t="str">
        <f>'feed pars'!$B32</f>
        <v>wheat bran</v>
      </c>
      <c r="AN29" t="s">
        <v>20</v>
      </c>
      <c r="AO29" t="s">
        <v>289</v>
      </c>
      <c r="AP29" s="37">
        <f>IF(AND(INDEX('feed pars'!$C$6:$AT$48,MATCH($A29,'feed pars'!$B$6:$B$48,0),AP$1)&lt;&gt;"",AP$1&lt;&gt;""), INDEX('feed pars'!$C$6:$AT$48,MATCH($A29,'feed pars'!$B$6:$B$48,0),AP$1), "")</f>
        <v>7.8</v>
      </c>
      <c r="AQ29" s="37" t="str">
        <f>IF(AND(INDEX('feed pars'!$C$6:$AT$48,MATCH($A29,'feed pars'!$B$6:$B$48,0),AQ$1)&lt;&gt;"",AQ$1&lt;&gt;""), INDEX('feed pars'!$C$6:$AT$48,MATCH($A29,'feed pars'!$B$6:$B$48,0),AQ$1), "")</f>
        <v/>
      </c>
      <c r="AS29" s="28" t="str">
        <f>'feed pars'!$B32</f>
        <v>wheat bran</v>
      </c>
      <c r="AT29" t="s">
        <v>369</v>
      </c>
      <c r="AV29" s="28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t="str">
        <f>'feed pars'!$B33</f>
        <v>wheat bran, fine</v>
      </c>
      <c r="D30" s="28">
        <f>IF(AND(INDEX('feed pars'!$C$6:$AT$48,MATCH($A30,'feed pars'!$B$6:$B$48,0),D$1)&lt;&gt;"",D$1&lt;&gt;""), INDEX('feed pars'!$C$6:$AT$48,MATCH($A30,'feed pars'!$B$6:$B$48,0),D$1), "")</f>
        <v>18.472360000000002</v>
      </c>
      <c r="E30" s="28">
        <f>IF(AND(INDEX('feed pars'!$C$6:$AT$48,MATCH($A30,'feed pars'!$B$6:$B$48,0),E$1)&lt;&gt;"",E$1&lt;&gt;""), INDEX('feed pars'!$C$6:$AT$48,MATCH($A30,'feed pars'!$B$6:$B$48,0),E$1), "")</f>
        <v>3.3000000000000003</v>
      </c>
      <c r="F30" s="28">
        <f>IF(AND(INDEX('feed pars'!$C$6:$AT$48,MATCH($A30,'feed pars'!$B$6:$B$48,0),F$1)&lt;&gt;"",F$1&lt;&gt;""), INDEX('feed pars'!$C$6:$AT$48,MATCH($A30,'feed pars'!$B$6:$B$48,0),F$1), "")</f>
        <v>2.6160000000000001</v>
      </c>
      <c r="G30" s="28">
        <f>IF(AND(INDEX('feed pars'!$C$6:$AT$48,MATCH($A30,'feed pars'!$B$6:$B$48,0),G$1)&lt;&gt;"",G$1&lt;&gt;""), INDEX('feed pars'!$C$6:$AT$48,MATCH($A30,'feed pars'!$B$6:$B$48,0),G$1), "")</f>
        <v>0.81500000000000006</v>
      </c>
      <c r="H30" s="28">
        <f>IF(AND(INDEX('feed pars'!$C$6:$AT$48,MATCH($A30,'feed pars'!$B$6:$B$48,0),H$1)&lt;&gt;"",H$1&lt;&gt;""), INDEX('feed pars'!$C$6:$AT$48,MATCH($A30,'feed pars'!$B$6:$B$48,0),H$1), "")</f>
        <v>0.96</v>
      </c>
      <c r="I30" s="28"/>
      <c r="J30" s="28" t="str">
        <f>'feed pars'!$B33</f>
        <v>wheat bran, fine</v>
      </c>
      <c r="K30" t="s">
        <v>19</v>
      </c>
      <c r="M30" s="28">
        <f>IF(AND(INDEX('feed pars'!$C$6:$AT$48,MATCH($A30,'feed pars'!$B$6:$B$48,0),M$1)&lt;&gt;"",M$1&lt;&gt;""), INDEX('feed pars'!$C$6:$AT$48,MATCH($A30,'feed pars'!$B$6:$B$48,0),M$1), "")</f>
        <v>13.3</v>
      </c>
      <c r="N30" s="37">
        <f>IF(AND(INDEX('feed pars'!$C$6:$AT$48,MATCH($A30,'feed pars'!$B$6:$B$48,0),N$1)&lt;&gt;"",N$1&lt;&gt;""), INDEX('feed pars'!$C$6:$AT$48,MATCH($A30,'feed pars'!$B$6:$B$48,0),N$1), "")</f>
        <v>63</v>
      </c>
      <c r="O30" s="37">
        <f>IF(AND(INDEX('feed pars'!$C$6:$AT$48,MATCH($A30,'feed pars'!$B$6:$B$48,0),O$1)&lt;&gt;"",O$1&lt;&gt;""), INDEX('feed pars'!$C$6:$AT$48,MATCH($A30,'feed pars'!$B$6:$B$48,0),O$1), "")</f>
        <v>98</v>
      </c>
      <c r="P30" s="37">
        <f>IF(AND(INDEX('feed pars'!$C$6:$AT$48,MATCH($A30,'feed pars'!$B$6:$B$48,0),P$1)&lt;&gt;"",P$1&lt;&gt;""), INDEX('feed pars'!$C$6:$AT$48,MATCH($A30,'feed pars'!$B$6:$B$48,0),P$1), "")</f>
        <v>15.627616560000002</v>
      </c>
      <c r="Q30" s="37">
        <f>IF(AND(INDEX('feed pars'!$C$6:$AT$48,MATCH($A30,'feed pars'!$B$6:$B$48,0),Q$1)&lt;&gt;"",Q$1&lt;&gt;""), INDEX('feed pars'!$C$6:$AT$48,MATCH($A30,'feed pars'!$B$6:$B$48,0),Q$1), "")</f>
        <v>27</v>
      </c>
      <c r="S30" s="28" t="str">
        <f>'feed pars'!$B33</f>
        <v>wheat bran, fine</v>
      </c>
      <c r="T30" t="s">
        <v>376</v>
      </c>
      <c r="V30" s="37">
        <f>IF(AND(INDEX('feed pars'!$C$6:$AT$48,MATCH($A30,'feed pars'!$B$6:$B$48,0),V$1)&lt;&gt;"",V$1&lt;&gt;""), INDEX('feed pars'!$C$6:$AT$48,MATCH($A30,'feed pars'!$B$6:$B$48,0),V$1), "")</f>
        <v>13.3</v>
      </c>
      <c r="W30" s="37">
        <f>IF(AND(INDEX('feed pars'!$C$6:$AT$48,MATCH($A30,'feed pars'!$B$6:$B$48,0),W$1)&lt;&gt;"",W$1&lt;&gt;""), INDEX('feed pars'!$C$6:$AT$48,MATCH($A30,'feed pars'!$B$6:$B$48,0),W$1), "")</f>
        <v>15.627616560000002</v>
      </c>
      <c r="X30" s="37">
        <f>IF(AND(INDEX('feed pars'!$C$6:$AT$48,MATCH($A30,'feed pars'!$B$6:$B$48,0),X$1)&lt;&gt;"",X$1&lt;&gt;""), INDEX('feed pars'!$C$6:$AT$48,MATCH($A30,'feed pars'!$B$6:$B$48,0),X$1), "")</f>
        <v>27</v>
      </c>
      <c r="Z30" s="28" t="str">
        <f>'feed pars'!$B33</f>
        <v>wheat bran, fine</v>
      </c>
      <c r="AA30" t="s">
        <v>372</v>
      </c>
      <c r="AC30" s="37">
        <f>IF(AND(INDEX('feed pars'!$C$6:$AT$48,MATCH($A30,'feed pars'!$B$6:$B$48,0),AC$1)&lt;&gt;"",AC$1&lt;&gt;""), INDEX('feed pars'!$C$6:$AT$48,MATCH($A30,'feed pars'!$B$6:$B$48,0),AC$1), "")</f>
        <v>13.3</v>
      </c>
      <c r="AD30" s="37">
        <f>IF(AND(INDEX('feed pars'!$C$6:$AT$48,MATCH($A30,'feed pars'!$B$6:$B$48,0),AD$1)&lt;&gt;"",AD$1&lt;&gt;""), INDEX('feed pars'!$C$6:$AT$48,MATCH($A30,'feed pars'!$B$6:$B$48,0),AD$1), "")</f>
        <v>15.627616560000002</v>
      </c>
      <c r="AE30" s="37">
        <f>IF(AND(INDEX('feed pars'!$C$6:$AT$48,MATCH($A30,'feed pars'!$B$6:$B$48,0),AE$1)&lt;&gt;"",AE$1&lt;&gt;""), INDEX('feed pars'!$C$6:$AT$48,MATCH($A30,'feed pars'!$B$6:$B$48,0),AE$1), "")</f>
        <v>27</v>
      </c>
      <c r="AG30" s="28" t="str">
        <f>'feed pars'!$B33</f>
        <v>wheat bran, fine</v>
      </c>
      <c r="AH30" t="s">
        <v>20</v>
      </c>
      <c r="AI30" s="37"/>
      <c r="AJ30" s="37">
        <f>IF(AND(INDEX('feed pars'!$C$6:$AT$48,MATCH($A30,'feed pars'!$B$6:$B$48,0),AJ$1)&lt;&gt;"",AJ$1&lt;&gt;""), INDEX('feed pars'!$C$6:$AT$48,MATCH($A30,'feed pars'!$B$6:$B$48,0),AJ$1), "")</f>
        <v>8.6999999999999993</v>
      </c>
      <c r="AK30" s="37">
        <f>IF(AND(INDEX('feed pars'!$C$6:$AT$48,MATCH($A30,'feed pars'!$B$6:$B$48,0),AK$1)&lt;&gt;"",AK$1&lt;&gt;""), INDEX('feed pars'!$C$6:$AT$48,MATCH($A30,'feed pars'!$B$6:$B$48,0),AK$1), "")</f>
        <v>17.5</v>
      </c>
      <c r="AM30" s="28" t="str">
        <f>'feed pars'!$B33</f>
        <v>wheat bran, fine</v>
      </c>
      <c r="AN30" t="s">
        <v>20</v>
      </c>
      <c r="AO30" t="s">
        <v>289</v>
      </c>
      <c r="AP30" s="37">
        <f>IF(AND(INDEX('feed pars'!$C$6:$AT$48,MATCH($A30,'feed pars'!$B$6:$B$48,0),AP$1)&lt;&gt;"",AP$1&lt;&gt;""), INDEX('feed pars'!$C$6:$AT$48,MATCH($A30,'feed pars'!$B$6:$B$48,0),AP$1), "")</f>
        <v>9.1999999999999993</v>
      </c>
      <c r="AQ30" s="37" t="str">
        <f>IF(AND(INDEX('feed pars'!$C$6:$AT$48,MATCH($A30,'feed pars'!$B$6:$B$48,0),AQ$1)&lt;&gt;"",AQ$1&lt;&gt;""), INDEX('feed pars'!$C$6:$AT$48,MATCH($A30,'feed pars'!$B$6:$B$48,0),AQ$1), "")</f>
        <v/>
      </c>
      <c r="AS30" s="28" t="str">
        <f>'feed pars'!$B33</f>
        <v>wheat bran, fine</v>
      </c>
      <c r="AT30" t="s">
        <v>369</v>
      </c>
      <c r="AV30" s="28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t="str">
        <f>'feed pars'!$B34</f>
        <v>oat hulls</v>
      </c>
      <c r="D31" s="28">
        <f>IF(AND(INDEX('feed pars'!$C$6:$AT$48,MATCH($A31,'feed pars'!$B$6:$B$48,0),D$1)&lt;&gt;"",D$1&lt;&gt;""), INDEX('feed pars'!$C$6:$AT$48,MATCH($A31,'feed pars'!$B$6:$B$48,0),D$1), "")</f>
        <v>16.845620799999999</v>
      </c>
      <c r="E31" s="28">
        <f>IF(AND(INDEX('feed pars'!$C$6:$AT$48,MATCH($A31,'feed pars'!$B$6:$B$48,0),E$1)&lt;&gt;"",E$1&lt;&gt;""), INDEX('feed pars'!$C$6:$AT$48,MATCH($A31,'feed pars'!$B$6:$B$48,0),E$1), "")</f>
        <v>5</v>
      </c>
      <c r="F31" s="28">
        <f>IF(AND(INDEX('feed pars'!$C$6:$AT$48,MATCH($A31,'feed pars'!$B$6:$B$48,0),F$1)&lt;&gt;"",F$1&lt;&gt;""), INDEX('feed pars'!$C$6:$AT$48,MATCH($A31,'feed pars'!$B$6:$B$48,0),F$1), "")</f>
        <v>0.41600000000000004</v>
      </c>
      <c r="G31" s="28">
        <f>IF(AND(INDEX('feed pars'!$C$6:$AT$48,MATCH($A31,'feed pars'!$B$6:$B$48,0),G$1)&lt;&gt;"",G$1&lt;&gt;""), INDEX('feed pars'!$C$6:$AT$48,MATCH($A31,'feed pars'!$B$6:$B$48,0),G$1), "")</f>
        <v>0.44</v>
      </c>
      <c r="H31" s="28">
        <f>IF(AND(INDEX('feed pars'!$C$6:$AT$48,MATCH($A31,'feed pars'!$B$6:$B$48,0),H$1)&lt;&gt;"",H$1&lt;&gt;""), INDEX('feed pars'!$C$6:$AT$48,MATCH($A31,'feed pars'!$B$6:$B$48,0),H$1), "")</f>
        <v>0.6</v>
      </c>
      <c r="I31" s="28"/>
      <c r="J31" s="28" t="str">
        <f>'feed pars'!$B34</f>
        <v>oat hulls</v>
      </c>
      <c r="K31" t="s">
        <v>19</v>
      </c>
      <c r="M31" s="37">
        <f>IF(AND(INDEX('feed pars'!$C$6:$AT$48,MATCH($A31,'feed pars'!$B$6:$B$48,0),M$1)&lt;&gt;"",M$1&lt;&gt;""), INDEX('feed pars'!$C$6:$AT$48,MATCH($A31,'feed pars'!$B$6:$B$48,0),M$1), "")</f>
        <v>5.2</v>
      </c>
      <c r="N31" s="37">
        <f>IF(AND(INDEX('feed pars'!$C$6:$AT$48,MATCH($A31,'feed pars'!$B$6:$B$48,0),N$1)&lt;&gt;"",N$1&lt;&gt;""), INDEX('feed pars'!$C$6:$AT$48,MATCH($A31,'feed pars'!$B$6:$B$48,0),N$1), "")</f>
        <v>32</v>
      </c>
      <c r="O31" s="37">
        <f>IF(AND(INDEX('feed pars'!$C$6:$AT$48,MATCH($A31,'feed pars'!$B$6:$B$48,0),O$1)&lt;&gt;"",O$1&lt;&gt;""), INDEX('feed pars'!$C$6:$AT$48,MATCH($A31,'feed pars'!$B$6:$B$48,0),O$1), "")</f>
        <v>-8</v>
      </c>
      <c r="P31" s="37">
        <f>IF(AND(INDEX('feed pars'!$C$6:$AT$48,MATCH($A31,'feed pars'!$B$6:$B$48,0),P$1)&lt;&gt;"",P$1&lt;&gt;""), INDEX('feed pars'!$C$6:$AT$48,MATCH($A31,'feed pars'!$B$6:$B$48,0),P$1), "")</f>
        <v>6.2</v>
      </c>
      <c r="Q31" s="37">
        <f>IF(AND(INDEX('feed pars'!$C$6:$AT$48,MATCH($A31,'feed pars'!$B$6:$B$48,0),Q$1)&lt;&gt;"",Q$1&lt;&gt;""), INDEX('feed pars'!$C$6:$AT$48,MATCH($A31,'feed pars'!$B$6:$B$48,0),Q$1), "")</f>
        <v>20</v>
      </c>
      <c r="S31" s="28" t="str">
        <f>'feed pars'!$B34</f>
        <v>oat hulls</v>
      </c>
      <c r="T31" t="s">
        <v>376</v>
      </c>
      <c r="V31" s="37">
        <f>IF(AND(INDEX('feed pars'!$C$6:$AT$48,MATCH($A31,'feed pars'!$B$6:$B$48,0),V$1)&lt;&gt;"",V$1&lt;&gt;""), INDEX('feed pars'!$C$6:$AT$48,MATCH($A31,'feed pars'!$B$6:$B$48,0),V$1), "")</f>
        <v>5.2</v>
      </c>
      <c r="W31" s="37">
        <f>IF(AND(INDEX('feed pars'!$C$6:$AT$48,MATCH($A31,'feed pars'!$B$6:$B$48,0),W$1)&lt;&gt;"",W$1&lt;&gt;""), INDEX('feed pars'!$C$6:$AT$48,MATCH($A31,'feed pars'!$B$6:$B$48,0),W$1), "")</f>
        <v>6.2</v>
      </c>
      <c r="X31" s="37">
        <f>IF(AND(INDEX('feed pars'!$C$6:$AT$48,MATCH($A31,'feed pars'!$B$6:$B$48,0),X$1)&lt;&gt;"",X$1&lt;&gt;""), INDEX('feed pars'!$C$6:$AT$48,MATCH($A31,'feed pars'!$B$6:$B$48,0),X$1), "")</f>
        <v>20</v>
      </c>
      <c r="Z31" s="28" t="str">
        <f>'feed pars'!$B34</f>
        <v>oat hulls</v>
      </c>
      <c r="AA31" t="s">
        <v>372</v>
      </c>
      <c r="AC31" s="37">
        <f>IF(AND(INDEX('feed pars'!$C$6:$AT$48,MATCH($A31,'feed pars'!$B$6:$B$48,0),AC$1)&lt;&gt;"",AC$1&lt;&gt;""), INDEX('feed pars'!$C$6:$AT$48,MATCH($A31,'feed pars'!$B$6:$B$48,0),AC$1), "")</f>
        <v>5.2</v>
      </c>
      <c r="AD31" s="37">
        <f>IF(AND(INDEX('feed pars'!$C$6:$AT$48,MATCH($A31,'feed pars'!$B$6:$B$48,0),AD$1)&lt;&gt;"",AD$1&lt;&gt;""), INDEX('feed pars'!$C$6:$AT$48,MATCH($A31,'feed pars'!$B$6:$B$48,0),AD$1), "")</f>
        <v>6.2</v>
      </c>
      <c r="AE31" s="37">
        <f>IF(AND(INDEX('feed pars'!$C$6:$AT$48,MATCH($A31,'feed pars'!$B$6:$B$48,0),AE$1)&lt;&gt;"",AE$1&lt;&gt;""), INDEX('feed pars'!$C$6:$AT$48,MATCH($A31,'feed pars'!$B$6:$B$48,0),AE$1), "")</f>
        <v>20</v>
      </c>
      <c r="AG31" s="28" t="str">
        <f>'feed pars'!$B34</f>
        <v>oat hulls</v>
      </c>
      <c r="AH31" t="s">
        <v>20</v>
      </c>
      <c r="AI31" s="37"/>
      <c r="AJ31" s="37" t="str">
        <f>IF(AND(INDEX('feed pars'!$C$6:$AT$48,MATCH($A31,'feed pars'!$B$6:$B$48,0),AJ$1)&lt;&gt;"",AJ$1&lt;&gt;""), INDEX('feed pars'!$C$6:$AT$48,MATCH($A31,'feed pars'!$B$6:$B$48,0),AJ$1), "")</f>
        <v/>
      </c>
      <c r="AK31" s="37" t="str">
        <f>IF(AND(INDEX('feed pars'!$C$6:$AT$48,MATCH($A31,'feed pars'!$B$6:$B$48,0),AK$1)&lt;&gt;"",AK$1&lt;&gt;""), INDEX('feed pars'!$C$6:$AT$48,MATCH($A31,'feed pars'!$B$6:$B$48,0),AK$1), "")</f>
        <v/>
      </c>
      <c r="AM31" s="28" t="str">
        <f>'feed pars'!$B34</f>
        <v>oat hulls</v>
      </c>
      <c r="AN31" t="s">
        <v>20</v>
      </c>
      <c r="AO31" t="s">
        <v>289</v>
      </c>
      <c r="AP31" s="37" t="str">
        <f>IF(AND(INDEX('feed pars'!$C$6:$AT$48,MATCH($A31,'feed pars'!$B$6:$B$48,0),AP$1)&lt;&gt;"",AP$1&lt;&gt;""), INDEX('feed pars'!$C$6:$AT$48,MATCH($A31,'feed pars'!$B$6:$B$48,0),AP$1), "")</f>
        <v/>
      </c>
      <c r="AQ31" s="37" t="str">
        <f>IF(AND(INDEX('feed pars'!$C$6:$AT$48,MATCH($A31,'feed pars'!$B$6:$B$48,0),AQ$1)&lt;&gt;"",AQ$1&lt;&gt;""), INDEX('feed pars'!$C$6:$AT$48,MATCH($A31,'feed pars'!$B$6:$B$48,0),AQ$1), "")</f>
        <v/>
      </c>
      <c r="AS31" s="28" t="str">
        <f>'feed pars'!$B34</f>
        <v>oat hulls</v>
      </c>
      <c r="AT31" t="s">
        <v>369</v>
      </c>
      <c r="AV31" s="28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t="str">
        <f>'feed pars'!$B35</f>
        <v>oat bran</v>
      </c>
      <c r="D32" s="28">
        <f>IF(AND(INDEX('feed pars'!$C$6:$AT$48,MATCH($A32,'feed pars'!$B$6:$B$48,0),D$1)&lt;&gt;"",D$1&lt;&gt;""), INDEX('feed pars'!$C$6:$AT$48,MATCH($A32,'feed pars'!$B$6:$B$48,0),D$1), "")</f>
        <v>17.3422616</v>
      </c>
      <c r="E32" s="28">
        <f>IF(AND(INDEX('feed pars'!$C$6:$AT$48,MATCH($A32,'feed pars'!$B$6:$B$48,0),E$1)&lt;&gt;"",E$1&lt;&gt;""), INDEX('feed pars'!$C$6:$AT$48,MATCH($A32,'feed pars'!$B$6:$B$48,0),E$1), "")</f>
        <v>5.5</v>
      </c>
      <c r="F32" s="28">
        <f>IF(AND(INDEX('feed pars'!$C$6:$AT$48,MATCH($A32,'feed pars'!$B$6:$B$48,0),F$1)&lt;&gt;"",F$1&lt;&gt;""), INDEX('feed pars'!$C$6:$AT$48,MATCH($A32,'feed pars'!$B$6:$B$48,0),F$1), "")</f>
        <v>1.008</v>
      </c>
      <c r="G32" s="28">
        <f>IF(AND(INDEX('feed pars'!$C$6:$AT$48,MATCH($A32,'feed pars'!$B$6:$B$48,0),G$1)&lt;&gt;"",G$1&lt;&gt;""), INDEX('feed pars'!$C$6:$AT$48,MATCH($A32,'feed pars'!$B$6:$B$48,0),G$1), "")</f>
        <v>0.77</v>
      </c>
      <c r="H32" s="28">
        <f>IF(AND(INDEX('feed pars'!$C$6:$AT$48,MATCH($A32,'feed pars'!$B$6:$B$48,0),H$1)&lt;&gt;"",H$1&lt;&gt;""), INDEX('feed pars'!$C$6:$AT$48,MATCH($A32,'feed pars'!$B$6:$B$48,0),H$1), "")</f>
        <v>0</v>
      </c>
      <c r="I32" s="28"/>
      <c r="J32" s="28" t="str">
        <f>'feed pars'!$B35</f>
        <v>oat bran</v>
      </c>
      <c r="K32" t="s">
        <v>19</v>
      </c>
      <c r="M32" s="37">
        <f>IF(AND(INDEX('feed pars'!$C$6:$AT$48,MATCH($A32,'feed pars'!$B$6:$B$48,0),M$1)&lt;&gt;"",M$1&lt;&gt;""), INDEX('feed pars'!$C$6:$AT$48,MATCH($A32,'feed pars'!$B$6:$B$48,0),M$1), "")</f>
        <v>7.2</v>
      </c>
      <c r="N32" s="37">
        <f>IF(AND(INDEX('feed pars'!$C$6:$AT$48,MATCH($A32,'feed pars'!$B$6:$B$48,0),N$1)&lt;&gt;"",N$1&lt;&gt;""), INDEX('feed pars'!$C$6:$AT$48,MATCH($A32,'feed pars'!$B$6:$B$48,0),N$1), "")</f>
        <v>56</v>
      </c>
      <c r="O32" s="37">
        <f>IF(AND(INDEX('feed pars'!$C$6:$AT$48,MATCH($A32,'feed pars'!$B$6:$B$48,0),O$1)&lt;&gt;"",O$1&lt;&gt;""), INDEX('feed pars'!$C$6:$AT$48,MATCH($A32,'feed pars'!$B$6:$B$48,0),O$1), "")</f>
        <v>-28</v>
      </c>
      <c r="P32" s="37">
        <f>IF(AND(INDEX('feed pars'!$C$6:$AT$48,MATCH($A32,'feed pars'!$B$6:$B$48,0),P$1)&lt;&gt;"",P$1&lt;&gt;""), INDEX('feed pars'!$C$6:$AT$48,MATCH($A32,'feed pars'!$B$6:$B$48,0),P$1), "")</f>
        <v>8.4</v>
      </c>
      <c r="Q32" s="37">
        <f>IF(AND(INDEX('feed pars'!$C$6:$AT$48,MATCH($A32,'feed pars'!$B$6:$B$48,0),Q$1)&lt;&gt;"",Q$1&lt;&gt;""), INDEX('feed pars'!$C$6:$AT$48,MATCH($A32,'feed pars'!$B$6:$B$48,0),Q$1), "")</f>
        <v>32</v>
      </c>
      <c r="S32" s="28" t="str">
        <f>'feed pars'!$B35</f>
        <v>oat bran</v>
      </c>
      <c r="T32" t="s">
        <v>376</v>
      </c>
      <c r="V32" s="37">
        <f>IF(AND(INDEX('feed pars'!$C$6:$AT$48,MATCH($A32,'feed pars'!$B$6:$B$48,0),V$1)&lt;&gt;"",V$1&lt;&gt;""), INDEX('feed pars'!$C$6:$AT$48,MATCH($A32,'feed pars'!$B$6:$B$48,0),V$1), "")</f>
        <v>7.2</v>
      </c>
      <c r="W32" s="37">
        <f>IF(AND(INDEX('feed pars'!$C$6:$AT$48,MATCH($A32,'feed pars'!$B$6:$B$48,0),W$1)&lt;&gt;"",W$1&lt;&gt;""), INDEX('feed pars'!$C$6:$AT$48,MATCH($A32,'feed pars'!$B$6:$B$48,0),W$1), "")</f>
        <v>8.4</v>
      </c>
      <c r="X32" s="37">
        <f>IF(AND(INDEX('feed pars'!$C$6:$AT$48,MATCH($A32,'feed pars'!$B$6:$B$48,0),X$1)&lt;&gt;"",X$1&lt;&gt;""), INDEX('feed pars'!$C$6:$AT$48,MATCH($A32,'feed pars'!$B$6:$B$48,0),X$1), "")</f>
        <v>32</v>
      </c>
      <c r="Z32" s="28" t="str">
        <f>'feed pars'!$B35</f>
        <v>oat bran</v>
      </c>
      <c r="AA32" t="s">
        <v>372</v>
      </c>
      <c r="AC32" s="37">
        <f>IF(AND(INDEX('feed pars'!$C$6:$AT$48,MATCH($A32,'feed pars'!$B$6:$B$48,0),AC$1)&lt;&gt;"",AC$1&lt;&gt;""), INDEX('feed pars'!$C$6:$AT$48,MATCH($A32,'feed pars'!$B$6:$B$48,0),AC$1), "")</f>
        <v>7.2</v>
      </c>
      <c r="AD32" s="37">
        <f>IF(AND(INDEX('feed pars'!$C$6:$AT$48,MATCH($A32,'feed pars'!$B$6:$B$48,0),AD$1)&lt;&gt;"",AD$1&lt;&gt;""), INDEX('feed pars'!$C$6:$AT$48,MATCH($A32,'feed pars'!$B$6:$B$48,0),AD$1), "")</f>
        <v>8.4</v>
      </c>
      <c r="AE32" s="37">
        <f>IF(AND(INDEX('feed pars'!$C$6:$AT$48,MATCH($A32,'feed pars'!$B$6:$B$48,0),AE$1)&lt;&gt;"",AE$1&lt;&gt;""), INDEX('feed pars'!$C$6:$AT$48,MATCH($A32,'feed pars'!$B$6:$B$48,0),AE$1), "")</f>
        <v>32</v>
      </c>
      <c r="AG32" s="28" t="str">
        <f>'feed pars'!$B35</f>
        <v>oat bran</v>
      </c>
      <c r="AH32" t="s">
        <v>20</v>
      </c>
      <c r="AI32" s="37"/>
      <c r="AJ32" s="37" t="str">
        <f>IF(AND(INDEX('feed pars'!$C$6:$AT$48,MATCH($A32,'feed pars'!$B$6:$B$48,0),AJ$1)&lt;&gt;"",AJ$1&lt;&gt;""), INDEX('feed pars'!$C$6:$AT$48,MATCH($A32,'feed pars'!$B$6:$B$48,0),AJ$1), "")</f>
        <v/>
      </c>
      <c r="AK32" s="37" t="str">
        <f>IF(AND(INDEX('feed pars'!$C$6:$AT$48,MATCH($A32,'feed pars'!$B$6:$B$48,0),AK$1)&lt;&gt;"",AK$1&lt;&gt;""), INDEX('feed pars'!$C$6:$AT$48,MATCH($A32,'feed pars'!$B$6:$B$48,0),AK$1), "")</f>
        <v/>
      </c>
      <c r="AM32" s="28" t="str">
        <f>'feed pars'!$B35</f>
        <v>oat bran</v>
      </c>
      <c r="AN32" t="s">
        <v>20</v>
      </c>
      <c r="AO32" t="s">
        <v>289</v>
      </c>
      <c r="AP32" s="37" t="str">
        <f>IF(AND(INDEX('feed pars'!$C$6:$AT$48,MATCH($A32,'feed pars'!$B$6:$B$48,0),AP$1)&lt;&gt;"",AP$1&lt;&gt;""), INDEX('feed pars'!$C$6:$AT$48,MATCH($A32,'feed pars'!$B$6:$B$48,0),AP$1), "")</f>
        <v/>
      </c>
      <c r="AQ32" s="37" t="str">
        <f>IF(AND(INDEX('feed pars'!$C$6:$AT$48,MATCH($A32,'feed pars'!$B$6:$B$48,0),AQ$1)&lt;&gt;"",AQ$1&lt;&gt;""), INDEX('feed pars'!$C$6:$AT$48,MATCH($A32,'feed pars'!$B$6:$B$48,0),AQ$1), "")</f>
        <v/>
      </c>
      <c r="AS32" s="28" t="str">
        <f>'feed pars'!$B35</f>
        <v>oat bran</v>
      </c>
      <c r="AT32" t="s">
        <v>369</v>
      </c>
      <c r="AV32" s="28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t="str">
        <f>'feed pars'!$B36</f>
        <v>rye bran</v>
      </c>
      <c r="D33" s="28">
        <f>IF(AND(INDEX('feed pars'!$C$6:$AT$48,MATCH($A33,'feed pars'!$B$6:$B$48,0),D$1)&lt;&gt;"",D$1&lt;&gt;""), INDEX('feed pars'!$C$6:$AT$48,MATCH($A33,'feed pars'!$B$6:$B$48,0),D$1), "")</f>
        <v>18.340564000000001</v>
      </c>
      <c r="E33" s="28">
        <f>IF(AND(INDEX('feed pars'!$C$6:$AT$48,MATCH($A33,'feed pars'!$B$6:$B$48,0),E$1)&lt;&gt;"",E$1&lt;&gt;""), INDEX('feed pars'!$C$6:$AT$48,MATCH($A33,'feed pars'!$B$6:$B$48,0),E$1), "")</f>
        <v>4.5</v>
      </c>
      <c r="F33" s="28">
        <f>IF(AND(INDEX('feed pars'!$C$6:$AT$48,MATCH($A33,'feed pars'!$B$6:$B$48,0),F$1)&lt;&gt;"",F$1&lt;&gt;""), INDEX('feed pars'!$C$6:$AT$48,MATCH($A33,'feed pars'!$B$6:$B$48,0),F$1), "")</f>
        <v>2.56</v>
      </c>
      <c r="G33" s="28">
        <f>IF(AND(INDEX('feed pars'!$C$6:$AT$48,MATCH($A33,'feed pars'!$B$6:$B$48,0),G$1)&lt;&gt;"",G$1&lt;&gt;""), INDEX('feed pars'!$C$6:$AT$48,MATCH($A33,'feed pars'!$B$6:$B$48,0),G$1), "")</f>
        <v>1.1100000000000001</v>
      </c>
      <c r="H33" s="28">
        <f>IF(AND(INDEX('feed pars'!$C$6:$AT$48,MATCH($A33,'feed pars'!$B$6:$B$48,0),H$1)&lt;&gt;"",H$1&lt;&gt;""), INDEX('feed pars'!$C$6:$AT$48,MATCH($A33,'feed pars'!$B$6:$B$48,0),H$1), "")</f>
        <v>1.6</v>
      </c>
      <c r="J33" s="28" t="str">
        <f>'feed pars'!$B36</f>
        <v>rye bran</v>
      </c>
      <c r="K33" t="s">
        <v>19</v>
      </c>
      <c r="M33" s="37">
        <f>IF(AND(INDEX('feed pars'!$C$6:$AT$48,MATCH($A33,'feed pars'!$B$6:$B$48,0),M$1)&lt;&gt;"",M$1&lt;&gt;""), INDEX('feed pars'!$C$6:$AT$48,MATCH($A33,'feed pars'!$B$6:$B$48,0),M$1), "")</f>
        <v>11.6</v>
      </c>
      <c r="N33" s="37">
        <f>IF(AND(INDEX('feed pars'!$C$6:$AT$48,MATCH($A33,'feed pars'!$B$6:$B$48,0),N$1)&lt;&gt;"",N$1&lt;&gt;""), INDEX('feed pars'!$C$6:$AT$48,MATCH($A33,'feed pars'!$B$6:$B$48,0),N$1), "")</f>
        <v>78</v>
      </c>
      <c r="O33" s="37">
        <f>IF(AND(INDEX('feed pars'!$C$6:$AT$48,MATCH($A33,'feed pars'!$B$6:$B$48,0),O$1)&lt;&gt;"",O$1&lt;&gt;""), INDEX('feed pars'!$C$6:$AT$48,MATCH($A33,'feed pars'!$B$6:$B$48,0),O$1), "")</f>
        <v>34</v>
      </c>
      <c r="P33" s="37">
        <f>IF(AND(INDEX('feed pars'!$C$6:$AT$48,MATCH($A33,'feed pars'!$B$6:$B$48,0),P$1)&lt;&gt;"",P$1&lt;&gt;""), INDEX('feed pars'!$C$6:$AT$48,MATCH($A33,'feed pars'!$B$6:$B$48,0),P$1), "")</f>
        <v>13.2</v>
      </c>
      <c r="Q33" s="37">
        <f>IF(AND(INDEX('feed pars'!$C$6:$AT$48,MATCH($A33,'feed pars'!$B$6:$B$48,0),Q$1)&lt;&gt;"",Q$1&lt;&gt;""), INDEX('feed pars'!$C$6:$AT$48,MATCH($A33,'feed pars'!$B$6:$B$48,0),Q$1), "")</f>
        <v>40</v>
      </c>
      <c r="S33" s="28" t="str">
        <f>'feed pars'!$B36</f>
        <v>rye bran</v>
      </c>
      <c r="T33" t="s">
        <v>376</v>
      </c>
      <c r="V33" s="37">
        <f>IF(AND(INDEX('feed pars'!$C$6:$AT$48,MATCH($A33,'feed pars'!$B$6:$B$48,0),V$1)&lt;&gt;"",V$1&lt;&gt;""), INDEX('feed pars'!$C$6:$AT$48,MATCH($A33,'feed pars'!$B$6:$B$48,0),V$1), "")</f>
        <v>11.6</v>
      </c>
      <c r="W33" s="37">
        <f>IF(AND(INDEX('feed pars'!$C$6:$AT$48,MATCH($A33,'feed pars'!$B$6:$B$48,0),W$1)&lt;&gt;"",W$1&lt;&gt;""), INDEX('feed pars'!$C$6:$AT$48,MATCH($A33,'feed pars'!$B$6:$B$48,0),W$1), "")</f>
        <v>13.2</v>
      </c>
      <c r="X33" s="37">
        <f>IF(AND(INDEX('feed pars'!$C$6:$AT$48,MATCH($A33,'feed pars'!$B$6:$B$48,0),X$1)&lt;&gt;"",X$1&lt;&gt;""), INDEX('feed pars'!$C$6:$AT$48,MATCH($A33,'feed pars'!$B$6:$B$48,0),X$1), "")</f>
        <v>40</v>
      </c>
      <c r="Z33" s="28" t="str">
        <f>'feed pars'!$B36</f>
        <v>rye bran</v>
      </c>
      <c r="AA33" t="s">
        <v>372</v>
      </c>
      <c r="AC33" s="37">
        <f>IF(AND(INDEX('feed pars'!$C$6:$AT$48,MATCH($A33,'feed pars'!$B$6:$B$48,0),AC$1)&lt;&gt;"",AC$1&lt;&gt;""), INDEX('feed pars'!$C$6:$AT$48,MATCH($A33,'feed pars'!$B$6:$B$48,0),AC$1), "")</f>
        <v>11.6</v>
      </c>
      <c r="AD33" s="37">
        <f>IF(AND(INDEX('feed pars'!$C$6:$AT$48,MATCH($A33,'feed pars'!$B$6:$B$48,0),AD$1)&lt;&gt;"",AD$1&lt;&gt;""), INDEX('feed pars'!$C$6:$AT$48,MATCH($A33,'feed pars'!$B$6:$B$48,0),AD$1), "")</f>
        <v>13.2</v>
      </c>
      <c r="AE33" s="37">
        <f>IF(AND(INDEX('feed pars'!$C$6:$AT$48,MATCH($A33,'feed pars'!$B$6:$B$48,0),AE$1)&lt;&gt;"",AE$1&lt;&gt;""), INDEX('feed pars'!$C$6:$AT$48,MATCH($A33,'feed pars'!$B$6:$B$48,0),AE$1), "")</f>
        <v>40</v>
      </c>
      <c r="AG33" s="28" t="str">
        <f>'feed pars'!$B36</f>
        <v>rye bran</v>
      </c>
      <c r="AH33" t="s">
        <v>20</v>
      </c>
      <c r="AJ33" t="str">
        <f>IF(AND(INDEX('feed pars'!$C$6:$AT$48,MATCH($A33,'feed pars'!$B$6:$B$48,0),AJ$1)&lt;&gt;"",AJ$1&lt;&gt;""), INDEX('feed pars'!$C$6:$AT$48,MATCH($A33,'feed pars'!$B$6:$B$48,0),AJ$1), "")</f>
        <v/>
      </c>
      <c r="AK33" t="str">
        <f>IF(AND(INDEX('feed pars'!$C$6:$AT$48,MATCH($A33,'feed pars'!$B$6:$B$48,0),AK$1)&lt;&gt;"",AK$1&lt;&gt;""), INDEX('feed pars'!$C$6:$AT$48,MATCH($A33,'feed pars'!$B$6:$B$48,0),AK$1), "")</f>
        <v/>
      </c>
      <c r="AM33" s="28" t="str">
        <f>'feed pars'!$B36</f>
        <v>rye bran</v>
      </c>
      <c r="AN33" t="s">
        <v>20</v>
      </c>
      <c r="AO33" t="s">
        <v>289</v>
      </c>
      <c r="AP33" s="37" t="str">
        <f>IF(AND(INDEX('feed pars'!$C$6:$AT$48,MATCH($A33,'feed pars'!$B$6:$B$48,0),AP$1)&lt;&gt;"",AP$1&lt;&gt;""), INDEX('feed pars'!$C$6:$AT$48,MATCH($A33,'feed pars'!$B$6:$B$48,0),AP$1), "")</f>
        <v/>
      </c>
      <c r="AQ33" s="37" t="str">
        <f>IF(AND(INDEX('feed pars'!$C$6:$AT$48,MATCH($A33,'feed pars'!$B$6:$B$48,0),AQ$1)&lt;&gt;"",AQ$1&lt;&gt;""), INDEX('feed pars'!$C$6:$AT$48,MATCH($A33,'feed pars'!$B$6:$B$48,0),AQ$1), "")</f>
        <v/>
      </c>
      <c r="AS33" s="28" t="str">
        <f>'feed pars'!$B36</f>
        <v>rye bran</v>
      </c>
      <c r="AT33" t="s">
        <v>369</v>
      </c>
      <c r="AV33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t="str">
        <f>'feed pars'!$B37</f>
        <v>wheat distillers grain, dry</v>
      </c>
      <c r="D34" s="28">
        <f>IF(AND(INDEX('feed pars'!$C$6:$AT$48,MATCH($A34,'feed pars'!$B$6:$B$48,0),D$1)&lt;&gt;"",D$1&lt;&gt;""), INDEX('feed pars'!$C$6:$AT$48,MATCH($A34,'feed pars'!$B$6:$B$48,0),D$1), "")</f>
        <v>19.659779199999999</v>
      </c>
      <c r="E34" s="28">
        <f>IF(AND(INDEX('feed pars'!$C$6:$AT$48,MATCH($A34,'feed pars'!$B$6:$B$48,0),E$1)&lt;&gt;"",E$1&lt;&gt;""), INDEX('feed pars'!$C$6:$AT$48,MATCH($A34,'feed pars'!$B$6:$B$48,0),E$1), "")</f>
        <v>4.05</v>
      </c>
      <c r="F34" s="28">
        <f>IF(AND(INDEX('feed pars'!$C$6:$AT$48,MATCH($A34,'feed pars'!$B$6:$B$48,0),F$1)&lt;&gt;"",F$1&lt;&gt;""), INDEX('feed pars'!$C$6:$AT$48,MATCH($A34,'feed pars'!$B$6:$B$48,0),F$1), "")</f>
        <v>5.2799999999999994</v>
      </c>
      <c r="G34" s="28">
        <f>IF(AND(INDEX('feed pars'!$C$6:$AT$48,MATCH($A34,'feed pars'!$B$6:$B$48,0),G$1)&lt;&gt;"",G$1&lt;&gt;""), INDEX('feed pars'!$C$6:$AT$48,MATCH($A34,'feed pars'!$B$6:$B$48,0),G$1), "")</f>
        <v>0.88</v>
      </c>
      <c r="H34" s="28">
        <f>IF(AND(INDEX('feed pars'!$C$6:$AT$48,MATCH($A34,'feed pars'!$B$6:$B$48,0),H$1)&lt;&gt;"",H$1&lt;&gt;""), INDEX('feed pars'!$C$6:$AT$48,MATCH($A34,'feed pars'!$B$6:$B$48,0),H$1), "")</f>
        <v>1.165</v>
      </c>
      <c r="I34" s="28"/>
      <c r="J34" s="28" t="str">
        <f>'feed pars'!$B37</f>
        <v>wheat distillers grain, dry</v>
      </c>
      <c r="K34" t="s">
        <v>19</v>
      </c>
      <c r="M34" s="37">
        <f>IF(AND(INDEX('feed pars'!$C$6:$AT$48,MATCH($A34,'feed pars'!$B$6:$B$48,0),M$1)&lt;&gt;"",M$1&lt;&gt;""), INDEX('feed pars'!$C$6:$AT$48,MATCH($A34,'feed pars'!$B$6:$B$48,0),M$1), "")</f>
        <v>13.3</v>
      </c>
      <c r="N34" s="37">
        <f>IF(AND(INDEX('feed pars'!$C$6:$AT$48,MATCH($A34,'feed pars'!$B$6:$B$48,0),N$1)&lt;&gt;"",N$1&lt;&gt;""), INDEX('feed pars'!$C$6:$AT$48,MATCH($A34,'feed pars'!$B$6:$B$48,0),N$1), "")</f>
        <v>116</v>
      </c>
      <c r="O34" s="37">
        <f>IF(AND(INDEX('feed pars'!$C$6:$AT$48,MATCH($A34,'feed pars'!$B$6:$B$48,0),O$1)&lt;&gt;"",O$1&lt;&gt;""), INDEX('feed pars'!$C$6:$AT$48,MATCH($A34,'feed pars'!$B$6:$B$48,0),O$1), "")</f>
        <v>142</v>
      </c>
      <c r="P34" s="37">
        <f>IF(AND(INDEX('feed pars'!$C$6:$AT$48,MATCH($A34,'feed pars'!$B$6:$B$48,0),P$1)&lt;&gt;"",P$1&lt;&gt;""), INDEX('feed pars'!$C$6:$AT$48,MATCH($A34,'feed pars'!$B$6:$B$48,0),P$1), "")</f>
        <v>15.7</v>
      </c>
      <c r="Q34" s="37">
        <f>IF(AND(INDEX('feed pars'!$C$6:$AT$48,MATCH($A34,'feed pars'!$B$6:$B$48,0),Q$1)&lt;&gt;"",Q$1&lt;&gt;""), INDEX('feed pars'!$C$6:$AT$48,MATCH($A34,'feed pars'!$B$6:$B$48,0),Q$1), "")</f>
        <v>45</v>
      </c>
      <c r="S34" s="28" t="str">
        <f>'feed pars'!$B37</f>
        <v>wheat distillers grain, dry</v>
      </c>
      <c r="T34" t="s">
        <v>376</v>
      </c>
      <c r="V34" s="37">
        <f>IF(AND(INDEX('feed pars'!$C$6:$AT$48,MATCH($A34,'feed pars'!$B$6:$B$48,0),V$1)&lt;&gt;"",V$1&lt;&gt;""), INDEX('feed pars'!$C$6:$AT$48,MATCH($A34,'feed pars'!$B$6:$B$48,0),V$1), "")</f>
        <v>13.3</v>
      </c>
      <c r="W34" s="37">
        <f>IF(AND(INDEX('feed pars'!$C$6:$AT$48,MATCH($A34,'feed pars'!$B$6:$B$48,0),W$1)&lt;&gt;"",W$1&lt;&gt;""), INDEX('feed pars'!$C$6:$AT$48,MATCH($A34,'feed pars'!$B$6:$B$48,0),W$1), "")</f>
        <v>15.7</v>
      </c>
      <c r="X34" s="37">
        <f>IF(AND(INDEX('feed pars'!$C$6:$AT$48,MATCH($A34,'feed pars'!$B$6:$B$48,0),X$1)&lt;&gt;"",X$1&lt;&gt;""), INDEX('feed pars'!$C$6:$AT$48,MATCH($A34,'feed pars'!$B$6:$B$48,0),X$1), "")</f>
        <v>45</v>
      </c>
      <c r="Z34" s="28" t="str">
        <f>'feed pars'!$B37</f>
        <v>wheat distillers grain, dry</v>
      </c>
      <c r="AA34" t="s">
        <v>372</v>
      </c>
      <c r="AC34" s="37">
        <f>IF(AND(INDEX('feed pars'!$C$6:$AT$48,MATCH($A34,'feed pars'!$B$6:$B$48,0),AC$1)&lt;&gt;"",AC$1&lt;&gt;""), INDEX('feed pars'!$C$6:$AT$48,MATCH($A34,'feed pars'!$B$6:$B$48,0),AC$1), "")</f>
        <v>13.3</v>
      </c>
      <c r="AD34" s="37">
        <f>IF(AND(INDEX('feed pars'!$C$6:$AT$48,MATCH($A34,'feed pars'!$B$6:$B$48,0),AD$1)&lt;&gt;"",AD$1&lt;&gt;""), INDEX('feed pars'!$C$6:$AT$48,MATCH($A34,'feed pars'!$B$6:$B$48,0),AD$1), "")</f>
        <v>15.7</v>
      </c>
      <c r="AE34" s="37">
        <f>IF(AND(INDEX('feed pars'!$C$6:$AT$48,MATCH($A34,'feed pars'!$B$6:$B$48,0),AE$1)&lt;&gt;"",AE$1&lt;&gt;""), INDEX('feed pars'!$C$6:$AT$48,MATCH($A34,'feed pars'!$B$6:$B$48,0),AE$1), "")</f>
        <v>45</v>
      </c>
      <c r="AG34" s="28" t="str">
        <f>'feed pars'!$B37</f>
        <v>wheat distillers grain, dry</v>
      </c>
      <c r="AH34" t="s">
        <v>20</v>
      </c>
      <c r="AI34" s="37"/>
      <c r="AJ34" s="37">
        <f>IF(AND(INDEX('feed pars'!$C$6:$AT$48,MATCH($A34,'feed pars'!$B$6:$B$48,0),AJ$1)&lt;&gt;"",AJ$1&lt;&gt;""), INDEX('feed pars'!$C$6:$AT$48,MATCH($A34,'feed pars'!$B$6:$B$48,0),AJ$1), "")</f>
        <v>8.1</v>
      </c>
      <c r="AK34" s="37">
        <f>IF(AND(INDEX('feed pars'!$C$6:$AT$48,MATCH($A34,'feed pars'!$B$6:$B$48,0),AK$1)&lt;&gt;"",AK$1&lt;&gt;""), INDEX('feed pars'!$C$6:$AT$48,MATCH($A34,'feed pars'!$B$6:$B$48,0),AK$1), "")</f>
        <v>13.9</v>
      </c>
      <c r="AM34" s="28" t="str">
        <f>'feed pars'!$B37</f>
        <v>wheat distillers grain, dry</v>
      </c>
      <c r="AN34" t="s">
        <v>20</v>
      </c>
      <c r="AO34" t="s">
        <v>289</v>
      </c>
      <c r="AP34" s="37">
        <f>IF(AND(INDEX('feed pars'!$C$6:$AT$48,MATCH($A34,'feed pars'!$B$6:$B$48,0),AP$1)&lt;&gt;"",AP$1&lt;&gt;""), INDEX('feed pars'!$C$6:$AT$48,MATCH($A34,'feed pars'!$B$6:$B$48,0),AP$1), "")</f>
        <v>8.6999999999999993</v>
      </c>
      <c r="AQ34" s="37" t="str">
        <f>IF(AND(INDEX('feed pars'!$C$6:$AT$48,MATCH($A34,'feed pars'!$B$6:$B$48,0),AQ$1)&lt;&gt;"",AQ$1&lt;&gt;""), INDEX('feed pars'!$C$6:$AT$48,MATCH($A34,'feed pars'!$B$6:$B$48,0),AQ$1), "")</f>
        <v/>
      </c>
      <c r="AS34" s="28" t="str">
        <f>'feed pars'!$B37</f>
        <v>wheat distillers grain, dry</v>
      </c>
      <c r="AT34" t="s">
        <v>369</v>
      </c>
      <c r="AV34" s="28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t="str">
        <f>'feed pars'!$B38</f>
        <v>wheat distillers grain, wet</v>
      </c>
      <c r="D35" s="28">
        <f>IF(AND(INDEX('feed pars'!$C$6:$AT$48,MATCH($A35,'feed pars'!$B$6:$B$48,0),D$1)&lt;&gt;"",D$1&lt;&gt;""), INDEX('feed pars'!$C$6:$AT$48,MATCH($A35,'feed pars'!$B$6:$B$48,0),D$1), "")</f>
        <v>18.8602168</v>
      </c>
      <c r="E35" s="28">
        <f>IF(AND(INDEX('feed pars'!$C$6:$AT$48,MATCH($A35,'feed pars'!$B$6:$B$48,0),E$1)&lt;&gt;"",E$1&lt;&gt;""), INDEX('feed pars'!$C$6:$AT$48,MATCH($A35,'feed pars'!$B$6:$B$48,0),E$1), "")</f>
        <v>6.8000000000000007</v>
      </c>
      <c r="F35" s="28">
        <f>IF(AND(INDEX('feed pars'!$C$6:$AT$48,MATCH($A35,'feed pars'!$B$6:$B$48,0),F$1)&lt;&gt;"",F$1&lt;&gt;""), INDEX('feed pars'!$C$6:$AT$48,MATCH($A35,'feed pars'!$B$6:$B$48,0),F$1), "")</f>
        <v>4.4800000000000004</v>
      </c>
      <c r="G35" s="28">
        <f>IF(AND(INDEX('feed pars'!$C$6:$AT$48,MATCH($A35,'feed pars'!$B$6:$B$48,0),G$1)&lt;&gt;"",G$1&lt;&gt;""), INDEX('feed pars'!$C$6:$AT$48,MATCH($A35,'feed pars'!$B$6:$B$48,0),G$1), "")</f>
        <v>1.0900000000000001</v>
      </c>
      <c r="H35" s="28">
        <f>IF(AND(INDEX('feed pars'!$C$6:$AT$48,MATCH($A35,'feed pars'!$B$6:$B$48,0),H$1)&lt;&gt;"",H$1&lt;&gt;""), INDEX('feed pars'!$C$6:$AT$48,MATCH($A35,'feed pars'!$B$6:$B$48,0),H$1), "")</f>
        <v>0</v>
      </c>
      <c r="I35" s="28"/>
      <c r="J35" s="28" t="str">
        <f>'feed pars'!$B38</f>
        <v>wheat distillers grain, wet</v>
      </c>
      <c r="K35" t="s">
        <v>19</v>
      </c>
      <c r="M35" s="37" t="str">
        <f>IF(AND(INDEX('feed pars'!$C$6:$AT$48,MATCH($A35,'feed pars'!$B$6:$B$48,0),M$1)&lt;&gt;"",M$1&lt;&gt;""), INDEX('feed pars'!$C$6:$AT$48,MATCH($A35,'feed pars'!$B$6:$B$48,0),M$1), "")</f>
        <v/>
      </c>
      <c r="N35" s="37" t="str">
        <f>IF(AND(INDEX('feed pars'!$C$6:$AT$48,MATCH($A35,'feed pars'!$B$6:$B$48,0),N$1)&lt;&gt;"",N$1&lt;&gt;""), INDEX('feed pars'!$C$6:$AT$48,MATCH($A35,'feed pars'!$B$6:$B$48,0),N$1), "")</f>
        <v/>
      </c>
      <c r="O35" s="37" t="str">
        <f>IF(AND(INDEX('feed pars'!$C$6:$AT$48,MATCH($A35,'feed pars'!$B$6:$B$48,0),O$1)&lt;&gt;"",O$1&lt;&gt;""), INDEX('feed pars'!$C$6:$AT$48,MATCH($A35,'feed pars'!$B$6:$B$48,0),O$1), "")</f>
        <v/>
      </c>
      <c r="P35" s="37" t="str">
        <f>IF(AND(INDEX('feed pars'!$C$6:$AT$48,MATCH($A35,'feed pars'!$B$6:$B$48,0),P$1)&lt;&gt;"",P$1&lt;&gt;""), INDEX('feed pars'!$C$6:$AT$48,MATCH($A35,'feed pars'!$B$6:$B$48,0),P$1), "")</f>
        <v/>
      </c>
      <c r="Q35" s="37" t="str">
        <f>IF(AND(INDEX('feed pars'!$C$6:$AT$48,MATCH($A35,'feed pars'!$B$6:$B$48,0),Q$1)&lt;&gt;"",Q$1&lt;&gt;""), INDEX('feed pars'!$C$6:$AT$48,MATCH($A35,'feed pars'!$B$6:$B$48,0),Q$1), "")</f>
        <v/>
      </c>
      <c r="S35" s="28" t="str">
        <f>'feed pars'!$B38</f>
        <v>wheat distillers grain, wet</v>
      </c>
      <c r="T35" t="s">
        <v>376</v>
      </c>
      <c r="V35" s="37" t="str">
        <f>IF(AND(INDEX('feed pars'!$C$6:$AT$48,MATCH($A35,'feed pars'!$B$6:$B$48,0),V$1)&lt;&gt;"",V$1&lt;&gt;""), INDEX('feed pars'!$C$6:$AT$48,MATCH($A35,'feed pars'!$B$6:$B$48,0),V$1), "")</f>
        <v/>
      </c>
      <c r="W35" s="37" t="str">
        <f>IF(AND(INDEX('feed pars'!$C$6:$AT$48,MATCH($A35,'feed pars'!$B$6:$B$48,0),W$1)&lt;&gt;"",W$1&lt;&gt;""), INDEX('feed pars'!$C$6:$AT$48,MATCH($A35,'feed pars'!$B$6:$B$48,0),W$1), "")</f>
        <v/>
      </c>
      <c r="X35" s="37" t="str">
        <f>IF(AND(INDEX('feed pars'!$C$6:$AT$48,MATCH($A35,'feed pars'!$B$6:$B$48,0),X$1)&lt;&gt;"",X$1&lt;&gt;""), INDEX('feed pars'!$C$6:$AT$48,MATCH($A35,'feed pars'!$B$6:$B$48,0),X$1), "")</f>
        <v/>
      </c>
      <c r="Z35" s="28" t="str">
        <f>'feed pars'!$B38</f>
        <v>wheat distillers grain, wet</v>
      </c>
      <c r="AA35" t="s">
        <v>372</v>
      </c>
      <c r="AC35" s="37" t="str">
        <f>IF(AND(INDEX('feed pars'!$C$6:$AT$48,MATCH($A35,'feed pars'!$B$6:$B$48,0),AC$1)&lt;&gt;"",AC$1&lt;&gt;""), INDEX('feed pars'!$C$6:$AT$48,MATCH($A35,'feed pars'!$B$6:$B$48,0),AC$1), "")</f>
        <v/>
      </c>
      <c r="AD35" s="37" t="str">
        <f>IF(AND(INDEX('feed pars'!$C$6:$AT$48,MATCH($A35,'feed pars'!$B$6:$B$48,0),AD$1)&lt;&gt;"",AD$1&lt;&gt;""), INDEX('feed pars'!$C$6:$AT$48,MATCH($A35,'feed pars'!$B$6:$B$48,0),AD$1), "")</f>
        <v/>
      </c>
      <c r="AE35" s="37" t="str">
        <f>IF(AND(INDEX('feed pars'!$C$6:$AT$48,MATCH($A35,'feed pars'!$B$6:$B$48,0),AE$1)&lt;&gt;"",AE$1&lt;&gt;""), INDEX('feed pars'!$C$6:$AT$48,MATCH($A35,'feed pars'!$B$6:$B$48,0),AE$1), "")</f>
        <v/>
      </c>
      <c r="AG35" s="28" t="str">
        <f>'feed pars'!$B38</f>
        <v>wheat distillers grain, wet</v>
      </c>
      <c r="AH35" t="s">
        <v>20</v>
      </c>
      <c r="AI35" s="37"/>
      <c r="AJ35" s="37">
        <f>IF(AND(INDEX('feed pars'!$C$6:$AT$48,MATCH($A35,'feed pars'!$B$6:$B$48,0),AJ$1)&lt;&gt;"",AJ$1&lt;&gt;""), INDEX('feed pars'!$C$6:$AT$48,MATCH($A35,'feed pars'!$B$6:$B$48,0),AJ$1), "")</f>
        <v>8.1999999999999993</v>
      </c>
      <c r="AK35" s="37">
        <f>IF(AND(INDEX('feed pars'!$C$6:$AT$48,MATCH($A35,'feed pars'!$B$6:$B$48,0),AK$1)&lt;&gt;"",AK$1&lt;&gt;""), INDEX('feed pars'!$C$6:$AT$48,MATCH($A35,'feed pars'!$B$6:$B$48,0),AK$1), "")</f>
        <v>13.017208210412599</v>
      </c>
      <c r="AM35" s="28" t="str">
        <f>'feed pars'!$B38</f>
        <v>wheat distillers grain, wet</v>
      </c>
      <c r="AN35" t="s">
        <v>20</v>
      </c>
      <c r="AO35" t="s">
        <v>289</v>
      </c>
      <c r="AP35" s="37">
        <f>IF(AND(INDEX('feed pars'!$C$6:$AT$48,MATCH($A35,'feed pars'!$B$6:$B$48,0),AP$1)&lt;&gt;"",AP$1&lt;&gt;""), INDEX('feed pars'!$C$6:$AT$48,MATCH($A35,'feed pars'!$B$6:$B$48,0),AP$1), "")</f>
        <v>8.9</v>
      </c>
      <c r="AQ35" s="37" t="str">
        <f>IF(AND(INDEX('feed pars'!$C$6:$AT$48,MATCH($A35,'feed pars'!$B$6:$B$48,0),AQ$1)&lt;&gt;"",AQ$1&lt;&gt;""), INDEX('feed pars'!$C$6:$AT$48,MATCH($A35,'feed pars'!$B$6:$B$48,0),AQ$1), "")</f>
        <v/>
      </c>
      <c r="AS35" s="28" t="str">
        <f>'feed pars'!$B38</f>
        <v>wheat distillers grain, wet</v>
      </c>
      <c r="AT35" t="s">
        <v>369</v>
      </c>
      <c r="AV35" s="28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t="str">
        <f>'feed pars'!$B39</f>
        <v>barley brewers grain</v>
      </c>
      <c r="D36" s="28">
        <f>IF(AND(INDEX('feed pars'!$C$6:$AT$48,MATCH($A36,'feed pars'!$B$6:$B$48,0),D$1)&lt;&gt;"",D$1&lt;&gt;""), INDEX('feed pars'!$C$6:$AT$48,MATCH($A36,'feed pars'!$B$6:$B$48,0),D$1), "")</f>
        <v>19.848896</v>
      </c>
      <c r="E36" s="28">
        <f>IF(AND(INDEX('feed pars'!$C$6:$AT$48,MATCH($A36,'feed pars'!$B$6:$B$48,0),E$1)&lt;&gt;"",E$1&lt;&gt;""), INDEX('feed pars'!$C$6:$AT$48,MATCH($A36,'feed pars'!$B$6:$B$48,0),E$1), "")</f>
        <v>4.3</v>
      </c>
      <c r="F36" s="28">
        <f>IF(AND(INDEX('feed pars'!$C$6:$AT$48,MATCH($A36,'feed pars'!$B$6:$B$48,0),F$1)&lt;&gt;"",F$1&lt;&gt;""), INDEX('feed pars'!$C$6:$AT$48,MATCH($A36,'feed pars'!$B$6:$B$48,0),F$1), "")</f>
        <v>3.984</v>
      </c>
      <c r="G36" s="28">
        <f>IF(AND(INDEX('feed pars'!$C$6:$AT$48,MATCH($A36,'feed pars'!$B$6:$B$48,0),G$1)&lt;&gt;"",G$1&lt;&gt;""), INDEX('feed pars'!$C$6:$AT$48,MATCH($A36,'feed pars'!$B$6:$B$48,0),G$1), "")</f>
        <v>0.56000000000000005</v>
      </c>
      <c r="H36" s="28">
        <f>IF(AND(INDEX('feed pars'!$C$6:$AT$48,MATCH($A36,'feed pars'!$B$6:$B$48,0),H$1)&lt;&gt;"",H$1&lt;&gt;""), INDEX('feed pars'!$C$6:$AT$48,MATCH($A36,'feed pars'!$B$6:$B$48,0),H$1), "")</f>
        <v>0.19500000000000001</v>
      </c>
      <c r="I36" s="28"/>
      <c r="J36" s="28" t="str">
        <f>'feed pars'!$B39</f>
        <v>barley brewers grain</v>
      </c>
      <c r="K36" t="s">
        <v>19</v>
      </c>
      <c r="M36" s="37">
        <f>IF(AND(INDEX('feed pars'!$C$6:$AT$48,MATCH($A36,'feed pars'!$B$6:$B$48,0),M$1)&lt;&gt;"",M$1&lt;&gt;""), INDEX('feed pars'!$C$6:$AT$48,MATCH($A36,'feed pars'!$B$6:$B$48,0),M$1), "")</f>
        <v>11.6</v>
      </c>
      <c r="N36" s="37">
        <f>IF(AND(INDEX('feed pars'!$C$6:$AT$48,MATCH($A36,'feed pars'!$B$6:$B$48,0),N$1)&lt;&gt;"",N$1&lt;&gt;""), INDEX('feed pars'!$C$6:$AT$48,MATCH($A36,'feed pars'!$B$6:$B$48,0),N$1), "")</f>
        <v>141</v>
      </c>
      <c r="O36" s="37">
        <f>IF(AND(INDEX('feed pars'!$C$6:$AT$48,MATCH($A36,'feed pars'!$B$6:$B$48,0),O$1)&lt;&gt;"",O$1&lt;&gt;""), INDEX('feed pars'!$C$6:$AT$48,MATCH($A36,'feed pars'!$B$6:$B$48,0),O$1), "")</f>
        <v>20</v>
      </c>
      <c r="P36" s="37">
        <f>IF(AND(INDEX('feed pars'!$C$6:$AT$48,MATCH($A36,'feed pars'!$B$6:$B$48,0),P$1)&lt;&gt;"",P$1&lt;&gt;""), INDEX('feed pars'!$C$6:$AT$48,MATCH($A36,'feed pars'!$B$6:$B$48,0),P$1), "")</f>
        <v>13.6</v>
      </c>
      <c r="Q36" s="37">
        <f>IF(AND(INDEX('feed pars'!$C$6:$AT$48,MATCH($A36,'feed pars'!$B$6:$B$48,0),Q$1)&lt;&gt;"",Q$1&lt;&gt;""), INDEX('feed pars'!$C$6:$AT$48,MATCH($A36,'feed pars'!$B$6:$B$48,0),Q$1), "")</f>
        <v>80</v>
      </c>
      <c r="S36" s="28" t="str">
        <f>'feed pars'!$B39</f>
        <v>barley brewers grain</v>
      </c>
      <c r="T36" t="s">
        <v>376</v>
      </c>
      <c r="V36" s="37">
        <f>IF(AND(INDEX('feed pars'!$C$6:$AT$48,MATCH($A36,'feed pars'!$B$6:$B$48,0),V$1)&lt;&gt;"",V$1&lt;&gt;""), INDEX('feed pars'!$C$6:$AT$48,MATCH($A36,'feed pars'!$B$6:$B$48,0),V$1), "")</f>
        <v>11.6</v>
      </c>
      <c r="W36" s="37">
        <f>IF(AND(INDEX('feed pars'!$C$6:$AT$48,MATCH($A36,'feed pars'!$B$6:$B$48,0),W$1)&lt;&gt;"",W$1&lt;&gt;""), INDEX('feed pars'!$C$6:$AT$48,MATCH($A36,'feed pars'!$B$6:$B$48,0),W$1), "")</f>
        <v>13.6</v>
      </c>
      <c r="X36" s="37">
        <f>IF(AND(INDEX('feed pars'!$C$6:$AT$48,MATCH($A36,'feed pars'!$B$6:$B$48,0),X$1)&lt;&gt;"",X$1&lt;&gt;""), INDEX('feed pars'!$C$6:$AT$48,MATCH($A36,'feed pars'!$B$6:$B$48,0),X$1), "")</f>
        <v>80</v>
      </c>
      <c r="Z36" s="28" t="str">
        <f>'feed pars'!$B39</f>
        <v>barley brewers grain</v>
      </c>
      <c r="AA36" t="s">
        <v>372</v>
      </c>
      <c r="AC36" s="37">
        <f>IF(AND(INDEX('feed pars'!$C$6:$AT$48,MATCH($A36,'feed pars'!$B$6:$B$48,0),AC$1)&lt;&gt;"",AC$1&lt;&gt;""), INDEX('feed pars'!$C$6:$AT$48,MATCH($A36,'feed pars'!$B$6:$B$48,0),AC$1), "")</f>
        <v>11.6</v>
      </c>
      <c r="AD36" s="37">
        <f>IF(AND(INDEX('feed pars'!$C$6:$AT$48,MATCH($A36,'feed pars'!$B$6:$B$48,0),AD$1)&lt;&gt;"",AD$1&lt;&gt;""), INDEX('feed pars'!$C$6:$AT$48,MATCH($A36,'feed pars'!$B$6:$B$48,0),AD$1), "")</f>
        <v>13.6</v>
      </c>
      <c r="AE36" s="37">
        <f>IF(AND(INDEX('feed pars'!$C$6:$AT$48,MATCH($A36,'feed pars'!$B$6:$B$48,0),AE$1)&lt;&gt;"",AE$1&lt;&gt;""), INDEX('feed pars'!$C$6:$AT$48,MATCH($A36,'feed pars'!$B$6:$B$48,0),AE$1), "")</f>
        <v>80</v>
      </c>
      <c r="AG36" s="28" t="str">
        <f>'feed pars'!$B39</f>
        <v>barley brewers grain</v>
      </c>
      <c r="AH36" t="s">
        <v>20</v>
      </c>
      <c r="AI36" s="37"/>
      <c r="AJ36" s="37">
        <f>IF(AND(INDEX('feed pars'!$C$6:$AT$48,MATCH($A36,'feed pars'!$B$6:$B$48,0),AJ$1)&lt;&gt;"",AJ$1&lt;&gt;""), INDEX('feed pars'!$C$6:$AT$48,MATCH($A36,'feed pars'!$B$6:$B$48,0),AJ$1), "")</f>
        <v>6.6</v>
      </c>
      <c r="AK36" s="37">
        <f>IF(AND(INDEX('feed pars'!$C$6:$AT$48,MATCH($A36,'feed pars'!$B$6:$B$48,0),AK$1)&lt;&gt;"",AK$1&lt;&gt;""), INDEX('feed pars'!$C$6:$AT$48,MATCH($A36,'feed pars'!$B$6:$B$48,0),AK$1), "")</f>
        <v>10.6</v>
      </c>
      <c r="AM36" s="28" t="str">
        <f>'feed pars'!$B39</f>
        <v>barley brewers grain</v>
      </c>
      <c r="AN36" t="s">
        <v>20</v>
      </c>
      <c r="AO36" t="s">
        <v>289</v>
      </c>
      <c r="AP36" s="37">
        <f>IF(AND(INDEX('feed pars'!$C$6:$AT$48,MATCH($A36,'feed pars'!$B$6:$B$48,0),AP$1)&lt;&gt;"",AP$1&lt;&gt;""), INDEX('feed pars'!$C$6:$AT$48,MATCH($A36,'feed pars'!$B$6:$B$48,0),AP$1), "")</f>
        <v>7.0888888888888877</v>
      </c>
      <c r="AQ36" s="37" t="str">
        <f>IF(AND(INDEX('feed pars'!$C$6:$AT$48,MATCH($A36,'feed pars'!$B$6:$B$48,0),AQ$1)&lt;&gt;"",AQ$1&lt;&gt;""), INDEX('feed pars'!$C$6:$AT$48,MATCH($A36,'feed pars'!$B$6:$B$48,0),AQ$1), "")</f>
        <v/>
      </c>
      <c r="AS36" s="28" t="str">
        <f>'feed pars'!$B39</f>
        <v>barley brewers grain</v>
      </c>
      <c r="AT36" t="s">
        <v>369</v>
      </c>
      <c r="AV36" s="28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t="str">
        <f>'feed pars'!$B40</f>
        <v>maize gluten meal</v>
      </c>
      <c r="D37" s="28">
        <f>IF(AND(INDEX('feed pars'!$C$6:$AT$48,MATCH($A37,'feed pars'!$B$6:$B$48,0),D$1)&lt;&gt;"",D$1&lt;&gt;""), INDEX('feed pars'!$C$6:$AT$48,MATCH($A37,'feed pars'!$B$6:$B$48,0),D$1), "")</f>
        <v>22.900705599999998</v>
      </c>
      <c r="E37" s="28">
        <f>IF(AND(INDEX('feed pars'!$C$6:$AT$48,MATCH($A37,'feed pars'!$B$6:$B$48,0),E$1)&lt;&gt;"",E$1&lt;&gt;""), INDEX('feed pars'!$C$6:$AT$48,MATCH($A37,'feed pars'!$B$6:$B$48,0),E$1), "")</f>
        <v>1.95</v>
      </c>
      <c r="F37" s="28">
        <f>IF(AND(INDEX('feed pars'!$C$6:$AT$48,MATCH($A37,'feed pars'!$B$6:$B$48,0),F$1)&lt;&gt;"",F$1&lt;&gt;""), INDEX('feed pars'!$C$6:$AT$48,MATCH($A37,'feed pars'!$B$6:$B$48,0),F$1), "")</f>
        <v>10.792</v>
      </c>
      <c r="G37" s="28">
        <f>IF(AND(INDEX('feed pars'!$C$6:$AT$48,MATCH($A37,'feed pars'!$B$6:$B$48,0),G$1)&lt;&gt;"",G$1&lt;&gt;""), INDEX('feed pars'!$C$6:$AT$48,MATCH($A37,'feed pars'!$B$6:$B$48,0),G$1), "")</f>
        <v>0.48499999999999999</v>
      </c>
      <c r="H37" s="28">
        <f>IF(AND(INDEX('feed pars'!$C$6:$AT$48,MATCH($A37,'feed pars'!$B$6:$B$48,0),H$1)&lt;&gt;"",H$1&lt;&gt;""), INDEX('feed pars'!$C$6:$AT$48,MATCH($A37,'feed pars'!$B$6:$B$48,0),H$1), "")</f>
        <v>0.32499999999999996</v>
      </c>
      <c r="I37" s="28"/>
      <c r="J37" s="28" t="str">
        <f>'feed pars'!$B40</f>
        <v>maize gluten meal</v>
      </c>
      <c r="K37" t="s">
        <v>19</v>
      </c>
      <c r="M37" s="37">
        <f>IF(AND(INDEX('feed pars'!$C$6:$AT$48,MATCH($A37,'feed pars'!$B$6:$B$48,0),M$1)&lt;&gt;"",M$1&lt;&gt;""), INDEX('feed pars'!$C$6:$AT$48,MATCH($A37,'feed pars'!$B$6:$B$48,0),M$1), "")</f>
        <v>16</v>
      </c>
      <c r="N37" s="37">
        <f>IF(AND(INDEX('feed pars'!$C$6:$AT$48,MATCH($A37,'feed pars'!$B$6:$B$48,0),N$1)&lt;&gt;"",N$1&lt;&gt;""), INDEX('feed pars'!$C$6:$AT$48,MATCH($A37,'feed pars'!$B$6:$B$48,0),N$1), "")</f>
        <v>476</v>
      </c>
      <c r="O37" s="37">
        <f>IF(AND(INDEX('feed pars'!$C$6:$AT$48,MATCH($A37,'feed pars'!$B$6:$B$48,0),O$1)&lt;&gt;"",O$1&lt;&gt;""), INDEX('feed pars'!$C$6:$AT$48,MATCH($A37,'feed pars'!$B$6:$B$48,0),O$1), "")</f>
        <v>82</v>
      </c>
      <c r="P37" s="37">
        <f>IF(AND(INDEX('feed pars'!$C$6:$AT$48,MATCH($A37,'feed pars'!$B$6:$B$48,0),P$1)&lt;&gt;"",P$1&lt;&gt;""), INDEX('feed pars'!$C$6:$AT$48,MATCH($A37,'feed pars'!$B$6:$B$48,0),P$1), "")</f>
        <v>19.600000000000001</v>
      </c>
      <c r="Q37" s="37">
        <f>IF(AND(INDEX('feed pars'!$C$6:$AT$48,MATCH($A37,'feed pars'!$B$6:$B$48,0),Q$1)&lt;&gt;"",Q$1&lt;&gt;""), INDEX('feed pars'!$C$6:$AT$48,MATCH($A37,'feed pars'!$B$6:$B$48,0),Q$1), "")</f>
        <v>24</v>
      </c>
      <c r="S37" s="28" t="str">
        <f>'feed pars'!$B40</f>
        <v>maize gluten meal</v>
      </c>
      <c r="T37" t="s">
        <v>376</v>
      </c>
      <c r="V37" s="37">
        <f>IF(AND(INDEX('feed pars'!$C$6:$AT$48,MATCH($A37,'feed pars'!$B$6:$B$48,0),V$1)&lt;&gt;"",V$1&lt;&gt;""), INDEX('feed pars'!$C$6:$AT$48,MATCH($A37,'feed pars'!$B$6:$B$48,0),V$1), "")</f>
        <v>16</v>
      </c>
      <c r="W37" s="37">
        <f>IF(AND(INDEX('feed pars'!$C$6:$AT$48,MATCH($A37,'feed pars'!$B$6:$B$48,0),W$1)&lt;&gt;"",W$1&lt;&gt;""), INDEX('feed pars'!$C$6:$AT$48,MATCH($A37,'feed pars'!$B$6:$B$48,0),W$1), "")</f>
        <v>19.600000000000001</v>
      </c>
      <c r="X37" s="37">
        <f>IF(AND(INDEX('feed pars'!$C$6:$AT$48,MATCH($A37,'feed pars'!$B$6:$B$48,0),X$1)&lt;&gt;"",X$1&lt;&gt;""), INDEX('feed pars'!$C$6:$AT$48,MATCH($A37,'feed pars'!$B$6:$B$48,0),X$1), "")</f>
        <v>24</v>
      </c>
      <c r="Z37" s="28" t="str">
        <f>'feed pars'!$B40</f>
        <v>maize gluten meal</v>
      </c>
      <c r="AA37" t="s">
        <v>372</v>
      </c>
      <c r="AC37" s="37">
        <f>IF(AND(INDEX('feed pars'!$C$6:$AT$48,MATCH($A37,'feed pars'!$B$6:$B$48,0),AC$1)&lt;&gt;"",AC$1&lt;&gt;""), INDEX('feed pars'!$C$6:$AT$48,MATCH($A37,'feed pars'!$B$6:$B$48,0),AC$1), "")</f>
        <v>16</v>
      </c>
      <c r="AD37" s="37">
        <f>IF(AND(INDEX('feed pars'!$C$6:$AT$48,MATCH($A37,'feed pars'!$B$6:$B$48,0),AD$1)&lt;&gt;"",AD$1&lt;&gt;""), INDEX('feed pars'!$C$6:$AT$48,MATCH($A37,'feed pars'!$B$6:$B$48,0),AD$1), "")</f>
        <v>19.600000000000001</v>
      </c>
      <c r="AE37" s="37">
        <f>IF(AND(INDEX('feed pars'!$C$6:$AT$48,MATCH($A37,'feed pars'!$B$6:$B$48,0),AE$1)&lt;&gt;"",AE$1&lt;&gt;""), INDEX('feed pars'!$C$6:$AT$48,MATCH($A37,'feed pars'!$B$6:$B$48,0),AE$1), "")</f>
        <v>24</v>
      </c>
      <c r="AG37" s="28" t="str">
        <f>'feed pars'!$B40</f>
        <v>maize gluten meal</v>
      </c>
      <c r="AH37" t="s">
        <v>20</v>
      </c>
      <c r="AI37" s="37"/>
      <c r="AJ37" s="37">
        <f>IF(AND(INDEX('feed pars'!$C$6:$AT$48,MATCH($A37,'feed pars'!$B$6:$B$48,0),AJ$1)&lt;&gt;"",AJ$1&lt;&gt;""), INDEX('feed pars'!$C$6:$AT$48,MATCH($A37,'feed pars'!$B$6:$B$48,0),AJ$1), "")</f>
        <v>12.9</v>
      </c>
      <c r="AK37" s="37">
        <f>IF(AND(INDEX('feed pars'!$C$6:$AT$48,MATCH($A37,'feed pars'!$B$6:$B$48,0),AK$1)&lt;&gt;"",AK$1&lt;&gt;""), INDEX('feed pars'!$C$6:$AT$48,MATCH($A37,'feed pars'!$B$6:$B$48,0),AK$1), "")</f>
        <v>21.4</v>
      </c>
      <c r="AM37" s="28" t="str">
        <f>'feed pars'!$B40</f>
        <v>maize gluten meal</v>
      </c>
      <c r="AN37" t="s">
        <v>20</v>
      </c>
      <c r="AO37" t="s">
        <v>289</v>
      </c>
      <c r="AP37" s="37">
        <f>IF(AND(INDEX('feed pars'!$C$6:$AT$48,MATCH($A37,'feed pars'!$B$6:$B$48,0),AP$1)&lt;&gt;"",AP$1&lt;&gt;""), INDEX('feed pars'!$C$6:$AT$48,MATCH($A37,'feed pars'!$B$6:$B$48,0),AP$1), "")</f>
        <v>13.3</v>
      </c>
      <c r="AQ37" s="37" t="str">
        <f>IF(AND(INDEX('feed pars'!$C$6:$AT$48,MATCH($A37,'feed pars'!$B$6:$B$48,0),AQ$1)&lt;&gt;"",AQ$1&lt;&gt;""), INDEX('feed pars'!$C$6:$AT$48,MATCH($A37,'feed pars'!$B$6:$B$48,0),AQ$1), "")</f>
        <v/>
      </c>
      <c r="AS37" s="28" t="str">
        <f>'feed pars'!$B40</f>
        <v>maize gluten meal</v>
      </c>
      <c r="AT37" t="s">
        <v>369</v>
      </c>
      <c r="AV37" s="28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t="str">
        <f>'feed pars'!$B41</f>
        <v>sugar beet molasses</v>
      </c>
      <c r="D38" s="28">
        <f>IF(AND(INDEX('feed pars'!$C$6:$AT$48,MATCH($A38,'feed pars'!$B$6:$B$48,0),D$1)&lt;&gt;"",D$1&lt;&gt;""), INDEX('feed pars'!$C$6:$AT$48,MATCH($A38,'feed pars'!$B$6:$B$48,0),D$1), "")</f>
        <v>16.1615368</v>
      </c>
      <c r="E38" s="28">
        <f>IF(AND(INDEX('feed pars'!$C$6:$AT$48,MATCH($A38,'feed pars'!$B$6:$B$48,0),E$1)&lt;&gt;"",E$1&lt;&gt;""), INDEX('feed pars'!$C$6:$AT$48,MATCH($A38,'feed pars'!$B$6:$B$48,0),E$1), "")</f>
        <v>11.899999999999999</v>
      </c>
      <c r="F38" s="28">
        <f>IF(AND(INDEX('feed pars'!$C$6:$AT$48,MATCH($A38,'feed pars'!$B$6:$B$48,0),F$1)&lt;&gt;"",F$1&lt;&gt;""), INDEX('feed pars'!$C$6:$AT$48,MATCH($A38,'feed pars'!$B$6:$B$48,0),F$1), "")</f>
        <v>2.2080000000000002</v>
      </c>
      <c r="G38" s="28">
        <f>IF(AND(INDEX('feed pars'!$C$6:$AT$48,MATCH($A38,'feed pars'!$B$6:$B$48,0),G$1)&lt;&gt;"",G$1&lt;&gt;""), INDEX('feed pars'!$C$6:$AT$48,MATCH($A38,'feed pars'!$B$6:$B$48,0),G$1), "")</f>
        <v>0.03</v>
      </c>
      <c r="H38" s="28">
        <f>IF(AND(INDEX('feed pars'!$C$6:$AT$48,MATCH($A38,'feed pars'!$B$6:$B$48,0),H$1)&lt;&gt;"",H$1&lt;&gt;""), INDEX('feed pars'!$C$6:$AT$48,MATCH($A38,'feed pars'!$B$6:$B$48,0),H$1), "")</f>
        <v>3.6500000000000004</v>
      </c>
      <c r="I38" s="28"/>
      <c r="J38" s="28" t="str">
        <f>'feed pars'!$B41</f>
        <v>sugar beet molasses</v>
      </c>
      <c r="K38" t="s">
        <v>19</v>
      </c>
      <c r="M38" s="37">
        <f>IF(AND(INDEX('feed pars'!$C$6:$AT$48,MATCH($A38,'feed pars'!$B$6:$B$48,0),M$1)&lt;&gt;"",M$1&lt;&gt;""), INDEX('feed pars'!$C$6:$AT$48,MATCH($A38,'feed pars'!$B$6:$B$48,0),M$1), "")</f>
        <v>12.4</v>
      </c>
      <c r="N38" s="37">
        <f>IF(AND(INDEX('feed pars'!$C$6:$AT$48,MATCH($A38,'feed pars'!$B$6:$B$48,0),N$1)&lt;&gt;"",N$1&lt;&gt;""), INDEX('feed pars'!$C$6:$AT$48,MATCH($A38,'feed pars'!$B$6:$B$48,0),N$1), "")</f>
        <v>76</v>
      </c>
      <c r="O38" s="37">
        <f>IF(AND(INDEX('feed pars'!$C$6:$AT$48,MATCH($A38,'feed pars'!$B$6:$B$48,0),O$1)&lt;&gt;"",O$1&lt;&gt;""), INDEX('feed pars'!$C$6:$AT$48,MATCH($A38,'feed pars'!$B$6:$B$48,0),O$1), "")</f>
        <v>3</v>
      </c>
      <c r="P38" s="37">
        <f>IF(AND(INDEX('feed pars'!$C$6:$AT$48,MATCH($A38,'feed pars'!$B$6:$B$48,0),P$1)&lt;&gt;"",P$1&lt;&gt;""), INDEX('feed pars'!$C$6:$AT$48,MATCH($A38,'feed pars'!$B$6:$B$48,0),P$1), "")</f>
        <v>14.1</v>
      </c>
      <c r="Q38" s="37">
        <f>IF(AND(INDEX('feed pars'!$C$6:$AT$48,MATCH($A38,'feed pars'!$B$6:$B$48,0),Q$1)&lt;&gt;"",Q$1&lt;&gt;""), INDEX('feed pars'!$C$6:$AT$48,MATCH($A38,'feed pars'!$B$6:$B$48,0),Q$1), "")</f>
        <v>0</v>
      </c>
      <c r="S38" s="28" t="str">
        <f>'feed pars'!$B41</f>
        <v>sugar beet molasses</v>
      </c>
      <c r="T38" t="s">
        <v>376</v>
      </c>
      <c r="V38" s="37">
        <f>IF(AND(INDEX('feed pars'!$C$6:$AT$48,MATCH($A38,'feed pars'!$B$6:$B$48,0),V$1)&lt;&gt;"",V$1&lt;&gt;""), INDEX('feed pars'!$C$6:$AT$48,MATCH($A38,'feed pars'!$B$6:$B$48,0),V$1), "")</f>
        <v>12.4</v>
      </c>
      <c r="W38" s="37">
        <f>IF(AND(INDEX('feed pars'!$C$6:$AT$48,MATCH($A38,'feed pars'!$B$6:$B$48,0),W$1)&lt;&gt;"",W$1&lt;&gt;""), INDEX('feed pars'!$C$6:$AT$48,MATCH($A38,'feed pars'!$B$6:$B$48,0),W$1), "")</f>
        <v>14.1</v>
      </c>
      <c r="X38" s="37">
        <f>IF(AND(INDEX('feed pars'!$C$6:$AT$48,MATCH($A38,'feed pars'!$B$6:$B$48,0),X$1)&lt;&gt;"",X$1&lt;&gt;""), INDEX('feed pars'!$C$6:$AT$48,MATCH($A38,'feed pars'!$B$6:$B$48,0),X$1), "")</f>
        <v>0</v>
      </c>
      <c r="Z38" s="28" t="str">
        <f>'feed pars'!$B41</f>
        <v>sugar beet molasses</v>
      </c>
      <c r="AA38" t="s">
        <v>372</v>
      </c>
      <c r="AC38" s="37">
        <f>IF(AND(INDEX('feed pars'!$C$6:$AT$48,MATCH($A38,'feed pars'!$B$6:$B$48,0),AC$1)&lt;&gt;"",AC$1&lt;&gt;""), INDEX('feed pars'!$C$6:$AT$48,MATCH($A38,'feed pars'!$B$6:$B$48,0),AC$1), "")</f>
        <v>12.4</v>
      </c>
      <c r="AD38" s="37">
        <f>IF(AND(INDEX('feed pars'!$C$6:$AT$48,MATCH($A38,'feed pars'!$B$6:$B$48,0),AD$1)&lt;&gt;"",AD$1&lt;&gt;""), INDEX('feed pars'!$C$6:$AT$48,MATCH($A38,'feed pars'!$B$6:$B$48,0),AD$1), "")</f>
        <v>14.1</v>
      </c>
      <c r="AE38" s="37">
        <f>IF(AND(INDEX('feed pars'!$C$6:$AT$48,MATCH($A38,'feed pars'!$B$6:$B$48,0),AE$1)&lt;&gt;"",AE$1&lt;&gt;""), INDEX('feed pars'!$C$6:$AT$48,MATCH($A38,'feed pars'!$B$6:$B$48,0),AE$1), "")</f>
        <v>0</v>
      </c>
      <c r="AG38" s="28" t="str">
        <f>'feed pars'!$B41</f>
        <v>sugar beet molasses</v>
      </c>
      <c r="AH38" t="s">
        <v>20</v>
      </c>
      <c r="AI38" s="37"/>
      <c r="AJ38" s="37">
        <f>IF(AND(INDEX('feed pars'!$C$6:$AT$48,MATCH($A38,'feed pars'!$B$6:$B$48,0),AJ$1)&lt;&gt;"",AJ$1&lt;&gt;""), INDEX('feed pars'!$C$6:$AT$48,MATCH($A38,'feed pars'!$B$6:$B$48,0),AJ$1), "")</f>
        <v>8.6999999999999993</v>
      </c>
      <c r="AK38" s="37">
        <f>IF(AND(INDEX('feed pars'!$C$6:$AT$48,MATCH($A38,'feed pars'!$B$6:$B$48,0),AK$1)&lt;&gt;"",AK$1&lt;&gt;""), INDEX('feed pars'!$C$6:$AT$48,MATCH($A38,'feed pars'!$B$6:$B$48,0),AK$1), "")</f>
        <v>13.1</v>
      </c>
      <c r="AM38" s="28" t="str">
        <f>'feed pars'!$B41</f>
        <v>sugar beet molasses</v>
      </c>
      <c r="AN38" t="s">
        <v>20</v>
      </c>
      <c r="AO38" t="s">
        <v>289</v>
      </c>
      <c r="AP38" s="37">
        <f>IF(AND(INDEX('feed pars'!$C$6:$AT$48,MATCH($A38,'feed pars'!$B$6:$B$48,0),AP$1)&lt;&gt;"",AP$1&lt;&gt;""), INDEX('feed pars'!$C$6:$AT$48,MATCH($A38,'feed pars'!$B$6:$B$48,0),AP$1), "")</f>
        <v>9</v>
      </c>
      <c r="AQ38" s="37" t="str">
        <f>IF(AND(INDEX('feed pars'!$C$6:$AT$48,MATCH($A38,'feed pars'!$B$6:$B$48,0),AQ$1)&lt;&gt;"",AQ$1&lt;&gt;""), INDEX('feed pars'!$C$6:$AT$48,MATCH($A38,'feed pars'!$B$6:$B$48,0),AQ$1), "")</f>
        <v/>
      </c>
      <c r="AS38" s="28" t="str">
        <f>'feed pars'!$B41</f>
        <v>sugar beet molasses</v>
      </c>
      <c r="AT38" t="s">
        <v>369</v>
      </c>
      <c r="AV38" s="28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t="str">
        <f>'feed pars'!$B42</f>
        <v>sugar beet pulp</v>
      </c>
      <c r="D39" s="28">
        <f>IF(AND(INDEX('feed pars'!$C$6:$AT$48,MATCH($A39,'feed pars'!$B$6:$B$48,0),D$1)&lt;&gt;"",D$1&lt;&gt;""), INDEX('feed pars'!$C$6:$AT$48,MATCH($A39,'feed pars'!$B$6:$B$48,0),D$1), "")</f>
        <v>17.334312000000001</v>
      </c>
      <c r="E39" s="28">
        <f>IF(AND(INDEX('feed pars'!$C$6:$AT$48,MATCH($A39,'feed pars'!$B$6:$B$48,0),E$1)&lt;&gt;"",E$1&lt;&gt;""), INDEX('feed pars'!$C$6:$AT$48,MATCH($A39,'feed pars'!$B$6:$B$48,0),E$1), "")</f>
        <v>7.1499999999999995</v>
      </c>
      <c r="F39" s="28">
        <f>IF(AND(INDEX('feed pars'!$C$6:$AT$48,MATCH($A39,'feed pars'!$B$6:$B$48,0),F$1)&lt;&gt;"",F$1&lt;&gt;""), INDEX('feed pars'!$C$6:$AT$48,MATCH($A39,'feed pars'!$B$6:$B$48,0),F$1), "")</f>
        <v>1.448</v>
      </c>
      <c r="G39" s="28">
        <f>IF(AND(INDEX('feed pars'!$C$6:$AT$48,MATCH($A39,'feed pars'!$B$6:$B$48,0),G$1)&lt;&gt;"",G$1&lt;&gt;""), INDEX('feed pars'!$C$6:$AT$48,MATCH($A39,'feed pars'!$B$6:$B$48,0),G$1), "")</f>
        <v>0.1</v>
      </c>
      <c r="H39" s="28">
        <f>IF(AND(INDEX('feed pars'!$C$6:$AT$48,MATCH($A39,'feed pars'!$B$6:$B$48,0),H$1)&lt;&gt;"",H$1&lt;&gt;""), INDEX('feed pars'!$C$6:$AT$48,MATCH($A39,'feed pars'!$B$6:$B$48,0),H$1), "")</f>
        <v>0.48499999999999999</v>
      </c>
      <c r="I39" s="28"/>
      <c r="J39" s="28" t="str">
        <f>'feed pars'!$B42</f>
        <v>sugar beet pulp</v>
      </c>
      <c r="K39" t="s">
        <v>19</v>
      </c>
      <c r="M39" s="37">
        <f>IF(AND(INDEX('feed pars'!$C$6:$AT$48,MATCH($A39,'feed pars'!$B$6:$B$48,0),M$1)&lt;&gt;"",M$1&lt;&gt;""), INDEX('feed pars'!$C$6:$AT$48,MATCH($A39,'feed pars'!$B$6:$B$48,0),M$1), "")</f>
        <v>12.3</v>
      </c>
      <c r="N39" s="37">
        <f>IF(AND(INDEX('feed pars'!$C$6:$AT$48,MATCH($A39,'feed pars'!$B$6:$B$48,0),N$1)&lt;&gt;"",N$1&lt;&gt;""), INDEX('feed pars'!$C$6:$AT$48,MATCH($A39,'feed pars'!$B$6:$B$48,0),N$1), "")</f>
        <v>107</v>
      </c>
      <c r="O39" s="37">
        <f>IF(AND(INDEX('feed pars'!$C$6:$AT$48,MATCH($A39,'feed pars'!$B$6:$B$48,0),O$1)&lt;&gt;"",O$1&lt;&gt;""), INDEX('feed pars'!$C$6:$AT$48,MATCH($A39,'feed pars'!$B$6:$B$48,0),O$1), "")</f>
        <v>-96</v>
      </c>
      <c r="P39" s="37">
        <f>IF(AND(INDEX('feed pars'!$C$6:$AT$48,MATCH($A39,'feed pars'!$B$6:$B$48,0),P$1)&lt;&gt;"",P$1&lt;&gt;""), INDEX('feed pars'!$C$6:$AT$48,MATCH($A39,'feed pars'!$B$6:$B$48,0),P$1), "")</f>
        <v>14.7</v>
      </c>
      <c r="Q39" s="37">
        <f>IF(AND(INDEX('feed pars'!$C$6:$AT$48,MATCH($A39,'feed pars'!$B$6:$B$48,0),Q$1)&lt;&gt;"",Q$1&lt;&gt;""), INDEX('feed pars'!$C$6:$AT$48,MATCH($A39,'feed pars'!$B$6:$B$48,0),Q$1), "")</f>
        <v>32</v>
      </c>
      <c r="S39" s="28" t="str">
        <f>'feed pars'!$B42</f>
        <v>sugar beet pulp</v>
      </c>
      <c r="T39" t="s">
        <v>376</v>
      </c>
      <c r="V39" s="37">
        <f>IF(AND(INDEX('feed pars'!$C$6:$AT$48,MATCH($A39,'feed pars'!$B$6:$B$48,0),V$1)&lt;&gt;"",V$1&lt;&gt;""), INDEX('feed pars'!$C$6:$AT$48,MATCH($A39,'feed pars'!$B$6:$B$48,0),V$1), "")</f>
        <v>12.3</v>
      </c>
      <c r="W39" s="37">
        <f>IF(AND(INDEX('feed pars'!$C$6:$AT$48,MATCH($A39,'feed pars'!$B$6:$B$48,0),W$1)&lt;&gt;"",W$1&lt;&gt;""), INDEX('feed pars'!$C$6:$AT$48,MATCH($A39,'feed pars'!$B$6:$B$48,0),W$1), "")</f>
        <v>14.7</v>
      </c>
      <c r="X39" s="37">
        <f>IF(AND(INDEX('feed pars'!$C$6:$AT$48,MATCH($A39,'feed pars'!$B$6:$B$48,0),X$1)&lt;&gt;"",X$1&lt;&gt;""), INDEX('feed pars'!$C$6:$AT$48,MATCH($A39,'feed pars'!$B$6:$B$48,0),X$1), "")</f>
        <v>32</v>
      </c>
      <c r="Z39" s="28" t="str">
        <f>'feed pars'!$B42</f>
        <v>sugar beet pulp</v>
      </c>
      <c r="AA39" t="s">
        <v>372</v>
      </c>
      <c r="AC39" s="37">
        <f>IF(AND(INDEX('feed pars'!$C$6:$AT$48,MATCH($A39,'feed pars'!$B$6:$B$48,0),AC$1)&lt;&gt;"",AC$1&lt;&gt;""), INDEX('feed pars'!$C$6:$AT$48,MATCH($A39,'feed pars'!$B$6:$B$48,0),AC$1), "")</f>
        <v>12.3</v>
      </c>
      <c r="AD39" s="37">
        <f>IF(AND(INDEX('feed pars'!$C$6:$AT$48,MATCH($A39,'feed pars'!$B$6:$B$48,0),AD$1)&lt;&gt;"",AD$1&lt;&gt;""), INDEX('feed pars'!$C$6:$AT$48,MATCH($A39,'feed pars'!$B$6:$B$48,0),AD$1), "")</f>
        <v>14.7</v>
      </c>
      <c r="AE39" s="37">
        <f>IF(AND(INDEX('feed pars'!$C$6:$AT$48,MATCH($A39,'feed pars'!$B$6:$B$48,0),AE$1)&lt;&gt;"",AE$1&lt;&gt;""), INDEX('feed pars'!$C$6:$AT$48,MATCH($A39,'feed pars'!$B$6:$B$48,0),AE$1), "")</f>
        <v>32</v>
      </c>
      <c r="AG39" s="28" t="str">
        <f>'feed pars'!$B42</f>
        <v>sugar beet pulp</v>
      </c>
      <c r="AH39" t="s">
        <v>20</v>
      </c>
      <c r="AI39" s="37"/>
      <c r="AJ39" s="37">
        <f>IF(AND(INDEX('feed pars'!$C$6:$AT$48,MATCH($A39,'feed pars'!$B$6:$B$48,0),AJ$1)&lt;&gt;"",AJ$1&lt;&gt;""), INDEX('feed pars'!$C$6:$AT$48,MATCH($A39,'feed pars'!$B$6:$B$48,0),AJ$1), "")</f>
        <v>6.9</v>
      </c>
      <c r="AK39" s="37">
        <f>IF(AND(INDEX('feed pars'!$C$6:$AT$48,MATCH($A39,'feed pars'!$B$6:$B$48,0),AK$1)&lt;&gt;"",AK$1&lt;&gt;""), INDEX('feed pars'!$C$6:$AT$48,MATCH($A39,'feed pars'!$B$6:$B$48,0),AK$1), "")</f>
        <v>12.2</v>
      </c>
      <c r="AM39" s="28" t="str">
        <f>'feed pars'!$B42</f>
        <v>sugar beet pulp</v>
      </c>
      <c r="AN39" t="s">
        <v>20</v>
      </c>
      <c r="AO39" t="s">
        <v>289</v>
      </c>
      <c r="AP39" s="37">
        <f>IF(AND(INDEX('feed pars'!$C$6:$AT$48,MATCH($A39,'feed pars'!$B$6:$B$48,0),AP$1)&lt;&gt;"",AP$1&lt;&gt;""), INDEX('feed pars'!$C$6:$AT$48,MATCH($A39,'feed pars'!$B$6:$B$48,0),AP$1), "")</f>
        <v>8</v>
      </c>
      <c r="AQ39" s="37" t="str">
        <f>IF(AND(INDEX('feed pars'!$C$6:$AT$48,MATCH($A39,'feed pars'!$B$6:$B$48,0),AQ$1)&lt;&gt;"",AQ$1&lt;&gt;""), INDEX('feed pars'!$C$6:$AT$48,MATCH($A39,'feed pars'!$B$6:$B$48,0),AQ$1), "")</f>
        <v/>
      </c>
      <c r="AS39" s="28" t="str">
        <f>'feed pars'!$B42</f>
        <v>sugar beet pulp</v>
      </c>
      <c r="AT39" t="s">
        <v>369</v>
      </c>
      <c r="AV39" s="28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t="str">
        <f>'feed pars'!$B43</f>
        <v>whey</v>
      </c>
      <c r="D40" s="28">
        <f>IF(AND(INDEX('feed pars'!$C$6:$AT$48,MATCH($A40,'feed pars'!$B$6:$B$48,0),D$1)&lt;&gt;"",D$1&lt;&gt;""), INDEX('feed pars'!$C$6:$AT$48,MATCH($A40,'feed pars'!$B$6:$B$48,0),D$1), "")</f>
        <v>16.464040000000001</v>
      </c>
      <c r="E40" s="28">
        <f>IF(AND(INDEX('feed pars'!$C$6:$AT$48,MATCH($A40,'feed pars'!$B$6:$B$48,0),E$1)&lt;&gt;"",E$1&lt;&gt;""), INDEX('feed pars'!$C$6:$AT$48,MATCH($A40,'feed pars'!$B$6:$B$48,0),E$1), "")</f>
        <v>9.3000000000000007</v>
      </c>
      <c r="F40" s="28">
        <f>IF(AND(INDEX('feed pars'!$C$6:$AT$48,MATCH($A40,'feed pars'!$B$6:$B$48,0),F$1)&lt;&gt;"",F$1&lt;&gt;""), INDEX('feed pars'!$C$6:$AT$48,MATCH($A40,'feed pars'!$B$6:$B$48,0),F$1), "")</f>
        <v>1.8800000000000001</v>
      </c>
      <c r="G40" s="28">
        <f>IF(AND(INDEX('feed pars'!$C$6:$AT$48,MATCH($A40,'feed pars'!$B$6:$B$48,0),G$1)&lt;&gt;"",G$1&lt;&gt;""), INDEX('feed pars'!$C$6:$AT$48,MATCH($A40,'feed pars'!$B$6:$B$48,0),G$1), "")</f>
        <v>0.76</v>
      </c>
      <c r="H40" s="28">
        <f>IF(AND(INDEX('feed pars'!$C$6:$AT$48,MATCH($A40,'feed pars'!$B$6:$B$48,0),H$1)&lt;&gt;"",H$1&lt;&gt;""), INDEX('feed pars'!$C$6:$AT$48,MATCH($A40,'feed pars'!$B$6:$B$48,0),H$1), "")</f>
        <v>2.355</v>
      </c>
      <c r="I40" s="28"/>
      <c r="J40" s="28" t="str">
        <f>'feed pars'!$B43</f>
        <v>whey</v>
      </c>
      <c r="K40" t="s">
        <v>19</v>
      </c>
      <c r="M40" s="37">
        <f>IF(AND(INDEX('feed pars'!$C$6:$AT$48,MATCH($A40,'feed pars'!$B$6:$B$48,0),M$1)&lt;&gt;"",M$1&lt;&gt;""), INDEX('feed pars'!$C$6:$AT$48,MATCH($A40,'feed pars'!$B$6:$B$48,0),M$1), "")</f>
        <v>13.6</v>
      </c>
      <c r="N40" s="37">
        <f>IF(AND(INDEX('feed pars'!$C$6:$AT$48,MATCH($A40,'feed pars'!$B$6:$B$48,0),N$1)&lt;&gt;"",N$1&lt;&gt;""), INDEX('feed pars'!$C$6:$AT$48,MATCH($A40,'feed pars'!$B$6:$B$48,0),N$1), "")</f>
        <v>82</v>
      </c>
      <c r="O40" s="37">
        <f>IF(AND(INDEX('feed pars'!$C$6:$AT$48,MATCH($A40,'feed pars'!$B$6:$B$48,0),O$1)&lt;&gt;"",O$1&lt;&gt;""), INDEX('feed pars'!$C$6:$AT$48,MATCH($A40,'feed pars'!$B$6:$B$48,0),O$1), "")</f>
        <v>-18</v>
      </c>
      <c r="P40" s="37">
        <f>IF(AND(INDEX('feed pars'!$C$6:$AT$48,MATCH($A40,'feed pars'!$B$6:$B$48,0),P$1)&lt;&gt;"",P$1&lt;&gt;""), INDEX('feed pars'!$C$6:$AT$48,MATCH($A40,'feed pars'!$B$6:$B$48,0),P$1), "")</f>
        <v>15.1</v>
      </c>
      <c r="Q40" s="37">
        <f>IF(AND(INDEX('feed pars'!$C$6:$AT$48,MATCH($A40,'feed pars'!$B$6:$B$48,0),Q$1)&lt;&gt;"",Q$1&lt;&gt;""), INDEX('feed pars'!$C$6:$AT$48,MATCH($A40,'feed pars'!$B$6:$B$48,0),Q$1), "")</f>
        <v>10</v>
      </c>
      <c r="S40" s="28" t="str">
        <f>'feed pars'!$B43</f>
        <v>whey</v>
      </c>
      <c r="T40" t="s">
        <v>376</v>
      </c>
      <c r="V40" s="37">
        <f>IF(AND(INDEX('feed pars'!$C$6:$AT$48,MATCH($A40,'feed pars'!$B$6:$B$48,0),V$1)&lt;&gt;"",V$1&lt;&gt;""), INDEX('feed pars'!$C$6:$AT$48,MATCH($A40,'feed pars'!$B$6:$B$48,0),V$1), "")</f>
        <v>13.6</v>
      </c>
      <c r="W40" s="37">
        <f>IF(AND(INDEX('feed pars'!$C$6:$AT$48,MATCH($A40,'feed pars'!$B$6:$B$48,0),W$1)&lt;&gt;"",W$1&lt;&gt;""), INDEX('feed pars'!$C$6:$AT$48,MATCH($A40,'feed pars'!$B$6:$B$48,0),W$1), "")</f>
        <v>15.1</v>
      </c>
      <c r="X40" s="37">
        <f>IF(AND(INDEX('feed pars'!$C$6:$AT$48,MATCH($A40,'feed pars'!$B$6:$B$48,0),X$1)&lt;&gt;"",X$1&lt;&gt;""), INDEX('feed pars'!$C$6:$AT$48,MATCH($A40,'feed pars'!$B$6:$B$48,0),X$1), "")</f>
        <v>10</v>
      </c>
      <c r="Z40" s="28" t="str">
        <f>'feed pars'!$B43</f>
        <v>whey</v>
      </c>
      <c r="AA40" t="s">
        <v>372</v>
      </c>
      <c r="AC40" s="37">
        <f>IF(AND(INDEX('feed pars'!$C$6:$AT$48,MATCH($A40,'feed pars'!$B$6:$B$48,0),AC$1)&lt;&gt;"",AC$1&lt;&gt;""), INDEX('feed pars'!$C$6:$AT$48,MATCH($A40,'feed pars'!$B$6:$B$48,0),AC$1), "")</f>
        <v>13.6</v>
      </c>
      <c r="AD40" s="37">
        <f>IF(AND(INDEX('feed pars'!$C$6:$AT$48,MATCH($A40,'feed pars'!$B$6:$B$48,0),AD$1)&lt;&gt;"",AD$1&lt;&gt;""), INDEX('feed pars'!$C$6:$AT$48,MATCH($A40,'feed pars'!$B$6:$B$48,0),AD$1), "")</f>
        <v>15.1</v>
      </c>
      <c r="AE40" s="37">
        <f>IF(AND(INDEX('feed pars'!$C$6:$AT$48,MATCH($A40,'feed pars'!$B$6:$B$48,0),AE$1)&lt;&gt;"",AE$1&lt;&gt;""), INDEX('feed pars'!$C$6:$AT$48,MATCH($A40,'feed pars'!$B$6:$B$48,0),AE$1), "")</f>
        <v>10</v>
      </c>
      <c r="AG40" s="28" t="str">
        <f>'feed pars'!$B43</f>
        <v>whey</v>
      </c>
      <c r="AH40" t="s">
        <v>20</v>
      </c>
      <c r="AI40" s="37"/>
      <c r="AJ40" s="37">
        <f>IF(AND(INDEX('feed pars'!$C$6:$AT$48,MATCH($A40,'feed pars'!$B$6:$B$48,0),AJ$1)&lt;&gt;"",AJ$1&lt;&gt;""), INDEX('feed pars'!$C$6:$AT$48,MATCH($A40,'feed pars'!$B$6:$B$48,0),AJ$1), "")</f>
        <v>12.4</v>
      </c>
      <c r="AK40" s="37">
        <f>IF(AND(INDEX('feed pars'!$C$6:$AT$48,MATCH($A40,'feed pars'!$B$6:$B$48,0),AK$1)&lt;&gt;"",AK$1&lt;&gt;""), INDEX('feed pars'!$C$6:$AT$48,MATCH($A40,'feed pars'!$B$6:$B$48,0),AK$1), "")</f>
        <v>15.205346051464064</v>
      </c>
      <c r="AM40" s="28" t="str">
        <f>'feed pars'!$B43</f>
        <v>whey</v>
      </c>
      <c r="AN40" t="s">
        <v>20</v>
      </c>
      <c r="AO40" t="s">
        <v>289</v>
      </c>
      <c r="AP40" s="37">
        <f>IF(AND(INDEX('feed pars'!$C$6:$AT$48,MATCH($A40,'feed pars'!$B$6:$B$48,0),AP$1)&lt;&gt;"",AP$1&lt;&gt;""), INDEX('feed pars'!$C$6:$AT$48,MATCH($A40,'feed pars'!$B$6:$B$48,0),AP$1), "")</f>
        <v>12.2</v>
      </c>
      <c r="AQ40" s="37" t="str">
        <f>IF(AND(INDEX('feed pars'!$C$6:$AT$48,MATCH($A40,'feed pars'!$B$6:$B$48,0),AQ$1)&lt;&gt;"",AQ$1&lt;&gt;""), INDEX('feed pars'!$C$6:$AT$48,MATCH($A40,'feed pars'!$B$6:$B$48,0),AQ$1), "")</f>
        <v/>
      </c>
      <c r="AS40" s="28" t="str">
        <f>'feed pars'!$B43</f>
        <v>whey</v>
      </c>
      <c r="AT40" t="s">
        <v>369</v>
      </c>
      <c r="AV40" s="28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t="str">
        <f>'feed pars'!$B44</f>
        <v>whey powder</v>
      </c>
      <c r="D41" s="28">
        <f>IF(AND(INDEX('feed pars'!$C$6:$AT$48,MATCH($A41,'feed pars'!$B$6:$B$48,0),D$1)&lt;&gt;"",D$1&lt;&gt;""), INDEX('feed pars'!$C$6:$AT$48,MATCH($A41,'feed pars'!$B$6:$B$48,0),D$1), "")</f>
        <v>16.975324799999999</v>
      </c>
      <c r="E41" s="28">
        <f>IF(AND(INDEX('feed pars'!$C$6:$AT$48,MATCH($A41,'feed pars'!$B$6:$B$48,0),E$1)&lt;&gt;"",E$1&lt;&gt;""), INDEX('feed pars'!$C$6:$AT$48,MATCH($A41,'feed pars'!$B$6:$B$48,0),E$1), "")</f>
        <v>8.6</v>
      </c>
      <c r="F41" s="28">
        <f>IF(AND(INDEX('feed pars'!$C$6:$AT$48,MATCH($A41,'feed pars'!$B$6:$B$48,0),F$1)&lt;&gt;"",F$1&lt;&gt;""), INDEX('feed pars'!$C$6:$AT$48,MATCH($A41,'feed pars'!$B$6:$B$48,0),F$1), "")</f>
        <v>2.048</v>
      </c>
      <c r="G41" s="28">
        <f>IF(AND(INDEX('feed pars'!$C$6:$AT$48,MATCH($A41,'feed pars'!$B$6:$B$48,0),G$1)&lt;&gt;"",G$1&lt;&gt;""), INDEX('feed pars'!$C$6:$AT$48,MATCH($A41,'feed pars'!$B$6:$B$48,0),G$1), "")</f>
        <v>0.67999999999999994</v>
      </c>
      <c r="H41" s="28">
        <f>IF(AND(INDEX('feed pars'!$C$6:$AT$48,MATCH($A41,'feed pars'!$B$6:$B$48,0),H$1)&lt;&gt;"",H$1&lt;&gt;""), INDEX('feed pars'!$C$6:$AT$48,MATCH($A41,'feed pars'!$B$6:$B$48,0),H$1), "")</f>
        <v>2.1</v>
      </c>
      <c r="I41" s="28"/>
      <c r="J41" s="28" t="str">
        <f>'feed pars'!$B44</f>
        <v>whey powder</v>
      </c>
      <c r="K41" t="s">
        <v>19</v>
      </c>
      <c r="M41" s="28">
        <f>IF(AND(INDEX('feed pars'!$C$6:$AT$48,MATCH($A41,'feed pars'!$B$6:$B$48,0),M$1)&lt;&gt;"",M$1&lt;&gt;""), INDEX('feed pars'!$C$6:$AT$48,MATCH($A41,'feed pars'!$B$6:$B$48,0),M$1), "")</f>
        <v>12.3</v>
      </c>
      <c r="N41" s="37">
        <f>IF(AND(INDEX('feed pars'!$C$6:$AT$48,MATCH($A41,'feed pars'!$B$6:$B$48,0),N$1)&lt;&gt;"",N$1&lt;&gt;""), INDEX('feed pars'!$C$6:$AT$48,MATCH($A41,'feed pars'!$B$6:$B$48,0),N$1), "")</f>
        <v>90</v>
      </c>
      <c r="O41" s="37">
        <f>IF(AND(INDEX('feed pars'!$C$6:$AT$48,MATCH($A41,'feed pars'!$B$6:$B$48,0),O$1)&lt;&gt;"",O$1&lt;&gt;""), INDEX('feed pars'!$C$6:$AT$48,MATCH($A41,'feed pars'!$B$6:$B$48,0),O$1), "")</f>
        <v>-29</v>
      </c>
      <c r="P41" s="37">
        <f>IF(AND(INDEX('feed pars'!$C$6:$AT$48,MATCH($A41,'feed pars'!$B$6:$B$48,0),P$1)&lt;&gt;"",P$1&lt;&gt;""), INDEX('feed pars'!$C$6:$AT$48,MATCH($A41,'feed pars'!$B$6:$B$48,0),P$1), "")</f>
        <v>15.4048817384</v>
      </c>
      <c r="Q41" s="37">
        <f>IF(AND(INDEX('feed pars'!$C$6:$AT$48,MATCH($A41,'feed pars'!$B$6:$B$48,0),Q$1)&lt;&gt;"",Q$1&lt;&gt;""), INDEX('feed pars'!$C$6:$AT$48,MATCH($A41,'feed pars'!$B$6:$B$48,0),Q$1), "")</f>
        <v>13</v>
      </c>
      <c r="S41" s="28" t="str">
        <f>'feed pars'!$B44</f>
        <v>whey powder</v>
      </c>
      <c r="T41" t="s">
        <v>376</v>
      </c>
      <c r="V41" s="37">
        <f>IF(AND(INDEX('feed pars'!$C$6:$AT$48,MATCH($A41,'feed pars'!$B$6:$B$48,0),V$1)&lt;&gt;"",V$1&lt;&gt;""), INDEX('feed pars'!$C$6:$AT$48,MATCH($A41,'feed pars'!$B$6:$B$48,0),V$1), "")</f>
        <v>12.3</v>
      </c>
      <c r="W41" s="37">
        <f>IF(AND(INDEX('feed pars'!$C$6:$AT$48,MATCH($A41,'feed pars'!$B$6:$B$48,0),W$1)&lt;&gt;"",W$1&lt;&gt;""), INDEX('feed pars'!$C$6:$AT$48,MATCH($A41,'feed pars'!$B$6:$B$48,0),W$1), "")</f>
        <v>15.4048817384</v>
      </c>
      <c r="X41" s="37">
        <f>IF(AND(INDEX('feed pars'!$C$6:$AT$48,MATCH($A41,'feed pars'!$B$6:$B$48,0),X$1)&lt;&gt;"",X$1&lt;&gt;""), INDEX('feed pars'!$C$6:$AT$48,MATCH($A41,'feed pars'!$B$6:$B$48,0),X$1), "")</f>
        <v>13</v>
      </c>
      <c r="Z41" s="28" t="str">
        <f>'feed pars'!$B44</f>
        <v>whey powder</v>
      </c>
      <c r="AA41" t="s">
        <v>372</v>
      </c>
      <c r="AC41" s="37">
        <f>IF(AND(INDEX('feed pars'!$C$6:$AT$48,MATCH($A41,'feed pars'!$B$6:$B$48,0),AC$1)&lt;&gt;"",AC$1&lt;&gt;""), INDEX('feed pars'!$C$6:$AT$48,MATCH($A41,'feed pars'!$B$6:$B$48,0),AC$1), "")</f>
        <v>12.3</v>
      </c>
      <c r="AD41" s="37">
        <f>IF(AND(INDEX('feed pars'!$C$6:$AT$48,MATCH($A41,'feed pars'!$B$6:$B$48,0),AD$1)&lt;&gt;"",AD$1&lt;&gt;""), INDEX('feed pars'!$C$6:$AT$48,MATCH($A41,'feed pars'!$B$6:$B$48,0),AD$1), "")</f>
        <v>15.4048817384</v>
      </c>
      <c r="AE41" s="37">
        <f>IF(AND(INDEX('feed pars'!$C$6:$AT$48,MATCH($A41,'feed pars'!$B$6:$B$48,0),AE$1)&lt;&gt;"",AE$1&lt;&gt;""), INDEX('feed pars'!$C$6:$AT$48,MATCH($A41,'feed pars'!$B$6:$B$48,0),AE$1), "")</f>
        <v>13</v>
      </c>
      <c r="AG41" s="28" t="str">
        <f>'feed pars'!$B44</f>
        <v>whey powder</v>
      </c>
      <c r="AH41" t="s">
        <v>20</v>
      </c>
      <c r="AI41" s="37"/>
      <c r="AJ41" s="37">
        <f>IF(AND(INDEX('feed pars'!$C$6:$AT$48,MATCH($A41,'feed pars'!$B$6:$B$48,0),AJ$1)&lt;&gt;"",AJ$1&lt;&gt;""), INDEX('feed pars'!$C$6:$AT$48,MATCH($A41,'feed pars'!$B$6:$B$48,0),AJ$1), "")</f>
        <v>12.4</v>
      </c>
      <c r="AK41" s="37">
        <f>IF(AND(INDEX('feed pars'!$C$6:$AT$48,MATCH($A41,'feed pars'!$B$6:$B$48,0),AK$1)&lt;&gt;"",AK$1&lt;&gt;""), INDEX('feed pars'!$C$6:$AT$48,MATCH($A41,'feed pars'!$B$6:$B$48,0),AK$1), "")</f>
        <v>15.3</v>
      </c>
      <c r="AM41" s="28" t="str">
        <f>'feed pars'!$B44</f>
        <v>whey powder</v>
      </c>
      <c r="AN41" t="s">
        <v>20</v>
      </c>
      <c r="AO41" t="s">
        <v>289</v>
      </c>
      <c r="AP41" s="37">
        <f>IF(AND(INDEX('feed pars'!$C$6:$AT$48,MATCH($A41,'feed pars'!$B$6:$B$48,0),AP$1)&lt;&gt;"",AP$1&lt;&gt;""), INDEX('feed pars'!$C$6:$AT$48,MATCH($A41,'feed pars'!$B$6:$B$48,0),AP$1), "")</f>
        <v>12.2</v>
      </c>
      <c r="AQ41" s="37" t="str">
        <f>IF(AND(INDEX('feed pars'!$C$6:$AT$48,MATCH($A41,'feed pars'!$B$6:$B$48,0),AQ$1)&lt;&gt;"",AQ$1&lt;&gt;""), INDEX('feed pars'!$C$6:$AT$48,MATCH($A41,'feed pars'!$B$6:$B$48,0),AQ$1), "")</f>
        <v/>
      </c>
      <c r="AS41" s="28" t="str">
        <f>'feed pars'!$B44</f>
        <v>whey powder</v>
      </c>
      <c r="AT41" t="s">
        <v>369</v>
      </c>
      <c r="AV41" s="28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t="str">
        <f>'feed pars'!$B45</f>
        <v>potatoe protein</v>
      </c>
      <c r="D42" s="28">
        <f>IF(AND(INDEX('feed pars'!$C$6:$AT$48,MATCH($A42,'feed pars'!$B$6:$B$48,0),D$1)&lt;&gt;"",D$1&lt;&gt;""), INDEX('feed pars'!$C$6:$AT$48,MATCH($A42,'feed pars'!$B$6:$B$48,0),D$1), "")</f>
        <v>23.055932000000002</v>
      </c>
      <c r="E42" s="28">
        <f>IF(AND(INDEX('feed pars'!$C$6:$AT$48,MATCH($A42,'feed pars'!$B$6:$B$48,0),E$1)&lt;&gt;"",E$1&lt;&gt;""), INDEX('feed pars'!$C$6:$AT$48,MATCH($A42,'feed pars'!$B$6:$B$48,0),E$1), "")</f>
        <v>2.8000000000000003</v>
      </c>
      <c r="F42" s="28">
        <f>IF(AND(INDEX('feed pars'!$C$6:$AT$48,MATCH($A42,'feed pars'!$B$6:$B$48,0),F$1)&lt;&gt;"",F$1&lt;&gt;""), INDEX('feed pars'!$C$6:$AT$48,MATCH($A42,'feed pars'!$B$6:$B$48,0),F$1), "")</f>
        <v>13.48</v>
      </c>
      <c r="G42" s="28">
        <f>IF(AND(INDEX('feed pars'!$C$6:$AT$48,MATCH($A42,'feed pars'!$B$6:$B$48,0),G$1)&lt;&gt;"",G$1&lt;&gt;""), INDEX('feed pars'!$C$6:$AT$48,MATCH($A42,'feed pars'!$B$6:$B$48,0),G$1), "")</f>
        <v>0.435</v>
      </c>
      <c r="H42" s="28">
        <f>IF(AND(INDEX('feed pars'!$C$6:$AT$48,MATCH($A42,'feed pars'!$B$6:$B$48,0),H$1)&lt;&gt;"",H$1&lt;&gt;""), INDEX('feed pars'!$C$6:$AT$48,MATCH($A42,'feed pars'!$B$6:$B$48,0),H$1), "")</f>
        <v>0.81499999999999995</v>
      </c>
      <c r="I42" s="28"/>
      <c r="J42" s="28" t="str">
        <f>'feed pars'!$B45</f>
        <v>potatoe protein</v>
      </c>
      <c r="K42" t="s">
        <v>19</v>
      </c>
      <c r="M42" s="37">
        <f>IF(AND(INDEX('feed pars'!$C$6:$AT$48,MATCH($A42,'feed pars'!$B$6:$B$48,0),M$1)&lt;&gt;"",M$1&lt;&gt;""), INDEX('feed pars'!$C$6:$AT$48,MATCH($A42,'feed pars'!$B$6:$B$48,0),M$1), "")</f>
        <v>15.5</v>
      </c>
      <c r="N42" s="37">
        <f>IF(AND(INDEX('feed pars'!$C$6:$AT$48,MATCH($A42,'feed pars'!$B$6:$B$48,0),N$1)&lt;&gt;"",N$1&lt;&gt;""), INDEX('feed pars'!$C$6:$AT$48,MATCH($A42,'feed pars'!$B$6:$B$48,0),N$1), "")</f>
        <v>418</v>
      </c>
      <c r="O42" s="37">
        <f>IF(AND(INDEX('feed pars'!$C$6:$AT$48,MATCH($A42,'feed pars'!$B$6:$B$48,0),O$1)&lt;&gt;"",O$1&lt;&gt;""), INDEX('feed pars'!$C$6:$AT$48,MATCH($A42,'feed pars'!$B$6:$B$48,0),O$1), "")</f>
        <v>323</v>
      </c>
      <c r="P42" s="37">
        <f>IF(AND(INDEX('feed pars'!$C$6:$AT$48,MATCH($A42,'feed pars'!$B$6:$B$48,0),P$1)&lt;&gt;"",P$1&lt;&gt;""), INDEX('feed pars'!$C$6:$AT$48,MATCH($A42,'feed pars'!$B$6:$B$48,0),P$1), "")</f>
        <v>19.7</v>
      </c>
      <c r="Q42" s="37">
        <f>IF(AND(INDEX('feed pars'!$C$6:$AT$48,MATCH($A42,'feed pars'!$B$6:$B$48,0),Q$1)&lt;&gt;"",Q$1&lt;&gt;""), INDEX('feed pars'!$C$6:$AT$48,MATCH($A42,'feed pars'!$B$6:$B$48,0),Q$1), "")</f>
        <v>33</v>
      </c>
      <c r="S42" s="28" t="str">
        <f>'feed pars'!$B45</f>
        <v>potatoe protein</v>
      </c>
      <c r="T42" t="s">
        <v>376</v>
      </c>
      <c r="V42" s="37">
        <f>IF(AND(INDEX('feed pars'!$C$6:$AT$48,MATCH($A42,'feed pars'!$B$6:$B$48,0),V$1)&lt;&gt;"",V$1&lt;&gt;""), INDEX('feed pars'!$C$6:$AT$48,MATCH($A42,'feed pars'!$B$6:$B$48,0),V$1), "")</f>
        <v>15.5</v>
      </c>
      <c r="W42" s="37">
        <f>IF(AND(INDEX('feed pars'!$C$6:$AT$48,MATCH($A42,'feed pars'!$B$6:$B$48,0),W$1)&lt;&gt;"",W$1&lt;&gt;""), INDEX('feed pars'!$C$6:$AT$48,MATCH($A42,'feed pars'!$B$6:$B$48,0),W$1), "")</f>
        <v>19.7</v>
      </c>
      <c r="X42" s="37">
        <f>IF(AND(INDEX('feed pars'!$C$6:$AT$48,MATCH($A42,'feed pars'!$B$6:$B$48,0),X$1)&lt;&gt;"",X$1&lt;&gt;""), INDEX('feed pars'!$C$6:$AT$48,MATCH($A42,'feed pars'!$B$6:$B$48,0),X$1), "")</f>
        <v>33</v>
      </c>
      <c r="Z42" s="28" t="str">
        <f>'feed pars'!$B45</f>
        <v>potatoe protein</v>
      </c>
      <c r="AA42" t="s">
        <v>372</v>
      </c>
      <c r="AC42" s="37">
        <f>IF(AND(INDEX('feed pars'!$C$6:$AT$48,MATCH($A42,'feed pars'!$B$6:$B$48,0),AC$1)&lt;&gt;"",AC$1&lt;&gt;""), INDEX('feed pars'!$C$6:$AT$48,MATCH($A42,'feed pars'!$B$6:$B$48,0),AC$1), "")</f>
        <v>15.5</v>
      </c>
      <c r="AD42" s="37">
        <f>IF(AND(INDEX('feed pars'!$C$6:$AT$48,MATCH($A42,'feed pars'!$B$6:$B$48,0),AD$1)&lt;&gt;"",AD$1&lt;&gt;""), INDEX('feed pars'!$C$6:$AT$48,MATCH($A42,'feed pars'!$B$6:$B$48,0),AD$1), "")</f>
        <v>19.7</v>
      </c>
      <c r="AE42" s="37">
        <f>IF(AND(INDEX('feed pars'!$C$6:$AT$48,MATCH($A42,'feed pars'!$B$6:$B$48,0),AE$1)&lt;&gt;"",AE$1&lt;&gt;""), INDEX('feed pars'!$C$6:$AT$48,MATCH($A42,'feed pars'!$B$6:$B$48,0),AE$1), "")</f>
        <v>33</v>
      </c>
      <c r="AG42" s="28" t="str">
        <f>'feed pars'!$B45</f>
        <v>potatoe protein</v>
      </c>
      <c r="AH42" t="s">
        <v>20</v>
      </c>
      <c r="AI42" s="37"/>
      <c r="AJ42" s="37">
        <f>IF(AND(INDEX('feed pars'!$C$6:$AT$48,MATCH($A42,'feed pars'!$B$6:$B$48,0),AJ$1)&lt;&gt;"",AJ$1&lt;&gt;""), INDEX('feed pars'!$C$6:$AT$48,MATCH($A42,'feed pars'!$B$6:$B$48,0),AJ$1), "")</f>
        <v>11.1</v>
      </c>
      <c r="AK42" s="37">
        <f>IF(AND(INDEX('feed pars'!$C$6:$AT$48,MATCH($A42,'feed pars'!$B$6:$B$48,0),AK$1)&lt;&gt;"",AK$1&lt;&gt;""), INDEX('feed pars'!$C$6:$AT$48,MATCH($A42,'feed pars'!$B$6:$B$48,0),AK$1), "")</f>
        <v>20.8</v>
      </c>
      <c r="AM42" s="28" t="str">
        <f>'feed pars'!$B45</f>
        <v>potatoe protein</v>
      </c>
      <c r="AN42" t="s">
        <v>20</v>
      </c>
      <c r="AO42" t="s">
        <v>289</v>
      </c>
      <c r="AP42" s="37">
        <f>IF(AND(INDEX('feed pars'!$C$6:$AT$48,MATCH($A42,'feed pars'!$B$6:$B$48,0),AP$1)&lt;&gt;"",AP$1&lt;&gt;""), INDEX('feed pars'!$C$6:$AT$48,MATCH($A42,'feed pars'!$B$6:$B$48,0),AP$1), "")</f>
        <v>11.3</v>
      </c>
      <c r="AQ42" s="37" t="str">
        <f>IF(AND(INDEX('feed pars'!$C$6:$AT$48,MATCH($A42,'feed pars'!$B$6:$B$48,0),AQ$1)&lt;&gt;"",AQ$1&lt;&gt;""), INDEX('feed pars'!$C$6:$AT$48,MATCH($A42,'feed pars'!$B$6:$B$48,0),AQ$1), "")</f>
        <v/>
      </c>
      <c r="AS42" s="28" t="str">
        <f>'feed pars'!$B45</f>
        <v>potatoe protein</v>
      </c>
      <c r="AT42" t="s">
        <v>369</v>
      </c>
      <c r="AV42" s="28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t="str">
        <f>'feed pars'!$B46</f>
        <v>potatoe offals</v>
      </c>
      <c r="D43" s="28">
        <f>IF(AND(INDEX('feed pars'!$C$6:$AT$48,MATCH($A43,'feed pars'!$B$6:$B$48,0),D$1)&lt;&gt;"",D$1&lt;&gt;""), INDEX('feed pars'!$C$6:$AT$48,MATCH($A43,'feed pars'!$B$6:$B$48,0),D$1), "")</f>
        <v>17.035156000000001</v>
      </c>
      <c r="E43" s="28">
        <f>IF(AND(INDEX('feed pars'!$C$6:$AT$48,MATCH($A43,'feed pars'!$B$6:$B$48,0),E$1)&lt;&gt;"",E$1&lt;&gt;""), INDEX('feed pars'!$C$6:$AT$48,MATCH($A43,'feed pars'!$B$6:$B$48,0),E$1), "")</f>
        <v>5.5</v>
      </c>
      <c r="F43" s="28">
        <f>IF(AND(INDEX('feed pars'!$C$6:$AT$48,MATCH($A43,'feed pars'!$B$6:$B$48,0),F$1)&lt;&gt;"",F$1&lt;&gt;""), INDEX('feed pars'!$C$6:$AT$48,MATCH($A43,'feed pars'!$B$6:$B$48,0),F$1), "")</f>
        <v>1.44</v>
      </c>
      <c r="G43" s="28">
        <f>IF(AND(INDEX('feed pars'!$C$6:$AT$48,MATCH($A43,'feed pars'!$B$6:$B$48,0),G$1)&lt;&gt;"",G$1&lt;&gt;""), INDEX('feed pars'!$C$6:$AT$48,MATCH($A43,'feed pars'!$B$6:$B$48,0),G$1), "")</f>
        <v>0.22999999999999998</v>
      </c>
      <c r="H43" s="28">
        <f>IF(AND(INDEX('feed pars'!$C$6:$AT$48,MATCH($A43,'feed pars'!$B$6:$B$48,0),H$1)&lt;&gt;"",H$1&lt;&gt;""), INDEX('feed pars'!$C$6:$AT$48,MATCH($A43,'feed pars'!$B$6:$B$48,0),H$1), "")</f>
        <v>2.1999999999999997</v>
      </c>
      <c r="I43" s="28"/>
      <c r="J43" s="28" t="str">
        <f>'feed pars'!$B46</f>
        <v>potatoe offals</v>
      </c>
      <c r="K43" s="37" t="s">
        <v>19</v>
      </c>
      <c r="L43" s="37"/>
      <c r="M43" s="28">
        <f>IF(AND(INDEX('feed pars'!$C$6:$AT$48,MATCH($A43,'feed pars'!$B$6:$B$48,0),M$1)&lt;&gt;"",M$1&lt;&gt;""), INDEX('feed pars'!$C$6:$AT$48,MATCH($A43,'feed pars'!$B$6:$B$48,0),M$1), "")</f>
        <v>13.1</v>
      </c>
      <c r="N43" s="37">
        <f>IF(AND(INDEX('feed pars'!$C$6:$AT$48,MATCH($A43,'feed pars'!$B$6:$B$48,0),N$1)&lt;&gt;"",N$1&lt;&gt;""), INDEX('feed pars'!$C$6:$AT$48,MATCH($A43,'feed pars'!$B$6:$B$48,0),N$1), "")</f>
        <v>92</v>
      </c>
      <c r="O43" s="37">
        <f>IF(AND(INDEX('feed pars'!$C$6:$AT$48,MATCH($A43,'feed pars'!$B$6:$B$48,0),O$1)&lt;&gt;"",O$1&lt;&gt;""), INDEX('feed pars'!$C$6:$AT$48,MATCH($A43,'feed pars'!$B$6:$B$48,0),O$1), "")</f>
        <v>-70</v>
      </c>
      <c r="P43" s="37">
        <f>IF(AND(INDEX('feed pars'!$C$6:$AT$48,MATCH($A43,'feed pars'!$B$6:$B$48,0),P$1)&lt;&gt;"",P$1&lt;&gt;""), INDEX('feed pars'!$C$6:$AT$48,MATCH($A43,'feed pars'!$B$6:$B$48,0),P$1), "")</f>
        <v>14.9</v>
      </c>
      <c r="Q43" s="37">
        <f>IF(AND(INDEX('feed pars'!$C$6:$AT$48,MATCH($A43,'feed pars'!$B$6:$B$48,0),Q$1)&lt;&gt;"",Q$1&lt;&gt;""), INDEX('feed pars'!$C$6:$AT$48,MATCH($A43,'feed pars'!$B$6:$B$48,0),Q$1), "")</f>
        <v>10</v>
      </c>
      <c r="R43" s="37"/>
      <c r="S43" s="28" t="str">
        <f>'feed pars'!$B46</f>
        <v>potatoe offals</v>
      </c>
      <c r="T43" s="37" t="s">
        <v>376</v>
      </c>
      <c r="U43" s="37"/>
      <c r="V43" s="37">
        <f>IF(AND(INDEX('feed pars'!$C$6:$AT$48,MATCH($A43,'feed pars'!$B$6:$B$48,0),V$1)&lt;&gt;"",V$1&lt;&gt;""), INDEX('feed pars'!$C$6:$AT$48,MATCH($A43,'feed pars'!$B$6:$B$48,0),V$1), "")</f>
        <v>13.1</v>
      </c>
      <c r="W43" s="37">
        <f>IF(AND(INDEX('feed pars'!$C$6:$AT$48,MATCH($A43,'feed pars'!$B$6:$B$48,0),W$1)&lt;&gt;"",W$1&lt;&gt;""), INDEX('feed pars'!$C$6:$AT$48,MATCH($A43,'feed pars'!$B$6:$B$48,0),W$1), "")</f>
        <v>14.9</v>
      </c>
      <c r="X43" s="37">
        <f>IF(AND(INDEX('feed pars'!$C$6:$AT$48,MATCH($A43,'feed pars'!$B$6:$B$48,0),X$1)&lt;&gt;"",X$1&lt;&gt;""), INDEX('feed pars'!$C$6:$AT$48,MATCH($A43,'feed pars'!$B$6:$B$48,0),X$1), "")</f>
        <v>10</v>
      </c>
      <c r="Y43" s="37"/>
      <c r="Z43" s="28" t="str">
        <f>'feed pars'!$B46</f>
        <v>potatoe offals</v>
      </c>
      <c r="AA43" s="37" t="s">
        <v>372</v>
      </c>
      <c r="AB43" s="37"/>
      <c r="AC43" s="37">
        <f>IF(AND(INDEX('feed pars'!$C$6:$AT$48,MATCH($A43,'feed pars'!$B$6:$B$48,0),AC$1)&lt;&gt;"",AC$1&lt;&gt;""), INDEX('feed pars'!$C$6:$AT$48,MATCH($A43,'feed pars'!$B$6:$B$48,0),AC$1), "")</f>
        <v>13.1</v>
      </c>
      <c r="AD43" s="37">
        <f>IF(AND(INDEX('feed pars'!$C$6:$AT$48,MATCH($A43,'feed pars'!$B$6:$B$48,0),AD$1)&lt;&gt;"",AD$1&lt;&gt;""), INDEX('feed pars'!$C$6:$AT$48,MATCH($A43,'feed pars'!$B$6:$B$48,0),AD$1), "")</f>
        <v>14.9</v>
      </c>
      <c r="AE43" s="37">
        <f>IF(AND(INDEX('feed pars'!$C$6:$AT$48,MATCH($A43,'feed pars'!$B$6:$B$48,0),AE$1)&lt;&gt;"",AE$1&lt;&gt;""), INDEX('feed pars'!$C$6:$AT$48,MATCH($A43,'feed pars'!$B$6:$B$48,0),AE$1), "")</f>
        <v>10</v>
      </c>
      <c r="AG43" s="28" t="str">
        <f>'feed pars'!$B46</f>
        <v>potatoe offals</v>
      </c>
      <c r="AH43" s="37" t="s">
        <v>20</v>
      </c>
      <c r="AI43" s="37"/>
      <c r="AJ43" s="37" t="str">
        <f>IF(AND(INDEX('feed pars'!$C$6:$AT$48,MATCH($A43,'feed pars'!$B$6:$B$48,0),AJ$1)&lt;&gt;"",AJ$1&lt;&gt;""), INDEX('feed pars'!$C$6:$AT$48,MATCH($A43,'feed pars'!$B$6:$B$48,0),AJ$1), "")</f>
        <v/>
      </c>
      <c r="AK43" s="37" t="str">
        <f>IF(AND(INDEX('feed pars'!$C$6:$AT$48,MATCH($A43,'feed pars'!$B$6:$B$48,0),AK$1)&lt;&gt;"",AK$1&lt;&gt;""), INDEX('feed pars'!$C$6:$AT$48,MATCH($A43,'feed pars'!$B$6:$B$48,0),AK$1), "")</f>
        <v/>
      </c>
      <c r="AL43" s="37"/>
      <c r="AM43" s="28" t="str">
        <f>'feed pars'!$B46</f>
        <v>potatoe offals</v>
      </c>
      <c r="AN43" s="37" t="s">
        <v>20</v>
      </c>
      <c r="AO43" s="37" t="s">
        <v>289</v>
      </c>
      <c r="AP43" s="37" t="str">
        <f>IF(AND(INDEX('feed pars'!$C$6:$AT$48,MATCH($A43,'feed pars'!$B$6:$B$48,0),AP$1)&lt;&gt;"",AP$1&lt;&gt;""), INDEX('feed pars'!$C$6:$AT$48,MATCH($A43,'feed pars'!$B$6:$B$48,0),AP$1), "")</f>
        <v/>
      </c>
      <c r="AQ43" s="37" t="str">
        <f>IF(AND(INDEX('feed pars'!$C$6:$AT$48,MATCH($A43,'feed pars'!$B$6:$B$48,0),AQ$1)&lt;&gt;"",AQ$1&lt;&gt;""), INDEX('feed pars'!$C$6:$AT$48,MATCH($A43,'feed pars'!$B$6:$B$48,0),AQ$1), "")</f>
        <v/>
      </c>
      <c r="AS43" s="28" t="str">
        <f>'feed pars'!$B46</f>
        <v>potatoe offals</v>
      </c>
      <c r="AT43" s="37" t="s">
        <v>369</v>
      </c>
      <c r="AU43" s="37"/>
      <c r="AV43" s="28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t="str">
        <f>'feed pars'!$B47</f>
        <v>fish meal</v>
      </c>
      <c r="D44" s="28">
        <f>IF(AND(INDEX('feed pars'!$C$6:$AT$48,MATCH($A44,'feed pars'!$B$6:$B$48,0),D$1)&lt;&gt;"",D$1&lt;&gt;""), INDEX('feed pars'!$C$6:$AT$48,MATCH($A44,'feed pars'!$B$6:$B$48,0),D$1), "")</f>
        <v>22.254696000000003</v>
      </c>
      <c r="E44" s="28">
        <f>IF(AND(INDEX('feed pars'!$C$6:$AT$48,MATCH($A44,'feed pars'!$B$6:$B$48,0),E$1)&lt;&gt;"",E$1&lt;&gt;""), INDEX('feed pars'!$C$6:$AT$48,MATCH($A44,'feed pars'!$B$6:$B$48,0),E$1), "")</f>
        <v>13.55</v>
      </c>
      <c r="F44" s="28">
        <f>IF(AND(INDEX('feed pars'!$C$6:$AT$48,MATCH($A44,'feed pars'!$B$6:$B$48,0),F$1)&lt;&gt;"",F$1&lt;&gt;""), INDEX('feed pars'!$C$6:$AT$48,MATCH($A44,'feed pars'!$B$6:$B$48,0),F$1), "")</f>
        <v>12.112000000000002</v>
      </c>
      <c r="G44" s="28">
        <f>IF(AND(INDEX('feed pars'!$C$6:$AT$48,MATCH($A44,'feed pars'!$B$6:$B$48,0),G$1)&lt;&gt;"",G$1&lt;&gt;""), INDEX('feed pars'!$C$6:$AT$48,MATCH($A44,'feed pars'!$B$6:$B$48,0),G$1), "")</f>
        <v>2.3499999999999996</v>
      </c>
      <c r="H44" s="28">
        <f>IF(AND(INDEX('feed pars'!$C$6:$AT$48,MATCH($A44,'feed pars'!$B$6:$B$48,0),H$1)&lt;&gt;"",H$1&lt;&gt;""), INDEX('feed pars'!$C$6:$AT$48,MATCH($A44,'feed pars'!$B$6:$B$48,0),H$1), "")</f>
        <v>1.1950000000000001</v>
      </c>
      <c r="I44" s="28"/>
      <c r="J44" s="28" t="str">
        <f>'feed pars'!$B47</f>
        <v>fish meal</v>
      </c>
      <c r="K44" s="28" t="s">
        <v>19</v>
      </c>
      <c r="L44" s="28"/>
      <c r="M44" s="28">
        <f>IF(AND(INDEX('feed pars'!$C$6:$AT$48,MATCH($A44,'feed pars'!$B$6:$B$48,0),M$1)&lt;&gt;"",M$1&lt;&gt;""), INDEX('feed pars'!$C$6:$AT$48,MATCH($A44,'feed pars'!$B$6:$B$48,0),M$1), "")</f>
        <v>14.8</v>
      </c>
      <c r="N44" s="28">
        <f>IF(AND(INDEX('feed pars'!$C$6:$AT$48,MATCH($A44,'feed pars'!$B$6:$B$48,0),N$1)&lt;&gt;"",N$1&lt;&gt;""), INDEX('feed pars'!$C$6:$AT$48,MATCH($A44,'feed pars'!$B$6:$B$48,0),N$1), "")</f>
        <v>51</v>
      </c>
      <c r="O44" s="28">
        <f>IF(AND(INDEX('feed pars'!$C$6:$AT$48,MATCH($A44,'feed pars'!$B$6:$B$48,0),O$1)&lt;&gt;"",O$1&lt;&gt;""), INDEX('feed pars'!$C$6:$AT$48,MATCH($A44,'feed pars'!$B$6:$B$48,0),O$1), "")</f>
        <v>154</v>
      </c>
      <c r="P44" s="28">
        <f>IF(AND(INDEX('feed pars'!$C$6:$AT$48,MATCH($A44,'feed pars'!$B$6:$B$48,0),P$1)&lt;&gt;"",P$1&lt;&gt;""), INDEX('feed pars'!$C$6:$AT$48,MATCH($A44,'feed pars'!$B$6:$B$48,0),P$1), "")</f>
        <v>21.750544919999999</v>
      </c>
      <c r="Q44" s="28">
        <f>IF(AND(INDEX('feed pars'!$C$6:$AT$48,MATCH($A44,'feed pars'!$B$6:$B$48,0),Q$1)&lt;&gt;"",Q$1&lt;&gt;""), INDEX('feed pars'!$C$6:$AT$48,MATCH($A44,'feed pars'!$B$6:$B$48,0),Q$1), "")</f>
        <v>110</v>
      </c>
      <c r="S44" s="28" t="str">
        <f>'feed pars'!$B47</f>
        <v>fish meal</v>
      </c>
      <c r="T44" s="28" t="s">
        <v>376</v>
      </c>
      <c r="U44" s="28"/>
      <c r="V44" s="28">
        <f>IF(AND(INDEX('feed pars'!$C$6:$AT$48,MATCH($A44,'feed pars'!$B$6:$B$48,0),V$1)&lt;&gt;"",V$1&lt;&gt;""), INDEX('feed pars'!$C$6:$AT$48,MATCH($A44,'feed pars'!$B$6:$B$48,0),V$1), "")</f>
        <v>14.8</v>
      </c>
      <c r="W44" s="28">
        <f>IF(AND(INDEX('feed pars'!$C$6:$AT$48,MATCH($A44,'feed pars'!$B$6:$B$48,0),W$1)&lt;&gt;"",W$1&lt;&gt;""), INDEX('feed pars'!$C$6:$AT$48,MATCH($A44,'feed pars'!$B$6:$B$48,0),W$1), "")</f>
        <v>21.750544919999999</v>
      </c>
      <c r="X44" s="28">
        <f>IF(AND(INDEX('feed pars'!$C$6:$AT$48,MATCH($A44,'feed pars'!$B$6:$B$48,0),X$1)&lt;&gt;"",X$1&lt;&gt;""), INDEX('feed pars'!$C$6:$AT$48,MATCH($A44,'feed pars'!$B$6:$B$48,0),X$1), "")</f>
        <v>110</v>
      </c>
      <c r="Z44" s="28" t="str">
        <f>'feed pars'!$B47</f>
        <v>fish meal</v>
      </c>
      <c r="AA44" s="28" t="s">
        <v>372</v>
      </c>
      <c r="AB44" s="28"/>
      <c r="AC44" s="28">
        <f>IF(AND(INDEX('feed pars'!$C$6:$AT$48,MATCH($A44,'feed pars'!$B$6:$B$48,0),AC$1)&lt;&gt;"",AC$1&lt;&gt;""), INDEX('feed pars'!$C$6:$AT$48,MATCH($A44,'feed pars'!$B$6:$B$48,0),AC$1), "")</f>
        <v>14.8</v>
      </c>
      <c r="AD44" s="28">
        <f>IF(AND(INDEX('feed pars'!$C$6:$AT$48,MATCH($A44,'feed pars'!$B$6:$B$48,0),AD$1)&lt;&gt;"",AD$1&lt;&gt;""), INDEX('feed pars'!$C$6:$AT$48,MATCH($A44,'feed pars'!$B$6:$B$48,0),AD$1), "")</f>
        <v>21.750544919999999</v>
      </c>
      <c r="AE44" s="28">
        <f>IF(AND(INDEX('feed pars'!$C$6:$AT$48,MATCH($A44,'feed pars'!$B$6:$B$48,0),AE$1)&lt;&gt;"",AE$1&lt;&gt;""), INDEX('feed pars'!$C$6:$AT$48,MATCH($A44,'feed pars'!$B$6:$B$48,0),AE$1), "")</f>
        <v>110</v>
      </c>
      <c r="AG44" s="28" t="str">
        <f>'feed pars'!$B47</f>
        <v>fish meal</v>
      </c>
      <c r="AH44" s="28" t="s">
        <v>20</v>
      </c>
      <c r="AI44" s="28"/>
      <c r="AJ44" s="28">
        <f>IF(AND(INDEX('feed pars'!$C$6:$AT$48,MATCH($A44,'feed pars'!$B$6:$B$48,0),AJ$1)&lt;&gt;"",AJ$1&lt;&gt;""), INDEX('feed pars'!$C$6:$AT$48,MATCH($A44,'feed pars'!$B$6:$B$48,0),AJ$1), "")</f>
        <v>10.8</v>
      </c>
      <c r="AK44" s="28">
        <f>IF(AND(INDEX('feed pars'!$C$6:$AT$48,MATCH($A44,'feed pars'!$B$6:$B$48,0),AK$1)&lt;&gt;"",AK$1&lt;&gt;""), INDEX('feed pars'!$C$6:$AT$48,MATCH($A44,'feed pars'!$B$6:$B$48,0),AK$1), "")</f>
        <v>19.5</v>
      </c>
      <c r="AM44" s="28" t="str">
        <f>'feed pars'!$B47</f>
        <v>fish meal</v>
      </c>
      <c r="AN44" s="28" t="s">
        <v>20</v>
      </c>
      <c r="AO44" s="28" t="s">
        <v>289</v>
      </c>
      <c r="AP44" s="37">
        <f>IF(AND(INDEX('feed pars'!$C$6:$AT$48,MATCH($A44,'feed pars'!$B$6:$B$48,0),AP$1)&lt;&gt;"",AP$1&lt;&gt;""), INDEX('feed pars'!$C$6:$AT$48,MATCH($A44,'feed pars'!$B$6:$B$48,0),AP$1), "")</f>
        <v>10.8</v>
      </c>
      <c r="AQ44" s="37" t="str">
        <f>IF(AND(INDEX('feed pars'!$C$6:$AT$48,MATCH($A44,'feed pars'!$B$6:$B$48,0),AQ$1)&lt;&gt;"",AQ$1&lt;&gt;""), INDEX('feed pars'!$C$6:$AT$48,MATCH($A44,'feed pars'!$B$6:$B$48,0),AQ$1), "")</f>
        <v/>
      </c>
      <c r="AS44" s="28" t="str">
        <f>'feed pars'!$B47</f>
        <v>fish meal</v>
      </c>
      <c r="AT44" s="28" t="s">
        <v>369</v>
      </c>
      <c r="AU44" s="28"/>
      <c r="AV44" s="28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36" t="str">
        <f>'feed pars'!$B48</f>
        <v>minerals</v>
      </c>
      <c r="B45" s="36"/>
      <c r="C45" s="36"/>
      <c r="D45" s="57">
        <f>IF(AND(INDEX('feed pars'!$C$6:$AT$48,MATCH($A45,'feed pars'!$B$6:$B$48,0),D$1)&lt;&gt;"",D$1&lt;&gt;""), INDEX('feed pars'!$C$6:$AT$48,MATCH($A45,'feed pars'!$B$6:$B$48,0),D$1), "")</f>
        <v>0</v>
      </c>
      <c r="E45" s="57">
        <f>IF(AND(INDEX('feed pars'!$C$6:$AT$48,MATCH($A45,'feed pars'!$B$6:$B$48,0),E$1)&lt;&gt;"",E$1&lt;&gt;""), INDEX('feed pars'!$C$6:$AT$48,MATCH($A45,'feed pars'!$B$6:$B$48,0),E$1), "")</f>
        <v>100</v>
      </c>
      <c r="F45" s="57">
        <f>IF(AND(INDEX('feed pars'!$C$6:$AT$48,MATCH($A45,'feed pars'!$B$6:$B$48,0),F$1)&lt;&gt;"",F$1&lt;&gt;""), INDEX('feed pars'!$C$6:$AT$48,MATCH($A45,'feed pars'!$B$6:$B$48,0),F$1), "")</f>
        <v>0</v>
      </c>
      <c r="G45" s="57">
        <f>IF(AND(INDEX('feed pars'!$C$6:$AT$48,MATCH($A45,'feed pars'!$B$6:$B$48,0),G$1)&lt;&gt;"",G$1&lt;&gt;""), INDEX('feed pars'!$C$6:$AT$48,MATCH($A45,'feed pars'!$B$6:$B$48,0),G$1), "")</f>
        <v>4</v>
      </c>
      <c r="H45" s="57">
        <f>IF(AND(INDEX('feed pars'!$C$6:$AT$48,MATCH($A45,'feed pars'!$B$6:$B$48,0),H$1)&lt;&gt;"",H$1&lt;&gt;""), INDEX('feed pars'!$C$6:$AT$48,MATCH($A45,'feed pars'!$B$6:$B$48,0),H$1), "")</f>
        <v>0</v>
      </c>
      <c r="J45" s="57" t="str">
        <f>'feed pars'!$B48</f>
        <v>minerals</v>
      </c>
      <c r="K45" s="57" t="s">
        <v>19</v>
      </c>
      <c r="L45" s="57"/>
      <c r="M45" s="57">
        <f>IF(AND(INDEX('feed pars'!$C$6:$AT$48,MATCH($A45,'feed pars'!$B$6:$B$48,0),M$1)&lt;&gt;"",M$1&lt;&gt;""), INDEX('feed pars'!$C$6:$AT$48,MATCH($A45,'feed pars'!$B$6:$B$48,0),M$1), "")</f>
        <v>0</v>
      </c>
      <c r="N45" s="57">
        <f>IF(AND(INDEX('feed pars'!$C$6:$AT$48,MATCH($A45,'feed pars'!$B$6:$B$48,0),N$1)&lt;&gt;"",N$1&lt;&gt;""), INDEX('feed pars'!$C$6:$AT$48,MATCH($A45,'feed pars'!$B$6:$B$48,0),N$1), "")</f>
        <v>0</v>
      </c>
      <c r="O45" s="57">
        <f>IF(AND(INDEX('feed pars'!$C$6:$AT$48,MATCH($A45,'feed pars'!$B$6:$B$48,0),O$1)&lt;&gt;"",O$1&lt;&gt;""), INDEX('feed pars'!$C$6:$AT$48,MATCH($A45,'feed pars'!$B$6:$B$48,0),O$1), "")</f>
        <v>0</v>
      </c>
      <c r="P45" s="57">
        <f>IF(AND(INDEX('feed pars'!$C$6:$AT$48,MATCH($A45,'feed pars'!$B$6:$B$48,0),P$1)&lt;&gt;"",P$1&lt;&gt;""), INDEX('feed pars'!$C$6:$AT$48,MATCH($A45,'feed pars'!$B$6:$B$48,0),P$1), "")</f>
        <v>0</v>
      </c>
      <c r="Q45" s="57">
        <f>IF(AND(INDEX('feed pars'!$C$6:$AT$48,MATCH($A45,'feed pars'!$B$6:$B$48,0),Q$1)&lt;&gt;"",Q$1&lt;&gt;""), INDEX('feed pars'!$C$6:$AT$48,MATCH($A45,'feed pars'!$B$6:$B$48,0),Q$1), "")</f>
        <v>0</v>
      </c>
      <c r="S45" s="57" t="str">
        <f>'feed pars'!$B48</f>
        <v>minerals</v>
      </c>
      <c r="T45" s="57" t="s">
        <v>376</v>
      </c>
      <c r="U45" s="57"/>
      <c r="V45" s="57">
        <f>IF(AND(INDEX('feed pars'!$C$6:$AT$48,MATCH($A45,'feed pars'!$B$6:$B$48,0),V$1)&lt;&gt;"",V$1&lt;&gt;""), INDEX('feed pars'!$C$6:$AT$48,MATCH($A45,'feed pars'!$B$6:$B$48,0),V$1), "")</f>
        <v>0</v>
      </c>
      <c r="W45" s="57">
        <f>IF(AND(INDEX('feed pars'!$C$6:$AT$48,MATCH($A45,'feed pars'!$B$6:$B$48,0),W$1)&lt;&gt;"",W$1&lt;&gt;""), INDEX('feed pars'!$C$6:$AT$48,MATCH($A45,'feed pars'!$B$6:$B$48,0),W$1), "")</f>
        <v>0</v>
      </c>
      <c r="X45" s="57">
        <f>IF(AND(INDEX('feed pars'!$C$6:$AT$48,MATCH($A45,'feed pars'!$B$6:$B$48,0),X$1)&lt;&gt;"",X$1&lt;&gt;""), INDEX('feed pars'!$C$6:$AT$48,MATCH($A45,'feed pars'!$B$6:$B$48,0),X$1), "")</f>
        <v>0</v>
      </c>
      <c r="Z45" s="57" t="str">
        <f>'feed pars'!$B48</f>
        <v>minerals</v>
      </c>
      <c r="AA45" s="57" t="s">
        <v>372</v>
      </c>
      <c r="AB45" s="57"/>
      <c r="AC45" s="57">
        <f>IF(AND(INDEX('feed pars'!$C$6:$AT$48,MATCH($A45,'feed pars'!$B$6:$B$48,0),AC$1)&lt;&gt;"",AC$1&lt;&gt;""), INDEX('feed pars'!$C$6:$AT$48,MATCH($A45,'feed pars'!$B$6:$B$48,0),AC$1), "")</f>
        <v>0</v>
      </c>
      <c r="AD45" s="57">
        <f>IF(AND(INDEX('feed pars'!$C$6:$AT$48,MATCH($A45,'feed pars'!$B$6:$B$48,0),AD$1)&lt;&gt;"",AD$1&lt;&gt;""), INDEX('feed pars'!$C$6:$AT$48,MATCH($A45,'feed pars'!$B$6:$B$48,0),AD$1), "")</f>
        <v>0</v>
      </c>
      <c r="AE45" s="57">
        <f>IF(AND(INDEX('feed pars'!$C$6:$AT$48,MATCH($A45,'feed pars'!$B$6:$B$48,0),AE$1)&lt;&gt;"",AE$1&lt;&gt;""), INDEX('feed pars'!$C$6:$AT$48,MATCH($A45,'feed pars'!$B$6:$B$48,0),AE$1), "")</f>
        <v>0</v>
      </c>
      <c r="AG45" s="57" t="str">
        <f>'feed pars'!$B48</f>
        <v>minerals</v>
      </c>
      <c r="AH45" s="57" t="s">
        <v>20</v>
      </c>
      <c r="AI45" s="57"/>
      <c r="AJ45" s="57">
        <f>IF(AND(INDEX('feed pars'!$C$6:$AT$48,MATCH($A45,'feed pars'!$B$6:$B$48,0),AJ$1)&lt;&gt;"",AJ$1&lt;&gt;""), INDEX('feed pars'!$C$6:$AT$48,MATCH($A45,'feed pars'!$B$6:$B$48,0),AJ$1), "")</f>
        <v>0</v>
      </c>
      <c r="AK45" s="57">
        <f>IF(AND(INDEX('feed pars'!$C$6:$AT$48,MATCH($A45,'feed pars'!$B$6:$B$48,0),AK$1)&lt;&gt;"",AK$1&lt;&gt;""), INDEX('feed pars'!$C$6:$AT$48,MATCH($A45,'feed pars'!$B$6:$B$48,0),AK$1), "")</f>
        <v>0</v>
      </c>
      <c r="AM45" s="57" t="str">
        <f>'feed pars'!$B48</f>
        <v>minerals</v>
      </c>
      <c r="AN45" s="57" t="s">
        <v>20</v>
      </c>
      <c r="AO45" s="57" t="s">
        <v>289</v>
      </c>
      <c r="AP45" s="36">
        <f>IF(AND(INDEX('feed pars'!$C$6:$AT$48,MATCH($A45,'feed pars'!$B$6:$B$48,0),AP$1)&lt;&gt;"",AP$1&lt;&gt;""), INDEX('feed pars'!$C$6:$AT$48,MATCH($A45,'feed pars'!$B$6:$B$48,0),AP$1), "")</f>
        <v>0</v>
      </c>
      <c r="AQ45" s="36" t="str">
        <f>IF(AND(INDEX('feed pars'!$C$6:$AT$48,MATCH($A45,'feed pars'!$B$6:$B$48,0),AQ$1)&lt;&gt;"",AQ$1&lt;&gt;""), INDEX('feed pars'!$C$6:$AT$48,MATCH($A45,'feed pars'!$B$6:$B$48,0),AQ$1), "")</f>
        <v/>
      </c>
      <c r="AS45" s="57" t="str">
        <f>'feed pars'!$B48</f>
        <v>minerals</v>
      </c>
      <c r="AT45" s="57" t="s">
        <v>369</v>
      </c>
      <c r="AU45" s="57"/>
      <c r="AV45" s="57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28"/>
    </row>
  </sheetData>
  <sortState ref="A54:A96">
    <sortCondition ref="A54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workbookViewId="0">
      <selection activeCell="A37" sqref="A3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51</v>
      </c>
      <c r="B2" s="15" t="s">
        <v>115</v>
      </c>
      <c r="C2" s="15" t="s">
        <v>118</v>
      </c>
      <c r="D2" s="15" t="s">
        <v>119</v>
      </c>
      <c r="E2" s="15" t="s">
        <v>114</v>
      </c>
      <c r="F2" s="15" t="s">
        <v>113</v>
      </c>
      <c r="G2" s="15" t="s">
        <v>112</v>
      </c>
      <c r="H2" s="15" t="s">
        <v>120</v>
      </c>
      <c r="I2" s="15" t="s">
        <v>121</v>
      </c>
      <c r="J2" s="15" t="s">
        <v>122</v>
      </c>
      <c r="K2" s="15" t="s">
        <v>116</v>
      </c>
      <c r="L2" s="15" t="s">
        <v>117</v>
      </c>
      <c r="M2" s="15" t="s">
        <v>123</v>
      </c>
      <c r="N2" s="15" t="s">
        <v>124</v>
      </c>
      <c r="O2" s="15" t="s">
        <v>125</v>
      </c>
      <c r="P2" s="15" t="s">
        <v>126</v>
      </c>
      <c r="Q2" s="15" t="s">
        <v>127</v>
      </c>
      <c r="R2" s="15" t="s">
        <v>128</v>
      </c>
      <c r="S2" s="15" t="s">
        <v>129</v>
      </c>
      <c r="T2" s="15" t="s">
        <v>130</v>
      </c>
      <c r="U2" s="15" t="s">
        <v>131</v>
      </c>
      <c r="V2" s="15" t="s">
        <v>132</v>
      </c>
      <c r="W2" s="15" t="s">
        <v>133</v>
      </c>
      <c r="X2" s="15" t="s">
        <v>134</v>
      </c>
      <c r="Y2" s="15" t="s">
        <v>135</v>
      </c>
      <c r="Z2" s="15" t="s">
        <v>136</v>
      </c>
      <c r="AA2" s="15" t="s">
        <v>137</v>
      </c>
      <c r="AB2" s="15" t="s">
        <v>138</v>
      </c>
      <c r="AC2" s="15" t="s">
        <v>139</v>
      </c>
      <c r="AD2" s="15" t="s">
        <v>140</v>
      </c>
      <c r="AE2" s="15" t="s">
        <v>141</v>
      </c>
      <c r="AF2" s="15" t="s">
        <v>142</v>
      </c>
      <c r="AG2" s="15" t="s">
        <v>143</v>
      </c>
      <c r="AH2" s="15" t="s">
        <v>144</v>
      </c>
      <c r="AI2" s="15" t="s">
        <v>145</v>
      </c>
      <c r="AJ2" s="15" t="s">
        <v>146</v>
      </c>
      <c r="AK2" s="15" t="s">
        <v>147</v>
      </c>
      <c r="AL2" s="15" t="s">
        <v>148</v>
      </c>
      <c r="AM2" s="15" t="s">
        <v>149</v>
      </c>
      <c r="AN2" s="15" t="s">
        <v>150</v>
      </c>
      <c r="AO2" s="15" t="s">
        <v>151</v>
      </c>
    </row>
    <row r="3" spans="1:41" x14ac:dyDescent="0.25">
      <c r="A3" t="s">
        <v>44</v>
      </c>
      <c r="B3" s="8">
        <v>1</v>
      </c>
      <c r="C3" s="9" t="s">
        <v>54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55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43</v>
      </c>
      <c r="B5" s="8">
        <v>3</v>
      </c>
      <c r="C5" s="9" t="s">
        <v>56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46</v>
      </c>
      <c r="B6" s="11">
        <v>4</v>
      </c>
      <c r="C6" s="12" t="s">
        <v>57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58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53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50</v>
      </c>
      <c r="B9" s="8">
        <v>7</v>
      </c>
      <c r="C9" s="9" t="s">
        <v>59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60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61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62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31</v>
      </c>
      <c r="B13" s="8">
        <v>11</v>
      </c>
      <c r="C13" s="9" t="s">
        <v>63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64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30</v>
      </c>
      <c r="B15" s="8">
        <v>13</v>
      </c>
      <c r="C15" s="9" t="s">
        <v>65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36</v>
      </c>
      <c r="B16" s="11">
        <v>14</v>
      </c>
      <c r="C16" s="12" t="s">
        <v>66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67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68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69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70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33</v>
      </c>
      <c r="B21" s="8">
        <v>19</v>
      </c>
      <c r="C21" s="9" t="s">
        <v>71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72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73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368</v>
      </c>
      <c r="B24" s="11">
        <v>22</v>
      </c>
      <c r="C24" s="12" t="s">
        <v>74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45</v>
      </c>
      <c r="B25" s="8">
        <v>23</v>
      </c>
      <c r="C25" s="9" t="s">
        <v>75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76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77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78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79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301</v>
      </c>
      <c r="B30" s="11">
        <v>28</v>
      </c>
      <c r="C30" s="12" t="s">
        <v>80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40</v>
      </c>
      <c r="B31" s="8">
        <v>29</v>
      </c>
      <c r="C31" s="9" t="s">
        <v>81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82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49</v>
      </c>
      <c r="B33" s="8">
        <v>31</v>
      </c>
      <c r="C33" s="9" t="s">
        <v>83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84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28</v>
      </c>
      <c r="B35" s="8">
        <v>33</v>
      </c>
      <c r="C35" s="9" t="s">
        <v>85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A36" t="s">
        <v>295</v>
      </c>
      <c r="B36" s="11">
        <v>34</v>
      </c>
      <c r="C36" s="12" t="s">
        <v>86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87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29</v>
      </c>
      <c r="B38" s="11">
        <v>36</v>
      </c>
      <c r="C38" s="12" t="s">
        <v>88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89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303</v>
      </c>
      <c r="B40" s="11">
        <v>38</v>
      </c>
      <c r="C40" s="12" t="s">
        <v>90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32</v>
      </c>
      <c r="B41" s="8">
        <v>39</v>
      </c>
      <c r="C41" s="9" t="s">
        <v>91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92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93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94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37</v>
      </c>
      <c r="B45" s="8">
        <v>43</v>
      </c>
      <c r="C45" s="9" t="s">
        <v>95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96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38</v>
      </c>
      <c r="B47" s="8">
        <v>45</v>
      </c>
      <c r="C47" s="9" t="s">
        <v>97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39</v>
      </c>
      <c r="B48" s="11">
        <v>46</v>
      </c>
      <c r="C48" s="12" t="s">
        <v>98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99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100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101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47</v>
      </c>
      <c r="B52" s="11">
        <v>50</v>
      </c>
      <c r="C52" s="12" t="s">
        <v>102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103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48</v>
      </c>
      <c r="B54" s="11">
        <v>52</v>
      </c>
      <c r="C54" s="12" t="s">
        <v>104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105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42</v>
      </c>
      <c r="B56" s="11">
        <v>54</v>
      </c>
      <c r="C56" s="12" t="s">
        <v>106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41</v>
      </c>
      <c r="B57" s="8">
        <v>55</v>
      </c>
      <c r="C57" s="9" t="s">
        <v>107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34</v>
      </c>
      <c r="B58" s="11">
        <v>56</v>
      </c>
      <c r="C58" s="12" t="s">
        <v>108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35</v>
      </c>
      <c r="B59" s="8">
        <v>57</v>
      </c>
      <c r="C59" s="9" t="s">
        <v>109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110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E30" sqref="E30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51</v>
      </c>
      <c r="B2" s="15" t="s">
        <v>115</v>
      </c>
      <c r="C2" s="15" t="s">
        <v>118</v>
      </c>
      <c r="D2" s="15" t="s">
        <v>119</v>
      </c>
      <c r="E2" s="15" t="s">
        <v>269</v>
      </c>
      <c r="F2" s="15" t="s">
        <v>270</v>
      </c>
      <c r="G2" s="15" t="s">
        <v>271</v>
      </c>
      <c r="H2" s="15" t="s">
        <v>272</v>
      </c>
      <c r="I2" s="15" t="s">
        <v>273</v>
      </c>
      <c r="J2" s="15" t="s">
        <v>274</v>
      </c>
      <c r="K2" s="15" t="s">
        <v>121</v>
      </c>
      <c r="L2" s="15" t="s">
        <v>122</v>
      </c>
      <c r="M2" s="15" t="s">
        <v>125</v>
      </c>
      <c r="N2" s="15" t="s">
        <v>275</v>
      </c>
      <c r="O2" s="15" t="s">
        <v>276</v>
      </c>
      <c r="P2" s="15" t="s">
        <v>277</v>
      </c>
      <c r="Q2" s="15" t="s">
        <v>278</v>
      </c>
      <c r="R2" s="15" t="s">
        <v>279</v>
      </c>
      <c r="S2" s="15" t="s">
        <v>280</v>
      </c>
      <c r="T2" s="15" t="s">
        <v>281</v>
      </c>
      <c r="U2" s="15" t="s">
        <v>282</v>
      </c>
      <c r="V2" s="15" t="s">
        <v>283</v>
      </c>
      <c r="W2" s="15" t="s">
        <v>124</v>
      </c>
      <c r="X2" s="15" t="s">
        <v>284</v>
      </c>
      <c r="Y2" s="15" t="s">
        <v>123</v>
      </c>
      <c r="Z2" s="15" t="s">
        <v>116</v>
      </c>
      <c r="AA2" s="15" t="s">
        <v>285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286</v>
      </c>
      <c r="AH2" s="15" t="s">
        <v>145</v>
      </c>
    </row>
    <row r="3" spans="1:34" x14ac:dyDescent="0.25">
      <c r="B3" s="8">
        <v>1</v>
      </c>
      <c r="C3" s="10" t="s">
        <v>152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153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154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155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156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157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158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159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160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161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162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163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164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165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166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167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168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169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170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171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172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293</v>
      </c>
      <c r="B24" s="11">
        <v>22</v>
      </c>
      <c r="C24" s="13" t="s">
        <v>173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174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175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176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177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582</v>
      </c>
      <c r="B29" s="8">
        <v>27</v>
      </c>
      <c r="C29" s="10" t="s">
        <v>178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31</v>
      </c>
      <c r="B30" s="11">
        <v>28</v>
      </c>
      <c r="C30" s="13" t="s">
        <v>179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581</v>
      </c>
      <c r="B31" s="8">
        <v>29</v>
      </c>
      <c r="C31" s="10" t="s">
        <v>180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64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181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182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183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184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185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186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187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300</v>
      </c>
      <c r="B40" s="11">
        <v>38</v>
      </c>
      <c r="C40" s="13" t="s">
        <v>188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189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190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191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30</v>
      </c>
      <c r="B44" s="11">
        <v>42</v>
      </c>
      <c r="C44" s="13" t="s">
        <v>192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193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194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36</v>
      </c>
      <c r="B47" s="8">
        <v>45</v>
      </c>
      <c r="C47" s="10" t="s">
        <v>195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196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197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198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199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368</v>
      </c>
      <c r="B52" s="11">
        <v>50</v>
      </c>
      <c r="C52" s="13" t="s">
        <v>200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201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202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33</v>
      </c>
      <c r="B55" s="8">
        <v>53</v>
      </c>
      <c r="C55" s="10" t="s">
        <v>203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204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205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206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47</v>
      </c>
      <c r="B59" s="8">
        <v>57</v>
      </c>
      <c r="C59" s="10" t="s">
        <v>207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208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209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40</v>
      </c>
      <c r="B62" s="11">
        <v>60</v>
      </c>
      <c r="C62" s="13" t="s">
        <v>210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211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212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594</v>
      </c>
      <c r="B65" s="8">
        <v>63</v>
      </c>
      <c r="C65" s="10" t="s">
        <v>213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214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49</v>
      </c>
      <c r="B67" s="8">
        <v>65</v>
      </c>
      <c r="C67" s="10" t="s">
        <v>215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295</v>
      </c>
      <c r="B68" s="11">
        <v>66</v>
      </c>
      <c r="C68" s="13" t="s">
        <v>216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217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218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219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29</v>
      </c>
      <c r="B72" s="11">
        <v>70</v>
      </c>
      <c r="C72" s="13" t="s">
        <v>220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28</v>
      </c>
      <c r="B73" s="8">
        <v>71</v>
      </c>
      <c r="C73" s="10" t="s">
        <v>221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222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223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224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225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625</v>
      </c>
      <c r="B78" s="11">
        <v>76</v>
      </c>
      <c r="C78" s="13" t="s">
        <v>226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303</v>
      </c>
      <c r="B79" s="8">
        <v>77</v>
      </c>
      <c r="C79" s="10" t="s">
        <v>227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32</v>
      </c>
      <c r="B80" s="11">
        <v>78</v>
      </c>
      <c r="C80" s="13" t="s">
        <v>228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229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230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231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232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233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234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235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236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237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45</v>
      </c>
      <c r="B90" s="11">
        <v>88</v>
      </c>
      <c r="C90" s="13" t="s">
        <v>238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239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240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46</v>
      </c>
      <c r="B93" s="8">
        <v>91</v>
      </c>
      <c r="C93" s="10" t="s">
        <v>241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304</v>
      </c>
      <c r="B94" s="11">
        <v>92</v>
      </c>
      <c r="C94" s="13" t="s">
        <v>242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37</v>
      </c>
      <c r="B95" s="8">
        <v>93</v>
      </c>
      <c r="C95" s="10" t="s">
        <v>243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244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245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246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247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248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39</v>
      </c>
      <c r="B101" s="8">
        <v>99</v>
      </c>
      <c r="C101" s="10" t="s">
        <v>249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250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251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252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253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254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255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256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257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258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43</v>
      </c>
      <c r="B111" s="8">
        <v>109</v>
      </c>
      <c r="C111" s="10" t="s">
        <v>259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260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41</v>
      </c>
      <c r="B113" s="8">
        <v>111</v>
      </c>
      <c r="C113" s="10" t="s">
        <v>261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262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263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264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34</v>
      </c>
      <c r="B117" s="8">
        <v>115</v>
      </c>
      <c r="C117" s="10" t="s">
        <v>265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266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267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268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115</v>
      </c>
      <c r="C2" s="15" t="s">
        <v>118</v>
      </c>
      <c r="D2" s="15" t="s">
        <v>318</v>
      </c>
      <c r="E2" s="15" t="s">
        <v>270</v>
      </c>
      <c r="F2" s="15" t="s">
        <v>271</v>
      </c>
      <c r="G2" s="15" t="s">
        <v>388</v>
      </c>
      <c r="H2" s="15" t="s">
        <v>389</v>
      </c>
      <c r="I2" s="15" t="s">
        <v>390</v>
      </c>
      <c r="J2" s="15" t="s">
        <v>391</v>
      </c>
      <c r="K2" s="15" t="s">
        <v>392</v>
      </c>
      <c r="L2" s="15" t="s">
        <v>393</v>
      </c>
      <c r="M2" s="15" t="s">
        <v>394</v>
      </c>
      <c r="N2" s="15" t="s">
        <v>395</v>
      </c>
      <c r="O2" s="15" t="s">
        <v>396</v>
      </c>
      <c r="P2" s="15" t="s">
        <v>397</v>
      </c>
      <c r="Q2" s="15" t="s">
        <v>398</v>
      </c>
      <c r="R2" s="15" t="s">
        <v>399</v>
      </c>
      <c r="S2" s="15" t="s">
        <v>400</v>
      </c>
      <c r="T2" s="15" t="s">
        <v>401</v>
      </c>
      <c r="U2" s="15" t="s">
        <v>116</v>
      </c>
      <c r="V2" s="15" t="s">
        <v>402</v>
      </c>
      <c r="W2" s="15" t="s">
        <v>141</v>
      </c>
      <c r="X2" s="15" t="s">
        <v>142</v>
      </c>
      <c r="Y2" s="15" t="s">
        <v>143</v>
      </c>
      <c r="Z2" s="15" t="s">
        <v>144</v>
      </c>
      <c r="AA2" s="15" t="s">
        <v>145</v>
      </c>
      <c r="AB2" s="15" t="s">
        <v>286</v>
      </c>
    </row>
    <row r="3" spans="2:31" x14ac:dyDescent="0.25">
      <c r="B3" s="8">
        <v>1</v>
      </c>
      <c r="C3" s="23" t="s">
        <v>403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404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405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406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407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408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409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410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411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412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413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414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415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416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417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418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419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420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421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422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423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424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425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426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427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428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429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430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431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432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433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434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435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436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437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438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439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440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441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442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443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444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445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446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447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448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449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450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451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452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453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454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455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456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457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458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459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460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461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E15" sqref="E15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51</v>
      </c>
      <c r="B2" s="15" t="s">
        <v>115</v>
      </c>
      <c r="C2" s="15" t="s">
        <v>516</v>
      </c>
      <c r="D2" s="15" t="s">
        <v>317</v>
      </c>
      <c r="E2" s="15" t="s">
        <v>491</v>
      </c>
      <c r="F2" s="15" t="s">
        <v>492</v>
      </c>
      <c r="G2" s="15" t="s">
        <v>493</v>
      </c>
      <c r="H2" s="15" t="s">
        <v>494</v>
      </c>
      <c r="I2" s="15" t="s">
        <v>495</v>
      </c>
      <c r="J2" s="15" t="s">
        <v>496</v>
      </c>
      <c r="K2" s="15" t="s">
        <v>497</v>
      </c>
      <c r="L2" s="15" t="s">
        <v>498</v>
      </c>
      <c r="M2" s="15" t="s">
        <v>499</v>
      </c>
      <c r="N2" s="15" t="s">
        <v>500</v>
      </c>
    </row>
    <row r="3" spans="1:14" x14ac:dyDescent="0.25">
      <c r="B3" s="8">
        <v>1</v>
      </c>
      <c r="C3" s="10" t="s">
        <v>501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502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503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504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164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517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518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519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520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505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506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521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522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523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182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524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525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526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527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507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528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508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529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509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530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215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531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532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533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534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535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536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537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538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510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539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540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541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511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512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542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543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513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544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545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546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514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515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547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548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549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550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551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552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29" sqref="E29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51</v>
      </c>
      <c r="B2" s="15" t="s">
        <v>115</v>
      </c>
      <c r="C2" s="15" t="s">
        <v>118</v>
      </c>
      <c r="D2" s="15" t="s">
        <v>317</v>
      </c>
      <c r="E2" s="15" t="s">
        <v>318</v>
      </c>
      <c r="F2" s="15" t="s">
        <v>319</v>
      </c>
      <c r="G2" s="15" t="s">
        <v>320</v>
      </c>
      <c r="H2" s="15" t="s">
        <v>321</v>
      </c>
      <c r="I2" s="15" t="s">
        <v>322</v>
      </c>
      <c r="J2" s="15" t="s">
        <v>323</v>
      </c>
      <c r="K2" s="15" t="s">
        <v>324</v>
      </c>
      <c r="L2" s="15" t="s">
        <v>123</v>
      </c>
      <c r="M2" s="15" t="s">
        <v>124</v>
      </c>
      <c r="N2" s="15" t="s">
        <v>122</v>
      </c>
      <c r="O2" s="15" t="s">
        <v>141</v>
      </c>
      <c r="P2" s="15" t="s">
        <v>325</v>
      </c>
      <c r="Q2" s="15" t="s">
        <v>326</v>
      </c>
      <c r="R2" s="15" t="s">
        <v>144</v>
      </c>
      <c r="S2" s="15" t="s">
        <v>145</v>
      </c>
      <c r="T2" s="15" t="s">
        <v>327</v>
      </c>
      <c r="U2" s="15" t="s">
        <v>328</v>
      </c>
    </row>
    <row r="3" spans="1:21" x14ac:dyDescent="0.25">
      <c r="A3" t="s">
        <v>301</v>
      </c>
      <c r="B3" s="8">
        <v>1</v>
      </c>
      <c r="C3" s="10" t="s">
        <v>329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330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331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332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333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50</v>
      </c>
      <c r="B8" s="11">
        <v>6</v>
      </c>
      <c r="C8" s="13" t="s">
        <v>334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335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336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337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31</v>
      </c>
      <c r="B12" s="11">
        <v>10</v>
      </c>
      <c r="C12" s="13" t="s">
        <v>338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339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340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341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342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343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30</v>
      </c>
      <c r="B18" s="11">
        <v>16</v>
      </c>
      <c r="C18" s="13" t="s">
        <v>344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345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346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347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348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349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350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351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33</v>
      </c>
      <c r="B26" s="11">
        <v>24</v>
      </c>
      <c r="C26" s="13" t="s">
        <v>352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368</v>
      </c>
      <c r="B27" s="8">
        <v>25</v>
      </c>
      <c r="C27" s="10" t="s">
        <v>353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354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355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49</v>
      </c>
      <c r="B30" s="11">
        <v>28</v>
      </c>
      <c r="C30" s="13" t="s">
        <v>356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29</v>
      </c>
      <c r="B31" s="8">
        <v>29</v>
      </c>
      <c r="C31" s="10" t="s">
        <v>357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303</v>
      </c>
      <c r="B32" s="11">
        <v>30</v>
      </c>
      <c r="C32" s="13" t="s">
        <v>358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32</v>
      </c>
      <c r="B33" s="8">
        <v>31</v>
      </c>
      <c r="C33" s="10" t="s">
        <v>359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360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37</v>
      </c>
      <c r="B35" s="8">
        <v>33</v>
      </c>
      <c r="C35" s="10" t="s">
        <v>361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362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363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42</v>
      </c>
      <c r="B38" s="11">
        <v>36</v>
      </c>
      <c r="C38" s="13" t="s">
        <v>364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365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41</v>
      </c>
      <c r="B40" s="11">
        <v>38</v>
      </c>
      <c r="C40" s="13" t="s">
        <v>366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34</v>
      </c>
      <c r="B41" s="8">
        <v>39</v>
      </c>
      <c r="C41" s="10" t="s">
        <v>367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2024-12-02T12:14:36Z</dcterms:modified>
</cp:coreProperties>
</file>