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nka0003\Git repos\CIBUSmod\data\scenarios\feed_dist\"/>
    </mc:Choice>
  </mc:AlternateContent>
  <xr:revisionPtr revIDLastSave="0" documentId="13_ncr:1_{1EFFE96B-6D3D-46A9-B33A-6519A4884AC9}" xr6:coauthVersionLast="47" xr6:coauthVersionMax="47" xr10:uidLastSave="{00000000-0000-0000-0000-000000000000}"/>
  <bookViews>
    <workbookView xWindow="1410" yWindow="1305" windowWidth="25305" windowHeight="15240" tabRatio="500" xr2:uid="{00000000-000D-0000-FFFF-FFFF00000000}"/>
  </bookViews>
  <sheets>
    <sheet name="CattleHerd" sheetId="1" r:id="rId1"/>
    <sheet name="FeedMgm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2" l="1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<sst xmlns="http://schemas.openxmlformats.org/spreadsheetml/2006/main" count="160" uniqueCount="54">
  <si>
    <t>f_breed</t>
  </si>
  <si>
    <t>f_animal</t>
  </si>
  <si>
    <t>f_feed</t>
  </si>
  <si>
    <t>parameter</t>
  </si>
  <si>
    <t>val_is</t>
  </si>
  <si>
    <t>share_in_ration</t>
  </si>
  <si>
    <t>drop</t>
  </si>
  <si>
    <t>min_share_in_ration</t>
  </si>
  <si>
    <t>new</t>
  </si>
  <si>
    <t>max_DMI</t>
  </si>
  <si>
    <t>y_0</t>
  </si>
  <si>
    <t>AAT_factor</t>
  </si>
  <si>
    <t>max_PBV</t>
  </si>
  <si>
    <t>min_PBV</t>
  </si>
  <si>
    <t>max_PBV_per_ME</t>
  </si>
  <si>
    <t>min_PBV_per_ME</t>
  </si>
  <si>
    <t>max_fat</t>
  </si>
  <si>
    <t>maize</t>
  </si>
  <si>
    <t>If feed rations for cattle are completely fixed the solver finds the problem</t>
  </si>
  <si>
    <t>infeasible. Likely due to some rounding errors. However if one feed is "set free"</t>
  </si>
  <si>
    <t>it works.</t>
  </si>
  <si>
    <t>Works with default rations</t>
  </si>
  <si>
    <t>calves, suckling</t>
  </si>
  <si>
    <t>Increased as default feed ration has &gt;50g/kg DM fat</t>
  </si>
  <si>
    <t>dairy</t>
  </si>
  <si>
    <t>cows</t>
  </si>
  <si>
    <t>abs</t>
  </si>
  <si>
    <t>Default factor (7.6) is much higher than default rations, especially organic dairy cows low (6.36). This is likely due to the 1:1 substitution of rapseed meal --&gt; rapseed cake in organic rations</t>
  </si>
  <si>
    <t>Works with default rations after adjustments below</t>
  </si>
  <si>
    <t>Organic dairy cows exceed 300 in default ration</t>
  </si>
  <si>
    <t>f_prod_system</t>
  </si>
  <si>
    <t>f_crop_prod</t>
  </si>
  <si>
    <t>f_by_prod</t>
  </si>
  <si>
    <t>conventional</t>
  </si>
  <si>
    <t>linseed</t>
  </si>
  <si>
    <t>soybeans</t>
  </si>
  <si>
    <t>organic</t>
  </si>
  <si>
    <t>max_total_imported</t>
  </si>
  <si>
    <t>fish meal</t>
  </si>
  <si>
    <t>luzern meal</t>
  </si>
  <si>
    <t>maize gluten meal</t>
  </si>
  <si>
    <t>milling by-products from wheat, barley or rye</t>
  </si>
  <si>
    <t>palm kernel expeller</t>
  </si>
  <si>
    <t>rapeseed meal</t>
  </si>
  <si>
    <t>soybean meal</t>
  </si>
  <si>
    <t>soybean protein concentrate</t>
  </si>
  <si>
    <t>sunflower seed meal</t>
  </si>
  <si>
    <t>potatoe protein</t>
  </si>
  <si>
    <t>rapeseed cake</t>
  </si>
  <si>
    <t>sugar beet molasses</t>
  </si>
  <si>
    <t>sugar beet pulp</t>
  </si>
  <si>
    <t>Max imports derived from GeoDistributor solution</t>
  </si>
  <si>
    <t>Some slack required to solve with fixed feed rations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</si>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</sst>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i/>
      <sz val="11"/>
      <color theme="4"/>
      <name val="Calibri"/>
      <family val="2"/>
    </font>
    <font>
      <i/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charset val="1"/>
    </font>
    <font>
      <b/>
      <u/>
      <sz val="11"/>
      <color theme="1"/>
      <name val="Calibri"/>
      <family val="2"/>
      <scheme val="minor"/>
    </font>
    <font>
      <sz val="11"/>
      <color theme="4"/>
      <name val="Calibri"/>
      <family val="2"/>
      <charset val="1"/>
    </font>
    <font>
      <b/>
      <sz val="11"/>
      <color theme="7" tint="-0.249977111117893"/>
      <name val="Calibri"/>
      <family val="2"/>
    </font>
    <font>
      <sz val="11"/>
      <color theme="7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0" borderId="0" xfId="0" applyNumberFormat="1"/>
    <xf numFmtId="0" fontId="8" fillId="0" borderId="0" xfId="0" applyFont="1"/>
    <xf numFmtId="1" fontId="0" fillId="0" borderId="0" xfId="0" applyNumberFormat="1"/>
    <xf numFmtId="3" fontId="0" fillId="0" borderId="0" xfId="0" applyNumberFormat="1"/>
    <xf numFmtId="3" fontId="9" fillId="0" borderId="0" xfId="0" applyNumberFormat="1" applyFont="1"/>
    <xf numFmtId="0" fontId="9" fillId="0" borderId="0" xfId="0" applyFont="1"/>
    <xf numFmtId="0" fontId="10" fillId="2" borderId="0" xfId="0" applyFont="1" applyFill="1" applyAlignment="1">
      <alignment horizontal="right"/>
    </xf>
    <xf numFmtId="0" fontId="1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="90" zoomScaleNormal="90" workbookViewId="0">
      <selection activeCell="H15" sqref="H15"/>
    </sheetView>
  </sheetViews>
  <sheetFormatPr defaultColWidth="8.5703125" defaultRowHeight="15" x14ac:dyDescent="0.25"/>
  <cols>
    <col min="1" max="4" width="2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/>
    </row>
    <row r="2" spans="1:20" x14ac:dyDescent="0.25">
      <c r="A2" s="3"/>
      <c r="B2" s="1"/>
      <c r="C2" s="1"/>
      <c r="D2" s="1"/>
      <c r="E2" s="1"/>
      <c r="F2" s="1"/>
      <c r="G2" s="1"/>
    </row>
    <row r="3" spans="1:20" x14ac:dyDescent="0.25">
      <c r="C3" t="s">
        <v>17</v>
      </c>
      <c r="D3" t="s">
        <v>5</v>
      </c>
      <c r="E3" s="2" t="s">
        <v>6</v>
      </c>
      <c r="F3">
        <v>1</v>
      </c>
      <c r="H3" s="4" t="s">
        <v>18</v>
      </c>
    </row>
    <row r="4" spans="1:20" x14ac:dyDescent="0.25">
      <c r="C4" t="s">
        <v>17</v>
      </c>
      <c r="D4" t="s">
        <v>7</v>
      </c>
      <c r="E4" s="2" t="s">
        <v>8</v>
      </c>
      <c r="F4" s="2">
        <v>0</v>
      </c>
      <c r="H4" s="4" t="s">
        <v>19</v>
      </c>
    </row>
    <row r="5" spans="1:20" x14ac:dyDescent="0.25">
      <c r="E5" s="2"/>
      <c r="F5" s="2"/>
      <c r="H5" s="4" t="s">
        <v>20</v>
      </c>
    </row>
    <row r="7" spans="1:20" x14ac:dyDescent="0.25">
      <c r="D7" t="s">
        <v>9</v>
      </c>
      <c r="E7" s="2" t="s">
        <v>6</v>
      </c>
      <c r="H7" s="4" t="s">
        <v>21</v>
      </c>
    </row>
    <row r="8" spans="1:20" x14ac:dyDescent="0.25">
      <c r="F8" s="8"/>
    </row>
    <row r="9" spans="1:20" x14ac:dyDescent="0.25">
      <c r="E9" s="2"/>
      <c r="H9" s="4" t="s">
        <v>28</v>
      </c>
    </row>
    <row r="10" spans="1:20" x14ac:dyDescent="0.25">
      <c r="A10" t="s">
        <v>24</v>
      </c>
      <c r="B10" t="s">
        <v>25</v>
      </c>
      <c r="D10" t="s">
        <v>11</v>
      </c>
      <c r="E10" s="2" t="s">
        <v>26</v>
      </c>
      <c r="F10" s="8">
        <v>6.3</v>
      </c>
      <c r="G10" s="8">
        <v>7.6</v>
      </c>
      <c r="H10" s="5" t="s">
        <v>27</v>
      </c>
    </row>
    <row r="11" spans="1:20" x14ac:dyDescent="0.25">
      <c r="B11" s="6" t="s">
        <v>22</v>
      </c>
      <c r="D11" t="s">
        <v>11</v>
      </c>
      <c r="E11" t="s">
        <v>26</v>
      </c>
      <c r="F11" s="8">
        <v>6.1</v>
      </c>
      <c r="G11" s="8">
        <v>7</v>
      </c>
    </row>
    <row r="12" spans="1:20" x14ac:dyDescent="0.25">
      <c r="D12" t="s">
        <v>11</v>
      </c>
      <c r="E12" t="s">
        <v>26</v>
      </c>
      <c r="F12" s="8">
        <v>6.4</v>
      </c>
      <c r="G12" s="8">
        <v>6.5</v>
      </c>
      <c r="H12" s="5"/>
    </row>
    <row r="13" spans="1:20" x14ac:dyDescent="0.25">
      <c r="F13" s="8"/>
      <c r="H13" s="5"/>
    </row>
    <row r="14" spans="1:20" x14ac:dyDescent="0.25">
      <c r="D14" t="s">
        <v>12</v>
      </c>
      <c r="E14" s="2" t="s">
        <v>6</v>
      </c>
      <c r="F14" s="10"/>
      <c r="H14" s="4" t="s">
        <v>28</v>
      </c>
      <c r="T14" s="8"/>
    </row>
    <row r="15" spans="1:20" x14ac:dyDescent="0.25">
      <c r="D15" t="s">
        <v>13</v>
      </c>
      <c r="E15" s="2" t="s">
        <v>6</v>
      </c>
      <c r="F15" s="10"/>
      <c r="J15" s="9"/>
      <c r="T15" s="8"/>
    </row>
    <row r="16" spans="1:20" x14ac:dyDescent="0.25">
      <c r="D16" t="s">
        <v>14</v>
      </c>
      <c r="E16" s="2" t="s">
        <v>6</v>
      </c>
      <c r="J16" s="9"/>
      <c r="T16" s="8"/>
    </row>
    <row r="17" spans="2:8" x14ac:dyDescent="0.25">
      <c r="D17" t="s">
        <v>15</v>
      </c>
      <c r="E17" s="2" t="s">
        <v>6</v>
      </c>
    </row>
    <row r="18" spans="2:8" x14ac:dyDescent="0.25">
      <c r="B18" t="s">
        <v>25</v>
      </c>
      <c r="D18" t="s">
        <v>12</v>
      </c>
      <c r="E18" s="2" t="s">
        <v>26</v>
      </c>
      <c r="F18">
        <v>350</v>
      </c>
      <c r="G18">
        <v>300</v>
      </c>
      <c r="H18" s="7" t="s">
        <v>29</v>
      </c>
    </row>
    <row r="19" spans="2:8" x14ac:dyDescent="0.25">
      <c r="E19" s="2"/>
    </row>
    <row r="20" spans="2:8" x14ac:dyDescent="0.25">
      <c r="E20" s="2"/>
      <c r="H20" s="4" t="s">
        <v>28</v>
      </c>
    </row>
    <row r="21" spans="2:8" x14ac:dyDescent="0.25">
      <c r="B21" s="6" t="s">
        <v>22</v>
      </c>
      <c r="D21" t="s">
        <v>16</v>
      </c>
      <c r="E21" s="2" t="s">
        <v>8</v>
      </c>
      <c r="F21">
        <v>100</v>
      </c>
      <c r="H21" s="7" t="s">
        <v>23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837F-3CD4-4696-9D11-D33CB5C9516D}">
  <dimension ref="A1:K30"/>
  <sheetViews>
    <sheetView workbookViewId="0">
      <selection activeCell="F30" sqref="D30:F30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42.140625" bestFit="1" customWidth="1"/>
    <col min="4" max="4" width="19.42578125" bestFit="1" customWidth="1"/>
  </cols>
  <sheetData>
    <row r="1" spans="1:11" x14ac:dyDescent="0.25">
      <c r="A1" s="1" t="s">
        <v>30</v>
      </c>
      <c r="B1" s="1" t="s">
        <v>31</v>
      </c>
      <c r="C1" s="1" t="s">
        <v>32</v>
      </c>
      <c r="D1" s="1" t="s">
        <v>3</v>
      </c>
      <c r="E1" s="1" t="s">
        <v>4</v>
      </c>
      <c r="F1" s="1" t="s">
        <v>10</v>
      </c>
    </row>
    <row r="2" spans="1:11" x14ac:dyDescent="0.25">
      <c r="A2" t="s">
        <v>33</v>
      </c>
      <c r="B2" t="s">
        <v>34</v>
      </c>
      <c r="D2" t="s">
        <v>37</v>
      </c>
      <c r="E2" t="s">
        <v>8</v>
      </c>
      <c r="F2" s="11">
        <f t="shared" ref="F2:F7" si="0">H2*$K$2</f>
        <v>308</v>
      </c>
      <c r="H2" s="12">
        <v>280</v>
      </c>
      <c r="J2" s="14" t="s">
        <v>53</v>
      </c>
      <c r="K2" s="15">
        <v>1.1000000000000001</v>
      </c>
    </row>
    <row r="3" spans="1:11" x14ac:dyDescent="0.25">
      <c r="A3" t="s">
        <v>33</v>
      </c>
      <c r="B3" t="s">
        <v>17</v>
      </c>
      <c r="D3" t="s">
        <v>37</v>
      </c>
      <c r="E3" t="s">
        <v>8</v>
      </c>
      <c r="F3" s="11">
        <f t="shared" si="0"/>
        <v>16940</v>
      </c>
      <c r="H3" s="12">
        <v>15400</v>
      </c>
      <c r="J3" s="4" t="s">
        <v>51</v>
      </c>
    </row>
    <row r="4" spans="1:11" x14ac:dyDescent="0.25">
      <c r="A4" t="s">
        <v>33</v>
      </c>
      <c r="B4" t="s">
        <v>35</v>
      </c>
      <c r="D4" t="s">
        <v>37</v>
      </c>
      <c r="E4" t="s">
        <v>8</v>
      </c>
      <c r="F4" s="11">
        <f t="shared" si="0"/>
        <v>1650.0000000000002</v>
      </c>
      <c r="H4" s="12">
        <v>1500</v>
      </c>
      <c r="J4" s="4" t="s">
        <v>52</v>
      </c>
    </row>
    <row r="5" spans="1:11" x14ac:dyDescent="0.25">
      <c r="A5" t="s">
        <v>36</v>
      </c>
      <c r="B5" t="s">
        <v>34</v>
      </c>
      <c r="D5" t="s">
        <v>37</v>
      </c>
      <c r="E5" t="s">
        <v>8</v>
      </c>
      <c r="F5" s="11">
        <f t="shared" si="0"/>
        <v>1.1000000000000001</v>
      </c>
      <c r="H5" s="12">
        <v>1</v>
      </c>
    </row>
    <row r="6" spans="1:11" x14ac:dyDescent="0.25">
      <c r="A6" t="s">
        <v>36</v>
      </c>
      <c r="B6" t="s">
        <v>17</v>
      </c>
      <c r="D6" t="s">
        <v>37</v>
      </c>
      <c r="E6" t="s">
        <v>8</v>
      </c>
      <c r="F6" s="11">
        <f t="shared" si="0"/>
        <v>253.00000000000003</v>
      </c>
      <c r="H6" s="12">
        <v>230</v>
      </c>
    </row>
    <row r="7" spans="1:11" x14ac:dyDescent="0.25">
      <c r="A7" t="s">
        <v>36</v>
      </c>
      <c r="B7" t="s">
        <v>35</v>
      </c>
      <c r="D7" t="s">
        <v>37</v>
      </c>
      <c r="E7" t="s">
        <v>8</v>
      </c>
      <c r="F7" s="11">
        <f t="shared" si="0"/>
        <v>1430.0000000000002</v>
      </c>
      <c r="H7" s="12">
        <v>1300</v>
      </c>
    </row>
    <row r="8" spans="1:11" x14ac:dyDescent="0.25">
      <c r="F8" s="11"/>
      <c r="H8" s="13"/>
    </row>
    <row r="9" spans="1:11" x14ac:dyDescent="0.25">
      <c r="A9" t="s">
        <v>33</v>
      </c>
      <c r="C9" t="s">
        <v>38</v>
      </c>
      <c r="D9" t="s">
        <v>37</v>
      </c>
      <c r="E9" t="s">
        <v>8</v>
      </c>
      <c r="F9" s="11">
        <f t="shared" ref="F9:F28" si="1">H9*$K$2</f>
        <v>3707.0000000000005</v>
      </c>
      <c r="H9" s="12">
        <v>3370</v>
      </c>
    </row>
    <row r="10" spans="1:11" x14ac:dyDescent="0.25">
      <c r="A10" t="s">
        <v>33</v>
      </c>
      <c r="C10" t="s">
        <v>39</v>
      </c>
      <c r="D10" t="s">
        <v>37</v>
      </c>
      <c r="E10" t="s">
        <v>8</v>
      </c>
      <c r="F10" s="11">
        <f t="shared" si="1"/>
        <v>8052.0000000000009</v>
      </c>
      <c r="H10" s="12">
        <v>7320</v>
      </c>
    </row>
    <row r="11" spans="1:11" x14ac:dyDescent="0.25">
      <c r="A11" t="s">
        <v>33</v>
      </c>
      <c r="C11" t="s">
        <v>40</v>
      </c>
      <c r="D11" t="s">
        <v>37</v>
      </c>
      <c r="E11" t="s">
        <v>8</v>
      </c>
      <c r="F11" s="11">
        <f t="shared" si="1"/>
        <v>14795.000000000002</v>
      </c>
      <c r="H11" s="12">
        <v>13450</v>
      </c>
    </row>
    <row r="12" spans="1:11" x14ac:dyDescent="0.25">
      <c r="A12" t="s">
        <v>33</v>
      </c>
      <c r="C12" t="s">
        <v>41</v>
      </c>
      <c r="D12" t="s">
        <v>37</v>
      </c>
      <c r="E12" t="s">
        <v>8</v>
      </c>
      <c r="F12" s="11">
        <f t="shared" si="1"/>
        <v>26829.000000000004</v>
      </c>
      <c r="H12" s="12">
        <v>24390</v>
      </c>
    </row>
    <row r="13" spans="1:11" x14ac:dyDescent="0.25">
      <c r="A13" t="s">
        <v>33</v>
      </c>
      <c r="C13" t="s">
        <v>42</v>
      </c>
      <c r="D13" t="s">
        <v>37</v>
      </c>
      <c r="E13" t="s">
        <v>8</v>
      </c>
      <c r="F13" s="11">
        <f t="shared" si="1"/>
        <v>10098</v>
      </c>
      <c r="H13" s="12">
        <v>9180</v>
      </c>
    </row>
    <row r="14" spans="1:11" x14ac:dyDescent="0.25">
      <c r="A14" t="s">
        <v>33</v>
      </c>
      <c r="C14" t="s">
        <v>43</v>
      </c>
      <c r="D14" t="s">
        <v>37</v>
      </c>
      <c r="E14" t="s">
        <v>8</v>
      </c>
      <c r="F14" s="11">
        <f t="shared" si="1"/>
        <v>93104.000000000015</v>
      </c>
      <c r="H14" s="12">
        <v>84640</v>
      </c>
    </row>
    <row r="15" spans="1:11" x14ac:dyDescent="0.25">
      <c r="A15" t="s">
        <v>33</v>
      </c>
      <c r="C15" t="s">
        <v>44</v>
      </c>
      <c r="D15" t="s">
        <v>37</v>
      </c>
      <c r="E15" t="s">
        <v>8</v>
      </c>
      <c r="F15" s="11">
        <f t="shared" si="1"/>
        <v>219406.00000000003</v>
      </c>
      <c r="H15" s="12">
        <v>199460</v>
      </c>
    </row>
    <row r="16" spans="1:11" x14ac:dyDescent="0.25">
      <c r="A16" t="s">
        <v>33</v>
      </c>
      <c r="C16" t="s">
        <v>45</v>
      </c>
      <c r="D16" t="s">
        <v>37</v>
      </c>
      <c r="E16" t="s">
        <v>8</v>
      </c>
      <c r="F16" s="11">
        <f t="shared" si="1"/>
        <v>2519</v>
      </c>
      <c r="H16" s="12">
        <v>2290</v>
      </c>
    </row>
    <row r="17" spans="1:8" x14ac:dyDescent="0.25">
      <c r="A17" t="s">
        <v>33</v>
      </c>
      <c r="C17" t="s">
        <v>46</v>
      </c>
      <c r="D17" t="s">
        <v>37</v>
      </c>
      <c r="E17" t="s">
        <v>8</v>
      </c>
      <c r="F17" s="11">
        <f t="shared" si="1"/>
        <v>6633.0000000000009</v>
      </c>
      <c r="H17" s="12">
        <v>6030</v>
      </c>
    </row>
    <row r="18" spans="1:8" x14ac:dyDescent="0.25">
      <c r="A18" t="s">
        <v>36</v>
      </c>
      <c r="C18" t="s">
        <v>38</v>
      </c>
      <c r="D18" t="s">
        <v>37</v>
      </c>
      <c r="E18" t="s">
        <v>8</v>
      </c>
      <c r="F18" s="11">
        <f t="shared" si="1"/>
        <v>132</v>
      </c>
      <c r="H18" s="12">
        <v>120</v>
      </c>
    </row>
    <row r="19" spans="1:8" x14ac:dyDescent="0.25">
      <c r="A19" t="s">
        <v>36</v>
      </c>
      <c r="C19" t="s">
        <v>39</v>
      </c>
      <c r="D19" t="s">
        <v>37</v>
      </c>
      <c r="E19" t="s">
        <v>8</v>
      </c>
      <c r="F19" s="11">
        <f t="shared" si="1"/>
        <v>33</v>
      </c>
      <c r="H19" s="12">
        <v>30</v>
      </c>
    </row>
    <row r="20" spans="1:8" x14ac:dyDescent="0.25">
      <c r="A20" t="s">
        <v>36</v>
      </c>
      <c r="C20" t="s">
        <v>40</v>
      </c>
      <c r="D20" t="s">
        <v>37</v>
      </c>
      <c r="E20" t="s">
        <v>8</v>
      </c>
      <c r="F20" s="11">
        <f t="shared" si="1"/>
        <v>528</v>
      </c>
      <c r="H20" s="12">
        <v>480</v>
      </c>
    </row>
    <row r="21" spans="1:8" x14ac:dyDescent="0.25">
      <c r="A21" t="s">
        <v>36</v>
      </c>
      <c r="C21" t="s">
        <v>42</v>
      </c>
      <c r="D21" t="s">
        <v>37</v>
      </c>
      <c r="E21" t="s">
        <v>8</v>
      </c>
      <c r="F21" s="11">
        <f t="shared" si="1"/>
        <v>22</v>
      </c>
      <c r="H21" s="12">
        <v>20</v>
      </c>
    </row>
    <row r="22" spans="1:8" x14ac:dyDescent="0.25">
      <c r="A22" t="s">
        <v>36</v>
      </c>
      <c r="C22" t="s">
        <v>47</v>
      </c>
      <c r="D22" t="s">
        <v>37</v>
      </c>
      <c r="E22" t="s">
        <v>8</v>
      </c>
      <c r="F22" s="11">
        <f t="shared" si="1"/>
        <v>4026.0000000000005</v>
      </c>
      <c r="H22" s="12">
        <v>3660</v>
      </c>
    </row>
    <row r="23" spans="1:8" x14ac:dyDescent="0.25">
      <c r="A23" t="s">
        <v>36</v>
      </c>
      <c r="C23" t="s">
        <v>48</v>
      </c>
      <c r="D23" t="s">
        <v>37</v>
      </c>
      <c r="E23" t="s">
        <v>8</v>
      </c>
      <c r="F23" s="11">
        <f t="shared" si="1"/>
        <v>15389.000000000002</v>
      </c>
      <c r="H23" s="12">
        <v>13990</v>
      </c>
    </row>
    <row r="24" spans="1:8" x14ac:dyDescent="0.25">
      <c r="A24" t="s">
        <v>36</v>
      </c>
      <c r="C24" t="s">
        <v>44</v>
      </c>
      <c r="D24" t="s">
        <v>37</v>
      </c>
      <c r="E24" t="s">
        <v>8</v>
      </c>
      <c r="F24" s="11">
        <f t="shared" si="1"/>
        <v>3047.0000000000005</v>
      </c>
      <c r="H24" s="12">
        <v>2770</v>
      </c>
    </row>
    <row r="25" spans="1:8" x14ac:dyDescent="0.25">
      <c r="A25" t="s">
        <v>36</v>
      </c>
      <c r="C25" t="s">
        <v>45</v>
      </c>
      <c r="D25" t="s">
        <v>37</v>
      </c>
      <c r="E25" t="s">
        <v>8</v>
      </c>
      <c r="F25" s="11">
        <f t="shared" si="1"/>
        <v>11</v>
      </c>
      <c r="H25" s="12">
        <v>10</v>
      </c>
    </row>
    <row r="26" spans="1:8" x14ac:dyDescent="0.25">
      <c r="A26" t="s">
        <v>36</v>
      </c>
      <c r="C26" t="s">
        <v>49</v>
      </c>
      <c r="D26" t="s">
        <v>37</v>
      </c>
      <c r="E26" t="s">
        <v>8</v>
      </c>
      <c r="F26" s="11">
        <f t="shared" si="1"/>
        <v>33</v>
      </c>
      <c r="H26" s="12">
        <v>30</v>
      </c>
    </row>
    <row r="27" spans="1:8" x14ac:dyDescent="0.25">
      <c r="A27" t="s">
        <v>36</v>
      </c>
      <c r="C27" t="s">
        <v>50</v>
      </c>
      <c r="D27" t="s">
        <v>37</v>
      </c>
      <c r="E27" t="s">
        <v>8</v>
      </c>
      <c r="F27" s="11">
        <f t="shared" si="1"/>
        <v>77</v>
      </c>
      <c r="H27" s="12">
        <v>70</v>
      </c>
    </row>
    <row r="28" spans="1:8" x14ac:dyDescent="0.25">
      <c r="A28" t="s">
        <v>36</v>
      </c>
      <c r="C28" t="s">
        <v>46</v>
      </c>
      <c r="D28" t="s">
        <v>37</v>
      </c>
      <c r="E28" t="s">
        <v>8</v>
      </c>
      <c r="F28" s="11">
        <f t="shared" si="1"/>
        <v>33</v>
      </c>
      <c r="H28" s="12">
        <v>30</v>
      </c>
    </row>
    <row r="30" spans="1:8" x14ac:dyDescent="0.25">
      <c r="D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CattleHerd</vt:lpstr>
      <vt:lpstr>FeedMgmt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Karlsson</dc:creator>
  <dc:description/>
  <cp:lastModifiedBy>Johan Karlsson</cp:lastModifiedBy>
  <cp:revision>17</cp:revision>
  <dcterms:created xsi:type="dcterms:W3CDTF">2015-06-05T18:19:34Z</dcterms:created>
  <dcterms:modified xsi:type="dcterms:W3CDTF">2025-08-22T11:34:53Z</dcterms:modified>
  <dc:language>en-GB</dc:language>
</cp:coreProperties>
</file>