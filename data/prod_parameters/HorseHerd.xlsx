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Feed rations" sheetId="3" r:id="rId2"/>
    <sheet name="ME req young horse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27" i="1" l="1" a="1"/>
  <c r="F227" i="1" s="1"/>
  <c r="F226" i="1" a="1"/>
  <c r="F226" i="1" s="1"/>
  <c r="F225" i="1" a="1"/>
  <c r="F225" i="1" s="1"/>
  <c r="F224" i="1" a="1"/>
  <c r="F224" i="1" s="1"/>
  <c r="F223" i="1" a="1"/>
  <c r="F223" i="1" s="1"/>
  <c r="F222" i="1" a="1"/>
  <c r="F222" i="1" s="1"/>
  <c r="F221" i="1" a="1"/>
  <c r="F221" i="1" s="1"/>
  <c r="F220" i="1" a="1"/>
  <c r="F220" i="1" s="1"/>
  <c r="F219" i="1" a="1"/>
  <c r="F219" i="1" s="1"/>
  <c r="F218" i="1" a="1"/>
  <c r="F218" i="1" s="1"/>
  <c r="F217" i="1" a="1"/>
  <c r="F217" i="1" s="1"/>
  <c r="F216" i="1" a="1"/>
  <c r="F216" i="1" s="1"/>
  <c r="F215" i="1" a="1"/>
  <c r="F215" i="1" s="1"/>
  <c r="F214" i="1" a="1"/>
  <c r="F214" i="1" s="1"/>
  <c r="F213" i="1" a="1"/>
  <c r="F213" i="1" s="1"/>
  <c r="F212" i="1" a="1"/>
  <c r="F212" i="1" s="1"/>
  <c r="F211" i="1" a="1"/>
  <c r="F211" i="1" s="1"/>
  <c r="F210" i="1" a="1"/>
  <c r="F210" i="1" s="1"/>
  <c r="F209" i="1" a="1"/>
  <c r="F209" i="1" s="1"/>
  <c r="F208" i="1" a="1"/>
  <c r="F208" i="1" s="1"/>
  <c r="F207" i="1" a="1"/>
  <c r="F207" i="1" s="1"/>
  <c r="F206" i="1" a="1"/>
  <c r="F206" i="1" s="1"/>
  <c r="F205" i="1" a="1"/>
  <c r="F205" i="1" s="1"/>
  <c r="F204" i="1" a="1"/>
  <c r="F204" i="1" s="1"/>
  <c r="F203" i="1" a="1"/>
  <c r="F203" i="1" s="1"/>
  <c r="F202" i="1" a="1"/>
  <c r="F202" i="1" s="1"/>
  <c r="F201" i="1" a="1"/>
  <c r="F201" i="1" s="1"/>
  <c r="F200" i="1" a="1"/>
  <c r="F200" i="1" s="1"/>
  <c r="F199" i="1" a="1"/>
  <c r="F199" i="1" s="1"/>
  <c r="F198" i="1" a="1"/>
  <c r="F198" i="1" s="1"/>
  <c r="F197" i="1" a="1"/>
  <c r="F197" i="1" s="1"/>
  <c r="F196" i="1" a="1"/>
  <c r="F196" i="1" s="1"/>
  <c r="F195" i="1" a="1"/>
  <c r="F195" i="1" s="1"/>
  <c r="F194" i="1" a="1"/>
  <c r="F194" i="1" s="1"/>
  <c r="F193" i="1" a="1"/>
  <c r="F193" i="1" s="1"/>
  <c r="F192" i="1" a="1"/>
  <c r="F192" i="1" s="1"/>
  <c r="F191" i="1" a="1"/>
  <c r="F191" i="1" s="1"/>
  <c r="F190" i="1" a="1"/>
  <c r="F190" i="1" s="1"/>
  <c r="F189" i="1" a="1"/>
  <c r="F189" i="1" s="1"/>
  <c r="F188" i="1" a="1"/>
  <c r="F188" i="1" s="1"/>
  <c r="F187" i="1" a="1"/>
  <c r="F187" i="1" s="1"/>
  <c r="F186" i="1" a="1"/>
  <c r="F186" i="1" s="1"/>
  <c r="F185" i="1" a="1"/>
  <c r="F185" i="1" s="1"/>
  <c r="F184" i="1" a="1"/>
  <c r="F184" i="1" s="1"/>
  <c r="F183" i="1" a="1"/>
  <c r="F183" i="1" s="1"/>
  <c r="F182" i="1" a="1"/>
  <c r="F182" i="1" s="1"/>
  <c r="F181" i="1" a="1"/>
  <c r="F181" i="1" s="1"/>
  <c r="F180" i="1" a="1"/>
  <c r="F180" i="1" s="1"/>
  <c r="F178" i="1" a="1"/>
  <c r="F178" i="1" s="1"/>
  <c r="F177" i="1" a="1"/>
  <c r="F177" i="1" s="1"/>
  <c r="F176" i="1" a="1"/>
  <c r="F176" i="1" s="1"/>
  <c r="F175" i="1" a="1"/>
  <c r="F175" i="1" s="1"/>
  <c r="F174" i="1" a="1"/>
  <c r="F174" i="1" s="1"/>
  <c r="F173" i="1" a="1"/>
  <c r="F173" i="1" s="1"/>
  <c r="F172" i="1" a="1"/>
  <c r="F172" i="1" s="1"/>
  <c r="F171" i="1" a="1"/>
  <c r="F171" i="1" s="1"/>
  <c r="F170" i="1" a="1"/>
  <c r="F170" i="1" s="1"/>
  <c r="F169" i="1" a="1"/>
  <c r="F169" i="1" s="1"/>
  <c r="F168" i="1" a="1"/>
  <c r="F168" i="1" s="1"/>
  <c r="F167" i="1" a="1"/>
  <c r="F167" i="1" s="1"/>
  <c r="F166" i="1" a="1"/>
  <c r="F166" i="1" s="1"/>
  <c r="F165" i="1" a="1"/>
  <c r="F165" i="1" s="1"/>
  <c r="F164" i="1" a="1"/>
  <c r="F164" i="1" s="1"/>
  <c r="F163" i="1" a="1"/>
  <c r="F163" i="1" s="1"/>
  <c r="F162" i="1" a="1"/>
  <c r="F162" i="1" s="1"/>
  <c r="F161" i="1" a="1"/>
  <c r="F161" i="1" s="1"/>
  <c r="F160" i="1" a="1"/>
  <c r="F160" i="1" s="1"/>
  <c r="F159" i="1" a="1"/>
  <c r="F159" i="1" s="1"/>
  <c r="F158" i="1" a="1"/>
  <c r="F158" i="1" s="1"/>
  <c r="F157" i="1" a="1"/>
  <c r="F157" i="1" s="1"/>
  <c r="F156" i="1" a="1"/>
  <c r="F156" i="1" s="1"/>
  <c r="F155" i="1" a="1"/>
  <c r="F155" i="1" s="1"/>
  <c r="F154" i="1" a="1"/>
  <c r="F154" i="1" s="1"/>
  <c r="F153" i="1" a="1"/>
  <c r="F153" i="1" s="1"/>
  <c r="F152" i="1" a="1"/>
  <c r="F152" i="1" s="1"/>
  <c r="F151" i="1" a="1"/>
  <c r="F151" i="1" s="1"/>
  <c r="F150" i="1" a="1"/>
  <c r="F150" i="1" s="1"/>
  <c r="F149" i="1" a="1"/>
  <c r="F149" i="1" s="1"/>
  <c r="F148" i="1" a="1"/>
  <c r="F148" i="1" s="1"/>
  <c r="F147" i="1" a="1"/>
  <c r="F147" i="1" s="1"/>
  <c r="F146" i="1" a="1"/>
  <c r="F146" i="1" s="1"/>
  <c r="F145" i="1" a="1"/>
  <c r="F145" i="1" s="1"/>
  <c r="F144" i="1" a="1"/>
  <c r="F144" i="1" s="1"/>
  <c r="F143" i="1" a="1"/>
  <c r="F143" i="1" s="1"/>
  <c r="F142" i="1" a="1"/>
  <c r="F142" i="1" s="1"/>
  <c r="F141" i="1" a="1"/>
  <c r="F141" i="1" s="1"/>
  <c r="F140" i="1" a="1"/>
  <c r="F140" i="1" s="1"/>
  <c r="F139" i="1" a="1"/>
  <c r="F139" i="1" s="1"/>
  <c r="F138" i="1" a="1"/>
  <c r="F138" i="1" s="1"/>
  <c r="F137" i="1" a="1"/>
  <c r="F137" i="1" s="1"/>
  <c r="F136" i="1" a="1"/>
  <c r="F136" i="1" s="1"/>
  <c r="F135" i="1" a="1"/>
  <c r="F135" i="1" s="1"/>
  <c r="F134" i="1" a="1"/>
  <c r="F134" i="1" s="1"/>
  <c r="F133" i="1" a="1"/>
  <c r="F133" i="1" s="1"/>
  <c r="F132" i="1" a="1"/>
  <c r="F132" i="1" s="1"/>
  <c r="F131" i="1" a="1"/>
  <c r="F131" i="1" s="1"/>
  <c r="F129" i="1" a="1"/>
  <c r="F129" i="1" s="1"/>
  <c r="F128" i="1" a="1"/>
  <c r="F128" i="1" s="1"/>
  <c r="F127" i="1" a="1"/>
  <c r="F127" i="1" s="1"/>
  <c r="F126" i="1" a="1"/>
  <c r="F126" i="1" s="1"/>
  <c r="F125" i="1" a="1"/>
  <c r="F125" i="1" s="1"/>
  <c r="F124" i="1" a="1"/>
  <c r="F124" i="1" s="1"/>
  <c r="F123" i="1" a="1"/>
  <c r="F123" i="1" s="1"/>
  <c r="F122" i="1" a="1"/>
  <c r="F122" i="1" s="1"/>
  <c r="F121" i="1" a="1"/>
  <c r="F121" i="1" s="1"/>
  <c r="F120" i="1" a="1"/>
  <c r="F120" i="1" s="1"/>
  <c r="F119" i="1" a="1"/>
  <c r="F119" i="1" s="1"/>
  <c r="F118" i="1" a="1"/>
  <c r="F118" i="1" s="1"/>
  <c r="F117" i="1" a="1"/>
  <c r="F117" i="1" s="1"/>
  <c r="F116" i="1" a="1"/>
  <c r="F116" i="1" s="1"/>
  <c r="F115" i="1" a="1"/>
  <c r="F115" i="1" s="1"/>
  <c r="F114" i="1" a="1"/>
  <c r="F114" i="1" s="1"/>
  <c r="F113" i="1" a="1"/>
  <c r="F113" i="1" s="1"/>
  <c r="F112" i="1" a="1"/>
  <c r="F112" i="1" s="1"/>
  <c r="F111" i="1" a="1"/>
  <c r="F111" i="1" s="1"/>
  <c r="F110" i="1" a="1"/>
  <c r="F110" i="1" s="1"/>
  <c r="F109" i="1" a="1"/>
  <c r="F109" i="1" s="1"/>
  <c r="F108" i="1" a="1"/>
  <c r="F108" i="1" s="1"/>
  <c r="F107" i="1" a="1"/>
  <c r="F107" i="1" s="1"/>
  <c r="F106" i="1" a="1"/>
  <c r="F106" i="1" s="1"/>
  <c r="F105" i="1" a="1"/>
  <c r="F105" i="1" s="1"/>
  <c r="F104" i="1" a="1"/>
  <c r="F104" i="1" s="1"/>
  <c r="F103" i="1" a="1"/>
  <c r="F103" i="1" s="1"/>
  <c r="F102" i="1" a="1"/>
  <c r="F102" i="1" s="1"/>
  <c r="F101" i="1" a="1"/>
  <c r="F101" i="1" s="1"/>
  <c r="F100" i="1" a="1"/>
  <c r="F100" i="1" s="1"/>
  <c r="F99" i="1" a="1"/>
  <c r="F99" i="1" s="1"/>
  <c r="F98" i="1" a="1"/>
  <c r="F98" i="1" s="1"/>
  <c r="F97" i="1" a="1"/>
  <c r="F97" i="1" s="1"/>
  <c r="F96" i="1" a="1"/>
  <c r="F96" i="1" s="1"/>
  <c r="F95" i="1" a="1"/>
  <c r="F95" i="1" s="1"/>
  <c r="F94" i="1" a="1"/>
  <c r="F94" i="1" s="1"/>
  <c r="F93" i="1" a="1"/>
  <c r="F93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F87" i="1" a="1"/>
  <c r="F87" i="1" s="1"/>
  <c r="F86" i="1" a="1"/>
  <c r="F86" i="1" s="1"/>
  <c r="F85" i="1" a="1"/>
  <c r="F85" i="1" s="1"/>
  <c r="F84" i="1" a="1"/>
  <c r="F84" i="1" s="1"/>
  <c r="F83" i="1" a="1"/>
  <c r="F83" i="1" s="1"/>
  <c r="F82" i="1" a="1"/>
  <c r="F82" i="1" s="1"/>
  <c r="F34" i="1" a="1"/>
  <c r="F34" i="1" s="1"/>
  <c r="F35" i="1" a="1"/>
  <c r="F35" i="1"/>
  <c r="F36" i="1" a="1"/>
  <c r="F36" i="1" s="1"/>
  <c r="F37" i="1" a="1"/>
  <c r="F37" i="1"/>
  <c r="F38" i="1" a="1"/>
  <c r="F38" i="1" s="1"/>
  <c r="F39" i="1" a="1"/>
  <c r="F39" i="1" s="1"/>
  <c r="F40" i="1" a="1"/>
  <c r="F40" i="1" s="1"/>
  <c r="F41" i="1" a="1"/>
  <c r="F41" i="1"/>
  <c r="F42" i="1" a="1"/>
  <c r="F42" i="1" s="1"/>
  <c r="F43" i="1" a="1"/>
  <c r="F43" i="1"/>
  <c r="F44" i="1" a="1"/>
  <c r="F44" i="1" s="1"/>
  <c r="F45" i="1" a="1"/>
  <c r="F45" i="1"/>
  <c r="F46" i="1" a="1"/>
  <c r="F46" i="1" s="1"/>
  <c r="F47" i="1" a="1"/>
  <c r="F47" i="1" s="1"/>
  <c r="F48" i="1" a="1"/>
  <c r="F48" i="1" s="1"/>
  <c r="F49" i="1" a="1"/>
  <c r="F49" i="1"/>
  <c r="F50" i="1" a="1"/>
  <c r="F50" i="1" s="1"/>
  <c r="F51" i="1" a="1"/>
  <c r="F51" i="1"/>
  <c r="F52" i="1" a="1"/>
  <c r="F52" i="1" s="1"/>
  <c r="F53" i="1" a="1"/>
  <c r="F53" i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33" i="1" a="1"/>
  <c r="F33" i="1" s="1"/>
  <c r="T5" i="3"/>
  <c r="U5" i="3"/>
  <c r="T6" i="3"/>
  <c r="U6" i="3"/>
  <c r="T7" i="3"/>
  <c r="U7" i="3"/>
  <c r="T8" i="3"/>
  <c r="U8" i="3"/>
  <c r="T9" i="3"/>
  <c r="U9" i="3"/>
  <c r="T10" i="3"/>
  <c r="U10" i="3"/>
  <c r="T11" i="3"/>
  <c r="U11" i="3"/>
  <c r="T12" i="3"/>
  <c r="U12" i="3"/>
  <c r="T13" i="3"/>
  <c r="U13" i="3"/>
  <c r="T14" i="3"/>
  <c r="U14" i="3"/>
  <c r="T15" i="3"/>
  <c r="U15" i="3"/>
  <c r="T16" i="3"/>
  <c r="U16" i="3"/>
  <c r="T17" i="3"/>
  <c r="U17" i="3"/>
  <c r="T18" i="3"/>
  <c r="U18" i="3"/>
  <c r="T19" i="3"/>
  <c r="U19" i="3"/>
  <c r="U4" i="3"/>
  <c r="T4" i="3"/>
  <c r="K24" i="3"/>
  <c r="K23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L25" i="3" l="1"/>
  <c r="L7" i="3"/>
  <c r="L5" i="3"/>
  <c r="L10" i="3"/>
  <c r="L14" i="3"/>
  <c r="L18" i="3"/>
  <c r="L9" i="3"/>
  <c r="L13" i="3"/>
  <c r="L6" i="3"/>
  <c r="L11" i="3"/>
  <c r="L15" i="3"/>
  <c r="L19" i="3"/>
  <c r="L17" i="3"/>
  <c r="L8" i="3"/>
  <c r="L12" i="3"/>
  <c r="L16" i="3"/>
  <c r="L4" i="3"/>
  <c r="K4" i="3" l="1"/>
  <c r="J4" i="3"/>
  <c r="G19" i="3" l="1"/>
  <c r="F19" i="3" s="1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 s="1"/>
  <c r="G10" i="3"/>
  <c r="F10" i="3" s="1"/>
  <c r="G9" i="3"/>
  <c r="F9" i="3" s="1"/>
  <c r="G8" i="3"/>
  <c r="F8" i="3"/>
  <c r="F7" i="3"/>
  <c r="G7" i="3"/>
  <c r="G6" i="3"/>
  <c r="F6" i="3" s="1"/>
  <c r="G5" i="3"/>
  <c r="F5" i="3" s="1"/>
  <c r="G4" i="3"/>
  <c r="F4" i="3" s="1"/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4" i="3"/>
  <c r="K25" i="3" l="1"/>
  <c r="N26" i="3"/>
  <c r="Q26" i="3"/>
  <c r="R26" i="3"/>
  <c r="S26" i="3"/>
  <c r="T26" i="3"/>
  <c r="U26" i="3"/>
  <c r="V26" i="3"/>
  <c r="W26" i="3"/>
  <c r="X26" i="3"/>
  <c r="Y26" i="3"/>
  <c r="Z26" i="3"/>
  <c r="AA26" i="3"/>
  <c r="O26" i="3"/>
  <c r="P26" i="3"/>
  <c r="M26" i="3"/>
  <c r="L26" i="3"/>
  <c r="P25" i="3"/>
  <c r="K26" i="3" l="1"/>
  <c r="Q25" i="3"/>
  <c r="X25" i="3"/>
  <c r="Y25" i="3"/>
  <c r="O25" i="3"/>
  <c r="T25" i="3"/>
  <c r="W25" i="3"/>
  <c r="S25" i="3"/>
  <c r="M25" i="3"/>
  <c r="U25" i="3"/>
  <c r="N25" i="3"/>
  <c r="AA25" i="3"/>
  <c r="Z25" i="3"/>
  <c r="V25" i="3"/>
  <c r="R25" i="3"/>
  <c r="S9" i="3" l="1"/>
  <c r="S13" i="3"/>
  <c r="S17" i="3"/>
  <c r="S16" i="3"/>
  <c r="S5" i="3"/>
  <c r="S10" i="3"/>
  <c r="S14" i="3"/>
  <c r="S18" i="3"/>
  <c r="S4" i="3"/>
  <c r="S8" i="3"/>
  <c r="S12" i="3"/>
  <c r="S6" i="3"/>
  <c r="S7" i="3"/>
  <c r="S11" i="3"/>
  <c r="S15" i="3"/>
  <c r="S19" i="3"/>
  <c r="R5" i="3"/>
  <c r="R10" i="3"/>
  <c r="R14" i="3"/>
  <c r="R18" i="3"/>
  <c r="R17" i="3"/>
  <c r="R6" i="3"/>
  <c r="R7" i="3"/>
  <c r="R11" i="3"/>
  <c r="R15" i="3"/>
  <c r="R19" i="3"/>
  <c r="R9" i="3"/>
  <c r="R8" i="3"/>
  <c r="R12" i="3"/>
  <c r="R16" i="3"/>
  <c r="R4" i="3"/>
  <c r="R13" i="3"/>
  <c r="N8" i="3"/>
  <c r="N12" i="3"/>
  <c r="N16" i="3"/>
  <c r="N15" i="3"/>
  <c r="N19" i="3"/>
  <c r="N9" i="3"/>
  <c r="N13" i="3"/>
  <c r="N17" i="3"/>
  <c r="N4" i="3"/>
  <c r="N7" i="3"/>
  <c r="N5" i="3"/>
  <c r="N10" i="3"/>
  <c r="N14" i="3"/>
  <c r="N18" i="3"/>
  <c r="N6" i="3"/>
  <c r="N11" i="3"/>
  <c r="X8" i="3"/>
  <c r="X12" i="3"/>
  <c r="X16" i="3"/>
  <c r="X4" i="3"/>
  <c r="X11" i="3"/>
  <c r="X9" i="3"/>
  <c r="X13" i="3"/>
  <c r="X17" i="3"/>
  <c r="X15" i="3"/>
  <c r="X19" i="3"/>
  <c r="X5" i="3"/>
  <c r="X10" i="3"/>
  <c r="X14" i="3"/>
  <c r="X18" i="3"/>
  <c r="X6" i="3"/>
  <c r="X7" i="3"/>
  <c r="Q6" i="3"/>
  <c r="Q7" i="3"/>
  <c r="Q11" i="3"/>
  <c r="Q15" i="3"/>
  <c r="Q19" i="3"/>
  <c r="Q10" i="3"/>
  <c r="Q14" i="3"/>
  <c r="Q8" i="3"/>
  <c r="Q12" i="3"/>
  <c r="Q16" i="3"/>
  <c r="Q9" i="3"/>
  <c r="Q13" i="3"/>
  <c r="Q17" i="3"/>
  <c r="Q5" i="3"/>
  <c r="Q18" i="3"/>
  <c r="Q4" i="3"/>
  <c r="W9" i="3"/>
  <c r="W13" i="3"/>
  <c r="W17" i="3"/>
  <c r="W4" i="3"/>
  <c r="W5" i="3"/>
  <c r="W10" i="3"/>
  <c r="W14" i="3"/>
  <c r="W18" i="3"/>
  <c r="W6" i="3"/>
  <c r="W7" i="3"/>
  <c r="W11" i="3"/>
  <c r="W15" i="3"/>
  <c r="W19" i="3"/>
  <c r="W8" i="3"/>
  <c r="W12" i="3"/>
  <c r="W16" i="3"/>
  <c r="M9" i="3"/>
  <c r="M13" i="3"/>
  <c r="M17" i="3"/>
  <c r="M4" i="3"/>
  <c r="M5" i="3"/>
  <c r="M10" i="3"/>
  <c r="M14" i="3"/>
  <c r="M18" i="3"/>
  <c r="M8" i="3"/>
  <c r="M6" i="3"/>
  <c r="M7" i="3"/>
  <c r="M11" i="3"/>
  <c r="M15" i="3"/>
  <c r="M19" i="3"/>
  <c r="M12" i="3"/>
  <c r="M16" i="3"/>
  <c r="F23" i="1"/>
  <c r="F24" i="1" l="1"/>
  <c r="U30" i="2"/>
  <c r="T30" i="2"/>
  <c r="S30" i="2"/>
  <c r="T15" i="2"/>
  <c r="U15" i="2"/>
  <c r="S15" i="2"/>
  <c r="U28" i="2"/>
  <c r="R28" i="2"/>
  <c r="Q28" i="2"/>
  <c r="T28" i="2" s="1"/>
  <c r="P28" i="2"/>
  <c r="S28" i="2" s="1"/>
  <c r="S27" i="2"/>
  <c r="R27" i="2"/>
  <c r="U27" i="2" s="1"/>
  <c r="Q27" i="2"/>
  <c r="T27" i="2" s="1"/>
  <c r="P27" i="2"/>
  <c r="U26" i="2"/>
  <c r="S26" i="2"/>
  <c r="R26" i="2"/>
  <c r="Q26" i="2"/>
  <c r="T26" i="2" s="1"/>
  <c r="P26" i="2"/>
  <c r="U25" i="2"/>
  <c r="S25" i="2"/>
  <c r="R25" i="2"/>
  <c r="Q25" i="2"/>
  <c r="T25" i="2" s="1"/>
  <c r="P25" i="2"/>
  <c r="U24" i="2"/>
  <c r="S24" i="2"/>
  <c r="R24" i="2"/>
  <c r="Q24" i="2"/>
  <c r="T24" i="2" s="1"/>
  <c r="P24" i="2"/>
  <c r="S23" i="2"/>
  <c r="R23" i="2"/>
  <c r="U23" i="2" s="1"/>
  <c r="Q23" i="2"/>
  <c r="T23" i="2" s="1"/>
  <c r="P23" i="2"/>
  <c r="U22" i="2"/>
  <c r="R22" i="2"/>
  <c r="Q22" i="2"/>
  <c r="T22" i="2" s="1"/>
  <c r="P22" i="2"/>
  <c r="S22" i="2" s="1"/>
  <c r="S21" i="2"/>
  <c r="S29" i="2" s="1"/>
  <c r="R21" i="2"/>
  <c r="U21" i="2" s="1"/>
  <c r="U29" i="2" s="1"/>
  <c r="Q21" i="2"/>
  <c r="T21" i="2" s="1"/>
  <c r="T29" i="2" s="1"/>
  <c r="P21" i="2"/>
  <c r="O28" i="2"/>
  <c r="O27" i="2"/>
  <c r="O26" i="2"/>
  <c r="O25" i="2"/>
  <c r="O24" i="2"/>
  <c r="O23" i="2"/>
  <c r="O22" i="2"/>
  <c r="O21" i="2"/>
  <c r="O6" i="2" l="1"/>
  <c r="T6" i="2" s="1"/>
  <c r="O7" i="2"/>
  <c r="O8" i="2"/>
  <c r="O9" i="2"/>
  <c r="U9" i="2" s="1"/>
  <c r="O10" i="2"/>
  <c r="O11" i="2"/>
  <c r="O12" i="2"/>
  <c r="O13" i="2"/>
  <c r="T13" i="2" s="1"/>
  <c r="S10" i="2"/>
  <c r="U6" i="2"/>
  <c r="T7" i="2"/>
  <c r="U7" i="2"/>
  <c r="T8" i="2"/>
  <c r="U8" i="2"/>
  <c r="T9" i="2"/>
  <c r="T11" i="2"/>
  <c r="U11" i="2"/>
  <c r="T12" i="2"/>
  <c r="U12" i="2"/>
  <c r="U13" i="2"/>
  <c r="S7" i="2"/>
  <c r="S8" i="2"/>
  <c r="S9" i="2"/>
  <c r="S11" i="2"/>
  <c r="S12" i="2"/>
  <c r="S13" i="2"/>
  <c r="S6" i="2"/>
  <c r="P7" i="2"/>
  <c r="Q7" i="2"/>
  <c r="R7" i="2"/>
  <c r="P8" i="2"/>
  <c r="Q8" i="2"/>
  <c r="R8" i="2"/>
  <c r="P9" i="2"/>
  <c r="Q9" i="2"/>
  <c r="R9" i="2"/>
  <c r="P10" i="2"/>
  <c r="Q10" i="2"/>
  <c r="R10" i="2"/>
  <c r="P11" i="2"/>
  <c r="Q11" i="2"/>
  <c r="R11" i="2"/>
  <c r="P12" i="2"/>
  <c r="Q12" i="2"/>
  <c r="R12" i="2"/>
  <c r="P13" i="2"/>
  <c r="Q13" i="2"/>
  <c r="R13" i="2"/>
  <c r="Q6" i="2"/>
  <c r="R6" i="2"/>
  <c r="P6" i="2"/>
  <c r="F18" i="1"/>
  <c r="F17" i="1"/>
  <c r="U10" i="2" l="1"/>
  <c r="U14" i="2" s="1"/>
  <c r="T10" i="2"/>
  <c r="T14" i="2" s="1"/>
  <c r="S14" i="2"/>
</calcChain>
</file>

<file path=xl/sharedStrings.xml><?xml version="1.0" encoding="utf-8"?>
<sst xmlns="http://schemas.openxmlformats.org/spreadsheetml/2006/main" count="1013" uniqueCount="98">
  <si>
    <t>f_breed</t>
  </si>
  <si>
    <t>f_prod_system</t>
  </si>
  <si>
    <t>f_animal</t>
  </si>
  <si>
    <t>ponies and Icelandic horses</t>
  </si>
  <si>
    <t>broodmares</t>
  </si>
  <si>
    <t>young horses</t>
  </si>
  <si>
    <t>cold blooded horses</t>
  </si>
  <si>
    <t>riding horses</t>
  </si>
  <si>
    <t>trotters and racehorses</t>
  </si>
  <si>
    <t>low-performing horses</t>
  </si>
  <si>
    <t>medium-performing horses</t>
  </si>
  <si>
    <t>parameter</t>
  </si>
  <si>
    <t>value</t>
  </si>
  <si>
    <t>unit</t>
  </si>
  <si>
    <t>description</t>
  </si>
  <si>
    <t>source</t>
  </si>
  <si>
    <t>share_of_horses</t>
  </si>
  <si>
    <t>%</t>
  </si>
  <si>
    <t>slaughter_weight</t>
  </si>
  <si>
    <t>kg CW</t>
  </si>
  <si>
    <t>live_weight</t>
  </si>
  <si>
    <t>kg</t>
  </si>
  <si>
    <t>Live and slaughter weight</t>
  </si>
  <si>
    <t>Feed requirements</t>
  </si>
  <si>
    <t>energy_adjustment_factor</t>
  </si>
  <si>
    <t>gestation_energy_factor</t>
  </si>
  <si>
    <t>lactation_energy_factor</t>
  </si>
  <si>
    <t>Tabell 9</t>
  </si>
  <si>
    <t>3 months lactation</t>
  </si>
  <si>
    <t>foals_per_year</t>
  </si>
  <si>
    <t>Seems to be common with one foal per year but some room for a missed year</t>
  </si>
  <si>
    <t>MJ ME per day/kg LW^0.75</t>
  </si>
  <si>
    <t>Tabell 5b. Grundenergibehov (underhåll+tillväxt)* (MJ/dag) för unghästar med hög tillväxttakt (L=lättfödd, N=normalfödd, S= svårfödd). Vid hög tillväxttakt blir den dagliga tillväxten 40 % högre än vid låg från 7 mån</t>
  </si>
  <si>
    <t>Uppskattad vuxenvikt</t>
  </si>
  <si>
    <t>3-6 mån</t>
  </si>
  <si>
    <t>7-12 mån</t>
  </si>
  <si>
    <t>13-18 mån</t>
  </si>
  <si>
    <t>19-36 mån</t>
  </si>
  <si>
    <t>L</t>
  </si>
  <si>
    <t>N</t>
  </si>
  <si>
    <t>S</t>
  </si>
  <si>
    <t>LW^0.75</t>
  </si>
  <si>
    <t>Adult live weight</t>
  </si>
  <si>
    <t>maintenance_energy_factor</t>
  </si>
  <si>
    <t>Feed rations</t>
  </si>
  <si>
    <t>share_in_ration</t>
  </si>
  <si>
    <t>Fallback</t>
  </si>
  <si>
    <t>f_feed</t>
  </si>
  <si>
    <t>% of DM</t>
  </si>
  <si>
    <t>hay</t>
  </si>
  <si>
    <t>grazing</t>
  </si>
  <si>
    <t>Tabell 5a. Grundenergibehov (underhåll+tillväxt)* (MJ/dag) för unghästar med låg tillväxttakt (L=lättfödd, N=normalfödd, S= svårfödd)</t>
  </si>
  <si>
    <t>MEAN</t>
  </si>
  <si>
    <t>SD</t>
  </si>
  <si>
    <t>calculated from Tabell 5b</t>
  </si>
  <si>
    <t>Tabell 13. 11 mont gestation. Assume linear growth from month 1 (+0%) to 8 (+15%)</t>
  </si>
  <si>
    <t>No activity adjustment</t>
  </si>
  <si>
    <t>Assumes lower activity than "lätt träning" but some</t>
  </si>
  <si>
    <t>breed</t>
  </si>
  <si>
    <t>animal</t>
  </si>
  <si>
    <t>Roughage</t>
  </si>
  <si>
    <t>Concentrates</t>
  </si>
  <si>
    <t>TOTAL</t>
  </si>
  <si>
    <t>From feed industry statistics (2011)</t>
  </si>
  <si>
    <t>Havre</t>
  </si>
  <si>
    <t>Kli av skalad havre</t>
  </si>
  <si>
    <t>Havreskal med kli</t>
  </si>
  <si>
    <t>Korn</t>
  </si>
  <si>
    <t>Vete</t>
  </si>
  <si>
    <t>Vetefodermjöl</t>
  </si>
  <si>
    <t>Vetekli</t>
  </si>
  <si>
    <t>Vegetabilisk olja</t>
  </si>
  <si>
    <t>(socker)betmassa</t>
  </si>
  <si>
    <t>(socker)betmelass</t>
  </si>
  <si>
    <t>Melasserad pressmassa</t>
  </si>
  <si>
    <t>Potatisprotein</t>
  </si>
  <si>
    <t>Lussernmjöl</t>
  </si>
  <si>
    <t>Grönmjöl</t>
  </si>
  <si>
    <t>Kalciumkarbonat</t>
  </si>
  <si>
    <t>Koksalt</t>
  </si>
  <si>
    <t>SE</t>
  </si>
  <si>
    <t>INF</t>
  </si>
  <si>
    <t>% av totalen</t>
  </si>
  <si>
    <t>% imported</t>
  </si>
  <si>
    <t>% of TOTAL</t>
  </si>
  <si>
    <t>hay of rough</t>
  </si>
  <si>
    <t>grazing of rough</t>
  </si>
  <si>
    <t>Total feed ration</t>
  </si>
  <si>
    <t>oats</t>
  </si>
  <si>
    <t>barley</t>
  </si>
  <si>
    <t>wheat</t>
  </si>
  <si>
    <t>wheat bran, fine</t>
  </si>
  <si>
    <t>vegetable oils</t>
  </si>
  <si>
    <t>wheat bran</t>
  </si>
  <si>
    <t>sugar beet molasses</t>
  </si>
  <si>
    <t>sugar beet pulp</t>
  </si>
  <si>
    <t>potatoe protein</t>
  </si>
  <si>
    <t>luzern meal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</si>
</sst>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Times New Roman"/>
      <family val="1"/>
      <charset val="204"/>
    </font>
    <font>
      <b/>
      <sz val="12"/>
      <color indexed="8"/>
      <name val="Times New Roman"/>
      <family val="2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1" fontId="0" fillId="0" borderId="0" xfId="0" applyNumberFormat="1"/>
    <xf numFmtId="1" fontId="1" fillId="0" borderId="0" xfId="0" applyNumberFormat="1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164" fontId="0" fillId="0" borderId="0" xfId="0" applyNumberFormat="1"/>
    <xf numFmtId="2" fontId="0" fillId="0" borderId="0" xfId="0" applyNumberFormat="1"/>
    <xf numFmtId="165" fontId="1" fillId="0" borderId="0" xfId="0" applyNumberFormat="1" applyFont="1"/>
    <xf numFmtId="0" fontId="4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wrapText="1"/>
    </xf>
    <xf numFmtId="0" fontId="8" fillId="0" borderId="2" xfId="0" applyFont="1" applyBorder="1" applyAlignment="1">
      <alignment horizontal="left" vertical="top" wrapText="1" indent="2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 indent="1"/>
    </xf>
    <xf numFmtId="1" fontId="5" fillId="0" borderId="1" xfId="0" applyNumberFormat="1" applyFont="1" applyBorder="1" applyAlignment="1">
      <alignment horizontal="center" vertical="top" shrinkToFit="1"/>
    </xf>
    <xf numFmtId="1" fontId="6" fillId="0" borderId="1" xfId="0" applyNumberFormat="1" applyFont="1" applyBorder="1" applyAlignment="1">
      <alignment horizontal="left" vertical="top" shrinkToFit="1"/>
    </xf>
    <xf numFmtId="1" fontId="6" fillId="0" borderId="1" xfId="0" applyNumberFormat="1" applyFont="1" applyBorder="1" applyAlignment="1">
      <alignment horizontal="left" vertical="top" indent="1" shrinkToFit="1"/>
    </xf>
    <xf numFmtId="1" fontId="5" fillId="0" borderId="0" xfId="0" applyNumberFormat="1" applyFont="1" applyAlignment="1">
      <alignment horizontal="center" vertical="top" shrinkToFit="1"/>
    </xf>
    <xf numFmtId="1" fontId="6" fillId="0" borderId="0" xfId="0" applyNumberFormat="1" applyFont="1" applyAlignment="1">
      <alignment horizontal="left" vertical="top" shrinkToFit="1"/>
    </xf>
    <xf numFmtId="1" fontId="6" fillId="0" borderId="0" xfId="0" applyNumberFormat="1" applyFont="1" applyAlignment="1">
      <alignment horizontal="left" vertical="top" indent="1" shrinkToFit="1"/>
    </xf>
    <xf numFmtId="1" fontId="5" fillId="0" borderId="2" xfId="0" applyNumberFormat="1" applyFont="1" applyBorder="1" applyAlignment="1">
      <alignment horizontal="center" vertical="top" shrinkToFit="1"/>
    </xf>
    <xf numFmtId="1" fontId="6" fillId="0" borderId="2" xfId="0" applyNumberFormat="1" applyFont="1" applyBorder="1" applyAlignment="1">
      <alignment horizontal="left" vertical="top" shrinkToFit="1"/>
    </xf>
    <xf numFmtId="1" fontId="6" fillId="0" borderId="2" xfId="0" applyNumberFormat="1" applyFont="1" applyBorder="1" applyAlignment="1">
      <alignment horizontal="left" vertical="top" indent="1" shrinkToFit="1"/>
    </xf>
    <xf numFmtId="0" fontId="8" fillId="0" borderId="0" xfId="0" applyFont="1" applyFill="1" applyBorder="1" applyAlignment="1">
      <alignment horizontal="left" vertical="top" wrapText="1" indent="2"/>
    </xf>
    <xf numFmtId="164" fontId="2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8" fillId="0" borderId="2" xfId="0" applyFont="1" applyBorder="1" applyAlignment="1">
      <alignment horizontal="right" vertical="top" wrapText="1" indent="1"/>
    </xf>
    <xf numFmtId="1" fontId="6" fillId="0" borderId="1" xfId="0" applyNumberFormat="1" applyFont="1" applyBorder="1" applyAlignment="1">
      <alignment horizontal="right" vertical="top" indent="2" shrinkToFit="1"/>
    </xf>
    <xf numFmtId="1" fontId="6" fillId="0" borderId="0" xfId="0" applyNumberFormat="1" applyFont="1" applyAlignment="1">
      <alignment horizontal="right" vertical="top" indent="2" shrinkToFit="1"/>
    </xf>
    <xf numFmtId="1" fontId="6" fillId="0" borderId="2" xfId="0" applyNumberFormat="1" applyFont="1" applyBorder="1" applyAlignment="1">
      <alignment horizontal="right" vertical="top" indent="2" shrinkToFit="1"/>
    </xf>
    <xf numFmtId="0" fontId="3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/>
    <xf numFmtId="1" fontId="0" fillId="0" borderId="0" xfId="0" applyNumberFormat="1"/>
    <xf numFmtId="9" fontId="0" fillId="0" borderId="0" xfId="1" applyFont="1"/>
    <xf numFmtId="9" fontId="0" fillId="0" borderId="0" xfId="0" applyNumberFormat="1"/>
    <xf numFmtId="0" fontId="7" fillId="0" borderId="0" xfId="0" applyFont="1" applyAlignment="1">
      <alignment horizontal="left" wrapText="1" indent="1"/>
    </xf>
    <xf numFmtId="0" fontId="8" fillId="0" borderId="1" xfId="0" applyFont="1" applyBorder="1" applyAlignment="1">
      <alignment horizontal="left" vertical="top" wrapText="1" indent="1"/>
    </xf>
    <xf numFmtId="0" fontId="8" fillId="0" borderId="2" xfId="0" applyFont="1" applyBorder="1" applyAlignment="1">
      <alignment horizontal="left" vertical="top" wrapText="1" indent="1"/>
    </xf>
    <xf numFmtId="0" fontId="8" fillId="0" borderId="1" xfId="0" applyFont="1" applyBorder="1" applyAlignment="1">
      <alignment horizontal="left" vertical="top" wrapText="1" indent="4"/>
    </xf>
    <xf numFmtId="0" fontId="7" fillId="0" borderId="0" xfId="0" applyFont="1" applyAlignment="1">
      <alignment horizontal="left" vertical="center" wrapText="1" inden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horses'!$S$21:$S$28</c:f>
              <c:numCache>
                <c:formatCode>0.000</c:formatCode>
                <c:ptCount val="8"/>
                <c:pt idx="0">
                  <c:v>0.5454928963790453</c:v>
                </c:pt>
                <c:pt idx="1">
                  <c:v>0.55468895623024339</c:v>
                </c:pt>
                <c:pt idx="2">
                  <c:v>0.55490552670504234</c:v>
                </c:pt>
                <c:pt idx="3">
                  <c:v>0.5562219094030727</c:v>
                </c:pt>
                <c:pt idx="4">
                  <c:v>0.55325884126685776</c:v>
                </c:pt>
                <c:pt idx="5">
                  <c:v>0.55266424042877405</c:v>
                </c:pt>
                <c:pt idx="6">
                  <c:v>0.55662038473355446</c:v>
                </c:pt>
                <c:pt idx="7">
                  <c:v>0.55343516677583804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A6-4EE6-98ED-B52090D957FC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horses'!$T$21:$T$28</c:f>
              <c:numCache>
                <c:formatCode>0.000</c:formatCode>
                <c:ptCount val="8"/>
                <c:pt idx="0">
                  <c:v>0.57711567298072908</c:v>
                </c:pt>
                <c:pt idx="1">
                  <c:v>0.58289347942839131</c:v>
                </c:pt>
                <c:pt idx="2">
                  <c:v>0.58265080304029448</c:v>
                </c:pt>
                <c:pt idx="3">
                  <c:v>0.58417275912181998</c:v>
                </c:pt>
                <c:pt idx="4">
                  <c:v>0.58163108953695297</c:v>
                </c:pt>
                <c:pt idx="5">
                  <c:v>0.57947258044957284</c:v>
                </c:pt>
                <c:pt idx="6">
                  <c:v>0.58601288029704246</c:v>
                </c:pt>
                <c:pt idx="7">
                  <c:v>0.58002664626056299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A6-4EE6-98ED-B52090D957FC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horses'!$U$21:$U$28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0.61109800262653935</c:v>
                </c:pt>
                <c:pt idx="2">
                  <c:v>0.61039607937554663</c:v>
                </c:pt>
                <c:pt idx="3">
                  <c:v>0.61212360884056738</c:v>
                </c:pt>
                <c:pt idx="4">
                  <c:v>0.6100033378070483</c:v>
                </c:pt>
                <c:pt idx="5">
                  <c:v>0.60834310047197149</c:v>
                </c:pt>
                <c:pt idx="6">
                  <c:v>0.61356834488781253</c:v>
                </c:pt>
                <c:pt idx="7">
                  <c:v>0.60994206068087853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A6-4EE6-98ED-B52090D95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horses'!$S$6:$S$13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0.60639724876018131</c:v>
                </c:pt>
                <c:pt idx="2">
                  <c:v>0.60692791983364014</c:v>
                </c:pt>
                <c:pt idx="3">
                  <c:v>0.60653343889681788</c:v>
                </c:pt>
                <c:pt idx="4">
                  <c:v>0.6100033378070483</c:v>
                </c:pt>
                <c:pt idx="5">
                  <c:v>0.60628092047037152</c:v>
                </c:pt>
                <c:pt idx="6">
                  <c:v>0.60622022099694051</c:v>
                </c:pt>
                <c:pt idx="7">
                  <c:v>0.60661812574528795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53-4230-BB93-7C29A99186A4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horses'!$T$6:$T$13</c:f>
              <c:numCache>
                <c:formatCode>0.000</c:formatCode>
                <c:ptCount val="8"/>
                <c:pt idx="0">
                  <c:v>0.64036122618409663</c:v>
                </c:pt>
                <c:pt idx="1">
                  <c:v>0.63930252582468727</c:v>
                </c:pt>
                <c:pt idx="2">
                  <c:v>0.63467319616889217</c:v>
                </c:pt>
                <c:pt idx="3">
                  <c:v>0.63727937358744002</c:v>
                </c:pt>
                <c:pt idx="4">
                  <c:v>0.63837558607714351</c:v>
                </c:pt>
                <c:pt idx="5">
                  <c:v>0.63721362049437014</c:v>
                </c:pt>
                <c:pt idx="6">
                  <c:v>0.6356127165604285</c:v>
                </c:pt>
                <c:pt idx="7">
                  <c:v>0.63819550763339883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53-4230-BB93-7C29A99186A4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horses'!$U$6:$U$13</c:f>
              <c:numCache>
                <c:formatCode>0.000</c:formatCode>
                <c:ptCount val="8"/>
                <c:pt idx="0">
                  <c:v>0.67198400278578041</c:v>
                </c:pt>
                <c:pt idx="1">
                  <c:v>0.66280629515647727</c:v>
                </c:pt>
                <c:pt idx="2">
                  <c:v>0.66935479158795741</c:v>
                </c:pt>
                <c:pt idx="3">
                  <c:v>0.67082039324993692</c:v>
                </c:pt>
                <c:pt idx="4">
                  <c:v>0.67384089641476264</c:v>
                </c:pt>
                <c:pt idx="5">
                  <c:v>0.66814632051836864</c:v>
                </c:pt>
                <c:pt idx="6">
                  <c:v>0.66684224309663453</c:v>
                </c:pt>
                <c:pt idx="7">
                  <c:v>0.66644895458591913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53-4230-BB93-7C29A9918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20</xdr:row>
      <xdr:rowOff>0</xdr:rowOff>
    </xdr:from>
    <xdr:to>
      <xdr:col>26</xdr:col>
      <xdr:colOff>266701</xdr:colOff>
      <xdr:row>31</xdr:row>
      <xdr:rowOff>9524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5</xdr:row>
      <xdr:rowOff>0</xdr:rowOff>
    </xdr:from>
    <xdr:to>
      <xdr:col>26</xdr:col>
      <xdr:colOff>266701</xdr:colOff>
      <xdr:row>16</xdr:row>
      <xdr:rowOff>9524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7"/>
  <sheetViews>
    <sheetView tabSelected="1" zoomScale="80" zoomScaleNormal="80" workbookViewId="0">
      <pane ySplit="1" topLeftCell="A79" activePane="bottomLeft" state="frozen"/>
      <selection pane="bottomLeft" activeCell="H100" sqref="H100"/>
    </sheetView>
  </sheetViews>
  <sheetFormatPr defaultRowHeight="15" x14ac:dyDescent="0.25"/>
  <cols>
    <col min="1" max="1" width="25.85546875" bestFit="1" customWidth="1"/>
    <col min="2" max="2" width="14.28515625" bestFit="1" customWidth="1"/>
    <col min="3" max="3" width="28.5703125" bestFit="1" customWidth="1"/>
    <col min="4" max="4" width="28.5703125" customWidth="1"/>
    <col min="5" max="5" width="28.85546875" bestFit="1" customWidth="1"/>
    <col min="7" max="7" width="11.28515625" customWidth="1"/>
    <col min="8" max="8" width="3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47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</row>
    <row r="2" spans="1:9" x14ac:dyDescent="0.25">
      <c r="A2" s="6"/>
      <c r="B2" s="6"/>
      <c r="C2" s="6"/>
      <c r="D2" s="6"/>
      <c r="E2" s="6"/>
      <c r="F2" s="6"/>
      <c r="G2" s="6"/>
      <c r="H2" s="6"/>
      <c r="I2" s="6"/>
    </row>
    <row r="3" spans="1:9" x14ac:dyDescent="0.25">
      <c r="C3" t="s">
        <v>9</v>
      </c>
      <c r="E3" t="s">
        <v>16</v>
      </c>
      <c r="F3" s="2">
        <v>60.549226441631497</v>
      </c>
      <c r="G3" t="s">
        <v>17</v>
      </c>
    </row>
    <row r="4" spans="1:9" x14ac:dyDescent="0.25">
      <c r="C4" t="s">
        <v>10</v>
      </c>
      <c r="E4" t="s">
        <v>16</v>
      </c>
      <c r="F4" s="2">
        <v>27.5045007032349</v>
      </c>
      <c r="G4" t="s">
        <v>17</v>
      </c>
    </row>
    <row r="5" spans="1:9" x14ac:dyDescent="0.25">
      <c r="C5" t="s">
        <v>4</v>
      </c>
      <c r="E5" t="s">
        <v>16</v>
      </c>
      <c r="F5" s="2">
        <v>3.7389592123769302</v>
      </c>
      <c r="G5" t="s">
        <v>17</v>
      </c>
    </row>
    <row r="6" spans="1:9" x14ac:dyDescent="0.25">
      <c r="C6" t="s">
        <v>5</v>
      </c>
      <c r="E6" t="s">
        <v>16</v>
      </c>
      <c r="F6" s="2">
        <v>8.2073136427566808</v>
      </c>
      <c r="G6" t="s">
        <v>17</v>
      </c>
    </row>
    <row r="7" spans="1:9" x14ac:dyDescent="0.25">
      <c r="E7" t="s">
        <v>29</v>
      </c>
      <c r="F7" s="10">
        <v>0.9</v>
      </c>
      <c r="H7" t="s">
        <v>30</v>
      </c>
    </row>
    <row r="8" spans="1:9" x14ac:dyDescent="0.25">
      <c r="A8" s="7" t="s">
        <v>22</v>
      </c>
      <c r="B8" s="5"/>
      <c r="C8" s="5"/>
      <c r="D8" s="5"/>
      <c r="E8" s="5"/>
      <c r="F8" s="5"/>
      <c r="G8" s="5"/>
      <c r="H8" s="5"/>
      <c r="I8" s="5"/>
    </row>
    <row r="9" spans="1:9" x14ac:dyDescent="0.25">
      <c r="A9" t="s">
        <v>3</v>
      </c>
      <c r="E9" t="s">
        <v>20</v>
      </c>
      <c r="F9" s="2">
        <v>394.61241132208016</v>
      </c>
      <c r="G9" t="s">
        <v>21</v>
      </c>
      <c r="H9" t="s">
        <v>42</v>
      </c>
    </row>
    <row r="10" spans="1:9" x14ac:dyDescent="0.25">
      <c r="A10" t="s">
        <v>6</v>
      </c>
      <c r="E10" t="s">
        <v>20</v>
      </c>
      <c r="F10" s="2">
        <v>585.45178524024413</v>
      </c>
      <c r="G10" t="s">
        <v>21</v>
      </c>
      <c r="H10" t="s">
        <v>42</v>
      </c>
    </row>
    <row r="11" spans="1:9" x14ac:dyDescent="0.25">
      <c r="A11" t="s">
        <v>7</v>
      </c>
      <c r="E11" t="s">
        <v>20</v>
      </c>
      <c r="F11" s="2">
        <v>567.18533165122039</v>
      </c>
      <c r="G11" t="s">
        <v>21</v>
      </c>
      <c r="H11" t="s">
        <v>42</v>
      </c>
    </row>
    <row r="12" spans="1:9" x14ac:dyDescent="0.25">
      <c r="A12" t="s">
        <v>8</v>
      </c>
      <c r="E12" t="s">
        <v>20</v>
      </c>
      <c r="F12" s="2">
        <v>496.52359083562101</v>
      </c>
      <c r="G12" t="s">
        <v>21</v>
      </c>
      <c r="H12" t="s">
        <v>42</v>
      </c>
    </row>
    <row r="13" spans="1:9" x14ac:dyDescent="0.25">
      <c r="E13" s="4" t="s">
        <v>18</v>
      </c>
      <c r="F13" s="3">
        <v>0</v>
      </c>
      <c r="G13" t="s">
        <v>19</v>
      </c>
    </row>
    <row r="14" spans="1:9" x14ac:dyDescent="0.25">
      <c r="A14" s="7" t="s">
        <v>23</v>
      </c>
      <c r="B14" s="5"/>
      <c r="C14" s="5"/>
      <c r="D14" s="5"/>
      <c r="E14" s="5"/>
      <c r="F14" s="5"/>
      <c r="G14" s="5"/>
      <c r="H14" s="5"/>
      <c r="I14" s="5"/>
    </row>
    <row r="15" spans="1:9" x14ac:dyDescent="0.25">
      <c r="A15" t="s">
        <v>3</v>
      </c>
      <c r="E15" t="s">
        <v>43</v>
      </c>
      <c r="F15" s="8">
        <v>0.5</v>
      </c>
      <c r="G15" t="s">
        <v>31</v>
      </c>
    </row>
    <row r="16" spans="1:9" x14ac:dyDescent="0.25">
      <c r="A16" t="s">
        <v>6</v>
      </c>
      <c r="E16" t="s">
        <v>43</v>
      </c>
      <c r="F16" s="8">
        <v>0.5</v>
      </c>
      <c r="G16" t="s">
        <v>31</v>
      </c>
    </row>
    <row r="17" spans="1:9" x14ac:dyDescent="0.25">
      <c r="A17" t="s">
        <v>7</v>
      </c>
      <c r="E17" t="s">
        <v>43</v>
      </c>
      <c r="F17" s="8">
        <f>0.5*1.05</f>
        <v>0.52500000000000002</v>
      </c>
      <c r="G17" t="s">
        <v>31</v>
      </c>
    </row>
    <row r="18" spans="1:9" x14ac:dyDescent="0.25">
      <c r="A18" t="s">
        <v>8</v>
      </c>
      <c r="E18" t="s">
        <v>43</v>
      </c>
      <c r="F18" s="8">
        <f>0.5*1.1</f>
        <v>0.55000000000000004</v>
      </c>
      <c r="G18" t="s">
        <v>31</v>
      </c>
    </row>
    <row r="19" spans="1:9" x14ac:dyDescent="0.25">
      <c r="A19" t="s">
        <v>3</v>
      </c>
      <c r="C19" t="s">
        <v>5</v>
      </c>
      <c r="E19" t="s">
        <v>43</v>
      </c>
      <c r="F19" s="8">
        <v>0.60721495776158751</v>
      </c>
      <c r="G19" t="s">
        <v>31</v>
      </c>
      <c r="H19" t="s">
        <v>54</v>
      </c>
    </row>
    <row r="20" spans="1:9" x14ac:dyDescent="0.25">
      <c r="A20" t="s">
        <v>6</v>
      </c>
      <c r="C20" t="s">
        <v>5</v>
      </c>
      <c r="E20" t="s">
        <v>43</v>
      </c>
      <c r="F20" s="8">
        <v>0.60721495776158751</v>
      </c>
      <c r="G20" t="s">
        <v>31</v>
      </c>
      <c r="H20" t="s">
        <v>54</v>
      </c>
    </row>
    <row r="21" spans="1:9" x14ac:dyDescent="0.25">
      <c r="A21" t="s">
        <v>7</v>
      </c>
      <c r="C21" t="s">
        <v>5</v>
      </c>
      <c r="E21" t="s">
        <v>43</v>
      </c>
      <c r="F21" s="8">
        <v>0.63762671906630719</v>
      </c>
      <c r="G21" t="s">
        <v>31</v>
      </c>
      <c r="H21" t="s">
        <v>54</v>
      </c>
    </row>
    <row r="22" spans="1:9" x14ac:dyDescent="0.25">
      <c r="A22" t="s">
        <v>8</v>
      </c>
      <c r="C22" t="s">
        <v>5</v>
      </c>
      <c r="E22" t="s">
        <v>43</v>
      </c>
      <c r="F22" s="8">
        <v>0.66878048717447958</v>
      </c>
      <c r="G22" t="s">
        <v>31</v>
      </c>
      <c r="H22" t="s">
        <v>54</v>
      </c>
    </row>
    <row r="23" spans="1:9" x14ac:dyDescent="0.25">
      <c r="E23" t="s">
        <v>25</v>
      </c>
      <c r="F23" s="9">
        <f>( (0.15/2)*8 + 0.15 + 0.25 + 0.3 ) / 12</f>
        <v>0.10833333333333334</v>
      </c>
      <c r="H23" t="s">
        <v>55</v>
      </c>
    </row>
    <row r="24" spans="1:9" x14ac:dyDescent="0.25">
      <c r="E24" t="s">
        <v>26</v>
      </c>
      <c r="F24" s="9">
        <f xml:space="preserve"> (1*3 + 0.7*1)/12</f>
        <v>0.30833333333333335</v>
      </c>
      <c r="H24" t="s">
        <v>28</v>
      </c>
    </row>
    <row r="25" spans="1:9" x14ac:dyDescent="0.25">
      <c r="C25" t="s">
        <v>9</v>
      </c>
      <c r="E25" t="s">
        <v>24</v>
      </c>
      <c r="F25">
        <v>0.25</v>
      </c>
      <c r="H25" t="s">
        <v>27</v>
      </c>
    </row>
    <row r="26" spans="1:9" x14ac:dyDescent="0.25">
      <c r="C26" t="s">
        <v>10</v>
      </c>
      <c r="E26" t="s">
        <v>24</v>
      </c>
      <c r="F26" s="9">
        <v>0.75</v>
      </c>
      <c r="H26" t="s">
        <v>27</v>
      </c>
    </row>
    <row r="27" spans="1:9" x14ac:dyDescent="0.25">
      <c r="C27" t="s">
        <v>4</v>
      </c>
      <c r="E27" t="s">
        <v>24</v>
      </c>
      <c r="F27" s="9">
        <v>0.15</v>
      </c>
      <c r="H27" s="4" t="s">
        <v>57</v>
      </c>
    </row>
    <row r="28" spans="1:9" x14ac:dyDescent="0.25">
      <c r="C28" t="s">
        <v>5</v>
      </c>
      <c r="E28" t="s">
        <v>24</v>
      </c>
      <c r="F28" s="28">
        <v>0</v>
      </c>
      <c r="H28" s="4" t="s">
        <v>56</v>
      </c>
    </row>
    <row r="30" spans="1:9" x14ac:dyDescent="0.25">
      <c r="A30" s="7" t="s">
        <v>44</v>
      </c>
      <c r="B30" s="7"/>
      <c r="C30" s="7"/>
      <c r="D30" s="7"/>
      <c r="E30" s="5"/>
      <c r="F30" s="5"/>
      <c r="G30" s="5" t="s">
        <v>48</v>
      </c>
      <c r="H30" s="5"/>
      <c r="I30" s="5"/>
    </row>
    <row r="31" spans="1:9" x14ac:dyDescent="0.25">
      <c r="E31" s="29" t="s">
        <v>45</v>
      </c>
      <c r="F31" s="29">
        <v>0</v>
      </c>
      <c r="G31" s="29"/>
      <c r="H31" s="29" t="s">
        <v>46</v>
      </c>
    </row>
    <row r="33" spans="1:6" x14ac:dyDescent="0.25">
      <c r="A33" s="37" t="s">
        <v>3</v>
      </c>
      <c r="C33" s="37" t="s">
        <v>9</v>
      </c>
      <c r="D33" s="37" t="s">
        <v>49</v>
      </c>
      <c r="E33" s="37" t="s">
        <v>45</v>
      </c>
      <c r="F33" s="9">
        <f t="array" ref="F33">INDEX('Feed rations'!$J$4:$AA$19,
MATCH(1, (A33='Feed rations'!$C$4:$C$19)*(C33='Feed rations'!$D$4:$D$19),0),
MATCH(D33, 'Feed rations'!$J$3:$AA$3, 0))</f>
        <v>66</v>
      </c>
    </row>
    <row r="34" spans="1:6" x14ac:dyDescent="0.25">
      <c r="A34" s="37" t="s">
        <v>3</v>
      </c>
      <c r="C34" s="37" t="s">
        <v>9</v>
      </c>
      <c r="D34" s="37" t="s">
        <v>50</v>
      </c>
      <c r="E34" s="37" t="s">
        <v>45</v>
      </c>
      <c r="F34" s="9">
        <f t="array" ref="F34">INDEX('Feed rations'!$J$4:$AA$19,
MATCH(1, (A34='Feed rations'!$C$4:$C$19)*(C34='Feed rations'!$D$4:$D$19),0),
MATCH(D34, 'Feed rations'!$J$3:$AA$3, 0))</f>
        <v>32.999999999999993</v>
      </c>
    </row>
    <row r="35" spans="1:6" x14ac:dyDescent="0.25">
      <c r="A35" s="37" t="s">
        <v>3</v>
      </c>
      <c r="C35" s="37" t="s">
        <v>9</v>
      </c>
      <c r="D35" s="37" t="s">
        <v>88</v>
      </c>
      <c r="E35" s="37" t="s">
        <v>45</v>
      </c>
      <c r="F35" s="9">
        <f t="array" ref="F35">INDEX('Feed rations'!$J$4:$AA$19,
MATCH(1, (A35='Feed rations'!$C$4:$C$19)*(C35='Feed rations'!$D$4:$D$19),0),
MATCH(D35, 'Feed rations'!$J$3:$AA$3, 0))</f>
        <v>0.22764567437372507</v>
      </c>
    </row>
    <row r="36" spans="1:6" x14ac:dyDescent="0.25">
      <c r="A36" s="37" t="s">
        <v>3</v>
      </c>
      <c r="C36" s="37" t="s">
        <v>9</v>
      </c>
      <c r="D36" s="37" t="s">
        <v>89</v>
      </c>
      <c r="E36" s="37" t="s">
        <v>45</v>
      </c>
      <c r="F36" s="9">
        <f t="array" ref="F36">INDEX('Feed rations'!$J$4:$AA$19,
MATCH(1, (A36='Feed rations'!$C$4:$C$19)*(C36='Feed rations'!$D$4:$D$19),0),
MATCH(D36, 'Feed rations'!$J$3:$AA$3, 0))</f>
        <v>7.6957276987869846E-2</v>
      </c>
    </row>
    <row r="37" spans="1:6" x14ac:dyDescent="0.25">
      <c r="A37" s="37" t="s">
        <v>3</v>
      </c>
      <c r="C37" s="37" t="s">
        <v>9</v>
      </c>
      <c r="D37" s="37" t="s">
        <v>90</v>
      </c>
      <c r="E37" s="37" t="s">
        <v>45</v>
      </c>
      <c r="F37" s="9">
        <f t="array" ref="F37">INDEX('Feed rations'!$J$4:$AA$19,
MATCH(1, (A37='Feed rations'!$C$4:$C$19)*(C37='Feed rations'!$D$4:$D$19),0),
MATCH(D37, 'Feed rations'!$J$3:$AA$3, 0))</f>
        <v>0.10648557133139604</v>
      </c>
    </row>
    <row r="38" spans="1:6" x14ac:dyDescent="0.25">
      <c r="A38" s="37" t="s">
        <v>3</v>
      </c>
      <c r="C38" s="37" t="s">
        <v>9</v>
      </c>
      <c r="D38" s="37" t="s">
        <v>91</v>
      </c>
      <c r="E38" s="37" t="s">
        <v>45</v>
      </c>
      <c r="F38" s="9">
        <f t="array" ref="F38">INDEX('Feed rations'!$J$4:$AA$19,
MATCH(1, (A38='Feed rations'!$C$4:$C$19)*(C38='Feed rations'!$D$4:$D$19),0),
MATCH(D38, 'Feed rations'!$J$3:$AA$3, 0))</f>
        <v>2.5630021797415754E-2</v>
      </c>
    </row>
    <row r="39" spans="1:6" x14ac:dyDescent="0.25">
      <c r="A39" s="37" t="s">
        <v>3</v>
      </c>
      <c r="C39" s="37" t="s">
        <v>9</v>
      </c>
      <c r="D39" s="37" t="s">
        <v>93</v>
      </c>
      <c r="E39" s="37" t="s">
        <v>45</v>
      </c>
      <c r="F39" s="9">
        <f t="array" ref="F39">INDEX('Feed rations'!$J$4:$AA$19,
MATCH(1, (A39='Feed rations'!$C$4:$C$19)*(C39='Feed rations'!$D$4:$D$19),0),
MATCH(D39, 'Feed rations'!$J$3:$AA$3, 0))</f>
        <v>0.25663627595227045</v>
      </c>
    </row>
    <row r="40" spans="1:6" x14ac:dyDescent="0.25">
      <c r="A40" s="37" t="s">
        <v>3</v>
      </c>
      <c r="C40" s="37" t="s">
        <v>9</v>
      </c>
      <c r="D40" s="37" t="s">
        <v>92</v>
      </c>
      <c r="E40" s="37" t="s">
        <v>45</v>
      </c>
      <c r="F40" s="9">
        <f t="array" ref="F40">INDEX('Feed rations'!$J$4:$AA$19,
MATCH(1, (A40='Feed rations'!$C$4:$C$19)*(C40='Feed rations'!$D$4:$D$19),0),
MATCH(D40, 'Feed rations'!$J$3:$AA$3, 0))</f>
        <v>1.6223488598557115E-2</v>
      </c>
    </row>
    <row r="41" spans="1:6" x14ac:dyDescent="0.25">
      <c r="A41" s="37" t="s">
        <v>3</v>
      </c>
      <c r="C41" s="37" t="s">
        <v>9</v>
      </c>
      <c r="D41" s="37" t="s">
        <v>95</v>
      </c>
      <c r="E41" s="37" t="s">
        <v>45</v>
      </c>
      <c r="F41" s="9">
        <f t="array" ref="F41">INDEX('Feed rations'!$J$4:$AA$19,
MATCH(1, (A41='Feed rations'!$C$4:$C$19)*(C41='Feed rations'!$D$4:$D$19),0),
MATCH(D41, 'Feed rations'!$J$3:$AA$3, 0))</f>
        <v>8.1186006545791389E-2</v>
      </c>
    </row>
    <row r="42" spans="1:6" x14ac:dyDescent="0.25">
      <c r="A42" s="37" t="s">
        <v>3</v>
      </c>
      <c r="C42" s="37" t="s">
        <v>9</v>
      </c>
      <c r="D42" s="37" t="s">
        <v>94</v>
      </c>
      <c r="E42" s="37" t="s">
        <v>45</v>
      </c>
      <c r="F42" s="9">
        <f t="array" ref="F42">INDEX('Feed rations'!$J$4:$AA$19,
MATCH(1, (A42='Feed rations'!$C$4:$C$19)*(C42='Feed rations'!$D$4:$D$19),0),
MATCH(D42, 'Feed rations'!$J$3:$AA$3, 0))</f>
        <v>6.9103370275246934E-2</v>
      </c>
    </row>
    <row r="43" spans="1:6" x14ac:dyDescent="0.25">
      <c r="A43" s="37" t="s">
        <v>3</v>
      </c>
      <c r="C43" s="37" t="s">
        <v>9</v>
      </c>
      <c r="D43" s="37" t="s">
        <v>96</v>
      </c>
      <c r="E43" s="37" t="s">
        <v>45</v>
      </c>
      <c r="F43" s="9">
        <f t="array" ref="F43">INDEX('Feed rations'!$J$4:$AA$19,
MATCH(1, (A43='Feed rations'!$C$4:$C$19)*(C43='Feed rations'!$D$4:$D$19),0),
MATCH(D43, 'Feed rations'!$J$3:$AA$3, 0))</f>
        <v>1.5991724475720583E-2</v>
      </c>
    </row>
    <row r="44" spans="1:6" x14ac:dyDescent="0.25">
      <c r="A44" s="37" t="s">
        <v>3</v>
      </c>
      <c r="C44" s="37" t="s">
        <v>9</v>
      </c>
      <c r="D44" s="37" t="s">
        <v>97</v>
      </c>
      <c r="E44" s="37" t="s">
        <v>45</v>
      </c>
      <c r="F44" s="9">
        <f t="array" ref="F44">INDEX('Feed rations'!$J$4:$AA$19,
MATCH(1, (A44='Feed rations'!$C$4:$C$19)*(C44='Feed rations'!$D$4:$D$19),0),
MATCH(D44, 'Feed rations'!$J$3:$AA$3, 0))</f>
        <v>0.12414058966200681</v>
      </c>
    </row>
    <row r="45" spans="1:6" x14ac:dyDescent="0.25">
      <c r="A45" s="37" t="s">
        <v>3</v>
      </c>
      <c r="C45" s="37" t="s">
        <v>10</v>
      </c>
      <c r="D45" s="37" t="s">
        <v>49</v>
      </c>
      <c r="E45" s="37" t="s">
        <v>45</v>
      </c>
      <c r="F45" s="9">
        <f t="array" ref="F45">INDEX('Feed rations'!$J$4:$AA$19,
MATCH(1, (A45='Feed rations'!$C$4:$C$19)*(C45='Feed rations'!$D$4:$D$19),0),
MATCH(D45, 'Feed rations'!$J$3:$AA$3, 0))</f>
        <v>81.666666666666671</v>
      </c>
    </row>
    <row r="46" spans="1:6" x14ac:dyDescent="0.25">
      <c r="A46" s="37" t="s">
        <v>3</v>
      </c>
      <c r="C46" s="37" t="s">
        <v>10</v>
      </c>
      <c r="D46" s="37" t="s">
        <v>50</v>
      </c>
      <c r="E46" s="37" t="s">
        <v>45</v>
      </c>
      <c r="F46" s="9">
        <f t="array" ref="F46">INDEX('Feed rations'!$J$4:$AA$19,
MATCH(1, (A46='Feed rations'!$C$4:$C$19)*(C46='Feed rations'!$D$4:$D$19),0),
MATCH(D46, 'Feed rations'!$J$3:$AA$3, 0))</f>
        <v>16.333333333333332</v>
      </c>
    </row>
    <row r="47" spans="1:6" x14ac:dyDescent="0.25">
      <c r="A47" s="37" t="s">
        <v>3</v>
      </c>
      <c r="C47" s="37" t="s">
        <v>10</v>
      </c>
      <c r="D47" s="37" t="s">
        <v>88</v>
      </c>
      <c r="E47" s="37" t="s">
        <v>45</v>
      </c>
      <c r="F47" s="9">
        <f t="array" ref="F47">INDEX('Feed rations'!$J$4:$AA$19,
MATCH(1, (A47='Feed rations'!$C$4:$C$19)*(C47='Feed rations'!$D$4:$D$19),0),
MATCH(D47, 'Feed rations'!$J$3:$AA$3, 0))</f>
        <v>0.45529134874745014</v>
      </c>
    </row>
    <row r="48" spans="1:6" x14ac:dyDescent="0.25">
      <c r="A48" s="37" t="s">
        <v>3</v>
      </c>
      <c r="C48" s="37" t="s">
        <v>10</v>
      </c>
      <c r="D48" s="37" t="s">
        <v>89</v>
      </c>
      <c r="E48" s="37" t="s">
        <v>45</v>
      </c>
      <c r="F48" s="9">
        <f t="array" ref="F48">INDEX('Feed rations'!$J$4:$AA$19,
MATCH(1, (A48='Feed rations'!$C$4:$C$19)*(C48='Feed rations'!$D$4:$D$19),0),
MATCH(D48, 'Feed rations'!$J$3:$AA$3, 0))</f>
        <v>0.15391455397573969</v>
      </c>
    </row>
    <row r="49" spans="1:6" x14ac:dyDescent="0.25">
      <c r="A49" s="37" t="s">
        <v>3</v>
      </c>
      <c r="C49" s="37" t="s">
        <v>10</v>
      </c>
      <c r="D49" s="37" t="s">
        <v>90</v>
      </c>
      <c r="E49" s="37" t="s">
        <v>45</v>
      </c>
      <c r="F49" s="9">
        <f t="array" ref="F49">INDEX('Feed rations'!$J$4:$AA$19,
MATCH(1, (A49='Feed rations'!$C$4:$C$19)*(C49='Feed rations'!$D$4:$D$19),0),
MATCH(D49, 'Feed rations'!$J$3:$AA$3, 0))</f>
        <v>0.21297114266279207</v>
      </c>
    </row>
    <row r="50" spans="1:6" x14ac:dyDescent="0.25">
      <c r="A50" s="37" t="s">
        <v>3</v>
      </c>
      <c r="C50" s="37" t="s">
        <v>10</v>
      </c>
      <c r="D50" s="37" t="s">
        <v>91</v>
      </c>
      <c r="E50" s="37" t="s">
        <v>45</v>
      </c>
      <c r="F50" s="9">
        <f t="array" ref="F50">INDEX('Feed rations'!$J$4:$AA$19,
MATCH(1, (A50='Feed rations'!$C$4:$C$19)*(C50='Feed rations'!$D$4:$D$19),0),
MATCH(D50, 'Feed rations'!$J$3:$AA$3, 0))</f>
        <v>5.1260043594831509E-2</v>
      </c>
    </row>
    <row r="51" spans="1:6" x14ac:dyDescent="0.25">
      <c r="A51" s="37" t="s">
        <v>3</v>
      </c>
      <c r="C51" s="37" t="s">
        <v>10</v>
      </c>
      <c r="D51" s="37" t="s">
        <v>93</v>
      </c>
      <c r="E51" s="37" t="s">
        <v>45</v>
      </c>
      <c r="F51" s="9">
        <f t="array" ref="F51">INDEX('Feed rations'!$J$4:$AA$19,
MATCH(1, (A51='Feed rations'!$C$4:$C$19)*(C51='Feed rations'!$D$4:$D$19),0),
MATCH(D51, 'Feed rations'!$J$3:$AA$3, 0))</f>
        <v>0.51327255190454091</v>
      </c>
    </row>
    <row r="52" spans="1:6" x14ac:dyDescent="0.25">
      <c r="A52" s="37" t="s">
        <v>3</v>
      </c>
      <c r="C52" s="37" t="s">
        <v>10</v>
      </c>
      <c r="D52" s="37" t="s">
        <v>92</v>
      </c>
      <c r="E52" s="37" t="s">
        <v>45</v>
      </c>
      <c r="F52" s="9">
        <f t="array" ref="F52">INDEX('Feed rations'!$J$4:$AA$19,
MATCH(1, (A52='Feed rations'!$C$4:$C$19)*(C52='Feed rations'!$D$4:$D$19),0),
MATCH(D52, 'Feed rations'!$J$3:$AA$3, 0))</f>
        <v>3.244697719711423E-2</v>
      </c>
    </row>
    <row r="53" spans="1:6" x14ac:dyDescent="0.25">
      <c r="A53" s="37" t="s">
        <v>3</v>
      </c>
      <c r="C53" s="37" t="s">
        <v>10</v>
      </c>
      <c r="D53" s="37" t="s">
        <v>95</v>
      </c>
      <c r="E53" s="37" t="s">
        <v>45</v>
      </c>
      <c r="F53" s="9">
        <f t="array" ref="F53">INDEX('Feed rations'!$J$4:$AA$19,
MATCH(1, (A53='Feed rations'!$C$4:$C$19)*(C53='Feed rations'!$D$4:$D$19),0),
MATCH(D53, 'Feed rations'!$J$3:$AA$3, 0))</f>
        <v>0.16237201309158278</v>
      </c>
    </row>
    <row r="54" spans="1:6" x14ac:dyDescent="0.25">
      <c r="A54" s="37" t="s">
        <v>3</v>
      </c>
      <c r="C54" s="37" t="s">
        <v>10</v>
      </c>
      <c r="D54" s="37" t="s">
        <v>94</v>
      </c>
      <c r="E54" s="37" t="s">
        <v>45</v>
      </c>
      <c r="F54" s="9">
        <f t="array" ref="F54">INDEX('Feed rations'!$J$4:$AA$19,
MATCH(1, (A54='Feed rations'!$C$4:$C$19)*(C54='Feed rations'!$D$4:$D$19),0),
MATCH(D54, 'Feed rations'!$J$3:$AA$3, 0))</f>
        <v>0.13820674055049387</v>
      </c>
    </row>
    <row r="55" spans="1:6" x14ac:dyDescent="0.25">
      <c r="A55" s="37" t="s">
        <v>3</v>
      </c>
      <c r="C55" s="37" t="s">
        <v>10</v>
      </c>
      <c r="D55" s="37" t="s">
        <v>96</v>
      </c>
      <c r="E55" s="37" t="s">
        <v>45</v>
      </c>
      <c r="F55" s="9">
        <f t="array" ref="F55">INDEX('Feed rations'!$J$4:$AA$19,
MATCH(1, (A55='Feed rations'!$C$4:$C$19)*(C55='Feed rations'!$D$4:$D$19),0),
MATCH(D55, 'Feed rations'!$J$3:$AA$3, 0))</f>
        <v>3.1983448951441167E-2</v>
      </c>
    </row>
    <row r="56" spans="1:6" x14ac:dyDescent="0.25">
      <c r="A56" s="37" t="s">
        <v>3</v>
      </c>
      <c r="C56" s="37" t="s">
        <v>10</v>
      </c>
      <c r="D56" s="37" t="s">
        <v>97</v>
      </c>
      <c r="E56" s="37" t="s">
        <v>45</v>
      </c>
      <c r="F56" s="9">
        <f t="array" ref="F56">INDEX('Feed rations'!$J$4:$AA$19,
MATCH(1, (A56='Feed rations'!$C$4:$C$19)*(C56='Feed rations'!$D$4:$D$19),0),
MATCH(D56, 'Feed rations'!$J$3:$AA$3, 0))</f>
        <v>0.24828117932401361</v>
      </c>
    </row>
    <row r="57" spans="1:6" x14ac:dyDescent="0.25">
      <c r="A57" s="37" t="s">
        <v>3</v>
      </c>
      <c r="C57" s="37" t="s">
        <v>4</v>
      </c>
      <c r="D57" s="37" t="s">
        <v>49</v>
      </c>
      <c r="E57" s="37" t="s">
        <v>45</v>
      </c>
      <c r="F57" s="9">
        <f t="array" ref="F57">INDEX('Feed rations'!$J$4:$AA$19,
MATCH(1, (A57='Feed rations'!$C$4:$C$19)*(C57='Feed rations'!$D$4:$D$19),0),
MATCH(D57, 'Feed rations'!$J$3:$AA$3, 0))</f>
        <v>62</v>
      </c>
    </row>
    <row r="58" spans="1:6" x14ac:dyDescent="0.25">
      <c r="A58" s="37" t="s">
        <v>3</v>
      </c>
      <c r="C58" s="37" t="s">
        <v>4</v>
      </c>
      <c r="D58" s="37" t="s">
        <v>50</v>
      </c>
      <c r="E58" s="37" t="s">
        <v>45</v>
      </c>
      <c r="F58" s="9">
        <f t="array" ref="F58">INDEX('Feed rations'!$J$4:$AA$19,
MATCH(1, (A58='Feed rations'!$C$4:$C$19)*(C58='Feed rations'!$D$4:$D$19),0),
MATCH(D58, 'Feed rations'!$J$3:$AA$3, 0))</f>
        <v>30.999999999999993</v>
      </c>
    </row>
    <row r="59" spans="1:6" x14ac:dyDescent="0.25">
      <c r="A59" s="37" t="s">
        <v>3</v>
      </c>
      <c r="C59" s="37" t="s">
        <v>4</v>
      </c>
      <c r="D59" s="37" t="s">
        <v>88</v>
      </c>
      <c r="E59" s="37" t="s">
        <v>45</v>
      </c>
      <c r="F59" s="9">
        <f t="array" ref="F59">INDEX('Feed rations'!$J$4:$AA$19,
MATCH(1, (A59='Feed rations'!$C$4:$C$19)*(C59='Feed rations'!$D$4:$D$19),0),
MATCH(D59, 'Feed rations'!$J$3:$AA$3, 0))</f>
        <v>1.5935197206160754</v>
      </c>
    </row>
    <row r="60" spans="1:6" x14ac:dyDescent="0.25">
      <c r="A60" s="37" t="s">
        <v>3</v>
      </c>
      <c r="C60" s="37" t="s">
        <v>4</v>
      </c>
      <c r="D60" s="37" t="s">
        <v>89</v>
      </c>
      <c r="E60" s="37" t="s">
        <v>45</v>
      </c>
      <c r="F60" s="9">
        <f t="array" ref="F60">INDEX('Feed rations'!$J$4:$AA$19,
MATCH(1, (A60='Feed rations'!$C$4:$C$19)*(C60='Feed rations'!$D$4:$D$19),0),
MATCH(D60, 'Feed rations'!$J$3:$AA$3, 0))</f>
        <v>0.53870093891508897</v>
      </c>
    </row>
    <row r="61" spans="1:6" x14ac:dyDescent="0.25">
      <c r="A61" s="37" t="s">
        <v>3</v>
      </c>
      <c r="C61" s="37" t="s">
        <v>4</v>
      </c>
      <c r="D61" s="37" t="s">
        <v>90</v>
      </c>
      <c r="E61" s="37" t="s">
        <v>45</v>
      </c>
      <c r="F61" s="9">
        <f t="array" ref="F61">INDEX('Feed rations'!$J$4:$AA$19,
MATCH(1, (A61='Feed rations'!$C$4:$C$19)*(C61='Feed rations'!$D$4:$D$19),0),
MATCH(D61, 'Feed rations'!$J$3:$AA$3, 0))</f>
        <v>0.74539899931977227</v>
      </c>
    </row>
    <row r="62" spans="1:6" x14ac:dyDescent="0.25">
      <c r="A62" s="37" t="s">
        <v>3</v>
      </c>
      <c r="C62" s="37" t="s">
        <v>4</v>
      </c>
      <c r="D62" s="37" t="s">
        <v>91</v>
      </c>
      <c r="E62" s="37" t="s">
        <v>45</v>
      </c>
      <c r="F62" s="9">
        <f t="array" ref="F62">INDEX('Feed rations'!$J$4:$AA$19,
MATCH(1, (A62='Feed rations'!$C$4:$C$19)*(C62='Feed rations'!$D$4:$D$19),0),
MATCH(D62, 'Feed rations'!$J$3:$AA$3, 0))</f>
        <v>0.17941015258191029</v>
      </c>
    </row>
    <row r="63" spans="1:6" x14ac:dyDescent="0.25">
      <c r="A63" s="37" t="s">
        <v>3</v>
      </c>
      <c r="C63" s="37" t="s">
        <v>4</v>
      </c>
      <c r="D63" s="37" t="s">
        <v>93</v>
      </c>
      <c r="E63" s="37" t="s">
        <v>45</v>
      </c>
      <c r="F63" s="9">
        <f t="array" ref="F63">INDEX('Feed rations'!$J$4:$AA$19,
MATCH(1, (A63='Feed rations'!$C$4:$C$19)*(C63='Feed rations'!$D$4:$D$19),0),
MATCH(D63, 'Feed rations'!$J$3:$AA$3, 0))</f>
        <v>1.7964539316658934</v>
      </c>
    </row>
    <row r="64" spans="1:6" x14ac:dyDescent="0.25">
      <c r="A64" s="37" t="s">
        <v>3</v>
      </c>
      <c r="C64" s="37" t="s">
        <v>4</v>
      </c>
      <c r="D64" s="37" t="s">
        <v>92</v>
      </c>
      <c r="E64" s="37" t="s">
        <v>45</v>
      </c>
      <c r="F64" s="9">
        <f t="array" ref="F64">INDEX('Feed rations'!$J$4:$AA$19,
MATCH(1, (A64='Feed rations'!$C$4:$C$19)*(C64='Feed rations'!$D$4:$D$19),0),
MATCH(D64, 'Feed rations'!$J$3:$AA$3, 0))</f>
        <v>0.1135644201898998</v>
      </c>
    </row>
    <row r="65" spans="1:6" x14ac:dyDescent="0.25">
      <c r="A65" s="37" t="s">
        <v>3</v>
      </c>
      <c r="C65" s="37" t="s">
        <v>4</v>
      </c>
      <c r="D65" s="37" t="s">
        <v>95</v>
      </c>
      <c r="E65" s="37" t="s">
        <v>45</v>
      </c>
      <c r="F65" s="9">
        <f t="array" ref="F65">INDEX('Feed rations'!$J$4:$AA$19,
MATCH(1, (A65='Feed rations'!$C$4:$C$19)*(C65='Feed rations'!$D$4:$D$19),0),
MATCH(D65, 'Feed rations'!$J$3:$AA$3, 0))</f>
        <v>0.56830204582053978</v>
      </c>
    </row>
    <row r="66" spans="1:6" x14ac:dyDescent="0.25">
      <c r="A66" s="37" t="s">
        <v>3</v>
      </c>
      <c r="C66" s="37" t="s">
        <v>4</v>
      </c>
      <c r="D66" s="37" t="s">
        <v>94</v>
      </c>
      <c r="E66" s="37" t="s">
        <v>45</v>
      </c>
      <c r="F66" s="9">
        <f t="array" ref="F66">INDEX('Feed rations'!$J$4:$AA$19,
MATCH(1, (A66='Feed rations'!$C$4:$C$19)*(C66='Feed rations'!$D$4:$D$19),0),
MATCH(D66, 'Feed rations'!$J$3:$AA$3, 0))</f>
        <v>0.48372359192672859</v>
      </c>
    </row>
    <row r="67" spans="1:6" x14ac:dyDescent="0.25">
      <c r="A67" s="37" t="s">
        <v>3</v>
      </c>
      <c r="C67" s="37" t="s">
        <v>4</v>
      </c>
      <c r="D67" s="37" t="s">
        <v>96</v>
      </c>
      <c r="E67" s="37" t="s">
        <v>45</v>
      </c>
      <c r="F67" s="9">
        <f t="array" ref="F67">INDEX('Feed rations'!$J$4:$AA$19,
MATCH(1, (A67='Feed rations'!$C$4:$C$19)*(C67='Feed rations'!$D$4:$D$19),0),
MATCH(D67, 'Feed rations'!$J$3:$AA$3, 0))</f>
        <v>0.11194207133004409</v>
      </c>
    </row>
    <row r="68" spans="1:6" x14ac:dyDescent="0.25">
      <c r="A68" s="37" t="s">
        <v>3</v>
      </c>
      <c r="C68" s="37" t="s">
        <v>4</v>
      </c>
      <c r="D68" s="37" t="s">
        <v>97</v>
      </c>
      <c r="E68" s="37" t="s">
        <v>45</v>
      </c>
      <c r="F68" s="9">
        <f t="array" ref="F68">INDEX('Feed rations'!$J$4:$AA$19,
MATCH(1, (A68='Feed rations'!$C$4:$C$19)*(C68='Feed rations'!$D$4:$D$19),0),
MATCH(D68, 'Feed rations'!$J$3:$AA$3, 0))</f>
        <v>0.86898412763404764</v>
      </c>
    </row>
    <row r="69" spans="1:6" x14ac:dyDescent="0.25">
      <c r="A69" s="37" t="s">
        <v>3</v>
      </c>
      <c r="C69" s="37" t="s">
        <v>5</v>
      </c>
      <c r="D69" s="37" t="s">
        <v>49</v>
      </c>
      <c r="E69" s="37" t="s">
        <v>45</v>
      </c>
      <c r="F69" s="9">
        <f t="array" ref="F69">INDEX('Feed rations'!$J$4:$AA$19,
MATCH(1, (A69='Feed rations'!$C$4:$C$19)*(C69='Feed rations'!$D$4:$D$19),0),
MATCH(D69, 'Feed rations'!$J$3:$AA$3, 0))</f>
        <v>61.333333333333343</v>
      </c>
    </row>
    <row r="70" spans="1:6" x14ac:dyDescent="0.25">
      <c r="A70" s="37" t="s">
        <v>3</v>
      </c>
      <c r="C70" s="37" t="s">
        <v>5</v>
      </c>
      <c r="D70" s="37" t="s">
        <v>50</v>
      </c>
      <c r="E70" s="37" t="s">
        <v>45</v>
      </c>
      <c r="F70" s="9">
        <f t="array" ref="F70">INDEX('Feed rations'!$J$4:$AA$19,
MATCH(1, (A70='Feed rations'!$C$4:$C$19)*(C70='Feed rations'!$D$4:$D$19),0),
MATCH(D70, 'Feed rations'!$J$3:$AA$3, 0))</f>
        <v>30.666666666666664</v>
      </c>
    </row>
    <row r="71" spans="1:6" x14ac:dyDescent="0.25">
      <c r="A71" s="37" t="s">
        <v>3</v>
      </c>
      <c r="C71" s="37" t="s">
        <v>5</v>
      </c>
      <c r="D71" s="37" t="s">
        <v>88</v>
      </c>
      <c r="E71" s="37" t="s">
        <v>45</v>
      </c>
      <c r="F71" s="9">
        <f t="array" ref="F71">INDEX('Feed rations'!$J$4:$AA$19,
MATCH(1, (A71='Feed rations'!$C$4:$C$19)*(C71='Feed rations'!$D$4:$D$19),0),
MATCH(D71, 'Feed rations'!$J$3:$AA$3, 0))</f>
        <v>1.8211653949898006</v>
      </c>
    </row>
    <row r="72" spans="1:6" x14ac:dyDescent="0.25">
      <c r="A72" s="37" t="s">
        <v>3</v>
      </c>
      <c r="C72" s="37" t="s">
        <v>5</v>
      </c>
      <c r="D72" s="37" t="s">
        <v>89</v>
      </c>
      <c r="E72" s="37" t="s">
        <v>45</v>
      </c>
      <c r="F72" s="9">
        <f t="array" ref="F72">INDEX('Feed rations'!$J$4:$AA$19,
MATCH(1, (A72='Feed rations'!$C$4:$C$19)*(C72='Feed rations'!$D$4:$D$19),0),
MATCH(D72, 'Feed rations'!$J$3:$AA$3, 0))</f>
        <v>0.61565821590295877</v>
      </c>
    </row>
    <row r="73" spans="1:6" x14ac:dyDescent="0.25">
      <c r="A73" s="37" t="s">
        <v>3</v>
      </c>
      <c r="C73" s="37" t="s">
        <v>5</v>
      </c>
      <c r="D73" s="37" t="s">
        <v>90</v>
      </c>
      <c r="E73" s="37" t="s">
        <v>45</v>
      </c>
      <c r="F73" s="9">
        <f t="array" ref="F73">INDEX('Feed rations'!$J$4:$AA$19,
MATCH(1, (A73='Feed rations'!$C$4:$C$19)*(C73='Feed rations'!$D$4:$D$19),0),
MATCH(D73, 'Feed rations'!$J$3:$AA$3, 0))</f>
        <v>0.85188457065116829</v>
      </c>
    </row>
    <row r="74" spans="1:6" x14ac:dyDescent="0.25">
      <c r="A74" s="37" t="s">
        <v>3</v>
      </c>
      <c r="C74" s="37" t="s">
        <v>5</v>
      </c>
      <c r="D74" s="37" t="s">
        <v>91</v>
      </c>
      <c r="E74" s="37" t="s">
        <v>45</v>
      </c>
      <c r="F74" s="9">
        <f t="array" ref="F74">INDEX('Feed rations'!$J$4:$AA$19,
MATCH(1, (A74='Feed rations'!$C$4:$C$19)*(C74='Feed rations'!$D$4:$D$19),0),
MATCH(D74, 'Feed rations'!$J$3:$AA$3, 0))</f>
        <v>0.20504017437932603</v>
      </c>
    </row>
    <row r="75" spans="1:6" x14ac:dyDescent="0.25">
      <c r="A75" s="37" t="s">
        <v>3</v>
      </c>
      <c r="C75" s="37" t="s">
        <v>5</v>
      </c>
      <c r="D75" s="37" t="s">
        <v>93</v>
      </c>
      <c r="E75" s="37" t="s">
        <v>45</v>
      </c>
      <c r="F75" s="9">
        <f t="array" ref="F75">INDEX('Feed rations'!$J$4:$AA$19,
MATCH(1, (A75='Feed rations'!$C$4:$C$19)*(C75='Feed rations'!$D$4:$D$19),0),
MATCH(D75, 'Feed rations'!$J$3:$AA$3, 0))</f>
        <v>2.0530902076181636</v>
      </c>
    </row>
    <row r="76" spans="1:6" x14ac:dyDescent="0.25">
      <c r="A76" s="37" t="s">
        <v>3</v>
      </c>
      <c r="C76" s="37" t="s">
        <v>5</v>
      </c>
      <c r="D76" s="37" t="s">
        <v>92</v>
      </c>
      <c r="E76" s="37" t="s">
        <v>45</v>
      </c>
      <c r="F76" s="9">
        <f t="array" ref="F76">INDEX('Feed rations'!$J$4:$AA$19,
MATCH(1, (A76='Feed rations'!$C$4:$C$19)*(C76='Feed rations'!$D$4:$D$19),0),
MATCH(D76, 'Feed rations'!$J$3:$AA$3, 0))</f>
        <v>0.12978790878845692</v>
      </c>
    </row>
    <row r="77" spans="1:6" x14ac:dyDescent="0.25">
      <c r="A77" s="37" t="s">
        <v>3</v>
      </c>
      <c r="C77" s="37" t="s">
        <v>5</v>
      </c>
      <c r="D77" s="37" t="s">
        <v>95</v>
      </c>
      <c r="E77" s="37" t="s">
        <v>45</v>
      </c>
      <c r="F77" s="9">
        <f t="array" ref="F77">INDEX('Feed rations'!$J$4:$AA$19,
MATCH(1, (A77='Feed rations'!$C$4:$C$19)*(C77='Feed rations'!$D$4:$D$19),0),
MATCH(D77, 'Feed rations'!$J$3:$AA$3, 0))</f>
        <v>0.64948805236633111</v>
      </c>
    </row>
    <row r="78" spans="1:6" x14ac:dyDescent="0.25">
      <c r="A78" s="37" t="s">
        <v>3</v>
      </c>
      <c r="C78" s="37" t="s">
        <v>5</v>
      </c>
      <c r="D78" s="37" t="s">
        <v>94</v>
      </c>
      <c r="E78" s="37" t="s">
        <v>45</v>
      </c>
      <c r="F78" s="9">
        <f t="array" ref="F78">INDEX('Feed rations'!$J$4:$AA$19,
MATCH(1, (A78='Feed rations'!$C$4:$C$19)*(C78='Feed rations'!$D$4:$D$19),0),
MATCH(D78, 'Feed rations'!$J$3:$AA$3, 0))</f>
        <v>0.55282696220197547</v>
      </c>
    </row>
    <row r="79" spans="1:6" x14ac:dyDescent="0.25">
      <c r="A79" s="37" t="s">
        <v>3</v>
      </c>
      <c r="C79" s="37" t="s">
        <v>5</v>
      </c>
      <c r="D79" s="37" t="s">
        <v>96</v>
      </c>
      <c r="E79" s="37" t="s">
        <v>45</v>
      </c>
      <c r="F79" s="9">
        <f t="array" ref="F79">INDEX('Feed rations'!$J$4:$AA$19,
MATCH(1, (A79='Feed rations'!$C$4:$C$19)*(C79='Feed rations'!$D$4:$D$19),0),
MATCH(D79, 'Feed rations'!$J$3:$AA$3, 0))</f>
        <v>0.12793379580576467</v>
      </c>
    </row>
    <row r="80" spans="1:6" x14ac:dyDescent="0.25">
      <c r="A80" s="37" t="s">
        <v>3</v>
      </c>
      <c r="C80" s="37" t="s">
        <v>5</v>
      </c>
      <c r="D80" s="37" t="s">
        <v>97</v>
      </c>
      <c r="E80" s="37" t="s">
        <v>45</v>
      </c>
      <c r="F80" s="9">
        <f t="array" ref="F80">INDEX('Feed rations'!$J$4:$AA$19,
MATCH(1, (A80='Feed rations'!$C$4:$C$19)*(C80='Feed rations'!$D$4:$D$19),0),
MATCH(D80, 'Feed rations'!$J$3:$AA$3, 0))</f>
        <v>0.99312471729605445</v>
      </c>
    </row>
    <row r="82" spans="1:6" x14ac:dyDescent="0.25">
      <c r="A82" s="37" t="s">
        <v>6</v>
      </c>
      <c r="C82" s="37" t="s">
        <v>9</v>
      </c>
      <c r="D82" s="37" t="s">
        <v>49</v>
      </c>
      <c r="E82" s="37" t="s">
        <v>45</v>
      </c>
      <c r="F82" s="9">
        <f t="array" ref="F82">INDEX('Feed rations'!$J$4:$AA$19,
MATCH(1, (A82='Feed rations'!$C$4:$C$19)*(C82='Feed rations'!$D$4:$D$19),0),
MATCH(D82, 'Feed rations'!$J$3:$AA$3, 0))</f>
        <v>66</v>
      </c>
    </row>
    <row r="83" spans="1:6" x14ac:dyDescent="0.25">
      <c r="A83" s="37" t="s">
        <v>6</v>
      </c>
      <c r="C83" s="37" t="s">
        <v>9</v>
      </c>
      <c r="D83" s="37" t="s">
        <v>50</v>
      </c>
      <c r="E83" s="37" t="s">
        <v>45</v>
      </c>
      <c r="F83" s="9">
        <f t="array" ref="F83">INDEX('Feed rations'!$J$4:$AA$19,
MATCH(1, (A83='Feed rations'!$C$4:$C$19)*(C83='Feed rations'!$D$4:$D$19),0),
MATCH(D83, 'Feed rations'!$J$3:$AA$3, 0))</f>
        <v>32.999999999999993</v>
      </c>
    </row>
    <row r="84" spans="1:6" x14ac:dyDescent="0.25">
      <c r="A84" s="37" t="s">
        <v>6</v>
      </c>
      <c r="C84" s="37" t="s">
        <v>9</v>
      </c>
      <c r="D84" s="37" t="s">
        <v>88</v>
      </c>
      <c r="E84" s="37" t="s">
        <v>45</v>
      </c>
      <c r="F84" s="9">
        <f t="array" ref="F84">INDEX('Feed rations'!$J$4:$AA$19,
MATCH(1, (A84='Feed rations'!$C$4:$C$19)*(C84='Feed rations'!$D$4:$D$19),0),
MATCH(D84, 'Feed rations'!$J$3:$AA$3, 0))</f>
        <v>0.22764567437372507</v>
      </c>
    </row>
    <row r="85" spans="1:6" x14ac:dyDescent="0.25">
      <c r="A85" s="37" t="s">
        <v>6</v>
      </c>
      <c r="C85" s="37" t="s">
        <v>9</v>
      </c>
      <c r="D85" s="37" t="s">
        <v>89</v>
      </c>
      <c r="E85" s="37" t="s">
        <v>45</v>
      </c>
      <c r="F85" s="9">
        <f t="array" ref="F85">INDEX('Feed rations'!$J$4:$AA$19,
MATCH(1, (A85='Feed rations'!$C$4:$C$19)*(C85='Feed rations'!$D$4:$D$19),0),
MATCH(D85, 'Feed rations'!$J$3:$AA$3, 0))</f>
        <v>7.6957276987869846E-2</v>
      </c>
    </row>
    <row r="86" spans="1:6" x14ac:dyDescent="0.25">
      <c r="A86" s="37" t="s">
        <v>6</v>
      </c>
      <c r="C86" s="37" t="s">
        <v>9</v>
      </c>
      <c r="D86" s="37" t="s">
        <v>90</v>
      </c>
      <c r="E86" s="37" t="s">
        <v>45</v>
      </c>
      <c r="F86" s="9">
        <f t="array" ref="F86">INDEX('Feed rations'!$J$4:$AA$19,
MATCH(1, (A86='Feed rations'!$C$4:$C$19)*(C86='Feed rations'!$D$4:$D$19),0),
MATCH(D86, 'Feed rations'!$J$3:$AA$3, 0))</f>
        <v>0.10648557133139604</v>
      </c>
    </row>
    <row r="87" spans="1:6" x14ac:dyDescent="0.25">
      <c r="A87" s="37" t="s">
        <v>6</v>
      </c>
      <c r="C87" s="37" t="s">
        <v>9</v>
      </c>
      <c r="D87" s="37" t="s">
        <v>91</v>
      </c>
      <c r="E87" s="37" t="s">
        <v>45</v>
      </c>
      <c r="F87" s="9">
        <f t="array" ref="F87">INDEX('Feed rations'!$J$4:$AA$19,
MATCH(1, (A87='Feed rations'!$C$4:$C$19)*(C87='Feed rations'!$D$4:$D$19),0),
MATCH(D87, 'Feed rations'!$J$3:$AA$3, 0))</f>
        <v>2.5630021797415754E-2</v>
      </c>
    </row>
    <row r="88" spans="1:6" x14ac:dyDescent="0.25">
      <c r="A88" s="37" t="s">
        <v>6</v>
      </c>
      <c r="C88" s="37" t="s">
        <v>9</v>
      </c>
      <c r="D88" s="37" t="s">
        <v>93</v>
      </c>
      <c r="E88" s="37" t="s">
        <v>45</v>
      </c>
      <c r="F88" s="9">
        <f t="array" ref="F88">INDEX('Feed rations'!$J$4:$AA$19,
MATCH(1, (A88='Feed rations'!$C$4:$C$19)*(C88='Feed rations'!$D$4:$D$19),0),
MATCH(D88, 'Feed rations'!$J$3:$AA$3, 0))</f>
        <v>0.25663627595227045</v>
      </c>
    </row>
    <row r="89" spans="1:6" x14ac:dyDescent="0.25">
      <c r="A89" s="37" t="s">
        <v>6</v>
      </c>
      <c r="C89" s="37" t="s">
        <v>9</v>
      </c>
      <c r="D89" s="37" t="s">
        <v>92</v>
      </c>
      <c r="E89" s="37" t="s">
        <v>45</v>
      </c>
      <c r="F89" s="9">
        <f t="array" ref="F89">INDEX('Feed rations'!$J$4:$AA$19,
MATCH(1, (A89='Feed rations'!$C$4:$C$19)*(C89='Feed rations'!$D$4:$D$19),0),
MATCH(D89, 'Feed rations'!$J$3:$AA$3, 0))</f>
        <v>1.6223488598557115E-2</v>
      </c>
    </row>
    <row r="90" spans="1:6" x14ac:dyDescent="0.25">
      <c r="A90" s="37" t="s">
        <v>6</v>
      </c>
      <c r="C90" s="37" t="s">
        <v>9</v>
      </c>
      <c r="D90" s="37" t="s">
        <v>95</v>
      </c>
      <c r="E90" s="37" t="s">
        <v>45</v>
      </c>
      <c r="F90" s="9">
        <f t="array" ref="F90">INDEX('Feed rations'!$J$4:$AA$19,
MATCH(1, (A90='Feed rations'!$C$4:$C$19)*(C90='Feed rations'!$D$4:$D$19),0),
MATCH(D90, 'Feed rations'!$J$3:$AA$3, 0))</f>
        <v>8.1186006545791389E-2</v>
      </c>
    </row>
    <row r="91" spans="1:6" x14ac:dyDescent="0.25">
      <c r="A91" s="37" t="s">
        <v>6</v>
      </c>
      <c r="C91" s="37" t="s">
        <v>9</v>
      </c>
      <c r="D91" s="37" t="s">
        <v>94</v>
      </c>
      <c r="E91" s="37" t="s">
        <v>45</v>
      </c>
      <c r="F91" s="9">
        <f t="array" ref="F91">INDEX('Feed rations'!$J$4:$AA$19,
MATCH(1, (A91='Feed rations'!$C$4:$C$19)*(C91='Feed rations'!$D$4:$D$19),0),
MATCH(D91, 'Feed rations'!$J$3:$AA$3, 0))</f>
        <v>6.9103370275246934E-2</v>
      </c>
    </row>
    <row r="92" spans="1:6" x14ac:dyDescent="0.25">
      <c r="A92" s="37" t="s">
        <v>6</v>
      </c>
      <c r="C92" s="37" t="s">
        <v>9</v>
      </c>
      <c r="D92" s="37" t="s">
        <v>96</v>
      </c>
      <c r="E92" s="37" t="s">
        <v>45</v>
      </c>
      <c r="F92" s="9">
        <f t="array" ref="F92">INDEX('Feed rations'!$J$4:$AA$19,
MATCH(1, (A92='Feed rations'!$C$4:$C$19)*(C92='Feed rations'!$D$4:$D$19),0),
MATCH(D92, 'Feed rations'!$J$3:$AA$3, 0))</f>
        <v>1.5991724475720583E-2</v>
      </c>
    </row>
    <row r="93" spans="1:6" x14ac:dyDescent="0.25">
      <c r="A93" s="37" t="s">
        <v>6</v>
      </c>
      <c r="C93" s="37" t="s">
        <v>9</v>
      </c>
      <c r="D93" s="37" t="s">
        <v>97</v>
      </c>
      <c r="E93" s="37" t="s">
        <v>45</v>
      </c>
      <c r="F93" s="9">
        <f t="array" ref="F93">INDEX('Feed rations'!$J$4:$AA$19,
MATCH(1, (A93='Feed rations'!$C$4:$C$19)*(C93='Feed rations'!$D$4:$D$19),0),
MATCH(D93, 'Feed rations'!$J$3:$AA$3, 0))</f>
        <v>0.12414058966200681</v>
      </c>
    </row>
    <row r="94" spans="1:6" x14ac:dyDescent="0.25">
      <c r="A94" s="37" t="s">
        <v>6</v>
      </c>
      <c r="C94" s="37" t="s">
        <v>10</v>
      </c>
      <c r="D94" s="37" t="s">
        <v>49</v>
      </c>
      <c r="E94" s="37" t="s">
        <v>45</v>
      </c>
      <c r="F94" s="9">
        <f t="array" ref="F94">INDEX('Feed rations'!$J$4:$AA$19,
MATCH(1, (A94='Feed rations'!$C$4:$C$19)*(C94='Feed rations'!$D$4:$D$19),0),
MATCH(D94, 'Feed rations'!$J$3:$AA$3, 0))</f>
        <v>81.666666666666671</v>
      </c>
    </row>
    <row r="95" spans="1:6" x14ac:dyDescent="0.25">
      <c r="A95" s="37" t="s">
        <v>6</v>
      </c>
      <c r="C95" s="37" t="s">
        <v>10</v>
      </c>
      <c r="D95" s="37" t="s">
        <v>50</v>
      </c>
      <c r="E95" s="37" t="s">
        <v>45</v>
      </c>
      <c r="F95" s="9">
        <f t="array" ref="F95">INDEX('Feed rations'!$J$4:$AA$19,
MATCH(1, (A95='Feed rations'!$C$4:$C$19)*(C95='Feed rations'!$D$4:$D$19),0),
MATCH(D95, 'Feed rations'!$J$3:$AA$3, 0))</f>
        <v>16.333333333333332</v>
      </c>
    </row>
    <row r="96" spans="1:6" x14ac:dyDescent="0.25">
      <c r="A96" s="37" t="s">
        <v>6</v>
      </c>
      <c r="C96" s="37" t="s">
        <v>10</v>
      </c>
      <c r="D96" s="37" t="s">
        <v>88</v>
      </c>
      <c r="E96" s="37" t="s">
        <v>45</v>
      </c>
      <c r="F96" s="9">
        <f t="array" ref="F96">INDEX('Feed rations'!$J$4:$AA$19,
MATCH(1, (A96='Feed rations'!$C$4:$C$19)*(C96='Feed rations'!$D$4:$D$19),0),
MATCH(D96, 'Feed rations'!$J$3:$AA$3, 0))</f>
        <v>0.45529134874745014</v>
      </c>
    </row>
    <row r="97" spans="1:6" x14ac:dyDescent="0.25">
      <c r="A97" s="37" t="s">
        <v>6</v>
      </c>
      <c r="C97" s="37" t="s">
        <v>10</v>
      </c>
      <c r="D97" s="37" t="s">
        <v>89</v>
      </c>
      <c r="E97" s="37" t="s">
        <v>45</v>
      </c>
      <c r="F97" s="9">
        <f t="array" ref="F97">INDEX('Feed rations'!$J$4:$AA$19,
MATCH(1, (A97='Feed rations'!$C$4:$C$19)*(C97='Feed rations'!$D$4:$D$19),0),
MATCH(D97, 'Feed rations'!$J$3:$AA$3, 0))</f>
        <v>0.15391455397573969</v>
      </c>
    </row>
    <row r="98" spans="1:6" x14ac:dyDescent="0.25">
      <c r="A98" s="37" t="s">
        <v>6</v>
      </c>
      <c r="C98" s="37" t="s">
        <v>10</v>
      </c>
      <c r="D98" s="37" t="s">
        <v>90</v>
      </c>
      <c r="E98" s="37" t="s">
        <v>45</v>
      </c>
      <c r="F98" s="9">
        <f t="array" ref="F98">INDEX('Feed rations'!$J$4:$AA$19,
MATCH(1, (A98='Feed rations'!$C$4:$C$19)*(C98='Feed rations'!$D$4:$D$19),0),
MATCH(D98, 'Feed rations'!$J$3:$AA$3, 0))</f>
        <v>0.21297114266279207</v>
      </c>
    </row>
    <row r="99" spans="1:6" x14ac:dyDescent="0.25">
      <c r="A99" s="37" t="s">
        <v>6</v>
      </c>
      <c r="C99" s="37" t="s">
        <v>10</v>
      </c>
      <c r="D99" s="37" t="s">
        <v>91</v>
      </c>
      <c r="E99" s="37" t="s">
        <v>45</v>
      </c>
      <c r="F99" s="9">
        <f t="array" ref="F99">INDEX('Feed rations'!$J$4:$AA$19,
MATCH(1, (A99='Feed rations'!$C$4:$C$19)*(C99='Feed rations'!$D$4:$D$19),0),
MATCH(D99, 'Feed rations'!$J$3:$AA$3, 0))</f>
        <v>5.1260043594831509E-2</v>
      </c>
    </row>
    <row r="100" spans="1:6" x14ac:dyDescent="0.25">
      <c r="A100" s="37" t="s">
        <v>6</v>
      </c>
      <c r="C100" s="37" t="s">
        <v>10</v>
      </c>
      <c r="D100" s="37" t="s">
        <v>93</v>
      </c>
      <c r="E100" s="37" t="s">
        <v>45</v>
      </c>
      <c r="F100" s="9">
        <f t="array" ref="F100">INDEX('Feed rations'!$J$4:$AA$19,
MATCH(1, (A100='Feed rations'!$C$4:$C$19)*(C100='Feed rations'!$D$4:$D$19),0),
MATCH(D100, 'Feed rations'!$J$3:$AA$3, 0))</f>
        <v>0.51327255190454091</v>
      </c>
    </row>
    <row r="101" spans="1:6" x14ac:dyDescent="0.25">
      <c r="A101" s="37" t="s">
        <v>6</v>
      </c>
      <c r="C101" s="37" t="s">
        <v>10</v>
      </c>
      <c r="D101" s="37" t="s">
        <v>92</v>
      </c>
      <c r="E101" s="37" t="s">
        <v>45</v>
      </c>
      <c r="F101" s="9">
        <f t="array" ref="F101">INDEX('Feed rations'!$J$4:$AA$19,
MATCH(1, (A101='Feed rations'!$C$4:$C$19)*(C101='Feed rations'!$D$4:$D$19),0),
MATCH(D101, 'Feed rations'!$J$3:$AA$3, 0))</f>
        <v>3.244697719711423E-2</v>
      </c>
    </row>
    <row r="102" spans="1:6" x14ac:dyDescent="0.25">
      <c r="A102" s="37" t="s">
        <v>6</v>
      </c>
      <c r="C102" s="37" t="s">
        <v>10</v>
      </c>
      <c r="D102" s="37" t="s">
        <v>95</v>
      </c>
      <c r="E102" s="37" t="s">
        <v>45</v>
      </c>
      <c r="F102" s="9">
        <f t="array" ref="F102">INDEX('Feed rations'!$J$4:$AA$19,
MATCH(1, (A102='Feed rations'!$C$4:$C$19)*(C102='Feed rations'!$D$4:$D$19),0),
MATCH(D102, 'Feed rations'!$J$3:$AA$3, 0))</f>
        <v>0.16237201309158278</v>
      </c>
    </row>
    <row r="103" spans="1:6" x14ac:dyDescent="0.25">
      <c r="A103" s="37" t="s">
        <v>6</v>
      </c>
      <c r="C103" s="37" t="s">
        <v>10</v>
      </c>
      <c r="D103" s="37" t="s">
        <v>94</v>
      </c>
      <c r="E103" s="37" t="s">
        <v>45</v>
      </c>
      <c r="F103" s="9">
        <f t="array" ref="F103">INDEX('Feed rations'!$J$4:$AA$19,
MATCH(1, (A103='Feed rations'!$C$4:$C$19)*(C103='Feed rations'!$D$4:$D$19),0),
MATCH(D103, 'Feed rations'!$J$3:$AA$3, 0))</f>
        <v>0.13820674055049387</v>
      </c>
    </row>
    <row r="104" spans="1:6" x14ac:dyDescent="0.25">
      <c r="A104" s="37" t="s">
        <v>6</v>
      </c>
      <c r="C104" s="37" t="s">
        <v>10</v>
      </c>
      <c r="D104" s="37" t="s">
        <v>96</v>
      </c>
      <c r="E104" s="37" t="s">
        <v>45</v>
      </c>
      <c r="F104" s="9">
        <f t="array" ref="F104">INDEX('Feed rations'!$J$4:$AA$19,
MATCH(1, (A104='Feed rations'!$C$4:$C$19)*(C104='Feed rations'!$D$4:$D$19),0),
MATCH(D104, 'Feed rations'!$J$3:$AA$3, 0))</f>
        <v>3.1983448951441167E-2</v>
      </c>
    </row>
    <row r="105" spans="1:6" x14ac:dyDescent="0.25">
      <c r="A105" s="37" t="s">
        <v>6</v>
      </c>
      <c r="C105" s="37" t="s">
        <v>10</v>
      </c>
      <c r="D105" s="37" t="s">
        <v>97</v>
      </c>
      <c r="E105" s="37" t="s">
        <v>45</v>
      </c>
      <c r="F105" s="9">
        <f t="array" ref="F105">INDEX('Feed rations'!$J$4:$AA$19,
MATCH(1, (A105='Feed rations'!$C$4:$C$19)*(C105='Feed rations'!$D$4:$D$19),0),
MATCH(D105, 'Feed rations'!$J$3:$AA$3, 0))</f>
        <v>0.24828117932401361</v>
      </c>
    </row>
    <row r="106" spans="1:6" x14ac:dyDescent="0.25">
      <c r="A106" s="37" t="s">
        <v>6</v>
      </c>
      <c r="C106" s="37" t="s">
        <v>4</v>
      </c>
      <c r="D106" s="37" t="s">
        <v>49</v>
      </c>
      <c r="E106" s="37" t="s">
        <v>45</v>
      </c>
      <c r="F106" s="9">
        <f t="array" ref="F106">INDEX('Feed rations'!$J$4:$AA$19,
MATCH(1, (A106='Feed rations'!$C$4:$C$19)*(C106='Feed rations'!$D$4:$D$19),0),
MATCH(D106, 'Feed rations'!$J$3:$AA$3, 0))</f>
        <v>62</v>
      </c>
    </row>
    <row r="107" spans="1:6" x14ac:dyDescent="0.25">
      <c r="A107" s="37" t="s">
        <v>6</v>
      </c>
      <c r="C107" s="37" t="s">
        <v>4</v>
      </c>
      <c r="D107" s="37" t="s">
        <v>50</v>
      </c>
      <c r="E107" s="37" t="s">
        <v>45</v>
      </c>
      <c r="F107" s="9">
        <f t="array" ref="F107">INDEX('Feed rations'!$J$4:$AA$19,
MATCH(1, (A107='Feed rations'!$C$4:$C$19)*(C107='Feed rations'!$D$4:$D$19),0),
MATCH(D107, 'Feed rations'!$J$3:$AA$3, 0))</f>
        <v>30.999999999999993</v>
      </c>
    </row>
    <row r="108" spans="1:6" x14ac:dyDescent="0.25">
      <c r="A108" s="37" t="s">
        <v>6</v>
      </c>
      <c r="C108" s="37" t="s">
        <v>4</v>
      </c>
      <c r="D108" s="37" t="s">
        <v>88</v>
      </c>
      <c r="E108" s="37" t="s">
        <v>45</v>
      </c>
      <c r="F108" s="9">
        <f t="array" ref="F108">INDEX('Feed rations'!$J$4:$AA$19,
MATCH(1, (A108='Feed rations'!$C$4:$C$19)*(C108='Feed rations'!$D$4:$D$19),0),
MATCH(D108, 'Feed rations'!$J$3:$AA$3, 0))</f>
        <v>1.5935197206160754</v>
      </c>
    </row>
    <row r="109" spans="1:6" x14ac:dyDescent="0.25">
      <c r="A109" s="37" t="s">
        <v>6</v>
      </c>
      <c r="C109" s="37" t="s">
        <v>4</v>
      </c>
      <c r="D109" s="37" t="s">
        <v>89</v>
      </c>
      <c r="E109" s="37" t="s">
        <v>45</v>
      </c>
      <c r="F109" s="9">
        <f t="array" ref="F109">INDEX('Feed rations'!$J$4:$AA$19,
MATCH(1, (A109='Feed rations'!$C$4:$C$19)*(C109='Feed rations'!$D$4:$D$19),0),
MATCH(D109, 'Feed rations'!$J$3:$AA$3, 0))</f>
        <v>0.53870093891508897</v>
      </c>
    </row>
    <row r="110" spans="1:6" x14ac:dyDescent="0.25">
      <c r="A110" s="37" t="s">
        <v>6</v>
      </c>
      <c r="C110" s="37" t="s">
        <v>4</v>
      </c>
      <c r="D110" s="37" t="s">
        <v>90</v>
      </c>
      <c r="E110" s="37" t="s">
        <v>45</v>
      </c>
      <c r="F110" s="9">
        <f t="array" ref="F110">INDEX('Feed rations'!$J$4:$AA$19,
MATCH(1, (A110='Feed rations'!$C$4:$C$19)*(C110='Feed rations'!$D$4:$D$19),0),
MATCH(D110, 'Feed rations'!$J$3:$AA$3, 0))</f>
        <v>0.74539899931977227</v>
      </c>
    </row>
    <row r="111" spans="1:6" x14ac:dyDescent="0.25">
      <c r="A111" s="37" t="s">
        <v>6</v>
      </c>
      <c r="C111" s="37" t="s">
        <v>4</v>
      </c>
      <c r="D111" s="37" t="s">
        <v>91</v>
      </c>
      <c r="E111" s="37" t="s">
        <v>45</v>
      </c>
      <c r="F111" s="9">
        <f t="array" ref="F111">INDEX('Feed rations'!$J$4:$AA$19,
MATCH(1, (A111='Feed rations'!$C$4:$C$19)*(C111='Feed rations'!$D$4:$D$19),0),
MATCH(D111, 'Feed rations'!$J$3:$AA$3, 0))</f>
        <v>0.17941015258191029</v>
      </c>
    </row>
    <row r="112" spans="1:6" x14ac:dyDescent="0.25">
      <c r="A112" s="37" t="s">
        <v>6</v>
      </c>
      <c r="C112" s="37" t="s">
        <v>4</v>
      </c>
      <c r="D112" s="37" t="s">
        <v>93</v>
      </c>
      <c r="E112" s="37" t="s">
        <v>45</v>
      </c>
      <c r="F112" s="9">
        <f t="array" ref="F112">INDEX('Feed rations'!$J$4:$AA$19,
MATCH(1, (A112='Feed rations'!$C$4:$C$19)*(C112='Feed rations'!$D$4:$D$19),0),
MATCH(D112, 'Feed rations'!$J$3:$AA$3, 0))</f>
        <v>1.7964539316658934</v>
      </c>
    </row>
    <row r="113" spans="1:6" x14ac:dyDescent="0.25">
      <c r="A113" s="37" t="s">
        <v>6</v>
      </c>
      <c r="C113" s="37" t="s">
        <v>4</v>
      </c>
      <c r="D113" s="37" t="s">
        <v>92</v>
      </c>
      <c r="E113" s="37" t="s">
        <v>45</v>
      </c>
      <c r="F113" s="9">
        <f t="array" ref="F113">INDEX('Feed rations'!$J$4:$AA$19,
MATCH(1, (A113='Feed rations'!$C$4:$C$19)*(C113='Feed rations'!$D$4:$D$19),0),
MATCH(D113, 'Feed rations'!$J$3:$AA$3, 0))</f>
        <v>0.1135644201898998</v>
      </c>
    </row>
    <row r="114" spans="1:6" x14ac:dyDescent="0.25">
      <c r="A114" s="37" t="s">
        <v>6</v>
      </c>
      <c r="C114" s="37" t="s">
        <v>4</v>
      </c>
      <c r="D114" s="37" t="s">
        <v>95</v>
      </c>
      <c r="E114" s="37" t="s">
        <v>45</v>
      </c>
      <c r="F114" s="9">
        <f t="array" ref="F114">INDEX('Feed rations'!$J$4:$AA$19,
MATCH(1, (A114='Feed rations'!$C$4:$C$19)*(C114='Feed rations'!$D$4:$D$19),0),
MATCH(D114, 'Feed rations'!$J$3:$AA$3, 0))</f>
        <v>0.56830204582053978</v>
      </c>
    </row>
    <row r="115" spans="1:6" x14ac:dyDescent="0.25">
      <c r="A115" s="37" t="s">
        <v>6</v>
      </c>
      <c r="C115" s="37" t="s">
        <v>4</v>
      </c>
      <c r="D115" s="37" t="s">
        <v>94</v>
      </c>
      <c r="E115" s="37" t="s">
        <v>45</v>
      </c>
      <c r="F115" s="9">
        <f t="array" ref="F115">INDEX('Feed rations'!$J$4:$AA$19,
MATCH(1, (A115='Feed rations'!$C$4:$C$19)*(C115='Feed rations'!$D$4:$D$19),0),
MATCH(D115, 'Feed rations'!$J$3:$AA$3, 0))</f>
        <v>0.48372359192672859</v>
      </c>
    </row>
    <row r="116" spans="1:6" x14ac:dyDescent="0.25">
      <c r="A116" s="37" t="s">
        <v>6</v>
      </c>
      <c r="C116" s="37" t="s">
        <v>4</v>
      </c>
      <c r="D116" s="37" t="s">
        <v>96</v>
      </c>
      <c r="E116" s="37" t="s">
        <v>45</v>
      </c>
      <c r="F116" s="9">
        <f t="array" ref="F116">INDEX('Feed rations'!$J$4:$AA$19,
MATCH(1, (A116='Feed rations'!$C$4:$C$19)*(C116='Feed rations'!$D$4:$D$19),0),
MATCH(D116, 'Feed rations'!$J$3:$AA$3, 0))</f>
        <v>0.11194207133004409</v>
      </c>
    </row>
    <row r="117" spans="1:6" x14ac:dyDescent="0.25">
      <c r="A117" s="37" t="s">
        <v>6</v>
      </c>
      <c r="C117" s="37" t="s">
        <v>4</v>
      </c>
      <c r="D117" s="37" t="s">
        <v>97</v>
      </c>
      <c r="E117" s="37" t="s">
        <v>45</v>
      </c>
      <c r="F117" s="9">
        <f t="array" ref="F117">INDEX('Feed rations'!$J$4:$AA$19,
MATCH(1, (A117='Feed rations'!$C$4:$C$19)*(C117='Feed rations'!$D$4:$D$19),0),
MATCH(D117, 'Feed rations'!$J$3:$AA$3, 0))</f>
        <v>0.86898412763404764</v>
      </c>
    </row>
    <row r="118" spans="1:6" x14ac:dyDescent="0.25">
      <c r="A118" s="37" t="s">
        <v>6</v>
      </c>
      <c r="C118" s="37" t="s">
        <v>5</v>
      </c>
      <c r="D118" s="37" t="s">
        <v>49</v>
      </c>
      <c r="E118" s="37" t="s">
        <v>45</v>
      </c>
      <c r="F118" s="9">
        <f t="array" ref="F118">INDEX('Feed rations'!$J$4:$AA$19,
MATCH(1, (A118='Feed rations'!$C$4:$C$19)*(C118='Feed rations'!$D$4:$D$19),0),
MATCH(D118, 'Feed rations'!$J$3:$AA$3, 0))</f>
        <v>64.666666666666671</v>
      </c>
    </row>
    <row r="119" spans="1:6" x14ac:dyDescent="0.25">
      <c r="A119" s="37" t="s">
        <v>6</v>
      </c>
      <c r="C119" s="37" t="s">
        <v>5</v>
      </c>
      <c r="D119" s="37" t="s">
        <v>50</v>
      </c>
      <c r="E119" s="37" t="s">
        <v>45</v>
      </c>
      <c r="F119" s="9">
        <f t="array" ref="F119">INDEX('Feed rations'!$J$4:$AA$19,
MATCH(1, (A119='Feed rations'!$C$4:$C$19)*(C119='Feed rations'!$D$4:$D$19),0),
MATCH(D119, 'Feed rations'!$J$3:$AA$3, 0))</f>
        <v>32.333333333333329</v>
      </c>
    </row>
    <row r="120" spans="1:6" x14ac:dyDescent="0.25">
      <c r="A120" s="37" t="s">
        <v>6</v>
      </c>
      <c r="C120" s="37" t="s">
        <v>5</v>
      </c>
      <c r="D120" s="37" t="s">
        <v>88</v>
      </c>
      <c r="E120" s="37" t="s">
        <v>45</v>
      </c>
      <c r="F120" s="9">
        <f t="array" ref="F120">INDEX('Feed rations'!$J$4:$AA$19,
MATCH(1, (A120='Feed rations'!$C$4:$C$19)*(C120='Feed rations'!$D$4:$D$19),0),
MATCH(D120, 'Feed rations'!$J$3:$AA$3, 0))</f>
        <v>0.6829370231211751</v>
      </c>
    </row>
    <row r="121" spans="1:6" x14ac:dyDescent="0.25">
      <c r="A121" s="37" t="s">
        <v>6</v>
      </c>
      <c r="C121" s="37" t="s">
        <v>5</v>
      </c>
      <c r="D121" s="37" t="s">
        <v>89</v>
      </c>
      <c r="E121" s="37" t="s">
        <v>45</v>
      </c>
      <c r="F121" s="9">
        <f t="array" ref="F121">INDEX('Feed rations'!$J$4:$AA$19,
MATCH(1, (A121='Feed rations'!$C$4:$C$19)*(C121='Feed rations'!$D$4:$D$19),0),
MATCH(D121, 'Feed rations'!$J$3:$AA$3, 0))</f>
        <v>0.23087183096360953</v>
      </c>
    </row>
    <row r="122" spans="1:6" x14ac:dyDescent="0.25">
      <c r="A122" s="37" t="s">
        <v>6</v>
      </c>
      <c r="C122" s="37" t="s">
        <v>5</v>
      </c>
      <c r="D122" s="37" t="s">
        <v>90</v>
      </c>
      <c r="E122" s="37" t="s">
        <v>45</v>
      </c>
      <c r="F122" s="9">
        <f t="array" ref="F122">INDEX('Feed rations'!$J$4:$AA$19,
MATCH(1, (A122='Feed rations'!$C$4:$C$19)*(C122='Feed rations'!$D$4:$D$19),0),
MATCH(D122, 'Feed rations'!$J$3:$AA$3, 0))</f>
        <v>0.31945671399418812</v>
      </c>
    </row>
    <row r="123" spans="1:6" x14ac:dyDescent="0.25">
      <c r="A123" s="37" t="s">
        <v>6</v>
      </c>
      <c r="C123" s="37" t="s">
        <v>5</v>
      </c>
      <c r="D123" s="37" t="s">
        <v>91</v>
      </c>
      <c r="E123" s="37" t="s">
        <v>45</v>
      </c>
      <c r="F123" s="9">
        <f t="array" ref="F123">INDEX('Feed rations'!$J$4:$AA$19,
MATCH(1, (A123='Feed rations'!$C$4:$C$19)*(C123='Feed rations'!$D$4:$D$19),0),
MATCH(D123, 'Feed rations'!$J$3:$AA$3, 0))</f>
        <v>7.6890065392247256E-2</v>
      </c>
    </row>
    <row r="124" spans="1:6" x14ac:dyDescent="0.25">
      <c r="A124" s="37" t="s">
        <v>6</v>
      </c>
      <c r="C124" s="37" t="s">
        <v>5</v>
      </c>
      <c r="D124" s="37" t="s">
        <v>93</v>
      </c>
      <c r="E124" s="37" t="s">
        <v>45</v>
      </c>
      <c r="F124" s="9">
        <f t="array" ref="F124">INDEX('Feed rations'!$J$4:$AA$19,
MATCH(1, (A124='Feed rations'!$C$4:$C$19)*(C124='Feed rations'!$D$4:$D$19),0),
MATCH(D124, 'Feed rations'!$J$3:$AA$3, 0))</f>
        <v>0.76990882785681136</v>
      </c>
    </row>
    <row r="125" spans="1:6" x14ac:dyDescent="0.25">
      <c r="A125" s="37" t="s">
        <v>6</v>
      </c>
      <c r="C125" s="37" t="s">
        <v>5</v>
      </c>
      <c r="D125" s="37" t="s">
        <v>92</v>
      </c>
      <c r="E125" s="37" t="s">
        <v>45</v>
      </c>
      <c r="F125" s="9">
        <f t="array" ref="F125">INDEX('Feed rations'!$J$4:$AA$19,
MATCH(1, (A125='Feed rations'!$C$4:$C$19)*(C125='Feed rations'!$D$4:$D$19),0),
MATCH(D125, 'Feed rations'!$J$3:$AA$3, 0))</f>
        <v>4.8670465795671344E-2</v>
      </c>
    </row>
    <row r="126" spans="1:6" x14ac:dyDescent="0.25">
      <c r="A126" s="37" t="s">
        <v>6</v>
      </c>
      <c r="C126" s="37" t="s">
        <v>5</v>
      </c>
      <c r="D126" s="37" t="s">
        <v>95</v>
      </c>
      <c r="E126" s="37" t="s">
        <v>45</v>
      </c>
      <c r="F126" s="9">
        <f t="array" ref="F126">INDEX('Feed rations'!$J$4:$AA$19,
MATCH(1, (A126='Feed rations'!$C$4:$C$19)*(C126='Feed rations'!$D$4:$D$19),0),
MATCH(D126, 'Feed rations'!$J$3:$AA$3, 0))</f>
        <v>0.24355801963737417</v>
      </c>
    </row>
    <row r="127" spans="1:6" x14ac:dyDescent="0.25">
      <c r="A127" s="37" t="s">
        <v>6</v>
      </c>
      <c r="C127" s="37" t="s">
        <v>5</v>
      </c>
      <c r="D127" s="37" t="s">
        <v>94</v>
      </c>
      <c r="E127" s="37" t="s">
        <v>45</v>
      </c>
      <c r="F127" s="9">
        <f t="array" ref="F127">INDEX('Feed rations'!$J$4:$AA$19,
MATCH(1, (A127='Feed rations'!$C$4:$C$19)*(C127='Feed rations'!$D$4:$D$19),0),
MATCH(D127, 'Feed rations'!$J$3:$AA$3, 0))</f>
        <v>0.20731011082574077</v>
      </c>
    </row>
    <row r="128" spans="1:6" x14ac:dyDescent="0.25">
      <c r="A128" s="37" t="s">
        <v>6</v>
      </c>
      <c r="C128" s="37" t="s">
        <v>5</v>
      </c>
      <c r="D128" s="37" t="s">
        <v>96</v>
      </c>
      <c r="E128" s="37" t="s">
        <v>45</v>
      </c>
      <c r="F128" s="9">
        <f t="array" ref="F128">INDEX('Feed rations'!$J$4:$AA$19,
MATCH(1, (A128='Feed rations'!$C$4:$C$19)*(C128='Feed rations'!$D$4:$D$19),0),
MATCH(D128, 'Feed rations'!$J$3:$AA$3, 0))</f>
        <v>4.7975173427161746E-2</v>
      </c>
    </row>
    <row r="129" spans="1:6" x14ac:dyDescent="0.25">
      <c r="A129" s="37" t="s">
        <v>6</v>
      </c>
      <c r="C129" s="37" t="s">
        <v>5</v>
      </c>
      <c r="D129" s="37" t="s">
        <v>97</v>
      </c>
      <c r="E129" s="37" t="s">
        <v>45</v>
      </c>
      <c r="F129" s="9">
        <f t="array" ref="F129">INDEX('Feed rations'!$J$4:$AA$19,
MATCH(1, (A129='Feed rations'!$C$4:$C$19)*(C129='Feed rations'!$D$4:$D$19),0),
MATCH(D129, 'Feed rations'!$J$3:$AA$3, 0))</f>
        <v>0.37242176898602036</v>
      </c>
    </row>
    <row r="131" spans="1:6" x14ac:dyDescent="0.25">
      <c r="A131" s="37" t="s">
        <v>7</v>
      </c>
      <c r="C131" s="37" t="s">
        <v>9</v>
      </c>
      <c r="D131" s="37" t="s">
        <v>49</v>
      </c>
      <c r="E131" s="37" t="s">
        <v>45</v>
      </c>
      <c r="F131" s="9">
        <f t="array" ref="F131">INDEX('Feed rations'!$J$4:$AA$19,
MATCH(1, (A131='Feed rations'!$C$4:$C$19)*(C131='Feed rations'!$D$4:$D$19),0),
MATCH(D131, 'Feed rations'!$J$3:$AA$3, 0))</f>
        <v>66</v>
      </c>
    </row>
    <row r="132" spans="1:6" x14ac:dyDescent="0.25">
      <c r="A132" s="37" t="s">
        <v>7</v>
      </c>
      <c r="C132" s="37" t="s">
        <v>9</v>
      </c>
      <c r="D132" s="37" t="s">
        <v>50</v>
      </c>
      <c r="E132" s="37" t="s">
        <v>45</v>
      </c>
      <c r="F132" s="9">
        <f t="array" ref="F132">INDEX('Feed rations'!$J$4:$AA$19,
MATCH(1, (A132='Feed rations'!$C$4:$C$19)*(C132='Feed rations'!$D$4:$D$19),0),
MATCH(D132, 'Feed rations'!$J$3:$AA$3, 0))</f>
        <v>32.999999999999993</v>
      </c>
    </row>
    <row r="133" spans="1:6" x14ac:dyDescent="0.25">
      <c r="A133" s="37" t="s">
        <v>7</v>
      </c>
      <c r="C133" s="37" t="s">
        <v>9</v>
      </c>
      <c r="D133" s="37" t="s">
        <v>88</v>
      </c>
      <c r="E133" s="37" t="s">
        <v>45</v>
      </c>
      <c r="F133" s="9">
        <f t="array" ref="F133">INDEX('Feed rations'!$J$4:$AA$19,
MATCH(1, (A133='Feed rations'!$C$4:$C$19)*(C133='Feed rations'!$D$4:$D$19),0),
MATCH(D133, 'Feed rations'!$J$3:$AA$3, 0))</f>
        <v>0.22764567437372507</v>
      </c>
    </row>
    <row r="134" spans="1:6" x14ac:dyDescent="0.25">
      <c r="A134" s="37" t="s">
        <v>7</v>
      </c>
      <c r="C134" s="37" t="s">
        <v>9</v>
      </c>
      <c r="D134" s="37" t="s">
        <v>89</v>
      </c>
      <c r="E134" s="37" t="s">
        <v>45</v>
      </c>
      <c r="F134" s="9">
        <f t="array" ref="F134">INDEX('Feed rations'!$J$4:$AA$19,
MATCH(1, (A134='Feed rations'!$C$4:$C$19)*(C134='Feed rations'!$D$4:$D$19),0),
MATCH(D134, 'Feed rations'!$J$3:$AA$3, 0))</f>
        <v>7.6957276987869846E-2</v>
      </c>
    </row>
    <row r="135" spans="1:6" x14ac:dyDescent="0.25">
      <c r="A135" s="37" t="s">
        <v>7</v>
      </c>
      <c r="C135" s="37" t="s">
        <v>9</v>
      </c>
      <c r="D135" s="37" t="s">
        <v>90</v>
      </c>
      <c r="E135" s="37" t="s">
        <v>45</v>
      </c>
      <c r="F135" s="9">
        <f t="array" ref="F135">INDEX('Feed rations'!$J$4:$AA$19,
MATCH(1, (A135='Feed rations'!$C$4:$C$19)*(C135='Feed rations'!$D$4:$D$19),0),
MATCH(D135, 'Feed rations'!$J$3:$AA$3, 0))</f>
        <v>0.10648557133139604</v>
      </c>
    </row>
    <row r="136" spans="1:6" x14ac:dyDescent="0.25">
      <c r="A136" s="37" t="s">
        <v>7</v>
      </c>
      <c r="C136" s="37" t="s">
        <v>9</v>
      </c>
      <c r="D136" s="37" t="s">
        <v>91</v>
      </c>
      <c r="E136" s="37" t="s">
        <v>45</v>
      </c>
      <c r="F136" s="9">
        <f t="array" ref="F136">INDEX('Feed rations'!$J$4:$AA$19,
MATCH(1, (A136='Feed rations'!$C$4:$C$19)*(C136='Feed rations'!$D$4:$D$19),0),
MATCH(D136, 'Feed rations'!$J$3:$AA$3, 0))</f>
        <v>2.5630021797415754E-2</v>
      </c>
    </row>
    <row r="137" spans="1:6" x14ac:dyDescent="0.25">
      <c r="A137" s="37" t="s">
        <v>7</v>
      </c>
      <c r="C137" s="37" t="s">
        <v>9</v>
      </c>
      <c r="D137" s="37" t="s">
        <v>93</v>
      </c>
      <c r="E137" s="37" t="s">
        <v>45</v>
      </c>
      <c r="F137" s="9">
        <f t="array" ref="F137">INDEX('Feed rations'!$J$4:$AA$19,
MATCH(1, (A137='Feed rations'!$C$4:$C$19)*(C137='Feed rations'!$D$4:$D$19),0),
MATCH(D137, 'Feed rations'!$J$3:$AA$3, 0))</f>
        <v>0.25663627595227045</v>
      </c>
    </row>
    <row r="138" spans="1:6" x14ac:dyDescent="0.25">
      <c r="A138" s="37" t="s">
        <v>7</v>
      </c>
      <c r="C138" s="37" t="s">
        <v>9</v>
      </c>
      <c r="D138" s="37" t="s">
        <v>92</v>
      </c>
      <c r="E138" s="37" t="s">
        <v>45</v>
      </c>
      <c r="F138" s="9">
        <f t="array" ref="F138">INDEX('Feed rations'!$J$4:$AA$19,
MATCH(1, (A138='Feed rations'!$C$4:$C$19)*(C138='Feed rations'!$D$4:$D$19),0),
MATCH(D138, 'Feed rations'!$J$3:$AA$3, 0))</f>
        <v>1.6223488598557115E-2</v>
      </c>
    </row>
    <row r="139" spans="1:6" x14ac:dyDescent="0.25">
      <c r="A139" s="37" t="s">
        <v>7</v>
      </c>
      <c r="C139" s="37" t="s">
        <v>9</v>
      </c>
      <c r="D139" s="37" t="s">
        <v>95</v>
      </c>
      <c r="E139" s="37" t="s">
        <v>45</v>
      </c>
      <c r="F139" s="9">
        <f t="array" ref="F139">INDEX('Feed rations'!$J$4:$AA$19,
MATCH(1, (A139='Feed rations'!$C$4:$C$19)*(C139='Feed rations'!$D$4:$D$19),0),
MATCH(D139, 'Feed rations'!$J$3:$AA$3, 0))</f>
        <v>8.1186006545791389E-2</v>
      </c>
    </row>
    <row r="140" spans="1:6" x14ac:dyDescent="0.25">
      <c r="A140" s="37" t="s">
        <v>7</v>
      </c>
      <c r="C140" s="37" t="s">
        <v>9</v>
      </c>
      <c r="D140" s="37" t="s">
        <v>94</v>
      </c>
      <c r="E140" s="37" t="s">
        <v>45</v>
      </c>
      <c r="F140" s="9">
        <f t="array" ref="F140">INDEX('Feed rations'!$J$4:$AA$19,
MATCH(1, (A140='Feed rations'!$C$4:$C$19)*(C140='Feed rations'!$D$4:$D$19),0),
MATCH(D140, 'Feed rations'!$J$3:$AA$3, 0))</f>
        <v>6.9103370275246934E-2</v>
      </c>
    </row>
    <row r="141" spans="1:6" x14ac:dyDescent="0.25">
      <c r="A141" s="37" t="s">
        <v>7</v>
      </c>
      <c r="C141" s="37" t="s">
        <v>9</v>
      </c>
      <c r="D141" s="37" t="s">
        <v>96</v>
      </c>
      <c r="E141" s="37" t="s">
        <v>45</v>
      </c>
      <c r="F141" s="9">
        <f t="array" ref="F141">INDEX('Feed rations'!$J$4:$AA$19,
MATCH(1, (A141='Feed rations'!$C$4:$C$19)*(C141='Feed rations'!$D$4:$D$19),0),
MATCH(D141, 'Feed rations'!$J$3:$AA$3, 0))</f>
        <v>1.5991724475720583E-2</v>
      </c>
    </row>
    <row r="142" spans="1:6" x14ac:dyDescent="0.25">
      <c r="A142" s="37" t="s">
        <v>7</v>
      </c>
      <c r="C142" s="37" t="s">
        <v>9</v>
      </c>
      <c r="D142" s="37" t="s">
        <v>97</v>
      </c>
      <c r="E142" s="37" t="s">
        <v>45</v>
      </c>
      <c r="F142" s="9">
        <f t="array" ref="F142">INDEX('Feed rations'!$J$4:$AA$19,
MATCH(1, (A142='Feed rations'!$C$4:$C$19)*(C142='Feed rations'!$D$4:$D$19),0),
MATCH(D142, 'Feed rations'!$J$3:$AA$3, 0))</f>
        <v>0.12414058966200681</v>
      </c>
    </row>
    <row r="143" spans="1:6" x14ac:dyDescent="0.25">
      <c r="A143" s="37" t="s">
        <v>7</v>
      </c>
      <c r="C143" s="37" t="s">
        <v>10</v>
      </c>
      <c r="D143" s="37" t="s">
        <v>49</v>
      </c>
      <c r="E143" s="37" t="s">
        <v>45</v>
      </c>
      <c r="F143" s="9">
        <f t="array" ref="F143">INDEX('Feed rations'!$J$4:$AA$19,
MATCH(1, (A143='Feed rations'!$C$4:$C$19)*(C143='Feed rations'!$D$4:$D$19),0),
MATCH(D143, 'Feed rations'!$J$3:$AA$3, 0))</f>
        <v>80</v>
      </c>
    </row>
    <row r="144" spans="1:6" x14ac:dyDescent="0.25">
      <c r="A144" s="37" t="s">
        <v>7</v>
      </c>
      <c r="C144" s="37" t="s">
        <v>10</v>
      </c>
      <c r="D144" s="37" t="s">
        <v>50</v>
      </c>
      <c r="E144" s="37" t="s">
        <v>45</v>
      </c>
      <c r="F144" s="9">
        <f t="array" ref="F144">INDEX('Feed rations'!$J$4:$AA$19,
MATCH(1, (A144='Feed rations'!$C$4:$C$19)*(C144='Feed rations'!$D$4:$D$19),0),
MATCH(D144, 'Feed rations'!$J$3:$AA$3, 0))</f>
        <v>15.999999999999998</v>
      </c>
    </row>
    <row r="145" spans="1:6" x14ac:dyDescent="0.25">
      <c r="A145" s="37" t="s">
        <v>7</v>
      </c>
      <c r="C145" s="37" t="s">
        <v>10</v>
      </c>
      <c r="D145" s="37" t="s">
        <v>88</v>
      </c>
      <c r="E145" s="37" t="s">
        <v>45</v>
      </c>
      <c r="F145" s="9">
        <f t="array" ref="F145">INDEX('Feed rations'!$J$4:$AA$19,
MATCH(1, (A145='Feed rations'!$C$4:$C$19)*(C145='Feed rations'!$D$4:$D$19),0),
MATCH(D145, 'Feed rations'!$J$3:$AA$3, 0))</f>
        <v>0.91058269749490028</v>
      </c>
    </row>
    <row r="146" spans="1:6" x14ac:dyDescent="0.25">
      <c r="A146" s="37" t="s">
        <v>7</v>
      </c>
      <c r="C146" s="37" t="s">
        <v>10</v>
      </c>
      <c r="D146" s="37" t="s">
        <v>89</v>
      </c>
      <c r="E146" s="37" t="s">
        <v>45</v>
      </c>
      <c r="F146" s="9">
        <f t="array" ref="F146">INDEX('Feed rations'!$J$4:$AA$19,
MATCH(1, (A146='Feed rations'!$C$4:$C$19)*(C146='Feed rations'!$D$4:$D$19),0),
MATCH(D146, 'Feed rations'!$J$3:$AA$3, 0))</f>
        <v>0.30782910795147939</v>
      </c>
    </row>
    <row r="147" spans="1:6" x14ac:dyDescent="0.25">
      <c r="A147" s="37" t="s">
        <v>7</v>
      </c>
      <c r="C147" s="37" t="s">
        <v>10</v>
      </c>
      <c r="D147" s="37" t="s">
        <v>90</v>
      </c>
      <c r="E147" s="37" t="s">
        <v>45</v>
      </c>
      <c r="F147" s="9">
        <f t="array" ref="F147">INDEX('Feed rations'!$J$4:$AA$19,
MATCH(1, (A147='Feed rations'!$C$4:$C$19)*(C147='Feed rations'!$D$4:$D$19),0),
MATCH(D147, 'Feed rations'!$J$3:$AA$3, 0))</f>
        <v>0.42594228532558415</v>
      </c>
    </row>
    <row r="148" spans="1:6" x14ac:dyDescent="0.25">
      <c r="A148" s="37" t="s">
        <v>7</v>
      </c>
      <c r="C148" s="37" t="s">
        <v>10</v>
      </c>
      <c r="D148" s="37" t="s">
        <v>91</v>
      </c>
      <c r="E148" s="37" t="s">
        <v>45</v>
      </c>
      <c r="F148" s="9">
        <f t="array" ref="F148">INDEX('Feed rations'!$J$4:$AA$19,
MATCH(1, (A148='Feed rations'!$C$4:$C$19)*(C148='Feed rations'!$D$4:$D$19),0),
MATCH(D148, 'Feed rations'!$J$3:$AA$3, 0))</f>
        <v>0.10252008718966302</v>
      </c>
    </row>
    <row r="149" spans="1:6" x14ac:dyDescent="0.25">
      <c r="A149" s="37" t="s">
        <v>7</v>
      </c>
      <c r="C149" s="37" t="s">
        <v>10</v>
      </c>
      <c r="D149" s="37" t="s">
        <v>93</v>
      </c>
      <c r="E149" s="37" t="s">
        <v>45</v>
      </c>
      <c r="F149" s="9">
        <f t="array" ref="F149">INDEX('Feed rations'!$J$4:$AA$19,
MATCH(1, (A149='Feed rations'!$C$4:$C$19)*(C149='Feed rations'!$D$4:$D$19),0),
MATCH(D149, 'Feed rations'!$J$3:$AA$3, 0))</f>
        <v>1.0265451038090818</v>
      </c>
    </row>
    <row r="150" spans="1:6" x14ac:dyDescent="0.25">
      <c r="A150" s="37" t="s">
        <v>7</v>
      </c>
      <c r="C150" s="37" t="s">
        <v>10</v>
      </c>
      <c r="D150" s="37" t="s">
        <v>92</v>
      </c>
      <c r="E150" s="37" t="s">
        <v>45</v>
      </c>
      <c r="F150" s="9">
        <f t="array" ref="F150">INDEX('Feed rations'!$J$4:$AA$19,
MATCH(1, (A150='Feed rations'!$C$4:$C$19)*(C150='Feed rations'!$D$4:$D$19),0),
MATCH(D150, 'Feed rations'!$J$3:$AA$3, 0))</f>
        <v>6.4893954394228459E-2</v>
      </c>
    </row>
    <row r="151" spans="1:6" x14ac:dyDescent="0.25">
      <c r="A151" s="37" t="s">
        <v>7</v>
      </c>
      <c r="C151" s="37" t="s">
        <v>10</v>
      </c>
      <c r="D151" s="37" t="s">
        <v>95</v>
      </c>
      <c r="E151" s="37" t="s">
        <v>45</v>
      </c>
      <c r="F151" s="9">
        <f t="array" ref="F151">INDEX('Feed rations'!$J$4:$AA$19,
MATCH(1, (A151='Feed rations'!$C$4:$C$19)*(C151='Feed rations'!$D$4:$D$19),0),
MATCH(D151, 'Feed rations'!$J$3:$AA$3, 0))</f>
        <v>0.32474402618316556</v>
      </c>
    </row>
    <row r="152" spans="1:6" x14ac:dyDescent="0.25">
      <c r="A152" s="37" t="s">
        <v>7</v>
      </c>
      <c r="C152" s="37" t="s">
        <v>10</v>
      </c>
      <c r="D152" s="37" t="s">
        <v>94</v>
      </c>
      <c r="E152" s="37" t="s">
        <v>45</v>
      </c>
      <c r="F152" s="9">
        <f t="array" ref="F152">INDEX('Feed rations'!$J$4:$AA$19,
MATCH(1, (A152='Feed rations'!$C$4:$C$19)*(C152='Feed rations'!$D$4:$D$19),0),
MATCH(D152, 'Feed rations'!$J$3:$AA$3, 0))</f>
        <v>0.27641348110098773</v>
      </c>
    </row>
    <row r="153" spans="1:6" x14ac:dyDescent="0.25">
      <c r="A153" s="37" t="s">
        <v>7</v>
      </c>
      <c r="C153" s="37" t="s">
        <v>10</v>
      </c>
      <c r="D153" s="37" t="s">
        <v>96</v>
      </c>
      <c r="E153" s="37" t="s">
        <v>45</v>
      </c>
      <c r="F153" s="9">
        <f t="array" ref="F153">INDEX('Feed rations'!$J$4:$AA$19,
MATCH(1, (A153='Feed rations'!$C$4:$C$19)*(C153='Feed rations'!$D$4:$D$19),0),
MATCH(D153, 'Feed rations'!$J$3:$AA$3, 0))</f>
        <v>6.3966897902882333E-2</v>
      </c>
    </row>
    <row r="154" spans="1:6" x14ac:dyDescent="0.25">
      <c r="A154" s="37" t="s">
        <v>7</v>
      </c>
      <c r="C154" s="37" t="s">
        <v>10</v>
      </c>
      <c r="D154" s="37" t="s">
        <v>97</v>
      </c>
      <c r="E154" s="37" t="s">
        <v>45</v>
      </c>
      <c r="F154" s="9">
        <f t="array" ref="F154">INDEX('Feed rations'!$J$4:$AA$19,
MATCH(1, (A154='Feed rations'!$C$4:$C$19)*(C154='Feed rations'!$D$4:$D$19),0),
MATCH(D154, 'Feed rations'!$J$3:$AA$3, 0))</f>
        <v>0.49656235864802722</v>
      </c>
    </row>
    <row r="155" spans="1:6" x14ac:dyDescent="0.25">
      <c r="A155" s="37" t="s">
        <v>7</v>
      </c>
      <c r="C155" s="37" t="s">
        <v>4</v>
      </c>
      <c r="D155" s="37" t="s">
        <v>49</v>
      </c>
      <c r="E155" s="37" t="s">
        <v>45</v>
      </c>
      <c r="F155" s="9">
        <f t="array" ref="F155">INDEX('Feed rations'!$J$4:$AA$19,
MATCH(1, (A155='Feed rations'!$C$4:$C$19)*(C155='Feed rations'!$D$4:$D$19),0),
MATCH(D155, 'Feed rations'!$J$3:$AA$3, 0))</f>
        <v>62</v>
      </c>
    </row>
    <row r="156" spans="1:6" x14ac:dyDescent="0.25">
      <c r="A156" s="37" t="s">
        <v>7</v>
      </c>
      <c r="C156" s="37" t="s">
        <v>4</v>
      </c>
      <c r="D156" s="37" t="s">
        <v>50</v>
      </c>
      <c r="E156" s="37" t="s">
        <v>45</v>
      </c>
      <c r="F156" s="9">
        <f t="array" ref="F156">INDEX('Feed rations'!$J$4:$AA$19,
MATCH(1, (A156='Feed rations'!$C$4:$C$19)*(C156='Feed rations'!$D$4:$D$19),0),
MATCH(D156, 'Feed rations'!$J$3:$AA$3, 0))</f>
        <v>30.999999999999993</v>
      </c>
    </row>
    <row r="157" spans="1:6" x14ac:dyDescent="0.25">
      <c r="A157" s="37" t="s">
        <v>7</v>
      </c>
      <c r="C157" s="37" t="s">
        <v>4</v>
      </c>
      <c r="D157" s="37" t="s">
        <v>88</v>
      </c>
      <c r="E157" s="37" t="s">
        <v>45</v>
      </c>
      <c r="F157" s="9">
        <f t="array" ref="F157">INDEX('Feed rations'!$J$4:$AA$19,
MATCH(1, (A157='Feed rations'!$C$4:$C$19)*(C157='Feed rations'!$D$4:$D$19),0),
MATCH(D157, 'Feed rations'!$J$3:$AA$3, 0))</f>
        <v>1.5935197206160754</v>
      </c>
    </row>
    <row r="158" spans="1:6" x14ac:dyDescent="0.25">
      <c r="A158" s="37" t="s">
        <v>7</v>
      </c>
      <c r="C158" s="37" t="s">
        <v>4</v>
      </c>
      <c r="D158" s="37" t="s">
        <v>89</v>
      </c>
      <c r="E158" s="37" t="s">
        <v>45</v>
      </c>
      <c r="F158" s="9">
        <f t="array" ref="F158">INDEX('Feed rations'!$J$4:$AA$19,
MATCH(1, (A158='Feed rations'!$C$4:$C$19)*(C158='Feed rations'!$D$4:$D$19),0),
MATCH(D158, 'Feed rations'!$J$3:$AA$3, 0))</f>
        <v>0.53870093891508897</v>
      </c>
    </row>
    <row r="159" spans="1:6" x14ac:dyDescent="0.25">
      <c r="A159" s="37" t="s">
        <v>7</v>
      </c>
      <c r="C159" s="37" t="s">
        <v>4</v>
      </c>
      <c r="D159" s="37" t="s">
        <v>90</v>
      </c>
      <c r="E159" s="37" t="s">
        <v>45</v>
      </c>
      <c r="F159" s="9">
        <f t="array" ref="F159">INDEX('Feed rations'!$J$4:$AA$19,
MATCH(1, (A159='Feed rations'!$C$4:$C$19)*(C159='Feed rations'!$D$4:$D$19),0),
MATCH(D159, 'Feed rations'!$J$3:$AA$3, 0))</f>
        <v>0.74539899931977227</v>
      </c>
    </row>
    <row r="160" spans="1:6" x14ac:dyDescent="0.25">
      <c r="A160" s="37" t="s">
        <v>7</v>
      </c>
      <c r="C160" s="37" t="s">
        <v>4</v>
      </c>
      <c r="D160" s="37" t="s">
        <v>91</v>
      </c>
      <c r="E160" s="37" t="s">
        <v>45</v>
      </c>
      <c r="F160" s="9">
        <f t="array" ref="F160">INDEX('Feed rations'!$J$4:$AA$19,
MATCH(1, (A160='Feed rations'!$C$4:$C$19)*(C160='Feed rations'!$D$4:$D$19),0),
MATCH(D160, 'Feed rations'!$J$3:$AA$3, 0))</f>
        <v>0.17941015258191029</v>
      </c>
    </row>
    <row r="161" spans="1:6" x14ac:dyDescent="0.25">
      <c r="A161" s="37" t="s">
        <v>7</v>
      </c>
      <c r="C161" s="37" t="s">
        <v>4</v>
      </c>
      <c r="D161" s="37" t="s">
        <v>93</v>
      </c>
      <c r="E161" s="37" t="s">
        <v>45</v>
      </c>
      <c r="F161" s="9">
        <f t="array" ref="F161">INDEX('Feed rations'!$J$4:$AA$19,
MATCH(1, (A161='Feed rations'!$C$4:$C$19)*(C161='Feed rations'!$D$4:$D$19),0),
MATCH(D161, 'Feed rations'!$J$3:$AA$3, 0))</f>
        <v>1.7964539316658934</v>
      </c>
    </row>
    <row r="162" spans="1:6" x14ac:dyDescent="0.25">
      <c r="A162" s="37" t="s">
        <v>7</v>
      </c>
      <c r="C162" s="37" t="s">
        <v>4</v>
      </c>
      <c r="D162" s="37" t="s">
        <v>92</v>
      </c>
      <c r="E162" s="37" t="s">
        <v>45</v>
      </c>
      <c r="F162" s="9">
        <f t="array" ref="F162">INDEX('Feed rations'!$J$4:$AA$19,
MATCH(1, (A162='Feed rations'!$C$4:$C$19)*(C162='Feed rations'!$D$4:$D$19),0),
MATCH(D162, 'Feed rations'!$J$3:$AA$3, 0))</f>
        <v>0.1135644201898998</v>
      </c>
    </row>
    <row r="163" spans="1:6" x14ac:dyDescent="0.25">
      <c r="A163" s="37" t="s">
        <v>7</v>
      </c>
      <c r="C163" s="37" t="s">
        <v>4</v>
      </c>
      <c r="D163" s="37" t="s">
        <v>95</v>
      </c>
      <c r="E163" s="37" t="s">
        <v>45</v>
      </c>
      <c r="F163" s="9">
        <f t="array" ref="F163">INDEX('Feed rations'!$J$4:$AA$19,
MATCH(1, (A163='Feed rations'!$C$4:$C$19)*(C163='Feed rations'!$D$4:$D$19),0),
MATCH(D163, 'Feed rations'!$J$3:$AA$3, 0))</f>
        <v>0.56830204582053978</v>
      </c>
    </row>
    <row r="164" spans="1:6" x14ac:dyDescent="0.25">
      <c r="A164" s="37" t="s">
        <v>7</v>
      </c>
      <c r="C164" s="37" t="s">
        <v>4</v>
      </c>
      <c r="D164" s="37" t="s">
        <v>94</v>
      </c>
      <c r="E164" s="37" t="s">
        <v>45</v>
      </c>
      <c r="F164" s="9">
        <f t="array" ref="F164">INDEX('Feed rations'!$J$4:$AA$19,
MATCH(1, (A164='Feed rations'!$C$4:$C$19)*(C164='Feed rations'!$D$4:$D$19),0),
MATCH(D164, 'Feed rations'!$J$3:$AA$3, 0))</f>
        <v>0.48372359192672859</v>
      </c>
    </row>
    <row r="165" spans="1:6" x14ac:dyDescent="0.25">
      <c r="A165" s="37" t="s">
        <v>7</v>
      </c>
      <c r="C165" s="37" t="s">
        <v>4</v>
      </c>
      <c r="D165" s="37" t="s">
        <v>96</v>
      </c>
      <c r="E165" s="37" t="s">
        <v>45</v>
      </c>
      <c r="F165" s="9">
        <f t="array" ref="F165">INDEX('Feed rations'!$J$4:$AA$19,
MATCH(1, (A165='Feed rations'!$C$4:$C$19)*(C165='Feed rations'!$D$4:$D$19),0),
MATCH(D165, 'Feed rations'!$J$3:$AA$3, 0))</f>
        <v>0.11194207133004409</v>
      </c>
    </row>
    <row r="166" spans="1:6" x14ac:dyDescent="0.25">
      <c r="A166" s="37" t="s">
        <v>7</v>
      </c>
      <c r="C166" s="37" t="s">
        <v>4</v>
      </c>
      <c r="D166" s="37" t="s">
        <v>97</v>
      </c>
      <c r="E166" s="37" t="s">
        <v>45</v>
      </c>
      <c r="F166" s="9">
        <f t="array" ref="F166">INDEX('Feed rations'!$J$4:$AA$19,
MATCH(1, (A166='Feed rations'!$C$4:$C$19)*(C166='Feed rations'!$D$4:$D$19),0),
MATCH(D166, 'Feed rations'!$J$3:$AA$3, 0))</f>
        <v>0.86898412763404764</v>
      </c>
    </row>
    <row r="167" spans="1:6" x14ac:dyDescent="0.25">
      <c r="A167" s="37" t="s">
        <v>7</v>
      </c>
      <c r="C167" s="37" t="s">
        <v>5</v>
      </c>
      <c r="D167" s="37" t="s">
        <v>49</v>
      </c>
      <c r="E167" s="37" t="s">
        <v>45</v>
      </c>
      <c r="F167" s="9">
        <f t="array" ref="F167">INDEX('Feed rations'!$J$4:$AA$19,
MATCH(1, (A167='Feed rations'!$C$4:$C$19)*(C167='Feed rations'!$D$4:$D$19),0),
MATCH(D167, 'Feed rations'!$J$3:$AA$3, 0))</f>
        <v>63.333333333333343</v>
      </c>
    </row>
    <row r="168" spans="1:6" x14ac:dyDescent="0.25">
      <c r="A168" s="37" t="s">
        <v>7</v>
      </c>
      <c r="C168" s="37" t="s">
        <v>5</v>
      </c>
      <c r="D168" s="37" t="s">
        <v>50</v>
      </c>
      <c r="E168" s="37" t="s">
        <v>45</v>
      </c>
      <c r="F168" s="9">
        <f t="array" ref="F168">INDEX('Feed rations'!$J$4:$AA$19,
MATCH(1, (A168='Feed rations'!$C$4:$C$19)*(C168='Feed rations'!$D$4:$D$19),0),
MATCH(D168, 'Feed rations'!$J$3:$AA$3, 0))</f>
        <v>31.666666666666664</v>
      </c>
    </row>
    <row r="169" spans="1:6" x14ac:dyDescent="0.25">
      <c r="A169" s="37" t="s">
        <v>7</v>
      </c>
      <c r="C169" s="37" t="s">
        <v>5</v>
      </c>
      <c r="D169" s="37" t="s">
        <v>88</v>
      </c>
      <c r="E169" s="37" t="s">
        <v>45</v>
      </c>
      <c r="F169" s="9">
        <f t="array" ref="F169">INDEX('Feed rations'!$J$4:$AA$19,
MATCH(1, (A169='Feed rations'!$C$4:$C$19)*(C169='Feed rations'!$D$4:$D$19),0),
MATCH(D169, 'Feed rations'!$J$3:$AA$3, 0))</f>
        <v>1.1382283718686252</v>
      </c>
    </row>
    <row r="170" spans="1:6" x14ac:dyDescent="0.25">
      <c r="A170" s="37" t="s">
        <v>7</v>
      </c>
      <c r="C170" s="37" t="s">
        <v>5</v>
      </c>
      <c r="D170" s="37" t="s">
        <v>89</v>
      </c>
      <c r="E170" s="37" t="s">
        <v>45</v>
      </c>
      <c r="F170" s="9">
        <f t="array" ref="F170">INDEX('Feed rations'!$J$4:$AA$19,
MATCH(1, (A170='Feed rations'!$C$4:$C$19)*(C170='Feed rations'!$D$4:$D$19),0),
MATCH(D170, 'Feed rations'!$J$3:$AA$3, 0))</f>
        <v>0.38478638493934925</v>
      </c>
    </row>
    <row r="171" spans="1:6" x14ac:dyDescent="0.25">
      <c r="A171" s="37" t="s">
        <v>7</v>
      </c>
      <c r="C171" s="37" t="s">
        <v>5</v>
      </c>
      <c r="D171" s="37" t="s">
        <v>90</v>
      </c>
      <c r="E171" s="37" t="s">
        <v>45</v>
      </c>
      <c r="F171" s="9">
        <f t="array" ref="F171">INDEX('Feed rations'!$J$4:$AA$19,
MATCH(1, (A171='Feed rations'!$C$4:$C$19)*(C171='Feed rations'!$D$4:$D$19),0),
MATCH(D171, 'Feed rations'!$J$3:$AA$3, 0))</f>
        <v>0.53242785665698023</v>
      </c>
    </row>
    <row r="172" spans="1:6" x14ac:dyDescent="0.25">
      <c r="A172" s="37" t="s">
        <v>7</v>
      </c>
      <c r="C172" s="37" t="s">
        <v>5</v>
      </c>
      <c r="D172" s="37" t="s">
        <v>91</v>
      </c>
      <c r="E172" s="37" t="s">
        <v>45</v>
      </c>
      <c r="F172" s="9">
        <f t="array" ref="F172">INDEX('Feed rations'!$J$4:$AA$19,
MATCH(1, (A172='Feed rations'!$C$4:$C$19)*(C172='Feed rations'!$D$4:$D$19),0),
MATCH(D172, 'Feed rations'!$J$3:$AA$3, 0))</f>
        <v>0.12815010898707879</v>
      </c>
    </row>
    <row r="173" spans="1:6" x14ac:dyDescent="0.25">
      <c r="A173" s="37" t="s">
        <v>7</v>
      </c>
      <c r="C173" s="37" t="s">
        <v>5</v>
      </c>
      <c r="D173" s="37" t="s">
        <v>93</v>
      </c>
      <c r="E173" s="37" t="s">
        <v>45</v>
      </c>
      <c r="F173" s="9">
        <f t="array" ref="F173">INDEX('Feed rations'!$J$4:$AA$19,
MATCH(1, (A173='Feed rations'!$C$4:$C$19)*(C173='Feed rations'!$D$4:$D$19),0),
MATCH(D173, 'Feed rations'!$J$3:$AA$3, 0))</f>
        <v>1.2831813797613523</v>
      </c>
    </row>
    <row r="174" spans="1:6" x14ac:dyDescent="0.25">
      <c r="A174" s="37" t="s">
        <v>7</v>
      </c>
      <c r="C174" s="37" t="s">
        <v>5</v>
      </c>
      <c r="D174" s="37" t="s">
        <v>92</v>
      </c>
      <c r="E174" s="37" t="s">
        <v>45</v>
      </c>
      <c r="F174" s="9">
        <f t="array" ref="F174">INDEX('Feed rations'!$J$4:$AA$19,
MATCH(1, (A174='Feed rations'!$C$4:$C$19)*(C174='Feed rations'!$D$4:$D$19),0),
MATCH(D174, 'Feed rations'!$J$3:$AA$3, 0))</f>
        <v>8.1117442992785574E-2</v>
      </c>
    </row>
    <row r="175" spans="1:6" x14ac:dyDescent="0.25">
      <c r="A175" s="37" t="s">
        <v>7</v>
      </c>
      <c r="C175" s="37" t="s">
        <v>5</v>
      </c>
      <c r="D175" s="37" t="s">
        <v>95</v>
      </c>
      <c r="E175" s="37" t="s">
        <v>45</v>
      </c>
      <c r="F175" s="9">
        <f t="array" ref="F175">INDEX('Feed rations'!$J$4:$AA$19,
MATCH(1, (A175='Feed rations'!$C$4:$C$19)*(C175='Feed rations'!$D$4:$D$19),0),
MATCH(D175, 'Feed rations'!$J$3:$AA$3, 0))</f>
        <v>0.40593003272895695</v>
      </c>
    </row>
    <row r="176" spans="1:6" x14ac:dyDescent="0.25">
      <c r="A176" s="37" t="s">
        <v>7</v>
      </c>
      <c r="C176" s="37" t="s">
        <v>5</v>
      </c>
      <c r="D176" s="37" t="s">
        <v>94</v>
      </c>
      <c r="E176" s="37" t="s">
        <v>45</v>
      </c>
      <c r="F176" s="9">
        <f t="array" ref="F176">INDEX('Feed rations'!$J$4:$AA$19,
MATCH(1, (A176='Feed rations'!$C$4:$C$19)*(C176='Feed rations'!$D$4:$D$19),0),
MATCH(D176, 'Feed rations'!$J$3:$AA$3, 0))</f>
        <v>0.34551685137623467</v>
      </c>
    </row>
    <row r="177" spans="1:6" x14ac:dyDescent="0.25">
      <c r="A177" s="37" t="s">
        <v>7</v>
      </c>
      <c r="C177" s="37" t="s">
        <v>5</v>
      </c>
      <c r="D177" s="37" t="s">
        <v>96</v>
      </c>
      <c r="E177" s="37" t="s">
        <v>45</v>
      </c>
      <c r="F177" s="9">
        <f t="array" ref="F177">INDEX('Feed rations'!$J$4:$AA$19,
MATCH(1, (A177='Feed rations'!$C$4:$C$19)*(C177='Feed rations'!$D$4:$D$19),0),
MATCH(D177, 'Feed rations'!$J$3:$AA$3, 0))</f>
        <v>7.995862237860292E-2</v>
      </c>
    </row>
    <row r="178" spans="1:6" x14ac:dyDescent="0.25">
      <c r="A178" s="37" t="s">
        <v>7</v>
      </c>
      <c r="C178" s="37" t="s">
        <v>5</v>
      </c>
      <c r="D178" s="37" t="s">
        <v>97</v>
      </c>
      <c r="E178" s="37" t="s">
        <v>45</v>
      </c>
      <c r="F178" s="9">
        <f t="array" ref="F178">INDEX('Feed rations'!$J$4:$AA$19,
MATCH(1, (A178='Feed rations'!$C$4:$C$19)*(C178='Feed rations'!$D$4:$D$19),0),
MATCH(D178, 'Feed rations'!$J$3:$AA$3, 0))</f>
        <v>0.62070294831003403</v>
      </c>
    </row>
    <row r="180" spans="1:6" x14ac:dyDescent="0.25">
      <c r="A180" s="37" t="s">
        <v>8</v>
      </c>
      <c r="C180" s="37" t="s">
        <v>9</v>
      </c>
      <c r="D180" s="37" t="s">
        <v>49</v>
      </c>
      <c r="E180" s="37" t="s">
        <v>45</v>
      </c>
      <c r="F180" s="9">
        <f t="array" ref="F180">INDEX('Feed rations'!$J$4:$AA$19,
MATCH(1, (A180='Feed rations'!$C$4:$C$19)*(C180='Feed rations'!$D$4:$D$19),0),
MATCH(D180, 'Feed rations'!$J$3:$AA$3, 0))</f>
        <v>62.666666666666671</v>
      </c>
    </row>
    <row r="181" spans="1:6" x14ac:dyDescent="0.25">
      <c r="A181" s="37" t="s">
        <v>8</v>
      </c>
      <c r="C181" s="37" t="s">
        <v>9</v>
      </c>
      <c r="D181" s="37" t="s">
        <v>50</v>
      </c>
      <c r="E181" s="37" t="s">
        <v>45</v>
      </c>
      <c r="F181" s="9">
        <f t="array" ref="F181">INDEX('Feed rations'!$J$4:$AA$19,
MATCH(1, (A181='Feed rations'!$C$4:$C$19)*(C181='Feed rations'!$D$4:$D$19),0),
MATCH(D181, 'Feed rations'!$J$3:$AA$3, 0))</f>
        <v>31.333333333333329</v>
      </c>
    </row>
    <row r="182" spans="1:6" x14ac:dyDescent="0.25">
      <c r="A182" s="37" t="s">
        <v>8</v>
      </c>
      <c r="C182" s="37" t="s">
        <v>9</v>
      </c>
      <c r="D182" s="37" t="s">
        <v>88</v>
      </c>
      <c r="E182" s="37" t="s">
        <v>45</v>
      </c>
      <c r="F182" s="9">
        <f t="array" ref="F182">INDEX('Feed rations'!$J$4:$AA$19,
MATCH(1, (A182='Feed rations'!$C$4:$C$19)*(C182='Feed rations'!$D$4:$D$19),0),
MATCH(D182, 'Feed rations'!$J$3:$AA$3, 0))</f>
        <v>1.3658740462423502</v>
      </c>
    </row>
    <row r="183" spans="1:6" x14ac:dyDescent="0.25">
      <c r="A183" s="37" t="s">
        <v>8</v>
      </c>
      <c r="C183" s="37" t="s">
        <v>9</v>
      </c>
      <c r="D183" s="37" t="s">
        <v>89</v>
      </c>
      <c r="E183" s="37" t="s">
        <v>45</v>
      </c>
      <c r="F183" s="9">
        <f t="array" ref="F183">INDEX('Feed rations'!$J$4:$AA$19,
MATCH(1, (A183='Feed rations'!$C$4:$C$19)*(C183='Feed rations'!$D$4:$D$19),0),
MATCH(D183, 'Feed rations'!$J$3:$AA$3, 0))</f>
        <v>0.46174366192721905</v>
      </c>
    </row>
    <row r="184" spans="1:6" x14ac:dyDescent="0.25">
      <c r="A184" s="37" t="s">
        <v>8</v>
      </c>
      <c r="C184" s="37" t="s">
        <v>9</v>
      </c>
      <c r="D184" s="37" t="s">
        <v>90</v>
      </c>
      <c r="E184" s="37" t="s">
        <v>45</v>
      </c>
      <c r="F184" s="9">
        <f t="array" ref="F184">INDEX('Feed rations'!$J$4:$AA$19,
MATCH(1, (A184='Feed rations'!$C$4:$C$19)*(C184='Feed rations'!$D$4:$D$19),0),
MATCH(D184, 'Feed rations'!$J$3:$AA$3, 0))</f>
        <v>0.63891342798837625</v>
      </c>
    </row>
    <row r="185" spans="1:6" x14ac:dyDescent="0.25">
      <c r="A185" s="37" t="s">
        <v>8</v>
      </c>
      <c r="C185" s="37" t="s">
        <v>9</v>
      </c>
      <c r="D185" s="37" t="s">
        <v>91</v>
      </c>
      <c r="E185" s="37" t="s">
        <v>45</v>
      </c>
      <c r="F185" s="9">
        <f t="array" ref="F185">INDEX('Feed rations'!$J$4:$AA$19,
MATCH(1, (A185='Feed rations'!$C$4:$C$19)*(C185='Feed rations'!$D$4:$D$19),0),
MATCH(D185, 'Feed rations'!$J$3:$AA$3, 0))</f>
        <v>0.15378013078449451</v>
      </c>
    </row>
    <row r="186" spans="1:6" x14ac:dyDescent="0.25">
      <c r="A186" s="37" t="s">
        <v>8</v>
      </c>
      <c r="C186" s="37" t="s">
        <v>9</v>
      </c>
      <c r="D186" s="37" t="s">
        <v>93</v>
      </c>
      <c r="E186" s="37" t="s">
        <v>45</v>
      </c>
      <c r="F186" s="9">
        <f t="array" ref="F186">INDEX('Feed rations'!$J$4:$AA$19,
MATCH(1, (A186='Feed rations'!$C$4:$C$19)*(C186='Feed rations'!$D$4:$D$19),0),
MATCH(D186, 'Feed rations'!$J$3:$AA$3, 0))</f>
        <v>1.5398176557136227</v>
      </c>
    </row>
    <row r="187" spans="1:6" x14ac:dyDescent="0.25">
      <c r="A187" s="37" t="s">
        <v>8</v>
      </c>
      <c r="C187" s="37" t="s">
        <v>9</v>
      </c>
      <c r="D187" s="37" t="s">
        <v>92</v>
      </c>
      <c r="E187" s="37" t="s">
        <v>45</v>
      </c>
      <c r="F187" s="9">
        <f t="array" ref="F187">INDEX('Feed rations'!$J$4:$AA$19,
MATCH(1, (A187='Feed rations'!$C$4:$C$19)*(C187='Feed rations'!$D$4:$D$19),0),
MATCH(D187, 'Feed rations'!$J$3:$AA$3, 0))</f>
        <v>9.7340931591342689E-2</v>
      </c>
    </row>
    <row r="188" spans="1:6" x14ac:dyDescent="0.25">
      <c r="A188" s="37" t="s">
        <v>8</v>
      </c>
      <c r="C188" s="37" t="s">
        <v>9</v>
      </c>
      <c r="D188" s="37" t="s">
        <v>95</v>
      </c>
      <c r="E188" s="37" t="s">
        <v>45</v>
      </c>
      <c r="F188" s="9">
        <f t="array" ref="F188">INDEX('Feed rations'!$J$4:$AA$19,
MATCH(1, (A188='Feed rations'!$C$4:$C$19)*(C188='Feed rations'!$D$4:$D$19),0),
MATCH(D188, 'Feed rations'!$J$3:$AA$3, 0))</f>
        <v>0.48711603927474834</v>
      </c>
    </row>
    <row r="189" spans="1:6" x14ac:dyDescent="0.25">
      <c r="A189" s="37" t="s">
        <v>8</v>
      </c>
      <c r="C189" s="37" t="s">
        <v>9</v>
      </c>
      <c r="D189" s="37" t="s">
        <v>94</v>
      </c>
      <c r="E189" s="37" t="s">
        <v>45</v>
      </c>
      <c r="F189" s="9">
        <f t="array" ref="F189">INDEX('Feed rations'!$J$4:$AA$19,
MATCH(1, (A189='Feed rations'!$C$4:$C$19)*(C189='Feed rations'!$D$4:$D$19),0),
MATCH(D189, 'Feed rations'!$J$3:$AA$3, 0))</f>
        <v>0.41462022165148155</v>
      </c>
    </row>
    <row r="190" spans="1:6" x14ac:dyDescent="0.25">
      <c r="A190" s="37" t="s">
        <v>8</v>
      </c>
      <c r="C190" s="37" t="s">
        <v>9</v>
      </c>
      <c r="D190" s="37" t="s">
        <v>96</v>
      </c>
      <c r="E190" s="37" t="s">
        <v>45</v>
      </c>
      <c r="F190" s="9">
        <f t="array" ref="F190">INDEX('Feed rations'!$J$4:$AA$19,
MATCH(1, (A190='Feed rations'!$C$4:$C$19)*(C190='Feed rations'!$D$4:$D$19),0),
MATCH(D190, 'Feed rations'!$J$3:$AA$3, 0))</f>
        <v>9.5950346854323493E-2</v>
      </c>
    </row>
    <row r="191" spans="1:6" x14ac:dyDescent="0.25">
      <c r="A191" s="37" t="s">
        <v>8</v>
      </c>
      <c r="C191" s="37" t="s">
        <v>9</v>
      </c>
      <c r="D191" s="37" t="s">
        <v>97</v>
      </c>
      <c r="E191" s="37" t="s">
        <v>45</v>
      </c>
      <c r="F191" s="9">
        <f t="array" ref="F191">INDEX('Feed rations'!$J$4:$AA$19,
MATCH(1, (A191='Feed rations'!$C$4:$C$19)*(C191='Feed rations'!$D$4:$D$19),0),
MATCH(D191, 'Feed rations'!$J$3:$AA$3, 0))</f>
        <v>0.74484353797204073</v>
      </c>
    </row>
    <row r="192" spans="1:6" x14ac:dyDescent="0.25">
      <c r="A192" s="37" t="s">
        <v>8</v>
      </c>
      <c r="C192" s="37" t="s">
        <v>10</v>
      </c>
      <c r="D192" s="37" t="s">
        <v>49</v>
      </c>
      <c r="E192" s="37" t="s">
        <v>45</v>
      </c>
      <c r="F192" s="9">
        <f t="array" ref="F192">INDEX('Feed rations'!$J$4:$AA$19,
MATCH(1, (A192='Feed rations'!$C$4:$C$19)*(C192='Feed rations'!$D$4:$D$19),0),
MATCH(D192, 'Feed rations'!$J$3:$AA$3, 0))</f>
        <v>74.166666666666671</v>
      </c>
    </row>
    <row r="193" spans="1:6" x14ac:dyDescent="0.25">
      <c r="A193" s="37" t="s">
        <v>8</v>
      </c>
      <c r="C193" s="37" t="s">
        <v>10</v>
      </c>
      <c r="D193" s="37" t="s">
        <v>50</v>
      </c>
      <c r="E193" s="37" t="s">
        <v>45</v>
      </c>
      <c r="F193" s="9">
        <f t="array" ref="F193">INDEX('Feed rations'!$J$4:$AA$19,
MATCH(1, (A193='Feed rations'!$C$4:$C$19)*(C193='Feed rations'!$D$4:$D$19),0),
MATCH(D193, 'Feed rations'!$J$3:$AA$3, 0))</f>
        <v>14.833333333333332</v>
      </c>
    </row>
    <row r="194" spans="1:6" x14ac:dyDescent="0.25">
      <c r="A194" s="37" t="s">
        <v>8</v>
      </c>
      <c r="C194" s="37" t="s">
        <v>10</v>
      </c>
      <c r="D194" s="37" t="s">
        <v>88</v>
      </c>
      <c r="E194" s="37" t="s">
        <v>45</v>
      </c>
      <c r="F194" s="9">
        <f t="array" ref="F194">INDEX('Feed rations'!$J$4:$AA$19,
MATCH(1, (A194='Feed rations'!$C$4:$C$19)*(C194='Feed rations'!$D$4:$D$19),0),
MATCH(D194, 'Feed rations'!$J$3:$AA$3, 0))</f>
        <v>2.5041024181109752</v>
      </c>
    </row>
    <row r="195" spans="1:6" x14ac:dyDescent="0.25">
      <c r="A195" s="37" t="s">
        <v>8</v>
      </c>
      <c r="C195" s="37" t="s">
        <v>10</v>
      </c>
      <c r="D195" s="37" t="s">
        <v>89</v>
      </c>
      <c r="E195" s="37" t="s">
        <v>45</v>
      </c>
      <c r="F195" s="9">
        <f t="array" ref="F195">INDEX('Feed rations'!$J$4:$AA$19,
MATCH(1, (A195='Feed rations'!$C$4:$C$19)*(C195='Feed rations'!$D$4:$D$19),0),
MATCH(D195, 'Feed rations'!$J$3:$AA$3, 0))</f>
        <v>0.8465300468665683</v>
      </c>
    </row>
    <row r="196" spans="1:6" x14ac:dyDescent="0.25">
      <c r="A196" s="37" t="s">
        <v>8</v>
      </c>
      <c r="C196" s="37" t="s">
        <v>10</v>
      </c>
      <c r="D196" s="37" t="s">
        <v>90</v>
      </c>
      <c r="E196" s="37" t="s">
        <v>45</v>
      </c>
      <c r="F196" s="9">
        <f t="array" ref="F196">INDEX('Feed rations'!$J$4:$AA$19,
MATCH(1, (A196='Feed rations'!$C$4:$C$19)*(C196='Feed rations'!$D$4:$D$19),0),
MATCH(D196, 'Feed rations'!$J$3:$AA$3, 0))</f>
        <v>1.1713412846453564</v>
      </c>
    </row>
    <row r="197" spans="1:6" x14ac:dyDescent="0.25">
      <c r="A197" s="37" t="s">
        <v>8</v>
      </c>
      <c r="C197" s="37" t="s">
        <v>10</v>
      </c>
      <c r="D197" s="37" t="s">
        <v>91</v>
      </c>
      <c r="E197" s="37" t="s">
        <v>45</v>
      </c>
      <c r="F197" s="9">
        <f t="array" ref="F197">INDEX('Feed rations'!$J$4:$AA$19,
MATCH(1, (A197='Feed rations'!$C$4:$C$19)*(C197='Feed rations'!$D$4:$D$19),0),
MATCH(D197, 'Feed rations'!$J$3:$AA$3, 0))</f>
        <v>0.28193023977157328</v>
      </c>
    </row>
    <row r="198" spans="1:6" x14ac:dyDescent="0.25">
      <c r="A198" s="37" t="s">
        <v>8</v>
      </c>
      <c r="C198" s="37" t="s">
        <v>10</v>
      </c>
      <c r="D198" s="37" t="s">
        <v>93</v>
      </c>
      <c r="E198" s="37" t="s">
        <v>45</v>
      </c>
      <c r="F198" s="9">
        <f t="array" ref="F198">INDEX('Feed rations'!$J$4:$AA$19,
MATCH(1, (A198='Feed rations'!$C$4:$C$19)*(C198='Feed rations'!$D$4:$D$19),0),
MATCH(D198, 'Feed rations'!$J$3:$AA$3, 0))</f>
        <v>2.8229990354749752</v>
      </c>
    </row>
    <row r="199" spans="1:6" x14ac:dyDescent="0.25">
      <c r="A199" s="37" t="s">
        <v>8</v>
      </c>
      <c r="C199" s="37" t="s">
        <v>10</v>
      </c>
      <c r="D199" s="37" t="s">
        <v>92</v>
      </c>
      <c r="E199" s="37" t="s">
        <v>45</v>
      </c>
      <c r="F199" s="9">
        <f t="array" ref="F199">INDEX('Feed rations'!$J$4:$AA$19,
MATCH(1, (A199='Feed rations'!$C$4:$C$19)*(C199='Feed rations'!$D$4:$D$19),0),
MATCH(D199, 'Feed rations'!$J$3:$AA$3, 0))</f>
        <v>0.17845837458412825</v>
      </c>
    </row>
    <row r="200" spans="1:6" x14ac:dyDescent="0.25">
      <c r="A200" s="37" t="s">
        <v>8</v>
      </c>
      <c r="C200" s="37" t="s">
        <v>10</v>
      </c>
      <c r="D200" s="37" t="s">
        <v>95</v>
      </c>
      <c r="E200" s="37" t="s">
        <v>45</v>
      </c>
      <c r="F200" s="9">
        <f t="array" ref="F200">INDEX('Feed rations'!$J$4:$AA$19,
MATCH(1, (A200='Feed rations'!$C$4:$C$19)*(C200='Feed rations'!$D$4:$D$19),0),
MATCH(D200, 'Feed rations'!$J$3:$AA$3, 0))</f>
        <v>0.89304607200370534</v>
      </c>
    </row>
    <row r="201" spans="1:6" x14ac:dyDescent="0.25">
      <c r="A201" s="37" t="s">
        <v>8</v>
      </c>
      <c r="C201" s="37" t="s">
        <v>10</v>
      </c>
      <c r="D201" s="37" t="s">
        <v>94</v>
      </c>
      <c r="E201" s="37" t="s">
        <v>45</v>
      </c>
      <c r="F201" s="9">
        <f t="array" ref="F201">INDEX('Feed rations'!$J$4:$AA$19,
MATCH(1, (A201='Feed rations'!$C$4:$C$19)*(C201='Feed rations'!$D$4:$D$19),0),
MATCH(D201, 'Feed rations'!$J$3:$AA$3, 0))</f>
        <v>0.76013707302771627</v>
      </c>
    </row>
    <row r="202" spans="1:6" x14ac:dyDescent="0.25">
      <c r="A202" s="37" t="s">
        <v>8</v>
      </c>
      <c r="C202" s="37" t="s">
        <v>10</v>
      </c>
      <c r="D202" s="37" t="s">
        <v>96</v>
      </c>
      <c r="E202" s="37" t="s">
        <v>45</v>
      </c>
      <c r="F202" s="9">
        <f t="array" ref="F202">INDEX('Feed rations'!$J$4:$AA$19,
MATCH(1, (A202='Feed rations'!$C$4:$C$19)*(C202='Feed rations'!$D$4:$D$19),0),
MATCH(D202, 'Feed rations'!$J$3:$AA$3, 0))</f>
        <v>0.17590896923292643</v>
      </c>
    </row>
    <row r="203" spans="1:6" x14ac:dyDescent="0.25">
      <c r="A203" s="37" t="s">
        <v>8</v>
      </c>
      <c r="C203" s="37" t="s">
        <v>10</v>
      </c>
      <c r="D203" s="37" t="s">
        <v>97</v>
      </c>
      <c r="E203" s="37" t="s">
        <v>45</v>
      </c>
      <c r="F203" s="9">
        <f t="array" ref="F203">INDEX('Feed rations'!$J$4:$AA$19,
MATCH(1, (A203='Feed rations'!$C$4:$C$19)*(C203='Feed rations'!$D$4:$D$19),0),
MATCH(D203, 'Feed rations'!$J$3:$AA$3, 0))</f>
        <v>1.3655464862820748</v>
      </c>
    </row>
    <row r="204" spans="1:6" x14ac:dyDescent="0.25">
      <c r="A204" s="37" t="s">
        <v>8</v>
      </c>
      <c r="C204" s="37" t="s">
        <v>4</v>
      </c>
      <c r="D204" s="37" t="s">
        <v>49</v>
      </c>
      <c r="E204" s="37" t="s">
        <v>45</v>
      </c>
      <c r="F204" s="9">
        <f t="array" ref="F204">INDEX('Feed rations'!$J$4:$AA$19,
MATCH(1, (A204='Feed rations'!$C$4:$C$19)*(C204='Feed rations'!$D$4:$D$19),0),
MATCH(D204, 'Feed rations'!$J$3:$AA$3, 0))</f>
        <v>60.000000000000007</v>
      </c>
    </row>
    <row r="205" spans="1:6" x14ac:dyDescent="0.25">
      <c r="A205" s="37" t="s">
        <v>8</v>
      </c>
      <c r="C205" s="37" t="s">
        <v>4</v>
      </c>
      <c r="D205" s="37" t="s">
        <v>50</v>
      </c>
      <c r="E205" s="37" t="s">
        <v>45</v>
      </c>
      <c r="F205" s="9">
        <f t="array" ref="F205">INDEX('Feed rations'!$J$4:$AA$19,
MATCH(1, (A205='Feed rations'!$C$4:$C$19)*(C205='Feed rations'!$D$4:$D$19),0),
MATCH(D205, 'Feed rations'!$J$3:$AA$3, 0))</f>
        <v>30</v>
      </c>
    </row>
    <row r="206" spans="1:6" x14ac:dyDescent="0.25">
      <c r="A206" s="37" t="s">
        <v>8</v>
      </c>
      <c r="C206" s="37" t="s">
        <v>4</v>
      </c>
      <c r="D206" s="37" t="s">
        <v>88</v>
      </c>
      <c r="E206" s="37" t="s">
        <v>45</v>
      </c>
      <c r="F206" s="9">
        <f t="array" ref="F206">INDEX('Feed rations'!$J$4:$AA$19,
MATCH(1, (A206='Feed rations'!$C$4:$C$19)*(C206='Feed rations'!$D$4:$D$19),0),
MATCH(D206, 'Feed rations'!$J$3:$AA$3, 0))</f>
        <v>2.2764567437372505</v>
      </c>
    </row>
    <row r="207" spans="1:6" x14ac:dyDescent="0.25">
      <c r="A207" s="37" t="s">
        <v>8</v>
      </c>
      <c r="C207" s="37" t="s">
        <v>4</v>
      </c>
      <c r="D207" s="37" t="s">
        <v>89</v>
      </c>
      <c r="E207" s="37" t="s">
        <v>45</v>
      </c>
      <c r="F207" s="9">
        <f t="array" ref="F207">INDEX('Feed rations'!$J$4:$AA$19,
MATCH(1, (A207='Feed rations'!$C$4:$C$19)*(C207='Feed rations'!$D$4:$D$19),0),
MATCH(D207, 'Feed rations'!$J$3:$AA$3, 0))</f>
        <v>0.76957276987869849</v>
      </c>
    </row>
    <row r="208" spans="1:6" x14ac:dyDescent="0.25">
      <c r="A208" s="37" t="s">
        <v>8</v>
      </c>
      <c r="C208" s="37" t="s">
        <v>4</v>
      </c>
      <c r="D208" s="37" t="s">
        <v>90</v>
      </c>
      <c r="E208" s="37" t="s">
        <v>45</v>
      </c>
      <c r="F208" s="9">
        <f t="array" ref="F208">INDEX('Feed rations'!$J$4:$AA$19,
MATCH(1, (A208='Feed rations'!$C$4:$C$19)*(C208='Feed rations'!$D$4:$D$19),0),
MATCH(D208, 'Feed rations'!$J$3:$AA$3, 0))</f>
        <v>1.0648557133139605</v>
      </c>
    </row>
    <row r="209" spans="1:6" x14ac:dyDescent="0.25">
      <c r="A209" s="37" t="s">
        <v>8</v>
      </c>
      <c r="C209" s="37" t="s">
        <v>4</v>
      </c>
      <c r="D209" s="37" t="s">
        <v>91</v>
      </c>
      <c r="E209" s="37" t="s">
        <v>45</v>
      </c>
      <c r="F209" s="9">
        <f t="array" ref="F209">INDEX('Feed rations'!$J$4:$AA$19,
MATCH(1, (A209='Feed rations'!$C$4:$C$19)*(C209='Feed rations'!$D$4:$D$19),0),
MATCH(D209, 'Feed rations'!$J$3:$AA$3, 0))</f>
        <v>0.25630021797415758</v>
      </c>
    </row>
    <row r="210" spans="1:6" x14ac:dyDescent="0.25">
      <c r="A210" s="37" t="s">
        <v>8</v>
      </c>
      <c r="C210" s="37" t="s">
        <v>4</v>
      </c>
      <c r="D210" s="37" t="s">
        <v>93</v>
      </c>
      <c r="E210" s="37" t="s">
        <v>45</v>
      </c>
      <c r="F210" s="9">
        <f t="array" ref="F210">INDEX('Feed rations'!$J$4:$AA$19,
MATCH(1, (A210='Feed rations'!$C$4:$C$19)*(C210='Feed rations'!$D$4:$D$19),0),
MATCH(D210, 'Feed rations'!$J$3:$AA$3, 0))</f>
        <v>2.5663627595227045</v>
      </c>
    </row>
    <row r="211" spans="1:6" x14ac:dyDescent="0.25">
      <c r="A211" s="37" t="s">
        <v>8</v>
      </c>
      <c r="C211" s="37" t="s">
        <v>4</v>
      </c>
      <c r="D211" s="37" t="s">
        <v>92</v>
      </c>
      <c r="E211" s="37" t="s">
        <v>45</v>
      </c>
      <c r="F211" s="9">
        <f t="array" ref="F211">INDEX('Feed rations'!$J$4:$AA$19,
MATCH(1, (A211='Feed rations'!$C$4:$C$19)*(C211='Feed rations'!$D$4:$D$19),0),
MATCH(D211, 'Feed rations'!$J$3:$AA$3, 0))</f>
        <v>0.16223488598557115</v>
      </c>
    </row>
    <row r="212" spans="1:6" x14ac:dyDescent="0.25">
      <c r="A212" s="37" t="s">
        <v>8</v>
      </c>
      <c r="C212" s="37" t="s">
        <v>4</v>
      </c>
      <c r="D212" s="37" t="s">
        <v>95</v>
      </c>
      <c r="E212" s="37" t="s">
        <v>45</v>
      </c>
      <c r="F212" s="9">
        <f t="array" ref="F212">INDEX('Feed rations'!$J$4:$AA$19,
MATCH(1, (A212='Feed rations'!$C$4:$C$19)*(C212='Feed rations'!$D$4:$D$19),0),
MATCH(D212, 'Feed rations'!$J$3:$AA$3, 0))</f>
        <v>0.81186006545791389</v>
      </c>
    </row>
    <row r="213" spans="1:6" x14ac:dyDescent="0.25">
      <c r="A213" s="37" t="s">
        <v>8</v>
      </c>
      <c r="C213" s="37" t="s">
        <v>4</v>
      </c>
      <c r="D213" s="37" t="s">
        <v>94</v>
      </c>
      <c r="E213" s="37" t="s">
        <v>45</v>
      </c>
      <c r="F213" s="9">
        <f t="array" ref="F213">INDEX('Feed rations'!$J$4:$AA$19,
MATCH(1, (A213='Feed rations'!$C$4:$C$19)*(C213='Feed rations'!$D$4:$D$19),0),
MATCH(D213, 'Feed rations'!$J$3:$AA$3, 0))</f>
        <v>0.69103370275246934</v>
      </c>
    </row>
    <row r="214" spans="1:6" x14ac:dyDescent="0.25">
      <c r="A214" s="37" t="s">
        <v>8</v>
      </c>
      <c r="C214" s="37" t="s">
        <v>4</v>
      </c>
      <c r="D214" s="37" t="s">
        <v>96</v>
      </c>
      <c r="E214" s="37" t="s">
        <v>45</v>
      </c>
      <c r="F214" s="9">
        <f t="array" ref="F214">INDEX('Feed rations'!$J$4:$AA$19,
MATCH(1, (A214='Feed rations'!$C$4:$C$19)*(C214='Feed rations'!$D$4:$D$19),0),
MATCH(D214, 'Feed rations'!$J$3:$AA$3, 0))</f>
        <v>0.15991724475720584</v>
      </c>
    </row>
    <row r="215" spans="1:6" x14ac:dyDescent="0.25">
      <c r="A215" s="37" t="s">
        <v>8</v>
      </c>
      <c r="C215" s="37" t="s">
        <v>4</v>
      </c>
      <c r="D215" s="37" t="s">
        <v>97</v>
      </c>
      <c r="E215" s="37" t="s">
        <v>45</v>
      </c>
      <c r="F215" s="9">
        <f t="array" ref="F215">INDEX('Feed rations'!$J$4:$AA$19,
MATCH(1, (A215='Feed rations'!$C$4:$C$19)*(C215='Feed rations'!$D$4:$D$19),0),
MATCH(D215, 'Feed rations'!$J$3:$AA$3, 0))</f>
        <v>1.2414058966200681</v>
      </c>
    </row>
    <row r="216" spans="1:6" x14ac:dyDescent="0.25">
      <c r="A216" s="37" t="s">
        <v>8</v>
      </c>
      <c r="C216" s="37" t="s">
        <v>5</v>
      </c>
      <c r="D216" s="37" t="s">
        <v>49</v>
      </c>
      <c r="E216" s="37" t="s">
        <v>45</v>
      </c>
      <c r="F216" s="9">
        <f t="array" ref="F216">INDEX('Feed rations'!$J$4:$AA$19,
MATCH(1, (A216='Feed rations'!$C$4:$C$19)*(C216='Feed rations'!$D$4:$D$19),0),
MATCH(D216, 'Feed rations'!$J$3:$AA$3, 0))</f>
        <v>58.666666666666679</v>
      </c>
    </row>
    <row r="217" spans="1:6" x14ac:dyDescent="0.25">
      <c r="A217" s="37" t="s">
        <v>8</v>
      </c>
      <c r="C217" s="37" t="s">
        <v>5</v>
      </c>
      <c r="D217" s="37" t="s">
        <v>50</v>
      </c>
      <c r="E217" s="37" t="s">
        <v>45</v>
      </c>
      <c r="F217" s="9">
        <f t="array" ref="F217">INDEX('Feed rations'!$J$4:$AA$19,
MATCH(1, (A217='Feed rations'!$C$4:$C$19)*(C217='Feed rations'!$D$4:$D$19),0),
MATCH(D217, 'Feed rations'!$J$3:$AA$3, 0))</f>
        <v>29.333333333333332</v>
      </c>
    </row>
    <row r="218" spans="1:6" x14ac:dyDescent="0.25">
      <c r="A218" s="37" t="s">
        <v>8</v>
      </c>
      <c r="C218" s="37" t="s">
        <v>5</v>
      </c>
      <c r="D218" s="37" t="s">
        <v>88</v>
      </c>
      <c r="E218" s="37" t="s">
        <v>45</v>
      </c>
      <c r="F218" s="9">
        <f t="array" ref="F218">INDEX('Feed rations'!$J$4:$AA$19,
MATCH(1, (A218='Feed rations'!$C$4:$C$19)*(C218='Feed rations'!$D$4:$D$19),0),
MATCH(D218, 'Feed rations'!$J$3:$AA$3, 0))</f>
        <v>2.7317480924847004</v>
      </c>
    </row>
    <row r="219" spans="1:6" x14ac:dyDescent="0.25">
      <c r="A219" s="37" t="s">
        <v>8</v>
      </c>
      <c r="C219" s="37" t="s">
        <v>5</v>
      </c>
      <c r="D219" s="37" t="s">
        <v>89</v>
      </c>
      <c r="E219" s="37" t="s">
        <v>45</v>
      </c>
      <c r="F219" s="9">
        <f t="array" ref="F219">INDEX('Feed rations'!$J$4:$AA$19,
MATCH(1, (A219='Feed rations'!$C$4:$C$19)*(C219='Feed rations'!$D$4:$D$19),0),
MATCH(D219, 'Feed rations'!$J$3:$AA$3, 0))</f>
        <v>0.9234873238544381</v>
      </c>
    </row>
    <row r="220" spans="1:6" x14ac:dyDescent="0.25">
      <c r="A220" s="37" t="s">
        <v>8</v>
      </c>
      <c r="C220" s="37" t="s">
        <v>5</v>
      </c>
      <c r="D220" s="37" t="s">
        <v>90</v>
      </c>
      <c r="E220" s="37" t="s">
        <v>45</v>
      </c>
      <c r="F220" s="9">
        <f t="array" ref="F220">INDEX('Feed rations'!$J$4:$AA$19,
MATCH(1, (A220='Feed rations'!$C$4:$C$19)*(C220='Feed rations'!$D$4:$D$19),0),
MATCH(D220, 'Feed rations'!$J$3:$AA$3, 0))</f>
        <v>1.2778268559767525</v>
      </c>
    </row>
    <row r="221" spans="1:6" x14ac:dyDescent="0.25">
      <c r="A221" s="37" t="s">
        <v>8</v>
      </c>
      <c r="C221" s="37" t="s">
        <v>5</v>
      </c>
      <c r="D221" s="37" t="s">
        <v>91</v>
      </c>
      <c r="E221" s="37" t="s">
        <v>45</v>
      </c>
      <c r="F221" s="9">
        <f t="array" ref="F221">INDEX('Feed rations'!$J$4:$AA$19,
MATCH(1, (A221='Feed rations'!$C$4:$C$19)*(C221='Feed rations'!$D$4:$D$19),0),
MATCH(D221, 'Feed rations'!$J$3:$AA$3, 0))</f>
        <v>0.30756026156898902</v>
      </c>
    </row>
    <row r="222" spans="1:6" x14ac:dyDescent="0.25">
      <c r="A222" s="37" t="s">
        <v>8</v>
      </c>
      <c r="C222" s="37" t="s">
        <v>5</v>
      </c>
      <c r="D222" s="37" t="s">
        <v>93</v>
      </c>
      <c r="E222" s="37" t="s">
        <v>45</v>
      </c>
      <c r="F222" s="9">
        <f t="array" ref="F222">INDEX('Feed rations'!$J$4:$AA$19,
MATCH(1, (A222='Feed rations'!$C$4:$C$19)*(C222='Feed rations'!$D$4:$D$19),0),
MATCH(D222, 'Feed rations'!$J$3:$AA$3, 0))</f>
        <v>3.0796353114272454</v>
      </c>
    </row>
    <row r="223" spans="1:6" x14ac:dyDescent="0.25">
      <c r="A223" s="37" t="s">
        <v>8</v>
      </c>
      <c r="C223" s="37" t="s">
        <v>5</v>
      </c>
      <c r="D223" s="37" t="s">
        <v>92</v>
      </c>
      <c r="E223" s="37" t="s">
        <v>45</v>
      </c>
      <c r="F223" s="9">
        <f t="array" ref="F223">INDEX('Feed rations'!$J$4:$AA$19,
MATCH(1, (A223='Feed rations'!$C$4:$C$19)*(C223='Feed rations'!$D$4:$D$19),0),
MATCH(D223, 'Feed rations'!$J$3:$AA$3, 0))</f>
        <v>0.19468186318268538</v>
      </c>
    </row>
    <row r="224" spans="1:6" x14ac:dyDescent="0.25">
      <c r="A224" s="37" t="s">
        <v>8</v>
      </c>
      <c r="C224" s="37" t="s">
        <v>5</v>
      </c>
      <c r="D224" s="37" t="s">
        <v>95</v>
      </c>
      <c r="E224" s="37" t="s">
        <v>45</v>
      </c>
      <c r="F224" s="9">
        <f t="array" ref="F224">INDEX('Feed rations'!$J$4:$AA$19,
MATCH(1, (A224='Feed rations'!$C$4:$C$19)*(C224='Feed rations'!$D$4:$D$19),0),
MATCH(D224, 'Feed rations'!$J$3:$AA$3, 0))</f>
        <v>0.97423207854949667</v>
      </c>
    </row>
    <row r="225" spans="1:6" x14ac:dyDescent="0.25">
      <c r="A225" s="37" t="s">
        <v>8</v>
      </c>
      <c r="C225" s="37" t="s">
        <v>5</v>
      </c>
      <c r="D225" s="37" t="s">
        <v>94</v>
      </c>
      <c r="E225" s="37" t="s">
        <v>45</v>
      </c>
      <c r="F225" s="9">
        <f t="array" ref="F225">INDEX('Feed rations'!$J$4:$AA$19,
MATCH(1, (A225='Feed rations'!$C$4:$C$19)*(C225='Feed rations'!$D$4:$D$19),0),
MATCH(D225, 'Feed rations'!$J$3:$AA$3, 0))</f>
        <v>0.82924044330296309</v>
      </c>
    </row>
    <row r="226" spans="1:6" x14ac:dyDescent="0.25">
      <c r="A226" s="37" t="s">
        <v>8</v>
      </c>
      <c r="C226" s="37" t="s">
        <v>5</v>
      </c>
      <c r="D226" s="37" t="s">
        <v>96</v>
      </c>
      <c r="E226" s="37" t="s">
        <v>45</v>
      </c>
      <c r="F226" s="9">
        <f t="array" ref="F226">INDEX('Feed rations'!$J$4:$AA$19,
MATCH(1, (A226='Feed rations'!$C$4:$C$19)*(C226='Feed rations'!$D$4:$D$19),0),
MATCH(D226, 'Feed rations'!$J$3:$AA$3, 0))</f>
        <v>0.19190069370864699</v>
      </c>
    </row>
    <row r="227" spans="1:6" x14ac:dyDescent="0.25">
      <c r="A227" s="37" t="s">
        <v>8</v>
      </c>
      <c r="C227" s="37" t="s">
        <v>5</v>
      </c>
      <c r="D227" s="37" t="s">
        <v>97</v>
      </c>
      <c r="E227" s="37" t="s">
        <v>45</v>
      </c>
      <c r="F227" s="9">
        <f t="array" ref="F227">INDEX('Feed rations'!$J$4:$AA$19,
MATCH(1, (A227='Feed rations'!$C$4:$C$19)*(C227='Feed rations'!$D$4:$D$19),0),
MATCH(D227, 'Feed rations'!$J$3:$AA$3, 0))</f>
        <v>1.4896870759440815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A62"/>
  <sheetViews>
    <sheetView topLeftCell="I1" workbookViewId="0">
      <selection activeCell="M14" sqref="M14"/>
    </sheetView>
  </sheetViews>
  <sheetFormatPr defaultRowHeight="15" x14ac:dyDescent="0.25"/>
  <cols>
    <col min="3" max="3" width="25.85546875" bestFit="1" customWidth="1"/>
    <col min="4" max="4" width="26" bestFit="1" customWidth="1"/>
    <col min="5" max="5" width="10.140625" customWidth="1"/>
    <col min="9" max="9" width="9.140625" style="37"/>
    <col min="12" max="12" width="8.28515625" customWidth="1"/>
  </cols>
  <sheetData>
    <row r="1" spans="3:25" x14ac:dyDescent="0.25">
      <c r="E1" s="1" t="s">
        <v>48</v>
      </c>
    </row>
    <row r="2" spans="3:25" x14ac:dyDescent="0.25">
      <c r="E2" s="1" t="s">
        <v>60</v>
      </c>
      <c r="H2" s="1" t="s">
        <v>61</v>
      </c>
      <c r="I2" s="1"/>
      <c r="J2" s="1" t="s">
        <v>87</v>
      </c>
    </row>
    <row r="3" spans="3:25" x14ac:dyDescent="0.25">
      <c r="C3" s="1" t="s">
        <v>58</v>
      </c>
      <c r="D3" s="1" t="s">
        <v>59</v>
      </c>
      <c r="E3" t="s">
        <v>62</v>
      </c>
      <c r="F3" t="s">
        <v>85</v>
      </c>
      <c r="G3" t="s">
        <v>86</v>
      </c>
      <c r="H3" t="s">
        <v>62</v>
      </c>
      <c r="J3" t="s">
        <v>49</v>
      </c>
      <c r="K3" t="s">
        <v>50</v>
      </c>
      <c r="L3" s="37" t="s">
        <v>88</v>
      </c>
      <c r="M3" s="37" t="s">
        <v>89</v>
      </c>
      <c r="N3" s="37" t="s">
        <v>90</v>
      </c>
      <c r="O3" s="4"/>
      <c r="P3" s="4"/>
      <c r="Q3" s="37" t="s">
        <v>91</v>
      </c>
      <c r="R3" s="37" t="s">
        <v>93</v>
      </c>
      <c r="S3" t="s">
        <v>92</v>
      </c>
      <c r="T3" s="37" t="s">
        <v>95</v>
      </c>
      <c r="U3" s="37" t="s">
        <v>94</v>
      </c>
      <c r="W3" s="37" t="s">
        <v>96</v>
      </c>
      <c r="X3" s="37" t="s">
        <v>97</v>
      </c>
      <c r="Y3" s="37"/>
    </row>
    <row r="4" spans="3:25" x14ac:dyDescent="0.25">
      <c r="C4" t="s">
        <v>3</v>
      </c>
      <c r="D4" t="s">
        <v>9</v>
      </c>
      <c r="E4" s="36">
        <f>1-H4</f>
        <v>0.99</v>
      </c>
      <c r="F4" s="36">
        <f>1-G4</f>
        <v>0.66666666666666674</v>
      </c>
      <c r="G4" s="39">
        <f>(3+2*0.5)/12</f>
        <v>0.33333333333333331</v>
      </c>
      <c r="H4" s="36">
        <v>0.01</v>
      </c>
      <c r="I4" s="40"/>
      <c r="J4" s="38">
        <f>E4*F4*100</f>
        <v>66</v>
      </c>
      <c r="K4" s="38">
        <f>E4*G4*100</f>
        <v>32.999999999999993</v>
      </c>
      <c r="L4" s="9">
        <f>$H4*L$25*100</f>
        <v>0.22764567437372507</v>
      </c>
      <c r="M4" s="9">
        <f t="shared" ref="M4:N19" si="0">$H4*M$25*100</f>
        <v>7.6957276987869846E-2</v>
      </c>
      <c r="N4" s="9">
        <f t="shared" si="0"/>
        <v>0.10648557133139604</v>
      </c>
      <c r="Q4" s="9">
        <f t="shared" ref="Q4:X19" si="1">$H4*Q$25*100</f>
        <v>2.5630021797415754E-2</v>
      </c>
      <c r="R4" s="9">
        <f>$H4*SUM(R$25,O$25:P$25)*100</f>
        <v>0.25663627595227045</v>
      </c>
      <c r="S4" s="9">
        <f t="shared" si="1"/>
        <v>1.6223488598557115E-2</v>
      </c>
      <c r="T4" s="9">
        <f>$H4*SUM(T$25,V$25*0.5)*100</f>
        <v>8.1186006545791389E-2</v>
      </c>
      <c r="U4" s="9">
        <f>$H4*SUM(U$25,V$25*0.5)*100</f>
        <v>6.9103370275246934E-2</v>
      </c>
      <c r="V4" s="9"/>
      <c r="W4" s="9">
        <f t="shared" si="1"/>
        <v>1.5991724475720583E-2</v>
      </c>
      <c r="X4" s="9">
        <f>$H4*SUM(X$25,Y$25)*100</f>
        <v>0.12414058966200681</v>
      </c>
    </row>
    <row r="5" spans="3:25" x14ac:dyDescent="0.25">
      <c r="C5" s="37" t="s">
        <v>3</v>
      </c>
      <c r="D5" t="s">
        <v>10</v>
      </c>
      <c r="E5" s="36">
        <f t="shared" ref="E5:E19" si="2">1-H5</f>
        <v>0.98</v>
      </c>
      <c r="F5" s="40">
        <f t="shared" ref="F5:F19" si="3">1-G5</f>
        <v>0.83333333333333337</v>
      </c>
      <c r="G5" s="39">
        <f>(3*0.5+2*0.25)/12</f>
        <v>0.16666666666666666</v>
      </c>
      <c r="H5" s="36">
        <v>0.02</v>
      </c>
      <c r="I5" s="40"/>
      <c r="J5" s="38">
        <f t="shared" ref="J5:J19" si="4">E5*F5*100</f>
        <v>81.666666666666671</v>
      </c>
      <c r="K5" s="38">
        <f t="shared" ref="K5:K19" si="5">E5*G5*100</f>
        <v>16.333333333333332</v>
      </c>
      <c r="L5" s="9">
        <f t="shared" ref="L5:L19" si="6">$H5*L$25*100</f>
        <v>0.45529134874745014</v>
      </c>
      <c r="M5" s="9">
        <f t="shared" si="0"/>
        <v>0.15391455397573969</v>
      </c>
      <c r="N5" s="9">
        <f t="shared" si="0"/>
        <v>0.21297114266279207</v>
      </c>
      <c r="O5" s="37"/>
      <c r="P5" s="37"/>
      <c r="Q5" s="9">
        <f t="shared" si="1"/>
        <v>5.1260043594831509E-2</v>
      </c>
      <c r="R5" s="9">
        <f t="shared" ref="R5:R19" si="7">$H5*SUM(R$25,O$25:P$25)*100</f>
        <v>0.51327255190454091</v>
      </c>
      <c r="S5" s="9">
        <f t="shared" si="1"/>
        <v>3.244697719711423E-2</v>
      </c>
      <c r="T5" s="9">
        <f t="shared" ref="T5:T19" si="8">$H5*SUM(T$25,V$25*0.5)*100</f>
        <v>0.16237201309158278</v>
      </c>
      <c r="U5" s="9">
        <f t="shared" ref="U5:U19" si="9">$H5*SUM(U$25,V$25*0.5)*100</f>
        <v>0.13820674055049387</v>
      </c>
      <c r="V5" s="9"/>
      <c r="W5" s="9">
        <f t="shared" si="1"/>
        <v>3.1983448951441167E-2</v>
      </c>
      <c r="X5" s="9">
        <f t="shared" ref="X5:X19" si="10">$H5*SUM(X$25,Y$25)*100</f>
        <v>0.24828117932401361</v>
      </c>
    </row>
    <row r="6" spans="3:25" x14ac:dyDescent="0.25">
      <c r="C6" s="37" t="s">
        <v>3</v>
      </c>
      <c r="D6" t="s">
        <v>4</v>
      </c>
      <c r="E6" s="36">
        <f t="shared" si="2"/>
        <v>0.92999999999999994</v>
      </c>
      <c r="F6" s="40">
        <f t="shared" si="3"/>
        <v>0.66666666666666674</v>
      </c>
      <c r="G6" s="39">
        <f>(3+2*0.5)/12</f>
        <v>0.33333333333333331</v>
      </c>
      <c r="H6" s="36">
        <v>7.0000000000000007E-2</v>
      </c>
      <c r="I6" s="40"/>
      <c r="J6" s="38">
        <f t="shared" si="4"/>
        <v>62</v>
      </c>
      <c r="K6" s="38">
        <f t="shared" si="5"/>
        <v>30.999999999999993</v>
      </c>
      <c r="L6" s="9">
        <f t="shared" si="6"/>
        <v>1.5935197206160754</v>
      </c>
      <c r="M6" s="9">
        <f t="shared" si="0"/>
        <v>0.53870093891508897</v>
      </c>
      <c r="N6" s="9">
        <f t="shared" si="0"/>
        <v>0.74539899931977227</v>
      </c>
      <c r="O6" s="37"/>
      <c r="P6" s="37"/>
      <c r="Q6" s="9">
        <f t="shared" si="1"/>
        <v>0.17941015258191029</v>
      </c>
      <c r="R6" s="9">
        <f t="shared" si="7"/>
        <v>1.7964539316658934</v>
      </c>
      <c r="S6" s="9">
        <f t="shared" si="1"/>
        <v>0.1135644201898998</v>
      </c>
      <c r="T6" s="9">
        <f t="shared" si="8"/>
        <v>0.56830204582053978</v>
      </c>
      <c r="U6" s="9">
        <f t="shared" si="9"/>
        <v>0.48372359192672859</v>
      </c>
      <c r="V6" s="9"/>
      <c r="W6" s="9">
        <f t="shared" si="1"/>
        <v>0.11194207133004409</v>
      </c>
      <c r="X6" s="9">
        <f t="shared" si="10"/>
        <v>0.86898412763404764</v>
      </c>
    </row>
    <row r="7" spans="3:25" x14ac:dyDescent="0.25">
      <c r="C7" s="37" t="s">
        <v>3</v>
      </c>
      <c r="D7" t="s">
        <v>5</v>
      </c>
      <c r="E7" s="36">
        <f t="shared" si="2"/>
        <v>0.92</v>
      </c>
      <c r="F7" s="40">
        <f t="shared" si="3"/>
        <v>0.66666666666666674</v>
      </c>
      <c r="G7" s="39">
        <f>(3+2*0.5)/12</f>
        <v>0.33333333333333331</v>
      </c>
      <c r="H7" s="36">
        <v>0.08</v>
      </c>
      <c r="I7" s="40"/>
      <c r="J7" s="38">
        <f t="shared" si="4"/>
        <v>61.333333333333343</v>
      </c>
      <c r="K7" s="38">
        <f t="shared" si="5"/>
        <v>30.666666666666664</v>
      </c>
      <c r="L7" s="9">
        <f t="shared" si="6"/>
        <v>1.8211653949898006</v>
      </c>
      <c r="M7" s="9">
        <f t="shared" si="0"/>
        <v>0.61565821590295877</v>
      </c>
      <c r="N7" s="9">
        <f t="shared" si="0"/>
        <v>0.85188457065116829</v>
      </c>
      <c r="O7" s="37"/>
      <c r="P7" s="37"/>
      <c r="Q7" s="9">
        <f t="shared" si="1"/>
        <v>0.20504017437932603</v>
      </c>
      <c r="R7" s="9">
        <f t="shared" si="7"/>
        <v>2.0530902076181636</v>
      </c>
      <c r="S7" s="9">
        <f t="shared" si="1"/>
        <v>0.12978790878845692</v>
      </c>
      <c r="T7" s="9">
        <f t="shared" si="8"/>
        <v>0.64948805236633111</v>
      </c>
      <c r="U7" s="9">
        <f t="shared" si="9"/>
        <v>0.55282696220197547</v>
      </c>
      <c r="V7" s="9"/>
      <c r="W7" s="9">
        <f t="shared" si="1"/>
        <v>0.12793379580576467</v>
      </c>
      <c r="X7" s="9">
        <f t="shared" si="10"/>
        <v>0.99312471729605445</v>
      </c>
    </row>
    <row r="8" spans="3:25" x14ac:dyDescent="0.25">
      <c r="C8" t="s">
        <v>6</v>
      </c>
      <c r="D8" t="s">
        <v>9</v>
      </c>
      <c r="E8" s="36">
        <f t="shared" si="2"/>
        <v>0.99</v>
      </c>
      <c r="F8" s="40">
        <f>1-G8</f>
        <v>0.66666666666666674</v>
      </c>
      <c r="G8" s="39">
        <f>(3+2*0.5)/12</f>
        <v>0.33333333333333331</v>
      </c>
      <c r="H8" s="36">
        <v>0.01</v>
      </c>
      <c r="I8" s="40"/>
      <c r="J8" s="38">
        <f t="shared" si="4"/>
        <v>66</v>
      </c>
      <c r="K8" s="38">
        <f t="shared" si="5"/>
        <v>32.999999999999993</v>
      </c>
      <c r="L8" s="9">
        <f t="shared" si="6"/>
        <v>0.22764567437372507</v>
      </c>
      <c r="M8" s="9">
        <f t="shared" si="0"/>
        <v>7.6957276987869846E-2</v>
      </c>
      <c r="N8" s="9">
        <f t="shared" si="0"/>
        <v>0.10648557133139604</v>
      </c>
      <c r="O8" s="37"/>
      <c r="P8" s="37"/>
      <c r="Q8" s="9">
        <f t="shared" si="1"/>
        <v>2.5630021797415754E-2</v>
      </c>
      <c r="R8" s="9">
        <f t="shared" si="7"/>
        <v>0.25663627595227045</v>
      </c>
      <c r="S8" s="9">
        <f t="shared" si="1"/>
        <v>1.6223488598557115E-2</v>
      </c>
      <c r="T8" s="9">
        <f t="shared" si="8"/>
        <v>8.1186006545791389E-2</v>
      </c>
      <c r="U8" s="9">
        <f t="shared" si="9"/>
        <v>6.9103370275246934E-2</v>
      </c>
      <c r="V8" s="9"/>
      <c r="W8" s="9">
        <f t="shared" si="1"/>
        <v>1.5991724475720583E-2</v>
      </c>
      <c r="X8" s="9">
        <f t="shared" si="10"/>
        <v>0.12414058966200681</v>
      </c>
    </row>
    <row r="9" spans="3:25" x14ac:dyDescent="0.25">
      <c r="C9" s="37" t="s">
        <v>6</v>
      </c>
      <c r="D9" t="s">
        <v>10</v>
      </c>
      <c r="E9" s="36">
        <f t="shared" si="2"/>
        <v>0.98</v>
      </c>
      <c r="F9" s="40">
        <f t="shared" si="3"/>
        <v>0.83333333333333337</v>
      </c>
      <c r="G9" s="39">
        <f>(3*0.5+2*0.25)/12</f>
        <v>0.16666666666666666</v>
      </c>
      <c r="H9" s="36">
        <v>0.02</v>
      </c>
      <c r="I9" s="40"/>
      <c r="J9" s="38">
        <f t="shared" si="4"/>
        <v>81.666666666666671</v>
      </c>
      <c r="K9" s="38">
        <f t="shared" si="5"/>
        <v>16.333333333333332</v>
      </c>
      <c r="L9" s="9">
        <f t="shared" si="6"/>
        <v>0.45529134874745014</v>
      </c>
      <c r="M9" s="9">
        <f t="shared" si="0"/>
        <v>0.15391455397573969</v>
      </c>
      <c r="N9" s="9">
        <f t="shared" si="0"/>
        <v>0.21297114266279207</v>
      </c>
      <c r="O9" s="37"/>
      <c r="P9" s="37"/>
      <c r="Q9" s="9">
        <f t="shared" si="1"/>
        <v>5.1260043594831509E-2</v>
      </c>
      <c r="R9" s="9">
        <f t="shared" si="7"/>
        <v>0.51327255190454091</v>
      </c>
      <c r="S9" s="9">
        <f t="shared" si="1"/>
        <v>3.244697719711423E-2</v>
      </c>
      <c r="T9" s="9">
        <f t="shared" si="8"/>
        <v>0.16237201309158278</v>
      </c>
      <c r="U9" s="9">
        <f t="shared" si="9"/>
        <v>0.13820674055049387</v>
      </c>
      <c r="V9" s="9"/>
      <c r="W9" s="9">
        <f t="shared" si="1"/>
        <v>3.1983448951441167E-2</v>
      </c>
      <c r="X9" s="9">
        <f t="shared" si="10"/>
        <v>0.24828117932401361</v>
      </c>
    </row>
    <row r="10" spans="3:25" x14ac:dyDescent="0.25">
      <c r="C10" s="37" t="s">
        <v>6</v>
      </c>
      <c r="D10" t="s">
        <v>4</v>
      </c>
      <c r="E10" s="36">
        <f t="shared" si="2"/>
        <v>0.92999999999999994</v>
      </c>
      <c r="F10" s="40">
        <f t="shared" si="3"/>
        <v>0.66666666666666674</v>
      </c>
      <c r="G10" s="39">
        <f>(3+2*0.5)/12</f>
        <v>0.33333333333333331</v>
      </c>
      <c r="H10" s="36">
        <v>7.0000000000000007E-2</v>
      </c>
      <c r="I10" s="40"/>
      <c r="J10" s="38">
        <f t="shared" si="4"/>
        <v>62</v>
      </c>
      <c r="K10" s="38">
        <f t="shared" si="5"/>
        <v>30.999999999999993</v>
      </c>
      <c r="L10" s="9">
        <f t="shared" si="6"/>
        <v>1.5935197206160754</v>
      </c>
      <c r="M10" s="9">
        <f t="shared" si="0"/>
        <v>0.53870093891508897</v>
      </c>
      <c r="N10" s="9">
        <f t="shared" si="0"/>
        <v>0.74539899931977227</v>
      </c>
      <c r="O10" s="37"/>
      <c r="P10" s="37"/>
      <c r="Q10" s="9">
        <f t="shared" si="1"/>
        <v>0.17941015258191029</v>
      </c>
      <c r="R10" s="9">
        <f t="shared" si="7"/>
        <v>1.7964539316658934</v>
      </c>
      <c r="S10" s="9">
        <f t="shared" si="1"/>
        <v>0.1135644201898998</v>
      </c>
      <c r="T10" s="9">
        <f t="shared" si="8"/>
        <v>0.56830204582053978</v>
      </c>
      <c r="U10" s="9">
        <f t="shared" si="9"/>
        <v>0.48372359192672859</v>
      </c>
      <c r="V10" s="9"/>
      <c r="W10" s="9">
        <f t="shared" si="1"/>
        <v>0.11194207133004409</v>
      </c>
      <c r="X10" s="9">
        <f t="shared" si="10"/>
        <v>0.86898412763404764</v>
      </c>
    </row>
    <row r="11" spans="3:25" x14ac:dyDescent="0.25">
      <c r="C11" s="37" t="s">
        <v>6</v>
      </c>
      <c r="D11" t="s">
        <v>5</v>
      </c>
      <c r="E11" s="36">
        <f t="shared" si="2"/>
        <v>0.97</v>
      </c>
      <c r="F11" s="40">
        <f t="shared" si="3"/>
        <v>0.66666666666666674</v>
      </c>
      <c r="G11" s="39">
        <f>(3+2*0.5)/12</f>
        <v>0.33333333333333331</v>
      </c>
      <c r="H11" s="36">
        <v>0.03</v>
      </c>
      <c r="I11" s="40"/>
      <c r="J11" s="38">
        <f t="shared" si="4"/>
        <v>64.666666666666671</v>
      </c>
      <c r="K11" s="38">
        <f t="shared" si="5"/>
        <v>32.333333333333329</v>
      </c>
      <c r="L11" s="9">
        <f t="shared" si="6"/>
        <v>0.6829370231211751</v>
      </c>
      <c r="M11" s="9">
        <f t="shared" si="0"/>
        <v>0.23087183096360953</v>
      </c>
      <c r="N11" s="9">
        <f t="shared" si="0"/>
        <v>0.31945671399418812</v>
      </c>
      <c r="O11" s="37"/>
      <c r="P11" s="37"/>
      <c r="Q11" s="9">
        <f t="shared" si="1"/>
        <v>7.6890065392247256E-2</v>
      </c>
      <c r="R11" s="9">
        <f t="shared" si="7"/>
        <v>0.76990882785681136</v>
      </c>
      <c r="S11" s="9">
        <f t="shared" si="1"/>
        <v>4.8670465795671344E-2</v>
      </c>
      <c r="T11" s="9">
        <f t="shared" si="8"/>
        <v>0.24355801963737417</v>
      </c>
      <c r="U11" s="9">
        <f t="shared" si="9"/>
        <v>0.20731011082574077</v>
      </c>
      <c r="V11" s="9"/>
      <c r="W11" s="9">
        <f t="shared" si="1"/>
        <v>4.7975173427161746E-2</v>
      </c>
      <c r="X11" s="9">
        <f t="shared" si="10"/>
        <v>0.37242176898602036</v>
      </c>
    </row>
    <row r="12" spans="3:25" x14ac:dyDescent="0.25">
      <c r="C12" t="s">
        <v>7</v>
      </c>
      <c r="D12" t="s">
        <v>9</v>
      </c>
      <c r="E12" s="36">
        <f t="shared" si="2"/>
        <v>0.99</v>
      </c>
      <c r="F12" s="40">
        <f>1-G12</f>
        <v>0.66666666666666674</v>
      </c>
      <c r="G12" s="39">
        <f>(3+2*0.5)/12</f>
        <v>0.33333333333333331</v>
      </c>
      <c r="H12" s="36">
        <v>0.01</v>
      </c>
      <c r="I12" s="40"/>
      <c r="J12" s="38">
        <f t="shared" si="4"/>
        <v>66</v>
      </c>
      <c r="K12" s="38">
        <f t="shared" si="5"/>
        <v>32.999999999999993</v>
      </c>
      <c r="L12" s="9">
        <f t="shared" si="6"/>
        <v>0.22764567437372507</v>
      </c>
      <c r="M12" s="9">
        <f t="shared" si="0"/>
        <v>7.6957276987869846E-2</v>
      </c>
      <c r="N12" s="9">
        <f t="shared" si="0"/>
        <v>0.10648557133139604</v>
      </c>
      <c r="O12" s="37"/>
      <c r="P12" s="37"/>
      <c r="Q12" s="9">
        <f t="shared" si="1"/>
        <v>2.5630021797415754E-2</v>
      </c>
      <c r="R12" s="9">
        <f t="shared" si="7"/>
        <v>0.25663627595227045</v>
      </c>
      <c r="S12" s="9">
        <f t="shared" si="1"/>
        <v>1.6223488598557115E-2</v>
      </c>
      <c r="T12" s="9">
        <f t="shared" si="8"/>
        <v>8.1186006545791389E-2</v>
      </c>
      <c r="U12" s="9">
        <f t="shared" si="9"/>
        <v>6.9103370275246934E-2</v>
      </c>
      <c r="V12" s="9"/>
      <c r="W12" s="9">
        <f t="shared" si="1"/>
        <v>1.5991724475720583E-2</v>
      </c>
      <c r="X12" s="9">
        <f t="shared" si="10"/>
        <v>0.12414058966200681</v>
      </c>
    </row>
    <row r="13" spans="3:25" x14ac:dyDescent="0.25">
      <c r="C13" s="37" t="s">
        <v>7</v>
      </c>
      <c r="D13" t="s">
        <v>10</v>
      </c>
      <c r="E13" s="36">
        <f t="shared" si="2"/>
        <v>0.96</v>
      </c>
      <c r="F13" s="40">
        <f t="shared" si="3"/>
        <v>0.83333333333333337</v>
      </c>
      <c r="G13" s="39">
        <f>(3*0.5+2*0.25)/12</f>
        <v>0.16666666666666666</v>
      </c>
      <c r="H13" s="36">
        <v>0.04</v>
      </c>
      <c r="I13" s="40"/>
      <c r="J13" s="38">
        <f t="shared" si="4"/>
        <v>80</v>
      </c>
      <c r="K13" s="38">
        <f t="shared" si="5"/>
        <v>15.999999999999998</v>
      </c>
      <c r="L13" s="9">
        <f t="shared" si="6"/>
        <v>0.91058269749490028</v>
      </c>
      <c r="M13" s="9">
        <f t="shared" si="0"/>
        <v>0.30782910795147939</v>
      </c>
      <c r="N13" s="9">
        <f t="shared" si="0"/>
        <v>0.42594228532558415</v>
      </c>
      <c r="O13" s="37"/>
      <c r="P13" s="37"/>
      <c r="Q13" s="9">
        <f t="shared" si="1"/>
        <v>0.10252008718966302</v>
      </c>
      <c r="R13" s="9">
        <f t="shared" si="7"/>
        <v>1.0265451038090818</v>
      </c>
      <c r="S13" s="9">
        <f t="shared" si="1"/>
        <v>6.4893954394228459E-2</v>
      </c>
      <c r="T13" s="9">
        <f t="shared" si="8"/>
        <v>0.32474402618316556</v>
      </c>
      <c r="U13" s="9">
        <f t="shared" si="9"/>
        <v>0.27641348110098773</v>
      </c>
      <c r="V13" s="9"/>
      <c r="W13" s="9">
        <f t="shared" si="1"/>
        <v>6.3966897902882333E-2</v>
      </c>
      <c r="X13" s="9">
        <f t="shared" si="10"/>
        <v>0.49656235864802722</v>
      </c>
    </row>
    <row r="14" spans="3:25" x14ac:dyDescent="0.25">
      <c r="C14" s="37" t="s">
        <v>7</v>
      </c>
      <c r="D14" t="s">
        <v>4</v>
      </c>
      <c r="E14" s="36">
        <f t="shared" si="2"/>
        <v>0.92999999999999994</v>
      </c>
      <c r="F14" s="40">
        <f t="shared" si="3"/>
        <v>0.66666666666666674</v>
      </c>
      <c r="G14" s="39">
        <f>(3+2*0.5)/12</f>
        <v>0.33333333333333331</v>
      </c>
      <c r="H14" s="36">
        <v>7.0000000000000007E-2</v>
      </c>
      <c r="I14" s="40"/>
      <c r="J14" s="38">
        <f t="shared" si="4"/>
        <v>62</v>
      </c>
      <c r="K14" s="38">
        <f t="shared" si="5"/>
        <v>30.999999999999993</v>
      </c>
      <c r="L14" s="9">
        <f t="shared" si="6"/>
        <v>1.5935197206160754</v>
      </c>
      <c r="M14" s="9">
        <f t="shared" si="0"/>
        <v>0.53870093891508897</v>
      </c>
      <c r="N14" s="9">
        <f t="shared" si="0"/>
        <v>0.74539899931977227</v>
      </c>
      <c r="O14" s="37"/>
      <c r="P14" s="37"/>
      <c r="Q14" s="9">
        <f t="shared" si="1"/>
        <v>0.17941015258191029</v>
      </c>
      <c r="R14" s="9">
        <f t="shared" si="7"/>
        <v>1.7964539316658934</v>
      </c>
      <c r="S14" s="9">
        <f t="shared" si="1"/>
        <v>0.1135644201898998</v>
      </c>
      <c r="T14" s="9">
        <f t="shared" si="8"/>
        <v>0.56830204582053978</v>
      </c>
      <c r="U14" s="9">
        <f t="shared" si="9"/>
        <v>0.48372359192672859</v>
      </c>
      <c r="V14" s="9"/>
      <c r="W14" s="9">
        <f t="shared" si="1"/>
        <v>0.11194207133004409</v>
      </c>
      <c r="X14" s="9">
        <f t="shared" si="10"/>
        <v>0.86898412763404764</v>
      </c>
    </row>
    <row r="15" spans="3:25" x14ac:dyDescent="0.25">
      <c r="C15" s="37" t="s">
        <v>7</v>
      </c>
      <c r="D15" t="s">
        <v>5</v>
      </c>
      <c r="E15" s="36">
        <f t="shared" si="2"/>
        <v>0.95</v>
      </c>
      <c r="F15" s="40">
        <f t="shared" si="3"/>
        <v>0.66666666666666674</v>
      </c>
      <c r="G15" s="39">
        <f>(3+2*0.5)/12</f>
        <v>0.33333333333333331</v>
      </c>
      <c r="H15" s="36">
        <v>0.05</v>
      </c>
      <c r="I15" s="40"/>
      <c r="J15" s="38">
        <f t="shared" si="4"/>
        <v>63.333333333333343</v>
      </c>
      <c r="K15" s="38">
        <f t="shared" si="5"/>
        <v>31.666666666666664</v>
      </c>
      <c r="L15" s="9">
        <f t="shared" si="6"/>
        <v>1.1382283718686252</v>
      </c>
      <c r="M15" s="9">
        <f t="shared" si="0"/>
        <v>0.38478638493934925</v>
      </c>
      <c r="N15" s="9">
        <f t="shared" si="0"/>
        <v>0.53242785665698023</v>
      </c>
      <c r="O15" s="37"/>
      <c r="P15" s="37"/>
      <c r="Q15" s="9">
        <f t="shared" si="1"/>
        <v>0.12815010898707879</v>
      </c>
      <c r="R15" s="9">
        <f t="shared" si="7"/>
        <v>1.2831813797613523</v>
      </c>
      <c r="S15" s="9">
        <f t="shared" si="1"/>
        <v>8.1117442992785574E-2</v>
      </c>
      <c r="T15" s="9">
        <f t="shared" si="8"/>
        <v>0.40593003272895695</v>
      </c>
      <c r="U15" s="9">
        <f t="shared" si="9"/>
        <v>0.34551685137623467</v>
      </c>
      <c r="V15" s="9"/>
      <c r="W15" s="9">
        <f t="shared" si="1"/>
        <v>7.995862237860292E-2</v>
      </c>
      <c r="X15" s="9">
        <f t="shared" si="10"/>
        <v>0.62070294831003403</v>
      </c>
    </row>
    <row r="16" spans="3:25" x14ac:dyDescent="0.25">
      <c r="C16" t="s">
        <v>8</v>
      </c>
      <c r="D16" t="s">
        <v>9</v>
      </c>
      <c r="E16" s="36">
        <f t="shared" si="2"/>
        <v>0.94</v>
      </c>
      <c r="F16" s="40">
        <f>1-G16</f>
        <v>0.66666666666666674</v>
      </c>
      <c r="G16" s="39">
        <f>(3+2*0.5)/12</f>
        <v>0.33333333333333331</v>
      </c>
      <c r="H16" s="36">
        <v>0.06</v>
      </c>
      <c r="I16" s="40"/>
      <c r="J16" s="38">
        <f t="shared" si="4"/>
        <v>62.666666666666671</v>
      </c>
      <c r="K16" s="38">
        <f t="shared" si="5"/>
        <v>31.333333333333329</v>
      </c>
      <c r="L16" s="9">
        <f t="shared" si="6"/>
        <v>1.3658740462423502</v>
      </c>
      <c r="M16" s="9">
        <f t="shared" si="0"/>
        <v>0.46174366192721905</v>
      </c>
      <c r="N16" s="9">
        <f t="shared" si="0"/>
        <v>0.63891342798837625</v>
      </c>
      <c r="O16" s="37"/>
      <c r="P16" s="37"/>
      <c r="Q16" s="9">
        <f t="shared" si="1"/>
        <v>0.15378013078449451</v>
      </c>
      <c r="R16" s="9">
        <f t="shared" si="7"/>
        <v>1.5398176557136227</v>
      </c>
      <c r="S16" s="9">
        <f t="shared" si="1"/>
        <v>9.7340931591342689E-2</v>
      </c>
      <c r="T16" s="9">
        <f t="shared" si="8"/>
        <v>0.48711603927474834</v>
      </c>
      <c r="U16" s="9">
        <f t="shared" si="9"/>
        <v>0.41462022165148155</v>
      </c>
      <c r="V16" s="9"/>
      <c r="W16" s="9">
        <f t="shared" si="1"/>
        <v>9.5950346854323493E-2</v>
      </c>
      <c r="X16" s="9">
        <f t="shared" si="10"/>
        <v>0.74484353797204073</v>
      </c>
    </row>
    <row r="17" spans="3:27" x14ac:dyDescent="0.25">
      <c r="C17" s="37" t="s">
        <v>8</v>
      </c>
      <c r="D17" t="s">
        <v>10</v>
      </c>
      <c r="E17" s="36">
        <f t="shared" si="2"/>
        <v>0.89</v>
      </c>
      <c r="F17" s="40">
        <f t="shared" si="3"/>
        <v>0.83333333333333337</v>
      </c>
      <c r="G17" s="39">
        <f>(3*0.5+2*0.25)/12</f>
        <v>0.16666666666666666</v>
      </c>
      <c r="H17" s="36">
        <v>0.11</v>
      </c>
      <c r="I17" s="40"/>
      <c r="J17" s="38">
        <f t="shared" si="4"/>
        <v>74.166666666666671</v>
      </c>
      <c r="K17" s="38">
        <f t="shared" si="5"/>
        <v>14.833333333333332</v>
      </c>
      <c r="L17" s="9">
        <f t="shared" si="6"/>
        <v>2.5041024181109752</v>
      </c>
      <c r="M17" s="9">
        <f t="shared" si="0"/>
        <v>0.8465300468665683</v>
      </c>
      <c r="N17" s="9">
        <f t="shared" si="0"/>
        <v>1.1713412846453564</v>
      </c>
      <c r="O17" s="37"/>
      <c r="P17" s="37"/>
      <c r="Q17" s="9">
        <f t="shared" si="1"/>
        <v>0.28193023977157328</v>
      </c>
      <c r="R17" s="9">
        <f t="shared" si="7"/>
        <v>2.8229990354749752</v>
      </c>
      <c r="S17" s="9">
        <f t="shared" si="1"/>
        <v>0.17845837458412825</v>
      </c>
      <c r="T17" s="9">
        <f t="shared" si="8"/>
        <v>0.89304607200370534</v>
      </c>
      <c r="U17" s="9">
        <f t="shared" si="9"/>
        <v>0.76013707302771627</v>
      </c>
      <c r="V17" s="9"/>
      <c r="W17" s="9">
        <f t="shared" si="1"/>
        <v>0.17590896923292643</v>
      </c>
      <c r="X17" s="9">
        <f t="shared" si="10"/>
        <v>1.3655464862820748</v>
      </c>
    </row>
    <row r="18" spans="3:27" x14ac:dyDescent="0.25">
      <c r="C18" s="37" t="s">
        <v>8</v>
      </c>
      <c r="D18" t="s">
        <v>4</v>
      </c>
      <c r="E18" s="36">
        <f t="shared" si="2"/>
        <v>0.9</v>
      </c>
      <c r="F18" s="40">
        <f t="shared" si="3"/>
        <v>0.66666666666666674</v>
      </c>
      <c r="G18" s="39">
        <f>(3+2*0.5)/12</f>
        <v>0.33333333333333331</v>
      </c>
      <c r="H18" s="36">
        <v>0.1</v>
      </c>
      <c r="I18" s="40"/>
      <c r="J18" s="38">
        <f t="shared" si="4"/>
        <v>60.000000000000007</v>
      </c>
      <c r="K18" s="38">
        <f t="shared" si="5"/>
        <v>30</v>
      </c>
      <c r="L18" s="9">
        <f t="shared" si="6"/>
        <v>2.2764567437372505</v>
      </c>
      <c r="M18" s="9">
        <f t="shared" si="0"/>
        <v>0.76957276987869849</v>
      </c>
      <c r="N18" s="9">
        <f t="shared" si="0"/>
        <v>1.0648557133139605</v>
      </c>
      <c r="O18" s="37"/>
      <c r="P18" s="37"/>
      <c r="Q18" s="9">
        <f t="shared" si="1"/>
        <v>0.25630021797415758</v>
      </c>
      <c r="R18" s="9">
        <f t="shared" si="7"/>
        <v>2.5663627595227045</v>
      </c>
      <c r="S18" s="9">
        <f t="shared" si="1"/>
        <v>0.16223488598557115</v>
      </c>
      <c r="T18" s="9">
        <f t="shared" si="8"/>
        <v>0.81186006545791389</v>
      </c>
      <c r="U18" s="9">
        <f t="shared" si="9"/>
        <v>0.69103370275246934</v>
      </c>
      <c r="V18" s="9"/>
      <c r="W18" s="9">
        <f t="shared" si="1"/>
        <v>0.15991724475720584</v>
      </c>
      <c r="X18" s="9">
        <f t="shared" si="10"/>
        <v>1.2414058966200681</v>
      </c>
    </row>
    <row r="19" spans="3:27" x14ac:dyDescent="0.25">
      <c r="C19" s="37" t="s">
        <v>8</v>
      </c>
      <c r="D19" t="s">
        <v>5</v>
      </c>
      <c r="E19" s="36">
        <f t="shared" si="2"/>
        <v>0.88</v>
      </c>
      <c r="F19" s="40">
        <f t="shared" si="3"/>
        <v>0.66666666666666674</v>
      </c>
      <c r="G19" s="39">
        <f>(3+2*0.5)/12</f>
        <v>0.33333333333333331</v>
      </c>
      <c r="H19" s="36">
        <v>0.12</v>
      </c>
      <c r="I19" s="40"/>
      <c r="J19" s="38">
        <f t="shared" si="4"/>
        <v>58.666666666666679</v>
      </c>
      <c r="K19" s="38">
        <f t="shared" si="5"/>
        <v>29.333333333333332</v>
      </c>
      <c r="L19" s="9">
        <f t="shared" si="6"/>
        <v>2.7317480924847004</v>
      </c>
      <c r="M19" s="9">
        <f t="shared" si="0"/>
        <v>0.9234873238544381</v>
      </c>
      <c r="N19" s="9">
        <f t="shared" si="0"/>
        <v>1.2778268559767525</v>
      </c>
      <c r="O19" s="37"/>
      <c r="P19" s="37"/>
      <c r="Q19" s="9">
        <f t="shared" si="1"/>
        <v>0.30756026156898902</v>
      </c>
      <c r="R19" s="9">
        <f t="shared" si="7"/>
        <v>3.0796353114272454</v>
      </c>
      <c r="S19" s="9">
        <f t="shared" si="1"/>
        <v>0.19468186318268538</v>
      </c>
      <c r="T19" s="9">
        <f t="shared" si="8"/>
        <v>0.97423207854949667</v>
      </c>
      <c r="U19" s="9">
        <f t="shared" si="9"/>
        <v>0.82924044330296309</v>
      </c>
      <c r="V19" s="9"/>
      <c r="W19" s="9">
        <f t="shared" si="1"/>
        <v>0.19190069370864699</v>
      </c>
      <c r="X19" s="9">
        <f t="shared" si="10"/>
        <v>1.4896870759440815</v>
      </c>
    </row>
    <row r="21" spans="3:27" x14ac:dyDescent="0.25">
      <c r="J21" s="34" t="s">
        <v>63</v>
      </c>
    </row>
    <row r="22" spans="3:27" x14ac:dyDescent="0.25">
      <c r="K22" t="s">
        <v>62</v>
      </c>
      <c r="L22" t="s">
        <v>64</v>
      </c>
      <c r="M22" t="s">
        <v>67</v>
      </c>
      <c r="N22" t="s">
        <v>68</v>
      </c>
      <c r="O22" s="4" t="s">
        <v>65</v>
      </c>
      <c r="P22" s="4" t="s">
        <v>66</v>
      </c>
      <c r="Q22" t="s">
        <v>69</v>
      </c>
      <c r="R22" t="s">
        <v>70</v>
      </c>
      <c r="S22" t="s">
        <v>71</v>
      </c>
      <c r="T22" t="s">
        <v>72</v>
      </c>
      <c r="U22" t="s">
        <v>73</v>
      </c>
      <c r="V22" s="4" t="s">
        <v>74</v>
      </c>
      <c r="W22" t="s">
        <v>75</v>
      </c>
      <c r="X22" t="s">
        <v>76</v>
      </c>
      <c r="Y22" s="4" t="s">
        <v>77</v>
      </c>
      <c r="Z22" s="4" t="s">
        <v>78</v>
      </c>
      <c r="AA22" s="4" t="s">
        <v>79</v>
      </c>
    </row>
    <row r="23" spans="3:27" x14ac:dyDescent="0.25">
      <c r="J23" t="s">
        <v>80</v>
      </c>
      <c r="K23">
        <f>SUM(L23:Y23)</f>
        <v>35183.040000000001</v>
      </c>
      <c r="L23">
        <v>8697.39</v>
      </c>
      <c r="M23">
        <v>2726.58</v>
      </c>
      <c r="N23">
        <v>4044.63</v>
      </c>
      <c r="O23">
        <v>637.71</v>
      </c>
      <c r="P23">
        <v>3923.7</v>
      </c>
      <c r="Q23">
        <v>968.31</v>
      </c>
      <c r="R23">
        <v>5403.57</v>
      </c>
      <c r="S23">
        <v>472</v>
      </c>
      <c r="T23">
        <v>789.30000000000007</v>
      </c>
      <c r="U23">
        <v>1494</v>
      </c>
      <c r="V23">
        <v>1555.9499999999998</v>
      </c>
      <c r="W23">
        <v>607.5</v>
      </c>
      <c r="X23">
        <v>2255.4</v>
      </c>
      <c r="Y23">
        <v>1607</v>
      </c>
      <c r="Z23">
        <v>1251</v>
      </c>
      <c r="AA23">
        <v>655</v>
      </c>
    </row>
    <row r="24" spans="3:27" x14ac:dyDescent="0.25">
      <c r="J24" t="s">
        <v>81</v>
      </c>
      <c r="K24" s="37">
        <f>SUM(L24:Y24)</f>
        <v>3649.5450000000001</v>
      </c>
      <c r="L24">
        <v>142.68</v>
      </c>
      <c r="M24">
        <v>261.87</v>
      </c>
      <c r="N24">
        <v>90.48</v>
      </c>
      <c r="O24">
        <v>0</v>
      </c>
      <c r="P24">
        <v>0</v>
      </c>
      <c r="Q24">
        <v>26.97</v>
      </c>
      <c r="R24">
        <v>0.87</v>
      </c>
      <c r="S24">
        <v>158</v>
      </c>
      <c r="T24">
        <v>1229.4000000000001</v>
      </c>
      <c r="U24">
        <v>55.5</v>
      </c>
      <c r="V24">
        <v>711.97499999999991</v>
      </c>
      <c r="W24">
        <v>13.5</v>
      </c>
      <c r="X24">
        <v>591.30000000000007</v>
      </c>
      <c r="Y24">
        <v>367</v>
      </c>
      <c r="Z24">
        <v>0</v>
      </c>
      <c r="AA24">
        <v>93</v>
      </c>
    </row>
    <row r="25" spans="3:27" x14ac:dyDescent="0.25">
      <c r="I25" s="39"/>
      <c r="J25" t="s">
        <v>84</v>
      </c>
      <c r="K25" s="35">
        <f>SUM(K23:K24)/SUM($K23:$K24)</f>
        <v>1</v>
      </c>
      <c r="L25" s="35">
        <f>SUM(L23:L24)/SUM($K23:$K24)</f>
        <v>0.22764567437372504</v>
      </c>
      <c r="M25" s="35">
        <f>SUM(M23:M24)/SUM($K23:$K24)</f>
        <v>7.6957276987869846E-2</v>
      </c>
      <c r="N25" s="35">
        <f>SUM(N23:N24)/SUM($K23:$K24)</f>
        <v>0.10648557133139604</v>
      </c>
      <c r="O25" s="35">
        <f>SUM(O23:O24)/SUM($K23:$K24)</f>
        <v>1.6422033197120409E-2</v>
      </c>
      <c r="P25" s="35">
        <f>SUM(P23:P24)/SUM($K23:$K24)</f>
        <v>0.10104143208596594</v>
      </c>
      <c r="Q25" s="35">
        <f>SUM(Q23:Q24)/SUM($K23:$K24)</f>
        <v>2.5630021797415754E-2</v>
      </c>
      <c r="R25" s="35">
        <f>SUM(R23:R24)/SUM($K23:$K24)</f>
        <v>0.13917281066918413</v>
      </c>
      <c r="S25" s="35">
        <f>SUM(S23:S24)/SUM($K23:$K24)</f>
        <v>1.6223488598557115E-2</v>
      </c>
      <c r="T25" s="35">
        <f>SUM(T23:T24)/SUM($K23:$K24)</f>
        <v>5.1984692752233733E-2</v>
      </c>
      <c r="U25" s="35">
        <f>SUM(U23:U24)/SUM($K23:$K24)</f>
        <v>3.9902056481689284E-2</v>
      </c>
      <c r="V25" s="35">
        <f>SUM(V23:V24)/SUM($K23:$K24)</f>
        <v>5.8402627587115299E-2</v>
      </c>
      <c r="W25" s="35">
        <f>SUM(W23:W24)/SUM($K23:$K24)</f>
        <v>1.5991724475720583E-2</v>
      </c>
      <c r="X25" s="35">
        <f>SUM(X23:X24)/SUM($K23:$K24)</f>
        <v>7.3306992053194506E-2</v>
      </c>
      <c r="Y25" s="35">
        <f>SUM(Y23:Y24)/SUM($K23:$K24)</f>
        <v>5.0833597608812293E-2</v>
      </c>
      <c r="Z25" s="35">
        <f>SUM(Z23:Z24)/SUM($K23:$K24)</f>
        <v>3.2215213074277702E-2</v>
      </c>
      <c r="AA25" s="35">
        <f>SUM(AA23:AA24)/SUM($K23:$K24)</f>
        <v>1.9262173764636067E-2</v>
      </c>
    </row>
    <row r="26" spans="3:27" x14ac:dyDescent="0.25">
      <c r="I26" s="39"/>
      <c r="J26" t="s">
        <v>83</v>
      </c>
      <c r="K26" s="35">
        <f>K24/SUM(K23:K24)</f>
        <v>9.3981510630827186E-2</v>
      </c>
      <c r="L26" s="35">
        <f>L24/SUM(L23:L24)</f>
        <v>1.6140143686645018E-2</v>
      </c>
      <c r="M26" s="35">
        <f>M24/SUM(M23:M24)</f>
        <v>8.7627365356623008E-2</v>
      </c>
      <c r="N26" s="35">
        <f>N24/SUM(N23:N24)</f>
        <v>2.1880917315379764E-2</v>
      </c>
      <c r="O26" s="35">
        <f t="shared" ref="O26:P26" si="11">O24/SUM(O23:O24)</f>
        <v>0</v>
      </c>
      <c r="P26" s="35">
        <f t="shared" si="11"/>
        <v>0</v>
      </c>
      <c r="Q26" s="35">
        <f t="shared" ref="Q26:AA26" si="12">Q24/SUM(Q23:Q24)</f>
        <v>2.7097902097902096E-2</v>
      </c>
      <c r="R26" s="35">
        <f t="shared" si="12"/>
        <v>1.6097875080489378E-4</v>
      </c>
      <c r="S26" s="35">
        <f t="shared" si="12"/>
        <v>0.25079365079365079</v>
      </c>
      <c r="T26" s="35">
        <f t="shared" si="12"/>
        <v>0.60900579580918413</v>
      </c>
      <c r="U26" s="35">
        <f t="shared" si="12"/>
        <v>3.5818005808325268E-2</v>
      </c>
      <c r="V26" s="35">
        <f t="shared" si="12"/>
        <v>0.31393233903237538</v>
      </c>
      <c r="W26" s="35">
        <f t="shared" si="12"/>
        <v>2.1739130434782608E-2</v>
      </c>
      <c r="X26" s="35">
        <f t="shared" si="12"/>
        <v>0.207714195384129</v>
      </c>
      <c r="Y26" s="35">
        <f t="shared" si="12"/>
        <v>0.18591691995947315</v>
      </c>
      <c r="Z26" s="35">
        <f t="shared" si="12"/>
        <v>0</v>
      </c>
      <c r="AA26" s="35">
        <f t="shared" si="12"/>
        <v>0.12433155080213903</v>
      </c>
    </row>
    <row r="46" spans="5:11" x14ac:dyDescent="0.25">
      <c r="F46" t="s">
        <v>80</v>
      </c>
      <c r="G46" t="s">
        <v>81</v>
      </c>
      <c r="H46" t="s">
        <v>82</v>
      </c>
      <c r="K46" t="s">
        <v>83</v>
      </c>
    </row>
    <row r="47" spans="5:11" x14ac:dyDescent="0.25">
      <c r="E47" t="s">
        <v>64</v>
      </c>
      <c r="F47">
        <v>8697.39</v>
      </c>
      <c r="G47">
        <v>142.68</v>
      </c>
      <c r="H47">
        <v>0.21650077997217101</v>
      </c>
      <c r="K47">
        <v>1.6140143686645018E-2</v>
      </c>
    </row>
    <row r="48" spans="5:11" x14ac:dyDescent="0.25">
      <c r="E48" t="s">
        <v>65</v>
      </c>
      <c r="F48">
        <v>637.71</v>
      </c>
      <c r="G48">
        <v>0</v>
      </c>
      <c r="H48">
        <v>1.5618056462907329E-2</v>
      </c>
      <c r="K48">
        <v>0</v>
      </c>
    </row>
    <row r="49" spans="5:11" x14ac:dyDescent="0.25">
      <c r="E49" t="s">
        <v>66</v>
      </c>
      <c r="F49">
        <v>3923.7</v>
      </c>
      <c r="G49">
        <v>0</v>
      </c>
      <c r="H49">
        <v>9.6094726668092836E-2</v>
      </c>
      <c r="K49">
        <v>0</v>
      </c>
    </row>
    <row r="50" spans="5:11" x14ac:dyDescent="0.25">
      <c r="E50" t="s">
        <v>67</v>
      </c>
      <c r="F50">
        <v>2726.58</v>
      </c>
      <c r="G50">
        <v>261.87</v>
      </c>
      <c r="H50">
        <v>7.3189664324811277E-2</v>
      </c>
      <c r="K50">
        <v>8.7627365356623008E-2</v>
      </c>
    </row>
    <row r="51" spans="5:11" x14ac:dyDescent="0.25">
      <c r="E51" t="s">
        <v>68</v>
      </c>
      <c r="F51">
        <v>4044.63</v>
      </c>
      <c r="G51">
        <v>90.48</v>
      </c>
      <c r="H51">
        <v>0.10127233610941136</v>
      </c>
      <c r="K51">
        <v>2.1880917315379764E-2</v>
      </c>
    </row>
    <row r="52" spans="5:11" x14ac:dyDescent="0.25">
      <c r="E52" t="s">
        <v>69</v>
      </c>
      <c r="F52">
        <v>968.31</v>
      </c>
      <c r="G52">
        <v>26.97</v>
      </c>
      <c r="H52">
        <v>2.4375247740199158E-2</v>
      </c>
      <c r="K52">
        <v>2.7097902097902096E-2</v>
      </c>
    </row>
    <row r="53" spans="5:11" x14ac:dyDescent="0.25">
      <c r="E53" t="s">
        <v>70</v>
      </c>
      <c r="F53">
        <v>5403.57</v>
      </c>
      <c r="G53">
        <v>0.87</v>
      </c>
      <c r="H53">
        <v>0.13235929979206046</v>
      </c>
      <c r="K53">
        <v>1.6097875080489378E-4</v>
      </c>
    </row>
    <row r="54" spans="5:11" x14ac:dyDescent="0.25">
      <c r="E54" t="s">
        <v>71</v>
      </c>
      <c r="F54">
        <v>472</v>
      </c>
      <c r="G54">
        <v>158</v>
      </c>
      <c r="H54">
        <v>1.5429232051609065E-2</v>
      </c>
      <c r="K54">
        <v>0.25079365079365079</v>
      </c>
    </row>
    <row r="55" spans="5:11" x14ac:dyDescent="0.25">
      <c r="E55" t="s">
        <v>72</v>
      </c>
      <c r="F55">
        <v>789.30000000000007</v>
      </c>
      <c r="G55">
        <v>1229.4000000000001</v>
      </c>
      <c r="H55">
        <v>4.9439667845370197E-2</v>
      </c>
      <c r="K55">
        <v>0.60900579580918413</v>
      </c>
    </row>
    <row r="56" spans="5:11" x14ac:dyDescent="0.25">
      <c r="E56" t="s">
        <v>73</v>
      </c>
      <c r="F56">
        <v>1494</v>
      </c>
      <c r="G56">
        <v>55.5</v>
      </c>
      <c r="H56">
        <v>3.7948563593600389E-2</v>
      </c>
      <c r="K56">
        <v>3.5818005808325268E-2</v>
      </c>
    </row>
    <row r="57" spans="5:11" x14ac:dyDescent="0.25">
      <c r="E57" t="s">
        <v>74</v>
      </c>
      <c r="F57">
        <v>1555.9499999999998</v>
      </c>
      <c r="G57">
        <v>711.97499999999991</v>
      </c>
      <c r="H57">
        <v>5.5543398572453148E-2</v>
      </c>
      <c r="K57">
        <v>0.31393233903237538</v>
      </c>
    </row>
    <row r="58" spans="5:11" x14ac:dyDescent="0.25">
      <c r="E58" t="s">
        <v>75</v>
      </c>
      <c r="F58">
        <v>607.5</v>
      </c>
      <c r="G58">
        <v>13.5</v>
      </c>
      <c r="H58">
        <v>1.5208814450871792E-2</v>
      </c>
      <c r="K58">
        <v>2.1739130434782608E-2</v>
      </c>
    </row>
    <row r="59" spans="5:11" x14ac:dyDescent="0.25">
      <c r="E59" t="s">
        <v>76</v>
      </c>
      <c r="F59">
        <v>2255.4</v>
      </c>
      <c r="G59">
        <v>591.30000000000007</v>
      </c>
      <c r="H59">
        <v>6.9718087113199254E-2</v>
      </c>
      <c r="K59">
        <v>0.207714195384129</v>
      </c>
    </row>
    <row r="60" spans="5:11" x14ac:dyDescent="0.25">
      <c r="E60" t="s">
        <v>77</v>
      </c>
      <c r="F60">
        <v>1607</v>
      </c>
      <c r="G60">
        <v>367</v>
      </c>
      <c r="H60">
        <v>4.8344927095041734E-2</v>
      </c>
      <c r="K60">
        <v>0.18591691995947315</v>
      </c>
    </row>
    <row r="61" spans="5:11" x14ac:dyDescent="0.25">
      <c r="E61" t="s">
        <v>78</v>
      </c>
      <c r="F61">
        <v>1251</v>
      </c>
      <c r="G61">
        <v>0</v>
      </c>
      <c r="H61">
        <v>3.0638046502480858E-2</v>
      </c>
      <c r="K61">
        <v>0</v>
      </c>
    </row>
    <row r="62" spans="5:11" x14ac:dyDescent="0.25">
      <c r="E62" t="s">
        <v>79</v>
      </c>
      <c r="F62">
        <v>655</v>
      </c>
      <c r="G62">
        <v>93</v>
      </c>
      <c r="H62">
        <v>1.8319151705719967E-2</v>
      </c>
      <c r="K62">
        <v>0.12433155080213903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30"/>
  <sheetViews>
    <sheetView topLeftCell="K5" workbookViewId="0">
      <selection activeCell="Q26" sqref="Q26"/>
    </sheetView>
  </sheetViews>
  <sheetFormatPr defaultRowHeight="15" x14ac:dyDescent="0.25"/>
  <sheetData>
    <row r="3" spans="2:21" ht="15.75" x14ac:dyDescent="0.25">
      <c r="B3" s="45" t="s">
        <v>32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spans="2:21" ht="15.75" x14ac:dyDescent="0.25">
      <c r="B4" s="42" t="s">
        <v>33</v>
      </c>
      <c r="C4" s="11"/>
      <c r="D4" s="12" t="s">
        <v>34</v>
      </c>
      <c r="E4" s="11"/>
      <c r="F4" s="44" t="s">
        <v>35</v>
      </c>
      <c r="G4" s="44"/>
      <c r="H4" s="11"/>
      <c r="I4" s="44" t="s">
        <v>36</v>
      </c>
      <c r="J4" s="44"/>
      <c r="K4" s="44"/>
      <c r="L4" s="44" t="s">
        <v>37</v>
      </c>
      <c r="M4" s="44"/>
      <c r="N4" s="44"/>
      <c r="O4" s="13"/>
    </row>
    <row r="5" spans="2:21" ht="31.5" x14ac:dyDescent="0.25">
      <c r="B5" s="43"/>
      <c r="C5" s="14" t="s">
        <v>38</v>
      </c>
      <c r="D5" s="15" t="s">
        <v>39</v>
      </c>
      <c r="E5" s="15" t="s">
        <v>40</v>
      </c>
      <c r="F5" s="14" t="s">
        <v>38</v>
      </c>
      <c r="G5" s="15" t="s">
        <v>39</v>
      </c>
      <c r="H5" s="16" t="s">
        <v>40</v>
      </c>
      <c r="I5" s="14" t="s">
        <v>38</v>
      </c>
      <c r="J5" s="14" t="s">
        <v>39</v>
      </c>
      <c r="K5" s="14" t="s">
        <v>40</v>
      </c>
      <c r="L5" s="14" t="s">
        <v>38</v>
      </c>
      <c r="M5" s="14" t="s">
        <v>39</v>
      </c>
      <c r="N5" s="14" t="s">
        <v>40</v>
      </c>
      <c r="O5" s="26" t="s">
        <v>41</v>
      </c>
      <c r="P5" s="26" t="s">
        <v>38</v>
      </c>
      <c r="Q5" s="26" t="s">
        <v>39</v>
      </c>
      <c r="R5" s="26" t="s">
        <v>40</v>
      </c>
      <c r="S5" s="26" t="s">
        <v>38</v>
      </c>
      <c r="T5" s="26" t="s">
        <v>39</v>
      </c>
      <c r="U5" s="26" t="s">
        <v>40</v>
      </c>
    </row>
    <row r="6" spans="2:21" ht="15.75" x14ac:dyDescent="0.25">
      <c r="B6" s="17">
        <v>100</v>
      </c>
      <c r="C6" s="18">
        <v>17</v>
      </c>
      <c r="D6" s="19">
        <v>18</v>
      </c>
      <c r="E6" s="18">
        <v>19</v>
      </c>
      <c r="F6" s="19">
        <v>20</v>
      </c>
      <c r="G6" s="19">
        <v>21</v>
      </c>
      <c r="H6" s="18">
        <v>22</v>
      </c>
      <c r="I6" s="19">
        <v>21</v>
      </c>
      <c r="J6" s="19">
        <v>22</v>
      </c>
      <c r="K6" s="19">
        <v>23</v>
      </c>
      <c r="L6" s="19">
        <v>19</v>
      </c>
      <c r="M6" s="19">
        <v>20</v>
      </c>
      <c r="N6" s="19">
        <v>21</v>
      </c>
      <c r="O6" s="2">
        <f>B6^0.75</f>
        <v>31.622776601683803</v>
      </c>
      <c r="P6" s="2">
        <f>AVERAGE(C6,F6,I6,L6)</f>
        <v>19.25</v>
      </c>
      <c r="Q6" s="2">
        <f t="shared" ref="Q6:R6" si="0">AVERAGE(D6,G6,J6,M6)</f>
        <v>20.25</v>
      </c>
      <c r="R6" s="2">
        <f t="shared" si="0"/>
        <v>21.25</v>
      </c>
      <c r="S6" s="8">
        <f>P6/$O6</f>
        <v>0.60873844958241285</v>
      </c>
      <c r="T6" s="8">
        <f t="shared" ref="T6:U13" si="1">Q6/$O6</f>
        <v>0.64036122618409663</v>
      </c>
      <c r="U6" s="8">
        <f t="shared" si="1"/>
        <v>0.67198400278578041</v>
      </c>
    </row>
    <row r="7" spans="2:21" ht="15.75" x14ac:dyDescent="0.25">
      <c r="B7" s="20">
        <v>200</v>
      </c>
      <c r="C7" s="21">
        <v>29</v>
      </c>
      <c r="D7" s="22">
        <v>30</v>
      </c>
      <c r="E7" s="21">
        <v>32</v>
      </c>
      <c r="F7" s="22">
        <v>33</v>
      </c>
      <c r="G7" s="22">
        <v>35</v>
      </c>
      <c r="H7" s="21">
        <v>36</v>
      </c>
      <c r="I7" s="22">
        <v>34</v>
      </c>
      <c r="J7" s="22">
        <v>36</v>
      </c>
      <c r="K7" s="22">
        <v>37</v>
      </c>
      <c r="L7" s="22">
        <v>33</v>
      </c>
      <c r="M7" s="22">
        <v>35</v>
      </c>
      <c r="N7" s="22">
        <v>36</v>
      </c>
      <c r="O7" s="2">
        <f t="shared" ref="O7:O13" si="2">B7^0.75</f>
        <v>53.182958969449857</v>
      </c>
      <c r="P7" s="2">
        <f t="shared" ref="P7:P13" si="3">AVERAGE(C7,F7,I7,L7)</f>
        <v>32.25</v>
      </c>
      <c r="Q7" s="2">
        <f t="shared" ref="Q7:Q13" si="4">AVERAGE(D7,G7,J7,M7)</f>
        <v>34</v>
      </c>
      <c r="R7" s="2">
        <f t="shared" ref="R7:R13" si="5">AVERAGE(E7,H7,K7,N7)</f>
        <v>35.25</v>
      </c>
      <c r="S7" s="8">
        <f t="shared" ref="S7:S13" si="6">P7/$O7</f>
        <v>0.60639724876018131</v>
      </c>
      <c r="T7" s="8">
        <f t="shared" si="1"/>
        <v>0.63930252582468727</v>
      </c>
      <c r="U7" s="8">
        <f t="shared" si="1"/>
        <v>0.66280629515647727</v>
      </c>
    </row>
    <row r="8" spans="2:21" ht="15.75" x14ac:dyDescent="0.25">
      <c r="B8" s="20">
        <v>300</v>
      </c>
      <c r="C8" s="21">
        <v>39</v>
      </c>
      <c r="D8" s="22">
        <v>41</v>
      </c>
      <c r="E8" s="21">
        <v>43</v>
      </c>
      <c r="F8" s="22">
        <v>45</v>
      </c>
      <c r="G8" s="22">
        <v>47</v>
      </c>
      <c r="H8" s="21">
        <v>50</v>
      </c>
      <c r="I8" s="22">
        <v>47</v>
      </c>
      <c r="J8" s="22">
        <v>49</v>
      </c>
      <c r="K8" s="22">
        <v>52</v>
      </c>
      <c r="L8" s="22">
        <v>44</v>
      </c>
      <c r="M8" s="22">
        <v>46</v>
      </c>
      <c r="N8" s="22">
        <v>48</v>
      </c>
      <c r="O8" s="2">
        <f t="shared" si="2"/>
        <v>72.084342424042617</v>
      </c>
      <c r="P8" s="2">
        <f t="shared" si="3"/>
        <v>43.75</v>
      </c>
      <c r="Q8" s="2">
        <f t="shared" si="4"/>
        <v>45.75</v>
      </c>
      <c r="R8" s="2">
        <f t="shared" si="5"/>
        <v>48.25</v>
      </c>
      <c r="S8" s="8">
        <f t="shared" si="6"/>
        <v>0.60692791983364014</v>
      </c>
      <c r="T8" s="8">
        <f t="shared" si="1"/>
        <v>0.63467319616889217</v>
      </c>
      <c r="U8" s="8">
        <f t="shared" si="1"/>
        <v>0.66935479158795741</v>
      </c>
    </row>
    <row r="9" spans="2:21" ht="15.75" x14ac:dyDescent="0.25">
      <c r="B9" s="20">
        <v>400</v>
      </c>
      <c r="C9" s="21">
        <v>49</v>
      </c>
      <c r="D9" s="22">
        <v>51</v>
      </c>
      <c r="E9" s="21">
        <v>54</v>
      </c>
      <c r="F9" s="22">
        <v>55</v>
      </c>
      <c r="G9" s="22">
        <v>58</v>
      </c>
      <c r="H9" s="21">
        <v>61</v>
      </c>
      <c r="I9" s="22">
        <v>58</v>
      </c>
      <c r="J9" s="22">
        <v>61</v>
      </c>
      <c r="K9" s="22">
        <v>64</v>
      </c>
      <c r="L9" s="22">
        <v>55</v>
      </c>
      <c r="M9" s="22">
        <v>58</v>
      </c>
      <c r="N9" s="22">
        <v>61</v>
      </c>
      <c r="O9" s="2">
        <f t="shared" si="2"/>
        <v>89.442719099991592</v>
      </c>
      <c r="P9" s="2">
        <f t="shared" si="3"/>
        <v>54.25</v>
      </c>
      <c r="Q9" s="2">
        <f t="shared" si="4"/>
        <v>57</v>
      </c>
      <c r="R9" s="2">
        <f t="shared" si="5"/>
        <v>60</v>
      </c>
      <c r="S9" s="8">
        <f t="shared" si="6"/>
        <v>0.60653343889681788</v>
      </c>
      <c r="T9" s="8">
        <f t="shared" si="1"/>
        <v>0.63727937358744002</v>
      </c>
      <c r="U9" s="8">
        <f t="shared" si="1"/>
        <v>0.67082039324993692</v>
      </c>
    </row>
    <row r="10" spans="2:21" ht="15.75" x14ac:dyDescent="0.25">
      <c r="B10" s="20">
        <v>500</v>
      </c>
      <c r="C10" s="21">
        <v>58</v>
      </c>
      <c r="D10" s="22">
        <v>61</v>
      </c>
      <c r="E10" s="21">
        <v>64</v>
      </c>
      <c r="F10" s="22">
        <v>66</v>
      </c>
      <c r="G10" s="22">
        <v>69</v>
      </c>
      <c r="H10" s="21">
        <v>73</v>
      </c>
      <c r="I10" s="22">
        <v>69</v>
      </c>
      <c r="J10" s="22">
        <v>72</v>
      </c>
      <c r="K10" s="22">
        <v>76</v>
      </c>
      <c r="L10" s="22">
        <v>65</v>
      </c>
      <c r="M10" s="22">
        <v>68</v>
      </c>
      <c r="N10" s="22">
        <v>72</v>
      </c>
      <c r="O10" s="2">
        <f t="shared" si="2"/>
        <v>105.73712634405643</v>
      </c>
      <c r="P10" s="2">
        <f t="shared" si="3"/>
        <v>64.5</v>
      </c>
      <c r="Q10" s="2">
        <f t="shared" si="4"/>
        <v>67.5</v>
      </c>
      <c r="R10" s="2">
        <f t="shared" si="5"/>
        <v>71.25</v>
      </c>
      <c r="S10" s="8">
        <f t="shared" si="6"/>
        <v>0.6100033378070483</v>
      </c>
      <c r="T10" s="8">
        <f t="shared" si="1"/>
        <v>0.63837558607714351</v>
      </c>
      <c r="U10" s="8">
        <f t="shared" si="1"/>
        <v>0.67384089641476264</v>
      </c>
    </row>
    <row r="11" spans="2:21" ht="15.75" x14ac:dyDescent="0.25">
      <c r="B11" s="20">
        <v>600</v>
      </c>
      <c r="C11" s="21">
        <v>66</v>
      </c>
      <c r="D11" s="22">
        <v>69</v>
      </c>
      <c r="E11" s="21">
        <v>73</v>
      </c>
      <c r="F11" s="22">
        <v>75</v>
      </c>
      <c r="G11" s="22">
        <v>79</v>
      </c>
      <c r="H11" s="21">
        <v>83</v>
      </c>
      <c r="I11" s="22">
        <v>79</v>
      </c>
      <c r="J11" s="22">
        <v>83</v>
      </c>
      <c r="K11" s="22">
        <v>87</v>
      </c>
      <c r="L11" s="22">
        <v>74</v>
      </c>
      <c r="M11" s="22">
        <v>78</v>
      </c>
      <c r="N11" s="22">
        <v>81</v>
      </c>
      <c r="O11" s="2">
        <f t="shared" si="2"/>
        <v>121.23093028059735</v>
      </c>
      <c r="P11" s="2">
        <f t="shared" si="3"/>
        <v>73.5</v>
      </c>
      <c r="Q11" s="2">
        <f t="shared" si="4"/>
        <v>77.25</v>
      </c>
      <c r="R11" s="2">
        <f t="shared" si="5"/>
        <v>81</v>
      </c>
      <c r="S11" s="8">
        <f t="shared" si="6"/>
        <v>0.60628092047037152</v>
      </c>
      <c r="T11" s="8">
        <f t="shared" si="1"/>
        <v>0.63721362049437014</v>
      </c>
      <c r="U11" s="8">
        <f t="shared" si="1"/>
        <v>0.66814632051836864</v>
      </c>
    </row>
    <row r="12" spans="2:21" ht="15.75" x14ac:dyDescent="0.25">
      <c r="B12" s="20">
        <v>700</v>
      </c>
      <c r="C12" s="21">
        <v>75</v>
      </c>
      <c r="D12" s="22">
        <v>79</v>
      </c>
      <c r="E12" s="21">
        <v>83</v>
      </c>
      <c r="F12" s="22">
        <v>84</v>
      </c>
      <c r="G12" s="22">
        <v>88</v>
      </c>
      <c r="H12" s="21">
        <v>92</v>
      </c>
      <c r="I12" s="22">
        <v>88</v>
      </c>
      <c r="J12" s="22">
        <v>92</v>
      </c>
      <c r="K12" s="22">
        <v>97</v>
      </c>
      <c r="L12" s="22">
        <v>83</v>
      </c>
      <c r="M12" s="22">
        <v>87</v>
      </c>
      <c r="N12" s="22">
        <v>91</v>
      </c>
      <c r="O12" s="2">
        <f t="shared" si="2"/>
        <v>136.0891589269774</v>
      </c>
      <c r="P12" s="2">
        <f t="shared" si="3"/>
        <v>82.5</v>
      </c>
      <c r="Q12" s="2">
        <f t="shared" si="4"/>
        <v>86.5</v>
      </c>
      <c r="R12" s="2">
        <f t="shared" si="5"/>
        <v>90.75</v>
      </c>
      <c r="S12" s="8">
        <f t="shared" si="6"/>
        <v>0.60622022099694051</v>
      </c>
      <c r="T12" s="8">
        <f t="shared" si="1"/>
        <v>0.6356127165604285</v>
      </c>
      <c r="U12" s="8">
        <f t="shared" si="1"/>
        <v>0.66684224309663453</v>
      </c>
    </row>
    <row r="13" spans="2:21" ht="15.75" x14ac:dyDescent="0.25">
      <c r="B13" s="23">
        <v>800</v>
      </c>
      <c r="C13" s="24">
        <v>82</v>
      </c>
      <c r="D13" s="25">
        <v>86</v>
      </c>
      <c r="E13" s="24">
        <v>90</v>
      </c>
      <c r="F13" s="25">
        <v>93</v>
      </c>
      <c r="G13" s="25">
        <v>98</v>
      </c>
      <c r="H13" s="24">
        <v>102</v>
      </c>
      <c r="I13" s="25">
        <v>98</v>
      </c>
      <c r="J13" s="25">
        <v>103</v>
      </c>
      <c r="K13" s="25">
        <v>108</v>
      </c>
      <c r="L13" s="25">
        <v>92</v>
      </c>
      <c r="M13" s="25">
        <v>97</v>
      </c>
      <c r="N13" s="25">
        <v>101</v>
      </c>
      <c r="O13" s="2">
        <f t="shared" si="2"/>
        <v>150.42412372345569</v>
      </c>
      <c r="P13" s="2">
        <f t="shared" si="3"/>
        <v>91.25</v>
      </c>
      <c r="Q13" s="2">
        <f t="shared" si="4"/>
        <v>96</v>
      </c>
      <c r="R13" s="2">
        <f t="shared" si="5"/>
        <v>100.25</v>
      </c>
      <c r="S13" s="8">
        <f t="shared" si="6"/>
        <v>0.60661812574528795</v>
      </c>
      <c r="T13" s="8">
        <f t="shared" si="1"/>
        <v>0.63819550763339883</v>
      </c>
      <c r="U13" s="8">
        <f t="shared" si="1"/>
        <v>0.66644895458591913</v>
      </c>
    </row>
    <row r="14" spans="2:21" x14ac:dyDescent="0.25">
      <c r="P14" s="9"/>
      <c r="Q14" s="9"/>
      <c r="R14" s="1" t="s">
        <v>52</v>
      </c>
      <c r="S14" s="27">
        <f>AVERAGE(S6:S13)</f>
        <v>0.60721495776158751</v>
      </c>
      <c r="T14" s="27">
        <f t="shared" ref="T14:U14" si="7">AVERAGE(T6:T13)</f>
        <v>0.63762671906630719</v>
      </c>
      <c r="U14" s="27">
        <f t="shared" si="7"/>
        <v>0.66878048717447958</v>
      </c>
    </row>
    <row r="15" spans="2:21" x14ac:dyDescent="0.25">
      <c r="R15" t="s">
        <v>53</v>
      </c>
      <c r="S15" s="8">
        <f>_xlfn.STDEV.P(S6:S13)</f>
        <v>1.3004678340959768E-3</v>
      </c>
      <c r="T15" s="8">
        <f t="shared" ref="T15:U15" si="8">_xlfn.STDEV.P(T6:T13)</f>
        <v>1.7407247992471731E-3</v>
      </c>
      <c r="U15" s="8">
        <f t="shared" si="8"/>
        <v>3.2719884672688794E-3</v>
      </c>
    </row>
    <row r="17" spans="2:21" x14ac:dyDescent="0.25">
      <c r="B17" s="41" t="s">
        <v>51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</row>
    <row r="18" spans="2:21" x14ac:dyDescent="0.25"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</row>
    <row r="19" spans="2:21" ht="15.75" x14ac:dyDescent="0.25">
      <c r="B19" s="42" t="s">
        <v>33</v>
      </c>
      <c r="C19" s="11"/>
      <c r="D19" s="12" t="s">
        <v>34</v>
      </c>
      <c r="E19" s="11"/>
      <c r="F19" s="44" t="s">
        <v>35</v>
      </c>
      <c r="G19" s="44"/>
      <c r="H19" s="11"/>
      <c r="I19" s="44" t="s">
        <v>36</v>
      </c>
      <c r="J19" s="44"/>
      <c r="K19" s="44"/>
      <c r="L19" s="44" t="s">
        <v>37</v>
      </c>
      <c r="M19" s="44"/>
      <c r="N19" s="44"/>
      <c r="O19" s="13"/>
    </row>
    <row r="20" spans="2:21" ht="31.5" x14ac:dyDescent="0.25">
      <c r="B20" s="43"/>
      <c r="C20" s="14" t="s">
        <v>38</v>
      </c>
      <c r="D20" s="15" t="s">
        <v>39</v>
      </c>
      <c r="E20" s="15" t="s">
        <v>40</v>
      </c>
      <c r="F20" s="14" t="s">
        <v>38</v>
      </c>
      <c r="G20" s="15" t="s">
        <v>39</v>
      </c>
      <c r="H20" s="15" t="s">
        <v>40</v>
      </c>
      <c r="I20" s="14" t="s">
        <v>38</v>
      </c>
      <c r="J20" s="14" t="s">
        <v>39</v>
      </c>
      <c r="K20" s="30" t="s">
        <v>40</v>
      </c>
      <c r="L20" s="14" t="s">
        <v>38</v>
      </c>
      <c r="M20" s="14" t="s">
        <v>39</v>
      </c>
      <c r="N20" s="30" t="s">
        <v>40</v>
      </c>
      <c r="O20" s="26" t="s">
        <v>41</v>
      </c>
      <c r="P20" s="26" t="s">
        <v>38</v>
      </c>
      <c r="Q20" s="26" t="s">
        <v>39</v>
      </c>
      <c r="R20" s="26" t="s">
        <v>40</v>
      </c>
      <c r="S20" s="26" t="s">
        <v>38</v>
      </c>
      <c r="T20" s="26" t="s">
        <v>39</v>
      </c>
      <c r="U20" s="26" t="s">
        <v>40</v>
      </c>
    </row>
    <row r="21" spans="2:21" ht="15.75" x14ac:dyDescent="0.25">
      <c r="B21" s="17">
        <v>100</v>
      </c>
      <c r="C21" s="18">
        <v>17</v>
      </c>
      <c r="D21" s="19">
        <v>18</v>
      </c>
      <c r="E21" s="18">
        <v>19</v>
      </c>
      <c r="F21" s="19">
        <v>16</v>
      </c>
      <c r="G21" s="19">
        <v>17</v>
      </c>
      <c r="H21" s="18">
        <v>18</v>
      </c>
      <c r="I21" s="19">
        <v>18</v>
      </c>
      <c r="J21" s="19">
        <v>19</v>
      </c>
      <c r="K21" s="31">
        <v>20</v>
      </c>
      <c r="L21" s="19">
        <v>18</v>
      </c>
      <c r="M21" s="19">
        <v>19</v>
      </c>
      <c r="N21" s="31">
        <v>20</v>
      </c>
      <c r="O21" s="2">
        <f>B21^0.75</f>
        <v>31.622776601683803</v>
      </c>
      <c r="P21" s="2">
        <f>AVERAGE(C21,F21,I21,L21)</f>
        <v>17.25</v>
      </c>
      <c r="Q21" s="2">
        <f t="shared" ref="Q21:Q28" si="9">AVERAGE(D21,G21,J21,M21)</f>
        <v>18.25</v>
      </c>
      <c r="R21" s="2">
        <f t="shared" ref="R21:R28" si="10">AVERAGE(E21,H21,K21,N21)</f>
        <v>19.25</v>
      </c>
      <c r="S21" s="8">
        <f>P21/$O21</f>
        <v>0.5454928963790453</v>
      </c>
      <c r="T21" s="8">
        <f t="shared" ref="T21:T28" si="11">Q21/$O21</f>
        <v>0.57711567298072908</v>
      </c>
      <c r="U21" s="8">
        <f t="shared" ref="U21:U28" si="12">R21/$O21</f>
        <v>0.60873844958241285</v>
      </c>
    </row>
    <row r="22" spans="2:21" ht="15.75" x14ac:dyDescent="0.25">
      <c r="B22" s="20">
        <v>200</v>
      </c>
      <c r="C22" s="21">
        <v>29</v>
      </c>
      <c r="D22" s="22">
        <v>30</v>
      </c>
      <c r="E22" s="21">
        <v>32</v>
      </c>
      <c r="F22" s="22">
        <v>28</v>
      </c>
      <c r="G22" s="22">
        <v>29</v>
      </c>
      <c r="H22" s="21">
        <v>31</v>
      </c>
      <c r="I22" s="22">
        <v>30</v>
      </c>
      <c r="J22" s="22">
        <v>32</v>
      </c>
      <c r="K22" s="32">
        <v>33</v>
      </c>
      <c r="L22" s="22">
        <v>31</v>
      </c>
      <c r="M22" s="22">
        <v>33</v>
      </c>
      <c r="N22" s="32">
        <v>34</v>
      </c>
      <c r="O22" s="2">
        <f t="shared" ref="O22:O28" si="13">B22^0.75</f>
        <v>53.182958969449857</v>
      </c>
      <c r="P22" s="2">
        <f t="shared" ref="P22:P28" si="14">AVERAGE(C22,F22,I22,L22)</f>
        <v>29.5</v>
      </c>
      <c r="Q22" s="2">
        <f t="shared" si="9"/>
        <v>31</v>
      </c>
      <c r="R22" s="2">
        <f t="shared" si="10"/>
        <v>32.5</v>
      </c>
      <c r="S22" s="8">
        <f t="shared" ref="S22:S28" si="15">P22/$O22</f>
        <v>0.55468895623024339</v>
      </c>
      <c r="T22" s="8">
        <f t="shared" si="11"/>
        <v>0.58289347942839131</v>
      </c>
      <c r="U22" s="8">
        <f t="shared" si="12"/>
        <v>0.61109800262653935</v>
      </c>
    </row>
    <row r="23" spans="2:21" ht="15.75" x14ac:dyDescent="0.25">
      <c r="B23" s="20">
        <v>300</v>
      </c>
      <c r="C23" s="21">
        <v>39</v>
      </c>
      <c r="D23" s="22">
        <v>41</v>
      </c>
      <c r="E23" s="21">
        <v>43</v>
      </c>
      <c r="F23" s="22">
        <v>38</v>
      </c>
      <c r="G23" s="22">
        <v>40</v>
      </c>
      <c r="H23" s="21">
        <v>42</v>
      </c>
      <c r="I23" s="22">
        <v>41</v>
      </c>
      <c r="J23" s="22">
        <v>43</v>
      </c>
      <c r="K23" s="32">
        <v>45</v>
      </c>
      <c r="L23" s="22">
        <v>42</v>
      </c>
      <c r="M23" s="22">
        <v>44</v>
      </c>
      <c r="N23" s="32">
        <v>46</v>
      </c>
      <c r="O23" s="2">
        <f t="shared" si="13"/>
        <v>72.084342424042617</v>
      </c>
      <c r="P23" s="2">
        <f t="shared" si="14"/>
        <v>40</v>
      </c>
      <c r="Q23" s="2">
        <f t="shared" si="9"/>
        <v>42</v>
      </c>
      <c r="R23" s="2">
        <f t="shared" si="10"/>
        <v>44</v>
      </c>
      <c r="S23" s="8">
        <f t="shared" si="15"/>
        <v>0.55490552670504234</v>
      </c>
      <c r="T23" s="8">
        <f t="shared" si="11"/>
        <v>0.58265080304029448</v>
      </c>
      <c r="U23" s="8">
        <f t="shared" si="12"/>
        <v>0.61039607937554663</v>
      </c>
    </row>
    <row r="24" spans="2:21" ht="15.75" x14ac:dyDescent="0.25">
      <c r="B24" s="20">
        <v>400</v>
      </c>
      <c r="C24" s="21">
        <v>49</v>
      </c>
      <c r="D24" s="22">
        <v>51</v>
      </c>
      <c r="E24" s="21">
        <v>54</v>
      </c>
      <c r="F24" s="22">
        <v>47</v>
      </c>
      <c r="G24" s="22">
        <v>49</v>
      </c>
      <c r="H24" s="21">
        <v>52</v>
      </c>
      <c r="I24" s="22">
        <v>51</v>
      </c>
      <c r="J24" s="22">
        <v>54</v>
      </c>
      <c r="K24" s="32">
        <v>56</v>
      </c>
      <c r="L24" s="22">
        <v>52</v>
      </c>
      <c r="M24" s="22">
        <v>55</v>
      </c>
      <c r="N24" s="32">
        <v>57</v>
      </c>
      <c r="O24" s="2">
        <f t="shared" si="13"/>
        <v>89.442719099991592</v>
      </c>
      <c r="P24" s="2">
        <f t="shared" si="14"/>
        <v>49.75</v>
      </c>
      <c r="Q24" s="2">
        <f t="shared" si="9"/>
        <v>52.25</v>
      </c>
      <c r="R24" s="2">
        <f t="shared" si="10"/>
        <v>54.75</v>
      </c>
      <c r="S24" s="8">
        <f t="shared" si="15"/>
        <v>0.5562219094030727</v>
      </c>
      <c r="T24" s="8">
        <f t="shared" si="11"/>
        <v>0.58417275912181998</v>
      </c>
      <c r="U24" s="8">
        <f t="shared" si="12"/>
        <v>0.61212360884056738</v>
      </c>
    </row>
    <row r="25" spans="2:21" ht="15.75" x14ac:dyDescent="0.25">
      <c r="B25" s="20">
        <v>500</v>
      </c>
      <c r="C25" s="21">
        <v>58</v>
      </c>
      <c r="D25" s="22">
        <v>61</v>
      </c>
      <c r="E25" s="21">
        <v>64</v>
      </c>
      <c r="F25" s="22">
        <v>55</v>
      </c>
      <c r="G25" s="22">
        <v>58</v>
      </c>
      <c r="H25" s="21">
        <v>61</v>
      </c>
      <c r="I25" s="22">
        <v>60</v>
      </c>
      <c r="J25" s="22">
        <v>63</v>
      </c>
      <c r="K25" s="32">
        <v>66</v>
      </c>
      <c r="L25" s="22">
        <v>61</v>
      </c>
      <c r="M25" s="22">
        <v>64</v>
      </c>
      <c r="N25" s="32">
        <v>67</v>
      </c>
      <c r="O25" s="2">
        <f t="shared" si="13"/>
        <v>105.73712634405643</v>
      </c>
      <c r="P25" s="2">
        <f t="shared" si="14"/>
        <v>58.5</v>
      </c>
      <c r="Q25" s="2">
        <f t="shared" si="9"/>
        <v>61.5</v>
      </c>
      <c r="R25" s="2">
        <f t="shared" si="10"/>
        <v>64.5</v>
      </c>
      <c r="S25" s="8">
        <f t="shared" si="15"/>
        <v>0.55325884126685776</v>
      </c>
      <c r="T25" s="8">
        <f t="shared" si="11"/>
        <v>0.58163108953695297</v>
      </c>
      <c r="U25" s="8">
        <f t="shared" si="12"/>
        <v>0.6100033378070483</v>
      </c>
    </row>
    <row r="26" spans="2:21" ht="15.75" x14ac:dyDescent="0.25">
      <c r="B26" s="20">
        <v>600</v>
      </c>
      <c r="C26" s="21">
        <v>66</v>
      </c>
      <c r="D26" s="22">
        <v>69</v>
      </c>
      <c r="E26" s="21">
        <v>73</v>
      </c>
      <c r="F26" s="22">
        <v>63</v>
      </c>
      <c r="G26" s="22">
        <v>66</v>
      </c>
      <c r="H26" s="21">
        <v>69</v>
      </c>
      <c r="I26" s="22">
        <v>69</v>
      </c>
      <c r="J26" s="22">
        <v>72</v>
      </c>
      <c r="K26" s="32">
        <v>76</v>
      </c>
      <c r="L26" s="22">
        <v>70</v>
      </c>
      <c r="M26" s="22">
        <v>74</v>
      </c>
      <c r="N26" s="32">
        <v>77</v>
      </c>
      <c r="O26" s="2">
        <f t="shared" si="13"/>
        <v>121.23093028059735</v>
      </c>
      <c r="P26" s="2">
        <f t="shared" si="14"/>
        <v>67</v>
      </c>
      <c r="Q26" s="2">
        <f t="shared" si="9"/>
        <v>70.25</v>
      </c>
      <c r="R26" s="2">
        <f t="shared" si="10"/>
        <v>73.75</v>
      </c>
      <c r="S26" s="8">
        <f t="shared" si="15"/>
        <v>0.55266424042877405</v>
      </c>
      <c r="T26" s="8">
        <f t="shared" si="11"/>
        <v>0.57947258044957284</v>
      </c>
      <c r="U26" s="8">
        <f t="shared" si="12"/>
        <v>0.60834310047197149</v>
      </c>
    </row>
    <row r="27" spans="2:21" ht="15.75" x14ac:dyDescent="0.25">
      <c r="B27" s="20">
        <v>700</v>
      </c>
      <c r="C27" s="21">
        <v>75</v>
      </c>
      <c r="D27" s="22">
        <v>79</v>
      </c>
      <c r="E27" s="21">
        <v>83</v>
      </c>
      <c r="F27" s="22">
        <v>71</v>
      </c>
      <c r="G27" s="22">
        <v>75</v>
      </c>
      <c r="H27" s="21">
        <v>78</v>
      </c>
      <c r="I27" s="22">
        <v>78</v>
      </c>
      <c r="J27" s="22">
        <v>82</v>
      </c>
      <c r="K27" s="32">
        <v>86</v>
      </c>
      <c r="L27" s="22">
        <v>79</v>
      </c>
      <c r="M27" s="22">
        <v>83</v>
      </c>
      <c r="N27" s="32">
        <v>87</v>
      </c>
      <c r="O27" s="2">
        <f t="shared" si="13"/>
        <v>136.0891589269774</v>
      </c>
      <c r="P27" s="2">
        <f t="shared" si="14"/>
        <v>75.75</v>
      </c>
      <c r="Q27" s="2">
        <f t="shared" si="9"/>
        <v>79.75</v>
      </c>
      <c r="R27" s="2">
        <f t="shared" si="10"/>
        <v>83.5</v>
      </c>
      <c r="S27" s="8">
        <f t="shared" si="15"/>
        <v>0.55662038473355446</v>
      </c>
      <c r="T27" s="8">
        <f t="shared" si="11"/>
        <v>0.58601288029704246</v>
      </c>
      <c r="U27" s="8">
        <f t="shared" si="12"/>
        <v>0.61356834488781253</v>
      </c>
    </row>
    <row r="28" spans="2:21" ht="15.75" x14ac:dyDescent="0.25">
      <c r="B28" s="23">
        <v>800</v>
      </c>
      <c r="C28" s="24">
        <v>82</v>
      </c>
      <c r="D28" s="25">
        <v>86</v>
      </c>
      <c r="E28" s="24">
        <v>90</v>
      </c>
      <c r="F28" s="25">
        <v>78</v>
      </c>
      <c r="G28" s="25">
        <v>82</v>
      </c>
      <c r="H28" s="24">
        <v>86</v>
      </c>
      <c r="I28" s="25">
        <v>86</v>
      </c>
      <c r="J28" s="25">
        <v>90</v>
      </c>
      <c r="K28" s="33">
        <v>95</v>
      </c>
      <c r="L28" s="25">
        <v>87</v>
      </c>
      <c r="M28" s="25">
        <v>91</v>
      </c>
      <c r="N28" s="33">
        <v>96</v>
      </c>
      <c r="O28" s="2">
        <f t="shared" si="13"/>
        <v>150.42412372345569</v>
      </c>
      <c r="P28" s="2">
        <f t="shared" si="14"/>
        <v>83.25</v>
      </c>
      <c r="Q28" s="2">
        <f t="shared" si="9"/>
        <v>87.25</v>
      </c>
      <c r="R28" s="2">
        <f t="shared" si="10"/>
        <v>91.75</v>
      </c>
      <c r="S28" s="8">
        <f t="shared" si="15"/>
        <v>0.55343516677583804</v>
      </c>
      <c r="T28" s="8">
        <f t="shared" si="11"/>
        <v>0.58002664626056299</v>
      </c>
      <c r="U28" s="8">
        <f t="shared" si="12"/>
        <v>0.60994206068087853</v>
      </c>
    </row>
    <row r="29" spans="2:21" x14ac:dyDescent="0.25">
      <c r="P29" s="9"/>
      <c r="Q29" s="9"/>
      <c r="R29" s="1" t="s">
        <v>52</v>
      </c>
      <c r="S29" s="27">
        <f>AVERAGE(S21:S28)</f>
        <v>0.55341099024030349</v>
      </c>
      <c r="T29" s="27">
        <f t="shared" ref="T29:U29" si="16">AVERAGE(T21:T28)</f>
        <v>0.58174698888942067</v>
      </c>
      <c r="U29" s="27">
        <f t="shared" si="16"/>
        <v>0.6105266230340971</v>
      </c>
    </row>
    <row r="30" spans="2:21" x14ac:dyDescent="0.25">
      <c r="R30" t="s">
        <v>53</v>
      </c>
      <c r="S30" s="8">
        <f>_xlfn.STDEV.P(S21:S28)</f>
        <v>3.2662267098387964E-3</v>
      </c>
      <c r="T30" s="8">
        <f t="shared" ref="T30:U30" si="17">_xlfn.STDEV.P(T21:T28)</f>
        <v>2.6412247044506464E-3</v>
      </c>
      <c r="U30" s="8">
        <f t="shared" si="17"/>
        <v>1.6096128196383399E-3</v>
      </c>
    </row>
  </sheetData>
  <mergeCells count="10">
    <mergeCell ref="B3:O3"/>
    <mergeCell ref="B4:B5"/>
    <mergeCell ref="F4:G4"/>
    <mergeCell ref="I4:K4"/>
    <mergeCell ref="L4:N4"/>
    <mergeCell ref="B17:O18"/>
    <mergeCell ref="B19:B20"/>
    <mergeCell ref="F19:G19"/>
    <mergeCell ref="I19:K19"/>
    <mergeCell ref="L19:N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Feed rations</vt:lpstr>
      <vt:lpstr>ME req young horses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2023-06-15T08:56:50Z</dcterms:modified>
</cp:coreProperties>
</file>