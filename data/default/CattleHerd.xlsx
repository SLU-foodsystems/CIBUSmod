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18360" windowHeight="6705" tabRatio="846" activeTab="1"/>
  </bookViews>
  <sheets>
    <sheet name="references" sheetId="13" r:id="rId1"/>
    <sheet name="default" sheetId="1" r:id="rId2"/>
    <sheet name="Antal djur" sheetId="8" r:id="rId3"/>
    <sheet name="Foderstater" sheetId="21" r:id="rId4"/>
    <sheet name="G&amp;D slakt" sheetId="9" r:id="rId5"/>
    <sheet name="G&amp;D slakt (ny)" sheetId="22" r:id="rId6"/>
    <sheet name="G&amp;D sammanställning" sheetId="10" r:id="rId7"/>
    <sheet name="Växa slakt" sheetId="11" r:id="rId8"/>
    <sheet name="Invägd mjölk" sheetId="12" r:id="rId9"/>
    <sheet name="Energy req." sheetId="14" r:id="rId10"/>
    <sheet name="LW" sheetId="20" r:id="rId11"/>
    <sheet name="LW int=0" sheetId="19" r:id="rId12"/>
  </sheets>
  <definedNames>
    <definedName name="_xlnm._FilterDatabase" localSheetId="4" hidden="1">'G&amp;D slakt'!$A$1:$H$421</definedName>
    <definedName name="solver_adj" localSheetId="2" hidden="1">'Antal djur'!$P$39:$P$40,'Antal djur'!$T$36:$T$37,'Antal djur'!$AM$39:$AM$40,'Antal djur'!$AQ$36:$AQ$37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'Antal djur'!#REF!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62913"/>
  <pivotCaches>
    <pivotCache cacheId="1" r:id="rId13"/>
  </pivotCaches>
</workbook>
</file>

<file path=xl/calcChain.xml><?xml version="1.0" encoding="utf-8"?>
<calcChain xmlns="http://schemas.openxmlformats.org/spreadsheetml/2006/main">
  <c r="K32" i="1" l="1"/>
  <c r="K55" i="1"/>
  <c r="K54" i="1"/>
  <c r="K68" i="1"/>
  <c r="K67" i="1"/>
  <c r="K33" i="1"/>
  <c r="K57" i="1" s="1"/>
  <c r="AL21" i="21"/>
  <c r="AL22" i="21" s="1"/>
  <c r="AK21" i="21"/>
  <c r="AK22" i="21" s="1"/>
  <c r="AJ21" i="21"/>
  <c r="AJ22" i="21" s="1"/>
  <c r="AI21" i="21"/>
  <c r="AI22" i="21" s="1"/>
  <c r="AH21" i="21"/>
  <c r="AH22" i="21" s="1"/>
  <c r="AG21" i="21"/>
  <c r="AG22" i="21" s="1"/>
  <c r="AE22" i="21"/>
  <c r="AD22" i="21"/>
  <c r="AF21" i="21"/>
  <c r="AF22" i="21" s="1"/>
  <c r="AE21" i="21"/>
  <c r="AD21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K56" i="1" l="1"/>
  <c r="K193" i="1" s="1"/>
  <c r="O52" i="1"/>
  <c r="K52" i="1" s="1"/>
  <c r="K192" i="1" s="1"/>
  <c r="K51" i="1"/>
  <c r="K191" i="1" s="1"/>
  <c r="K64" i="1"/>
  <c r="K197" i="1" s="1"/>
  <c r="K65" i="1"/>
  <c r="K198" i="1" s="1"/>
  <c r="AF63" i="21" l="1"/>
  <c r="L117" i="21"/>
  <c r="AF86" i="21" s="1"/>
  <c r="AF62" i="21"/>
  <c r="AF100" i="21"/>
  <c r="AF99" i="21"/>
  <c r="AF98" i="21"/>
  <c r="AF97" i="21"/>
  <c r="AF96" i="21"/>
  <c r="AF95" i="21"/>
  <c r="AF94" i="21"/>
  <c r="AF93" i="21"/>
  <c r="AF92" i="21"/>
  <c r="AF91" i="21"/>
  <c r="AF90" i="21"/>
  <c r="AF89" i="21"/>
  <c r="AF88" i="21"/>
  <c r="AF87" i="21"/>
  <c r="AF85" i="21"/>
  <c r="AF84" i="21"/>
  <c r="AF83" i="21"/>
  <c r="AF82" i="21"/>
  <c r="AF81" i="21"/>
  <c r="AF80" i="21"/>
  <c r="AF79" i="21"/>
  <c r="AF78" i="21"/>
  <c r="AF77" i="21"/>
  <c r="AF76" i="21"/>
  <c r="AF75" i="21"/>
  <c r="AF74" i="21"/>
  <c r="AF73" i="21"/>
  <c r="AF72" i="21"/>
  <c r="AF71" i="21"/>
  <c r="AF69" i="21"/>
  <c r="AF68" i="21"/>
  <c r="AF67" i="21"/>
  <c r="AF66" i="21"/>
  <c r="AF65" i="21"/>
  <c r="AF64" i="21"/>
  <c r="F375" i="1"/>
  <c r="K375" i="1" s="1"/>
  <c r="F374" i="1"/>
  <c r="K374" i="1" s="1"/>
  <c r="F373" i="1"/>
  <c r="K373" i="1" s="1"/>
  <c r="F372" i="1"/>
  <c r="K372" i="1" s="1"/>
  <c r="F371" i="1"/>
  <c r="K371" i="1" s="1"/>
  <c r="F370" i="1"/>
  <c r="K370" i="1" s="1"/>
  <c r="F369" i="1"/>
  <c r="K369" i="1" s="1"/>
  <c r="F368" i="1"/>
  <c r="K368" i="1" s="1"/>
  <c r="F367" i="1"/>
  <c r="K367" i="1" s="1"/>
  <c r="F366" i="1"/>
  <c r="K366" i="1" s="1"/>
  <c r="F365" i="1"/>
  <c r="K365" i="1" s="1"/>
  <c r="F364" i="1"/>
  <c r="K364" i="1" s="1"/>
  <c r="F363" i="1"/>
  <c r="K363" i="1" s="1"/>
  <c r="F362" i="1"/>
  <c r="K362" i="1" s="1"/>
  <c r="F361" i="1"/>
  <c r="K361" i="1" s="1"/>
  <c r="F360" i="1"/>
  <c r="K360" i="1" s="1"/>
  <c r="F359" i="1"/>
  <c r="K359" i="1" s="1"/>
  <c r="F358" i="1"/>
  <c r="K358" i="1" s="1"/>
  <c r="F357" i="1"/>
  <c r="K357" i="1" s="1"/>
  <c r="F356" i="1"/>
  <c r="K356" i="1" s="1"/>
  <c r="F355" i="1"/>
  <c r="K355" i="1" s="1"/>
  <c r="F354" i="1"/>
  <c r="K354" i="1" s="1"/>
  <c r="F353" i="1"/>
  <c r="K353" i="1" s="1"/>
  <c r="F352" i="1"/>
  <c r="K352" i="1" s="1"/>
  <c r="F351" i="1"/>
  <c r="K351" i="1" s="1"/>
  <c r="F350" i="1"/>
  <c r="K350" i="1" s="1"/>
  <c r="F349" i="1"/>
  <c r="K349" i="1" s="1"/>
  <c r="F348" i="1"/>
  <c r="K348" i="1" s="1"/>
  <c r="F347" i="1"/>
  <c r="K347" i="1" s="1"/>
  <c r="F346" i="1"/>
  <c r="K346" i="1" s="1"/>
  <c r="F345" i="1"/>
  <c r="K345" i="1" s="1"/>
  <c r="F344" i="1"/>
  <c r="K344" i="1" s="1"/>
  <c r="F343" i="1"/>
  <c r="K343" i="1" s="1"/>
  <c r="F342" i="1"/>
  <c r="K342" i="1" s="1"/>
  <c r="F341" i="1"/>
  <c r="K341" i="1" s="1"/>
  <c r="F340" i="1"/>
  <c r="K340" i="1" s="1"/>
  <c r="F339" i="1"/>
  <c r="K339" i="1" s="1"/>
  <c r="F338" i="1"/>
  <c r="K338" i="1" s="1"/>
  <c r="L114" i="21"/>
  <c r="L72" i="21"/>
  <c r="L71" i="21"/>
  <c r="L69" i="21"/>
  <c r="L68" i="21"/>
  <c r="K35" i="1"/>
  <c r="K34" i="1"/>
  <c r="K47" i="1"/>
  <c r="K46" i="1"/>
  <c r="AF105" i="21" l="1"/>
  <c r="AF101" i="21"/>
  <c r="AF70" i="21"/>
  <c r="AF106" i="21"/>
  <c r="AF103" i="21"/>
  <c r="F668" i="1"/>
  <c r="K668" i="1" s="1"/>
  <c r="F667" i="1"/>
  <c r="K667" i="1" s="1"/>
  <c r="F666" i="1"/>
  <c r="K666" i="1" s="1"/>
  <c r="F665" i="1"/>
  <c r="K665" i="1" s="1"/>
  <c r="F664" i="1"/>
  <c r="K664" i="1" s="1"/>
  <c r="F663" i="1"/>
  <c r="K663" i="1" s="1"/>
  <c r="F662" i="1"/>
  <c r="K662" i="1" s="1"/>
  <c r="F661" i="1"/>
  <c r="K661" i="1" s="1"/>
  <c r="F660" i="1"/>
  <c r="K660" i="1" s="1"/>
  <c r="F659" i="1"/>
  <c r="K659" i="1" s="1"/>
  <c r="F658" i="1"/>
  <c r="K658" i="1" s="1"/>
  <c r="F657" i="1"/>
  <c r="K657" i="1" s="1"/>
  <c r="F656" i="1"/>
  <c r="K656" i="1" s="1"/>
  <c r="F655" i="1"/>
  <c r="K655" i="1" s="1"/>
  <c r="F654" i="1"/>
  <c r="K654" i="1" s="1"/>
  <c r="F653" i="1"/>
  <c r="K653" i="1" s="1"/>
  <c r="F652" i="1"/>
  <c r="K652" i="1" s="1"/>
  <c r="J651" i="1"/>
  <c r="F650" i="1"/>
  <c r="K650" i="1" s="1"/>
  <c r="K651" i="1" s="1"/>
  <c r="F649" i="1"/>
  <c r="K649" i="1" s="1"/>
  <c r="F648" i="1"/>
  <c r="K648" i="1" s="1"/>
  <c r="F647" i="1"/>
  <c r="K647" i="1" s="1"/>
  <c r="F646" i="1"/>
  <c r="K646" i="1" s="1"/>
  <c r="F645" i="1"/>
  <c r="K645" i="1" s="1"/>
  <c r="F644" i="1"/>
  <c r="K644" i="1" s="1"/>
  <c r="F643" i="1"/>
  <c r="K643" i="1" s="1"/>
  <c r="F642" i="1"/>
  <c r="K642" i="1" s="1"/>
  <c r="F641" i="1"/>
  <c r="K641" i="1" s="1"/>
  <c r="F640" i="1"/>
  <c r="K640" i="1" s="1"/>
  <c r="F639" i="1"/>
  <c r="K639" i="1" s="1"/>
  <c r="F638" i="1"/>
  <c r="K638" i="1" s="1"/>
  <c r="F637" i="1"/>
  <c r="K637" i="1" s="1"/>
  <c r="F636" i="1"/>
  <c r="K636" i="1" s="1"/>
  <c r="F635" i="1"/>
  <c r="K635" i="1" s="1"/>
  <c r="F634" i="1"/>
  <c r="K634" i="1" s="1"/>
  <c r="F633" i="1"/>
  <c r="K633" i="1" s="1"/>
  <c r="F632" i="1"/>
  <c r="K632" i="1" s="1"/>
  <c r="F631" i="1"/>
  <c r="K631" i="1" s="1"/>
  <c r="F630" i="1"/>
  <c r="K630" i="1" s="1"/>
  <c r="Y101" i="21"/>
  <c r="Y100" i="21"/>
  <c r="Y99" i="21"/>
  <c r="Y98" i="21"/>
  <c r="Y97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72" i="21"/>
  <c r="Y71" i="21"/>
  <c r="Y70" i="21"/>
  <c r="Y69" i="21"/>
  <c r="Y68" i="21"/>
  <c r="Y67" i="21"/>
  <c r="Y66" i="21"/>
  <c r="Y65" i="21"/>
  <c r="Y64" i="21"/>
  <c r="Y103" i="21" s="1"/>
  <c r="Y63" i="21"/>
  <c r="X63" i="21"/>
  <c r="X64" i="21"/>
  <c r="Y62" i="21"/>
  <c r="N114" i="21"/>
  <c r="N82" i="21"/>
  <c r="N73" i="21"/>
  <c r="N72" i="21"/>
  <c r="N68" i="21"/>
  <c r="AC21" i="21"/>
  <c r="AB21" i="21"/>
  <c r="AA21" i="21"/>
  <c r="J67" i="21"/>
  <c r="E117" i="21"/>
  <c r="E114" i="21"/>
  <c r="D114" i="21"/>
  <c r="E72" i="21"/>
  <c r="D72" i="21"/>
  <c r="E71" i="21"/>
  <c r="D71" i="21"/>
  <c r="E68" i="21"/>
  <c r="D68" i="21"/>
  <c r="E69" i="21"/>
  <c r="D69" i="21"/>
  <c r="I67" i="21"/>
  <c r="Y105" i="21" l="1"/>
  <c r="Y106" i="21" s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J777" i="1"/>
  <c r="A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J484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A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O114" i="21"/>
  <c r="N113" i="21"/>
  <c r="N112" i="21"/>
  <c r="N111" i="21"/>
  <c r="N110" i="21"/>
  <c r="N109" i="21"/>
  <c r="N108" i="21"/>
  <c r="N107" i="21"/>
  <c r="N106" i="21"/>
  <c r="N105" i="21"/>
  <c r="N104" i="21"/>
  <c r="N103" i="21"/>
  <c r="N102" i="21"/>
  <c r="N101" i="21"/>
  <c r="N100" i="21"/>
  <c r="N99" i="21"/>
  <c r="N98" i="21"/>
  <c r="N97" i="21"/>
  <c r="N96" i="21"/>
  <c r="N95" i="21"/>
  <c r="N94" i="21"/>
  <c r="N93" i="21"/>
  <c r="N92" i="21"/>
  <c r="N91" i="21"/>
  <c r="N90" i="21"/>
  <c r="N89" i="21"/>
  <c r="N88" i="21"/>
  <c r="N87" i="21"/>
  <c r="N86" i="21"/>
  <c r="N85" i="21"/>
  <c r="N84" i="21"/>
  <c r="N83" i="21"/>
  <c r="O82" i="21"/>
  <c r="O79" i="21"/>
  <c r="N77" i="21"/>
  <c r="N76" i="21"/>
  <c r="N75" i="21"/>
  <c r="N74" i="21"/>
  <c r="O73" i="21"/>
  <c r="O72" i="21"/>
  <c r="O68" i="21"/>
  <c r="AL63" i="21"/>
  <c r="AK63" i="21"/>
  <c r="AJ63" i="21"/>
  <c r="AI63" i="21"/>
  <c r="AH63" i="21"/>
  <c r="AG63" i="21"/>
  <c r="AE63" i="21"/>
  <c r="AD63" i="21"/>
  <c r="AC63" i="21"/>
  <c r="AB63" i="21"/>
  <c r="AA63" i="21"/>
  <c r="E48" i="8"/>
  <c r="O71" i="1"/>
  <c r="K71" i="1" s="1"/>
  <c r="K69" i="1" s="1"/>
  <c r="O72" i="1"/>
  <c r="K72" i="1" s="1"/>
  <c r="K201" i="1" s="1"/>
  <c r="O73" i="1"/>
  <c r="K70" i="1" s="1"/>
  <c r="O60" i="1"/>
  <c r="K60" i="1" s="1"/>
  <c r="K58" i="1" s="1"/>
  <c r="K194" i="1" s="1"/>
  <c r="K59" i="1"/>
  <c r="O61" i="1"/>
  <c r="K61" i="1" s="1"/>
  <c r="K195" i="1" s="1"/>
  <c r="O62" i="1"/>
  <c r="K62" i="1" s="1"/>
  <c r="K196" i="1" s="1"/>
  <c r="J20" i="10"/>
  <c r="I20" i="10"/>
  <c r="H20" i="10"/>
  <c r="K20" i="10"/>
  <c r="J18" i="10"/>
  <c r="I18" i="10"/>
  <c r="K18" i="10"/>
  <c r="L13" i="10"/>
  <c r="K13" i="10"/>
  <c r="F13" i="10"/>
  <c r="R13" i="10"/>
  <c r="Q13" i="10"/>
  <c r="J241" i="22"/>
  <c r="I241" i="22"/>
  <c r="J240" i="22"/>
  <c r="I240" i="22"/>
  <c r="J239" i="22"/>
  <c r="I239" i="22"/>
  <c r="J238" i="22"/>
  <c r="I238" i="22"/>
  <c r="J237" i="22"/>
  <c r="I237" i="22"/>
  <c r="J236" i="22"/>
  <c r="I236" i="22"/>
  <c r="J235" i="22"/>
  <c r="I235" i="22"/>
  <c r="J234" i="22"/>
  <c r="I234" i="22"/>
  <c r="J233" i="22"/>
  <c r="I233" i="22"/>
  <c r="J232" i="22"/>
  <c r="I232" i="22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J205" i="22"/>
  <c r="I205" i="22"/>
  <c r="J204" i="22"/>
  <c r="I204" i="22"/>
  <c r="J203" i="22"/>
  <c r="I203" i="22"/>
  <c r="J202" i="22"/>
  <c r="I202" i="22"/>
  <c r="J201" i="22"/>
  <c r="I201" i="22"/>
  <c r="J200" i="22"/>
  <c r="I200" i="22"/>
  <c r="J199" i="22"/>
  <c r="I199" i="22"/>
  <c r="J198" i="22"/>
  <c r="I198" i="22"/>
  <c r="J197" i="22"/>
  <c r="I197" i="22"/>
  <c r="J196" i="22"/>
  <c r="I196" i="22"/>
  <c r="J195" i="22"/>
  <c r="I195" i="22"/>
  <c r="J194" i="22"/>
  <c r="I194" i="22"/>
  <c r="J193" i="22"/>
  <c r="I193" i="22"/>
  <c r="J192" i="22"/>
  <c r="I192" i="22"/>
  <c r="J191" i="22"/>
  <c r="I191" i="22"/>
  <c r="J190" i="22"/>
  <c r="I190" i="22"/>
  <c r="J189" i="22"/>
  <c r="I189" i="22"/>
  <c r="J188" i="22"/>
  <c r="I188" i="22"/>
  <c r="J187" i="22"/>
  <c r="I187" i="22"/>
  <c r="J186" i="22"/>
  <c r="I186" i="22"/>
  <c r="J185" i="22"/>
  <c r="I185" i="22"/>
  <c r="J184" i="22"/>
  <c r="I184" i="22"/>
  <c r="J183" i="22"/>
  <c r="I183" i="22"/>
  <c r="J182" i="22"/>
  <c r="I182" i="22"/>
  <c r="J181" i="22"/>
  <c r="I181" i="22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J158" i="22"/>
  <c r="I158" i="22"/>
  <c r="J157" i="22"/>
  <c r="I157" i="22"/>
  <c r="J156" i="22"/>
  <c r="I156" i="22"/>
  <c r="J155" i="22"/>
  <c r="I155" i="22"/>
  <c r="J154" i="22"/>
  <c r="I154" i="22"/>
  <c r="J153" i="22"/>
  <c r="I153" i="22"/>
  <c r="J152" i="22"/>
  <c r="I152" i="22"/>
  <c r="J151" i="22"/>
  <c r="I151" i="22"/>
  <c r="J150" i="22"/>
  <c r="I150" i="22"/>
  <c r="J149" i="22"/>
  <c r="I149" i="22"/>
  <c r="J148" i="22"/>
  <c r="I148" i="22"/>
  <c r="J147" i="22"/>
  <c r="I147" i="22"/>
  <c r="J146" i="22"/>
  <c r="I146" i="22"/>
  <c r="J145" i="22"/>
  <c r="I145" i="22"/>
  <c r="J144" i="22"/>
  <c r="I144" i="22"/>
  <c r="J143" i="22"/>
  <c r="I143" i="22"/>
  <c r="J142" i="22"/>
  <c r="I142" i="22"/>
  <c r="J141" i="22"/>
  <c r="I141" i="22"/>
  <c r="J140" i="22"/>
  <c r="I140" i="22"/>
  <c r="J139" i="22"/>
  <c r="I139" i="22"/>
  <c r="J138" i="22"/>
  <c r="I138" i="22"/>
  <c r="J137" i="22"/>
  <c r="I137" i="22"/>
  <c r="J136" i="22"/>
  <c r="I136" i="22"/>
  <c r="J135" i="22"/>
  <c r="I135" i="22"/>
  <c r="J134" i="22"/>
  <c r="I134" i="22"/>
  <c r="J133" i="22"/>
  <c r="I133" i="22"/>
  <c r="J132" i="22"/>
  <c r="I132" i="22"/>
  <c r="J131" i="22"/>
  <c r="I131" i="22"/>
  <c r="J130" i="22"/>
  <c r="I130" i="22"/>
  <c r="J129" i="22"/>
  <c r="I129" i="22"/>
  <c r="J128" i="22"/>
  <c r="I128" i="22"/>
  <c r="J127" i="22"/>
  <c r="I127" i="22"/>
  <c r="J126" i="22"/>
  <c r="I126" i="22"/>
  <c r="J125" i="22"/>
  <c r="I125" i="22"/>
  <c r="J124" i="22"/>
  <c r="I124" i="22"/>
  <c r="J123" i="22"/>
  <c r="I123" i="22"/>
  <c r="J122" i="22"/>
  <c r="I122" i="22"/>
  <c r="J121" i="22"/>
  <c r="I121" i="22"/>
  <c r="J120" i="22"/>
  <c r="I120" i="22"/>
  <c r="J119" i="22"/>
  <c r="I119" i="22"/>
  <c r="J118" i="22"/>
  <c r="I118" i="22"/>
  <c r="J117" i="22"/>
  <c r="I117" i="22"/>
  <c r="J116" i="22"/>
  <c r="I116" i="22"/>
  <c r="J115" i="22"/>
  <c r="I115" i="22"/>
  <c r="J114" i="22"/>
  <c r="I114" i="22"/>
  <c r="J113" i="22"/>
  <c r="I113" i="22"/>
  <c r="J112" i="22"/>
  <c r="I112" i="22"/>
  <c r="J111" i="22"/>
  <c r="I111" i="22"/>
  <c r="J110" i="22"/>
  <c r="I110" i="22"/>
  <c r="J109" i="22"/>
  <c r="I109" i="22"/>
  <c r="J108" i="22"/>
  <c r="I108" i="22"/>
  <c r="J107" i="22"/>
  <c r="I107" i="22"/>
  <c r="J106" i="22"/>
  <c r="I106" i="22"/>
  <c r="J105" i="22"/>
  <c r="I105" i="22"/>
  <c r="J104" i="22"/>
  <c r="I104" i="22"/>
  <c r="J103" i="22"/>
  <c r="I103" i="22"/>
  <c r="J102" i="22"/>
  <c r="I102" i="22"/>
  <c r="J101" i="22"/>
  <c r="I101" i="22"/>
  <c r="J100" i="22"/>
  <c r="I100" i="22"/>
  <c r="J99" i="22"/>
  <c r="I99" i="22"/>
  <c r="J98" i="22"/>
  <c r="I98" i="22"/>
  <c r="J97" i="22"/>
  <c r="I97" i="22"/>
  <c r="J96" i="22"/>
  <c r="I96" i="22"/>
  <c r="J95" i="22"/>
  <c r="I95" i="22"/>
  <c r="J94" i="22"/>
  <c r="I94" i="22"/>
  <c r="J93" i="22"/>
  <c r="I93" i="22"/>
  <c r="J92" i="22"/>
  <c r="I92" i="22"/>
  <c r="J91" i="22"/>
  <c r="I91" i="22"/>
  <c r="J90" i="22"/>
  <c r="I90" i="22"/>
  <c r="J89" i="22"/>
  <c r="I89" i="22"/>
  <c r="J88" i="22"/>
  <c r="I88" i="22"/>
  <c r="J87" i="22"/>
  <c r="I87" i="22"/>
  <c r="J86" i="22"/>
  <c r="I86" i="22"/>
  <c r="J85" i="22"/>
  <c r="I85" i="22"/>
  <c r="J84" i="22"/>
  <c r="I84" i="22"/>
  <c r="J83" i="22"/>
  <c r="I83" i="22"/>
  <c r="J82" i="22"/>
  <c r="I82" i="22"/>
  <c r="J81" i="22"/>
  <c r="I81" i="22"/>
  <c r="J80" i="22"/>
  <c r="I80" i="22"/>
  <c r="J79" i="22"/>
  <c r="I79" i="22"/>
  <c r="J78" i="22"/>
  <c r="I78" i="22"/>
  <c r="J77" i="22"/>
  <c r="I77" i="22"/>
  <c r="J76" i="22"/>
  <c r="I76" i="22"/>
  <c r="J75" i="22"/>
  <c r="I75" i="22"/>
  <c r="J74" i="22"/>
  <c r="I74" i="22"/>
  <c r="J73" i="22"/>
  <c r="I73" i="22"/>
  <c r="J72" i="22"/>
  <c r="I72" i="22"/>
  <c r="J61" i="22"/>
  <c r="I61" i="22"/>
  <c r="J60" i="22"/>
  <c r="I60" i="22"/>
  <c r="J59" i="22"/>
  <c r="I59" i="22"/>
  <c r="J58" i="22"/>
  <c r="I58" i="22"/>
  <c r="J57" i="22"/>
  <c r="I57" i="22"/>
  <c r="J56" i="22"/>
  <c r="I56" i="22"/>
  <c r="J55" i="22"/>
  <c r="I55" i="22"/>
  <c r="J54" i="22"/>
  <c r="I54" i="22"/>
  <c r="J53" i="22"/>
  <c r="I53" i="22"/>
  <c r="J52" i="22"/>
  <c r="I52" i="22"/>
  <c r="J51" i="22"/>
  <c r="I51" i="22"/>
  <c r="J50" i="22"/>
  <c r="I50" i="22"/>
  <c r="J49" i="22"/>
  <c r="I49" i="22"/>
  <c r="J48" i="22"/>
  <c r="I48" i="22"/>
  <c r="J47" i="22"/>
  <c r="I47" i="22"/>
  <c r="J46" i="22"/>
  <c r="I46" i="22"/>
  <c r="J45" i="22"/>
  <c r="I45" i="22"/>
  <c r="J44" i="22"/>
  <c r="I44" i="22"/>
  <c r="J43" i="22"/>
  <c r="I43" i="22"/>
  <c r="J42" i="22"/>
  <c r="I42" i="22"/>
  <c r="J41" i="22"/>
  <c r="I41" i="22"/>
  <c r="J40" i="22"/>
  <c r="I40" i="22"/>
  <c r="J39" i="22"/>
  <c r="I39" i="22"/>
  <c r="J38" i="22"/>
  <c r="I38" i="22"/>
  <c r="J37" i="22"/>
  <c r="I37" i="22"/>
  <c r="J36" i="22"/>
  <c r="I36" i="22"/>
  <c r="J35" i="22"/>
  <c r="I35" i="22"/>
  <c r="J34" i="22"/>
  <c r="I34" i="22"/>
  <c r="J33" i="22"/>
  <c r="I33" i="22"/>
  <c r="J32" i="22"/>
  <c r="I32" i="22"/>
  <c r="J31" i="22"/>
  <c r="I31" i="22"/>
  <c r="J30" i="22"/>
  <c r="I30" i="22"/>
  <c r="J29" i="22"/>
  <c r="I29" i="22"/>
  <c r="J28" i="22"/>
  <c r="I28" i="22"/>
  <c r="J27" i="22"/>
  <c r="I27" i="22"/>
  <c r="J26" i="22"/>
  <c r="I26" i="22"/>
  <c r="J25" i="22"/>
  <c r="I25" i="22"/>
  <c r="J24" i="22"/>
  <c r="I24" i="22"/>
  <c r="J23" i="22"/>
  <c r="I23" i="22"/>
  <c r="J22" i="22"/>
  <c r="I22" i="22"/>
  <c r="J21" i="22"/>
  <c r="I21" i="22"/>
  <c r="J20" i="22"/>
  <c r="I20" i="22"/>
  <c r="J19" i="22"/>
  <c r="I19" i="22"/>
  <c r="J18" i="22"/>
  <c r="I18" i="22"/>
  <c r="J17" i="22"/>
  <c r="I17" i="22"/>
  <c r="J16" i="22"/>
  <c r="I16" i="22"/>
  <c r="J15" i="22"/>
  <c r="I15" i="22"/>
  <c r="J14" i="22"/>
  <c r="I14" i="22"/>
  <c r="J13" i="22"/>
  <c r="I13" i="22"/>
  <c r="J12" i="22"/>
  <c r="I12" i="22"/>
  <c r="J11" i="22"/>
  <c r="I11" i="22"/>
  <c r="J10" i="22"/>
  <c r="I10" i="22"/>
  <c r="J9" i="22"/>
  <c r="I9" i="22"/>
  <c r="J8" i="22"/>
  <c r="I8" i="22"/>
  <c r="J7" i="22"/>
  <c r="I7" i="22"/>
  <c r="J6" i="22"/>
  <c r="I6" i="22"/>
  <c r="J5" i="22"/>
  <c r="I5" i="22"/>
  <c r="J4" i="22"/>
  <c r="I4" i="22"/>
  <c r="J3" i="22"/>
  <c r="I3" i="22"/>
  <c r="J2" i="22"/>
  <c r="I2" i="22"/>
  <c r="J13" i="10"/>
  <c r="I13" i="10"/>
  <c r="H13" i="10"/>
  <c r="O13" i="10"/>
  <c r="N13" i="10"/>
  <c r="P13" i="10"/>
  <c r="C13" i="10"/>
  <c r="D13" i="10"/>
  <c r="B13" i="10"/>
  <c r="H11" i="10"/>
  <c r="H10" i="10"/>
  <c r="K200" i="1" l="1"/>
  <c r="K199" i="1"/>
  <c r="K73" i="1"/>
  <c r="K202" i="1" s="1"/>
  <c r="N117" i="21"/>
  <c r="AH90" i="21" s="1"/>
  <c r="AH62" i="21"/>
  <c r="E13" i="10"/>
  <c r="AH98" i="21" l="1"/>
  <c r="AH82" i="21"/>
  <c r="AH95" i="21"/>
  <c r="AH81" i="21"/>
  <c r="AH96" i="21"/>
  <c r="AH80" i="21"/>
  <c r="AH71" i="21"/>
  <c r="AH93" i="21"/>
  <c r="AH73" i="21"/>
  <c r="AH66" i="21"/>
  <c r="AH67" i="21"/>
  <c r="AH85" i="21"/>
  <c r="AH68" i="21"/>
  <c r="AH84" i="21"/>
  <c r="AH69" i="21"/>
  <c r="AH99" i="21"/>
  <c r="AH101" i="21"/>
  <c r="AH83" i="21"/>
  <c r="AH92" i="21"/>
  <c r="AH77" i="21"/>
  <c r="AH91" i="21"/>
  <c r="AH87" i="21"/>
  <c r="AH76" i="21"/>
  <c r="AH97" i="21"/>
  <c r="AH89" i="21"/>
  <c r="AH75" i="21"/>
  <c r="AH79" i="21"/>
  <c r="AH74" i="21"/>
  <c r="AH70" i="21"/>
  <c r="AH72" i="21"/>
  <c r="AH86" i="21"/>
  <c r="AH94" i="21"/>
  <c r="AH88" i="21"/>
  <c r="AH100" i="21"/>
  <c r="AH78" i="21"/>
  <c r="AH65" i="21"/>
  <c r="AH64" i="21"/>
  <c r="S19" i="14"/>
  <c r="S21" i="14"/>
  <c r="S17" i="14"/>
  <c r="V22" i="14"/>
  <c r="U22" i="14"/>
  <c r="T22" i="14"/>
  <c r="S22" i="14"/>
  <c r="V21" i="14"/>
  <c r="U21" i="14"/>
  <c r="T21" i="14"/>
  <c r="V20" i="14"/>
  <c r="U20" i="14"/>
  <c r="T20" i="14"/>
  <c r="S20" i="14"/>
  <c r="V19" i="14"/>
  <c r="U19" i="14"/>
  <c r="T19" i="14"/>
  <c r="V18" i="14"/>
  <c r="U18" i="14"/>
  <c r="T18" i="14"/>
  <c r="S18" i="14"/>
  <c r="V17" i="14"/>
  <c r="U17" i="14"/>
  <c r="T17" i="14"/>
  <c r="Y14" i="14"/>
  <c r="AH105" i="21" l="1"/>
  <c r="AH106" i="21" s="1"/>
  <c r="AH103" i="21"/>
  <c r="K84" i="1"/>
  <c r="K82" i="1"/>
  <c r="P2" i="8"/>
  <c r="P11" i="8"/>
  <c r="K29" i="1" l="1"/>
  <c r="P9" i="8"/>
  <c r="AM5" i="8"/>
  <c r="K45" i="1"/>
  <c r="J819" i="1" l="1"/>
  <c r="E819" i="1"/>
  <c r="A819" i="1"/>
  <c r="J735" i="1"/>
  <c r="A735" i="1"/>
  <c r="J693" i="1"/>
  <c r="A693" i="1"/>
  <c r="J609" i="1"/>
  <c r="E609" i="1"/>
  <c r="A609" i="1"/>
  <c r="J526" i="1"/>
  <c r="E526" i="1"/>
  <c r="A526" i="1"/>
  <c r="J442" i="1"/>
  <c r="A442" i="1"/>
  <c r="J400" i="1"/>
  <c r="A400" i="1"/>
  <c r="J277" i="1"/>
  <c r="E277" i="1"/>
  <c r="A277" i="1"/>
  <c r="Z63" i="21" l="1"/>
  <c r="K221" i="1" l="1"/>
  <c r="AM12" i="8" l="1"/>
  <c r="D21" i="21"/>
  <c r="F21" i="21"/>
  <c r="F867" i="1" l="1"/>
  <c r="F800" i="1"/>
  <c r="F608" i="1"/>
  <c r="F592" i="1"/>
  <c r="F256" i="1"/>
  <c r="F408" i="1"/>
  <c r="F423" i="1"/>
  <c r="R114" i="21"/>
  <c r="P114" i="21"/>
  <c r="J114" i="21"/>
  <c r="I114" i="21"/>
  <c r="H114" i="21"/>
  <c r="G114" i="21"/>
  <c r="R67" i="21"/>
  <c r="AL62" i="21" s="1"/>
  <c r="Q67" i="21"/>
  <c r="P67" i="21"/>
  <c r="AJ62" i="21" s="1"/>
  <c r="AD62" i="21"/>
  <c r="AC62" i="21"/>
  <c r="H72" i="21"/>
  <c r="G72" i="21"/>
  <c r="X62" i="21"/>
  <c r="U98" i="21"/>
  <c r="F833" i="1" s="1"/>
  <c r="U83" i="21"/>
  <c r="F607" i="1" s="1"/>
  <c r="U84" i="21"/>
  <c r="F525" i="1" s="1"/>
  <c r="U86" i="21"/>
  <c r="F737" i="1" s="1"/>
  <c r="U92" i="21"/>
  <c r="F701" i="1" s="1"/>
  <c r="B113" i="21"/>
  <c r="U100" i="21" s="1"/>
  <c r="B114" i="21"/>
  <c r="U101" i="21" s="1"/>
  <c r="B111" i="21"/>
  <c r="B112" i="21"/>
  <c r="U99" i="21" s="1"/>
  <c r="B104" i="21"/>
  <c r="U91" i="21" s="1"/>
  <c r="B105" i="21"/>
  <c r="B106" i="21"/>
  <c r="U93" i="21" s="1"/>
  <c r="B107" i="21"/>
  <c r="U94" i="21" s="1"/>
  <c r="B108" i="21"/>
  <c r="U95" i="21" s="1"/>
  <c r="B109" i="21"/>
  <c r="U96" i="21" s="1"/>
  <c r="B110" i="21"/>
  <c r="U97" i="21" s="1"/>
  <c r="B84" i="21"/>
  <c r="U71" i="21" s="1"/>
  <c r="B85" i="21"/>
  <c r="U72" i="21" s="1"/>
  <c r="B86" i="21"/>
  <c r="U73" i="21" s="1"/>
  <c r="B87" i="21"/>
  <c r="U74" i="21" s="1"/>
  <c r="B88" i="21"/>
  <c r="U75" i="21" s="1"/>
  <c r="B89" i="21"/>
  <c r="U76" i="21" s="1"/>
  <c r="B90" i="21"/>
  <c r="U77" i="21" s="1"/>
  <c r="B91" i="21"/>
  <c r="U78" i="21" s="1"/>
  <c r="B92" i="21"/>
  <c r="U79" i="21" s="1"/>
  <c r="B93" i="21"/>
  <c r="U80" i="21" s="1"/>
  <c r="B94" i="21"/>
  <c r="U81" i="21" s="1"/>
  <c r="B95" i="21"/>
  <c r="U82" i="21" s="1"/>
  <c r="B96" i="21"/>
  <c r="B97" i="21"/>
  <c r="B98" i="21"/>
  <c r="U85" i="21" s="1"/>
  <c r="B99" i="21"/>
  <c r="B100" i="21"/>
  <c r="U87" i="21" s="1"/>
  <c r="B101" i="21"/>
  <c r="U88" i="21" s="1"/>
  <c r="B102" i="21"/>
  <c r="U89" i="21" s="1"/>
  <c r="B103" i="21"/>
  <c r="U90" i="21" s="1"/>
  <c r="B83" i="21"/>
  <c r="U70" i="21" s="1"/>
  <c r="U65" i="21"/>
  <c r="F799" i="1" s="1"/>
  <c r="U66" i="21"/>
  <c r="F590" i="1" s="1"/>
  <c r="U67" i="21"/>
  <c r="F591" i="1" s="1"/>
  <c r="U68" i="21"/>
  <c r="F509" i="1" s="1"/>
  <c r="U69" i="21"/>
  <c r="F510" i="1" s="1"/>
  <c r="U64" i="21"/>
  <c r="F798" i="1" s="1"/>
  <c r="X32" i="21"/>
  <c r="X33" i="21"/>
  <c r="X34" i="21"/>
  <c r="X35" i="21"/>
  <c r="X36" i="21"/>
  <c r="X37" i="21"/>
  <c r="X38" i="21"/>
  <c r="X39" i="21"/>
  <c r="X40" i="21"/>
  <c r="X41" i="21"/>
  <c r="X42" i="21"/>
  <c r="X43" i="21"/>
  <c r="X44" i="21"/>
  <c r="X45" i="21"/>
  <c r="X46" i="21"/>
  <c r="X47" i="21"/>
  <c r="X48" i="21"/>
  <c r="X49" i="21"/>
  <c r="X50" i="21"/>
  <c r="X51" i="21"/>
  <c r="X52" i="21"/>
  <c r="X53" i="21"/>
  <c r="X54" i="21"/>
  <c r="X55" i="21"/>
  <c r="X56" i="21"/>
  <c r="X57" i="21"/>
  <c r="X31" i="21"/>
  <c r="X27" i="21"/>
  <c r="X28" i="21"/>
  <c r="X29" i="21"/>
  <c r="X30" i="21"/>
  <c r="X26" i="21"/>
  <c r="F684" i="1" l="1"/>
  <c r="F268" i="1"/>
  <c r="F810" i="1"/>
  <c r="F433" i="1"/>
  <c r="F391" i="1"/>
  <c r="F600" i="1"/>
  <c r="F517" i="1"/>
  <c r="F309" i="1"/>
  <c r="F851" i="1"/>
  <c r="F726" i="1"/>
  <c r="F558" i="1"/>
  <c r="F720" i="1"/>
  <c r="F552" i="1"/>
  <c r="F845" i="1"/>
  <c r="F385" i="1"/>
  <c r="F678" i="1"/>
  <c r="F262" i="1"/>
  <c r="F804" i="1"/>
  <c r="F427" i="1"/>
  <c r="F511" i="1"/>
  <c r="F303" i="1"/>
  <c r="F594" i="1"/>
  <c r="F555" i="1"/>
  <c r="F848" i="1"/>
  <c r="F388" i="1"/>
  <c r="F681" i="1"/>
  <c r="F265" i="1"/>
  <c r="F807" i="1"/>
  <c r="F430" i="1"/>
  <c r="F597" i="1"/>
  <c r="F514" i="1"/>
  <c r="F306" i="1"/>
  <c r="F723" i="1"/>
  <c r="F289" i="1"/>
  <c r="F831" i="1"/>
  <c r="F454" i="1"/>
  <c r="F621" i="1"/>
  <c r="F538" i="1"/>
  <c r="F329" i="1"/>
  <c r="F747" i="1"/>
  <c r="F578" i="1"/>
  <c r="F871" i="1"/>
  <c r="F412" i="1"/>
  <c r="F705" i="1"/>
  <c r="F606" i="1"/>
  <c r="F523" i="1"/>
  <c r="F315" i="1"/>
  <c r="F732" i="1"/>
  <c r="F816" i="1"/>
  <c r="F439" i="1"/>
  <c r="F564" i="1"/>
  <c r="F857" i="1"/>
  <c r="F397" i="1"/>
  <c r="F690" i="1"/>
  <c r="F274" i="1"/>
  <c r="F850" i="1"/>
  <c r="F390" i="1"/>
  <c r="F683" i="1"/>
  <c r="F267" i="1"/>
  <c r="F809" i="1"/>
  <c r="F432" i="1"/>
  <c r="F599" i="1"/>
  <c r="F516" i="1"/>
  <c r="F308" i="1"/>
  <c r="F725" i="1"/>
  <c r="F557" i="1"/>
  <c r="F288" i="1"/>
  <c r="F830" i="1"/>
  <c r="F453" i="1"/>
  <c r="F620" i="1"/>
  <c r="F537" i="1"/>
  <c r="F328" i="1"/>
  <c r="F746" i="1"/>
  <c r="F577" i="1"/>
  <c r="F870" i="1"/>
  <c r="F411" i="1"/>
  <c r="F704" i="1"/>
  <c r="F814" i="1"/>
  <c r="F437" i="1"/>
  <c r="F604" i="1"/>
  <c r="F521" i="1"/>
  <c r="F313" i="1"/>
  <c r="F272" i="1"/>
  <c r="F730" i="1"/>
  <c r="F562" i="1"/>
  <c r="F855" i="1"/>
  <c r="F395" i="1"/>
  <c r="F688" i="1"/>
  <c r="F542" i="1"/>
  <c r="F333" i="1"/>
  <c r="F751" i="1"/>
  <c r="F625" i="1"/>
  <c r="F582" i="1"/>
  <c r="F875" i="1"/>
  <c r="F416" i="1"/>
  <c r="F709" i="1"/>
  <c r="F293" i="1"/>
  <c r="F835" i="1"/>
  <c r="F458" i="1"/>
  <c r="F738" i="1"/>
  <c r="F569" i="1"/>
  <c r="F862" i="1"/>
  <c r="F403" i="1"/>
  <c r="F696" i="1"/>
  <c r="F280" i="1"/>
  <c r="F822" i="1"/>
  <c r="F445" i="1"/>
  <c r="F612" i="1"/>
  <c r="F529" i="1"/>
  <c r="F320" i="1"/>
  <c r="F527" i="1"/>
  <c r="F318" i="1"/>
  <c r="F736" i="1"/>
  <c r="F567" i="1"/>
  <c r="F860" i="1"/>
  <c r="F401" i="1"/>
  <c r="F694" i="1"/>
  <c r="F278" i="1"/>
  <c r="F820" i="1"/>
  <c r="F443" i="1"/>
  <c r="F610" i="1"/>
  <c r="F271" i="1"/>
  <c r="F813" i="1"/>
  <c r="F436" i="1"/>
  <c r="F603" i="1"/>
  <c r="F520" i="1"/>
  <c r="F312" i="1"/>
  <c r="F729" i="1"/>
  <c r="F561" i="1"/>
  <c r="F854" i="1"/>
  <c r="F394" i="1"/>
  <c r="F687" i="1"/>
  <c r="F849" i="1"/>
  <c r="F389" i="1"/>
  <c r="F682" i="1"/>
  <c r="F266" i="1"/>
  <c r="F808" i="1"/>
  <c r="F431" i="1"/>
  <c r="F598" i="1"/>
  <c r="F515" i="1"/>
  <c r="F307" i="1"/>
  <c r="F556" i="1"/>
  <c r="F724" i="1"/>
  <c r="F721" i="1"/>
  <c r="F553" i="1"/>
  <c r="F846" i="1"/>
  <c r="F386" i="1"/>
  <c r="F679" i="1"/>
  <c r="F263" i="1"/>
  <c r="F805" i="1"/>
  <c r="F428" i="1"/>
  <c r="F595" i="1"/>
  <c r="F512" i="1"/>
  <c r="F304" i="1"/>
  <c r="F702" i="1"/>
  <c r="F286" i="1"/>
  <c r="F828" i="1"/>
  <c r="F451" i="1"/>
  <c r="F618" i="1"/>
  <c r="F535" i="1"/>
  <c r="F326" i="1"/>
  <c r="F744" i="1"/>
  <c r="F575" i="1"/>
  <c r="F868" i="1"/>
  <c r="F409" i="1"/>
  <c r="F866" i="1"/>
  <c r="F407" i="1"/>
  <c r="F700" i="1"/>
  <c r="F284" i="1"/>
  <c r="F826" i="1"/>
  <c r="F449" i="1"/>
  <c r="F616" i="1"/>
  <c r="F533" i="1"/>
  <c r="F324" i="1"/>
  <c r="F742" i="1"/>
  <c r="F573" i="1"/>
  <c r="F270" i="1"/>
  <c r="F686" i="1"/>
  <c r="F812" i="1"/>
  <c r="F435" i="1"/>
  <c r="F602" i="1"/>
  <c r="F519" i="1"/>
  <c r="F311" i="1"/>
  <c r="F728" i="1"/>
  <c r="F560" i="1"/>
  <c r="F853" i="1"/>
  <c r="F393" i="1"/>
  <c r="F865" i="1"/>
  <c r="F406" i="1"/>
  <c r="F699" i="1"/>
  <c r="F283" i="1"/>
  <c r="F825" i="1"/>
  <c r="F448" i="1"/>
  <c r="F615" i="1"/>
  <c r="F532" i="1"/>
  <c r="F323" i="1"/>
  <c r="F741" i="1"/>
  <c r="F572" i="1"/>
  <c r="F571" i="1"/>
  <c r="F864" i="1"/>
  <c r="F405" i="1"/>
  <c r="F698" i="1"/>
  <c r="F282" i="1"/>
  <c r="F824" i="1"/>
  <c r="F447" i="1"/>
  <c r="F614" i="1"/>
  <c r="F531" i="1"/>
  <c r="F322" i="1"/>
  <c r="F740" i="1"/>
  <c r="F570" i="1"/>
  <c r="F739" i="1"/>
  <c r="F863" i="1"/>
  <c r="F404" i="1"/>
  <c r="F697" i="1"/>
  <c r="F281" i="1"/>
  <c r="F823" i="1"/>
  <c r="F446" i="1"/>
  <c r="F613" i="1"/>
  <c r="F530" i="1"/>
  <c r="F321" i="1"/>
  <c r="F554" i="1"/>
  <c r="F847" i="1"/>
  <c r="F387" i="1"/>
  <c r="F680" i="1"/>
  <c r="F722" i="1"/>
  <c r="F264" i="1"/>
  <c r="F806" i="1"/>
  <c r="F429" i="1"/>
  <c r="F596" i="1"/>
  <c r="F513" i="1"/>
  <c r="F305" i="1"/>
  <c r="F832" i="1"/>
  <c r="F455" i="1"/>
  <c r="F622" i="1"/>
  <c r="F539" i="1"/>
  <c r="F330" i="1"/>
  <c r="F748" i="1"/>
  <c r="F579" i="1"/>
  <c r="F872" i="1"/>
  <c r="F413" i="1"/>
  <c r="F706" i="1"/>
  <c r="F290" i="1"/>
  <c r="F287" i="1"/>
  <c r="F829" i="1"/>
  <c r="F452" i="1"/>
  <c r="F619" i="1"/>
  <c r="F536" i="1"/>
  <c r="F327" i="1"/>
  <c r="F703" i="1"/>
  <c r="F745" i="1"/>
  <c r="F576" i="1"/>
  <c r="F869" i="1"/>
  <c r="F410" i="1"/>
  <c r="F815" i="1"/>
  <c r="F438" i="1"/>
  <c r="F605" i="1"/>
  <c r="F522" i="1"/>
  <c r="F314" i="1"/>
  <c r="F731" i="1"/>
  <c r="F563" i="1"/>
  <c r="F856" i="1"/>
  <c r="F396" i="1"/>
  <c r="F689" i="1"/>
  <c r="F273" i="1"/>
  <c r="F624" i="1"/>
  <c r="F541" i="1"/>
  <c r="F332" i="1"/>
  <c r="F750" i="1"/>
  <c r="F581" i="1"/>
  <c r="F874" i="1"/>
  <c r="F415" i="1"/>
  <c r="F708" i="1"/>
  <c r="F292" i="1"/>
  <c r="F834" i="1"/>
  <c r="F457" i="1"/>
  <c r="F685" i="1"/>
  <c r="F269" i="1"/>
  <c r="F811" i="1"/>
  <c r="F434" i="1"/>
  <c r="F601" i="1"/>
  <c r="F518" i="1"/>
  <c r="F310" i="1"/>
  <c r="F727" i="1"/>
  <c r="F559" i="1"/>
  <c r="F852" i="1"/>
  <c r="F392" i="1"/>
  <c r="F543" i="1"/>
  <c r="F334" i="1"/>
  <c r="F752" i="1"/>
  <c r="F583" i="1"/>
  <c r="F876" i="1"/>
  <c r="F417" i="1"/>
  <c r="F710" i="1"/>
  <c r="F294" i="1"/>
  <c r="F836" i="1"/>
  <c r="F459" i="1"/>
  <c r="F626" i="1"/>
  <c r="F528" i="1"/>
  <c r="F424" i="1"/>
  <c r="F440" i="1"/>
  <c r="F257" i="1"/>
  <c r="F593" i="1"/>
  <c r="F801" i="1"/>
  <c r="F817" i="1"/>
  <c r="F425" i="1"/>
  <c r="F441" i="1"/>
  <c r="F258" i="1"/>
  <c r="F291" i="1"/>
  <c r="F574" i="1"/>
  <c r="F611" i="1"/>
  <c r="F672" i="1"/>
  <c r="F802" i="1"/>
  <c r="F818" i="1"/>
  <c r="F426" i="1"/>
  <c r="F259" i="1"/>
  <c r="F275" i="1"/>
  <c r="F673" i="1"/>
  <c r="F803" i="1"/>
  <c r="F444" i="1"/>
  <c r="F379" i="1"/>
  <c r="F260" i="1"/>
  <c r="F276" i="1"/>
  <c r="F674" i="1"/>
  <c r="F707" i="1"/>
  <c r="F743" i="1"/>
  <c r="F821" i="1"/>
  <c r="F839" i="1"/>
  <c r="F380" i="1"/>
  <c r="F261" i="1"/>
  <c r="F675" i="1"/>
  <c r="F691" i="1"/>
  <c r="F840" i="1"/>
  <c r="F381" i="1"/>
  <c r="F414" i="1"/>
  <c r="F325" i="1"/>
  <c r="F279" i="1"/>
  <c r="F546" i="1"/>
  <c r="F676" i="1"/>
  <c r="F692" i="1"/>
  <c r="F841" i="1"/>
  <c r="F873" i="1"/>
  <c r="F534" i="1"/>
  <c r="F382" i="1"/>
  <c r="F398" i="1"/>
  <c r="F547" i="1"/>
  <c r="F677" i="1"/>
  <c r="F842" i="1"/>
  <c r="F858" i="1"/>
  <c r="F383" i="1"/>
  <c r="F399" i="1"/>
  <c r="F548" i="1"/>
  <c r="F580" i="1"/>
  <c r="F617" i="1"/>
  <c r="F695" i="1"/>
  <c r="F714" i="1"/>
  <c r="F843" i="1"/>
  <c r="F859" i="1"/>
  <c r="F319" i="1"/>
  <c r="F384" i="1"/>
  <c r="F549" i="1"/>
  <c r="F565" i="1"/>
  <c r="F715" i="1"/>
  <c r="F844" i="1"/>
  <c r="F456" i="1"/>
  <c r="F450" i="1"/>
  <c r="F402" i="1"/>
  <c r="F297" i="1"/>
  <c r="F550" i="1"/>
  <c r="F566" i="1"/>
  <c r="F716" i="1"/>
  <c r="F749" i="1"/>
  <c r="F827" i="1"/>
  <c r="F861" i="1"/>
  <c r="F505" i="1"/>
  <c r="F298" i="1"/>
  <c r="F551" i="1"/>
  <c r="F717" i="1"/>
  <c r="F733" i="1"/>
  <c r="F506" i="1"/>
  <c r="F299" i="1"/>
  <c r="F331" i="1"/>
  <c r="F285" i="1"/>
  <c r="F568" i="1"/>
  <c r="F588" i="1"/>
  <c r="F718" i="1"/>
  <c r="F734" i="1"/>
  <c r="F507" i="1"/>
  <c r="F540" i="1"/>
  <c r="F300" i="1"/>
  <c r="F316" i="1"/>
  <c r="F589" i="1"/>
  <c r="F719" i="1"/>
  <c r="F508" i="1"/>
  <c r="F524" i="1"/>
  <c r="F421" i="1"/>
  <c r="F301" i="1"/>
  <c r="F317" i="1"/>
  <c r="F623" i="1"/>
  <c r="F422" i="1"/>
  <c r="F302" i="1"/>
  <c r="S27" i="21" l="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T48" i="21" s="1"/>
  <c r="S49" i="21"/>
  <c r="S50" i="21"/>
  <c r="S51" i="21"/>
  <c r="S52" i="21"/>
  <c r="S53" i="21"/>
  <c r="S54" i="21"/>
  <c r="S55" i="21"/>
  <c r="S56" i="21"/>
  <c r="S57" i="21"/>
  <c r="S26" i="21"/>
  <c r="AG26" i="21"/>
  <c r="AG32" i="21"/>
  <c r="BG21" i="21"/>
  <c r="BG15" i="21"/>
  <c r="BG16" i="21"/>
  <c r="BG17" i="21"/>
  <c r="BG11" i="21"/>
  <c r="BG19" i="21" s="1"/>
  <c r="BF11" i="21"/>
  <c r="BF15" i="21"/>
  <c r="BF16" i="21"/>
  <c r="BF17" i="21"/>
  <c r="BF18" i="21"/>
  <c r="BF22" i="21" s="1"/>
  <c r="BF20" i="21"/>
  <c r="AT22" i="21"/>
  <c r="AU22" i="21"/>
  <c r="AV22" i="21"/>
  <c r="AW22" i="21"/>
  <c r="AX22" i="21"/>
  <c r="AY22" i="21"/>
  <c r="AZ22" i="21"/>
  <c r="BA22" i="21"/>
  <c r="BB22" i="21"/>
  <c r="BC22" i="21"/>
  <c r="BD22" i="21"/>
  <c r="BE22" i="21"/>
  <c r="AS22" i="21"/>
  <c r="D29" i="21"/>
  <c r="BF19" i="21" l="1"/>
  <c r="T54" i="21"/>
  <c r="U54" i="21" s="1"/>
  <c r="V54" i="21"/>
  <c r="V46" i="21"/>
  <c r="T46" i="21"/>
  <c r="T30" i="21"/>
  <c r="V30" i="21"/>
  <c r="V57" i="21"/>
  <c r="T57" i="21"/>
  <c r="V53" i="21"/>
  <c r="T53" i="21"/>
  <c r="V49" i="21"/>
  <c r="T49" i="21"/>
  <c r="T45" i="21"/>
  <c r="V45" i="21"/>
  <c r="T41" i="21"/>
  <c r="V41" i="21"/>
  <c r="T37" i="21"/>
  <c r="V37" i="21"/>
  <c r="T33" i="21"/>
  <c r="U33" i="21" s="1"/>
  <c r="V33" i="21"/>
  <c r="T29" i="21"/>
  <c r="V29" i="21"/>
  <c r="V26" i="21"/>
  <c r="T26" i="21"/>
  <c r="T50" i="21"/>
  <c r="V50" i="21"/>
  <c r="T42" i="21"/>
  <c r="V42" i="21"/>
  <c r="V34" i="21"/>
  <c r="T34" i="21"/>
  <c r="V56" i="21"/>
  <c r="T56" i="21"/>
  <c r="V52" i="21"/>
  <c r="T52" i="21"/>
  <c r="U52" i="21" s="1"/>
  <c r="V48" i="21"/>
  <c r="V44" i="21"/>
  <c r="T44" i="21"/>
  <c r="V40" i="21"/>
  <c r="T40" i="21"/>
  <c r="V36" i="21"/>
  <c r="T36" i="21"/>
  <c r="V32" i="21"/>
  <c r="T32" i="21"/>
  <c r="V28" i="21"/>
  <c r="T28" i="21"/>
  <c r="T38" i="21"/>
  <c r="V38" i="21"/>
  <c r="T55" i="21"/>
  <c r="V55" i="21"/>
  <c r="T51" i="21"/>
  <c r="U51" i="21" s="1"/>
  <c r="V51" i="21"/>
  <c r="T47" i="21"/>
  <c r="V47" i="21"/>
  <c r="T43" i="21"/>
  <c r="V43" i="21"/>
  <c r="T39" i="21"/>
  <c r="V39" i="21"/>
  <c r="T35" i="21"/>
  <c r="V35" i="21"/>
  <c r="T31" i="21"/>
  <c r="V31" i="21"/>
  <c r="T27" i="21"/>
  <c r="V27" i="21"/>
  <c r="BG22" i="21"/>
  <c r="K39" i="1"/>
  <c r="AM6" i="8"/>
  <c r="D5" i="8"/>
  <c r="U38" i="21" l="1"/>
  <c r="U56" i="21"/>
  <c r="U34" i="21"/>
  <c r="U53" i="21"/>
  <c r="U41" i="21"/>
  <c r="U42" i="21"/>
  <c r="U35" i="21"/>
  <c r="U36" i="21"/>
  <c r="T59" i="21"/>
  <c r="U26" i="21"/>
  <c r="U37" i="21"/>
  <c r="U27" i="21"/>
  <c r="U31" i="21"/>
  <c r="U40" i="21"/>
  <c r="U55" i="21"/>
  <c r="U28" i="21"/>
  <c r="U45" i="21"/>
  <c r="U49" i="21"/>
  <c r="U32" i="21"/>
  <c r="T60" i="21"/>
  <c r="U50" i="21"/>
  <c r="U48" i="21"/>
  <c r="U39" i="21"/>
  <c r="V59" i="21"/>
  <c r="U43" i="21"/>
  <c r="U44" i="21"/>
  <c r="U29" i="21"/>
  <c r="U30" i="21"/>
  <c r="U47" i="21"/>
  <c r="U46" i="21"/>
  <c r="W27" i="21"/>
  <c r="W31" i="21"/>
  <c r="W35" i="21"/>
  <c r="W39" i="21"/>
  <c r="W43" i="21"/>
  <c r="W47" i="21"/>
  <c r="W51" i="21"/>
  <c r="W55" i="21"/>
  <c r="W26" i="21"/>
  <c r="W36" i="21"/>
  <c r="W48" i="21"/>
  <c r="W56" i="21"/>
  <c r="W28" i="21"/>
  <c r="W44" i="21"/>
  <c r="W29" i="21"/>
  <c r="W33" i="21"/>
  <c r="W37" i="21"/>
  <c r="W41" i="21"/>
  <c r="W45" i="21"/>
  <c r="W49" i="21"/>
  <c r="W53" i="21"/>
  <c r="W30" i="21"/>
  <c r="W34" i="21"/>
  <c r="W38" i="21"/>
  <c r="W42" i="21"/>
  <c r="W46" i="21"/>
  <c r="W50" i="21"/>
  <c r="W54" i="21"/>
  <c r="V60" i="21"/>
  <c r="W32" i="21"/>
  <c r="W40" i="21"/>
  <c r="W52" i="21"/>
  <c r="U59" i="21" l="1"/>
  <c r="U60" i="21"/>
  <c r="W60" i="21"/>
  <c r="W59" i="21"/>
  <c r="O88" i="21"/>
  <c r="M88" i="21"/>
  <c r="M109" i="21"/>
  <c r="O109" i="21"/>
  <c r="M96" i="21"/>
  <c r="O96" i="21"/>
  <c r="M98" i="21"/>
  <c r="O98" i="21"/>
  <c r="M92" i="21"/>
  <c r="O92" i="21"/>
  <c r="M105" i="21"/>
  <c r="O105" i="21"/>
  <c r="M86" i="21"/>
  <c r="O86" i="21"/>
  <c r="M101" i="21"/>
  <c r="O101" i="21"/>
  <c r="O99" i="21"/>
  <c r="M99" i="21"/>
  <c r="O91" i="21"/>
  <c r="M91" i="21"/>
  <c r="O111" i="21"/>
  <c r="M111" i="21"/>
  <c r="M90" i="21"/>
  <c r="O90" i="21"/>
  <c r="M112" i="21"/>
  <c r="O112" i="21"/>
  <c r="O84" i="21"/>
  <c r="M84" i="21"/>
  <c r="M85" i="21"/>
  <c r="O85" i="21"/>
  <c r="M106" i="21"/>
  <c r="O106" i="21"/>
  <c r="M93" i="21"/>
  <c r="O93" i="21"/>
  <c r="O95" i="21"/>
  <c r="M95" i="21"/>
  <c r="M83" i="21"/>
  <c r="O83" i="21"/>
  <c r="O103" i="21"/>
  <c r="M103" i="21"/>
  <c r="M110" i="21"/>
  <c r="O110" i="21"/>
  <c r="M97" i="21"/>
  <c r="O97" i="21"/>
  <c r="M102" i="21"/>
  <c r="O102" i="21"/>
  <c r="O89" i="21"/>
  <c r="M89" i="21"/>
  <c r="M94" i="21"/>
  <c r="O94" i="21"/>
  <c r="M108" i="21"/>
  <c r="O108" i="21"/>
  <c r="M87" i="21"/>
  <c r="O87" i="21"/>
  <c r="O107" i="21"/>
  <c r="M107" i="21"/>
  <c r="M104" i="21"/>
  <c r="O104" i="21"/>
  <c r="M100" i="21"/>
  <c r="O100" i="21"/>
  <c r="M113" i="21"/>
  <c r="O113" i="21"/>
  <c r="Y18" i="21" l="1"/>
  <c r="Z18" i="21"/>
  <c r="Q82" i="21" s="1"/>
  <c r="Q89" i="21" l="1"/>
  <c r="Q97" i="21"/>
  <c r="Q105" i="21"/>
  <c r="Q94" i="21"/>
  <c r="Q87" i="21"/>
  <c r="Q110" i="21"/>
  <c r="Q104" i="21"/>
  <c r="Q103" i="21"/>
  <c r="Q108" i="21"/>
  <c r="Q111" i="21"/>
  <c r="Q84" i="21"/>
  <c r="Q85" i="21"/>
  <c r="Q96" i="21"/>
  <c r="Q109" i="21"/>
  <c r="Q100" i="21"/>
  <c r="Q88" i="21"/>
  <c r="Q102" i="21"/>
  <c r="Q92" i="21"/>
  <c r="Q91" i="21"/>
  <c r="Q112" i="21"/>
  <c r="Q83" i="21"/>
  <c r="Q98" i="21"/>
  <c r="Q107" i="21"/>
  <c r="Q106" i="21"/>
  <c r="Q113" i="21"/>
  <c r="Q99" i="21"/>
  <c r="Q93" i="21"/>
  <c r="Q86" i="21"/>
  <c r="Q101" i="21"/>
  <c r="Q95" i="21"/>
  <c r="Q90" i="21"/>
  <c r="K82" i="21"/>
  <c r="Y16" i="21"/>
  <c r="Z16" i="21"/>
  <c r="K72" i="21"/>
  <c r="Q72" i="21"/>
  <c r="Q70" i="21"/>
  <c r="Q71" i="21"/>
  <c r="Q68" i="21"/>
  <c r="K71" i="21"/>
  <c r="K68" i="21"/>
  <c r="K67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E21" i="21"/>
  <c r="X21" i="21"/>
  <c r="K83" i="21" l="1"/>
  <c r="K97" i="21"/>
  <c r="K89" i="21"/>
  <c r="K103" i="21"/>
  <c r="K112" i="21"/>
  <c r="K94" i="21"/>
  <c r="K99" i="21"/>
  <c r="K101" i="21"/>
  <c r="K111" i="21"/>
  <c r="K84" i="21"/>
  <c r="K87" i="21"/>
  <c r="K107" i="21"/>
  <c r="K104" i="21"/>
  <c r="K109" i="21"/>
  <c r="K100" i="21"/>
  <c r="K86" i="21"/>
  <c r="K88" i="21"/>
  <c r="K108" i="21"/>
  <c r="K102" i="21"/>
  <c r="K92" i="21"/>
  <c r="K91" i="21"/>
  <c r="K106" i="21"/>
  <c r="K113" i="21"/>
  <c r="K110" i="21"/>
  <c r="K93" i="21"/>
  <c r="K105" i="21"/>
  <c r="K85" i="21"/>
  <c r="K96" i="21"/>
  <c r="K95" i="21"/>
  <c r="K98" i="21"/>
  <c r="K90" i="21"/>
  <c r="AK62" i="21"/>
  <c r="AE62" i="21"/>
  <c r="Q73" i="21"/>
  <c r="Z19" i="21"/>
  <c r="Q114" i="21" s="1"/>
  <c r="Z21" i="21"/>
  <c r="K73" i="21"/>
  <c r="Y19" i="21"/>
  <c r="AC34" i="21"/>
  <c r="AE34" i="21" s="1"/>
  <c r="AC33" i="21"/>
  <c r="AC28" i="21"/>
  <c r="AE28" i="21" s="1"/>
  <c r="AC29" i="21"/>
  <c r="AE29" i="21" s="1"/>
  <c r="AC30" i="21"/>
  <c r="AE30" i="21" s="1"/>
  <c r="AC27" i="21"/>
  <c r="D35" i="21"/>
  <c r="F35" i="21" s="1"/>
  <c r="D34" i="21"/>
  <c r="F34" i="21" s="1"/>
  <c r="D33" i="21"/>
  <c r="F33" i="21" s="1"/>
  <c r="D32" i="21"/>
  <c r="F32" i="21" s="1"/>
  <c r="D31" i="21"/>
  <c r="F31" i="21" s="1"/>
  <c r="D30" i="21"/>
  <c r="D47" i="21"/>
  <c r="F47" i="21" s="1"/>
  <c r="D46" i="21"/>
  <c r="F46" i="21" s="1"/>
  <c r="D43" i="21"/>
  <c r="F43" i="21" s="1"/>
  <c r="D42" i="21"/>
  <c r="F42" i="21" s="1"/>
  <c r="D41" i="21"/>
  <c r="F41" i="21" s="1"/>
  <c r="D40" i="21"/>
  <c r="F40" i="21" s="1"/>
  <c r="D39" i="21"/>
  <c r="F39" i="21" s="1"/>
  <c r="D38" i="21"/>
  <c r="F38" i="21" s="1"/>
  <c r="D37" i="21"/>
  <c r="F37" i="21" s="1"/>
  <c r="D36" i="21"/>
  <c r="F36" i="21" s="1"/>
  <c r="H49" i="21"/>
  <c r="H48" i="21"/>
  <c r="H45" i="21"/>
  <c r="H44" i="21"/>
  <c r="F29" i="21"/>
  <c r="K114" i="21" l="1"/>
  <c r="Y21" i="21"/>
  <c r="AC26" i="21"/>
  <c r="AE33" i="21"/>
  <c r="AE32" i="21" s="1"/>
  <c r="AC32" i="21"/>
  <c r="AE27" i="21"/>
  <c r="AD27" i="21"/>
  <c r="AD28" i="21"/>
  <c r="AF33" i="21"/>
  <c r="D48" i="21"/>
  <c r="F48" i="21" s="1"/>
  <c r="D44" i="21"/>
  <c r="F44" i="21" s="1"/>
  <c r="AD33" i="21"/>
  <c r="D45" i="21"/>
  <c r="F45" i="21" s="1"/>
  <c r="D49" i="21"/>
  <c r="F49" i="21" s="1"/>
  <c r="AD34" i="21"/>
  <c r="F30" i="21"/>
  <c r="AD29" i="21"/>
  <c r="AD30" i="21"/>
  <c r="AF34" i="21" l="1"/>
  <c r="AF27" i="21"/>
  <c r="AE26" i="21"/>
  <c r="AF26" i="21" s="1"/>
  <c r="AF28" i="21"/>
  <c r="AF29" i="21"/>
  <c r="AD26" i="21"/>
  <c r="AD32" i="21"/>
  <c r="AF32" i="21"/>
  <c r="AF30" i="21"/>
  <c r="Q76" i="21"/>
  <c r="K76" i="21"/>
  <c r="Q74" i="21"/>
  <c r="K74" i="21"/>
  <c r="Q77" i="21"/>
  <c r="K77" i="21"/>
  <c r="K75" i="21"/>
  <c r="Q75" i="21"/>
  <c r="E35" i="21"/>
  <c r="E31" i="21"/>
  <c r="E30" i="21"/>
  <c r="E34" i="21"/>
  <c r="E32" i="21"/>
  <c r="E33" i="21"/>
  <c r="G35" i="21"/>
  <c r="G31" i="21"/>
  <c r="G32" i="21"/>
  <c r="G34" i="21"/>
  <c r="G30" i="21"/>
  <c r="G33" i="21"/>
  <c r="Q117" i="21" l="1"/>
  <c r="AK71" i="21"/>
  <c r="K117" i="21"/>
  <c r="AK97" i="21"/>
  <c r="AK96" i="21"/>
  <c r="AK80" i="21"/>
  <c r="AK94" i="21"/>
  <c r="AK81" i="21"/>
  <c r="AK90" i="21"/>
  <c r="AK82" i="21"/>
  <c r="AK95" i="21"/>
  <c r="AK92" i="21"/>
  <c r="AK88" i="21"/>
  <c r="AK87" i="21"/>
  <c r="AK83" i="21"/>
  <c r="AK78" i="21"/>
  <c r="AK79" i="21"/>
  <c r="AK89" i="21"/>
  <c r="AK85" i="21"/>
  <c r="AK100" i="21"/>
  <c r="AK101" i="21"/>
  <c r="AK93" i="21"/>
  <c r="AK86" i="21"/>
  <c r="AK91" i="21"/>
  <c r="AK98" i="21"/>
  <c r="AK99" i="21"/>
  <c r="AK75" i="21"/>
  <c r="R82" i="21"/>
  <c r="P82" i="21"/>
  <c r="I82" i="21"/>
  <c r="R79" i="21"/>
  <c r="P79" i="21"/>
  <c r="J79" i="21"/>
  <c r="J80" i="21" s="1"/>
  <c r="I79" i="21"/>
  <c r="P73" i="21"/>
  <c r="J73" i="21"/>
  <c r="I73" i="21"/>
  <c r="R73" i="21"/>
  <c r="R70" i="21"/>
  <c r="J70" i="21"/>
  <c r="AI62" i="21"/>
  <c r="H68" i="21"/>
  <c r="G68" i="21"/>
  <c r="F117" i="21" l="1"/>
  <c r="Z71" i="21" s="1"/>
  <c r="K679" i="1" s="1"/>
  <c r="G117" i="21"/>
  <c r="AA62" i="21"/>
  <c r="I101" i="21"/>
  <c r="I89" i="21"/>
  <c r="I87" i="21"/>
  <c r="I104" i="21"/>
  <c r="I97" i="21"/>
  <c r="I94" i="21"/>
  <c r="I90" i="21"/>
  <c r="I109" i="21"/>
  <c r="I83" i="21"/>
  <c r="I93" i="21"/>
  <c r="I103" i="21"/>
  <c r="I98" i="21"/>
  <c r="I88" i="21"/>
  <c r="I85" i="21"/>
  <c r="I102" i="21"/>
  <c r="I107" i="21"/>
  <c r="I92" i="21"/>
  <c r="I105" i="21"/>
  <c r="I99" i="21"/>
  <c r="I106" i="21"/>
  <c r="I112" i="21"/>
  <c r="I86" i="21"/>
  <c r="I108" i="21"/>
  <c r="I95" i="21"/>
  <c r="I111" i="21"/>
  <c r="I84" i="21"/>
  <c r="I91" i="21"/>
  <c r="I100" i="21"/>
  <c r="I113" i="21"/>
  <c r="I96" i="21"/>
  <c r="I110" i="21"/>
  <c r="P93" i="21"/>
  <c r="P83" i="21"/>
  <c r="P113" i="21"/>
  <c r="P87" i="21"/>
  <c r="P102" i="21"/>
  <c r="P112" i="21"/>
  <c r="P110" i="21"/>
  <c r="P101" i="21"/>
  <c r="P89" i="21"/>
  <c r="P104" i="21"/>
  <c r="P107" i="21"/>
  <c r="P95" i="21"/>
  <c r="P86" i="21"/>
  <c r="P88" i="21"/>
  <c r="P85" i="21"/>
  <c r="P91" i="21"/>
  <c r="P94" i="21"/>
  <c r="P84" i="21"/>
  <c r="P105" i="21"/>
  <c r="P92" i="21"/>
  <c r="P109" i="21"/>
  <c r="P99" i="21"/>
  <c r="P106" i="21"/>
  <c r="P97" i="21"/>
  <c r="P103" i="21"/>
  <c r="P111" i="21"/>
  <c r="P100" i="21"/>
  <c r="P96" i="21"/>
  <c r="P98" i="21"/>
  <c r="P90" i="21"/>
  <c r="P108" i="21"/>
  <c r="R89" i="21"/>
  <c r="R97" i="21"/>
  <c r="R104" i="21"/>
  <c r="R90" i="21"/>
  <c r="R100" i="21"/>
  <c r="R94" i="21"/>
  <c r="R110" i="21"/>
  <c r="R101" i="21"/>
  <c r="R93" i="21"/>
  <c r="R112" i="21"/>
  <c r="R106" i="21"/>
  <c r="R95" i="21"/>
  <c r="R107" i="21"/>
  <c r="R103" i="21"/>
  <c r="R108" i="21"/>
  <c r="R99" i="21"/>
  <c r="R92" i="21"/>
  <c r="R91" i="21"/>
  <c r="R111" i="21"/>
  <c r="R84" i="21"/>
  <c r="R98" i="21"/>
  <c r="R86" i="21"/>
  <c r="R109" i="21"/>
  <c r="R87" i="21"/>
  <c r="R88" i="21"/>
  <c r="R83" i="21"/>
  <c r="R113" i="21"/>
  <c r="R105" i="21"/>
  <c r="R102" i="21"/>
  <c r="R85" i="21"/>
  <c r="R96" i="21"/>
  <c r="H117" i="21"/>
  <c r="AB62" i="21"/>
  <c r="J81" i="21"/>
  <c r="M117" i="21"/>
  <c r="AG71" i="21" s="1"/>
  <c r="K386" i="1" s="1"/>
  <c r="AE69" i="21"/>
  <c r="K261" i="1" s="1"/>
  <c r="AE65" i="21"/>
  <c r="AE64" i="21"/>
  <c r="AG77" i="21"/>
  <c r="K392" i="1" s="1"/>
  <c r="AK69" i="21"/>
  <c r="AK65" i="21"/>
  <c r="AK64" i="21"/>
  <c r="D117" i="21"/>
  <c r="AE73" i="21"/>
  <c r="K265" i="1" s="1"/>
  <c r="K257" i="1"/>
  <c r="AE68" i="21"/>
  <c r="K260" i="1" s="1"/>
  <c r="AE67" i="21"/>
  <c r="K259" i="1" s="1"/>
  <c r="AE66" i="21"/>
  <c r="K258" i="1" s="1"/>
  <c r="AE76" i="21"/>
  <c r="K268" i="1" s="1"/>
  <c r="AE74" i="21"/>
  <c r="K266" i="1" s="1"/>
  <c r="AE77" i="21"/>
  <c r="K269" i="1" s="1"/>
  <c r="AE71" i="21"/>
  <c r="K263" i="1" s="1"/>
  <c r="AE70" i="21"/>
  <c r="K262" i="1" s="1"/>
  <c r="AE72" i="21"/>
  <c r="K264" i="1" s="1"/>
  <c r="AK73" i="21"/>
  <c r="AK67" i="21"/>
  <c r="AK66" i="21"/>
  <c r="AK68" i="21"/>
  <c r="AK76" i="21"/>
  <c r="AK74" i="21"/>
  <c r="AK77" i="21"/>
  <c r="AK84" i="21"/>
  <c r="AK72" i="21"/>
  <c r="AK70" i="21"/>
  <c r="AE84" i="21"/>
  <c r="K276" i="1" s="1"/>
  <c r="K277" i="1" s="1"/>
  <c r="AE98" i="21"/>
  <c r="K291" i="1" s="1"/>
  <c r="AE100" i="21"/>
  <c r="K293" i="1" s="1"/>
  <c r="AE101" i="21"/>
  <c r="K294" i="1" s="1"/>
  <c r="AE96" i="21"/>
  <c r="K289" i="1" s="1"/>
  <c r="AE81" i="21"/>
  <c r="K273" i="1" s="1"/>
  <c r="AE95" i="21"/>
  <c r="K288" i="1" s="1"/>
  <c r="AE75" i="21"/>
  <c r="K267" i="1" s="1"/>
  <c r="AE79" i="21"/>
  <c r="K271" i="1" s="1"/>
  <c r="AE89" i="21"/>
  <c r="K282" i="1" s="1"/>
  <c r="AE80" i="21"/>
  <c r="K272" i="1" s="1"/>
  <c r="AE88" i="21"/>
  <c r="K281" i="1" s="1"/>
  <c r="AE82" i="21"/>
  <c r="K274" i="1" s="1"/>
  <c r="AE83" i="21"/>
  <c r="K275" i="1" s="1"/>
  <c r="AE97" i="21"/>
  <c r="K290" i="1" s="1"/>
  <c r="AE93" i="21"/>
  <c r="K286" i="1" s="1"/>
  <c r="AE78" i="21"/>
  <c r="K270" i="1" s="1"/>
  <c r="AE90" i="21"/>
  <c r="K283" i="1" s="1"/>
  <c r="AE99" i="21"/>
  <c r="K292" i="1" s="1"/>
  <c r="AE92" i="21"/>
  <c r="K285" i="1" s="1"/>
  <c r="AE87" i="21"/>
  <c r="K280" i="1" s="1"/>
  <c r="AE86" i="21"/>
  <c r="K279" i="1" s="1"/>
  <c r="AE91" i="21"/>
  <c r="K284" i="1" s="1"/>
  <c r="AE85" i="21"/>
  <c r="K278" i="1" s="1"/>
  <c r="AE94" i="21"/>
  <c r="K287" i="1" s="1"/>
  <c r="Z100" i="21"/>
  <c r="K709" i="1" s="1"/>
  <c r="Z84" i="21"/>
  <c r="K692" i="1" s="1"/>
  <c r="K693" i="1" s="1"/>
  <c r="Z87" i="21"/>
  <c r="K696" i="1" s="1"/>
  <c r="Z94" i="21"/>
  <c r="K703" i="1" s="1"/>
  <c r="Z78" i="21"/>
  <c r="K686" i="1" s="1"/>
  <c r="Z91" i="21"/>
  <c r="K700" i="1" s="1"/>
  <c r="Z95" i="21"/>
  <c r="K704" i="1" s="1"/>
  <c r="Z88" i="21"/>
  <c r="K697" i="1" s="1"/>
  <c r="Z101" i="21"/>
  <c r="K710" i="1" s="1"/>
  <c r="Z81" i="21"/>
  <c r="K689" i="1" s="1"/>
  <c r="Z93" i="21"/>
  <c r="K702" i="1" s="1"/>
  <c r="Z92" i="21"/>
  <c r="K701" i="1" s="1"/>
  <c r="Z79" i="21"/>
  <c r="K687" i="1" s="1"/>
  <c r="Z83" i="21"/>
  <c r="K691" i="1" s="1"/>
  <c r="Z98" i="21"/>
  <c r="K707" i="1" s="1"/>
  <c r="Z80" i="21"/>
  <c r="K688" i="1" s="1"/>
  <c r="Z99" i="21"/>
  <c r="K708" i="1" s="1"/>
  <c r="Z82" i="21"/>
  <c r="K690" i="1" s="1"/>
  <c r="Z86" i="21"/>
  <c r="K695" i="1" s="1"/>
  <c r="Z96" i="21"/>
  <c r="K705" i="1" s="1"/>
  <c r="Z90" i="21"/>
  <c r="K699" i="1" s="1"/>
  <c r="Z85" i="21"/>
  <c r="K694" i="1" s="1"/>
  <c r="Z97" i="21"/>
  <c r="K706" i="1" s="1"/>
  <c r="Z75" i="21"/>
  <c r="Z89" i="21"/>
  <c r="K698" i="1" s="1"/>
  <c r="I80" i="21"/>
  <c r="I81" i="21"/>
  <c r="R74" i="21"/>
  <c r="R76" i="21"/>
  <c r="R77" i="21"/>
  <c r="R75" i="21"/>
  <c r="P75" i="21"/>
  <c r="P76" i="21"/>
  <c r="P77" i="21"/>
  <c r="P74" i="21"/>
  <c r="P81" i="21"/>
  <c r="P80" i="21"/>
  <c r="O77" i="21"/>
  <c r="O74" i="21"/>
  <c r="O75" i="21"/>
  <c r="O76" i="21"/>
  <c r="I76" i="21"/>
  <c r="I75" i="21"/>
  <c r="I77" i="21"/>
  <c r="R80" i="21"/>
  <c r="R81" i="21"/>
  <c r="O80" i="21"/>
  <c r="O81" i="21"/>
  <c r="J75" i="21"/>
  <c r="J77" i="21"/>
  <c r="J76" i="21"/>
  <c r="J74" i="21"/>
  <c r="J117" i="21" s="1"/>
  <c r="I74" i="21"/>
  <c r="E47" i="21"/>
  <c r="G48" i="21"/>
  <c r="E38" i="21"/>
  <c r="G38" i="21"/>
  <c r="G49" i="21"/>
  <c r="G45" i="21"/>
  <c r="E37" i="21"/>
  <c r="E46" i="21"/>
  <c r="E40" i="21"/>
  <c r="E29" i="21"/>
  <c r="G47" i="21"/>
  <c r="G43" i="21"/>
  <c r="G41" i="21"/>
  <c r="G37" i="21"/>
  <c r="E49" i="21"/>
  <c r="E45" i="21"/>
  <c r="E42" i="21"/>
  <c r="E39" i="21"/>
  <c r="G29" i="21"/>
  <c r="G46" i="21"/>
  <c r="G40" i="21"/>
  <c r="E48" i="21"/>
  <c r="E44" i="21"/>
  <c r="E36" i="21"/>
  <c r="G42" i="21"/>
  <c r="G39" i="21"/>
  <c r="E43" i="21"/>
  <c r="E41" i="21"/>
  <c r="G44" i="21"/>
  <c r="G36" i="21"/>
  <c r="I117" i="21" l="1"/>
  <c r="AG70" i="21"/>
  <c r="K385" i="1" s="1"/>
  <c r="AD69" i="21"/>
  <c r="K844" i="1" s="1"/>
  <c r="AD66" i="21"/>
  <c r="K841" i="1" s="1"/>
  <c r="AD74" i="21"/>
  <c r="K849" i="1" s="1"/>
  <c r="AD68" i="21"/>
  <c r="K843" i="1" s="1"/>
  <c r="AD64" i="21"/>
  <c r="K839" i="1" s="1"/>
  <c r="AD65" i="21"/>
  <c r="K840" i="1" s="1"/>
  <c r="AD67" i="21"/>
  <c r="K842" i="1" s="1"/>
  <c r="AD76" i="21"/>
  <c r="K851" i="1" s="1"/>
  <c r="X66" i="21"/>
  <c r="K590" i="1" s="1"/>
  <c r="X69" i="21"/>
  <c r="X65" i="21"/>
  <c r="K589" i="1" s="1"/>
  <c r="AA65" i="21"/>
  <c r="K715" i="1" s="1"/>
  <c r="AA64" i="21"/>
  <c r="K714" i="1" s="1"/>
  <c r="AA70" i="21"/>
  <c r="K720" i="1" s="1"/>
  <c r="AA76" i="21"/>
  <c r="K726" i="1" s="1"/>
  <c r="AA71" i="21"/>
  <c r="K721" i="1" s="1"/>
  <c r="AA77" i="21"/>
  <c r="K727" i="1" s="1"/>
  <c r="AA72" i="21"/>
  <c r="K722" i="1" s="1"/>
  <c r="AA66" i="21"/>
  <c r="K716" i="1" s="1"/>
  <c r="AA73" i="21"/>
  <c r="K723" i="1" s="1"/>
  <c r="AA99" i="21"/>
  <c r="K750" i="1" s="1"/>
  <c r="AA67" i="21"/>
  <c r="K717" i="1" s="1"/>
  <c r="AA74" i="21"/>
  <c r="K724" i="1" s="1"/>
  <c r="AA68" i="21"/>
  <c r="K718" i="1" s="1"/>
  <c r="AA89" i="21"/>
  <c r="K740" i="1" s="1"/>
  <c r="AA84" i="21"/>
  <c r="K734" i="1" s="1"/>
  <c r="K735" i="1" s="1"/>
  <c r="AA90" i="21"/>
  <c r="K741" i="1" s="1"/>
  <c r="AA96" i="21"/>
  <c r="K747" i="1" s="1"/>
  <c r="AA81" i="21"/>
  <c r="K731" i="1" s="1"/>
  <c r="AA80" i="21"/>
  <c r="K730" i="1" s="1"/>
  <c r="AA97" i="21"/>
  <c r="K748" i="1" s="1"/>
  <c r="AA82" i="21"/>
  <c r="K732" i="1" s="1"/>
  <c r="AA94" i="21"/>
  <c r="K745" i="1" s="1"/>
  <c r="AA86" i="21"/>
  <c r="K737" i="1" s="1"/>
  <c r="AA75" i="21"/>
  <c r="K725" i="1" s="1"/>
  <c r="AA93" i="21"/>
  <c r="K744" i="1" s="1"/>
  <c r="AA78" i="21"/>
  <c r="K728" i="1" s="1"/>
  <c r="AA91" i="21"/>
  <c r="K742" i="1" s="1"/>
  <c r="AA87" i="21"/>
  <c r="K738" i="1" s="1"/>
  <c r="AA79" i="21"/>
  <c r="K729" i="1" s="1"/>
  <c r="AA95" i="21"/>
  <c r="K746" i="1" s="1"/>
  <c r="AA101" i="21"/>
  <c r="K752" i="1" s="1"/>
  <c r="AA83" i="21"/>
  <c r="K733" i="1" s="1"/>
  <c r="AA69" i="21"/>
  <c r="K719" i="1" s="1"/>
  <c r="AA88" i="21"/>
  <c r="K739" i="1" s="1"/>
  <c r="AA98" i="21"/>
  <c r="K749" i="1" s="1"/>
  <c r="AA85" i="21"/>
  <c r="K736" i="1" s="1"/>
  <c r="AA92" i="21"/>
  <c r="K743" i="1" s="1"/>
  <c r="AA100" i="21"/>
  <c r="K751" i="1" s="1"/>
  <c r="Z73" i="21"/>
  <c r="K681" i="1" s="1"/>
  <c r="Z69" i="21"/>
  <c r="K677" i="1" s="1"/>
  <c r="Z64" i="21"/>
  <c r="K672" i="1" s="1"/>
  <c r="Z65" i="21"/>
  <c r="K673" i="1" s="1"/>
  <c r="Z74" i="21"/>
  <c r="K682" i="1" s="1"/>
  <c r="Z66" i="21"/>
  <c r="K674" i="1" s="1"/>
  <c r="Z68" i="21"/>
  <c r="K676" i="1" s="1"/>
  <c r="Z67" i="21"/>
  <c r="K675" i="1" s="1"/>
  <c r="Z70" i="21"/>
  <c r="K678" i="1" s="1"/>
  <c r="AC74" i="21"/>
  <c r="K808" i="1" s="1"/>
  <c r="AC71" i="21"/>
  <c r="K805" i="1" s="1"/>
  <c r="AC76" i="21"/>
  <c r="K810" i="1" s="1"/>
  <c r="Z72" i="21"/>
  <c r="K680" i="1" s="1"/>
  <c r="AD70" i="21"/>
  <c r="K845" i="1" s="1"/>
  <c r="AC72" i="21"/>
  <c r="K806" i="1" s="1"/>
  <c r="AC73" i="21"/>
  <c r="K807" i="1" s="1"/>
  <c r="AC77" i="21"/>
  <c r="K811" i="1" s="1"/>
  <c r="AD73" i="21"/>
  <c r="K848" i="1" s="1"/>
  <c r="Z77" i="21"/>
  <c r="K685" i="1" s="1"/>
  <c r="AB65" i="21"/>
  <c r="K757" i="1" s="1"/>
  <c r="AB64" i="21"/>
  <c r="K756" i="1" s="1"/>
  <c r="Z76" i="21"/>
  <c r="K684" i="1" s="1"/>
  <c r="AC70" i="21"/>
  <c r="K804" i="1" s="1"/>
  <c r="AC67" i="21"/>
  <c r="K801" i="1" s="1"/>
  <c r="AC69" i="21"/>
  <c r="K803" i="1" s="1"/>
  <c r="AC65" i="21"/>
  <c r="K799" i="1" s="1"/>
  <c r="AC64" i="21"/>
  <c r="K798" i="1" s="1"/>
  <c r="AC66" i="21"/>
  <c r="K800" i="1" s="1"/>
  <c r="AC68" i="21"/>
  <c r="K802" i="1" s="1"/>
  <c r="AD77" i="21"/>
  <c r="K852" i="1" s="1"/>
  <c r="AB77" i="21"/>
  <c r="K769" i="1" s="1"/>
  <c r="AB76" i="21"/>
  <c r="K768" i="1" s="1"/>
  <c r="AB72" i="21"/>
  <c r="K764" i="1" s="1"/>
  <c r="AB94" i="21"/>
  <c r="K787" i="1" s="1"/>
  <c r="AB66" i="21"/>
  <c r="K758" i="1" s="1"/>
  <c r="AB73" i="21"/>
  <c r="K765" i="1" s="1"/>
  <c r="AB96" i="21"/>
  <c r="K789" i="1" s="1"/>
  <c r="AB74" i="21"/>
  <c r="K766" i="1" s="1"/>
  <c r="AB91" i="21"/>
  <c r="K784" i="1" s="1"/>
  <c r="AB99" i="21"/>
  <c r="K792" i="1" s="1"/>
  <c r="AB93" i="21"/>
  <c r="K786" i="1" s="1"/>
  <c r="AB89" i="21"/>
  <c r="K782" i="1" s="1"/>
  <c r="AB70" i="21"/>
  <c r="K762" i="1" s="1"/>
  <c r="AB87" i="21"/>
  <c r="K780" i="1" s="1"/>
  <c r="AB85" i="21"/>
  <c r="K778" i="1" s="1"/>
  <c r="AB69" i="21"/>
  <c r="K761" i="1" s="1"/>
  <c r="AB86" i="21"/>
  <c r="K779" i="1" s="1"/>
  <c r="AB83" i="21"/>
  <c r="K775" i="1" s="1"/>
  <c r="AB78" i="21"/>
  <c r="K770" i="1" s="1"/>
  <c r="AB81" i="21"/>
  <c r="K773" i="1" s="1"/>
  <c r="AB98" i="21"/>
  <c r="K791" i="1" s="1"/>
  <c r="AB79" i="21"/>
  <c r="K771" i="1" s="1"/>
  <c r="AB80" i="21"/>
  <c r="K772" i="1" s="1"/>
  <c r="AB97" i="21"/>
  <c r="K790" i="1" s="1"/>
  <c r="AB90" i="21"/>
  <c r="K783" i="1" s="1"/>
  <c r="AB82" i="21"/>
  <c r="K774" i="1" s="1"/>
  <c r="AB101" i="21"/>
  <c r="K794" i="1" s="1"/>
  <c r="AB71" i="21"/>
  <c r="K763" i="1" s="1"/>
  <c r="AB67" i="21"/>
  <c r="K759" i="1" s="1"/>
  <c r="AB88" i="21"/>
  <c r="K781" i="1" s="1"/>
  <c r="AB75" i="21"/>
  <c r="K767" i="1" s="1"/>
  <c r="AB84" i="21"/>
  <c r="K776" i="1" s="1"/>
  <c r="K777" i="1" s="1"/>
  <c r="AB95" i="21"/>
  <c r="K788" i="1" s="1"/>
  <c r="AB100" i="21"/>
  <c r="K793" i="1" s="1"/>
  <c r="AB68" i="21"/>
  <c r="K760" i="1" s="1"/>
  <c r="AB92" i="21"/>
  <c r="K785" i="1" s="1"/>
  <c r="AD71" i="21"/>
  <c r="K846" i="1" s="1"/>
  <c r="AD72" i="21"/>
  <c r="K847" i="1" s="1"/>
  <c r="R117" i="21"/>
  <c r="AL70" i="21" s="1"/>
  <c r="AG76" i="21"/>
  <c r="K391" i="1" s="1"/>
  <c r="O117" i="21"/>
  <c r="AI71" i="21" s="1"/>
  <c r="AG73" i="21"/>
  <c r="K388" i="1" s="1"/>
  <c r="AG69" i="21"/>
  <c r="K384" i="1" s="1"/>
  <c r="AG64" i="21"/>
  <c r="K379" i="1" s="1"/>
  <c r="AG65" i="21"/>
  <c r="K380" i="1" s="1"/>
  <c r="AG74" i="21"/>
  <c r="K389" i="1" s="1"/>
  <c r="AG66" i="21"/>
  <c r="K381" i="1" s="1"/>
  <c r="AG68" i="21"/>
  <c r="K383" i="1" s="1"/>
  <c r="AG67" i="21"/>
  <c r="K382" i="1" s="1"/>
  <c r="P117" i="21"/>
  <c r="AJ70" i="21" s="1"/>
  <c r="K511" i="1" s="1"/>
  <c r="AG72" i="21"/>
  <c r="K387" i="1" s="1"/>
  <c r="X77" i="21"/>
  <c r="K601" i="1" s="1"/>
  <c r="X71" i="21"/>
  <c r="K595" i="1" s="1"/>
  <c r="K593" i="1"/>
  <c r="X73" i="21"/>
  <c r="K597" i="1" s="1"/>
  <c r="X101" i="21"/>
  <c r="K626" i="1" s="1"/>
  <c r="X74" i="21"/>
  <c r="K598" i="1" s="1"/>
  <c r="X76" i="21"/>
  <c r="K600" i="1" s="1"/>
  <c r="X70" i="21"/>
  <c r="X68" i="21"/>
  <c r="K592" i="1" s="1"/>
  <c r="X72" i="21"/>
  <c r="K596" i="1" s="1"/>
  <c r="X67" i="21"/>
  <c r="K591" i="1" s="1"/>
  <c r="X99" i="21"/>
  <c r="K624" i="1" s="1"/>
  <c r="X94" i="21"/>
  <c r="K619" i="1" s="1"/>
  <c r="X90" i="21"/>
  <c r="K615" i="1" s="1"/>
  <c r="X86" i="21"/>
  <c r="K611" i="1" s="1"/>
  <c r="X82" i="21"/>
  <c r="K606" i="1" s="1"/>
  <c r="X78" i="21"/>
  <c r="K602" i="1" s="1"/>
  <c r="X96" i="21"/>
  <c r="K621" i="1" s="1"/>
  <c r="X91" i="21"/>
  <c r="K616" i="1" s="1"/>
  <c r="X87" i="21"/>
  <c r="K612" i="1" s="1"/>
  <c r="X83" i="21"/>
  <c r="K607" i="1" s="1"/>
  <c r="X79" i="21"/>
  <c r="K603" i="1" s="1"/>
  <c r="X97" i="21"/>
  <c r="K622" i="1" s="1"/>
  <c r="X93" i="21"/>
  <c r="K618" i="1" s="1"/>
  <c r="X89" i="21"/>
  <c r="K614" i="1" s="1"/>
  <c r="X85" i="21"/>
  <c r="K610" i="1" s="1"/>
  <c r="X81" i="21"/>
  <c r="K605" i="1" s="1"/>
  <c r="X75" i="21"/>
  <c r="K599" i="1" s="1"/>
  <c r="X95" i="21"/>
  <c r="K620" i="1" s="1"/>
  <c r="X92" i="21"/>
  <c r="K617" i="1" s="1"/>
  <c r="X88" i="21"/>
  <c r="K613" i="1" s="1"/>
  <c r="X84" i="21"/>
  <c r="K608" i="1" s="1"/>
  <c r="K609" i="1" s="1"/>
  <c r="X80" i="21"/>
  <c r="K604" i="1" s="1"/>
  <c r="X98" i="21"/>
  <c r="K623" i="1" s="1"/>
  <c r="X100" i="21"/>
  <c r="K625" i="1" s="1"/>
  <c r="K683" i="1"/>
  <c r="Z103" i="21"/>
  <c r="AK103" i="21"/>
  <c r="AE103" i="21"/>
  <c r="K256" i="1"/>
  <c r="AG92" i="21"/>
  <c r="K408" i="1" s="1"/>
  <c r="AG79" i="21"/>
  <c r="K394" i="1" s="1"/>
  <c r="AG83" i="21"/>
  <c r="K398" i="1" s="1"/>
  <c r="AG97" i="21"/>
  <c r="K413" i="1" s="1"/>
  <c r="AG80" i="21"/>
  <c r="K395" i="1" s="1"/>
  <c r="AG100" i="21"/>
  <c r="K416" i="1" s="1"/>
  <c r="AG78" i="21"/>
  <c r="K393" i="1" s="1"/>
  <c r="AG88" i="21"/>
  <c r="K404" i="1" s="1"/>
  <c r="AG96" i="21"/>
  <c r="K412" i="1" s="1"/>
  <c r="AG84" i="21"/>
  <c r="K399" i="1" s="1"/>
  <c r="K400" i="1" s="1"/>
  <c r="AG89" i="21"/>
  <c r="K405" i="1" s="1"/>
  <c r="AG90" i="21"/>
  <c r="K406" i="1" s="1"/>
  <c r="AG75" i="21"/>
  <c r="AG95" i="21"/>
  <c r="K411" i="1" s="1"/>
  <c r="AG98" i="21"/>
  <c r="K414" i="1" s="1"/>
  <c r="AG91" i="21"/>
  <c r="K407" i="1" s="1"/>
  <c r="AG87" i="21"/>
  <c r="K403" i="1" s="1"/>
  <c r="AG81" i="21"/>
  <c r="K396" i="1" s="1"/>
  <c r="AG82" i="21"/>
  <c r="K397" i="1" s="1"/>
  <c r="AG86" i="21"/>
  <c r="K402" i="1" s="1"/>
  <c r="AG85" i="21"/>
  <c r="K401" i="1" s="1"/>
  <c r="AG101" i="21"/>
  <c r="K417" i="1" s="1"/>
  <c r="AG94" i="21"/>
  <c r="K410" i="1" s="1"/>
  <c r="AG93" i="21"/>
  <c r="K409" i="1" s="1"/>
  <c r="AG99" i="21"/>
  <c r="K415" i="1" s="1"/>
  <c r="K428" i="1" l="1"/>
  <c r="K470" i="1"/>
  <c r="K552" i="1"/>
  <c r="K303" i="1"/>
  <c r="AJ76" i="21"/>
  <c r="K517" i="1" s="1"/>
  <c r="X105" i="21"/>
  <c r="X106" i="21" s="1"/>
  <c r="AB103" i="21"/>
  <c r="AA103" i="21"/>
  <c r="AJ73" i="21"/>
  <c r="K514" i="1" s="1"/>
  <c r="AJ71" i="21"/>
  <c r="K512" i="1" s="1"/>
  <c r="AI70" i="21"/>
  <c r="AJ69" i="21"/>
  <c r="K510" i="1" s="1"/>
  <c r="AJ65" i="21"/>
  <c r="K506" i="1" s="1"/>
  <c r="AJ64" i="21"/>
  <c r="K505" i="1" s="1"/>
  <c r="AJ74" i="21"/>
  <c r="K515" i="1" s="1"/>
  <c r="AJ67" i="21"/>
  <c r="K508" i="1" s="1"/>
  <c r="AJ68" i="21"/>
  <c r="K509" i="1" s="1"/>
  <c r="AJ66" i="21"/>
  <c r="K507" i="1" s="1"/>
  <c r="AI73" i="21"/>
  <c r="AJ77" i="21"/>
  <c r="K518" i="1" s="1"/>
  <c r="AJ72" i="21"/>
  <c r="K513" i="1" s="1"/>
  <c r="K594" i="1"/>
  <c r="X103" i="21"/>
  <c r="AL69" i="21"/>
  <c r="AL64" i="21"/>
  <c r="AL65" i="21"/>
  <c r="AL74" i="21"/>
  <c r="AL67" i="21"/>
  <c r="AL66" i="21"/>
  <c r="AL68" i="21"/>
  <c r="AL71" i="21"/>
  <c r="AL76" i="21"/>
  <c r="AL72" i="21"/>
  <c r="AI76" i="21"/>
  <c r="AI69" i="21"/>
  <c r="AI65" i="21"/>
  <c r="AI64" i="21"/>
  <c r="AI68" i="21"/>
  <c r="AI74" i="21"/>
  <c r="AI67" i="21"/>
  <c r="AI66" i="21"/>
  <c r="AL77" i="21"/>
  <c r="AI77" i="21"/>
  <c r="AI72" i="21"/>
  <c r="AL73" i="21"/>
  <c r="K588" i="1"/>
  <c r="K390" i="1"/>
  <c r="AG103" i="21"/>
  <c r="AJ86" i="21"/>
  <c r="K528" i="1" s="1"/>
  <c r="AJ84" i="21"/>
  <c r="K525" i="1" s="1"/>
  <c r="K526" i="1" s="1"/>
  <c r="AJ96" i="21"/>
  <c r="K538" i="1" s="1"/>
  <c r="AJ94" i="21"/>
  <c r="K536" i="1" s="1"/>
  <c r="AJ88" i="21"/>
  <c r="K530" i="1" s="1"/>
  <c r="AJ87" i="21"/>
  <c r="K529" i="1" s="1"/>
  <c r="AJ81" i="21"/>
  <c r="K522" i="1" s="1"/>
  <c r="AJ89" i="21"/>
  <c r="K531" i="1" s="1"/>
  <c r="AJ90" i="21"/>
  <c r="K532" i="1" s="1"/>
  <c r="AJ78" i="21"/>
  <c r="K519" i="1" s="1"/>
  <c r="AJ101" i="21"/>
  <c r="K543" i="1" s="1"/>
  <c r="AJ79" i="21"/>
  <c r="K520" i="1" s="1"/>
  <c r="AJ93" i="21"/>
  <c r="K535" i="1" s="1"/>
  <c r="AJ91" i="21"/>
  <c r="K533" i="1" s="1"/>
  <c r="AJ82" i="21"/>
  <c r="K523" i="1" s="1"/>
  <c r="AJ85" i="21"/>
  <c r="K527" i="1" s="1"/>
  <c r="AJ92" i="21"/>
  <c r="K534" i="1" s="1"/>
  <c r="AJ75" i="21"/>
  <c r="AJ100" i="21"/>
  <c r="K542" i="1" s="1"/>
  <c r="AJ97" i="21"/>
  <c r="K539" i="1" s="1"/>
  <c r="AJ98" i="21"/>
  <c r="K540" i="1" s="1"/>
  <c r="AJ80" i="21"/>
  <c r="K521" i="1" s="1"/>
  <c r="AJ95" i="21"/>
  <c r="K537" i="1" s="1"/>
  <c r="AJ99" i="21"/>
  <c r="K541" i="1" s="1"/>
  <c r="AJ83" i="21"/>
  <c r="K524" i="1" s="1"/>
  <c r="AC86" i="21"/>
  <c r="K821" i="1" s="1"/>
  <c r="AC85" i="21"/>
  <c r="K820" i="1" s="1"/>
  <c r="AC96" i="21"/>
  <c r="K831" i="1" s="1"/>
  <c r="AC99" i="21"/>
  <c r="K834" i="1" s="1"/>
  <c r="AC97" i="21"/>
  <c r="K832" i="1" s="1"/>
  <c r="AC87" i="21"/>
  <c r="K822" i="1" s="1"/>
  <c r="AC94" i="21"/>
  <c r="K829" i="1" s="1"/>
  <c r="AC75" i="21"/>
  <c r="AC93" i="21"/>
  <c r="K828" i="1" s="1"/>
  <c r="AC91" i="21"/>
  <c r="K826" i="1" s="1"/>
  <c r="AC78" i="21"/>
  <c r="K812" i="1" s="1"/>
  <c r="AC79" i="21"/>
  <c r="K813" i="1" s="1"/>
  <c r="AC90" i="21"/>
  <c r="K825" i="1" s="1"/>
  <c r="AC80" i="21"/>
  <c r="K814" i="1" s="1"/>
  <c r="AC88" i="21"/>
  <c r="K823" i="1" s="1"/>
  <c r="AC89" i="21"/>
  <c r="K824" i="1" s="1"/>
  <c r="AC95" i="21"/>
  <c r="K830" i="1" s="1"/>
  <c r="AC82" i="21"/>
  <c r="K816" i="1" s="1"/>
  <c r="AC81" i="21"/>
  <c r="K815" i="1" s="1"/>
  <c r="AC84" i="21"/>
  <c r="K818" i="1" s="1"/>
  <c r="K819" i="1" s="1"/>
  <c r="AC98" i="21"/>
  <c r="K833" i="1" s="1"/>
  <c r="AC101" i="21"/>
  <c r="K836" i="1" s="1"/>
  <c r="AC100" i="21"/>
  <c r="K835" i="1" s="1"/>
  <c r="AC92" i="21"/>
  <c r="K827" i="1" s="1"/>
  <c r="AC83" i="21"/>
  <c r="K817" i="1" s="1"/>
  <c r="AI79" i="21"/>
  <c r="AI90" i="21"/>
  <c r="AI86" i="21"/>
  <c r="AI94" i="21"/>
  <c r="AI82" i="21"/>
  <c r="AI93" i="21"/>
  <c r="AI80" i="21"/>
  <c r="AI88" i="21"/>
  <c r="AI101" i="21"/>
  <c r="AI81" i="21"/>
  <c r="AI84" i="21"/>
  <c r="AI85" i="21"/>
  <c r="AI97" i="21"/>
  <c r="AI96" i="21"/>
  <c r="AI92" i="21"/>
  <c r="AI83" i="21"/>
  <c r="AI95" i="21"/>
  <c r="AI75" i="21"/>
  <c r="K474" i="1" s="1"/>
  <c r="AI87" i="21"/>
  <c r="AI78" i="21"/>
  <c r="AI91" i="21"/>
  <c r="AI98" i="21"/>
  <c r="AI99" i="21"/>
  <c r="AI89" i="21"/>
  <c r="AI100" i="21"/>
  <c r="AD101" i="21"/>
  <c r="K876" i="1" s="1"/>
  <c r="AD100" i="21"/>
  <c r="K875" i="1" s="1"/>
  <c r="AD98" i="21"/>
  <c r="K873" i="1" s="1"/>
  <c r="AD78" i="21"/>
  <c r="K853" i="1" s="1"/>
  <c r="AD82" i="21"/>
  <c r="K857" i="1" s="1"/>
  <c r="AD86" i="21"/>
  <c r="K861" i="1" s="1"/>
  <c r="AD90" i="21"/>
  <c r="K865" i="1" s="1"/>
  <c r="AD94" i="21"/>
  <c r="K869" i="1" s="1"/>
  <c r="AD95" i="21"/>
  <c r="K870" i="1" s="1"/>
  <c r="AD75" i="21"/>
  <c r="AD79" i="21"/>
  <c r="K854" i="1" s="1"/>
  <c r="AD83" i="21"/>
  <c r="K858" i="1" s="1"/>
  <c r="AD87" i="21"/>
  <c r="K862" i="1" s="1"/>
  <c r="AD91" i="21"/>
  <c r="K866" i="1" s="1"/>
  <c r="AD96" i="21"/>
  <c r="K871" i="1" s="1"/>
  <c r="AD80" i="21"/>
  <c r="K855" i="1" s="1"/>
  <c r="AD84" i="21"/>
  <c r="K859" i="1" s="1"/>
  <c r="AD88" i="21"/>
  <c r="K863" i="1" s="1"/>
  <c r="AD92" i="21"/>
  <c r="K867" i="1" s="1"/>
  <c r="AD89" i="21"/>
  <c r="K864" i="1" s="1"/>
  <c r="AD97" i="21"/>
  <c r="K872" i="1" s="1"/>
  <c r="AD85" i="21"/>
  <c r="K860" i="1" s="1"/>
  <c r="AD93" i="21"/>
  <c r="K868" i="1" s="1"/>
  <c r="AD99" i="21"/>
  <c r="K874" i="1" s="1"/>
  <c r="AD81" i="21"/>
  <c r="K856" i="1" s="1"/>
  <c r="AL84" i="21"/>
  <c r="AL79" i="21"/>
  <c r="AL75" i="21"/>
  <c r="K308" i="1" s="1"/>
  <c r="AL99" i="21"/>
  <c r="AL90" i="21"/>
  <c r="AL82" i="21"/>
  <c r="AL98" i="21"/>
  <c r="AL92" i="21"/>
  <c r="AL83" i="21"/>
  <c r="AL97" i="21"/>
  <c r="AL96" i="21"/>
  <c r="AL78" i="21"/>
  <c r="AL81" i="21"/>
  <c r="AL87" i="21"/>
  <c r="AL94" i="21"/>
  <c r="AL86" i="21"/>
  <c r="AL89" i="21"/>
  <c r="AL85" i="21"/>
  <c r="AL93" i="21"/>
  <c r="AL88" i="21"/>
  <c r="AL100" i="21"/>
  <c r="AL101" i="21"/>
  <c r="AL91" i="21"/>
  <c r="AL80" i="21"/>
  <c r="AL95" i="21"/>
  <c r="AB105" i="21"/>
  <c r="AB106" i="21" s="1"/>
  <c r="AA105" i="21"/>
  <c r="AA106" i="21" s="1"/>
  <c r="K438" i="1" l="1"/>
  <c r="K480" i="1"/>
  <c r="K429" i="1"/>
  <c r="K471" i="1"/>
  <c r="K434" i="1"/>
  <c r="K476" i="1"/>
  <c r="K427" i="1"/>
  <c r="K469" i="1"/>
  <c r="K447" i="1"/>
  <c r="K489" i="1"/>
  <c r="K446" i="1"/>
  <c r="K488" i="1"/>
  <c r="K437" i="1"/>
  <c r="K479" i="1"/>
  <c r="K423" i="1"/>
  <c r="K465" i="1"/>
  <c r="K456" i="1"/>
  <c r="K498" i="1"/>
  <c r="K451" i="1"/>
  <c r="K493" i="1"/>
  <c r="K424" i="1"/>
  <c r="K466" i="1"/>
  <c r="K449" i="1"/>
  <c r="K491" i="1"/>
  <c r="K439" i="1"/>
  <c r="K481" i="1"/>
  <c r="K431" i="1"/>
  <c r="K473" i="1"/>
  <c r="K459" i="1"/>
  <c r="K501" i="1"/>
  <c r="K457" i="1"/>
  <c r="K499" i="1"/>
  <c r="K435" i="1"/>
  <c r="K477" i="1"/>
  <c r="K452" i="1"/>
  <c r="K494" i="1"/>
  <c r="K425" i="1"/>
  <c r="K467" i="1"/>
  <c r="K444" i="1"/>
  <c r="K486" i="1"/>
  <c r="K421" i="1"/>
  <c r="K463" i="1"/>
  <c r="K422" i="1"/>
  <c r="K464" i="1"/>
  <c r="K443" i="1"/>
  <c r="K485" i="1"/>
  <c r="K426" i="1"/>
  <c r="K468" i="1"/>
  <c r="K430" i="1"/>
  <c r="K472" i="1"/>
  <c r="K448" i="1"/>
  <c r="K490" i="1"/>
  <c r="K440" i="1"/>
  <c r="K482" i="1"/>
  <c r="K433" i="1"/>
  <c r="K475" i="1"/>
  <c r="K436" i="1"/>
  <c r="K478" i="1"/>
  <c r="K450" i="1"/>
  <c r="K492" i="1"/>
  <c r="K441" i="1"/>
  <c r="K442" i="1" s="1"/>
  <c r="K483" i="1"/>
  <c r="K484" i="1" s="1"/>
  <c r="K458" i="1"/>
  <c r="K500" i="1"/>
  <c r="K445" i="1"/>
  <c r="K487" i="1"/>
  <c r="K453" i="1"/>
  <c r="K495" i="1"/>
  <c r="K454" i="1"/>
  <c r="K496" i="1"/>
  <c r="K455" i="1"/>
  <c r="K497" i="1"/>
  <c r="K554" i="1"/>
  <c r="K305" i="1"/>
  <c r="K569" i="1"/>
  <c r="K320" i="1"/>
  <c r="K558" i="1"/>
  <c r="K309" i="1"/>
  <c r="K553" i="1"/>
  <c r="K304" i="1"/>
  <c r="K550" i="1"/>
  <c r="K301" i="1"/>
  <c r="K555" i="1"/>
  <c r="K306" i="1"/>
  <c r="K548" i="1"/>
  <c r="K299" i="1"/>
  <c r="K578" i="1"/>
  <c r="K329" i="1"/>
  <c r="K549" i="1"/>
  <c r="K300" i="1"/>
  <c r="K556" i="1"/>
  <c r="K307" i="1"/>
  <c r="K564" i="1"/>
  <c r="K315" i="1"/>
  <c r="K559" i="1"/>
  <c r="K310" i="1"/>
  <c r="K547" i="1"/>
  <c r="K298" i="1"/>
  <c r="K579" i="1"/>
  <c r="K330" i="1"/>
  <c r="K546" i="1"/>
  <c r="K297" i="1"/>
  <c r="K577" i="1"/>
  <c r="K328" i="1"/>
  <c r="K565" i="1"/>
  <c r="K316" i="1"/>
  <c r="K574" i="1"/>
  <c r="K325" i="1"/>
  <c r="K573" i="1"/>
  <c r="K324" i="1"/>
  <c r="K580" i="1"/>
  <c r="K331" i="1"/>
  <c r="K551" i="1"/>
  <c r="K302" i="1"/>
  <c r="K583" i="1"/>
  <c r="K334" i="1"/>
  <c r="K582" i="1"/>
  <c r="K333" i="1"/>
  <c r="K572" i="1"/>
  <c r="K323" i="1"/>
  <c r="K570" i="1"/>
  <c r="K321" i="1"/>
  <c r="K581" i="1"/>
  <c r="K332" i="1"/>
  <c r="K575" i="1"/>
  <c r="K326" i="1"/>
  <c r="K567" i="1"/>
  <c r="K318" i="1"/>
  <c r="K561" i="1"/>
  <c r="K312" i="1"/>
  <c r="K563" i="1"/>
  <c r="K314" i="1"/>
  <c r="K560" i="1"/>
  <c r="K311" i="1"/>
  <c r="K568" i="1"/>
  <c r="K319" i="1"/>
  <c r="K562" i="1"/>
  <c r="K313" i="1"/>
  <c r="K571" i="1"/>
  <c r="K322" i="1"/>
  <c r="K566" i="1"/>
  <c r="K317" i="1"/>
  <c r="K576" i="1"/>
  <c r="K327" i="1"/>
  <c r="AD103" i="21"/>
  <c r="K850" i="1"/>
  <c r="K809" i="1"/>
  <c r="AC103" i="21"/>
  <c r="K432" i="1"/>
  <c r="AI103" i="21"/>
  <c r="K557" i="1"/>
  <c r="AL103" i="21"/>
  <c r="K516" i="1"/>
  <c r="AJ103" i="21"/>
  <c r="AD105" i="21"/>
  <c r="AD106" i="21" s="1"/>
  <c r="K209" i="1"/>
  <c r="K208" i="1"/>
  <c r="AG105" i="21" l="1"/>
  <c r="Z105" i="21"/>
  <c r="Z106" i="21" s="1"/>
  <c r="AK105" i="21"/>
  <c r="AK106" i="21" s="1"/>
  <c r="AE105" i="21"/>
  <c r="AE106" i="21" s="1"/>
  <c r="AL105" i="21"/>
  <c r="AL106" i="21" s="1"/>
  <c r="AI105" i="21"/>
  <c r="AI106" i="21" s="1"/>
  <c r="AC105" i="21"/>
  <c r="AC106" i="21" s="1"/>
  <c r="AJ105" i="21"/>
  <c r="AJ106" i="21" s="1"/>
  <c r="I99" i="8"/>
  <c r="J99" i="8"/>
  <c r="I100" i="8"/>
  <c r="J100" i="8"/>
  <c r="I101" i="8"/>
  <c r="J101" i="8"/>
  <c r="I102" i="8"/>
  <c r="J102" i="8"/>
  <c r="J98" i="8"/>
  <c r="I98" i="8"/>
  <c r="D103" i="8"/>
  <c r="C103" i="8"/>
  <c r="E102" i="8"/>
  <c r="E101" i="8"/>
  <c r="E100" i="8"/>
  <c r="E99" i="8"/>
  <c r="E98" i="8"/>
  <c r="G103" i="8"/>
  <c r="F103" i="8"/>
  <c r="H99" i="8"/>
  <c r="H100" i="8"/>
  <c r="H101" i="8"/>
  <c r="H102" i="8"/>
  <c r="H98" i="8"/>
  <c r="E103" i="8" l="1"/>
  <c r="E104" i="8" s="1"/>
  <c r="K98" i="8"/>
  <c r="K102" i="8"/>
  <c r="J103" i="8"/>
  <c r="K101" i="8"/>
  <c r="I103" i="8"/>
  <c r="K100" i="8"/>
  <c r="H103" i="8"/>
  <c r="H104" i="8" s="1"/>
  <c r="K99" i="8"/>
  <c r="V32" i="14"/>
  <c r="U32" i="14"/>
  <c r="T32" i="14"/>
  <c r="S32" i="14"/>
  <c r="V31" i="14"/>
  <c r="U31" i="14"/>
  <c r="T31" i="14"/>
  <c r="S31" i="14"/>
  <c r="V30" i="14"/>
  <c r="U30" i="14"/>
  <c r="T30" i="14"/>
  <c r="S30" i="14"/>
  <c r="V29" i="14"/>
  <c r="U29" i="14"/>
  <c r="T29" i="14"/>
  <c r="S29" i="14"/>
  <c r="V28" i="14"/>
  <c r="U28" i="14"/>
  <c r="T28" i="14"/>
  <c r="S28" i="14"/>
  <c r="V27" i="14"/>
  <c r="U27" i="14"/>
  <c r="T27" i="14"/>
  <c r="S27" i="14"/>
  <c r="K103" i="8" l="1"/>
  <c r="K104" i="8" s="1"/>
  <c r="AC28" i="14" l="1"/>
  <c r="AC27" i="14"/>
  <c r="AC26" i="14"/>
  <c r="AC25" i="14"/>
  <c r="AC24" i="14"/>
  <c r="AC23" i="14"/>
  <c r="AC22" i="14"/>
  <c r="AC21" i="14"/>
  <c r="AC20" i="14"/>
  <c r="AC19" i="14"/>
  <c r="AC18" i="14"/>
  <c r="AC17" i="14"/>
  <c r="AC16" i="14"/>
  <c r="AC15" i="14"/>
  <c r="AC14" i="14"/>
  <c r="AC13" i="14"/>
  <c r="AC12" i="14"/>
  <c r="AC11" i="14"/>
  <c r="AC10" i="14"/>
  <c r="AC9" i="14"/>
  <c r="AC8" i="14"/>
  <c r="AC7" i="14"/>
  <c r="AC6" i="14"/>
  <c r="AC5" i="14"/>
  <c r="N4" i="14" l="1"/>
  <c r="M4" i="14"/>
  <c r="N7" i="14"/>
  <c r="M7" i="14"/>
  <c r="L7" i="14"/>
  <c r="K7" i="14"/>
  <c r="J7" i="14"/>
  <c r="N6" i="14"/>
  <c r="M6" i="14"/>
  <c r="L6" i="14"/>
  <c r="K6" i="14"/>
  <c r="J6" i="14"/>
  <c r="N5" i="14"/>
  <c r="M5" i="14"/>
  <c r="L5" i="14"/>
  <c r="K5" i="14"/>
  <c r="J5" i="14"/>
  <c r="L4" i="14"/>
  <c r="K4" i="14"/>
  <c r="J4" i="14"/>
  <c r="AE66" i="8" l="1"/>
  <c r="AE68" i="8"/>
  <c r="AE69" i="8"/>
  <c r="AE70" i="8"/>
  <c r="AE71" i="8"/>
  <c r="AE72" i="8"/>
  <c r="AE73" i="8"/>
  <c r="AE6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D75" i="8"/>
  <c r="AD75" i="8" s="1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D76" i="8"/>
  <c r="AD76" i="8" s="1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D67" i="8"/>
  <c r="AD67" i="8" s="1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D74" i="8"/>
  <c r="AD74" i="8" s="1"/>
  <c r="AE76" i="8" l="1"/>
  <c r="AE75" i="8"/>
  <c r="AE67" i="8"/>
  <c r="AE74" i="8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14" i="12"/>
  <c r="O9" i="12"/>
  <c r="K4" i="1"/>
  <c r="K8" i="1"/>
  <c r="N19" i="12"/>
  <c r="O19" i="12"/>
  <c r="I21" i="12"/>
  <c r="I37" i="12"/>
  <c r="H15" i="12"/>
  <c r="I20" i="12" s="1"/>
  <c r="H16" i="12"/>
  <c r="H17" i="12"/>
  <c r="H18" i="12"/>
  <c r="H19" i="12"/>
  <c r="H20" i="12"/>
  <c r="H21" i="12"/>
  <c r="H22" i="12"/>
  <c r="I22" i="12" s="1"/>
  <c r="H23" i="12"/>
  <c r="H24" i="12"/>
  <c r="H25" i="12"/>
  <c r="I25" i="12" s="1"/>
  <c r="H26" i="12"/>
  <c r="I26" i="12" s="1"/>
  <c r="H27" i="12"/>
  <c r="H28" i="12"/>
  <c r="H29" i="12"/>
  <c r="I29" i="12" s="1"/>
  <c r="H30" i="12"/>
  <c r="I30" i="12" s="1"/>
  <c r="H31" i="12"/>
  <c r="H32" i="12"/>
  <c r="H33" i="12"/>
  <c r="I33" i="12" s="1"/>
  <c r="H34" i="12"/>
  <c r="I34" i="12" s="1"/>
  <c r="H35" i="12"/>
  <c r="H36" i="12"/>
  <c r="H37" i="12"/>
  <c r="H38" i="12"/>
  <c r="I38" i="12" s="1"/>
  <c r="H39" i="12"/>
  <c r="H40" i="12"/>
  <c r="H14" i="12"/>
  <c r="M7" i="12"/>
  <c r="L7" i="12"/>
  <c r="K7" i="12"/>
  <c r="E7" i="12"/>
  <c r="O7" i="12" s="1"/>
  <c r="M6" i="12"/>
  <c r="L6" i="12"/>
  <c r="K6" i="12"/>
  <c r="E6" i="12"/>
  <c r="O6" i="12" s="1"/>
  <c r="M5" i="12"/>
  <c r="L5" i="12"/>
  <c r="K5" i="12"/>
  <c r="E5" i="12"/>
  <c r="O5" i="12" s="1"/>
  <c r="M4" i="12"/>
  <c r="L4" i="12"/>
  <c r="K4" i="12"/>
  <c r="E4" i="12"/>
  <c r="O4" i="12" s="1"/>
  <c r="M3" i="12"/>
  <c r="L3" i="12"/>
  <c r="K3" i="12"/>
  <c r="E3" i="12"/>
  <c r="O3" i="12" s="1"/>
  <c r="G9" i="12" s="1"/>
  <c r="N88" i="11"/>
  <c r="R88" i="11" s="1"/>
  <c r="C88" i="11"/>
  <c r="F88" i="11" s="1"/>
  <c r="P87" i="11"/>
  <c r="N87" i="11"/>
  <c r="O87" i="11" s="1"/>
  <c r="H87" i="11"/>
  <c r="D87" i="11"/>
  <c r="C87" i="11"/>
  <c r="G87" i="11" s="1"/>
  <c r="N86" i="11"/>
  <c r="P86" i="11" s="1"/>
  <c r="Q86" i="11" s="1"/>
  <c r="I86" i="11"/>
  <c r="H86" i="11"/>
  <c r="F86" i="11"/>
  <c r="E86" i="11"/>
  <c r="D86" i="11"/>
  <c r="C86" i="11"/>
  <c r="G86" i="11" s="1"/>
  <c r="N85" i="11"/>
  <c r="P85" i="11" s="1"/>
  <c r="C85" i="11"/>
  <c r="F85" i="11" s="1"/>
  <c r="P84" i="11"/>
  <c r="N84" i="11"/>
  <c r="R84" i="11" s="1"/>
  <c r="S84" i="11" s="1"/>
  <c r="H84" i="11"/>
  <c r="D84" i="11"/>
  <c r="C84" i="11"/>
  <c r="O84" i="11" s="1"/>
  <c r="N83" i="11"/>
  <c r="P83" i="11" s="1"/>
  <c r="Q83" i="11" s="1"/>
  <c r="L83" i="11"/>
  <c r="L84" i="11" s="1"/>
  <c r="H83" i="11"/>
  <c r="F83" i="11"/>
  <c r="E83" i="11"/>
  <c r="D83" i="11"/>
  <c r="C83" i="11"/>
  <c r="G83" i="11" s="1"/>
  <c r="J77" i="11"/>
  <c r="P52" i="11"/>
  <c r="N52" i="11"/>
  <c r="R52" i="11" s="1"/>
  <c r="H52" i="11"/>
  <c r="D52" i="11"/>
  <c r="C52" i="11"/>
  <c r="O52" i="11" s="1"/>
  <c r="P51" i="11"/>
  <c r="N51" i="11"/>
  <c r="O51" i="11" s="1"/>
  <c r="I51" i="11"/>
  <c r="H51" i="11"/>
  <c r="F51" i="11"/>
  <c r="E51" i="11"/>
  <c r="D51" i="11"/>
  <c r="C51" i="11"/>
  <c r="G51" i="11" s="1"/>
  <c r="G45" i="11" s="1"/>
  <c r="N50" i="11"/>
  <c r="P50" i="11" s="1"/>
  <c r="I50" i="11"/>
  <c r="F50" i="11"/>
  <c r="F44" i="11" s="1"/>
  <c r="E50" i="11"/>
  <c r="C50" i="11"/>
  <c r="H50" i="11" s="1"/>
  <c r="H44" i="11" s="1"/>
  <c r="O49" i="11"/>
  <c r="N49" i="11"/>
  <c r="R49" i="11" s="1"/>
  <c r="H49" i="11"/>
  <c r="D49" i="11"/>
  <c r="C49" i="11"/>
  <c r="G49" i="11" s="1"/>
  <c r="P48" i="11"/>
  <c r="N48" i="11"/>
  <c r="O48" i="11" s="1"/>
  <c r="H48" i="11"/>
  <c r="F48" i="11"/>
  <c r="E48" i="11"/>
  <c r="D48" i="11"/>
  <c r="C48" i="11"/>
  <c r="G48" i="11" s="1"/>
  <c r="N47" i="11"/>
  <c r="P47" i="11" s="1"/>
  <c r="F47" i="11"/>
  <c r="F41" i="11" s="1"/>
  <c r="E47" i="11"/>
  <c r="C47" i="11"/>
  <c r="H47" i="11" s="1"/>
  <c r="N46" i="11"/>
  <c r="O46" i="11" s="1"/>
  <c r="C46" i="11"/>
  <c r="J130" i="11" s="1"/>
  <c r="P45" i="11"/>
  <c r="N45" i="11"/>
  <c r="C45" i="11"/>
  <c r="O45" i="11" s="1"/>
  <c r="I44" i="11"/>
  <c r="E44" i="11"/>
  <c r="C44" i="11"/>
  <c r="J80" i="11" s="1"/>
  <c r="N43" i="11"/>
  <c r="O43" i="11" s="1"/>
  <c r="C43" i="11"/>
  <c r="J127" i="11" s="1"/>
  <c r="P42" i="11"/>
  <c r="N42" i="11"/>
  <c r="C42" i="11"/>
  <c r="O42" i="11" s="1"/>
  <c r="E41" i="11"/>
  <c r="C41" i="11"/>
  <c r="J125" i="11" s="1"/>
  <c r="J35" i="11"/>
  <c r="P10" i="11"/>
  <c r="N10" i="11"/>
  <c r="R10" i="11" s="1"/>
  <c r="G10" i="11"/>
  <c r="C10" i="11"/>
  <c r="S9" i="11"/>
  <c r="P9" i="11"/>
  <c r="N9" i="11"/>
  <c r="R9" i="11" s="1"/>
  <c r="H9" i="11"/>
  <c r="C9" i="11"/>
  <c r="P8" i="11"/>
  <c r="N8" i="11"/>
  <c r="R8" i="11" s="1"/>
  <c r="G8" i="11"/>
  <c r="C8" i="11"/>
  <c r="J38" i="11" s="1"/>
  <c r="P7" i="11"/>
  <c r="O7" i="11"/>
  <c r="N7" i="11"/>
  <c r="R7" i="11" s="1"/>
  <c r="I7" i="11"/>
  <c r="H7" i="11"/>
  <c r="S7" i="11" s="1"/>
  <c r="E7" i="11"/>
  <c r="C7" i="11"/>
  <c r="P6" i="11"/>
  <c r="N6" i="11"/>
  <c r="R6" i="11" s="1"/>
  <c r="C6" i="11"/>
  <c r="S5" i="11"/>
  <c r="P5" i="11"/>
  <c r="N5" i="11"/>
  <c r="R5" i="11" s="1"/>
  <c r="H5" i="11"/>
  <c r="C5" i="11"/>
  <c r="J421" i="9"/>
  <c r="I421" i="9"/>
  <c r="J420" i="9"/>
  <c r="I420" i="9"/>
  <c r="J419" i="9"/>
  <c r="I419" i="9"/>
  <c r="J418" i="9"/>
  <c r="I418" i="9"/>
  <c r="J417" i="9"/>
  <c r="I417" i="9"/>
  <c r="J416" i="9"/>
  <c r="I416" i="9"/>
  <c r="J415" i="9"/>
  <c r="I415" i="9"/>
  <c r="J414" i="9"/>
  <c r="I414" i="9"/>
  <c r="J413" i="9"/>
  <c r="I413" i="9"/>
  <c r="J412" i="9"/>
  <c r="I412" i="9"/>
  <c r="J411" i="9"/>
  <c r="I411" i="9"/>
  <c r="J410" i="9"/>
  <c r="I410" i="9"/>
  <c r="J409" i="9"/>
  <c r="I409" i="9"/>
  <c r="J408" i="9"/>
  <c r="I408" i="9"/>
  <c r="J407" i="9"/>
  <c r="I407" i="9"/>
  <c r="J406" i="9"/>
  <c r="I406" i="9"/>
  <c r="J405" i="9"/>
  <c r="I405" i="9"/>
  <c r="J404" i="9"/>
  <c r="I404" i="9"/>
  <c r="J403" i="9"/>
  <c r="I403" i="9"/>
  <c r="J402" i="9"/>
  <c r="I402" i="9"/>
  <c r="J401" i="9"/>
  <c r="I401" i="9"/>
  <c r="J400" i="9"/>
  <c r="I400" i="9"/>
  <c r="J399" i="9"/>
  <c r="I399" i="9"/>
  <c r="J398" i="9"/>
  <c r="I398" i="9"/>
  <c r="J397" i="9"/>
  <c r="I397" i="9"/>
  <c r="J396" i="9"/>
  <c r="I396" i="9"/>
  <c r="J395" i="9"/>
  <c r="I395" i="9"/>
  <c r="J394" i="9"/>
  <c r="I394" i="9"/>
  <c r="J393" i="9"/>
  <c r="I393" i="9"/>
  <c r="J392" i="9"/>
  <c r="I392" i="9"/>
  <c r="J391" i="9"/>
  <c r="I391" i="9"/>
  <c r="J390" i="9"/>
  <c r="I390" i="9"/>
  <c r="J389" i="9"/>
  <c r="I389" i="9"/>
  <c r="J388" i="9"/>
  <c r="I388" i="9"/>
  <c r="J387" i="9"/>
  <c r="I387" i="9"/>
  <c r="J386" i="9"/>
  <c r="I386" i="9"/>
  <c r="J385" i="9"/>
  <c r="I385" i="9"/>
  <c r="J384" i="9"/>
  <c r="I384" i="9"/>
  <c r="J383" i="9"/>
  <c r="I383" i="9"/>
  <c r="J382" i="9"/>
  <c r="I382" i="9"/>
  <c r="J381" i="9"/>
  <c r="I381" i="9"/>
  <c r="J380" i="9"/>
  <c r="I380" i="9"/>
  <c r="J379" i="9"/>
  <c r="I379" i="9"/>
  <c r="J378" i="9"/>
  <c r="I378" i="9"/>
  <c r="J377" i="9"/>
  <c r="I377" i="9"/>
  <c r="J376" i="9"/>
  <c r="I376" i="9"/>
  <c r="J375" i="9"/>
  <c r="I375" i="9"/>
  <c r="J374" i="9"/>
  <c r="I374" i="9"/>
  <c r="J373" i="9"/>
  <c r="I373" i="9"/>
  <c r="J372" i="9"/>
  <c r="I372" i="9"/>
  <c r="J371" i="9"/>
  <c r="I371" i="9"/>
  <c r="J370" i="9"/>
  <c r="I370" i="9"/>
  <c r="J369" i="9"/>
  <c r="I369" i="9"/>
  <c r="J368" i="9"/>
  <c r="I368" i="9"/>
  <c r="J367" i="9"/>
  <c r="I367" i="9"/>
  <c r="J366" i="9"/>
  <c r="I366" i="9"/>
  <c r="J365" i="9"/>
  <c r="I365" i="9"/>
  <c r="J364" i="9"/>
  <c r="I364" i="9"/>
  <c r="J363" i="9"/>
  <c r="I363" i="9"/>
  <c r="J362" i="9"/>
  <c r="I362" i="9"/>
  <c r="J361" i="9"/>
  <c r="I361" i="9"/>
  <c r="J360" i="9"/>
  <c r="I360" i="9"/>
  <c r="J359" i="9"/>
  <c r="I359" i="9"/>
  <c r="J358" i="9"/>
  <c r="I358" i="9"/>
  <c r="J357" i="9"/>
  <c r="I357" i="9"/>
  <c r="J356" i="9"/>
  <c r="I356" i="9"/>
  <c r="J355" i="9"/>
  <c r="I355" i="9"/>
  <c r="J354" i="9"/>
  <c r="I354" i="9"/>
  <c r="J353" i="9"/>
  <c r="I353" i="9"/>
  <c r="J352" i="9"/>
  <c r="I352" i="9"/>
  <c r="J351" i="9"/>
  <c r="I351" i="9"/>
  <c r="J350" i="9"/>
  <c r="I350" i="9"/>
  <c r="J349" i="9"/>
  <c r="I349" i="9"/>
  <c r="J348" i="9"/>
  <c r="I348" i="9"/>
  <c r="J347" i="9"/>
  <c r="I347" i="9"/>
  <c r="J346" i="9"/>
  <c r="I346" i="9"/>
  <c r="J345" i="9"/>
  <c r="I345" i="9"/>
  <c r="J344" i="9"/>
  <c r="I344" i="9"/>
  <c r="J343" i="9"/>
  <c r="I343" i="9"/>
  <c r="J342" i="9"/>
  <c r="I342" i="9"/>
  <c r="J341" i="9"/>
  <c r="I341" i="9"/>
  <c r="J340" i="9"/>
  <c r="I340" i="9"/>
  <c r="J339" i="9"/>
  <c r="I339" i="9"/>
  <c r="J338" i="9"/>
  <c r="I338" i="9"/>
  <c r="J337" i="9"/>
  <c r="I337" i="9"/>
  <c r="J336" i="9"/>
  <c r="I336" i="9"/>
  <c r="J335" i="9"/>
  <c r="I335" i="9"/>
  <c r="J334" i="9"/>
  <c r="I334" i="9"/>
  <c r="J333" i="9"/>
  <c r="I333" i="9"/>
  <c r="J332" i="9"/>
  <c r="I332" i="9"/>
  <c r="J331" i="9"/>
  <c r="I331" i="9"/>
  <c r="J330" i="9"/>
  <c r="I330" i="9"/>
  <c r="J329" i="9"/>
  <c r="I329" i="9"/>
  <c r="J328" i="9"/>
  <c r="I328" i="9"/>
  <c r="J327" i="9"/>
  <c r="I327" i="9"/>
  <c r="J326" i="9"/>
  <c r="I326" i="9"/>
  <c r="J325" i="9"/>
  <c r="I325" i="9"/>
  <c r="J324" i="9"/>
  <c r="I324" i="9"/>
  <c r="J323" i="9"/>
  <c r="I323" i="9"/>
  <c r="J322" i="9"/>
  <c r="I322" i="9"/>
  <c r="J321" i="9"/>
  <c r="I321" i="9"/>
  <c r="J320" i="9"/>
  <c r="I320" i="9"/>
  <c r="J319" i="9"/>
  <c r="I319" i="9"/>
  <c r="J318" i="9"/>
  <c r="I318" i="9"/>
  <c r="J317" i="9"/>
  <c r="I317" i="9"/>
  <c r="J316" i="9"/>
  <c r="I316" i="9"/>
  <c r="J315" i="9"/>
  <c r="I315" i="9"/>
  <c r="J314" i="9"/>
  <c r="I314" i="9"/>
  <c r="J313" i="9"/>
  <c r="I313" i="9"/>
  <c r="J312" i="9"/>
  <c r="I312" i="9"/>
  <c r="J311" i="9"/>
  <c r="I311" i="9"/>
  <c r="J310" i="9"/>
  <c r="I310" i="9"/>
  <c r="J309" i="9"/>
  <c r="I309" i="9"/>
  <c r="J308" i="9"/>
  <c r="I308" i="9"/>
  <c r="J307" i="9"/>
  <c r="I307" i="9"/>
  <c r="J306" i="9"/>
  <c r="I306" i="9"/>
  <c r="J305" i="9"/>
  <c r="I305" i="9"/>
  <c r="J304" i="9"/>
  <c r="I304" i="9"/>
  <c r="J303" i="9"/>
  <c r="I303" i="9"/>
  <c r="J302" i="9"/>
  <c r="I302" i="9"/>
  <c r="J301" i="9"/>
  <c r="I301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2" i="9"/>
  <c r="I272" i="9"/>
  <c r="J271" i="9"/>
  <c r="I271" i="9"/>
  <c r="J270" i="9"/>
  <c r="I270" i="9"/>
  <c r="J269" i="9"/>
  <c r="I269" i="9"/>
  <c r="J268" i="9"/>
  <c r="I268" i="9"/>
  <c r="J267" i="9"/>
  <c r="I267" i="9"/>
  <c r="J266" i="9"/>
  <c r="I266" i="9"/>
  <c r="J265" i="9"/>
  <c r="I265" i="9"/>
  <c r="J264" i="9"/>
  <c r="I264" i="9"/>
  <c r="J263" i="9"/>
  <c r="I263" i="9"/>
  <c r="J262" i="9"/>
  <c r="I262" i="9"/>
  <c r="J261" i="9"/>
  <c r="I261" i="9"/>
  <c r="J260" i="9"/>
  <c r="I260" i="9"/>
  <c r="J259" i="9"/>
  <c r="I259" i="9"/>
  <c r="J258" i="9"/>
  <c r="I258" i="9"/>
  <c r="J257" i="9"/>
  <c r="I257" i="9"/>
  <c r="J256" i="9"/>
  <c r="I256" i="9"/>
  <c r="J255" i="9"/>
  <c r="I255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9" i="9"/>
  <c r="I239" i="9"/>
  <c r="J238" i="9"/>
  <c r="I238" i="9"/>
  <c r="J237" i="9"/>
  <c r="I237" i="9"/>
  <c r="J236" i="9"/>
  <c r="I236" i="9"/>
  <c r="J235" i="9"/>
  <c r="I235" i="9"/>
  <c r="J234" i="9"/>
  <c r="I234" i="9"/>
  <c r="J233" i="9"/>
  <c r="I233" i="9"/>
  <c r="J232" i="9"/>
  <c r="I232" i="9"/>
  <c r="J231" i="9"/>
  <c r="I231" i="9"/>
  <c r="J230" i="9"/>
  <c r="I230" i="9"/>
  <c r="J229" i="9"/>
  <c r="I229" i="9"/>
  <c r="J228" i="9"/>
  <c r="I228" i="9"/>
  <c r="J227" i="9"/>
  <c r="I227" i="9"/>
  <c r="J226" i="9"/>
  <c r="I226" i="9"/>
  <c r="J225" i="9"/>
  <c r="I225" i="9"/>
  <c r="J224" i="9"/>
  <c r="I224" i="9"/>
  <c r="J223" i="9"/>
  <c r="I223" i="9"/>
  <c r="J222" i="9"/>
  <c r="I222" i="9"/>
  <c r="J221" i="9"/>
  <c r="I221" i="9"/>
  <c r="J220" i="9"/>
  <c r="I220" i="9"/>
  <c r="J219" i="9"/>
  <c r="I219" i="9"/>
  <c r="J218" i="9"/>
  <c r="I218" i="9"/>
  <c r="J217" i="9"/>
  <c r="I217" i="9"/>
  <c r="J216" i="9"/>
  <c r="I216" i="9"/>
  <c r="J215" i="9"/>
  <c r="I215" i="9"/>
  <c r="J214" i="9"/>
  <c r="I214" i="9"/>
  <c r="J213" i="9"/>
  <c r="I213" i="9"/>
  <c r="J212" i="9"/>
  <c r="I212" i="9"/>
  <c r="J211" i="9"/>
  <c r="I211" i="9"/>
  <c r="J210" i="9"/>
  <c r="I210" i="9"/>
  <c r="J209" i="9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I137" i="9"/>
  <c r="J136" i="9"/>
  <c r="I136" i="9"/>
  <c r="J135" i="9"/>
  <c r="I135" i="9"/>
  <c r="J134" i="9"/>
  <c r="I134" i="9"/>
  <c r="J133" i="9"/>
  <c r="I133" i="9"/>
  <c r="J132" i="9"/>
  <c r="I132" i="9"/>
  <c r="J131" i="9"/>
  <c r="I131" i="9"/>
  <c r="J130" i="9"/>
  <c r="I130" i="9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2" i="9"/>
  <c r="I2" i="9"/>
  <c r="AN22" i="8"/>
  <c r="Q22" i="8"/>
  <c r="AN21" i="8"/>
  <c r="Q21" i="8"/>
  <c r="AN20" i="8"/>
  <c r="Q20" i="8"/>
  <c r="AN19" i="8"/>
  <c r="Q19" i="8"/>
  <c r="AN18" i="8"/>
  <c r="Q18" i="8"/>
  <c r="AN17" i="8"/>
  <c r="Q17" i="8"/>
  <c r="AN16" i="8"/>
  <c r="Q16" i="8"/>
  <c r="AN15" i="8"/>
  <c r="Q15" i="8"/>
  <c r="AN14" i="8"/>
  <c r="Q14" i="8"/>
  <c r="AN12" i="8"/>
  <c r="Q12" i="8"/>
  <c r="AM10" i="8"/>
  <c r="AN10" i="8" s="1"/>
  <c r="AN9" i="8"/>
  <c r="Q9" i="8"/>
  <c r="Q11" i="8" s="1"/>
  <c r="AN8" i="8"/>
  <c r="P8" i="8"/>
  <c r="Q8" i="8" s="1"/>
  <c r="AN6" i="8"/>
  <c r="AB5" i="8"/>
  <c r="E45" i="8" s="1"/>
  <c r="H45" i="8" s="1"/>
  <c r="AA5" i="8"/>
  <c r="E5" i="8"/>
  <c r="E44" i="8" s="1"/>
  <c r="H44" i="8" s="1"/>
  <c r="D12" i="10"/>
  <c r="H7" i="10"/>
  <c r="O6" i="10"/>
  <c r="N6" i="10"/>
  <c r="O9" i="10"/>
  <c r="P5" i="10"/>
  <c r="J9" i="10"/>
  <c r="B14" i="10"/>
  <c r="C14" i="10"/>
  <c r="J8" i="10"/>
  <c r="C9" i="10"/>
  <c r="I14" i="10"/>
  <c r="B8" i="10"/>
  <c r="I11" i="10"/>
  <c r="N11" i="10"/>
  <c r="C7" i="10"/>
  <c r="J6" i="10"/>
  <c r="I6" i="10"/>
  <c r="H5" i="10"/>
  <c r="J5" i="10"/>
  <c r="B11" i="10"/>
  <c r="P8" i="10"/>
  <c r="N8" i="10"/>
  <c r="P14" i="10"/>
  <c r="P6" i="10"/>
  <c r="N5" i="10"/>
  <c r="D6" i="10"/>
  <c r="C11" i="10"/>
  <c r="C12" i="10"/>
  <c r="I7" i="10"/>
  <c r="C6" i="10"/>
  <c r="D14" i="10"/>
  <c r="B12" i="10"/>
  <c r="B6" i="10"/>
  <c r="I5" i="10"/>
  <c r="P12" i="10"/>
  <c r="P11" i="10"/>
  <c r="O5" i="10"/>
  <c r="D5" i="10"/>
  <c r="C5" i="10"/>
  <c r="O8" i="10"/>
  <c r="N7" i="10"/>
  <c r="N14" i="10"/>
  <c r="I8" i="10"/>
  <c r="O14" i="10"/>
  <c r="J14" i="10"/>
  <c r="O12" i="10"/>
  <c r="N10" i="10"/>
  <c r="H12" i="10"/>
  <c r="D11" i="10"/>
  <c r="D7" i="10"/>
  <c r="C8" i="10"/>
  <c r="J12" i="10"/>
  <c r="I10" i="10"/>
  <c r="P10" i="10"/>
  <c r="H6" i="10"/>
  <c r="B10" i="10"/>
  <c r="N9" i="10"/>
  <c r="P9" i="10"/>
  <c r="B9" i="10"/>
  <c r="O7" i="10"/>
  <c r="O11" i="10"/>
  <c r="D10" i="10"/>
  <c r="C10" i="10"/>
  <c r="H14" i="10"/>
  <c r="H9" i="10"/>
  <c r="O10" i="10"/>
  <c r="I9" i="10"/>
  <c r="D9" i="10"/>
  <c r="P7" i="10"/>
  <c r="J11" i="10"/>
  <c r="H8" i="10"/>
  <c r="B5" i="10"/>
  <c r="N12" i="10"/>
  <c r="I12" i="10"/>
  <c r="D8" i="10"/>
  <c r="B7" i="10"/>
  <c r="J7" i="10"/>
  <c r="J10" i="10"/>
  <c r="P32" i="8" l="1"/>
  <c r="D44" i="8"/>
  <c r="D23" i="8"/>
  <c r="E23" i="8"/>
  <c r="AH5" i="8"/>
  <c r="D45" i="8"/>
  <c r="I39" i="12"/>
  <c r="I35" i="12"/>
  <c r="I31" i="12"/>
  <c r="I41" i="12" s="1"/>
  <c r="I27" i="12"/>
  <c r="I23" i="12"/>
  <c r="I19" i="12"/>
  <c r="I40" i="12"/>
  <c r="I36" i="12"/>
  <c r="I32" i="12"/>
  <c r="I28" i="12"/>
  <c r="I24" i="12"/>
  <c r="D12" i="8"/>
  <c r="R7" i="10"/>
  <c r="Q8" i="10"/>
  <c r="U8" i="10"/>
  <c r="E11" i="10"/>
  <c r="Q9" i="10"/>
  <c r="U9" i="10"/>
  <c r="J16" i="10"/>
  <c r="K11" i="10"/>
  <c r="P30" i="8"/>
  <c r="Q30" i="8" s="1"/>
  <c r="F5" i="10"/>
  <c r="E6" i="10"/>
  <c r="Q10" i="10"/>
  <c r="U10" i="10"/>
  <c r="L14" i="10"/>
  <c r="P26" i="8"/>
  <c r="Q26" i="8" s="1"/>
  <c r="L6" i="10"/>
  <c r="K7" i="10"/>
  <c r="E12" i="10"/>
  <c r="E5" i="10"/>
  <c r="AM30" i="8" s="1"/>
  <c r="AN30" i="8" s="1"/>
  <c r="L5" i="10"/>
  <c r="K6" i="10"/>
  <c r="R6" i="10"/>
  <c r="Q7" i="10"/>
  <c r="P31" i="8"/>
  <c r="Q31" i="8" s="1"/>
  <c r="F8" i="10"/>
  <c r="V8" i="10"/>
  <c r="P33" i="8"/>
  <c r="Q33" i="8" s="1"/>
  <c r="F9" i="10"/>
  <c r="V9" i="10"/>
  <c r="P34" i="8"/>
  <c r="Q34" i="8" s="1"/>
  <c r="F10" i="10"/>
  <c r="V10" i="10"/>
  <c r="V12" i="10"/>
  <c r="F14" i="10"/>
  <c r="Q32" i="8"/>
  <c r="K5" i="10"/>
  <c r="AM24" i="8" s="1"/>
  <c r="R5" i="10"/>
  <c r="Q6" i="10"/>
  <c r="F7" i="10"/>
  <c r="E8" i="10"/>
  <c r="AM31" i="8" s="1"/>
  <c r="AN31" i="8" s="1"/>
  <c r="L8" i="10"/>
  <c r="P25" i="8"/>
  <c r="Q25" i="8" s="1"/>
  <c r="E9" i="10"/>
  <c r="AM33" i="8" s="1"/>
  <c r="AN33" i="8" s="1"/>
  <c r="L9" i="10"/>
  <c r="P27" i="8"/>
  <c r="Q27" i="8" s="1"/>
  <c r="E10" i="10"/>
  <c r="AM34" i="8" s="1"/>
  <c r="AN34" i="8" s="1"/>
  <c r="H16" i="10"/>
  <c r="L10" i="10"/>
  <c r="P28" i="8"/>
  <c r="Q28" i="8" s="1"/>
  <c r="L12" i="10"/>
  <c r="E14" i="10"/>
  <c r="AM32" i="8" s="1"/>
  <c r="AN32" i="8" s="1"/>
  <c r="Q5" i="10"/>
  <c r="F6" i="10"/>
  <c r="E7" i="10"/>
  <c r="L7" i="10"/>
  <c r="K8" i="10"/>
  <c r="AM25" i="8" s="1"/>
  <c r="AN25" i="8" s="1"/>
  <c r="R8" i="10"/>
  <c r="T8" i="10"/>
  <c r="K9" i="10"/>
  <c r="AM27" i="8" s="1"/>
  <c r="AN27" i="8" s="1"/>
  <c r="R9" i="10"/>
  <c r="T9" i="10"/>
  <c r="K10" i="10"/>
  <c r="I16" i="10"/>
  <c r="T10" i="10"/>
  <c r="R10" i="10"/>
  <c r="F11" i="10"/>
  <c r="L11" i="10"/>
  <c r="V11" i="10"/>
  <c r="F12" i="10"/>
  <c r="V14" i="10"/>
  <c r="T11" i="10"/>
  <c r="R11" i="10"/>
  <c r="K12" i="10"/>
  <c r="T12" i="10"/>
  <c r="R12" i="10"/>
  <c r="K14" i="10"/>
  <c r="AM26" i="8" s="1"/>
  <c r="AN26" i="8" s="1"/>
  <c r="T14" i="10"/>
  <c r="R14" i="10"/>
  <c r="U11" i="10"/>
  <c r="Q11" i="10"/>
  <c r="U12" i="10"/>
  <c r="Q12" i="10"/>
  <c r="U14" i="10"/>
  <c r="Q14" i="10"/>
  <c r="J5" i="8"/>
  <c r="F5" i="8" s="1"/>
  <c r="AG5" i="8"/>
  <c r="Q6" i="11"/>
  <c r="K5" i="8"/>
  <c r="G5" i="8" s="1"/>
  <c r="E12" i="8"/>
  <c r="D58" i="8"/>
  <c r="D59" i="8"/>
  <c r="S49" i="11"/>
  <c r="D46" i="11"/>
  <c r="O6" i="11"/>
  <c r="F6" i="11"/>
  <c r="J36" i="11"/>
  <c r="E6" i="11"/>
  <c r="Q7" i="11"/>
  <c r="H8" i="11"/>
  <c r="S8" i="11" s="1"/>
  <c r="F10" i="11"/>
  <c r="J40" i="11"/>
  <c r="I10" i="11"/>
  <c r="E10" i="11"/>
  <c r="O10" i="11"/>
  <c r="Q47" i="11"/>
  <c r="G43" i="11"/>
  <c r="I9" i="12"/>
  <c r="H9" i="12"/>
  <c r="F5" i="11"/>
  <c r="E5" i="11"/>
  <c r="Q5" i="11" s="1"/>
  <c r="O5" i="11"/>
  <c r="G6" i="11"/>
  <c r="F9" i="11"/>
  <c r="I9" i="11"/>
  <c r="L7" i="11" s="1"/>
  <c r="E9" i="11"/>
  <c r="O9" i="11"/>
  <c r="Q10" i="11"/>
  <c r="J39" i="11"/>
  <c r="L47" i="11"/>
  <c r="L48" i="11" s="1"/>
  <c r="H41" i="11"/>
  <c r="L41" i="11" s="1"/>
  <c r="L42" i="11" s="1"/>
  <c r="G42" i="11"/>
  <c r="Q50" i="11"/>
  <c r="P44" i="11"/>
  <c r="Q44" i="11" s="1"/>
  <c r="S52" i="11"/>
  <c r="R46" i="11"/>
  <c r="G5" i="11"/>
  <c r="H6" i="11"/>
  <c r="S6" i="11" s="1"/>
  <c r="J37" i="11"/>
  <c r="G7" i="11"/>
  <c r="F7" i="11"/>
  <c r="F8" i="11"/>
  <c r="I8" i="11"/>
  <c r="E8" i="11"/>
  <c r="Q8" i="11" s="1"/>
  <c r="O8" i="11"/>
  <c r="G9" i="11"/>
  <c r="Q9" i="11"/>
  <c r="H10" i="11"/>
  <c r="S10" i="11" s="1"/>
  <c r="Q52" i="11"/>
  <c r="D42" i="11"/>
  <c r="H42" i="11"/>
  <c r="D45" i="11"/>
  <c r="H45" i="11"/>
  <c r="R47" i="11"/>
  <c r="S47" i="11" s="1"/>
  <c r="Q48" i="11"/>
  <c r="R50" i="11"/>
  <c r="S50" i="11" s="1"/>
  <c r="Q51" i="11"/>
  <c r="J81" i="11"/>
  <c r="G85" i="11"/>
  <c r="R85" i="11"/>
  <c r="S85" i="11" s="1"/>
  <c r="G88" i="11"/>
  <c r="O88" i="11"/>
  <c r="J128" i="11"/>
  <c r="E9" i="12"/>
  <c r="N41" i="11"/>
  <c r="O41" i="11" s="1"/>
  <c r="N44" i="11"/>
  <c r="O44" i="11" s="1"/>
  <c r="I45" i="11"/>
  <c r="G47" i="11"/>
  <c r="G41" i="11" s="1"/>
  <c r="O47" i="11"/>
  <c r="R48" i="11"/>
  <c r="E49" i="11"/>
  <c r="I49" i="11"/>
  <c r="P49" i="11"/>
  <c r="G50" i="11"/>
  <c r="G44" i="11" s="1"/>
  <c r="O50" i="11"/>
  <c r="R51" i="11"/>
  <c r="E52" i="11"/>
  <c r="I52" i="11"/>
  <c r="L49" i="11" s="1"/>
  <c r="J78" i="11"/>
  <c r="J82" i="11"/>
  <c r="R83" i="11"/>
  <c r="S83" i="11" s="1"/>
  <c r="E84" i="11"/>
  <c r="Q84" i="11" s="1"/>
  <c r="D85" i="11"/>
  <c r="D43" i="11" s="1"/>
  <c r="H85" i="11"/>
  <c r="H43" i="11" s="1"/>
  <c r="O85" i="11"/>
  <c r="R86" i="11"/>
  <c r="S86" i="11" s="1"/>
  <c r="E87" i="11"/>
  <c r="E45" i="11" s="1"/>
  <c r="Q45" i="11" s="1"/>
  <c r="I87" i="11"/>
  <c r="D88" i="11"/>
  <c r="H88" i="11"/>
  <c r="S88" i="11" s="1"/>
  <c r="P88" i="11"/>
  <c r="J129" i="11"/>
  <c r="D47" i="11"/>
  <c r="D41" i="11" s="1"/>
  <c r="F49" i="11"/>
  <c r="F43" i="11" s="1"/>
  <c r="D50" i="11"/>
  <c r="D44" i="11" s="1"/>
  <c r="F52" i="11"/>
  <c r="F46" i="11" s="1"/>
  <c r="J79" i="11"/>
  <c r="O83" i="11"/>
  <c r="F84" i="11"/>
  <c r="F42" i="11" s="1"/>
  <c r="E85" i="11"/>
  <c r="Q85" i="11" s="1"/>
  <c r="I85" i="11"/>
  <c r="O86" i="11"/>
  <c r="F87" i="11"/>
  <c r="F45" i="11" s="1"/>
  <c r="R87" i="11"/>
  <c r="S87" i="11" s="1"/>
  <c r="E88" i="11"/>
  <c r="I88" i="11"/>
  <c r="J126" i="11"/>
  <c r="G52" i="11"/>
  <c r="G84" i="11"/>
  <c r="K11" i="1"/>
  <c r="K10" i="1"/>
  <c r="K7" i="1"/>
  <c r="K6" i="1"/>
  <c r="X11" i="10" l="1"/>
  <c r="W14" i="10"/>
  <c r="P37" i="8"/>
  <c r="Q37" i="8"/>
  <c r="W11" i="10"/>
  <c r="L16" i="10"/>
  <c r="P36" i="8"/>
  <c r="Q36" i="8"/>
  <c r="X9" i="10"/>
  <c r="AN24" i="8"/>
  <c r="AN7" i="8" s="1"/>
  <c r="AN11" i="8" s="1"/>
  <c r="AM7" i="8"/>
  <c r="AM11" i="8" s="1"/>
  <c r="I5" i="8"/>
  <c r="H5" i="8"/>
  <c r="W10" i="10"/>
  <c r="Q49" i="11"/>
  <c r="P43" i="11"/>
  <c r="Q43" i="11" s="1"/>
  <c r="R44" i="11"/>
  <c r="S44" i="11" s="1"/>
  <c r="Q87" i="11"/>
  <c r="L5" i="11"/>
  <c r="P41" i="11"/>
  <c r="Q41" i="11" s="1"/>
  <c r="D13" i="8"/>
  <c r="D15" i="8" s="1"/>
  <c r="X12" i="10"/>
  <c r="G46" i="11"/>
  <c r="L85" i="11"/>
  <c r="S51" i="11"/>
  <c r="R45" i="11"/>
  <c r="S45" i="11" s="1"/>
  <c r="I43" i="11"/>
  <c r="H46" i="11"/>
  <c r="R43" i="11"/>
  <c r="S43" i="11" s="1"/>
  <c r="W12" i="10"/>
  <c r="X14" i="10"/>
  <c r="K16" i="10"/>
  <c r="AM28" i="8"/>
  <c r="AN28" i="8" s="1"/>
  <c r="W8" i="10"/>
  <c r="I46" i="11"/>
  <c r="L43" i="11" s="1"/>
  <c r="S48" i="11"/>
  <c r="R42" i="11"/>
  <c r="S42" i="11" s="1"/>
  <c r="E42" i="11"/>
  <c r="Q42" i="11" s="1"/>
  <c r="E13" i="8"/>
  <c r="E15" i="8" s="1"/>
  <c r="E17" i="8" s="1"/>
  <c r="E46" i="11"/>
  <c r="Q88" i="11"/>
  <c r="E43" i="11"/>
  <c r="P46" i="11"/>
  <c r="R41" i="11"/>
  <c r="S41" i="11" s="1"/>
  <c r="S46" i="11"/>
  <c r="X10" i="10"/>
  <c r="X8" i="10"/>
  <c r="W9" i="10"/>
  <c r="AN37" i="8" l="1"/>
  <c r="AM37" i="8"/>
  <c r="AM36" i="8"/>
  <c r="AN36" i="8"/>
  <c r="D17" i="8"/>
  <c r="D19" i="8" s="1"/>
  <c r="Q46" i="11"/>
  <c r="E19" i="8"/>
  <c r="E21" i="8" s="1"/>
  <c r="E14" i="8"/>
  <c r="E16" i="8" s="1"/>
  <c r="E18" i="8" s="1"/>
  <c r="D14" i="8"/>
  <c r="D16" i="8" s="1"/>
  <c r="AA23" i="8"/>
  <c r="AC5" i="8"/>
  <c r="D21" i="8" l="1"/>
  <c r="D18" i="8"/>
  <c r="D20" i="8" s="1"/>
  <c r="D24" i="8" s="1"/>
  <c r="D25" i="8" s="1"/>
  <c r="AB12" i="8"/>
  <c r="AA12" i="8"/>
  <c r="AB23" i="8"/>
  <c r="AD5" i="8"/>
  <c r="H48" i="8" s="1"/>
  <c r="AE5" i="8"/>
  <c r="D28" i="8" l="1"/>
  <c r="D29" i="8" s="1"/>
  <c r="F9" i="8"/>
  <c r="D22" i="8"/>
  <c r="J9" i="8" s="1"/>
  <c r="AF5" i="8"/>
  <c r="D48" i="8"/>
  <c r="AA13" i="8"/>
  <c r="AB13" i="8"/>
  <c r="E20" i="8"/>
  <c r="E22" i="8" s="1"/>
  <c r="AA14" i="8" l="1"/>
  <c r="AA16" i="8" s="1"/>
  <c r="AA15" i="8"/>
  <c r="D26" i="8"/>
  <c r="D27" i="8" s="1"/>
  <c r="AB14" i="8"/>
  <c r="AB15" i="8"/>
  <c r="G48" i="8"/>
  <c r="F48" i="8"/>
  <c r="E24" i="8"/>
  <c r="K9" i="8"/>
  <c r="H9" i="8"/>
  <c r="D8" i="8" l="1"/>
  <c r="AB16" i="8"/>
  <c r="AB17" i="8"/>
  <c r="AA17" i="8"/>
  <c r="F6" i="8"/>
  <c r="H6" i="8" s="1"/>
  <c r="D6" i="8"/>
  <c r="G9" i="8"/>
  <c r="E25" i="8"/>
  <c r="E26" i="8" l="1"/>
  <c r="E27" i="8" s="1"/>
  <c r="G6" i="8" s="1"/>
  <c r="E28" i="8"/>
  <c r="E29" i="8" s="1"/>
  <c r="D9" i="8"/>
  <c r="D7" i="8"/>
  <c r="F8" i="8"/>
  <c r="H8" i="8" s="1"/>
  <c r="F7" i="8"/>
  <c r="H7" i="8" s="1"/>
  <c r="AB18" i="8"/>
  <c r="AA18" i="8"/>
  <c r="AA19" i="8"/>
  <c r="AA21" i="8" s="1"/>
  <c r="AB19" i="8"/>
  <c r="AB21" i="8" s="1"/>
  <c r="I9" i="8"/>
  <c r="E6" i="8" l="1"/>
  <c r="AA20" i="8"/>
  <c r="AA22" i="8" s="1"/>
  <c r="AG9" i="8" s="1"/>
  <c r="AB20" i="8"/>
  <c r="AB24" i="8" s="1"/>
  <c r="E7" i="8"/>
  <c r="G7" i="8"/>
  <c r="E9" i="8"/>
  <c r="G8" i="8"/>
  <c r="E8" i="8"/>
  <c r="I6" i="8"/>
  <c r="AB22" i="8" l="1"/>
  <c r="AH9" i="8" s="1"/>
  <c r="AA24" i="8"/>
  <c r="AA25" i="8" s="1"/>
  <c r="AA28" i="8" s="1"/>
  <c r="AD9" i="8"/>
  <c r="AB25" i="8"/>
  <c r="AB28" i="8" s="1"/>
  <c r="I7" i="8"/>
  <c r="I8" i="8"/>
  <c r="AF9" i="8" l="1"/>
  <c r="E52" i="8"/>
  <c r="H52" i="8" s="1"/>
  <c r="AC9" i="8"/>
  <c r="D52" i="8" s="1"/>
  <c r="AA26" i="8"/>
  <c r="AA27" i="8" s="1"/>
  <c r="AB26" i="8"/>
  <c r="AB27" i="8" s="1"/>
  <c r="AE9" i="8" l="1"/>
  <c r="AD6" i="8"/>
  <c r="AB6" i="8"/>
  <c r="G52" i="8"/>
  <c r="F52" i="8"/>
  <c r="AA29" i="8"/>
  <c r="AA7" i="8"/>
  <c r="AC7" i="8"/>
  <c r="AC6" i="8"/>
  <c r="AA6" i="8"/>
  <c r="AD7" i="8"/>
  <c r="AB7" i="8"/>
  <c r="AB29" i="8"/>
  <c r="AF7" i="8" l="1"/>
  <c r="E50" i="8"/>
  <c r="H50" i="8" s="1"/>
  <c r="AF6" i="8"/>
  <c r="E49" i="8"/>
  <c r="H49" i="8" s="1"/>
  <c r="AB9" i="8"/>
  <c r="E46" i="8" s="1"/>
  <c r="H46" i="8" s="1"/>
  <c r="AD8" i="8"/>
  <c r="E54" i="8" s="1"/>
  <c r="H54" i="8" s="1"/>
  <c r="AB8" i="8"/>
  <c r="E47" i="8" s="1"/>
  <c r="H47" i="8" s="1"/>
  <c r="AE6" i="8"/>
  <c r="D49" i="8"/>
  <c r="AC8" i="8"/>
  <c r="AA8" i="8"/>
  <c r="AA9" i="8"/>
  <c r="AE7" i="8"/>
  <c r="D50" i="8"/>
  <c r="AF8" i="8" l="1"/>
  <c r="E51" i="8"/>
  <c r="H51" i="8" s="1"/>
  <c r="E53" i="8"/>
  <c r="H53" i="8" s="1"/>
  <c r="D47" i="8"/>
  <c r="F47" i="8" s="1"/>
  <c r="D60" i="8"/>
  <c r="D61" i="8"/>
  <c r="G50" i="8"/>
  <c r="F50" i="8"/>
  <c r="U49" i="8"/>
  <c r="AC49" i="8"/>
  <c r="Y49" i="8"/>
  <c r="R53" i="8"/>
  <c r="M49" i="8"/>
  <c r="S53" i="8"/>
  <c r="N49" i="8"/>
  <c r="V49" i="8"/>
  <c r="AE8" i="8"/>
  <c r="H11" i="8" s="1"/>
  <c r="D51" i="8"/>
  <c r="X49" i="8"/>
  <c r="L53" i="8"/>
  <c r="AB49" i="8"/>
  <c r="T49" i="8"/>
  <c r="Q53" i="8"/>
  <c r="Q49" i="8"/>
  <c r="AG49" i="8"/>
  <c r="T53" i="8"/>
  <c r="G49" i="8"/>
  <c r="F49" i="8"/>
  <c r="O49" i="8"/>
  <c r="L49" i="8"/>
  <c r="W49" i="8"/>
  <c r="P49" i="8"/>
  <c r="AA49" i="8"/>
  <c r="M53" i="8"/>
  <c r="S49" i="8"/>
  <c r="M48" i="8"/>
  <c r="N52" i="8"/>
  <c r="P48" i="8"/>
  <c r="Z48" i="8"/>
  <c r="S48" i="8"/>
  <c r="U48" i="8"/>
  <c r="O48" i="8"/>
  <c r="X48" i="8"/>
  <c r="L52" i="8"/>
  <c r="AA48" i="8"/>
  <c r="AD48" i="8"/>
  <c r="Q52" i="8"/>
  <c r="P52" i="8"/>
  <c r="T52" i="8"/>
  <c r="V48" i="8"/>
  <c r="S52" i="8"/>
  <c r="T48" i="8"/>
  <c r="R48" i="8"/>
  <c r="Q48" i="8"/>
  <c r="Y48" i="8"/>
  <c r="N48" i="8"/>
  <c r="AB48" i="8"/>
  <c r="R52" i="8"/>
  <c r="D46" i="8"/>
  <c r="AC48" i="8"/>
  <c r="AE48" i="8"/>
  <c r="AF48" i="8"/>
  <c r="O52" i="8"/>
  <c r="W48" i="8"/>
  <c r="M52" i="8"/>
  <c r="L48" i="8"/>
  <c r="AG48" i="8"/>
  <c r="R49" i="8"/>
  <c r="AD49" i="8"/>
  <c r="O53" i="8"/>
  <c r="AF49" i="8"/>
  <c r="Z49" i="8"/>
  <c r="AE49" i="8"/>
  <c r="N53" i="8"/>
  <c r="P53" i="8"/>
  <c r="AE11" i="8" l="1"/>
  <c r="I11" i="8"/>
  <c r="I12" i="8" s="1"/>
  <c r="AF11" i="8"/>
  <c r="F51" i="8"/>
  <c r="G51" i="8"/>
  <c r="F46" i="8"/>
  <c r="D54" i="8"/>
  <c r="D53" i="8"/>
  <c r="AF12" i="8" l="1"/>
  <c r="H12" i="8"/>
  <c r="AE12" i="8"/>
  <c r="F53" i="8"/>
  <c r="G53" i="8"/>
  <c r="G54" i="8"/>
  <c r="F54" i="8"/>
</calcChain>
</file>

<file path=xl/comments1.xml><?xml version="1.0" encoding="utf-8"?>
<comments xmlns="http://schemas.openxmlformats.org/spreadsheetml/2006/main">
  <authors>
    <author>Johan Karlsson</author>
  </authors>
  <commentList>
    <comment ref="Y16" authorId="0" shapeId="0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En del av spannmålet från Mikaelas foderstater överförda till färdigfoder då detta innehåller en del spannmål.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Disaggregated based on comment in source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Disaggregated assuming 40% molasses and 60% pulp</t>
        </r>
      </text>
    </comment>
  </commentList>
</comments>
</file>

<file path=xl/sharedStrings.xml><?xml version="1.0" encoding="utf-8"?>
<sst xmlns="http://schemas.openxmlformats.org/spreadsheetml/2006/main" count="5596" uniqueCount="689">
  <si>
    <t>value</t>
  </si>
  <si>
    <t>conventional</t>
  </si>
  <si>
    <t>dairy</t>
  </si>
  <si>
    <t>calving_interval</t>
  </si>
  <si>
    <t>months</t>
  </si>
  <si>
    <t>organic</t>
  </si>
  <si>
    <t>AFC</t>
  </si>
  <si>
    <t>age at first calving</t>
  </si>
  <si>
    <t>recruitment_rate</t>
  </si>
  <si>
    <t>%</t>
  </si>
  <si>
    <t>% of cows per year</t>
  </si>
  <si>
    <t>ratio_male_calf</t>
  </si>
  <si>
    <t>% of calves</t>
  </si>
  <si>
    <t>twin_birth</t>
  </si>
  <si>
    <t>% of calvings</t>
  </si>
  <si>
    <t>stillborn_calf</t>
  </si>
  <si>
    <t>weaning_age</t>
  </si>
  <si>
    <t>days</t>
  </si>
  <si>
    <t>cows</t>
  </si>
  <si>
    <t>mortality</t>
  </si>
  <si>
    <t>mortality_male_0towean</t>
  </si>
  <si>
    <t>% of live born</t>
  </si>
  <si>
    <t>mortality_male_0towean_age</t>
  </si>
  <si>
    <t>avg age of deaths in span</t>
  </si>
  <si>
    <t>mortality_female_0towean</t>
  </si>
  <si>
    <t>mortality_female_0towean_age</t>
  </si>
  <si>
    <t>mortality_male_weantoslaught</t>
  </si>
  <si>
    <t>% of weaned</t>
  </si>
  <si>
    <t>mortality_male_weantoslaught_age</t>
  </si>
  <si>
    <t>mortality_female_weantoslaught</t>
  </si>
  <si>
    <t>mortality_female_weantoslaught_age</t>
  </si>
  <si>
    <t>slaughter_age</t>
  </si>
  <si>
    <t>heifers</t>
  </si>
  <si>
    <t>steers</t>
  </si>
  <si>
    <t>bulls</t>
  </si>
  <si>
    <t>slaughter_weight</t>
  </si>
  <si>
    <t>kg CW</t>
  </si>
  <si>
    <t>beef</t>
  </si>
  <si>
    <t>avg age of death in span</t>
  </si>
  <si>
    <t>milk_prod</t>
  </si>
  <si>
    <t>kg/cow/year</t>
  </si>
  <si>
    <t>milk_fat</t>
  </si>
  <si>
    <t>milk_protein</t>
  </si>
  <si>
    <t>parameter</t>
  </si>
  <si>
    <t>unit</t>
  </si>
  <si>
    <t>description</t>
  </si>
  <si>
    <t>source</t>
  </si>
  <si>
    <t>f_breed</t>
  </si>
  <si>
    <t>f_animal</t>
  </si>
  <si>
    <t>Växa Husdjursstatistik Tab. 17 (2016-2020)</t>
  </si>
  <si>
    <t>Mjölk besättningar</t>
  </si>
  <si>
    <t>Diko besättningar</t>
  </si>
  <si>
    <t>Number</t>
  </si>
  <si>
    <t>Slaughtered</t>
  </si>
  <si>
    <t>Slaughtered (1000 tonnes)</t>
  </si>
  <si>
    <t>Dead/culled</t>
  </si>
  <si>
    <t>Conv</t>
  </si>
  <si>
    <t>Org</t>
  </si>
  <si>
    <t>Parameter</t>
  </si>
  <si>
    <t>Konv</t>
  </si>
  <si>
    <t>Eko</t>
  </si>
  <si>
    <t>Enhet</t>
  </si>
  <si>
    <t>Källa</t>
  </si>
  <si>
    <t>Cows</t>
  </si>
  <si>
    <t>Kalvningsintervall</t>
  </si>
  <si>
    <t>mån</t>
  </si>
  <si>
    <t>(Växa tab 29)</t>
  </si>
  <si>
    <t>(Växa Husdjursstatistik 2020, tab 31)</t>
  </si>
  <si>
    <t>Heifers</t>
  </si>
  <si>
    <t>Inkalvningsålder</t>
  </si>
  <si>
    <t>(Växa Husdjursstatistik 2020, tab 32)</t>
  </si>
  <si>
    <t>Steers</t>
  </si>
  <si>
    <t>Rekrytering</t>
  </si>
  <si>
    <t>(Växa tab 28)</t>
  </si>
  <si>
    <t>(ber.)</t>
  </si>
  <si>
    <t>Bulls</t>
  </si>
  <si>
    <t>Könskvot, tjurkalvar</t>
  </si>
  <si>
    <t>(Växa Husdjursstatistik 2020, tab 20)</t>
  </si>
  <si>
    <t>(Växa KAP, tab 34)</t>
  </si>
  <si>
    <t>Calves</t>
  </si>
  <si>
    <t>Tvilingfödslar</t>
  </si>
  <si>
    <t>(Växa Husdjursstatistik 2020, tab 34a)</t>
  </si>
  <si>
    <t>Dödfödda kalvar</t>
  </si>
  <si>
    <t>Intermediates</t>
  </si>
  <si>
    <t>Andel</t>
  </si>
  <si>
    <t>Lev. kalvar per år</t>
  </si>
  <si>
    <t>antal/ko/år</t>
  </si>
  <si>
    <t>Calves born</t>
  </si>
  <si>
    <t>Avvänjningsålder</t>
  </si>
  <si>
    <t>dagar</t>
  </si>
  <si>
    <t>RISE</t>
  </si>
  <si>
    <t>Male calves born</t>
  </si>
  <si>
    <t>Dödlighet</t>
  </si>
  <si>
    <t>Female calves born</t>
  </si>
  <si>
    <t>kor</t>
  </si>
  <si>
    <t>% av djur</t>
  </si>
  <si>
    <t>Male calves 2 weaned</t>
  </si>
  <si>
    <t>tjurkalv (föds.-avv.)</t>
  </si>
  <si>
    <t>% av levande födda</t>
  </si>
  <si>
    <t>Female calves 2 weaned</t>
  </si>
  <si>
    <t xml:space="preserve">   snittålder</t>
  </si>
  <si>
    <t>Male calves 2 end</t>
  </si>
  <si>
    <t>kvigkalv (föds.-avv.)</t>
  </si>
  <si>
    <t>Female calves 2 end</t>
  </si>
  <si>
    <t>Male calves 2 dead</t>
  </si>
  <si>
    <t>tjurar/stutar (avv.-slakt)</t>
  </si>
  <si>
    <t>% av avvanda</t>
  </si>
  <si>
    <t>Female calves 2 dead</t>
  </si>
  <si>
    <t>Calves 2 recruitment</t>
  </si>
  <si>
    <t>kvigor (avv.-slakt)</t>
  </si>
  <si>
    <t>Calves 2 slaughter</t>
  </si>
  <si>
    <t>Male calves 2 slaughter</t>
  </si>
  <si>
    <t>Slaktålder</t>
  </si>
  <si>
    <t>Female calves 2 slaughter</t>
  </si>
  <si>
    <t>Calves 2 heifers</t>
  </si>
  <si>
    <t>kvigor</t>
  </si>
  <si>
    <t>Calves 2 steers</t>
  </si>
  <si>
    <t>mellankalv</t>
  </si>
  <si>
    <t>Calves 2 bulls</t>
  </si>
  <si>
    <t>stutar</t>
  </si>
  <si>
    <t>tjurar</t>
  </si>
  <si>
    <t>Slaktvikt</t>
  </si>
  <si>
    <t>kg</t>
  </si>
  <si>
    <t>Andel av slaktade ungdjur</t>
  </si>
  <si>
    <t>Kontroll (riks)</t>
  </si>
  <si>
    <t>mod.</t>
  </si>
  <si>
    <t>jmf. SJV</t>
  </si>
  <si>
    <t>jmf. G&amp;D</t>
  </si>
  <si>
    <t>Kontroll djurantal (region)</t>
  </si>
  <si>
    <t>Kalvar, under 1 år</t>
  </si>
  <si>
    <t>Kvigor, tjurar och stutar</t>
  </si>
  <si>
    <t>Djur i juni</t>
  </si>
  <si>
    <t>00 Riket</t>
  </si>
  <si>
    <t>01 Stockholms län</t>
  </si>
  <si>
    <t>03 Uppsala län</t>
  </si>
  <si>
    <t>04 Södermanlands län</t>
  </si>
  <si>
    <t>05 Östergötlands län</t>
  </si>
  <si>
    <t>06 Jönköpings län</t>
  </si>
  <si>
    <t>07 Kronobergs län</t>
  </si>
  <si>
    <t>08 Kalmar län</t>
  </si>
  <si>
    <t>09 Gotlands län</t>
  </si>
  <si>
    <t>10 Blekinge län</t>
  </si>
  <si>
    <t>12 Skåne län</t>
  </si>
  <si>
    <t>13 Hallands län</t>
  </si>
  <si>
    <t>14 Västra Götalands län</t>
  </si>
  <si>
    <t>17 Värmlands län</t>
  </si>
  <si>
    <t>18 Örebro län</t>
  </si>
  <si>
    <t>19 Västmanlands län</t>
  </si>
  <si>
    <t>20 Dalarnas län</t>
  </si>
  <si>
    <t>21 Gävleborgs län</t>
  </si>
  <si>
    <t>22 Västernorrlands län</t>
  </si>
  <si>
    <t>23 Jämtlands län</t>
  </si>
  <si>
    <t>24 Västerbottens län</t>
  </si>
  <si>
    <t>25 Norrbottens län</t>
  </si>
  <si>
    <t>Slakt, kor</t>
  </si>
  <si>
    <t>slakt, kvigor</t>
  </si>
  <si>
    <t>slakt, stutar</t>
  </si>
  <si>
    <t>slakt, tjurar</t>
  </si>
  <si>
    <t>Djur i december</t>
  </si>
  <si>
    <t>Hela riket</t>
  </si>
  <si>
    <t>Götalands södra slättbygder</t>
  </si>
  <si>
    <t>Götalands mellanbygder</t>
  </si>
  <si>
    <t>Götalands skogsbygder</t>
  </si>
  <si>
    <t>Götalands norra slättbygder</t>
  </si>
  <si>
    <t>Svealands slättbygder</t>
  </si>
  <si>
    <t>Mellersta Sveriges skogsbygder</t>
  </si>
  <si>
    <t>Nedre Norrland</t>
  </si>
  <si>
    <t>Övre Norrland</t>
  </si>
  <si>
    <t>slakt, kalvar</t>
  </si>
  <si>
    <t>Ungdjur flyttas från norra Sverige till södra</t>
  </si>
  <si>
    <t>slakt, total (exkl. kor)</t>
  </si>
  <si>
    <t>slakt, total</t>
  </si>
  <si>
    <t>Andel eko, medel 2016-2020</t>
  </si>
  <si>
    <t>Kor för mjölkproduktion</t>
  </si>
  <si>
    <t>Kor för uppfödning av kalvar</t>
  </si>
  <si>
    <t>Slaktstatistik, 1000-tal slaktade djur, medel 2016-2020</t>
  </si>
  <si>
    <t>Okänd</t>
  </si>
  <si>
    <t>Ungko</t>
  </si>
  <si>
    <t>Ko</t>
  </si>
  <si>
    <t>Kviga</t>
  </si>
  <si>
    <t>Mellankalv</t>
  </si>
  <si>
    <t>Stut</t>
  </si>
  <si>
    <t>Ungtjur</t>
  </si>
  <si>
    <t>Yngre tjur</t>
  </si>
  <si>
    <t>Äldre tjur</t>
  </si>
  <si>
    <t>Antal djur i juni, medel 2016-2020</t>
  </si>
  <si>
    <t>Kor - totalt</t>
  </si>
  <si>
    <t>Nötkreatur - totalt</t>
  </si>
  <si>
    <t>Antal djur i december, medel 2016-2020</t>
  </si>
  <si>
    <t>Djur</t>
  </si>
  <si>
    <t>Ras</t>
  </si>
  <si>
    <t>År</t>
  </si>
  <si>
    <t>Antal djur</t>
  </si>
  <si>
    <t>Slaktvikt (kg)</t>
  </si>
  <si>
    <t>Fettgrupp</t>
  </si>
  <si>
    <t>Formklass</t>
  </si>
  <si>
    <t>Ålder (månader)</t>
  </si>
  <si>
    <t>Slaktvikt*Antal</t>
  </si>
  <si>
    <t>Ålder*Antal</t>
  </si>
  <si>
    <t>ko</t>
  </si>
  <si>
    <t>01 SRB</t>
  </si>
  <si>
    <t>Row Labels</t>
  </si>
  <si>
    <t>Sum of Antal djur</t>
  </si>
  <si>
    <t>Sum of Slaktvikt*Antal</t>
  </si>
  <si>
    <t>Sum of Ålder*Antal</t>
  </si>
  <si>
    <t>Mjölkras</t>
  </si>
  <si>
    <t>ko, tot</t>
  </si>
  <si>
    <t>ungko</t>
  </si>
  <si>
    <t>02 SLB</t>
  </si>
  <si>
    <t>kviga</t>
  </si>
  <si>
    <t>stut</t>
  </si>
  <si>
    <t>tjur, tot</t>
  </si>
  <si>
    <t>ungtjur</t>
  </si>
  <si>
    <t>08 Hereford</t>
  </si>
  <si>
    <t>yngre tjur</t>
  </si>
  <si>
    <t>Köttras</t>
  </si>
  <si>
    <t>09 Charolais</t>
  </si>
  <si>
    <t>11 Aberdeen Angus</t>
  </si>
  <si>
    <t>Korsning/övriga raser</t>
  </si>
  <si>
    <t>12 Limousin</t>
  </si>
  <si>
    <t>14 Simmental</t>
  </si>
  <si>
    <t>Grand Total</t>
  </si>
  <si>
    <t>16 Highland Cattle</t>
  </si>
  <si>
    <t>18 Blonde D´Aquitaine</t>
  </si>
  <si>
    <t>99 Korsning/övriga raser</t>
  </si>
  <si>
    <t>Medel 2016-2020</t>
  </si>
  <si>
    <t>Ålder (mån)</t>
  </si>
  <si>
    <t>Antal</t>
  </si>
  <si>
    <t>Andel av slaktade ungdjur (%)</t>
  </si>
  <si>
    <t>Kött+korsn./övr.</t>
  </si>
  <si>
    <t>Totalt</t>
  </si>
  <si>
    <t>Ko, tot</t>
  </si>
  <si>
    <t>Medelvärde för 2015-2019</t>
  </si>
  <si>
    <t>Födelsevikt (kg)</t>
  </si>
  <si>
    <t>Klass</t>
  </si>
  <si>
    <t>Fett</t>
  </si>
  <si>
    <t>Slakttillväxt</t>
  </si>
  <si>
    <t>Mjölkraser</t>
  </si>
  <si>
    <t>Kor</t>
  </si>
  <si>
    <t>Ålder kor</t>
  </si>
  <si>
    <t>år</t>
  </si>
  <si>
    <t>Kvigor</t>
  </si>
  <si>
    <t>Andel stut</t>
  </si>
  <si>
    <t>SJB</t>
  </si>
  <si>
    <t>SKB</t>
  </si>
  <si>
    <t>SLB (Svensk Holstein)</t>
  </si>
  <si>
    <t>SRB</t>
  </si>
  <si>
    <t>Korsning</t>
  </si>
  <si>
    <t>Köttraser</t>
  </si>
  <si>
    <t>Lätta köttraser</t>
  </si>
  <si>
    <t>Angus</t>
  </si>
  <si>
    <t>Hereford</t>
  </si>
  <si>
    <t>Higland Cattle</t>
  </si>
  <si>
    <t>Belted Galloway</t>
  </si>
  <si>
    <t>Tunga köttraser</t>
  </si>
  <si>
    <t>Blonde d’aquitaine</t>
  </si>
  <si>
    <t>Charolais</t>
  </si>
  <si>
    <t>Chianina</t>
  </si>
  <si>
    <t>Dexter</t>
  </si>
  <si>
    <t>Limousin</t>
  </si>
  <si>
    <t>Simmental</t>
  </si>
  <si>
    <t>SJV Stat</t>
  </si>
  <si>
    <t>Växa</t>
  </si>
  <si>
    <t>Mjölkkor</t>
  </si>
  <si>
    <t>…per ko</t>
  </si>
  <si>
    <t>tot</t>
  </si>
  <si>
    <t>konv</t>
  </si>
  <si>
    <t>eko</t>
  </si>
  <si>
    <t>% mejeri</t>
  </si>
  <si>
    <t>SJV/Växa</t>
  </si>
  <si>
    <t>Kvantitet invägd mjölk, 1 000 ton</t>
  </si>
  <si>
    <t>Genomsnittlig fetthalt på invägd mjölk, procent</t>
  </si>
  <si>
    <t>Genomsnittlig proteinhalt på invägd mjölk, procent</t>
  </si>
  <si>
    <t>Mjölk per ko</t>
  </si>
  <si>
    <t>Ökning per 5 år</t>
  </si>
  <si>
    <t>Jordbruksverkets statistik</t>
  </si>
  <si>
    <t>Växa statistik</t>
  </si>
  <si>
    <t>Mjölkproduktion</t>
  </si>
  <si>
    <t>Snitt (2016-2020) justerat utifrån inväg mjölk</t>
  </si>
  <si>
    <t>milk_to_dairy</t>
  </si>
  <si>
    <t>Växa + Swedish Board of Agriculture</t>
  </si>
  <si>
    <t>Invägd mjölk 1000 ton</t>
  </si>
  <si>
    <t>ECM</t>
  </si>
  <si>
    <t>f_prod_system</t>
  </si>
  <si>
    <t>live_weight_slaughter</t>
  </si>
  <si>
    <t>Milk production</t>
  </si>
  <si>
    <t>Fertility etc.</t>
  </si>
  <si>
    <t>live_weight</t>
  </si>
  <si>
    <t>Mortality</t>
  </si>
  <si>
    <t>Slaughter</t>
  </si>
  <si>
    <t>Dairy</t>
  </si>
  <si>
    <t>Beef</t>
  </si>
  <si>
    <t>Animal redistribution</t>
  </si>
  <si>
    <t>mjölkkor</t>
  </si>
  <si>
    <t>dikor</t>
  </si>
  <si>
    <t>Från modell</t>
  </si>
  <si>
    <t>Kontroll</t>
  </si>
  <si>
    <t>PROCENT EKOLOGISK</t>
  </si>
  <si>
    <t>Tjur, tot</t>
  </si>
  <si>
    <t>Kor, tot</t>
  </si>
  <si>
    <t>Total</t>
  </si>
  <si>
    <t>Överföring djur eko -&gt; konv</t>
  </si>
  <si>
    <t>tjurkalvar</t>
  </si>
  <si>
    <t>kvigkalvar</t>
  </si>
  <si>
    <t>(uppskattat baserat på stat.)</t>
  </si>
  <si>
    <t>Total, exkl kor</t>
  </si>
  <si>
    <t>adj</t>
  </si>
  <si>
    <t>Victora Thullier LRF</t>
  </si>
  <si>
    <t>Ekologiska lantbrukarna</t>
  </si>
  <si>
    <t>f_feed</t>
  </si>
  <si>
    <t>share_in_ration</t>
  </si>
  <si>
    <t>% of DM</t>
  </si>
  <si>
    <t>Strid, Röös &amp; Tidåker. (2014). Förluster av svenskt nötkött inom primärproduktion och slakt. SJV Rapport 2014:07</t>
  </si>
  <si>
    <t>f_from_ps</t>
  </si>
  <si>
    <t>f_to_ps</t>
  </si>
  <si>
    <t>redist_male_calves</t>
  </si>
  <si>
    <t>redist_female_calves</t>
  </si>
  <si>
    <t>jmf. SJV eko</t>
  </si>
  <si>
    <t>of weaned calves (estimated from animal and slaughter statistics)</t>
  </si>
  <si>
    <t>Male calves 2 weaned before redist</t>
  </si>
  <si>
    <t>Female calves 2 weaned before redist</t>
  </si>
  <si>
    <t>birth_weight</t>
  </si>
  <si>
    <t>7th</t>
  </si>
  <si>
    <t>8th</t>
  </si>
  <si>
    <t>9th</t>
  </si>
  <si>
    <t>Month</t>
  </si>
  <si>
    <t>LW</t>
  </si>
  <si>
    <t>Energy for gestation</t>
  </si>
  <si>
    <t>Total energy (incl milk) for calves</t>
  </si>
  <si>
    <t>Omsättbar energi, MJ</t>
  </si>
  <si>
    <t>Viktökning, g per dag</t>
  </si>
  <si>
    <t>Levande vikt</t>
  </si>
  <si>
    <t>WG</t>
  </si>
  <si>
    <t>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</si>
  <si>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</si>
  <si>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</si>
  <si>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</si>
  <si>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</si>
  <si>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</si>
  <si>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</si>
  <si>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</si>
  <si>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</si>
  <si>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</si>
  <si>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</si>
  <si>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</si>
  <si>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</si>
  <si>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</si>
  <si>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</si>
  <si>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</si>
  <si>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</si>
  <si>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</si>
  <si>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</si>
  <si>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</si>
  <si>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</si>
  <si>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</si>
  <si>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</si>
  <si>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</si>
  <si>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</si>
  <si>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</si>
  <si>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ME</t>
  </si>
  <si>
    <t>Residuals</t>
  </si>
  <si>
    <t>Standard Residuals</t>
  </si>
  <si>
    <t>LW^0.75</t>
  </si>
  <si>
    <t>INT</t>
  </si>
  <si>
    <t>Viktökning, kg per dag</t>
  </si>
  <si>
    <t>Ekvation beräknad från tabell</t>
  </si>
  <si>
    <t>Samma ekv som växande nöt</t>
  </si>
  <si>
    <t>Ekvation baserad på tabell ovan</t>
  </si>
  <si>
    <t>Total incl. for calves</t>
  </si>
  <si>
    <t>f_sub_system</t>
  </si>
  <si>
    <t>wheat</t>
  </si>
  <si>
    <t>Avg</t>
  </si>
  <si>
    <t>Organic</t>
  </si>
  <si>
    <t>farms</t>
  </si>
  <si>
    <t>cows/farm</t>
  </si>
  <si>
    <t>Conventional</t>
  </si>
  <si>
    <t>Breeding bulls per cow:</t>
  </si>
  <si>
    <t>Number of suckler cows per farm. Used to assume number of breeding bulls (i.e. one per farm)</t>
  </si>
  <si>
    <t>breeding_bulls_per_cow</t>
  </si>
  <si>
    <t>nr</t>
  </si>
  <si>
    <t>(estimated from animal and slaughter statistics)</t>
  </si>
  <si>
    <t>Feed rations</t>
  </si>
  <si>
    <t>Feed requirements</t>
  </si>
  <si>
    <t>maintanance_energy_factor</t>
  </si>
  <si>
    <t>MJ ME/kg LW^0.75</t>
  </si>
  <si>
    <t>Spörndly (2003). Tabell 1</t>
  </si>
  <si>
    <t>Spörndly (2003). Tabell 1&amp;7</t>
  </si>
  <si>
    <t>Spörndly (2003). Tabell 4a</t>
  </si>
  <si>
    <t>gestation_energy_factor</t>
  </si>
  <si>
    <t>MJ ME/kg LW</t>
  </si>
  <si>
    <t>7th (LW*0.013 MJ/day), 8th (LW*0.021 MJ/day) and 9th (LW*0.038 MJ/day) month deduced from (Tabell 1)</t>
  </si>
  <si>
    <t>3.6 MJ/day per 100 kg LW the last 8 weeks (Tabell 7)</t>
  </si>
  <si>
    <t>Spörndly (2003). Tabell 7</t>
  </si>
  <si>
    <t>energy_adjustment_factor</t>
  </si>
  <si>
    <t>Spörndly (2003). Tabell 4b</t>
  </si>
  <si>
    <t>Avg. heavy and light beef breeds</t>
  </si>
  <si>
    <t>energy_adjustment_addend</t>
  </si>
  <si>
    <t>MJ ME/kg ECM</t>
  </si>
  <si>
    <t>lactation_energy_factor</t>
  </si>
  <si>
    <t>-</t>
  </si>
  <si>
    <t>grazing</t>
  </si>
  <si>
    <t>Fallback</t>
  </si>
  <si>
    <t>breeding bulls</t>
  </si>
  <si>
    <t>straw</t>
  </si>
  <si>
    <t>barley</t>
  </si>
  <si>
    <t>rapeseed meal</t>
  </si>
  <si>
    <t>wheat distillers grain, dry</t>
  </si>
  <si>
    <t>maize based</t>
  </si>
  <si>
    <t>maize silage</t>
  </si>
  <si>
    <t>sugar beet pulp</t>
  </si>
  <si>
    <t>wheat bran</t>
  </si>
  <si>
    <t>ley silage, 1st cut</t>
  </si>
  <si>
    <t>ley silage, regrowth</t>
  </si>
  <si>
    <t>other silage</t>
  </si>
  <si>
    <t>Gsk</t>
  </si>
  <si>
    <t>Gns</t>
  </si>
  <si>
    <t>Nn</t>
  </si>
  <si>
    <t>Avelstjur</t>
  </si>
  <si>
    <t>Mineraler, kg</t>
  </si>
  <si>
    <t>Tabell 10</t>
  </si>
  <si>
    <t>Ahlgren et al 2022</t>
  </si>
  <si>
    <t>minerals</t>
  </si>
  <si>
    <t>Köttrastjur</t>
  </si>
  <si>
    <t>Köttrasstut</t>
  </si>
  <si>
    <t>Köttraskviga</t>
  </si>
  <si>
    <t>Vallensilage, medelsen, kg ts</t>
  </si>
  <si>
    <t>Vallensilage, klöverrikt, kg ts</t>
  </si>
  <si>
    <t>Majsensilage, kg ts</t>
  </si>
  <si>
    <t>Åkerböna/ärt, kg</t>
  </si>
  <si>
    <t>Färdigfoder, kg</t>
  </si>
  <si>
    <t>Mjölkrastjur</t>
  </si>
  <si>
    <t>Mjölkrasstut</t>
  </si>
  <si>
    <t># Dikor (2018)</t>
  </si>
  <si>
    <t># Mjölkkor (2018)</t>
  </si>
  <si>
    <t>peas</t>
  </si>
  <si>
    <t>oats</t>
  </si>
  <si>
    <t>Tabell 11</t>
  </si>
  <si>
    <t>Tabell 12</t>
  </si>
  <si>
    <t>Feed name</t>
  </si>
  <si>
    <t>Grain maize</t>
  </si>
  <si>
    <t>Distiller’s dried grain</t>
  </si>
  <si>
    <t>Bran, middlings, etc.</t>
  </si>
  <si>
    <t>Palm kernel expeller</t>
  </si>
  <si>
    <t>Soybeans, whole</t>
  </si>
  <si>
    <t>Soybean meal via feed industry</t>
  </si>
  <si>
    <t>Rapeseed, whole</t>
  </si>
  <si>
    <t>Rapeseed meal</t>
  </si>
  <si>
    <t>Sunflower meal</t>
  </si>
  <si>
    <t>Fat</t>
  </si>
  <si>
    <t>Minerals</t>
  </si>
  <si>
    <t>Other</t>
  </si>
  <si>
    <t>Luzern meal</t>
  </si>
  <si>
    <t>Potatoe protein</t>
  </si>
  <si>
    <t>Share</t>
  </si>
  <si>
    <t>import</t>
  </si>
  <si>
    <t>share</t>
  </si>
  <si>
    <t>DM</t>
  </si>
  <si>
    <t>Beet molasses</t>
  </si>
  <si>
    <t>Beet pulp</t>
  </si>
  <si>
    <t>feed</t>
  </si>
  <si>
    <t>concentrates</t>
  </si>
  <si>
    <t>cereals</t>
  </si>
  <si>
    <t>grain legumes</t>
  </si>
  <si>
    <t>rye</t>
  </si>
  <si>
    <t>maize</t>
  </si>
  <si>
    <t>palm kernel expeller</t>
  </si>
  <si>
    <t>soybeans</t>
  </si>
  <si>
    <t>broad beans</t>
  </si>
  <si>
    <t>soybean meal</t>
  </si>
  <si>
    <t>rapeseed</t>
  </si>
  <si>
    <t>sunflower seed meal</t>
  </si>
  <si>
    <t>luzern meal</t>
  </si>
  <si>
    <t>potatoe protein</t>
  </si>
  <si>
    <t>vegetable oils</t>
  </si>
  <si>
    <t>sugar beet molasses</t>
  </si>
  <si>
    <t>breed</t>
  </si>
  <si>
    <t>sub_system</t>
  </si>
  <si>
    <t>triticale</t>
  </si>
  <si>
    <t>Triticale</t>
  </si>
  <si>
    <t>Oats</t>
  </si>
  <si>
    <t>Barley</t>
  </si>
  <si>
    <t>Wheat</t>
  </si>
  <si>
    <t>Einarsson et al 2022</t>
  </si>
  <si>
    <t>Peas</t>
  </si>
  <si>
    <t>Faba beans</t>
  </si>
  <si>
    <t>FEED RATIONS</t>
  </si>
  <si>
    <t>Grain legumes (on-farm)</t>
  </si>
  <si>
    <t>Cereals (on-farm)</t>
  </si>
  <si>
    <t>Feeds via feed industry</t>
  </si>
  <si>
    <t>to dairy</t>
  </si>
  <si>
    <t>Mjölkko</t>
  </si>
  <si>
    <t>vall</t>
  </si>
  <si>
    <t>majs</t>
  </si>
  <si>
    <t xml:space="preserve">Mikaela Lindberg </t>
  </si>
  <si>
    <t>pers. com. 2023-04</t>
  </si>
  <si>
    <t>slaughter_share_as_calf</t>
  </si>
  <si>
    <t>som kalv</t>
  </si>
  <si>
    <t>som stut (av handjur)</t>
  </si>
  <si>
    <t>slaughter_share_male_as_steers</t>
  </si>
  <si>
    <t>share of young animals slaughtered as calves (&lt;1 yr)</t>
  </si>
  <si>
    <t>share of males slaughtered as steers</t>
  </si>
  <si>
    <t>milk kg x 0,25 + fat kg x 12,2 + protein kg x 7,7</t>
  </si>
  <si>
    <t>Hessle (2016)  in Bertilsson (2016)</t>
  </si>
  <si>
    <t>Assumes same as dairy cows</t>
  </si>
  <si>
    <t>Roughage share (% of DM):</t>
  </si>
  <si>
    <t>kg/head/year</t>
  </si>
  <si>
    <t>Vallensilage, tidigt, kg ts</t>
  </si>
  <si>
    <t>Vallensilage, sent, kg ts</t>
  </si>
  <si>
    <t>Permanent bete, kg ts</t>
  </si>
  <si>
    <t>Halm, kg</t>
  </si>
  <si>
    <t>Helsädesensilage, kg ts</t>
  </si>
  <si>
    <t>Spannmål, kg</t>
  </si>
  <si>
    <t>Dairy cows</t>
  </si>
  <si>
    <t>per yr</t>
  </si>
  <si>
    <t>Calves, dairy, replacement</t>
  </si>
  <si>
    <t>0-12</t>
  </si>
  <si>
    <t>Heifers, dairy, replacement</t>
  </si>
  <si>
    <t>12-28</t>
  </si>
  <si>
    <t>Suckler cows</t>
  </si>
  <si>
    <t>Calves, for slaughter</t>
  </si>
  <si>
    <t>0-8</t>
  </si>
  <si>
    <t>Calves, dairy, for fattening</t>
  </si>
  <si>
    <t>Calves, suckler, replacement or fattening</t>
  </si>
  <si>
    <t>Heifers, suckler, replacement</t>
  </si>
  <si>
    <t>12-26</t>
  </si>
  <si>
    <t>Bulls, dairy breed</t>
  </si>
  <si>
    <t>Bulls, beef breed</t>
  </si>
  <si>
    <t>12-17</t>
  </si>
  <si>
    <t>Heifers, dairy breed, for slaughter</t>
  </si>
  <si>
    <t>Heifers, beef breed, for slaughter</t>
  </si>
  <si>
    <t>12-23</t>
  </si>
  <si>
    <t>age</t>
  </si>
  <si>
    <t>Grass/clover silage</t>
  </si>
  <si>
    <t>Whole crop 
silage</t>
  </si>
  <si>
    <t>Maize
silage</t>
  </si>
  <si>
    <t>Grain</t>
  </si>
  <si>
    <t>Conc</t>
  </si>
  <si>
    <t>Pasture</t>
  </si>
  <si>
    <t>Straw</t>
  </si>
  <si>
    <t>Milk powder</t>
  </si>
  <si>
    <t>Conc. for calves</t>
  </si>
  <si>
    <t>Whole milk</t>
  </si>
  <si>
    <t>Population (heads)</t>
  </si>
  <si>
    <t>12-18.9</t>
  </si>
  <si>
    <t>Calves, beef</t>
  </si>
  <si>
    <t>Steers, dairy/beef</t>
  </si>
  <si>
    <t>Feed ration</t>
  </si>
  <si>
    <t>Total (excl. milk)</t>
  </si>
  <si>
    <t>SM2</t>
  </si>
  <si>
    <t>Calves, dariy</t>
  </si>
  <si>
    <t>Einarsson et al 2022 SM2</t>
  </si>
  <si>
    <t>TOT</t>
  </si>
  <si>
    <t>('Feed rations')</t>
  </si>
  <si>
    <t>linseed</t>
  </si>
  <si>
    <t>soybean protein concentrate</t>
  </si>
  <si>
    <t>wheat bran, fine</t>
  </si>
  <si>
    <t>oat hulls</t>
  </si>
  <si>
    <t>oat bran</t>
  </si>
  <si>
    <t>rye bran</t>
  </si>
  <si>
    <t>barley brewers grain</t>
  </si>
  <si>
    <t>maize gluten meal</t>
  </si>
  <si>
    <t>whey powder</t>
  </si>
  <si>
    <t>fish meal</t>
  </si>
  <si>
    <t>SWE</t>
  </si>
  <si>
    <t>IMP</t>
  </si>
  <si>
    <t>('Feed distribution')</t>
  </si>
  <si>
    <t>Bete vallåterväxt, kg ts</t>
  </si>
  <si>
    <t>Cereals:</t>
  </si>
  <si>
    <t>Other:</t>
  </si>
  <si>
    <t>SCB Feed industry statistics 2022</t>
  </si>
  <si>
    <t>Diko (per år)</t>
  </si>
  <si>
    <t>grazing_period</t>
  </si>
  <si>
    <t>Grazing</t>
  </si>
  <si>
    <t>f_po8:region</t>
  </si>
  <si>
    <t>indoors_during_grazing</t>
  </si>
  <si>
    <t>NIR 2022 page 335</t>
  </si>
  <si>
    <t>No indoor time while on pasture assumed for non-dairy cow cattle</t>
  </si>
  <si>
    <t>Stat. for 'Kvigor' used for beef cows, heifers and steers</t>
  </si>
  <si>
    <t>No grazing assumed for bulls</t>
  </si>
  <si>
    <t>1 Götalands södra slättbygder</t>
  </si>
  <si>
    <t>2 Götalands mellanbygder</t>
  </si>
  <si>
    <t>3 Götalands norra slättbygder</t>
  </si>
  <si>
    <t>4 Svealands slättbygder</t>
  </si>
  <si>
    <t>5 Götalands skogsbygder</t>
  </si>
  <si>
    <t>6 Mellersta Sveriges skogsbygder</t>
  </si>
  <si>
    <t>7 Nedre Norrland</t>
  </si>
  <si>
    <t>8 Övre Norrland</t>
  </si>
  <si>
    <t>SCB Gödselmedel i jordbruket 2018/19</t>
  </si>
  <si>
    <t>SCB Gödselmedel i jordbruket 2021/22</t>
  </si>
  <si>
    <t>Bertilsson (2016) Updating Swedish emission factors for cattle to be used for calculations of greenhouse gases. On commission of the Swedish Environmental Protection Agency 2016. https://publications.slu.se/?file=publ/show&amp;id=76286</t>
  </si>
  <si>
    <t>MJ ME/kg</t>
  </si>
  <si>
    <t>% of ME</t>
  </si>
  <si>
    <t>milk_loss</t>
  </si>
  <si>
    <t>energy_share_before_weaning_from_milk</t>
  </si>
  <si>
    <t>energy_in_milk_to_calves</t>
  </si>
  <si>
    <t>Set to give ~1974 kg milk per suckler cow according to source</t>
  </si>
  <si>
    <t>https://www.gardochdjurhalsan.se/mer-mjolk-till-smakalvar/</t>
  </si>
  <si>
    <t>milk prod. calculated from share of calf energy req. from milk</t>
  </si>
  <si>
    <t>Mikaela?? 89% delivered to dairy??</t>
  </si>
  <si>
    <t>18.8 MJ ME/kg DM (whole milk powder) * 0.13 kg DM/kg milk</t>
  </si>
  <si>
    <t>Set to give ~7 kg/calf/day</t>
  </si>
  <si>
    <t>Ahlgren, S., Behaderovic, D., Wirsenius, S., Carlsson, A., Hessle, A. Toräng, P., Seeman, A., den Braver, T. &amp;  et al. Kvarnbäck, O. (2022) Miljöpåverkan av svensk nöt- och lammköttsproduktion. RISE</t>
  </si>
  <si>
    <t>agricultrual statistics</t>
  </si>
  <si>
    <t>grazing factor:</t>
  </si>
  <si>
    <t>ley factor:</t>
  </si>
  <si>
    <t>Grazing share (% of roughage):</t>
  </si>
  <si>
    <t>Grazing factor set to align 'Ley for fodder'</t>
  </si>
  <si>
    <t>Einarsson et al 2022 share grazing of roughage for dairy cows</t>
  </si>
  <si>
    <t>and 'Ley for grazing' areas better to</t>
  </si>
  <si>
    <t>rapeseed cake</t>
  </si>
  <si>
    <t>rapeseed cake for organic rations</t>
  </si>
  <si>
    <t>calves, for slaughter</t>
  </si>
  <si>
    <t>Ahlgren et al. (2022), Bilaga tabell U</t>
  </si>
  <si>
    <t>Växa Husdjursstatistik 2020, tab 29</t>
  </si>
  <si>
    <t>Växa Husdjursstatistik 2020, tab 28</t>
  </si>
  <si>
    <t>Växa Husdjursstatistik 2020, tab 20</t>
  </si>
  <si>
    <t>Växa Husdjursstatistik 2020 (KAP), tab 32</t>
  </si>
  <si>
    <t>Växa Husdjursstatistik 2020 (KAP), tab 34</t>
  </si>
  <si>
    <t>live_weight_weaning_male</t>
  </si>
  <si>
    <t>live_weight_weaning_female</t>
  </si>
  <si>
    <t>f_animal_rations:animal</t>
  </si>
  <si>
    <t>slaughter yield</t>
  </si>
  <si>
    <t>Ahlgren et al. (2022) Tabell 12</t>
  </si>
  <si>
    <t>Ahlgren et al. (2022) Tabell 11</t>
  </si>
  <si>
    <t>(All)</t>
  </si>
  <si>
    <t>tjur</t>
  </si>
  <si>
    <t>Gård &amp; Djurhälsan (avg. 2019-2021)</t>
  </si>
  <si>
    <t>Slaughter weight * slaughter yield (from source)</t>
  </si>
  <si>
    <t>time_lag</t>
  </si>
  <si>
    <t>rec. rate</t>
  </si>
  <si>
    <t>not used</t>
  </si>
  <si>
    <t>assume same as steers</t>
  </si>
  <si>
    <t>animal_rations</t>
  </si>
  <si>
    <t>calves, suckling</t>
  </si>
  <si>
    <t>Only grazing for suckling calves in beef systems and only concentrates to suckling calves in dairy systems</t>
  </si>
  <si>
    <t>appart from milk according to Anna Hessle (SLU, Skara)</t>
  </si>
  <si>
    <t>Breeding bulls</t>
  </si>
  <si>
    <t>Dairy heifer</t>
  </si>
  <si>
    <t>ALP</t>
  </si>
  <si>
    <t>BOR</t>
  </si>
  <si>
    <t>CON</t>
  </si>
  <si>
    <t>Hessle &amp; Danielsson (2024)</t>
  </si>
  <si>
    <t>SM - Table S8</t>
  </si>
  <si>
    <t>1.5 breeding bulls ber farm / 17 cows per farm</t>
  </si>
  <si>
    <t>1.5 breeding bulls ber farm / 32 cows per farm</t>
  </si>
  <si>
    <t>Many farms have light and heavy bull (Anna Hessle, SLU)</t>
  </si>
  <si>
    <t>0.5 breeding bulls ber farm / 90 cows per farm</t>
  </si>
  <si>
    <t>0.5 breeding bulls ber farm / 99 cows per farm</t>
  </si>
  <si>
    <t>Artificial insemination, but often a bull for cases where it does not work (Anna Hessle, SLU)</t>
  </si>
  <si>
    <t>cows per farm from Swedish Board of Agriculture statistics database (avg. 2016-2020)</t>
  </si>
  <si>
    <t>live_weight_first_calving</t>
  </si>
  <si>
    <t>assume same as LW @ slaughter for heifers</t>
  </si>
  <si>
    <t>Ahlgren et al. (2022) Tabell 10</t>
  </si>
  <si>
    <t>time_lag_recruitment</t>
  </si>
  <si>
    <t>Time from slaughter of cow to first calving of replacement heifer</t>
  </si>
  <si>
    <t>Pers. com. Anna Hessle, SLU</t>
  </si>
  <si>
    <t>Gård &amp; Djurhälsan (2016) Slaktutbyte något att räkna med?</t>
  </si>
  <si>
    <t>Växa KAP Slakt</t>
  </si>
  <si>
    <t>Växa Slakt</t>
  </si>
  <si>
    <t>Dairy steer</t>
  </si>
  <si>
    <t>Beef heifer</t>
  </si>
  <si>
    <t>Beef steer</t>
  </si>
  <si>
    <t>Share grazing:</t>
  </si>
  <si>
    <t>SM - Table S7</t>
  </si>
  <si>
    <t>https://www.kalvportalen.se/mjoelk/mjoelkraskalvar/utfodringsperiod/</t>
  </si>
  <si>
    <t>Skottheim (2014) Hur stor betydelse har utfodrings- och avvänjningsstrategin för kalvens tillväxt och hälsa?. SLU, Uppsala</t>
  </si>
  <si>
    <t>Adjusted to give more reasonable growth rate after weaning</t>
  </si>
  <si>
    <t>Metabolizable Energy</t>
  </si>
  <si>
    <t>Dry matter intake</t>
  </si>
  <si>
    <t>max_DMI</t>
  </si>
  <si>
    <t>kg DM/head/day</t>
  </si>
  <si>
    <t>https://pir.sa.gov.au/__data/assets/pdf_file/0007/272869/Calculating_dry_matter_intakes.pdf</t>
  </si>
  <si>
    <t>3.5% of LW</t>
  </si>
  <si>
    <t>3.0% of LW</t>
  </si>
  <si>
    <t>Protein (AAT)</t>
  </si>
  <si>
    <t>AAT_factor</t>
  </si>
  <si>
    <t>g AAT/MJ ME</t>
  </si>
  <si>
    <t>Rough for now… 7.5 @ 40-75 kg LW … 6.5 @ &gt;275 kg LW</t>
  </si>
  <si>
    <t>Spörndly (2003). Tabell 5</t>
  </si>
  <si>
    <t>Protein (PBV)</t>
  </si>
  <si>
    <t>max_PBV</t>
  </si>
  <si>
    <t>g PBV/head/day</t>
  </si>
  <si>
    <t>min_PBV</t>
  </si>
  <si>
    <t>max_PBV_per_ME</t>
  </si>
  <si>
    <t>g PBV/MJ ME</t>
  </si>
  <si>
    <t>min_PBV_per_ME</t>
  </si>
  <si>
    <t>Same as growing animals?</t>
  </si>
  <si>
    <t>max_fat</t>
  </si>
  <si>
    <t>Spörndly (2003)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</si>
</sst>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#,##0.0"/>
    <numFmt numFmtId="167" formatCode="0.000"/>
    <numFmt numFmtId="168" formatCode="0.0%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0"/>
      <name val="Times New Roman"/>
      <family val="1"/>
      <charset val="204"/>
    </font>
    <font>
      <sz val="12"/>
      <color indexed="8"/>
      <name val="Arial"/>
      <family val="2"/>
    </font>
    <font>
      <b/>
      <sz val="12"/>
      <color indexed="8"/>
      <name val="Arial"/>
      <family val="1"/>
      <charset val="204"/>
    </font>
    <font>
      <b/>
      <sz val="11"/>
      <color indexed="8"/>
      <name val="Arial"/>
      <family val="1"/>
      <charset val="204"/>
    </font>
    <font>
      <b/>
      <sz val="11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sz val="11"/>
      <color rgb="FF7030A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  <font>
      <sz val="11"/>
      <color rgb="FF6A9955"/>
      <name val="Consolas"/>
      <family val="3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44" fillId="0" borderId="0" applyNumberFormat="0" applyFill="0" applyBorder="0" applyAlignment="0" applyProtection="0"/>
  </cellStyleXfs>
  <cellXfs count="312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33" borderId="0" xfId="0" applyNumberFormat="1" applyFill="1"/>
    <xf numFmtId="0" fontId="18" fillId="0" borderId="0" xfId="0" applyFont="1"/>
    <xf numFmtId="165" fontId="0" fillId="0" borderId="0" xfId="0" applyNumberFormat="1"/>
    <xf numFmtId="0" fontId="16" fillId="0" borderId="0" xfId="0" applyFont="1"/>
    <xf numFmtId="0" fontId="18" fillId="0" borderId="10" xfId="0" applyFont="1" applyBorder="1"/>
    <xf numFmtId="0" fontId="0" fillId="0" borderId="11" xfId="0" applyBorder="1"/>
    <xf numFmtId="0" fontId="18" fillId="0" borderId="11" xfId="0" applyFont="1" applyBorder="1"/>
    <xf numFmtId="0" fontId="0" fillId="0" borderId="12" xfId="0" applyBorder="1"/>
    <xf numFmtId="3" fontId="19" fillId="33" borderId="0" xfId="0" applyNumberFormat="1" applyFont="1" applyFill="1"/>
    <xf numFmtId="3" fontId="0" fillId="0" borderId="0" xfId="0" applyNumberFormat="1"/>
    <xf numFmtId="164" fontId="0" fillId="0" borderId="0" xfId="0" applyNumberFormat="1"/>
    <xf numFmtId="0" fontId="0" fillId="0" borderId="13" xfId="0" applyBorder="1"/>
    <xf numFmtId="0" fontId="0" fillId="0" borderId="0" xfId="0" applyBorder="1"/>
    <xf numFmtId="166" fontId="0" fillId="0" borderId="0" xfId="0" applyNumberFormat="1" applyBorder="1"/>
    <xf numFmtId="166" fontId="20" fillId="0" borderId="0" xfId="0" applyNumberFormat="1" applyFont="1" applyBorder="1"/>
    <xf numFmtId="0" fontId="0" fillId="0" borderId="14" xfId="0" applyBorder="1"/>
    <xf numFmtId="164" fontId="0" fillId="0" borderId="0" xfId="0" applyNumberFormat="1" applyBorder="1"/>
    <xf numFmtId="166" fontId="21" fillId="0" borderId="0" xfId="0" applyNumberFormat="1" applyFont="1" applyBorder="1"/>
    <xf numFmtId="0" fontId="22" fillId="0" borderId="0" xfId="0" applyFont="1" applyBorder="1"/>
    <xf numFmtId="164" fontId="22" fillId="0" borderId="0" xfId="0" applyNumberFormat="1" applyFont="1" applyBorder="1"/>
    <xf numFmtId="164" fontId="20" fillId="0" borderId="0" xfId="0" applyNumberFormat="1" applyFont="1" applyBorder="1"/>
    <xf numFmtId="0" fontId="0" fillId="0" borderId="0" xfId="0" applyFill="1" applyBorder="1"/>
    <xf numFmtId="0" fontId="0" fillId="0" borderId="13" xfId="0" applyFill="1" applyBorder="1"/>
    <xf numFmtId="9" fontId="0" fillId="0" borderId="0" xfId="42" applyFont="1"/>
    <xf numFmtId="0" fontId="23" fillId="0" borderId="0" xfId="0" applyFont="1"/>
    <xf numFmtId="2" fontId="22" fillId="0" borderId="0" xfId="0" applyNumberFormat="1" applyFont="1" applyBorder="1"/>
    <xf numFmtId="165" fontId="0" fillId="0" borderId="0" xfId="0" applyNumberFormat="1" applyBorder="1"/>
    <xf numFmtId="167" fontId="0" fillId="0" borderId="0" xfId="0" applyNumberFormat="1" applyBorder="1"/>
    <xf numFmtId="4" fontId="21" fillId="0" borderId="0" xfId="0" applyNumberFormat="1" applyFont="1" applyBorder="1"/>
    <xf numFmtId="0" fontId="0" fillId="0" borderId="0" xfId="0" applyFill="1"/>
    <xf numFmtId="3" fontId="21" fillId="0" borderId="0" xfId="0" applyNumberFormat="1" applyFont="1" applyBorder="1"/>
    <xf numFmtId="1" fontId="0" fillId="0" borderId="0" xfId="0" applyNumberFormat="1" applyBorder="1"/>
    <xf numFmtId="0" fontId="16" fillId="0" borderId="13" xfId="0" applyFont="1" applyBorder="1"/>
    <xf numFmtId="0" fontId="23" fillId="0" borderId="0" xfId="0" applyFont="1" applyBorder="1"/>
    <xf numFmtId="0" fontId="21" fillId="0" borderId="0" xfId="0" applyFont="1" applyBorder="1"/>
    <xf numFmtId="0" fontId="20" fillId="0" borderId="0" xfId="0" applyFont="1" applyBorder="1"/>
    <xf numFmtId="0" fontId="0" fillId="0" borderId="0" xfId="42" applyNumberFormat="1" applyFont="1"/>
    <xf numFmtId="164" fontId="21" fillId="0" borderId="0" xfId="0" applyNumberFormat="1" applyFont="1" applyBorder="1"/>
    <xf numFmtId="0" fontId="24" fillId="0" borderId="0" xfId="0" applyFont="1" applyBorder="1"/>
    <xf numFmtId="168" fontId="0" fillId="0" borderId="0" xfId="42" applyNumberFormat="1" applyFont="1"/>
    <xf numFmtId="0" fontId="16" fillId="0" borderId="13" xfId="0" applyFont="1" applyFill="1" applyBorder="1"/>
    <xf numFmtId="1" fontId="21" fillId="0" borderId="0" xfId="0" applyNumberFormat="1" applyFont="1" applyBorder="1"/>
    <xf numFmtId="4" fontId="0" fillId="0" borderId="0" xfId="0" applyNumberFormat="1"/>
    <xf numFmtId="164" fontId="0" fillId="0" borderId="16" xfId="0" applyNumberFormat="1" applyBorder="1"/>
    <xf numFmtId="0" fontId="0" fillId="0" borderId="16" xfId="0" applyBorder="1"/>
    <xf numFmtId="0" fontId="16" fillId="34" borderId="0" xfId="0" applyFont="1" applyFill="1"/>
    <xf numFmtId="0" fontId="0" fillId="34" borderId="0" xfId="0" applyFill="1"/>
    <xf numFmtId="3" fontId="0" fillId="34" borderId="0" xfId="0" applyNumberFormat="1" applyFill="1"/>
    <xf numFmtId="9" fontId="0" fillId="34" borderId="0" xfId="42" applyFont="1" applyFill="1"/>
    <xf numFmtId="0" fontId="23" fillId="34" borderId="0" xfId="0" applyFont="1" applyFill="1"/>
    <xf numFmtId="9" fontId="0" fillId="34" borderId="18" xfId="42" applyFont="1" applyFill="1" applyBorder="1"/>
    <xf numFmtId="9" fontId="0" fillId="34" borderId="19" xfId="42" applyFont="1" applyFill="1" applyBorder="1"/>
    <xf numFmtId="9" fontId="0" fillId="34" borderId="20" xfId="42" applyFont="1" applyFill="1" applyBorder="1"/>
    <xf numFmtId="9" fontId="0" fillId="34" borderId="21" xfId="42" applyFont="1" applyFill="1" applyBorder="1"/>
    <xf numFmtId="9" fontId="0" fillId="34" borderId="22" xfId="42" applyFont="1" applyFill="1" applyBorder="1"/>
    <xf numFmtId="9" fontId="0" fillId="34" borderId="23" xfId="42" applyFont="1" applyFill="1" applyBorder="1"/>
    <xf numFmtId="9" fontId="0" fillId="34" borderId="24" xfId="42" applyFont="1" applyFill="1" applyBorder="1"/>
    <xf numFmtId="9" fontId="0" fillId="34" borderId="25" xfId="42" applyFont="1" applyFill="1" applyBorder="1"/>
    <xf numFmtId="0" fontId="0" fillId="34" borderId="0" xfId="0" applyFill="1" applyBorder="1"/>
    <xf numFmtId="164" fontId="0" fillId="34" borderId="0" xfId="0" applyNumberFormat="1" applyFill="1" applyBorder="1"/>
    <xf numFmtId="0" fontId="14" fillId="34" borderId="0" xfId="0" applyFont="1" applyFill="1"/>
    <xf numFmtId="164" fontId="0" fillId="34" borderId="0" xfId="0" applyNumberFormat="1" applyFill="1"/>
    <xf numFmtId="3" fontId="0" fillId="0" borderId="0" xfId="0" applyNumberForma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" fontId="16" fillId="0" borderId="0" xfId="0" applyNumberFormat="1" applyFont="1"/>
    <xf numFmtId="1" fontId="16" fillId="35" borderId="0" xfId="0" applyNumberFormat="1" applyFont="1" applyFill="1"/>
    <xf numFmtId="1" fontId="0" fillId="0" borderId="0" xfId="0" applyNumberFormat="1" applyFont="1"/>
    <xf numFmtId="1" fontId="0" fillId="35" borderId="0" xfId="0" applyNumberFormat="1" applyFill="1"/>
    <xf numFmtId="1" fontId="0" fillId="35" borderId="0" xfId="0" applyNumberFormat="1" applyFont="1" applyFill="1"/>
    <xf numFmtId="0" fontId="16" fillId="36" borderId="0" xfId="0" applyFont="1" applyFill="1"/>
    <xf numFmtId="0" fontId="0" fillId="36" borderId="0" xfId="0" applyFont="1" applyFill="1"/>
    <xf numFmtId="3" fontId="0" fillId="36" borderId="0" xfId="0" applyNumberFormat="1" applyFont="1" applyFill="1"/>
    <xf numFmtId="164" fontId="0" fillId="36" borderId="0" xfId="0" applyNumberFormat="1" applyFont="1" applyFill="1"/>
    <xf numFmtId="0" fontId="0" fillId="34" borderId="0" xfId="0" applyFont="1" applyFill="1"/>
    <xf numFmtId="1" fontId="0" fillId="34" borderId="0" xfId="0" applyNumberFormat="1" applyFill="1"/>
    <xf numFmtId="0" fontId="16" fillId="37" borderId="0" xfId="0" applyFont="1" applyFill="1"/>
    <xf numFmtId="0" fontId="0" fillId="37" borderId="0" xfId="0" applyFont="1" applyFill="1"/>
    <xf numFmtId="3" fontId="0" fillId="37" borderId="0" xfId="0" applyNumberFormat="1" applyFont="1" applyFill="1"/>
    <xf numFmtId="164" fontId="0" fillId="37" borderId="0" xfId="0" applyNumberFormat="1" applyFont="1" applyFill="1"/>
    <xf numFmtId="0" fontId="0" fillId="38" borderId="0" xfId="0" applyFont="1" applyFill="1"/>
    <xf numFmtId="3" fontId="0" fillId="38" borderId="0" xfId="0" applyNumberFormat="1" applyFont="1" applyFill="1"/>
    <xf numFmtId="164" fontId="0" fillId="38" borderId="0" xfId="0" applyNumberFormat="1" applyFont="1" applyFill="1"/>
    <xf numFmtId="0" fontId="0" fillId="33" borderId="0" xfId="0" applyFill="1"/>
    <xf numFmtId="0" fontId="0" fillId="33" borderId="0" xfId="0" applyFont="1" applyFill="1"/>
    <xf numFmtId="3" fontId="0" fillId="33" borderId="0" xfId="0" applyNumberFormat="1" applyFill="1"/>
    <xf numFmtId="0" fontId="14" fillId="0" borderId="0" xfId="0" applyFont="1"/>
    <xf numFmtId="0" fontId="18" fillId="35" borderId="0" xfId="0" applyFont="1" applyFill="1"/>
    <xf numFmtId="0" fontId="0" fillId="35" borderId="0" xfId="0" applyFill="1"/>
    <xf numFmtId="2" fontId="0" fillId="35" borderId="0" xfId="0" applyNumberFormat="1" applyFill="1"/>
    <xf numFmtId="0" fontId="16" fillId="39" borderId="0" xfId="0" applyFont="1" applyFill="1"/>
    <xf numFmtId="0" fontId="0" fillId="39" borderId="0" xfId="0" applyFill="1"/>
    <xf numFmtId="2" fontId="0" fillId="39" borderId="0" xfId="0" applyNumberFormat="1" applyFill="1"/>
    <xf numFmtId="0" fontId="16" fillId="38" borderId="0" xfId="0" applyFont="1" applyFill="1"/>
    <xf numFmtId="0" fontId="0" fillId="38" borderId="0" xfId="0" applyFill="1"/>
    <xf numFmtId="166" fontId="0" fillId="34" borderId="0" xfId="0" applyNumberFormat="1" applyFill="1"/>
    <xf numFmtId="164" fontId="16" fillId="0" borderId="13" xfId="0" applyNumberFormat="1" applyFont="1" applyBorder="1"/>
    <xf numFmtId="164" fontId="0" fillId="0" borderId="13" xfId="0" applyNumberFormat="1" applyBorder="1"/>
    <xf numFmtId="164" fontId="0" fillId="0" borderId="15" xfId="0" applyNumberFormat="1" applyBorder="1"/>
    <xf numFmtId="3" fontId="0" fillId="0" borderId="14" xfId="0" applyNumberFormat="1" applyBorder="1"/>
    <xf numFmtId="3" fontId="0" fillId="0" borderId="17" xfId="0" applyNumberFormat="1" applyBorder="1"/>
    <xf numFmtId="164" fontId="0" fillId="0" borderId="0" xfId="0" applyNumberFormat="1" applyFill="1" applyBorder="1"/>
    <xf numFmtId="0" fontId="0" fillId="0" borderId="0" xfId="0" applyAlignment="1"/>
    <xf numFmtId="0" fontId="20" fillId="0" borderId="0" xfId="0" applyFont="1"/>
    <xf numFmtId="1" fontId="14" fillId="0" borderId="0" xfId="0" applyNumberFormat="1" applyFont="1"/>
    <xf numFmtId="0" fontId="28" fillId="0" borderId="0" xfId="0" applyFont="1" applyAlignment="1">
      <alignment horizontal="right" vertical="center" wrapText="1" indent="15"/>
    </xf>
    <xf numFmtId="0" fontId="26" fillId="0" borderId="0" xfId="0" applyFont="1" applyAlignment="1">
      <alignment horizontal="left" wrapText="1"/>
    </xf>
    <xf numFmtId="1" fontId="27" fillId="0" borderId="27" xfId="0" applyNumberFormat="1" applyFont="1" applyBorder="1" applyAlignment="1">
      <alignment horizontal="left" vertical="top" shrinkToFit="1"/>
    </xf>
    <xf numFmtId="0" fontId="26" fillId="0" borderId="0" xfId="0" applyFont="1" applyAlignment="1">
      <alignment horizontal="left" vertical="center" wrapText="1"/>
    </xf>
    <xf numFmtId="1" fontId="27" fillId="0" borderId="0" xfId="0" applyNumberFormat="1" applyFont="1" applyAlignment="1">
      <alignment horizontal="left" vertical="top" shrinkToFit="1"/>
    </xf>
    <xf numFmtId="1" fontId="27" fillId="0" borderId="26" xfId="0" applyNumberFormat="1" applyFont="1" applyBorder="1" applyAlignment="1">
      <alignment horizontal="left" vertical="top" shrinkToFi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30" fillId="0" borderId="26" xfId="0" applyFont="1" applyBorder="1" applyAlignment="1">
      <alignment horizontal="left" vertical="top" wrapText="1"/>
    </xf>
    <xf numFmtId="1" fontId="30" fillId="0" borderId="26" xfId="0" applyNumberFormat="1" applyFont="1" applyBorder="1" applyAlignment="1">
      <alignment horizontal="right" vertical="top" indent="2" shrinkToFit="1"/>
    </xf>
    <xf numFmtId="1" fontId="30" fillId="0" borderId="26" xfId="0" applyNumberFormat="1" applyFont="1" applyBorder="1" applyAlignment="1">
      <alignment horizontal="center" vertical="top" shrinkToFit="1"/>
    </xf>
    <xf numFmtId="1" fontId="30" fillId="0" borderId="26" xfId="0" applyNumberFormat="1" applyFont="1" applyBorder="1" applyAlignment="1">
      <alignment horizontal="right" vertical="top" shrinkToFit="1"/>
    </xf>
    <xf numFmtId="164" fontId="27" fillId="0" borderId="27" xfId="0" applyNumberFormat="1" applyFont="1" applyBorder="1" applyAlignment="1">
      <alignment horizontal="right" vertical="top" wrapText="1" indent="1"/>
    </xf>
    <xf numFmtId="164" fontId="27" fillId="0" borderId="27" xfId="0" applyNumberFormat="1" applyFont="1" applyBorder="1" applyAlignment="1">
      <alignment horizontal="center" vertical="top" wrapText="1"/>
    </xf>
    <xf numFmtId="164" fontId="27" fillId="0" borderId="27" xfId="0" applyNumberFormat="1" applyFont="1" applyBorder="1" applyAlignment="1">
      <alignment horizontal="right" vertical="top" wrapText="1"/>
    </xf>
    <xf numFmtId="164" fontId="27" fillId="0" borderId="0" xfId="0" applyNumberFormat="1" applyFont="1" applyAlignment="1">
      <alignment horizontal="right" vertical="top" wrapText="1" indent="1"/>
    </xf>
    <xf numFmtId="164" fontId="27" fillId="0" borderId="0" xfId="0" applyNumberFormat="1" applyFont="1" applyAlignment="1">
      <alignment horizontal="center" vertical="top" wrapText="1"/>
    </xf>
    <xf numFmtId="164" fontId="27" fillId="0" borderId="0" xfId="0" applyNumberFormat="1" applyFont="1" applyAlignment="1">
      <alignment horizontal="right" vertical="top" wrapText="1"/>
    </xf>
    <xf numFmtId="164" fontId="27" fillId="0" borderId="26" xfId="0" applyNumberFormat="1" applyFont="1" applyBorder="1" applyAlignment="1">
      <alignment horizontal="right" vertical="top" wrapText="1" indent="1"/>
    </xf>
    <xf numFmtId="164" fontId="27" fillId="0" borderId="26" xfId="0" applyNumberFormat="1" applyFont="1" applyBorder="1" applyAlignment="1">
      <alignment horizontal="center" vertical="top" wrapText="1"/>
    </xf>
    <xf numFmtId="164" fontId="27" fillId="0" borderId="26" xfId="0" applyNumberFormat="1" applyFont="1" applyBorder="1" applyAlignment="1">
      <alignment horizontal="right" vertical="top" wrapText="1"/>
    </xf>
    <xf numFmtId="1" fontId="27" fillId="0" borderId="27" xfId="0" applyNumberFormat="1" applyFont="1" applyBorder="1" applyAlignment="1">
      <alignment horizontal="center" vertical="top" shrinkToFit="1"/>
    </xf>
    <xf numFmtId="1" fontId="27" fillId="0" borderId="0" xfId="0" applyNumberFormat="1" applyFont="1" applyAlignment="1">
      <alignment horizontal="center" vertical="top" shrinkToFit="1"/>
    </xf>
    <xf numFmtId="1" fontId="27" fillId="0" borderId="26" xfId="0" applyNumberFormat="1" applyFont="1" applyBorder="1" applyAlignment="1">
      <alignment horizontal="center" vertical="top" shrinkToFit="1"/>
    </xf>
    <xf numFmtId="0" fontId="0" fillId="0" borderId="0" xfId="0" applyFill="1" applyBorder="1" applyAlignment="1"/>
    <xf numFmtId="0" fontId="0" fillId="0" borderId="28" xfId="0" applyFill="1" applyBorder="1" applyAlignment="1"/>
    <xf numFmtId="0" fontId="31" fillId="0" borderId="29" xfId="0" applyFont="1" applyFill="1" applyBorder="1" applyAlignment="1">
      <alignment horizontal="center"/>
    </xf>
    <xf numFmtId="0" fontId="31" fillId="0" borderId="29" xfId="0" applyFont="1" applyFill="1" applyBorder="1" applyAlignment="1">
      <alignment horizontal="centerContinuous"/>
    </xf>
    <xf numFmtId="0" fontId="28" fillId="0" borderId="0" xfId="0" applyFont="1" applyAlignment="1">
      <alignment horizontal="left" vertical="center"/>
    </xf>
    <xf numFmtId="0" fontId="16" fillId="0" borderId="0" xfId="0" applyFont="1" applyFill="1" applyBorder="1" applyAlignment="1"/>
    <xf numFmtId="9" fontId="27" fillId="0" borderId="27" xfId="42" applyFont="1" applyBorder="1" applyAlignment="1">
      <alignment horizontal="right" vertical="top" wrapText="1" indent="1"/>
    </xf>
    <xf numFmtId="9" fontId="27" fillId="0" borderId="27" xfId="42" applyFont="1" applyBorder="1" applyAlignment="1">
      <alignment horizontal="center" vertical="top" wrapText="1"/>
    </xf>
    <xf numFmtId="9" fontId="27" fillId="0" borderId="27" xfId="42" applyFont="1" applyBorder="1" applyAlignment="1">
      <alignment horizontal="right" vertical="top" wrapText="1"/>
    </xf>
    <xf numFmtId="9" fontId="27" fillId="0" borderId="0" xfId="42" applyFont="1" applyAlignment="1">
      <alignment horizontal="right" vertical="top" wrapText="1" indent="1"/>
    </xf>
    <xf numFmtId="9" fontId="27" fillId="0" borderId="0" xfId="42" applyFont="1" applyAlignment="1">
      <alignment horizontal="center" vertical="top" wrapText="1"/>
    </xf>
    <xf numFmtId="9" fontId="27" fillId="0" borderId="0" xfId="42" applyFont="1" applyAlignment="1">
      <alignment horizontal="right" vertical="top" wrapText="1"/>
    </xf>
    <xf numFmtId="9" fontId="27" fillId="0" borderId="26" xfId="42" applyFont="1" applyBorder="1" applyAlignment="1">
      <alignment horizontal="right" vertical="top" wrapText="1" indent="1"/>
    </xf>
    <xf numFmtId="9" fontId="27" fillId="0" borderId="26" xfId="42" applyFont="1" applyBorder="1" applyAlignment="1">
      <alignment horizontal="center" vertical="top" wrapText="1"/>
    </xf>
    <xf numFmtId="9" fontId="27" fillId="0" borderId="26" xfId="42" applyFont="1" applyBorder="1" applyAlignment="1">
      <alignment horizontal="right" vertical="top" wrapText="1"/>
    </xf>
    <xf numFmtId="2" fontId="30" fillId="0" borderId="26" xfId="0" applyNumberFormat="1" applyFont="1" applyBorder="1" applyAlignment="1">
      <alignment horizontal="right" vertical="top" indent="2" shrinkToFit="1"/>
    </xf>
    <xf numFmtId="2" fontId="30" fillId="0" borderId="26" xfId="0" applyNumberFormat="1" applyFont="1" applyBorder="1" applyAlignment="1">
      <alignment horizontal="center" vertical="top" shrinkToFit="1"/>
    </xf>
    <xf numFmtId="2" fontId="30" fillId="0" borderId="26" xfId="0" applyNumberFormat="1" applyFont="1" applyBorder="1" applyAlignment="1">
      <alignment horizontal="right" vertical="top" shrinkToFit="1"/>
    </xf>
    <xf numFmtId="0" fontId="32" fillId="0" borderId="0" xfId="0" applyFont="1" applyAlignment="1">
      <alignment horizontal="left"/>
    </xf>
    <xf numFmtId="0" fontId="0" fillId="0" borderId="0" xfId="0" applyAlignment="1">
      <alignment horizontal="right"/>
    </xf>
    <xf numFmtId="167" fontId="16" fillId="0" borderId="0" xfId="0" applyNumberFormat="1" applyFont="1"/>
    <xf numFmtId="0" fontId="25" fillId="35" borderId="0" xfId="0" applyFont="1" applyFill="1"/>
    <xf numFmtId="0" fontId="33" fillId="0" borderId="0" xfId="0" applyFont="1"/>
    <xf numFmtId="0" fontId="33" fillId="0" borderId="0" xfId="0" applyFont="1" applyAlignment="1"/>
    <xf numFmtId="0" fontId="34" fillId="0" borderId="0" xfId="0" applyFont="1"/>
    <xf numFmtId="2" fontId="0" fillId="34" borderId="0" xfId="0" applyNumberFormat="1" applyFill="1"/>
    <xf numFmtId="0" fontId="16" fillId="33" borderId="0" xfId="0" applyFont="1" applyFill="1"/>
    <xf numFmtId="2" fontId="0" fillId="33" borderId="0" xfId="0" applyNumberFormat="1" applyFill="1"/>
    <xf numFmtId="3" fontId="35" fillId="0" borderId="0" xfId="0" applyNumberFormat="1" applyFont="1"/>
    <xf numFmtId="3" fontId="16" fillId="0" borderId="0" xfId="0" applyNumberFormat="1" applyFont="1"/>
    <xf numFmtId="0" fontId="0" fillId="0" borderId="0" xfId="0" applyFont="1"/>
    <xf numFmtId="0" fontId="0" fillId="40" borderId="0" xfId="0" applyFill="1"/>
    <xf numFmtId="0" fontId="0" fillId="37" borderId="0" xfId="0" applyFill="1"/>
    <xf numFmtId="0" fontId="0" fillId="37" borderId="0" xfId="0" applyFill="1" applyAlignment="1">
      <alignment horizontal="center"/>
    </xf>
    <xf numFmtId="9" fontId="0" fillId="33" borderId="0" xfId="42" applyFont="1" applyFill="1"/>
    <xf numFmtId="3" fontId="0" fillId="40" borderId="0" xfId="0" applyNumberFormat="1" applyFill="1"/>
    <xf numFmtId="9" fontId="0" fillId="40" borderId="0" xfId="42" applyFont="1" applyFill="1"/>
    <xf numFmtId="0" fontId="13" fillId="37" borderId="0" xfId="0" applyFont="1" applyFill="1"/>
    <xf numFmtId="0" fontId="38" fillId="37" borderId="0" xfId="0" applyFont="1" applyFill="1"/>
    <xf numFmtId="3" fontId="38" fillId="33" borderId="0" xfId="0" applyNumberFormat="1" applyFont="1" applyFill="1"/>
    <xf numFmtId="9" fontId="38" fillId="33" borderId="0" xfId="42" applyFont="1" applyFill="1"/>
    <xf numFmtId="3" fontId="38" fillId="40" borderId="0" xfId="0" applyNumberFormat="1" applyFont="1" applyFill="1"/>
    <xf numFmtId="9" fontId="38" fillId="40" borderId="0" xfId="42" applyFont="1" applyFill="1"/>
    <xf numFmtId="3" fontId="0" fillId="40" borderId="0" xfId="0" applyNumberFormat="1" applyFont="1" applyFill="1"/>
    <xf numFmtId="2" fontId="0" fillId="33" borderId="0" xfId="42" applyNumberFormat="1" applyFont="1" applyFill="1"/>
    <xf numFmtId="4" fontId="38" fillId="33" borderId="0" xfId="0" applyNumberFormat="1" applyFont="1" applyFill="1"/>
    <xf numFmtId="0" fontId="39" fillId="0" borderId="0" xfId="0" applyFont="1" applyAlignment="1">
      <alignment vertical="center"/>
    </xf>
    <xf numFmtId="2" fontId="20" fillId="0" borderId="0" xfId="0" applyNumberFormat="1" applyFont="1"/>
    <xf numFmtId="0" fontId="16" fillId="0" borderId="0" xfId="0" applyFont="1" applyAlignment="1">
      <alignment horizontal="right"/>
    </xf>
    <xf numFmtId="2" fontId="0" fillId="37" borderId="0" xfId="0" applyNumberFormat="1" applyFill="1" applyAlignment="1">
      <alignment horizontal="center"/>
    </xf>
    <xf numFmtId="3" fontId="0" fillId="40" borderId="0" xfId="0" applyNumberFormat="1" applyFill="1" applyAlignment="1">
      <alignment horizontal="center"/>
    </xf>
    <xf numFmtId="3" fontId="0" fillId="33" borderId="0" xfId="0" applyNumberFormat="1" applyFill="1" applyAlignment="1">
      <alignment horizontal="center"/>
    </xf>
    <xf numFmtId="3" fontId="16" fillId="40" borderId="0" xfId="0" applyNumberFormat="1" applyFont="1" applyFill="1" applyAlignment="1">
      <alignment horizontal="center"/>
    </xf>
    <xf numFmtId="3" fontId="16" fillId="33" borderId="0" xfId="0" applyNumberFormat="1" applyFont="1" applyFill="1" applyAlignment="1">
      <alignment horizontal="center"/>
    </xf>
    <xf numFmtId="9" fontId="0" fillId="33" borderId="0" xfId="42" applyFont="1" applyFill="1" applyAlignment="1">
      <alignment horizontal="center"/>
    </xf>
    <xf numFmtId="9" fontId="0" fillId="40" borderId="0" xfId="42" applyFont="1" applyFill="1" applyAlignment="1">
      <alignment horizontal="center"/>
    </xf>
    <xf numFmtId="2" fontId="0" fillId="33" borderId="0" xfId="42" applyNumberFormat="1" applyFont="1" applyFill="1" applyAlignment="1">
      <alignment horizontal="center"/>
    </xf>
    <xf numFmtId="9" fontId="16" fillId="33" borderId="0" xfId="42" applyFont="1" applyFill="1" applyAlignment="1">
      <alignment horizontal="center"/>
    </xf>
    <xf numFmtId="9" fontId="16" fillId="40" borderId="0" xfId="42" applyFont="1" applyFill="1" applyAlignment="1">
      <alignment horizontal="center"/>
    </xf>
    <xf numFmtId="2" fontId="16" fillId="33" borderId="0" xfId="42" applyNumberFormat="1" applyFont="1" applyFill="1" applyAlignment="1">
      <alignment horizontal="center"/>
    </xf>
    <xf numFmtId="0" fontId="13" fillId="37" borderId="10" xfId="0" applyFont="1" applyFill="1" applyBorder="1"/>
    <xf numFmtId="0" fontId="0" fillId="37" borderId="11" xfId="0" applyFill="1" applyBorder="1"/>
    <xf numFmtId="0" fontId="0" fillId="36" borderId="11" xfId="0" applyFill="1" applyBorder="1"/>
    <xf numFmtId="0" fontId="0" fillId="36" borderId="12" xfId="0" applyFill="1" applyBorder="1"/>
    <xf numFmtId="0" fontId="0" fillId="37" borderId="13" xfId="0" applyFill="1" applyBorder="1"/>
    <xf numFmtId="0" fontId="0" fillId="37" borderId="0" xfId="0" applyFill="1" applyBorder="1"/>
    <xf numFmtId="3" fontId="0" fillId="40" borderId="0" xfId="0" applyNumberFormat="1" applyFill="1" applyBorder="1" applyAlignment="1">
      <alignment horizontal="center"/>
    </xf>
    <xf numFmtId="3" fontId="0" fillId="33" borderId="0" xfId="0" applyNumberFormat="1" applyFill="1" applyBorder="1" applyAlignment="1">
      <alignment horizontal="center"/>
    </xf>
    <xf numFmtId="0" fontId="0" fillId="41" borderId="0" xfId="0" applyFill="1" applyBorder="1"/>
    <xf numFmtId="0" fontId="0" fillId="34" borderId="14" xfId="0" applyFill="1" applyBorder="1"/>
    <xf numFmtId="0" fontId="0" fillId="40" borderId="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16" fillId="37" borderId="13" xfId="0" applyFont="1" applyFill="1" applyBorder="1"/>
    <xf numFmtId="0" fontId="0" fillId="37" borderId="0" xfId="0" applyFill="1" applyBorder="1" applyAlignment="1">
      <alignment horizontal="center"/>
    </xf>
    <xf numFmtId="1" fontId="0" fillId="41" borderId="0" xfId="0" applyNumberFormat="1" applyFill="1" applyBorder="1"/>
    <xf numFmtId="3" fontId="0" fillId="34" borderId="14" xfId="0" applyNumberFormat="1" applyFill="1" applyBorder="1"/>
    <xf numFmtId="0" fontId="16" fillId="37" borderId="15" xfId="0" applyFont="1" applyFill="1" applyBorder="1"/>
    <xf numFmtId="0" fontId="16" fillId="37" borderId="16" xfId="0" applyFont="1" applyFill="1" applyBorder="1"/>
    <xf numFmtId="3" fontId="16" fillId="40" borderId="16" xfId="0" applyNumberFormat="1" applyFont="1" applyFill="1" applyBorder="1" applyAlignment="1">
      <alignment horizontal="center"/>
    </xf>
    <xf numFmtId="3" fontId="16" fillId="33" borderId="16" xfId="0" applyNumberFormat="1" applyFont="1" applyFill="1" applyBorder="1" applyAlignment="1">
      <alignment horizontal="center"/>
    </xf>
    <xf numFmtId="1" fontId="16" fillId="41" borderId="16" xfId="0" applyNumberFormat="1" applyFont="1" applyFill="1" applyBorder="1"/>
    <xf numFmtId="1" fontId="16" fillId="34" borderId="17" xfId="0" applyNumberFormat="1" applyFont="1" applyFill="1" applyBorder="1"/>
    <xf numFmtId="0" fontId="13" fillId="37" borderId="12" xfId="0" applyFont="1" applyFill="1" applyBorder="1"/>
    <xf numFmtId="0" fontId="16" fillId="37" borderId="14" xfId="0" applyFont="1" applyFill="1" applyBorder="1"/>
    <xf numFmtId="0" fontId="0" fillId="40" borderId="13" xfId="0" applyFill="1" applyBorder="1"/>
    <xf numFmtId="0" fontId="0" fillId="38" borderId="14" xfId="0" applyFill="1" applyBorder="1"/>
    <xf numFmtId="1" fontId="0" fillId="33" borderId="13" xfId="0" applyNumberFormat="1" applyFill="1" applyBorder="1"/>
    <xf numFmtId="1" fontId="0" fillId="40" borderId="14" xfId="0" applyNumberFormat="1" applyFill="1" applyBorder="1"/>
    <xf numFmtId="0" fontId="0" fillId="33" borderId="13" xfId="0" applyFill="1" applyBorder="1"/>
    <xf numFmtId="0" fontId="0" fillId="40" borderId="14" xfId="0" applyFill="1" applyBorder="1"/>
    <xf numFmtId="1" fontId="16" fillId="33" borderId="15" xfId="0" applyNumberFormat="1" applyFont="1" applyFill="1" applyBorder="1"/>
    <xf numFmtId="1" fontId="16" fillId="40" borderId="17" xfId="0" applyNumberFormat="1" applyFont="1" applyFill="1" applyBorder="1"/>
    <xf numFmtId="0" fontId="13" fillId="37" borderId="11" xfId="0" applyFont="1" applyFill="1" applyBorder="1"/>
    <xf numFmtId="0" fontId="13" fillId="37" borderId="13" xfId="0" applyFont="1" applyFill="1" applyBorder="1"/>
    <xf numFmtId="0" fontId="13" fillId="37" borderId="0" xfId="0" applyFont="1" applyFill="1" applyBorder="1"/>
    <xf numFmtId="0" fontId="16" fillId="37" borderId="0" xfId="0" applyFont="1" applyFill="1" applyBorder="1"/>
    <xf numFmtId="0" fontId="0" fillId="37" borderId="14" xfId="0" applyFill="1" applyBorder="1"/>
    <xf numFmtId="0" fontId="0" fillId="38" borderId="0" xfId="0" applyFill="1" applyBorder="1"/>
    <xf numFmtId="0" fontId="0" fillId="40" borderId="0" xfId="0" applyFill="1" applyBorder="1"/>
    <xf numFmtId="2" fontId="0" fillId="37" borderId="0" xfId="0" applyNumberFormat="1" applyFill="1" applyBorder="1" applyAlignment="1">
      <alignment horizontal="center"/>
    </xf>
    <xf numFmtId="0" fontId="0" fillId="33" borderId="0" xfId="0" applyFill="1" applyBorder="1"/>
    <xf numFmtId="0" fontId="0" fillId="37" borderId="16" xfId="0" applyFill="1" applyBorder="1"/>
    <xf numFmtId="1" fontId="16" fillId="40" borderId="16" xfId="0" applyNumberFormat="1" applyFont="1" applyFill="1" applyBorder="1"/>
    <xf numFmtId="1" fontId="16" fillId="33" borderId="16" xfId="0" applyNumberFormat="1" applyFont="1" applyFill="1" applyBorder="1"/>
    <xf numFmtId="14" fontId="13" fillId="37" borderId="13" xfId="0" quotePrefix="1" applyNumberFormat="1" applyFont="1" applyFill="1" applyBorder="1" applyAlignment="1">
      <alignment vertical="top"/>
    </xf>
    <xf numFmtId="0" fontId="17" fillId="37" borderId="0" xfId="0" applyFont="1" applyFill="1"/>
    <xf numFmtId="3" fontId="41" fillId="37" borderId="0" xfId="0" applyNumberFormat="1" applyFont="1" applyFill="1"/>
    <xf numFmtId="0" fontId="0" fillId="38" borderId="0" xfId="0" applyFill="1" applyAlignment="1">
      <alignment horizontal="center"/>
    </xf>
    <xf numFmtId="1" fontId="42" fillId="41" borderId="0" xfId="0" applyNumberFormat="1" applyFont="1" applyFill="1" applyBorder="1"/>
    <xf numFmtId="3" fontId="42" fillId="34" borderId="14" xfId="0" applyNumberFormat="1" applyFont="1" applyFill="1" applyBorder="1"/>
    <xf numFmtId="0" fontId="42" fillId="37" borderId="13" xfId="0" applyFont="1" applyFill="1" applyBorder="1"/>
    <xf numFmtId="1" fontId="42" fillId="33" borderId="13" xfId="0" applyNumberFormat="1" applyFont="1" applyFill="1" applyBorder="1"/>
    <xf numFmtId="1" fontId="42" fillId="40" borderId="14" xfId="0" applyNumberFormat="1" applyFont="1" applyFill="1" applyBorder="1"/>
    <xf numFmtId="2" fontId="38" fillId="37" borderId="0" xfId="0" applyNumberFormat="1" applyFont="1" applyFill="1" applyAlignment="1">
      <alignment horizontal="center"/>
    </xf>
    <xf numFmtId="3" fontId="38" fillId="33" borderId="0" xfId="0" applyNumberFormat="1" applyFont="1" applyFill="1" applyAlignment="1">
      <alignment horizontal="center"/>
    </xf>
    <xf numFmtId="3" fontId="38" fillId="40" borderId="0" xfId="0" applyNumberFormat="1" applyFont="1" applyFill="1" applyAlignment="1">
      <alignment horizontal="center"/>
    </xf>
    <xf numFmtId="9" fontId="38" fillId="40" borderId="0" xfId="42" applyFont="1" applyFill="1" applyAlignment="1">
      <alignment horizontal="center"/>
    </xf>
    <xf numFmtId="2" fontId="38" fillId="33" borderId="0" xfId="0" applyNumberFormat="1" applyFont="1" applyFill="1"/>
    <xf numFmtId="2" fontId="42" fillId="37" borderId="0" xfId="0" applyNumberFormat="1" applyFont="1" applyFill="1" applyBorder="1" applyAlignment="1">
      <alignment horizontal="center"/>
    </xf>
    <xf numFmtId="164" fontId="33" fillId="0" borderId="0" xfId="0" applyNumberFormat="1" applyFont="1"/>
    <xf numFmtId="0" fontId="43" fillId="35" borderId="0" xfId="0" applyFont="1" applyFill="1"/>
    <xf numFmtId="0" fontId="44" fillId="0" borderId="0" xfId="43"/>
    <xf numFmtId="1" fontId="0" fillId="0" borderId="0" xfId="0" applyNumberFormat="1" applyFill="1"/>
    <xf numFmtId="0" fontId="20" fillId="0" borderId="0" xfId="0" applyFont="1" applyFill="1"/>
    <xf numFmtId="1" fontId="46" fillId="42" borderId="0" xfId="0" applyNumberFormat="1" applyFont="1" applyFill="1"/>
    <xf numFmtId="0" fontId="46" fillId="42" borderId="0" xfId="0" applyFont="1" applyFill="1"/>
    <xf numFmtId="0" fontId="46" fillId="0" borderId="0" xfId="0" applyFont="1" applyAlignment="1">
      <alignment horizontal="right"/>
    </xf>
    <xf numFmtId="2" fontId="46" fillId="0" borderId="0" xfId="0" applyNumberFormat="1" applyFont="1"/>
    <xf numFmtId="0" fontId="45" fillId="0" borderId="0" xfId="0" applyFont="1" applyFill="1"/>
    <xf numFmtId="0" fontId="45" fillId="0" borderId="0" xfId="0" applyFont="1" applyFill="1" applyAlignment="1">
      <alignment horizontal="right"/>
    </xf>
    <xf numFmtId="164" fontId="45" fillId="0" borderId="0" xfId="0" applyNumberFormat="1" applyFont="1" applyFill="1" applyAlignment="1">
      <alignment horizontal="center"/>
    </xf>
    <xf numFmtId="1" fontId="46" fillId="0" borderId="0" xfId="0" applyNumberFormat="1" applyFont="1" applyFill="1"/>
    <xf numFmtId="0" fontId="47" fillId="0" borderId="0" xfId="0" applyFont="1"/>
    <xf numFmtId="164" fontId="47" fillId="0" borderId="0" xfId="0" applyNumberFormat="1" applyFont="1"/>
    <xf numFmtId="164" fontId="20" fillId="0" borderId="0" xfId="0" applyNumberFormat="1" applyFont="1"/>
    <xf numFmtId="167" fontId="20" fillId="0" borderId="0" xfId="0" applyNumberFormat="1" applyFont="1"/>
    <xf numFmtId="0" fontId="48" fillId="0" borderId="0" xfId="0" applyFont="1" applyAlignment="1">
      <alignment horizontal="right"/>
    </xf>
    <xf numFmtId="2" fontId="48" fillId="0" borderId="0" xfId="0" applyNumberFormat="1" applyFont="1"/>
    <xf numFmtId="1" fontId="20" fillId="0" borderId="0" xfId="0" applyNumberFormat="1" applyFont="1"/>
    <xf numFmtId="0" fontId="0" fillId="0" borderId="10" xfId="0" applyBorder="1"/>
    <xf numFmtId="167" fontId="0" fillId="0" borderId="14" xfId="0" applyNumberFormat="1" applyFill="1" applyBorder="1" applyAlignment="1"/>
    <xf numFmtId="0" fontId="0" fillId="0" borderId="15" xfId="0" applyBorder="1"/>
    <xf numFmtId="2" fontId="0" fillId="0" borderId="17" xfId="0" applyNumberFormat="1" applyBorder="1"/>
    <xf numFmtId="0" fontId="0" fillId="0" borderId="14" xfId="0" applyFill="1" applyBorder="1" applyAlignment="1"/>
    <xf numFmtId="0" fontId="0" fillId="0" borderId="17" xfId="0" applyBorder="1"/>
    <xf numFmtId="0" fontId="31" fillId="0" borderId="0" xfId="0" applyFont="1" applyFill="1" applyBorder="1" applyAlignment="1">
      <alignment horizontal="centerContinuous"/>
    </xf>
    <xf numFmtId="0" fontId="31" fillId="0" borderId="0" xfId="0" applyFont="1" applyFill="1" applyBorder="1" applyAlignment="1">
      <alignment horizontal="center"/>
    </xf>
    <xf numFmtId="0" fontId="31" fillId="0" borderId="0" xfId="0" applyFont="1"/>
    <xf numFmtId="2" fontId="0" fillId="0" borderId="0" xfId="0" applyNumberFormat="1" applyAlignment="1"/>
    <xf numFmtId="164" fontId="0" fillId="35" borderId="0" xfId="0" applyNumberFormat="1" applyFill="1"/>
    <xf numFmtId="0" fontId="0" fillId="0" borderId="0" xfId="0" pivotButton="1"/>
    <xf numFmtId="164" fontId="16" fillId="0" borderId="0" xfId="0" applyNumberFormat="1" applyFont="1"/>
    <xf numFmtId="164" fontId="16" fillId="35" borderId="0" xfId="0" applyNumberFormat="1" applyFont="1" applyFill="1"/>
    <xf numFmtId="164" fontId="0" fillId="35" borderId="0" xfId="0" applyNumberFormat="1" applyFont="1" applyFill="1"/>
    <xf numFmtId="164" fontId="0" fillId="0" borderId="0" xfId="0" applyNumberFormat="1" applyFont="1"/>
    <xf numFmtId="0" fontId="20" fillId="0" borderId="0" xfId="0" applyFont="1" applyAlignment="1">
      <alignment wrapText="1"/>
    </xf>
    <xf numFmtId="166" fontId="0" fillId="0" borderId="0" xfId="0" applyNumberFormat="1"/>
    <xf numFmtId="3" fontId="49" fillId="0" borderId="0" xfId="0" applyNumberFormat="1" applyFont="1"/>
    <xf numFmtId="1" fontId="50" fillId="0" borderId="0" xfId="0" applyNumberFormat="1" applyFont="1"/>
    <xf numFmtId="0" fontId="49" fillId="0" borderId="0" xfId="0" applyFont="1"/>
    <xf numFmtId="14" fontId="51" fillId="37" borderId="13" xfId="0" quotePrefix="1" applyNumberFormat="1" applyFont="1" applyFill="1" applyBorder="1" applyAlignment="1">
      <alignment vertical="top"/>
    </xf>
    <xf numFmtId="0" fontId="0" fillId="40" borderId="13" xfId="0" applyFill="1" applyBorder="1" applyAlignment="1">
      <alignment horizontal="center"/>
    </xf>
    <xf numFmtId="1" fontId="20" fillId="33" borderId="13" xfId="0" applyNumberFormat="1" applyFont="1" applyFill="1" applyBorder="1"/>
    <xf numFmtId="0" fontId="40" fillId="40" borderId="0" xfId="0" applyFont="1" applyFill="1" applyBorder="1" applyAlignment="1">
      <alignment horizontal="center" vertical="center" wrapText="1"/>
    </xf>
    <xf numFmtId="0" fontId="40" fillId="38" borderId="0" xfId="0" applyFont="1" applyFill="1" applyBorder="1" applyAlignment="1">
      <alignment horizontal="center" vertical="center" wrapText="1"/>
    </xf>
    <xf numFmtId="0" fontId="40" fillId="39" borderId="0" xfId="0" applyFont="1" applyFill="1" applyBorder="1" applyAlignment="1">
      <alignment horizontal="center" vertical="center" wrapText="1"/>
    </xf>
    <xf numFmtId="0" fontId="40" fillId="41" borderId="14" xfId="0" applyFont="1" applyFill="1" applyBorder="1" applyAlignment="1">
      <alignment horizontal="center" vertical="center" wrapText="1"/>
    </xf>
    <xf numFmtId="2" fontId="20" fillId="0" borderId="0" xfId="0" applyNumberFormat="1" applyFont="1" applyAlignment="1"/>
    <xf numFmtId="0" fontId="0" fillId="38" borderId="0" xfId="0" applyFill="1" applyBorder="1" applyAlignment="1">
      <alignment horizontal="center"/>
    </xf>
    <xf numFmtId="0" fontId="0" fillId="38" borderId="14" xfId="0" applyFill="1" applyBorder="1" applyAlignment="1">
      <alignment horizontal="center"/>
    </xf>
    <xf numFmtId="0" fontId="31" fillId="0" borderId="0" xfId="0" applyFont="1" applyAlignment="1">
      <alignment horizontal="right"/>
    </xf>
    <xf numFmtId="9" fontId="31" fillId="0" borderId="0" xfId="42" applyNumberFormat="1" applyFont="1"/>
    <xf numFmtId="14" fontId="51" fillId="37" borderId="0" xfId="0" quotePrefix="1" applyNumberFormat="1" applyFont="1" applyFill="1" applyBorder="1" applyAlignment="1">
      <alignment vertical="top"/>
    </xf>
    <xf numFmtId="0" fontId="0" fillId="38" borderId="0" xfId="0" applyFill="1" applyAlignment="1">
      <alignment horizontal="center"/>
    </xf>
    <xf numFmtId="0" fontId="0" fillId="40" borderId="0" xfId="0" applyFill="1" applyAlignment="1">
      <alignment horizontal="center" vertical="center"/>
    </xf>
    <xf numFmtId="1" fontId="33" fillId="0" borderId="0" xfId="0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19781373164613E-2"/>
          <c:y val="0.17171296296296296"/>
          <c:w val="0.61188768976339114"/>
          <c:h val="0.685032596731860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3038969621105737"/>
                  <c:y val="1.39889933113199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req.'!$G$4:$G$7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0-45F1-B70E-5AEC6CBEF5AB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3405773786383652"/>
                  <c:y val="-3.152992972652611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req.'!$H$4:$H$7</c:f>
              <c:numCache>
                <c:formatCode>General</c:formatCode>
                <c:ptCount val="4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0-45F1-B70E-5AEC6CBEF5AB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4139382116939478"/>
                  <c:y val="-3.970874608415883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req.'!$I$4:$I$7</c:f>
              <c:numCache>
                <c:formatCode>General</c:formatCode>
                <c:ptCount val="4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A0-45F1-B70E-5AEC6CBEF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517856"/>
        <c:axId val="1921506624"/>
      </c:scatterChart>
      <c:valAx>
        <c:axId val="1921517856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06624"/>
        <c:crosses val="autoZero"/>
        <c:crossBetween val="midCat"/>
      </c:valAx>
      <c:valAx>
        <c:axId val="19215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1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14E-2"/>
          <c:y val="9.6588521860949419E-2"/>
          <c:w val="0.63355796150481181"/>
          <c:h val="0.6948870786402807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81955380577429"/>
                  <c:y val="6.538633890275910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req.'!$S$7:$V$7</c:f>
              <c:numCache>
                <c:formatCode>0.0</c:formatCode>
                <c:ptCount val="4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1-4970-95C0-511D4F533E1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237510936132982"/>
                  <c:y val="-1.0777030919915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req.'!$S$8:$V$8</c:f>
              <c:numCache>
                <c:formatCode>0.0</c:formatCode>
                <c:ptCount val="4"/>
                <c:pt idx="0">
                  <c:v>7</c:v>
                </c:pt>
                <c:pt idx="1">
                  <c:v>9.5</c:v>
                </c:pt>
                <c:pt idx="2">
                  <c:v>12.5</c:v>
                </c:pt>
                <c:pt idx="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41-4970-95C0-511D4F533E1F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81955380577429"/>
                  <c:y val="-9.60117790154279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req.'!$S$9:$V$9</c:f>
              <c:numCache>
                <c:formatCode>0.0</c:formatCode>
                <c:ptCount val="4"/>
                <c:pt idx="0">
                  <c:v>8.5</c:v>
                </c:pt>
                <c:pt idx="1">
                  <c:v>11</c:v>
                </c:pt>
                <c:pt idx="2">
                  <c:v>14</c:v>
                </c:pt>
                <c:pt idx="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41-4970-95C0-511D4F533E1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81955380577429"/>
                  <c:y val="-1.1677101337942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req.'!$S$10:$V$10</c:f>
              <c:numCache>
                <c:formatCode>0.0</c:formatCode>
                <c:ptCount val="4"/>
                <c:pt idx="0">
                  <c:v>10</c:v>
                </c:pt>
                <c:pt idx="1">
                  <c:v>12.5</c:v>
                </c:pt>
                <c:pt idx="2">
                  <c:v>15.5</c:v>
                </c:pt>
                <c:pt idx="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41-4970-95C0-511D4F533E1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06933508311461"/>
                  <c:y val="3.707829204276294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req.'!$S$11:$V$11</c:f>
              <c:numCache>
                <c:formatCode>0.0</c:formatCode>
                <c:ptCount val="4"/>
                <c:pt idx="0">
                  <c:v>11.5</c:v>
                </c:pt>
                <c:pt idx="1">
                  <c:v>14</c:v>
                </c:pt>
                <c:pt idx="2">
                  <c:v>17.5</c:v>
                </c:pt>
                <c:pt idx="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41-4970-95C0-511D4F533E1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504177602799651"/>
                  <c:y val="-9.28519300941040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req.'!$S$12:$V$12</c:f>
              <c:numCache>
                <c:formatCode>0.0</c:formatCode>
                <c:ptCount val="4"/>
                <c:pt idx="0">
                  <c:v>13</c:v>
                </c:pt>
                <c:pt idx="1">
                  <c:v>16</c:v>
                </c:pt>
                <c:pt idx="2">
                  <c:v>19.5</c:v>
                </c:pt>
                <c:pt idx="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41-4970-95C0-511D4F533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021168"/>
        <c:axId val="1459019920"/>
      </c:scatterChart>
      <c:valAx>
        <c:axId val="145902116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19920"/>
        <c:crosses val="autoZero"/>
        <c:crossBetween val="midCat"/>
      </c:valAx>
      <c:valAx>
        <c:axId val="145901992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2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LW!$C$26:$C$49</c:f>
              <c:numCache>
                <c:formatCode>General</c:formatCode>
                <c:ptCount val="24"/>
                <c:pt idx="0">
                  <c:v>1.3398809523809554</c:v>
                </c:pt>
                <c:pt idx="1">
                  <c:v>0.65059523809524045</c:v>
                </c:pt>
                <c:pt idx="2">
                  <c:v>0.4613095238095255</c:v>
                </c:pt>
                <c:pt idx="3">
                  <c:v>0.27202380952381056</c:v>
                </c:pt>
                <c:pt idx="4">
                  <c:v>8.273809523809561E-2</c:v>
                </c:pt>
                <c:pt idx="5">
                  <c:v>-0.10654761904761934</c:v>
                </c:pt>
                <c:pt idx="6">
                  <c:v>7.0833333333335524E-2</c:v>
                </c:pt>
                <c:pt idx="7">
                  <c:v>-0.11845238095238031</c:v>
                </c:pt>
                <c:pt idx="8">
                  <c:v>-0.30773809523809348</c:v>
                </c:pt>
                <c:pt idx="9">
                  <c:v>-0.4970238095238102</c:v>
                </c:pt>
                <c:pt idx="10">
                  <c:v>-0.68630952380952337</c:v>
                </c:pt>
                <c:pt idx="11">
                  <c:v>-0.37559523809524009</c:v>
                </c:pt>
                <c:pt idx="12">
                  <c:v>-0.19821428571428434</c:v>
                </c:pt>
                <c:pt idx="13">
                  <c:v>-0.38749999999999929</c:v>
                </c:pt>
                <c:pt idx="14">
                  <c:v>-0.57678571428571423</c:v>
                </c:pt>
                <c:pt idx="15">
                  <c:v>-0.76607142857142918</c:v>
                </c:pt>
                <c:pt idx="16">
                  <c:v>-0.4553571428571459</c:v>
                </c:pt>
                <c:pt idx="17">
                  <c:v>-0.14464285714285907</c:v>
                </c:pt>
                <c:pt idx="18">
                  <c:v>-0.23630952380952408</c:v>
                </c:pt>
                <c:pt idx="19">
                  <c:v>-0.4255952380952408</c:v>
                </c:pt>
                <c:pt idx="20">
                  <c:v>-0.11488095238095397</c:v>
                </c:pt>
                <c:pt idx="21">
                  <c:v>0.19583333333333286</c:v>
                </c:pt>
                <c:pt idx="22">
                  <c:v>0.50654761904761614</c:v>
                </c:pt>
                <c:pt idx="23">
                  <c:v>1.8172619047618994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6D-4A1B-BAA4-1A37D9139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80608"/>
        <c:axId val="1321571456"/>
      </c:scatterChart>
      <c:valAx>
        <c:axId val="132158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71456"/>
        <c:crosses val="autoZero"/>
        <c:crossBetween val="midCat"/>
      </c:valAx>
      <c:valAx>
        <c:axId val="1321571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80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LW!$C$26:$C$49</c:f>
              <c:numCache>
                <c:formatCode>General</c:formatCode>
                <c:ptCount val="24"/>
                <c:pt idx="0">
                  <c:v>1.3398809523809554</c:v>
                </c:pt>
                <c:pt idx="1">
                  <c:v>0.65059523809524045</c:v>
                </c:pt>
                <c:pt idx="2">
                  <c:v>0.4613095238095255</c:v>
                </c:pt>
                <c:pt idx="3">
                  <c:v>0.27202380952381056</c:v>
                </c:pt>
                <c:pt idx="4">
                  <c:v>8.273809523809561E-2</c:v>
                </c:pt>
                <c:pt idx="5">
                  <c:v>-0.10654761904761934</c:v>
                </c:pt>
                <c:pt idx="6">
                  <c:v>7.0833333333335524E-2</c:v>
                </c:pt>
                <c:pt idx="7">
                  <c:v>-0.11845238095238031</c:v>
                </c:pt>
                <c:pt idx="8">
                  <c:v>-0.30773809523809348</c:v>
                </c:pt>
                <c:pt idx="9">
                  <c:v>-0.4970238095238102</c:v>
                </c:pt>
                <c:pt idx="10">
                  <c:v>-0.68630952380952337</c:v>
                </c:pt>
                <c:pt idx="11">
                  <c:v>-0.37559523809524009</c:v>
                </c:pt>
                <c:pt idx="12">
                  <c:v>-0.19821428571428434</c:v>
                </c:pt>
                <c:pt idx="13">
                  <c:v>-0.38749999999999929</c:v>
                </c:pt>
                <c:pt idx="14">
                  <c:v>-0.57678571428571423</c:v>
                </c:pt>
                <c:pt idx="15">
                  <c:v>-0.76607142857142918</c:v>
                </c:pt>
                <c:pt idx="16">
                  <c:v>-0.4553571428571459</c:v>
                </c:pt>
                <c:pt idx="17">
                  <c:v>-0.14464285714285907</c:v>
                </c:pt>
                <c:pt idx="18">
                  <c:v>-0.23630952380952408</c:v>
                </c:pt>
                <c:pt idx="19">
                  <c:v>-0.4255952380952408</c:v>
                </c:pt>
                <c:pt idx="20">
                  <c:v>-0.11488095238095397</c:v>
                </c:pt>
                <c:pt idx="21">
                  <c:v>0.19583333333333286</c:v>
                </c:pt>
                <c:pt idx="22">
                  <c:v>0.50654761904761614</c:v>
                </c:pt>
                <c:pt idx="23">
                  <c:v>1.8172619047618994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C8-437D-A4EE-4D6442F9C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5200"/>
        <c:axId val="1321580608"/>
      </c:scatterChart>
      <c:valAx>
        <c:axId val="132157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0608"/>
        <c:crosses val="autoZero"/>
        <c:crossBetween val="midCat"/>
      </c:valAx>
      <c:valAx>
        <c:axId val="1321580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75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25-4A96-9E0D-B541FF413318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LW!$B$26:$B$49</c:f>
              <c:numCache>
                <c:formatCode>General</c:formatCode>
                <c:ptCount val="24"/>
                <c:pt idx="0">
                  <c:v>4.6601190476190446</c:v>
                </c:pt>
                <c:pt idx="1">
                  <c:v>6.3494047619047596</c:v>
                </c:pt>
                <c:pt idx="2">
                  <c:v>8.0386904761904745</c:v>
                </c:pt>
                <c:pt idx="3">
                  <c:v>9.7279761904761894</c:v>
                </c:pt>
                <c:pt idx="4">
                  <c:v>11.417261904761904</c:v>
                </c:pt>
                <c:pt idx="5">
                  <c:v>13.106547619047619</c:v>
                </c:pt>
                <c:pt idx="6">
                  <c:v>7.9291666666666645</c:v>
                </c:pt>
                <c:pt idx="7">
                  <c:v>9.6184523809523803</c:v>
                </c:pt>
                <c:pt idx="8">
                  <c:v>11.307738095238093</c:v>
                </c:pt>
                <c:pt idx="9">
                  <c:v>12.99702380952381</c:v>
                </c:pt>
                <c:pt idx="10">
                  <c:v>14.686309523809523</c:v>
                </c:pt>
                <c:pt idx="11">
                  <c:v>16.37559523809524</c:v>
                </c:pt>
                <c:pt idx="12">
                  <c:v>11.198214285714284</c:v>
                </c:pt>
                <c:pt idx="13">
                  <c:v>12.887499999999999</c:v>
                </c:pt>
                <c:pt idx="14">
                  <c:v>14.576785714285714</c:v>
                </c:pt>
                <c:pt idx="15">
                  <c:v>16.266071428571429</c:v>
                </c:pt>
                <c:pt idx="16">
                  <c:v>17.955357142857146</c:v>
                </c:pt>
                <c:pt idx="17">
                  <c:v>19.644642857142859</c:v>
                </c:pt>
                <c:pt idx="18">
                  <c:v>17.736309523809524</c:v>
                </c:pt>
                <c:pt idx="19">
                  <c:v>19.425595238095241</c:v>
                </c:pt>
                <c:pt idx="20">
                  <c:v>21.114880952380954</c:v>
                </c:pt>
                <c:pt idx="21">
                  <c:v>22.804166666666667</c:v>
                </c:pt>
                <c:pt idx="22">
                  <c:v>24.493452380952384</c:v>
                </c:pt>
                <c:pt idx="23">
                  <c:v>26.182738095238101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25-4A96-9E0D-B541FF41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5616"/>
        <c:axId val="1321569376"/>
      </c:scatterChart>
      <c:valAx>
        <c:axId val="132157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69376"/>
        <c:crosses val="autoZero"/>
        <c:crossBetween val="midCat"/>
      </c:valAx>
      <c:valAx>
        <c:axId val="1321569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5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2A-4C3A-85BC-E28718D15BDA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LW!$B$26:$B$49</c:f>
              <c:numCache>
                <c:formatCode>General</c:formatCode>
                <c:ptCount val="24"/>
                <c:pt idx="0">
                  <c:v>4.6601190476190446</c:v>
                </c:pt>
                <c:pt idx="1">
                  <c:v>6.3494047619047596</c:v>
                </c:pt>
                <c:pt idx="2">
                  <c:v>8.0386904761904745</c:v>
                </c:pt>
                <c:pt idx="3">
                  <c:v>9.7279761904761894</c:v>
                </c:pt>
                <c:pt idx="4">
                  <c:v>11.417261904761904</c:v>
                </c:pt>
                <c:pt idx="5">
                  <c:v>13.106547619047619</c:v>
                </c:pt>
                <c:pt idx="6">
                  <c:v>7.9291666666666645</c:v>
                </c:pt>
                <c:pt idx="7">
                  <c:v>9.6184523809523803</c:v>
                </c:pt>
                <c:pt idx="8">
                  <c:v>11.307738095238093</c:v>
                </c:pt>
                <c:pt idx="9">
                  <c:v>12.99702380952381</c:v>
                </c:pt>
                <c:pt idx="10">
                  <c:v>14.686309523809523</c:v>
                </c:pt>
                <c:pt idx="11">
                  <c:v>16.37559523809524</c:v>
                </c:pt>
                <c:pt idx="12">
                  <c:v>11.198214285714284</c:v>
                </c:pt>
                <c:pt idx="13">
                  <c:v>12.887499999999999</c:v>
                </c:pt>
                <c:pt idx="14">
                  <c:v>14.576785714285714</c:v>
                </c:pt>
                <c:pt idx="15">
                  <c:v>16.266071428571429</c:v>
                </c:pt>
                <c:pt idx="16">
                  <c:v>17.955357142857146</c:v>
                </c:pt>
                <c:pt idx="17">
                  <c:v>19.644642857142859</c:v>
                </c:pt>
                <c:pt idx="18">
                  <c:v>17.736309523809524</c:v>
                </c:pt>
                <c:pt idx="19">
                  <c:v>19.425595238095241</c:v>
                </c:pt>
                <c:pt idx="20">
                  <c:v>21.114880952380954</c:v>
                </c:pt>
                <c:pt idx="21">
                  <c:v>22.804166666666667</c:v>
                </c:pt>
                <c:pt idx="22">
                  <c:v>24.493452380952384</c:v>
                </c:pt>
                <c:pt idx="23">
                  <c:v>26.182738095238101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2A-4C3A-85BC-E28718D1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5200"/>
        <c:axId val="1321575616"/>
      </c:scatterChart>
      <c:valAx>
        <c:axId val="132157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75616"/>
        <c:crosses val="autoZero"/>
        <c:crossBetween val="midCat"/>
      </c:valAx>
      <c:valAx>
        <c:axId val="1321575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5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'LW int=0'!$C$26:$C$49</c:f>
              <c:numCache>
                <c:formatCode>General</c:formatCode>
                <c:ptCount val="24"/>
                <c:pt idx="0">
                  <c:v>1.1127516778523487</c:v>
                </c:pt>
                <c:pt idx="1">
                  <c:v>0.48366890380313166</c:v>
                </c:pt>
                <c:pt idx="2">
                  <c:v>0.35458612975391546</c:v>
                </c:pt>
                <c:pt idx="3">
                  <c:v>0.22550335570469748</c:v>
                </c:pt>
                <c:pt idx="4">
                  <c:v>9.6420581655481286E-2</c:v>
                </c:pt>
                <c:pt idx="5">
                  <c:v>-3.2662192393736689E-2</c:v>
                </c:pt>
                <c:pt idx="6">
                  <c:v>-0.13075529988281787</c:v>
                </c:pt>
                <c:pt idx="7">
                  <c:v>-0.25983807393203584</c:v>
                </c:pt>
                <c:pt idx="8">
                  <c:v>-0.38892084798125204</c:v>
                </c:pt>
                <c:pt idx="9">
                  <c:v>-0.51800362203047001</c:v>
                </c:pt>
                <c:pt idx="10">
                  <c:v>-0.64708639607968621</c:v>
                </c:pt>
                <c:pt idx="11">
                  <c:v>-0.27616917012890241</c:v>
                </c:pt>
                <c:pt idx="12">
                  <c:v>-0.37426227761798536</c:v>
                </c:pt>
                <c:pt idx="13">
                  <c:v>-0.50334505166720334</c:v>
                </c:pt>
                <c:pt idx="14">
                  <c:v>-0.63242782571641953</c:v>
                </c:pt>
                <c:pt idx="15">
                  <c:v>-0.76151059976563573</c:v>
                </c:pt>
                <c:pt idx="16">
                  <c:v>-0.39059337381485193</c:v>
                </c:pt>
                <c:pt idx="17">
                  <c:v>-1.967614786407168E-2</c:v>
                </c:pt>
                <c:pt idx="18">
                  <c:v>-0.36127623308831858</c:v>
                </c:pt>
                <c:pt idx="19">
                  <c:v>-0.49035900713753477</c:v>
                </c:pt>
                <c:pt idx="20">
                  <c:v>-0.11944178118675097</c:v>
                </c:pt>
                <c:pt idx="21">
                  <c:v>0.25147544476402928</c:v>
                </c:pt>
                <c:pt idx="22">
                  <c:v>0.62239267071481308</c:v>
                </c:pt>
                <c:pt idx="23">
                  <c:v>1.9933098966655933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52-432D-86D8-2F816B65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0208"/>
        <c:axId val="1321580192"/>
      </c:scatterChart>
      <c:valAx>
        <c:axId val="132157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0192"/>
        <c:crosses val="autoZero"/>
        <c:crossBetween val="midCat"/>
      </c:valAx>
      <c:valAx>
        <c:axId val="1321580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70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'LW int=0'!$C$26:$C$49</c:f>
              <c:numCache>
                <c:formatCode>General</c:formatCode>
                <c:ptCount val="24"/>
                <c:pt idx="0">
                  <c:v>1.1127516778523487</c:v>
                </c:pt>
                <c:pt idx="1">
                  <c:v>0.48366890380313166</c:v>
                </c:pt>
                <c:pt idx="2">
                  <c:v>0.35458612975391546</c:v>
                </c:pt>
                <c:pt idx="3">
                  <c:v>0.22550335570469748</c:v>
                </c:pt>
                <c:pt idx="4">
                  <c:v>9.6420581655481286E-2</c:v>
                </c:pt>
                <c:pt idx="5">
                  <c:v>-3.2662192393736689E-2</c:v>
                </c:pt>
                <c:pt idx="6">
                  <c:v>-0.13075529988281787</c:v>
                </c:pt>
                <c:pt idx="7">
                  <c:v>-0.25983807393203584</c:v>
                </c:pt>
                <c:pt idx="8">
                  <c:v>-0.38892084798125204</c:v>
                </c:pt>
                <c:pt idx="9">
                  <c:v>-0.51800362203047001</c:v>
                </c:pt>
                <c:pt idx="10">
                  <c:v>-0.64708639607968621</c:v>
                </c:pt>
                <c:pt idx="11">
                  <c:v>-0.27616917012890241</c:v>
                </c:pt>
                <c:pt idx="12">
                  <c:v>-0.37426227761798536</c:v>
                </c:pt>
                <c:pt idx="13">
                  <c:v>-0.50334505166720334</c:v>
                </c:pt>
                <c:pt idx="14">
                  <c:v>-0.63242782571641953</c:v>
                </c:pt>
                <c:pt idx="15">
                  <c:v>-0.76151059976563573</c:v>
                </c:pt>
                <c:pt idx="16">
                  <c:v>-0.39059337381485193</c:v>
                </c:pt>
                <c:pt idx="17">
                  <c:v>-1.967614786407168E-2</c:v>
                </c:pt>
                <c:pt idx="18">
                  <c:v>-0.36127623308831858</c:v>
                </c:pt>
                <c:pt idx="19">
                  <c:v>-0.49035900713753477</c:v>
                </c:pt>
                <c:pt idx="20">
                  <c:v>-0.11944178118675097</c:v>
                </c:pt>
                <c:pt idx="21">
                  <c:v>0.25147544476402928</c:v>
                </c:pt>
                <c:pt idx="22">
                  <c:v>0.62239267071481308</c:v>
                </c:pt>
                <c:pt idx="23">
                  <c:v>1.9933098966655933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4C-465E-9F4A-42755914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3536"/>
        <c:axId val="1321582272"/>
      </c:scatterChart>
      <c:valAx>
        <c:axId val="132157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2272"/>
        <c:crosses val="autoZero"/>
        <c:crossBetween val="midCat"/>
      </c:valAx>
      <c:valAx>
        <c:axId val="132158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73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84-4334-B545-349ED0A6D0D4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'LW int=0'!$B$26:$B$49</c:f>
              <c:numCache>
                <c:formatCode>General</c:formatCode>
                <c:ptCount val="24"/>
                <c:pt idx="0">
                  <c:v>4.8872483221476513</c:v>
                </c:pt>
                <c:pt idx="1">
                  <c:v>6.5163310961968683</c:v>
                </c:pt>
                <c:pt idx="2">
                  <c:v>8.1454138702460845</c:v>
                </c:pt>
                <c:pt idx="3">
                  <c:v>9.7744966442953025</c:v>
                </c:pt>
                <c:pt idx="4">
                  <c:v>11.403579418344519</c:v>
                </c:pt>
                <c:pt idx="5">
                  <c:v>13.032662192393737</c:v>
                </c:pt>
                <c:pt idx="6">
                  <c:v>8.1307552998828179</c:v>
                </c:pt>
                <c:pt idx="7">
                  <c:v>9.7598380739320358</c:v>
                </c:pt>
                <c:pt idx="8">
                  <c:v>11.388920847981252</c:v>
                </c:pt>
                <c:pt idx="9">
                  <c:v>13.01800362203047</c:v>
                </c:pt>
                <c:pt idx="10">
                  <c:v>14.647086396079686</c:v>
                </c:pt>
                <c:pt idx="11">
                  <c:v>16.276169170128902</c:v>
                </c:pt>
                <c:pt idx="12">
                  <c:v>11.374262277617985</c:v>
                </c:pt>
                <c:pt idx="13">
                  <c:v>13.003345051667203</c:v>
                </c:pt>
                <c:pt idx="14">
                  <c:v>14.63242782571642</c:v>
                </c:pt>
                <c:pt idx="15">
                  <c:v>16.261510599765636</c:v>
                </c:pt>
                <c:pt idx="16">
                  <c:v>17.890593373814852</c:v>
                </c:pt>
                <c:pt idx="17">
                  <c:v>19.519676147864072</c:v>
                </c:pt>
                <c:pt idx="18">
                  <c:v>17.861276233088319</c:v>
                </c:pt>
                <c:pt idx="19">
                  <c:v>19.490359007137535</c:v>
                </c:pt>
                <c:pt idx="20">
                  <c:v>21.119441781186751</c:v>
                </c:pt>
                <c:pt idx="21">
                  <c:v>22.748524555235971</c:v>
                </c:pt>
                <c:pt idx="22">
                  <c:v>24.377607329285187</c:v>
                </c:pt>
                <c:pt idx="23">
                  <c:v>26.006690103334407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84-4334-B545-349ED0A6D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2288"/>
        <c:axId val="1321571040"/>
      </c:scatterChart>
      <c:valAx>
        <c:axId val="132157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71040"/>
        <c:crosses val="autoZero"/>
        <c:crossBetween val="midCat"/>
      </c:valAx>
      <c:valAx>
        <c:axId val="132157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22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68-4771-9F15-DB50A9228805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'LW int=0'!$B$26:$B$49</c:f>
              <c:numCache>
                <c:formatCode>General</c:formatCode>
                <c:ptCount val="24"/>
                <c:pt idx="0">
                  <c:v>4.8872483221476513</c:v>
                </c:pt>
                <c:pt idx="1">
                  <c:v>6.5163310961968683</c:v>
                </c:pt>
                <c:pt idx="2">
                  <c:v>8.1454138702460845</c:v>
                </c:pt>
                <c:pt idx="3">
                  <c:v>9.7744966442953025</c:v>
                </c:pt>
                <c:pt idx="4">
                  <c:v>11.403579418344519</c:v>
                </c:pt>
                <c:pt idx="5">
                  <c:v>13.032662192393737</c:v>
                </c:pt>
                <c:pt idx="6">
                  <c:v>8.1307552998828179</c:v>
                </c:pt>
                <c:pt idx="7">
                  <c:v>9.7598380739320358</c:v>
                </c:pt>
                <c:pt idx="8">
                  <c:v>11.388920847981252</c:v>
                </c:pt>
                <c:pt idx="9">
                  <c:v>13.01800362203047</c:v>
                </c:pt>
                <c:pt idx="10">
                  <c:v>14.647086396079686</c:v>
                </c:pt>
                <c:pt idx="11">
                  <c:v>16.276169170128902</c:v>
                </c:pt>
                <c:pt idx="12">
                  <c:v>11.374262277617985</c:v>
                </c:pt>
                <c:pt idx="13">
                  <c:v>13.003345051667203</c:v>
                </c:pt>
                <c:pt idx="14">
                  <c:v>14.63242782571642</c:v>
                </c:pt>
                <c:pt idx="15">
                  <c:v>16.261510599765636</c:v>
                </c:pt>
                <c:pt idx="16">
                  <c:v>17.890593373814852</c:v>
                </c:pt>
                <c:pt idx="17">
                  <c:v>19.519676147864072</c:v>
                </c:pt>
                <c:pt idx="18">
                  <c:v>17.861276233088319</c:v>
                </c:pt>
                <c:pt idx="19">
                  <c:v>19.490359007137535</c:v>
                </c:pt>
                <c:pt idx="20">
                  <c:v>21.119441781186751</c:v>
                </c:pt>
                <c:pt idx="21">
                  <c:v>22.748524555235971</c:v>
                </c:pt>
                <c:pt idx="22">
                  <c:v>24.377607329285187</c:v>
                </c:pt>
                <c:pt idx="23">
                  <c:v>26.006690103334407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68-4771-9F15-DB50A922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7696"/>
        <c:axId val="1321581024"/>
      </c:scatterChart>
      <c:valAx>
        <c:axId val="132157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1024"/>
        <c:crosses val="autoZero"/>
        <c:crossBetween val="midCat"/>
      </c:valAx>
      <c:valAx>
        <c:axId val="1321581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76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119062</xdr:colOff>
      <xdr:row>51</xdr:row>
      <xdr:rowOff>130969</xdr:rowOff>
    </xdr:from>
    <xdr:to>
      <xdr:col>25</xdr:col>
      <xdr:colOff>523875</xdr:colOff>
      <xdr:row>52</xdr:row>
      <xdr:rowOff>11906</xdr:rowOff>
    </xdr:to>
    <xdr:cxnSp macro="">
      <xdr:nvCxnSpPr>
        <xdr:cNvPr id="2" name="Straight Arrow Connector 1"/>
        <xdr:cNvCxnSpPr/>
      </xdr:nvCxnSpPr>
      <xdr:spPr>
        <a:xfrm flipH="1">
          <a:off x="10815637" y="9274969"/>
          <a:ext cx="3224213" cy="71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130969</xdr:colOff>
      <xdr:row>49</xdr:row>
      <xdr:rowOff>71437</xdr:rowOff>
    </xdr:from>
    <xdr:to>
      <xdr:col>29</xdr:col>
      <xdr:colOff>333374</xdr:colOff>
      <xdr:row>50</xdr:row>
      <xdr:rowOff>166687</xdr:rowOff>
    </xdr:to>
    <xdr:cxnSp macro="">
      <xdr:nvCxnSpPr>
        <xdr:cNvPr id="3" name="Straight Arrow Connector 2"/>
        <xdr:cNvCxnSpPr/>
      </xdr:nvCxnSpPr>
      <xdr:spPr>
        <a:xfrm flipV="1">
          <a:off x="15913894" y="8834437"/>
          <a:ext cx="202405" cy="285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9</xdr:col>
      <xdr:colOff>447675</xdr:colOff>
      <xdr:row>49</xdr:row>
      <xdr:rowOff>180975</xdr:rowOff>
    </xdr:to>
    <xdr:cxnSp macro="">
      <xdr:nvCxnSpPr>
        <xdr:cNvPr id="3" name="Straight Connector 2"/>
        <xdr:cNvCxnSpPr/>
      </xdr:nvCxnSpPr>
      <xdr:spPr>
        <a:xfrm>
          <a:off x="609600" y="4810125"/>
          <a:ext cx="5553075" cy="475297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180975</xdr:rowOff>
    </xdr:from>
    <xdr:to>
      <xdr:col>9</xdr:col>
      <xdr:colOff>457200</xdr:colOff>
      <xdr:row>49</xdr:row>
      <xdr:rowOff>171450</xdr:rowOff>
    </xdr:to>
    <xdr:cxnSp macro="">
      <xdr:nvCxnSpPr>
        <xdr:cNvPr id="4" name="Straight Connector 3"/>
        <xdr:cNvCxnSpPr/>
      </xdr:nvCxnSpPr>
      <xdr:spPr>
        <a:xfrm flipV="1">
          <a:off x="619125" y="4800600"/>
          <a:ext cx="5553075" cy="475297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8</xdr:row>
      <xdr:rowOff>57150</xdr:rowOff>
    </xdr:from>
    <xdr:to>
      <xdr:col>11</xdr:col>
      <xdr:colOff>171450</xdr:colOff>
      <xdr:row>23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600075</xdr:colOff>
      <xdr:row>32</xdr:row>
      <xdr:rowOff>171450</xdr:rowOff>
    </xdr:from>
    <xdr:to>
      <xdr:col>23</xdr:col>
      <xdr:colOff>485775</xdr:colOff>
      <xdr:row>53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an Karlsson" refreshedDate="45616.835938310185" createdVersion="6" refreshedVersion="6" minRefreshableVersion="3" recordCount="240">
  <cacheSource type="worksheet">
    <worksheetSource ref="A1:J241" sheet="G&amp;D slakt (ny)"/>
  </cacheSource>
  <cacheFields count="12">
    <cacheField name="Djur" numFmtId="0">
      <sharedItems count="8">
        <s v="ko"/>
        <s v="kviga"/>
        <s v="ungko"/>
        <s v="stut"/>
        <s v="ungtjur"/>
        <s v="yngre tjur"/>
        <s v="tjur"/>
        <s v="mellankalv"/>
      </sharedItems>
      <fieldGroup par="11"/>
    </cacheField>
    <cacheField name="Ras" numFmtId="0">
      <sharedItems count="10">
        <s v="01 SRB"/>
        <s v="02 SLB"/>
        <s v="08 Hereford"/>
        <s v="09 Charolais"/>
        <s v="11 Aberdeen Angus"/>
        <s v="12 Limousin"/>
        <s v="14 Simmental"/>
        <s v="16 Highland Cattle"/>
        <s v="18 Blonde D´Aquitaine"/>
        <s v="99 Korsning/övriga raser"/>
      </sharedItems>
      <fieldGroup par="10"/>
    </cacheField>
    <cacheField name="År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Antal djur" numFmtId="0">
      <sharedItems containsString="0" containsBlank="1" containsNumber="1" containsInteger="1" minValue="12" maxValue="52859"/>
    </cacheField>
    <cacheField name="Slaktvikt (kg)" numFmtId="0">
      <sharedItems containsString="0" containsBlank="1" containsNumber="1" minValue="95.3" maxValue="613.6"/>
    </cacheField>
    <cacheField name="Fettgrupp" numFmtId="0">
      <sharedItems containsString="0" containsBlank="1" containsNumber="1" minValue="3.7" maxValue="10.1"/>
    </cacheField>
    <cacheField name="Formklass" numFmtId="0">
      <sharedItems containsString="0" containsBlank="1" containsNumber="1" minValue="3.3" maxValue="10.8"/>
    </cacheField>
    <cacheField name="Ålder (månader)" numFmtId="0">
      <sharedItems containsString="0" containsBlank="1" containsNumber="1" minValue="7.8" maxValue="107.8"/>
    </cacheField>
    <cacheField name="Slaktvikt*Antal" numFmtId="0">
      <sharedItems containsString="0" containsBlank="1" containsNumber="1" minValue="3492" maxValue="18791374.5"/>
    </cacheField>
    <cacheField name="Ålder*Antal" numFmtId="0">
      <sharedItems containsString="0" containsBlank="1" containsNumber="1" minValue="140.4" maxValue="2863036.8000000003"/>
    </cacheField>
    <cacheField name="Ras2" numFmtId="0" databaseField="0">
      <fieldGroup base="1">
        <discretePr count="10">
          <x v="1"/>
          <x v="1"/>
          <x v="2"/>
          <x v="2"/>
          <x v="2"/>
          <x v="2"/>
          <x v="2"/>
          <x v="2"/>
          <x v="2"/>
          <x v="0"/>
        </discretePr>
        <groupItems count="3">
          <s v="99 Korsning/övriga raser"/>
          <s v="Group1"/>
          <s v="Group2"/>
        </groupItems>
      </fieldGroup>
    </cacheField>
    <cacheField name="Djur2" numFmtId="0" databaseField="0">
      <fieldGroup base="0">
        <discretePr count="8">
          <x v="3"/>
          <x v="0"/>
          <x v="3"/>
          <x v="1"/>
          <x v="4"/>
          <x v="4"/>
          <x v="5"/>
          <x v="2"/>
        </discretePr>
        <groupItems count="6">
          <s v="kviga"/>
          <s v="stut"/>
          <s v="mellankalv"/>
          <s v="Group1"/>
          <s v="Group2"/>
          <s v="tjur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">
  <r>
    <x v="0"/>
    <x v="0"/>
    <x v="0"/>
    <n v="25859"/>
    <n v="310.39999999999998"/>
    <n v="7.6"/>
    <n v="4.0999999999999996"/>
    <n v="70.099999999999994"/>
    <n v="8026633.5999999996"/>
    <n v="1812715.9"/>
  </r>
  <r>
    <x v="0"/>
    <x v="1"/>
    <x v="0"/>
    <n v="40784"/>
    <n v="321.39999999999998"/>
    <n v="7.1"/>
    <n v="3.5"/>
    <n v="70.2"/>
    <n v="13107977.6"/>
    <n v="2863036.8000000003"/>
  </r>
  <r>
    <x v="0"/>
    <x v="2"/>
    <x v="0"/>
    <n v="4427"/>
    <n v="348.6"/>
    <n v="9.9"/>
    <n v="5.8"/>
    <n v="91.1"/>
    <n v="1543252.2000000002"/>
    <n v="403299.69999999995"/>
  </r>
  <r>
    <x v="0"/>
    <x v="3"/>
    <x v="0"/>
    <n v="3426"/>
    <n v="387.3"/>
    <n v="8.1"/>
    <n v="6.9"/>
    <n v="94.6"/>
    <n v="1326889.8"/>
    <n v="324099.59999999998"/>
  </r>
  <r>
    <x v="0"/>
    <x v="4"/>
    <x v="0"/>
    <n v="1352"/>
    <n v="348.2"/>
    <n v="10.1"/>
    <n v="6.1"/>
    <n v="87.3"/>
    <n v="470766.39999999997"/>
    <n v="118029.59999999999"/>
  </r>
  <r>
    <x v="0"/>
    <x v="5"/>
    <x v="0"/>
    <n v="507"/>
    <n v="365.3"/>
    <n v="7.9"/>
    <n v="7.7"/>
    <n v="92.1"/>
    <n v="185207.1"/>
    <n v="46694.7"/>
  </r>
  <r>
    <x v="0"/>
    <x v="6"/>
    <x v="0"/>
    <n v="2584"/>
    <n v="359.2"/>
    <n v="7.5"/>
    <n v="6.3"/>
    <n v="87.9"/>
    <n v="928172.79999999993"/>
    <n v="227133.6"/>
  </r>
  <r>
    <x v="0"/>
    <x v="7"/>
    <x v="0"/>
    <n v="408"/>
    <n v="224.2"/>
    <n v="7.3"/>
    <n v="4.3"/>
    <n v="105.8"/>
    <n v="91473.599999999991"/>
    <n v="43166.400000000001"/>
  </r>
  <r>
    <x v="0"/>
    <x v="8"/>
    <x v="0"/>
    <n v="162"/>
    <n v="402.6"/>
    <n v="7.1"/>
    <n v="7.7"/>
    <n v="105.8"/>
    <n v="65221.200000000004"/>
    <n v="17139.599999999999"/>
  </r>
  <r>
    <x v="0"/>
    <x v="9"/>
    <x v="0"/>
    <n v="21397"/>
    <n v="338.8"/>
    <n v="8.1999999999999993"/>
    <n v="5.5"/>
    <n v="86.2"/>
    <n v="7249303.6000000006"/>
    <n v="1844421.4000000001"/>
  </r>
  <r>
    <x v="1"/>
    <x v="0"/>
    <x v="0"/>
    <n v="5421"/>
    <n v="297.5"/>
    <n v="8.3000000000000007"/>
    <n v="5.0999999999999996"/>
    <n v="33.799999999999997"/>
    <n v="1612747.5"/>
    <n v="183229.8"/>
  </r>
  <r>
    <x v="1"/>
    <x v="1"/>
    <x v="0"/>
    <n v="8276"/>
    <n v="299.8"/>
    <n v="8.1"/>
    <n v="4.4000000000000004"/>
    <n v="34.4"/>
    <n v="2481144.8000000003"/>
    <n v="284694.39999999997"/>
  </r>
  <r>
    <x v="1"/>
    <x v="2"/>
    <x v="0"/>
    <n v="5097"/>
    <n v="296.8"/>
    <n v="9.5"/>
    <n v="6.4"/>
    <n v="28.2"/>
    <n v="1512789.6"/>
    <n v="143735.4"/>
  </r>
  <r>
    <x v="1"/>
    <x v="3"/>
    <x v="0"/>
    <n v="4053"/>
    <n v="321.10000000000002"/>
    <n v="8.1"/>
    <n v="7.5"/>
    <n v="27.4"/>
    <n v="1301418.3"/>
    <n v="111052.2"/>
  </r>
  <r>
    <x v="1"/>
    <x v="4"/>
    <x v="0"/>
    <n v="1764"/>
    <n v="300.39999999999998"/>
    <n v="9.5"/>
    <n v="6.6"/>
    <n v="26.9"/>
    <n v="529905.6"/>
    <n v="47451.6"/>
  </r>
  <r>
    <x v="1"/>
    <x v="5"/>
    <x v="0"/>
    <n v="1106"/>
    <n v="317"/>
    <n v="8.3000000000000007"/>
    <n v="8.1"/>
    <n v="29.1"/>
    <n v="350602"/>
    <n v="32184.600000000002"/>
  </r>
  <r>
    <x v="1"/>
    <x v="6"/>
    <x v="0"/>
    <n v="3088"/>
    <n v="309.8"/>
    <n v="8.1"/>
    <n v="7"/>
    <n v="25.2"/>
    <n v="956662.4"/>
    <n v="77817.599999999991"/>
  </r>
  <r>
    <x v="1"/>
    <x v="7"/>
    <x v="0"/>
    <n v="221"/>
    <n v="175.3"/>
    <n v="6.3"/>
    <n v="4.3"/>
    <n v="37.5"/>
    <n v="38741.300000000003"/>
    <n v="8287.5"/>
  </r>
  <r>
    <x v="1"/>
    <x v="8"/>
    <x v="0"/>
    <n v="213"/>
    <n v="330.7"/>
    <n v="6.6"/>
    <n v="9.3000000000000007"/>
    <n v="22.7"/>
    <n v="70439.099999999991"/>
    <n v="4835.0999999999995"/>
  </r>
  <r>
    <x v="1"/>
    <x v="9"/>
    <x v="0"/>
    <n v="29484"/>
    <n v="307.5"/>
    <n v="8.8000000000000007"/>
    <n v="6.8"/>
    <n v="27.1"/>
    <n v="9066330"/>
    <n v="799016.4"/>
  </r>
  <r>
    <x v="2"/>
    <x v="0"/>
    <x v="0"/>
    <n v="8439"/>
    <n v="280.39999999999998"/>
    <n v="7.2"/>
    <n v="4"/>
    <n v="42"/>
    <n v="2366295.5999999996"/>
    <n v="354438"/>
  </r>
  <r>
    <x v="2"/>
    <x v="1"/>
    <x v="0"/>
    <n v="15178"/>
    <n v="292.3"/>
    <n v="6.8"/>
    <n v="3.4"/>
    <n v="43.4"/>
    <n v="4436529.4000000004"/>
    <n v="658725.19999999995"/>
  </r>
  <r>
    <x v="2"/>
    <x v="2"/>
    <x v="0"/>
    <n v="1454"/>
    <n v="310.5"/>
    <n v="9.1999999999999993"/>
    <n v="5.9"/>
    <n v="37.700000000000003"/>
    <n v="451467"/>
    <n v="54815.8"/>
  </r>
  <r>
    <x v="2"/>
    <x v="3"/>
    <x v="0"/>
    <n v="758"/>
    <n v="326.2"/>
    <n v="7"/>
    <n v="6.5"/>
    <n v="36.700000000000003"/>
    <n v="247259.6"/>
    <n v="27818.600000000002"/>
  </r>
  <r>
    <x v="2"/>
    <x v="4"/>
    <x v="0"/>
    <n v="403"/>
    <n v="304.7"/>
    <n v="9"/>
    <n v="5.8"/>
    <n v="38"/>
    <n v="122794.09999999999"/>
    <n v="15314"/>
  </r>
  <r>
    <x v="2"/>
    <x v="5"/>
    <x v="0"/>
    <n v="176"/>
    <n v="313.89999999999998"/>
    <n v="7.3"/>
    <n v="7.1"/>
    <n v="37.6"/>
    <n v="55246.399999999994"/>
    <n v="6617.6"/>
  </r>
  <r>
    <x v="2"/>
    <x v="6"/>
    <x v="0"/>
    <n v="861"/>
    <n v="314"/>
    <n v="7"/>
    <n v="5.9"/>
    <n v="38.5"/>
    <n v="270354"/>
    <n v="33148.5"/>
  </r>
  <r>
    <x v="2"/>
    <x v="7"/>
    <x v="0"/>
    <n v="41"/>
    <n v="195.2"/>
    <n v="6"/>
    <n v="3.8"/>
    <n v="42.1"/>
    <n v="8003.2"/>
    <n v="1726.1000000000001"/>
  </r>
  <r>
    <x v="2"/>
    <x v="8"/>
    <x v="0"/>
    <n v="12"/>
    <n v="291"/>
    <n v="5"/>
    <n v="5.9"/>
    <n v="35.6"/>
    <n v="3492"/>
    <n v="427.20000000000005"/>
  </r>
  <r>
    <x v="2"/>
    <x v="9"/>
    <x v="0"/>
    <n v="7190"/>
    <n v="301.2"/>
    <n v="7.6"/>
    <n v="5.4"/>
    <n v="37.700000000000003"/>
    <n v="2165628"/>
    <n v="271063"/>
  </r>
  <r>
    <x v="3"/>
    <x v="0"/>
    <x v="0"/>
    <n v="8586"/>
    <n v="324.89999999999998"/>
    <n v="7.3"/>
    <n v="4.5999999999999996"/>
    <n v="30.9"/>
    <n v="2789591.4"/>
    <n v="265307.39999999997"/>
  </r>
  <r>
    <x v="3"/>
    <x v="1"/>
    <x v="0"/>
    <n v="11456"/>
    <n v="323.8"/>
    <n v="7.1"/>
    <n v="4"/>
    <n v="31.5"/>
    <n v="3709452.8000000003"/>
    <n v="360864"/>
  </r>
  <r>
    <x v="3"/>
    <x v="2"/>
    <x v="0"/>
    <n v="1608"/>
    <n v="330.2"/>
    <n v="8.3000000000000007"/>
    <n v="6.2"/>
    <n v="28.8"/>
    <n v="530961.6"/>
    <n v="46310.400000000001"/>
  </r>
  <r>
    <x v="3"/>
    <x v="3"/>
    <x v="0"/>
    <n v="223"/>
    <n v="357.2"/>
    <n v="7.3"/>
    <n v="6.9"/>
    <n v="26.5"/>
    <n v="79655.599999999991"/>
    <n v="5909.5"/>
  </r>
  <r>
    <x v="3"/>
    <x v="4"/>
    <x v="0"/>
    <n v="659"/>
    <n v="333.2"/>
    <n v="8.6"/>
    <n v="6.4"/>
    <n v="28.1"/>
    <n v="219578.8"/>
    <n v="18517.900000000001"/>
  </r>
  <r>
    <x v="3"/>
    <x v="5"/>
    <x v="0"/>
    <n v="136"/>
    <n v="351.3"/>
    <n v="8.1"/>
    <n v="6.7"/>
    <n v="25.9"/>
    <n v="47776.800000000003"/>
    <n v="3522.3999999999996"/>
  </r>
  <r>
    <x v="3"/>
    <x v="6"/>
    <x v="0"/>
    <n v="387"/>
    <n v="337.6"/>
    <n v="7.1"/>
    <n v="6.3"/>
    <n v="25.3"/>
    <n v="130651.20000000001"/>
    <n v="9791.1"/>
  </r>
  <r>
    <x v="3"/>
    <x v="7"/>
    <x v="0"/>
    <n v="143"/>
    <n v="245.2"/>
    <n v="6.7"/>
    <n v="4.5"/>
    <n v="47"/>
    <n v="35063.599999999999"/>
    <n v="6721"/>
  </r>
  <r>
    <x v="3"/>
    <x v="8"/>
    <x v="0"/>
    <n v="14"/>
    <n v="319.89999999999998"/>
    <n v="7.1"/>
    <n v="6.4"/>
    <n v="22.7"/>
    <n v="4478.5999999999995"/>
    <n v="317.8"/>
  </r>
  <r>
    <x v="3"/>
    <x v="9"/>
    <x v="0"/>
    <n v="8272"/>
    <n v="333.8"/>
    <n v="7.7"/>
    <n v="5.9"/>
    <n v="29.2"/>
    <n v="2761193.6"/>
    <n v="241542.39999999999"/>
  </r>
  <r>
    <x v="4"/>
    <x v="0"/>
    <x v="0"/>
    <n v="20980"/>
    <n v="325.8"/>
    <n v="6.8"/>
    <n v="5.2"/>
    <n v="22.2"/>
    <n v="6835284"/>
    <n v="465756"/>
  </r>
  <r>
    <x v="4"/>
    <x v="1"/>
    <x v="0"/>
    <n v="46699"/>
    <n v="323.2"/>
    <n v="6.4"/>
    <n v="4.4000000000000004"/>
    <n v="24"/>
    <n v="15093116.799999999"/>
    <n v="1120776"/>
  </r>
  <r>
    <x v="4"/>
    <x v="2"/>
    <x v="0"/>
    <n v="9669"/>
    <n v="340.1"/>
    <n v="7.7"/>
    <n v="7.3"/>
    <n v="21.8"/>
    <n v="3288426.9000000004"/>
    <n v="210784.2"/>
  </r>
  <r>
    <x v="4"/>
    <x v="3"/>
    <x v="0"/>
    <n v="6858"/>
    <n v="373"/>
    <n v="6.4"/>
    <n v="8.8000000000000007"/>
    <n v="18.5"/>
    <n v="2558034"/>
    <n v="126873"/>
  </r>
  <r>
    <x v="4"/>
    <x v="4"/>
    <x v="0"/>
    <n v="3256"/>
    <n v="345.4"/>
    <n v="7.8"/>
    <n v="7.6"/>
    <n v="19.899999999999999"/>
    <n v="1124622.3999999999"/>
    <n v="64794.399999999994"/>
  </r>
  <r>
    <x v="4"/>
    <x v="5"/>
    <x v="0"/>
    <n v="1658"/>
    <n v="367.7"/>
    <n v="6.4"/>
    <n v="9.5"/>
    <n v="18.600000000000001"/>
    <n v="609646.6"/>
    <n v="30838.800000000003"/>
  </r>
  <r>
    <x v="4"/>
    <x v="6"/>
    <x v="0"/>
    <n v="6320"/>
    <n v="363.8"/>
    <n v="6.5"/>
    <n v="8.3000000000000007"/>
    <n v="18.399999999999999"/>
    <n v="2299216"/>
    <n v="116287.99999999999"/>
  </r>
  <r>
    <x v="4"/>
    <x v="7"/>
    <x v="0"/>
    <n v="198"/>
    <n v="202.6"/>
    <n v="4.5999999999999996"/>
    <n v="4.8"/>
    <n v="27.6"/>
    <n v="40114.799999999996"/>
    <n v="5464.8"/>
  </r>
  <r>
    <x v="4"/>
    <x v="8"/>
    <x v="0"/>
    <n v="311"/>
    <n v="381"/>
    <n v="4.7"/>
    <n v="10.8"/>
    <n v="16.100000000000001"/>
    <n v="118491"/>
    <n v="5007.1000000000004"/>
  </r>
  <r>
    <x v="4"/>
    <x v="9"/>
    <x v="0"/>
    <n v="52654"/>
    <n v="356"/>
    <n v="7"/>
    <n v="7.8"/>
    <n v="19"/>
    <n v="18744824"/>
    <n v="1000426"/>
  </r>
  <r>
    <x v="5"/>
    <x v="0"/>
    <x v="0"/>
    <n v="3985"/>
    <n v="345.8"/>
    <n v="6"/>
    <n v="5"/>
    <n v="29.3"/>
    <n v="1378013"/>
    <n v="116760.5"/>
  </r>
  <r>
    <x v="5"/>
    <x v="1"/>
    <x v="0"/>
    <n v="6585"/>
    <n v="350.6"/>
    <n v="5.5"/>
    <n v="4.3"/>
    <n v="30.1"/>
    <n v="2308701"/>
    <n v="198208.5"/>
  </r>
  <r>
    <x v="5"/>
    <x v="2"/>
    <x v="0"/>
    <n v="1806"/>
    <n v="368.8"/>
    <n v="6.7"/>
    <n v="6.7"/>
    <n v="30.4"/>
    <n v="666052.80000000005"/>
    <n v="54902.399999999994"/>
  </r>
  <r>
    <x v="5"/>
    <x v="3"/>
    <x v="0"/>
    <n v="507"/>
    <n v="416.6"/>
    <n v="5.4"/>
    <n v="8.3000000000000007"/>
    <n v="30"/>
    <n v="211216.2"/>
    <n v="15210"/>
  </r>
  <r>
    <x v="5"/>
    <x v="4"/>
    <x v="0"/>
    <n v="446"/>
    <n v="383.4"/>
    <n v="6.9"/>
    <n v="7"/>
    <n v="30"/>
    <n v="170996.4"/>
    <n v="13380"/>
  </r>
  <r>
    <x v="5"/>
    <x v="5"/>
    <x v="0"/>
    <n v="193"/>
    <n v="407.1"/>
    <n v="5.4"/>
    <n v="8.8000000000000007"/>
    <n v="31.5"/>
    <n v="78570.3"/>
    <n v="6079.5"/>
  </r>
  <r>
    <x v="5"/>
    <x v="6"/>
    <x v="0"/>
    <n v="631"/>
    <n v="390.9"/>
    <n v="5.0999999999999996"/>
    <n v="7.5"/>
    <n v="31.1"/>
    <n v="246657.9"/>
    <n v="19624.100000000002"/>
  </r>
  <r>
    <x v="5"/>
    <x v="7"/>
    <x v="0"/>
    <n v="106"/>
    <n v="257.5"/>
    <n v="4.5999999999999996"/>
    <n v="5.7"/>
    <n v="35.4"/>
    <n v="27295"/>
    <n v="3752.3999999999996"/>
  </r>
  <r>
    <x v="5"/>
    <x v="8"/>
    <x v="0"/>
    <n v="16"/>
    <n v="453.4"/>
    <n v="4.3"/>
    <n v="9.6"/>
    <n v="36.9"/>
    <n v="7254.4"/>
    <n v="590.4"/>
  </r>
  <r>
    <x v="5"/>
    <x v="9"/>
    <x v="0"/>
    <n v="6424"/>
    <n v="361.6"/>
    <n v="5.8"/>
    <n v="6.7"/>
    <n v="29.6"/>
    <n v="2322918.4000000004"/>
    <n v="190150.40000000002"/>
  </r>
  <r>
    <x v="6"/>
    <x v="0"/>
    <x v="0"/>
    <m/>
    <m/>
    <m/>
    <m/>
    <m/>
    <m/>
    <m/>
  </r>
  <r>
    <x v="6"/>
    <x v="1"/>
    <x v="0"/>
    <m/>
    <m/>
    <m/>
    <m/>
    <m/>
    <m/>
    <m/>
  </r>
  <r>
    <x v="6"/>
    <x v="2"/>
    <x v="0"/>
    <m/>
    <m/>
    <m/>
    <m/>
    <m/>
    <m/>
    <m/>
  </r>
  <r>
    <x v="6"/>
    <x v="3"/>
    <x v="0"/>
    <m/>
    <m/>
    <m/>
    <m/>
    <m/>
    <m/>
    <m/>
  </r>
  <r>
    <x v="6"/>
    <x v="4"/>
    <x v="0"/>
    <m/>
    <m/>
    <m/>
    <m/>
    <m/>
    <m/>
    <m/>
  </r>
  <r>
    <x v="6"/>
    <x v="5"/>
    <x v="0"/>
    <m/>
    <m/>
    <m/>
    <m/>
    <m/>
    <m/>
    <m/>
  </r>
  <r>
    <x v="6"/>
    <x v="6"/>
    <x v="0"/>
    <m/>
    <m/>
    <m/>
    <m/>
    <m/>
    <m/>
    <m/>
  </r>
  <r>
    <x v="6"/>
    <x v="7"/>
    <x v="0"/>
    <m/>
    <m/>
    <m/>
    <m/>
    <m/>
    <m/>
    <m/>
  </r>
  <r>
    <x v="6"/>
    <x v="8"/>
    <x v="0"/>
    <m/>
    <m/>
    <m/>
    <m/>
    <m/>
    <m/>
    <m/>
  </r>
  <r>
    <x v="6"/>
    <x v="9"/>
    <x v="0"/>
    <m/>
    <m/>
    <m/>
    <m/>
    <m/>
    <m/>
    <m/>
  </r>
  <r>
    <x v="7"/>
    <x v="0"/>
    <x v="0"/>
    <n v="2526"/>
    <n v="169.6"/>
    <n v="5.5"/>
    <n v="4.9000000000000004"/>
    <n v="11.2"/>
    <n v="428409.59999999998"/>
    <n v="28291.199999999997"/>
  </r>
  <r>
    <x v="7"/>
    <x v="1"/>
    <x v="0"/>
    <n v="7329"/>
    <n v="169.1"/>
    <n v="5"/>
    <n v="4.4000000000000004"/>
    <n v="12.5"/>
    <n v="1239333.8999999999"/>
    <n v="91612.5"/>
  </r>
  <r>
    <x v="7"/>
    <x v="2"/>
    <x v="0"/>
    <n v="411"/>
    <n v="158.80000000000001"/>
    <n v="6.2"/>
    <n v="5.4"/>
    <n v="9.5"/>
    <n v="65266.8"/>
    <n v="3904.5"/>
  </r>
  <r>
    <x v="7"/>
    <x v="3"/>
    <x v="0"/>
    <n v="109"/>
    <n v="169.1"/>
    <n v="5.8"/>
    <n v="6.3"/>
    <n v="11"/>
    <n v="18431.899999999998"/>
    <n v="1199"/>
  </r>
  <r>
    <x v="7"/>
    <x v="4"/>
    <x v="0"/>
    <n v="281"/>
    <n v="134.9"/>
    <n v="5.5"/>
    <n v="5.7"/>
    <n v="12.7"/>
    <n v="37906.9"/>
    <n v="3568.7"/>
  </r>
  <r>
    <x v="7"/>
    <x v="5"/>
    <x v="0"/>
    <n v="69"/>
    <n v="163"/>
    <n v="4.9000000000000004"/>
    <n v="8"/>
    <n v="11.1"/>
    <n v="11247"/>
    <n v="765.9"/>
  </r>
  <r>
    <x v="7"/>
    <x v="6"/>
    <x v="0"/>
    <n v="136"/>
    <n v="160.6"/>
    <n v="4.7"/>
    <n v="5.4"/>
    <n v="9.5"/>
    <n v="21841.599999999999"/>
    <n v="1292"/>
  </r>
  <r>
    <x v="7"/>
    <x v="7"/>
    <x v="0"/>
    <n v="76"/>
    <n v="95.3"/>
    <n v="4.4000000000000004"/>
    <n v="3.8"/>
    <n v="11"/>
    <n v="7242.8"/>
    <n v="836"/>
  </r>
  <r>
    <x v="7"/>
    <x v="8"/>
    <x v="0"/>
    <n v="36"/>
    <n v="210"/>
    <n v="4.3"/>
    <n v="9.9"/>
    <n v="8"/>
    <n v="7560"/>
    <n v="288"/>
  </r>
  <r>
    <x v="7"/>
    <x v="9"/>
    <x v="0"/>
    <n v="2754"/>
    <n v="157.30000000000001"/>
    <n v="5.5"/>
    <n v="5.4"/>
    <n v="10.8"/>
    <n v="433204.2"/>
    <n v="29743.200000000001"/>
  </r>
  <r>
    <x v="0"/>
    <x v="4"/>
    <x v="1"/>
    <n v="1392"/>
    <n v="348.4"/>
    <n v="9.8000000000000007"/>
    <n v="6"/>
    <n v="84.7"/>
    <n v="484972.79999999999"/>
    <n v="117902.40000000001"/>
  </r>
  <r>
    <x v="0"/>
    <x v="8"/>
    <x v="1"/>
    <n v="127"/>
    <n v="405.9"/>
    <n v="6.7"/>
    <n v="7.8"/>
    <n v="107.8"/>
    <n v="51549.299999999996"/>
    <n v="13690.6"/>
  </r>
  <r>
    <x v="0"/>
    <x v="3"/>
    <x v="1"/>
    <n v="3256"/>
    <n v="394.6"/>
    <n v="8.1"/>
    <n v="7"/>
    <n v="95.8"/>
    <n v="1284817.6000000001"/>
    <n v="311924.8"/>
  </r>
  <r>
    <x v="0"/>
    <x v="2"/>
    <x v="1"/>
    <n v="4659"/>
    <n v="352.5"/>
    <n v="9.9"/>
    <n v="5.8"/>
    <n v="89.6"/>
    <n v="1642297.5"/>
    <n v="417446.39999999997"/>
  </r>
  <r>
    <x v="0"/>
    <x v="7"/>
    <x v="1"/>
    <n v="440"/>
    <n v="229.2"/>
    <n v="7.6"/>
    <n v="4.5"/>
    <n v="107.5"/>
    <n v="100848"/>
    <n v="47300"/>
  </r>
  <r>
    <x v="0"/>
    <x v="9"/>
    <x v="1"/>
    <n v="21904"/>
    <n v="343.6"/>
    <n v="8.1999999999999993"/>
    <n v="5.6"/>
    <n v="86.7"/>
    <n v="7526214.4000000004"/>
    <n v="1899076.8"/>
  </r>
  <r>
    <x v="0"/>
    <x v="5"/>
    <x v="1"/>
    <n v="691"/>
    <n v="373.8"/>
    <n v="7.8"/>
    <n v="7.9"/>
    <n v="98.2"/>
    <n v="258295.80000000002"/>
    <n v="67856.2"/>
  </r>
  <r>
    <x v="0"/>
    <x v="6"/>
    <x v="1"/>
    <n v="2425"/>
    <n v="362.7"/>
    <n v="7.5"/>
    <n v="6.3"/>
    <n v="89.3"/>
    <n v="879547.5"/>
    <n v="216552.5"/>
  </r>
  <r>
    <x v="0"/>
    <x v="1"/>
    <x v="1"/>
    <n v="39953"/>
    <n v="323"/>
    <n v="7"/>
    <n v="3.3"/>
    <n v="68.8"/>
    <n v="12904819"/>
    <n v="2748766.4"/>
  </r>
  <r>
    <x v="0"/>
    <x v="0"/>
    <x v="1"/>
    <n v="23657"/>
    <n v="312.3"/>
    <n v="7.4"/>
    <n v="4"/>
    <n v="69.7"/>
    <n v="7388081.1000000006"/>
    <n v="1648892.9000000001"/>
  </r>
  <r>
    <x v="1"/>
    <x v="4"/>
    <x v="1"/>
    <n v="2197"/>
    <n v="304.2"/>
    <n v="9.4"/>
    <n v="6.8"/>
    <n v="26"/>
    <n v="668327.4"/>
    <n v="57122"/>
  </r>
  <r>
    <x v="1"/>
    <x v="8"/>
    <x v="1"/>
    <n v="200"/>
    <n v="315.39999999999998"/>
    <n v="6.5"/>
    <n v="8.5"/>
    <n v="22.5"/>
    <n v="63079.999999999993"/>
    <n v="4500"/>
  </r>
  <r>
    <x v="1"/>
    <x v="3"/>
    <x v="1"/>
    <n v="3984"/>
    <n v="324.2"/>
    <n v="8"/>
    <n v="7.6"/>
    <n v="24.3"/>
    <n v="1291612.8"/>
    <n v="96811.199999999997"/>
  </r>
  <r>
    <x v="1"/>
    <x v="2"/>
    <x v="1"/>
    <n v="5948"/>
    <n v="296.5"/>
    <n v="9.4"/>
    <n v="6.5"/>
    <n v="26.2"/>
    <n v="1763582"/>
    <n v="155837.6"/>
  </r>
  <r>
    <x v="1"/>
    <x v="7"/>
    <x v="1"/>
    <n v="170"/>
    <n v="186.7"/>
    <n v="7.1"/>
    <n v="4.8"/>
    <n v="37.4"/>
    <n v="31738.999999999996"/>
    <n v="6358"/>
  </r>
  <r>
    <x v="1"/>
    <x v="9"/>
    <x v="1"/>
    <n v="33203"/>
    <n v="309.5"/>
    <n v="8.6999999999999993"/>
    <n v="6.9"/>
    <n v="25.6"/>
    <n v="10276328.5"/>
    <n v="849996.80000000005"/>
  </r>
  <r>
    <x v="1"/>
    <x v="5"/>
    <x v="1"/>
    <n v="1268"/>
    <n v="314.3"/>
    <n v="8"/>
    <n v="8.3000000000000007"/>
    <n v="24.8"/>
    <n v="398532.4"/>
    <n v="31446.400000000001"/>
  </r>
  <r>
    <x v="1"/>
    <x v="6"/>
    <x v="1"/>
    <n v="3601"/>
    <n v="312.5"/>
    <n v="8"/>
    <n v="7"/>
    <n v="24.8"/>
    <n v="1125312.5"/>
    <n v="89304.8"/>
  </r>
  <r>
    <x v="1"/>
    <x v="1"/>
    <x v="1"/>
    <n v="8250"/>
    <n v="300.2"/>
    <n v="8"/>
    <n v="4.4000000000000004"/>
    <n v="28.3"/>
    <n v="2476650"/>
    <n v="233475"/>
  </r>
  <r>
    <x v="1"/>
    <x v="0"/>
    <x v="1"/>
    <n v="5513"/>
    <n v="295.2"/>
    <n v="8.1999999999999993"/>
    <n v="5.0999999999999996"/>
    <n v="28.8"/>
    <n v="1627437.5999999999"/>
    <n v="158774.39999999999"/>
  </r>
  <r>
    <x v="2"/>
    <x v="4"/>
    <x v="1"/>
    <n v="524"/>
    <n v="315.8"/>
    <n v="9"/>
    <n v="6.1"/>
    <n v="35.700000000000003"/>
    <n v="165479.20000000001"/>
    <n v="18706.800000000003"/>
  </r>
  <r>
    <x v="2"/>
    <x v="8"/>
    <x v="1"/>
    <n v="34"/>
    <n v="354.2"/>
    <n v="5.8"/>
    <n v="7.6"/>
    <n v="40.9"/>
    <n v="12042.8"/>
    <n v="1390.6"/>
  </r>
  <r>
    <x v="2"/>
    <x v="3"/>
    <x v="1"/>
    <n v="746"/>
    <n v="335.3"/>
    <n v="7.3"/>
    <n v="6.7"/>
    <n v="35.799999999999997"/>
    <n v="250133.80000000002"/>
    <n v="26706.799999999999"/>
  </r>
  <r>
    <x v="2"/>
    <x v="2"/>
    <x v="1"/>
    <n v="1544"/>
    <n v="310"/>
    <n v="8.9"/>
    <n v="5.8"/>
    <n v="37.6"/>
    <n v="478640"/>
    <n v="58054.400000000001"/>
  </r>
  <r>
    <x v="2"/>
    <x v="7"/>
    <x v="1"/>
    <n v="33"/>
    <n v="207.7"/>
    <n v="6.6"/>
    <n v="4.0999999999999996"/>
    <n v="48.3"/>
    <n v="6854.0999999999995"/>
    <n v="1593.8999999999999"/>
  </r>
  <r>
    <x v="2"/>
    <x v="9"/>
    <x v="1"/>
    <n v="8262"/>
    <n v="307.2"/>
    <n v="7.7"/>
    <n v="5.6"/>
    <n v="36.200000000000003"/>
    <n v="2538086.3999999999"/>
    <n v="299084.40000000002"/>
  </r>
  <r>
    <x v="2"/>
    <x v="5"/>
    <x v="1"/>
    <n v="216"/>
    <n v="317.3"/>
    <n v="7.2"/>
    <n v="7"/>
    <n v="36"/>
    <n v="68536.800000000003"/>
    <n v="7776"/>
  </r>
  <r>
    <x v="2"/>
    <x v="6"/>
    <x v="1"/>
    <n v="825"/>
    <n v="315.7"/>
    <n v="7"/>
    <n v="6"/>
    <n v="35.9"/>
    <n v="260452.5"/>
    <n v="29617.5"/>
  </r>
  <r>
    <x v="2"/>
    <x v="1"/>
    <x v="1"/>
    <n v="14125"/>
    <n v="294.3"/>
    <n v="6.9"/>
    <n v="3.4"/>
    <n v="38.700000000000003"/>
    <n v="4156987.5"/>
    <n v="546637.5"/>
  </r>
  <r>
    <x v="2"/>
    <x v="0"/>
    <x v="1"/>
    <n v="7505"/>
    <n v="281.39999999999998"/>
    <n v="7.1"/>
    <n v="3.9"/>
    <n v="38.700000000000003"/>
    <n v="2111907"/>
    <n v="290443.5"/>
  </r>
  <r>
    <x v="3"/>
    <x v="4"/>
    <x v="1"/>
    <n v="789"/>
    <n v="333.3"/>
    <n v="8.4"/>
    <n v="6.5"/>
    <n v="27.8"/>
    <n v="262973.7"/>
    <n v="21934.2"/>
  </r>
  <r>
    <x v="3"/>
    <x v="8"/>
    <x v="1"/>
    <n v="21"/>
    <n v="329.6"/>
    <n v="6.8"/>
    <n v="5.7"/>
    <n v="27.5"/>
    <n v="6921.6"/>
    <n v="577.5"/>
  </r>
  <r>
    <x v="3"/>
    <x v="3"/>
    <x v="1"/>
    <n v="224"/>
    <n v="354.8"/>
    <n v="6.6"/>
    <n v="7"/>
    <n v="24.9"/>
    <n v="79475.199999999997"/>
    <n v="5577.5999999999995"/>
  </r>
  <r>
    <x v="3"/>
    <x v="2"/>
    <x v="1"/>
    <n v="1856"/>
    <n v="326.3"/>
    <n v="8.1999999999999993"/>
    <n v="6.1"/>
    <n v="26.7"/>
    <n v="605612.80000000005"/>
    <n v="49555.199999999997"/>
  </r>
  <r>
    <x v="3"/>
    <x v="7"/>
    <x v="1"/>
    <n v="103"/>
    <n v="231.4"/>
    <n v="6.9"/>
    <n v="5"/>
    <n v="34.700000000000003"/>
    <n v="23834.2"/>
    <n v="3574.1000000000004"/>
  </r>
  <r>
    <x v="3"/>
    <x v="9"/>
    <x v="1"/>
    <n v="8794"/>
    <n v="335.8"/>
    <n v="7.7"/>
    <n v="6"/>
    <n v="27.1"/>
    <n v="2953025.2"/>
    <n v="238317.40000000002"/>
  </r>
  <r>
    <x v="3"/>
    <x v="5"/>
    <x v="1"/>
    <n v="186"/>
    <n v="348.7"/>
    <n v="7.8"/>
    <n v="7"/>
    <n v="25.9"/>
    <n v="64858.2"/>
    <n v="4817.3999999999996"/>
  </r>
  <r>
    <x v="3"/>
    <x v="6"/>
    <x v="1"/>
    <n v="411"/>
    <n v="341.8"/>
    <n v="7.1"/>
    <n v="6.4"/>
    <n v="25.2"/>
    <n v="140479.80000000002"/>
    <n v="10357.199999999999"/>
  </r>
  <r>
    <x v="3"/>
    <x v="1"/>
    <x v="1"/>
    <n v="11063"/>
    <n v="329.6"/>
    <n v="7.2"/>
    <n v="4.0999999999999996"/>
    <n v="27.7"/>
    <n v="3646364.8000000003"/>
    <n v="306445.09999999998"/>
  </r>
  <r>
    <x v="3"/>
    <x v="0"/>
    <x v="1"/>
    <n v="8447"/>
    <n v="327"/>
    <n v="7.3"/>
    <n v="4.5999999999999996"/>
    <n v="28.8"/>
    <n v="2762169"/>
    <n v="243273.60000000001"/>
  </r>
  <r>
    <x v="4"/>
    <x v="4"/>
    <x v="1"/>
    <n v="3427"/>
    <n v="347.1"/>
    <n v="7.8"/>
    <n v="7.7"/>
    <n v="17.8"/>
    <n v="1189511.7000000002"/>
    <n v="61000.600000000006"/>
  </r>
  <r>
    <x v="4"/>
    <x v="8"/>
    <x v="1"/>
    <n v="424"/>
    <n v="369.6"/>
    <n v="5"/>
    <n v="10.1"/>
    <n v="15.1"/>
    <n v="156710.40000000002"/>
    <n v="6402.4"/>
  </r>
  <r>
    <x v="4"/>
    <x v="3"/>
    <x v="1"/>
    <n v="6636"/>
    <n v="369.9"/>
    <n v="6.3"/>
    <n v="8.9"/>
    <n v="16.5"/>
    <n v="2454656.4"/>
    <n v="109494"/>
  </r>
  <r>
    <x v="4"/>
    <x v="2"/>
    <x v="1"/>
    <n v="9839"/>
    <n v="342.8"/>
    <n v="7.7"/>
    <n v="7.4"/>
    <n v="18.100000000000001"/>
    <n v="3372809.2"/>
    <n v="178085.90000000002"/>
  </r>
  <r>
    <x v="4"/>
    <x v="7"/>
    <x v="1"/>
    <n v="181"/>
    <n v="204.5"/>
    <n v="4.8"/>
    <n v="5"/>
    <n v="25"/>
    <n v="37014.5"/>
    <n v="4525"/>
  </r>
  <r>
    <x v="4"/>
    <x v="9"/>
    <x v="1"/>
    <n v="52859"/>
    <n v="355.5"/>
    <n v="6.9"/>
    <n v="7.9"/>
    <n v="17.399999999999999"/>
    <n v="18791374.5"/>
    <n v="919746.6"/>
  </r>
  <r>
    <x v="4"/>
    <x v="5"/>
    <x v="1"/>
    <n v="1786"/>
    <n v="365.1"/>
    <n v="6.2"/>
    <n v="9.6999999999999993"/>
    <n v="17"/>
    <n v="652068.60000000009"/>
    <n v="30362"/>
  </r>
  <r>
    <x v="4"/>
    <x v="6"/>
    <x v="1"/>
    <n v="6495"/>
    <n v="365.8"/>
    <n v="6.6"/>
    <n v="8.4"/>
    <n v="16.5"/>
    <n v="2375871"/>
    <n v="107167.5"/>
  </r>
  <r>
    <x v="4"/>
    <x v="1"/>
    <x v="1"/>
    <n v="47035"/>
    <n v="323"/>
    <n v="6.3"/>
    <n v="4.4000000000000004"/>
    <n v="18.5"/>
    <n v="15192305"/>
    <n v="870147.5"/>
  </r>
  <r>
    <x v="4"/>
    <x v="0"/>
    <x v="1"/>
    <n v="20792"/>
    <n v="325.8"/>
    <n v="6.8"/>
    <n v="5.2"/>
    <n v="18.899999999999999"/>
    <n v="6774033.6000000006"/>
    <n v="392968.8"/>
  </r>
  <r>
    <x v="5"/>
    <x v="4"/>
    <x v="1"/>
    <n v="439"/>
    <n v="373.4"/>
    <n v="6.5"/>
    <n v="7.2"/>
    <n v="30.6"/>
    <n v="163922.59999999998"/>
    <n v="13433.400000000001"/>
  </r>
  <r>
    <x v="5"/>
    <x v="8"/>
    <x v="1"/>
    <n v="27"/>
    <n v="456.2"/>
    <n v="4.2"/>
    <n v="10.6"/>
    <n v="30.3"/>
    <n v="12317.4"/>
    <n v="818.1"/>
  </r>
  <r>
    <x v="5"/>
    <x v="3"/>
    <x v="1"/>
    <n v="455"/>
    <n v="395.5"/>
    <n v="5.2"/>
    <n v="8.1"/>
    <n v="29.5"/>
    <n v="179952.5"/>
    <n v="13422.5"/>
  </r>
  <r>
    <x v="5"/>
    <x v="2"/>
    <x v="1"/>
    <n v="1786"/>
    <n v="365.7"/>
    <n v="6.6"/>
    <n v="6.9"/>
    <n v="29.9"/>
    <n v="653140.19999999995"/>
    <n v="53401.399999999994"/>
  </r>
  <r>
    <x v="5"/>
    <x v="7"/>
    <x v="1"/>
    <n v="99"/>
    <n v="252.1"/>
    <n v="4.9000000000000004"/>
    <n v="5.5"/>
    <n v="37.700000000000003"/>
    <n v="24957.899999999998"/>
    <n v="3732.3"/>
  </r>
  <r>
    <x v="5"/>
    <x v="9"/>
    <x v="1"/>
    <n v="6663"/>
    <n v="360"/>
    <n v="5.8"/>
    <n v="6.8"/>
    <n v="28.9"/>
    <n v="2398680"/>
    <n v="192560.69999999998"/>
  </r>
  <r>
    <x v="5"/>
    <x v="5"/>
    <x v="1"/>
    <n v="151"/>
    <n v="406.5"/>
    <n v="5.0999999999999996"/>
    <n v="9"/>
    <n v="31.6"/>
    <n v="61381.5"/>
    <n v="4771.6000000000004"/>
  </r>
  <r>
    <x v="5"/>
    <x v="6"/>
    <x v="1"/>
    <n v="598"/>
    <n v="384.8"/>
    <n v="5.3"/>
    <n v="7.7"/>
    <n v="30.2"/>
    <n v="230110.4"/>
    <n v="18059.599999999999"/>
  </r>
  <r>
    <x v="5"/>
    <x v="1"/>
    <x v="1"/>
    <n v="6788"/>
    <n v="353.8"/>
    <n v="5.7"/>
    <n v="4.3"/>
    <n v="27.9"/>
    <n v="2401594.4"/>
    <n v="189385.19999999998"/>
  </r>
  <r>
    <x v="5"/>
    <x v="0"/>
    <x v="1"/>
    <n v="3861"/>
    <n v="347"/>
    <n v="6.1"/>
    <n v="5"/>
    <n v="27.9"/>
    <n v="1339767"/>
    <n v="107721.9"/>
  </r>
  <r>
    <x v="6"/>
    <x v="4"/>
    <x v="1"/>
    <n v="319"/>
    <n v="554.20000000000005"/>
    <n v="7.8"/>
    <n v="7.8"/>
    <n v="63.3"/>
    <n v="176789.80000000002"/>
    <n v="20192.7"/>
  </r>
  <r>
    <x v="6"/>
    <x v="8"/>
    <x v="1"/>
    <n v="26"/>
    <n v="613.6"/>
    <n v="3.7"/>
    <n v="10.4"/>
    <n v="75.900000000000006"/>
    <n v="15953.6"/>
    <n v="1973.4"/>
  </r>
  <r>
    <x v="6"/>
    <x v="3"/>
    <x v="1"/>
    <n v="407"/>
    <n v="591.29999999999995"/>
    <n v="5.5"/>
    <n v="8.6999999999999993"/>
    <n v="59.8"/>
    <n v="240659.09999999998"/>
    <n v="24338.6"/>
  </r>
  <r>
    <x v="6"/>
    <x v="2"/>
    <x v="1"/>
    <n v="652"/>
    <n v="527.9"/>
    <n v="7.6"/>
    <n v="7.6"/>
    <n v="58.4"/>
    <n v="344190.8"/>
    <n v="38076.799999999996"/>
  </r>
  <r>
    <x v="6"/>
    <x v="7"/>
    <x v="1"/>
    <n v="97"/>
    <n v="269.7"/>
    <n v="4.5999999999999996"/>
    <n v="5.0999999999999996"/>
    <n v="54.6"/>
    <n v="26160.899999999998"/>
    <n v="5296.2"/>
  </r>
  <r>
    <x v="6"/>
    <x v="9"/>
    <x v="1"/>
    <n v="704"/>
    <n v="466.9"/>
    <n v="6.3"/>
    <n v="7.4"/>
    <n v="46.5"/>
    <n v="328697.59999999998"/>
    <n v="32736"/>
  </r>
  <r>
    <x v="6"/>
    <x v="5"/>
    <x v="1"/>
    <n v="117"/>
    <n v="553.9"/>
    <n v="5.2"/>
    <n v="10.199999999999999"/>
    <n v="68.5"/>
    <n v="64806.299999999996"/>
    <n v="8014.5"/>
  </r>
  <r>
    <x v="6"/>
    <x v="6"/>
    <x v="1"/>
    <n v="423"/>
    <n v="574.20000000000005"/>
    <n v="5.3"/>
    <n v="8.5"/>
    <n v="58.4"/>
    <n v="242886.6"/>
    <n v="24703.200000000001"/>
  </r>
  <r>
    <x v="6"/>
    <x v="1"/>
    <x v="1"/>
    <n v="174"/>
    <n v="451.6"/>
    <n v="6.2"/>
    <n v="4.5999999999999996"/>
    <n v="40.1"/>
    <n v="78578.400000000009"/>
    <n v="6977.4000000000005"/>
  </r>
  <r>
    <x v="6"/>
    <x v="0"/>
    <x v="1"/>
    <n v="131"/>
    <n v="416.3"/>
    <n v="6.2"/>
    <n v="5.5"/>
    <n v="43.1"/>
    <n v="54535.3"/>
    <n v="5646.1"/>
  </r>
  <r>
    <x v="7"/>
    <x v="4"/>
    <x v="1"/>
    <n v="260"/>
    <n v="138.80000000000001"/>
    <n v="5.4"/>
    <n v="5.3"/>
    <n v="8.4"/>
    <n v="36088"/>
    <n v="2184"/>
  </r>
  <r>
    <x v="7"/>
    <x v="8"/>
    <x v="1"/>
    <n v="37"/>
    <n v="219"/>
    <n v="3.9"/>
    <n v="9.5"/>
    <n v="8.9"/>
    <n v="8103"/>
    <n v="329.3"/>
  </r>
  <r>
    <x v="7"/>
    <x v="3"/>
    <x v="1"/>
    <n v="127"/>
    <n v="170.7"/>
    <n v="5.6"/>
    <n v="6.5"/>
    <n v="9.8000000000000007"/>
    <n v="21678.899999999998"/>
    <n v="1244.6000000000001"/>
  </r>
  <r>
    <x v="7"/>
    <x v="2"/>
    <x v="1"/>
    <n v="321"/>
    <n v="156.19999999999999"/>
    <n v="5.8"/>
    <n v="5.4"/>
    <n v="9.6999999999999993"/>
    <n v="50140.2"/>
    <n v="3113.7"/>
  </r>
  <r>
    <x v="7"/>
    <x v="7"/>
    <x v="1"/>
    <n v="50"/>
    <n v="100.9"/>
    <n v="4.7"/>
    <n v="3.9"/>
    <n v="14.2"/>
    <n v="5045"/>
    <n v="710"/>
  </r>
  <r>
    <x v="7"/>
    <x v="9"/>
    <x v="1"/>
    <n v="2321"/>
    <n v="159.6"/>
    <n v="5.5"/>
    <n v="5.4"/>
    <n v="9.4"/>
    <n v="370431.6"/>
    <n v="21817.4"/>
  </r>
  <r>
    <x v="7"/>
    <x v="5"/>
    <x v="1"/>
    <n v="80"/>
    <n v="161.30000000000001"/>
    <n v="5.2"/>
    <n v="7"/>
    <n v="9.9"/>
    <n v="12904"/>
    <n v="792"/>
  </r>
  <r>
    <x v="7"/>
    <x v="6"/>
    <x v="1"/>
    <n v="105"/>
    <n v="168.3"/>
    <n v="4.9000000000000004"/>
    <n v="5.8"/>
    <n v="9"/>
    <n v="17671.5"/>
    <n v="945"/>
  </r>
  <r>
    <x v="7"/>
    <x v="1"/>
    <x v="1"/>
    <n v="7266"/>
    <n v="168"/>
    <n v="5.0999999999999996"/>
    <n v="4.4000000000000004"/>
    <n v="9.1"/>
    <n v="1220688"/>
    <n v="66120.599999999991"/>
  </r>
  <r>
    <x v="7"/>
    <x v="0"/>
    <x v="1"/>
    <n v="2244"/>
    <n v="168.1"/>
    <n v="5.6"/>
    <n v="4.9000000000000004"/>
    <n v="9.5"/>
    <n v="377216.39999999997"/>
    <n v="21318"/>
  </r>
  <r>
    <x v="0"/>
    <x v="4"/>
    <x v="2"/>
    <n v="1197"/>
    <n v="354.2"/>
    <n v="9.6999999999999993"/>
    <n v="6.3"/>
    <n v="81.400000000000006"/>
    <n v="423977.39999999997"/>
    <n v="97435.8"/>
  </r>
  <r>
    <x v="0"/>
    <x v="8"/>
    <x v="2"/>
    <n v="135"/>
    <n v="415.7"/>
    <n v="6.4"/>
    <n v="7.7"/>
    <n v="98.1"/>
    <n v="56119.5"/>
    <n v="13243.5"/>
  </r>
  <r>
    <x v="0"/>
    <x v="3"/>
    <x v="2"/>
    <n v="2901"/>
    <n v="404"/>
    <n v="8.1"/>
    <n v="7.4"/>
    <n v="94.3"/>
    <n v="1172004"/>
    <n v="273564.3"/>
  </r>
  <r>
    <x v="0"/>
    <x v="2"/>
    <x v="2"/>
    <n v="4249"/>
    <n v="358.6"/>
    <n v="9.9"/>
    <n v="6.1"/>
    <n v="90"/>
    <n v="1523691.4000000001"/>
    <n v="382410"/>
  </r>
  <r>
    <x v="0"/>
    <x v="7"/>
    <x v="2"/>
    <n v="305"/>
    <n v="229"/>
    <n v="7.6"/>
    <n v="4.5"/>
    <n v="107.6"/>
    <n v="69845"/>
    <n v="32818"/>
  </r>
  <r>
    <x v="0"/>
    <x v="9"/>
    <x v="2"/>
    <n v="20034"/>
    <n v="348.7"/>
    <n v="8.1999999999999993"/>
    <n v="5.8"/>
    <n v="84.8"/>
    <n v="6985855.7999999998"/>
    <n v="1698883.2"/>
  </r>
  <r>
    <x v="0"/>
    <x v="5"/>
    <x v="2"/>
    <n v="549"/>
    <n v="378.2"/>
    <n v="8.1"/>
    <n v="8"/>
    <n v="92.5"/>
    <n v="207631.8"/>
    <n v="50782.5"/>
  </r>
  <r>
    <x v="0"/>
    <x v="6"/>
    <x v="2"/>
    <n v="2359"/>
    <n v="370.8"/>
    <n v="7.6"/>
    <n v="6.6"/>
    <n v="87.9"/>
    <n v="874717.20000000007"/>
    <n v="207356.1"/>
  </r>
  <r>
    <x v="0"/>
    <x v="1"/>
    <x v="2"/>
    <n v="38839"/>
    <n v="324.89999999999998"/>
    <n v="6.8"/>
    <n v="3.4"/>
    <n v="68.7"/>
    <n v="12618791.1"/>
    <n v="2668239.3000000003"/>
  </r>
  <r>
    <x v="0"/>
    <x v="0"/>
    <x v="2"/>
    <n v="21654"/>
    <n v="313.3"/>
    <n v="7.3"/>
    <n v="4.0999999999999996"/>
    <n v="69.8"/>
    <n v="6784198.2000000002"/>
    <n v="1511449.2"/>
  </r>
  <r>
    <x v="1"/>
    <x v="4"/>
    <x v="2"/>
    <n v="2167"/>
    <n v="306.5"/>
    <n v="9.5"/>
    <n v="6.8"/>
    <n v="25.1"/>
    <n v="664185.5"/>
    <n v="54391.700000000004"/>
  </r>
  <r>
    <x v="1"/>
    <x v="8"/>
    <x v="2"/>
    <n v="257"/>
    <n v="320"/>
    <n v="6.6"/>
    <n v="8.6"/>
    <n v="21.8"/>
    <n v="82240"/>
    <n v="5602.6"/>
  </r>
  <r>
    <x v="1"/>
    <x v="3"/>
    <x v="2"/>
    <n v="3788"/>
    <n v="332.7"/>
    <n v="8.1"/>
    <n v="7.8"/>
    <n v="24.2"/>
    <n v="1260267.5999999999"/>
    <n v="91669.599999999991"/>
  </r>
  <r>
    <x v="1"/>
    <x v="2"/>
    <x v="2"/>
    <n v="5922"/>
    <n v="302.39999999999998"/>
    <n v="9.4"/>
    <n v="6.6"/>
    <n v="26.2"/>
    <n v="1790812.7999999998"/>
    <n v="155156.4"/>
  </r>
  <r>
    <x v="1"/>
    <x v="7"/>
    <x v="2"/>
    <n v="189"/>
    <n v="193.5"/>
    <n v="6.6"/>
    <n v="4.8"/>
    <n v="42.5"/>
    <n v="36571.5"/>
    <n v="8032.5"/>
  </r>
  <r>
    <x v="1"/>
    <x v="9"/>
    <x v="2"/>
    <n v="31280"/>
    <n v="316.2"/>
    <n v="8.8000000000000007"/>
    <n v="7.1"/>
    <n v="25.6"/>
    <n v="9890736"/>
    <n v="800768"/>
  </r>
  <r>
    <x v="1"/>
    <x v="5"/>
    <x v="2"/>
    <n v="1274"/>
    <n v="312.89999999999998"/>
    <n v="8"/>
    <n v="8.1"/>
    <n v="23.9"/>
    <n v="398634.6"/>
    <n v="30448.6"/>
  </r>
  <r>
    <x v="1"/>
    <x v="6"/>
    <x v="2"/>
    <n v="3327"/>
    <n v="322.39999999999998"/>
    <n v="8.1"/>
    <n v="7.3"/>
    <n v="24.3"/>
    <n v="1072624.7999999998"/>
    <n v="80846.100000000006"/>
  </r>
  <r>
    <x v="1"/>
    <x v="1"/>
    <x v="2"/>
    <n v="8380"/>
    <n v="304.10000000000002"/>
    <n v="8"/>
    <n v="4.5"/>
    <n v="27.5"/>
    <n v="2548358"/>
    <n v="230450"/>
  </r>
  <r>
    <x v="1"/>
    <x v="0"/>
    <x v="2"/>
    <n v="5143"/>
    <n v="301.8"/>
    <n v="8.3000000000000007"/>
    <n v="5.3"/>
    <n v="28.5"/>
    <n v="1552157.4000000001"/>
    <n v="146575.5"/>
  </r>
  <r>
    <x v="2"/>
    <x v="4"/>
    <x v="2"/>
    <n v="472"/>
    <n v="313.7"/>
    <n v="8.6999999999999993"/>
    <n v="6.1"/>
    <n v="35.799999999999997"/>
    <n v="148066.4"/>
    <n v="16897.599999999999"/>
  </r>
  <r>
    <x v="2"/>
    <x v="8"/>
    <x v="2"/>
    <n v="47"/>
    <n v="362.7"/>
    <n v="5.9"/>
    <n v="7.1"/>
    <n v="37.1"/>
    <n v="17046.899999999998"/>
    <n v="1743.7"/>
  </r>
  <r>
    <x v="2"/>
    <x v="3"/>
    <x v="2"/>
    <n v="656"/>
    <n v="343.7"/>
    <n v="7.4"/>
    <n v="7"/>
    <n v="35.5"/>
    <n v="225467.19999999998"/>
    <n v="23288"/>
  </r>
  <r>
    <x v="2"/>
    <x v="2"/>
    <x v="2"/>
    <n v="1546"/>
    <n v="320.60000000000002"/>
    <n v="9.1"/>
    <n v="6.1"/>
    <n v="38"/>
    <n v="495647.60000000003"/>
    <n v="58748"/>
  </r>
  <r>
    <x v="2"/>
    <x v="7"/>
    <x v="2"/>
    <n v="31"/>
    <n v="206.1"/>
    <n v="6.7"/>
    <n v="4.3"/>
    <n v="43.5"/>
    <n v="6389.0999999999995"/>
    <n v="1348.5"/>
  </r>
  <r>
    <x v="2"/>
    <x v="9"/>
    <x v="2"/>
    <n v="7359"/>
    <n v="313.3"/>
    <n v="7.8"/>
    <n v="5.8"/>
    <n v="36.799999999999997"/>
    <n v="2305574.7000000002"/>
    <n v="270811.19999999995"/>
  </r>
  <r>
    <x v="2"/>
    <x v="5"/>
    <x v="2"/>
    <n v="195"/>
    <n v="329.1"/>
    <n v="7.5"/>
    <n v="7.5"/>
    <n v="37.700000000000003"/>
    <n v="64174.500000000007"/>
    <n v="7351.5000000000009"/>
  </r>
  <r>
    <x v="2"/>
    <x v="6"/>
    <x v="2"/>
    <n v="773"/>
    <n v="319.8"/>
    <n v="7"/>
    <n v="6.2"/>
    <n v="35.6"/>
    <n v="247205.40000000002"/>
    <n v="27518.800000000003"/>
  </r>
  <r>
    <x v="2"/>
    <x v="1"/>
    <x v="2"/>
    <n v="13030"/>
    <n v="295.60000000000002"/>
    <n v="6.7"/>
    <n v="3.4"/>
    <n v="37.9"/>
    <n v="3851668.0000000005"/>
    <n v="493837"/>
  </r>
  <r>
    <x v="2"/>
    <x v="0"/>
    <x v="2"/>
    <n v="6792"/>
    <n v="283.5"/>
    <n v="7"/>
    <n v="4"/>
    <n v="38.299999999999997"/>
    <n v="1925532"/>
    <n v="260133.59999999998"/>
  </r>
  <r>
    <x v="3"/>
    <x v="4"/>
    <x v="2"/>
    <n v="828"/>
    <n v="342"/>
    <n v="8.6999999999999993"/>
    <n v="6.8"/>
    <n v="26.3"/>
    <n v="283176"/>
    <n v="21776.400000000001"/>
  </r>
  <r>
    <x v="3"/>
    <x v="8"/>
    <x v="2"/>
    <n v="31"/>
    <n v="337.8"/>
    <n v="7.5"/>
    <n v="6.5"/>
    <n v="29.4"/>
    <n v="10471.800000000001"/>
    <n v="911.4"/>
  </r>
  <r>
    <x v="3"/>
    <x v="3"/>
    <x v="2"/>
    <n v="213"/>
    <n v="353.4"/>
    <n v="6.8"/>
    <n v="7"/>
    <n v="24.1"/>
    <n v="75274.2"/>
    <n v="5133.3"/>
  </r>
  <r>
    <x v="3"/>
    <x v="2"/>
    <x v="2"/>
    <n v="1861"/>
    <n v="334.4"/>
    <n v="8.3000000000000007"/>
    <n v="6.4"/>
    <n v="26.2"/>
    <n v="622318.39999999991"/>
    <n v="48758.2"/>
  </r>
  <r>
    <x v="3"/>
    <x v="7"/>
    <x v="2"/>
    <n v="111"/>
    <n v="251.1"/>
    <n v="7.1"/>
    <n v="5.0999999999999996"/>
    <n v="40.799999999999997"/>
    <n v="27872.1"/>
    <n v="4528.7999999999993"/>
  </r>
  <r>
    <x v="3"/>
    <x v="9"/>
    <x v="2"/>
    <n v="8705"/>
    <n v="341.9"/>
    <n v="7.8"/>
    <n v="6.3"/>
    <n v="26.8"/>
    <n v="2976239.5"/>
    <n v="233294"/>
  </r>
  <r>
    <x v="3"/>
    <x v="5"/>
    <x v="2"/>
    <n v="182"/>
    <n v="349.5"/>
    <n v="7.4"/>
    <n v="7.3"/>
    <n v="26.4"/>
    <n v="63609"/>
    <n v="4804.8"/>
  </r>
  <r>
    <x v="3"/>
    <x v="6"/>
    <x v="2"/>
    <n v="405"/>
    <n v="355.7"/>
    <n v="7.3"/>
    <n v="6.7"/>
    <n v="24.7"/>
    <n v="144058.5"/>
    <n v="10003.5"/>
  </r>
  <r>
    <x v="3"/>
    <x v="1"/>
    <x v="2"/>
    <n v="10071"/>
    <n v="331.9"/>
    <n v="7.2"/>
    <n v="4.0999999999999996"/>
    <n v="27.1"/>
    <n v="3342564.9"/>
    <n v="272924.10000000003"/>
  </r>
  <r>
    <x v="3"/>
    <x v="0"/>
    <x v="2"/>
    <n v="7607"/>
    <n v="331.9"/>
    <n v="7.4"/>
    <n v="4.8"/>
    <n v="28.1"/>
    <n v="2524763.2999999998"/>
    <n v="213756.7"/>
  </r>
  <r>
    <x v="4"/>
    <x v="4"/>
    <x v="2"/>
    <n v="3351"/>
    <n v="355.8"/>
    <n v="7.7"/>
    <n v="7.8"/>
    <n v="17.8"/>
    <n v="1192285.8"/>
    <n v="59647.8"/>
  </r>
  <r>
    <x v="4"/>
    <x v="8"/>
    <x v="2"/>
    <n v="424"/>
    <n v="376.2"/>
    <n v="5.2"/>
    <n v="10"/>
    <n v="14.8"/>
    <n v="159508.79999999999"/>
    <n v="6275.2000000000007"/>
  </r>
  <r>
    <x v="4"/>
    <x v="3"/>
    <x v="2"/>
    <n v="6384"/>
    <n v="382.5"/>
    <n v="6.4"/>
    <n v="9.1"/>
    <n v="16.5"/>
    <n v="2441880"/>
    <n v="105336"/>
  </r>
  <r>
    <x v="4"/>
    <x v="2"/>
    <x v="2"/>
    <n v="9982"/>
    <n v="349.9"/>
    <n v="7.8"/>
    <n v="7.5"/>
    <n v="18"/>
    <n v="3492701.8"/>
    <n v="179676"/>
  </r>
  <r>
    <x v="4"/>
    <x v="7"/>
    <x v="2"/>
    <n v="119"/>
    <n v="201.4"/>
    <n v="4.7"/>
    <n v="5"/>
    <n v="24.6"/>
    <n v="23966.600000000002"/>
    <n v="2927.4"/>
  </r>
  <r>
    <x v="4"/>
    <x v="9"/>
    <x v="2"/>
    <n v="50927"/>
    <n v="363.4"/>
    <n v="6.9"/>
    <n v="7.9"/>
    <n v="17.3"/>
    <n v="18506871.799999997"/>
    <n v="881037.10000000009"/>
  </r>
  <r>
    <x v="4"/>
    <x v="5"/>
    <x v="2"/>
    <n v="1914"/>
    <n v="370.9"/>
    <n v="6.4"/>
    <n v="9.5"/>
    <n v="16.8"/>
    <n v="709902.6"/>
    <n v="32155.200000000001"/>
  </r>
  <r>
    <x v="4"/>
    <x v="6"/>
    <x v="2"/>
    <n v="6751"/>
    <n v="376.4"/>
    <n v="6.5"/>
    <n v="8.5"/>
    <n v="16.5"/>
    <n v="2541076.4"/>
    <n v="111391.5"/>
  </r>
  <r>
    <x v="4"/>
    <x v="1"/>
    <x v="2"/>
    <n v="47163"/>
    <n v="324.89999999999998"/>
    <n v="6.2"/>
    <n v="4.5"/>
    <n v="18.399999999999999"/>
    <n v="15323258.699999999"/>
    <n v="867799.2"/>
  </r>
  <r>
    <x v="4"/>
    <x v="0"/>
    <x v="2"/>
    <n v="19826"/>
    <n v="327.2"/>
    <n v="6.5"/>
    <n v="5.2"/>
    <n v="18.8"/>
    <n v="6487067.2000000002"/>
    <n v="372728.8"/>
  </r>
  <r>
    <x v="5"/>
    <x v="4"/>
    <x v="2"/>
    <n v="375"/>
    <n v="380.2"/>
    <n v="6.7"/>
    <n v="7.2"/>
    <n v="30.6"/>
    <n v="142575"/>
    <n v="11475"/>
  </r>
  <r>
    <x v="5"/>
    <x v="8"/>
    <x v="2"/>
    <n v="16"/>
    <n v="445.4"/>
    <n v="4.4000000000000004"/>
    <n v="8.9"/>
    <n v="29"/>
    <n v="7126.4"/>
    <n v="464"/>
  </r>
  <r>
    <x v="5"/>
    <x v="3"/>
    <x v="2"/>
    <n v="404"/>
    <n v="402.2"/>
    <n v="5.3"/>
    <n v="8.1999999999999993"/>
    <n v="28.9"/>
    <n v="162488.79999999999"/>
    <n v="11675.599999999999"/>
  </r>
  <r>
    <x v="5"/>
    <x v="2"/>
    <x v="2"/>
    <n v="1695"/>
    <n v="373.2"/>
    <n v="6.6"/>
    <n v="7"/>
    <n v="30"/>
    <n v="632574"/>
    <n v="50850"/>
  </r>
  <r>
    <x v="5"/>
    <x v="7"/>
    <x v="2"/>
    <n v="79"/>
    <n v="261.8"/>
    <n v="4.8"/>
    <n v="5.4"/>
    <n v="34.5"/>
    <n v="20682.2"/>
    <n v="2725.5"/>
  </r>
  <r>
    <x v="5"/>
    <x v="9"/>
    <x v="2"/>
    <n v="6041"/>
    <n v="367.8"/>
    <n v="5.9"/>
    <n v="7"/>
    <n v="29.6"/>
    <n v="2221879.8000000003"/>
    <n v="178813.6"/>
  </r>
  <r>
    <x v="5"/>
    <x v="5"/>
    <x v="2"/>
    <n v="155"/>
    <n v="404.3"/>
    <n v="5.2"/>
    <n v="9.3000000000000007"/>
    <n v="29.5"/>
    <n v="62666.5"/>
    <n v="4572.5"/>
  </r>
  <r>
    <x v="5"/>
    <x v="6"/>
    <x v="2"/>
    <n v="513"/>
    <n v="405.1"/>
    <n v="5.3"/>
    <n v="7.9"/>
    <n v="29.4"/>
    <n v="207816.30000000002"/>
    <n v="15082.199999999999"/>
  </r>
  <r>
    <x v="5"/>
    <x v="1"/>
    <x v="2"/>
    <n v="5487"/>
    <n v="363.9"/>
    <n v="5.7"/>
    <n v="4.4000000000000004"/>
    <n v="28"/>
    <n v="1996719.2999999998"/>
    <n v="153636"/>
  </r>
  <r>
    <x v="5"/>
    <x v="0"/>
    <x v="2"/>
    <n v="2999"/>
    <n v="357.5"/>
    <n v="6.1"/>
    <n v="5.0999999999999996"/>
    <n v="28"/>
    <n v="1072142.5"/>
    <n v="83972"/>
  </r>
  <r>
    <x v="6"/>
    <x v="4"/>
    <x v="2"/>
    <n v="251"/>
    <n v="545.5"/>
    <n v="7.4"/>
    <n v="8"/>
    <n v="59.3"/>
    <n v="136920.5"/>
    <n v="14884.3"/>
  </r>
  <r>
    <x v="6"/>
    <x v="8"/>
    <x v="2"/>
    <n v="14"/>
    <n v="594.79999999999995"/>
    <n v="3.9"/>
    <n v="10.4"/>
    <n v="65.8"/>
    <n v="8327.1999999999989"/>
    <n v="921.19999999999993"/>
  </r>
  <r>
    <x v="6"/>
    <x v="3"/>
    <x v="2"/>
    <n v="326"/>
    <n v="582"/>
    <n v="5.3"/>
    <n v="8.9"/>
    <n v="59.6"/>
    <n v="189732"/>
    <n v="19429.600000000002"/>
  </r>
  <r>
    <x v="6"/>
    <x v="2"/>
    <x v="2"/>
    <n v="574"/>
    <n v="539"/>
    <n v="7.9"/>
    <n v="7.9"/>
    <n v="59"/>
    <n v="309386"/>
    <n v="33866"/>
  </r>
  <r>
    <x v="6"/>
    <x v="7"/>
    <x v="2"/>
    <n v="106"/>
    <n v="292.10000000000002"/>
    <n v="4.4000000000000004"/>
    <n v="5"/>
    <n v="58.6"/>
    <n v="30962.600000000002"/>
    <n v="6211.6"/>
  </r>
  <r>
    <x v="6"/>
    <x v="9"/>
    <x v="2"/>
    <n v="644"/>
    <n v="457.3"/>
    <n v="6.2"/>
    <n v="7.8"/>
    <n v="44.8"/>
    <n v="294501.2"/>
    <n v="28851.199999999997"/>
  </r>
  <r>
    <x v="6"/>
    <x v="5"/>
    <x v="2"/>
    <n v="101"/>
    <n v="570.5"/>
    <n v="5.5"/>
    <n v="10.4"/>
    <n v="65.099999999999994"/>
    <n v="57620.5"/>
    <n v="6575.0999999999995"/>
  </r>
  <r>
    <x v="6"/>
    <x v="6"/>
    <x v="2"/>
    <n v="419"/>
    <n v="576.4"/>
    <n v="5.7"/>
    <n v="8.6999999999999993"/>
    <n v="58.4"/>
    <n v="241511.59999999998"/>
    <n v="24469.599999999999"/>
  </r>
  <r>
    <x v="6"/>
    <x v="1"/>
    <x v="2"/>
    <n v="188"/>
    <n v="432.9"/>
    <n v="5.9"/>
    <n v="4.9000000000000004"/>
    <n v="41.2"/>
    <n v="81385.2"/>
    <n v="7745.6"/>
  </r>
  <r>
    <x v="6"/>
    <x v="0"/>
    <x v="2"/>
    <n v="120"/>
    <n v="416.4"/>
    <n v="6.4"/>
    <n v="5.4"/>
    <n v="41.5"/>
    <n v="49968"/>
    <n v="4980"/>
  </r>
  <r>
    <x v="7"/>
    <x v="4"/>
    <x v="2"/>
    <n v="273"/>
    <n v="135.5"/>
    <n v="5.2"/>
    <n v="5.6"/>
    <n v="8.1"/>
    <n v="36991.5"/>
    <n v="2211.2999999999997"/>
  </r>
  <r>
    <x v="7"/>
    <x v="8"/>
    <x v="2"/>
    <n v="18"/>
    <n v="194.6"/>
    <n v="3.9"/>
    <n v="9.1999999999999993"/>
    <n v="7.8"/>
    <n v="3502.7999999999997"/>
    <n v="140.4"/>
  </r>
  <r>
    <x v="7"/>
    <x v="3"/>
    <x v="2"/>
    <n v="92"/>
    <n v="180.4"/>
    <n v="5.7"/>
    <n v="6.6"/>
    <n v="9.8000000000000007"/>
    <n v="16596.8"/>
    <n v="901.6"/>
  </r>
  <r>
    <x v="7"/>
    <x v="2"/>
    <x v="2"/>
    <n v="294"/>
    <n v="155.1"/>
    <n v="5.5"/>
    <n v="5.5"/>
    <n v="9.6"/>
    <n v="45599.4"/>
    <n v="2822.4"/>
  </r>
  <r>
    <x v="7"/>
    <x v="7"/>
    <x v="2"/>
    <n v="45"/>
    <n v="103.6"/>
    <n v="4.8"/>
    <n v="3.8"/>
    <n v="13.6"/>
    <n v="4662"/>
    <n v="612"/>
  </r>
  <r>
    <x v="7"/>
    <x v="9"/>
    <x v="2"/>
    <n v="1982"/>
    <n v="163.19999999999999"/>
    <n v="5.6"/>
    <n v="5.5"/>
    <n v="9.3000000000000007"/>
    <n v="323462.39999999997"/>
    <n v="18432.600000000002"/>
  </r>
  <r>
    <x v="7"/>
    <x v="5"/>
    <x v="2"/>
    <n v="102"/>
    <n v="183.7"/>
    <n v="5.4"/>
    <n v="8.1"/>
    <n v="9.8000000000000007"/>
    <n v="18737.399999999998"/>
    <n v="999.6"/>
  </r>
  <r>
    <x v="7"/>
    <x v="6"/>
    <x v="2"/>
    <n v="85"/>
    <n v="177.6"/>
    <n v="5.2"/>
    <n v="6.2"/>
    <n v="9.3000000000000007"/>
    <n v="15096"/>
    <n v="790.50000000000011"/>
  </r>
  <r>
    <x v="7"/>
    <x v="1"/>
    <x v="2"/>
    <n v="5726"/>
    <n v="170.2"/>
    <n v="5.0999999999999996"/>
    <n v="4.5"/>
    <n v="9.3000000000000007"/>
    <n v="974565.2"/>
    <n v="53251.8"/>
  </r>
  <r>
    <x v="7"/>
    <x v="0"/>
    <x v="2"/>
    <n v="2294"/>
    <n v="171.7"/>
    <n v="5.5"/>
    <n v="5.0999999999999996"/>
    <n v="9.6999999999999993"/>
    <n v="393879.8"/>
    <n v="2225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1:E67" firstHeaderRow="0" firstDataRow="1" firstDataCol="1" rowPageCount="1" colPageCount="1"/>
  <pivotFields count="12">
    <pivotField axis="axisRow" showAll="0">
      <items count="9">
        <item sd="0" x="0"/>
        <item sd="0" x="2"/>
        <item sd="0" x="1"/>
        <item sd="0" x="3"/>
        <item sd="0" x="4"/>
        <item sd="0" x="5"/>
        <item sd="0" x="7"/>
        <item sd="0" x="6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dataField="1" showAll="0"/>
    <pivotField axis="axisRow" showAll="0" defaultSubtotal="0">
      <items count="3">
        <item n="Mjölkras" x="1"/>
        <item n="Köttras" x="2"/>
        <item n="Korsning/övriga raser" x="0"/>
      </items>
    </pivotField>
    <pivotField axis="axisRow" showAll="0">
      <items count="7">
        <item n="ko, tot" x="3"/>
        <item x="0"/>
        <item x="1"/>
        <item n="tjur, tot" x="4"/>
        <item x="2"/>
        <item x="5"/>
        <item t="default"/>
      </items>
    </pivotField>
  </pivotFields>
  <rowFields count="4">
    <field x="10"/>
    <field x="11"/>
    <field x="0"/>
    <field x="1"/>
  </rowFields>
  <rowItems count="46">
    <i>
      <x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r="1">
      <x v="3"/>
    </i>
    <i r="2">
      <x v="4"/>
    </i>
    <i r="2">
      <x v="5"/>
    </i>
    <i r="1">
      <x v="4"/>
    </i>
    <i r="2">
      <x v="6"/>
    </i>
    <i r="1">
      <x v="5"/>
    </i>
    <i r="2">
      <x v="7"/>
    </i>
    <i>
      <x v="1"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r="1">
      <x v="3"/>
    </i>
    <i r="2">
      <x v="4"/>
    </i>
    <i r="2">
      <x v="5"/>
    </i>
    <i r="1">
      <x v="4"/>
    </i>
    <i r="2">
      <x v="6"/>
    </i>
    <i r="1">
      <x v="5"/>
    </i>
    <i r="2">
      <x v="7"/>
    </i>
    <i>
      <x v="2"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r="1">
      <x v="3"/>
    </i>
    <i r="2">
      <x v="4"/>
    </i>
    <i r="2">
      <x v="5"/>
    </i>
    <i r="1">
      <x v="4"/>
    </i>
    <i r="2">
      <x v="6"/>
    </i>
    <i r="1">
      <x v="5"/>
    </i>
    <i r="2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Antal djur" fld="3" baseField="0" baseItem="0" numFmtId="3"/>
    <dataField name="Sum of Slaktvikt*Antal" fld="8" baseField="0" baseItem="0" numFmtId="3"/>
    <dataField name="Sum of Ålder*Antal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ir.sa.gov.au/__data/assets/pdf_file/0007/272869/Calculating_dry_matter_intakes.pdf" TargetMode="External"/><Relationship Id="rId1" Type="http://schemas.openxmlformats.org/officeDocument/2006/relationships/hyperlink" Target="https://www.gardochdjurhalsan.se/mer-mjolk-till-smakalvar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109" t="s">
        <v>312</v>
      </c>
    </row>
    <row r="2" spans="1:1" x14ac:dyDescent="0.25">
      <c r="A2" t="s">
        <v>589</v>
      </c>
    </row>
    <row r="3" spans="1:1" x14ac:dyDescent="0.25">
      <c r="A3" t="s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876"/>
  <sheetViews>
    <sheetView tabSelected="1" topLeftCell="A46" zoomScale="80" zoomScaleNormal="80" workbookViewId="0">
      <pane ySplit="5040" topLeftCell="A194" activePane="bottomLeft"/>
      <selection activeCell="J61" sqref="J61"/>
      <selection pane="bottomLeft" activeCell="K201" sqref="K201"/>
    </sheetView>
  </sheetViews>
  <sheetFormatPr defaultRowHeight="15" x14ac:dyDescent="0.25"/>
  <cols>
    <col min="1" max="1" width="8" bestFit="1" customWidth="1"/>
    <col min="2" max="2" width="12.5703125" bestFit="1" customWidth="1"/>
    <col min="3" max="3" width="14.7109375" customWidth="1"/>
    <col min="4" max="4" width="8.7109375" bestFit="1" customWidth="1"/>
    <col min="5" max="5" width="12" customWidth="1"/>
    <col min="6" max="7" width="8.7109375" customWidth="1"/>
    <col min="8" max="8" width="10.28515625" customWidth="1"/>
    <col min="9" max="9" width="8.7109375" customWidth="1"/>
    <col min="10" max="10" width="35.5703125" bestFit="1" customWidth="1"/>
    <col min="11" max="11" width="12" bestFit="1" customWidth="1"/>
    <col min="12" max="12" width="12.140625" bestFit="1" customWidth="1"/>
    <col min="13" max="13" width="55.7109375" customWidth="1"/>
    <col min="14" max="14" width="37.42578125" bestFit="1" customWidth="1"/>
  </cols>
  <sheetData>
    <row r="1" spans="1:17" x14ac:dyDescent="0.25">
      <c r="A1" s="6" t="s">
        <v>47</v>
      </c>
      <c r="B1" s="6" t="s">
        <v>283</v>
      </c>
      <c r="C1" s="6" t="s">
        <v>369</v>
      </c>
      <c r="D1" s="6" t="s">
        <v>48</v>
      </c>
      <c r="E1" s="6" t="s">
        <v>620</v>
      </c>
      <c r="F1" s="6" t="s">
        <v>309</v>
      </c>
      <c r="G1" s="6" t="s">
        <v>573</v>
      </c>
      <c r="H1" s="6" t="s">
        <v>313</v>
      </c>
      <c r="I1" s="6" t="s">
        <v>314</v>
      </c>
      <c r="J1" s="6" t="s">
        <v>43</v>
      </c>
      <c r="K1" s="6" t="s">
        <v>0</v>
      </c>
      <c r="L1" s="6" t="s">
        <v>44</v>
      </c>
      <c r="M1" s="6" t="s">
        <v>45</v>
      </c>
      <c r="N1" s="6" t="s">
        <v>46</v>
      </c>
    </row>
    <row r="2" spans="1:17" x14ac:dyDescent="0.25">
      <c r="A2" s="94" t="s">
        <v>285</v>
      </c>
      <c r="B2" s="94"/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1:17" x14ac:dyDescent="0.25">
      <c r="A3" s="97" t="s">
        <v>290</v>
      </c>
      <c r="B3" s="97"/>
      <c r="C3" s="97"/>
      <c r="D3" s="98"/>
      <c r="E3" s="98"/>
      <c r="F3" s="98"/>
      <c r="G3" s="98"/>
      <c r="H3" s="98"/>
      <c r="I3" s="98"/>
      <c r="J3" s="98"/>
      <c r="K3" s="99"/>
      <c r="L3" s="98"/>
      <c r="M3" s="98"/>
      <c r="N3" s="98"/>
    </row>
    <row r="4" spans="1:17" x14ac:dyDescent="0.25">
      <c r="A4" t="s">
        <v>2</v>
      </c>
      <c r="B4" t="s">
        <v>1</v>
      </c>
      <c r="J4" t="s">
        <v>39</v>
      </c>
      <c r="K4" s="2">
        <f>AVERAGE(9829,9903,9953,10112,10330)</f>
        <v>10025.4</v>
      </c>
      <c r="L4" t="s">
        <v>40</v>
      </c>
      <c r="M4" t="s">
        <v>368</v>
      </c>
      <c r="N4" t="s">
        <v>49</v>
      </c>
    </row>
    <row r="5" spans="1:17" x14ac:dyDescent="0.25">
      <c r="A5" t="s">
        <v>2</v>
      </c>
      <c r="B5" t="s">
        <v>1</v>
      </c>
      <c r="J5" t="s">
        <v>592</v>
      </c>
      <c r="K5" s="111">
        <v>8</v>
      </c>
      <c r="L5" s="93" t="s">
        <v>9</v>
      </c>
      <c r="M5" s="93" t="s">
        <v>598</v>
      </c>
      <c r="N5" t="s">
        <v>280</v>
      </c>
    </row>
    <row r="6" spans="1:17" x14ac:dyDescent="0.25">
      <c r="A6" t="s">
        <v>2</v>
      </c>
      <c r="B6" t="s">
        <v>1</v>
      </c>
      <c r="J6" t="s">
        <v>41</v>
      </c>
      <c r="K6" s="1">
        <f>AVERAGE(4.3,4.2,4.2,4.3,4.3)</f>
        <v>4.26</v>
      </c>
      <c r="L6" t="s">
        <v>9</v>
      </c>
      <c r="N6" t="s">
        <v>49</v>
      </c>
    </row>
    <row r="7" spans="1:17" x14ac:dyDescent="0.25">
      <c r="A7" t="s">
        <v>2</v>
      </c>
      <c r="B7" t="s">
        <v>1</v>
      </c>
      <c r="J7" t="s">
        <v>42</v>
      </c>
      <c r="K7" s="1">
        <f>AVERAGE(3.5,3.6,3.5,3.6,3.6)</f>
        <v>3.56</v>
      </c>
      <c r="L7" t="s">
        <v>9</v>
      </c>
      <c r="N7" t="s">
        <v>49</v>
      </c>
    </row>
    <row r="8" spans="1:17" x14ac:dyDescent="0.25">
      <c r="A8" t="s">
        <v>2</v>
      </c>
      <c r="B8" t="s">
        <v>5</v>
      </c>
      <c r="J8" t="s">
        <v>39</v>
      </c>
      <c r="K8" s="2">
        <f>AVERAGE(9135,9246,9280,9499,9676)</f>
        <v>9367.2000000000007</v>
      </c>
      <c r="L8" t="s">
        <v>40</v>
      </c>
      <c r="N8" t="s">
        <v>49</v>
      </c>
    </row>
    <row r="9" spans="1:17" x14ac:dyDescent="0.25">
      <c r="A9" t="s">
        <v>2</v>
      </c>
      <c r="B9" t="s">
        <v>5</v>
      </c>
      <c r="J9" t="s">
        <v>592</v>
      </c>
      <c r="K9" s="111">
        <v>8</v>
      </c>
      <c r="L9" s="93" t="s">
        <v>9</v>
      </c>
      <c r="M9" s="93" t="s">
        <v>598</v>
      </c>
      <c r="N9" t="s">
        <v>280</v>
      </c>
    </row>
    <row r="10" spans="1:17" x14ac:dyDescent="0.25">
      <c r="A10" t="s">
        <v>2</v>
      </c>
      <c r="B10" t="s">
        <v>5</v>
      </c>
      <c r="J10" t="s">
        <v>41</v>
      </c>
      <c r="K10" s="1">
        <f>AVERAGE(4.2,4.1,4.1,4.1,4.2)</f>
        <v>4.1399999999999997</v>
      </c>
      <c r="L10" t="s">
        <v>9</v>
      </c>
      <c r="N10" t="s">
        <v>49</v>
      </c>
    </row>
    <row r="11" spans="1:17" x14ac:dyDescent="0.25">
      <c r="A11" t="s">
        <v>2</v>
      </c>
      <c r="B11" t="s">
        <v>5</v>
      </c>
      <c r="J11" t="s">
        <v>42</v>
      </c>
      <c r="K11" s="1">
        <f>AVERAGE(3.4,3.4,3.4,3.5,3.5)</f>
        <v>3.44</v>
      </c>
      <c r="L11" t="s">
        <v>9</v>
      </c>
      <c r="N11" t="s">
        <v>49</v>
      </c>
    </row>
    <row r="12" spans="1:17" x14ac:dyDescent="0.25">
      <c r="A12" s="100" t="s">
        <v>291</v>
      </c>
      <c r="B12" s="100"/>
      <c r="C12" s="100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</row>
    <row r="13" spans="1:17" s="32" customFormat="1" x14ac:dyDescent="0.25">
      <c r="A13" s="32" t="s">
        <v>37</v>
      </c>
      <c r="J13" s="32" t="s">
        <v>39</v>
      </c>
      <c r="K13" s="258">
        <v>0</v>
      </c>
      <c r="L13" s="32" t="s">
        <v>40</v>
      </c>
      <c r="M13" s="259" t="s">
        <v>597</v>
      </c>
    </row>
    <row r="14" spans="1:17" s="32" customFormat="1" x14ac:dyDescent="0.25">
      <c r="A14" s="32" t="s">
        <v>37</v>
      </c>
      <c r="J14" s="32" t="s">
        <v>592</v>
      </c>
      <c r="K14" s="258">
        <v>0</v>
      </c>
      <c r="L14" s="32" t="s">
        <v>9</v>
      </c>
      <c r="M14" s="259"/>
    </row>
    <row r="15" spans="1:17" x14ac:dyDescent="0.25">
      <c r="A15" t="s">
        <v>37</v>
      </c>
      <c r="J15" t="s">
        <v>41</v>
      </c>
      <c r="K15" s="183">
        <v>4.1399999999999997</v>
      </c>
      <c r="L15" t="s">
        <v>9</v>
      </c>
      <c r="M15" t="s">
        <v>503</v>
      </c>
    </row>
    <row r="16" spans="1:17" x14ac:dyDescent="0.25">
      <c r="A16" t="s">
        <v>37</v>
      </c>
      <c r="J16" t="s">
        <v>42</v>
      </c>
      <c r="K16" s="183">
        <v>3.44</v>
      </c>
      <c r="L16" t="s">
        <v>9</v>
      </c>
      <c r="M16" t="s">
        <v>503</v>
      </c>
      <c r="Q16" s="182" t="s">
        <v>501</v>
      </c>
    </row>
    <row r="17" spans="1:14" x14ac:dyDescent="0.25">
      <c r="A17" t="s">
        <v>37</v>
      </c>
      <c r="J17" t="s">
        <v>279</v>
      </c>
      <c r="K17" s="2">
        <v>0</v>
      </c>
      <c r="L17" t="s">
        <v>9</v>
      </c>
    </row>
    <row r="18" spans="1:14" x14ac:dyDescent="0.25">
      <c r="K18" s="2"/>
    </row>
    <row r="19" spans="1:14" x14ac:dyDescent="0.25">
      <c r="A19" s="94" t="s">
        <v>286</v>
      </c>
      <c r="B19" s="94"/>
      <c r="C19" s="94"/>
      <c r="D19" s="95"/>
      <c r="E19" s="95"/>
      <c r="F19" s="95"/>
      <c r="G19" s="95"/>
      <c r="H19" s="95"/>
      <c r="I19" s="95"/>
      <c r="J19" s="95"/>
      <c r="K19" s="96"/>
      <c r="L19" s="95"/>
      <c r="M19" s="95"/>
      <c r="N19" s="95"/>
    </row>
    <row r="20" spans="1:14" x14ac:dyDescent="0.25">
      <c r="A20" s="97" t="s">
        <v>290</v>
      </c>
      <c r="B20" s="97"/>
      <c r="C20" s="97"/>
      <c r="D20" s="98"/>
      <c r="E20" s="98"/>
      <c r="F20" s="98"/>
      <c r="G20" s="98"/>
      <c r="H20" s="98"/>
      <c r="I20" s="98"/>
      <c r="J20" s="98"/>
      <c r="K20" s="99"/>
      <c r="L20" s="98"/>
      <c r="M20" s="98"/>
      <c r="N20" s="98"/>
    </row>
    <row r="21" spans="1:14" x14ac:dyDescent="0.25">
      <c r="A21" t="s">
        <v>2</v>
      </c>
      <c r="B21" t="s">
        <v>1</v>
      </c>
      <c r="J21" t="s">
        <v>3</v>
      </c>
      <c r="K21">
        <v>13.2</v>
      </c>
      <c r="L21" t="s">
        <v>4</v>
      </c>
      <c r="N21" t="s">
        <v>613</v>
      </c>
    </row>
    <row r="22" spans="1:14" x14ac:dyDescent="0.25">
      <c r="A22" t="s">
        <v>2</v>
      </c>
      <c r="B22" t="s">
        <v>5</v>
      </c>
      <c r="J22" t="s">
        <v>3</v>
      </c>
      <c r="K22">
        <v>12.9</v>
      </c>
      <c r="L22" t="s">
        <v>4</v>
      </c>
      <c r="N22" t="s">
        <v>613</v>
      </c>
    </row>
    <row r="23" spans="1:14" x14ac:dyDescent="0.25">
      <c r="A23" t="s">
        <v>2</v>
      </c>
      <c r="B23" t="s">
        <v>1</v>
      </c>
      <c r="J23" t="s">
        <v>6</v>
      </c>
      <c r="K23">
        <v>27</v>
      </c>
      <c r="L23" t="s">
        <v>4</v>
      </c>
      <c r="M23" t="s">
        <v>7</v>
      </c>
      <c r="N23" t="s">
        <v>613</v>
      </c>
    </row>
    <row r="24" spans="1:14" x14ac:dyDescent="0.25">
      <c r="A24" t="s">
        <v>2</v>
      </c>
      <c r="B24" t="s">
        <v>5</v>
      </c>
      <c r="J24" t="s">
        <v>6</v>
      </c>
      <c r="K24">
        <v>27</v>
      </c>
      <c r="L24" t="s">
        <v>4</v>
      </c>
      <c r="M24" t="s">
        <v>7</v>
      </c>
      <c r="N24" t="s">
        <v>613</v>
      </c>
    </row>
    <row r="25" spans="1:14" x14ac:dyDescent="0.25">
      <c r="A25" t="s">
        <v>2</v>
      </c>
      <c r="B25" t="s">
        <v>1</v>
      </c>
      <c r="J25" t="s">
        <v>8</v>
      </c>
      <c r="K25">
        <v>37.1</v>
      </c>
      <c r="L25" t="s">
        <v>9</v>
      </c>
      <c r="M25" t="s">
        <v>10</v>
      </c>
      <c r="N25" t="s">
        <v>614</v>
      </c>
    </row>
    <row r="26" spans="1:14" x14ac:dyDescent="0.25">
      <c r="A26" t="s">
        <v>2</v>
      </c>
      <c r="B26" t="s">
        <v>5</v>
      </c>
      <c r="J26" t="s">
        <v>8</v>
      </c>
      <c r="K26">
        <v>36.1</v>
      </c>
      <c r="L26" t="s">
        <v>9</v>
      </c>
      <c r="M26" t="s">
        <v>10</v>
      </c>
      <c r="N26" t="s">
        <v>614</v>
      </c>
    </row>
    <row r="27" spans="1:14" x14ac:dyDescent="0.25">
      <c r="A27" t="s">
        <v>2</v>
      </c>
      <c r="J27" t="s">
        <v>653</v>
      </c>
      <c r="K27">
        <v>0</v>
      </c>
      <c r="L27" t="s">
        <v>4</v>
      </c>
    </row>
    <row r="28" spans="1:14" x14ac:dyDescent="0.25">
      <c r="A28" t="s">
        <v>2</v>
      </c>
      <c r="J28" t="s">
        <v>11</v>
      </c>
      <c r="K28" s="13">
        <v>50.655978419999997</v>
      </c>
      <c r="L28" t="s">
        <v>9</v>
      </c>
      <c r="M28" t="s">
        <v>12</v>
      </c>
      <c r="N28" t="s">
        <v>615</v>
      </c>
    </row>
    <row r="29" spans="1:14" x14ac:dyDescent="0.25">
      <c r="A29" t="s">
        <v>2</v>
      </c>
      <c r="J29" t="s">
        <v>13</v>
      </c>
      <c r="K29" s="13">
        <f>(79242*1.07+141785*4.46)/(79242+141785)</f>
        <v>3.2446264031091228</v>
      </c>
      <c r="L29" t="s">
        <v>9</v>
      </c>
      <c r="M29" t="s">
        <v>14</v>
      </c>
    </row>
    <row r="30" spans="1:14" x14ac:dyDescent="0.25">
      <c r="A30" t="s">
        <v>2</v>
      </c>
      <c r="B30" t="s">
        <v>1</v>
      </c>
      <c r="J30" t="s">
        <v>15</v>
      </c>
      <c r="K30">
        <v>5</v>
      </c>
      <c r="L30" t="s">
        <v>9</v>
      </c>
      <c r="M30" t="s">
        <v>14</v>
      </c>
      <c r="N30" t="s">
        <v>614</v>
      </c>
    </row>
    <row r="31" spans="1:14" x14ac:dyDescent="0.25">
      <c r="A31" t="s">
        <v>2</v>
      </c>
      <c r="B31" t="s">
        <v>5</v>
      </c>
      <c r="J31" t="s">
        <v>15</v>
      </c>
      <c r="K31">
        <v>4.5999999999999996</v>
      </c>
      <c r="L31" t="s">
        <v>9</v>
      </c>
      <c r="M31" t="s">
        <v>14</v>
      </c>
      <c r="N31" t="s">
        <v>614</v>
      </c>
    </row>
    <row r="32" spans="1:14" x14ac:dyDescent="0.25">
      <c r="A32" t="s">
        <v>2</v>
      </c>
      <c r="B32" t="s">
        <v>1</v>
      </c>
      <c r="J32" t="s">
        <v>16</v>
      </c>
      <c r="K32">
        <f>9*7</f>
        <v>63</v>
      </c>
      <c r="L32" t="s">
        <v>17</v>
      </c>
      <c r="N32" t="s">
        <v>665</v>
      </c>
    </row>
    <row r="33" spans="1:14" x14ac:dyDescent="0.25">
      <c r="A33" t="s">
        <v>2</v>
      </c>
      <c r="B33" t="s">
        <v>5</v>
      </c>
      <c r="J33" t="s">
        <v>16</v>
      </c>
      <c r="K33">
        <f>12*7</f>
        <v>84</v>
      </c>
      <c r="L33" t="s">
        <v>17</v>
      </c>
      <c r="N33" t="s">
        <v>664</v>
      </c>
    </row>
    <row r="34" spans="1:14" x14ac:dyDescent="0.25">
      <c r="A34" t="s">
        <v>2</v>
      </c>
      <c r="B34" t="s">
        <v>1</v>
      </c>
      <c r="J34" t="s">
        <v>378</v>
      </c>
      <c r="K34" s="271">
        <f>1/90*0.5</f>
        <v>5.5555555555555558E-3</v>
      </c>
      <c r="L34" t="s">
        <v>379</v>
      </c>
      <c r="M34" t="s">
        <v>646</v>
      </c>
      <c r="N34" t="s">
        <v>648</v>
      </c>
    </row>
    <row r="35" spans="1:14" x14ac:dyDescent="0.25">
      <c r="A35" t="s">
        <v>2</v>
      </c>
      <c r="B35" t="s">
        <v>5</v>
      </c>
      <c r="J35" t="s">
        <v>378</v>
      </c>
      <c r="K35" s="271">
        <f>1/99*0.5</f>
        <v>5.0505050505050509E-3</v>
      </c>
      <c r="L35" t="s">
        <v>379</v>
      </c>
      <c r="M35" t="s">
        <v>647</v>
      </c>
      <c r="N35" t="s">
        <v>649</v>
      </c>
    </row>
    <row r="37" spans="1:14" x14ac:dyDescent="0.25">
      <c r="A37" s="100" t="s">
        <v>291</v>
      </c>
      <c r="B37" s="100"/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</row>
    <row r="38" spans="1:14" x14ac:dyDescent="0.25">
      <c r="A38" t="s">
        <v>37</v>
      </c>
      <c r="J38" t="s">
        <v>3</v>
      </c>
      <c r="K38">
        <v>12.7</v>
      </c>
      <c r="L38" t="s">
        <v>4</v>
      </c>
    </row>
    <row r="39" spans="1:14" x14ac:dyDescent="0.25">
      <c r="A39" t="s">
        <v>37</v>
      </c>
      <c r="J39" t="s">
        <v>6</v>
      </c>
      <c r="K39">
        <f>(27.5+28.4+27.6+29.9+30)/5</f>
        <v>28.68</v>
      </c>
      <c r="L39" t="s">
        <v>4</v>
      </c>
      <c r="M39" t="s">
        <v>7</v>
      </c>
      <c r="N39" t="s">
        <v>616</v>
      </c>
    </row>
    <row r="40" spans="1:14" x14ac:dyDescent="0.25">
      <c r="A40" t="s">
        <v>37</v>
      </c>
      <c r="J40" t="s">
        <v>8</v>
      </c>
      <c r="K40" s="13">
        <v>25.100803450000001</v>
      </c>
      <c r="L40" t="s">
        <v>9</v>
      </c>
      <c r="M40" t="s">
        <v>10</v>
      </c>
    </row>
    <row r="41" spans="1:14" x14ac:dyDescent="0.25">
      <c r="A41" t="s">
        <v>37</v>
      </c>
      <c r="J41" t="s">
        <v>653</v>
      </c>
      <c r="K41">
        <v>5</v>
      </c>
      <c r="L41" t="s">
        <v>4</v>
      </c>
      <c r="M41" t="s">
        <v>654</v>
      </c>
      <c r="N41" t="s">
        <v>655</v>
      </c>
    </row>
    <row r="42" spans="1:14" x14ac:dyDescent="0.25">
      <c r="A42" t="s">
        <v>37</v>
      </c>
      <c r="J42" t="s">
        <v>11</v>
      </c>
      <c r="K42">
        <v>51.7</v>
      </c>
      <c r="L42" t="s">
        <v>9</v>
      </c>
      <c r="M42" t="s">
        <v>12</v>
      </c>
      <c r="N42" t="s">
        <v>617</v>
      </c>
    </row>
    <row r="43" spans="1:14" x14ac:dyDescent="0.25">
      <c r="A43" t="s">
        <v>37</v>
      </c>
      <c r="J43" t="s">
        <v>13</v>
      </c>
      <c r="K43" s="1">
        <v>4.573044941</v>
      </c>
      <c r="L43" t="s">
        <v>9</v>
      </c>
      <c r="M43" t="s">
        <v>14</v>
      </c>
    </row>
    <row r="44" spans="1:14" x14ac:dyDescent="0.25">
      <c r="A44" t="s">
        <v>37</v>
      </c>
      <c r="J44" t="s">
        <v>15</v>
      </c>
      <c r="K44" s="1">
        <v>2.2748382920000001</v>
      </c>
      <c r="L44" t="s">
        <v>9</v>
      </c>
      <c r="M44" t="s">
        <v>14</v>
      </c>
    </row>
    <row r="45" spans="1:14" x14ac:dyDescent="0.25">
      <c r="A45" t="s">
        <v>37</v>
      </c>
      <c r="J45" t="s">
        <v>16</v>
      </c>
      <c r="K45" s="2">
        <f>7*30.4</f>
        <v>212.79999999999998</v>
      </c>
      <c r="L45" t="s">
        <v>17</v>
      </c>
      <c r="N45" t="s">
        <v>612</v>
      </c>
    </row>
    <row r="46" spans="1:14" x14ac:dyDescent="0.25">
      <c r="A46" t="s">
        <v>37</v>
      </c>
      <c r="B46" t="s">
        <v>1</v>
      </c>
      <c r="J46" t="s">
        <v>378</v>
      </c>
      <c r="K46" s="183">
        <f>1/17*1.5</f>
        <v>8.8235294117647051E-2</v>
      </c>
      <c r="L46" t="s">
        <v>379</v>
      </c>
      <c r="M46" t="s">
        <v>643</v>
      </c>
      <c r="N46" t="s">
        <v>645</v>
      </c>
    </row>
    <row r="47" spans="1:14" x14ac:dyDescent="0.25">
      <c r="A47" t="s">
        <v>37</v>
      </c>
      <c r="B47" t="s">
        <v>5</v>
      </c>
      <c r="J47" t="s">
        <v>378</v>
      </c>
      <c r="K47" s="183">
        <f>1/32*1.5</f>
        <v>4.6875E-2</v>
      </c>
      <c r="L47" t="s">
        <v>379</v>
      </c>
      <c r="M47" t="s">
        <v>644</v>
      </c>
      <c r="N47" t="s">
        <v>649</v>
      </c>
    </row>
    <row r="49" spans="1:16" x14ac:dyDescent="0.25">
      <c r="J49" s="158" t="s">
        <v>287</v>
      </c>
      <c r="K49" s="158">
        <v>0</v>
      </c>
      <c r="L49" s="158"/>
      <c r="M49" s="159" t="s">
        <v>401</v>
      </c>
    </row>
    <row r="50" spans="1:16" x14ac:dyDescent="0.25">
      <c r="A50" s="97" t="s">
        <v>290</v>
      </c>
      <c r="B50" s="97"/>
      <c r="C50" s="97"/>
      <c r="D50" s="98"/>
      <c r="E50" s="98"/>
      <c r="F50" s="98"/>
      <c r="G50" s="98"/>
      <c r="H50" s="98"/>
      <c r="I50" s="98"/>
      <c r="J50" s="98"/>
      <c r="K50" s="99"/>
      <c r="L50" s="98"/>
      <c r="M50" s="98"/>
      <c r="N50" s="98"/>
      <c r="O50" s="283" t="s">
        <v>621</v>
      </c>
    </row>
    <row r="51" spans="1:16" x14ac:dyDescent="0.25">
      <c r="A51" t="s">
        <v>2</v>
      </c>
      <c r="B51" s="4"/>
      <c r="C51" s="4"/>
      <c r="D51" s="110" t="s">
        <v>18</v>
      </c>
      <c r="E51" s="110"/>
      <c r="F51" s="110"/>
      <c r="G51" s="110"/>
      <c r="H51" s="110"/>
      <c r="I51" s="110"/>
      <c r="J51" s="110" t="s">
        <v>287</v>
      </c>
      <c r="K51" s="2">
        <f>K104/O51</f>
        <v>622.94564509508837</v>
      </c>
      <c r="L51" t="s">
        <v>122</v>
      </c>
      <c r="M51" s="109" t="s">
        <v>627</v>
      </c>
      <c r="N51" t="s">
        <v>641</v>
      </c>
      <c r="O51" s="1">
        <v>0.5</v>
      </c>
    </row>
    <row r="52" spans="1:16" x14ac:dyDescent="0.25">
      <c r="A52" t="s">
        <v>2</v>
      </c>
      <c r="D52" s="110" t="s">
        <v>402</v>
      </c>
      <c r="E52" s="110"/>
      <c r="F52" s="110"/>
      <c r="G52" s="110"/>
      <c r="H52" s="110"/>
      <c r="I52" s="110"/>
      <c r="J52" s="110" t="s">
        <v>287</v>
      </c>
      <c r="K52" s="2">
        <f>K105/O52</f>
        <v>762.19389342033719</v>
      </c>
      <c r="L52" t="s">
        <v>122</v>
      </c>
      <c r="M52" s="109" t="s">
        <v>627</v>
      </c>
      <c r="O52" s="1">
        <f>O65/O64*O51</f>
        <v>0.56603773584905659</v>
      </c>
    </row>
    <row r="53" spans="1:16" x14ac:dyDescent="0.25">
      <c r="A53" t="s">
        <v>2</v>
      </c>
      <c r="D53" s="110"/>
      <c r="E53" s="110"/>
      <c r="F53" s="110"/>
      <c r="G53" s="110"/>
      <c r="H53" s="110"/>
      <c r="I53" s="110"/>
      <c r="J53" s="110" t="s">
        <v>321</v>
      </c>
      <c r="K53" s="110">
        <v>40</v>
      </c>
      <c r="L53" t="s">
        <v>122</v>
      </c>
      <c r="M53" s="93"/>
      <c r="N53" t="s">
        <v>658</v>
      </c>
    </row>
    <row r="54" spans="1:16" x14ac:dyDescent="0.25">
      <c r="A54" t="s">
        <v>2</v>
      </c>
      <c r="B54" t="s">
        <v>1</v>
      </c>
      <c r="D54" s="110"/>
      <c r="E54" s="110"/>
      <c r="F54" s="110"/>
      <c r="G54" s="110"/>
      <c r="H54" s="110"/>
      <c r="I54" s="110"/>
      <c r="J54" s="110" t="s">
        <v>618</v>
      </c>
      <c r="K54" s="274">
        <f>K53+0.55*K32</f>
        <v>74.650000000000006</v>
      </c>
      <c r="L54" t="s">
        <v>122</v>
      </c>
      <c r="M54" s="93"/>
    </row>
    <row r="55" spans="1:16" x14ac:dyDescent="0.25">
      <c r="A55" t="s">
        <v>2</v>
      </c>
      <c r="B55" t="s">
        <v>1</v>
      </c>
      <c r="D55" s="110"/>
      <c r="E55" s="110"/>
      <c r="F55" s="110"/>
      <c r="G55" s="110"/>
      <c r="H55" s="110"/>
      <c r="I55" s="110"/>
      <c r="J55" s="110" t="s">
        <v>619</v>
      </c>
      <c r="K55" s="274">
        <f>K53+0.55*K32</f>
        <v>74.650000000000006</v>
      </c>
      <c r="L55" t="s">
        <v>122</v>
      </c>
      <c r="M55" s="110"/>
      <c r="O55" s="283"/>
    </row>
    <row r="56" spans="1:16" x14ac:dyDescent="0.25">
      <c r="A56" t="s">
        <v>2</v>
      </c>
      <c r="B56" t="s">
        <v>5</v>
      </c>
      <c r="D56" s="110"/>
      <c r="E56" s="110"/>
      <c r="F56" s="110"/>
      <c r="G56" s="110"/>
      <c r="H56" s="110"/>
      <c r="I56" s="110"/>
      <c r="J56" s="110" t="s">
        <v>618</v>
      </c>
      <c r="K56" s="274">
        <f>K53+0.55*K33</f>
        <v>86.2</v>
      </c>
      <c r="L56" t="s">
        <v>122</v>
      </c>
      <c r="M56" s="110"/>
      <c r="O56" s="283"/>
    </row>
    <row r="57" spans="1:16" x14ac:dyDescent="0.25">
      <c r="A57" t="s">
        <v>2</v>
      </c>
      <c r="B57" t="s">
        <v>5</v>
      </c>
      <c r="D57" s="110"/>
      <c r="E57" s="110"/>
      <c r="F57" s="110"/>
      <c r="G57" s="110"/>
      <c r="H57" s="110"/>
      <c r="I57" s="110"/>
      <c r="J57" s="110" t="s">
        <v>619</v>
      </c>
      <c r="K57" s="274">
        <f>K53+0.55*K33</f>
        <v>86.2</v>
      </c>
      <c r="L57" t="s">
        <v>122</v>
      </c>
      <c r="M57" s="110"/>
      <c r="O57" s="283"/>
    </row>
    <row r="58" spans="1:16" x14ac:dyDescent="0.25">
      <c r="A58" t="s">
        <v>2</v>
      </c>
      <c r="D58" s="110"/>
      <c r="E58" s="110"/>
      <c r="F58" s="110"/>
      <c r="G58" s="110"/>
      <c r="H58" s="110"/>
      <c r="I58" s="110"/>
      <c r="J58" s="110" t="s">
        <v>650</v>
      </c>
      <c r="K58" s="274">
        <f>K60</f>
        <v>586.10884105147261</v>
      </c>
      <c r="L58" t="s">
        <v>122</v>
      </c>
      <c r="M58" s="110" t="s">
        <v>651</v>
      </c>
      <c r="O58" s="283" t="s">
        <v>621</v>
      </c>
    </row>
    <row r="59" spans="1:16" x14ac:dyDescent="0.25">
      <c r="A59" t="s">
        <v>2</v>
      </c>
      <c r="D59" t="s">
        <v>611</v>
      </c>
      <c r="F59" s="110"/>
      <c r="G59" s="110"/>
      <c r="H59" s="110"/>
      <c r="I59" s="110"/>
      <c r="J59" s="110" t="s">
        <v>284</v>
      </c>
      <c r="K59" s="274">
        <f>K106/O59</f>
        <v>338.44023370458274</v>
      </c>
      <c r="L59" t="s">
        <v>122</v>
      </c>
      <c r="M59" s="109" t="s">
        <v>627</v>
      </c>
      <c r="N59" t="s">
        <v>656</v>
      </c>
      <c r="O59" s="303">
        <v>0.5</v>
      </c>
    </row>
    <row r="60" spans="1:16" x14ac:dyDescent="0.25">
      <c r="A60" t="s">
        <v>2</v>
      </c>
      <c r="D60" s="110" t="s">
        <v>32</v>
      </c>
      <c r="E60" s="110"/>
      <c r="F60" s="110"/>
      <c r="G60" s="110"/>
      <c r="H60" s="110"/>
      <c r="I60" s="110"/>
      <c r="J60" s="110" t="s">
        <v>284</v>
      </c>
      <c r="K60" s="274">
        <f>K107/O60</f>
        <v>586.10884105147261</v>
      </c>
      <c r="L60" t="s">
        <v>122</v>
      </c>
      <c r="M60" s="109" t="s">
        <v>627</v>
      </c>
      <c r="N60" t="s">
        <v>623</v>
      </c>
      <c r="O60" s="284">
        <f>320/625</f>
        <v>0.51200000000000001</v>
      </c>
      <c r="P60" t="s">
        <v>631</v>
      </c>
    </row>
    <row r="61" spans="1:16" x14ac:dyDescent="0.25">
      <c r="A61" t="s">
        <v>2</v>
      </c>
      <c r="D61" s="110" t="s">
        <v>33</v>
      </c>
      <c r="E61" s="110"/>
      <c r="F61" s="110"/>
      <c r="G61" s="110"/>
      <c r="H61" s="110"/>
      <c r="I61" s="110"/>
      <c r="J61" s="110" t="s">
        <v>284</v>
      </c>
      <c r="K61" s="274">
        <f>K108/O61</f>
        <v>640.74329323562813</v>
      </c>
      <c r="L61" t="s">
        <v>122</v>
      </c>
      <c r="M61" s="109" t="s">
        <v>627</v>
      </c>
      <c r="N61" t="s">
        <v>623</v>
      </c>
      <c r="O61" s="284">
        <f>320/625</f>
        <v>0.51200000000000001</v>
      </c>
    </row>
    <row r="62" spans="1:16" x14ac:dyDescent="0.25">
      <c r="A62" t="s">
        <v>2</v>
      </c>
      <c r="D62" s="110" t="s">
        <v>34</v>
      </c>
      <c r="E62" s="110"/>
      <c r="F62" s="110"/>
      <c r="G62" s="110"/>
      <c r="H62" s="110"/>
      <c r="I62" s="110"/>
      <c r="J62" s="110" t="s">
        <v>284</v>
      </c>
      <c r="K62" s="274">
        <f>K109/O62</f>
        <v>636.45866416098977</v>
      </c>
      <c r="L62" t="s">
        <v>122</v>
      </c>
      <c r="M62" s="109" t="s">
        <v>627</v>
      </c>
      <c r="N62" t="s">
        <v>623</v>
      </c>
      <c r="O62" s="284">
        <f>330/640</f>
        <v>0.515625</v>
      </c>
    </row>
    <row r="63" spans="1:16" x14ac:dyDescent="0.25">
      <c r="A63" s="100" t="s">
        <v>291</v>
      </c>
      <c r="B63" s="100"/>
      <c r="C63" s="100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283" t="s">
        <v>621</v>
      </c>
    </row>
    <row r="64" spans="1:16" x14ac:dyDescent="0.25">
      <c r="A64" t="s">
        <v>37</v>
      </c>
      <c r="B64" s="4"/>
      <c r="C64" s="4"/>
      <c r="D64" s="110" t="s">
        <v>18</v>
      </c>
      <c r="E64" s="110"/>
      <c r="F64" s="110"/>
      <c r="G64" s="110"/>
      <c r="H64" s="110"/>
      <c r="I64" s="110"/>
      <c r="J64" s="110" t="s">
        <v>287</v>
      </c>
      <c r="K64" s="274">
        <f>K121/O64</f>
        <v>642.93110058329</v>
      </c>
      <c r="L64" t="s">
        <v>122</v>
      </c>
      <c r="M64" s="109" t="s">
        <v>627</v>
      </c>
      <c r="N64" t="s">
        <v>652</v>
      </c>
      <c r="O64">
        <v>0.53</v>
      </c>
    </row>
    <row r="65" spans="1:15" x14ac:dyDescent="0.25">
      <c r="A65" t="s">
        <v>37</v>
      </c>
      <c r="D65" s="110" t="s">
        <v>402</v>
      </c>
      <c r="E65" s="110"/>
      <c r="F65" s="110"/>
      <c r="G65" s="110"/>
      <c r="H65" s="110"/>
      <c r="I65" s="110"/>
      <c r="J65" s="110" t="s">
        <v>287</v>
      </c>
      <c r="K65" s="274">
        <f>K122/O65</f>
        <v>871.65582368082369</v>
      </c>
      <c r="L65" t="s">
        <v>122</v>
      </c>
      <c r="M65" s="109" t="s">
        <v>627</v>
      </c>
      <c r="N65" t="s">
        <v>652</v>
      </c>
      <c r="O65" s="1">
        <v>0.6</v>
      </c>
    </row>
    <row r="66" spans="1:15" x14ac:dyDescent="0.25">
      <c r="A66" t="s">
        <v>37</v>
      </c>
      <c r="D66" s="110"/>
      <c r="E66" s="110"/>
      <c r="F66" s="110"/>
      <c r="G66" s="110"/>
      <c r="H66" s="110"/>
      <c r="I66" s="110"/>
      <c r="J66" s="110" t="s">
        <v>321</v>
      </c>
      <c r="K66" s="110">
        <v>41</v>
      </c>
      <c r="L66" t="s">
        <v>122</v>
      </c>
      <c r="M66" s="93"/>
      <c r="N66" t="s">
        <v>657</v>
      </c>
    </row>
    <row r="67" spans="1:15" x14ac:dyDescent="0.25">
      <c r="A67" t="s">
        <v>37</v>
      </c>
      <c r="D67" s="110"/>
      <c r="E67" s="110"/>
      <c r="F67" s="110"/>
      <c r="G67" s="110"/>
      <c r="H67" s="110"/>
      <c r="I67" s="110"/>
      <c r="J67" s="110" t="s">
        <v>618</v>
      </c>
      <c r="K67" s="274">
        <f>300*0.95</f>
        <v>285</v>
      </c>
      <c r="L67" t="s">
        <v>122</v>
      </c>
      <c r="M67" s="166" t="s">
        <v>666</v>
      </c>
      <c r="N67" t="s">
        <v>612</v>
      </c>
    </row>
    <row r="68" spans="1:15" x14ac:dyDescent="0.25">
      <c r="A68" t="s">
        <v>37</v>
      </c>
      <c r="D68" s="110"/>
      <c r="E68" s="110"/>
      <c r="F68" s="110"/>
      <c r="G68" s="110"/>
      <c r="H68" s="110"/>
      <c r="I68" s="110"/>
      <c r="J68" s="110" t="s">
        <v>619</v>
      </c>
      <c r="K68" s="274">
        <f>275*0.95</f>
        <v>261.25</v>
      </c>
      <c r="L68" t="s">
        <v>122</v>
      </c>
      <c r="M68" s="166" t="s">
        <v>666</v>
      </c>
      <c r="N68" t="s">
        <v>612</v>
      </c>
      <c r="O68" s="283"/>
    </row>
    <row r="69" spans="1:15" x14ac:dyDescent="0.25">
      <c r="A69" t="s">
        <v>37</v>
      </c>
      <c r="D69" s="110"/>
      <c r="E69" s="110"/>
      <c r="F69" s="110"/>
      <c r="G69" s="110"/>
      <c r="H69" s="110"/>
      <c r="I69" s="110"/>
      <c r="J69" s="110" t="s">
        <v>650</v>
      </c>
      <c r="K69" s="274">
        <f>K71</f>
        <v>591.31287185564975</v>
      </c>
      <c r="L69" t="s">
        <v>122</v>
      </c>
      <c r="M69" s="110" t="s">
        <v>651</v>
      </c>
      <c r="O69" s="283" t="s">
        <v>621</v>
      </c>
    </row>
    <row r="70" spans="1:15" x14ac:dyDescent="0.25">
      <c r="A70" t="s">
        <v>37</v>
      </c>
      <c r="D70" t="s">
        <v>611</v>
      </c>
      <c r="F70" s="110"/>
      <c r="G70" s="110"/>
      <c r="H70" s="110"/>
      <c r="I70" s="110"/>
      <c r="J70" s="110" t="s">
        <v>284</v>
      </c>
      <c r="K70" s="274">
        <f>K123/O70</f>
        <v>315.86083068362478</v>
      </c>
      <c r="L70" t="s">
        <v>122</v>
      </c>
      <c r="M70" s="109" t="s">
        <v>627</v>
      </c>
      <c r="N70" t="s">
        <v>656</v>
      </c>
      <c r="O70" s="303">
        <v>0.5</v>
      </c>
    </row>
    <row r="71" spans="1:15" x14ac:dyDescent="0.25">
      <c r="A71" t="s">
        <v>37</v>
      </c>
      <c r="D71" s="110" t="s">
        <v>32</v>
      </c>
      <c r="E71" s="110"/>
      <c r="F71" s="110"/>
      <c r="G71" s="110"/>
      <c r="H71" s="110"/>
      <c r="I71" s="110"/>
      <c r="J71" s="110" t="s">
        <v>284</v>
      </c>
      <c r="K71" s="274">
        <f>K124/O71</f>
        <v>591.31287185564975</v>
      </c>
      <c r="L71" t="s">
        <v>122</v>
      </c>
      <c r="M71" s="109" t="s">
        <v>627</v>
      </c>
      <c r="N71" t="s">
        <v>622</v>
      </c>
      <c r="O71" s="284">
        <f>315/600</f>
        <v>0.52500000000000002</v>
      </c>
    </row>
    <row r="72" spans="1:15" x14ac:dyDescent="0.25">
      <c r="A72" t="s">
        <v>37</v>
      </c>
      <c r="D72" s="110" t="s">
        <v>33</v>
      </c>
      <c r="E72" s="110"/>
      <c r="F72" s="110"/>
      <c r="G72" s="110"/>
      <c r="H72" s="110"/>
      <c r="I72" s="110"/>
      <c r="J72" s="110" t="s">
        <v>284</v>
      </c>
      <c r="K72" s="274">
        <f>K125/O72</f>
        <v>631.22742272568064</v>
      </c>
      <c r="L72" t="s">
        <v>122</v>
      </c>
      <c r="M72" s="109" t="s">
        <v>627</v>
      </c>
      <c r="N72" t="s">
        <v>622</v>
      </c>
      <c r="O72" s="284">
        <f>330/620</f>
        <v>0.532258064516129</v>
      </c>
    </row>
    <row r="73" spans="1:15" x14ac:dyDescent="0.25">
      <c r="A73" t="s">
        <v>37</v>
      </c>
      <c r="D73" s="110" t="s">
        <v>34</v>
      </c>
      <c r="E73" s="110"/>
      <c r="F73" s="110"/>
      <c r="G73" s="110"/>
      <c r="H73" s="110"/>
      <c r="I73" s="110"/>
      <c r="J73" s="110" t="s">
        <v>284</v>
      </c>
      <c r="K73" s="274">
        <f>K126/O73</f>
        <v>639.06904467839013</v>
      </c>
      <c r="L73" t="s">
        <v>122</v>
      </c>
      <c r="M73" s="109" t="s">
        <v>627</v>
      </c>
      <c r="N73" t="s">
        <v>622</v>
      </c>
      <c r="O73" s="284">
        <f>360/640</f>
        <v>0.5625</v>
      </c>
    </row>
    <row r="74" spans="1:15" x14ac:dyDescent="0.25">
      <c r="A74" s="94" t="s">
        <v>288</v>
      </c>
      <c r="B74" s="94"/>
      <c r="C74" s="94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</row>
    <row r="75" spans="1:15" x14ac:dyDescent="0.25">
      <c r="A75" s="97" t="s">
        <v>290</v>
      </c>
      <c r="B75" s="97"/>
      <c r="C75" s="97"/>
      <c r="D75" s="98"/>
      <c r="E75" s="98"/>
      <c r="F75" s="98"/>
      <c r="G75" s="98"/>
      <c r="H75" s="98"/>
      <c r="I75" s="98"/>
      <c r="J75" s="98"/>
      <c r="K75" s="99"/>
      <c r="L75" s="98"/>
      <c r="M75" s="98"/>
      <c r="N75" s="98"/>
    </row>
    <row r="76" spans="1:15" x14ac:dyDescent="0.25">
      <c r="A76" t="s">
        <v>2</v>
      </c>
      <c r="D76" t="s">
        <v>18</v>
      </c>
      <c r="J76" t="s">
        <v>19</v>
      </c>
      <c r="K76">
        <v>6.6</v>
      </c>
      <c r="L76" t="s">
        <v>9</v>
      </c>
      <c r="M76" t="s">
        <v>10</v>
      </c>
      <c r="N76" t="s">
        <v>612</v>
      </c>
    </row>
    <row r="77" spans="1:15" x14ac:dyDescent="0.25">
      <c r="A77" t="s">
        <v>2</v>
      </c>
      <c r="J77" t="s">
        <v>20</v>
      </c>
      <c r="K77">
        <v>4.2</v>
      </c>
      <c r="L77" t="s">
        <v>9</v>
      </c>
      <c r="M77" t="s">
        <v>21</v>
      </c>
      <c r="N77" t="s">
        <v>612</v>
      </c>
    </row>
    <row r="78" spans="1:15" x14ac:dyDescent="0.25">
      <c r="A78" t="s">
        <v>2</v>
      </c>
      <c r="J78" t="s">
        <v>22</v>
      </c>
      <c r="K78">
        <v>10</v>
      </c>
      <c r="L78" t="s">
        <v>17</v>
      </c>
      <c r="M78" t="s">
        <v>23</v>
      </c>
      <c r="N78" t="s">
        <v>612</v>
      </c>
    </row>
    <row r="79" spans="1:15" x14ac:dyDescent="0.25">
      <c r="A79" t="s">
        <v>2</v>
      </c>
      <c r="J79" t="s">
        <v>24</v>
      </c>
      <c r="K79">
        <v>3.4</v>
      </c>
      <c r="L79" t="s">
        <v>9</v>
      </c>
      <c r="M79" t="s">
        <v>21</v>
      </c>
      <c r="N79" t="s">
        <v>612</v>
      </c>
    </row>
    <row r="80" spans="1:15" x14ac:dyDescent="0.25">
      <c r="A80" t="s">
        <v>2</v>
      </c>
      <c r="J80" t="s">
        <v>25</v>
      </c>
      <c r="K80">
        <v>10</v>
      </c>
      <c r="L80" t="s">
        <v>17</v>
      </c>
      <c r="M80" t="s">
        <v>23</v>
      </c>
      <c r="N80" t="s">
        <v>612</v>
      </c>
    </row>
    <row r="81" spans="1:14" x14ac:dyDescent="0.25">
      <c r="A81" t="s">
        <v>2</v>
      </c>
      <c r="J81" t="s">
        <v>26</v>
      </c>
      <c r="K81">
        <v>6.8</v>
      </c>
      <c r="L81" t="s">
        <v>9</v>
      </c>
      <c r="M81" t="s">
        <v>27</v>
      </c>
      <c r="N81" t="s">
        <v>612</v>
      </c>
    </row>
    <row r="82" spans="1:14" x14ac:dyDescent="0.25">
      <c r="A82" t="s">
        <v>2</v>
      </c>
      <c r="J82" t="s">
        <v>28</v>
      </c>
      <c r="K82" s="93">
        <f>100+10</f>
        <v>110</v>
      </c>
      <c r="L82" t="s">
        <v>17</v>
      </c>
      <c r="M82" t="s">
        <v>23</v>
      </c>
      <c r="N82" s="93" t="s">
        <v>612</v>
      </c>
    </row>
    <row r="83" spans="1:14" x14ac:dyDescent="0.25">
      <c r="A83" t="s">
        <v>2</v>
      </c>
      <c r="J83" t="s">
        <v>29</v>
      </c>
      <c r="K83">
        <v>4</v>
      </c>
      <c r="L83" t="s">
        <v>9</v>
      </c>
      <c r="M83" t="s">
        <v>27</v>
      </c>
      <c r="N83" t="s">
        <v>612</v>
      </c>
    </row>
    <row r="84" spans="1:14" x14ac:dyDescent="0.25">
      <c r="A84" t="s">
        <v>2</v>
      </c>
      <c r="J84" t="s">
        <v>30</v>
      </c>
      <c r="K84" s="93">
        <f>100+10</f>
        <v>110</v>
      </c>
      <c r="L84" t="s">
        <v>17</v>
      </c>
      <c r="M84" t="s">
        <v>23</v>
      </c>
      <c r="N84" s="93" t="s">
        <v>612</v>
      </c>
    </row>
    <row r="85" spans="1:14" x14ac:dyDescent="0.25">
      <c r="A85" s="100" t="s">
        <v>291</v>
      </c>
      <c r="B85" s="100"/>
      <c r="C85" s="100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</row>
    <row r="86" spans="1:14" x14ac:dyDescent="0.25">
      <c r="A86" t="s">
        <v>37</v>
      </c>
      <c r="D86" t="s">
        <v>18</v>
      </c>
      <c r="J86" t="s">
        <v>19</v>
      </c>
      <c r="K86">
        <v>2</v>
      </c>
      <c r="L86" t="s">
        <v>9</v>
      </c>
      <c r="M86" t="s">
        <v>10</v>
      </c>
      <c r="N86" t="s">
        <v>612</v>
      </c>
    </row>
    <row r="87" spans="1:14" x14ac:dyDescent="0.25">
      <c r="A87" t="s">
        <v>37</v>
      </c>
      <c r="J87" t="s">
        <v>20</v>
      </c>
      <c r="K87">
        <v>4</v>
      </c>
      <c r="L87" t="s">
        <v>9</v>
      </c>
      <c r="M87" t="s">
        <v>21</v>
      </c>
      <c r="N87" t="s">
        <v>612</v>
      </c>
    </row>
    <row r="88" spans="1:14" x14ac:dyDescent="0.25">
      <c r="A88" t="s">
        <v>37</v>
      </c>
      <c r="J88" t="s">
        <v>22</v>
      </c>
      <c r="K88">
        <v>3</v>
      </c>
      <c r="L88" t="s">
        <v>17</v>
      </c>
      <c r="M88" t="s">
        <v>38</v>
      </c>
      <c r="N88" t="s">
        <v>612</v>
      </c>
    </row>
    <row r="89" spans="1:14" x14ac:dyDescent="0.25">
      <c r="A89" t="s">
        <v>37</v>
      </c>
      <c r="J89" t="s">
        <v>24</v>
      </c>
      <c r="K89">
        <v>3.2</v>
      </c>
      <c r="L89" t="s">
        <v>9</v>
      </c>
      <c r="M89" t="s">
        <v>21</v>
      </c>
      <c r="N89" t="s">
        <v>612</v>
      </c>
    </row>
    <row r="90" spans="1:14" x14ac:dyDescent="0.25">
      <c r="A90" t="s">
        <v>37</v>
      </c>
      <c r="J90" t="s">
        <v>25</v>
      </c>
      <c r="K90">
        <v>10</v>
      </c>
      <c r="L90" t="s">
        <v>17</v>
      </c>
      <c r="M90" t="s">
        <v>38</v>
      </c>
      <c r="N90" t="s">
        <v>612</v>
      </c>
    </row>
    <row r="91" spans="1:14" x14ac:dyDescent="0.25">
      <c r="A91" t="s">
        <v>37</v>
      </c>
      <c r="J91" t="s">
        <v>26</v>
      </c>
      <c r="K91">
        <v>2.2000000000000002</v>
      </c>
      <c r="L91" t="s">
        <v>9</v>
      </c>
      <c r="M91" t="s">
        <v>27</v>
      </c>
      <c r="N91" t="s">
        <v>612</v>
      </c>
    </row>
    <row r="92" spans="1:14" x14ac:dyDescent="0.25">
      <c r="A92" t="s">
        <v>37</v>
      </c>
      <c r="J92" t="s">
        <v>28</v>
      </c>
      <c r="K92">
        <v>234</v>
      </c>
      <c r="L92" t="s">
        <v>17</v>
      </c>
      <c r="M92" t="s">
        <v>38</v>
      </c>
      <c r="N92" t="s">
        <v>612</v>
      </c>
    </row>
    <row r="93" spans="1:14" x14ac:dyDescent="0.25">
      <c r="A93" t="s">
        <v>37</v>
      </c>
      <c r="J93" t="s">
        <v>29</v>
      </c>
      <c r="K93">
        <v>1.6</v>
      </c>
      <c r="L93" t="s">
        <v>9</v>
      </c>
      <c r="M93" t="s">
        <v>27</v>
      </c>
      <c r="N93" t="s">
        <v>612</v>
      </c>
    </row>
    <row r="94" spans="1:14" x14ac:dyDescent="0.25">
      <c r="A94" t="s">
        <v>37</v>
      </c>
      <c r="J94" t="s">
        <v>30</v>
      </c>
      <c r="K94">
        <v>241</v>
      </c>
      <c r="L94" t="s">
        <v>17</v>
      </c>
      <c r="M94" t="s">
        <v>38</v>
      </c>
      <c r="N94" t="s">
        <v>612</v>
      </c>
    </row>
    <row r="96" spans="1:14" x14ac:dyDescent="0.25">
      <c r="A96" s="94" t="s">
        <v>289</v>
      </c>
      <c r="B96" s="94"/>
      <c r="C96" s="94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</row>
    <row r="97" spans="1:14" x14ac:dyDescent="0.25">
      <c r="A97" s="97" t="s">
        <v>290</v>
      </c>
      <c r="B97" s="97"/>
      <c r="C97" s="97"/>
      <c r="D97" s="98"/>
      <c r="E97" s="98"/>
      <c r="F97" s="98"/>
      <c r="G97" s="98"/>
      <c r="H97" s="98"/>
      <c r="I97" s="98"/>
      <c r="J97" s="98"/>
      <c r="K97" s="99"/>
      <c r="L97" s="98"/>
      <c r="M97" s="98"/>
      <c r="N97" s="98"/>
    </row>
    <row r="98" spans="1:14" x14ac:dyDescent="0.25">
      <c r="A98" t="s">
        <v>2</v>
      </c>
      <c r="D98" t="s">
        <v>18</v>
      </c>
      <c r="J98" t="s">
        <v>31</v>
      </c>
      <c r="K98" s="270">
        <v>61.98743349686297</v>
      </c>
      <c r="L98" t="s">
        <v>4</v>
      </c>
      <c r="N98" t="s">
        <v>626</v>
      </c>
    </row>
    <row r="99" spans="1:14" x14ac:dyDescent="0.25">
      <c r="A99" t="s">
        <v>2</v>
      </c>
      <c r="D99" t="s">
        <v>402</v>
      </c>
      <c r="J99" t="s">
        <v>31</v>
      </c>
      <c r="K99" s="270">
        <v>41.352528548123978</v>
      </c>
      <c r="L99" t="s">
        <v>4</v>
      </c>
      <c r="N99" t="s">
        <v>626</v>
      </c>
    </row>
    <row r="100" spans="1:14" x14ac:dyDescent="0.25">
      <c r="A100" t="s">
        <v>2</v>
      </c>
      <c r="D100" t="s">
        <v>611</v>
      </c>
      <c r="J100" t="s">
        <v>31</v>
      </c>
      <c r="K100" s="270">
        <v>10.328497352565272</v>
      </c>
      <c r="L100" t="s">
        <v>4</v>
      </c>
      <c r="N100" t="s">
        <v>626</v>
      </c>
    </row>
    <row r="101" spans="1:14" x14ac:dyDescent="0.25">
      <c r="A101" t="s">
        <v>2</v>
      </c>
      <c r="D101" t="s">
        <v>32</v>
      </c>
      <c r="J101" t="s">
        <v>31</v>
      </c>
      <c r="K101" s="270">
        <v>30.188104823951395</v>
      </c>
      <c r="L101" t="s">
        <v>4</v>
      </c>
      <c r="N101" t="s">
        <v>626</v>
      </c>
    </row>
    <row r="102" spans="1:14" x14ac:dyDescent="0.25">
      <c r="A102" t="s">
        <v>2</v>
      </c>
      <c r="D102" t="s">
        <v>33</v>
      </c>
      <c r="J102" t="s">
        <v>31</v>
      </c>
      <c r="K102" s="13">
        <v>29.050688450113576</v>
      </c>
      <c r="L102" t="s">
        <v>4</v>
      </c>
      <c r="N102" t="s">
        <v>626</v>
      </c>
    </row>
    <row r="103" spans="1:14" x14ac:dyDescent="0.25">
      <c r="A103" t="s">
        <v>2</v>
      </c>
      <c r="D103" t="s">
        <v>34</v>
      </c>
      <c r="J103" t="s">
        <v>31</v>
      </c>
      <c r="K103" s="13">
        <v>21.274161929371228</v>
      </c>
      <c r="L103" t="s">
        <v>4</v>
      </c>
      <c r="N103" t="s">
        <v>626</v>
      </c>
    </row>
    <row r="104" spans="1:14" x14ac:dyDescent="0.25">
      <c r="A104" t="s">
        <v>2</v>
      </c>
      <c r="D104" t="s">
        <v>18</v>
      </c>
      <c r="J104" t="s">
        <v>35</v>
      </c>
      <c r="K104" s="13">
        <v>311.47282254754418</v>
      </c>
      <c r="L104" t="s">
        <v>36</v>
      </c>
      <c r="N104" t="s">
        <v>626</v>
      </c>
    </row>
    <row r="105" spans="1:14" x14ac:dyDescent="0.25">
      <c r="A105" t="s">
        <v>2</v>
      </c>
      <c r="D105" t="s">
        <v>402</v>
      </c>
      <c r="J105" t="s">
        <v>35</v>
      </c>
      <c r="K105" s="270">
        <v>431.43050570962481</v>
      </c>
      <c r="L105" s="110" t="s">
        <v>36</v>
      </c>
      <c r="N105" t="s">
        <v>626</v>
      </c>
    </row>
    <row r="106" spans="1:14" x14ac:dyDescent="0.25">
      <c r="A106" t="s">
        <v>2</v>
      </c>
      <c r="D106" t="s">
        <v>611</v>
      </c>
      <c r="J106" t="s">
        <v>35</v>
      </c>
      <c r="K106" s="270">
        <v>169.22011685229137</v>
      </c>
      <c r="L106" t="s">
        <v>36</v>
      </c>
      <c r="N106" t="s">
        <v>626</v>
      </c>
    </row>
    <row r="107" spans="1:14" x14ac:dyDescent="0.25">
      <c r="A107" t="s">
        <v>2</v>
      </c>
      <c r="D107" t="s">
        <v>32</v>
      </c>
      <c r="J107" t="s">
        <v>35</v>
      </c>
      <c r="K107" s="270">
        <v>300.087726618354</v>
      </c>
      <c r="L107" t="s">
        <v>36</v>
      </c>
      <c r="N107" t="s">
        <v>626</v>
      </c>
    </row>
    <row r="108" spans="1:14" x14ac:dyDescent="0.25">
      <c r="A108" t="s">
        <v>2</v>
      </c>
      <c r="D108" t="s">
        <v>33</v>
      </c>
      <c r="J108" t="s">
        <v>35</v>
      </c>
      <c r="K108" s="13">
        <v>328.06056613664163</v>
      </c>
      <c r="L108" t="s">
        <v>36</v>
      </c>
      <c r="N108" t="s">
        <v>626</v>
      </c>
    </row>
    <row r="109" spans="1:14" x14ac:dyDescent="0.25">
      <c r="A109" t="s">
        <v>2</v>
      </c>
      <c r="D109" t="s">
        <v>34</v>
      </c>
      <c r="J109" t="s">
        <v>35</v>
      </c>
      <c r="K109" s="13">
        <v>328.17399870801034</v>
      </c>
      <c r="L109" t="s">
        <v>36</v>
      </c>
      <c r="N109" t="s">
        <v>626</v>
      </c>
    </row>
    <row r="110" spans="1:14" x14ac:dyDescent="0.25">
      <c r="A110" t="s">
        <v>2</v>
      </c>
      <c r="B110" t="s">
        <v>1</v>
      </c>
      <c r="J110" t="s">
        <v>495</v>
      </c>
      <c r="K110" s="13">
        <v>7.708382338966838</v>
      </c>
      <c r="L110" t="s">
        <v>9</v>
      </c>
      <c r="M110" t="s">
        <v>499</v>
      </c>
      <c r="N110" t="s">
        <v>380</v>
      </c>
    </row>
    <row r="111" spans="1:14" x14ac:dyDescent="0.25">
      <c r="A111" t="s">
        <v>2</v>
      </c>
      <c r="B111" t="s">
        <v>1</v>
      </c>
      <c r="J111" t="s">
        <v>498</v>
      </c>
      <c r="K111" s="13">
        <v>14.798145933014354</v>
      </c>
      <c r="L111" t="s">
        <v>9</v>
      </c>
      <c r="M111" t="s">
        <v>500</v>
      </c>
      <c r="N111" t="s">
        <v>380</v>
      </c>
    </row>
    <row r="112" spans="1:14" x14ac:dyDescent="0.25">
      <c r="A112" t="s">
        <v>2</v>
      </c>
      <c r="B112" t="s">
        <v>5</v>
      </c>
      <c r="J112" t="s">
        <v>495</v>
      </c>
      <c r="K112" s="13">
        <v>7.708382338966838</v>
      </c>
      <c r="L112" t="s">
        <v>9</v>
      </c>
      <c r="M112" t="s">
        <v>499</v>
      </c>
      <c r="N112" t="s">
        <v>380</v>
      </c>
    </row>
    <row r="113" spans="1:14" x14ac:dyDescent="0.25">
      <c r="A113" t="s">
        <v>2</v>
      </c>
      <c r="B113" t="s">
        <v>5</v>
      </c>
      <c r="J113" t="s">
        <v>498</v>
      </c>
      <c r="K113" s="13">
        <v>65.534646274777856</v>
      </c>
      <c r="L113" t="s">
        <v>9</v>
      </c>
      <c r="M113" t="s">
        <v>500</v>
      </c>
      <c r="N113" t="s">
        <v>380</v>
      </c>
    </row>
    <row r="114" spans="1:14" x14ac:dyDescent="0.25">
      <c r="A114" s="100" t="s">
        <v>291</v>
      </c>
      <c r="B114" s="100"/>
      <c r="C114" s="100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</row>
    <row r="115" spans="1:14" x14ac:dyDescent="0.25">
      <c r="A115" t="s">
        <v>37</v>
      </c>
      <c r="D115" t="s">
        <v>18</v>
      </c>
      <c r="J115" t="s">
        <v>31</v>
      </c>
      <c r="K115" s="270">
        <v>75.040699327626541</v>
      </c>
      <c r="L115" t="s">
        <v>4</v>
      </c>
      <c r="M115" t="s">
        <v>630</v>
      </c>
      <c r="N115" t="s">
        <v>626</v>
      </c>
    </row>
    <row r="116" spans="1:14" x14ac:dyDescent="0.25">
      <c r="A116" t="s">
        <v>37</v>
      </c>
      <c r="D116" t="s">
        <v>402</v>
      </c>
      <c r="J116" t="s">
        <v>31</v>
      </c>
      <c r="K116" s="270">
        <v>56.088803088803097</v>
      </c>
      <c r="L116" t="s">
        <v>4</v>
      </c>
      <c r="N116" t="s">
        <v>626</v>
      </c>
    </row>
    <row r="117" spans="1:14" x14ac:dyDescent="0.25">
      <c r="A117" t="s">
        <v>37</v>
      </c>
      <c r="D117" t="s">
        <v>611</v>
      </c>
      <c r="J117" t="s">
        <v>31</v>
      </c>
      <c r="K117" s="270">
        <v>9.9010035771065183</v>
      </c>
      <c r="L117" t="s">
        <v>4</v>
      </c>
      <c r="N117" t="s">
        <v>626</v>
      </c>
    </row>
    <row r="118" spans="1:14" x14ac:dyDescent="0.25">
      <c r="A118" t="s">
        <v>37</v>
      </c>
      <c r="D118" t="s">
        <v>32</v>
      </c>
      <c r="J118" t="s">
        <v>31</v>
      </c>
      <c r="K118" s="13">
        <v>26.026750161681768</v>
      </c>
      <c r="L118" t="s">
        <v>4</v>
      </c>
      <c r="N118" t="s">
        <v>626</v>
      </c>
    </row>
    <row r="119" spans="1:14" x14ac:dyDescent="0.25">
      <c r="A119" t="s">
        <v>37</v>
      </c>
      <c r="D119" t="s">
        <v>33</v>
      </c>
      <c r="J119" t="s">
        <v>31</v>
      </c>
      <c r="K119" s="13">
        <v>27.558030529284888</v>
      </c>
      <c r="L119" t="s">
        <v>4</v>
      </c>
      <c r="N119" t="s">
        <v>626</v>
      </c>
    </row>
    <row r="120" spans="1:14" x14ac:dyDescent="0.25">
      <c r="A120" t="s">
        <v>37</v>
      </c>
      <c r="D120" t="s">
        <v>34</v>
      </c>
      <c r="J120" t="s">
        <v>31</v>
      </c>
      <c r="K120" s="13">
        <v>19.243860274657415</v>
      </c>
      <c r="L120" t="s">
        <v>4</v>
      </c>
      <c r="N120" t="s">
        <v>626</v>
      </c>
    </row>
    <row r="121" spans="1:14" x14ac:dyDescent="0.25">
      <c r="A121" t="s">
        <v>37</v>
      </c>
      <c r="D121" t="s">
        <v>18</v>
      </c>
      <c r="J121" t="s">
        <v>35</v>
      </c>
      <c r="K121" s="270">
        <v>340.75348330914369</v>
      </c>
      <c r="L121" t="s">
        <v>36</v>
      </c>
      <c r="N121" t="s">
        <v>626</v>
      </c>
    </row>
    <row r="122" spans="1:14" x14ac:dyDescent="0.25">
      <c r="A122" t="s">
        <v>37</v>
      </c>
      <c r="D122" t="s">
        <v>402</v>
      </c>
      <c r="J122" t="s">
        <v>35</v>
      </c>
      <c r="K122" s="270">
        <v>522.99349420849421</v>
      </c>
      <c r="L122" s="110" t="s">
        <v>36</v>
      </c>
      <c r="N122" t="s">
        <v>626</v>
      </c>
    </row>
    <row r="123" spans="1:14" x14ac:dyDescent="0.25">
      <c r="A123" t="s">
        <v>37</v>
      </c>
      <c r="D123" t="s">
        <v>611</v>
      </c>
      <c r="J123" t="s">
        <v>35</v>
      </c>
      <c r="K123" s="270">
        <v>157.93041534181239</v>
      </c>
      <c r="L123" t="s">
        <v>36</v>
      </c>
      <c r="N123" t="s">
        <v>626</v>
      </c>
    </row>
    <row r="124" spans="1:14" x14ac:dyDescent="0.25">
      <c r="A124" t="s">
        <v>37</v>
      </c>
      <c r="D124" t="s">
        <v>32</v>
      </c>
      <c r="J124" t="s">
        <v>35</v>
      </c>
      <c r="K124" s="13">
        <v>310.43925772421613</v>
      </c>
      <c r="L124" t="s">
        <v>36</v>
      </c>
      <c r="N124" t="s">
        <v>626</v>
      </c>
    </row>
    <row r="125" spans="1:14" x14ac:dyDescent="0.25">
      <c r="A125" t="s">
        <v>37</v>
      </c>
      <c r="D125" t="s">
        <v>33</v>
      </c>
      <c r="J125" t="s">
        <v>35</v>
      </c>
      <c r="K125" s="13">
        <v>335.97588628947517</v>
      </c>
      <c r="L125" t="s">
        <v>36</v>
      </c>
      <c r="N125" t="s">
        <v>626</v>
      </c>
    </row>
    <row r="126" spans="1:14" x14ac:dyDescent="0.25">
      <c r="A126" t="s">
        <v>37</v>
      </c>
      <c r="D126" t="s">
        <v>34</v>
      </c>
      <c r="J126" t="s">
        <v>35</v>
      </c>
      <c r="K126" s="13">
        <v>359.47633763159445</v>
      </c>
      <c r="L126" t="s">
        <v>36</v>
      </c>
      <c r="N126" t="s">
        <v>626</v>
      </c>
    </row>
    <row r="127" spans="1:14" x14ac:dyDescent="0.25">
      <c r="A127" t="s">
        <v>37</v>
      </c>
      <c r="B127" t="s">
        <v>1</v>
      </c>
      <c r="J127" t="s">
        <v>495</v>
      </c>
      <c r="K127" s="13">
        <v>2.4579700542883822</v>
      </c>
      <c r="L127" t="s">
        <v>9</v>
      </c>
      <c r="M127" t="s">
        <v>499</v>
      </c>
      <c r="N127" t="s">
        <v>380</v>
      </c>
    </row>
    <row r="128" spans="1:14" x14ac:dyDescent="0.25">
      <c r="A128" t="s">
        <v>37</v>
      </c>
      <c r="B128" t="s">
        <v>1</v>
      </c>
      <c r="J128" t="s">
        <v>498</v>
      </c>
      <c r="K128" s="13">
        <v>9.2748685002842954</v>
      </c>
      <c r="L128" t="s">
        <v>9</v>
      </c>
      <c r="M128" t="s">
        <v>500</v>
      </c>
      <c r="N128" t="s">
        <v>380</v>
      </c>
    </row>
    <row r="129" spans="1:14" x14ac:dyDescent="0.25">
      <c r="A129" t="s">
        <v>37</v>
      </c>
      <c r="B129" t="s">
        <v>5</v>
      </c>
      <c r="J129" t="s">
        <v>495</v>
      </c>
      <c r="K129" s="13">
        <v>2.4579700542883822</v>
      </c>
      <c r="L129" t="s">
        <v>9</v>
      </c>
      <c r="M129" t="s">
        <v>499</v>
      </c>
      <c r="N129" t="s">
        <v>380</v>
      </c>
    </row>
    <row r="130" spans="1:14" x14ac:dyDescent="0.25">
      <c r="A130" t="s">
        <v>37</v>
      </c>
      <c r="B130" t="s">
        <v>5</v>
      </c>
      <c r="J130" t="s">
        <v>498</v>
      </c>
      <c r="K130" s="13">
        <v>35.940115438601644</v>
      </c>
      <c r="L130" t="s">
        <v>9</v>
      </c>
      <c r="M130" t="s">
        <v>500</v>
      </c>
      <c r="N130" t="s">
        <v>380</v>
      </c>
    </row>
    <row r="131" spans="1:14" x14ac:dyDescent="0.25">
      <c r="K131" s="13"/>
    </row>
    <row r="132" spans="1:14" x14ac:dyDescent="0.25">
      <c r="A132" s="256" t="s">
        <v>572</v>
      </c>
      <c r="B132" s="157"/>
      <c r="C132" s="157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</row>
    <row r="133" spans="1:14" x14ac:dyDescent="0.25">
      <c r="A133" s="110" t="s">
        <v>2</v>
      </c>
      <c r="B133" s="110"/>
      <c r="C133" s="110"/>
      <c r="D133" s="110"/>
      <c r="E133" s="93" t="s">
        <v>18</v>
      </c>
      <c r="F133" s="110"/>
      <c r="G133" t="s">
        <v>579</v>
      </c>
      <c r="H133" s="110"/>
      <c r="I133" s="110"/>
      <c r="J133" s="110" t="s">
        <v>571</v>
      </c>
      <c r="K133" s="110">
        <v>5</v>
      </c>
      <c r="L133" s="110" t="s">
        <v>4</v>
      </c>
      <c r="M133" s="110"/>
      <c r="N133" s="110" t="s">
        <v>587</v>
      </c>
    </row>
    <row r="134" spans="1:14" x14ac:dyDescent="0.25">
      <c r="A134" s="110" t="s">
        <v>2</v>
      </c>
      <c r="B134" s="110"/>
      <c r="C134" s="110"/>
      <c r="D134" s="110"/>
      <c r="E134" s="93" t="s">
        <v>18</v>
      </c>
      <c r="F134" s="110"/>
      <c r="G134" t="s">
        <v>580</v>
      </c>
      <c r="H134" s="110"/>
      <c r="I134" s="110"/>
      <c r="J134" s="110" t="s">
        <v>571</v>
      </c>
      <c r="K134" s="110">
        <v>5.4</v>
      </c>
      <c r="L134" s="110" t="s">
        <v>4</v>
      </c>
      <c r="M134" s="110"/>
      <c r="N134" s="110" t="s">
        <v>587</v>
      </c>
    </row>
    <row r="135" spans="1:14" x14ac:dyDescent="0.25">
      <c r="A135" s="110" t="s">
        <v>2</v>
      </c>
      <c r="B135" s="110"/>
      <c r="C135" s="110"/>
      <c r="D135" s="110"/>
      <c r="E135" s="93" t="s">
        <v>18</v>
      </c>
      <c r="F135" s="110"/>
      <c r="G135" t="s">
        <v>581</v>
      </c>
      <c r="H135" s="110"/>
      <c r="I135" s="110"/>
      <c r="J135" s="110" t="s">
        <v>571</v>
      </c>
      <c r="K135" s="110">
        <v>4.9000000000000004</v>
      </c>
      <c r="L135" s="110" t="s">
        <v>4</v>
      </c>
      <c r="M135" s="110"/>
      <c r="N135" s="110" t="s">
        <v>587</v>
      </c>
    </row>
    <row r="136" spans="1:14" x14ac:dyDescent="0.25">
      <c r="A136" s="110" t="s">
        <v>2</v>
      </c>
      <c r="B136" s="110"/>
      <c r="C136" s="110"/>
      <c r="D136" s="110"/>
      <c r="E136" s="93" t="s">
        <v>18</v>
      </c>
      <c r="F136" s="110"/>
      <c r="G136" t="s">
        <v>582</v>
      </c>
      <c r="H136" s="110"/>
      <c r="I136" s="110"/>
      <c r="J136" s="110" t="s">
        <v>571</v>
      </c>
      <c r="K136" s="110">
        <v>5.0999999999999996</v>
      </c>
      <c r="L136" s="110" t="s">
        <v>4</v>
      </c>
      <c r="M136" s="110"/>
      <c r="N136" s="110" t="s">
        <v>587</v>
      </c>
    </row>
    <row r="137" spans="1:14" x14ac:dyDescent="0.25">
      <c r="A137" s="110" t="s">
        <v>2</v>
      </c>
      <c r="B137" s="110"/>
      <c r="C137" s="110"/>
      <c r="D137" s="110"/>
      <c r="E137" s="93" t="s">
        <v>18</v>
      </c>
      <c r="F137" s="110"/>
      <c r="G137" t="s">
        <v>583</v>
      </c>
      <c r="H137" s="110"/>
      <c r="I137" s="110"/>
      <c r="J137" s="110" t="s">
        <v>571</v>
      </c>
      <c r="K137" s="110">
        <v>4.9000000000000004</v>
      </c>
      <c r="L137" s="110" t="s">
        <v>4</v>
      </c>
      <c r="M137" s="110"/>
      <c r="N137" s="110" t="s">
        <v>587</v>
      </c>
    </row>
    <row r="138" spans="1:14" x14ac:dyDescent="0.25">
      <c r="A138" s="110" t="s">
        <v>2</v>
      </c>
      <c r="B138" s="110"/>
      <c r="C138" s="110"/>
      <c r="D138" s="110"/>
      <c r="E138" s="93" t="s">
        <v>18</v>
      </c>
      <c r="F138" s="110"/>
      <c r="G138" t="s">
        <v>584</v>
      </c>
      <c r="H138" s="110"/>
      <c r="I138" s="110"/>
      <c r="J138" s="110" t="s">
        <v>571</v>
      </c>
      <c r="K138" s="110">
        <v>5</v>
      </c>
      <c r="L138" s="110" t="s">
        <v>4</v>
      </c>
      <c r="M138" s="110"/>
      <c r="N138" s="110" t="s">
        <v>588</v>
      </c>
    </row>
    <row r="139" spans="1:14" x14ac:dyDescent="0.25">
      <c r="A139" s="110" t="s">
        <v>2</v>
      </c>
      <c r="B139" s="110"/>
      <c r="C139" s="110"/>
      <c r="D139" s="110"/>
      <c r="E139" s="93" t="s">
        <v>18</v>
      </c>
      <c r="F139" s="110"/>
      <c r="G139" t="s">
        <v>585</v>
      </c>
      <c r="H139" s="110"/>
      <c r="I139" s="110"/>
      <c r="J139" s="110" t="s">
        <v>571</v>
      </c>
      <c r="K139" s="110">
        <v>5</v>
      </c>
      <c r="L139" s="110" t="s">
        <v>4</v>
      </c>
      <c r="M139" s="110"/>
      <c r="N139" s="110" t="s">
        <v>587</v>
      </c>
    </row>
    <row r="140" spans="1:14" x14ac:dyDescent="0.25">
      <c r="A140" s="110" t="s">
        <v>2</v>
      </c>
      <c r="B140" s="110"/>
      <c r="C140" s="110"/>
      <c r="D140" s="110"/>
      <c r="E140" s="93" t="s">
        <v>18</v>
      </c>
      <c r="F140" s="110"/>
      <c r="G140" t="s">
        <v>586</v>
      </c>
      <c r="H140" s="110"/>
      <c r="I140" s="110"/>
      <c r="J140" s="110" t="s">
        <v>571</v>
      </c>
      <c r="K140" s="110">
        <v>3.1</v>
      </c>
      <c r="L140" s="110" t="s">
        <v>4</v>
      </c>
      <c r="M140" s="110"/>
      <c r="N140" s="110" t="s">
        <v>587</v>
      </c>
    </row>
    <row r="141" spans="1:14" x14ac:dyDescent="0.25">
      <c r="A141" s="110"/>
      <c r="B141" s="110"/>
      <c r="C141" s="110"/>
      <c r="D141" s="110"/>
      <c r="E141" s="93"/>
      <c r="F141" s="110"/>
      <c r="G141" s="110"/>
      <c r="H141" s="110"/>
      <c r="I141" s="110"/>
      <c r="J141" s="110"/>
      <c r="K141" s="110"/>
      <c r="L141" s="110"/>
      <c r="M141" s="110"/>
      <c r="N141" s="110"/>
    </row>
    <row r="142" spans="1:14" x14ac:dyDescent="0.25">
      <c r="A142" s="110"/>
      <c r="B142" s="110"/>
      <c r="C142" s="110"/>
      <c r="D142" s="110"/>
      <c r="E142" s="93"/>
      <c r="F142" s="110"/>
      <c r="G142" t="s">
        <v>579</v>
      </c>
      <c r="H142" s="110"/>
      <c r="I142" s="110"/>
      <c r="J142" s="110" t="s">
        <v>571</v>
      </c>
      <c r="K142" s="110">
        <v>6.5</v>
      </c>
      <c r="L142" s="110" t="s">
        <v>4</v>
      </c>
      <c r="M142" s="110" t="s">
        <v>577</v>
      </c>
      <c r="N142" s="110" t="s">
        <v>587</v>
      </c>
    </row>
    <row r="143" spans="1:14" x14ac:dyDescent="0.25">
      <c r="A143" s="110"/>
      <c r="B143" s="110"/>
      <c r="C143" s="110"/>
      <c r="D143" s="110"/>
      <c r="E143" s="93"/>
      <c r="F143" s="110"/>
      <c r="G143" t="s">
        <v>580</v>
      </c>
      <c r="H143" s="110"/>
      <c r="I143" s="110"/>
      <c r="J143" s="110" t="s">
        <v>571</v>
      </c>
      <c r="K143" s="110">
        <v>6.8</v>
      </c>
      <c r="L143" s="110" t="s">
        <v>4</v>
      </c>
      <c r="M143" s="110"/>
      <c r="N143" s="110" t="s">
        <v>587</v>
      </c>
    </row>
    <row r="144" spans="1:14" x14ac:dyDescent="0.25">
      <c r="A144" s="110"/>
      <c r="B144" s="110"/>
      <c r="C144" s="110"/>
      <c r="D144" s="110"/>
      <c r="E144" s="93"/>
      <c r="F144" s="110"/>
      <c r="G144" t="s">
        <v>581</v>
      </c>
      <c r="H144" s="110"/>
      <c r="I144" s="110"/>
      <c r="J144" s="110" t="s">
        <v>571</v>
      </c>
      <c r="K144" s="110">
        <v>6.2</v>
      </c>
      <c r="L144" s="110" t="s">
        <v>4</v>
      </c>
      <c r="M144" s="110"/>
      <c r="N144" s="110" t="s">
        <v>587</v>
      </c>
    </row>
    <row r="145" spans="1:14" x14ac:dyDescent="0.25">
      <c r="A145" s="110"/>
      <c r="B145" s="110"/>
      <c r="C145" s="110"/>
      <c r="D145" s="110"/>
      <c r="E145" s="93"/>
      <c r="F145" s="110"/>
      <c r="G145" t="s">
        <v>582</v>
      </c>
      <c r="H145" s="110"/>
      <c r="I145" s="110"/>
      <c r="J145" s="110" t="s">
        <v>571</v>
      </c>
      <c r="K145" s="110">
        <v>6.3</v>
      </c>
      <c r="L145" s="110" t="s">
        <v>4</v>
      </c>
      <c r="M145" s="110"/>
      <c r="N145" s="110" t="s">
        <v>587</v>
      </c>
    </row>
    <row r="146" spans="1:14" x14ac:dyDescent="0.25">
      <c r="A146" s="110"/>
      <c r="B146" s="110"/>
      <c r="C146" s="110"/>
      <c r="D146" s="110"/>
      <c r="E146" s="93"/>
      <c r="F146" s="110"/>
      <c r="G146" t="s">
        <v>583</v>
      </c>
      <c r="H146" s="110"/>
      <c r="I146" s="110"/>
      <c r="J146" s="110" t="s">
        <v>571</v>
      </c>
      <c r="K146" s="110">
        <v>6.5</v>
      </c>
      <c r="L146" s="110" t="s">
        <v>4</v>
      </c>
      <c r="M146" s="110"/>
      <c r="N146" s="110" t="s">
        <v>587</v>
      </c>
    </row>
    <row r="147" spans="1:14" x14ac:dyDescent="0.25">
      <c r="A147" s="110"/>
      <c r="B147" s="110"/>
      <c r="C147" s="110"/>
      <c r="D147" s="110"/>
      <c r="E147" s="93"/>
      <c r="F147" s="110"/>
      <c r="G147" t="s">
        <v>584</v>
      </c>
      <c r="H147" s="110"/>
      <c r="I147" s="110"/>
      <c r="J147" s="110" t="s">
        <v>571</v>
      </c>
      <c r="K147" s="110">
        <v>6</v>
      </c>
      <c r="L147" s="110" t="s">
        <v>4</v>
      </c>
      <c r="M147" s="110"/>
      <c r="N147" s="110" t="s">
        <v>587</v>
      </c>
    </row>
    <row r="148" spans="1:14" x14ac:dyDescent="0.25">
      <c r="A148" s="110"/>
      <c r="B148" s="110"/>
      <c r="C148" s="110"/>
      <c r="D148" s="110"/>
      <c r="E148" s="93"/>
      <c r="F148" s="110"/>
      <c r="G148" t="s">
        <v>585</v>
      </c>
      <c r="H148" s="110"/>
      <c r="I148" s="110"/>
      <c r="J148" s="110" t="s">
        <v>571</v>
      </c>
      <c r="K148" s="110">
        <v>5.4</v>
      </c>
      <c r="L148" s="110" t="s">
        <v>4</v>
      </c>
      <c r="M148" s="110"/>
      <c r="N148" s="110" t="s">
        <v>587</v>
      </c>
    </row>
    <row r="149" spans="1:14" x14ac:dyDescent="0.25">
      <c r="A149" s="110"/>
      <c r="B149" s="110"/>
      <c r="C149" s="110"/>
      <c r="D149" s="110"/>
      <c r="E149" s="93"/>
      <c r="F149" s="110"/>
      <c r="G149" t="s">
        <v>586</v>
      </c>
      <c r="H149" s="110"/>
      <c r="I149" s="110"/>
      <c r="J149" s="110" t="s">
        <v>571</v>
      </c>
      <c r="K149" s="110">
        <v>4.2</v>
      </c>
      <c r="L149" s="110" t="s">
        <v>4</v>
      </c>
      <c r="M149" s="110"/>
      <c r="N149" s="110" t="s">
        <v>587</v>
      </c>
    </row>
    <row r="150" spans="1:14" x14ac:dyDescent="0.25">
      <c r="A150" s="110"/>
      <c r="B150" s="110"/>
      <c r="C150" s="110"/>
      <c r="D150" s="110"/>
      <c r="E150" s="93"/>
      <c r="F150" s="110"/>
      <c r="G150" s="110"/>
      <c r="H150" s="110"/>
      <c r="I150" s="110"/>
      <c r="J150" s="110"/>
      <c r="K150" s="110"/>
      <c r="L150" s="110"/>
      <c r="M150" s="110"/>
      <c r="N150" s="110"/>
    </row>
    <row r="151" spans="1:14" x14ac:dyDescent="0.25">
      <c r="A151" s="110"/>
      <c r="B151" s="110"/>
      <c r="C151" s="110"/>
      <c r="D151" s="110"/>
      <c r="E151" s="93" t="s">
        <v>633</v>
      </c>
      <c r="F151" s="110"/>
      <c r="G151" t="s">
        <v>579</v>
      </c>
      <c r="H151" s="110"/>
      <c r="I151" s="110"/>
      <c r="J151" s="110" t="s">
        <v>571</v>
      </c>
      <c r="K151" s="110">
        <v>4</v>
      </c>
      <c r="L151" s="110" t="s">
        <v>4</v>
      </c>
      <c r="M151" s="110"/>
      <c r="N151" s="110" t="s">
        <v>587</v>
      </c>
    </row>
    <row r="152" spans="1:14" x14ac:dyDescent="0.25">
      <c r="A152" s="110"/>
      <c r="B152" s="110"/>
      <c r="C152" s="110"/>
      <c r="D152" s="110"/>
      <c r="E152" s="93" t="s">
        <v>633</v>
      </c>
      <c r="F152" s="110"/>
      <c r="G152" t="s">
        <v>580</v>
      </c>
      <c r="H152" s="110"/>
      <c r="I152" s="110"/>
      <c r="J152" s="110" t="s">
        <v>571</v>
      </c>
      <c r="K152" s="110">
        <v>4.3</v>
      </c>
      <c r="L152" s="110" t="s">
        <v>4</v>
      </c>
      <c r="M152" s="110"/>
      <c r="N152" s="110" t="s">
        <v>587</v>
      </c>
    </row>
    <row r="153" spans="1:14" x14ac:dyDescent="0.25">
      <c r="A153" s="110"/>
      <c r="B153" s="110"/>
      <c r="C153" s="110"/>
      <c r="D153" s="110"/>
      <c r="E153" s="93" t="s">
        <v>633</v>
      </c>
      <c r="F153" s="110"/>
      <c r="G153" t="s">
        <v>581</v>
      </c>
      <c r="H153" s="110"/>
      <c r="I153" s="110"/>
      <c r="J153" s="110" t="s">
        <v>571</v>
      </c>
      <c r="K153" s="110">
        <v>4</v>
      </c>
      <c r="L153" s="110" t="s">
        <v>4</v>
      </c>
      <c r="M153" s="110"/>
      <c r="N153" s="110" t="s">
        <v>587</v>
      </c>
    </row>
    <row r="154" spans="1:14" x14ac:dyDescent="0.25">
      <c r="A154" s="110"/>
      <c r="B154" s="110"/>
      <c r="C154" s="110"/>
      <c r="D154" s="110"/>
      <c r="E154" s="93" t="s">
        <v>633</v>
      </c>
      <c r="F154" s="110"/>
      <c r="G154" t="s">
        <v>582</v>
      </c>
      <c r="H154" s="110"/>
      <c r="I154" s="110"/>
      <c r="J154" s="110" t="s">
        <v>571</v>
      </c>
      <c r="K154" s="110">
        <v>4.3</v>
      </c>
      <c r="L154" s="110" t="s">
        <v>4</v>
      </c>
      <c r="M154" s="110"/>
      <c r="N154" s="110" t="s">
        <v>587</v>
      </c>
    </row>
    <row r="155" spans="1:14" x14ac:dyDescent="0.25">
      <c r="A155" s="110"/>
      <c r="B155" s="110"/>
      <c r="C155" s="110"/>
      <c r="D155" s="110"/>
      <c r="E155" s="93" t="s">
        <v>633</v>
      </c>
      <c r="F155" s="110"/>
      <c r="G155" t="s">
        <v>583</v>
      </c>
      <c r="H155" s="110"/>
      <c r="I155" s="110"/>
      <c r="J155" s="110" t="s">
        <v>571</v>
      </c>
      <c r="K155" s="110">
        <v>4.7</v>
      </c>
      <c r="L155" s="110" t="s">
        <v>4</v>
      </c>
      <c r="M155" s="110"/>
      <c r="N155" s="110" t="s">
        <v>587</v>
      </c>
    </row>
    <row r="156" spans="1:14" x14ac:dyDescent="0.25">
      <c r="A156" s="110"/>
      <c r="B156" s="110"/>
      <c r="C156" s="110"/>
      <c r="D156" s="110"/>
      <c r="E156" s="93" t="s">
        <v>633</v>
      </c>
      <c r="F156" s="110"/>
      <c r="G156" t="s">
        <v>584</v>
      </c>
      <c r="H156" s="110"/>
      <c r="I156" s="110"/>
      <c r="J156" s="110" t="s">
        <v>571</v>
      </c>
      <c r="K156" s="110">
        <v>3.8</v>
      </c>
      <c r="L156" s="110" t="s">
        <v>4</v>
      </c>
      <c r="M156" s="110"/>
      <c r="N156" s="110" t="s">
        <v>587</v>
      </c>
    </row>
    <row r="157" spans="1:14" x14ac:dyDescent="0.25">
      <c r="A157" s="110"/>
      <c r="B157" s="110"/>
      <c r="C157" s="110"/>
      <c r="D157" s="110"/>
      <c r="E157" s="93" t="s">
        <v>633</v>
      </c>
      <c r="F157" s="110"/>
      <c r="G157" t="s">
        <v>585</v>
      </c>
      <c r="H157" s="110"/>
      <c r="I157" s="110"/>
      <c r="J157" s="110" t="s">
        <v>571</v>
      </c>
      <c r="K157" s="110">
        <v>3.9</v>
      </c>
      <c r="L157" s="110" t="s">
        <v>4</v>
      </c>
      <c r="M157" s="110"/>
      <c r="N157" s="110" t="s">
        <v>587</v>
      </c>
    </row>
    <row r="158" spans="1:14" x14ac:dyDescent="0.25">
      <c r="A158" s="110"/>
      <c r="B158" s="110"/>
      <c r="C158" s="110"/>
      <c r="D158" s="110"/>
      <c r="E158" s="93" t="s">
        <v>633</v>
      </c>
      <c r="F158" s="110"/>
      <c r="G158" t="s">
        <v>586</v>
      </c>
      <c r="H158" s="110"/>
      <c r="I158" s="110"/>
      <c r="J158" s="110" t="s">
        <v>571</v>
      </c>
      <c r="K158" s="110">
        <v>3.2</v>
      </c>
      <c r="L158" s="110" t="s">
        <v>4</v>
      </c>
      <c r="M158" s="110"/>
      <c r="N158" s="110" t="s">
        <v>587</v>
      </c>
    </row>
    <row r="159" spans="1:14" x14ac:dyDescent="0.25">
      <c r="A159" s="110"/>
      <c r="B159" s="110"/>
      <c r="C159" s="110"/>
      <c r="D159" s="110"/>
      <c r="E159" s="93"/>
      <c r="F159" s="110"/>
      <c r="G159" s="110"/>
      <c r="H159" s="110"/>
      <c r="I159" s="110"/>
      <c r="J159" s="110"/>
      <c r="K159" s="110"/>
      <c r="L159" s="110"/>
      <c r="M159" s="110"/>
      <c r="N159" s="110"/>
    </row>
    <row r="160" spans="1:14" x14ac:dyDescent="0.25">
      <c r="A160" s="110"/>
      <c r="B160" s="110"/>
      <c r="C160" s="110"/>
      <c r="D160" s="110"/>
      <c r="E160" s="93" t="s">
        <v>34</v>
      </c>
      <c r="F160" s="110"/>
      <c r="G160" t="s">
        <v>579</v>
      </c>
      <c r="H160" s="110"/>
      <c r="I160" s="110"/>
      <c r="J160" s="110" t="s">
        <v>571</v>
      </c>
      <c r="K160" s="110">
        <v>0</v>
      </c>
      <c r="L160" s="110" t="s">
        <v>4</v>
      </c>
      <c r="M160" s="110" t="s">
        <v>578</v>
      </c>
      <c r="N160" s="110"/>
    </row>
    <row r="161" spans="1:14" x14ac:dyDescent="0.25">
      <c r="A161" s="110"/>
      <c r="B161" s="110"/>
      <c r="C161" s="110"/>
      <c r="D161" s="110"/>
      <c r="E161" s="93" t="s">
        <v>34</v>
      </c>
      <c r="F161" s="110"/>
      <c r="G161" t="s">
        <v>580</v>
      </c>
      <c r="H161" s="110"/>
      <c r="I161" s="110"/>
      <c r="J161" s="110" t="s">
        <v>571</v>
      </c>
      <c r="K161" s="110">
        <v>0</v>
      </c>
      <c r="L161" s="110" t="s">
        <v>4</v>
      </c>
      <c r="M161" s="110"/>
      <c r="N161" s="110"/>
    </row>
    <row r="162" spans="1:14" x14ac:dyDescent="0.25">
      <c r="A162" s="110"/>
      <c r="B162" s="110"/>
      <c r="C162" s="110"/>
      <c r="D162" s="110"/>
      <c r="E162" s="93" t="s">
        <v>34</v>
      </c>
      <c r="F162" s="110"/>
      <c r="G162" t="s">
        <v>581</v>
      </c>
      <c r="H162" s="110"/>
      <c r="I162" s="110"/>
      <c r="J162" s="110" t="s">
        <v>571</v>
      </c>
      <c r="K162" s="110">
        <v>0</v>
      </c>
      <c r="L162" s="110" t="s">
        <v>4</v>
      </c>
      <c r="M162" s="110"/>
      <c r="N162" s="110"/>
    </row>
    <row r="163" spans="1:14" x14ac:dyDescent="0.25">
      <c r="A163" s="110"/>
      <c r="B163" s="110"/>
      <c r="C163" s="110"/>
      <c r="D163" s="110"/>
      <c r="E163" s="93" t="s">
        <v>34</v>
      </c>
      <c r="F163" s="110"/>
      <c r="G163" t="s">
        <v>582</v>
      </c>
      <c r="H163" s="110"/>
      <c r="I163" s="110"/>
      <c r="J163" s="110" t="s">
        <v>571</v>
      </c>
      <c r="K163" s="110">
        <v>0</v>
      </c>
      <c r="L163" s="110" t="s">
        <v>4</v>
      </c>
      <c r="M163" s="110"/>
      <c r="N163" s="110"/>
    </row>
    <row r="164" spans="1:14" x14ac:dyDescent="0.25">
      <c r="A164" s="110"/>
      <c r="B164" s="110"/>
      <c r="C164" s="110"/>
      <c r="D164" s="110"/>
      <c r="E164" s="93" t="s">
        <v>34</v>
      </c>
      <c r="F164" s="110"/>
      <c r="G164" t="s">
        <v>583</v>
      </c>
      <c r="H164" s="110"/>
      <c r="I164" s="110"/>
      <c r="J164" s="110" t="s">
        <v>571</v>
      </c>
      <c r="K164" s="110">
        <v>0</v>
      </c>
      <c r="L164" s="110" t="s">
        <v>4</v>
      </c>
      <c r="M164" s="110"/>
      <c r="N164" s="110"/>
    </row>
    <row r="165" spans="1:14" x14ac:dyDescent="0.25">
      <c r="A165" s="110"/>
      <c r="B165" s="110"/>
      <c r="C165" s="110"/>
      <c r="D165" s="110"/>
      <c r="E165" s="93" t="s">
        <v>34</v>
      </c>
      <c r="F165" s="110"/>
      <c r="G165" t="s">
        <v>584</v>
      </c>
      <c r="H165" s="110"/>
      <c r="I165" s="110"/>
      <c r="J165" s="110" t="s">
        <v>571</v>
      </c>
      <c r="K165" s="110">
        <v>0</v>
      </c>
      <c r="L165" s="110" t="s">
        <v>4</v>
      </c>
      <c r="M165" s="110"/>
      <c r="N165" s="110"/>
    </row>
    <row r="166" spans="1:14" x14ac:dyDescent="0.25">
      <c r="A166" s="110"/>
      <c r="B166" s="110"/>
      <c r="C166" s="110"/>
      <c r="D166" s="110"/>
      <c r="E166" s="93" t="s">
        <v>34</v>
      </c>
      <c r="F166" s="110"/>
      <c r="G166" t="s">
        <v>585</v>
      </c>
      <c r="H166" s="110"/>
      <c r="I166" s="110"/>
      <c r="J166" s="110" t="s">
        <v>571</v>
      </c>
      <c r="K166" s="110">
        <v>0</v>
      </c>
      <c r="L166" s="110" t="s">
        <v>4</v>
      </c>
      <c r="M166" s="110"/>
      <c r="N166" s="110"/>
    </row>
    <row r="167" spans="1:14" x14ac:dyDescent="0.25">
      <c r="A167" s="110"/>
      <c r="B167" s="110"/>
      <c r="C167" s="110"/>
      <c r="D167" s="110"/>
      <c r="E167" s="93" t="s">
        <v>34</v>
      </c>
      <c r="F167" s="110"/>
      <c r="G167" t="s">
        <v>586</v>
      </c>
      <c r="H167" s="110"/>
      <c r="I167" s="110"/>
      <c r="J167" s="110" t="s">
        <v>571</v>
      </c>
      <c r="K167" s="110">
        <v>0</v>
      </c>
      <c r="L167" s="110" t="s">
        <v>4</v>
      </c>
      <c r="M167" s="110"/>
      <c r="N167" s="110"/>
    </row>
    <row r="168" spans="1:14" x14ac:dyDescent="0.25">
      <c r="A168" s="110"/>
      <c r="B168" s="110"/>
      <c r="C168" s="110"/>
      <c r="D168" s="110"/>
      <c r="E168" s="93"/>
      <c r="F168" s="110"/>
      <c r="G168" s="110"/>
      <c r="H168" s="110"/>
      <c r="I168" s="110"/>
      <c r="J168" s="110"/>
      <c r="K168" s="110"/>
      <c r="L168" s="110"/>
      <c r="M168" s="110"/>
      <c r="N168" s="110"/>
    </row>
    <row r="169" spans="1:14" x14ac:dyDescent="0.25">
      <c r="A169" s="110"/>
      <c r="B169" s="110"/>
      <c r="C169" s="110"/>
      <c r="D169" s="110"/>
      <c r="E169" s="93" t="s">
        <v>402</v>
      </c>
      <c r="F169" s="110"/>
      <c r="G169" t="s">
        <v>579</v>
      </c>
      <c r="H169" s="110"/>
      <c r="I169" s="110"/>
      <c r="J169" s="110" t="s">
        <v>571</v>
      </c>
      <c r="K169" s="110">
        <v>0</v>
      </c>
      <c r="L169" s="110" t="s">
        <v>4</v>
      </c>
      <c r="M169" s="110" t="s">
        <v>578</v>
      </c>
      <c r="N169" s="110"/>
    </row>
    <row r="170" spans="1:14" x14ac:dyDescent="0.25">
      <c r="A170" s="110"/>
      <c r="B170" s="110"/>
      <c r="C170" s="110"/>
      <c r="D170" s="110"/>
      <c r="E170" s="93" t="s">
        <v>402</v>
      </c>
      <c r="F170" s="110"/>
      <c r="G170" t="s">
        <v>580</v>
      </c>
      <c r="H170" s="110"/>
      <c r="I170" s="110"/>
      <c r="J170" s="110" t="s">
        <v>571</v>
      </c>
      <c r="K170" s="110">
        <v>0</v>
      </c>
      <c r="L170" s="110" t="s">
        <v>4</v>
      </c>
      <c r="M170" s="110"/>
      <c r="N170" s="110"/>
    </row>
    <row r="171" spans="1:14" x14ac:dyDescent="0.25">
      <c r="A171" s="110"/>
      <c r="B171" s="110"/>
      <c r="C171" s="110"/>
      <c r="D171" s="110"/>
      <c r="E171" s="93" t="s">
        <v>402</v>
      </c>
      <c r="F171" s="110"/>
      <c r="G171" t="s">
        <v>581</v>
      </c>
      <c r="H171" s="110"/>
      <c r="I171" s="110"/>
      <c r="J171" s="110" t="s">
        <v>571</v>
      </c>
      <c r="K171" s="110">
        <v>0</v>
      </c>
      <c r="L171" s="110" t="s">
        <v>4</v>
      </c>
      <c r="M171" s="110"/>
      <c r="N171" s="110"/>
    </row>
    <row r="172" spans="1:14" x14ac:dyDescent="0.25">
      <c r="A172" s="110"/>
      <c r="B172" s="110"/>
      <c r="C172" s="110"/>
      <c r="D172" s="110"/>
      <c r="E172" s="93" t="s">
        <v>402</v>
      </c>
      <c r="F172" s="110"/>
      <c r="G172" t="s">
        <v>582</v>
      </c>
      <c r="H172" s="110"/>
      <c r="I172" s="110"/>
      <c r="J172" s="110" t="s">
        <v>571</v>
      </c>
      <c r="K172" s="110">
        <v>0</v>
      </c>
      <c r="L172" s="110" t="s">
        <v>4</v>
      </c>
      <c r="M172" s="110"/>
      <c r="N172" s="110"/>
    </row>
    <row r="173" spans="1:14" x14ac:dyDescent="0.25">
      <c r="A173" s="110"/>
      <c r="B173" s="110"/>
      <c r="C173" s="110"/>
      <c r="D173" s="110"/>
      <c r="E173" s="93" t="s">
        <v>402</v>
      </c>
      <c r="F173" s="110"/>
      <c r="G173" t="s">
        <v>583</v>
      </c>
      <c r="H173" s="110"/>
      <c r="I173" s="110"/>
      <c r="J173" s="110" t="s">
        <v>571</v>
      </c>
      <c r="K173" s="110">
        <v>0</v>
      </c>
      <c r="L173" s="110" t="s">
        <v>4</v>
      </c>
      <c r="M173" s="110"/>
      <c r="N173" s="110"/>
    </row>
    <row r="174" spans="1:14" x14ac:dyDescent="0.25">
      <c r="A174" s="110"/>
      <c r="B174" s="110"/>
      <c r="C174" s="110"/>
      <c r="D174" s="110"/>
      <c r="E174" s="93" t="s">
        <v>402</v>
      </c>
      <c r="F174" s="110"/>
      <c r="G174" t="s">
        <v>584</v>
      </c>
      <c r="H174" s="110"/>
      <c r="I174" s="110"/>
      <c r="J174" s="110" t="s">
        <v>571</v>
      </c>
      <c r="K174" s="110">
        <v>0</v>
      </c>
      <c r="L174" s="110" t="s">
        <v>4</v>
      </c>
      <c r="M174" s="110"/>
      <c r="N174" s="110"/>
    </row>
    <row r="175" spans="1:14" x14ac:dyDescent="0.25">
      <c r="A175" s="110"/>
      <c r="B175" s="110"/>
      <c r="C175" s="110"/>
      <c r="D175" s="110"/>
      <c r="E175" s="93" t="s">
        <v>402</v>
      </c>
      <c r="F175" s="110"/>
      <c r="G175" t="s">
        <v>585</v>
      </c>
      <c r="H175" s="110"/>
      <c r="I175" s="110"/>
      <c r="J175" s="110" t="s">
        <v>571</v>
      </c>
      <c r="K175" s="110">
        <v>0</v>
      </c>
      <c r="L175" s="110" t="s">
        <v>4</v>
      </c>
      <c r="M175" s="110"/>
      <c r="N175" s="110"/>
    </row>
    <row r="176" spans="1:14" x14ac:dyDescent="0.25">
      <c r="A176" s="110"/>
      <c r="B176" s="110"/>
      <c r="C176" s="110"/>
      <c r="D176" s="110"/>
      <c r="E176" s="93" t="s">
        <v>402</v>
      </c>
      <c r="F176" s="110"/>
      <c r="G176" t="s">
        <v>586</v>
      </c>
      <c r="H176" s="110"/>
      <c r="I176" s="110"/>
      <c r="J176" s="110" t="s">
        <v>571</v>
      </c>
      <c r="K176" s="110">
        <v>0</v>
      </c>
      <c r="L176" s="110" t="s">
        <v>4</v>
      </c>
      <c r="M176" s="110"/>
      <c r="N176" s="110"/>
    </row>
    <row r="177" spans="1:14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</row>
    <row r="178" spans="1:14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 t="s">
        <v>574</v>
      </c>
      <c r="K178" s="110">
        <v>0</v>
      </c>
      <c r="L178" s="110" t="s">
        <v>9</v>
      </c>
      <c r="M178" s="110" t="s">
        <v>576</v>
      </c>
      <c r="N178" s="110"/>
    </row>
    <row r="179" spans="1:14" x14ac:dyDescent="0.25">
      <c r="A179" s="110" t="s">
        <v>2</v>
      </c>
      <c r="B179" s="110"/>
      <c r="C179" s="110"/>
      <c r="D179" s="110" t="s">
        <v>18</v>
      </c>
      <c r="E179" s="110"/>
      <c r="F179" s="110"/>
      <c r="G179" s="110"/>
      <c r="H179" s="110"/>
      <c r="I179" s="110"/>
      <c r="J179" s="110" t="s">
        <v>574</v>
      </c>
      <c r="K179" s="110">
        <v>38</v>
      </c>
      <c r="L179" s="110" t="s">
        <v>9</v>
      </c>
      <c r="M179" s="110"/>
      <c r="N179" s="110" t="s">
        <v>575</v>
      </c>
    </row>
    <row r="181" spans="1:14" x14ac:dyDescent="0.25">
      <c r="A181" s="94" t="s">
        <v>292</v>
      </c>
      <c r="B181" s="94"/>
      <c r="C181" s="94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</row>
    <row r="182" spans="1:14" x14ac:dyDescent="0.25">
      <c r="A182" s="97" t="s">
        <v>290</v>
      </c>
      <c r="B182" s="97"/>
      <c r="C182" s="97"/>
      <c r="D182" s="98"/>
      <c r="E182" s="98"/>
      <c r="F182" s="98"/>
      <c r="G182" s="98"/>
      <c r="H182" s="98"/>
      <c r="I182" s="98"/>
      <c r="J182" s="98"/>
      <c r="K182" s="99"/>
      <c r="L182" s="98"/>
      <c r="M182" s="98"/>
      <c r="N182" s="98"/>
    </row>
    <row r="183" spans="1:14" x14ac:dyDescent="0.25">
      <c r="A183" t="s">
        <v>2</v>
      </c>
      <c r="H183" t="s">
        <v>5</v>
      </c>
      <c r="I183" t="s">
        <v>1</v>
      </c>
      <c r="J183" t="s">
        <v>315</v>
      </c>
      <c r="K183">
        <v>89</v>
      </c>
      <c r="L183" t="s">
        <v>9</v>
      </c>
      <c r="M183" t="s">
        <v>318</v>
      </c>
    </row>
    <row r="184" spans="1:14" x14ac:dyDescent="0.25">
      <c r="A184" t="s">
        <v>2</v>
      </c>
      <c r="H184" t="s">
        <v>5</v>
      </c>
      <c r="I184" t="s">
        <v>1</v>
      </c>
      <c r="J184" t="s">
        <v>316</v>
      </c>
      <c r="K184">
        <v>8.5</v>
      </c>
      <c r="L184" t="s">
        <v>9</v>
      </c>
      <c r="M184" t="s">
        <v>318</v>
      </c>
    </row>
    <row r="185" spans="1:14" x14ac:dyDescent="0.25">
      <c r="A185" s="100" t="s">
        <v>291</v>
      </c>
      <c r="B185" s="100"/>
      <c r="C185" s="100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</row>
    <row r="186" spans="1:14" x14ac:dyDescent="0.25">
      <c r="A186" t="s">
        <v>37</v>
      </c>
      <c r="H186" t="s">
        <v>5</v>
      </c>
      <c r="I186" t="s">
        <v>1</v>
      </c>
      <c r="J186" t="s">
        <v>315</v>
      </c>
      <c r="K186">
        <v>14</v>
      </c>
      <c r="L186" t="s">
        <v>9</v>
      </c>
      <c r="M186" t="s">
        <v>318</v>
      </c>
    </row>
    <row r="187" spans="1:14" x14ac:dyDescent="0.25">
      <c r="A187" t="s">
        <v>37</v>
      </c>
      <c r="H187" t="s">
        <v>5</v>
      </c>
      <c r="I187" t="s">
        <v>1</v>
      </c>
      <c r="J187" t="s">
        <v>316</v>
      </c>
      <c r="K187">
        <v>8.5</v>
      </c>
      <c r="L187" t="s">
        <v>9</v>
      </c>
      <c r="M187" t="s">
        <v>318</v>
      </c>
    </row>
    <row r="189" spans="1:14" x14ac:dyDescent="0.25">
      <c r="A189" s="94" t="s">
        <v>382</v>
      </c>
      <c r="B189" s="94"/>
      <c r="C189" s="94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</row>
    <row r="190" spans="1:14" x14ac:dyDescent="0.25">
      <c r="A190" s="4" t="s">
        <v>668</v>
      </c>
    </row>
    <row r="191" spans="1:14" x14ac:dyDescent="0.25">
      <c r="A191" t="s">
        <v>2</v>
      </c>
      <c r="E191" s="110" t="s">
        <v>18</v>
      </c>
      <c r="J191" t="s">
        <v>669</v>
      </c>
      <c r="K191" s="13">
        <f>K51*0.035</f>
        <v>21.803097578328096</v>
      </c>
      <c r="L191" t="s">
        <v>670</v>
      </c>
      <c r="M191" t="s">
        <v>672</v>
      </c>
      <c r="N191" s="257" t="s">
        <v>671</v>
      </c>
    </row>
    <row r="192" spans="1:14" x14ac:dyDescent="0.25">
      <c r="A192" t="s">
        <v>2</v>
      </c>
      <c r="E192" s="110" t="s">
        <v>402</v>
      </c>
      <c r="J192" t="s">
        <v>669</v>
      </c>
      <c r="K192" s="13">
        <f>K52*0.03</f>
        <v>22.865816802610116</v>
      </c>
      <c r="L192" t="s">
        <v>670</v>
      </c>
      <c r="M192" t="s">
        <v>673</v>
      </c>
      <c r="N192" s="257"/>
    </row>
    <row r="193" spans="1:14" x14ac:dyDescent="0.25">
      <c r="A193" t="s">
        <v>2</v>
      </c>
      <c r="E193" s="110" t="s">
        <v>633</v>
      </c>
      <c r="J193" t="s">
        <v>669</v>
      </c>
      <c r="K193" s="1">
        <f>AVERAGE(K53,AVERAGE(K54:K57))*0.03 * (1 - K220/100)</f>
        <v>0.34321124999999986</v>
      </c>
      <c r="L193" t="s">
        <v>670</v>
      </c>
      <c r="M193" t="s">
        <v>673</v>
      </c>
    </row>
    <row r="194" spans="1:14" x14ac:dyDescent="0.25">
      <c r="A194" t="s">
        <v>2</v>
      </c>
      <c r="E194" s="110" t="s">
        <v>32</v>
      </c>
      <c r="J194" t="s">
        <v>669</v>
      </c>
      <c r="K194" s="13">
        <f>AVERAGE(AVERAGE(K55,K57),AVERAGE(K58,K60)) * 0.03</f>
        <v>9.9980076157720887</v>
      </c>
      <c r="L194" t="s">
        <v>670</v>
      </c>
      <c r="M194" t="s">
        <v>673</v>
      </c>
    </row>
    <row r="195" spans="1:14" x14ac:dyDescent="0.25">
      <c r="A195" t="s">
        <v>2</v>
      </c>
      <c r="E195" s="110" t="s">
        <v>33</v>
      </c>
      <c r="J195" t="s">
        <v>669</v>
      </c>
      <c r="K195" s="13">
        <f>AVERAGE(AVERAGE(K54,K56),K61) * 0.03</f>
        <v>10.817524398534422</v>
      </c>
      <c r="L195" t="s">
        <v>670</v>
      </c>
      <c r="M195" t="s">
        <v>673</v>
      </c>
    </row>
    <row r="196" spans="1:14" x14ac:dyDescent="0.25">
      <c r="A196" t="s">
        <v>2</v>
      </c>
      <c r="E196" s="110" t="s">
        <v>34</v>
      </c>
      <c r="J196" t="s">
        <v>669</v>
      </c>
      <c r="K196" s="13">
        <f>AVERAGE(AVERAGE(K54,K56),K62) * 0.03</f>
        <v>10.753254962414847</v>
      </c>
      <c r="L196" t="s">
        <v>670</v>
      </c>
      <c r="M196" t="s">
        <v>673</v>
      </c>
    </row>
    <row r="197" spans="1:14" x14ac:dyDescent="0.25">
      <c r="A197" t="s">
        <v>37</v>
      </c>
      <c r="E197" s="110" t="s">
        <v>18</v>
      </c>
      <c r="J197" t="s">
        <v>669</v>
      </c>
      <c r="K197" s="13">
        <f>K64*0.035</f>
        <v>22.502588520415152</v>
      </c>
      <c r="L197" t="s">
        <v>670</v>
      </c>
      <c r="M197" t="s">
        <v>673</v>
      </c>
    </row>
    <row r="198" spans="1:14" x14ac:dyDescent="0.25">
      <c r="A198" t="s">
        <v>37</v>
      </c>
      <c r="E198" s="110" t="s">
        <v>402</v>
      </c>
      <c r="J198" t="s">
        <v>669</v>
      </c>
      <c r="K198" s="13">
        <f>K65*0.03</f>
        <v>26.149674710424708</v>
      </c>
      <c r="L198" t="s">
        <v>670</v>
      </c>
      <c r="M198" t="s">
        <v>673</v>
      </c>
    </row>
    <row r="199" spans="1:14" x14ac:dyDescent="0.25">
      <c r="A199" t="s">
        <v>37</v>
      </c>
      <c r="E199" s="110" t="s">
        <v>633</v>
      </c>
      <c r="J199" t="s">
        <v>669</v>
      </c>
      <c r="K199" s="1">
        <f>AVERAGE(K66,AVERAGE(K67:K70))*0.03 * (1 - K219/100)</f>
        <v>1.3343745545949013</v>
      </c>
      <c r="L199" t="s">
        <v>670</v>
      </c>
      <c r="M199" t="s">
        <v>673</v>
      </c>
    </row>
    <row r="200" spans="1:14" x14ac:dyDescent="0.25">
      <c r="A200" t="s">
        <v>37</v>
      </c>
      <c r="E200" s="110" t="s">
        <v>32</v>
      </c>
      <c r="J200" t="s">
        <v>669</v>
      </c>
      <c r="K200" s="13">
        <f>AVERAGE(AVERAGE(K67,K68),AVERAGE(K69,K71)) * 0.03</f>
        <v>12.966568077834745</v>
      </c>
      <c r="L200" t="s">
        <v>670</v>
      </c>
      <c r="M200" t="s">
        <v>673</v>
      </c>
    </row>
    <row r="201" spans="1:14" x14ac:dyDescent="0.25">
      <c r="A201" t="s">
        <v>37</v>
      </c>
      <c r="E201" s="110" t="s">
        <v>33</v>
      </c>
      <c r="J201" t="s">
        <v>669</v>
      </c>
      <c r="K201" s="13">
        <f>AVERAGE(AVERAGE(K67,K68),K72) * 0.03</f>
        <v>13.565286340885208</v>
      </c>
      <c r="L201" t="s">
        <v>670</v>
      </c>
      <c r="M201" t="s">
        <v>673</v>
      </c>
    </row>
    <row r="202" spans="1:14" x14ac:dyDescent="0.25">
      <c r="A202" t="s">
        <v>37</v>
      </c>
      <c r="E202" s="110" t="s">
        <v>34</v>
      </c>
      <c r="J202" t="s">
        <v>669</v>
      </c>
      <c r="K202" s="13">
        <f>AVERAGE(AVERAGE(K67,K68),K73) * 0.03</f>
        <v>13.682910670175852</v>
      </c>
      <c r="L202" t="s">
        <v>670</v>
      </c>
      <c r="M202" t="s">
        <v>673</v>
      </c>
    </row>
    <row r="204" spans="1:14" x14ac:dyDescent="0.25">
      <c r="A204" s="4" t="s">
        <v>667</v>
      </c>
    </row>
    <row r="205" spans="1:14" x14ac:dyDescent="0.25">
      <c r="E205" t="s">
        <v>18</v>
      </c>
      <c r="J205" t="s">
        <v>383</v>
      </c>
      <c r="K205">
        <v>0.50700000000000001</v>
      </c>
      <c r="L205" t="s">
        <v>384</v>
      </c>
      <c r="N205" t="s">
        <v>386</v>
      </c>
    </row>
    <row r="206" spans="1:14" x14ac:dyDescent="0.25">
      <c r="J206" t="s">
        <v>383</v>
      </c>
      <c r="K206">
        <v>0.47499999999999998</v>
      </c>
      <c r="L206" t="s">
        <v>384</v>
      </c>
      <c r="N206" t="s">
        <v>387</v>
      </c>
    </row>
    <row r="207" spans="1:14" x14ac:dyDescent="0.25">
      <c r="E207" t="s">
        <v>18</v>
      </c>
      <c r="J207" t="s">
        <v>398</v>
      </c>
      <c r="K207" s="13">
        <v>5</v>
      </c>
      <c r="L207" t="s">
        <v>397</v>
      </c>
      <c r="N207" t="s">
        <v>386</v>
      </c>
    </row>
    <row r="208" spans="1:14" x14ac:dyDescent="0.25">
      <c r="A208" t="s">
        <v>2</v>
      </c>
      <c r="E208" t="s">
        <v>18</v>
      </c>
      <c r="J208" t="s">
        <v>388</v>
      </c>
      <c r="K208" s="13">
        <f>(0.013+0.021+0.038) * 30.4</f>
        <v>2.1888000000000001</v>
      </c>
      <c r="L208" t="s">
        <v>389</v>
      </c>
      <c r="M208" t="s">
        <v>390</v>
      </c>
      <c r="N208" t="s">
        <v>385</v>
      </c>
    </row>
    <row r="209" spans="1:14" x14ac:dyDescent="0.25">
      <c r="A209" t="s">
        <v>37</v>
      </c>
      <c r="E209" t="s">
        <v>18</v>
      </c>
      <c r="J209" t="s">
        <v>388</v>
      </c>
      <c r="K209" s="13">
        <f>(8 * 7 * 3.6)/100</f>
        <v>2.016</v>
      </c>
      <c r="L209" t="s">
        <v>389</v>
      </c>
      <c r="M209" t="s">
        <v>391</v>
      </c>
      <c r="N209" t="s">
        <v>392</v>
      </c>
    </row>
    <row r="210" spans="1:14" x14ac:dyDescent="0.25">
      <c r="K210" s="13"/>
    </row>
    <row r="211" spans="1:14" x14ac:dyDescent="0.25">
      <c r="J211" t="s">
        <v>393</v>
      </c>
      <c r="K211" s="1">
        <v>1</v>
      </c>
      <c r="L211" t="s">
        <v>399</v>
      </c>
    </row>
    <row r="212" spans="1:14" x14ac:dyDescent="0.25">
      <c r="A212" t="s">
        <v>2</v>
      </c>
      <c r="E212" t="s">
        <v>18</v>
      </c>
      <c r="J212" t="s">
        <v>393</v>
      </c>
      <c r="K212" s="1">
        <v>1.1100000000000001</v>
      </c>
      <c r="L212" t="s">
        <v>399</v>
      </c>
      <c r="N212" t="s">
        <v>385</v>
      </c>
    </row>
    <row r="213" spans="1:14" x14ac:dyDescent="0.25">
      <c r="A213" t="s">
        <v>37</v>
      </c>
      <c r="E213" t="s">
        <v>34</v>
      </c>
      <c r="J213" t="s">
        <v>393</v>
      </c>
      <c r="K213" s="1">
        <v>0.9</v>
      </c>
      <c r="L213" t="s">
        <v>399</v>
      </c>
      <c r="M213" t="s">
        <v>395</v>
      </c>
      <c r="N213" t="s">
        <v>394</v>
      </c>
    </row>
    <row r="214" spans="1:14" x14ac:dyDescent="0.25">
      <c r="E214" t="s">
        <v>32</v>
      </c>
      <c r="J214" t="s">
        <v>393</v>
      </c>
      <c r="K214" s="1">
        <v>1.05</v>
      </c>
      <c r="L214" t="s">
        <v>399</v>
      </c>
      <c r="N214" t="s">
        <v>394</v>
      </c>
    </row>
    <row r="215" spans="1:14" x14ac:dyDescent="0.25">
      <c r="A215" t="s">
        <v>2</v>
      </c>
      <c r="E215" t="s">
        <v>33</v>
      </c>
      <c r="J215" t="s">
        <v>393</v>
      </c>
      <c r="K215" s="1">
        <v>1.05</v>
      </c>
      <c r="L215" t="s">
        <v>399</v>
      </c>
      <c r="N215" t="s">
        <v>394</v>
      </c>
    </row>
    <row r="216" spans="1:14" x14ac:dyDescent="0.25">
      <c r="J216" t="s">
        <v>396</v>
      </c>
      <c r="K216" s="13">
        <v>0</v>
      </c>
      <c r="L216" t="s">
        <v>399</v>
      </c>
    </row>
    <row r="217" spans="1:14" x14ac:dyDescent="0.25">
      <c r="A217" t="s">
        <v>2</v>
      </c>
      <c r="E217" t="s">
        <v>18</v>
      </c>
      <c r="J217" t="s">
        <v>396</v>
      </c>
      <c r="K217" s="13">
        <v>-13.6</v>
      </c>
      <c r="L217" t="s">
        <v>399</v>
      </c>
      <c r="N217" t="s">
        <v>385</v>
      </c>
    </row>
    <row r="218" spans="1:14" x14ac:dyDescent="0.25">
      <c r="K218" s="13"/>
    </row>
    <row r="219" spans="1:14" x14ac:dyDescent="0.25">
      <c r="A219" t="s">
        <v>37</v>
      </c>
      <c r="J219" t="s">
        <v>593</v>
      </c>
      <c r="K219" s="2">
        <v>78</v>
      </c>
      <c r="L219" t="s">
        <v>591</v>
      </c>
      <c r="M219" t="s">
        <v>595</v>
      </c>
      <c r="N219" t="s">
        <v>502</v>
      </c>
    </row>
    <row r="220" spans="1:14" x14ac:dyDescent="0.25">
      <c r="A220" t="s">
        <v>2</v>
      </c>
      <c r="J220" t="s">
        <v>593</v>
      </c>
      <c r="K220" s="2">
        <v>81</v>
      </c>
      <c r="L220" t="s">
        <v>591</v>
      </c>
      <c r="M220" t="s">
        <v>600</v>
      </c>
      <c r="N220" s="257" t="s">
        <v>596</v>
      </c>
    </row>
    <row r="221" spans="1:14" x14ac:dyDescent="0.25">
      <c r="J221" t="s">
        <v>594</v>
      </c>
      <c r="K221" s="13">
        <f>18.8*0.13</f>
        <v>2.4440000000000004</v>
      </c>
      <c r="L221" t="s">
        <v>590</v>
      </c>
      <c r="M221" t="s">
        <v>599</v>
      </c>
    </row>
    <row r="222" spans="1:14" x14ac:dyDescent="0.25">
      <c r="K222" s="2"/>
    </row>
    <row r="223" spans="1:14" x14ac:dyDescent="0.25">
      <c r="A223" s="4" t="s">
        <v>674</v>
      </c>
      <c r="H223" s="2"/>
    </row>
    <row r="224" spans="1:14" x14ac:dyDescent="0.25">
      <c r="A224" t="s">
        <v>2</v>
      </c>
      <c r="E224" t="s">
        <v>18</v>
      </c>
      <c r="J224" t="s">
        <v>675</v>
      </c>
      <c r="K224" s="13">
        <v>7.6</v>
      </c>
      <c r="L224" t="s">
        <v>676</v>
      </c>
      <c r="N224" t="s">
        <v>385</v>
      </c>
    </row>
    <row r="225" spans="1:14" x14ac:dyDescent="0.25">
      <c r="A225" s="4"/>
      <c r="E225" s="110" t="s">
        <v>633</v>
      </c>
      <c r="J225" t="s">
        <v>675</v>
      </c>
      <c r="K225" s="13">
        <v>7</v>
      </c>
      <c r="L225" t="s">
        <v>676</v>
      </c>
      <c r="M225" s="93" t="s">
        <v>677</v>
      </c>
      <c r="N225" t="s">
        <v>678</v>
      </c>
    </row>
    <row r="226" spans="1:14" x14ac:dyDescent="0.25">
      <c r="A226" s="4"/>
      <c r="J226" t="s">
        <v>675</v>
      </c>
      <c r="K226" s="13">
        <v>6.5</v>
      </c>
      <c r="L226" t="s">
        <v>676</v>
      </c>
    </row>
    <row r="227" spans="1:14" x14ac:dyDescent="0.25">
      <c r="A227" s="4"/>
      <c r="K227" s="13"/>
    </row>
    <row r="228" spans="1:14" x14ac:dyDescent="0.25">
      <c r="A228" s="4" t="s">
        <v>679</v>
      </c>
    </row>
    <row r="229" spans="1:14" x14ac:dyDescent="0.25">
      <c r="J229" s="158" t="s">
        <v>680</v>
      </c>
      <c r="K229" s="311">
        <v>0</v>
      </c>
      <c r="L229" s="158" t="s">
        <v>681</v>
      </c>
      <c r="M229" s="158" t="s">
        <v>401</v>
      </c>
    </row>
    <row r="230" spans="1:14" x14ac:dyDescent="0.25">
      <c r="J230" s="158" t="s">
        <v>682</v>
      </c>
      <c r="K230" s="311">
        <v>0</v>
      </c>
      <c r="L230" s="158" t="s">
        <v>681</v>
      </c>
      <c r="M230" s="158" t="s">
        <v>401</v>
      </c>
    </row>
    <row r="231" spans="1:14" x14ac:dyDescent="0.25">
      <c r="J231" s="158" t="s">
        <v>683</v>
      </c>
      <c r="K231" s="311">
        <v>0</v>
      </c>
      <c r="L231" s="158" t="s">
        <v>684</v>
      </c>
      <c r="M231" s="158" t="s">
        <v>401</v>
      </c>
    </row>
    <row r="232" spans="1:14" x14ac:dyDescent="0.25">
      <c r="J232" s="158" t="s">
        <v>685</v>
      </c>
      <c r="K232" s="311">
        <v>0</v>
      </c>
      <c r="L232" s="158" t="s">
        <v>684</v>
      </c>
      <c r="M232" s="158" t="s">
        <v>401</v>
      </c>
    </row>
    <row r="233" spans="1:14" x14ac:dyDescent="0.25">
      <c r="K233" s="2"/>
    </row>
    <row r="234" spans="1:14" x14ac:dyDescent="0.25">
      <c r="E234" t="s">
        <v>18</v>
      </c>
      <c r="J234" t="s">
        <v>680</v>
      </c>
      <c r="K234" s="2">
        <v>300</v>
      </c>
      <c r="L234" t="s">
        <v>681</v>
      </c>
      <c r="N234" t="s">
        <v>385</v>
      </c>
    </row>
    <row r="235" spans="1:14" x14ac:dyDescent="0.25">
      <c r="E235" t="s">
        <v>18</v>
      </c>
      <c r="J235" t="s">
        <v>682</v>
      </c>
      <c r="K235" s="2">
        <v>0</v>
      </c>
      <c r="L235" t="s">
        <v>681</v>
      </c>
    </row>
    <row r="237" spans="1:14" x14ac:dyDescent="0.25">
      <c r="E237" s="110" t="s">
        <v>402</v>
      </c>
      <c r="J237" t="s">
        <v>683</v>
      </c>
      <c r="K237" s="2">
        <v>4</v>
      </c>
      <c r="L237" t="s">
        <v>684</v>
      </c>
      <c r="M237" t="s">
        <v>686</v>
      </c>
    </row>
    <row r="238" spans="1:14" x14ac:dyDescent="0.25">
      <c r="E238" s="110" t="s">
        <v>402</v>
      </c>
      <c r="J238" t="s">
        <v>685</v>
      </c>
      <c r="K238" s="2">
        <v>-2</v>
      </c>
      <c r="L238" t="s">
        <v>684</v>
      </c>
    </row>
    <row r="239" spans="1:14" x14ac:dyDescent="0.25">
      <c r="E239" s="110" t="s">
        <v>633</v>
      </c>
      <c r="J239" t="s">
        <v>683</v>
      </c>
      <c r="K239" s="2">
        <v>4</v>
      </c>
      <c r="L239" t="s">
        <v>684</v>
      </c>
      <c r="N239" t="s">
        <v>678</v>
      </c>
    </row>
    <row r="240" spans="1:14" x14ac:dyDescent="0.25">
      <c r="E240" s="110" t="s">
        <v>633</v>
      </c>
      <c r="J240" t="s">
        <v>685</v>
      </c>
      <c r="K240" s="2">
        <v>-2</v>
      </c>
      <c r="L240" t="s">
        <v>684</v>
      </c>
    </row>
    <row r="241" spans="1:14" x14ac:dyDescent="0.25">
      <c r="E241" s="110" t="s">
        <v>32</v>
      </c>
      <c r="J241" t="s">
        <v>683</v>
      </c>
      <c r="K241" s="2">
        <v>4</v>
      </c>
      <c r="L241" t="s">
        <v>684</v>
      </c>
      <c r="N241" t="s">
        <v>678</v>
      </c>
    </row>
    <row r="242" spans="1:14" x14ac:dyDescent="0.25">
      <c r="E242" s="110" t="s">
        <v>32</v>
      </c>
      <c r="J242" t="s">
        <v>685</v>
      </c>
      <c r="K242" s="2">
        <v>-2</v>
      </c>
      <c r="L242" t="s">
        <v>684</v>
      </c>
    </row>
    <row r="243" spans="1:14" x14ac:dyDescent="0.25">
      <c r="E243" s="110" t="s">
        <v>33</v>
      </c>
      <c r="J243" t="s">
        <v>683</v>
      </c>
      <c r="K243" s="2">
        <v>4</v>
      </c>
      <c r="L243" t="s">
        <v>684</v>
      </c>
      <c r="N243" t="s">
        <v>678</v>
      </c>
    </row>
    <row r="244" spans="1:14" x14ac:dyDescent="0.25">
      <c r="E244" s="110" t="s">
        <v>33</v>
      </c>
      <c r="J244" t="s">
        <v>685</v>
      </c>
      <c r="K244" s="2">
        <v>-2</v>
      </c>
      <c r="L244" t="s">
        <v>684</v>
      </c>
    </row>
    <row r="245" spans="1:14" x14ac:dyDescent="0.25">
      <c r="E245" s="110" t="s">
        <v>34</v>
      </c>
      <c r="J245" t="s">
        <v>683</v>
      </c>
      <c r="K245" s="2">
        <v>4</v>
      </c>
      <c r="L245" t="s">
        <v>684</v>
      </c>
      <c r="N245" t="s">
        <v>678</v>
      </c>
    </row>
    <row r="246" spans="1:14" x14ac:dyDescent="0.25">
      <c r="E246" s="110" t="s">
        <v>34</v>
      </c>
      <c r="J246" t="s">
        <v>685</v>
      </c>
      <c r="K246" s="2">
        <v>-2</v>
      </c>
      <c r="L246" t="s">
        <v>684</v>
      </c>
    </row>
    <row r="247" spans="1:14" x14ac:dyDescent="0.25">
      <c r="F247" s="110"/>
      <c r="K247" s="2"/>
    </row>
    <row r="248" spans="1:14" x14ac:dyDescent="0.25">
      <c r="A248" s="4" t="s">
        <v>448</v>
      </c>
      <c r="F248" s="110"/>
      <c r="K248" s="2"/>
    </row>
    <row r="249" spans="1:14" x14ac:dyDescent="0.25">
      <c r="A249" s="4"/>
      <c r="F249" s="110"/>
      <c r="J249" t="s">
        <v>687</v>
      </c>
      <c r="K249" s="2">
        <v>5</v>
      </c>
      <c r="L249" t="s">
        <v>311</v>
      </c>
      <c r="N249" t="s">
        <v>688</v>
      </c>
    </row>
    <row r="250" spans="1:14" x14ac:dyDescent="0.25">
      <c r="K250" s="2"/>
    </row>
    <row r="251" spans="1:14" x14ac:dyDescent="0.25">
      <c r="A251" s="94" t="s">
        <v>381</v>
      </c>
      <c r="B251" s="94"/>
      <c r="C251" s="94"/>
      <c r="D251" s="95"/>
      <c r="E251" s="95"/>
      <c r="F251" s="95"/>
      <c r="G251" s="95"/>
      <c r="H251" s="95"/>
      <c r="I251" s="95"/>
      <c r="J251" s="95"/>
      <c r="K251" s="95"/>
      <c r="L251" s="95" t="s">
        <v>311</v>
      </c>
      <c r="M251" s="95"/>
      <c r="N251" s="95"/>
    </row>
    <row r="252" spans="1:14" x14ac:dyDescent="0.25">
      <c r="J252" s="158" t="s">
        <v>310</v>
      </c>
      <c r="K252" s="158">
        <v>0</v>
      </c>
      <c r="L252" s="158"/>
      <c r="M252" s="158" t="s">
        <v>401</v>
      </c>
    </row>
    <row r="253" spans="1:14" x14ac:dyDescent="0.25">
      <c r="A253" s="97" t="s">
        <v>290</v>
      </c>
      <c r="B253" s="97"/>
      <c r="C253" s="97"/>
      <c r="D253" s="98"/>
      <c r="E253" s="98"/>
      <c r="F253" s="98"/>
      <c r="G253" s="98"/>
      <c r="H253" s="98"/>
      <c r="I253" s="98"/>
      <c r="J253" s="98"/>
      <c r="K253" s="99"/>
      <c r="L253" s="98"/>
      <c r="M253" s="98"/>
      <c r="N253" s="98"/>
    </row>
    <row r="254" spans="1:14" x14ac:dyDescent="0.25">
      <c r="A254" s="81" t="s">
        <v>63</v>
      </c>
      <c r="B254" s="48"/>
      <c r="C254" s="48"/>
      <c r="D254" s="49"/>
      <c r="E254" s="49"/>
      <c r="F254" s="49"/>
      <c r="G254" s="49"/>
      <c r="H254" s="49"/>
      <c r="I254" s="49"/>
      <c r="J254" s="49"/>
      <c r="K254" s="161"/>
      <c r="L254" s="49"/>
      <c r="M254" s="49"/>
      <c r="N254" s="49"/>
    </row>
    <row r="255" spans="1:14" x14ac:dyDescent="0.25">
      <c r="A255" s="158" t="s">
        <v>2</v>
      </c>
      <c r="B255" s="158"/>
      <c r="C255" s="158"/>
      <c r="D255" s="158"/>
      <c r="E255" s="158" t="s">
        <v>18</v>
      </c>
      <c r="J255" s="158" t="s">
        <v>310</v>
      </c>
      <c r="K255" s="158">
        <v>0</v>
      </c>
      <c r="L255" s="158"/>
      <c r="M255" s="158" t="s">
        <v>401</v>
      </c>
    </row>
    <row r="256" spans="1:14" x14ac:dyDescent="0.25">
      <c r="A256" t="s">
        <v>2</v>
      </c>
      <c r="E256" t="s">
        <v>18</v>
      </c>
      <c r="F256" t="str">
        <f>Foderstater!U$64</f>
        <v>ley silage, 1st cut</v>
      </c>
      <c r="J256" t="s">
        <v>310</v>
      </c>
      <c r="K256" s="13">
        <f>INDEX(Foderstater!$X$64:$AL$101,MATCH(F256,Foderstater!$U$64:$U$101,0),MATCH(A256&amp;C256&amp;E256,Foderstater!$X$63:$AL$63,0))</f>
        <v>41.480852339300604</v>
      </c>
      <c r="L256" s="158"/>
      <c r="M256" s="158"/>
    </row>
    <row r="257" spans="1:13" x14ac:dyDescent="0.25">
      <c r="A257" t="s">
        <v>2</v>
      </c>
      <c r="E257" t="s">
        <v>18</v>
      </c>
      <c r="F257" t="str">
        <f>Foderstater!U$65</f>
        <v>ley silage, regrowth</v>
      </c>
      <c r="J257" t="s">
        <v>310</v>
      </c>
      <c r="K257" s="13">
        <f>INDEX(Foderstater!$X$64:$AL$101,MATCH(F257,Foderstater!$U$64:$U$101,0),MATCH(A257&amp;C257&amp;E257,Foderstater!$X$63:$AL$63,0))</f>
        <v>9.9247167513786927</v>
      </c>
      <c r="L257" s="158"/>
      <c r="M257" s="158"/>
    </row>
    <row r="258" spans="1:13" x14ac:dyDescent="0.25">
      <c r="A258" t="s">
        <v>2</v>
      </c>
      <c r="E258" t="s">
        <v>18</v>
      </c>
      <c r="F258" t="str">
        <f>Foderstater!U$66</f>
        <v>other silage</v>
      </c>
      <c r="J258" t="s">
        <v>310</v>
      </c>
      <c r="K258" s="13">
        <f>INDEX(Foderstater!$X$64:$AL$101,MATCH(F258,Foderstater!$U$64:$U$101,0),MATCH(A258&amp;C258&amp;E258,Foderstater!$X$63:$AL$63,0))</f>
        <v>0</v>
      </c>
      <c r="L258" s="158"/>
      <c r="M258" s="158"/>
    </row>
    <row r="259" spans="1:13" x14ac:dyDescent="0.25">
      <c r="A259" t="s">
        <v>2</v>
      </c>
      <c r="E259" t="s">
        <v>18</v>
      </c>
      <c r="F259" t="str">
        <f>Foderstater!U$67</f>
        <v>maize silage</v>
      </c>
      <c r="J259" t="s">
        <v>310</v>
      </c>
      <c r="K259" s="13">
        <f>INDEX(Foderstater!$X$64:$AL$101,MATCH(F259,Foderstater!$U$64:$U$101,0),MATCH(A259&amp;C259&amp;E259,Foderstater!$X$63:$AL$63,0))</f>
        <v>0</v>
      </c>
      <c r="L259" s="158"/>
      <c r="M259" s="158"/>
    </row>
    <row r="260" spans="1:13" x14ac:dyDescent="0.25">
      <c r="A260" t="s">
        <v>2</v>
      </c>
      <c r="E260" t="s">
        <v>18</v>
      </c>
      <c r="F260" t="str">
        <f>Foderstater!U$68</f>
        <v>straw</v>
      </c>
      <c r="J260" t="s">
        <v>310</v>
      </c>
      <c r="K260" s="13">
        <f>INDEX(Foderstater!$X$64:$AL$101,MATCH(F260,Foderstater!$U$64:$U$101,0),MATCH(A260&amp;C260&amp;E260,Foderstater!$X$63:$AL$63,0))</f>
        <v>3.1679738484393072</v>
      </c>
      <c r="L260" s="158"/>
      <c r="M260" s="158"/>
    </row>
    <row r="261" spans="1:13" x14ac:dyDescent="0.25">
      <c r="A261" t="s">
        <v>2</v>
      </c>
      <c r="E261" t="s">
        <v>18</v>
      </c>
      <c r="F261" t="str">
        <f>Foderstater!U$69</f>
        <v>grazing</v>
      </c>
      <c r="J261" t="s">
        <v>310</v>
      </c>
      <c r="K261" s="13">
        <f>INDEX(Foderstater!$X$64:$AL$101,MATCH(F261,Foderstater!$U$64:$U$101,0),MATCH(A261&amp;C261&amp;E261,Foderstater!$X$63:$AL$63,0))</f>
        <v>6.6079520088655128</v>
      </c>
      <c r="L261" s="158"/>
      <c r="M261" s="158"/>
    </row>
    <row r="262" spans="1:13" x14ac:dyDescent="0.25">
      <c r="A262" t="s">
        <v>2</v>
      </c>
      <c r="E262" t="s">
        <v>18</v>
      </c>
      <c r="F262" t="str">
        <f>Foderstater!U$70</f>
        <v>wheat</v>
      </c>
      <c r="J262" t="s">
        <v>310</v>
      </c>
      <c r="K262" s="13">
        <f>INDEX(Foderstater!$X$64:$AL$101,MATCH(F262,Foderstater!$U$64:$U$101,0),MATCH(A262&amp;C262&amp;E262,Foderstater!$X$63:$AL$63,0))</f>
        <v>6.1497391870569844</v>
      </c>
      <c r="L262" s="158"/>
      <c r="M262" s="158"/>
    </row>
    <row r="263" spans="1:13" x14ac:dyDescent="0.25">
      <c r="A263" t="s">
        <v>2</v>
      </c>
      <c r="E263" t="s">
        <v>18</v>
      </c>
      <c r="F263" t="str">
        <f>Foderstater!U$71</f>
        <v>barley</v>
      </c>
      <c r="J263" t="s">
        <v>310</v>
      </c>
      <c r="K263" s="13">
        <f>INDEX(Foderstater!$X$64:$AL$101,MATCH(F263,Foderstater!$U$64:$U$101,0),MATCH(A263&amp;C263&amp;E263,Foderstater!$X$63:$AL$63,0))</f>
        <v>11.290606059990822</v>
      </c>
      <c r="L263" s="158"/>
      <c r="M263" s="158"/>
    </row>
    <row r="264" spans="1:13" x14ac:dyDescent="0.25">
      <c r="A264" t="s">
        <v>2</v>
      </c>
      <c r="E264" t="s">
        <v>18</v>
      </c>
      <c r="F264" t="str">
        <f>Foderstater!U$72</f>
        <v>oats</v>
      </c>
      <c r="J264" t="s">
        <v>310</v>
      </c>
      <c r="K264" s="13">
        <f>INDEX(Foderstater!$X$64:$AL$101,MATCH(F264,Foderstater!$U$64:$U$101,0),MATCH(A264&amp;C264&amp;E264,Foderstater!$X$63:$AL$63,0))</f>
        <v>2.5305995086863016</v>
      </c>
      <c r="L264" s="158"/>
      <c r="M264" s="158"/>
    </row>
    <row r="265" spans="1:13" x14ac:dyDescent="0.25">
      <c r="A265" t="s">
        <v>2</v>
      </c>
      <c r="E265" t="s">
        <v>18</v>
      </c>
      <c r="F265" t="str">
        <f>Foderstater!U$73</f>
        <v>triticale</v>
      </c>
      <c r="J265" t="s">
        <v>310</v>
      </c>
      <c r="K265" s="13">
        <f>INDEX(Foderstater!$X$64:$AL$101,MATCH(F265,Foderstater!$U$64:$U$101,0),MATCH(A265&amp;C265&amp;E265,Foderstater!$X$63:$AL$63,0))</f>
        <v>3.9696382637077976</v>
      </c>
      <c r="L265" s="158"/>
      <c r="M265" s="158"/>
    </row>
    <row r="266" spans="1:13" x14ac:dyDescent="0.25">
      <c r="A266" t="s">
        <v>2</v>
      </c>
      <c r="E266" t="s">
        <v>18</v>
      </c>
      <c r="F266" t="str">
        <f>Foderstater!U$74</f>
        <v>rye</v>
      </c>
      <c r="J266" t="s">
        <v>310</v>
      </c>
      <c r="K266" s="13">
        <f>INDEX(Foderstater!$X$64:$AL$101,MATCH(F266,Foderstater!$U$64:$U$101,0),MATCH(A266&amp;C266&amp;E266,Foderstater!$X$63:$AL$63,0))</f>
        <v>1.1272622080408017E-2</v>
      </c>
      <c r="L266" s="158"/>
      <c r="M266" s="158"/>
    </row>
    <row r="267" spans="1:13" x14ac:dyDescent="0.25">
      <c r="A267" t="s">
        <v>2</v>
      </c>
      <c r="E267" t="s">
        <v>18</v>
      </c>
      <c r="F267" t="str">
        <f>Foderstater!U$75</f>
        <v>maize</v>
      </c>
      <c r="J267" t="s">
        <v>310</v>
      </c>
      <c r="K267" s="13">
        <f>INDEX(Foderstater!$X$64:$AL$101,MATCH(F267,Foderstater!$U$64:$U$101,0),MATCH(A267&amp;C267&amp;E267,Foderstater!$X$63:$AL$63,0))</f>
        <v>0.39798335104430993</v>
      </c>
      <c r="L267" s="158"/>
      <c r="M267" s="158"/>
    </row>
    <row r="268" spans="1:13" x14ac:dyDescent="0.25">
      <c r="A268" t="s">
        <v>2</v>
      </c>
      <c r="E268" t="s">
        <v>18</v>
      </c>
      <c r="F268" t="str">
        <f>Foderstater!U$76</f>
        <v>peas</v>
      </c>
      <c r="J268" t="s">
        <v>310</v>
      </c>
      <c r="K268" s="13">
        <f>INDEX(Foderstater!$X$64:$AL$101,MATCH(F268,Foderstater!$U$64:$U$101,0),MATCH(A268&amp;C268&amp;E268,Foderstater!$X$63:$AL$63,0))</f>
        <v>6.2198540886316538E-2</v>
      </c>
      <c r="L268" s="158"/>
      <c r="M268" s="158"/>
    </row>
    <row r="269" spans="1:13" x14ac:dyDescent="0.25">
      <c r="A269" t="s">
        <v>2</v>
      </c>
      <c r="E269" t="s">
        <v>18</v>
      </c>
      <c r="F269" t="str">
        <f>Foderstater!U$77</f>
        <v>broad beans</v>
      </c>
      <c r="J269" t="s">
        <v>310</v>
      </c>
      <c r="K269" s="13">
        <f>INDEX(Foderstater!$X$64:$AL$101,MATCH(F269,Foderstater!$U$64:$U$101,0),MATCH(A269&amp;C269&amp;E269,Foderstater!$X$63:$AL$63,0))</f>
        <v>0.21373263842786655</v>
      </c>
      <c r="L269" s="158"/>
      <c r="M269" s="158"/>
    </row>
    <row r="270" spans="1:13" x14ac:dyDescent="0.25">
      <c r="A270" t="s">
        <v>2</v>
      </c>
      <c r="E270" t="s">
        <v>18</v>
      </c>
      <c r="F270" t="str">
        <f>Foderstater!U$78</f>
        <v>rapeseed</v>
      </c>
      <c r="J270" t="s">
        <v>310</v>
      </c>
      <c r="K270" s="13">
        <f>INDEX(Foderstater!$X$64:$AL$101,MATCH(F270,Foderstater!$U$64:$U$101,0),MATCH(A270&amp;C270&amp;E270,Foderstater!$X$63:$AL$63,0))</f>
        <v>3.3834826631664936</v>
      </c>
      <c r="L270" s="158"/>
      <c r="M270" s="158"/>
    </row>
    <row r="271" spans="1:13" x14ac:dyDescent="0.25">
      <c r="A271" t="s">
        <v>2</v>
      </c>
      <c r="E271" t="s">
        <v>18</v>
      </c>
      <c r="F271" t="str">
        <f>Foderstater!U$79</f>
        <v>linseed</v>
      </c>
      <c r="J271" t="s">
        <v>310</v>
      </c>
      <c r="K271" s="13">
        <f>INDEX(Foderstater!$X$64:$AL$101,MATCH(F271,Foderstater!$U$64:$U$101,0),MATCH(A271&amp;C271&amp;E271,Foderstater!$X$63:$AL$63,0))</f>
        <v>2.4958557242137649E-3</v>
      </c>
      <c r="L271" s="158"/>
      <c r="M271" s="158"/>
    </row>
    <row r="272" spans="1:13" x14ac:dyDescent="0.25">
      <c r="A272" t="s">
        <v>2</v>
      </c>
      <c r="E272" t="s">
        <v>18</v>
      </c>
      <c r="F272" t="str">
        <f>Foderstater!U$80</f>
        <v>vegetable oils</v>
      </c>
      <c r="J272" t="s">
        <v>310</v>
      </c>
      <c r="K272" s="13">
        <f>INDEX(Foderstater!$X$64:$AL$101,MATCH(F272,Foderstater!$U$64:$U$101,0),MATCH(A272&amp;C272&amp;E272,Foderstater!$X$63:$AL$63,0))</f>
        <v>6.4435354702415792E-2</v>
      </c>
      <c r="L272" s="158"/>
      <c r="M272" s="158"/>
    </row>
    <row r="273" spans="1:13" x14ac:dyDescent="0.25">
      <c r="A273" t="s">
        <v>2</v>
      </c>
      <c r="E273" t="s">
        <v>18</v>
      </c>
      <c r="F273" t="str">
        <f>Foderstater!U$81</f>
        <v>soybeans</v>
      </c>
      <c r="J273" t="s">
        <v>310</v>
      </c>
      <c r="K273" s="13">
        <f>INDEX(Foderstater!$X$64:$AL$101,MATCH(F273,Foderstater!$U$64:$U$101,0),MATCH(A273&amp;C273&amp;E273,Foderstater!$X$63:$AL$63,0))</f>
        <v>6.2968191575980506E-2</v>
      </c>
      <c r="L273" s="158"/>
      <c r="M273" s="158"/>
    </row>
    <row r="274" spans="1:13" x14ac:dyDescent="0.25">
      <c r="A274" t="s">
        <v>2</v>
      </c>
      <c r="E274" t="s">
        <v>18</v>
      </c>
      <c r="F274" t="str">
        <f>Foderstater!U$82</f>
        <v>soybean meal</v>
      </c>
      <c r="J274" t="s">
        <v>310</v>
      </c>
      <c r="K274" s="13">
        <f>INDEX(Foderstater!$X$64:$AL$101,MATCH(F274,Foderstater!$U$64:$U$101,0),MATCH(A274&amp;C274&amp;E274,Foderstater!$X$63:$AL$63,0))</f>
        <v>0.57519106653391427</v>
      </c>
      <c r="L274" s="158"/>
      <c r="M274" s="158"/>
    </row>
    <row r="275" spans="1:13" x14ac:dyDescent="0.25">
      <c r="A275" t="s">
        <v>2</v>
      </c>
      <c r="E275" t="s">
        <v>18</v>
      </c>
      <c r="F275" t="str">
        <f>Foderstater!U$83</f>
        <v>soybean protein concentrate</v>
      </c>
      <c r="J275" t="s">
        <v>310</v>
      </c>
      <c r="K275" s="13">
        <f>INDEX(Foderstater!$X$64:$AL$101,MATCH(F275,Foderstater!$U$64:$U$101,0),MATCH(A275&amp;C275&amp;E275,Foderstater!$X$63:$AL$63,0))</f>
        <v>0</v>
      </c>
      <c r="L275" s="158"/>
      <c r="M275" s="158"/>
    </row>
    <row r="276" spans="1:13" x14ac:dyDescent="0.25">
      <c r="A276" t="s">
        <v>2</v>
      </c>
      <c r="B276" t="s">
        <v>1</v>
      </c>
      <c r="E276" t="s">
        <v>18</v>
      </c>
      <c r="F276" t="str">
        <f>Foderstater!U$84</f>
        <v>rapeseed meal</v>
      </c>
      <c r="J276" t="s">
        <v>310</v>
      </c>
      <c r="K276" s="13">
        <f>INDEX(Foderstater!$X$64:$AL$101,MATCH(F276,Foderstater!$U$64:$U$101,0),MATCH(A276&amp;C276&amp;E276,Foderstater!$X$63:$AL$63,0))</f>
        <v>4.4425645420347344</v>
      </c>
      <c r="L276" s="158"/>
      <c r="M276" s="158"/>
    </row>
    <row r="277" spans="1:13" x14ac:dyDescent="0.25">
      <c r="A277" s="268" t="str">
        <f>A276</f>
        <v>dairy</v>
      </c>
      <c r="B277" s="268" t="s">
        <v>5</v>
      </c>
      <c r="D277" s="268"/>
      <c r="E277" s="268" t="str">
        <f>E276</f>
        <v>cows</v>
      </c>
      <c r="F277" s="268" t="s">
        <v>609</v>
      </c>
      <c r="J277" s="268" t="str">
        <f>J276</f>
        <v>share_in_ration</v>
      </c>
      <c r="K277" s="269">
        <f>K276</f>
        <v>4.4425645420347344</v>
      </c>
      <c r="L277" s="158"/>
      <c r="M277" s="268" t="s">
        <v>610</v>
      </c>
    </row>
    <row r="278" spans="1:13" x14ac:dyDescent="0.25">
      <c r="A278" t="s">
        <v>2</v>
      </c>
      <c r="E278" t="s">
        <v>18</v>
      </c>
      <c r="F278" t="str">
        <f>Foderstater!U$85</f>
        <v>sunflower seed meal</v>
      </c>
      <c r="J278" t="s">
        <v>310</v>
      </c>
      <c r="K278" s="13">
        <f>INDEX(Foderstater!$X$64:$AL$101,MATCH(F278,Foderstater!$U$64:$U$101,0),MATCH(A278&amp;C278&amp;E278,Foderstater!$X$63:$AL$63,0))</f>
        <v>6.136972904857535E-2</v>
      </c>
    </row>
    <row r="279" spans="1:13" x14ac:dyDescent="0.25">
      <c r="A279" t="s">
        <v>2</v>
      </c>
      <c r="E279" t="s">
        <v>18</v>
      </c>
      <c r="F279" t="str">
        <f>Foderstater!U$86</f>
        <v>palm kernel expeller</v>
      </c>
      <c r="J279" t="s">
        <v>310</v>
      </c>
      <c r="K279" s="13">
        <f>INDEX(Foderstater!$X$64:$AL$101,MATCH(F279,Foderstater!$U$64:$U$101,0),MATCH(A279&amp;C279&amp;E279,Foderstater!$X$63:$AL$63,0))</f>
        <v>0.39877553799094467</v>
      </c>
    </row>
    <row r="280" spans="1:13" x14ac:dyDescent="0.25">
      <c r="A280" t="s">
        <v>2</v>
      </c>
      <c r="E280" t="s">
        <v>18</v>
      </c>
      <c r="F280" t="str">
        <f>Foderstater!U$87</f>
        <v>luzern meal</v>
      </c>
      <c r="J280" t="s">
        <v>310</v>
      </c>
      <c r="K280" s="13">
        <f>INDEX(Foderstater!$X$64:$AL$101,MATCH(F280,Foderstater!$U$64:$U$101,0),MATCH(A280&amp;C280&amp;E280,Foderstater!$X$63:$AL$63,0))</f>
        <v>0.12130313990935594</v>
      </c>
    </row>
    <row r="281" spans="1:13" x14ac:dyDescent="0.25">
      <c r="A281" t="s">
        <v>2</v>
      </c>
      <c r="E281" t="s">
        <v>18</v>
      </c>
      <c r="F281" t="str">
        <f>Foderstater!U$88</f>
        <v>wheat bran</v>
      </c>
      <c r="J281" t="s">
        <v>310</v>
      </c>
      <c r="K281" s="13">
        <f>INDEX(Foderstater!$X$64:$AL$101,MATCH(F281,Foderstater!$U$64:$U$101,0),MATCH(A281&amp;C281&amp;E281,Foderstater!$X$63:$AL$63,0))</f>
        <v>1.321614002942858</v>
      </c>
    </row>
    <row r="282" spans="1:13" x14ac:dyDescent="0.25">
      <c r="A282" t="s">
        <v>2</v>
      </c>
      <c r="E282" t="s">
        <v>18</v>
      </c>
      <c r="F282" t="str">
        <f>Foderstater!U$89</f>
        <v>wheat bran, fine</v>
      </c>
      <c r="J282" t="s">
        <v>310</v>
      </c>
      <c r="K282" s="13">
        <f>INDEX(Foderstater!$X$64:$AL$101,MATCH(F282,Foderstater!$U$64:$U$101,0),MATCH(A282&amp;C282&amp;E282,Foderstater!$X$63:$AL$63,0))</f>
        <v>3.4645257386917328E-3</v>
      </c>
    </row>
    <row r="283" spans="1:13" x14ac:dyDescent="0.25">
      <c r="A283" t="s">
        <v>2</v>
      </c>
      <c r="E283" t="s">
        <v>18</v>
      </c>
      <c r="F283" t="str">
        <f>Foderstater!U$90</f>
        <v>oat hulls</v>
      </c>
      <c r="J283" t="s">
        <v>310</v>
      </c>
      <c r="K283" s="13">
        <f>INDEX(Foderstater!$X$64:$AL$101,MATCH(F283,Foderstater!$U$64:$U$101,0),MATCH(A283&amp;C283&amp;E283,Foderstater!$X$63:$AL$63,0))</f>
        <v>0.15917555594859789</v>
      </c>
    </row>
    <row r="284" spans="1:13" x14ac:dyDescent="0.25">
      <c r="A284" t="s">
        <v>2</v>
      </c>
      <c r="E284" t="s">
        <v>18</v>
      </c>
      <c r="F284" t="str">
        <f>Foderstater!U$91</f>
        <v>oat bran</v>
      </c>
      <c r="J284" t="s">
        <v>310</v>
      </c>
      <c r="K284" s="13">
        <f>INDEX(Foderstater!$X$64:$AL$101,MATCH(F284,Foderstater!$U$64:$U$101,0),MATCH(A284&amp;C284&amp;E284,Foderstater!$X$63:$AL$63,0))</f>
        <v>1.7964759181842063E-2</v>
      </c>
    </row>
    <row r="285" spans="1:13" x14ac:dyDescent="0.25">
      <c r="A285" t="s">
        <v>2</v>
      </c>
      <c r="E285" t="s">
        <v>18</v>
      </c>
      <c r="F285" t="str">
        <f>Foderstater!U$92</f>
        <v>rye bran</v>
      </c>
      <c r="J285" t="s">
        <v>310</v>
      </c>
      <c r="K285" s="13">
        <f>INDEX(Foderstater!$X$64:$AL$101,MATCH(F285,Foderstater!$U$64:$U$101,0),MATCH(A285&amp;C285&amp;E285,Foderstater!$X$63:$AL$63,0))</f>
        <v>5.5403512056737859E-2</v>
      </c>
    </row>
    <row r="286" spans="1:13" x14ac:dyDescent="0.25">
      <c r="A286" t="s">
        <v>2</v>
      </c>
      <c r="E286" t="s">
        <v>18</v>
      </c>
      <c r="F286" t="str">
        <f>Foderstater!U$93</f>
        <v>wheat distillers grain, dry</v>
      </c>
      <c r="J286" t="s">
        <v>310</v>
      </c>
      <c r="K286" s="13">
        <f>INDEX(Foderstater!$X$64:$AL$101,MATCH(F286,Foderstater!$U$64:$U$101,0),MATCH(A286&amp;C286&amp;E286,Foderstater!$X$63:$AL$63,0))</f>
        <v>1.4206094996744831</v>
      </c>
    </row>
    <row r="287" spans="1:13" x14ac:dyDescent="0.25">
      <c r="A287" t="s">
        <v>2</v>
      </c>
      <c r="E287" t="s">
        <v>18</v>
      </c>
      <c r="F287" t="str">
        <f>Foderstater!U$94</f>
        <v>barley brewers grain</v>
      </c>
      <c r="J287" t="s">
        <v>310</v>
      </c>
      <c r="K287" s="13">
        <f>INDEX(Foderstater!$X$64:$AL$101,MATCH(F287,Foderstater!$U$64:$U$101,0),MATCH(A287&amp;C287&amp;E287,Foderstater!$X$63:$AL$63,0))</f>
        <v>0</v>
      </c>
    </row>
    <row r="288" spans="1:13" x14ac:dyDescent="0.25">
      <c r="A288" t="s">
        <v>2</v>
      </c>
      <c r="E288" t="s">
        <v>18</v>
      </c>
      <c r="F288" t="str">
        <f>Foderstater!U$95</f>
        <v>maize gluten meal</v>
      </c>
      <c r="J288" t="s">
        <v>310</v>
      </c>
      <c r="K288" s="13">
        <f>INDEX(Foderstater!$X$64:$AL$101,MATCH(F288,Foderstater!$U$64:$U$101,0),MATCH(A288&amp;C288&amp;E288,Foderstater!$X$63:$AL$63,0))</f>
        <v>4.2926359235494246E-2</v>
      </c>
    </row>
    <row r="289" spans="1:13" x14ac:dyDescent="0.25">
      <c r="A289" t="s">
        <v>2</v>
      </c>
      <c r="E289" t="s">
        <v>18</v>
      </c>
      <c r="F289" t="str">
        <f>Foderstater!U$96</f>
        <v>sugar beet molasses</v>
      </c>
      <c r="J289" t="s">
        <v>310</v>
      </c>
      <c r="K289" s="13">
        <f>INDEX(Foderstater!$X$64:$AL$101,MATCH(F289,Foderstater!$U$64:$U$101,0),MATCH(A289&amp;C289&amp;E289,Foderstater!$X$63:$AL$63,0))</f>
        <v>0.47602729121024218</v>
      </c>
    </row>
    <row r="290" spans="1:13" x14ac:dyDescent="0.25">
      <c r="A290" t="s">
        <v>2</v>
      </c>
      <c r="E290" t="s">
        <v>18</v>
      </c>
      <c r="F290" t="str">
        <f>Foderstater!U$97</f>
        <v>sugar beet pulp</v>
      </c>
      <c r="J290" t="s">
        <v>310</v>
      </c>
      <c r="K290" s="13">
        <f>INDEX(Foderstater!$X$64:$AL$101,MATCH(F290,Foderstater!$U$64:$U$101,0),MATCH(A290&amp;C290&amp;E290,Foderstater!$X$63:$AL$63,0))</f>
        <v>0.91853231005300495</v>
      </c>
    </row>
    <row r="291" spans="1:13" x14ac:dyDescent="0.25">
      <c r="A291" t="s">
        <v>2</v>
      </c>
      <c r="E291" t="s">
        <v>18</v>
      </c>
      <c r="F291" t="str">
        <f>Foderstater!U$98</f>
        <v>whey powder</v>
      </c>
      <c r="J291" t="s">
        <v>310</v>
      </c>
      <c r="K291" s="13">
        <f>INDEX(Foderstater!$X$64:$AL$101,MATCH(F291,Foderstater!$U$64:$U$101,0),MATCH(A291&amp;C291&amp;E291,Foderstater!$X$63:$AL$63,0))</f>
        <v>0</v>
      </c>
    </row>
    <row r="292" spans="1:13" x14ac:dyDescent="0.25">
      <c r="A292" t="s">
        <v>2</v>
      </c>
      <c r="E292" t="s">
        <v>18</v>
      </c>
      <c r="F292" t="str">
        <f>Foderstater!U$99</f>
        <v>potatoe protein</v>
      </c>
      <c r="J292" t="s">
        <v>310</v>
      </c>
      <c r="K292" s="13">
        <f>INDEX(Foderstater!$X$64:$AL$101,MATCH(F292,Foderstater!$U$64:$U$101,0),MATCH(A292&amp;C292&amp;E292,Foderstater!$X$63:$AL$63,0))</f>
        <v>4.2052766660258274E-3</v>
      </c>
    </row>
    <row r="293" spans="1:13" x14ac:dyDescent="0.25">
      <c r="A293" t="s">
        <v>2</v>
      </c>
      <c r="E293" t="s">
        <v>18</v>
      </c>
      <c r="F293" t="str">
        <f>Foderstater!U$100</f>
        <v>fish meal</v>
      </c>
      <c r="J293" t="s">
        <v>310</v>
      </c>
      <c r="K293" s="13">
        <f>INDEX(Foderstater!$X$64:$AL$101,MATCH(F293,Foderstater!$U$64:$U$101,0),MATCH(A293&amp;C293&amp;E293,Foderstater!$X$63:$AL$63,0))</f>
        <v>0</v>
      </c>
    </row>
    <row r="294" spans="1:13" x14ac:dyDescent="0.25">
      <c r="A294" t="s">
        <v>2</v>
      </c>
      <c r="E294" t="s">
        <v>18</v>
      </c>
      <c r="F294" t="str">
        <f>Foderstater!U$101</f>
        <v>minerals</v>
      </c>
      <c r="J294" t="s">
        <v>310</v>
      </c>
      <c r="K294" s="13">
        <f>INDEX(Foderstater!$X$64:$AL$101,MATCH(F294,Foderstater!$U$64:$U$101,0),MATCH(A294&amp;C294&amp;E294,Foderstater!$X$63:$AL$63,0))</f>
        <v>0.66022570674046432</v>
      </c>
    </row>
    <row r="296" spans="1:13" x14ac:dyDescent="0.25">
      <c r="A296" s="158" t="s">
        <v>2</v>
      </c>
      <c r="B296" s="158" t="s">
        <v>1</v>
      </c>
      <c r="C296" s="158" t="s">
        <v>407</v>
      </c>
      <c r="D296" s="158"/>
      <c r="E296" s="158" t="s">
        <v>18</v>
      </c>
      <c r="J296" s="158" t="s">
        <v>310</v>
      </c>
      <c r="K296" s="158">
        <v>0</v>
      </c>
      <c r="L296" s="158"/>
      <c r="M296" s="158" t="s">
        <v>401</v>
      </c>
    </row>
    <row r="297" spans="1:13" x14ac:dyDescent="0.25">
      <c r="A297" t="s">
        <v>2</v>
      </c>
      <c r="B297" t="s">
        <v>1</v>
      </c>
      <c r="C297" t="s">
        <v>407</v>
      </c>
      <c r="E297" t="s">
        <v>18</v>
      </c>
      <c r="F297" t="str">
        <f>Foderstater!U$64</f>
        <v>ley silage, 1st cut</v>
      </c>
      <c r="J297" t="s">
        <v>310</v>
      </c>
      <c r="K297" s="13">
        <f>INDEX(Foderstater!$X$64:$AL$101,MATCH(F297,Foderstater!$U$64:$U$101,0),MATCH(A297&amp;C297&amp;E297,Foderstater!$X$63:$AL$63,0))</f>
        <v>22.93829412577864</v>
      </c>
      <c r="L297" s="158"/>
      <c r="M297" s="158"/>
    </row>
    <row r="298" spans="1:13" x14ac:dyDescent="0.25">
      <c r="A298" t="s">
        <v>2</v>
      </c>
      <c r="B298" t="s">
        <v>1</v>
      </c>
      <c r="C298" t="s">
        <v>407</v>
      </c>
      <c r="E298" t="s">
        <v>18</v>
      </c>
      <c r="F298" t="str">
        <f>Foderstater!U$65</f>
        <v>ley silage, regrowth</v>
      </c>
      <c r="J298" t="s">
        <v>310</v>
      </c>
      <c r="K298" s="13">
        <f>INDEX(Foderstater!$X$64:$AL$101,MATCH(F298,Foderstater!$U$64:$U$101,0),MATCH(A298&amp;C298&amp;E298,Foderstater!$X$63:$AL$63,0))</f>
        <v>10.638819198282629</v>
      </c>
      <c r="L298" s="158"/>
      <c r="M298" s="158"/>
    </row>
    <row r="299" spans="1:13" x14ac:dyDescent="0.25">
      <c r="A299" t="s">
        <v>2</v>
      </c>
      <c r="B299" t="s">
        <v>1</v>
      </c>
      <c r="C299" t="s">
        <v>407</v>
      </c>
      <c r="E299" t="s">
        <v>18</v>
      </c>
      <c r="F299" t="str">
        <f>Foderstater!U$66</f>
        <v>other silage</v>
      </c>
      <c r="J299" t="s">
        <v>310</v>
      </c>
      <c r="K299" s="13">
        <f>INDEX(Foderstater!$X$64:$AL$101,MATCH(F299,Foderstater!$U$64:$U$101,0),MATCH(A299&amp;C299&amp;E299,Foderstater!$X$63:$AL$63,0))</f>
        <v>0</v>
      </c>
      <c r="L299" s="158"/>
      <c r="M299" s="158"/>
    </row>
    <row r="300" spans="1:13" x14ac:dyDescent="0.25">
      <c r="A300" t="s">
        <v>2</v>
      </c>
      <c r="B300" t="s">
        <v>1</v>
      </c>
      <c r="C300" t="s">
        <v>407</v>
      </c>
      <c r="E300" t="s">
        <v>18</v>
      </c>
      <c r="F300" t="str">
        <f>Foderstater!U$67</f>
        <v>maize silage</v>
      </c>
      <c r="J300" t="s">
        <v>310</v>
      </c>
      <c r="K300" s="13">
        <f>INDEX(Foderstater!$X$64:$AL$101,MATCH(F300,Foderstater!$U$64:$U$101,0),MATCH(A300&amp;C300&amp;E300,Foderstater!$X$63:$AL$63,0))</f>
        <v>15.876048855936714</v>
      </c>
      <c r="L300" s="158"/>
      <c r="M300" s="158"/>
    </row>
    <row r="301" spans="1:13" x14ac:dyDescent="0.25">
      <c r="A301" t="s">
        <v>2</v>
      </c>
      <c r="B301" t="s">
        <v>1</v>
      </c>
      <c r="C301" t="s">
        <v>407</v>
      </c>
      <c r="E301" t="s">
        <v>18</v>
      </c>
      <c r="F301" t="str">
        <f>Foderstater!U$68</f>
        <v>straw</v>
      </c>
      <c r="J301" t="s">
        <v>310</v>
      </c>
      <c r="K301" s="13">
        <f>INDEX(Foderstater!$X$64:$AL$101,MATCH(F301,Foderstater!$U$64:$U$101,0),MATCH(A301&amp;C301&amp;E301,Foderstater!$X$63:$AL$63,0))</f>
        <v>3.0977656304266756</v>
      </c>
      <c r="L301" s="158"/>
      <c r="M301" s="158"/>
    </row>
    <row r="302" spans="1:13" x14ac:dyDescent="0.25">
      <c r="A302" t="s">
        <v>2</v>
      </c>
      <c r="B302" t="s">
        <v>1</v>
      </c>
      <c r="C302" t="s">
        <v>407</v>
      </c>
      <c r="E302" t="s">
        <v>18</v>
      </c>
      <c r="F302" t="str">
        <f>Foderstater!U$69</f>
        <v>grazing</v>
      </c>
      <c r="J302" t="s">
        <v>310</v>
      </c>
      <c r="K302" s="13">
        <f>INDEX(Foderstater!$X$64:$AL$101,MATCH(F302,Foderstater!$U$64:$U$101,0),MATCH(A302&amp;C302&amp;E302,Foderstater!$X$63:$AL$63,0))</f>
        <v>6.4615074492035101</v>
      </c>
      <c r="L302" s="158"/>
      <c r="M302" s="158"/>
    </row>
    <row r="303" spans="1:13" x14ac:dyDescent="0.25">
      <c r="A303" t="s">
        <v>2</v>
      </c>
      <c r="B303" t="s">
        <v>1</v>
      </c>
      <c r="C303" t="s">
        <v>407</v>
      </c>
      <c r="E303" t="s">
        <v>18</v>
      </c>
      <c r="F303" t="str">
        <f>Foderstater!U$70</f>
        <v>wheat</v>
      </c>
      <c r="J303" t="s">
        <v>310</v>
      </c>
      <c r="K303" s="13">
        <f>INDEX(Foderstater!$X$64:$AL$101,MATCH(F303,Foderstater!$U$64:$U$101,0),MATCH(A303&amp;C303&amp;E303,Foderstater!$X$63:$AL$63,0))</f>
        <v>5.0974881237730667</v>
      </c>
      <c r="L303" s="158"/>
      <c r="M303" s="158"/>
    </row>
    <row r="304" spans="1:13" x14ac:dyDescent="0.25">
      <c r="A304" t="s">
        <v>2</v>
      </c>
      <c r="B304" t="s">
        <v>1</v>
      </c>
      <c r="C304" t="s">
        <v>407</v>
      </c>
      <c r="E304" t="s">
        <v>18</v>
      </c>
      <c r="F304" t="str">
        <f>Foderstater!U$71</f>
        <v>barley</v>
      </c>
      <c r="J304" t="s">
        <v>310</v>
      </c>
      <c r="K304" s="13">
        <f>INDEX(Foderstater!$X$64:$AL$101,MATCH(F304,Foderstater!$U$64:$U$101,0),MATCH(A304&amp;C304&amp;E304,Foderstater!$X$63:$AL$63,0))</f>
        <v>8.404170018075888</v>
      </c>
      <c r="L304" s="158"/>
      <c r="M304" s="158"/>
    </row>
    <row r="305" spans="1:13" x14ac:dyDescent="0.25">
      <c r="A305" t="s">
        <v>2</v>
      </c>
      <c r="B305" t="s">
        <v>1</v>
      </c>
      <c r="C305" t="s">
        <v>407</v>
      </c>
      <c r="E305" t="s">
        <v>18</v>
      </c>
      <c r="F305" t="str">
        <f>Foderstater!U$72</f>
        <v>oats</v>
      </c>
      <c r="J305" t="s">
        <v>310</v>
      </c>
      <c r="K305" s="13">
        <f>INDEX(Foderstater!$X$64:$AL$101,MATCH(F305,Foderstater!$U$64:$U$101,0),MATCH(A305&amp;C305&amp;E305,Foderstater!$X$63:$AL$63,0))</f>
        <v>2.0416884227683041</v>
      </c>
      <c r="L305" s="158"/>
      <c r="M305" s="158"/>
    </row>
    <row r="306" spans="1:13" x14ac:dyDescent="0.25">
      <c r="A306" t="s">
        <v>2</v>
      </c>
      <c r="B306" t="s">
        <v>1</v>
      </c>
      <c r="C306" t="s">
        <v>407</v>
      </c>
      <c r="E306" t="s">
        <v>18</v>
      </c>
      <c r="F306" t="str">
        <f>Foderstater!U$73</f>
        <v>triticale</v>
      </c>
      <c r="J306" t="s">
        <v>310</v>
      </c>
      <c r="K306" s="13">
        <f>INDEX(Foderstater!$X$64:$AL$101,MATCH(F306,Foderstater!$U$64:$U$101,0),MATCH(A306&amp;C306&amp;E306,Foderstater!$X$63:$AL$63,0))</f>
        <v>2.6355687688154275</v>
      </c>
      <c r="L306" s="158"/>
      <c r="M306" s="158"/>
    </row>
    <row r="307" spans="1:13" x14ac:dyDescent="0.25">
      <c r="A307" t="s">
        <v>2</v>
      </c>
      <c r="B307" t="s">
        <v>1</v>
      </c>
      <c r="C307" t="s">
        <v>407</v>
      </c>
      <c r="E307" t="s">
        <v>18</v>
      </c>
      <c r="F307" t="str">
        <f>Foderstater!U$74</f>
        <v>rye</v>
      </c>
      <c r="J307" t="s">
        <v>310</v>
      </c>
      <c r="K307" s="13">
        <f>INDEX(Foderstater!$X$64:$AL$101,MATCH(F307,Foderstater!$U$64:$U$101,0),MATCH(A307&amp;C307&amp;E307,Foderstater!$X$63:$AL$63,0))</f>
        <v>1.7420276725880934E-2</v>
      </c>
      <c r="L307" s="158"/>
      <c r="M307" s="158"/>
    </row>
    <row r="308" spans="1:13" x14ac:dyDescent="0.25">
      <c r="A308" t="s">
        <v>2</v>
      </c>
      <c r="B308" t="s">
        <v>1</v>
      </c>
      <c r="C308" t="s">
        <v>407</v>
      </c>
      <c r="E308" t="s">
        <v>18</v>
      </c>
      <c r="F308" t="str">
        <f>Foderstater!U$75</f>
        <v>maize</v>
      </c>
      <c r="J308" t="s">
        <v>310</v>
      </c>
      <c r="K308" s="13">
        <f>INDEX(Foderstater!$X$64:$AL$101,MATCH(F308,Foderstater!$U$64:$U$101,0),MATCH(A308&amp;C308&amp;E308,Foderstater!$X$63:$AL$63,0))</f>
        <v>0.6150281680723525</v>
      </c>
      <c r="L308" s="158"/>
      <c r="M308" s="158"/>
    </row>
    <row r="309" spans="1:13" x14ac:dyDescent="0.25">
      <c r="A309" t="s">
        <v>2</v>
      </c>
      <c r="B309" t="s">
        <v>1</v>
      </c>
      <c r="C309" t="s">
        <v>407</v>
      </c>
      <c r="E309" t="s">
        <v>18</v>
      </c>
      <c r="F309" t="str">
        <f>Foderstater!U$76</f>
        <v>peas</v>
      </c>
      <c r="J309" t="s">
        <v>310</v>
      </c>
      <c r="K309" s="13">
        <f>INDEX(Foderstater!$X$64:$AL$101,MATCH(F309,Foderstater!$U$64:$U$101,0),MATCH(A309&amp;C309&amp;E309,Foderstater!$X$63:$AL$63,0))</f>
        <v>9.6119233524986178E-2</v>
      </c>
      <c r="L309" s="158"/>
      <c r="M309" s="158"/>
    </row>
    <row r="310" spans="1:13" x14ac:dyDescent="0.25">
      <c r="A310" t="s">
        <v>2</v>
      </c>
      <c r="B310" t="s">
        <v>1</v>
      </c>
      <c r="C310" t="s">
        <v>407</v>
      </c>
      <c r="E310" t="s">
        <v>18</v>
      </c>
      <c r="F310" t="str">
        <f>Foderstater!U$77</f>
        <v>broad beans</v>
      </c>
      <c r="J310" t="s">
        <v>310</v>
      </c>
      <c r="K310" s="13">
        <f>INDEX(Foderstater!$X$64:$AL$101,MATCH(F310,Foderstater!$U$64:$U$101,0),MATCH(A310&amp;C310&amp;E310,Foderstater!$X$63:$AL$63,0))</f>
        <v>0.33029420131428044</v>
      </c>
      <c r="L310" s="158"/>
      <c r="M310" s="158"/>
    </row>
    <row r="311" spans="1:13" x14ac:dyDescent="0.25">
      <c r="A311" t="s">
        <v>2</v>
      </c>
      <c r="B311" t="s">
        <v>1</v>
      </c>
      <c r="C311" t="s">
        <v>407</v>
      </c>
      <c r="E311" t="s">
        <v>18</v>
      </c>
      <c r="F311" t="str">
        <f>Foderstater!U$78</f>
        <v>rapeseed</v>
      </c>
      <c r="J311" t="s">
        <v>310</v>
      </c>
      <c r="K311" s="13">
        <f>INDEX(Foderstater!$X$64:$AL$101,MATCH(F311,Foderstater!$U$64:$U$101,0),MATCH(A311&amp;C311&amp;E311,Foderstater!$X$63:$AL$63,0))</f>
        <v>5.2287040112895822</v>
      </c>
      <c r="L311" s="158"/>
      <c r="M311" s="158"/>
    </row>
    <row r="312" spans="1:13" x14ac:dyDescent="0.25">
      <c r="A312" t="s">
        <v>2</v>
      </c>
      <c r="B312" t="s">
        <v>1</v>
      </c>
      <c r="C312" t="s">
        <v>407</v>
      </c>
      <c r="E312" t="s">
        <v>18</v>
      </c>
      <c r="F312" t="str">
        <f>Foderstater!U$79</f>
        <v>linseed</v>
      </c>
      <c r="J312" t="s">
        <v>310</v>
      </c>
      <c r="K312" s="13">
        <f>INDEX(Foderstater!$X$64:$AL$101,MATCH(F312,Foderstater!$U$64:$U$101,0),MATCH(A312&amp;C312&amp;E312,Foderstater!$X$63:$AL$63,0))</f>
        <v>3.8569994694707295E-3</v>
      </c>
      <c r="L312" s="158"/>
      <c r="M312" s="158"/>
    </row>
    <row r="313" spans="1:13" x14ac:dyDescent="0.25">
      <c r="A313" t="s">
        <v>2</v>
      </c>
      <c r="B313" t="s">
        <v>1</v>
      </c>
      <c r="C313" t="s">
        <v>407</v>
      </c>
      <c r="E313" t="s">
        <v>18</v>
      </c>
      <c r="F313" t="str">
        <f>Foderstater!U$80</f>
        <v>vegetable oils</v>
      </c>
      <c r="J313" t="s">
        <v>310</v>
      </c>
      <c r="K313" s="13">
        <f>INDEX(Foderstater!$X$64:$AL$101,MATCH(F313,Foderstater!$U$64:$U$101,0),MATCH(A313&amp;C313&amp;E313,Foderstater!$X$63:$AL$63,0))</f>
        <v>9.957591958992984E-2</v>
      </c>
      <c r="L313" s="158"/>
      <c r="M313" s="158"/>
    </row>
    <row r="314" spans="1:13" x14ac:dyDescent="0.25">
      <c r="A314" t="s">
        <v>2</v>
      </c>
      <c r="B314" t="s">
        <v>1</v>
      </c>
      <c r="C314" t="s">
        <v>407</v>
      </c>
      <c r="E314" t="s">
        <v>18</v>
      </c>
      <c r="F314" t="str">
        <f>Foderstater!U$81</f>
        <v>soybeans</v>
      </c>
      <c r="J314" t="s">
        <v>310</v>
      </c>
      <c r="K314" s="13">
        <f>INDEX(Foderstater!$X$64:$AL$101,MATCH(F314,Foderstater!$U$64:$U$101,0),MATCH(A314&amp;C314&amp;E314,Foderstater!$X$63:$AL$63,0))</f>
        <v>9.7308622107391843E-2</v>
      </c>
      <c r="L314" s="158"/>
      <c r="M314" s="158"/>
    </row>
    <row r="315" spans="1:13" x14ac:dyDescent="0.25">
      <c r="A315" t="s">
        <v>2</v>
      </c>
      <c r="B315" t="s">
        <v>1</v>
      </c>
      <c r="C315" t="s">
        <v>407</v>
      </c>
      <c r="E315" t="s">
        <v>18</v>
      </c>
      <c r="F315" t="str">
        <f>Foderstater!U$82</f>
        <v>soybean meal</v>
      </c>
      <c r="J315" t="s">
        <v>310</v>
      </c>
      <c r="K315" s="13">
        <f>INDEX(Foderstater!$X$64:$AL$101,MATCH(F315,Foderstater!$U$64:$U$101,0),MATCH(A315&amp;C315&amp;E315,Foderstater!$X$63:$AL$63,0))</f>
        <v>0.88887815787688529</v>
      </c>
      <c r="L315" s="158"/>
      <c r="M315" s="158"/>
    </row>
    <row r="316" spans="1:13" x14ac:dyDescent="0.25">
      <c r="A316" t="s">
        <v>2</v>
      </c>
      <c r="B316" t="s">
        <v>1</v>
      </c>
      <c r="C316" t="s">
        <v>407</v>
      </c>
      <c r="E316" t="s">
        <v>18</v>
      </c>
      <c r="F316" t="str">
        <f>Foderstater!U$83</f>
        <v>soybean protein concentrate</v>
      </c>
      <c r="J316" t="s">
        <v>310</v>
      </c>
      <c r="K316" s="13">
        <f>INDEX(Foderstater!$X$64:$AL$101,MATCH(F316,Foderstater!$U$64:$U$101,0),MATCH(A316&amp;C316&amp;E316,Foderstater!$X$63:$AL$63,0))</f>
        <v>0</v>
      </c>
      <c r="L316" s="158"/>
      <c r="M316" s="158"/>
    </row>
    <row r="317" spans="1:13" x14ac:dyDescent="0.25">
      <c r="A317" t="s">
        <v>2</v>
      </c>
      <c r="B317" t="s">
        <v>1</v>
      </c>
      <c r="C317" t="s">
        <v>407</v>
      </c>
      <c r="E317" t="s">
        <v>18</v>
      </c>
      <c r="F317" t="str">
        <f>Foderstater!U$84</f>
        <v>rapeseed meal</v>
      </c>
      <c r="J317" t="s">
        <v>310</v>
      </c>
      <c r="K317" s="13">
        <f>INDEX(Foderstater!$X$64:$AL$101,MATCH(F317,Foderstater!$U$64:$U$101,0),MATCH(A317&amp;C317&amp;E317,Foderstater!$X$63:$AL$63,0))</f>
        <v>6.8653684247374684</v>
      </c>
      <c r="L317" s="158"/>
      <c r="M317" s="158"/>
    </row>
    <row r="318" spans="1:13" x14ac:dyDescent="0.25">
      <c r="A318" t="s">
        <v>2</v>
      </c>
      <c r="B318" t="s">
        <v>1</v>
      </c>
      <c r="C318" t="s">
        <v>407</v>
      </c>
      <c r="E318" t="s">
        <v>18</v>
      </c>
      <c r="F318" t="str">
        <f>Foderstater!U$85</f>
        <v>sunflower seed meal</v>
      </c>
      <c r="J318" t="s">
        <v>310</v>
      </c>
      <c r="K318" s="13">
        <f>INDEX(Foderstater!$X$64:$AL$101,MATCH(F318,Foderstater!$U$64:$U$101,0),MATCH(A318&amp;C318&amp;E318,Foderstater!$X$63:$AL$63,0))</f>
        <v>9.4838419579113625E-2</v>
      </c>
    </row>
    <row r="319" spans="1:13" x14ac:dyDescent="0.25">
      <c r="A319" t="s">
        <v>2</v>
      </c>
      <c r="B319" t="s">
        <v>1</v>
      </c>
      <c r="C319" t="s">
        <v>407</v>
      </c>
      <c r="E319" t="s">
        <v>18</v>
      </c>
      <c r="F319" t="str">
        <f>Foderstater!U$86</f>
        <v>palm kernel expeller</v>
      </c>
      <c r="J319" t="s">
        <v>310</v>
      </c>
      <c r="K319" s="13">
        <f>INDEX(Foderstater!$X$64:$AL$101,MATCH(F319,Foderstater!$U$64:$U$101,0),MATCH(A319&amp;C319&amp;E319,Foderstater!$X$63:$AL$63,0))</f>
        <v>0.61625238331975196</v>
      </c>
    </row>
    <row r="320" spans="1:13" x14ac:dyDescent="0.25">
      <c r="A320" t="s">
        <v>2</v>
      </c>
      <c r="B320" t="s">
        <v>1</v>
      </c>
      <c r="C320" t="s">
        <v>407</v>
      </c>
      <c r="E320" t="s">
        <v>18</v>
      </c>
      <c r="F320" t="str">
        <f>Foderstater!U$87</f>
        <v>luzern meal</v>
      </c>
      <c r="J320" t="s">
        <v>310</v>
      </c>
      <c r="K320" s="13">
        <f>INDEX(Foderstater!$X$64:$AL$101,MATCH(F320,Foderstater!$U$64:$U$101,0),MATCH(A320&amp;C320&amp;E320,Foderstater!$X$63:$AL$63,0))</f>
        <v>0.18745720825786316</v>
      </c>
    </row>
    <row r="321" spans="1:14" x14ac:dyDescent="0.25">
      <c r="A321" t="s">
        <v>2</v>
      </c>
      <c r="B321" t="s">
        <v>1</v>
      </c>
      <c r="C321" t="s">
        <v>407</v>
      </c>
      <c r="E321" t="s">
        <v>18</v>
      </c>
      <c r="F321" t="str">
        <f>Foderstater!U$88</f>
        <v>wheat bran</v>
      </c>
      <c r="J321" t="s">
        <v>310</v>
      </c>
      <c r="K321" s="13">
        <f>INDEX(Foderstater!$X$64:$AL$101,MATCH(F321,Foderstater!$U$64:$U$101,0),MATCH(A321&amp;C321&amp;E321,Foderstater!$X$63:$AL$63,0))</f>
        <v>2.0423714635193808</v>
      </c>
    </row>
    <row r="322" spans="1:14" x14ac:dyDescent="0.25">
      <c r="A322" t="s">
        <v>2</v>
      </c>
      <c r="B322" t="s">
        <v>1</v>
      </c>
      <c r="C322" t="s">
        <v>407</v>
      </c>
      <c r="E322" t="s">
        <v>18</v>
      </c>
      <c r="F322" t="str">
        <f>Foderstater!U$89</f>
        <v>wheat bran, fine</v>
      </c>
      <c r="J322" t="s">
        <v>310</v>
      </c>
      <c r="K322" s="13">
        <f>INDEX(Foderstater!$X$64:$AL$101,MATCH(F322,Foderstater!$U$64:$U$101,0),MATCH(A322&amp;C322&amp;E322,Foderstater!$X$63:$AL$63,0))</f>
        <v>5.3539448640650723E-3</v>
      </c>
    </row>
    <row r="323" spans="1:14" x14ac:dyDescent="0.25">
      <c r="A323" t="s">
        <v>2</v>
      </c>
      <c r="B323" t="s">
        <v>1</v>
      </c>
      <c r="C323" t="s">
        <v>407</v>
      </c>
      <c r="E323" t="s">
        <v>18</v>
      </c>
      <c r="F323" t="str">
        <f>Foderstater!U$90</f>
        <v>oat hulls</v>
      </c>
      <c r="J323" t="s">
        <v>310</v>
      </c>
      <c r="K323" s="13">
        <f>INDEX(Foderstater!$X$64:$AL$101,MATCH(F323,Foderstater!$U$64:$U$101,0),MATCH(A323&amp;C323&amp;E323,Foderstater!$X$63:$AL$63,0))</f>
        <v>0.24598378379417407</v>
      </c>
    </row>
    <row r="324" spans="1:14" x14ac:dyDescent="0.25">
      <c r="A324" t="s">
        <v>2</v>
      </c>
      <c r="B324" t="s">
        <v>1</v>
      </c>
      <c r="C324" t="s">
        <v>407</v>
      </c>
      <c r="E324" t="s">
        <v>18</v>
      </c>
      <c r="F324" t="str">
        <f>Foderstater!U$91</f>
        <v>oat bran</v>
      </c>
      <c r="J324" t="s">
        <v>310</v>
      </c>
      <c r="K324" s="13">
        <f>INDEX(Foderstater!$X$64:$AL$101,MATCH(F324,Foderstater!$U$64:$U$101,0),MATCH(A324&amp;C324&amp;E324,Foderstater!$X$63:$AL$63,0))</f>
        <v>2.77620480868788E-2</v>
      </c>
    </row>
    <row r="325" spans="1:14" x14ac:dyDescent="0.25">
      <c r="A325" t="s">
        <v>2</v>
      </c>
      <c r="B325" t="s">
        <v>1</v>
      </c>
      <c r="C325" t="s">
        <v>407</v>
      </c>
      <c r="E325" t="s">
        <v>18</v>
      </c>
      <c r="F325" t="str">
        <f>Foderstater!U$92</f>
        <v>rye bran</v>
      </c>
      <c r="J325" t="s">
        <v>310</v>
      </c>
      <c r="K325" s="13">
        <f>INDEX(Foderstater!$X$64:$AL$101,MATCH(F325,Foderstater!$U$64:$U$101,0),MATCH(A325&amp;C325&amp;E325,Foderstater!$X$63:$AL$63,0))</f>
        <v>8.5618457243544915E-2</v>
      </c>
    </row>
    <row r="326" spans="1:14" x14ac:dyDescent="0.25">
      <c r="A326" t="s">
        <v>2</v>
      </c>
      <c r="B326" t="s">
        <v>1</v>
      </c>
      <c r="C326" t="s">
        <v>407</v>
      </c>
      <c r="E326" t="s">
        <v>18</v>
      </c>
      <c r="F326" t="str">
        <f>Foderstater!U$93</f>
        <v>wheat distillers grain, dry</v>
      </c>
      <c r="J326" t="s">
        <v>310</v>
      </c>
      <c r="K326" s="13">
        <f>INDEX(Foderstater!$X$64:$AL$101,MATCH(F326,Foderstater!$U$64:$U$101,0),MATCH(A326&amp;C326&amp;E326,Foderstater!$X$63:$AL$63,0))</f>
        <v>2.1953552977488813</v>
      </c>
    </row>
    <row r="327" spans="1:14" x14ac:dyDescent="0.25">
      <c r="A327" t="s">
        <v>2</v>
      </c>
      <c r="B327" t="s">
        <v>1</v>
      </c>
      <c r="C327" t="s">
        <v>407</v>
      </c>
      <c r="E327" t="s">
        <v>18</v>
      </c>
      <c r="F327" t="str">
        <f>Foderstater!U$94</f>
        <v>barley brewers grain</v>
      </c>
      <c r="J327" t="s">
        <v>310</v>
      </c>
      <c r="K327" s="13">
        <f>INDEX(Foderstater!$X$64:$AL$101,MATCH(F327,Foderstater!$U$64:$U$101,0),MATCH(A327&amp;C327&amp;E327,Foderstater!$X$63:$AL$63,0))</f>
        <v>0</v>
      </c>
    </row>
    <row r="328" spans="1:14" x14ac:dyDescent="0.25">
      <c r="A328" t="s">
        <v>2</v>
      </c>
      <c r="B328" t="s">
        <v>1</v>
      </c>
      <c r="C328" t="s">
        <v>407</v>
      </c>
      <c r="E328" t="s">
        <v>18</v>
      </c>
      <c r="F328" t="str">
        <f>Foderstater!U$95</f>
        <v>maize gluten meal</v>
      </c>
      <c r="J328" t="s">
        <v>310</v>
      </c>
      <c r="K328" s="13">
        <f>INDEX(Foderstater!$X$64:$AL$101,MATCH(F328,Foderstater!$U$64:$U$101,0),MATCH(A328&amp;C328&amp;E328,Foderstater!$X$63:$AL$63,0))</f>
        <v>6.6336745025503241E-2</v>
      </c>
    </row>
    <row r="329" spans="1:14" x14ac:dyDescent="0.25">
      <c r="A329" t="s">
        <v>2</v>
      </c>
      <c r="B329" t="s">
        <v>1</v>
      </c>
      <c r="C329" t="s">
        <v>407</v>
      </c>
      <c r="E329" t="s">
        <v>18</v>
      </c>
      <c r="F329" t="str">
        <f>Foderstater!U$96</f>
        <v>sugar beet molasses</v>
      </c>
      <c r="J329" t="s">
        <v>310</v>
      </c>
      <c r="K329" s="13">
        <f>INDEX(Foderstater!$X$64:$AL$101,MATCH(F329,Foderstater!$U$64:$U$101,0),MATCH(A329&amp;C329&amp;E329,Foderstater!$X$63:$AL$63,0))</f>
        <v>0.73563427238161927</v>
      </c>
    </row>
    <row r="330" spans="1:14" x14ac:dyDescent="0.25">
      <c r="A330" t="s">
        <v>2</v>
      </c>
      <c r="B330" t="s">
        <v>1</v>
      </c>
      <c r="C330" t="s">
        <v>407</v>
      </c>
      <c r="E330" t="s">
        <v>18</v>
      </c>
      <c r="F330" t="str">
        <f>Foderstater!U$97</f>
        <v>sugar beet pulp</v>
      </c>
      <c r="J330" t="s">
        <v>310</v>
      </c>
      <c r="K330" s="13">
        <f>INDEX(Foderstater!$X$64:$AL$101,MATCH(F330,Foderstater!$U$64:$U$101,0),MATCH(A330&amp;C330&amp;E330,Foderstater!$X$63:$AL$63,0))</f>
        <v>1.4194645139923689</v>
      </c>
    </row>
    <row r="331" spans="1:14" x14ac:dyDescent="0.25">
      <c r="A331" t="s">
        <v>2</v>
      </c>
      <c r="B331" t="s">
        <v>1</v>
      </c>
      <c r="C331" t="s">
        <v>407</v>
      </c>
      <c r="E331" t="s">
        <v>18</v>
      </c>
      <c r="F331" t="str">
        <f>Foderstater!U$98</f>
        <v>whey powder</v>
      </c>
      <c r="J331" t="s">
        <v>310</v>
      </c>
      <c r="K331" s="13">
        <f>INDEX(Foderstater!$X$64:$AL$101,MATCH(F331,Foderstater!$U$64:$U$101,0),MATCH(A331&amp;C331&amp;E331,Foderstater!$X$63:$AL$63,0))</f>
        <v>0</v>
      </c>
    </row>
    <row r="332" spans="1:14" x14ac:dyDescent="0.25">
      <c r="A332" t="s">
        <v>2</v>
      </c>
      <c r="B332" t="s">
        <v>1</v>
      </c>
      <c r="C332" t="s">
        <v>407</v>
      </c>
      <c r="E332" t="s">
        <v>18</v>
      </c>
      <c r="F332" t="str">
        <f>Foderstater!U$99</f>
        <v>potatoe protein</v>
      </c>
      <c r="J332" t="s">
        <v>310</v>
      </c>
      <c r="K332" s="13">
        <f>INDEX(Foderstater!$X$64:$AL$101,MATCH(F332,Foderstater!$U$64:$U$101,0),MATCH(A332&amp;C332&amp;E332,Foderstater!$X$63:$AL$63,0))</f>
        <v>6.4986728649744927E-3</v>
      </c>
    </row>
    <row r="333" spans="1:14" x14ac:dyDescent="0.25">
      <c r="A333" t="s">
        <v>2</v>
      </c>
      <c r="B333" t="s">
        <v>1</v>
      </c>
      <c r="C333" t="s">
        <v>407</v>
      </c>
      <c r="E333" t="s">
        <v>18</v>
      </c>
      <c r="F333" t="str">
        <f>Foderstater!U$100</f>
        <v>fish meal</v>
      </c>
      <c r="J333" t="s">
        <v>310</v>
      </c>
      <c r="K333" s="13">
        <f>INDEX(Foderstater!$X$64:$AL$101,MATCH(F333,Foderstater!$U$64:$U$101,0),MATCH(A333&amp;C333&amp;E333,Foderstater!$X$63:$AL$63,0))</f>
        <v>0</v>
      </c>
    </row>
    <row r="334" spans="1:14" x14ac:dyDescent="0.25">
      <c r="A334" t="s">
        <v>2</v>
      </c>
      <c r="B334" t="s">
        <v>1</v>
      </c>
      <c r="C334" t="s">
        <v>407</v>
      </c>
      <c r="E334" t="s">
        <v>18</v>
      </c>
      <c r="F334" t="str">
        <f>Foderstater!U$101</f>
        <v>minerals</v>
      </c>
      <c r="J334" t="s">
        <v>310</v>
      </c>
      <c r="K334" s="13">
        <f>INDEX(Foderstater!$X$64:$AL$101,MATCH(F334,Foderstater!$U$64:$U$101,0),MATCH(A334&amp;C334&amp;E334,Foderstater!$X$63:$AL$63,0))</f>
        <v>0.83716818155279793</v>
      </c>
    </row>
    <row r="336" spans="1:14" x14ac:dyDescent="0.25">
      <c r="A336" s="81" t="s">
        <v>636</v>
      </c>
      <c r="B336" s="48"/>
      <c r="C336" s="48"/>
      <c r="D336" s="49"/>
      <c r="E336" s="49"/>
      <c r="F336" s="49"/>
      <c r="G336" s="49"/>
      <c r="H336" s="49"/>
      <c r="I336" s="49"/>
      <c r="J336" s="49"/>
      <c r="K336" s="161"/>
      <c r="L336" s="49"/>
      <c r="M336" s="49"/>
      <c r="N336" s="49"/>
    </row>
    <row r="337" spans="1:13" x14ac:dyDescent="0.25">
      <c r="A337" s="158" t="s">
        <v>2</v>
      </c>
      <c r="B337" s="158"/>
      <c r="C337" s="158"/>
      <c r="D337" s="158"/>
      <c r="E337" s="158" t="s">
        <v>402</v>
      </c>
      <c r="F337" s="158"/>
      <c r="G337" s="158"/>
      <c r="H337" s="158"/>
      <c r="I337" s="158"/>
      <c r="J337" s="158" t="s">
        <v>310</v>
      </c>
      <c r="K337" s="158">
        <v>0</v>
      </c>
      <c r="L337" s="158"/>
      <c r="M337" s="158" t="s">
        <v>401</v>
      </c>
    </row>
    <row r="338" spans="1:13" x14ac:dyDescent="0.25">
      <c r="A338" s="110" t="s">
        <v>2</v>
      </c>
      <c r="B338" s="110"/>
      <c r="C338" s="110"/>
      <c r="D338" s="110"/>
      <c r="E338" s="110" t="s">
        <v>402</v>
      </c>
      <c r="F338" t="str">
        <f>Foderstater!U$64</f>
        <v>ley silage, 1st cut</v>
      </c>
      <c r="G338" s="93"/>
      <c r="H338" s="93"/>
      <c r="I338" s="93"/>
      <c r="J338" s="110" t="s">
        <v>310</v>
      </c>
      <c r="K338" s="13">
        <f>INDEX(Foderstater!$X$64:$AL$101,MATCH(F338,Foderstater!$U$64:$U$101,0),MATCH(A338&amp;C338&amp;E338,Foderstater!$X$63:$AL$63,0))</f>
        <v>0</v>
      </c>
      <c r="L338" s="158"/>
      <c r="M338" s="93"/>
    </row>
    <row r="339" spans="1:13" x14ac:dyDescent="0.25">
      <c r="A339" s="110" t="s">
        <v>2</v>
      </c>
      <c r="E339" s="110" t="s">
        <v>402</v>
      </c>
      <c r="F339" t="str">
        <f>Foderstater!U$65</f>
        <v>ley silage, regrowth</v>
      </c>
      <c r="J339" s="110" t="s">
        <v>310</v>
      </c>
      <c r="K339" s="13">
        <f>INDEX(Foderstater!$X$64:$AL$101,MATCH(F339,Foderstater!$U$64:$U$101,0),MATCH(A339&amp;C339&amp;E339,Foderstater!$X$63:$AL$63,0))</f>
        <v>7.0178130628008537</v>
      </c>
    </row>
    <row r="340" spans="1:13" x14ac:dyDescent="0.25">
      <c r="A340" s="110" t="s">
        <v>2</v>
      </c>
      <c r="E340" s="110" t="s">
        <v>402</v>
      </c>
      <c r="F340" t="str">
        <f>Foderstater!U$66</f>
        <v>other silage</v>
      </c>
      <c r="J340" s="110" t="s">
        <v>310</v>
      </c>
      <c r="K340" s="13">
        <f>INDEX(Foderstater!$X$64:$AL$101,MATCH(F340,Foderstater!$U$64:$U$101,0),MATCH(A340&amp;C340&amp;E340,Foderstater!$X$63:$AL$63,0))</f>
        <v>41.192418289263692</v>
      </c>
    </row>
    <row r="341" spans="1:13" x14ac:dyDescent="0.25">
      <c r="A341" s="110" t="s">
        <v>2</v>
      </c>
      <c r="E341" s="110" t="s">
        <v>402</v>
      </c>
      <c r="F341" t="str">
        <f>Foderstater!U$67</f>
        <v>maize silage</v>
      </c>
      <c r="J341" s="110" t="s">
        <v>310</v>
      </c>
      <c r="K341" s="13">
        <f>INDEX(Foderstater!$X$64:$AL$101,MATCH(F341,Foderstater!$U$64:$U$101,0),MATCH(A341&amp;C341&amp;E341,Foderstater!$X$63:$AL$63,0))</f>
        <v>0</v>
      </c>
    </row>
    <row r="342" spans="1:13" x14ac:dyDescent="0.25">
      <c r="A342" s="110" t="s">
        <v>2</v>
      </c>
      <c r="E342" s="110" t="s">
        <v>402</v>
      </c>
      <c r="F342" t="str">
        <f>Foderstater!U$68</f>
        <v>straw</v>
      </c>
      <c r="J342" s="110" t="s">
        <v>310</v>
      </c>
      <c r="K342" s="13">
        <f>INDEX(Foderstater!$X$64:$AL$101,MATCH(F342,Foderstater!$U$64:$U$101,0),MATCH(A342&amp;C342&amp;E342,Foderstater!$X$63:$AL$63,0))</f>
        <v>0.67138025374082655</v>
      </c>
    </row>
    <row r="343" spans="1:13" x14ac:dyDescent="0.25">
      <c r="A343" s="110" t="s">
        <v>2</v>
      </c>
      <c r="E343" s="110" t="s">
        <v>402</v>
      </c>
      <c r="F343" t="str">
        <f>Foderstater!U$69</f>
        <v>grazing</v>
      </c>
      <c r="J343" s="110" t="s">
        <v>310</v>
      </c>
      <c r="K343" s="13">
        <f>INDEX(Foderstater!$X$64:$AL$101,MATCH(F343,Foderstater!$U$64:$U$101,0),MATCH(A343&amp;C343&amp;E343,Foderstater!$X$63:$AL$63,0))</f>
        <v>50.052481882315824</v>
      </c>
    </row>
    <row r="344" spans="1:13" x14ac:dyDescent="0.25">
      <c r="A344" s="110" t="s">
        <v>2</v>
      </c>
      <c r="E344" s="110" t="s">
        <v>402</v>
      </c>
      <c r="F344" t="str">
        <f>Foderstater!U$70</f>
        <v>wheat</v>
      </c>
      <c r="J344" s="110" t="s">
        <v>310</v>
      </c>
      <c r="K344" s="13">
        <f>INDEX(Foderstater!$X$64:$AL$101,MATCH(F344,Foderstater!$U$64:$U$101,0),MATCH(A344&amp;C344&amp;E344,Foderstater!$X$63:$AL$63,0))</f>
        <v>0</v>
      </c>
    </row>
    <row r="345" spans="1:13" x14ac:dyDescent="0.25">
      <c r="A345" s="110" t="s">
        <v>2</v>
      </c>
      <c r="E345" s="110" t="s">
        <v>402</v>
      </c>
      <c r="F345" t="str">
        <f>Foderstater!U$71</f>
        <v>barley</v>
      </c>
      <c r="J345" s="110" t="s">
        <v>310</v>
      </c>
      <c r="K345" s="13">
        <f>INDEX(Foderstater!$X$64:$AL$101,MATCH(F345,Foderstater!$U$64:$U$101,0),MATCH(A345&amp;C345&amp;E345,Foderstater!$X$63:$AL$63,0))</f>
        <v>0</v>
      </c>
    </row>
    <row r="346" spans="1:13" x14ac:dyDescent="0.25">
      <c r="A346" s="110" t="s">
        <v>2</v>
      </c>
      <c r="E346" s="110" t="s">
        <v>402</v>
      </c>
      <c r="F346" t="str">
        <f>Foderstater!U$72</f>
        <v>oats</v>
      </c>
      <c r="J346" s="110" t="s">
        <v>310</v>
      </c>
      <c r="K346" s="13">
        <f>INDEX(Foderstater!$X$64:$AL$101,MATCH(F346,Foderstater!$U$64:$U$101,0),MATCH(A346&amp;C346&amp;E346,Foderstater!$X$63:$AL$63,0))</f>
        <v>0</v>
      </c>
    </row>
    <row r="347" spans="1:13" x14ac:dyDescent="0.25">
      <c r="A347" s="110" t="s">
        <v>2</v>
      </c>
      <c r="E347" s="110" t="s">
        <v>402</v>
      </c>
      <c r="F347" t="str">
        <f>Foderstater!U$73</f>
        <v>triticale</v>
      </c>
      <c r="J347" s="110" t="s">
        <v>310</v>
      </c>
      <c r="K347" s="13">
        <f>INDEX(Foderstater!$X$64:$AL$101,MATCH(F347,Foderstater!$U$64:$U$101,0),MATCH(A347&amp;C347&amp;E347,Foderstater!$X$63:$AL$63,0))</f>
        <v>0</v>
      </c>
    </row>
    <row r="348" spans="1:13" x14ac:dyDescent="0.25">
      <c r="A348" s="110" t="s">
        <v>2</v>
      </c>
      <c r="E348" s="110" t="s">
        <v>402</v>
      </c>
      <c r="F348" t="str">
        <f>Foderstater!U$74</f>
        <v>rye</v>
      </c>
      <c r="J348" s="110" t="s">
        <v>310</v>
      </c>
      <c r="K348" s="13">
        <f>INDEX(Foderstater!$X$64:$AL$101,MATCH(F348,Foderstater!$U$64:$U$101,0),MATCH(A348&amp;C348&amp;E348,Foderstater!$X$63:$AL$63,0))</f>
        <v>0</v>
      </c>
    </row>
    <row r="349" spans="1:13" x14ac:dyDescent="0.25">
      <c r="A349" s="110" t="s">
        <v>2</v>
      </c>
      <c r="E349" s="110" t="s">
        <v>402</v>
      </c>
      <c r="F349" t="str">
        <f>Foderstater!U$75</f>
        <v>maize</v>
      </c>
      <c r="J349" s="110" t="s">
        <v>310</v>
      </c>
      <c r="K349" s="13">
        <f>INDEX(Foderstater!$X$64:$AL$101,MATCH(F349,Foderstater!$U$64:$U$101,0),MATCH(A349&amp;C349&amp;E349,Foderstater!$X$63:$AL$63,0))</f>
        <v>0</v>
      </c>
    </row>
    <row r="350" spans="1:13" x14ac:dyDescent="0.25">
      <c r="A350" s="110" t="s">
        <v>2</v>
      </c>
      <c r="E350" s="110" t="s">
        <v>402</v>
      </c>
      <c r="F350" t="str">
        <f>Foderstater!U$76</f>
        <v>peas</v>
      </c>
      <c r="J350" s="110" t="s">
        <v>310</v>
      </c>
      <c r="K350" s="13">
        <f>INDEX(Foderstater!$X$64:$AL$101,MATCH(F350,Foderstater!$U$64:$U$101,0),MATCH(A350&amp;C350&amp;E350,Foderstater!$X$63:$AL$63,0))</f>
        <v>0</v>
      </c>
    </row>
    <row r="351" spans="1:13" x14ac:dyDescent="0.25">
      <c r="A351" s="110" t="s">
        <v>2</v>
      </c>
      <c r="E351" s="110" t="s">
        <v>402</v>
      </c>
      <c r="F351" t="str">
        <f>Foderstater!U$77</f>
        <v>broad beans</v>
      </c>
      <c r="J351" s="110" t="s">
        <v>310</v>
      </c>
      <c r="K351" s="13">
        <f>INDEX(Foderstater!$X$64:$AL$101,MATCH(F351,Foderstater!$U$64:$U$101,0),MATCH(A351&amp;C351&amp;E351,Foderstater!$X$63:$AL$63,0))</f>
        <v>0</v>
      </c>
    </row>
    <row r="352" spans="1:13" x14ac:dyDescent="0.25">
      <c r="A352" s="110" t="s">
        <v>2</v>
      </c>
      <c r="E352" s="110" t="s">
        <v>402</v>
      </c>
      <c r="F352" t="str">
        <f>Foderstater!U$78</f>
        <v>rapeseed</v>
      </c>
      <c r="J352" s="110" t="s">
        <v>310</v>
      </c>
      <c r="K352" s="13">
        <f>INDEX(Foderstater!$X$64:$AL$101,MATCH(F352,Foderstater!$U$64:$U$101,0),MATCH(A352&amp;C352&amp;E352,Foderstater!$X$63:$AL$63,0))</f>
        <v>0</v>
      </c>
    </row>
    <row r="353" spans="1:11" x14ac:dyDescent="0.25">
      <c r="A353" s="110" t="s">
        <v>2</v>
      </c>
      <c r="E353" s="110" t="s">
        <v>402</v>
      </c>
      <c r="F353" t="str">
        <f>Foderstater!U$79</f>
        <v>linseed</v>
      </c>
      <c r="J353" s="110" t="s">
        <v>310</v>
      </c>
      <c r="K353" s="13">
        <f>INDEX(Foderstater!$X$64:$AL$101,MATCH(F353,Foderstater!$U$64:$U$101,0),MATCH(A353&amp;C353&amp;E353,Foderstater!$X$63:$AL$63,0))</f>
        <v>0</v>
      </c>
    </row>
    <row r="354" spans="1:11" x14ac:dyDescent="0.25">
      <c r="A354" s="110" t="s">
        <v>2</v>
      </c>
      <c r="E354" s="110" t="s">
        <v>402</v>
      </c>
      <c r="F354" t="str">
        <f>Foderstater!U$80</f>
        <v>vegetable oils</v>
      </c>
      <c r="J354" s="110" t="s">
        <v>310</v>
      </c>
      <c r="K354" s="13">
        <f>INDEX(Foderstater!$X$64:$AL$101,MATCH(F354,Foderstater!$U$64:$U$101,0),MATCH(A354&amp;C354&amp;E354,Foderstater!$X$63:$AL$63,0))</f>
        <v>0</v>
      </c>
    </row>
    <row r="355" spans="1:11" x14ac:dyDescent="0.25">
      <c r="A355" s="110" t="s">
        <v>2</v>
      </c>
      <c r="E355" s="110" t="s">
        <v>402</v>
      </c>
      <c r="F355" t="str">
        <f>Foderstater!U$81</f>
        <v>soybeans</v>
      </c>
      <c r="J355" s="110" t="s">
        <v>310</v>
      </c>
      <c r="K355" s="13">
        <f>INDEX(Foderstater!$X$64:$AL$101,MATCH(F355,Foderstater!$U$64:$U$101,0),MATCH(A355&amp;C355&amp;E355,Foderstater!$X$63:$AL$63,0))</f>
        <v>0</v>
      </c>
    </row>
    <row r="356" spans="1:11" x14ac:dyDescent="0.25">
      <c r="A356" s="110" t="s">
        <v>2</v>
      </c>
      <c r="E356" s="110" t="s">
        <v>402</v>
      </c>
      <c r="F356" t="str">
        <f>Foderstater!U$82</f>
        <v>soybean meal</v>
      </c>
      <c r="J356" s="110" t="s">
        <v>310</v>
      </c>
      <c r="K356" s="13">
        <f>INDEX(Foderstater!$X$64:$AL$101,MATCH(F356,Foderstater!$U$64:$U$101,0),MATCH(A356&amp;C356&amp;E356,Foderstater!$X$63:$AL$63,0))</f>
        <v>0</v>
      </c>
    </row>
    <row r="357" spans="1:11" x14ac:dyDescent="0.25">
      <c r="A357" s="110" t="s">
        <v>2</v>
      </c>
      <c r="E357" s="110" t="s">
        <v>402</v>
      </c>
      <c r="F357" t="str">
        <f>Foderstater!U$83</f>
        <v>soybean protein concentrate</v>
      </c>
      <c r="J357" s="110" t="s">
        <v>310</v>
      </c>
      <c r="K357" s="13">
        <f>INDEX(Foderstater!$X$64:$AL$101,MATCH(F357,Foderstater!$U$64:$U$101,0),MATCH(A357&amp;C357&amp;E357,Foderstater!$X$63:$AL$63,0))</f>
        <v>0</v>
      </c>
    </row>
    <row r="358" spans="1:11" x14ac:dyDescent="0.25">
      <c r="A358" s="110" t="s">
        <v>2</v>
      </c>
      <c r="E358" s="110" t="s">
        <v>402</v>
      </c>
      <c r="F358" t="str">
        <f>Foderstater!U$84</f>
        <v>rapeseed meal</v>
      </c>
      <c r="J358" s="110" t="s">
        <v>310</v>
      </c>
      <c r="K358" s="13">
        <f>INDEX(Foderstater!$X$64:$AL$101,MATCH(F358,Foderstater!$U$64:$U$101,0),MATCH(A358&amp;C358&amp;E358,Foderstater!$X$63:$AL$63,0))</f>
        <v>0</v>
      </c>
    </row>
    <row r="359" spans="1:11" x14ac:dyDescent="0.25">
      <c r="A359" s="110" t="s">
        <v>2</v>
      </c>
      <c r="E359" s="110" t="s">
        <v>402</v>
      </c>
      <c r="F359" t="str">
        <f>Foderstater!U$85</f>
        <v>sunflower seed meal</v>
      </c>
      <c r="J359" s="110" t="s">
        <v>310</v>
      </c>
      <c r="K359" s="13">
        <f>INDEX(Foderstater!$X$64:$AL$101,MATCH(F359,Foderstater!$U$64:$U$101,0),MATCH(A359&amp;C359&amp;E359,Foderstater!$X$63:$AL$63,0))</f>
        <v>0</v>
      </c>
    </row>
    <row r="360" spans="1:11" x14ac:dyDescent="0.25">
      <c r="A360" s="110" t="s">
        <v>2</v>
      </c>
      <c r="E360" s="110" t="s">
        <v>402</v>
      </c>
      <c r="F360" t="str">
        <f>Foderstater!U$86</f>
        <v>palm kernel expeller</v>
      </c>
      <c r="J360" s="110" t="s">
        <v>310</v>
      </c>
      <c r="K360" s="13">
        <f>INDEX(Foderstater!$X$64:$AL$101,MATCH(F360,Foderstater!$U$64:$U$101,0),MATCH(A360&amp;C360&amp;E360,Foderstater!$X$63:$AL$63,0))</f>
        <v>0</v>
      </c>
    </row>
    <row r="361" spans="1:11" x14ac:dyDescent="0.25">
      <c r="A361" s="110" t="s">
        <v>2</v>
      </c>
      <c r="E361" s="110" t="s">
        <v>402</v>
      </c>
      <c r="F361" t="str">
        <f>Foderstater!U$87</f>
        <v>luzern meal</v>
      </c>
      <c r="J361" s="110" t="s">
        <v>310</v>
      </c>
      <c r="K361" s="13">
        <f>INDEX(Foderstater!$X$64:$AL$101,MATCH(F361,Foderstater!$U$64:$U$101,0),MATCH(A361&amp;C361&amp;E361,Foderstater!$X$63:$AL$63,0))</f>
        <v>0</v>
      </c>
    </row>
    <row r="362" spans="1:11" x14ac:dyDescent="0.25">
      <c r="A362" s="110" t="s">
        <v>2</v>
      </c>
      <c r="E362" s="110" t="s">
        <v>402</v>
      </c>
      <c r="F362" t="str">
        <f>Foderstater!U$88</f>
        <v>wheat bran</v>
      </c>
      <c r="J362" s="110" t="s">
        <v>310</v>
      </c>
      <c r="K362" s="13">
        <f>INDEX(Foderstater!$X$64:$AL$101,MATCH(F362,Foderstater!$U$64:$U$101,0),MATCH(A362&amp;C362&amp;E362,Foderstater!$X$63:$AL$63,0))</f>
        <v>0</v>
      </c>
    </row>
    <row r="363" spans="1:11" x14ac:dyDescent="0.25">
      <c r="A363" s="110" t="s">
        <v>2</v>
      </c>
      <c r="E363" s="110" t="s">
        <v>402</v>
      </c>
      <c r="F363" t="str">
        <f>Foderstater!U$89</f>
        <v>wheat bran, fine</v>
      </c>
      <c r="J363" s="110" t="s">
        <v>310</v>
      </c>
      <c r="K363" s="13">
        <f>INDEX(Foderstater!$X$64:$AL$101,MATCH(F363,Foderstater!$U$64:$U$101,0),MATCH(A363&amp;C363&amp;E363,Foderstater!$X$63:$AL$63,0))</f>
        <v>0</v>
      </c>
    </row>
    <row r="364" spans="1:11" x14ac:dyDescent="0.25">
      <c r="A364" s="110" t="s">
        <v>2</v>
      </c>
      <c r="E364" s="110" t="s">
        <v>402</v>
      </c>
      <c r="F364" t="str">
        <f>Foderstater!U$90</f>
        <v>oat hulls</v>
      </c>
      <c r="J364" s="110" t="s">
        <v>310</v>
      </c>
      <c r="K364" s="13">
        <f>INDEX(Foderstater!$X$64:$AL$101,MATCH(F364,Foderstater!$U$64:$U$101,0),MATCH(A364&amp;C364&amp;E364,Foderstater!$X$63:$AL$63,0))</f>
        <v>0</v>
      </c>
    </row>
    <row r="365" spans="1:11" x14ac:dyDescent="0.25">
      <c r="A365" s="110" t="s">
        <v>2</v>
      </c>
      <c r="E365" s="110" t="s">
        <v>402</v>
      </c>
      <c r="F365" t="str">
        <f>Foderstater!U$91</f>
        <v>oat bran</v>
      </c>
      <c r="J365" s="110" t="s">
        <v>310</v>
      </c>
      <c r="K365" s="13">
        <f>INDEX(Foderstater!$X$64:$AL$101,MATCH(F365,Foderstater!$U$64:$U$101,0),MATCH(A365&amp;C365&amp;E365,Foderstater!$X$63:$AL$63,0))</f>
        <v>0</v>
      </c>
    </row>
    <row r="366" spans="1:11" x14ac:dyDescent="0.25">
      <c r="A366" s="110" t="s">
        <v>2</v>
      </c>
      <c r="E366" s="110" t="s">
        <v>402</v>
      </c>
      <c r="F366" t="str">
        <f>Foderstater!U$92</f>
        <v>rye bran</v>
      </c>
      <c r="J366" s="110" t="s">
        <v>310</v>
      </c>
      <c r="K366" s="13">
        <f>INDEX(Foderstater!$X$64:$AL$101,MATCH(F366,Foderstater!$U$64:$U$101,0),MATCH(A366&amp;C366&amp;E366,Foderstater!$X$63:$AL$63,0))</f>
        <v>0</v>
      </c>
    </row>
    <row r="367" spans="1:11" x14ac:dyDescent="0.25">
      <c r="A367" s="110" t="s">
        <v>2</v>
      </c>
      <c r="E367" s="110" t="s">
        <v>402</v>
      </c>
      <c r="F367" t="str">
        <f>Foderstater!U$93</f>
        <v>wheat distillers grain, dry</v>
      </c>
      <c r="J367" s="110" t="s">
        <v>310</v>
      </c>
      <c r="K367" s="13">
        <f>INDEX(Foderstater!$X$64:$AL$101,MATCH(F367,Foderstater!$U$64:$U$101,0),MATCH(A367&amp;C367&amp;E367,Foderstater!$X$63:$AL$63,0))</f>
        <v>0</v>
      </c>
    </row>
    <row r="368" spans="1:11" x14ac:dyDescent="0.25">
      <c r="A368" s="110" t="s">
        <v>2</v>
      </c>
      <c r="E368" s="110" t="s">
        <v>402</v>
      </c>
      <c r="F368" t="str">
        <f>Foderstater!U$94</f>
        <v>barley brewers grain</v>
      </c>
      <c r="J368" s="110" t="s">
        <v>310</v>
      </c>
      <c r="K368" s="13">
        <f>INDEX(Foderstater!$X$64:$AL$101,MATCH(F368,Foderstater!$U$64:$U$101,0),MATCH(A368&amp;C368&amp;E368,Foderstater!$X$63:$AL$63,0))</f>
        <v>0</v>
      </c>
    </row>
    <row r="369" spans="1:14" x14ac:dyDescent="0.25">
      <c r="A369" s="110" t="s">
        <v>2</v>
      </c>
      <c r="E369" s="110" t="s">
        <v>402</v>
      </c>
      <c r="F369" t="str">
        <f>Foderstater!U$95</f>
        <v>maize gluten meal</v>
      </c>
      <c r="J369" s="110" t="s">
        <v>310</v>
      </c>
      <c r="K369" s="13">
        <f>INDEX(Foderstater!$X$64:$AL$101,MATCH(F369,Foderstater!$U$64:$U$101,0),MATCH(A369&amp;C369&amp;E369,Foderstater!$X$63:$AL$63,0))</f>
        <v>0</v>
      </c>
    </row>
    <row r="370" spans="1:14" x14ac:dyDescent="0.25">
      <c r="A370" s="110" t="s">
        <v>2</v>
      </c>
      <c r="E370" s="110" t="s">
        <v>402</v>
      </c>
      <c r="F370" t="str">
        <f>Foderstater!U$96</f>
        <v>sugar beet molasses</v>
      </c>
      <c r="J370" s="110" t="s">
        <v>310</v>
      </c>
      <c r="K370" s="13">
        <f>INDEX(Foderstater!$X$64:$AL$101,MATCH(F370,Foderstater!$U$64:$U$101,0),MATCH(A370&amp;C370&amp;E370,Foderstater!$X$63:$AL$63,0))</f>
        <v>0</v>
      </c>
    </row>
    <row r="371" spans="1:14" x14ac:dyDescent="0.25">
      <c r="A371" s="110" t="s">
        <v>2</v>
      </c>
      <c r="E371" s="110" t="s">
        <v>402</v>
      </c>
      <c r="F371" t="str">
        <f>Foderstater!U$97</f>
        <v>sugar beet pulp</v>
      </c>
      <c r="J371" s="110" t="s">
        <v>310</v>
      </c>
      <c r="K371" s="13">
        <f>INDEX(Foderstater!$X$64:$AL$101,MATCH(F371,Foderstater!$U$64:$U$101,0),MATCH(A371&amp;C371&amp;E371,Foderstater!$X$63:$AL$63,0))</f>
        <v>0</v>
      </c>
    </row>
    <row r="372" spans="1:14" x14ac:dyDescent="0.25">
      <c r="A372" s="110" t="s">
        <v>2</v>
      </c>
      <c r="E372" s="110" t="s">
        <v>402</v>
      </c>
      <c r="F372" t="str">
        <f>Foderstater!U$98</f>
        <v>whey powder</v>
      </c>
      <c r="J372" s="110" t="s">
        <v>310</v>
      </c>
      <c r="K372" s="13">
        <f>INDEX(Foderstater!$X$64:$AL$101,MATCH(F372,Foderstater!$U$64:$U$101,0),MATCH(A372&amp;C372&amp;E372,Foderstater!$X$63:$AL$63,0))</f>
        <v>0</v>
      </c>
    </row>
    <row r="373" spans="1:14" x14ac:dyDescent="0.25">
      <c r="A373" s="110" t="s">
        <v>2</v>
      </c>
      <c r="E373" s="110" t="s">
        <v>402</v>
      </c>
      <c r="F373" t="str">
        <f>Foderstater!U$99</f>
        <v>potatoe protein</v>
      </c>
      <c r="J373" s="110" t="s">
        <v>310</v>
      </c>
      <c r="K373" s="13">
        <f>INDEX(Foderstater!$X$64:$AL$101,MATCH(F373,Foderstater!$U$64:$U$101,0),MATCH(A373&amp;C373&amp;E373,Foderstater!$X$63:$AL$63,0))</f>
        <v>0</v>
      </c>
    </row>
    <row r="374" spans="1:14" x14ac:dyDescent="0.25">
      <c r="A374" s="110" t="s">
        <v>2</v>
      </c>
      <c r="E374" s="110" t="s">
        <v>402</v>
      </c>
      <c r="F374" t="str">
        <f>Foderstater!U$100</f>
        <v>fish meal</v>
      </c>
      <c r="J374" s="110" t="s">
        <v>310</v>
      </c>
      <c r="K374" s="13">
        <f>INDEX(Foderstater!$X$64:$AL$101,MATCH(F374,Foderstater!$U$64:$U$101,0),MATCH(A374&amp;C374&amp;E374,Foderstater!$X$63:$AL$63,0))</f>
        <v>0</v>
      </c>
    </row>
    <row r="375" spans="1:14" x14ac:dyDescent="0.25">
      <c r="A375" s="110" t="s">
        <v>2</v>
      </c>
      <c r="E375" s="110" t="s">
        <v>402</v>
      </c>
      <c r="F375" t="str">
        <f>Foderstater!U$101</f>
        <v>minerals</v>
      </c>
      <c r="J375" s="110" t="s">
        <v>310</v>
      </c>
      <c r="K375" s="13">
        <f>INDEX(Foderstater!$X$64:$AL$101,MATCH(F375,Foderstater!$U$64:$U$101,0),MATCH(A375&amp;C375&amp;E375,Foderstater!$X$63:$AL$63,0))</f>
        <v>1.0659065118787974</v>
      </c>
    </row>
    <row r="377" spans="1:14" x14ac:dyDescent="0.25">
      <c r="A377" s="81" t="s">
        <v>79</v>
      </c>
      <c r="B377" s="48"/>
      <c r="C377" s="48"/>
      <c r="D377" s="49"/>
      <c r="E377" s="49"/>
      <c r="F377" s="49"/>
      <c r="G377" s="49"/>
      <c r="H377" s="49"/>
      <c r="I377" s="49"/>
      <c r="J377" s="49"/>
      <c r="K377" s="161"/>
      <c r="L377" s="49"/>
      <c r="M377" s="49"/>
      <c r="N377" s="49"/>
    </row>
    <row r="378" spans="1:14" x14ac:dyDescent="0.25">
      <c r="A378" s="158" t="s">
        <v>2</v>
      </c>
      <c r="B378" s="158"/>
      <c r="C378" s="158"/>
      <c r="D378" s="158"/>
      <c r="E378" s="158" t="s">
        <v>633</v>
      </c>
      <c r="J378" s="158" t="s">
        <v>310</v>
      </c>
      <c r="K378" s="158">
        <v>0</v>
      </c>
      <c r="L378" s="158"/>
      <c r="M378" s="158" t="s">
        <v>401</v>
      </c>
    </row>
    <row r="379" spans="1:14" x14ac:dyDescent="0.25">
      <c r="A379" t="s">
        <v>2</v>
      </c>
      <c r="E379" t="s">
        <v>633</v>
      </c>
      <c r="F379" t="str">
        <f>Foderstater!U$64</f>
        <v>ley silage, 1st cut</v>
      </c>
      <c r="J379" t="s">
        <v>310</v>
      </c>
      <c r="K379" s="13">
        <f>INDEX(Foderstater!$X$64:$AL$101,MATCH(F379,Foderstater!$U$64:$U$101,0),MATCH(A379&amp;C379&amp;E379,Foderstater!$X$63:$AL$63,0))</f>
        <v>0</v>
      </c>
      <c r="L379" s="158"/>
      <c r="M379" s="158"/>
    </row>
    <row r="380" spans="1:14" x14ac:dyDescent="0.25">
      <c r="A380" t="s">
        <v>2</v>
      </c>
      <c r="E380" t="s">
        <v>633</v>
      </c>
      <c r="F380" t="str">
        <f>Foderstater!U$65</f>
        <v>ley silage, regrowth</v>
      </c>
      <c r="J380" t="s">
        <v>310</v>
      </c>
      <c r="K380" s="13">
        <f>INDEX(Foderstater!$X$64:$AL$101,MATCH(F380,Foderstater!$U$64:$U$101,0),MATCH(A380&amp;C380&amp;E380,Foderstater!$X$63:$AL$63,0))</f>
        <v>0</v>
      </c>
      <c r="L380" s="158"/>
      <c r="M380" s="158"/>
    </row>
    <row r="381" spans="1:14" x14ac:dyDescent="0.25">
      <c r="A381" t="s">
        <v>2</v>
      </c>
      <c r="E381" t="s">
        <v>633</v>
      </c>
      <c r="F381" t="str">
        <f>Foderstater!U$66</f>
        <v>other silage</v>
      </c>
      <c r="J381" t="s">
        <v>310</v>
      </c>
      <c r="K381" s="13">
        <f>INDEX(Foderstater!$X$64:$AL$101,MATCH(F381,Foderstater!$U$64:$U$101,0),MATCH(A381&amp;C381&amp;E381,Foderstater!$X$63:$AL$63,0))</f>
        <v>0</v>
      </c>
      <c r="L381" s="158"/>
      <c r="M381" s="158"/>
    </row>
    <row r="382" spans="1:14" x14ac:dyDescent="0.25">
      <c r="A382" t="s">
        <v>2</v>
      </c>
      <c r="E382" t="s">
        <v>633</v>
      </c>
      <c r="F382" t="str">
        <f>Foderstater!U$67</f>
        <v>maize silage</v>
      </c>
      <c r="J382" t="s">
        <v>310</v>
      </c>
      <c r="K382" s="13">
        <f>INDEX(Foderstater!$X$64:$AL$101,MATCH(F382,Foderstater!$U$64:$U$101,0),MATCH(A382&amp;C382&amp;E382,Foderstater!$X$63:$AL$63,0))</f>
        <v>0</v>
      </c>
      <c r="L382" s="158"/>
      <c r="M382" s="158"/>
    </row>
    <row r="383" spans="1:14" x14ac:dyDescent="0.25">
      <c r="A383" t="s">
        <v>2</v>
      </c>
      <c r="E383" t="s">
        <v>633</v>
      </c>
      <c r="F383" t="str">
        <f>Foderstater!U$68</f>
        <v>straw</v>
      </c>
      <c r="J383" t="s">
        <v>310</v>
      </c>
      <c r="K383" s="13">
        <f>INDEX(Foderstater!$X$64:$AL$101,MATCH(F383,Foderstater!$U$64:$U$101,0),MATCH(A383&amp;C383&amp;E383,Foderstater!$X$63:$AL$63,0))</f>
        <v>0</v>
      </c>
      <c r="L383" s="158"/>
      <c r="M383" s="158"/>
    </row>
    <row r="384" spans="1:14" x14ac:dyDescent="0.25">
      <c r="A384" t="s">
        <v>2</v>
      </c>
      <c r="E384" t="s">
        <v>633</v>
      </c>
      <c r="F384" t="str">
        <f>Foderstater!U$69</f>
        <v>grazing</v>
      </c>
      <c r="J384" t="s">
        <v>310</v>
      </c>
      <c r="K384" s="13">
        <f>INDEX(Foderstater!$X$64:$AL$101,MATCH(F384,Foderstater!$U$64:$U$101,0),MATCH(A384&amp;C384&amp;E384,Foderstater!$X$63:$AL$63,0))</f>
        <v>0</v>
      </c>
      <c r="L384" s="158"/>
      <c r="M384" s="158"/>
    </row>
    <row r="385" spans="1:13" x14ac:dyDescent="0.25">
      <c r="A385" t="s">
        <v>2</v>
      </c>
      <c r="E385" t="s">
        <v>633</v>
      </c>
      <c r="F385" t="str">
        <f>Foderstater!U$70</f>
        <v>wheat</v>
      </c>
      <c r="J385" t="s">
        <v>310</v>
      </c>
      <c r="K385" s="13">
        <f>INDEX(Foderstater!$X$64:$AL$101,MATCH(F385,Foderstater!$U$64:$U$101,0),MATCH(A385&amp;C385&amp;E385,Foderstater!$X$63:$AL$63,0))</f>
        <v>25.895167825161479</v>
      </c>
      <c r="L385" s="158"/>
      <c r="M385" s="158"/>
    </row>
    <row r="386" spans="1:13" x14ac:dyDescent="0.25">
      <c r="A386" t="s">
        <v>2</v>
      </c>
      <c r="E386" t="s">
        <v>633</v>
      </c>
      <c r="F386" t="str">
        <f>Foderstater!U$71</f>
        <v>barley</v>
      </c>
      <c r="J386" t="s">
        <v>310</v>
      </c>
      <c r="K386" s="13">
        <f>INDEX(Foderstater!$X$64:$AL$101,MATCH(F386,Foderstater!$U$64:$U$101,0),MATCH(A386&amp;C386&amp;E386,Foderstater!$X$63:$AL$63,0))</f>
        <v>28.160177745950715</v>
      </c>
      <c r="L386" s="158"/>
      <c r="M386" s="158"/>
    </row>
    <row r="387" spans="1:13" x14ac:dyDescent="0.25">
      <c r="A387" t="s">
        <v>2</v>
      </c>
      <c r="E387" t="s">
        <v>633</v>
      </c>
      <c r="F387" t="str">
        <f>Foderstater!U$72</f>
        <v>oats</v>
      </c>
      <c r="J387" t="s">
        <v>310</v>
      </c>
      <c r="K387" s="13">
        <f>INDEX(Foderstater!$X$64:$AL$101,MATCH(F387,Foderstater!$U$64:$U$101,0),MATCH(A387&amp;C387&amp;E387,Foderstater!$X$63:$AL$63,0))</f>
        <v>9.5204890127561814</v>
      </c>
      <c r="L387" s="158"/>
      <c r="M387" s="158"/>
    </row>
    <row r="388" spans="1:13" x14ac:dyDescent="0.25">
      <c r="A388" t="s">
        <v>2</v>
      </c>
      <c r="E388" t="s">
        <v>633</v>
      </c>
      <c r="F388" t="str">
        <f>Foderstater!U$73</f>
        <v>triticale</v>
      </c>
      <c r="J388" t="s">
        <v>310</v>
      </c>
      <c r="K388" s="13">
        <f>INDEX(Foderstater!$X$64:$AL$101,MATCH(F388,Foderstater!$U$64:$U$101,0),MATCH(A388&amp;C388&amp;E388,Foderstater!$X$63:$AL$63,0))</f>
        <v>3.4188101018837349</v>
      </c>
      <c r="L388" s="158"/>
      <c r="M388" s="158"/>
    </row>
    <row r="389" spans="1:13" x14ac:dyDescent="0.25">
      <c r="A389" t="s">
        <v>2</v>
      </c>
      <c r="E389" t="s">
        <v>633</v>
      </c>
      <c r="F389" t="str">
        <f>Foderstater!U$74</f>
        <v>rye</v>
      </c>
      <c r="J389" t="s">
        <v>310</v>
      </c>
      <c r="K389" s="13">
        <f>INDEX(Foderstater!$X$64:$AL$101,MATCH(F389,Foderstater!$U$64:$U$101,0),MATCH(A389&amp;C389&amp;E389,Foderstater!$X$63:$AL$63,0))</f>
        <v>0.21145675610695761</v>
      </c>
      <c r="L389" s="158"/>
      <c r="M389" s="158"/>
    </row>
    <row r="390" spans="1:13" x14ac:dyDescent="0.25">
      <c r="A390" t="s">
        <v>2</v>
      </c>
      <c r="E390" t="s">
        <v>633</v>
      </c>
      <c r="F390" t="str">
        <f>Foderstater!U$75</f>
        <v>maize</v>
      </c>
      <c r="J390" t="s">
        <v>310</v>
      </c>
      <c r="K390" s="13">
        <f>INDEX(Foderstater!$X$64:$AL$101,MATCH(F390,Foderstater!$U$64:$U$101,0),MATCH(A390&amp;C390&amp;E390,Foderstater!$X$63:$AL$63,0))</f>
        <v>0.91869888679500122</v>
      </c>
      <c r="L390" s="158"/>
      <c r="M390" s="158"/>
    </row>
    <row r="391" spans="1:13" x14ac:dyDescent="0.25">
      <c r="A391" t="s">
        <v>2</v>
      </c>
      <c r="E391" t="s">
        <v>633</v>
      </c>
      <c r="F391" t="str">
        <f>Foderstater!U$76</f>
        <v>peas</v>
      </c>
      <c r="J391" t="s">
        <v>310</v>
      </c>
      <c r="K391" s="13">
        <f>INDEX(Foderstater!$X$64:$AL$101,MATCH(F391,Foderstater!$U$64:$U$101,0),MATCH(A391&amp;C391&amp;E391,Foderstater!$X$63:$AL$63,0))</f>
        <v>0.14357819271231378</v>
      </c>
      <c r="L391" s="158"/>
      <c r="M391" s="158"/>
    </row>
    <row r="392" spans="1:13" x14ac:dyDescent="0.25">
      <c r="A392" t="s">
        <v>2</v>
      </c>
      <c r="E392" t="s">
        <v>633</v>
      </c>
      <c r="F392" t="str">
        <f>Foderstater!U$77</f>
        <v>broad beans</v>
      </c>
      <c r="J392" t="s">
        <v>310</v>
      </c>
      <c r="K392" s="13">
        <f>INDEX(Foderstater!$X$64:$AL$101,MATCH(F392,Foderstater!$U$64:$U$101,0),MATCH(A392&amp;C392&amp;E392,Foderstater!$X$63:$AL$63,0))</f>
        <v>0.49337726435088475</v>
      </c>
      <c r="L392" s="158"/>
      <c r="M392" s="158"/>
    </row>
    <row r="393" spans="1:13" x14ac:dyDescent="0.25">
      <c r="A393" t="s">
        <v>2</v>
      </c>
      <c r="E393" t="s">
        <v>633</v>
      </c>
      <c r="F393" t="str">
        <f>Foderstater!U$78</f>
        <v>rapeseed</v>
      </c>
      <c r="J393" t="s">
        <v>310</v>
      </c>
      <c r="K393" s="13">
        <f>INDEX(Foderstater!$X$64:$AL$101,MATCH(F393,Foderstater!$U$64:$U$101,0),MATCH(A393&amp;C393&amp;E393,Foderstater!$X$63:$AL$63,0))</f>
        <v>7.8103813840071092</v>
      </c>
      <c r="L393" s="158"/>
      <c r="M393" s="158"/>
    </row>
    <row r="394" spans="1:13" x14ac:dyDescent="0.25">
      <c r="A394" t="s">
        <v>2</v>
      </c>
      <c r="E394" t="s">
        <v>633</v>
      </c>
      <c r="F394" t="str">
        <f>Foderstater!U$79</f>
        <v>linseed</v>
      </c>
      <c r="J394" t="s">
        <v>310</v>
      </c>
      <c r="K394" s="13">
        <f>INDEX(Foderstater!$X$64:$AL$101,MATCH(F394,Foderstater!$U$64:$U$101,0),MATCH(A394&amp;C394&amp;E394,Foderstater!$X$63:$AL$63,0))</f>
        <v>5.7613964740470527E-3</v>
      </c>
      <c r="L394" s="158"/>
      <c r="M394" s="158"/>
    </row>
    <row r="395" spans="1:13" x14ac:dyDescent="0.25">
      <c r="A395" t="s">
        <v>2</v>
      </c>
      <c r="E395" t="s">
        <v>633</v>
      </c>
      <c r="F395" t="str">
        <f>Foderstater!U$80</f>
        <v>vegetable oils</v>
      </c>
      <c r="J395" t="s">
        <v>310</v>
      </c>
      <c r="K395" s="13">
        <f>INDEX(Foderstater!$X$64:$AL$101,MATCH(F395,Foderstater!$U$64:$U$101,0),MATCH(A395&amp;C395&amp;E395,Foderstater!$X$63:$AL$63,0))</f>
        <v>0.14874162067337257</v>
      </c>
      <c r="L395" s="158"/>
      <c r="M395" s="158"/>
    </row>
    <row r="396" spans="1:13" x14ac:dyDescent="0.25">
      <c r="A396" t="s">
        <v>2</v>
      </c>
      <c r="E396" t="s">
        <v>633</v>
      </c>
      <c r="F396" t="str">
        <f>Foderstater!U$81</f>
        <v>soybeans</v>
      </c>
      <c r="J396" t="s">
        <v>310</v>
      </c>
      <c r="K396" s="13">
        <f>INDEX(Foderstater!$X$64:$AL$101,MATCH(F396,Foderstater!$U$64:$U$101,0),MATCH(A396&amp;C396&amp;E396,Foderstater!$X$63:$AL$63,0))</f>
        <v>0.14535484299167828</v>
      </c>
      <c r="L396" s="158"/>
      <c r="M396" s="158"/>
    </row>
    <row r="397" spans="1:13" x14ac:dyDescent="0.25">
      <c r="A397" t="s">
        <v>2</v>
      </c>
      <c r="E397" t="s">
        <v>633</v>
      </c>
      <c r="F397" t="str">
        <f>Foderstater!U$82</f>
        <v>soybean meal</v>
      </c>
      <c r="J397" t="s">
        <v>310</v>
      </c>
      <c r="K397" s="13">
        <f>INDEX(Foderstater!$X$64:$AL$101,MATCH(F397,Foderstater!$U$64:$U$101,0),MATCH(A397&amp;C397&amp;E397,Foderstater!$X$63:$AL$63,0))</f>
        <v>1.3277625587415678</v>
      </c>
      <c r="L397" s="158"/>
      <c r="M397" s="158"/>
    </row>
    <row r="398" spans="1:13" x14ac:dyDescent="0.25">
      <c r="A398" t="s">
        <v>2</v>
      </c>
      <c r="E398" t="s">
        <v>633</v>
      </c>
      <c r="F398" t="str">
        <f>Foderstater!U$83</f>
        <v>soybean protein concentrate</v>
      </c>
      <c r="J398" t="s">
        <v>310</v>
      </c>
      <c r="K398" s="13">
        <f>INDEX(Foderstater!$X$64:$AL$101,MATCH(F398,Foderstater!$U$64:$U$101,0),MATCH(A398&amp;C398&amp;E398,Foderstater!$X$63:$AL$63,0))</f>
        <v>0</v>
      </c>
      <c r="L398" s="158"/>
      <c r="M398" s="158"/>
    </row>
    <row r="399" spans="1:13" x14ac:dyDescent="0.25">
      <c r="A399" t="s">
        <v>2</v>
      </c>
      <c r="B399" t="s">
        <v>1</v>
      </c>
      <c r="E399" t="s">
        <v>633</v>
      </c>
      <c r="F399" t="str">
        <f>Foderstater!U$84</f>
        <v>rapeseed meal</v>
      </c>
      <c r="J399" t="s">
        <v>310</v>
      </c>
      <c r="K399" s="13">
        <f>INDEX(Foderstater!$X$64:$AL$101,MATCH(F399,Foderstater!$U$64:$U$101,0),MATCH(A399&amp;C399&amp;E399,Foderstater!$X$63:$AL$63,0))</f>
        <v>10.255150343783729</v>
      </c>
      <c r="L399" s="158"/>
      <c r="M399" s="158"/>
    </row>
    <row r="400" spans="1:13" x14ac:dyDescent="0.25">
      <c r="A400" s="268" t="str">
        <f>A399</f>
        <v>dairy</v>
      </c>
      <c r="B400" s="268" t="s">
        <v>5</v>
      </c>
      <c r="D400" s="268"/>
      <c r="E400" s="268" t="s">
        <v>633</v>
      </c>
      <c r="F400" s="268" t="s">
        <v>609</v>
      </c>
      <c r="J400" s="268" t="str">
        <f>J399</f>
        <v>share_in_ration</v>
      </c>
      <c r="K400" s="269">
        <f>K399</f>
        <v>10.255150343783729</v>
      </c>
      <c r="L400" s="158"/>
      <c r="M400" s="268" t="s">
        <v>610</v>
      </c>
    </row>
    <row r="401" spans="1:11" x14ac:dyDescent="0.25">
      <c r="A401" t="s">
        <v>2</v>
      </c>
      <c r="E401" t="s">
        <v>633</v>
      </c>
      <c r="F401" t="str">
        <f>Foderstater!U$85</f>
        <v>sunflower seed meal</v>
      </c>
      <c r="J401" t="s">
        <v>310</v>
      </c>
      <c r="K401" s="13">
        <f>INDEX(Foderstater!$X$64:$AL$101,MATCH(F401,Foderstater!$U$64:$U$101,0),MATCH(A401&amp;C401&amp;E401,Foderstater!$X$63:$AL$63,0))</f>
        <v>0.14166497571291584</v>
      </c>
    </row>
    <row r="402" spans="1:11" x14ac:dyDescent="0.25">
      <c r="A402" t="s">
        <v>2</v>
      </c>
      <c r="E402" t="s">
        <v>633</v>
      </c>
      <c r="F402" t="str">
        <f>Foderstater!U$86</f>
        <v>palm kernel expeller</v>
      </c>
      <c r="J402" t="s">
        <v>310</v>
      </c>
      <c r="K402" s="13">
        <f>INDEX(Foderstater!$X$64:$AL$101,MATCH(F402,Foderstater!$U$64:$U$101,0),MATCH(A402&amp;C402&amp;E402,Foderstater!$X$63:$AL$63,0))</f>
        <v>0.92052755943695241</v>
      </c>
    </row>
    <row r="403" spans="1:11" x14ac:dyDescent="0.25">
      <c r="A403" t="s">
        <v>2</v>
      </c>
      <c r="E403" t="s">
        <v>633</v>
      </c>
      <c r="F403" t="str">
        <f>Foderstater!U$87</f>
        <v>luzern meal</v>
      </c>
      <c r="J403" t="s">
        <v>310</v>
      </c>
      <c r="K403" s="13">
        <f>INDEX(Foderstater!$X$64:$AL$101,MATCH(F403,Foderstater!$U$64:$U$101,0),MATCH(A403&amp;C403&amp;E403,Foderstater!$X$63:$AL$63,0))</f>
        <v>0.28001437574471844</v>
      </c>
    </row>
    <row r="404" spans="1:11" x14ac:dyDescent="0.25">
      <c r="A404" t="s">
        <v>2</v>
      </c>
      <c r="E404" t="s">
        <v>633</v>
      </c>
      <c r="F404" t="str">
        <f>Foderstater!U$88</f>
        <v>wheat bran</v>
      </c>
      <c r="J404" t="s">
        <v>310</v>
      </c>
      <c r="K404" s="13">
        <f>INDEX(Foderstater!$X$64:$AL$101,MATCH(F404,Foderstater!$U$64:$U$101,0),MATCH(A404&amp;C404&amp;E404,Foderstater!$X$63:$AL$63,0))</f>
        <v>3.0507942357144198</v>
      </c>
    </row>
    <row r="405" spans="1:11" x14ac:dyDescent="0.25">
      <c r="A405" t="s">
        <v>2</v>
      </c>
      <c r="E405" t="s">
        <v>633</v>
      </c>
      <c r="F405" t="str">
        <f>Foderstater!U$89</f>
        <v>wheat bran, fine</v>
      </c>
      <c r="J405" t="s">
        <v>310</v>
      </c>
      <c r="K405" s="13">
        <f>INDEX(Foderstater!$X$64:$AL$101,MATCH(F405,Foderstater!$U$64:$U$101,0),MATCH(A405&amp;C405&amp;E405,Foderstater!$X$63:$AL$63,0))</f>
        <v>7.9974600220257888E-3</v>
      </c>
    </row>
    <row r="406" spans="1:11" x14ac:dyDescent="0.25">
      <c r="A406" t="s">
        <v>2</v>
      </c>
      <c r="E406" t="s">
        <v>633</v>
      </c>
      <c r="F406" t="str">
        <f>Foderstater!U$90</f>
        <v>oat hulls</v>
      </c>
      <c r="J406" t="s">
        <v>310</v>
      </c>
      <c r="K406" s="13">
        <f>INDEX(Foderstater!$X$64:$AL$101,MATCH(F406,Foderstater!$U$64:$U$101,0),MATCH(A406&amp;C406&amp;E406,Foderstater!$X$63:$AL$63,0))</f>
        <v>0.36743850131225997</v>
      </c>
    </row>
    <row r="407" spans="1:11" x14ac:dyDescent="0.25">
      <c r="A407" t="s">
        <v>2</v>
      </c>
      <c r="E407" t="s">
        <v>633</v>
      </c>
      <c r="F407" t="str">
        <f>Foderstater!U$91</f>
        <v>oat bran</v>
      </c>
      <c r="J407" t="s">
        <v>310</v>
      </c>
      <c r="K407" s="13">
        <f>INDEX(Foderstater!$X$64:$AL$101,MATCH(F407,Foderstater!$U$64:$U$101,0),MATCH(A407&amp;C407&amp;E407,Foderstater!$X$63:$AL$63,0))</f>
        <v>4.1469584641145113E-2</v>
      </c>
    </row>
    <row r="408" spans="1:11" x14ac:dyDescent="0.25">
      <c r="A408" t="s">
        <v>2</v>
      </c>
      <c r="E408" t="s">
        <v>633</v>
      </c>
      <c r="F408" t="str">
        <f>Foderstater!U$92</f>
        <v>rye bran</v>
      </c>
      <c r="J408" t="s">
        <v>310</v>
      </c>
      <c r="K408" s="13">
        <f>INDEX(Foderstater!$X$64:$AL$101,MATCH(F408,Foderstater!$U$64:$U$101,0),MATCH(A408&amp;C408&amp;E408,Foderstater!$X$63:$AL$63,0))</f>
        <v>0.12789264856808435</v>
      </c>
    </row>
    <row r="409" spans="1:11" x14ac:dyDescent="0.25">
      <c r="A409" t="s">
        <v>2</v>
      </c>
      <c r="E409" t="s">
        <v>633</v>
      </c>
      <c r="F409" t="str">
        <f>Foderstater!U$93</f>
        <v>wheat distillers grain, dry</v>
      </c>
      <c r="J409" t="s">
        <v>310</v>
      </c>
      <c r="K409" s="13">
        <f>INDEX(Foderstater!$X$64:$AL$101,MATCH(F409,Foderstater!$U$64:$U$101,0),MATCH(A409&amp;C409&amp;E409,Foderstater!$X$63:$AL$63,0))</f>
        <v>3.2793139775740143</v>
      </c>
    </row>
    <row r="410" spans="1:11" x14ac:dyDescent="0.25">
      <c r="A410" t="s">
        <v>2</v>
      </c>
      <c r="E410" t="s">
        <v>633</v>
      </c>
      <c r="F410" t="str">
        <f>Foderstater!U$94</f>
        <v>barley brewers grain</v>
      </c>
      <c r="J410" t="s">
        <v>310</v>
      </c>
      <c r="K410" s="13">
        <f>INDEX(Foderstater!$X$64:$AL$101,MATCH(F410,Foderstater!$U$64:$U$101,0),MATCH(A410&amp;C410&amp;E410,Foderstater!$X$63:$AL$63,0))</f>
        <v>0</v>
      </c>
    </row>
    <row r="411" spans="1:11" x14ac:dyDescent="0.25">
      <c r="A411" t="s">
        <v>2</v>
      </c>
      <c r="E411" t="s">
        <v>633</v>
      </c>
      <c r="F411" t="str">
        <f>Foderstater!U$95</f>
        <v>maize gluten meal</v>
      </c>
      <c r="J411" t="s">
        <v>310</v>
      </c>
      <c r="K411" s="13">
        <f>INDEX(Foderstater!$X$64:$AL$101,MATCH(F411,Foderstater!$U$64:$U$101,0),MATCH(A411&amp;C411&amp;E411,Foderstater!$X$63:$AL$63,0))</f>
        <v>9.909057336275405E-2</v>
      </c>
    </row>
    <row r="412" spans="1:11" x14ac:dyDescent="0.25">
      <c r="A412" t="s">
        <v>2</v>
      </c>
      <c r="E412" t="s">
        <v>633</v>
      </c>
      <c r="F412" t="str">
        <f>Foderstater!U$96</f>
        <v>sugar beet molasses</v>
      </c>
      <c r="J412" t="s">
        <v>310</v>
      </c>
      <c r="K412" s="13">
        <f>INDEX(Foderstater!$X$64:$AL$101,MATCH(F412,Foderstater!$U$64:$U$101,0),MATCH(A412&amp;C412&amp;E412,Foderstater!$X$63:$AL$63,0))</f>
        <v>1.0988543650666409</v>
      </c>
    </row>
    <row r="413" spans="1:11" x14ac:dyDescent="0.25">
      <c r="A413" t="s">
        <v>2</v>
      </c>
      <c r="E413" t="s">
        <v>633</v>
      </c>
      <c r="F413" t="str">
        <f>Foderstater!U$97</f>
        <v>sugar beet pulp</v>
      </c>
      <c r="J413" t="s">
        <v>310</v>
      </c>
      <c r="K413" s="13">
        <f>INDEX(Foderstater!$X$64:$AL$101,MATCH(F413,Foderstater!$U$64:$U$101,0),MATCH(A413&amp;C413&amp;E413,Foderstater!$X$63:$AL$63,0))</f>
        <v>2.1203264119382346</v>
      </c>
    </row>
    <row r="414" spans="1:11" x14ac:dyDescent="0.25">
      <c r="A414" t="s">
        <v>2</v>
      </c>
      <c r="E414" t="s">
        <v>633</v>
      </c>
      <c r="F414" t="str">
        <f>Foderstater!U$98</f>
        <v>whey powder</v>
      </c>
      <c r="J414" t="s">
        <v>310</v>
      </c>
      <c r="K414" s="13">
        <f>INDEX(Foderstater!$X$64:$AL$101,MATCH(F414,Foderstater!$U$64:$U$101,0),MATCH(A414&amp;C414&amp;E414,Foderstater!$X$63:$AL$63,0))</f>
        <v>0</v>
      </c>
    </row>
    <row r="415" spans="1:11" x14ac:dyDescent="0.25">
      <c r="A415" t="s">
        <v>2</v>
      </c>
      <c r="E415" t="s">
        <v>633</v>
      </c>
      <c r="F415" t="str">
        <f>Foderstater!U$99</f>
        <v>potatoe protein</v>
      </c>
      <c r="J415" t="s">
        <v>310</v>
      </c>
      <c r="K415" s="13">
        <f>INDEX(Foderstater!$X$64:$AL$101,MATCH(F415,Foderstater!$U$64:$U$101,0),MATCH(A415&amp;C415&amp;E415,Foderstater!$X$63:$AL$63,0))</f>
        <v>9.7073985170620554E-3</v>
      </c>
    </row>
    <row r="416" spans="1:11" x14ac:dyDescent="0.25">
      <c r="A416" t="s">
        <v>2</v>
      </c>
      <c r="E416" t="s">
        <v>633</v>
      </c>
      <c r="F416" t="str">
        <f>Foderstater!U$100</f>
        <v>fish meal</v>
      </c>
      <c r="J416" t="s">
        <v>310</v>
      </c>
      <c r="K416" s="13">
        <f>INDEX(Foderstater!$X$64:$AL$101,MATCH(F416,Foderstater!$U$64:$U$101,0),MATCH(A416&amp;C416&amp;E416,Foderstater!$X$63:$AL$63,0))</f>
        <v>0</v>
      </c>
    </row>
    <row r="417" spans="1:14" x14ac:dyDescent="0.25">
      <c r="A417" t="s">
        <v>2</v>
      </c>
      <c r="E417" t="s">
        <v>633</v>
      </c>
      <c r="F417" t="str">
        <f>Foderstater!U$101</f>
        <v>minerals</v>
      </c>
      <c r="J417" t="s">
        <v>310</v>
      </c>
      <c r="K417" s="13">
        <f>INDEX(Foderstater!$X$64:$AL$101,MATCH(F417,Foderstater!$U$64:$U$101,0),MATCH(A417&amp;C417&amp;E417,Foderstater!$X$63:$AL$63,0))</f>
        <v>0</v>
      </c>
    </row>
    <row r="419" spans="1:14" x14ac:dyDescent="0.25">
      <c r="A419" s="81" t="s">
        <v>68</v>
      </c>
      <c r="B419" s="48"/>
      <c r="C419" s="48"/>
      <c r="D419" s="49"/>
      <c r="E419" s="49"/>
      <c r="F419" s="49"/>
      <c r="G419" s="49"/>
      <c r="H419" s="49"/>
      <c r="I419" s="49"/>
      <c r="J419" s="49"/>
      <c r="K419" s="161"/>
      <c r="L419" s="49"/>
      <c r="M419" s="49"/>
      <c r="N419" s="49"/>
    </row>
    <row r="420" spans="1:14" x14ac:dyDescent="0.25">
      <c r="A420" s="158" t="s">
        <v>2</v>
      </c>
      <c r="B420" s="158"/>
      <c r="C420" s="158"/>
      <c r="D420" s="158"/>
      <c r="E420" s="158" t="s">
        <v>32</v>
      </c>
      <c r="J420" s="158" t="s">
        <v>310</v>
      </c>
      <c r="K420" s="255">
        <v>0</v>
      </c>
      <c r="L420" s="158"/>
      <c r="M420" s="158" t="s">
        <v>401</v>
      </c>
    </row>
    <row r="421" spans="1:14" x14ac:dyDescent="0.25">
      <c r="A421" t="s">
        <v>2</v>
      </c>
      <c r="E421" t="s">
        <v>32</v>
      </c>
      <c r="F421" t="str">
        <f>Foderstater!U$64</f>
        <v>ley silage, 1st cut</v>
      </c>
      <c r="J421" t="s">
        <v>310</v>
      </c>
      <c r="K421" s="13">
        <f>INDEX(Foderstater!$X$64:$AL$101,MATCH(F421,Foderstater!$U$64:$U$101,0),MATCH(A421&amp;C421&amp;E421,Foderstater!$X$63:$AL$63,0))</f>
        <v>0</v>
      </c>
      <c r="L421" s="158"/>
      <c r="M421" s="158"/>
    </row>
    <row r="422" spans="1:14" x14ac:dyDescent="0.25">
      <c r="A422" t="s">
        <v>2</v>
      </c>
      <c r="E422" t="s">
        <v>32</v>
      </c>
      <c r="F422" t="str">
        <f>Foderstater!U$65</f>
        <v>ley silage, regrowth</v>
      </c>
      <c r="J422" t="s">
        <v>310</v>
      </c>
      <c r="K422" s="13">
        <f>INDEX(Foderstater!$X$64:$AL$101,MATCH(F422,Foderstater!$U$64:$U$101,0),MATCH(A422&amp;C422&amp;E422,Foderstater!$X$63:$AL$63,0))</f>
        <v>55.625459984330824</v>
      </c>
      <c r="L422" s="158"/>
      <c r="M422" s="158"/>
    </row>
    <row r="423" spans="1:14" x14ac:dyDescent="0.25">
      <c r="A423" t="s">
        <v>2</v>
      </c>
      <c r="E423" t="s">
        <v>32</v>
      </c>
      <c r="F423" t="str">
        <f>Foderstater!U$66</f>
        <v>other silage</v>
      </c>
      <c r="J423" t="s">
        <v>310</v>
      </c>
      <c r="K423" s="13">
        <f>INDEX(Foderstater!$X$64:$AL$101,MATCH(F423,Foderstater!$U$64:$U$101,0),MATCH(A423&amp;C423&amp;E423,Foderstater!$X$63:$AL$63,0))</f>
        <v>0</v>
      </c>
      <c r="L423" s="158"/>
      <c r="M423" s="158"/>
    </row>
    <row r="424" spans="1:14" x14ac:dyDescent="0.25">
      <c r="A424" t="s">
        <v>2</v>
      </c>
      <c r="E424" t="s">
        <v>32</v>
      </c>
      <c r="F424" t="str">
        <f>Foderstater!U$67</f>
        <v>maize silage</v>
      </c>
      <c r="J424" t="s">
        <v>310</v>
      </c>
      <c r="K424" s="13">
        <f>INDEX(Foderstater!$X$64:$AL$101,MATCH(F424,Foderstater!$U$64:$U$101,0),MATCH(A424&amp;C424&amp;E424,Foderstater!$X$63:$AL$63,0))</f>
        <v>0</v>
      </c>
      <c r="L424" s="158"/>
      <c r="M424" s="158"/>
    </row>
    <row r="425" spans="1:14" x14ac:dyDescent="0.25">
      <c r="A425" t="s">
        <v>2</v>
      </c>
      <c r="E425" t="s">
        <v>32</v>
      </c>
      <c r="F425" t="str">
        <f>Foderstater!U$68</f>
        <v>straw</v>
      </c>
      <c r="J425" t="s">
        <v>310</v>
      </c>
      <c r="K425" s="13">
        <f>INDEX(Foderstater!$X$64:$AL$101,MATCH(F425,Foderstater!$U$64:$U$101,0),MATCH(A425&amp;C425&amp;E425,Foderstater!$X$63:$AL$63,0))</f>
        <v>0</v>
      </c>
      <c r="L425" s="158"/>
      <c r="M425" s="158"/>
    </row>
    <row r="426" spans="1:14" x14ac:dyDescent="0.25">
      <c r="A426" t="s">
        <v>2</v>
      </c>
      <c r="E426" t="s">
        <v>32</v>
      </c>
      <c r="F426" t="str">
        <f>Foderstater!U$69</f>
        <v>grazing</v>
      </c>
      <c r="J426" t="s">
        <v>310</v>
      </c>
      <c r="K426" s="13">
        <f>INDEX(Foderstater!$X$64:$AL$101,MATCH(F426,Foderstater!$U$64:$U$101,0),MATCH(A426&amp;C426&amp;E426,Foderstater!$X$63:$AL$63,0))</f>
        <v>37.985802806201164</v>
      </c>
      <c r="L426" s="158"/>
      <c r="M426" s="158"/>
    </row>
    <row r="427" spans="1:14" x14ac:dyDescent="0.25">
      <c r="A427" t="s">
        <v>2</v>
      </c>
      <c r="E427" t="s">
        <v>32</v>
      </c>
      <c r="F427" t="str">
        <f>Foderstater!U$70</f>
        <v>wheat</v>
      </c>
      <c r="J427" t="s">
        <v>310</v>
      </c>
      <c r="K427" s="13">
        <f>INDEX(Foderstater!$X$64:$AL$101,MATCH(F427,Foderstater!$U$64:$U$101,0),MATCH(A427&amp;C427&amp;E427,Foderstater!$X$63:$AL$63,0))</f>
        <v>1.3863617500865526</v>
      </c>
      <c r="L427" s="158"/>
      <c r="M427" s="158"/>
    </row>
    <row r="428" spans="1:14" x14ac:dyDescent="0.25">
      <c r="A428" t="s">
        <v>2</v>
      </c>
      <c r="E428" t="s">
        <v>32</v>
      </c>
      <c r="F428" t="str">
        <f>Foderstater!U$71</f>
        <v>barley</v>
      </c>
      <c r="J428" t="s">
        <v>310</v>
      </c>
      <c r="K428" s="13">
        <f>INDEX(Foderstater!$X$64:$AL$101,MATCH(F428,Foderstater!$U$64:$U$101,0),MATCH(A428&amp;C428&amp;E428,Foderstater!$X$63:$AL$63,0))</f>
        <v>2.2689110468918563</v>
      </c>
      <c r="L428" s="158"/>
      <c r="M428" s="158"/>
    </row>
    <row r="429" spans="1:14" x14ac:dyDescent="0.25">
      <c r="A429" t="s">
        <v>2</v>
      </c>
      <c r="E429" t="s">
        <v>32</v>
      </c>
      <c r="F429" t="str">
        <f>Foderstater!U$72</f>
        <v>oats</v>
      </c>
      <c r="J429" t="s">
        <v>310</v>
      </c>
      <c r="K429" s="13">
        <f>INDEX(Foderstater!$X$64:$AL$101,MATCH(F429,Foderstater!$U$64:$U$101,0),MATCH(A429&amp;C429&amp;E429,Foderstater!$X$63:$AL$63,0))</f>
        <v>0.55429500315000624</v>
      </c>
      <c r="L429" s="158"/>
      <c r="M429" s="158"/>
    </row>
    <row r="430" spans="1:14" x14ac:dyDescent="0.25">
      <c r="A430" t="s">
        <v>2</v>
      </c>
      <c r="E430" t="s">
        <v>32</v>
      </c>
      <c r="F430" t="str">
        <f>Foderstater!U$73</f>
        <v>triticale</v>
      </c>
      <c r="J430" t="s">
        <v>310</v>
      </c>
      <c r="K430" s="13">
        <f>INDEX(Foderstater!$X$64:$AL$101,MATCH(F430,Foderstater!$U$64:$U$101,0),MATCH(A430&amp;C430&amp;E430,Foderstater!$X$63:$AL$63,0))</f>
        <v>0.70529164372503017</v>
      </c>
      <c r="L430" s="158"/>
      <c r="M430" s="158"/>
    </row>
    <row r="431" spans="1:14" x14ac:dyDescent="0.25">
      <c r="A431" t="s">
        <v>2</v>
      </c>
      <c r="E431" t="s">
        <v>32</v>
      </c>
      <c r="F431" t="str">
        <f>Foderstater!U$74</f>
        <v>rye</v>
      </c>
      <c r="J431" t="s">
        <v>310</v>
      </c>
      <c r="K431" s="13">
        <f>INDEX(Foderstater!$X$64:$AL$101,MATCH(F431,Foderstater!$U$64:$U$101,0),MATCH(A431&amp;C431&amp;E431,Foderstater!$X$63:$AL$63,0))</f>
        <v>4.8796554435071035E-3</v>
      </c>
      <c r="L431" s="158"/>
      <c r="M431" s="158"/>
    </row>
    <row r="432" spans="1:14" x14ac:dyDescent="0.25">
      <c r="A432" t="s">
        <v>2</v>
      </c>
      <c r="E432" t="s">
        <v>32</v>
      </c>
      <c r="F432" t="str">
        <f>Foderstater!U$75</f>
        <v>maize</v>
      </c>
      <c r="J432" t="s">
        <v>310</v>
      </c>
      <c r="K432" s="13">
        <f>INDEX(Foderstater!$X$64:$AL$101,MATCH(F432,Foderstater!$U$64:$U$101,0),MATCH(A432&amp;C432&amp;E432,Foderstater!$X$63:$AL$63,0))</f>
        <v>2.1200240211883402E-2</v>
      </c>
      <c r="L432" s="158"/>
      <c r="M432" s="158"/>
    </row>
    <row r="433" spans="1:13" x14ac:dyDescent="0.25">
      <c r="A433" t="s">
        <v>2</v>
      </c>
      <c r="E433" t="s">
        <v>32</v>
      </c>
      <c r="F433" t="str">
        <f>Foderstater!U$76</f>
        <v>peas</v>
      </c>
      <c r="J433" t="s">
        <v>310</v>
      </c>
      <c r="K433" s="13">
        <f>INDEX(Foderstater!$X$64:$AL$101,MATCH(F433,Foderstater!$U$64:$U$101,0),MATCH(A433&amp;C433&amp;E433,Foderstater!$X$63:$AL$63,0))</f>
        <v>3.3132642462517254E-3</v>
      </c>
      <c r="L433" s="158"/>
      <c r="M433" s="158"/>
    </row>
    <row r="434" spans="1:13" x14ac:dyDescent="0.25">
      <c r="A434" t="s">
        <v>2</v>
      </c>
      <c r="E434" t="s">
        <v>32</v>
      </c>
      <c r="F434" t="str">
        <f>Foderstater!U$77</f>
        <v>broad beans</v>
      </c>
      <c r="J434" t="s">
        <v>310</v>
      </c>
      <c r="K434" s="13">
        <f>INDEX(Foderstater!$X$64:$AL$101,MATCH(F434,Foderstater!$U$64:$U$101,0),MATCH(A434&amp;C434&amp;E434,Foderstater!$X$63:$AL$63,0))</f>
        <v>1.1385358869662632E-2</v>
      </c>
      <c r="L434" s="158"/>
      <c r="M434" s="158"/>
    </row>
    <row r="435" spans="1:13" x14ac:dyDescent="0.25">
      <c r="A435" t="s">
        <v>2</v>
      </c>
      <c r="E435" t="s">
        <v>32</v>
      </c>
      <c r="F435" t="str">
        <f>Foderstater!U$78</f>
        <v>rapeseed</v>
      </c>
      <c r="J435" t="s">
        <v>310</v>
      </c>
      <c r="K435" s="13">
        <f>INDEX(Foderstater!$X$64:$AL$101,MATCH(F435,Foderstater!$U$64:$U$101,0),MATCH(A435&amp;C435&amp;E435,Foderstater!$X$63:$AL$63,0))</f>
        <v>0.18023529130967705</v>
      </c>
      <c r="L435" s="158"/>
      <c r="M435" s="158"/>
    </row>
    <row r="436" spans="1:13" x14ac:dyDescent="0.25">
      <c r="A436" t="s">
        <v>2</v>
      </c>
      <c r="E436" t="s">
        <v>32</v>
      </c>
      <c r="F436" t="str">
        <f>Foderstater!U$79</f>
        <v>linseed</v>
      </c>
      <c r="J436" t="s">
        <v>310</v>
      </c>
      <c r="K436" s="13">
        <f>INDEX(Foderstater!$X$64:$AL$101,MATCH(F436,Foderstater!$U$64:$U$101,0),MATCH(A436&amp;C436&amp;E436,Foderstater!$X$63:$AL$63,0))</f>
        <v>1.3295214673853263E-4</v>
      </c>
      <c r="L436" s="158"/>
      <c r="M436" s="158"/>
    </row>
    <row r="437" spans="1:13" x14ac:dyDescent="0.25">
      <c r="A437" t="s">
        <v>2</v>
      </c>
      <c r="E437" t="s">
        <v>32</v>
      </c>
      <c r="F437" t="str">
        <f>Foderstater!U$80</f>
        <v>vegetable oils</v>
      </c>
      <c r="J437" t="s">
        <v>310</v>
      </c>
      <c r="K437" s="13">
        <f>INDEX(Foderstater!$X$64:$AL$101,MATCH(F437,Foderstater!$U$64:$U$101,0),MATCH(A437&amp;C437&amp;E437,Foderstater!$X$63:$AL$63,0))</f>
        <v>3.4324174472239043E-3</v>
      </c>
      <c r="L437" s="158"/>
      <c r="M437" s="158"/>
    </row>
    <row r="438" spans="1:13" x14ac:dyDescent="0.25">
      <c r="A438" t="s">
        <v>2</v>
      </c>
      <c r="E438" t="s">
        <v>32</v>
      </c>
      <c r="F438" t="str">
        <f>Foderstater!U$81</f>
        <v>soybeans</v>
      </c>
      <c r="J438" t="s">
        <v>310</v>
      </c>
      <c r="K438" s="13">
        <f>INDEX(Foderstater!$X$64:$AL$101,MATCH(F438,Foderstater!$U$64:$U$101,0),MATCH(A438&amp;C438&amp;E438,Foderstater!$X$63:$AL$63,0))</f>
        <v>3.3542628947059953E-3</v>
      </c>
      <c r="L438" s="158"/>
      <c r="M438" s="158"/>
    </row>
    <row r="439" spans="1:13" x14ac:dyDescent="0.25">
      <c r="A439" t="s">
        <v>2</v>
      </c>
      <c r="E439" t="s">
        <v>32</v>
      </c>
      <c r="F439" t="str">
        <f>Foderstater!U$82</f>
        <v>soybean meal</v>
      </c>
      <c r="J439" t="s">
        <v>310</v>
      </c>
      <c r="K439" s="13">
        <f>INDEX(Foderstater!$X$64:$AL$101,MATCH(F439,Foderstater!$U$64:$U$101,0),MATCH(A439&amp;C439&amp;E439,Foderstater!$X$63:$AL$63,0))</f>
        <v>3.0639946988362182E-2</v>
      </c>
      <c r="L439" s="158"/>
      <c r="M439" s="158"/>
    </row>
    <row r="440" spans="1:13" x14ac:dyDescent="0.25">
      <c r="A440" t="s">
        <v>2</v>
      </c>
      <c r="E440" t="s">
        <v>32</v>
      </c>
      <c r="F440" t="str">
        <f>Foderstater!U$83</f>
        <v>soybean protein concentrate</v>
      </c>
      <c r="J440" t="s">
        <v>310</v>
      </c>
      <c r="K440" s="13">
        <f>INDEX(Foderstater!$X$64:$AL$101,MATCH(F440,Foderstater!$U$64:$U$101,0),MATCH(A440&amp;C440&amp;E440,Foderstater!$X$63:$AL$63,0))</f>
        <v>0</v>
      </c>
      <c r="L440" s="158"/>
      <c r="M440" s="158"/>
    </row>
    <row r="441" spans="1:13" x14ac:dyDescent="0.25">
      <c r="A441" t="s">
        <v>2</v>
      </c>
      <c r="B441" t="s">
        <v>1</v>
      </c>
      <c r="E441" t="s">
        <v>32</v>
      </c>
      <c r="F441" t="str">
        <f>Foderstater!U$84</f>
        <v>rapeseed meal</v>
      </c>
      <c r="J441" t="s">
        <v>310</v>
      </c>
      <c r="K441" s="13">
        <f>INDEX(Foderstater!$X$64:$AL$101,MATCH(F441,Foderstater!$U$64:$U$101,0),MATCH(A441&amp;C441&amp;E441,Foderstater!$X$63:$AL$63,0))</f>
        <v>0.23665169711445078</v>
      </c>
      <c r="L441" s="158"/>
      <c r="M441" s="158"/>
    </row>
    <row r="442" spans="1:13" s="268" customFormat="1" x14ac:dyDescent="0.25">
      <c r="A442" s="268" t="str">
        <f>A441</f>
        <v>dairy</v>
      </c>
      <c r="B442" s="268" t="s">
        <v>5</v>
      </c>
      <c r="E442" s="268" t="s">
        <v>32</v>
      </c>
      <c r="F442" s="268" t="s">
        <v>609</v>
      </c>
      <c r="J442" s="268" t="str">
        <f>J441</f>
        <v>share_in_ration</v>
      </c>
      <c r="K442" s="269">
        <f>K441</f>
        <v>0.23665169711445078</v>
      </c>
      <c r="M442" s="268" t="s">
        <v>610</v>
      </c>
    </row>
    <row r="443" spans="1:13" x14ac:dyDescent="0.25">
      <c r="A443" t="s">
        <v>2</v>
      </c>
      <c r="E443" t="s">
        <v>32</v>
      </c>
      <c r="F443" t="str">
        <f>Foderstater!U$85</f>
        <v>sunflower seed meal</v>
      </c>
      <c r="J443" t="s">
        <v>310</v>
      </c>
      <c r="K443" s="13">
        <f>INDEX(Foderstater!$X$64:$AL$101,MATCH(F443,Foderstater!$U$64:$U$101,0),MATCH(A443&amp;C443&amp;E443,Foderstater!$X$63:$AL$63,0))</f>
        <v>3.2691141329254793E-3</v>
      </c>
    </row>
    <row r="444" spans="1:13" x14ac:dyDescent="0.25">
      <c r="A444" t="s">
        <v>2</v>
      </c>
      <c r="E444" t="s">
        <v>32</v>
      </c>
      <c r="F444" t="str">
        <f>Foderstater!U$86</f>
        <v>palm kernel expeller</v>
      </c>
      <c r="J444" t="s">
        <v>310</v>
      </c>
      <c r="K444" s="13">
        <f>INDEX(Foderstater!$X$64:$AL$101,MATCH(F444,Foderstater!$U$64:$U$101,0),MATCH(A444&amp;C444&amp;E444,Foderstater!$X$63:$AL$63,0))</f>
        <v>2.1242439347895763E-2</v>
      </c>
    </row>
    <row r="445" spans="1:13" x14ac:dyDescent="0.25">
      <c r="A445" t="s">
        <v>2</v>
      </c>
      <c r="E445" t="s">
        <v>32</v>
      </c>
      <c r="F445" t="str">
        <f>Foderstater!U$87</f>
        <v>luzern meal</v>
      </c>
      <c r="J445" t="s">
        <v>310</v>
      </c>
      <c r="K445" s="13">
        <f>INDEX(Foderstater!$X$64:$AL$101,MATCH(F445,Foderstater!$U$64:$U$101,0),MATCH(A445&amp;C445&amp;E445,Foderstater!$X$63:$AL$63,0))</f>
        <v>6.4617167974137888E-3</v>
      </c>
    </row>
    <row r="446" spans="1:13" x14ac:dyDescent="0.25">
      <c r="A446" t="s">
        <v>2</v>
      </c>
      <c r="E446" t="s">
        <v>32</v>
      </c>
      <c r="F446" t="str">
        <f>Foderstater!U$88</f>
        <v>wheat bran</v>
      </c>
      <c r="J446" t="s">
        <v>310</v>
      </c>
      <c r="K446" s="13">
        <f>INDEX(Foderstater!$X$64:$AL$101,MATCH(F446,Foderstater!$U$64:$U$101,0),MATCH(A446&amp;C446&amp;E446,Foderstater!$X$63:$AL$63,0))</f>
        <v>7.0401272455886954E-2</v>
      </c>
    </row>
    <row r="447" spans="1:13" x14ac:dyDescent="0.25">
      <c r="A447" t="s">
        <v>2</v>
      </c>
      <c r="E447" t="s">
        <v>32</v>
      </c>
      <c r="F447" t="str">
        <f>Foderstater!U$89</f>
        <v>wheat bran, fine</v>
      </c>
      <c r="J447" t="s">
        <v>310</v>
      </c>
      <c r="K447" s="13">
        <f>INDEX(Foderstater!$X$64:$AL$101,MATCH(F447,Foderstater!$U$64:$U$101,0),MATCH(A447&amp;C447&amp;E447,Foderstater!$X$63:$AL$63,0))</f>
        <v>1.8455238815339291E-4</v>
      </c>
    </row>
    <row r="448" spans="1:13" x14ac:dyDescent="0.25">
      <c r="A448" t="s">
        <v>2</v>
      </c>
      <c r="E448" t="s">
        <v>32</v>
      </c>
      <c r="F448" t="str">
        <f>Foderstater!U$90</f>
        <v>oat hulls</v>
      </c>
      <c r="J448" t="s">
        <v>310</v>
      </c>
      <c r="K448" s="13">
        <f>INDEX(Foderstater!$X$64:$AL$101,MATCH(F448,Foderstater!$U$64:$U$101,0),MATCH(A448&amp;C448&amp;E448,Foderstater!$X$63:$AL$63,0))</f>
        <v>8.4791487209590587E-3</v>
      </c>
    </row>
    <row r="449" spans="1:14" x14ac:dyDescent="0.25">
      <c r="A449" t="s">
        <v>2</v>
      </c>
      <c r="E449" t="s">
        <v>32</v>
      </c>
      <c r="F449" t="str">
        <f>Foderstater!U$91</f>
        <v>oat bran</v>
      </c>
      <c r="J449" t="s">
        <v>310</v>
      </c>
      <c r="K449" s="13">
        <f>INDEX(Foderstater!$X$64:$AL$101,MATCH(F449,Foderstater!$U$64:$U$101,0),MATCH(A449&amp;C449&amp;E449,Foderstater!$X$63:$AL$63,0))</f>
        <v>9.5696769476491604E-4</v>
      </c>
    </row>
    <row r="450" spans="1:14" x14ac:dyDescent="0.25">
      <c r="A450" t="s">
        <v>2</v>
      </c>
      <c r="E450" t="s">
        <v>32</v>
      </c>
      <c r="F450" t="str">
        <f>Foderstater!U$92</f>
        <v>rye bran</v>
      </c>
      <c r="J450" t="s">
        <v>310</v>
      </c>
      <c r="K450" s="13">
        <f>INDEX(Foderstater!$X$64:$AL$101,MATCH(F450,Foderstater!$U$64:$U$101,0),MATCH(A450&amp;C450&amp;E450,Foderstater!$X$63:$AL$63,0))</f>
        <v>2.9512987442885481E-3</v>
      </c>
    </row>
    <row r="451" spans="1:14" x14ac:dyDescent="0.25">
      <c r="A451" t="s">
        <v>2</v>
      </c>
      <c r="E451" t="s">
        <v>32</v>
      </c>
      <c r="F451" t="str">
        <f>Foderstater!U$93</f>
        <v>wheat distillers grain, dry</v>
      </c>
      <c r="J451" t="s">
        <v>310</v>
      </c>
      <c r="K451" s="13">
        <f>INDEX(Foderstater!$X$64:$AL$101,MATCH(F451,Foderstater!$U$64:$U$101,0),MATCH(A451&amp;C451&amp;E451,Foderstater!$X$63:$AL$63,0))</f>
        <v>7.5674679760735511E-2</v>
      </c>
    </row>
    <row r="452" spans="1:14" x14ac:dyDescent="0.25">
      <c r="A452" t="s">
        <v>2</v>
      </c>
      <c r="E452" t="s">
        <v>32</v>
      </c>
      <c r="F452" t="str">
        <f>Foderstater!U$94</f>
        <v>barley brewers grain</v>
      </c>
      <c r="J452" t="s">
        <v>310</v>
      </c>
      <c r="K452" s="13">
        <f>INDEX(Foderstater!$X$64:$AL$101,MATCH(F452,Foderstater!$U$64:$U$101,0),MATCH(A452&amp;C452&amp;E452,Foderstater!$X$63:$AL$63,0))</f>
        <v>0</v>
      </c>
    </row>
    <row r="453" spans="1:14" x14ac:dyDescent="0.25">
      <c r="A453" t="s">
        <v>2</v>
      </c>
      <c r="E453" t="s">
        <v>32</v>
      </c>
      <c r="F453" t="str">
        <f>Foderstater!U$95</f>
        <v>maize gluten meal</v>
      </c>
      <c r="J453" t="s">
        <v>310</v>
      </c>
      <c r="K453" s="13">
        <f>INDEX(Foderstater!$X$64:$AL$101,MATCH(F453,Foderstater!$U$64:$U$101,0),MATCH(A453&amp;C453&amp;E453,Foderstater!$X$63:$AL$63,0))</f>
        <v>2.2866512501744235E-3</v>
      </c>
    </row>
    <row r="454" spans="1:14" x14ac:dyDescent="0.25">
      <c r="A454" t="s">
        <v>2</v>
      </c>
      <c r="E454" t="s">
        <v>32</v>
      </c>
      <c r="F454" t="str">
        <f>Foderstater!U$96</f>
        <v>sugar beet molasses</v>
      </c>
      <c r="J454" t="s">
        <v>310</v>
      </c>
      <c r="K454" s="13">
        <f>INDEX(Foderstater!$X$64:$AL$101,MATCH(F454,Foderstater!$U$64:$U$101,0),MATCH(A454&amp;C454&amp;E454,Foderstater!$X$63:$AL$63,0))</f>
        <v>2.535757562367404E-2</v>
      </c>
    </row>
    <row r="455" spans="1:14" x14ac:dyDescent="0.25">
      <c r="A455" t="s">
        <v>2</v>
      </c>
      <c r="E455" t="s">
        <v>32</v>
      </c>
      <c r="F455" t="str">
        <f>Foderstater!U$97</f>
        <v>sugar beet pulp</v>
      </c>
      <c r="J455" t="s">
        <v>310</v>
      </c>
      <c r="K455" s="13">
        <f>INDEX(Foderstater!$X$64:$AL$101,MATCH(F455,Foderstater!$U$64:$U$101,0),MATCH(A455&amp;C455&amp;E455,Foderstater!$X$63:$AL$63,0))</f>
        <v>4.8929447838464507E-2</v>
      </c>
    </row>
    <row r="456" spans="1:14" x14ac:dyDescent="0.25">
      <c r="A456" t="s">
        <v>2</v>
      </c>
      <c r="E456" t="s">
        <v>32</v>
      </c>
      <c r="F456" t="str">
        <f>Foderstater!U$98</f>
        <v>whey powder</v>
      </c>
      <c r="J456" t="s">
        <v>310</v>
      </c>
      <c r="K456" s="13">
        <f>INDEX(Foderstater!$X$64:$AL$101,MATCH(F456,Foderstater!$U$64:$U$101,0),MATCH(A456&amp;C456&amp;E456,Foderstater!$X$63:$AL$63,0))</f>
        <v>0</v>
      </c>
    </row>
    <row r="457" spans="1:14" x14ac:dyDescent="0.25">
      <c r="A457" t="s">
        <v>2</v>
      </c>
      <c r="E457" t="s">
        <v>32</v>
      </c>
      <c r="F457" t="str">
        <f>Foderstater!U$99</f>
        <v>potatoe protein</v>
      </c>
      <c r="J457" t="s">
        <v>310</v>
      </c>
      <c r="K457" s="13">
        <f>INDEX(Foderstater!$X$64:$AL$101,MATCH(F457,Foderstater!$U$64:$U$101,0),MATCH(A457&amp;C457&amp;E457,Foderstater!$X$63:$AL$63,0))</f>
        <v>2.240115704419248E-4</v>
      </c>
    </row>
    <row r="458" spans="1:14" x14ac:dyDescent="0.25">
      <c r="A458" t="s">
        <v>2</v>
      </c>
      <c r="E458" t="s">
        <v>32</v>
      </c>
      <c r="F458" t="str">
        <f>Foderstater!U$100</f>
        <v>fish meal</v>
      </c>
      <c r="J458" t="s">
        <v>310</v>
      </c>
      <c r="K458" s="13">
        <f>INDEX(Foderstater!$X$64:$AL$101,MATCH(F458,Foderstater!$U$64:$U$101,0),MATCH(A458&amp;C458&amp;E458,Foderstater!$X$63:$AL$63,0))</f>
        <v>0</v>
      </c>
    </row>
    <row r="459" spans="1:14" x14ac:dyDescent="0.25">
      <c r="A459" t="s">
        <v>2</v>
      </c>
      <c r="E459" t="s">
        <v>32</v>
      </c>
      <c r="F459" t="str">
        <f>Foderstater!U$101</f>
        <v>minerals</v>
      </c>
      <c r="J459" t="s">
        <v>310</v>
      </c>
      <c r="K459" s="13">
        <f>INDEX(Foderstater!$X$64:$AL$101,MATCH(F459,Foderstater!$U$64:$U$101,0),MATCH(A459&amp;C459&amp;E459,Foderstater!$X$63:$AL$63,0))</f>
        <v>0.71223380261627178</v>
      </c>
    </row>
    <row r="460" spans="1:14" x14ac:dyDescent="0.25">
      <c r="K460" s="13"/>
    </row>
    <row r="461" spans="1:14" x14ac:dyDescent="0.25">
      <c r="A461" s="81" t="s">
        <v>71</v>
      </c>
      <c r="B461" s="48"/>
      <c r="C461" s="48"/>
      <c r="D461" s="49"/>
      <c r="E461" s="49"/>
      <c r="F461" s="49"/>
      <c r="G461" s="49"/>
      <c r="H461" s="49"/>
      <c r="I461" s="49"/>
      <c r="J461" s="49"/>
      <c r="K461" s="161"/>
      <c r="L461" s="49"/>
      <c r="M461" s="49"/>
      <c r="N461" s="49"/>
    </row>
    <row r="462" spans="1:14" x14ac:dyDescent="0.25">
      <c r="A462" s="158" t="s">
        <v>2</v>
      </c>
      <c r="B462" s="158"/>
      <c r="C462" s="158"/>
      <c r="D462" s="158"/>
      <c r="E462" s="158" t="s">
        <v>33</v>
      </c>
      <c r="J462" s="158" t="s">
        <v>310</v>
      </c>
      <c r="K462" s="255">
        <v>0</v>
      </c>
      <c r="L462" s="158"/>
      <c r="M462" s="158" t="s">
        <v>401</v>
      </c>
    </row>
    <row r="463" spans="1:14" x14ac:dyDescent="0.25">
      <c r="A463" t="s">
        <v>2</v>
      </c>
      <c r="E463" t="s">
        <v>33</v>
      </c>
      <c r="F463" t="str">
        <f>Foderstater!U$64</f>
        <v>ley silage, 1st cut</v>
      </c>
      <c r="J463" t="s">
        <v>310</v>
      </c>
      <c r="K463" s="13">
        <f>INDEX(Foderstater!$X$64:$AL$101,MATCH(F463,Foderstater!$U$64:$U$101,0),MATCH(A463&amp;C463&amp;E463,Foderstater!$X$63:$AL$63,0))</f>
        <v>0</v>
      </c>
      <c r="L463" s="158"/>
      <c r="M463" s="158"/>
    </row>
    <row r="464" spans="1:14" x14ac:dyDescent="0.25">
      <c r="A464" t="s">
        <v>2</v>
      </c>
      <c r="E464" t="s">
        <v>33</v>
      </c>
      <c r="F464" t="str">
        <f>Foderstater!U$65</f>
        <v>ley silage, regrowth</v>
      </c>
      <c r="J464" t="s">
        <v>310</v>
      </c>
      <c r="K464" s="13">
        <f>INDEX(Foderstater!$X$64:$AL$101,MATCH(F464,Foderstater!$U$64:$U$101,0),MATCH(A464&amp;C464&amp;E464,Foderstater!$X$63:$AL$63,0))</f>
        <v>55.029062371648976</v>
      </c>
      <c r="L464" s="158"/>
      <c r="M464" s="158"/>
    </row>
    <row r="465" spans="1:13" x14ac:dyDescent="0.25">
      <c r="A465" t="s">
        <v>2</v>
      </c>
      <c r="E465" t="s">
        <v>33</v>
      </c>
      <c r="F465" t="str">
        <f>Foderstater!U$66</f>
        <v>other silage</v>
      </c>
      <c r="J465" t="s">
        <v>310</v>
      </c>
      <c r="K465" s="13">
        <f>INDEX(Foderstater!$X$64:$AL$101,MATCH(F465,Foderstater!$U$64:$U$101,0),MATCH(A465&amp;C465&amp;E465,Foderstater!$X$63:$AL$63,0))</f>
        <v>0</v>
      </c>
      <c r="L465" s="158"/>
      <c r="M465" s="158"/>
    </row>
    <row r="466" spans="1:13" x14ac:dyDescent="0.25">
      <c r="A466" t="s">
        <v>2</v>
      </c>
      <c r="E466" t="s">
        <v>33</v>
      </c>
      <c r="F466" t="str">
        <f>Foderstater!U$67</f>
        <v>maize silage</v>
      </c>
      <c r="J466" t="s">
        <v>310</v>
      </c>
      <c r="K466" s="13">
        <f>INDEX(Foderstater!$X$64:$AL$101,MATCH(F466,Foderstater!$U$64:$U$101,0),MATCH(A466&amp;C466&amp;E466,Foderstater!$X$63:$AL$63,0))</f>
        <v>0</v>
      </c>
      <c r="L466" s="158"/>
      <c r="M466" s="158"/>
    </row>
    <row r="467" spans="1:13" x14ac:dyDescent="0.25">
      <c r="A467" t="s">
        <v>2</v>
      </c>
      <c r="E467" t="s">
        <v>33</v>
      </c>
      <c r="F467" t="str">
        <f>Foderstater!U$68</f>
        <v>straw</v>
      </c>
      <c r="J467" t="s">
        <v>310</v>
      </c>
      <c r="K467" s="13">
        <f>INDEX(Foderstater!$X$64:$AL$101,MATCH(F467,Foderstater!$U$64:$U$101,0),MATCH(A467&amp;C467&amp;E467,Foderstater!$X$63:$AL$63,0))</f>
        <v>0</v>
      </c>
      <c r="L467" s="158"/>
      <c r="M467" s="158"/>
    </row>
    <row r="468" spans="1:13" x14ac:dyDescent="0.25">
      <c r="A468" t="s">
        <v>2</v>
      </c>
      <c r="E468" t="s">
        <v>33</v>
      </c>
      <c r="F468" t="str">
        <f>Foderstater!U$69</f>
        <v>grazing</v>
      </c>
      <c r="J468" t="s">
        <v>310</v>
      </c>
      <c r="K468" s="13">
        <f>INDEX(Foderstater!$X$64:$AL$101,MATCH(F468,Foderstater!$U$64:$U$101,0),MATCH(A468&amp;C468&amp;E468,Foderstater!$X$63:$AL$63,0))</f>
        <v>38.614788214420173</v>
      </c>
      <c r="L468" s="158"/>
      <c r="M468" s="158"/>
    </row>
    <row r="469" spans="1:13" x14ac:dyDescent="0.25">
      <c r="A469" t="s">
        <v>2</v>
      </c>
      <c r="E469" t="s">
        <v>33</v>
      </c>
      <c r="F469" t="str">
        <f>Foderstater!U$70</f>
        <v>wheat</v>
      </c>
      <c r="J469" t="s">
        <v>310</v>
      </c>
      <c r="K469" s="13">
        <f>INDEX(Foderstater!$X$64:$AL$101,MATCH(F469,Foderstater!$U$64:$U$101,0),MATCH(A469&amp;C469&amp;E469,Foderstater!$X$63:$AL$63,0))</f>
        <v>1.3702995315856561</v>
      </c>
      <c r="L469" s="158"/>
      <c r="M469" s="158"/>
    </row>
    <row r="470" spans="1:13" x14ac:dyDescent="0.25">
      <c r="A470" t="s">
        <v>2</v>
      </c>
      <c r="E470" t="s">
        <v>33</v>
      </c>
      <c r="F470" t="str">
        <f>Foderstater!U$71</f>
        <v>barley</v>
      </c>
      <c r="J470" t="s">
        <v>310</v>
      </c>
      <c r="K470" s="13">
        <f>INDEX(Foderstater!$X$64:$AL$101,MATCH(F470,Foderstater!$U$64:$U$101,0),MATCH(A470&amp;C470&amp;E470,Foderstater!$X$63:$AL$63,0))</f>
        <v>2.1464108702309166</v>
      </c>
      <c r="L470" s="158"/>
      <c r="M470" s="158"/>
    </row>
    <row r="471" spans="1:13" x14ac:dyDescent="0.25">
      <c r="A471" t="s">
        <v>2</v>
      </c>
      <c r="E471" t="s">
        <v>33</v>
      </c>
      <c r="F471" t="str">
        <f>Foderstater!U$72</f>
        <v>oats</v>
      </c>
      <c r="J471" t="s">
        <v>310</v>
      </c>
      <c r="K471" s="13">
        <f>INDEX(Foderstater!$X$64:$AL$101,MATCH(F471,Foderstater!$U$64:$U$101,0),MATCH(A471&amp;C471&amp;E471,Foderstater!$X$63:$AL$63,0))</f>
        <v>0.54223737074929057</v>
      </c>
      <c r="L471" s="158"/>
      <c r="M471" s="158"/>
    </row>
    <row r="472" spans="1:13" x14ac:dyDescent="0.25">
      <c r="A472" t="s">
        <v>2</v>
      </c>
      <c r="E472" t="s">
        <v>33</v>
      </c>
      <c r="F472" t="str">
        <f>Foderstater!U$73</f>
        <v>triticale</v>
      </c>
      <c r="J472" t="s">
        <v>310</v>
      </c>
      <c r="K472" s="13">
        <f>INDEX(Foderstater!$X$64:$AL$101,MATCH(F472,Foderstater!$U$64:$U$101,0),MATCH(A472&amp;C472&amp;E472,Foderstater!$X$63:$AL$63,0))</f>
        <v>0.63111634374194048</v>
      </c>
      <c r="L472" s="158"/>
      <c r="M472" s="158"/>
    </row>
    <row r="473" spans="1:13" x14ac:dyDescent="0.25">
      <c r="A473" t="s">
        <v>2</v>
      </c>
      <c r="E473" t="s">
        <v>33</v>
      </c>
      <c r="F473" t="str">
        <f>Foderstater!U$74</f>
        <v>rye</v>
      </c>
      <c r="J473" t="s">
        <v>310</v>
      </c>
      <c r="K473" s="13">
        <f>INDEX(Foderstater!$X$64:$AL$101,MATCH(F473,Foderstater!$U$64:$U$101,0),MATCH(A473&amp;C473&amp;E473,Foderstater!$X$63:$AL$63,0))</f>
        <v>5.6371722021104978E-3</v>
      </c>
      <c r="L473" s="158"/>
      <c r="M473" s="158"/>
    </row>
    <row r="474" spans="1:13" x14ac:dyDescent="0.25">
      <c r="A474" t="s">
        <v>2</v>
      </c>
      <c r="E474" t="s">
        <v>33</v>
      </c>
      <c r="F474" t="str">
        <f>Foderstater!U$75</f>
        <v>maize</v>
      </c>
      <c r="J474" t="s">
        <v>310</v>
      </c>
      <c r="K474" s="13">
        <f>INDEX(Foderstater!$X$64:$AL$101,MATCH(F474,Foderstater!$U$64:$U$101,0),MATCH(A474&amp;C474&amp;E474,Foderstater!$X$63:$AL$63,0))</f>
        <v>2.4491361364359067E-2</v>
      </c>
      <c r="L474" s="158"/>
      <c r="M474" s="158"/>
    </row>
    <row r="475" spans="1:13" x14ac:dyDescent="0.25">
      <c r="A475" t="s">
        <v>2</v>
      </c>
      <c r="E475" t="s">
        <v>33</v>
      </c>
      <c r="F475" t="str">
        <f>Foderstater!U$76</f>
        <v>peas</v>
      </c>
      <c r="J475" t="s">
        <v>310</v>
      </c>
      <c r="K475" s="13">
        <f>INDEX(Foderstater!$X$64:$AL$101,MATCH(F475,Foderstater!$U$64:$U$101,0),MATCH(A475&amp;C475&amp;E475,Foderstater!$X$63:$AL$63,0))</f>
        <v>3.3129545230803178E-2</v>
      </c>
      <c r="L475" s="158"/>
      <c r="M475" s="158"/>
    </row>
    <row r="476" spans="1:13" x14ac:dyDescent="0.25">
      <c r="A476" t="s">
        <v>2</v>
      </c>
      <c r="E476" t="s">
        <v>33</v>
      </c>
      <c r="F476" t="str">
        <f>Foderstater!U$77</f>
        <v>broad beans</v>
      </c>
      <c r="J476" t="s">
        <v>310</v>
      </c>
      <c r="K476" s="13">
        <f>INDEX(Foderstater!$X$64:$AL$101,MATCH(F476,Foderstater!$U$64:$U$101,0),MATCH(A476&amp;C476&amp;E476,Foderstater!$X$63:$AL$63,0))</f>
        <v>4.0966798466627027E-2</v>
      </c>
      <c r="L476" s="158"/>
      <c r="M476" s="158"/>
    </row>
    <row r="477" spans="1:13" x14ac:dyDescent="0.25">
      <c r="A477" t="s">
        <v>2</v>
      </c>
      <c r="E477" t="s">
        <v>33</v>
      </c>
      <c r="F477" t="str">
        <f>Foderstater!U$78</f>
        <v>rapeseed</v>
      </c>
      <c r="J477" t="s">
        <v>310</v>
      </c>
      <c r="K477" s="13">
        <f>INDEX(Foderstater!$X$64:$AL$101,MATCH(F477,Foderstater!$U$64:$U$101,0),MATCH(A477&amp;C477&amp;E477,Foderstater!$X$63:$AL$63,0))</f>
        <v>0.20821498275295594</v>
      </c>
      <c r="L477" s="158"/>
      <c r="M477" s="158"/>
    </row>
    <row r="478" spans="1:13" x14ac:dyDescent="0.25">
      <c r="A478" t="s">
        <v>2</v>
      </c>
      <c r="E478" t="s">
        <v>33</v>
      </c>
      <c r="F478" t="str">
        <f>Foderstater!U$79</f>
        <v>linseed</v>
      </c>
      <c r="J478" t="s">
        <v>310</v>
      </c>
      <c r="K478" s="13">
        <f>INDEX(Foderstater!$X$64:$AL$101,MATCH(F478,Foderstater!$U$64:$U$101,0),MATCH(A478&amp;C478&amp;E478,Foderstater!$X$63:$AL$63,0))</f>
        <v>1.5359161204765519E-4</v>
      </c>
      <c r="L478" s="158"/>
      <c r="M478" s="158"/>
    </row>
    <row r="479" spans="1:13" x14ac:dyDescent="0.25">
      <c r="A479" t="s">
        <v>2</v>
      </c>
      <c r="E479" t="s">
        <v>33</v>
      </c>
      <c r="F479" t="str">
        <f>Foderstater!U$80</f>
        <v>vegetable oils</v>
      </c>
      <c r="J479" t="s">
        <v>310</v>
      </c>
      <c r="K479" s="13">
        <f>INDEX(Foderstater!$X$64:$AL$101,MATCH(F479,Foderstater!$U$64:$U$101,0),MATCH(A479&amp;C479&amp;E479,Foderstater!$X$63:$AL$63,0))</f>
        <v>3.9652652617667341E-3</v>
      </c>
      <c r="L479" s="158"/>
      <c r="M479" s="158"/>
    </row>
    <row r="480" spans="1:13" x14ac:dyDescent="0.25">
      <c r="A480" t="s">
        <v>2</v>
      </c>
      <c r="E480" t="s">
        <v>33</v>
      </c>
      <c r="F480" t="str">
        <f>Foderstater!U$81</f>
        <v>soybeans</v>
      </c>
      <c r="J480" t="s">
        <v>310</v>
      </c>
      <c r="K480" s="13">
        <f>INDEX(Foderstater!$X$64:$AL$101,MATCH(F480,Foderstater!$U$64:$U$101,0),MATCH(A480&amp;C480&amp;E480,Foderstater!$X$63:$AL$63,0))</f>
        <v>3.8749780117707201E-3</v>
      </c>
      <c r="L480" s="158"/>
      <c r="M480" s="158"/>
    </row>
    <row r="481" spans="1:13" x14ac:dyDescent="0.25">
      <c r="A481" t="s">
        <v>2</v>
      </c>
      <c r="E481" t="s">
        <v>33</v>
      </c>
      <c r="F481" t="str">
        <f>Foderstater!U$82</f>
        <v>soybean meal</v>
      </c>
      <c r="J481" t="s">
        <v>310</v>
      </c>
      <c r="K481" s="13">
        <f>INDEX(Foderstater!$X$64:$AL$101,MATCH(F481,Foderstater!$U$64:$U$101,0),MATCH(A481&amp;C481&amp;E481,Foderstater!$X$63:$AL$63,0))</f>
        <v>3.5396486378307765E-2</v>
      </c>
      <c r="L481" s="158"/>
      <c r="M481" s="158"/>
    </row>
    <row r="482" spans="1:13" x14ac:dyDescent="0.25">
      <c r="A482" t="s">
        <v>2</v>
      </c>
      <c r="E482" t="s">
        <v>33</v>
      </c>
      <c r="F482" t="str">
        <f>Foderstater!U$83</f>
        <v>soybean protein concentrate</v>
      </c>
      <c r="J482" t="s">
        <v>310</v>
      </c>
      <c r="K482" s="13">
        <f>INDEX(Foderstater!$X$64:$AL$101,MATCH(F482,Foderstater!$U$64:$U$101,0),MATCH(A482&amp;C482&amp;E482,Foderstater!$X$63:$AL$63,0))</f>
        <v>0</v>
      </c>
      <c r="L482" s="158"/>
      <c r="M482" s="158"/>
    </row>
    <row r="483" spans="1:13" x14ac:dyDescent="0.25">
      <c r="A483" t="s">
        <v>2</v>
      </c>
      <c r="B483" t="s">
        <v>1</v>
      </c>
      <c r="E483" t="s">
        <v>33</v>
      </c>
      <c r="F483" t="str">
        <f>Foderstater!U$84</f>
        <v>rapeseed meal</v>
      </c>
      <c r="J483" t="s">
        <v>310</v>
      </c>
      <c r="K483" s="13">
        <f>INDEX(Foderstater!$X$64:$AL$101,MATCH(F483,Foderstater!$U$64:$U$101,0),MATCH(A483&amp;C483&amp;E483,Foderstater!$X$63:$AL$63,0))</f>
        <v>0.27338946038309825</v>
      </c>
      <c r="L483" s="158"/>
      <c r="M483" s="158"/>
    </row>
    <row r="484" spans="1:13" x14ac:dyDescent="0.25">
      <c r="A484" s="268" t="str">
        <f>A483</f>
        <v>dairy</v>
      </c>
      <c r="B484" s="268" t="s">
        <v>5</v>
      </c>
      <c r="C484" s="268"/>
      <c r="D484" s="268"/>
      <c r="E484" s="268" t="s">
        <v>33</v>
      </c>
      <c r="F484" s="268" t="s">
        <v>609</v>
      </c>
      <c r="J484" s="268" t="str">
        <f>J483</f>
        <v>share_in_ration</v>
      </c>
      <c r="K484" s="269">
        <f>K483</f>
        <v>0.27338946038309825</v>
      </c>
      <c r="L484" s="268"/>
      <c r="M484" s="268" t="s">
        <v>610</v>
      </c>
    </row>
    <row r="485" spans="1:13" x14ac:dyDescent="0.25">
      <c r="A485" t="s">
        <v>2</v>
      </c>
      <c r="E485" t="s">
        <v>33</v>
      </c>
      <c r="F485" t="str">
        <f>Foderstater!U$85</f>
        <v>sunflower seed meal</v>
      </c>
      <c r="J485" t="s">
        <v>310</v>
      </c>
      <c r="K485" s="13">
        <f>INDEX(Foderstater!$X$64:$AL$101,MATCH(F485,Foderstater!$U$64:$U$101,0),MATCH(A485&amp;C485&amp;E485,Foderstater!$X$63:$AL$63,0))</f>
        <v>3.7766107728313516E-3</v>
      </c>
    </row>
    <row r="486" spans="1:13" x14ac:dyDescent="0.25">
      <c r="A486" t="s">
        <v>2</v>
      </c>
      <c r="E486" t="s">
        <v>33</v>
      </c>
      <c r="F486" t="str">
        <f>Foderstater!U$86</f>
        <v>palm kernel expeller</v>
      </c>
      <c r="J486" t="s">
        <v>310</v>
      </c>
      <c r="K486" s="13">
        <f>INDEX(Foderstater!$X$64:$AL$101,MATCH(F486,Foderstater!$U$64:$U$101,0),MATCH(A486&amp;C486&amp;E486,Foderstater!$X$63:$AL$63,0))</f>
        <v>2.454011148600925E-2</v>
      </c>
    </row>
    <row r="487" spans="1:13" x14ac:dyDescent="0.25">
      <c r="A487" t="s">
        <v>2</v>
      </c>
      <c r="E487" t="s">
        <v>33</v>
      </c>
      <c r="F487" t="str">
        <f>Foderstater!U$87</f>
        <v>luzern meal</v>
      </c>
      <c r="J487" t="s">
        <v>310</v>
      </c>
      <c r="K487" s="13">
        <f>INDEX(Foderstater!$X$64:$AL$101,MATCH(F487,Foderstater!$U$64:$U$101,0),MATCH(A487&amp;C487&amp;E487,Foderstater!$X$63:$AL$63,0))</f>
        <v>7.4648324517994124E-3</v>
      </c>
    </row>
    <row r="488" spans="1:13" x14ac:dyDescent="0.25">
      <c r="A488" t="s">
        <v>2</v>
      </c>
      <c r="E488" t="s">
        <v>33</v>
      </c>
      <c r="F488" t="str">
        <f>Foderstater!U$88</f>
        <v>wheat bran</v>
      </c>
      <c r="J488" t="s">
        <v>310</v>
      </c>
      <c r="K488" s="13">
        <f>INDEX(Foderstater!$X$64:$AL$101,MATCH(F488,Foderstater!$U$64:$U$101,0),MATCH(A488&amp;C488&amp;E488,Foderstater!$X$63:$AL$63,0))</f>
        <v>8.1330352250506319E-2</v>
      </c>
    </row>
    <row r="489" spans="1:13" x14ac:dyDescent="0.25">
      <c r="A489" t="s">
        <v>2</v>
      </c>
      <c r="E489" t="s">
        <v>33</v>
      </c>
      <c r="F489" t="str">
        <f>Foderstater!U$89</f>
        <v>wheat bran, fine</v>
      </c>
      <c r="J489" t="s">
        <v>310</v>
      </c>
      <c r="K489" s="13">
        <f>INDEX(Foderstater!$X$64:$AL$101,MATCH(F489,Foderstater!$U$64:$U$101,0),MATCH(A489&amp;C489&amp;E489,Foderstater!$X$63:$AL$63,0))</f>
        <v>2.1320226486804789E-4</v>
      </c>
    </row>
    <row r="490" spans="1:13" x14ac:dyDescent="0.25">
      <c r="A490" t="s">
        <v>2</v>
      </c>
      <c r="E490" t="s">
        <v>33</v>
      </c>
      <c r="F490" t="str">
        <f>Foderstater!U$90</f>
        <v>oat hulls</v>
      </c>
      <c r="J490" t="s">
        <v>310</v>
      </c>
      <c r="K490" s="13">
        <f>INDEX(Foderstater!$X$64:$AL$101,MATCH(F490,Foderstater!$U$64:$U$101,0),MATCH(A490&amp;C490&amp;E490,Foderstater!$X$63:$AL$63,0))</f>
        <v>9.7954501133788105E-3</v>
      </c>
    </row>
    <row r="491" spans="1:13" x14ac:dyDescent="0.25">
      <c r="A491" t="s">
        <v>2</v>
      </c>
      <c r="E491" t="s">
        <v>33</v>
      </c>
      <c r="F491" t="str">
        <f>Foderstater!U$91</f>
        <v>oat bran</v>
      </c>
      <c r="J491" t="s">
        <v>310</v>
      </c>
      <c r="K491" s="13">
        <f>INDEX(Foderstater!$X$64:$AL$101,MATCH(F491,Foderstater!$U$64:$U$101,0),MATCH(A491&amp;C491&amp;E491,Foderstater!$X$63:$AL$63,0))</f>
        <v>1.1055271729123049E-3</v>
      </c>
    </row>
    <row r="492" spans="1:13" x14ac:dyDescent="0.25">
      <c r="A492" t="s">
        <v>2</v>
      </c>
      <c r="E492" t="s">
        <v>33</v>
      </c>
      <c r="F492" t="str">
        <f>Foderstater!U$92</f>
        <v>rye bran</v>
      </c>
      <c r="J492" t="s">
        <v>310</v>
      </c>
      <c r="K492" s="13">
        <f>INDEX(Foderstater!$X$64:$AL$101,MATCH(F492,Foderstater!$U$64:$U$101,0),MATCH(A492&amp;C492&amp;E492,Foderstater!$X$63:$AL$63,0))</f>
        <v>3.4094577852959427E-3</v>
      </c>
    </row>
    <row r="493" spans="1:13" x14ac:dyDescent="0.25">
      <c r="A493" t="s">
        <v>2</v>
      </c>
      <c r="E493" t="s">
        <v>33</v>
      </c>
      <c r="F493" t="str">
        <f>Foderstater!U$93</f>
        <v>wheat distillers grain, dry</v>
      </c>
      <c r="J493" t="s">
        <v>310</v>
      </c>
      <c r="K493" s="13">
        <f>INDEX(Foderstater!$X$64:$AL$101,MATCH(F493,Foderstater!$U$64:$U$101,0),MATCH(A493&amp;C493&amp;E493,Foderstater!$X$63:$AL$63,0))</f>
        <v>8.7422402276057576E-2</v>
      </c>
    </row>
    <row r="494" spans="1:13" x14ac:dyDescent="0.25">
      <c r="A494" t="s">
        <v>2</v>
      </c>
      <c r="E494" t="s">
        <v>33</v>
      </c>
      <c r="F494" t="str">
        <f>Foderstater!U$94</f>
        <v>barley brewers grain</v>
      </c>
      <c r="J494" t="s">
        <v>310</v>
      </c>
      <c r="K494" s="13">
        <f>INDEX(Foderstater!$X$64:$AL$101,MATCH(F494,Foderstater!$U$64:$U$101,0),MATCH(A494&amp;C494&amp;E494,Foderstater!$X$63:$AL$63,0))</f>
        <v>0</v>
      </c>
    </row>
    <row r="495" spans="1:13" x14ac:dyDescent="0.25">
      <c r="A495" t="s">
        <v>2</v>
      </c>
      <c r="E495" t="s">
        <v>33</v>
      </c>
      <c r="F495" t="str">
        <f>Foderstater!U$95</f>
        <v>maize gluten meal</v>
      </c>
      <c r="J495" t="s">
        <v>310</v>
      </c>
      <c r="K495" s="13">
        <f>INDEX(Foderstater!$X$64:$AL$101,MATCH(F495,Foderstater!$U$64:$U$101,0),MATCH(A495&amp;C495&amp;E495,Foderstater!$X$63:$AL$63,0))</f>
        <v>2.6416305439262745E-3</v>
      </c>
    </row>
    <row r="496" spans="1:13" x14ac:dyDescent="0.25">
      <c r="A496" t="s">
        <v>2</v>
      </c>
      <c r="E496" t="s">
        <v>33</v>
      </c>
      <c r="F496" t="str">
        <f>Foderstater!U$96</f>
        <v>sugar beet molasses</v>
      </c>
      <c r="J496" t="s">
        <v>310</v>
      </c>
      <c r="K496" s="13">
        <f>INDEX(Foderstater!$X$64:$AL$101,MATCH(F496,Foderstater!$U$64:$U$101,0),MATCH(A496&amp;C496&amp;E496,Foderstater!$X$63:$AL$63,0))</f>
        <v>2.929408071401712E-2</v>
      </c>
    </row>
    <row r="497" spans="1:14" x14ac:dyDescent="0.25">
      <c r="A497" t="s">
        <v>2</v>
      </c>
      <c r="E497" t="s">
        <v>33</v>
      </c>
      <c r="F497" t="str">
        <f>Foderstater!U$97</f>
        <v>sugar beet pulp</v>
      </c>
      <c r="J497" t="s">
        <v>310</v>
      </c>
      <c r="K497" s="13">
        <f>INDEX(Foderstater!$X$64:$AL$101,MATCH(F497,Foderstater!$U$64:$U$101,0),MATCH(A497&amp;C497&amp;E497,Foderstater!$X$63:$AL$63,0))</f>
        <v>5.6525245770502136E-2</v>
      </c>
    </row>
    <row r="498" spans="1:14" x14ac:dyDescent="0.25">
      <c r="A498" t="s">
        <v>2</v>
      </c>
      <c r="E498" t="s">
        <v>33</v>
      </c>
      <c r="F498" t="str">
        <f>Foderstater!U$98</f>
        <v>whey powder</v>
      </c>
      <c r="J498" t="s">
        <v>310</v>
      </c>
      <c r="K498" s="13">
        <f>INDEX(Foderstater!$X$64:$AL$101,MATCH(F498,Foderstater!$U$64:$U$101,0),MATCH(A498&amp;C498&amp;E498,Foderstater!$X$63:$AL$63,0))</f>
        <v>0</v>
      </c>
    </row>
    <row r="499" spans="1:14" x14ac:dyDescent="0.25">
      <c r="A499" t="s">
        <v>2</v>
      </c>
      <c r="E499" t="s">
        <v>33</v>
      </c>
      <c r="F499" t="str">
        <f>Foderstater!U$99</f>
        <v>potatoe protein</v>
      </c>
      <c r="J499" t="s">
        <v>310</v>
      </c>
      <c r="K499" s="13">
        <f>INDEX(Foderstater!$X$64:$AL$101,MATCH(F499,Foderstater!$U$64:$U$101,0),MATCH(A499&amp;C499&amp;E499,Foderstater!$X$63:$AL$63,0))</f>
        <v>2.5878708291312121E-4</v>
      </c>
    </row>
    <row r="500" spans="1:14" x14ac:dyDescent="0.25">
      <c r="A500" t="s">
        <v>2</v>
      </c>
      <c r="E500" t="s">
        <v>33</v>
      </c>
      <c r="F500" t="str">
        <f>Foderstater!U$100</f>
        <v>fish meal</v>
      </c>
      <c r="J500" t="s">
        <v>310</v>
      </c>
      <c r="K500" s="13">
        <f>INDEX(Foderstater!$X$64:$AL$101,MATCH(F500,Foderstater!$U$64:$U$101,0),MATCH(A500&amp;C500&amp;E500,Foderstater!$X$63:$AL$63,0))</f>
        <v>0</v>
      </c>
    </row>
    <row r="501" spans="1:14" x14ac:dyDescent="0.25">
      <c r="A501" t="s">
        <v>2</v>
      </c>
      <c r="E501" t="s">
        <v>33</v>
      </c>
      <c r="F501" t="str">
        <f>Foderstater!U$101</f>
        <v>minerals</v>
      </c>
      <c r="J501" t="s">
        <v>310</v>
      </c>
      <c r="K501" s="13">
        <f>INDEX(Foderstater!$X$64:$AL$101,MATCH(F501,Foderstater!$U$64:$U$101,0),MATCH(A501&amp;C501&amp;E501,Foderstater!$X$63:$AL$63,0))</f>
        <v>0.72908796527420217</v>
      </c>
    </row>
    <row r="503" spans="1:14" x14ac:dyDescent="0.25">
      <c r="A503" s="81" t="s">
        <v>75</v>
      </c>
      <c r="B503" s="48"/>
      <c r="C503" s="48"/>
      <c r="D503" s="49"/>
      <c r="E503" s="49"/>
      <c r="F503" s="49"/>
      <c r="G503" s="49"/>
      <c r="H503" s="49"/>
      <c r="I503" s="49"/>
      <c r="J503" s="49"/>
      <c r="K503" s="161"/>
      <c r="L503" s="49"/>
      <c r="M503" s="49"/>
      <c r="N503" s="49"/>
    </row>
    <row r="504" spans="1:14" x14ac:dyDescent="0.25">
      <c r="A504" s="158" t="s">
        <v>2</v>
      </c>
      <c r="B504" s="158"/>
      <c r="C504" s="158"/>
      <c r="D504" s="158"/>
      <c r="E504" s="158" t="s">
        <v>34</v>
      </c>
      <c r="J504" s="158" t="s">
        <v>310</v>
      </c>
      <c r="K504" s="158">
        <v>0</v>
      </c>
      <c r="L504" s="158"/>
      <c r="M504" s="158" t="s">
        <v>401</v>
      </c>
    </row>
    <row r="505" spans="1:14" x14ac:dyDescent="0.25">
      <c r="A505" t="s">
        <v>2</v>
      </c>
      <c r="D505" s="110"/>
      <c r="E505" s="110" t="s">
        <v>34</v>
      </c>
      <c r="F505" t="str">
        <f>Foderstater!U$64</f>
        <v>ley silage, 1st cut</v>
      </c>
      <c r="J505" t="s">
        <v>310</v>
      </c>
      <c r="K505" s="13">
        <f>INDEX(Foderstater!$X$64:$AL$101,MATCH(F505,Foderstater!$U$64:$U$101,0),MATCH(A505&amp;C505&amp;E505,Foderstater!$X$63:$AL$63,0))</f>
        <v>65.065884609325579</v>
      </c>
      <c r="L505" s="158"/>
      <c r="M505" s="158"/>
    </row>
    <row r="506" spans="1:14" x14ac:dyDescent="0.25">
      <c r="A506" t="s">
        <v>2</v>
      </c>
      <c r="D506" s="110"/>
      <c r="E506" s="110" t="s">
        <v>34</v>
      </c>
      <c r="F506" t="str">
        <f>Foderstater!U$65</f>
        <v>ley silage, regrowth</v>
      </c>
      <c r="J506" t="s">
        <v>310</v>
      </c>
      <c r="K506" s="13">
        <f>INDEX(Foderstater!$X$64:$AL$101,MATCH(F506,Foderstater!$U$64:$U$101,0),MATCH(A506&amp;C506&amp;E506,Foderstater!$X$63:$AL$63,0))</f>
        <v>0</v>
      </c>
      <c r="L506" s="158"/>
      <c r="M506" s="158"/>
    </row>
    <row r="507" spans="1:14" x14ac:dyDescent="0.25">
      <c r="A507" t="s">
        <v>2</v>
      </c>
      <c r="D507" s="110"/>
      <c r="E507" s="110" t="s">
        <v>34</v>
      </c>
      <c r="F507" t="str">
        <f>Foderstater!U$66</f>
        <v>other silage</v>
      </c>
      <c r="J507" t="s">
        <v>310</v>
      </c>
      <c r="K507" s="13">
        <f>INDEX(Foderstater!$X$64:$AL$101,MATCH(F507,Foderstater!$U$64:$U$101,0),MATCH(A507&amp;C507&amp;E507,Foderstater!$X$63:$AL$63,0))</f>
        <v>0</v>
      </c>
      <c r="L507" s="158"/>
      <c r="M507" s="158"/>
    </row>
    <row r="508" spans="1:14" x14ac:dyDescent="0.25">
      <c r="A508" t="s">
        <v>2</v>
      </c>
      <c r="D508" s="110"/>
      <c r="E508" s="110" t="s">
        <v>34</v>
      </c>
      <c r="F508" t="str">
        <f>Foderstater!U$67</f>
        <v>maize silage</v>
      </c>
      <c r="J508" t="s">
        <v>310</v>
      </c>
      <c r="K508" s="13">
        <f>INDEX(Foderstater!$X$64:$AL$101,MATCH(F508,Foderstater!$U$64:$U$101,0),MATCH(A508&amp;C508&amp;E508,Foderstater!$X$63:$AL$63,0))</f>
        <v>0</v>
      </c>
      <c r="L508" s="158"/>
      <c r="M508" s="158"/>
    </row>
    <row r="509" spans="1:14" x14ac:dyDescent="0.25">
      <c r="A509" t="s">
        <v>2</v>
      </c>
      <c r="D509" s="110"/>
      <c r="E509" s="110" t="s">
        <v>34</v>
      </c>
      <c r="F509" t="str">
        <f>Foderstater!U$68</f>
        <v>straw</v>
      </c>
      <c r="J509" t="s">
        <v>310</v>
      </c>
      <c r="K509" s="13">
        <f>INDEX(Foderstater!$X$64:$AL$101,MATCH(F509,Foderstater!$U$64:$U$101,0),MATCH(A509&amp;C509&amp;E509,Foderstater!$X$63:$AL$63,0))</f>
        <v>0</v>
      </c>
      <c r="L509" s="158"/>
      <c r="M509" s="158"/>
    </row>
    <row r="510" spans="1:14" x14ac:dyDescent="0.25">
      <c r="A510" t="s">
        <v>2</v>
      </c>
      <c r="D510" s="110"/>
      <c r="E510" s="110" t="s">
        <v>34</v>
      </c>
      <c r="F510" t="str">
        <f>Foderstater!U$69</f>
        <v>grazing</v>
      </c>
      <c r="J510" t="s">
        <v>310</v>
      </c>
      <c r="K510" s="13">
        <f>INDEX(Foderstater!$X$64:$AL$101,MATCH(F510,Foderstater!$U$64:$U$101,0),MATCH(A510&amp;C510&amp;E510,Foderstater!$X$63:$AL$63,0))</f>
        <v>0</v>
      </c>
      <c r="L510" s="158"/>
      <c r="M510" s="158"/>
    </row>
    <row r="511" spans="1:14" x14ac:dyDescent="0.25">
      <c r="A511" t="s">
        <v>2</v>
      </c>
      <c r="D511" s="110"/>
      <c r="E511" s="110" t="s">
        <v>34</v>
      </c>
      <c r="F511" t="str">
        <f>Foderstater!U$70</f>
        <v>wheat</v>
      </c>
      <c r="J511" t="s">
        <v>310</v>
      </c>
      <c r="K511" s="13">
        <f>INDEX(Foderstater!$X$64:$AL$101,MATCH(F511,Foderstater!$U$64:$U$101,0),MATCH(A511&amp;C511&amp;E511,Foderstater!$X$63:$AL$63,0))</f>
        <v>7.597272449205918</v>
      </c>
      <c r="L511" s="158"/>
      <c r="M511" s="158"/>
    </row>
    <row r="512" spans="1:14" x14ac:dyDescent="0.25">
      <c r="A512" t="s">
        <v>2</v>
      </c>
      <c r="D512" s="110"/>
      <c r="E512" s="110" t="s">
        <v>34</v>
      </c>
      <c r="F512" t="str">
        <f>Foderstater!U$71</f>
        <v>barley</v>
      </c>
      <c r="J512" t="s">
        <v>310</v>
      </c>
      <c r="K512" s="13">
        <f>INDEX(Foderstater!$X$64:$AL$101,MATCH(F512,Foderstater!$U$64:$U$101,0),MATCH(A512&amp;C512&amp;E512,Foderstater!$X$63:$AL$63,0))</f>
        <v>13.591338970365666</v>
      </c>
      <c r="L512" s="158"/>
      <c r="M512" s="158"/>
    </row>
    <row r="513" spans="1:13" x14ac:dyDescent="0.25">
      <c r="A513" t="s">
        <v>2</v>
      </c>
      <c r="D513" s="110"/>
      <c r="E513" s="110" t="s">
        <v>34</v>
      </c>
      <c r="F513" t="str">
        <f>Foderstater!U$72</f>
        <v>oats</v>
      </c>
      <c r="J513" t="s">
        <v>310</v>
      </c>
      <c r="K513" s="13">
        <f>INDEX(Foderstater!$X$64:$AL$101,MATCH(F513,Foderstater!$U$64:$U$101,0),MATCH(A513&amp;C513&amp;E513,Foderstater!$X$63:$AL$63,0))</f>
        <v>3.1053519716836115</v>
      </c>
      <c r="L513" s="158"/>
      <c r="M513" s="158"/>
    </row>
    <row r="514" spans="1:13" x14ac:dyDescent="0.25">
      <c r="A514" t="s">
        <v>2</v>
      </c>
      <c r="D514" s="110"/>
      <c r="E514" s="110" t="s">
        <v>34</v>
      </c>
      <c r="F514" t="str">
        <f>Foderstater!U$73</f>
        <v>triticale</v>
      </c>
      <c r="J514" t="s">
        <v>310</v>
      </c>
      <c r="K514" s="13">
        <f>INDEX(Foderstater!$X$64:$AL$101,MATCH(F514,Foderstater!$U$64:$U$101,0),MATCH(A514&amp;C514&amp;E514,Foderstater!$X$63:$AL$63,0))</f>
        <v>4.6592010515149394</v>
      </c>
      <c r="L514" s="158"/>
      <c r="M514" s="158"/>
    </row>
    <row r="515" spans="1:13" x14ac:dyDescent="0.25">
      <c r="A515" t="s">
        <v>2</v>
      </c>
      <c r="D515" s="110"/>
      <c r="E515" s="110" t="s">
        <v>34</v>
      </c>
      <c r="F515" t="str">
        <f>Foderstater!U$74</f>
        <v>rye</v>
      </c>
      <c r="J515" t="s">
        <v>310</v>
      </c>
      <c r="K515" s="13">
        <f>INDEX(Foderstater!$X$64:$AL$101,MATCH(F515,Foderstater!$U$64:$U$101,0),MATCH(A515&amp;C515&amp;E515,Foderstater!$X$63:$AL$63,0))</f>
        <v>1.6945393347994473E-2</v>
      </c>
      <c r="L515" s="158"/>
      <c r="M515" s="158"/>
    </row>
    <row r="516" spans="1:13" x14ac:dyDescent="0.25">
      <c r="A516" t="s">
        <v>2</v>
      </c>
      <c r="D516" s="110"/>
      <c r="E516" s="110" t="s">
        <v>34</v>
      </c>
      <c r="F516" t="str">
        <f>Foderstater!U$75</f>
        <v>maize</v>
      </c>
      <c r="J516" t="s">
        <v>310</v>
      </c>
      <c r="K516" s="13">
        <f>INDEX(Foderstater!$X$64:$AL$101,MATCH(F516,Foderstater!$U$64:$U$101,0),MATCH(A516&amp;C516&amp;E516,Foderstater!$X$63:$AL$63,0))</f>
        <v>7.3621265603978081E-2</v>
      </c>
      <c r="L516" s="158"/>
      <c r="M516" s="158"/>
    </row>
    <row r="517" spans="1:13" x14ac:dyDescent="0.25">
      <c r="A517" t="s">
        <v>2</v>
      </c>
      <c r="D517" s="110"/>
      <c r="E517" s="110" t="s">
        <v>34</v>
      </c>
      <c r="F517" t="str">
        <f>Foderstater!U$76</f>
        <v>peas</v>
      </c>
      <c r="J517" t="s">
        <v>310</v>
      </c>
      <c r="K517" s="13">
        <f>INDEX(Foderstater!$X$64:$AL$101,MATCH(F517,Foderstater!$U$64:$U$101,0),MATCH(A517&amp;C517&amp;E517,Foderstater!$X$63:$AL$63,0))</f>
        <v>1.3794797059070938</v>
      </c>
      <c r="L517" s="158"/>
      <c r="M517" s="158"/>
    </row>
    <row r="518" spans="1:13" x14ac:dyDescent="0.25">
      <c r="A518" t="s">
        <v>2</v>
      </c>
      <c r="D518" s="110"/>
      <c r="E518" s="110" t="s">
        <v>34</v>
      </c>
      <c r="F518" t="str">
        <f>Foderstater!U$77</f>
        <v>broad beans</v>
      </c>
      <c r="J518" t="s">
        <v>310</v>
      </c>
      <c r="K518" s="13">
        <f>INDEX(Foderstater!$X$64:$AL$101,MATCH(F518,Foderstater!$U$64:$U$101,0),MATCH(A518&amp;C518&amp;E518,Foderstater!$X$63:$AL$63,0))</f>
        <v>1.338045660068792</v>
      </c>
      <c r="L518" s="158"/>
      <c r="M518" s="158"/>
    </row>
    <row r="519" spans="1:13" x14ac:dyDescent="0.25">
      <c r="A519" t="s">
        <v>2</v>
      </c>
      <c r="D519" s="110"/>
      <c r="E519" s="110" t="s">
        <v>34</v>
      </c>
      <c r="F519" t="str">
        <f>Foderstater!U$78</f>
        <v>rapeseed</v>
      </c>
      <c r="J519" t="s">
        <v>310</v>
      </c>
      <c r="K519" s="13">
        <f>INDEX(Foderstater!$X$64:$AL$101,MATCH(F519,Foderstater!$U$64:$U$101,0),MATCH(A519&amp;C519&amp;E519,Foderstater!$X$63:$AL$63,0))</f>
        <v>0.62589622193442496</v>
      </c>
      <c r="L519" s="158"/>
      <c r="M519" s="158"/>
    </row>
    <row r="520" spans="1:13" x14ac:dyDescent="0.25">
      <c r="A520" t="s">
        <v>2</v>
      </c>
      <c r="D520" s="110"/>
      <c r="E520" s="110" t="s">
        <v>34</v>
      </c>
      <c r="F520" t="str">
        <f>Foderstater!U$79</f>
        <v>linseed</v>
      </c>
      <c r="J520" t="s">
        <v>310</v>
      </c>
      <c r="K520" s="13">
        <f>INDEX(Foderstater!$X$64:$AL$101,MATCH(F520,Foderstater!$U$64:$U$101,0),MATCH(A520&amp;C520&amp;E520,Foderstater!$X$63:$AL$63,0))</f>
        <v>4.6169784916729557E-4</v>
      </c>
      <c r="L520" s="158"/>
      <c r="M520" s="158"/>
    </row>
    <row r="521" spans="1:13" x14ac:dyDescent="0.25">
      <c r="A521" t="s">
        <v>2</v>
      </c>
      <c r="D521" s="110"/>
      <c r="E521" s="110" t="s">
        <v>34</v>
      </c>
      <c r="F521" t="str">
        <f>Foderstater!U$80</f>
        <v>vegetable oils</v>
      </c>
      <c r="J521" t="s">
        <v>310</v>
      </c>
      <c r="K521" s="13">
        <f>INDEX(Foderstater!$X$64:$AL$101,MATCH(F521,Foderstater!$U$64:$U$101,0),MATCH(A521&amp;C521&amp;E521,Foderstater!$X$63:$AL$63,0))</f>
        <v>1.1919625156141098E-2</v>
      </c>
      <c r="L521" s="158"/>
      <c r="M521" s="158"/>
    </row>
    <row r="522" spans="1:13" x14ac:dyDescent="0.25">
      <c r="A522" t="s">
        <v>2</v>
      </c>
      <c r="D522" s="110"/>
      <c r="E522" s="110" t="s">
        <v>34</v>
      </c>
      <c r="F522" t="str">
        <f>Foderstater!U$81</f>
        <v>soybeans</v>
      </c>
      <c r="J522" t="s">
        <v>310</v>
      </c>
      <c r="K522" s="13">
        <f>INDEX(Foderstater!$X$64:$AL$101,MATCH(F522,Foderstater!$U$64:$U$101,0),MATCH(A522&amp;C522&amp;E522,Foderstater!$X$63:$AL$63,0))</f>
        <v>1.1648220822436621E-2</v>
      </c>
      <c r="L522" s="158"/>
      <c r="M522" s="158"/>
    </row>
    <row r="523" spans="1:13" x14ac:dyDescent="0.25">
      <c r="A523" t="s">
        <v>2</v>
      </c>
      <c r="D523" s="110"/>
      <c r="E523" s="110" t="s">
        <v>34</v>
      </c>
      <c r="F523" t="str">
        <f>Foderstater!U$82</f>
        <v>soybean meal</v>
      </c>
      <c r="J523" t="s">
        <v>310</v>
      </c>
      <c r="K523" s="13">
        <f>INDEX(Foderstater!$X$64:$AL$101,MATCH(F523,Foderstater!$U$64:$U$101,0),MATCH(A523&amp;C523&amp;E523,Foderstater!$X$63:$AL$63,0))</f>
        <v>0.10640217529505162</v>
      </c>
      <c r="L523" s="158"/>
      <c r="M523" s="158"/>
    </row>
    <row r="524" spans="1:13" x14ac:dyDescent="0.25">
      <c r="A524" t="s">
        <v>2</v>
      </c>
      <c r="D524" s="110"/>
      <c r="E524" s="110" t="s">
        <v>34</v>
      </c>
      <c r="F524" t="str">
        <f>Foderstater!U$83</f>
        <v>soybean protein concentrate</v>
      </c>
      <c r="J524" t="s">
        <v>310</v>
      </c>
      <c r="K524" s="13">
        <f>INDEX(Foderstater!$X$64:$AL$101,MATCH(F524,Foderstater!$U$64:$U$101,0),MATCH(A524&amp;C524&amp;E524,Foderstater!$X$63:$AL$63,0))</f>
        <v>0</v>
      </c>
      <c r="L524" s="158"/>
      <c r="M524" s="158"/>
    </row>
    <row r="525" spans="1:13" x14ac:dyDescent="0.25">
      <c r="A525" t="s">
        <v>2</v>
      </c>
      <c r="B525" t="s">
        <v>1</v>
      </c>
      <c r="D525" s="110"/>
      <c r="E525" s="110" t="s">
        <v>34</v>
      </c>
      <c r="F525" t="str">
        <f>Foderstater!U$84</f>
        <v>rapeseed meal</v>
      </c>
      <c r="J525" t="s">
        <v>310</v>
      </c>
      <c r="K525" s="13">
        <f>INDEX(Foderstater!$X$64:$AL$101,MATCH(F525,Foderstater!$U$64:$U$101,0),MATCH(A525&amp;C525&amp;E525,Foderstater!$X$63:$AL$63,0))</f>
        <v>0.82181132264384626</v>
      </c>
      <c r="L525" s="158"/>
      <c r="M525" s="158"/>
    </row>
    <row r="526" spans="1:13" x14ac:dyDescent="0.25">
      <c r="A526" s="268" t="str">
        <f>A525</f>
        <v>dairy</v>
      </c>
      <c r="B526" s="268" t="s">
        <v>5</v>
      </c>
      <c r="D526" s="268"/>
      <c r="E526" s="268" t="str">
        <f>E525</f>
        <v>bulls</v>
      </c>
      <c r="F526" s="268" t="s">
        <v>609</v>
      </c>
      <c r="J526" s="268" t="str">
        <f>J525</f>
        <v>share_in_ration</v>
      </c>
      <c r="K526" s="269">
        <f>K525</f>
        <v>0.82181132264384626</v>
      </c>
      <c r="L526" s="158"/>
      <c r="M526" s="268" t="s">
        <v>610</v>
      </c>
    </row>
    <row r="527" spans="1:13" x14ac:dyDescent="0.25">
      <c r="A527" t="s">
        <v>2</v>
      </c>
      <c r="D527" s="110"/>
      <c r="E527" s="110" t="s">
        <v>34</v>
      </c>
      <c r="F527" t="str">
        <f>Foderstater!U$85</f>
        <v>sunflower seed meal</v>
      </c>
      <c r="J527" t="s">
        <v>310</v>
      </c>
      <c r="K527" s="13">
        <f>INDEX(Foderstater!$X$64:$AL$101,MATCH(F527,Foderstater!$U$64:$U$101,0),MATCH(A527&amp;C527&amp;E527,Foderstater!$X$63:$AL$63,0))</f>
        <v>1.1352527964985915E-2</v>
      </c>
    </row>
    <row r="528" spans="1:13" x14ac:dyDescent="0.25">
      <c r="A528" t="s">
        <v>2</v>
      </c>
      <c r="D528" s="110"/>
      <c r="E528" s="110" t="s">
        <v>34</v>
      </c>
      <c r="F528" t="str">
        <f>Foderstater!U$86</f>
        <v>palm kernel expeller</v>
      </c>
      <c r="J528" t="s">
        <v>310</v>
      </c>
      <c r="K528" s="13">
        <f>INDEX(Foderstater!$X$64:$AL$101,MATCH(F528,Foderstater!$U$64:$U$101,0),MATCH(A528&amp;C528&amp;E528,Foderstater!$X$63:$AL$63,0))</f>
        <v>7.3767808934127849E-2</v>
      </c>
    </row>
    <row r="529" spans="1:13" x14ac:dyDescent="0.25">
      <c r="A529" t="s">
        <v>2</v>
      </c>
      <c r="D529" s="110"/>
      <c r="E529" s="110" t="s">
        <v>34</v>
      </c>
      <c r="F529" t="str">
        <f>Foderstater!U$87</f>
        <v>luzern meal</v>
      </c>
      <c r="J529" t="s">
        <v>310</v>
      </c>
      <c r="K529" s="13">
        <f>INDEX(Foderstater!$X$64:$AL$101,MATCH(F529,Foderstater!$U$64:$U$101,0),MATCH(A529&amp;C529&amp;E529,Foderstater!$X$63:$AL$63,0))</f>
        <v>2.2439357471687103E-2</v>
      </c>
    </row>
    <row r="530" spans="1:13" x14ac:dyDescent="0.25">
      <c r="A530" t="s">
        <v>2</v>
      </c>
      <c r="D530" s="110"/>
      <c r="E530" s="110" t="s">
        <v>34</v>
      </c>
      <c r="F530" t="str">
        <f>Foderstater!U$88</f>
        <v>wheat bran</v>
      </c>
      <c r="J530" t="s">
        <v>310</v>
      </c>
      <c r="K530" s="13">
        <f>INDEX(Foderstater!$X$64:$AL$101,MATCH(F530,Foderstater!$U$64:$U$101,0),MATCH(A530&amp;C530&amp;E530,Foderstater!$X$63:$AL$63,0))</f>
        <v>0.24447981374416825</v>
      </c>
    </row>
    <row r="531" spans="1:13" x14ac:dyDescent="0.25">
      <c r="A531" t="s">
        <v>2</v>
      </c>
      <c r="D531" s="110"/>
      <c r="E531" s="110" t="s">
        <v>34</v>
      </c>
      <c r="F531" t="str">
        <f>Foderstater!U$89</f>
        <v>wheat bran, fine</v>
      </c>
      <c r="J531" t="s">
        <v>310</v>
      </c>
      <c r="K531" s="13">
        <f>INDEX(Foderstater!$X$64:$AL$101,MATCH(F531,Foderstater!$U$64:$U$101,0),MATCH(A531&amp;C531&amp;E531,Foderstater!$X$63:$AL$63,0))</f>
        <v>6.4088803948898038E-4</v>
      </c>
    </row>
    <row r="532" spans="1:13" x14ac:dyDescent="0.25">
      <c r="A532" t="s">
        <v>2</v>
      </c>
      <c r="D532" s="110"/>
      <c r="E532" s="110" t="s">
        <v>34</v>
      </c>
      <c r="F532" t="str">
        <f>Foderstater!U$90</f>
        <v>oat hulls</v>
      </c>
      <c r="J532" t="s">
        <v>310</v>
      </c>
      <c r="K532" s="13">
        <f>INDEX(Foderstater!$X$64:$AL$101,MATCH(F532,Foderstater!$U$64:$U$101,0),MATCH(A532&amp;C532&amp;E532,Foderstater!$X$63:$AL$63,0))</f>
        <v>2.9445216367475335E-2</v>
      </c>
    </row>
    <row r="533" spans="1:13" x14ac:dyDescent="0.25">
      <c r="A533" t="s">
        <v>2</v>
      </c>
      <c r="D533" s="110"/>
      <c r="E533" s="110" t="s">
        <v>34</v>
      </c>
      <c r="F533" t="str">
        <f>Foderstater!U$91</f>
        <v>oat bran</v>
      </c>
      <c r="J533" t="s">
        <v>310</v>
      </c>
      <c r="K533" s="13">
        <f>INDEX(Foderstater!$X$64:$AL$101,MATCH(F533,Foderstater!$U$64:$U$101,0),MATCH(A533&amp;C533&amp;E533,Foderstater!$X$63:$AL$63,0))</f>
        <v>3.3232252147418258E-3</v>
      </c>
    </row>
    <row r="534" spans="1:13" x14ac:dyDescent="0.25">
      <c r="A534" t="s">
        <v>2</v>
      </c>
      <c r="D534" s="110"/>
      <c r="E534" s="110" t="s">
        <v>34</v>
      </c>
      <c r="F534" t="str">
        <f>Foderstater!U$92</f>
        <v>rye bran</v>
      </c>
      <c r="J534" t="s">
        <v>310</v>
      </c>
      <c r="K534" s="13">
        <f>INDEX(Foderstater!$X$64:$AL$101,MATCH(F534,Foderstater!$U$64:$U$101,0),MATCH(A534&amp;C534&amp;E534,Foderstater!$X$63:$AL$63,0))</f>
        <v>1.0248862586385358E-2</v>
      </c>
    </row>
    <row r="535" spans="1:13" x14ac:dyDescent="0.25">
      <c r="A535" t="s">
        <v>2</v>
      </c>
      <c r="D535" s="110"/>
      <c r="E535" s="110" t="s">
        <v>34</v>
      </c>
      <c r="F535" t="str">
        <f>Foderstater!U$93</f>
        <v>wheat distillers grain, dry</v>
      </c>
      <c r="J535" t="s">
        <v>310</v>
      </c>
      <c r="K535" s="13">
        <f>INDEX(Foderstater!$X$64:$AL$101,MATCH(F535,Foderstater!$U$64:$U$101,0),MATCH(A535&amp;C535&amp;E535,Foderstater!$X$63:$AL$63,0))</f>
        <v>0.2627925741632976</v>
      </c>
    </row>
    <row r="536" spans="1:13" x14ac:dyDescent="0.25">
      <c r="A536" t="s">
        <v>2</v>
      </c>
      <c r="D536" s="110"/>
      <c r="E536" s="110" t="s">
        <v>34</v>
      </c>
      <c r="F536" t="str">
        <f>Foderstater!U$94</f>
        <v>barley brewers grain</v>
      </c>
      <c r="J536" t="s">
        <v>310</v>
      </c>
      <c r="K536" s="13">
        <f>INDEX(Foderstater!$X$64:$AL$101,MATCH(F536,Foderstater!$U$64:$U$101,0),MATCH(A536&amp;C536&amp;E536,Foderstater!$X$63:$AL$63,0))</f>
        <v>0</v>
      </c>
    </row>
    <row r="537" spans="1:13" x14ac:dyDescent="0.25">
      <c r="A537" t="s">
        <v>2</v>
      </c>
      <c r="D537" s="110"/>
      <c r="E537" s="110" t="s">
        <v>34</v>
      </c>
      <c r="F537" t="str">
        <f>Foderstater!U$95</f>
        <v>maize gluten meal</v>
      </c>
      <c r="J537" t="s">
        <v>310</v>
      </c>
      <c r="K537" s="13">
        <f>INDEX(Foderstater!$X$64:$AL$101,MATCH(F537,Foderstater!$U$64:$U$101,0),MATCH(A537&amp;C537&amp;E537,Foderstater!$X$63:$AL$63,0))</f>
        <v>7.940766583314298E-3</v>
      </c>
    </row>
    <row r="538" spans="1:13" x14ac:dyDescent="0.25">
      <c r="A538" t="s">
        <v>2</v>
      </c>
      <c r="D538" s="110"/>
      <c r="E538" s="110" t="s">
        <v>34</v>
      </c>
      <c r="F538" t="str">
        <f>Foderstater!U$96</f>
        <v>sugar beet molasses</v>
      </c>
      <c r="J538" t="s">
        <v>310</v>
      </c>
      <c r="K538" s="13">
        <f>INDEX(Foderstater!$X$64:$AL$101,MATCH(F538,Foderstater!$U$64:$U$101,0),MATCH(A538&amp;C538&amp;E538,Foderstater!$X$63:$AL$63,0))</f>
        <v>8.8058285727207697E-2</v>
      </c>
    </row>
    <row r="539" spans="1:13" x14ac:dyDescent="0.25">
      <c r="A539" t="s">
        <v>2</v>
      </c>
      <c r="D539" s="110"/>
      <c r="E539" s="110" t="s">
        <v>34</v>
      </c>
      <c r="F539" t="str">
        <f>Foderstater!U$97</f>
        <v>sugar beet pulp</v>
      </c>
      <c r="J539" t="s">
        <v>310</v>
      </c>
      <c r="K539" s="13">
        <f>INDEX(Foderstater!$X$64:$AL$101,MATCH(F539,Foderstater!$U$64:$U$101,0),MATCH(A539&amp;C539&amp;E539,Foderstater!$X$63:$AL$63,0))</f>
        <v>0.16991542733333806</v>
      </c>
    </row>
    <row r="540" spans="1:13" x14ac:dyDescent="0.25">
      <c r="A540" t="s">
        <v>2</v>
      </c>
      <c r="D540" s="110"/>
      <c r="E540" s="110" t="s">
        <v>34</v>
      </c>
      <c r="F540" t="str">
        <f>Foderstater!U$98</f>
        <v>whey powder</v>
      </c>
      <c r="J540" t="s">
        <v>310</v>
      </c>
      <c r="K540" s="13">
        <f>INDEX(Foderstater!$X$64:$AL$101,MATCH(F540,Foderstater!$U$64:$U$101,0),MATCH(A540&amp;C540&amp;E540,Foderstater!$X$63:$AL$63,0))</f>
        <v>0</v>
      </c>
    </row>
    <row r="541" spans="1:13" x14ac:dyDescent="0.25">
      <c r="A541" t="s">
        <v>2</v>
      </c>
      <c r="D541" s="110"/>
      <c r="E541" s="110" t="s">
        <v>34</v>
      </c>
      <c r="F541" t="str">
        <f>Foderstater!U$99</f>
        <v>potatoe protein</v>
      </c>
      <c r="J541" t="s">
        <v>310</v>
      </c>
      <c r="K541" s="13">
        <f>INDEX(Foderstater!$X$64:$AL$101,MATCH(F541,Foderstater!$U$64:$U$101,0),MATCH(A541&amp;C541&amp;E541,Foderstater!$X$63:$AL$63,0))</f>
        <v>7.7791643684418715E-4</v>
      </c>
    </row>
    <row r="542" spans="1:13" x14ac:dyDescent="0.25">
      <c r="A542" t="s">
        <v>2</v>
      </c>
      <c r="D542" s="110"/>
      <c r="E542" s="110" t="s">
        <v>34</v>
      </c>
      <c r="F542" t="str">
        <f>Foderstater!U$100</f>
        <v>fish meal</v>
      </c>
      <c r="J542" t="s">
        <v>310</v>
      </c>
      <c r="K542" s="13">
        <f>INDEX(Foderstater!$X$64:$AL$101,MATCH(F542,Foderstater!$U$64:$U$101,0),MATCH(A542&amp;C542&amp;E542,Foderstater!$X$63:$AL$63,0))</f>
        <v>0</v>
      </c>
    </row>
    <row r="543" spans="1:13" x14ac:dyDescent="0.25">
      <c r="A543" t="s">
        <v>2</v>
      </c>
      <c r="D543" s="110"/>
      <c r="E543" s="110" t="s">
        <v>34</v>
      </c>
      <c r="F543" t="str">
        <f>Foderstater!U$101</f>
        <v>minerals</v>
      </c>
      <c r="J543" t="s">
        <v>310</v>
      </c>
      <c r="K543" s="13">
        <f>INDEX(Foderstater!$X$64:$AL$101,MATCH(F543,Foderstater!$U$64:$U$101,0),MATCH(A543&amp;C543&amp;E543,Foderstater!$X$63:$AL$63,0))</f>
        <v>0.66953698870828937</v>
      </c>
    </row>
    <row r="544" spans="1:13" x14ac:dyDescent="0.25">
      <c r="A544" s="158"/>
      <c r="B544" s="158"/>
      <c r="C544" s="158"/>
      <c r="D544" s="158"/>
      <c r="E544" s="158"/>
      <c r="J544" s="158"/>
      <c r="K544" s="158"/>
      <c r="L544" s="158"/>
      <c r="M544" s="158"/>
    </row>
    <row r="545" spans="1:13" x14ac:dyDescent="0.25">
      <c r="A545" s="158" t="s">
        <v>2</v>
      </c>
      <c r="B545" s="158" t="s">
        <v>1</v>
      </c>
      <c r="C545" s="158" t="s">
        <v>407</v>
      </c>
      <c r="D545" s="158"/>
      <c r="E545" s="158" t="s">
        <v>34</v>
      </c>
      <c r="J545" s="158" t="s">
        <v>310</v>
      </c>
      <c r="K545" s="158">
        <v>0</v>
      </c>
      <c r="L545" s="158"/>
      <c r="M545" s="158" t="s">
        <v>401</v>
      </c>
    </row>
    <row r="546" spans="1:13" x14ac:dyDescent="0.25">
      <c r="A546" t="s">
        <v>2</v>
      </c>
      <c r="B546" t="s">
        <v>1</v>
      </c>
      <c r="C546" t="s">
        <v>407</v>
      </c>
      <c r="D546" s="110"/>
      <c r="E546" s="110" t="s">
        <v>34</v>
      </c>
      <c r="F546" t="str">
        <f>Foderstater!U$64</f>
        <v>ley silage, 1st cut</v>
      </c>
      <c r="J546" t="s">
        <v>310</v>
      </c>
      <c r="K546" s="13">
        <f>INDEX(Foderstater!$X$64:$AL$101,MATCH(F546,Foderstater!$U$64:$U$101,0),MATCH(A546&amp;C546&amp;E546,Foderstater!$X$63:$AL$63,0))</f>
        <v>56.668911580722877</v>
      </c>
      <c r="L546" s="158"/>
      <c r="M546" s="158"/>
    </row>
    <row r="547" spans="1:13" x14ac:dyDescent="0.25">
      <c r="A547" t="s">
        <v>2</v>
      </c>
      <c r="B547" t="s">
        <v>1</v>
      </c>
      <c r="C547" t="s">
        <v>407</v>
      </c>
      <c r="D547" s="110"/>
      <c r="E547" s="110" t="s">
        <v>34</v>
      </c>
      <c r="F547" t="str">
        <f>Foderstater!U$65</f>
        <v>ley silage, regrowth</v>
      </c>
      <c r="J547" t="s">
        <v>310</v>
      </c>
      <c r="K547" s="13">
        <f>INDEX(Foderstater!$X$64:$AL$101,MATCH(F547,Foderstater!$U$64:$U$101,0),MATCH(A547&amp;C547&amp;E547,Foderstater!$X$63:$AL$63,0))</f>
        <v>0</v>
      </c>
      <c r="L547" s="158"/>
      <c r="M547" s="158"/>
    </row>
    <row r="548" spans="1:13" x14ac:dyDescent="0.25">
      <c r="A548" t="s">
        <v>2</v>
      </c>
      <c r="B548" t="s">
        <v>1</v>
      </c>
      <c r="C548" t="s">
        <v>407</v>
      </c>
      <c r="D548" s="110"/>
      <c r="E548" s="110" t="s">
        <v>34</v>
      </c>
      <c r="F548" t="str">
        <f>Foderstater!U$66</f>
        <v>other silage</v>
      </c>
      <c r="J548" t="s">
        <v>310</v>
      </c>
      <c r="K548" s="13">
        <f>INDEX(Foderstater!$X$64:$AL$101,MATCH(F548,Foderstater!$U$64:$U$101,0),MATCH(A548&amp;C548&amp;E548,Foderstater!$X$63:$AL$63,0))</f>
        <v>0</v>
      </c>
      <c r="L548" s="158"/>
      <c r="M548" s="158"/>
    </row>
    <row r="549" spans="1:13" x14ac:dyDescent="0.25">
      <c r="A549" t="s">
        <v>2</v>
      </c>
      <c r="B549" t="s">
        <v>1</v>
      </c>
      <c r="C549" t="s">
        <v>407</v>
      </c>
      <c r="D549" s="110"/>
      <c r="E549" s="110" t="s">
        <v>34</v>
      </c>
      <c r="F549" t="str">
        <f>Foderstater!U$67</f>
        <v>maize silage</v>
      </c>
      <c r="J549" t="s">
        <v>310</v>
      </c>
      <c r="K549" s="13">
        <f>INDEX(Foderstater!$X$64:$AL$101,MATCH(F549,Foderstater!$U$64:$U$101,0),MATCH(A549&amp;C549&amp;E549,Foderstater!$X$63:$AL$63,0))</f>
        <v>13.226790925693349</v>
      </c>
      <c r="L549" s="158"/>
      <c r="M549" s="158"/>
    </row>
    <row r="550" spans="1:13" x14ac:dyDescent="0.25">
      <c r="A550" t="s">
        <v>2</v>
      </c>
      <c r="B550" t="s">
        <v>1</v>
      </c>
      <c r="C550" t="s">
        <v>407</v>
      </c>
      <c r="D550" s="110"/>
      <c r="E550" s="110" t="s">
        <v>34</v>
      </c>
      <c r="F550" t="str">
        <f>Foderstater!U$68</f>
        <v>straw</v>
      </c>
      <c r="J550" t="s">
        <v>310</v>
      </c>
      <c r="K550" s="13">
        <f>INDEX(Foderstater!$X$64:$AL$101,MATCH(F550,Foderstater!$U$64:$U$101,0),MATCH(A550&amp;C550&amp;E550,Foderstater!$X$63:$AL$63,0))</f>
        <v>0</v>
      </c>
      <c r="L550" s="158"/>
      <c r="M550" s="158"/>
    </row>
    <row r="551" spans="1:13" x14ac:dyDescent="0.25">
      <c r="A551" t="s">
        <v>2</v>
      </c>
      <c r="B551" t="s">
        <v>1</v>
      </c>
      <c r="C551" t="s">
        <v>407</v>
      </c>
      <c r="D551" s="110"/>
      <c r="E551" s="110" t="s">
        <v>34</v>
      </c>
      <c r="F551" t="str">
        <f>Foderstater!U$69</f>
        <v>grazing</v>
      </c>
      <c r="J551" t="s">
        <v>310</v>
      </c>
      <c r="K551" s="13">
        <f>INDEX(Foderstater!$X$64:$AL$101,MATCH(F551,Foderstater!$U$64:$U$101,0),MATCH(A551&amp;C551&amp;E551,Foderstater!$X$63:$AL$63,0))</f>
        <v>0</v>
      </c>
      <c r="L551" s="158"/>
      <c r="M551" s="158"/>
    </row>
    <row r="552" spans="1:13" x14ac:dyDescent="0.25">
      <c r="A552" t="s">
        <v>2</v>
      </c>
      <c r="B552" t="s">
        <v>1</v>
      </c>
      <c r="C552" t="s">
        <v>407</v>
      </c>
      <c r="D552" s="110"/>
      <c r="E552" s="110" t="s">
        <v>34</v>
      </c>
      <c r="F552" t="str">
        <f>Foderstater!U$70</f>
        <v>wheat</v>
      </c>
      <c r="J552" t="s">
        <v>310</v>
      </c>
      <c r="K552" s="13">
        <f>INDEX(Foderstater!$X$64:$AL$101,MATCH(F552,Foderstater!$U$64:$U$101,0),MATCH(A552&amp;C552&amp;E552,Foderstater!$X$63:$AL$63,0))</f>
        <v>6.3615760162052783</v>
      </c>
      <c r="L552" s="158"/>
      <c r="M552" s="158"/>
    </row>
    <row r="553" spans="1:13" x14ac:dyDescent="0.25">
      <c r="A553" t="s">
        <v>2</v>
      </c>
      <c r="B553" t="s">
        <v>1</v>
      </c>
      <c r="C553" t="s">
        <v>407</v>
      </c>
      <c r="D553" s="110"/>
      <c r="E553" s="110" t="s">
        <v>34</v>
      </c>
      <c r="F553" t="str">
        <f>Foderstater!U$71</f>
        <v>barley</v>
      </c>
      <c r="J553" t="s">
        <v>310</v>
      </c>
      <c r="K553" s="13">
        <f>INDEX(Foderstater!$X$64:$AL$101,MATCH(F553,Foderstater!$U$64:$U$101,0),MATCH(A553&amp;C553&amp;E553,Foderstater!$X$63:$AL$63,0))</f>
        <v>12.896189928777954</v>
      </c>
      <c r="L553" s="158"/>
      <c r="M553" s="158"/>
    </row>
    <row r="554" spans="1:13" x14ac:dyDescent="0.25">
      <c r="A554" t="s">
        <v>2</v>
      </c>
      <c r="B554" t="s">
        <v>1</v>
      </c>
      <c r="C554" t="s">
        <v>407</v>
      </c>
      <c r="D554" s="110"/>
      <c r="E554" s="110" t="s">
        <v>34</v>
      </c>
      <c r="F554" t="str">
        <f>Foderstater!U$72</f>
        <v>oats</v>
      </c>
      <c r="J554" t="s">
        <v>310</v>
      </c>
      <c r="K554" s="13">
        <f>INDEX(Foderstater!$X$64:$AL$101,MATCH(F554,Foderstater!$U$64:$U$101,0),MATCH(A554&amp;C554&amp;E554,Foderstater!$X$63:$AL$63,0))</f>
        <v>2.68903535703005</v>
      </c>
      <c r="L554" s="158"/>
      <c r="M554" s="158"/>
    </row>
    <row r="555" spans="1:13" x14ac:dyDescent="0.25">
      <c r="A555" t="s">
        <v>2</v>
      </c>
      <c r="B555" t="s">
        <v>1</v>
      </c>
      <c r="C555" t="s">
        <v>407</v>
      </c>
      <c r="D555" s="110"/>
      <c r="E555" s="110" t="s">
        <v>34</v>
      </c>
      <c r="F555" t="str">
        <f>Foderstater!U$73</f>
        <v>triticale</v>
      </c>
      <c r="J555" t="s">
        <v>310</v>
      </c>
      <c r="K555" s="13">
        <f>INDEX(Foderstater!$X$64:$AL$101,MATCH(F555,Foderstater!$U$64:$U$101,0),MATCH(A555&amp;C555&amp;E555,Foderstater!$X$63:$AL$63,0))</f>
        <v>4.9410321920692617</v>
      </c>
      <c r="L555" s="158"/>
      <c r="M555" s="158"/>
    </row>
    <row r="556" spans="1:13" x14ac:dyDescent="0.25">
      <c r="A556" t="s">
        <v>2</v>
      </c>
      <c r="B556" t="s">
        <v>1</v>
      </c>
      <c r="C556" t="s">
        <v>407</v>
      </c>
      <c r="D556" s="110"/>
      <c r="E556" s="110" t="s">
        <v>34</v>
      </c>
      <c r="F556" t="str">
        <f>Foderstater!U$74</f>
        <v>rye</v>
      </c>
      <c r="J556" t="s">
        <v>310</v>
      </c>
      <c r="K556" s="13">
        <f>INDEX(Foderstater!$X$64:$AL$101,MATCH(F556,Foderstater!$U$64:$U$101,0),MATCH(A556&amp;C556&amp;E556,Foderstater!$X$63:$AL$63,0))</f>
        <v>1.3668084713412143E-3</v>
      </c>
      <c r="L556" s="158"/>
      <c r="M556" s="158"/>
    </row>
    <row r="557" spans="1:13" x14ac:dyDescent="0.25">
      <c r="A557" t="s">
        <v>2</v>
      </c>
      <c r="B557" t="s">
        <v>1</v>
      </c>
      <c r="C557" t="s">
        <v>407</v>
      </c>
      <c r="D557" s="110"/>
      <c r="E557" s="110" t="s">
        <v>34</v>
      </c>
      <c r="F557" t="str">
        <f>Foderstater!U$75</f>
        <v>maize</v>
      </c>
      <c r="J557" t="s">
        <v>310</v>
      </c>
      <c r="K557" s="13">
        <f>INDEX(Foderstater!$X$64:$AL$101,MATCH(F557,Foderstater!$U$64:$U$101,0),MATCH(A557&amp;C557&amp;E557,Foderstater!$X$63:$AL$63,0))</f>
        <v>4.8255588786707375E-2</v>
      </c>
      <c r="L557" s="158"/>
      <c r="M557" s="158"/>
    </row>
    <row r="558" spans="1:13" x14ac:dyDescent="0.25">
      <c r="A558" t="s">
        <v>2</v>
      </c>
      <c r="B558" t="s">
        <v>1</v>
      </c>
      <c r="C558" t="s">
        <v>407</v>
      </c>
      <c r="D558" s="110"/>
      <c r="E558" s="110" t="s">
        <v>34</v>
      </c>
      <c r="F558" t="str">
        <f>Foderstater!U$76</f>
        <v>peas</v>
      </c>
      <c r="J558" t="s">
        <v>310</v>
      </c>
      <c r="K558" s="13">
        <f>INDEX(Foderstater!$X$64:$AL$101,MATCH(F558,Foderstater!$U$64:$U$101,0),MATCH(A558&amp;C558&amp;E558,Foderstater!$X$63:$AL$63,0))</f>
        <v>0.43086866195785822</v>
      </c>
      <c r="L558" s="158"/>
      <c r="M558" s="158"/>
    </row>
    <row r="559" spans="1:13" x14ac:dyDescent="0.25">
      <c r="A559" t="s">
        <v>2</v>
      </c>
      <c r="B559" t="s">
        <v>1</v>
      </c>
      <c r="C559" t="s">
        <v>407</v>
      </c>
      <c r="D559" s="110"/>
      <c r="E559" s="110" t="s">
        <v>34</v>
      </c>
      <c r="F559" t="str">
        <f>Foderstater!U$77</f>
        <v>broad beans</v>
      </c>
      <c r="J559" t="s">
        <v>310</v>
      </c>
      <c r="K559" s="13">
        <f>INDEX(Foderstater!$X$64:$AL$101,MATCH(F559,Foderstater!$U$64:$U$101,0),MATCH(A559&amp;C559&amp;E559,Foderstater!$X$63:$AL$63,0))</f>
        <v>0.42774566708132739</v>
      </c>
      <c r="L559" s="158"/>
      <c r="M559" s="158"/>
    </row>
    <row r="560" spans="1:13" x14ac:dyDescent="0.25">
      <c r="A560" t="s">
        <v>2</v>
      </c>
      <c r="B560" t="s">
        <v>1</v>
      </c>
      <c r="C560" t="s">
        <v>407</v>
      </c>
      <c r="D560" s="110"/>
      <c r="E560" s="110" t="s">
        <v>34</v>
      </c>
      <c r="F560" t="str">
        <f>Foderstater!U$78</f>
        <v>rapeseed</v>
      </c>
      <c r="J560" t="s">
        <v>310</v>
      </c>
      <c r="K560" s="13">
        <f>INDEX(Foderstater!$X$64:$AL$101,MATCH(F560,Foderstater!$U$64:$U$101,0),MATCH(A560&amp;C560&amp;E560,Foderstater!$X$63:$AL$63,0))</f>
        <v>0.41024818659446338</v>
      </c>
      <c r="L560" s="158"/>
      <c r="M560" s="158"/>
    </row>
    <row r="561" spans="1:13" x14ac:dyDescent="0.25">
      <c r="A561" t="s">
        <v>2</v>
      </c>
      <c r="B561" t="s">
        <v>1</v>
      </c>
      <c r="C561" t="s">
        <v>407</v>
      </c>
      <c r="D561" s="110"/>
      <c r="E561" s="110" t="s">
        <v>34</v>
      </c>
      <c r="F561" t="str">
        <f>Foderstater!U$79</f>
        <v>linseed</v>
      </c>
      <c r="J561" t="s">
        <v>310</v>
      </c>
      <c r="K561" s="13">
        <f>INDEX(Foderstater!$X$64:$AL$101,MATCH(F561,Foderstater!$U$64:$U$101,0),MATCH(A561&amp;C561&amp;E561,Foderstater!$X$63:$AL$63,0))</f>
        <v>3.0262318054907772E-4</v>
      </c>
      <c r="L561" s="158"/>
      <c r="M561" s="158"/>
    </row>
    <row r="562" spans="1:13" x14ac:dyDescent="0.25">
      <c r="A562" t="s">
        <v>2</v>
      </c>
      <c r="B562" t="s">
        <v>1</v>
      </c>
      <c r="C562" t="s">
        <v>407</v>
      </c>
      <c r="D562" s="110"/>
      <c r="E562" s="110" t="s">
        <v>34</v>
      </c>
      <c r="F562" t="str">
        <f>Foderstater!U$80</f>
        <v>vegetable oils</v>
      </c>
      <c r="J562" t="s">
        <v>310</v>
      </c>
      <c r="K562" s="13">
        <f>INDEX(Foderstater!$X$64:$AL$101,MATCH(F562,Foderstater!$U$64:$U$101,0),MATCH(A562&amp;C562&amp;E562,Foderstater!$X$63:$AL$63,0))</f>
        <v>7.8128041579790201E-3</v>
      </c>
      <c r="L562" s="158"/>
      <c r="M562" s="158"/>
    </row>
    <row r="563" spans="1:13" x14ac:dyDescent="0.25">
      <c r="A563" t="s">
        <v>2</v>
      </c>
      <c r="B563" t="s">
        <v>1</v>
      </c>
      <c r="C563" t="s">
        <v>407</v>
      </c>
      <c r="D563" s="110"/>
      <c r="E563" s="110" t="s">
        <v>34</v>
      </c>
      <c r="F563" t="str">
        <f>Foderstater!U$81</f>
        <v>soybeans</v>
      </c>
      <c r="J563" t="s">
        <v>310</v>
      </c>
      <c r="K563" s="13">
        <f>INDEX(Foderstater!$X$64:$AL$101,MATCH(F563,Foderstater!$U$64:$U$101,0),MATCH(A563&amp;C563&amp;E563,Foderstater!$X$63:$AL$63,0))</f>
        <v>7.6349102327017302E-3</v>
      </c>
      <c r="L563" s="158"/>
      <c r="M563" s="158"/>
    </row>
    <row r="564" spans="1:13" x14ac:dyDescent="0.25">
      <c r="A564" t="s">
        <v>2</v>
      </c>
      <c r="B564" t="s">
        <v>1</v>
      </c>
      <c r="C564" t="s">
        <v>407</v>
      </c>
      <c r="D564" s="110"/>
      <c r="E564" s="110" t="s">
        <v>34</v>
      </c>
      <c r="F564" t="str">
        <f>Foderstater!U$82</f>
        <v>soybean meal</v>
      </c>
      <c r="J564" t="s">
        <v>310</v>
      </c>
      <c r="K564" s="13">
        <f>INDEX(Foderstater!$X$64:$AL$101,MATCH(F564,Foderstater!$U$64:$U$101,0),MATCH(A564&amp;C564&amp;E564,Foderstater!$X$63:$AL$63,0))</f>
        <v>6.9742072143510206E-2</v>
      </c>
      <c r="L564" s="158"/>
      <c r="M564" s="158"/>
    </row>
    <row r="565" spans="1:13" x14ac:dyDescent="0.25">
      <c r="A565" t="s">
        <v>2</v>
      </c>
      <c r="B565" t="s">
        <v>1</v>
      </c>
      <c r="C565" t="s">
        <v>407</v>
      </c>
      <c r="D565" s="110"/>
      <c r="E565" s="110" t="s">
        <v>34</v>
      </c>
      <c r="F565" t="str">
        <f>Foderstater!U$83</f>
        <v>soybean protein concentrate</v>
      </c>
      <c r="J565" t="s">
        <v>310</v>
      </c>
      <c r="K565" s="13">
        <f>INDEX(Foderstater!$X$64:$AL$101,MATCH(F565,Foderstater!$U$64:$U$101,0),MATCH(A565&amp;C565&amp;E565,Foderstater!$X$63:$AL$63,0))</f>
        <v>0</v>
      </c>
      <c r="L565" s="158"/>
      <c r="M565" s="158"/>
    </row>
    <row r="566" spans="1:13" x14ac:dyDescent="0.25">
      <c r="A566" t="s">
        <v>2</v>
      </c>
      <c r="B566" t="s">
        <v>1</v>
      </c>
      <c r="C566" t="s">
        <v>407</v>
      </c>
      <c r="D566" s="110"/>
      <c r="E566" s="110" t="s">
        <v>34</v>
      </c>
      <c r="F566" t="str">
        <f>Foderstater!U$84</f>
        <v>rapeseed meal</v>
      </c>
      <c r="J566" t="s">
        <v>310</v>
      </c>
      <c r="K566" s="13">
        <f>INDEX(Foderstater!$X$64:$AL$101,MATCH(F566,Foderstater!$U$64:$U$101,0),MATCH(A566&amp;C566&amp;E566,Foderstater!$X$63:$AL$63,0))</f>
        <v>0.53866215040479692</v>
      </c>
      <c r="L566" s="158"/>
      <c r="M566" s="158"/>
    </row>
    <row r="567" spans="1:13" x14ac:dyDescent="0.25">
      <c r="A567" t="s">
        <v>2</v>
      </c>
      <c r="B567" t="s">
        <v>1</v>
      </c>
      <c r="C567" t="s">
        <v>407</v>
      </c>
      <c r="D567" s="110"/>
      <c r="E567" s="110" t="s">
        <v>34</v>
      </c>
      <c r="F567" t="str">
        <f>Foderstater!U$85</f>
        <v>sunflower seed meal</v>
      </c>
      <c r="J567" t="s">
        <v>310</v>
      </c>
      <c r="K567" s="13">
        <f>INDEX(Foderstater!$X$64:$AL$101,MATCH(F567,Foderstater!$U$64:$U$101,0),MATCH(A567&amp;C567&amp;E567,Foderstater!$X$63:$AL$63,0))</f>
        <v>7.441096219600373E-3</v>
      </c>
    </row>
    <row r="568" spans="1:13" x14ac:dyDescent="0.25">
      <c r="A568" t="s">
        <v>2</v>
      </c>
      <c r="B568" t="s">
        <v>1</v>
      </c>
      <c r="C568" t="s">
        <v>407</v>
      </c>
      <c r="D568" s="110"/>
      <c r="E568" s="110" t="s">
        <v>34</v>
      </c>
      <c r="F568" t="str">
        <f>Foderstater!U$86</f>
        <v>palm kernel expeller</v>
      </c>
      <c r="J568" t="s">
        <v>310</v>
      </c>
      <c r="K568" s="13">
        <f>INDEX(Foderstater!$X$64:$AL$101,MATCH(F568,Foderstater!$U$64:$U$101,0),MATCH(A568&amp;C568&amp;E568,Foderstater!$X$63:$AL$63,0))</f>
        <v>4.8351641667911303E-2</v>
      </c>
    </row>
    <row r="569" spans="1:13" x14ac:dyDescent="0.25">
      <c r="A569" t="s">
        <v>2</v>
      </c>
      <c r="B569" t="s">
        <v>1</v>
      </c>
      <c r="C569" t="s">
        <v>407</v>
      </c>
      <c r="D569" s="110"/>
      <c r="E569" s="110" t="s">
        <v>34</v>
      </c>
      <c r="F569" t="str">
        <f>Foderstater!U$87</f>
        <v>luzern meal</v>
      </c>
      <c r="J569" t="s">
        <v>310</v>
      </c>
      <c r="K569" s="13">
        <f>INDEX(Foderstater!$X$64:$AL$101,MATCH(F569,Foderstater!$U$64:$U$101,0),MATCH(A569&amp;C569&amp;E569,Foderstater!$X$63:$AL$63,0))</f>
        <v>1.4708038471063079E-2</v>
      </c>
    </row>
    <row r="570" spans="1:13" x14ac:dyDescent="0.25">
      <c r="A570" t="s">
        <v>2</v>
      </c>
      <c r="B570" t="s">
        <v>1</v>
      </c>
      <c r="C570" t="s">
        <v>407</v>
      </c>
      <c r="D570" s="110"/>
      <c r="E570" s="110" t="s">
        <v>34</v>
      </c>
      <c r="F570" t="str">
        <f>Foderstater!U$88</f>
        <v>wheat bran</v>
      </c>
      <c r="J570" t="s">
        <v>310</v>
      </c>
      <c r="K570" s="13">
        <f>INDEX(Foderstater!$X$64:$AL$101,MATCH(F570,Foderstater!$U$64:$U$101,0),MATCH(A570&amp;C570&amp;E570,Foderstater!$X$63:$AL$63,0))</f>
        <v>0.16024605474932127</v>
      </c>
    </row>
    <row r="571" spans="1:13" x14ac:dyDescent="0.25">
      <c r="A571" t="s">
        <v>2</v>
      </c>
      <c r="B571" t="s">
        <v>1</v>
      </c>
      <c r="C571" t="s">
        <v>407</v>
      </c>
      <c r="D571" s="110"/>
      <c r="E571" s="110" t="s">
        <v>34</v>
      </c>
      <c r="F571" t="str">
        <f>Foderstater!U$89</f>
        <v>wheat bran, fine</v>
      </c>
      <c r="J571" t="s">
        <v>310</v>
      </c>
      <c r="K571" s="13">
        <f>INDEX(Foderstater!$X$64:$AL$101,MATCH(F571,Foderstater!$U$64:$U$101,0),MATCH(A571&amp;C571&amp;E571,Foderstater!$X$63:$AL$63,0))</f>
        <v>4.2007468138700703E-4</v>
      </c>
    </row>
    <row r="572" spans="1:13" x14ac:dyDescent="0.25">
      <c r="A572" t="s">
        <v>2</v>
      </c>
      <c r="B572" t="s">
        <v>1</v>
      </c>
      <c r="C572" t="s">
        <v>407</v>
      </c>
      <c r="D572" s="110"/>
      <c r="E572" s="110" t="s">
        <v>34</v>
      </c>
      <c r="F572" t="str">
        <f>Foderstater!U$90</f>
        <v>oat hulls</v>
      </c>
      <c r="J572" t="s">
        <v>310</v>
      </c>
      <c r="K572" s="13">
        <f>INDEX(Foderstater!$X$64:$AL$101,MATCH(F572,Foderstater!$U$64:$U$101,0),MATCH(A572&amp;C572&amp;E572,Foderstater!$X$63:$AL$63,0))</f>
        <v>1.9300079142998843E-2</v>
      </c>
    </row>
    <row r="573" spans="1:13" x14ac:dyDescent="0.25">
      <c r="A573" t="s">
        <v>2</v>
      </c>
      <c r="B573" t="s">
        <v>1</v>
      </c>
      <c r="C573" t="s">
        <v>407</v>
      </c>
      <c r="D573" s="110"/>
      <c r="E573" s="110" t="s">
        <v>34</v>
      </c>
      <c r="F573" t="str">
        <f>Foderstater!U$91</f>
        <v>oat bran</v>
      </c>
      <c r="J573" t="s">
        <v>310</v>
      </c>
      <c r="K573" s="13">
        <f>INDEX(Foderstater!$X$64:$AL$101,MATCH(F573,Foderstater!$U$64:$U$101,0),MATCH(A573&amp;C573&amp;E573,Foderstater!$X$63:$AL$63,0))</f>
        <v>2.178231902054312E-3</v>
      </c>
    </row>
    <row r="574" spans="1:13" x14ac:dyDescent="0.25">
      <c r="A574" t="s">
        <v>2</v>
      </c>
      <c r="B574" t="s">
        <v>1</v>
      </c>
      <c r="C574" t="s">
        <v>407</v>
      </c>
      <c r="D574" s="110"/>
      <c r="E574" s="110" t="s">
        <v>34</v>
      </c>
      <c r="F574" t="str">
        <f>Foderstater!U$92</f>
        <v>rye bran</v>
      </c>
      <c r="J574" t="s">
        <v>310</v>
      </c>
      <c r="K574" s="13">
        <f>INDEX(Foderstater!$X$64:$AL$101,MATCH(F574,Foderstater!$U$64:$U$101,0),MATCH(A574&amp;C574&amp;E574,Foderstater!$X$63:$AL$63,0))</f>
        <v>6.7176907982054394E-3</v>
      </c>
    </row>
    <row r="575" spans="1:13" x14ac:dyDescent="0.25">
      <c r="A575" t="s">
        <v>2</v>
      </c>
      <c r="B575" t="s">
        <v>1</v>
      </c>
      <c r="C575" t="s">
        <v>407</v>
      </c>
      <c r="D575" s="110"/>
      <c r="E575" s="110" t="s">
        <v>34</v>
      </c>
      <c r="F575" t="str">
        <f>Foderstater!U$93</f>
        <v>wheat distillers grain, dry</v>
      </c>
      <c r="J575" t="s">
        <v>310</v>
      </c>
      <c r="K575" s="13">
        <f>INDEX(Foderstater!$X$64:$AL$101,MATCH(F575,Foderstater!$U$64:$U$101,0),MATCH(A575&amp;C575&amp;E575,Foderstater!$X$63:$AL$63,0))</f>
        <v>0.17224928546106344</v>
      </c>
    </row>
    <row r="576" spans="1:13" x14ac:dyDescent="0.25">
      <c r="A576" t="s">
        <v>2</v>
      </c>
      <c r="B576" t="s">
        <v>1</v>
      </c>
      <c r="C576" t="s">
        <v>407</v>
      </c>
      <c r="D576" s="110"/>
      <c r="E576" s="110" t="s">
        <v>34</v>
      </c>
      <c r="F576" t="str">
        <f>Foderstater!U$94</f>
        <v>barley brewers grain</v>
      </c>
      <c r="J576" t="s">
        <v>310</v>
      </c>
      <c r="K576" s="13">
        <f>INDEX(Foderstater!$X$64:$AL$101,MATCH(F576,Foderstater!$U$64:$U$101,0),MATCH(A576&amp;C576&amp;E576,Foderstater!$X$63:$AL$63,0))</f>
        <v>0</v>
      </c>
    </row>
    <row r="577" spans="1:14" x14ac:dyDescent="0.25">
      <c r="A577" t="s">
        <v>2</v>
      </c>
      <c r="B577" t="s">
        <v>1</v>
      </c>
      <c r="C577" t="s">
        <v>407</v>
      </c>
      <c r="D577" s="110"/>
      <c r="E577" s="110" t="s">
        <v>34</v>
      </c>
      <c r="F577" t="str">
        <f>Foderstater!U$95</f>
        <v>maize gluten meal</v>
      </c>
      <c r="J577" t="s">
        <v>310</v>
      </c>
      <c r="K577" s="13">
        <f>INDEX(Foderstater!$X$64:$AL$101,MATCH(F577,Foderstater!$U$64:$U$101,0),MATCH(A577&amp;C577&amp;E577,Foderstater!$X$63:$AL$63,0))</f>
        <v>5.2048326492629164E-3</v>
      </c>
    </row>
    <row r="578" spans="1:14" x14ac:dyDescent="0.25">
      <c r="A578" t="s">
        <v>2</v>
      </c>
      <c r="B578" t="s">
        <v>1</v>
      </c>
      <c r="C578" t="s">
        <v>407</v>
      </c>
      <c r="D578" s="110"/>
      <c r="E578" s="110" t="s">
        <v>34</v>
      </c>
      <c r="F578" t="str">
        <f>Foderstater!U$96</f>
        <v>sugar beet molasses</v>
      </c>
      <c r="J578" t="s">
        <v>310</v>
      </c>
      <c r="K578" s="13">
        <f>INDEX(Foderstater!$X$64:$AL$101,MATCH(F578,Foderstater!$U$64:$U$101,0),MATCH(A578&amp;C578&amp;E578,Foderstater!$X$63:$AL$63,0))</f>
        <v>5.7718437607039867E-2</v>
      </c>
    </row>
    <row r="579" spans="1:14" x14ac:dyDescent="0.25">
      <c r="A579" t="s">
        <v>2</v>
      </c>
      <c r="B579" t="s">
        <v>1</v>
      </c>
      <c r="C579" t="s">
        <v>407</v>
      </c>
      <c r="D579" s="110"/>
      <c r="E579" s="110" t="s">
        <v>34</v>
      </c>
      <c r="F579" t="str">
        <f>Foderstater!U$97</f>
        <v>sugar beet pulp</v>
      </c>
      <c r="J579" t="s">
        <v>310</v>
      </c>
      <c r="K579" s="13">
        <f>INDEX(Foderstater!$X$64:$AL$101,MATCH(F579,Foderstater!$U$64:$U$101,0),MATCH(A579&amp;C579&amp;E579,Foderstater!$X$63:$AL$63,0))</f>
        <v>0.11137229063707067</v>
      </c>
    </row>
    <row r="580" spans="1:14" x14ac:dyDescent="0.25">
      <c r="A580" t="s">
        <v>2</v>
      </c>
      <c r="B580" t="s">
        <v>1</v>
      </c>
      <c r="C580" t="s">
        <v>407</v>
      </c>
      <c r="D580" s="110"/>
      <c r="E580" s="110" t="s">
        <v>34</v>
      </c>
      <c r="F580" t="str">
        <f>Foderstater!U$98</f>
        <v>whey powder</v>
      </c>
      <c r="J580" t="s">
        <v>310</v>
      </c>
      <c r="K580" s="13">
        <f>INDEX(Foderstater!$X$64:$AL$101,MATCH(F580,Foderstater!$U$64:$U$101,0),MATCH(A580&amp;C580&amp;E580,Foderstater!$X$63:$AL$63,0))</f>
        <v>0</v>
      </c>
    </row>
    <row r="581" spans="1:14" x14ac:dyDescent="0.25">
      <c r="A581" t="s">
        <v>2</v>
      </c>
      <c r="B581" t="s">
        <v>1</v>
      </c>
      <c r="C581" t="s">
        <v>407</v>
      </c>
      <c r="D581" s="110"/>
      <c r="E581" s="110" t="s">
        <v>34</v>
      </c>
      <c r="F581" t="str">
        <f>Foderstater!U$99</f>
        <v>potatoe protein</v>
      </c>
      <c r="J581" t="s">
        <v>310</v>
      </c>
      <c r="K581" s="13">
        <f>INDEX(Foderstater!$X$64:$AL$101,MATCH(F581,Foderstater!$U$64:$U$101,0),MATCH(A581&amp;C581&amp;E581,Foderstater!$X$63:$AL$63,0))</f>
        <v>5.0989093136080688E-4</v>
      </c>
    </row>
    <row r="582" spans="1:14" x14ac:dyDescent="0.25">
      <c r="A582" t="s">
        <v>2</v>
      </c>
      <c r="B582" t="s">
        <v>1</v>
      </c>
      <c r="C582" t="s">
        <v>407</v>
      </c>
      <c r="D582" s="110"/>
      <c r="E582" s="110" t="s">
        <v>34</v>
      </c>
      <c r="F582" t="str">
        <f>Foderstater!U$100</f>
        <v>fish meal</v>
      </c>
      <c r="J582" t="s">
        <v>310</v>
      </c>
      <c r="K582" s="13">
        <f>INDEX(Foderstater!$X$64:$AL$101,MATCH(F582,Foderstater!$U$64:$U$101,0),MATCH(A582&amp;C582&amp;E582,Foderstater!$X$63:$AL$63,0))</f>
        <v>0</v>
      </c>
    </row>
    <row r="583" spans="1:14" x14ac:dyDescent="0.25">
      <c r="A583" t="s">
        <v>2</v>
      </c>
      <c r="B583" t="s">
        <v>1</v>
      </c>
      <c r="C583" t="s">
        <v>407</v>
      </c>
      <c r="D583" s="110"/>
      <c r="E583" s="110" t="s">
        <v>34</v>
      </c>
      <c r="F583" t="str">
        <f>Foderstater!U$101</f>
        <v>minerals</v>
      </c>
      <c r="J583" t="s">
        <v>310</v>
      </c>
      <c r="K583" s="13">
        <f>INDEX(Foderstater!$X$64:$AL$101,MATCH(F583,Foderstater!$U$64:$U$101,0),MATCH(A583&amp;C583&amp;E583,Foderstater!$X$63:$AL$63,0))</f>
        <v>0.66740688157168271</v>
      </c>
    </row>
    <row r="585" spans="1:14" x14ac:dyDescent="0.25">
      <c r="A585" s="100" t="s">
        <v>291</v>
      </c>
      <c r="B585" s="100"/>
      <c r="C585" s="100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</row>
    <row r="586" spans="1:14" x14ac:dyDescent="0.25">
      <c r="A586" s="91" t="s">
        <v>63</v>
      </c>
      <c r="B586" s="162"/>
      <c r="C586" s="162"/>
      <c r="D586" s="90"/>
      <c r="E586" s="90"/>
      <c r="F586" s="90"/>
      <c r="G586" s="90"/>
      <c r="H586" s="90"/>
      <c r="I586" s="90"/>
      <c r="J586" s="90"/>
      <c r="K586" s="163"/>
      <c r="L586" s="90"/>
      <c r="M586" s="90"/>
      <c r="N586" s="90"/>
    </row>
    <row r="587" spans="1:14" x14ac:dyDescent="0.25">
      <c r="A587" s="158" t="s">
        <v>37</v>
      </c>
      <c r="B587" s="158"/>
      <c r="C587" s="158"/>
      <c r="D587" s="158"/>
      <c r="E587" s="158" t="s">
        <v>18</v>
      </c>
      <c r="J587" s="158" t="s">
        <v>310</v>
      </c>
      <c r="K587" s="158">
        <v>0</v>
      </c>
      <c r="L587" s="158"/>
      <c r="M587" s="158" t="s">
        <v>401</v>
      </c>
    </row>
    <row r="588" spans="1:14" x14ac:dyDescent="0.25">
      <c r="A588" t="s">
        <v>37</v>
      </c>
      <c r="E588" t="s">
        <v>18</v>
      </c>
      <c r="F588" t="str">
        <f>Foderstater!U$64</f>
        <v>ley silage, 1st cut</v>
      </c>
      <c r="J588" t="s">
        <v>310</v>
      </c>
      <c r="K588" s="13">
        <f>INDEX(Foderstater!$X$64:$AL$101,MATCH(F588,Foderstater!$U$64:$U$101,0),MATCH(A588&amp;C588&amp;E588,Foderstater!$X$63:$AL$63,0))</f>
        <v>0</v>
      </c>
      <c r="L588" s="158"/>
      <c r="M588" s="158"/>
    </row>
    <row r="589" spans="1:14" x14ac:dyDescent="0.25">
      <c r="A589" t="s">
        <v>37</v>
      </c>
      <c r="E589" t="s">
        <v>18</v>
      </c>
      <c r="F589" t="str">
        <f>Foderstater!U$65</f>
        <v>ley silage, regrowth</v>
      </c>
      <c r="J589" t="s">
        <v>310</v>
      </c>
      <c r="K589" s="13">
        <f>INDEX(Foderstater!$X$64:$AL$101,MATCH(F589,Foderstater!$U$64:$U$101,0),MATCH(A589&amp;C589&amp;E589,Foderstater!$X$63:$AL$63,0))</f>
        <v>19.638470390756044</v>
      </c>
      <c r="L589" s="158"/>
      <c r="M589" s="158"/>
    </row>
    <row r="590" spans="1:14" x14ac:dyDescent="0.25">
      <c r="A590" t="s">
        <v>37</v>
      </c>
      <c r="E590" t="s">
        <v>18</v>
      </c>
      <c r="F590" t="str">
        <f>Foderstater!U$66</f>
        <v>other silage</v>
      </c>
      <c r="J590" t="s">
        <v>310</v>
      </c>
      <c r="K590" s="13">
        <f>INDEX(Foderstater!$X$64:$AL$101,MATCH(F590,Foderstater!$U$64:$U$101,0),MATCH(A590&amp;C590&amp;E590,Foderstater!$X$63:$AL$63,0))</f>
        <v>20.321711421281208</v>
      </c>
      <c r="L590" s="158"/>
      <c r="M590" s="158"/>
    </row>
    <row r="591" spans="1:14" x14ac:dyDescent="0.25">
      <c r="A591" t="s">
        <v>37</v>
      </c>
      <c r="E591" t="s">
        <v>18</v>
      </c>
      <c r="F591" t="str">
        <f>Foderstater!U$67</f>
        <v>maize silage</v>
      </c>
      <c r="J591" t="s">
        <v>310</v>
      </c>
      <c r="K591" s="13">
        <f>INDEX(Foderstater!$X$64:$AL$101,MATCH(F591,Foderstater!$U$64:$U$101,0),MATCH(A591&amp;C591&amp;E591,Foderstater!$X$63:$AL$63,0))</f>
        <v>0</v>
      </c>
      <c r="L591" s="158"/>
      <c r="M591" s="158"/>
    </row>
    <row r="592" spans="1:14" x14ac:dyDescent="0.25">
      <c r="A592" t="s">
        <v>37</v>
      </c>
      <c r="E592" t="s">
        <v>18</v>
      </c>
      <c r="F592" t="str">
        <f>Foderstater!U$68</f>
        <v>straw</v>
      </c>
      <c r="J592" t="s">
        <v>310</v>
      </c>
      <c r="K592" s="13">
        <f>INDEX(Foderstater!$X$64:$AL$101,MATCH(F592,Foderstater!$U$64:$U$101,0),MATCH(A592&amp;C592&amp;E592,Foderstater!$X$63:$AL$63,0))</f>
        <v>1.1297448457337229</v>
      </c>
      <c r="L592" s="158"/>
      <c r="M592" s="158"/>
    </row>
    <row r="593" spans="1:13" x14ac:dyDescent="0.25">
      <c r="A593" t="s">
        <v>37</v>
      </c>
      <c r="E593" t="s">
        <v>18</v>
      </c>
      <c r="F593" t="str">
        <f>Foderstater!U$69</f>
        <v>grazing</v>
      </c>
      <c r="J593" t="s">
        <v>310</v>
      </c>
      <c r="K593" s="13">
        <f>INDEX(Foderstater!$X$64:$AL$101,MATCH(F593,Foderstater!$U$64:$U$101,0),MATCH(A593&amp;C593&amp;E593,Foderstater!$X$63:$AL$63,0))</f>
        <v>58.050981669759572</v>
      </c>
      <c r="L593" s="158"/>
      <c r="M593" s="158"/>
    </row>
    <row r="594" spans="1:13" x14ac:dyDescent="0.25">
      <c r="A594" t="s">
        <v>37</v>
      </c>
      <c r="E594" t="s">
        <v>18</v>
      </c>
      <c r="F594" t="str">
        <f>Foderstater!U$70</f>
        <v>wheat</v>
      </c>
      <c r="J594" t="s">
        <v>310</v>
      </c>
      <c r="K594" s="13">
        <f>INDEX(Foderstater!$X$64:$AL$101,MATCH(F594,Foderstater!$U$64:$U$101,0),MATCH(A594&amp;C594&amp;E594,Foderstater!$X$63:$AL$63,0))</f>
        <v>0</v>
      </c>
      <c r="L594" s="158"/>
      <c r="M594" s="158"/>
    </row>
    <row r="595" spans="1:13" x14ac:dyDescent="0.25">
      <c r="A595" t="s">
        <v>37</v>
      </c>
      <c r="E595" t="s">
        <v>18</v>
      </c>
      <c r="F595" t="str">
        <f>Foderstater!U$71</f>
        <v>barley</v>
      </c>
      <c r="J595" t="s">
        <v>310</v>
      </c>
      <c r="K595" s="13">
        <f>INDEX(Foderstater!$X$64:$AL$101,MATCH(F595,Foderstater!$U$64:$U$101,0),MATCH(A595&amp;C595&amp;E595,Foderstater!$X$63:$AL$63,0))</f>
        <v>0</v>
      </c>
      <c r="L595" s="158"/>
      <c r="M595" s="158"/>
    </row>
    <row r="596" spans="1:13" x14ac:dyDescent="0.25">
      <c r="A596" t="s">
        <v>37</v>
      </c>
      <c r="E596" t="s">
        <v>18</v>
      </c>
      <c r="F596" t="str">
        <f>Foderstater!U$72</f>
        <v>oats</v>
      </c>
      <c r="J596" t="s">
        <v>310</v>
      </c>
      <c r="K596" s="13">
        <f>INDEX(Foderstater!$X$64:$AL$101,MATCH(F596,Foderstater!$U$64:$U$101,0),MATCH(A596&amp;C596&amp;E596,Foderstater!$X$63:$AL$63,0))</f>
        <v>0</v>
      </c>
      <c r="L596" s="158"/>
      <c r="M596" s="158"/>
    </row>
    <row r="597" spans="1:13" x14ac:dyDescent="0.25">
      <c r="A597" t="s">
        <v>37</v>
      </c>
      <c r="E597" t="s">
        <v>18</v>
      </c>
      <c r="F597" t="str">
        <f>Foderstater!U$73</f>
        <v>triticale</v>
      </c>
      <c r="J597" t="s">
        <v>310</v>
      </c>
      <c r="K597" s="13">
        <f>INDEX(Foderstater!$X$64:$AL$101,MATCH(F597,Foderstater!$U$64:$U$101,0),MATCH(A597&amp;C597&amp;E597,Foderstater!$X$63:$AL$63,0))</f>
        <v>0</v>
      </c>
      <c r="L597" s="158"/>
      <c r="M597" s="158"/>
    </row>
    <row r="598" spans="1:13" x14ac:dyDescent="0.25">
      <c r="A598" t="s">
        <v>37</v>
      </c>
      <c r="E598" t="s">
        <v>18</v>
      </c>
      <c r="F598" t="str">
        <f>Foderstater!U$74</f>
        <v>rye</v>
      </c>
      <c r="J598" t="s">
        <v>310</v>
      </c>
      <c r="K598" s="13">
        <f>INDEX(Foderstater!$X$64:$AL$101,MATCH(F598,Foderstater!$U$64:$U$101,0),MATCH(A598&amp;C598&amp;E598,Foderstater!$X$63:$AL$63,0))</f>
        <v>0</v>
      </c>
      <c r="L598" s="158"/>
      <c r="M598" s="158"/>
    </row>
    <row r="599" spans="1:13" x14ac:dyDescent="0.25">
      <c r="A599" t="s">
        <v>37</v>
      </c>
      <c r="E599" t="s">
        <v>18</v>
      </c>
      <c r="F599" t="str">
        <f>Foderstater!U$75</f>
        <v>maize</v>
      </c>
      <c r="J599" t="s">
        <v>310</v>
      </c>
      <c r="K599" s="13">
        <f>INDEX(Foderstater!$X$64:$AL$101,MATCH(F599,Foderstater!$U$64:$U$101,0),MATCH(A599&amp;C599&amp;E599,Foderstater!$X$63:$AL$63,0))</f>
        <v>0</v>
      </c>
      <c r="L599" s="158"/>
      <c r="M599" s="158"/>
    </row>
    <row r="600" spans="1:13" x14ac:dyDescent="0.25">
      <c r="A600" t="s">
        <v>37</v>
      </c>
      <c r="E600" t="s">
        <v>18</v>
      </c>
      <c r="F600" t="str">
        <f>Foderstater!U$76</f>
        <v>peas</v>
      </c>
      <c r="J600" t="s">
        <v>310</v>
      </c>
      <c r="K600" s="13">
        <f>INDEX(Foderstater!$X$64:$AL$101,MATCH(F600,Foderstater!$U$64:$U$101,0),MATCH(A600&amp;C600&amp;E600,Foderstater!$X$63:$AL$63,0))</f>
        <v>0</v>
      </c>
      <c r="L600" s="158"/>
      <c r="M600" s="158"/>
    </row>
    <row r="601" spans="1:13" x14ac:dyDescent="0.25">
      <c r="A601" t="s">
        <v>37</v>
      </c>
      <c r="E601" t="s">
        <v>18</v>
      </c>
      <c r="F601" t="str">
        <f>Foderstater!U$77</f>
        <v>broad beans</v>
      </c>
      <c r="J601" t="s">
        <v>310</v>
      </c>
      <c r="K601" s="13">
        <f>INDEX(Foderstater!$X$64:$AL$101,MATCH(F601,Foderstater!$U$64:$U$101,0),MATCH(A601&amp;C601&amp;E601,Foderstater!$X$63:$AL$63,0))</f>
        <v>0</v>
      </c>
      <c r="L601" s="158"/>
      <c r="M601" s="158"/>
    </row>
    <row r="602" spans="1:13" x14ac:dyDescent="0.25">
      <c r="A602" t="s">
        <v>37</v>
      </c>
      <c r="E602" t="s">
        <v>18</v>
      </c>
      <c r="F602" t="str">
        <f>Foderstater!U$78</f>
        <v>rapeseed</v>
      </c>
      <c r="J602" t="s">
        <v>310</v>
      </c>
      <c r="K602" s="13">
        <f>INDEX(Foderstater!$X$64:$AL$101,MATCH(F602,Foderstater!$U$64:$U$101,0),MATCH(A602&amp;C602&amp;E602,Foderstater!$X$63:$AL$63,0))</f>
        <v>0</v>
      </c>
      <c r="L602" s="158"/>
      <c r="M602" s="158"/>
    </row>
    <row r="603" spans="1:13" x14ac:dyDescent="0.25">
      <c r="A603" t="s">
        <v>37</v>
      </c>
      <c r="E603" t="s">
        <v>18</v>
      </c>
      <c r="F603" t="str">
        <f>Foderstater!U$79</f>
        <v>linseed</v>
      </c>
      <c r="J603" t="s">
        <v>310</v>
      </c>
      <c r="K603" s="13">
        <f>INDEX(Foderstater!$X$64:$AL$101,MATCH(F603,Foderstater!$U$64:$U$101,0),MATCH(A603&amp;C603&amp;E603,Foderstater!$X$63:$AL$63,0))</f>
        <v>0</v>
      </c>
      <c r="L603" s="158"/>
      <c r="M603" s="158"/>
    </row>
    <row r="604" spans="1:13" x14ac:dyDescent="0.25">
      <c r="A604" t="s">
        <v>37</v>
      </c>
      <c r="E604" t="s">
        <v>18</v>
      </c>
      <c r="F604" t="str">
        <f>Foderstater!U$80</f>
        <v>vegetable oils</v>
      </c>
      <c r="J604" t="s">
        <v>310</v>
      </c>
      <c r="K604" s="13">
        <f>INDEX(Foderstater!$X$64:$AL$101,MATCH(F604,Foderstater!$U$64:$U$101,0),MATCH(A604&amp;C604&amp;E604,Foderstater!$X$63:$AL$63,0))</f>
        <v>0</v>
      </c>
      <c r="L604" s="158"/>
      <c r="M604" s="158"/>
    </row>
    <row r="605" spans="1:13" x14ac:dyDescent="0.25">
      <c r="A605" t="s">
        <v>37</v>
      </c>
      <c r="E605" t="s">
        <v>18</v>
      </c>
      <c r="F605" t="str">
        <f>Foderstater!U$81</f>
        <v>soybeans</v>
      </c>
      <c r="J605" t="s">
        <v>310</v>
      </c>
      <c r="K605" s="13">
        <f>INDEX(Foderstater!$X$64:$AL$101,MATCH(F605,Foderstater!$U$64:$U$101,0),MATCH(A605&amp;C605&amp;E605,Foderstater!$X$63:$AL$63,0))</f>
        <v>0</v>
      </c>
      <c r="L605" s="158"/>
      <c r="M605" s="158"/>
    </row>
    <row r="606" spans="1:13" x14ac:dyDescent="0.25">
      <c r="A606" t="s">
        <v>37</v>
      </c>
      <c r="E606" t="s">
        <v>18</v>
      </c>
      <c r="F606" t="str">
        <f>Foderstater!U$82</f>
        <v>soybean meal</v>
      </c>
      <c r="J606" t="s">
        <v>310</v>
      </c>
      <c r="K606" s="13">
        <f>INDEX(Foderstater!$X$64:$AL$101,MATCH(F606,Foderstater!$U$64:$U$101,0),MATCH(A606&amp;C606&amp;E606,Foderstater!$X$63:$AL$63,0))</f>
        <v>0</v>
      </c>
      <c r="L606" s="158"/>
      <c r="M606" s="158"/>
    </row>
    <row r="607" spans="1:13" x14ac:dyDescent="0.25">
      <c r="A607" t="s">
        <v>37</v>
      </c>
      <c r="E607" t="s">
        <v>18</v>
      </c>
      <c r="F607" t="str">
        <f>Foderstater!U$83</f>
        <v>soybean protein concentrate</v>
      </c>
      <c r="J607" t="s">
        <v>310</v>
      </c>
      <c r="K607" s="13">
        <f>INDEX(Foderstater!$X$64:$AL$101,MATCH(F607,Foderstater!$U$64:$U$101,0),MATCH(A607&amp;C607&amp;E607,Foderstater!$X$63:$AL$63,0))</f>
        <v>0</v>
      </c>
      <c r="L607" s="158"/>
      <c r="M607" s="158"/>
    </row>
    <row r="608" spans="1:13" x14ac:dyDescent="0.25">
      <c r="A608" t="s">
        <v>37</v>
      </c>
      <c r="B608" t="s">
        <v>1</v>
      </c>
      <c r="E608" t="s">
        <v>18</v>
      </c>
      <c r="F608" t="str">
        <f>Foderstater!U$84</f>
        <v>rapeseed meal</v>
      </c>
      <c r="J608" t="s">
        <v>310</v>
      </c>
      <c r="K608" s="13">
        <f>INDEX(Foderstater!$X$64:$AL$101,MATCH(F608,Foderstater!$U$64:$U$101,0),MATCH(A608&amp;C608&amp;E608,Foderstater!$X$63:$AL$63,0))</f>
        <v>0</v>
      </c>
      <c r="L608" s="158"/>
      <c r="M608" s="158"/>
    </row>
    <row r="609" spans="1:13" x14ac:dyDescent="0.25">
      <c r="A609" s="268" t="str">
        <f>A608</f>
        <v>beef</v>
      </c>
      <c r="B609" s="268" t="s">
        <v>5</v>
      </c>
      <c r="D609" s="268"/>
      <c r="E609" s="268" t="str">
        <f>E608</f>
        <v>cows</v>
      </c>
      <c r="F609" s="268" t="s">
        <v>609</v>
      </c>
      <c r="J609" s="268" t="str">
        <f>J608</f>
        <v>share_in_ration</v>
      </c>
      <c r="K609" s="269">
        <f>K608</f>
        <v>0</v>
      </c>
      <c r="L609" s="158"/>
      <c r="M609" s="268" t="s">
        <v>610</v>
      </c>
    </row>
    <row r="610" spans="1:13" x14ac:dyDescent="0.25">
      <c r="A610" t="s">
        <v>37</v>
      </c>
      <c r="E610" t="s">
        <v>18</v>
      </c>
      <c r="F610" t="str">
        <f>Foderstater!U$85</f>
        <v>sunflower seed meal</v>
      </c>
      <c r="J610" t="s">
        <v>310</v>
      </c>
      <c r="K610" s="13">
        <f>INDEX(Foderstater!$X$64:$AL$101,MATCH(F610,Foderstater!$U$64:$U$101,0),MATCH(A610&amp;C610&amp;E610,Foderstater!$X$63:$AL$63,0))</f>
        <v>0</v>
      </c>
    </row>
    <row r="611" spans="1:13" x14ac:dyDescent="0.25">
      <c r="A611" t="s">
        <v>37</v>
      </c>
      <c r="E611" t="s">
        <v>18</v>
      </c>
      <c r="F611" t="str">
        <f>Foderstater!U$86</f>
        <v>palm kernel expeller</v>
      </c>
      <c r="J611" t="s">
        <v>310</v>
      </c>
      <c r="K611" s="13">
        <f>INDEX(Foderstater!$X$64:$AL$101,MATCH(F611,Foderstater!$U$64:$U$101,0),MATCH(A611&amp;C611&amp;E611,Foderstater!$X$63:$AL$63,0))</f>
        <v>0</v>
      </c>
    </row>
    <row r="612" spans="1:13" x14ac:dyDescent="0.25">
      <c r="A612" t="s">
        <v>37</v>
      </c>
      <c r="E612" t="s">
        <v>18</v>
      </c>
      <c r="F612" t="str">
        <f>Foderstater!U$87</f>
        <v>luzern meal</v>
      </c>
      <c r="J612" t="s">
        <v>310</v>
      </c>
      <c r="K612" s="13">
        <f>INDEX(Foderstater!$X$64:$AL$101,MATCH(F612,Foderstater!$U$64:$U$101,0),MATCH(A612&amp;C612&amp;E612,Foderstater!$X$63:$AL$63,0))</f>
        <v>0</v>
      </c>
    </row>
    <row r="613" spans="1:13" x14ac:dyDescent="0.25">
      <c r="A613" t="s">
        <v>37</v>
      </c>
      <c r="E613" t="s">
        <v>18</v>
      </c>
      <c r="F613" t="str">
        <f>Foderstater!U$88</f>
        <v>wheat bran</v>
      </c>
      <c r="J613" t="s">
        <v>310</v>
      </c>
      <c r="K613" s="13">
        <f>INDEX(Foderstater!$X$64:$AL$101,MATCH(F613,Foderstater!$U$64:$U$101,0),MATCH(A613&amp;C613&amp;E613,Foderstater!$X$63:$AL$63,0))</f>
        <v>0</v>
      </c>
    </row>
    <row r="614" spans="1:13" x14ac:dyDescent="0.25">
      <c r="A614" t="s">
        <v>37</v>
      </c>
      <c r="E614" t="s">
        <v>18</v>
      </c>
      <c r="F614" t="str">
        <f>Foderstater!U$89</f>
        <v>wheat bran, fine</v>
      </c>
      <c r="J614" t="s">
        <v>310</v>
      </c>
      <c r="K614" s="13">
        <f>INDEX(Foderstater!$X$64:$AL$101,MATCH(F614,Foderstater!$U$64:$U$101,0),MATCH(A614&amp;C614&amp;E614,Foderstater!$X$63:$AL$63,0))</f>
        <v>0</v>
      </c>
    </row>
    <row r="615" spans="1:13" x14ac:dyDescent="0.25">
      <c r="A615" t="s">
        <v>37</v>
      </c>
      <c r="E615" t="s">
        <v>18</v>
      </c>
      <c r="F615" t="str">
        <f>Foderstater!U$90</f>
        <v>oat hulls</v>
      </c>
      <c r="J615" t="s">
        <v>310</v>
      </c>
      <c r="K615" s="13">
        <f>INDEX(Foderstater!$X$64:$AL$101,MATCH(F615,Foderstater!$U$64:$U$101,0),MATCH(A615&amp;C615&amp;E615,Foderstater!$X$63:$AL$63,0))</f>
        <v>0</v>
      </c>
    </row>
    <row r="616" spans="1:13" x14ac:dyDescent="0.25">
      <c r="A616" t="s">
        <v>37</v>
      </c>
      <c r="E616" t="s">
        <v>18</v>
      </c>
      <c r="F616" t="str">
        <f>Foderstater!U$91</f>
        <v>oat bran</v>
      </c>
      <c r="J616" t="s">
        <v>310</v>
      </c>
      <c r="K616" s="13">
        <f>INDEX(Foderstater!$X$64:$AL$101,MATCH(F616,Foderstater!$U$64:$U$101,0),MATCH(A616&amp;C616&amp;E616,Foderstater!$X$63:$AL$63,0))</f>
        <v>0</v>
      </c>
    </row>
    <row r="617" spans="1:13" x14ac:dyDescent="0.25">
      <c r="A617" t="s">
        <v>37</v>
      </c>
      <c r="E617" t="s">
        <v>18</v>
      </c>
      <c r="F617" t="str">
        <f>Foderstater!U$92</f>
        <v>rye bran</v>
      </c>
      <c r="J617" t="s">
        <v>310</v>
      </c>
      <c r="K617" s="13">
        <f>INDEX(Foderstater!$X$64:$AL$101,MATCH(F617,Foderstater!$U$64:$U$101,0),MATCH(A617&amp;C617&amp;E617,Foderstater!$X$63:$AL$63,0))</f>
        <v>0</v>
      </c>
    </row>
    <row r="618" spans="1:13" x14ac:dyDescent="0.25">
      <c r="A618" t="s">
        <v>37</v>
      </c>
      <c r="E618" t="s">
        <v>18</v>
      </c>
      <c r="F618" t="str">
        <f>Foderstater!U$93</f>
        <v>wheat distillers grain, dry</v>
      </c>
      <c r="J618" t="s">
        <v>310</v>
      </c>
      <c r="K618" s="13">
        <f>INDEX(Foderstater!$X$64:$AL$101,MATCH(F618,Foderstater!$U$64:$U$101,0),MATCH(A618&amp;C618&amp;E618,Foderstater!$X$63:$AL$63,0))</f>
        <v>0</v>
      </c>
    </row>
    <row r="619" spans="1:13" x14ac:dyDescent="0.25">
      <c r="A619" t="s">
        <v>37</v>
      </c>
      <c r="E619" t="s">
        <v>18</v>
      </c>
      <c r="F619" t="str">
        <f>Foderstater!U$94</f>
        <v>barley brewers grain</v>
      </c>
      <c r="J619" t="s">
        <v>310</v>
      </c>
      <c r="K619" s="13">
        <f>INDEX(Foderstater!$X$64:$AL$101,MATCH(F619,Foderstater!$U$64:$U$101,0),MATCH(A619&amp;C619&amp;E619,Foderstater!$X$63:$AL$63,0))</f>
        <v>0</v>
      </c>
    </row>
    <row r="620" spans="1:13" x14ac:dyDescent="0.25">
      <c r="A620" t="s">
        <v>37</v>
      </c>
      <c r="E620" t="s">
        <v>18</v>
      </c>
      <c r="F620" t="str">
        <f>Foderstater!U$95</f>
        <v>maize gluten meal</v>
      </c>
      <c r="J620" t="s">
        <v>310</v>
      </c>
      <c r="K620" s="13">
        <f>INDEX(Foderstater!$X$64:$AL$101,MATCH(F620,Foderstater!$U$64:$U$101,0),MATCH(A620&amp;C620&amp;E620,Foderstater!$X$63:$AL$63,0))</f>
        <v>0</v>
      </c>
    </row>
    <row r="621" spans="1:13" x14ac:dyDescent="0.25">
      <c r="A621" t="s">
        <v>37</v>
      </c>
      <c r="E621" t="s">
        <v>18</v>
      </c>
      <c r="F621" t="str">
        <f>Foderstater!U$96</f>
        <v>sugar beet molasses</v>
      </c>
      <c r="J621" t="s">
        <v>310</v>
      </c>
      <c r="K621" s="13">
        <f>INDEX(Foderstater!$X$64:$AL$101,MATCH(F621,Foderstater!$U$64:$U$101,0),MATCH(A621&amp;C621&amp;E621,Foderstater!$X$63:$AL$63,0))</f>
        <v>0</v>
      </c>
    </row>
    <row r="622" spans="1:13" x14ac:dyDescent="0.25">
      <c r="A622" t="s">
        <v>37</v>
      </c>
      <c r="E622" t="s">
        <v>18</v>
      </c>
      <c r="F622" t="str">
        <f>Foderstater!U$97</f>
        <v>sugar beet pulp</v>
      </c>
      <c r="J622" t="s">
        <v>310</v>
      </c>
      <c r="K622" s="13">
        <f>INDEX(Foderstater!$X$64:$AL$101,MATCH(F622,Foderstater!$U$64:$U$101,0),MATCH(A622&amp;C622&amp;E622,Foderstater!$X$63:$AL$63,0))</f>
        <v>0</v>
      </c>
    </row>
    <row r="623" spans="1:13" x14ac:dyDescent="0.25">
      <c r="A623" t="s">
        <v>37</v>
      </c>
      <c r="E623" t="s">
        <v>18</v>
      </c>
      <c r="F623" t="str">
        <f>Foderstater!U$98</f>
        <v>whey powder</v>
      </c>
      <c r="J623" t="s">
        <v>310</v>
      </c>
      <c r="K623" s="13">
        <f>INDEX(Foderstater!$X$64:$AL$101,MATCH(F623,Foderstater!$U$64:$U$101,0),MATCH(A623&amp;C623&amp;E623,Foderstater!$X$63:$AL$63,0))</f>
        <v>0</v>
      </c>
    </row>
    <row r="624" spans="1:13" x14ac:dyDescent="0.25">
      <c r="A624" t="s">
        <v>37</v>
      </c>
      <c r="E624" t="s">
        <v>18</v>
      </c>
      <c r="F624" t="str">
        <f>Foderstater!U$99</f>
        <v>potatoe protein</v>
      </c>
      <c r="J624" t="s">
        <v>310</v>
      </c>
      <c r="K624" s="13">
        <f>INDEX(Foderstater!$X$64:$AL$101,MATCH(F624,Foderstater!$U$64:$U$101,0),MATCH(A624&amp;C624&amp;E624,Foderstater!$X$63:$AL$63,0))</f>
        <v>0</v>
      </c>
    </row>
    <row r="625" spans="1:14" x14ac:dyDescent="0.25">
      <c r="A625" t="s">
        <v>37</v>
      </c>
      <c r="E625" t="s">
        <v>18</v>
      </c>
      <c r="F625" t="str">
        <f>Foderstater!U$100</f>
        <v>fish meal</v>
      </c>
      <c r="J625" t="s">
        <v>310</v>
      </c>
      <c r="K625" s="13">
        <f>INDEX(Foderstater!$X$64:$AL$101,MATCH(F625,Foderstater!$U$64:$U$101,0),MATCH(A625&amp;C625&amp;E625,Foderstater!$X$63:$AL$63,0))</f>
        <v>0</v>
      </c>
    </row>
    <row r="626" spans="1:14" x14ac:dyDescent="0.25">
      <c r="A626" t="s">
        <v>37</v>
      </c>
      <c r="E626" t="s">
        <v>18</v>
      </c>
      <c r="F626" t="str">
        <f>Foderstater!U$101</f>
        <v>minerals</v>
      </c>
      <c r="J626" t="s">
        <v>310</v>
      </c>
      <c r="K626" s="13">
        <f>INDEX(Foderstater!$X$64:$AL$101,MATCH(F626,Foderstater!$U$64:$U$101,0),MATCH(A626&amp;C626&amp;E626,Foderstater!$X$63:$AL$63,0))</f>
        <v>0.85909167246946194</v>
      </c>
    </row>
    <row r="627" spans="1:14" x14ac:dyDescent="0.25">
      <c r="K627" s="13"/>
    </row>
    <row r="628" spans="1:14" x14ac:dyDescent="0.25">
      <c r="A628" s="91" t="s">
        <v>636</v>
      </c>
      <c r="B628" s="162"/>
      <c r="C628" s="162"/>
      <c r="D628" s="90"/>
      <c r="E628" s="90"/>
      <c r="F628" s="90"/>
      <c r="G628" s="90"/>
      <c r="H628" s="90"/>
      <c r="I628" s="90"/>
      <c r="J628" s="90"/>
      <c r="K628" s="163"/>
      <c r="L628" s="90"/>
      <c r="M628" s="90"/>
      <c r="N628" s="90"/>
    </row>
    <row r="629" spans="1:14" x14ac:dyDescent="0.25">
      <c r="A629" s="158" t="s">
        <v>37</v>
      </c>
      <c r="B629" s="158"/>
      <c r="C629" s="158"/>
      <c r="D629" s="158"/>
      <c r="E629" s="158" t="s">
        <v>402</v>
      </c>
      <c r="F629" s="158"/>
      <c r="G629" s="158"/>
      <c r="H629" s="158"/>
      <c r="I629" s="158"/>
      <c r="J629" s="158" t="s">
        <v>310</v>
      </c>
      <c r="K629" s="158">
        <v>0</v>
      </c>
      <c r="L629" s="158"/>
      <c r="M629" s="158" t="s">
        <v>401</v>
      </c>
    </row>
    <row r="630" spans="1:14" x14ac:dyDescent="0.25">
      <c r="A630" s="110" t="s">
        <v>37</v>
      </c>
      <c r="B630" s="110"/>
      <c r="C630" s="110"/>
      <c r="D630" s="110"/>
      <c r="E630" s="110" t="s">
        <v>402</v>
      </c>
      <c r="F630" t="str">
        <f>Foderstater!U$64</f>
        <v>ley silage, 1st cut</v>
      </c>
      <c r="J630" t="s">
        <v>310</v>
      </c>
      <c r="K630" s="13">
        <f>INDEX(Foderstater!$X$64:$AL$101,MATCH(F630,Foderstater!$U$64:$U$101,0),MATCH(A630&amp;C630&amp;E630,Foderstater!$X$63:$AL$63,0))</f>
        <v>0</v>
      </c>
      <c r="L630" s="158"/>
      <c r="M630" s="110"/>
    </row>
    <row r="631" spans="1:14" x14ac:dyDescent="0.25">
      <c r="A631" s="110" t="s">
        <v>37</v>
      </c>
      <c r="B631" s="110"/>
      <c r="C631" s="110"/>
      <c r="D631" s="110"/>
      <c r="E631" s="110" t="s">
        <v>402</v>
      </c>
      <c r="F631" t="str">
        <f>Foderstater!U$65</f>
        <v>ley silage, regrowth</v>
      </c>
      <c r="J631" t="s">
        <v>310</v>
      </c>
      <c r="K631" s="13">
        <f>INDEX(Foderstater!$X$64:$AL$101,MATCH(F631,Foderstater!$U$64:$U$101,0),MATCH(A631&amp;C631&amp;E631,Foderstater!$X$63:$AL$63,0))</f>
        <v>7.0178130628008537</v>
      </c>
    </row>
    <row r="632" spans="1:14" x14ac:dyDescent="0.25">
      <c r="A632" s="110" t="s">
        <v>37</v>
      </c>
      <c r="B632" s="110"/>
      <c r="C632" s="110"/>
      <c r="D632" s="110"/>
      <c r="E632" s="110" t="s">
        <v>402</v>
      </c>
      <c r="F632" t="str">
        <f>Foderstater!U$66</f>
        <v>other silage</v>
      </c>
      <c r="J632" t="s">
        <v>310</v>
      </c>
      <c r="K632" s="13">
        <f>INDEX(Foderstater!$X$64:$AL$101,MATCH(F632,Foderstater!$U$64:$U$101,0),MATCH(A632&amp;C632&amp;E632,Foderstater!$X$63:$AL$63,0))</f>
        <v>41.192418289263692</v>
      </c>
    </row>
    <row r="633" spans="1:14" x14ac:dyDescent="0.25">
      <c r="A633" s="110" t="s">
        <v>37</v>
      </c>
      <c r="B633" s="110"/>
      <c r="C633" s="110"/>
      <c r="D633" s="110"/>
      <c r="E633" s="110" t="s">
        <v>402</v>
      </c>
      <c r="F633" t="str">
        <f>Foderstater!U$67</f>
        <v>maize silage</v>
      </c>
      <c r="J633" t="s">
        <v>310</v>
      </c>
      <c r="K633" s="13">
        <f>INDEX(Foderstater!$X$64:$AL$101,MATCH(F633,Foderstater!$U$64:$U$101,0),MATCH(A633&amp;C633&amp;E633,Foderstater!$X$63:$AL$63,0))</f>
        <v>0</v>
      </c>
    </row>
    <row r="634" spans="1:14" x14ac:dyDescent="0.25">
      <c r="A634" s="110" t="s">
        <v>37</v>
      </c>
      <c r="B634" s="110"/>
      <c r="C634" s="110"/>
      <c r="D634" s="110"/>
      <c r="E634" s="110" t="s">
        <v>402</v>
      </c>
      <c r="F634" t="str">
        <f>Foderstater!U$68</f>
        <v>straw</v>
      </c>
      <c r="J634" t="s">
        <v>310</v>
      </c>
      <c r="K634" s="13">
        <f>INDEX(Foderstater!$X$64:$AL$101,MATCH(F634,Foderstater!$U$64:$U$101,0),MATCH(A634&amp;C634&amp;E634,Foderstater!$X$63:$AL$63,0))</f>
        <v>0.67138025374082655</v>
      </c>
    </row>
    <row r="635" spans="1:14" x14ac:dyDescent="0.25">
      <c r="A635" s="110" t="s">
        <v>37</v>
      </c>
      <c r="B635" s="110"/>
      <c r="C635" s="110"/>
      <c r="D635" s="110"/>
      <c r="E635" s="110" t="s">
        <v>402</v>
      </c>
      <c r="F635" t="str">
        <f>Foderstater!U$69</f>
        <v>grazing</v>
      </c>
      <c r="J635" t="s">
        <v>310</v>
      </c>
      <c r="K635" s="13">
        <f>INDEX(Foderstater!$X$64:$AL$101,MATCH(F635,Foderstater!$U$64:$U$101,0),MATCH(A635&amp;C635&amp;E635,Foderstater!$X$63:$AL$63,0))</f>
        <v>50.052481882315824</v>
      </c>
    </row>
    <row r="636" spans="1:14" x14ac:dyDescent="0.25">
      <c r="A636" s="110" t="s">
        <v>37</v>
      </c>
      <c r="B636" s="110"/>
      <c r="C636" s="110"/>
      <c r="D636" s="110"/>
      <c r="E636" s="110" t="s">
        <v>402</v>
      </c>
      <c r="F636" t="str">
        <f>Foderstater!U$70</f>
        <v>wheat</v>
      </c>
      <c r="J636" t="s">
        <v>310</v>
      </c>
      <c r="K636" s="13">
        <f>INDEX(Foderstater!$X$64:$AL$101,MATCH(F636,Foderstater!$U$64:$U$101,0),MATCH(A636&amp;C636&amp;E636,Foderstater!$X$63:$AL$63,0))</f>
        <v>0</v>
      </c>
    </row>
    <row r="637" spans="1:14" x14ac:dyDescent="0.25">
      <c r="A637" s="110" t="s">
        <v>37</v>
      </c>
      <c r="B637" s="110"/>
      <c r="C637" s="110"/>
      <c r="D637" s="110"/>
      <c r="E637" s="110" t="s">
        <v>402</v>
      </c>
      <c r="F637" t="str">
        <f>Foderstater!U$71</f>
        <v>barley</v>
      </c>
      <c r="J637" t="s">
        <v>310</v>
      </c>
      <c r="K637" s="13">
        <f>INDEX(Foderstater!$X$64:$AL$101,MATCH(F637,Foderstater!$U$64:$U$101,0),MATCH(A637&amp;C637&amp;E637,Foderstater!$X$63:$AL$63,0))</f>
        <v>0</v>
      </c>
    </row>
    <row r="638" spans="1:14" x14ac:dyDescent="0.25">
      <c r="A638" s="110" t="s">
        <v>37</v>
      </c>
      <c r="B638" s="110"/>
      <c r="C638" s="110"/>
      <c r="D638" s="110"/>
      <c r="E638" s="110" t="s">
        <v>402</v>
      </c>
      <c r="F638" t="str">
        <f>Foderstater!U$72</f>
        <v>oats</v>
      </c>
      <c r="J638" t="s">
        <v>310</v>
      </c>
      <c r="K638" s="13">
        <f>INDEX(Foderstater!$X$64:$AL$101,MATCH(F638,Foderstater!$U$64:$U$101,0),MATCH(A638&amp;C638&amp;E638,Foderstater!$X$63:$AL$63,0))</f>
        <v>0</v>
      </c>
    </row>
    <row r="639" spans="1:14" x14ac:dyDescent="0.25">
      <c r="A639" s="110" t="s">
        <v>37</v>
      </c>
      <c r="B639" s="110"/>
      <c r="C639" s="110"/>
      <c r="D639" s="110"/>
      <c r="E639" s="110" t="s">
        <v>402</v>
      </c>
      <c r="F639" t="str">
        <f>Foderstater!U$73</f>
        <v>triticale</v>
      </c>
      <c r="J639" t="s">
        <v>310</v>
      </c>
      <c r="K639" s="13">
        <f>INDEX(Foderstater!$X$64:$AL$101,MATCH(F639,Foderstater!$U$64:$U$101,0),MATCH(A639&amp;C639&amp;E639,Foderstater!$X$63:$AL$63,0))</f>
        <v>0</v>
      </c>
    </row>
    <row r="640" spans="1:14" x14ac:dyDescent="0.25">
      <c r="A640" s="110" t="s">
        <v>37</v>
      </c>
      <c r="B640" s="110"/>
      <c r="C640" s="110"/>
      <c r="D640" s="110"/>
      <c r="E640" s="110" t="s">
        <v>402</v>
      </c>
      <c r="F640" t="str">
        <f>Foderstater!U$74</f>
        <v>rye</v>
      </c>
      <c r="J640" t="s">
        <v>310</v>
      </c>
      <c r="K640" s="13">
        <f>INDEX(Foderstater!$X$64:$AL$101,MATCH(F640,Foderstater!$U$64:$U$101,0),MATCH(A640&amp;C640&amp;E640,Foderstater!$X$63:$AL$63,0))</f>
        <v>0</v>
      </c>
    </row>
    <row r="641" spans="1:13" x14ac:dyDescent="0.25">
      <c r="A641" s="110" t="s">
        <v>37</v>
      </c>
      <c r="B641" s="110"/>
      <c r="C641" s="110"/>
      <c r="D641" s="110"/>
      <c r="E641" s="110" t="s">
        <v>402</v>
      </c>
      <c r="F641" t="str">
        <f>Foderstater!U$75</f>
        <v>maize</v>
      </c>
      <c r="J641" t="s">
        <v>310</v>
      </c>
      <c r="K641" s="13">
        <f>INDEX(Foderstater!$X$64:$AL$101,MATCH(F641,Foderstater!$U$64:$U$101,0),MATCH(A641&amp;C641&amp;E641,Foderstater!$X$63:$AL$63,0))</f>
        <v>0</v>
      </c>
    </row>
    <row r="642" spans="1:13" x14ac:dyDescent="0.25">
      <c r="A642" s="110" t="s">
        <v>37</v>
      </c>
      <c r="B642" s="110"/>
      <c r="C642" s="110"/>
      <c r="D642" s="110"/>
      <c r="E642" s="110" t="s">
        <v>402</v>
      </c>
      <c r="F642" t="str">
        <f>Foderstater!U$76</f>
        <v>peas</v>
      </c>
      <c r="J642" t="s">
        <v>310</v>
      </c>
      <c r="K642" s="13">
        <f>INDEX(Foderstater!$X$64:$AL$101,MATCH(F642,Foderstater!$U$64:$U$101,0),MATCH(A642&amp;C642&amp;E642,Foderstater!$X$63:$AL$63,0))</f>
        <v>0</v>
      </c>
    </row>
    <row r="643" spans="1:13" x14ac:dyDescent="0.25">
      <c r="A643" s="110" t="s">
        <v>37</v>
      </c>
      <c r="B643" s="110"/>
      <c r="C643" s="110"/>
      <c r="D643" s="110"/>
      <c r="E643" s="110" t="s">
        <v>402</v>
      </c>
      <c r="F643" t="str">
        <f>Foderstater!U$77</f>
        <v>broad beans</v>
      </c>
      <c r="J643" t="s">
        <v>310</v>
      </c>
      <c r="K643" s="13">
        <f>INDEX(Foderstater!$X$64:$AL$101,MATCH(F643,Foderstater!$U$64:$U$101,0),MATCH(A643&amp;C643&amp;E643,Foderstater!$X$63:$AL$63,0))</f>
        <v>0</v>
      </c>
    </row>
    <row r="644" spans="1:13" x14ac:dyDescent="0.25">
      <c r="A644" s="110" t="s">
        <v>37</v>
      </c>
      <c r="B644" s="110"/>
      <c r="C644" s="110"/>
      <c r="D644" s="110"/>
      <c r="E644" s="110" t="s">
        <v>402</v>
      </c>
      <c r="F644" t="str">
        <f>Foderstater!U$78</f>
        <v>rapeseed</v>
      </c>
      <c r="J644" t="s">
        <v>310</v>
      </c>
      <c r="K644" s="13">
        <f>INDEX(Foderstater!$X$64:$AL$101,MATCH(F644,Foderstater!$U$64:$U$101,0),MATCH(A644&amp;C644&amp;E644,Foderstater!$X$63:$AL$63,0))</f>
        <v>0</v>
      </c>
    </row>
    <row r="645" spans="1:13" x14ac:dyDescent="0.25">
      <c r="A645" s="110" t="s">
        <v>37</v>
      </c>
      <c r="B645" s="110"/>
      <c r="C645" s="110"/>
      <c r="D645" s="110"/>
      <c r="E645" s="110" t="s">
        <v>402</v>
      </c>
      <c r="F645" t="str">
        <f>Foderstater!U$79</f>
        <v>linseed</v>
      </c>
      <c r="J645" t="s">
        <v>310</v>
      </c>
      <c r="K645" s="13">
        <f>INDEX(Foderstater!$X$64:$AL$101,MATCH(F645,Foderstater!$U$64:$U$101,0),MATCH(A645&amp;C645&amp;E645,Foderstater!$X$63:$AL$63,0))</f>
        <v>0</v>
      </c>
    </row>
    <row r="646" spans="1:13" x14ac:dyDescent="0.25">
      <c r="A646" s="110" t="s">
        <v>37</v>
      </c>
      <c r="B646" s="110"/>
      <c r="C646" s="110"/>
      <c r="D646" s="110"/>
      <c r="E646" s="110" t="s">
        <v>402</v>
      </c>
      <c r="F646" t="str">
        <f>Foderstater!U$80</f>
        <v>vegetable oils</v>
      </c>
      <c r="J646" t="s">
        <v>310</v>
      </c>
      <c r="K646" s="13">
        <f>INDEX(Foderstater!$X$64:$AL$101,MATCH(F646,Foderstater!$U$64:$U$101,0),MATCH(A646&amp;C646&amp;E646,Foderstater!$X$63:$AL$63,0))</f>
        <v>0</v>
      </c>
    </row>
    <row r="647" spans="1:13" x14ac:dyDescent="0.25">
      <c r="A647" s="110" t="s">
        <v>37</v>
      </c>
      <c r="B647" s="110"/>
      <c r="C647" s="110"/>
      <c r="D647" s="110"/>
      <c r="E647" s="110" t="s">
        <v>402</v>
      </c>
      <c r="F647" t="str">
        <f>Foderstater!U$81</f>
        <v>soybeans</v>
      </c>
      <c r="J647" t="s">
        <v>310</v>
      </c>
      <c r="K647" s="13">
        <f>INDEX(Foderstater!$X$64:$AL$101,MATCH(F647,Foderstater!$U$64:$U$101,0),MATCH(A647&amp;C647&amp;E647,Foderstater!$X$63:$AL$63,0))</f>
        <v>0</v>
      </c>
    </row>
    <row r="648" spans="1:13" x14ac:dyDescent="0.25">
      <c r="A648" s="110" t="s">
        <v>37</v>
      </c>
      <c r="B648" s="110"/>
      <c r="C648" s="110"/>
      <c r="D648" s="110"/>
      <c r="E648" s="110" t="s">
        <v>402</v>
      </c>
      <c r="F648" t="str">
        <f>Foderstater!U$82</f>
        <v>soybean meal</v>
      </c>
      <c r="J648" t="s">
        <v>310</v>
      </c>
      <c r="K648" s="13">
        <f>INDEX(Foderstater!$X$64:$AL$101,MATCH(F648,Foderstater!$U$64:$U$101,0),MATCH(A648&amp;C648&amp;E648,Foderstater!$X$63:$AL$63,0))</f>
        <v>0</v>
      </c>
    </row>
    <row r="649" spans="1:13" x14ac:dyDescent="0.25">
      <c r="A649" s="110" t="s">
        <v>37</v>
      </c>
      <c r="B649" s="110"/>
      <c r="C649" s="110"/>
      <c r="D649" s="110"/>
      <c r="E649" s="110" t="s">
        <v>402</v>
      </c>
      <c r="F649" t="str">
        <f>Foderstater!U$83</f>
        <v>soybean protein concentrate</v>
      </c>
      <c r="J649" t="s">
        <v>310</v>
      </c>
      <c r="K649" s="13">
        <f>INDEX(Foderstater!$X$64:$AL$101,MATCH(F649,Foderstater!$U$64:$U$101,0),MATCH(A649&amp;C649&amp;E649,Foderstater!$X$63:$AL$63,0))</f>
        <v>0</v>
      </c>
    </row>
    <row r="650" spans="1:13" x14ac:dyDescent="0.25">
      <c r="A650" s="110" t="s">
        <v>37</v>
      </c>
      <c r="B650" s="110"/>
      <c r="C650" s="110"/>
      <c r="D650" s="110"/>
      <c r="E650" s="110" t="s">
        <v>402</v>
      </c>
      <c r="F650" t="str">
        <f>Foderstater!U$84</f>
        <v>rapeseed meal</v>
      </c>
      <c r="J650" t="s">
        <v>310</v>
      </c>
      <c r="K650" s="13">
        <f>INDEX(Foderstater!$X$64:$AL$101,MATCH(F650,Foderstater!$U$64:$U$101,0),MATCH(A650&amp;C650&amp;E650,Foderstater!$X$63:$AL$63,0))</f>
        <v>0</v>
      </c>
    </row>
    <row r="651" spans="1:13" x14ac:dyDescent="0.25">
      <c r="A651" s="268" t="s">
        <v>37</v>
      </c>
      <c r="B651" s="268"/>
      <c r="C651" s="268"/>
      <c r="D651" s="268"/>
      <c r="E651" s="268" t="s">
        <v>402</v>
      </c>
      <c r="F651" s="268" t="s">
        <v>609</v>
      </c>
      <c r="J651" s="268" t="str">
        <f>J650</f>
        <v>share_in_ration</v>
      </c>
      <c r="K651" s="269">
        <f>K650</f>
        <v>0</v>
      </c>
      <c r="M651" s="268" t="s">
        <v>610</v>
      </c>
    </row>
    <row r="652" spans="1:13" x14ac:dyDescent="0.25">
      <c r="A652" s="110" t="s">
        <v>37</v>
      </c>
      <c r="B652" s="110"/>
      <c r="C652" s="110"/>
      <c r="D652" s="110"/>
      <c r="E652" s="110" t="s">
        <v>402</v>
      </c>
      <c r="F652" t="str">
        <f>Foderstater!U$85</f>
        <v>sunflower seed meal</v>
      </c>
      <c r="J652" t="s">
        <v>310</v>
      </c>
      <c r="K652" s="13">
        <f>INDEX(Foderstater!$X$64:$AL$101,MATCH(F652,Foderstater!$U$64:$U$101,0),MATCH(A652&amp;C652&amp;E652,Foderstater!$X$63:$AL$63,0))</f>
        <v>0</v>
      </c>
    </row>
    <row r="653" spans="1:13" x14ac:dyDescent="0.25">
      <c r="A653" s="110" t="s">
        <v>37</v>
      </c>
      <c r="B653" s="110"/>
      <c r="C653" s="110"/>
      <c r="D653" s="110"/>
      <c r="E653" s="110" t="s">
        <v>402</v>
      </c>
      <c r="F653" t="str">
        <f>Foderstater!U$86</f>
        <v>palm kernel expeller</v>
      </c>
      <c r="J653" t="s">
        <v>310</v>
      </c>
      <c r="K653" s="13">
        <f>INDEX(Foderstater!$X$64:$AL$101,MATCH(F653,Foderstater!$U$64:$U$101,0),MATCH(A653&amp;C653&amp;E653,Foderstater!$X$63:$AL$63,0))</f>
        <v>0</v>
      </c>
    </row>
    <row r="654" spans="1:13" x14ac:dyDescent="0.25">
      <c r="A654" s="110" t="s">
        <v>37</v>
      </c>
      <c r="B654" s="110"/>
      <c r="C654" s="110"/>
      <c r="D654" s="110"/>
      <c r="E654" s="110" t="s">
        <v>402</v>
      </c>
      <c r="F654" t="str">
        <f>Foderstater!U$87</f>
        <v>luzern meal</v>
      </c>
      <c r="J654" t="s">
        <v>310</v>
      </c>
      <c r="K654" s="13">
        <f>INDEX(Foderstater!$X$64:$AL$101,MATCH(F654,Foderstater!$U$64:$U$101,0),MATCH(A654&amp;C654&amp;E654,Foderstater!$X$63:$AL$63,0))</f>
        <v>0</v>
      </c>
    </row>
    <row r="655" spans="1:13" x14ac:dyDescent="0.25">
      <c r="A655" s="110" t="s">
        <v>37</v>
      </c>
      <c r="B655" s="110"/>
      <c r="C655" s="110"/>
      <c r="D655" s="110"/>
      <c r="E655" s="110" t="s">
        <v>402</v>
      </c>
      <c r="F655" t="str">
        <f>Foderstater!U$88</f>
        <v>wheat bran</v>
      </c>
      <c r="J655" t="s">
        <v>310</v>
      </c>
      <c r="K655" s="13">
        <f>INDEX(Foderstater!$X$64:$AL$101,MATCH(F655,Foderstater!$U$64:$U$101,0),MATCH(A655&amp;C655&amp;E655,Foderstater!$X$63:$AL$63,0))</f>
        <v>0</v>
      </c>
    </row>
    <row r="656" spans="1:13" x14ac:dyDescent="0.25">
      <c r="A656" s="110" t="s">
        <v>37</v>
      </c>
      <c r="B656" s="110"/>
      <c r="C656" s="110"/>
      <c r="D656" s="110"/>
      <c r="E656" s="110" t="s">
        <v>402</v>
      </c>
      <c r="F656" t="str">
        <f>Foderstater!U$89</f>
        <v>wheat bran, fine</v>
      </c>
      <c r="J656" t="s">
        <v>310</v>
      </c>
      <c r="K656" s="13">
        <f>INDEX(Foderstater!$X$64:$AL$101,MATCH(F656,Foderstater!$U$64:$U$101,0),MATCH(A656&amp;C656&amp;E656,Foderstater!$X$63:$AL$63,0))</f>
        <v>0</v>
      </c>
    </row>
    <row r="657" spans="1:14" x14ac:dyDescent="0.25">
      <c r="A657" s="110" t="s">
        <v>37</v>
      </c>
      <c r="B657" s="110"/>
      <c r="C657" s="110"/>
      <c r="D657" s="110"/>
      <c r="E657" s="110" t="s">
        <v>402</v>
      </c>
      <c r="F657" t="str">
        <f>Foderstater!U$90</f>
        <v>oat hulls</v>
      </c>
      <c r="J657" t="s">
        <v>310</v>
      </c>
      <c r="K657" s="13">
        <f>INDEX(Foderstater!$X$64:$AL$101,MATCH(F657,Foderstater!$U$64:$U$101,0),MATCH(A657&amp;C657&amp;E657,Foderstater!$X$63:$AL$63,0))</f>
        <v>0</v>
      </c>
    </row>
    <row r="658" spans="1:14" x14ac:dyDescent="0.25">
      <c r="A658" s="110" t="s">
        <v>37</v>
      </c>
      <c r="B658" s="110"/>
      <c r="C658" s="110"/>
      <c r="D658" s="110"/>
      <c r="E658" s="110" t="s">
        <v>402</v>
      </c>
      <c r="F658" t="str">
        <f>Foderstater!U$91</f>
        <v>oat bran</v>
      </c>
      <c r="J658" t="s">
        <v>310</v>
      </c>
      <c r="K658" s="13">
        <f>INDEX(Foderstater!$X$64:$AL$101,MATCH(F658,Foderstater!$U$64:$U$101,0),MATCH(A658&amp;C658&amp;E658,Foderstater!$X$63:$AL$63,0))</f>
        <v>0</v>
      </c>
    </row>
    <row r="659" spans="1:14" x14ac:dyDescent="0.25">
      <c r="A659" s="110" t="s">
        <v>37</v>
      </c>
      <c r="B659" s="110"/>
      <c r="C659" s="110"/>
      <c r="D659" s="110"/>
      <c r="E659" s="110" t="s">
        <v>402</v>
      </c>
      <c r="F659" t="str">
        <f>Foderstater!U$92</f>
        <v>rye bran</v>
      </c>
      <c r="J659" t="s">
        <v>310</v>
      </c>
      <c r="K659" s="13">
        <f>INDEX(Foderstater!$X$64:$AL$101,MATCH(F659,Foderstater!$U$64:$U$101,0),MATCH(A659&amp;C659&amp;E659,Foderstater!$X$63:$AL$63,0))</f>
        <v>0</v>
      </c>
    </row>
    <row r="660" spans="1:14" x14ac:dyDescent="0.25">
      <c r="A660" s="110" t="s">
        <v>37</v>
      </c>
      <c r="B660" s="110"/>
      <c r="C660" s="110"/>
      <c r="D660" s="110"/>
      <c r="E660" s="110" t="s">
        <v>402</v>
      </c>
      <c r="F660" t="str">
        <f>Foderstater!U$93</f>
        <v>wheat distillers grain, dry</v>
      </c>
      <c r="J660" t="s">
        <v>310</v>
      </c>
      <c r="K660" s="13">
        <f>INDEX(Foderstater!$X$64:$AL$101,MATCH(F660,Foderstater!$U$64:$U$101,0),MATCH(A660&amp;C660&amp;E660,Foderstater!$X$63:$AL$63,0))</f>
        <v>0</v>
      </c>
    </row>
    <row r="661" spans="1:14" x14ac:dyDescent="0.25">
      <c r="A661" s="110" t="s">
        <v>37</v>
      </c>
      <c r="B661" s="110"/>
      <c r="C661" s="110"/>
      <c r="D661" s="110"/>
      <c r="E661" s="110" t="s">
        <v>402</v>
      </c>
      <c r="F661" t="str">
        <f>Foderstater!U$94</f>
        <v>barley brewers grain</v>
      </c>
      <c r="J661" t="s">
        <v>310</v>
      </c>
      <c r="K661" s="13">
        <f>INDEX(Foderstater!$X$64:$AL$101,MATCH(F661,Foderstater!$U$64:$U$101,0),MATCH(A661&amp;C661&amp;E661,Foderstater!$X$63:$AL$63,0))</f>
        <v>0</v>
      </c>
    </row>
    <row r="662" spans="1:14" x14ac:dyDescent="0.25">
      <c r="A662" s="110" t="s">
        <v>37</v>
      </c>
      <c r="B662" s="110"/>
      <c r="C662" s="110"/>
      <c r="D662" s="110"/>
      <c r="E662" s="110" t="s">
        <v>402</v>
      </c>
      <c r="F662" t="str">
        <f>Foderstater!U$95</f>
        <v>maize gluten meal</v>
      </c>
      <c r="J662" t="s">
        <v>310</v>
      </c>
      <c r="K662" s="13">
        <f>INDEX(Foderstater!$X$64:$AL$101,MATCH(F662,Foderstater!$U$64:$U$101,0),MATCH(A662&amp;C662&amp;E662,Foderstater!$X$63:$AL$63,0))</f>
        <v>0</v>
      </c>
    </row>
    <row r="663" spans="1:14" x14ac:dyDescent="0.25">
      <c r="A663" s="110" t="s">
        <v>37</v>
      </c>
      <c r="B663" s="110"/>
      <c r="C663" s="110"/>
      <c r="D663" s="110"/>
      <c r="E663" s="110" t="s">
        <v>402</v>
      </c>
      <c r="F663" t="str">
        <f>Foderstater!U$96</f>
        <v>sugar beet molasses</v>
      </c>
      <c r="J663" t="s">
        <v>310</v>
      </c>
      <c r="K663" s="13">
        <f>INDEX(Foderstater!$X$64:$AL$101,MATCH(F663,Foderstater!$U$64:$U$101,0),MATCH(A663&amp;C663&amp;E663,Foderstater!$X$63:$AL$63,0))</f>
        <v>0</v>
      </c>
    </row>
    <row r="664" spans="1:14" x14ac:dyDescent="0.25">
      <c r="A664" s="110" t="s">
        <v>37</v>
      </c>
      <c r="B664" s="110"/>
      <c r="C664" s="110"/>
      <c r="D664" s="110"/>
      <c r="E664" s="110" t="s">
        <v>402</v>
      </c>
      <c r="F664" t="str">
        <f>Foderstater!U$97</f>
        <v>sugar beet pulp</v>
      </c>
      <c r="J664" t="s">
        <v>310</v>
      </c>
      <c r="K664" s="13">
        <f>INDEX(Foderstater!$X$64:$AL$101,MATCH(F664,Foderstater!$U$64:$U$101,0),MATCH(A664&amp;C664&amp;E664,Foderstater!$X$63:$AL$63,0))</f>
        <v>0</v>
      </c>
    </row>
    <row r="665" spans="1:14" x14ac:dyDescent="0.25">
      <c r="A665" s="110" t="s">
        <v>37</v>
      </c>
      <c r="B665" s="110"/>
      <c r="C665" s="110"/>
      <c r="D665" s="110"/>
      <c r="E665" s="110" t="s">
        <v>402</v>
      </c>
      <c r="F665" t="str">
        <f>Foderstater!U$98</f>
        <v>whey powder</v>
      </c>
      <c r="J665" t="s">
        <v>310</v>
      </c>
      <c r="K665" s="13">
        <f>INDEX(Foderstater!$X$64:$AL$101,MATCH(F665,Foderstater!$U$64:$U$101,0),MATCH(A665&amp;C665&amp;E665,Foderstater!$X$63:$AL$63,0))</f>
        <v>0</v>
      </c>
    </row>
    <row r="666" spans="1:14" x14ac:dyDescent="0.25">
      <c r="A666" s="110" t="s">
        <v>37</v>
      </c>
      <c r="B666" s="110"/>
      <c r="C666" s="110"/>
      <c r="D666" s="110"/>
      <c r="E666" s="110" t="s">
        <v>402</v>
      </c>
      <c r="F666" t="str">
        <f>Foderstater!U$99</f>
        <v>potatoe protein</v>
      </c>
      <c r="J666" t="s">
        <v>310</v>
      </c>
      <c r="K666" s="13">
        <f>INDEX(Foderstater!$X$64:$AL$101,MATCH(F666,Foderstater!$U$64:$U$101,0),MATCH(A666&amp;C666&amp;E666,Foderstater!$X$63:$AL$63,0))</f>
        <v>0</v>
      </c>
    </row>
    <row r="667" spans="1:14" x14ac:dyDescent="0.25">
      <c r="A667" s="110" t="s">
        <v>37</v>
      </c>
      <c r="B667" s="110"/>
      <c r="C667" s="110"/>
      <c r="D667" s="110"/>
      <c r="E667" s="110" t="s">
        <v>402</v>
      </c>
      <c r="F667" t="str">
        <f>Foderstater!U$100</f>
        <v>fish meal</v>
      </c>
      <c r="J667" t="s">
        <v>310</v>
      </c>
      <c r="K667" s="13">
        <f>INDEX(Foderstater!$X$64:$AL$101,MATCH(F667,Foderstater!$U$64:$U$101,0),MATCH(A667&amp;C667&amp;E667,Foderstater!$X$63:$AL$63,0))</f>
        <v>0</v>
      </c>
    </row>
    <row r="668" spans="1:14" x14ac:dyDescent="0.25">
      <c r="A668" s="110" t="s">
        <v>37</v>
      </c>
      <c r="B668" s="110"/>
      <c r="C668" s="110"/>
      <c r="D668" s="110"/>
      <c r="E668" s="110" t="s">
        <v>402</v>
      </c>
      <c r="F668" t="str">
        <f>Foderstater!U$101</f>
        <v>minerals</v>
      </c>
      <c r="J668" t="s">
        <v>310</v>
      </c>
      <c r="K668" s="13">
        <f>INDEX(Foderstater!$X$64:$AL$101,MATCH(F668,Foderstater!$U$64:$U$101,0),MATCH(A668&amp;C668&amp;E668,Foderstater!$X$63:$AL$63,0))</f>
        <v>1.0659065118787974</v>
      </c>
    </row>
    <row r="670" spans="1:14" x14ac:dyDescent="0.25">
      <c r="A670" s="91" t="s">
        <v>79</v>
      </c>
      <c r="B670" s="162"/>
      <c r="C670" s="162"/>
      <c r="D670" s="90"/>
      <c r="E670" s="90"/>
      <c r="F670" s="90"/>
      <c r="G670" s="90"/>
      <c r="H670" s="90"/>
      <c r="I670" s="90"/>
      <c r="J670" s="90"/>
      <c r="K670" s="163"/>
      <c r="L670" s="90"/>
      <c r="M670" s="90"/>
      <c r="N670" s="90"/>
    </row>
    <row r="671" spans="1:14" x14ac:dyDescent="0.25">
      <c r="A671" s="158" t="s">
        <v>37</v>
      </c>
      <c r="B671" s="158"/>
      <c r="C671" s="158"/>
      <c r="D671" s="158"/>
      <c r="E671" s="158" t="s">
        <v>633</v>
      </c>
      <c r="J671" s="158" t="s">
        <v>310</v>
      </c>
      <c r="K671" s="158">
        <v>0</v>
      </c>
      <c r="L671" s="158"/>
      <c r="M671" s="158" t="s">
        <v>401</v>
      </c>
    </row>
    <row r="672" spans="1:14" x14ac:dyDescent="0.25">
      <c r="A672" t="s">
        <v>37</v>
      </c>
      <c r="E672" t="s">
        <v>633</v>
      </c>
      <c r="F672" t="str">
        <f>Foderstater!U$64</f>
        <v>ley silage, 1st cut</v>
      </c>
      <c r="J672" t="s">
        <v>310</v>
      </c>
      <c r="K672" s="13">
        <f>INDEX(Foderstater!$X$64:$AL$101,MATCH(F672,Foderstater!$U$64:$U$101,0),MATCH(A672&amp;C672&amp;E672,Foderstater!$X$63:$AL$63,0))</f>
        <v>0</v>
      </c>
      <c r="L672" s="158"/>
      <c r="M672" s="158"/>
    </row>
    <row r="673" spans="1:13" x14ac:dyDescent="0.25">
      <c r="A673" t="s">
        <v>37</v>
      </c>
      <c r="E673" t="s">
        <v>633</v>
      </c>
      <c r="F673" t="str">
        <f>Foderstater!U$65</f>
        <v>ley silage, regrowth</v>
      </c>
      <c r="J673" t="s">
        <v>310</v>
      </c>
      <c r="K673" s="13">
        <f>INDEX(Foderstater!$X$64:$AL$101,MATCH(F673,Foderstater!$U$64:$U$101,0),MATCH(A673&amp;C673&amp;E673,Foderstater!$X$63:$AL$63,0))</f>
        <v>0</v>
      </c>
      <c r="L673" s="158"/>
      <c r="M673" s="158"/>
    </row>
    <row r="674" spans="1:13" x14ac:dyDescent="0.25">
      <c r="A674" t="s">
        <v>37</v>
      </c>
      <c r="E674" t="s">
        <v>633</v>
      </c>
      <c r="F674" t="str">
        <f>Foderstater!U$66</f>
        <v>other silage</v>
      </c>
      <c r="J674" t="s">
        <v>310</v>
      </c>
      <c r="K674" s="13">
        <f>INDEX(Foderstater!$X$64:$AL$101,MATCH(F674,Foderstater!$U$64:$U$101,0),MATCH(A674&amp;C674&amp;E674,Foderstater!$X$63:$AL$63,0))</f>
        <v>0</v>
      </c>
      <c r="L674" s="158"/>
      <c r="M674" s="158"/>
    </row>
    <row r="675" spans="1:13" x14ac:dyDescent="0.25">
      <c r="A675" t="s">
        <v>37</v>
      </c>
      <c r="E675" t="s">
        <v>633</v>
      </c>
      <c r="F675" t="str">
        <f>Foderstater!U$67</f>
        <v>maize silage</v>
      </c>
      <c r="J675" t="s">
        <v>310</v>
      </c>
      <c r="K675" s="13">
        <f>INDEX(Foderstater!$X$64:$AL$101,MATCH(F675,Foderstater!$U$64:$U$101,0),MATCH(A675&amp;C675&amp;E675,Foderstater!$X$63:$AL$63,0))</f>
        <v>0</v>
      </c>
      <c r="L675" s="158"/>
      <c r="M675" s="158"/>
    </row>
    <row r="676" spans="1:13" x14ac:dyDescent="0.25">
      <c r="A676" t="s">
        <v>37</v>
      </c>
      <c r="E676" t="s">
        <v>633</v>
      </c>
      <c r="F676" t="str">
        <f>Foderstater!U$68</f>
        <v>straw</v>
      </c>
      <c r="J676" t="s">
        <v>310</v>
      </c>
      <c r="K676" s="13">
        <f>INDEX(Foderstater!$X$64:$AL$101,MATCH(F676,Foderstater!$U$64:$U$101,0),MATCH(A676&amp;C676&amp;E676,Foderstater!$X$63:$AL$63,0))</f>
        <v>0</v>
      </c>
      <c r="L676" s="158"/>
      <c r="M676" s="158"/>
    </row>
    <row r="677" spans="1:13" x14ac:dyDescent="0.25">
      <c r="A677" t="s">
        <v>37</v>
      </c>
      <c r="E677" t="s">
        <v>633</v>
      </c>
      <c r="F677" t="str">
        <f>Foderstater!U$69</f>
        <v>grazing</v>
      </c>
      <c r="J677" t="s">
        <v>310</v>
      </c>
      <c r="K677" s="13">
        <f>INDEX(Foderstater!$X$64:$AL$101,MATCH(F677,Foderstater!$U$64:$U$101,0),MATCH(A677&amp;C677&amp;E677,Foderstater!$X$63:$AL$63,0))</f>
        <v>100</v>
      </c>
      <c r="L677" s="158"/>
      <c r="M677" s="158"/>
    </row>
    <row r="678" spans="1:13" x14ac:dyDescent="0.25">
      <c r="A678" t="s">
        <v>37</v>
      </c>
      <c r="E678" t="s">
        <v>633</v>
      </c>
      <c r="F678" t="str">
        <f>Foderstater!U$70</f>
        <v>wheat</v>
      </c>
      <c r="J678" t="s">
        <v>310</v>
      </c>
      <c r="K678" s="13">
        <f>INDEX(Foderstater!$X$64:$AL$101,MATCH(F678,Foderstater!$U$64:$U$101,0),MATCH(A678&amp;C678&amp;E678,Foderstater!$X$63:$AL$63,0))</f>
        <v>0</v>
      </c>
      <c r="L678" s="158"/>
      <c r="M678" s="158"/>
    </row>
    <row r="679" spans="1:13" x14ac:dyDescent="0.25">
      <c r="A679" t="s">
        <v>37</v>
      </c>
      <c r="E679" t="s">
        <v>633</v>
      </c>
      <c r="F679" t="str">
        <f>Foderstater!U$71</f>
        <v>barley</v>
      </c>
      <c r="J679" t="s">
        <v>310</v>
      </c>
      <c r="K679" s="13">
        <f>INDEX(Foderstater!$X$64:$AL$101,MATCH(F679,Foderstater!$U$64:$U$101,0),MATCH(A679&amp;C679&amp;E679,Foderstater!$X$63:$AL$63,0))</f>
        <v>0</v>
      </c>
      <c r="L679" s="158"/>
      <c r="M679" s="158"/>
    </row>
    <row r="680" spans="1:13" x14ac:dyDescent="0.25">
      <c r="A680" t="s">
        <v>37</v>
      </c>
      <c r="E680" t="s">
        <v>633</v>
      </c>
      <c r="F680" t="str">
        <f>Foderstater!U$72</f>
        <v>oats</v>
      </c>
      <c r="J680" t="s">
        <v>310</v>
      </c>
      <c r="K680" s="13">
        <f>INDEX(Foderstater!$X$64:$AL$101,MATCH(F680,Foderstater!$U$64:$U$101,0),MATCH(A680&amp;C680&amp;E680,Foderstater!$X$63:$AL$63,0))</f>
        <v>0</v>
      </c>
      <c r="L680" s="158"/>
      <c r="M680" s="158"/>
    </row>
    <row r="681" spans="1:13" x14ac:dyDescent="0.25">
      <c r="A681" t="s">
        <v>37</v>
      </c>
      <c r="E681" t="s">
        <v>633</v>
      </c>
      <c r="F681" t="str">
        <f>Foderstater!U$73</f>
        <v>triticale</v>
      </c>
      <c r="J681" t="s">
        <v>310</v>
      </c>
      <c r="K681" s="13">
        <f>INDEX(Foderstater!$X$64:$AL$101,MATCH(F681,Foderstater!$U$64:$U$101,0),MATCH(A681&amp;C681&amp;E681,Foderstater!$X$63:$AL$63,0))</f>
        <v>0</v>
      </c>
      <c r="L681" s="158"/>
      <c r="M681" s="158"/>
    </row>
    <row r="682" spans="1:13" x14ac:dyDescent="0.25">
      <c r="A682" t="s">
        <v>37</v>
      </c>
      <c r="E682" t="s">
        <v>633</v>
      </c>
      <c r="F682" t="str">
        <f>Foderstater!U$74</f>
        <v>rye</v>
      </c>
      <c r="J682" t="s">
        <v>310</v>
      </c>
      <c r="K682" s="13">
        <f>INDEX(Foderstater!$X$64:$AL$101,MATCH(F682,Foderstater!$U$64:$U$101,0),MATCH(A682&amp;C682&amp;E682,Foderstater!$X$63:$AL$63,0))</f>
        <v>0</v>
      </c>
      <c r="L682" s="158"/>
      <c r="M682" s="158"/>
    </row>
    <row r="683" spans="1:13" x14ac:dyDescent="0.25">
      <c r="A683" t="s">
        <v>37</v>
      </c>
      <c r="E683" t="s">
        <v>633</v>
      </c>
      <c r="F683" t="str">
        <f>Foderstater!U$75</f>
        <v>maize</v>
      </c>
      <c r="J683" t="s">
        <v>310</v>
      </c>
      <c r="K683" s="13">
        <f>INDEX(Foderstater!$X$64:$AL$101,MATCH(F683,Foderstater!$U$64:$U$101,0),MATCH(A683&amp;C683&amp;E683,Foderstater!$X$63:$AL$63,0))</f>
        <v>0</v>
      </c>
      <c r="L683" s="158"/>
      <c r="M683" s="158"/>
    </row>
    <row r="684" spans="1:13" x14ac:dyDescent="0.25">
      <c r="A684" t="s">
        <v>37</v>
      </c>
      <c r="E684" t="s">
        <v>633</v>
      </c>
      <c r="F684" t="str">
        <f>Foderstater!U$76</f>
        <v>peas</v>
      </c>
      <c r="J684" t="s">
        <v>310</v>
      </c>
      <c r="K684" s="13">
        <f>INDEX(Foderstater!$X$64:$AL$101,MATCH(F684,Foderstater!$U$64:$U$101,0),MATCH(A684&amp;C684&amp;E684,Foderstater!$X$63:$AL$63,0))</f>
        <v>0</v>
      </c>
      <c r="L684" s="158"/>
      <c r="M684" s="158"/>
    </row>
    <row r="685" spans="1:13" x14ac:dyDescent="0.25">
      <c r="A685" t="s">
        <v>37</v>
      </c>
      <c r="E685" t="s">
        <v>633</v>
      </c>
      <c r="F685" t="str">
        <f>Foderstater!U$77</f>
        <v>broad beans</v>
      </c>
      <c r="J685" t="s">
        <v>310</v>
      </c>
      <c r="K685" s="13">
        <f>INDEX(Foderstater!$X$64:$AL$101,MATCH(F685,Foderstater!$U$64:$U$101,0),MATCH(A685&amp;C685&amp;E685,Foderstater!$X$63:$AL$63,0))</f>
        <v>0</v>
      </c>
      <c r="L685" s="158"/>
      <c r="M685" s="158"/>
    </row>
    <row r="686" spans="1:13" x14ac:dyDescent="0.25">
      <c r="A686" t="s">
        <v>37</v>
      </c>
      <c r="E686" t="s">
        <v>633</v>
      </c>
      <c r="F686" t="str">
        <f>Foderstater!U$78</f>
        <v>rapeseed</v>
      </c>
      <c r="J686" t="s">
        <v>310</v>
      </c>
      <c r="K686" s="13">
        <f>INDEX(Foderstater!$X$64:$AL$101,MATCH(F686,Foderstater!$U$64:$U$101,0),MATCH(A686&amp;C686&amp;E686,Foderstater!$X$63:$AL$63,0))</f>
        <v>0</v>
      </c>
      <c r="L686" s="158"/>
      <c r="M686" s="158"/>
    </row>
    <row r="687" spans="1:13" x14ac:dyDescent="0.25">
      <c r="A687" t="s">
        <v>37</v>
      </c>
      <c r="E687" t="s">
        <v>633</v>
      </c>
      <c r="F687" t="str">
        <f>Foderstater!U$79</f>
        <v>linseed</v>
      </c>
      <c r="J687" t="s">
        <v>310</v>
      </c>
      <c r="K687" s="13">
        <f>INDEX(Foderstater!$X$64:$AL$101,MATCH(F687,Foderstater!$U$64:$U$101,0),MATCH(A687&amp;C687&amp;E687,Foderstater!$X$63:$AL$63,0))</f>
        <v>0</v>
      </c>
      <c r="L687" s="158"/>
      <c r="M687" s="158"/>
    </row>
    <row r="688" spans="1:13" x14ac:dyDescent="0.25">
      <c r="A688" t="s">
        <v>37</v>
      </c>
      <c r="E688" t="s">
        <v>633</v>
      </c>
      <c r="F688" t="str">
        <f>Foderstater!U$80</f>
        <v>vegetable oils</v>
      </c>
      <c r="J688" t="s">
        <v>310</v>
      </c>
      <c r="K688" s="13">
        <f>INDEX(Foderstater!$X$64:$AL$101,MATCH(F688,Foderstater!$U$64:$U$101,0),MATCH(A688&amp;C688&amp;E688,Foderstater!$X$63:$AL$63,0))</f>
        <v>0</v>
      </c>
      <c r="L688" s="158"/>
      <c r="M688" s="158"/>
    </row>
    <row r="689" spans="1:13" x14ac:dyDescent="0.25">
      <c r="A689" t="s">
        <v>37</v>
      </c>
      <c r="E689" t="s">
        <v>633</v>
      </c>
      <c r="F689" t="str">
        <f>Foderstater!U$81</f>
        <v>soybeans</v>
      </c>
      <c r="J689" t="s">
        <v>310</v>
      </c>
      <c r="K689" s="13">
        <f>INDEX(Foderstater!$X$64:$AL$101,MATCH(F689,Foderstater!$U$64:$U$101,0),MATCH(A689&amp;C689&amp;E689,Foderstater!$X$63:$AL$63,0))</f>
        <v>0</v>
      </c>
      <c r="L689" s="158"/>
      <c r="M689" s="158"/>
    </row>
    <row r="690" spans="1:13" x14ac:dyDescent="0.25">
      <c r="A690" t="s">
        <v>37</v>
      </c>
      <c r="E690" t="s">
        <v>633</v>
      </c>
      <c r="F690" t="str">
        <f>Foderstater!U$82</f>
        <v>soybean meal</v>
      </c>
      <c r="J690" t="s">
        <v>310</v>
      </c>
      <c r="K690" s="13">
        <f>INDEX(Foderstater!$X$64:$AL$101,MATCH(F690,Foderstater!$U$64:$U$101,0),MATCH(A690&amp;C690&amp;E690,Foderstater!$X$63:$AL$63,0))</f>
        <v>0</v>
      </c>
      <c r="L690" s="158"/>
      <c r="M690" s="158"/>
    </row>
    <row r="691" spans="1:13" x14ac:dyDescent="0.25">
      <c r="A691" t="s">
        <v>37</v>
      </c>
      <c r="E691" t="s">
        <v>633</v>
      </c>
      <c r="F691" t="str">
        <f>Foderstater!U$83</f>
        <v>soybean protein concentrate</v>
      </c>
      <c r="J691" t="s">
        <v>310</v>
      </c>
      <c r="K691" s="13">
        <f>INDEX(Foderstater!$X$64:$AL$101,MATCH(F691,Foderstater!$U$64:$U$101,0),MATCH(A691&amp;C691&amp;E691,Foderstater!$X$63:$AL$63,0))</f>
        <v>0</v>
      </c>
      <c r="L691" s="158"/>
      <c r="M691" s="158"/>
    </row>
    <row r="692" spans="1:13" x14ac:dyDescent="0.25">
      <c r="A692" t="s">
        <v>37</v>
      </c>
      <c r="B692" t="s">
        <v>1</v>
      </c>
      <c r="E692" t="s">
        <v>633</v>
      </c>
      <c r="F692" t="str">
        <f>Foderstater!U$84</f>
        <v>rapeseed meal</v>
      </c>
      <c r="J692" t="s">
        <v>310</v>
      </c>
      <c r="K692" s="13">
        <f>INDEX(Foderstater!$X$64:$AL$101,MATCH(F692,Foderstater!$U$64:$U$101,0),MATCH(A692&amp;C692&amp;E692,Foderstater!$X$63:$AL$63,0))</f>
        <v>0</v>
      </c>
      <c r="L692" s="158"/>
      <c r="M692" s="158"/>
    </row>
    <row r="693" spans="1:13" x14ac:dyDescent="0.25">
      <c r="A693" s="268" t="str">
        <f>A692</f>
        <v>beef</v>
      </c>
      <c r="B693" s="268" t="s">
        <v>5</v>
      </c>
      <c r="D693" s="268"/>
      <c r="E693" s="268" t="s">
        <v>633</v>
      </c>
      <c r="F693" s="268" t="s">
        <v>609</v>
      </c>
      <c r="J693" s="268" t="str">
        <f>J692</f>
        <v>share_in_ration</v>
      </c>
      <c r="K693" s="269">
        <f>K692</f>
        <v>0</v>
      </c>
      <c r="L693" s="158"/>
      <c r="M693" s="268" t="s">
        <v>610</v>
      </c>
    </row>
    <row r="694" spans="1:13" x14ac:dyDescent="0.25">
      <c r="A694" t="s">
        <v>37</v>
      </c>
      <c r="E694" t="s">
        <v>633</v>
      </c>
      <c r="F694" t="str">
        <f>Foderstater!U$85</f>
        <v>sunflower seed meal</v>
      </c>
      <c r="J694" t="s">
        <v>310</v>
      </c>
      <c r="K694" s="13">
        <f>INDEX(Foderstater!$X$64:$AL$101,MATCH(F694,Foderstater!$U$64:$U$101,0),MATCH(A694&amp;C694&amp;E694,Foderstater!$X$63:$AL$63,0))</f>
        <v>0</v>
      </c>
    </row>
    <row r="695" spans="1:13" x14ac:dyDescent="0.25">
      <c r="A695" t="s">
        <v>37</v>
      </c>
      <c r="E695" t="s">
        <v>633</v>
      </c>
      <c r="F695" t="str">
        <f>Foderstater!U$86</f>
        <v>palm kernel expeller</v>
      </c>
      <c r="J695" t="s">
        <v>310</v>
      </c>
      <c r="K695" s="13">
        <f>INDEX(Foderstater!$X$64:$AL$101,MATCH(F695,Foderstater!$U$64:$U$101,0),MATCH(A695&amp;C695&amp;E695,Foderstater!$X$63:$AL$63,0))</f>
        <v>0</v>
      </c>
    </row>
    <row r="696" spans="1:13" x14ac:dyDescent="0.25">
      <c r="A696" t="s">
        <v>37</v>
      </c>
      <c r="E696" t="s">
        <v>633</v>
      </c>
      <c r="F696" t="str">
        <f>Foderstater!U$87</f>
        <v>luzern meal</v>
      </c>
      <c r="J696" t="s">
        <v>310</v>
      </c>
      <c r="K696" s="13">
        <f>INDEX(Foderstater!$X$64:$AL$101,MATCH(F696,Foderstater!$U$64:$U$101,0),MATCH(A696&amp;C696&amp;E696,Foderstater!$X$63:$AL$63,0))</f>
        <v>0</v>
      </c>
    </row>
    <row r="697" spans="1:13" x14ac:dyDescent="0.25">
      <c r="A697" t="s">
        <v>37</v>
      </c>
      <c r="E697" t="s">
        <v>633</v>
      </c>
      <c r="F697" t="str">
        <f>Foderstater!U$88</f>
        <v>wheat bran</v>
      </c>
      <c r="J697" t="s">
        <v>310</v>
      </c>
      <c r="K697" s="13">
        <f>INDEX(Foderstater!$X$64:$AL$101,MATCH(F697,Foderstater!$U$64:$U$101,0),MATCH(A697&amp;C697&amp;E697,Foderstater!$X$63:$AL$63,0))</f>
        <v>0</v>
      </c>
    </row>
    <row r="698" spans="1:13" x14ac:dyDescent="0.25">
      <c r="A698" t="s">
        <v>37</v>
      </c>
      <c r="E698" t="s">
        <v>633</v>
      </c>
      <c r="F698" t="str">
        <f>Foderstater!U$89</f>
        <v>wheat bran, fine</v>
      </c>
      <c r="J698" t="s">
        <v>310</v>
      </c>
      <c r="K698" s="13">
        <f>INDEX(Foderstater!$X$64:$AL$101,MATCH(F698,Foderstater!$U$64:$U$101,0),MATCH(A698&amp;C698&amp;E698,Foderstater!$X$63:$AL$63,0))</f>
        <v>0</v>
      </c>
    </row>
    <row r="699" spans="1:13" x14ac:dyDescent="0.25">
      <c r="A699" t="s">
        <v>37</v>
      </c>
      <c r="E699" t="s">
        <v>633</v>
      </c>
      <c r="F699" t="str">
        <f>Foderstater!U$90</f>
        <v>oat hulls</v>
      </c>
      <c r="J699" t="s">
        <v>310</v>
      </c>
      <c r="K699" s="13">
        <f>INDEX(Foderstater!$X$64:$AL$101,MATCH(F699,Foderstater!$U$64:$U$101,0),MATCH(A699&amp;C699&amp;E699,Foderstater!$X$63:$AL$63,0))</f>
        <v>0</v>
      </c>
    </row>
    <row r="700" spans="1:13" x14ac:dyDescent="0.25">
      <c r="A700" t="s">
        <v>37</v>
      </c>
      <c r="E700" t="s">
        <v>633</v>
      </c>
      <c r="F700" t="str">
        <f>Foderstater!U$91</f>
        <v>oat bran</v>
      </c>
      <c r="J700" t="s">
        <v>310</v>
      </c>
      <c r="K700" s="13">
        <f>INDEX(Foderstater!$X$64:$AL$101,MATCH(F700,Foderstater!$U$64:$U$101,0),MATCH(A700&amp;C700&amp;E700,Foderstater!$X$63:$AL$63,0))</f>
        <v>0</v>
      </c>
    </row>
    <row r="701" spans="1:13" x14ac:dyDescent="0.25">
      <c r="A701" t="s">
        <v>37</v>
      </c>
      <c r="E701" t="s">
        <v>633</v>
      </c>
      <c r="F701" t="str">
        <f>Foderstater!U$92</f>
        <v>rye bran</v>
      </c>
      <c r="J701" t="s">
        <v>310</v>
      </c>
      <c r="K701" s="13">
        <f>INDEX(Foderstater!$X$64:$AL$101,MATCH(F701,Foderstater!$U$64:$U$101,0),MATCH(A701&amp;C701&amp;E701,Foderstater!$X$63:$AL$63,0))</f>
        <v>0</v>
      </c>
    </row>
    <row r="702" spans="1:13" x14ac:dyDescent="0.25">
      <c r="A702" t="s">
        <v>37</v>
      </c>
      <c r="E702" t="s">
        <v>633</v>
      </c>
      <c r="F702" t="str">
        <f>Foderstater!U$93</f>
        <v>wheat distillers grain, dry</v>
      </c>
      <c r="J702" t="s">
        <v>310</v>
      </c>
      <c r="K702" s="13">
        <f>INDEX(Foderstater!$X$64:$AL$101,MATCH(F702,Foderstater!$U$64:$U$101,0),MATCH(A702&amp;C702&amp;E702,Foderstater!$X$63:$AL$63,0))</f>
        <v>0</v>
      </c>
    </row>
    <row r="703" spans="1:13" x14ac:dyDescent="0.25">
      <c r="A703" t="s">
        <v>37</v>
      </c>
      <c r="E703" t="s">
        <v>633</v>
      </c>
      <c r="F703" t="str">
        <f>Foderstater!U$94</f>
        <v>barley brewers grain</v>
      </c>
      <c r="J703" t="s">
        <v>310</v>
      </c>
      <c r="K703" s="13">
        <f>INDEX(Foderstater!$X$64:$AL$101,MATCH(F703,Foderstater!$U$64:$U$101,0),MATCH(A703&amp;C703&amp;E703,Foderstater!$X$63:$AL$63,0))</f>
        <v>0</v>
      </c>
    </row>
    <row r="704" spans="1:13" x14ac:dyDescent="0.25">
      <c r="A704" t="s">
        <v>37</v>
      </c>
      <c r="E704" t="s">
        <v>633</v>
      </c>
      <c r="F704" t="str">
        <f>Foderstater!U$95</f>
        <v>maize gluten meal</v>
      </c>
      <c r="J704" t="s">
        <v>310</v>
      </c>
      <c r="K704" s="13">
        <f>INDEX(Foderstater!$X$64:$AL$101,MATCH(F704,Foderstater!$U$64:$U$101,0),MATCH(A704&amp;C704&amp;E704,Foderstater!$X$63:$AL$63,0))</f>
        <v>0</v>
      </c>
    </row>
    <row r="705" spans="1:14" x14ac:dyDescent="0.25">
      <c r="A705" t="s">
        <v>37</v>
      </c>
      <c r="E705" t="s">
        <v>633</v>
      </c>
      <c r="F705" t="str">
        <f>Foderstater!U$96</f>
        <v>sugar beet molasses</v>
      </c>
      <c r="J705" t="s">
        <v>310</v>
      </c>
      <c r="K705" s="13">
        <f>INDEX(Foderstater!$X$64:$AL$101,MATCH(F705,Foderstater!$U$64:$U$101,0),MATCH(A705&amp;C705&amp;E705,Foderstater!$X$63:$AL$63,0))</f>
        <v>0</v>
      </c>
    </row>
    <row r="706" spans="1:14" x14ac:dyDescent="0.25">
      <c r="A706" t="s">
        <v>37</v>
      </c>
      <c r="E706" t="s">
        <v>633</v>
      </c>
      <c r="F706" t="str">
        <f>Foderstater!U$97</f>
        <v>sugar beet pulp</v>
      </c>
      <c r="J706" t="s">
        <v>310</v>
      </c>
      <c r="K706" s="13">
        <f>INDEX(Foderstater!$X$64:$AL$101,MATCH(F706,Foderstater!$U$64:$U$101,0),MATCH(A706&amp;C706&amp;E706,Foderstater!$X$63:$AL$63,0))</f>
        <v>0</v>
      </c>
    </row>
    <row r="707" spans="1:14" x14ac:dyDescent="0.25">
      <c r="A707" t="s">
        <v>37</v>
      </c>
      <c r="E707" t="s">
        <v>633</v>
      </c>
      <c r="F707" t="str">
        <f>Foderstater!U$98</f>
        <v>whey powder</v>
      </c>
      <c r="J707" t="s">
        <v>310</v>
      </c>
      <c r="K707" s="13">
        <f>INDEX(Foderstater!$X$64:$AL$101,MATCH(F707,Foderstater!$U$64:$U$101,0),MATCH(A707&amp;C707&amp;E707,Foderstater!$X$63:$AL$63,0))</f>
        <v>0</v>
      </c>
    </row>
    <row r="708" spans="1:14" x14ac:dyDescent="0.25">
      <c r="A708" t="s">
        <v>37</v>
      </c>
      <c r="E708" t="s">
        <v>633</v>
      </c>
      <c r="F708" t="str">
        <f>Foderstater!U$99</f>
        <v>potatoe protein</v>
      </c>
      <c r="J708" t="s">
        <v>310</v>
      </c>
      <c r="K708" s="13">
        <f>INDEX(Foderstater!$X$64:$AL$101,MATCH(F708,Foderstater!$U$64:$U$101,0),MATCH(A708&amp;C708&amp;E708,Foderstater!$X$63:$AL$63,0))</f>
        <v>0</v>
      </c>
    </row>
    <row r="709" spans="1:14" x14ac:dyDescent="0.25">
      <c r="A709" t="s">
        <v>37</v>
      </c>
      <c r="E709" t="s">
        <v>633</v>
      </c>
      <c r="F709" t="str">
        <f>Foderstater!U$100</f>
        <v>fish meal</v>
      </c>
      <c r="J709" t="s">
        <v>310</v>
      </c>
      <c r="K709" s="13">
        <f>INDEX(Foderstater!$X$64:$AL$101,MATCH(F709,Foderstater!$U$64:$U$101,0),MATCH(A709&amp;C709&amp;E709,Foderstater!$X$63:$AL$63,0))</f>
        <v>0</v>
      </c>
    </row>
    <row r="710" spans="1:14" x14ac:dyDescent="0.25">
      <c r="A710" t="s">
        <v>37</v>
      </c>
      <c r="E710" t="s">
        <v>633</v>
      </c>
      <c r="F710" t="str">
        <f>Foderstater!U$101</f>
        <v>minerals</v>
      </c>
      <c r="J710" t="s">
        <v>310</v>
      </c>
      <c r="K710" s="13">
        <f>INDEX(Foderstater!$X$64:$AL$101,MATCH(F710,Foderstater!$U$64:$U$101,0),MATCH(A710&amp;C710&amp;E710,Foderstater!$X$63:$AL$63,0))</f>
        <v>0</v>
      </c>
    </row>
    <row r="712" spans="1:14" x14ac:dyDescent="0.25">
      <c r="A712" s="91" t="s">
        <v>68</v>
      </c>
      <c r="B712" s="162"/>
      <c r="C712" s="162"/>
      <c r="D712" s="90"/>
      <c r="E712" s="90"/>
      <c r="F712" s="90"/>
      <c r="G712" s="90"/>
      <c r="H712" s="90"/>
      <c r="I712" s="90"/>
      <c r="J712" s="90"/>
      <c r="K712" s="163"/>
      <c r="L712" s="90"/>
      <c r="M712" s="90"/>
      <c r="N712" s="90"/>
    </row>
    <row r="713" spans="1:14" x14ac:dyDescent="0.25">
      <c r="A713" s="158" t="s">
        <v>37</v>
      </c>
      <c r="B713" s="158"/>
      <c r="C713" s="158"/>
      <c r="D713" s="158"/>
      <c r="E713" s="158" t="s">
        <v>32</v>
      </c>
      <c r="J713" s="158" t="s">
        <v>310</v>
      </c>
      <c r="K713" s="158">
        <v>0</v>
      </c>
      <c r="L713" s="158"/>
      <c r="M713" s="158" t="s">
        <v>401</v>
      </c>
    </row>
    <row r="714" spans="1:14" x14ac:dyDescent="0.25">
      <c r="A714" t="s">
        <v>37</v>
      </c>
      <c r="E714" t="s">
        <v>32</v>
      </c>
      <c r="F714" t="str">
        <f>Foderstater!U$64</f>
        <v>ley silage, 1st cut</v>
      </c>
      <c r="J714" t="s">
        <v>310</v>
      </c>
      <c r="K714" s="13">
        <f>INDEX(Foderstater!$X$64:$AL$101,MATCH(F714,Foderstater!$U$64:$U$101,0),MATCH(A714&amp;C714&amp;E714,Foderstater!$X$63:$AL$63,0))</f>
        <v>0</v>
      </c>
      <c r="L714" s="158"/>
      <c r="M714" s="158"/>
    </row>
    <row r="715" spans="1:14" x14ac:dyDescent="0.25">
      <c r="A715" t="s">
        <v>37</v>
      </c>
      <c r="E715" t="s">
        <v>32</v>
      </c>
      <c r="F715" t="str">
        <f>Foderstater!U$65</f>
        <v>ley silage, regrowth</v>
      </c>
      <c r="J715" t="s">
        <v>310</v>
      </c>
      <c r="K715" s="13">
        <f>INDEX(Foderstater!$X$64:$AL$101,MATCH(F715,Foderstater!$U$64:$U$101,0),MATCH(A715&amp;C715&amp;E715,Foderstater!$X$63:$AL$63,0))</f>
        <v>68.854768967576106</v>
      </c>
      <c r="L715" s="158"/>
      <c r="M715" s="158"/>
    </row>
    <row r="716" spans="1:14" x14ac:dyDescent="0.25">
      <c r="A716" t="s">
        <v>37</v>
      </c>
      <c r="E716" t="s">
        <v>32</v>
      </c>
      <c r="F716" t="str">
        <f>Foderstater!U$66</f>
        <v>other silage</v>
      </c>
      <c r="J716" t="s">
        <v>310</v>
      </c>
      <c r="K716" s="13">
        <f>INDEX(Foderstater!$X$64:$AL$101,MATCH(F716,Foderstater!$U$64:$U$101,0),MATCH(A716&amp;C716&amp;E716,Foderstater!$X$63:$AL$63,0))</f>
        <v>0</v>
      </c>
      <c r="L716" s="158"/>
      <c r="M716" s="158"/>
    </row>
    <row r="717" spans="1:14" x14ac:dyDescent="0.25">
      <c r="A717" t="s">
        <v>37</v>
      </c>
      <c r="E717" t="s">
        <v>32</v>
      </c>
      <c r="F717" t="str">
        <f>Foderstater!U$67</f>
        <v>maize silage</v>
      </c>
      <c r="J717" t="s">
        <v>310</v>
      </c>
      <c r="K717" s="13">
        <f>INDEX(Foderstater!$X$64:$AL$101,MATCH(F717,Foderstater!$U$64:$U$101,0),MATCH(A717&amp;C717&amp;E717,Foderstater!$X$63:$AL$63,0))</f>
        <v>0</v>
      </c>
      <c r="L717" s="158"/>
      <c r="M717" s="158"/>
    </row>
    <row r="718" spans="1:14" x14ac:dyDescent="0.25">
      <c r="A718" t="s">
        <v>37</v>
      </c>
      <c r="E718" t="s">
        <v>32</v>
      </c>
      <c r="F718" t="str">
        <f>Foderstater!U$68</f>
        <v>straw</v>
      </c>
      <c r="J718" t="s">
        <v>310</v>
      </c>
      <c r="K718" s="13">
        <f>INDEX(Foderstater!$X$64:$AL$101,MATCH(F718,Foderstater!$U$64:$U$101,0),MATCH(A718&amp;C718&amp;E718,Foderstater!$X$63:$AL$63,0))</f>
        <v>0</v>
      </c>
      <c r="L718" s="158"/>
      <c r="M718" s="158"/>
    </row>
    <row r="719" spans="1:14" x14ac:dyDescent="0.25">
      <c r="A719" t="s">
        <v>37</v>
      </c>
      <c r="E719" t="s">
        <v>32</v>
      </c>
      <c r="F719" t="str">
        <f>Foderstater!U$69</f>
        <v>grazing</v>
      </c>
      <c r="J719" t="s">
        <v>310</v>
      </c>
      <c r="K719" s="13">
        <f>INDEX(Foderstater!$X$64:$AL$101,MATCH(F719,Foderstater!$U$64:$U$101,0),MATCH(A719&amp;C719&amp;E719,Foderstater!$X$63:$AL$63,0))</f>
        <v>30.425854259446911</v>
      </c>
      <c r="L719" s="158"/>
      <c r="M719" s="158"/>
    </row>
    <row r="720" spans="1:14" x14ac:dyDescent="0.25">
      <c r="A720" t="s">
        <v>37</v>
      </c>
      <c r="E720" t="s">
        <v>32</v>
      </c>
      <c r="F720" t="str">
        <f>Foderstater!U$70</f>
        <v>wheat</v>
      </c>
      <c r="J720" t="s">
        <v>310</v>
      </c>
      <c r="K720" s="13">
        <f>INDEX(Foderstater!$X$64:$AL$101,MATCH(F720,Foderstater!$U$64:$U$101,0),MATCH(A720&amp;C720&amp;E720,Foderstater!$X$63:$AL$63,0))</f>
        <v>0</v>
      </c>
      <c r="L720" s="158"/>
      <c r="M720" s="158"/>
    </row>
    <row r="721" spans="1:13" x14ac:dyDescent="0.25">
      <c r="A721" t="s">
        <v>37</v>
      </c>
      <c r="E721" t="s">
        <v>32</v>
      </c>
      <c r="F721" t="str">
        <f>Foderstater!U$71</f>
        <v>barley</v>
      </c>
      <c r="J721" t="s">
        <v>310</v>
      </c>
      <c r="K721" s="13">
        <f>INDEX(Foderstater!$X$64:$AL$101,MATCH(F721,Foderstater!$U$64:$U$101,0),MATCH(A721&amp;C721&amp;E721,Foderstater!$X$63:$AL$63,0))</f>
        <v>0</v>
      </c>
      <c r="L721" s="158"/>
      <c r="M721" s="158"/>
    </row>
    <row r="722" spans="1:13" x14ac:dyDescent="0.25">
      <c r="A722" t="s">
        <v>37</v>
      </c>
      <c r="E722" t="s">
        <v>32</v>
      </c>
      <c r="F722" t="str">
        <f>Foderstater!U$72</f>
        <v>oats</v>
      </c>
      <c r="J722" t="s">
        <v>310</v>
      </c>
      <c r="K722" s="13">
        <f>INDEX(Foderstater!$X$64:$AL$101,MATCH(F722,Foderstater!$U$64:$U$101,0),MATCH(A722&amp;C722&amp;E722,Foderstater!$X$63:$AL$63,0))</f>
        <v>0</v>
      </c>
      <c r="L722" s="158"/>
      <c r="M722" s="158"/>
    </row>
    <row r="723" spans="1:13" x14ac:dyDescent="0.25">
      <c r="A723" t="s">
        <v>37</v>
      </c>
      <c r="E723" t="s">
        <v>32</v>
      </c>
      <c r="F723" t="str">
        <f>Foderstater!U$73</f>
        <v>triticale</v>
      </c>
      <c r="J723" t="s">
        <v>310</v>
      </c>
      <c r="K723" s="13">
        <f>INDEX(Foderstater!$X$64:$AL$101,MATCH(F723,Foderstater!$U$64:$U$101,0),MATCH(A723&amp;C723&amp;E723,Foderstater!$X$63:$AL$63,0))</f>
        <v>0</v>
      </c>
      <c r="L723" s="158"/>
      <c r="M723" s="158"/>
    </row>
    <row r="724" spans="1:13" x14ac:dyDescent="0.25">
      <c r="A724" t="s">
        <v>37</v>
      </c>
      <c r="E724" t="s">
        <v>32</v>
      </c>
      <c r="F724" t="str">
        <f>Foderstater!U$74</f>
        <v>rye</v>
      </c>
      <c r="J724" t="s">
        <v>310</v>
      </c>
      <c r="K724" s="13">
        <f>INDEX(Foderstater!$X$64:$AL$101,MATCH(F724,Foderstater!$U$64:$U$101,0),MATCH(A724&amp;C724&amp;E724,Foderstater!$X$63:$AL$63,0))</f>
        <v>0</v>
      </c>
      <c r="L724" s="158"/>
      <c r="M724" s="158"/>
    </row>
    <row r="725" spans="1:13" x14ac:dyDescent="0.25">
      <c r="A725" t="s">
        <v>37</v>
      </c>
      <c r="E725" t="s">
        <v>32</v>
      </c>
      <c r="F725" t="str">
        <f>Foderstater!U$75</f>
        <v>maize</v>
      </c>
      <c r="J725" t="s">
        <v>310</v>
      </c>
      <c r="K725" s="13">
        <f>INDEX(Foderstater!$X$64:$AL$101,MATCH(F725,Foderstater!$U$64:$U$101,0),MATCH(A725&amp;C725&amp;E725,Foderstater!$X$63:$AL$63,0))</f>
        <v>0</v>
      </c>
      <c r="L725" s="158"/>
      <c r="M725" s="158"/>
    </row>
    <row r="726" spans="1:13" x14ac:dyDescent="0.25">
      <c r="A726" t="s">
        <v>37</v>
      </c>
      <c r="E726" t="s">
        <v>32</v>
      </c>
      <c r="F726" t="str">
        <f>Foderstater!U$76</f>
        <v>peas</v>
      </c>
      <c r="J726" t="s">
        <v>310</v>
      </c>
      <c r="K726" s="13">
        <f>INDEX(Foderstater!$X$64:$AL$101,MATCH(F726,Foderstater!$U$64:$U$101,0),MATCH(A726&amp;C726&amp;E726,Foderstater!$X$63:$AL$63,0))</f>
        <v>0</v>
      </c>
      <c r="L726" s="158"/>
      <c r="M726" s="158"/>
    </row>
    <row r="727" spans="1:13" x14ac:dyDescent="0.25">
      <c r="A727" t="s">
        <v>37</v>
      </c>
      <c r="E727" t="s">
        <v>32</v>
      </c>
      <c r="F727" t="str">
        <f>Foderstater!U$77</f>
        <v>broad beans</v>
      </c>
      <c r="J727" t="s">
        <v>310</v>
      </c>
      <c r="K727" s="13">
        <f>INDEX(Foderstater!$X$64:$AL$101,MATCH(F727,Foderstater!$U$64:$U$101,0),MATCH(A727&amp;C727&amp;E727,Foderstater!$X$63:$AL$63,0))</f>
        <v>0</v>
      </c>
      <c r="L727" s="158"/>
      <c r="M727" s="158"/>
    </row>
    <row r="728" spans="1:13" x14ac:dyDescent="0.25">
      <c r="A728" t="s">
        <v>37</v>
      </c>
      <c r="E728" t="s">
        <v>32</v>
      </c>
      <c r="F728" t="str">
        <f>Foderstater!U$78</f>
        <v>rapeseed</v>
      </c>
      <c r="J728" t="s">
        <v>310</v>
      </c>
      <c r="K728" s="13">
        <f>INDEX(Foderstater!$X$64:$AL$101,MATCH(F728,Foderstater!$U$64:$U$101,0),MATCH(A728&amp;C728&amp;E728,Foderstater!$X$63:$AL$63,0))</f>
        <v>0</v>
      </c>
      <c r="L728" s="158"/>
      <c r="M728" s="158"/>
    </row>
    <row r="729" spans="1:13" x14ac:dyDescent="0.25">
      <c r="A729" t="s">
        <v>37</v>
      </c>
      <c r="E729" t="s">
        <v>32</v>
      </c>
      <c r="F729" t="str">
        <f>Foderstater!U$79</f>
        <v>linseed</v>
      </c>
      <c r="J729" t="s">
        <v>310</v>
      </c>
      <c r="K729" s="13">
        <f>INDEX(Foderstater!$X$64:$AL$101,MATCH(F729,Foderstater!$U$64:$U$101,0),MATCH(A729&amp;C729&amp;E729,Foderstater!$X$63:$AL$63,0))</f>
        <v>0</v>
      </c>
      <c r="L729" s="158"/>
      <c r="M729" s="158"/>
    </row>
    <row r="730" spans="1:13" x14ac:dyDescent="0.25">
      <c r="A730" t="s">
        <v>37</v>
      </c>
      <c r="E730" t="s">
        <v>32</v>
      </c>
      <c r="F730" t="str">
        <f>Foderstater!U$80</f>
        <v>vegetable oils</v>
      </c>
      <c r="J730" t="s">
        <v>310</v>
      </c>
      <c r="K730" s="13">
        <f>INDEX(Foderstater!$X$64:$AL$101,MATCH(F730,Foderstater!$U$64:$U$101,0),MATCH(A730&amp;C730&amp;E730,Foderstater!$X$63:$AL$63,0))</f>
        <v>0</v>
      </c>
      <c r="L730" s="158"/>
      <c r="M730" s="158"/>
    </row>
    <row r="731" spans="1:13" x14ac:dyDescent="0.25">
      <c r="A731" t="s">
        <v>37</v>
      </c>
      <c r="E731" t="s">
        <v>32</v>
      </c>
      <c r="F731" t="str">
        <f>Foderstater!U$81</f>
        <v>soybeans</v>
      </c>
      <c r="J731" t="s">
        <v>310</v>
      </c>
      <c r="K731" s="13">
        <f>INDEX(Foderstater!$X$64:$AL$101,MATCH(F731,Foderstater!$U$64:$U$101,0),MATCH(A731&amp;C731&amp;E731,Foderstater!$X$63:$AL$63,0))</f>
        <v>0</v>
      </c>
      <c r="L731" s="158"/>
      <c r="M731" s="158"/>
    </row>
    <row r="732" spans="1:13" x14ac:dyDescent="0.25">
      <c r="A732" t="s">
        <v>37</v>
      </c>
      <c r="E732" t="s">
        <v>32</v>
      </c>
      <c r="F732" t="str">
        <f>Foderstater!U$82</f>
        <v>soybean meal</v>
      </c>
      <c r="J732" t="s">
        <v>310</v>
      </c>
      <c r="K732" s="13">
        <f>INDEX(Foderstater!$X$64:$AL$101,MATCH(F732,Foderstater!$U$64:$U$101,0),MATCH(A732&amp;C732&amp;E732,Foderstater!$X$63:$AL$63,0))</f>
        <v>0</v>
      </c>
      <c r="L732" s="158"/>
      <c r="M732" s="158"/>
    </row>
    <row r="733" spans="1:13" x14ac:dyDescent="0.25">
      <c r="A733" t="s">
        <v>37</v>
      </c>
      <c r="E733" t="s">
        <v>32</v>
      </c>
      <c r="F733" t="str">
        <f>Foderstater!U$83</f>
        <v>soybean protein concentrate</v>
      </c>
      <c r="J733" t="s">
        <v>310</v>
      </c>
      <c r="K733" s="13">
        <f>INDEX(Foderstater!$X$64:$AL$101,MATCH(F733,Foderstater!$U$64:$U$101,0),MATCH(A733&amp;C733&amp;E733,Foderstater!$X$63:$AL$63,0))</f>
        <v>0</v>
      </c>
      <c r="L733" s="158"/>
      <c r="M733" s="158"/>
    </row>
    <row r="734" spans="1:13" x14ac:dyDescent="0.25">
      <c r="A734" t="s">
        <v>37</v>
      </c>
      <c r="B734" t="s">
        <v>1</v>
      </c>
      <c r="E734" t="s">
        <v>32</v>
      </c>
      <c r="F734" t="str">
        <f>Foderstater!U$84</f>
        <v>rapeseed meal</v>
      </c>
      <c r="J734" t="s">
        <v>310</v>
      </c>
      <c r="K734" s="13">
        <f>INDEX(Foderstater!$X$64:$AL$101,MATCH(F734,Foderstater!$U$64:$U$101,0),MATCH(A734&amp;C734&amp;E734,Foderstater!$X$63:$AL$63,0))</f>
        <v>0</v>
      </c>
      <c r="L734" s="158"/>
      <c r="M734" s="158"/>
    </row>
    <row r="735" spans="1:13" x14ac:dyDescent="0.25">
      <c r="A735" s="268" t="str">
        <f>A734</f>
        <v>beef</v>
      </c>
      <c r="B735" s="268" t="s">
        <v>5</v>
      </c>
      <c r="D735" s="268"/>
      <c r="E735" s="268" t="s">
        <v>32</v>
      </c>
      <c r="F735" s="268" t="s">
        <v>609</v>
      </c>
      <c r="J735" s="268" t="str">
        <f>J734</f>
        <v>share_in_ration</v>
      </c>
      <c r="K735" s="269">
        <f>K734</f>
        <v>0</v>
      </c>
      <c r="L735" s="158"/>
      <c r="M735" s="268" t="s">
        <v>610</v>
      </c>
    </row>
    <row r="736" spans="1:13" x14ac:dyDescent="0.25">
      <c r="A736" t="s">
        <v>37</v>
      </c>
      <c r="E736" t="s">
        <v>32</v>
      </c>
      <c r="F736" t="str">
        <f>Foderstater!U$85</f>
        <v>sunflower seed meal</v>
      </c>
      <c r="J736" t="s">
        <v>310</v>
      </c>
      <c r="K736" s="13">
        <f>INDEX(Foderstater!$X$64:$AL$101,MATCH(F736,Foderstater!$U$64:$U$101,0),MATCH(A736&amp;C736&amp;E736,Foderstater!$X$63:$AL$63,0))</f>
        <v>0</v>
      </c>
    </row>
    <row r="737" spans="1:11" x14ac:dyDescent="0.25">
      <c r="A737" t="s">
        <v>37</v>
      </c>
      <c r="E737" t="s">
        <v>32</v>
      </c>
      <c r="F737" t="str">
        <f>Foderstater!U$86</f>
        <v>palm kernel expeller</v>
      </c>
      <c r="J737" t="s">
        <v>310</v>
      </c>
      <c r="K737" s="13">
        <f>INDEX(Foderstater!$X$64:$AL$101,MATCH(F737,Foderstater!$U$64:$U$101,0),MATCH(A737&amp;C737&amp;E737,Foderstater!$X$63:$AL$63,0))</f>
        <v>0</v>
      </c>
    </row>
    <row r="738" spans="1:11" x14ac:dyDescent="0.25">
      <c r="A738" t="s">
        <v>37</v>
      </c>
      <c r="E738" t="s">
        <v>32</v>
      </c>
      <c r="F738" t="str">
        <f>Foderstater!U$87</f>
        <v>luzern meal</v>
      </c>
      <c r="J738" t="s">
        <v>310</v>
      </c>
      <c r="K738" s="13">
        <f>INDEX(Foderstater!$X$64:$AL$101,MATCH(F738,Foderstater!$U$64:$U$101,0),MATCH(A738&amp;C738&amp;E738,Foderstater!$X$63:$AL$63,0))</f>
        <v>0</v>
      </c>
    </row>
    <row r="739" spans="1:11" x14ac:dyDescent="0.25">
      <c r="A739" t="s">
        <v>37</v>
      </c>
      <c r="E739" t="s">
        <v>32</v>
      </c>
      <c r="F739" t="str">
        <f>Foderstater!U$88</f>
        <v>wheat bran</v>
      </c>
      <c r="J739" t="s">
        <v>310</v>
      </c>
      <c r="K739" s="13">
        <f>INDEX(Foderstater!$X$64:$AL$101,MATCH(F739,Foderstater!$U$64:$U$101,0),MATCH(A739&amp;C739&amp;E739,Foderstater!$X$63:$AL$63,0))</f>
        <v>0</v>
      </c>
    </row>
    <row r="740" spans="1:11" x14ac:dyDescent="0.25">
      <c r="A740" t="s">
        <v>37</v>
      </c>
      <c r="E740" t="s">
        <v>32</v>
      </c>
      <c r="F740" t="str">
        <f>Foderstater!U$89</f>
        <v>wheat bran, fine</v>
      </c>
      <c r="J740" t="s">
        <v>310</v>
      </c>
      <c r="K740" s="13">
        <f>INDEX(Foderstater!$X$64:$AL$101,MATCH(F740,Foderstater!$U$64:$U$101,0),MATCH(A740&amp;C740&amp;E740,Foderstater!$X$63:$AL$63,0))</f>
        <v>0</v>
      </c>
    </row>
    <row r="741" spans="1:11" x14ac:dyDescent="0.25">
      <c r="A741" t="s">
        <v>37</v>
      </c>
      <c r="E741" t="s">
        <v>32</v>
      </c>
      <c r="F741" t="str">
        <f>Foderstater!U$90</f>
        <v>oat hulls</v>
      </c>
      <c r="J741" t="s">
        <v>310</v>
      </c>
      <c r="K741" s="13">
        <f>INDEX(Foderstater!$X$64:$AL$101,MATCH(F741,Foderstater!$U$64:$U$101,0),MATCH(A741&amp;C741&amp;E741,Foderstater!$X$63:$AL$63,0))</f>
        <v>0</v>
      </c>
    </row>
    <row r="742" spans="1:11" x14ac:dyDescent="0.25">
      <c r="A742" t="s">
        <v>37</v>
      </c>
      <c r="E742" t="s">
        <v>32</v>
      </c>
      <c r="F742" t="str">
        <f>Foderstater!U$91</f>
        <v>oat bran</v>
      </c>
      <c r="J742" t="s">
        <v>310</v>
      </c>
      <c r="K742" s="13">
        <f>INDEX(Foderstater!$X$64:$AL$101,MATCH(F742,Foderstater!$U$64:$U$101,0),MATCH(A742&amp;C742&amp;E742,Foderstater!$X$63:$AL$63,0))</f>
        <v>0</v>
      </c>
    </row>
    <row r="743" spans="1:11" x14ac:dyDescent="0.25">
      <c r="A743" t="s">
        <v>37</v>
      </c>
      <c r="E743" t="s">
        <v>32</v>
      </c>
      <c r="F743" t="str">
        <f>Foderstater!U$92</f>
        <v>rye bran</v>
      </c>
      <c r="J743" t="s">
        <v>310</v>
      </c>
      <c r="K743" s="13">
        <f>INDEX(Foderstater!$X$64:$AL$101,MATCH(F743,Foderstater!$U$64:$U$101,0),MATCH(A743&amp;C743&amp;E743,Foderstater!$X$63:$AL$63,0))</f>
        <v>0</v>
      </c>
    </row>
    <row r="744" spans="1:11" x14ac:dyDescent="0.25">
      <c r="A744" t="s">
        <v>37</v>
      </c>
      <c r="E744" t="s">
        <v>32</v>
      </c>
      <c r="F744" t="str">
        <f>Foderstater!U$93</f>
        <v>wheat distillers grain, dry</v>
      </c>
      <c r="J744" t="s">
        <v>310</v>
      </c>
      <c r="K744" s="13">
        <f>INDEX(Foderstater!$X$64:$AL$101,MATCH(F744,Foderstater!$U$64:$U$101,0),MATCH(A744&amp;C744&amp;E744,Foderstater!$X$63:$AL$63,0))</f>
        <v>0</v>
      </c>
    </row>
    <row r="745" spans="1:11" x14ac:dyDescent="0.25">
      <c r="A745" t="s">
        <v>37</v>
      </c>
      <c r="E745" t="s">
        <v>32</v>
      </c>
      <c r="F745" t="str">
        <f>Foderstater!U$94</f>
        <v>barley brewers grain</v>
      </c>
      <c r="J745" t="s">
        <v>310</v>
      </c>
      <c r="K745" s="13">
        <f>INDEX(Foderstater!$X$64:$AL$101,MATCH(F745,Foderstater!$U$64:$U$101,0),MATCH(A745&amp;C745&amp;E745,Foderstater!$X$63:$AL$63,0))</f>
        <v>0</v>
      </c>
    </row>
    <row r="746" spans="1:11" x14ac:dyDescent="0.25">
      <c r="A746" t="s">
        <v>37</v>
      </c>
      <c r="E746" t="s">
        <v>32</v>
      </c>
      <c r="F746" t="str">
        <f>Foderstater!U$95</f>
        <v>maize gluten meal</v>
      </c>
      <c r="J746" t="s">
        <v>310</v>
      </c>
      <c r="K746" s="13">
        <f>INDEX(Foderstater!$X$64:$AL$101,MATCH(F746,Foderstater!$U$64:$U$101,0),MATCH(A746&amp;C746&amp;E746,Foderstater!$X$63:$AL$63,0))</f>
        <v>0</v>
      </c>
    </row>
    <row r="747" spans="1:11" x14ac:dyDescent="0.25">
      <c r="A747" t="s">
        <v>37</v>
      </c>
      <c r="E747" t="s">
        <v>32</v>
      </c>
      <c r="F747" t="str">
        <f>Foderstater!U$96</f>
        <v>sugar beet molasses</v>
      </c>
      <c r="J747" t="s">
        <v>310</v>
      </c>
      <c r="K747" s="13">
        <f>INDEX(Foderstater!$X$64:$AL$101,MATCH(F747,Foderstater!$U$64:$U$101,0),MATCH(A747&amp;C747&amp;E747,Foderstater!$X$63:$AL$63,0))</f>
        <v>0</v>
      </c>
    </row>
    <row r="748" spans="1:11" x14ac:dyDescent="0.25">
      <c r="A748" t="s">
        <v>37</v>
      </c>
      <c r="E748" t="s">
        <v>32</v>
      </c>
      <c r="F748" t="str">
        <f>Foderstater!U$97</f>
        <v>sugar beet pulp</v>
      </c>
      <c r="J748" t="s">
        <v>310</v>
      </c>
      <c r="K748" s="13">
        <f>INDEX(Foderstater!$X$64:$AL$101,MATCH(F748,Foderstater!$U$64:$U$101,0),MATCH(A748&amp;C748&amp;E748,Foderstater!$X$63:$AL$63,0))</f>
        <v>0</v>
      </c>
    </row>
    <row r="749" spans="1:11" x14ac:dyDescent="0.25">
      <c r="A749" t="s">
        <v>37</v>
      </c>
      <c r="E749" t="s">
        <v>32</v>
      </c>
      <c r="F749" t="str">
        <f>Foderstater!U$98</f>
        <v>whey powder</v>
      </c>
      <c r="J749" t="s">
        <v>310</v>
      </c>
      <c r="K749" s="13">
        <f>INDEX(Foderstater!$X$64:$AL$101,MATCH(F749,Foderstater!$U$64:$U$101,0),MATCH(A749&amp;C749&amp;E749,Foderstater!$X$63:$AL$63,0))</f>
        <v>0</v>
      </c>
    </row>
    <row r="750" spans="1:11" x14ac:dyDescent="0.25">
      <c r="A750" t="s">
        <v>37</v>
      </c>
      <c r="E750" t="s">
        <v>32</v>
      </c>
      <c r="F750" t="str">
        <f>Foderstater!U$99</f>
        <v>potatoe protein</v>
      </c>
      <c r="J750" t="s">
        <v>310</v>
      </c>
      <c r="K750" s="13">
        <f>INDEX(Foderstater!$X$64:$AL$101,MATCH(F750,Foderstater!$U$64:$U$101,0),MATCH(A750&amp;C750&amp;E750,Foderstater!$X$63:$AL$63,0))</f>
        <v>0</v>
      </c>
    </row>
    <row r="751" spans="1:11" x14ac:dyDescent="0.25">
      <c r="A751" t="s">
        <v>37</v>
      </c>
      <c r="E751" t="s">
        <v>32</v>
      </c>
      <c r="F751" t="str">
        <f>Foderstater!U$100</f>
        <v>fish meal</v>
      </c>
      <c r="J751" t="s">
        <v>310</v>
      </c>
      <c r="K751" s="13">
        <f>INDEX(Foderstater!$X$64:$AL$101,MATCH(F751,Foderstater!$U$64:$U$101,0),MATCH(A751&amp;C751&amp;E751,Foderstater!$X$63:$AL$63,0))</f>
        <v>0</v>
      </c>
    </row>
    <row r="752" spans="1:11" x14ac:dyDescent="0.25">
      <c r="A752" t="s">
        <v>37</v>
      </c>
      <c r="E752" t="s">
        <v>32</v>
      </c>
      <c r="F752" t="str">
        <f>Foderstater!U$101</f>
        <v>minerals</v>
      </c>
      <c r="J752" t="s">
        <v>310</v>
      </c>
      <c r="K752" s="13">
        <f>INDEX(Foderstater!$X$64:$AL$101,MATCH(F752,Foderstater!$U$64:$U$101,0),MATCH(A752&amp;C752&amp;E752,Foderstater!$X$63:$AL$63,0))</f>
        <v>0.71937677297698155</v>
      </c>
    </row>
    <row r="753" spans="1:14" x14ac:dyDescent="0.25">
      <c r="K753" s="13"/>
    </row>
    <row r="754" spans="1:14" x14ac:dyDescent="0.25">
      <c r="A754" s="91" t="s">
        <v>71</v>
      </c>
      <c r="B754" s="162"/>
      <c r="C754" s="162"/>
      <c r="D754" s="90"/>
      <c r="E754" s="90"/>
      <c r="F754" s="90"/>
      <c r="G754" s="90"/>
      <c r="H754" s="90"/>
      <c r="I754" s="90"/>
      <c r="J754" s="90"/>
      <c r="K754" s="163"/>
      <c r="L754" s="90"/>
      <c r="M754" s="90"/>
      <c r="N754" s="90"/>
    </row>
    <row r="755" spans="1:14" x14ac:dyDescent="0.25">
      <c r="A755" s="158" t="s">
        <v>37</v>
      </c>
      <c r="B755" s="158"/>
      <c r="C755" s="158"/>
      <c r="D755" s="158"/>
      <c r="E755" s="158" t="s">
        <v>33</v>
      </c>
      <c r="J755" s="158" t="s">
        <v>310</v>
      </c>
      <c r="K755" s="158">
        <v>0</v>
      </c>
      <c r="L755" s="158"/>
      <c r="M755" s="158" t="s">
        <v>401</v>
      </c>
    </row>
    <row r="756" spans="1:14" x14ac:dyDescent="0.25">
      <c r="A756" t="s">
        <v>37</v>
      </c>
      <c r="E756" t="s">
        <v>33</v>
      </c>
      <c r="F756" t="str">
        <f>Foderstater!U$64</f>
        <v>ley silage, 1st cut</v>
      </c>
      <c r="J756" t="s">
        <v>310</v>
      </c>
      <c r="K756" s="13">
        <f>INDEX(Foderstater!$X$64:$AL$101,MATCH(F756,Foderstater!$U$64:$U$101,0),MATCH(A756&amp;C756&amp;E756,Foderstater!$X$63:$AL$63,0))</f>
        <v>0</v>
      </c>
      <c r="L756" s="158"/>
      <c r="M756" s="158"/>
    </row>
    <row r="757" spans="1:14" x14ac:dyDescent="0.25">
      <c r="A757" t="s">
        <v>37</v>
      </c>
      <c r="E757" t="s">
        <v>33</v>
      </c>
      <c r="F757" t="str">
        <f>Foderstater!U$65</f>
        <v>ley silage, regrowth</v>
      </c>
      <c r="J757" t="s">
        <v>310</v>
      </c>
      <c r="K757" s="13">
        <f>INDEX(Foderstater!$X$64:$AL$101,MATCH(F757,Foderstater!$U$64:$U$101,0),MATCH(A757&amp;C757&amp;E757,Foderstater!$X$63:$AL$63,0))</f>
        <v>69.016974351370379</v>
      </c>
      <c r="L757" s="158"/>
      <c r="M757" s="158"/>
    </row>
    <row r="758" spans="1:14" x14ac:dyDescent="0.25">
      <c r="A758" t="s">
        <v>37</v>
      </c>
      <c r="E758" t="s">
        <v>33</v>
      </c>
      <c r="F758" t="str">
        <f>Foderstater!U$66</f>
        <v>other silage</v>
      </c>
      <c r="J758" t="s">
        <v>310</v>
      </c>
      <c r="K758" s="13">
        <f>INDEX(Foderstater!$X$64:$AL$101,MATCH(F758,Foderstater!$U$64:$U$101,0),MATCH(A758&amp;C758&amp;E758,Foderstater!$X$63:$AL$63,0))</f>
        <v>0</v>
      </c>
      <c r="L758" s="158"/>
      <c r="M758" s="158"/>
    </row>
    <row r="759" spans="1:14" x14ac:dyDescent="0.25">
      <c r="A759" t="s">
        <v>37</v>
      </c>
      <c r="E759" t="s">
        <v>33</v>
      </c>
      <c r="F759" t="str">
        <f>Foderstater!U$67</f>
        <v>maize silage</v>
      </c>
      <c r="J759" t="s">
        <v>310</v>
      </c>
      <c r="K759" s="13">
        <f>INDEX(Foderstater!$X$64:$AL$101,MATCH(F759,Foderstater!$U$64:$U$101,0),MATCH(A759&amp;C759&amp;E759,Foderstater!$X$63:$AL$63,0))</f>
        <v>0</v>
      </c>
      <c r="L759" s="158"/>
      <c r="M759" s="158"/>
    </row>
    <row r="760" spans="1:14" x14ac:dyDescent="0.25">
      <c r="A760" t="s">
        <v>37</v>
      </c>
      <c r="E760" t="s">
        <v>33</v>
      </c>
      <c r="F760" t="str">
        <f>Foderstater!U$68</f>
        <v>straw</v>
      </c>
      <c r="J760" t="s">
        <v>310</v>
      </c>
      <c r="K760" s="13">
        <f>INDEX(Foderstater!$X$64:$AL$101,MATCH(F760,Foderstater!$U$64:$U$101,0),MATCH(A760&amp;C760&amp;E760,Foderstater!$X$63:$AL$63,0))</f>
        <v>0</v>
      </c>
      <c r="L760" s="158"/>
      <c r="M760" s="158"/>
    </row>
    <row r="761" spans="1:14" x14ac:dyDescent="0.25">
      <c r="A761" t="s">
        <v>37</v>
      </c>
      <c r="E761" t="s">
        <v>33</v>
      </c>
      <c r="F761" t="str">
        <f>Foderstater!U$69</f>
        <v>grazing</v>
      </c>
      <c r="J761" t="s">
        <v>310</v>
      </c>
      <c r="K761" s="13">
        <f>INDEX(Foderstater!$X$64:$AL$101,MATCH(F761,Foderstater!$U$64:$U$101,0),MATCH(A761&amp;C761&amp;E761,Foderstater!$X$63:$AL$63,0))</f>
        <v>30.282083494235561</v>
      </c>
      <c r="L761" s="158"/>
      <c r="M761" s="158"/>
    </row>
    <row r="762" spans="1:14" x14ac:dyDescent="0.25">
      <c r="A762" t="s">
        <v>37</v>
      </c>
      <c r="E762" t="s">
        <v>33</v>
      </c>
      <c r="F762" t="str">
        <f>Foderstater!U$70</f>
        <v>wheat</v>
      </c>
      <c r="J762" t="s">
        <v>310</v>
      </c>
      <c r="K762" s="13">
        <f>INDEX(Foderstater!$X$64:$AL$101,MATCH(F762,Foderstater!$U$64:$U$101,0),MATCH(A762&amp;C762&amp;E762,Foderstater!$X$63:$AL$63,0))</f>
        <v>0</v>
      </c>
      <c r="L762" s="158"/>
      <c r="M762" s="158"/>
    </row>
    <row r="763" spans="1:14" x14ac:dyDescent="0.25">
      <c r="A763" t="s">
        <v>37</v>
      </c>
      <c r="E763" t="s">
        <v>33</v>
      </c>
      <c r="F763" t="str">
        <f>Foderstater!U$71</f>
        <v>barley</v>
      </c>
      <c r="J763" t="s">
        <v>310</v>
      </c>
      <c r="K763" s="13">
        <f>INDEX(Foderstater!$X$64:$AL$101,MATCH(F763,Foderstater!$U$64:$U$101,0),MATCH(A763&amp;C763&amp;E763,Foderstater!$X$63:$AL$63,0))</f>
        <v>0</v>
      </c>
      <c r="L763" s="158"/>
      <c r="M763" s="158"/>
    </row>
    <row r="764" spans="1:14" x14ac:dyDescent="0.25">
      <c r="A764" t="s">
        <v>37</v>
      </c>
      <c r="E764" t="s">
        <v>33</v>
      </c>
      <c r="F764" t="str">
        <f>Foderstater!U$72</f>
        <v>oats</v>
      </c>
      <c r="J764" t="s">
        <v>310</v>
      </c>
      <c r="K764" s="13">
        <f>INDEX(Foderstater!$X$64:$AL$101,MATCH(F764,Foderstater!$U$64:$U$101,0),MATCH(A764&amp;C764&amp;E764,Foderstater!$X$63:$AL$63,0))</f>
        <v>0</v>
      </c>
      <c r="L764" s="158"/>
      <c r="M764" s="158"/>
    </row>
    <row r="765" spans="1:14" x14ac:dyDescent="0.25">
      <c r="A765" t="s">
        <v>37</v>
      </c>
      <c r="E765" t="s">
        <v>33</v>
      </c>
      <c r="F765" t="str">
        <f>Foderstater!U$73</f>
        <v>triticale</v>
      </c>
      <c r="J765" t="s">
        <v>310</v>
      </c>
      <c r="K765" s="13">
        <f>INDEX(Foderstater!$X$64:$AL$101,MATCH(F765,Foderstater!$U$64:$U$101,0),MATCH(A765&amp;C765&amp;E765,Foderstater!$X$63:$AL$63,0))</f>
        <v>0</v>
      </c>
      <c r="L765" s="158"/>
      <c r="M765" s="158"/>
    </row>
    <row r="766" spans="1:14" x14ac:dyDescent="0.25">
      <c r="A766" t="s">
        <v>37</v>
      </c>
      <c r="E766" t="s">
        <v>33</v>
      </c>
      <c r="F766" t="str">
        <f>Foderstater!U$74</f>
        <v>rye</v>
      </c>
      <c r="J766" t="s">
        <v>310</v>
      </c>
      <c r="K766" s="13">
        <f>INDEX(Foderstater!$X$64:$AL$101,MATCH(F766,Foderstater!$U$64:$U$101,0),MATCH(A766&amp;C766&amp;E766,Foderstater!$X$63:$AL$63,0))</f>
        <v>0</v>
      </c>
      <c r="L766" s="158"/>
      <c r="M766" s="158"/>
    </row>
    <row r="767" spans="1:14" x14ac:dyDescent="0.25">
      <c r="A767" t="s">
        <v>37</v>
      </c>
      <c r="E767" t="s">
        <v>33</v>
      </c>
      <c r="F767" t="str">
        <f>Foderstater!U$75</f>
        <v>maize</v>
      </c>
      <c r="J767" t="s">
        <v>310</v>
      </c>
      <c r="K767" s="13">
        <f>INDEX(Foderstater!$X$64:$AL$101,MATCH(F767,Foderstater!$U$64:$U$101,0),MATCH(A767&amp;C767&amp;E767,Foderstater!$X$63:$AL$63,0))</f>
        <v>0</v>
      </c>
      <c r="L767" s="158"/>
      <c r="M767" s="158"/>
    </row>
    <row r="768" spans="1:14" x14ac:dyDescent="0.25">
      <c r="A768" t="s">
        <v>37</v>
      </c>
      <c r="E768" t="s">
        <v>33</v>
      </c>
      <c r="F768" t="str">
        <f>Foderstater!U$76</f>
        <v>peas</v>
      </c>
      <c r="J768" t="s">
        <v>310</v>
      </c>
      <c r="K768" s="13">
        <f>INDEX(Foderstater!$X$64:$AL$101,MATCH(F768,Foderstater!$U$64:$U$101,0),MATCH(A768&amp;C768&amp;E768,Foderstater!$X$63:$AL$63,0))</f>
        <v>0</v>
      </c>
      <c r="L768" s="158"/>
      <c r="M768" s="158"/>
    </row>
    <row r="769" spans="1:13" x14ac:dyDescent="0.25">
      <c r="A769" t="s">
        <v>37</v>
      </c>
      <c r="E769" t="s">
        <v>33</v>
      </c>
      <c r="F769" t="str">
        <f>Foderstater!U$77</f>
        <v>broad beans</v>
      </c>
      <c r="J769" t="s">
        <v>310</v>
      </c>
      <c r="K769" s="13">
        <f>INDEX(Foderstater!$X$64:$AL$101,MATCH(F769,Foderstater!$U$64:$U$101,0),MATCH(A769&amp;C769&amp;E769,Foderstater!$X$63:$AL$63,0))</f>
        <v>0</v>
      </c>
      <c r="L769" s="158"/>
      <c r="M769" s="158"/>
    </row>
    <row r="770" spans="1:13" x14ac:dyDescent="0.25">
      <c r="A770" t="s">
        <v>37</v>
      </c>
      <c r="E770" t="s">
        <v>33</v>
      </c>
      <c r="F770" t="str">
        <f>Foderstater!U$78</f>
        <v>rapeseed</v>
      </c>
      <c r="J770" t="s">
        <v>310</v>
      </c>
      <c r="K770" s="13">
        <f>INDEX(Foderstater!$X$64:$AL$101,MATCH(F770,Foderstater!$U$64:$U$101,0),MATCH(A770&amp;C770&amp;E770,Foderstater!$X$63:$AL$63,0))</f>
        <v>0</v>
      </c>
      <c r="L770" s="158"/>
      <c r="M770" s="158"/>
    </row>
    <row r="771" spans="1:13" x14ac:dyDescent="0.25">
      <c r="A771" t="s">
        <v>37</v>
      </c>
      <c r="E771" t="s">
        <v>33</v>
      </c>
      <c r="F771" t="str">
        <f>Foderstater!U$79</f>
        <v>linseed</v>
      </c>
      <c r="J771" t="s">
        <v>310</v>
      </c>
      <c r="K771" s="13">
        <f>INDEX(Foderstater!$X$64:$AL$101,MATCH(F771,Foderstater!$U$64:$U$101,0),MATCH(A771&amp;C771&amp;E771,Foderstater!$X$63:$AL$63,0))</f>
        <v>0</v>
      </c>
      <c r="L771" s="158"/>
      <c r="M771" s="158"/>
    </row>
    <row r="772" spans="1:13" x14ac:dyDescent="0.25">
      <c r="A772" t="s">
        <v>37</v>
      </c>
      <c r="E772" t="s">
        <v>33</v>
      </c>
      <c r="F772" t="str">
        <f>Foderstater!U$80</f>
        <v>vegetable oils</v>
      </c>
      <c r="J772" t="s">
        <v>310</v>
      </c>
      <c r="K772" s="13">
        <f>INDEX(Foderstater!$X$64:$AL$101,MATCH(F772,Foderstater!$U$64:$U$101,0),MATCH(A772&amp;C772&amp;E772,Foderstater!$X$63:$AL$63,0))</f>
        <v>0</v>
      </c>
      <c r="L772" s="158"/>
      <c r="M772" s="158"/>
    </row>
    <row r="773" spans="1:13" x14ac:dyDescent="0.25">
      <c r="A773" t="s">
        <v>37</v>
      </c>
      <c r="E773" t="s">
        <v>33</v>
      </c>
      <c r="F773" t="str">
        <f>Foderstater!U$81</f>
        <v>soybeans</v>
      </c>
      <c r="J773" t="s">
        <v>310</v>
      </c>
      <c r="K773" s="13">
        <f>INDEX(Foderstater!$X$64:$AL$101,MATCH(F773,Foderstater!$U$64:$U$101,0),MATCH(A773&amp;C773&amp;E773,Foderstater!$X$63:$AL$63,0))</f>
        <v>0</v>
      </c>
      <c r="L773" s="158"/>
      <c r="M773" s="158"/>
    </row>
    <row r="774" spans="1:13" x14ac:dyDescent="0.25">
      <c r="A774" t="s">
        <v>37</v>
      </c>
      <c r="E774" t="s">
        <v>33</v>
      </c>
      <c r="F774" t="str">
        <f>Foderstater!U$82</f>
        <v>soybean meal</v>
      </c>
      <c r="J774" t="s">
        <v>310</v>
      </c>
      <c r="K774" s="13">
        <f>INDEX(Foderstater!$X$64:$AL$101,MATCH(F774,Foderstater!$U$64:$U$101,0),MATCH(A774&amp;C774&amp;E774,Foderstater!$X$63:$AL$63,0))</f>
        <v>0</v>
      </c>
      <c r="L774" s="158"/>
      <c r="M774" s="158"/>
    </row>
    <row r="775" spans="1:13" x14ac:dyDescent="0.25">
      <c r="A775" t="s">
        <v>37</v>
      </c>
      <c r="E775" t="s">
        <v>33</v>
      </c>
      <c r="F775" t="str">
        <f>Foderstater!U$83</f>
        <v>soybean protein concentrate</v>
      </c>
      <c r="J775" t="s">
        <v>310</v>
      </c>
      <c r="K775" s="13">
        <f>INDEX(Foderstater!$X$64:$AL$101,MATCH(F775,Foderstater!$U$64:$U$101,0),MATCH(A775&amp;C775&amp;E775,Foderstater!$X$63:$AL$63,0))</f>
        <v>0</v>
      </c>
      <c r="L775" s="158"/>
      <c r="M775" s="158"/>
    </row>
    <row r="776" spans="1:13" x14ac:dyDescent="0.25">
      <c r="A776" t="s">
        <v>37</v>
      </c>
      <c r="B776" t="s">
        <v>1</v>
      </c>
      <c r="E776" t="s">
        <v>33</v>
      </c>
      <c r="F776" t="str">
        <f>Foderstater!U$84</f>
        <v>rapeseed meal</v>
      </c>
      <c r="J776" t="s">
        <v>310</v>
      </c>
      <c r="K776" s="13">
        <f>INDEX(Foderstater!$X$64:$AL$101,MATCH(F776,Foderstater!$U$64:$U$101,0),MATCH(A776&amp;C776&amp;E776,Foderstater!$X$63:$AL$63,0))</f>
        <v>0</v>
      </c>
      <c r="L776" s="158"/>
      <c r="M776" s="158"/>
    </row>
    <row r="777" spans="1:13" x14ac:dyDescent="0.25">
      <c r="A777" s="268" t="str">
        <f>A776</f>
        <v>beef</v>
      </c>
      <c r="B777" s="268" t="s">
        <v>5</v>
      </c>
      <c r="D777" s="268"/>
      <c r="E777" s="268" t="s">
        <v>33</v>
      </c>
      <c r="F777" s="268" t="s">
        <v>609</v>
      </c>
      <c r="J777" s="268" t="str">
        <f>J776</f>
        <v>share_in_ration</v>
      </c>
      <c r="K777" s="269">
        <f>K776</f>
        <v>0</v>
      </c>
      <c r="L777" s="158"/>
      <c r="M777" s="268" t="s">
        <v>610</v>
      </c>
    </row>
    <row r="778" spans="1:13" x14ac:dyDescent="0.25">
      <c r="A778" t="s">
        <v>37</v>
      </c>
      <c r="E778" t="s">
        <v>33</v>
      </c>
      <c r="F778" t="str">
        <f>Foderstater!U$85</f>
        <v>sunflower seed meal</v>
      </c>
      <c r="J778" t="s">
        <v>310</v>
      </c>
      <c r="K778" s="13">
        <f>INDEX(Foderstater!$X$64:$AL$101,MATCH(F778,Foderstater!$U$64:$U$101,0),MATCH(A778&amp;C778&amp;E778,Foderstater!$X$63:$AL$63,0))</f>
        <v>0</v>
      </c>
    </row>
    <row r="779" spans="1:13" x14ac:dyDescent="0.25">
      <c r="A779" t="s">
        <v>37</v>
      </c>
      <c r="E779" t="s">
        <v>33</v>
      </c>
      <c r="F779" t="str">
        <f>Foderstater!U$86</f>
        <v>palm kernel expeller</v>
      </c>
      <c r="J779" t="s">
        <v>310</v>
      </c>
      <c r="K779" s="13">
        <f>INDEX(Foderstater!$X$64:$AL$101,MATCH(F779,Foderstater!$U$64:$U$101,0),MATCH(A779&amp;C779&amp;E779,Foderstater!$X$63:$AL$63,0))</f>
        <v>0</v>
      </c>
    </row>
    <row r="780" spans="1:13" x14ac:dyDescent="0.25">
      <c r="A780" t="s">
        <v>37</v>
      </c>
      <c r="E780" t="s">
        <v>33</v>
      </c>
      <c r="F780" t="str">
        <f>Foderstater!U$87</f>
        <v>luzern meal</v>
      </c>
      <c r="J780" t="s">
        <v>310</v>
      </c>
      <c r="K780" s="13">
        <f>INDEX(Foderstater!$X$64:$AL$101,MATCH(F780,Foderstater!$U$64:$U$101,0),MATCH(A780&amp;C780&amp;E780,Foderstater!$X$63:$AL$63,0))</f>
        <v>0</v>
      </c>
    </row>
    <row r="781" spans="1:13" x14ac:dyDescent="0.25">
      <c r="A781" t="s">
        <v>37</v>
      </c>
      <c r="E781" t="s">
        <v>33</v>
      </c>
      <c r="F781" t="str">
        <f>Foderstater!U$88</f>
        <v>wheat bran</v>
      </c>
      <c r="J781" t="s">
        <v>310</v>
      </c>
      <c r="K781" s="13">
        <f>INDEX(Foderstater!$X$64:$AL$101,MATCH(F781,Foderstater!$U$64:$U$101,0),MATCH(A781&amp;C781&amp;E781,Foderstater!$X$63:$AL$63,0))</f>
        <v>0</v>
      </c>
    </row>
    <row r="782" spans="1:13" x14ac:dyDescent="0.25">
      <c r="A782" t="s">
        <v>37</v>
      </c>
      <c r="E782" t="s">
        <v>33</v>
      </c>
      <c r="F782" t="str">
        <f>Foderstater!U$89</f>
        <v>wheat bran, fine</v>
      </c>
      <c r="J782" t="s">
        <v>310</v>
      </c>
      <c r="K782" s="13">
        <f>INDEX(Foderstater!$X$64:$AL$101,MATCH(F782,Foderstater!$U$64:$U$101,0),MATCH(A782&amp;C782&amp;E782,Foderstater!$X$63:$AL$63,0))</f>
        <v>0</v>
      </c>
    </row>
    <row r="783" spans="1:13" x14ac:dyDescent="0.25">
      <c r="A783" t="s">
        <v>37</v>
      </c>
      <c r="E783" t="s">
        <v>33</v>
      </c>
      <c r="F783" t="str">
        <f>Foderstater!U$90</f>
        <v>oat hulls</v>
      </c>
      <c r="J783" t="s">
        <v>310</v>
      </c>
      <c r="K783" s="13">
        <f>INDEX(Foderstater!$X$64:$AL$101,MATCH(F783,Foderstater!$U$64:$U$101,0),MATCH(A783&amp;C783&amp;E783,Foderstater!$X$63:$AL$63,0))</f>
        <v>0</v>
      </c>
    </row>
    <row r="784" spans="1:13" x14ac:dyDescent="0.25">
      <c r="A784" t="s">
        <v>37</v>
      </c>
      <c r="E784" t="s">
        <v>33</v>
      </c>
      <c r="F784" t="str">
        <f>Foderstater!U$91</f>
        <v>oat bran</v>
      </c>
      <c r="J784" t="s">
        <v>310</v>
      </c>
      <c r="K784" s="13">
        <f>INDEX(Foderstater!$X$64:$AL$101,MATCH(F784,Foderstater!$U$64:$U$101,0),MATCH(A784&amp;C784&amp;E784,Foderstater!$X$63:$AL$63,0))</f>
        <v>0</v>
      </c>
    </row>
    <row r="785" spans="1:14" x14ac:dyDescent="0.25">
      <c r="A785" t="s">
        <v>37</v>
      </c>
      <c r="E785" t="s">
        <v>33</v>
      </c>
      <c r="F785" t="str">
        <f>Foderstater!U$92</f>
        <v>rye bran</v>
      </c>
      <c r="J785" t="s">
        <v>310</v>
      </c>
      <c r="K785" s="13">
        <f>INDEX(Foderstater!$X$64:$AL$101,MATCH(F785,Foderstater!$U$64:$U$101,0),MATCH(A785&amp;C785&amp;E785,Foderstater!$X$63:$AL$63,0))</f>
        <v>0</v>
      </c>
    </row>
    <row r="786" spans="1:14" x14ac:dyDescent="0.25">
      <c r="A786" t="s">
        <v>37</v>
      </c>
      <c r="E786" t="s">
        <v>33</v>
      </c>
      <c r="F786" t="str">
        <f>Foderstater!U$93</f>
        <v>wheat distillers grain, dry</v>
      </c>
      <c r="J786" t="s">
        <v>310</v>
      </c>
      <c r="K786" s="13">
        <f>INDEX(Foderstater!$X$64:$AL$101,MATCH(F786,Foderstater!$U$64:$U$101,0),MATCH(A786&amp;C786&amp;E786,Foderstater!$X$63:$AL$63,0))</f>
        <v>0</v>
      </c>
    </row>
    <row r="787" spans="1:14" x14ac:dyDescent="0.25">
      <c r="A787" t="s">
        <v>37</v>
      </c>
      <c r="E787" t="s">
        <v>33</v>
      </c>
      <c r="F787" t="str">
        <f>Foderstater!U$94</f>
        <v>barley brewers grain</v>
      </c>
      <c r="J787" t="s">
        <v>310</v>
      </c>
      <c r="K787" s="13">
        <f>INDEX(Foderstater!$X$64:$AL$101,MATCH(F787,Foderstater!$U$64:$U$101,0),MATCH(A787&amp;C787&amp;E787,Foderstater!$X$63:$AL$63,0))</f>
        <v>0</v>
      </c>
    </row>
    <row r="788" spans="1:14" x14ac:dyDescent="0.25">
      <c r="A788" t="s">
        <v>37</v>
      </c>
      <c r="E788" t="s">
        <v>33</v>
      </c>
      <c r="F788" t="str">
        <f>Foderstater!U$95</f>
        <v>maize gluten meal</v>
      </c>
      <c r="J788" t="s">
        <v>310</v>
      </c>
      <c r="K788" s="13">
        <f>INDEX(Foderstater!$X$64:$AL$101,MATCH(F788,Foderstater!$U$64:$U$101,0),MATCH(A788&amp;C788&amp;E788,Foderstater!$X$63:$AL$63,0))</f>
        <v>0</v>
      </c>
    </row>
    <row r="789" spans="1:14" x14ac:dyDescent="0.25">
      <c r="A789" t="s">
        <v>37</v>
      </c>
      <c r="E789" t="s">
        <v>33</v>
      </c>
      <c r="F789" t="str">
        <f>Foderstater!U$96</f>
        <v>sugar beet molasses</v>
      </c>
      <c r="J789" t="s">
        <v>310</v>
      </c>
      <c r="K789" s="13">
        <f>INDEX(Foderstater!$X$64:$AL$101,MATCH(F789,Foderstater!$U$64:$U$101,0),MATCH(A789&amp;C789&amp;E789,Foderstater!$X$63:$AL$63,0))</f>
        <v>0</v>
      </c>
    </row>
    <row r="790" spans="1:14" x14ac:dyDescent="0.25">
      <c r="A790" t="s">
        <v>37</v>
      </c>
      <c r="E790" t="s">
        <v>33</v>
      </c>
      <c r="F790" t="str">
        <f>Foderstater!U$97</f>
        <v>sugar beet pulp</v>
      </c>
      <c r="J790" t="s">
        <v>310</v>
      </c>
      <c r="K790" s="13">
        <f>INDEX(Foderstater!$X$64:$AL$101,MATCH(F790,Foderstater!$U$64:$U$101,0),MATCH(A790&amp;C790&amp;E790,Foderstater!$X$63:$AL$63,0))</f>
        <v>0</v>
      </c>
    </row>
    <row r="791" spans="1:14" x14ac:dyDescent="0.25">
      <c r="A791" t="s">
        <v>37</v>
      </c>
      <c r="E791" t="s">
        <v>33</v>
      </c>
      <c r="F791" t="str">
        <f>Foderstater!U$98</f>
        <v>whey powder</v>
      </c>
      <c r="J791" t="s">
        <v>310</v>
      </c>
      <c r="K791" s="13">
        <f>INDEX(Foderstater!$X$64:$AL$101,MATCH(F791,Foderstater!$U$64:$U$101,0),MATCH(A791&amp;C791&amp;E791,Foderstater!$X$63:$AL$63,0))</f>
        <v>0</v>
      </c>
    </row>
    <row r="792" spans="1:14" x14ac:dyDescent="0.25">
      <c r="A792" t="s">
        <v>37</v>
      </c>
      <c r="E792" t="s">
        <v>33</v>
      </c>
      <c r="F792" t="str">
        <f>Foderstater!U$99</f>
        <v>potatoe protein</v>
      </c>
      <c r="J792" t="s">
        <v>310</v>
      </c>
      <c r="K792" s="13">
        <f>INDEX(Foderstater!$X$64:$AL$101,MATCH(F792,Foderstater!$U$64:$U$101,0),MATCH(A792&amp;C792&amp;E792,Foderstater!$X$63:$AL$63,0))</f>
        <v>0</v>
      </c>
    </row>
    <row r="793" spans="1:14" x14ac:dyDescent="0.25">
      <c r="A793" t="s">
        <v>37</v>
      </c>
      <c r="E793" t="s">
        <v>33</v>
      </c>
      <c r="F793" t="str">
        <f>Foderstater!U$100</f>
        <v>fish meal</v>
      </c>
      <c r="J793" t="s">
        <v>310</v>
      </c>
      <c r="K793" s="13">
        <f>INDEX(Foderstater!$X$64:$AL$101,MATCH(F793,Foderstater!$U$64:$U$101,0),MATCH(A793&amp;C793&amp;E793,Foderstater!$X$63:$AL$63,0))</f>
        <v>0</v>
      </c>
    </row>
    <row r="794" spans="1:14" x14ac:dyDescent="0.25">
      <c r="A794" t="s">
        <v>37</v>
      </c>
      <c r="E794" t="s">
        <v>33</v>
      </c>
      <c r="F794" t="str">
        <f>Foderstater!U$101</f>
        <v>minerals</v>
      </c>
      <c r="J794" t="s">
        <v>310</v>
      </c>
      <c r="K794" s="13">
        <f>INDEX(Foderstater!$X$64:$AL$101,MATCH(F794,Foderstater!$U$64:$U$101,0),MATCH(A794&amp;C794&amp;E794,Foderstater!$X$63:$AL$63,0))</f>
        <v>0.70094215439405494</v>
      </c>
    </row>
    <row r="796" spans="1:14" x14ac:dyDescent="0.25">
      <c r="A796" s="91" t="s">
        <v>75</v>
      </c>
      <c r="B796" s="162"/>
      <c r="C796" s="162"/>
      <c r="D796" s="90"/>
      <c r="E796" s="90"/>
      <c r="F796" s="90"/>
      <c r="G796" s="90"/>
      <c r="H796" s="90"/>
      <c r="I796" s="90"/>
      <c r="J796" s="90"/>
      <c r="K796" s="163"/>
      <c r="L796" s="90"/>
      <c r="M796" s="90"/>
      <c r="N796" s="90"/>
    </row>
    <row r="797" spans="1:14" x14ac:dyDescent="0.25">
      <c r="A797" s="158" t="s">
        <v>37</v>
      </c>
      <c r="B797" s="158"/>
      <c r="C797" s="158"/>
      <c r="D797" s="158"/>
      <c r="E797" s="158" t="s">
        <v>34</v>
      </c>
      <c r="J797" s="158" t="s">
        <v>310</v>
      </c>
      <c r="K797" s="158">
        <v>0</v>
      </c>
      <c r="L797" s="158"/>
      <c r="M797" s="158" t="s">
        <v>401</v>
      </c>
    </row>
    <row r="798" spans="1:14" x14ac:dyDescent="0.25">
      <c r="A798" t="s">
        <v>37</v>
      </c>
      <c r="E798" t="s">
        <v>34</v>
      </c>
      <c r="F798" t="str">
        <f>Foderstater!U$64</f>
        <v>ley silage, 1st cut</v>
      </c>
      <c r="J798" t="s">
        <v>310</v>
      </c>
      <c r="K798" s="13">
        <f>INDEX(Foderstater!$X$64:$AL$101,MATCH(F798,Foderstater!$U$64:$U$101,0),MATCH(A798&amp;C798&amp;E798,Foderstater!$X$63:$AL$63,0))</f>
        <v>60.138713626619086</v>
      </c>
      <c r="L798" s="158"/>
      <c r="M798" s="158"/>
    </row>
    <row r="799" spans="1:14" x14ac:dyDescent="0.25">
      <c r="A799" t="s">
        <v>37</v>
      </c>
      <c r="E799" t="s">
        <v>34</v>
      </c>
      <c r="F799" t="str">
        <f>Foderstater!U$65</f>
        <v>ley silage, regrowth</v>
      </c>
      <c r="J799" t="s">
        <v>310</v>
      </c>
      <c r="K799" s="13">
        <f>INDEX(Foderstater!$X$64:$AL$101,MATCH(F799,Foderstater!$U$64:$U$101,0),MATCH(A799&amp;C799&amp;E799,Foderstater!$X$63:$AL$63,0))</f>
        <v>0</v>
      </c>
      <c r="L799" s="158"/>
      <c r="M799" s="158"/>
    </row>
    <row r="800" spans="1:14" x14ac:dyDescent="0.25">
      <c r="A800" t="s">
        <v>37</v>
      </c>
      <c r="E800" t="s">
        <v>34</v>
      </c>
      <c r="F800" t="str">
        <f>Foderstater!U$66</f>
        <v>other silage</v>
      </c>
      <c r="J800" t="s">
        <v>310</v>
      </c>
      <c r="K800" s="13">
        <f>INDEX(Foderstater!$X$64:$AL$101,MATCH(F800,Foderstater!$U$64:$U$101,0),MATCH(A800&amp;C800&amp;E800,Foderstater!$X$63:$AL$63,0))</f>
        <v>0</v>
      </c>
      <c r="L800" s="158"/>
      <c r="M800" s="158"/>
    </row>
    <row r="801" spans="1:13" x14ac:dyDescent="0.25">
      <c r="A801" t="s">
        <v>37</v>
      </c>
      <c r="E801" t="s">
        <v>34</v>
      </c>
      <c r="F801" t="str">
        <f>Foderstater!U$67</f>
        <v>maize silage</v>
      </c>
      <c r="J801" t="s">
        <v>310</v>
      </c>
      <c r="K801" s="13">
        <f>INDEX(Foderstater!$X$64:$AL$101,MATCH(F801,Foderstater!$U$64:$U$101,0),MATCH(A801&amp;C801&amp;E801,Foderstater!$X$63:$AL$63,0))</f>
        <v>0</v>
      </c>
      <c r="L801" s="158"/>
      <c r="M801" s="158"/>
    </row>
    <row r="802" spans="1:13" x14ac:dyDescent="0.25">
      <c r="A802" t="s">
        <v>37</v>
      </c>
      <c r="E802" t="s">
        <v>34</v>
      </c>
      <c r="F802" t="str">
        <f>Foderstater!U$68</f>
        <v>straw</v>
      </c>
      <c r="J802" t="s">
        <v>310</v>
      </c>
      <c r="K802" s="13">
        <f>INDEX(Foderstater!$X$64:$AL$101,MATCH(F802,Foderstater!$U$64:$U$101,0),MATCH(A802&amp;C802&amp;E802,Foderstater!$X$63:$AL$63,0))</f>
        <v>0</v>
      </c>
      <c r="L802" s="158"/>
      <c r="M802" s="158"/>
    </row>
    <row r="803" spans="1:13" x14ac:dyDescent="0.25">
      <c r="A803" t="s">
        <v>37</v>
      </c>
      <c r="E803" t="s">
        <v>34</v>
      </c>
      <c r="F803" t="str">
        <f>Foderstater!U$69</f>
        <v>grazing</v>
      </c>
      <c r="J803" t="s">
        <v>310</v>
      </c>
      <c r="K803" s="13">
        <f>INDEX(Foderstater!$X$64:$AL$101,MATCH(F803,Foderstater!$U$64:$U$101,0),MATCH(A803&amp;C803&amp;E803,Foderstater!$X$63:$AL$63,0))</f>
        <v>0</v>
      </c>
      <c r="L803" s="158"/>
      <c r="M803" s="158"/>
    </row>
    <row r="804" spans="1:13" x14ac:dyDescent="0.25">
      <c r="A804" t="s">
        <v>37</v>
      </c>
      <c r="E804" t="s">
        <v>34</v>
      </c>
      <c r="F804" t="str">
        <f>Foderstater!U$70</f>
        <v>wheat</v>
      </c>
      <c r="J804" t="s">
        <v>310</v>
      </c>
      <c r="K804" s="13">
        <f>INDEX(Foderstater!$X$64:$AL$101,MATCH(F804,Foderstater!$U$64:$U$101,0),MATCH(A804&amp;C804&amp;E804,Foderstater!$X$63:$AL$63,0))</f>
        <v>8.7950802360888023</v>
      </c>
      <c r="L804" s="158"/>
      <c r="M804" s="158"/>
    </row>
    <row r="805" spans="1:13" x14ac:dyDescent="0.25">
      <c r="A805" t="s">
        <v>37</v>
      </c>
      <c r="E805" t="s">
        <v>34</v>
      </c>
      <c r="F805" t="str">
        <f>Foderstater!U$71</f>
        <v>barley</v>
      </c>
      <c r="J805" t="s">
        <v>310</v>
      </c>
      <c r="K805" s="13">
        <f>INDEX(Foderstater!$X$64:$AL$101,MATCH(F805,Foderstater!$U$64:$U$101,0),MATCH(A805&amp;C805&amp;E805,Foderstater!$X$63:$AL$63,0))</f>
        <v>16.456273052444185</v>
      </c>
      <c r="L805" s="158"/>
      <c r="M805" s="158"/>
    </row>
    <row r="806" spans="1:13" x14ac:dyDescent="0.25">
      <c r="A806" t="s">
        <v>37</v>
      </c>
      <c r="E806" t="s">
        <v>34</v>
      </c>
      <c r="F806" t="str">
        <f>Foderstater!U$72</f>
        <v>oats</v>
      </c>
      <c r="J806" t="s">
        <v>310</v>
      </c>
      <c r="K806" s="13">
        <f>INDEX(Foderstater!$X$64:$AL$101,MATCH(F806,Foderstater!$U$64:$U$101,0),MATCH(A806&amp;C806&amp;E806,Foderstater!$X$63:$AL$63,0))</f>
        <v>3.6372465594215786</v>
      </c>
      <c r="L806" s="158"/>
      <c r="M806" s="158"/>
    </row>
    <row r="807" spans="1:13" x14ac:dyDescent="0.25">
      <c r="A807" t="s">
        <v>37</v>
      </c>
      <c r="E807" t="s">
        <v>34</v>
      </c>
      <c r="F807" t="str">
        <f>Foderstater!U$73</f>
        <v>triticale</v>
      </c>
      <c r="J807" t="s">
        <v>310</v>
      </c>
      <c r="K807" s="13">
        <f>INDEX(Foderstater!$X$64:$AL$101,MATCH(F807,Foderstater!$U$64:$U$101,0),MATCH(A807&amp;C807&amp;E807,Foderstater!$X$63:$AL$63,0))</f>
        <v>5.8891480485237606</v>
      </c>
      <c r="L807" s="158"/>
      <c r="M807" s="158"/>
    </row>
    <row r="808" spans="1:13" x14ac:dyDescent="0.25">
      <c r="A808" t="s">
        <v>37</v>
      </c>
      <c r="E808" t="s">
        <v>34</v>
      </c>
      <c r="F808" t="str">
        <f>Foderstater!U$74</f>
        <v>rye</v>
      </c>
      <c r="J808" t="s">
        <v>310</v>
      </c>
      <c r="K808" s="13">
        <f>INDEX(Foderstater!$X$64:$AL$101,MATCH(F808,Foderstater!$U$64:$U$101,0),MATCH(A808&amp;C808&amp;E808,Foderstater!$X$63:$AL$63,0))</f>
        <v>1.3507533293838584E-2</v>
      </c>
      <c r="L808" s="158"/>
      <c r="M808" s="158"/>
    </row>
    <row r="809" spans="1:13" x14ac:dyDescent="0.25">
      <c r="A809" t="s">
        <v>37</v>
      </c>
      <c r="E809" t="s">
        <v>34</v>
      </c>
      <c r="F809" t="str">
        <f>Foderstater!U$75</f>
        <v>maize</v>
      </c>
      <c r="J809" t="s">
        <v>310</v>
      </c>
      <c r="K809" s="13">
        <f>INDEX(Foderstater!$X$64:$AL$101,MATCH(F809,Foderstater!$U$64:$U$101,0),MATCH(A809&amp;C809&amp;E809,Foderstater!$X$63:$AL$63,0))</f>
        <v>5.8685075988393134E-2</v>
      </c>
      <c r="L809" s="158"/>
      <c r="M809" s="158"/>
    </row>
    <row r="810" spans="1:13" x14ac:dyDescent="0.25">
      <c r="A810" t="s">
        <v>37</v>
      </c>
      <c r="E810" t="s">
        <v>34</v>
      </c>
      <c r="F810" t="str">
        <f>Foderstater!U$76</f>
        <v>peas</v>
      </c>
      <c r="J810" t="s">
        <v>310</v>
      </c>
      <c r="K810" s="13">
        <f>INDEX(Foderstater!$X$64:$AL$101,MATCH(F810,Foderstater!$U$64:$U$101,0),MATCH(A810&amp;C810&amp;E810,Foderstater!$X$63:$AL$63,0))</f>
        <v>1.230521308754674</v>
      </c>
      <c r="L810" s="158"/>
      <c r="M810" s="158"/>
    </row>
    <row r="811" spans="1:13" x14ac:dyDescent="0.25">
      <c r="A811" t="s">
        <v>37</v>
      </c>
      <c r="E811" t="s">
        <v>34</v>
      </c>
      <c r="F811" t="str">
        <f>Foderstater!U$77</f>
        <v>broad beans</v>
      </c>
      <c r="J811" t="s">
        <v>310</v>
      </c>
      <c r="K811" s="13">
        <f>INDEX(Foderstater!$X$64:$AL$101,MATCH(F811,Foderstater!$U$64:$U$101,0),MATCH(A811&amp;C811&amp;E811,Foderstater!$X$63:$AL$63,0))</f>
        <v>1.1908458068725807</v>
      </c>
      <c r="L811" s="158"/>
      <c r="M811" s="158"/>
    </row>
    <row r="812" spans="1:13" x14ac:dyDescent="0.25">
      <c r="A812" t="s">
        <v>37</v>
      </c>
      <c r="E812" t="s">
        <v>34</v>
      </c>
      <c r="F812" t="str">
        <f>Foderstater!U$78</f>
        <v>rapeseed</v>
      </c>
      <c r="J812" t="s">
        <v>310</v>
      </c>
      <c r="K812" s="13">
        <f>INDEX(Foderstater!$X$64:$AL$101,MATCH(F812,Foderstater!$U$64:$U$101,0),MATCH(A812&amp;C812&amp;E812,Foderstater!$X$63:$AL$63,0))</f>
        <v>0.49891518495011011</v>
      </c>
      <c r="L812" s="158"/>
      <c r="M812" s="158"/>
    </row>
    <row r="813" spans="1:13" x14ac:dyDescent="0.25">
      <c r="A813" t="s">
        <v>37</v>
      </c>
      <c r="E813" t="s">
        <v>34</v>
      </c>
      <c r="F813" t="str">
        <f>Foderstater!U$79</f>
        <v>linseed</v>
      </c>
      <c r="J813" t="s">
        <v>310</v>
      </c>
      <c r="K813" s="13">
        <f>INDEX(Foderstater!$X$64:$AL$101,MATCH(F813,Foderstater!$U$64:$U$101,0),MATCH(A813&amp;C813&amp;E813,Foderstater!$X$63:$AL$63,0))</f>
        <v>3.6802917118822752E-4</v>
      </c>
      <c r="L813" s="158"/>
      <c r="M813" s="158"/>
    </row>
    <row r="814" spans="1:13" x14ac:dyDescent="0.25">
      <c r="A814" t="s">
        <v>37</v>
      </c>
      <c r="E814" t="s">
        <v>34</v>
      </c>
      <c r="F814" t="str">
        <f>Foderstater!U$80</f>
        <v>vegetable oils</v>
      </c>
      <c r="J814" t="s">
        <v>310</v>
      </c>
      <c r="K814" s="13">
        <f>INDEX(Foderstater!$X$64:$AL$101,MATCH(F814,Foderstater!$U$64:$U$101,0),MATCH(A814&amp;C814&amp;E814,Foderstater!$X$63:$AL$63,0))</f>
        <v>9.5013866211436822E-3</v>
      </c>
      <c r="L814" s="158"/>
      <c r="M814" s="158"/>
    </row>
    <row r="815" spans="1:13" x14ac:dyDescent="0.25">
      <c r="A815" t="s">
        <v>37</v>
      </c>
      <c r="E815" t="s">
        <v>34</v>
      </c>
      <c r="F815" t="str">
        <f>Foderstater!U$81</f>
        <v>soybeans</v>
      </c>
      <c r="J815" t="s">
        <v>310</v>
      </c>
      <c r="K815" s="13">
        <f>INDEX(Foderstater!$X$64:$AL$101,MATCH(F815,Foderstater!$U$64:$U$101,0),MATCH(A815&amp;C815&amp;E815,Foderstater!$X$63:$AL$63,0))</f>
        <v>9.2850444567383218E-3</v>
      </c>
      <c r="L815" s="158"/>
      <c r="M815" s="158"/>
    </row>
    <row r="816" spans="1:13" x14ac:dyDescent="0.25">
      <c r="A816" t="s">
        <v>37</v>
      </c>
      <c r="E816" t="s">
        <v>34</v>
      </c>
      <c r="F816" t="str">
        <f>Foderstater!U$82</f>
        <v>soybean meal</v>
      </c>
      <c r="J816" t="s">
        <v>310</v>
      </c>
      <c r="K816" s="13">
        <f>INDEX(Foderstater!$X$64:$AL$101,MATCH(F816,Foderstater!$U$64:$U$101,0),MATCH(A816&amp;C816&amp;E816,Foderstater!$X$63:$AL$63,0))</f>
        <v>8.4815436019657742E-2</v>
      </c>
      <c r="L816" s="158"/>
      <c r="M816" s="158"/>
    </row>
    <row r="817" spans="1:13" x14ac:dyDescent="0.25">
      <c r="A817" t="s">
        <v>37</v>
      </c>
      <c r="E817" t="s">
        <v>34</v>
      </c>
      <c r="F817" t="str">
        <f>Foderstater!U$83</f>
        <v>soybean protein concentrate</v>
      </c>
      <c r="J817" t="s">
        <v>310</v>
      </c>
      <c r="K817" s="13">
        <f>INDEX(Foderstater!$X$64:$AL$101,MATCH(F817,Foderstater!$U$64:$U$101,0),MATCH(A817&amp;C817&amp;E817,Foderstater!$X$63:$AL$63,0))</f>
        <v>0</v>
      </c>
      <c r="L817" s="158"/>
      <c r="M817" s="158"/>
    </row>
    <row r="818" spans="1:13" x14ac:dyDescent="0.25">
      <c r="A818" t="s">
        <v>37</v>
      </c>
      <c r="B818" t="s">
        <v>1</v>
      </c>
      <c r="E818" t="s">
        <v>34</v>
      </c>
      <c r="F818" t="str">
        <f>Foderstater!U$84</f>
        <v>rapeseed meal</v>
      </c>
      <c r="J818" t="s">
        <v>310</v>
      </c>
      <c r="K818" s="13">
        <f>INDEX(Foderstater!$X$64:$AL$101,MATCH(F818,Foderstater!$U$64:$U$101,0),MATCH(A818&amp;C818&amp;E818,Foderstater!$X$63:$AL$63,0))</f>
        <v>0.65508327684698231</v>
      </c>
      <c r="L818" s="158"/>
      <c r="M818" s="158"/>
    </row>
    <row r="819" spans="1:13" x14ac:dyDescent="0.25">
      <c r="A819" s="268" t="str">
        <f>A818</f>
        <v>beef</v>
      </c>
      <c r="B819" s="268" t="s">
        <v>5</v>
      </c>
      <c r="D819" s="268"/>
      <c r="E819" s="268" t="str">
        <f>E818</f>
        <v>bulls</v>
      </c>
      <c r="F819" s="268" t="s">
        <v>609</v>
      </c>
      <c r="J819" s="268" t="str">
        <f>J818</f>
        <v>share_in_ration</v>
      </c>
      <c r="K819" s="269">
        <f>K818</f>
        <v>0.65508327684698231</v>
      </c>
      <c r="L819" s="158"/>
      <c r="M819" s="268" t="s">
        <v>610</v>
      </c>
    </row>
    <row r="820" spans="1:13" x14ac:dyDescent="0.25">
      <c r="A820" t="s">
        <v>37</v>
      </c>
      <c r="E820" t="s">
        <v>34</v>
      </c>
      <c r="F820" t="str">
        <f>Foderstater!U$85</f>
        <v>sunflower seed meal</v>
      </c>
      <c r="J820" t="s">
        <v>310</v>
      </c>
      <c r="K820" s="13">
        <f>INDEX(Foderstater!$X$64:$AL$101,MATCH(F820,Foderstater!$U$64:$U$101,0),MATCH(A820&amp;C820&amp;E820,Foderstater!$X$63:$AL$63,0))</f>
        <v>9.0493413936850002E-3</v>
      </c>
    </row>
    <row r="821" spans="1:13" x14ac:dyDescent="0.25">
      <c r="A821" t="s">
        <v>37</v>
      </c>
      <c r="E821" t="s">
        <v>34</v>
      </c>
      <c r="F821" t="str">
        <f>Foderstater!U$86</f>
        <v>palm kernel expeller</v>
      </c>
      <c r="J821" t="s">
        <v>310</v>
      </c>
      <c r="K821" s="13">
        <f>INDEX(Foderstater!$X$64:$AL$101,MATCH(F821,Foderstater!$U$64:$U$101,0),MATCH(A821&amp;C821&amp;E821,Foderstater!$X$63:$AL$63,0))</f>
        <v>5.880188879234155E-2</v>
      </c>
    </row>
    <row r="822" spans="1:13" x14ac:dyDescent="0.25">
      <c r="A822" t="s">
        <v>37</v>
      </c>
      <c r="E822" t="s">
        <v>34</v>
      </c>
      <c r="F822" t="str">
        <f>Foderstater!U$87</f>
        <v>luzern meal</v>
      </c>
      <c r="J822" t="s">
        <v>310</v>
      </c>
      <c r="K822" s="13">
        <f>INDEX(Foderstater!$X$64:$AL$101,MATCH(F822,Foderstater!$U$64:$U$101,0),MATCH(A822&amp;C822&amp;E822,Foderstater!$X$63:$AL$63,0))</f>
        <v>1.7886888897567656E-2</v>
      </c>
    </row>
    <row r="823" spans="1:13" x14ac:dyDescent="0.25">
      <c r="A823" t="s">
        <v>37</v>
      </c>
      <c r="E823" t="s">
        <v>34</v>
      </c>
      <c r="F823" t="str">
        <f>Foderstater!U$88</f>
        <v>wheat bran</v>
      </c>
      <c r="J823" t="s">
        <v>310</v>
      </c>
      <c r="K823" s="13">
        <f>INDEX(Foderstater!$X$64:$AL$101,MATCH(F823,Foderstater!$U$64:$U$101,0),MATCH(A823&amp;C823&amp;E823,Foderstater!$X$63:$AL$63,0))</f>
        <v>0.19488005713432707</v>
      </c>
    </row>
    <row r="824" spans="1:13" x14ac:dyDescent="0.25">
      <c r="A824" t="s">
        <v>37</v>
      </c>
      <c r="E824" t="s">
        <v>34</v>
      </c>
      <c r="F824" t="str">
        <f>Foderstater!U$89</f>
        <v>wheat bran, fine</v>
      </c>
      <c r="J824" t="s">
        <v>310</v>
      </c>
      <c r="K824" s="13">
        <f>INDEX(Foderstater!$X$64:$AL$101,MATCH(F824,Foderstater!$U$64:$U$101,0),MATCH(A824&amp;C824&amp;E824,Foderstater!$X$63:$AL$63,0))</f>
        <v>5.108654814463125E-4</v>
      </c>
    </row>
    <row r="825" spans="1:13" x14ac:dyDescent="0.25">
      <c r="A825" t="s">
        <v>37</v>
      </c>
      <c r="E825" t="s">
        <v>34</v>
      </c>
      <c r="F825" t="str">
        <f>Foderstater!U$90</f>
        <v>oat hulls</v>
      </c>
      <c r="J825" t="s">
        <v>310</v>
      </c>
      <c r="K825" s="13">
        <f>INDEX(Foderstater!$X$64:$AL$101,MATCH(F825,Foderstater!$U$64:$U$101,0),MATCH(A825&amp;C825&amp;E825,Foderstater!$X$63:$AL$63,0))</f>
        <v>2.3471407966757316E-2</v>
      </c>
    </row>
    <row r="826" spans="1:13" x14ac:dyDescent="0.25">
      <c r="A826" t="s">
        <v>37</v>
      </c>
      <c r="E826" t="s">
        <v>34</v>
      </c>
      <c r="F826" t="str">
        <f>Foderstater!U$91</f>
        <v>oat bran</v>
      </c>
      <c r="J826" t="s">
        <v>310</v>
      </c>
      <c r="K826" s="13">
        <f>INDEX(Foderstater!$X$64:$AL$101,MATCH(F826,Foderstater!$U$64:$U$101,0),MATCH(A826&amp;C826&amp;E826,Foderstater!$X$63:$AL$63,0))</f>
        <v>2.6490134698680073E-3</v>
      </c>
    </row>
    <row r="827" spans="1:13" x14ac:dyDescent="0.25">
      <c r="A827" t="s">
        <v>37</v>
      </c>
      <c r="E827" t="s">
        <v>34</v>
      </c>
      <c r="F827" t="str">
        <f>Foderstater!U$92</f>
        <v>rye bran</v>
      </c>
      <c r="J827" t="s">
        <v>310</v>
      </c>
      <c r="K827" s="13">
        <f>INDEX(Foderstater!$X$64:$AL$101,MATCH(F827,Foderstater!$U$64:$U$101,0),MATCH(A827&amp;C827&amp;E827,Foderstater!$X$63:$AL$63,0))</f>
        <v>8.1695862566661028E-3</v>
      </c>
    </row>
    <row r="828" spans="1:13" x14ac:dyDescent="0.25">
      <c r="A828" t="s">
        <v>37</v>
      </c>
      <c r="E828" t="s">
        <v>34</v>
      </c>
      <c r="F828" t="str">
        <f>Foderstater!U$93</f>
        <v>wheat distillers grain, dry</v>
      </c>
      <c r="J828" t="s">
        <v>310</v>
      </c>
      <c r="K828" s="13">
        <f>INDEX(Foderstater!$X$64:$AL$101,MATCH(F828,Foderstater!$U$64:$U$101,0),MATCH(A828&amp;C828&amp;E828,Foderstater!$X$63:$AL$63,0))</f>
        <v>0.20947754779055638</v>
      </c>
    </row>
    <row r="829" spans="1:13" x14ac:dyDescent="0.25">
      <c r="A829" t="s">
        <v>37</v>
      </c>
      <c r="E829" t="s">
        <v>34</v>
      </c>
      <c r="F829" t="str">
        <f>Foderstater!U$94</f>
        <v>barley brewers grain</v>
      </c>
      <c r="J829" t="s">
        <v>310</v>
      </c>
      <c r="K829" s="13">
        <f>INDEX(Foderstater!$X$64:$AL$101,MATCH(F829,Foderstater!$U$64:$U$101,0),MATCH(A829&amp;C829&amp;E829,Foderstater!$X$63:$AL$63,0))</f>
        <v>0</v>
      </c>
    </row>
    <row r="830" spans="1:13" x14ac:dyDescent="0.25">
      <c r="A830" t="s">
        <v>37</v>
      </c>
      <c r="E830" t="s">
        <v>34</v>
      </c>
      <c r="F830" t="str">
        <f>Foderstater!U$95</f>
        <v>maize gluten meal</v>
      </c>
      <c r="J830" t="s">
        <v>310</v>
      </c>
      <c r="K830" s="13">
        <f>INDEX(Foderstater!$X$64:$AL$101,MATCH(F830,Foderstater!$U$64:$U$101,0),MATCH(A830&amp;C830&amp;E830,Foderstater!$X$63:$AL$63,0))</f>
        <v>6.3297538628935548E-3</v>
      </c>
    </row>
    <row r="831" spans="1:13" x14ac:dyDescent="0.25">
      <c r="A831" t="s">
        <v>37</v>
      </c>
      <c r="E831" t="s">
        <v>34</v>
      </c>
      <c r="F831" t="str">
        <f>Foderstater!U$96</f>
        <v>sugar beet molasses</v>
      </c>
      <c r="J831" t="s">
        <v>310</v>
      </c>
      <c r="K831" s="13">
        <f>INDEX(Foderstater!$X$64:$AL$101,MATCH(F831,Foderstater!$U$64:$U$101,0),MATCH(A831&amp;C831&amp;E831,Foderstater!$X$63:$AL$63,0))</f>
        <v>7.0193131657187727E-2</v>
      </c>
    </row>
    <row r="832" spans="1:13" x14ac:dyDescent="0.25">
      <c r="A832" t="s">
        <v>37</v>
      </c>
      <c r="E832" t="s">
        <v>34</v>
      </c>
      <c r="F832" t="str">
        <f>Foderstater!U$97</f>
        <v>sugar beet pulp</v>
      </c>
      <c r="J832" t="s">
        <v>310</v>
      </c>
      <c r="K832" s="13">
        <f>INDEX(Foderstater!$X$64:$AL$101,MATCH(F832,Foderstater!$U$64:$U$101,0),MATCH(A832&amp;C832&amp;E832,Foderstater!$X$63:$AL$63,0))</f>
        <v>0.13544319950020575</v>
      </c>
    </row>
    <row r="833" spans="1:13" x14ac:dyDescent="0.25">
      <c r="A833" t="s">
        <v>37</v>
      </c>
      <c r="E833" t="s">
        <v>34</v>
      </c>
      <c r="F833" t="str">
        <f>Foderstater!U$98</f>
        <v>whey powder</v>
      </c>
      <c r="J833" t="s">
        <v>310</v>
      </c>
      <c r="K833" s="13">
        <f>INDEX(Foderstater!$X$64:$AL$101,MATCH(F833,Foderstater!$U$64:$U$101,0),MATCH(A833&amp;C833&amp;E833,Foderstater!$X$63:$AL$63,0))</f>
        <v>0</v>
      </c>
    </row>
    <row r="834" spans="1:13" x14ac:dyDescent="0.25">
      <c r="A834" t="s">
        <v>37</v>
      </c>
      <c r="E834" t="s">
        <v>34</v>
      </c>
      <c r="F834" t="str">
        <f>Foderstater!U$99</f>
        <v>potatoe protein</v>
      </c>
      <c r="J834" t="s">
        <v>310</v>
      </c>
      <c r="K834" s="13">
        <f>INDEX(Foderstater!$X$64:$AL$101,MATCH(F834,Foderstater!$U$64:$U$101,0),MATCH(A834&amp;C834&amp;E834,Foderstater!$X$63:$AL$63,0))</f>
        <v>6.2009373017834091E-4</v>
      </c>
    </row>
    <row r="835" spans="1:13" x14ac:dyDescent="0.25">
      <c r="A835" t="s">
        <v>37</v>
      </c>
      <c r="E835" t="s">
        <v>34</v>
      </c>
      <c r="F835" t="str">
        <f>Foderstater!U$100</f>
        <v>fish meal</v>
      </c>
      <c r="J835" t="s">
        <v>310</v>
      </c>
      <c r="K835" s="13">
        <f>INDEX(Foderstater!$X$64:$AL$101,MATCH(F835,Foderstater!$U$64:$U$101,0),MATCH(A835&amp;C835&amp;E835,Foderstater!$X$63:$AL$63,0))</f>
        <v>0</v>
      </c>
    </row>
    <row r="836" spans="1:13" x14ac:dyDescent="0.25">
      <c r="A836" t="s">
        <v>37</v>
      </c>
      <c r="E836" t="s">
        <v>34</v>
      </c>
      <c r="F836" t="str">
        <f>Foderstater!U$101</f>
        <v>minerals</v>
      </c>
      <c r="J836" t="s">
        <v>310</v>
      </c>
      <c r="K836" s="13">
        <f>INDEX(Foderstater!$X$64:$AL$101,MATCH(F836,Foderstater!$U$64:$U$101,0),MATCH(A836&amp;C836&amp;E836,Foderstater!$X$63:$AL$63,0))</f>
        <v>0.59452761799360676</v>
      </c>
    </row>
    <row r="837" spans="1:13" x14ac:dyDescent="0.25">
      <c r="L837" s="158"/>
      <c r="M837" s="158"/>
    </row>
    <row r="838" spans="1:13" x14ac:dyDescent="0.25">
      <c r="A838" s="158" t="s">
        <v>37</v>
      </c>
      <c r="B838" s="158" t="s">
        <v>1</v>
      </c>
      <c r="C838" s="158" t="s">
        <v>407</v>
      </c>
      <c r="D838" s="158"/>
      <c r="E838" s="158" t="s">
        <v>34</v>
      </c>
      <c r="J838" s="158" t="s">
        <v>310</v>
      </c>
      <c r="K838" s="158">
        <v>0</v>
      </c>
      <c r="L838" s="158"/>
      <c r="M838" s="158" t="s">
        <v>401</v>
      </c>
    </row>
    <row r="839" spans="1:13" x14ac:dyDescent="0.25">
      <c r="A839" t="s">
        <v>37</v>
      </c>
      <c r="B839" t="s">
        <v>1</v>
      </c>
      <c r="C839" t="s">
        <v>407</v>
      </c>
      <c r="E839" t="s">
        <v>34</v>
      </c>
      <c r="F839" t="str">
        <f>Foderstater!U$64</f>
        <v>ley silage, 1st cut</v>
      </c>
      <c r="J839" t="s">
        <v>310</v>
      </c>
      <c r="K839" s="13">
        <f>INDEX(Foderstater!$X$64:$AL$101,MATCH(F839,Foderstater!$U$64:$U$101,0),MATCH(A839&amp;C839&amp;E839,Foderstater!$X$63:$AL$63,0))</f>
        <v>56.070538180908102</v>
      </c>
      <c r="L839" s="158"/>
      <c r="M839" s="158"/>
    </row>
    <row r="840" spans="1:13" x14ac:dyDescent="0.25">
      <c r="A840" t="s">
        <v>37</v>
      </c>
      <c r="B840" t="s">
        <v>1</v>
      </c>
      <c r="C840" t="s">
        <v>407</v>
      </c>
      <c r="E840" t="s">
        <v>34</v>
      </c>
      <c r="F840" t="str">
        <f>Foderstater!U$65</f>
        <v>ley silage, regrowth</v>
      </c>
      <c r="J840" t="s">
        <v>310</v>
      </c>
      <c r="K840" s="13">
        <f>INDEX(Foderstater!$X$64:$AL$101,MATCH(F840,Foderstater!$U$64:$U$101,0),MATCH(A840&amp;C840&amp;E840,Foderstater!$X$63:$AL$63,0))</f>
        <v>0</v>
      </c>
      <c r="L840" s="158"/>
      <c r="M840" s="158"/>
    </row>
    <row r="841" spans="1:13" x14ac:dyDescent="0.25">
      <c r="A841" t="s">
        <v>37</v>
      </c>
      <c r="B841" t="s">
        <v>1</v>
      </c>
      <c r="C841" t="s">
        <v>407</v>
      </c>
      <c r="E841" t="s">
        <v>34</v>
      </c>
      <c r="F841" t="str">
        <f>Foderstater!U$66</f>
        <v>other silage</v>
      </c>
      <c r="J841" t="s">
        <v>310</v>
      </c>
      <c r="K841" s="13">
        <f>INDEX(Foderstater!$X$64:$AL$101,MATCH(F841,Foderstater!$U$64:$U$101,0),MATCH(A841&amp;C841&amp;E841,Foderstater!$X$63:$AL$63,0))</f>
        <v>0</v>
      </c>
      <c r="L841" s="158"/>
      <c r="M841" s="158"/>
    </row>
    <row r="842" spans="1:13" x14ac:dyDescent="0.25">
      <c r="A842" t="s">
        <v>37</v>
      </c>
      <c r="B842" t="s">
        <v>1</v>
      </c>
      <c r="C842" t="s">
        <v>407</v>
      </c>
      <c r="E842" t="s">
        <v>34</v>
      </c>
      <c r="F842" t="str">
        <f>Foderstater!U$67</f>
        <v>maize silage</v>
      </c>
      <c r="J842" t="s">
        <v>310</v>
      </c>
      <c r="K842" s="13">
        <f>INDEX(Foderstater!$X$64:$AL$101,MATCH(F842,Foderstater!$U$64:$U$101,0),MATCH(A842&amp;C842&amp;E842,Foderstater!$X$63:$AL$63,0))</f>
        <v>13.09114711176567</v>
      </c>
      <c r="L842" s="158"/>
      <c r="M842" s="158"/>
    </row>
    <row r="843" spans="1:13" x14ac:dyDescent="0.25">
      <c r="A843" t="s">
        <v>37</v>
      </c>
      <c r="B843" t="s">
        <v>1</v>
      </c>
      <c r="C843" t="s">
        <v>407</v>
      </c>
      <c r="E843" t="s">
        <v>34</v>
      </c>
      <c r="F843" t="str">
        <f>Foderstater!U$68</f>
        <v>straw</v>
      </c>
      <c r="J843" t="s">
        <v>310</v>
      </c>
      <c r="K843" s="13">
        <f>INDEX(Foderstater!$X$64:$AL$101,MATCH(F843,Foderstater!$U$64:$U$101,0),MATCH(A843&amp;C843&amp;E843,Foderstater!$X$63:$AL$63,0))</f>
        <v>0</v>
      </c>
      <c r="L843" s="158"/>
      <c r="M843" s="158"/>
    </row>
    <row r="844" spans="1:13" x14ac:dyDescent="0.25">
      <c r="A844" t="s">
        <v>37</v>
      </c>
      <c r="B844" t="s">
        <v>1</v>
      </c>
      <c r="C844" t="s">
        <v>407</v>
      </c>
      <c r="E844" t="s">
        <v>34</v>
      </c>
      <c r="F844" t="str">
        <f>Foderstater!U$69</f>
        <v>grazing</v>
      </c>
      <c r="J844" t="s">
        <v>310</v>
      </c>
      <c r="K844" s="13">
        <f>INDEX(Foderstater!$X$64:$AL$101,MATCH(F844,Foderstater!$U$64:$U$101,0),MATCH(A844&amp;C844&amp;E844,Foderstater!$X$63:$AL$63,0))</f>
        <v>0</v>
      </c>
      <c r="L844" s="158"/>
      <c r="M844" s="158"/>
    </row>
    <row r="845" spans="1:13" x14ac:dyDescent="0.25">
      <c r="A845" t="s">
        <v>37</v>
      </c>
      <c r="B845" t="s">
        <v>1</v>
      </c>
      <c r="C845" t="s">
        <v>407</v>
      </c>
      <c r="E845" t="s">
        <v>34</v>
      </c>
      <c r="F845" t="str">
        <f>Foderstater!U$70</f>
        <v>wheat</v>
      </c>
      <c r="J845" t="s">
        <v>310</v>
      </c>
      <c r="K845" s="13">
        <f>INDEX(Foderstater!$X$64:$AL$101,MATCH(F845,Foderstater!$U$64:$U$101,0),MATCH(A845&amp;C845&amp;E845,Foderstater!$X$63:$AL$63,0))</f>
        <v>6.338193642704308</v>
      </c>
      <c r="L845" s="158"/>
      <c r="M845" s="158"/>
    </row>
    <row r="846" spans="1:13" x14ac:dyDescent="0.25">
      <c r="A846" t="s">
        <v>37</v>
      </c>
      <c r="B846" t="s">
        <v>1</v>
      </c>
      <c r="C846" t="s">
        <v>407</v>
      </c>
      <c r="E846" t="s">
        <v>34</v>
      </c>
      <c r="F846" t="str">
        <f>Foderstater!U$71</f>
        <v>barley</v>
      </c>
      <c r="J846" t="s">
        <v>310</v>
      </c>
      <c r="K846" s="13">
        <f>INDEX(Foderstater!$X$64:$AL$101,MATCH(F846,Foderstater!$U$64:$U$101,0),MATCH(A846&amp;C846&amp;E846,Foderstater!$X$63:$AL$63,0))</f>
        <v>13.009738603465815</v>
      </c>
      <c r="L846" s="158"/>
      <c r="M846" s="158"/>
    </row>
    <row r="847" spans="1:13" x14ac:dyDescent="0.25">
      <c r="A847" t="s">
        <v>37</v>
      </c>
      <c r="B847" t="s">
        <v>1</v>
      </c>
      <c r="C847" t="s">
        <v>407</v>
      </c>
      <c r="E847" t="s">
        <v>34</v>
      </c>
      <c r="F847" t="str">
        <f>Foderstater!U$72</f>
        <v>oats</v>
      </c>
      <c r="J847" t="s">
        <v>310</v>
      </c>
      <c r="K847" s="13">
        <f>INDEX(Foderstater!$X$64:$AL$101,MATCH(F847,Foderstater!$U$64:$U$101,0),MATCH(A847&amp;C847&amp;E847,Foderstater!$X$63:$AL$63,0))</f>
        <v>2.6885792015166539</v>
      </c>
      <c r="L847" s="158"/>
      <c r="M847" s="158"/>
    </row>
    <row r="848" spans="1:13" x14ac:dyDescent="0.25">
      <c r="A848" t="s">
        <v>37</v>
      </c>
      <c r="B848" t="s">
        <v>1</v>
      </c>
      <c r="C848" t="s">
        <v>407</v>
      </c>
      <c r="E848" t="s">
        <v>34</v>
      </c>
      <c r="F848" t="str">
        <f>Foderstater!U$73</f>
        <v>triticale</v>
      </c>
      <c r="J848" t="s">
        <v>310</v>
      </c>
      <c r="K848" s="13">
        <f>INDEX(Foderstater!$X$64:$AL$101,MATCH(F848,Foderstater!$U$64:$U$101,0),MATCH(A848&amp;C848&amp;E848,Foderstater!$X$63:$AL$63,0))</f>
        <v>5.0332855432745562</v>
      </c>
      <c r="L848" s="158"/>
      <c r="M848" s="158"/>
    </row>
    <row r="849" spans="1:13" x14ac:dyDescent="0.25">
      <c r="A849" t="s">
        <v>37</v>
      </c>
      <c r="B849" t="s">
        <v>1</v>
      </c>
      <c r="C849" t="s">
        <v>407</v>
      </c>
      <c r="E849" t="s">
        <v>34</v>
      </c>
      <c r="F849" t="str">
        <f>Foderstater!U$74</f>
        <v>rye</v>
      </c>
      <c r="J849" t="s">
        <v>310</v>
      </c>
      <c r="K849" s="13">
        <f>INDEX(Foderstater!$X$64:$AL$101,MATCH(F849,Foderstater!$U$64:$U$101,0),MATCH(A849&amp;C849&amp;E849,Foderstater!$X$63:$AL$63,0))</f>
        <v>0</v>
      </c>
      <c r="L849" s="158"/>
      <c r="M849" s="158"/>
    </row>
    <row r="850" spans="1:13" x14ac:dyDescent="0.25">
      <c r="A850" t="s">
        <v>37</v>
      </c>
      <c r="B850" t="s">
        <v>1</v>
      </c>
      <c r="C850" t="s">
        <v>407</v>
      </c>
      <c r="E850" t="s">
        <v>34</v>
      </c>
      <c r="F850" t="str">
        <f>Foderstater!U$75</f>
        <v>maize</v>
      </c>
      <c r="J850" t="s">
        <v>310</v>
      </c>
      <c r="K850" s="13">
        <f>INDEX(Foderstater!$X$64:$AL$101,MATCH(F850,Foderstater!$U$64:$U$101,0),MATCH(A850&amp;C850&amp;E850,Foderstater!$X$63:$AL$63,0))</f>
        <v>0</v>
      </c>
      <c r="L850" s="158"/>
      <c r="M850" s="158"/>
    </row>
    <row r="851" spans="1:13" x14ac:dyDescent="0.25">
      <c r="A851" t="s">
        <v>37</v>
      </c>
      <c r="B851" t="s">
        <v>1</v>
      </c>
      <c r="C851" t="s">
        <v>407</v>
      </c>
      <c r="E851" t="s">
        <v>34</v>
      </c>
      <c r="F851" t="str">
        <f>Foderstater!U$76</f>
        <v>peas</v>
      </c>
      <c r="J851" t="s">
        <v>310</v>
      </c>
      <c r="K851" s="13">
        <f>INDEX(Foderstater!$X$64:$AL$101,MATCH(F851,Foderstater!$U$64:$U$101,0),MATCH(A851&amp;C851&amp;E851,Foderstater!$X$63:$AL$63,0))</f>
        <v>1.6370482011197791</v>
      </c>
      <c r="L851" s="158"/>
      <c r="M851" s="158"/>
    </row>
    <row r="852" spans="1:13" x14ac:dyDescent="0.25">
      <c r="A852" t="s">
        <v>37</v>
      </c>
      <c r="B852" t="s">
        <v>1</v>
      </c>
      <c r="C852" t="s">
        <v>407</v>
      </c>
      <c r="E852" t="s">
        <v>34</v>
      </c>
      <c r="F852" t="str">
        <f>Foderstater!U$77</f>
        <v>broad beans</v>
      </c>
      <c r="J852" t="s">
        <v>310</v>
      </c>
      <c r="K852" s="13">
        <f>INDEX(Foderstater!$X$64:$AL$101,MATCH(F852,Foderstater!$U$64:$U$101,0),MATCH(A852&amp;C852&amp;E852,Foderstater!$X$63:$AL$63,0))</f>
        <v>1.5539189073731028</v>
      </c>
      <c r="L852" s="158"/>
      <c r="M852" s="158"/>
    </row>
    <row r="853" spans="1:13" x14ac:dyDescent="0.25">
      <c r="A853" t="s">
        <v>37</v>
      </c>
      <c r="B853" t="s">
        <v>1</v>
      </c>
      <c r="C853" t="s">
        <v>407</v>
      </c>
      <c r="E853" t="s">
        <v>34</v>
      </c>
      <c r="F853" t="str">
        <f>Foderstater!U$78</f>
        <v>rapeseed</v>
      </c>
      <c r="J853" t="s">
        <v>310</v>
      </c>
      <c r="K853" s="13">
        <f>INDEX(Foderstater!$X$64:$AL$101,MATCH(F853,Foderstater!$U$64:$U$101,0),MATCH(A853&amp;C853&amp;E853,Foderstater!$X$63:$AL$63,0))</f>
        <v>0</v>
      </c>
      <c r="L853" s="158"/>
      <c r="M853" s="158"/>
    </row>
    <row r="854" spans="1:13" x14ac:dyDescent="0.25">
      <c r="A854" t="s">
        <v>37</v>
      </c>
      <c r="B854" t="s">
        <v>1</v>
      </c>
      <c r="C854" t="s">
        <v>407</v>
      </c>
      <c r="E854" t="s">
        <v>34</v>
      </c>
      <c r="F854" t="str">
        <f>Foderstater!U$79</f>
        <v>linseed</v>
      </c>
      <c r="J854" t="s">
        <v>310</v>
      </c>
      <c r="K854" s="13">
        <f>INDEX(Foderstater!$X$64:$AL$101,MATCH(F854,Foderstater!$U$64:$U$101,0),MATCH(A854&amp;C854&amp;E854,Foderstater!$X$63:$AL$63,0))</f>
        <v>0</v>
      </c>
      <c r="L854" s="158"/>
      <c r="M854" s="158"/>
    </row>
    <row r="855" spans="1:13" x14ac:dyDescent="0.25">
      <c r="A855" t="s">
        <v>37</v>
      </c>
      <c r="B855" t="s">
        <v>1</v>
      </c>
      <c r="C855" t="s">
        <v>407</v>
      </c>
      <c r="E855" t="s">
        <v>34</v>
      </c>
      <c r="F855" t="str">
        <f>Foderstater!U$80</f>
        <v>vegetable oils</v>
      </c>
      <c r="J855" t="s">
        <v>310</v>
      </c>
      <c r="K855" s="13">
        <f>INDEX(Foderstater!$X$64:$AL$101,MATCH(F855,Foderstater!$U$64:$U$101,0),MATCH(A855&amp;C855&amp;E855,Foderstater!$X$63:$AL$63,0))</f>
        <v>0</v>
      </c>
      <c r="L855" s="158"/>
      <c r="M855" s="158"/>
    </row>
    <row r="856" spans="1:13" x14ac:dyDescent="0.25">
      <c r="A856" t="s">
        <v>37</v>
      </c>
      <c r="B856" t="s">
        <v>1</v>
      </c>
      <c r="C856" t="s">
        <v>407</v>
      </c>
      <c r="E856" t="s">
        <v>34</v>
      </c>
      <c r="F856" t="str">
        <f>Foderstater!U$81</f>
        <v>soybeans</v>
      </c>
      <c r="J856" t="s">
        <v>310</v>
      </c>
      <c r="K856" s="13">
        <f>INDEX(Foderstater!$X$64:$AL$101,MATCH(F856,Foderstater!$U$64:$U$101,0),MATCH(A856&amp;C856&amp;E856,Foderstater!$X$63:$AL$63,0))</f>
        <v>0</v>
      </c>
      <c r="L856" s="158"/>
      <c r="M856" s="158"/>
    </row>
    <row r="857" spans="1:13" x14ac:dyDescent="0.25">
      <c r="A857" t="s">
        <v>37</v>
      </c>
      <c r="B857" t="s">
        <v>1</v>
      </c>
      <c r="C857" t="s">
        <v>407</v>
      </c>
      <c r="E857" t="s">
        <v>34</v>
      </c>
      <c r="F857" t="str">
        <f>Foderstater!U$82</f>
        <v>soybean meal</v>
      </c>
      <c r="J857" t="s">
        <v>310</v>
      </c>
      <c r="K857" s="13">
        <f>INDEX(Foderstater!$X$64:$AL$101,MATCH(F857,Foderstater!$U$64:$U$101,0),MATCH(A857&amp;C857&amp;E857,Foderstater!$X$63:$AL$63,0))</f>
        <v>0</v>
      </c>
      <c r="L857" s="158"/>
      <c r="M857" s="158"/>
    </row>
    <row r="858" spans="1:13" x14ac:dyDescent="0.25">
      <c r="A858" t="s">
        <v>37</v>
      </c>
      <c r="B858" t="s">
        <v>1</v>
      </c>
      <c r="C858" t="s">
        <v>407</v>
      </c>
      <c r="E858" t="s">
        <v>34</v>
      </c>
      <c r="F858" t="str">
        <f>Foderstater!U$83</f>
        <v>soybean protein concentrate</v>
      </c>
      <c r="J858" t="s">
        <v>310</v>
      </c>
      <c r="K858" s="13">
        <f>INDEX(Foderstater!$X$64:$AL$101,MATCH(F858,Foderstater!$U$64:$U$101,0),MATCH(A858&amp;C858&amp;E858,Foderstater!$X$63:$AL$63,0))</f>
        <v>0</v>
      </c>
      <c r="L858" s="158"/>
      <c r="M858" s="158"/>
    </row>
    <row r="859" spans="1:13" x14ac:dyDescent="0.25">
      <c r="A859" t="s">
        <v>37</v>
      </c>
      <c r="B859" t="s">
        <v>1</v>
      </c>
      <c r="C859" t="s">
        <v>407</v>
      </c>
      <c r="E859" t="s">
        <v>34</v>
      </c>
      <c r="F859" t="str">
        <f>Foderstater!U$84</f>
        <v>rapeseed meal</v>
      </c>
      <c r="J859" t="s">
        <v>310</v>
      </c>
      <c r="K859" s="13">
        <f>INDEX(Foderstater!$X$64:$AL$101,MATCH(F859,Foderstater!$U$64:$U$101,0),MATCH(A859&amp;C859&amp;E859,Foderstater!$X$63:$AL$63,0))</f>
        <v>0</v>
      </c>
      <c r="L859" s="158"/>
      <c r="M859" s="158"/>
    </row>
    <row r="860" spans="1:13" x14ac:dyDescent="0.25">
      <c r="A860" t="s">
        <v>37</v>
      </c>
      <c r="B860" t="s">
        <v>1</v>
      </c>
      <c r="C860" t="s">
        <v>407</v>
      </c>
      <c r="E860" t="s">
        <v>34</v>
      </c>
      <c r="F860" t="str">
        <f>Foderstater!U$85</f>
        <v>sunflower seed meal</v>
      </c>
      <c r="J860" t="s">
        <v>310</v>
      </c>
      <c r="K860" s="13">
        <f>INDEX(Foderstater!$X$64:$AL$101,MATCH(F860,Foderstater!$U$64:$U$101,0),MATCH(A860&amp;C860&amp;E860,Foderstater!$X$63:$AL$63,0))</f>
        <v>0</v>
      </c>
    </row>
    <row r="861" spans="1:13" x14ac:dyDescent="0.25">
      <c r="A861" t="s">
        <v>37</v>
      </c>
      <c r="B861" t="s">
        <v>1</v>
      </c>
      <c r="C861" t="s">
        <v>407</v>
      </c>
      <c r="E861" t="s">
        <v>34</v>
      </c>
      <c r="F861" t="str">
        <f>Foderstater!U$86</f>
        <v>palm kernel expeller</v>
      </c>
      <c r="J861" t="s">
        <v>310</v>
      </c>
      <c r="K861" s="13">
        <f>INDEX(Foderstater!$X$64:$AL$101,MATCH(F861,Foderstater!$U$64:$U$101,0),MATCH(A861&amp;C861&amp;E861,Foderstater!$X$63:$AL$63,0))</f>
        <v>0</v>
      </c>
    </row>
    <row r="862" spans="1:13" x14ac:dyDescent="0.25">
      <c r="A862" t="s">
        <v>37</v>
      </c>
      <c r="B862" t="s">
        <v>1</v>
      </c>
      <c r="C862" t="s">
        <v>407</v>
      </c>
      <c r="E862" t="s">
        <v>34</v>
      </c>
      <c r="F862" t="str">
        <f>Foderstater!U$87</f>
        <v>luzern meal</v>
      </c>
      <c r="J862" t="s">
        <v>310</v>
      </c>
      <c r="K862" s="13">
        <f>INDEX(Foderstater!$X$64:$AL$101,MATCH(F862,Foderstater!$U$64:$U$101,0),MATCH(A862&amp;C862&amp;E862,Foderstater!$X$63:$AL$63,0))</f>
        <v>0</v>
      </c>
    </row>
    <row r="863" spans="1:13" x14ac:dyDescent="0.25">
      <c r="A863" t="s">
        <v>37</v>
      </c>
      <c r="B863" t="s">
        <v>1</v>
      </c>
      <c r="C863" t="s">
        <v>407</v>
      </c>
      <c r="E863" t="s">
        <v>34</v>
      </c>
      <c r="F863" t="str">
        <f>Foderstater!U$88</f>
        <v>wheat bran</v>
      </c>
      <c r="J863" t="s">
        <v>310</v>
      </c>
      <c r="K863" s="13">
        <f>INDEX(Foderstater!$X$64:$AL$101,MATCH(F863,Foderstater!$U$64:$U$101,0),MATCH(A863&amp;C863&amp;E863,Foderstater!$X$63:$AL$63,0))</f>
        <v>0</v>
      </c>
    </row>
    <row r="864" spans="1:13" x14ac:dyDescent="0.25">
      <c r="A864" t="s">
        <v>37</v>
      </c>
      <c r="B864" t="s">
        <v>1</v>
      </c>
      <c r="C864" t="s">
        <v>407</v>
      </c>
      <c r="E864" t="s">
        <v>34</v>
      </c>
      <c r="F864" t="str">
        <f>Foderstater!U$89</f>
        <v>wheat bran, fine</v>
      </c>
      <c r="J864" t="s">
        <v>310</v>
      </c>
      <c r="K864" s="13">
        <f>INDEX(Foderstater!$X$64:$AL$101,MATCH(F864,Foderstater!$U$64:$U$101,0),MATCH(A864&amp;C864&amp;E864,Foderstater!$X$63:$AL$63,0))</f>
        <v>0</v>
      </c>
    </row>
    <row r="865" spans="1:11" x14ac:dyDescent="0.25">
      <c r="A865" t="s">
        <v>37</v>
      </c>
      <c r="B865" t="s">
        <v>1</v>
      </c>
      <c r="C865" t="s">
        <v>407</v>
      </c>
      <c r="E865" t="s">
        <v>34</v>
      </c>
      <c r="F865" t="str">
        <f>Foderstater!U$90</f>
        <v>oat hulls</v>
      </c>
      <c r="J865" t="s">
        <v>310</v>
      </c>
      <c r="K865" s="13">
        <f>INDEX(Foderstater!$X$64:$AL$101,MATCH(F865,Foderstater!$U$64:$U$101,0),MATCH(A865&amp;C865&amp;E865,Foderstater!$X$63:$AL$63,0))</f>
        <v>0</v>
      </c>
    </row>
    <row r="866" spans="1:11" x14ac:dyDescent="0.25">
      <c r="A866" t="s">
        <v>37</v>
      </c>
      <c r="B866" t="s">
        <v>1</v>
      </c>
      <c r="C866" t="s">
        <v>407</v>
      </c>
      <c r="E866" t="s">
        <v>34</v>
      </c>
      <c r="F866" t="str">
        <f>Foderstater!U$91</f>
        <v>oat bran</v>
      </c>
      <c r="J866" t="s">
        <v>310</v>
      </c>
      <c r="K866" s="13">
        <f>INDEX(Foderstater!$X$64:$AL$101,MATCH(F866,Foderstater!$U$64:$U$101,0),MATCH(A866&amp;C866&amp;E866,Foderstater!$X$63:$AL$63,0))</f>
        <v>0</v>
      </c>
    </row>
    <row r="867" spans="1:11" x14ac:dyDescent="0.25">
      <c r="A867" t="s">
        <v>37</v>
      </c>
      <c r="B867" t="s">
        <v>1</v>
      </c>
      <c r="C867" t="s">
        <v>407</v>
      </c>
      <c r="E867" t="s">
        <v>34</v>
      </c>
      <c r="F867" t="str">
        <f>Foderstater!U$92</f>
        <v>rye bran</v>
      </c>
      <c r="J867" t="s">
        <v>310</v>
      </c>
      <c r="K867" s="13">
        <f>INDEX(Foderstater!$X$64:$AL$101,MATCH(F867,Foderstater!$U$64:$U$101,0),MATCH(A867&amp;C867&amp;E867,Foderstater!$X$63:$AL$63,0))</f>
        <v>0</v>
      </c>
    </row>
    <row r="868" spans="1:11" x14ac:dyDescent="0.25">
      <c r="A868" t="s">
        <v>37</v>
      </c>
      <c r="B868" t="s">
        <v>1</v>
      </c>
      <c r="C868" t="s">
        <v>407</v>
      </c>
      <c r="E868" t="s">
        <v>34</v>
      </c>
      <c r="F868" t="str">
        <f>Foderstater!U$93</f>
        <v>wheat distillers grain, dry</v>
      </c>
      <c r="J868" t="s">
        <v>310</v>
      </c>
      <c r="K868" s="13">
        <f>INDEX(Foderstater!$X$64:$AL$101,MATCH(F868,Foderstater!$U$64:$U$101,0),MATCH(A868&amp;C868&amp;E868,Foderstater!$X$63:$AL$63,0))</f>
        <v>0</v>
      </c>
    </row>
    <row r="869" spans="1:11" x14ac:dyDescent="0.25">
      <c r="A869" t="s">
        <v>37</v>
      </c>
      <c r="B869" t="s">
        <v>1</v>
      </c>
      <c r="C869" t="s">
        <v>407</v>
      </c>
      <c r="E869" t="s">
        <v>34</v>
      </c>
      <c r="F869" t="str">
        <f>Foderstater!U$94</f>
        <v>barley brewers grain</v>
      </c>
      <c r="J869" t="s">
        <v>310</v>
      </c>
      <c r="K869" s="13">
        <f>INDEX(Foderstater!$X$64:$AL$101,MATCH(F869,Foderstater!$U$64:$U$101,0),MATCH(A869&amp;C869&amp;E869,Foderstater!$X$63:$AL$63,0))</f>
        <v>0</v>
      </c>
    </row>
    <row r="870" spans="1:11" x14ac:dyDescent="0.25">
      <c r="A870" t="s">
        <v>37</v>
      </c>
      <c r="B870" t="s">
        <v>1</v>
      </c>
      <c r="C870" t="s">
        <v>407</v>
      </c>
      <c r="E870" t="s">
        <v>34</v>
      </c>
      <c r="F870" t="str">
        <f>Foderstater!U$95</f>
        <v>maize gluten meal</v>
      </c>
      <c r="J870" t="s">
        <v>310</v>
      </c>
      <c r="K870" s="13">
        <f>INDEX(Foderstater!$X$64:$AL$101,MATCH(F870,Foderstater!$U$64:$U$101,0),MATCH(A870&amp;C870&amp;E870,Foderstater!$X$63:$AL$63,0))</f>
        <v>0</v>
      </c>
    </row>
    <row r="871" spans="1:11" x14ac:dyDescent="0.25">
      <c r="A871" t="s">
        <v>37</v>
      </c>
      <c r="B871" t="s">
        <v>1</v>
      </c>
      <c r="C871" t="s">
        <v>407</v>
      </c>
      <c r="E871" t="s">
        <v>34</v>
      </c>
      <c r="F871" t="str">
        <f>Foderstater!U$96</f>
        <v>sugar beet molasses</v>
      </c>
      <c r="J871" t="s">
        <v>310</v>
      </c>
      <c r="K871" s="13">
        <f>INDEX(Foderstater!$X$64:$AL$101,MATCH(F871,Foderstater!$U$64:$U$101,0),MATCH(A871&amp;C871&amp;E871,Foderstater!$X$63:$AL$63,0))</f>
        <v>0</v>
      </c>
    </row>
    <row r="872" spans="1:11" x14ac:dyDescent="0.25">
      <c r="A872" t="s">
        <v>37</v>
      </c>
      <c r="B872" t="s">
        <v>1</v>
      </c>
      <c r="C872" t="s">
        <v>407</v>
      </c>
      <c r="E872" t="s">
        <v>34</v>
      </c>
      <c r="F872" t="str">
        <f>Foderstater!U$97</f>
        <v>sugar beet pulp</v>
      </c>
      <c r="J872" t="s">
        <v>310</v>
      </c>
      <c r="K872" s="13">
        <f>INDEX(Foderstater!$X$64:$AL$101,MATCH(F872,Foderstater!$U$64:$U$101,0),MATCH(A872&amp;C872&amp;E872,Foderstater!$X$63:$AL$63,0))</f>
        <v>0</v>
      </c>
    </row>
    <row r="873" spans="1:11" x14ac:dyDescent="0.25">
      <c r="A873" t="s">
        <v>37</v>
      </c>
      <c r="B873" t="s">
        <v>1</v>
      </c>
      <c r="C873" t="s">
        <v>407</v>
      </c>
      <c r="E873" t="s">
        <v>34</v>
      </c>
      <c r="F873" t="str">
        <f>Foderstater!U$98</f>
        <v>whey powder</v>
      </c>
      <c r="J873" t="s">
        <v>310</v>
      </c>
      <c r="K873" s="13">
        <f>INDEX(Foderstater!$X$64:$AL$101,MATCH(F873,Foderstater!$U$64:$U$101,0),MATCH(A873&amp;C873&amp;E873,Foderstater!$X$63:$AL$63,0))</f>
        <v>0</v>
      </c>
    </row>
    <row r="874" spans="1:11" x14ac:dyDescent="0.25">
      <c r="A874" t="s">
        <v>37</v>
      </c>
      <c r="B874" t="s">
        <v>1</v>
      </c>
      <c r="C874" t="s">
        <v>407</v>
      </c>
      <c r="E874" t="s">
        <v>34</v>
      </c>
      <c r="F874" t="str">
        <f>Foderstater!U$99</f>
        <v>potatoe protein</v>
      </c>
      <c r="J874" t="s">
        <v>310</v>
      </c>
      <c r="K874" s="13">
        <f>INDEX(Foderstater!$X$64:$AL$101,MATCH(F874,Foderstater!$U$64:$U$101,0),MATCH(A874&amp;C874&amp;E874,Foderstater!$X$63:$AL$63,0))</f>
        <v>0</v>
      </c>
    </row>
    <row r="875" spans="1:11" x14ac:dyDescent="0.25">
      <c r="A875" t="s">
        <v>37</v>
      </c>
      <c r="B875" t="s">
        <v>1</v>
      </c>
      <c r="C875" t="s">
        <v>407</v>
      </c>
      <c r="E875" t="s">
        <v>34</v>
      </c>
      <c r="F875" t="str">
        <f>Foderstater!U$100</f>
        <v>fish meal</v>
      </c>
      <c r="J875" t="s">
        <v>310</v>
      </c>
      <c r="K875" s="13">
        <f>INDEX(Foderstater!$X$64:$AL$101,MATCH(F875,Foderstater!$U$64:$U$101,0),MATCH(A875&amp;C875&amp;E875,Foderstater!$X$63:$AL$63,0))</f>
        <v>0</v>
      </c>
    </row>
    <row r="876" spans="1:11" x14ac:dyDescent="0.25">
      <c r="A876" t="s">
        <v>37</v>
      </c>
      <c r="B876" t="s">
        <v>1</v>
      </c>
      <c r="C876" t="s">
        <v>407</v>
      </c>
      <c r="E876" t="s">
        <v>34</v>
      </c>
      <c r="F876" t="str">
        <f>Foderstater!U$101</f>
        <v>minerals</v>
      </c>
      <c r="J876" t="s">
        <v>310</v>
      </c>
      <c r="K876" s="13">
        <f>INDEX(Foderstater!$X$64:$AL$101,MATCH(F876,Foderstater!$U$64:$U$101,0),MATCH(A876&amp;C876&amp;E876,Foderstater!$X$63:$AL$63,0))</f>
        <v>0.57755060787201484</v>
      </c>
    </row>
  </sheetData>
  <hyperlinks>
    <hyperlink ref="N220" r:id="rId1"/>
    <hyperlink ref="N191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04"/>
  <sheetViews>
    <sheetView topLeftCell="A17" zoomScale="80" zoomScaleNormal="80" workbookViewId="0">
      <selection activeCell="AD83" sqref="AD83"/>
    </sheetView>
  </sheetViews>
  <sheetFormatPr defaultRowHeight="15" x14ac:dyDescent="0.25"/>
  <cols>
    <col min="2" max="2" width="11.85546875" customWidth="1"/>
    <col min="3" max="3" width="10.140625" customWidth="1"/>
    <col min="4" max="4" width="12" customWidth="1"/>
    <col min="5" max="10" width="8.5703125" customWidth="1"/>
    <col min="12" max="14" width="8.5703125" customWidth="1"/>
    <col min="15" max="15" width="11.42578125" customWidth="1"/>
    <col min="16" max="18" width="8.5703125" customWidth="1"/>
    <col min="19" max="19" width="7.5703125" customWidth="1"/>
    <col min="20" max="21" width="8.5703125" customWidth="1"/>
    <col min="22" max="22" width="9" customWidth="1"/>
    <col min="23" max="25" width="8.5703125" customWidth="1"/>
    <col min="26" max="26" width="7.7109375" customWidth="1"/>
  </cols>
  <sheetData>
    <row r="2" spans="2:47" x14ac:dyDescent="0.25">
      <c r="B2" s="4" t="s">
        <v>50</v>
      </c>
      <c r="P2" s="5">
        <f>(1-P7/100)+(P7/100)</f>
        <v>1</v>
      </c>
      <c r="Y2" s="4" t="s">
        <v>51</v>
      </c>
    </row>
    <row r="3" spans="2:47" x14ac:dyDescent="0.25">
      <c r="D3" s="6" t="s">
        <v>52</v>
      </c>
      <c r="F3" s="6" t="s">
        <v>53</v>
      </c>
      <c r="H3" s="6" t="s">
        <v>54</v>
      </c>
      <c r="J3" s="6" t="s">
        <v>55</v>
      </c>
      <c r="AA3" s="6" t="s">
        <v>52</v>
      </c>
      <c r="AC3" s="6" t="s">
        <v>53</v>
      </c>
      <c r="AE3" s="6" t="s">
        <v>54</v>
      </c>
      <c r="AG3" s="6" t="s">
        <v>55</v>
      </c>
    </row>
    <row r="4" spans="2:47" x14ac:dyDescent="0.25">
      <c r="B4" s="6"/>
      <c r="D4" t="s">
        <v>56</v>
      </c>
      <c r="E4" t="s">
        <v>57</v>
      </c>
      <c r="F4" t="s">
        <v>56</v>
      </c>
      <c r="G4" t="s">
        <v>57</v>
      </c>
      <c r="H4" t="s">
        <v>56</v>
      </c>
      <c r="I4" t="s">
        <v>57</v>
      </c>
      <c r="J4" t="s">
        <v>56</v>
      </c>
      <c r="K4" t="s">
        <v>57</v>
      </c>
      <c r="M4" s="7" t="s">
        <v>58</v>
      </c>
      <c r="N4" s="8"/>
      <c r="O4" s="8"/>
      <c r="P4" s="9" t="s">
        <v>59</v>
      </c>
      <c r="Q4" s="9" t="s">
        <v>60</v>
      </c>
      <c r="R4" s="9" t="s">
        <v>61</v>
      </c>
      <c r="S4" s="9"/>
      <c r="T4" s="9" t="s">
        <v>62</v>
      </c>
      <c r="U4" s="8"/>
      <c r="V4" s="8"/>
      <c r="W4" s="10"/>
      <c r="Y4" s="6"/>
      <c r="AA4" t="s">
        <v>56</v>
      </c>
      <c r="AB4" t="s">
        <v>57</v>
      </c>
      <c r="AC4" t="s">
        <v>56</v>
      </c>
      <c r="AD4" t="s">
        <v>57</v>
      </c>
      <c r="AE4" t="s">
        <v>56</v>
      </c>
      <c r="AF4" t="s">
        <v>57</v>
      </c>
      <c r="AG4" t="s">
        <v>56</v>
      </c>
      <c r="AH4" t="s">
        <v>57</v>
      </c>
      <c r="AJ4" s="7" t="s">
        <v>58</v>
      </c>
      <c r="AK4" s="8"/>
      <c r="AL4" s="8"/>
      <c r="AM4" s="9" t="s">
        <v>59</v>
      </c>
      <c r="AN4" s="9" t="s">
        <v>60</v>
      </c>
      <c r="AO4" s="9" t="s">
        <v>61</v>
      </c>
      <c r="AP4" s="9"/>
      <c r="AQ4" s="9" t="s">
        <v>62</v>
      </c>
      <c r="AR4" s="8"/>
      <c r="AS4" s="8"/>
      <c r="AT4" s="10"/>
    </row>
    <row r="5" spans="2:47" x14ac:dyDescent="0.25">
      <c r="B5" t="s">
        <v>63</v>
      </c>
      <c r="D5" s="11">
        <f>D80*(1-E58/100)</f>
        <v>261212.58800000002</v>
      </c>
      <c r="E5" s="11">
        <f>D80*(E58/100)</f>
        <v>55025.411999999997</v>
      </c>
      <c r="F5" s="12">
        <f>D5*P7/100-J5</f>
        <v>79669.83934000002</v>
      </c>
      <c r="G5" s="12">
        <f>E5*Q7/100-K5</f>
        <v>16232.49654</v>
      </c>
      <c r="H5" s="13">
        <f>F5*P30/1000000</f>
        <v>24.814989731139178</v>
      </c>
      <c r="I5" s="13">
        <f>G5*Q30/1000000</f>
        <v>5.055981514307045</v>
      </c>
      <c r="J5" s="12">
        <f>D5*P14/100</f>
        <v>17240.030808</v>
      </c>
      <c r="K5" s="12">
        <f>E5*Q14/100</f>
        <v>3631.6771919999992</v>
      </c>
      <c r="M5" s="14" t="s">
        <v>64</v>
      </c>
      <c r="N5" s="15"/>
      <c r="O5" s="15"/>
      <c r="P5" s="16">
        <v>13.2</v>
      </c>
      <c r="Q5" s="17">
        <v>12.9</v>
      </c>
      <c r="R5" s="15" t="s">
        <v>65</v>
      </c>
      <c r="S5" s="15"/>
      <c r="T5" s="15" t="s">
        <v>66</v>
      </c>
      <c r="U5" s="15"/>
      <c r="V5" s="15"/>
      <c r="W5" s="18"/>
      <c r="Y5" t="s">
        <v>63</v>
      </c>
      <c r="AA5" s="11">
        <f>D81*(1-E59/100)</f>
        <v>133821.07199999999</v>
      </c>
      <c r="AB5" s="11">
        <f>D81*(E59/100)</f>
        <v>72692.928000000014</v>
      </c>
      <c r="AC5" s="12">
        <f>AA5*AM7/100-AG5</f>
        <v>31961.81498200896</v>
      </c>
      <c r="AD5" s="12">
        <f>AB5*AN7/100-AH5</f>
        <v>17361.973570474009</v>
      </c>
      <c r="AE5" s="13">
        <f>AC5*AM30/1000000</f>
        <v>10.891099788001929</v>
      </c>
      <c r="AF5" s="13">
        <f>AD5*AN30/1000000</f>
        <v>5.9161529712603089</v>
      </c>
      <c r="AG5" s="12">
        <f>AA5*AM14/100</f>
        <v>2676.4214399999996</v>
      </c>
      <c r="AH5" s="12">
        <f>AB5*AN14/100</f>
        <v>1453.8585600000004</v>
      </c>
      <c r="AJ5" s="14" t="s">
        <v>64</v>
      </c>
      <c r="AK5" s="15"/>
      <c r="AL5" s="15"/>
      <c r="AM5" s="19">
        <f>(12.7+12.7+12.7+12.7)/4</f>
        <v>12.7</v>
      </c>
      <c r="AN5" s="20">
        <v>12.7</v>
      </c>
      <c r="AO5" s="15" t="s">
        <v>65</v>
      </c>
      <c r="AP5" s="15"/>
      <c r="AQ5" s="15" t="s">
        <v>67</v>
      </c>
      <c r="AR5" s="15"/>
      <c r="AS5" s="15"/>
      <c r="AT5" s="18"/>
    </row>
    <row r="6" spans="2:47" x14ac:dyDescent="0.25">
      <c r="B6" t="s">
        <v>68</v>
      </c>
      <c r="D6" s="12">
        <f>D23*((P6-12)/12)+D27*((P25-12)/12)</f>
        <v>143116.39800898524</v>
      </c>
      <c r="E6" s="12">
        <f>E23*((Q6-12)/12)+E27*((Q25-12)/12)</f>
        <v>27383.536798305569</v>
      </c>
      <c r="F6" s="12">
        <f t="shared" ref="F6:G8" si="0">D27</f>
        <v>14501.165813631082</v>
      </c>
      <c r="G6" s="12">
        <f t="shared" si="0"/>
        <v>1684.6084787964335</v>
      </c>
      <c r="H6" s="13">
        <f>F6*P31/1000000</f>
        <v>4.3516218823283443</v>
      </c>
      <c r="I6" s="13">
        <f>G6*Q31/1000000</f>
        <v>0.50553032864402536</v>
      </c>
      <c r="M6" s="14" t="s">
        <v>69</v>
      </c>
      <c r="N6" s="15"/>
      <c r="O6" s="15"/>
      <c r="P6" s="19">
        <v>27</v>
      </c>
      <c r="Q6" s="17">
        <v>27</v>
      </c>
      <c r="R6" s="15" t="s">
        <v>65</v>
      </c>
      <c r="S6" s="15"/>
      <c r="T6" s="15" t="s">
        <v>66</v>
      </c>
      <c r="U6" s="15"/>
      <c r="V6" s="15"/>
      <c r="W6" s="18"/>
      <c r="Y6" t="s">
        <v>68</v>
      </c>
      <c r="AA6" s="12">
        <f>AA23*((AM6-12)/12)+AA27*((AM25-12)/12)</f>
        <v>80765.59166392911</v>
      </c>
      <c r="AB6" s="12">
        <f>AB23*((AN6-12)/12)+AB27*((AN25-12)/12)</f>
        <v>38950.443925656808</v>
      </c>
      <c r="AC6" s="12">
        <f t="shared" ref="AC6:AD8" si="1">AA27</f>
        <v>27905.345995063311</v>
      </c>
      <c r="AD6" s="12">
        <f t="shared" si="1"/>
        <v>10947.457208659953</v>
      </c>
      <c r="AE6" s="13">
        <f t="shared" ref="AE6:AF6" si="2">AC6*AM31/1000000</f>
        <v>8.6629148972448817</v>
      </c>
      <c r="AF6" s="13">
        <f t="shared" si="2"/>
        <v>3.3985204898240147</v>
      </c>
      <c r="AJ6" s="14" t="s">
        <v>69</v>
      </c>
      <c r="AK6" s="15"/>
      <c r="AL6" s="15"/>
      <c r="AM6" s="19">
        <f>(27.5+28.4+27.6+29.9+30)/5</f>
        <v>28.68</v>
      </c>
      <c r="AN6" s="20">
        <f t="shared" ref="AN6:AN34" si="3">AM6</f>
        <v>28.68</v>
      </c>
      <c r="AO6" s="15" t="s">
        <v>65</v>
      </c>
      <c r="AP6" s="15"/>
      <c r="AQ6" s="15" t="s">
        <v>70</v>
      </c>
      <c r="AR6" s="15"/>
      <c r="AS6" s="15"/>
      <c r="AT6" s="18"/>
    </row>
    <row r="7" spans="2:47" x14ac:dyDescent="0.25">
      <c r="B7" t="s">
        <v>71</v>
      </c>
      <c r="D7" s="12">
        <f>D28*((P27-12)/12)</f>
        <v>23725.404882955503</v>
      </c>
      <c r="E7" s="12">
        <f>E28*((Q27-12)/12)</f>
        <v>2080.6328495886828</v>
      </c>
      <c r="F7" s="12">
        <f t="shared" si="0"/>
        <v>16697.557956586181</v>
      </c>
      <c r="G7" s="12">
        <f t="shared" si="0"/>
        <v>1464.3158995083204</v>
      </c>
      <c r="H7" s="13">
        <f>F7*P33/1000000</f>
        <v>5.4778103163370471</v>
      </c>
      <c r="I7" s="13">
        <f>G7*Q33/1000000</f>
        <v>0.48038430299558521</v>
      </c>
      <c r="M7" s="14" t="s">
        <v>72</v>
      </c>
      <c r="N7" s="21"/>
      <c r="O7" s="22"/>
      <c r="P7" s="23">
        <v>37.1</v>
      </c>
      <c r="Q7" s="17">
        <v>36.1</v>
      </c>
      <c r="R7" s="15" t="s">
        <v>9</v>
      </c>
      <c r="S7" s="15"/>
      <c r="T7" s="24" t="s">
        <v>73</v>
      </c>
      <c r="U7" s="15"/>
      <c r="V7" s="15"/>
      <c r="W7" s="18"/>
      <c r="Y7" t="s">
        <v>71</v>
      </c>
      <c r="AA7" s="12">
        <f>AA28*((AM27-12)/12)</f>
        <v>8165.0383622337467</v>
      </c>
      <c r="AB7" s="12">
        <f>AB28*((AN27-12)/12)</f>
        <v>13736.11260961834</v>
      </c>
      <c r="AC7" s="12">
        <f t="shared" si="1"/>
        <v>6297.741874357187</v>
      </c>
      <c r="AD7" s="12">
        <f t="shared" si="1"/>
        <v>10594.74404585813</v>
      </c>
      <c r="AE7" s="13">
        <f>AC7*AM33/1000000</f>
        <v>2.1158894078594961</v>
      </c>
      <c r="AF7" s="13">
        <f>AD7*AN33/1000000</f>
        <v>3.559578520817325</v>
      </c>
      <c r="AJ7" s="14" t="s">
        <v>72</v>
      </c>
      <c r="AK7" s="21"/>
      <c r="AL7" s="22"/>
      <c r="AM7" s="19">
        <f>1/(AM24/12-AM6/12)*100</f>
        <v>25.883992636084219</v>
      </c>
      <c r="AN7" s="17">
        <f>1/(AN24/12-AN6/12)*100</f>
        <v>25.883992636084219</v>
      </c>
      <c r="AO7" s="24" t="s">
        <v>9</v>
      </c>
      <c r="AP7" s="15"/>
      <c r="AQ7" s="15" t="s">
        <v>74</v>
      </c>
      <c r="AR7" s="15"/>
      <c r="AS7" s="15"/>
      <c r="AT7" s="18"/>
    </row>
    <row r="8" spans="2:47" x14ac:dyDescent="0.25">
      <c r="B8" t="s">
        <v>75</v>
      </c>
      <c r="D8" s="12">
        <f>D29*((P28-12)/12)</f>
        <v>80328.020671134582</v>
      </c>
      <c r="E8" s="12">
        <f>E29*((Q28-12)/12)</f>
        <v>714.54026064412471</v>
      </c>
      <c r="F8" s="12">
        <f t="shared" si="0"/>
        <v>103937.82806410069</v>
      </c>
      <c r="G8" s="12">
        <f t="shared" si="0"/>
        <v>924.55611547757735</v>
      </c>
      <c r="H8" s="13">
        <f>F8*P34/1000000</f>
        <v>34.109692652821579</v>
      </c>
      <c r="I8" s="13">
        <f>G8*Q34/1000000</f>
        <v>0.30341527744622154</v>
      </c>
      <c r="M8" s="14" t="s">
        <v>76</v>
      </c>
      <c r="N8" s="15"/>
      <c r="O8" s="15"/>
      <c r="P8" s="19">
        <f>(48.7*77196+51.7*144627)/221823</f>
        <v>50.655978415222954</v>
      </c>
      <c r="Q8" s="20">
        <f>P8</f>
        <v>50.655978415222954</v>
      </c>
      <c r="R8" s="15" t="s">
        <v>9</v>
      </c>
      <c r="S8" s="15"/>
      <c r="T8" s="15" t="s">
        <v>77</v>
      </c>
      <c r="U8" s="15"/>
      <c r="V8" s="15"/>
      <c r="W8" s="18"/>
      <c r="Y8" t="s">
        <v>75</v>
      </c>
      <c r="AA8" s="12">
        <f>AA29*((AM28-12)/12)</f>
        <v>36700.476578341106</v>
      </c>
      <c r="AB8" s="12">
        <f>AB29*((AN28-12)/12)</f>
        <v>11188.194812918897</v>
      </c>
      <c r="AC8" s="12">
        <f t="shared" si="1"/>
        <v>60797.10295915688</v>
      </c>
      <c r="AD8" s="12">
        <f t="shared" si="1"/>
        <v>18534.087166856109</v>
      </c>
      <c r="AE8" s="13">
        <f>AC8*AM34/1000000</f>
        <v>21.855119910368689</v>
      </c>
      <c r="AF8" s="13">
        <f>AD8*AN34/1000000</f>
        <v>6.6625657760861685</v>
      </c>
      <c r="AJ8" s="14" t="s">
        <v>76</v>
      </c>
      <c r="AK8" s="15"/>
      <c r="AL8" s="15"/>
      <c r="AM8" s="23">
        <v>51.7</v>
      </c>
      <c r="AN8" s="20">
        <f t="shared" si="3"/>
        <v>51.7</v>
      </c>
      <c r="AO8" s="24" t="s">
        <v>9</v>
      </c>
      <c r="AP8" s="15"/>
      <c r="AQ8" s="24" t="s">
        <v>78</v>
      </c>
      <c r="AR8" s="15"/>
      <c r="AS8" s="15"/>
      <c r="AT8" s="18"/>
    </row>
    <row r="9" spans="2:47" x14ac:dyDescent="0.25">
      <c r="B9" t="s">
        <v>79</v>
      </c>
      <c r="D9" s="12">
        <f>((D13-D17)*P16+(D14-D18)*P18+(D17-D19)*P20+(D18-D20)*P22+(D23+D27+D28+D29)*365.25+D24*P26*30.44)/365.25</f>
        <v>243040.20412239508</v>
      </c>
      <c r="E9" s="12">
        <f>((E13-E17)*Q16+(E14-E18)*Q18+(E17-E19)*Q20+(E18-E20)*Q22+(E23+E27+E28+E29)*365.25+E24*Q26*30.44)/365.25</f>
        <v>25112.575217490241</v>
      </c>
      <c r="F9" s="12">
        <f>D24</f>
        <v>10596.343681386383</v>
      </c>
      <c r="G9" s="12">
        <f>E24</f>
        <v>319.41024619646663</v>
      </c>
      <c r="H9" s="13">
        <f>F9*P32/1000000</f>
        <v>1.7931145159712429</v>
      </c>
      <c r="I9" s="13">
        <f>G9*Q32/1000000</f>
        <v>5.405063918518524E-2</v>
      </c>
      <c r="J9" s="12">
        <f>SUM(D21:D22)</f>
        <v>23373.094177723746</v>
      </c>
      <c r="K9" s="12">
        <f>SUM(E21:E22)</f>
        <v>3061.7383299184826</v>
      </c>
      <c r="M9" s="25" t="s">
        <v>80</v>
      </c>
      <c r="N9" s="15"/>
      <c r="O9" s="15"/>
      <c r="P9" s="19">
        <f>(79242*1.07+141785*4.46)/(79242+141785)</f>
        <v>3.2446264031091228</v>
      </c>
      <c r="Q9" s="20">
        <f>P9</f>
        <v>3.2446264031091228</v>
      </c>
      <c r="R9" s="15" t="s">
        <v>9</v>
      </c>
      <c r="S9" s="15"/>
      <c r="T9" s="15"/>
      <c r="U9" s="15"/>
      <c r="V9" s="15"/>
      <c r="W9" s="18"/>
      <c r="Y9" t="s">
        <v>79</v>
      </c>
      <c r="AA9" s="12">
        <f>((AA13-AA17)*AM16+(AA14-AA18)*AM18+(AA17-AA19)*AM20+(AA18-AA20)*AM22+(AA23+AA27+AA28+AA29)*365.25+AA24*AM26*30.44)/365.25</f>
        <v>132918.96071278071</v>
      </c>
      <c r="AB9" s="12">
        <f>((AB13-AB17)*AN16+(AB14-AB18)*AN18+(AB17-AB19)*AN20+(AB18-AB20)*AN22+(AB23+AB27+AB28+AB29)*365.25+AB24*AN26*30.44)/365.25</f>
        <v>60501.721814309356</v>
      </c>
      <c r="AC9" s="12">
        <f>AA24</f>
        <v>2007.180823218062</v>
      </c>
      <c r="AD9" s="12">
        <f>AB24</f>
        <v>846.73890529639584</v>
      </c>
      <c r="AE9" s="13">
        <f>AC9*AM32/1000000</f>
        <v>0.31699490107694944</v>
      </c>
      <c r="AF9" s="13">
        <f>AD9*AN32/1000000</f>
        <v>0.13372582699953134</v>
      </c>
      <c r="AG9" s="12">
        <f>SUM(AA21:AA22)</f>
        <v>7307.7168016911965</v>
      </c>
      <c r="AH9" s="12">
        <f>SUM(AB21:AB22)</f>
        <v>3731.6157384954604</v>
      </c>
      <c r="AJ9" s="25" t="s">
        <v>80</v>
      </c>
      <c r="AK9" s="15"/>
      <c r="AL9" s="15"/>
      <c r="AM9" s="19">
        <v>4.5730449411199228</v>
      </c>
      <c r="AN9" s="20">
        <f t="shared" si="3"/>
        <v>4.5730449411199228</v>
      </c>
      <c r="AO9" s="24" t="s">
        <v>9</v>
      </c>
      <c r="AP9" s="15"/>
      <c r="AQ9" s="15" t="s">
        <v>81</v>
      </c>
      <c r="AR9" s="15"/>
      <c r="AS9" s="15"/>
      <c r="AT9" s="18"/>
    </row>
    <row r="10" spans="2:47" x14ac:dyDescent="0.25">
      <c r="D10" s="26"/>
      <c r="E10" s="26"/>
      <c r="M10" s="14" t="s">
        <v>82</v>
      </c>
      <c r="N10" s="15"/>
      <c r="O10" s="15"/>
      <c r="P10" s="19">
        <v>5</v>
      </c>
      <c r="Q10" s="17">
        <v>4.5999999999999996</v>
      </c>
      <c r="R10" s="15" t="s">
        <v>9</v>
      </c>
      <c r="S10" s="15"/>
      <c r="T10" s="24" t="s">
        <v>73</v>
      </c>
      <c r="U10" s="15"/>
      <c r="V10" s="15"/>
      <c r="W10" s="18"/>
      <c r="AJ10" s="14" t="s">
        <v>82</v>
      </c>
      <c r="AK10" s="15"/>
      <c r="AL10" s="15"/>
      <c r="AM10" s="19">
        <f>(2.4*10433+1.6*1935)/(10433+1935)</f>
        <v>2.2748382923674</v>
      </c>
      <c r="AN10" s="20">
        <f t="shared" si="3"/>
        <v>2.2748382923674</v>
      </c>
      <c r="AO10" s="15" t="s">
        <v>9</v>
      </c>
      <c r="AP10" s="15"/>
      <c r="AQ10" s="15" t="s">
        <v>67</v>
      </c>
      <c r="AR10" s="15"/>
      <c r="AS10" s="15"/>
      <c r="AT10" s="18"/>
    </row>
    <row r="11" spans="2:47" x14ac:dyDescent="0.25">
      <c r="B11" s="27" t="s">
        <v>83</v>
      </c>
      <c r="D11" t="s">
        <v>56</v>
      </c>
      <c r="E11" t="s">
        <v>57</v>
      </c>
      <c r="G11" t="s">
        <v>84</v>
      </c>
      <c r="H11" s="26">
        <f>SUM(H5:H9)/SUM($H5:$I9,$AE5:$AF9)</f>
        <v>0.50226152774656441</v>
      </c>
      <c r="I11" s="26">
        <f>SUM(I5:I9)/SUM($H5:$I9,$AE5:$AF9)</f>
        <v>4.5560306297242871E-2</v>
      </c>
      <c r="M11" s="14" t="s">
        <v>85</v>
      </c>
      <c r="N11" s="21"/>
      <c r="O11" s="28"/>
      <c r="P11" s="29">
        <f>(12/P5*(1-P7/100)+(P7/100))*(1*(1-P9/100)+2*(P9/100))*(1-P10/100)</f>
        <v>0.92473865400482946</v>
      </c>
      <c r="Q11" s="29">
        <f>(12/Q5*(1-Q7/100)+(Q7/100))*(1*(1-Q9/100)+2*(Q9/100))*(1-Q10/100)</f>
        <v>0.94104312398582812</v>
      </c>
      <c r="R11" s="15" t="s">
        <v>86</v>
      </c>
      <c r="S11" s="15"/>
      <c r="T11" s="15" t="s">
        <v>74</v>
      </c>
      <c r="U11" s="15"/>
      <c r="V11" s="15"/>
      <c r="W11" s="18"/>
      <c r="Y11" s="27" t="s">
        <v>83</v>
      </c>
      <c r="AA11" t="s">
        <v>56</v>
      </c>
      <c r="AB11" t="s">
        <v>57</v>
      </c>
      <c r="AD11" t="s">
        <v>84</v>
      </c>
      <c r="AE11" s="26">
        <f>SUM(AE5:AE9)/SUM($H5:$I9,$AE5:$AF9)</f>
        <v>0.31213358307409156</v>
      </c>
      <c r="AF11" s="26">
        <f>SUM(AF5:AF9)/SUM($H5:$I9,$AE5:$AF9)</f>
        <v>0.14004458288210153</v>
      </c>
      <c r="AJ11" s="14" t="s">
        <v>85</v>
      </c>
      <c r="AK11" s="21"/>
      <c r="AL11" s="28"/>
      <c r="AM11" s="30">
        <f>(12/AM5*(1-AM7/100)+(AM7/100))*(1*(1-AM9/100)+2*(AM9/100))*(1-AM10/100)</f>
        <v>0.98019407919625612</v>
      </c>
      <c r="AN11" s="31">
        <f>(12/AN5*(1-AN7/100)+(AN7/100))*(1*(1-AN9/100)+2*(AN9/100))*(1-AN10/100)</f>
        <v>0.98019407919625612</v>
      </c>
      <c r="AO11" s="15" t="s">
        <v>86</v>
      </c>
      <c r="AP11" s="15"/>
      <c r="AQ11" s="15" t="s">
        <v>74</v>
      </c>
      <c r="AR11" s="15"/>
      <c r="AS11" s="15"/>
      <c r="AT11" s="18"/>
      <c r="AU11" s="32"/>
    </row>
    <row r="12" spans="2:47" x14ac:dyDescent="0.25">
      <c r="B12" t="s">
        <v>87</v>
      </c>
      <c r="D12" s="12">
        <f>D5*P11</f>
        <v>241553.37703623809</v>
      </c>
      <c r="E12" s="12">
        <f>E5*Q11</f>
        <v>51781.285607087273</v>
      </c>
      <c r="H12" s="26">
        <f>H11/SUM(H11:I11)</f>
        <v>0.91683371587997065</v>
      </c>
      <c r="I12" s="26">
        <f>I11/SUM(H11:I11)</f>
        <v>8.316628412002941E-2</v>
      </c>
      <c r="M12" s="14" t="s">
        <v>88</v>
      </c>
      <c r="N12" s="15"/>
      <c r="O12" s="15"/>
      <c r="P12" s="15">
        <v>100</v>
      </c>
      <c r="Q12" s="33">
        <f>P12</f>
        <v>100</v>
      </c>
      <c r="R12" s="15" t="s">
        <v>89</v>
      </c>
      <c r="S12" s="15"/>
      <c r="T12" s="15" t="s">
        <v>90</v>
      </c>
      <c r="U12" s="15"/>
      <c r="V12" s="15"/>
      <c r="W12" s="18"/>
      <c r="Y12" t="s">
        <v>87</v>
      </c>
      <c r="AA12" s="12">
        <f>AA5*AM11</f>
        <v>131170.62244609589</v>
      </c>
      <c r="AB12" s="12">
        <f>AB5*AN11</f>
        <v>71253.177625039752</v>
      </c>
      <c r="AE12" s="26">
        <f>AE11/SUM(AE11:AF11)</f>
        <v>0.69028893160739424</v>
      </c>
      <c r="AF12" s="26">
        <f>AF11/SUM(AE11:AF11)</f>
        <v>0.3097110683926057</v>
      </c>
      <c r="AJ12" s="14" t="s">
        <v>88</v>
      </c>
      <c r="AK12" s="15"/>
      <c r="AL12" s="15"/>
      <c r="AM12" s="34">
        <f>7*30.4</f>
        <v>212.79999999999998</v>
      </c>
      <c r="AN12" s="33">
        <f t="shared" si="3"/>
        <v>212.79999999999998</v>
      </c>
      <c r="AO12" s="24" t="s">
        <v>89</v>
      </c>
      <c r="AP12" s="15"/>
      <c r="AQ12" s="15"/>
      <c r="AR12" s="15"/>
      <c r="AS12" s="15"/>
      <c r="AT12" s="18"/>
      <c r="AU12" s="32"/>
    </row>
    <row r="13" spans="2:47" x14ac:dyDescent="0.25">
      <c r="B13" t="s">
        <v>91</v>
      </c>
      <c r="D13" s="12">
        <f>D12*P8/100</f>
        <v>122361.22653271889</v>
      </c>
      <c r="E13" s="12">
        <f>E12*Q8/100</f>
        <v>26230.316860251078</v>
      </c>
      <c r="M13" s="35" t="s">
        <v>92</v>
      </c>
      <c r="N13" s="15"/>
      <c r="O13" s="15"/>
      <c r="P13" s="36"/>
      <c r="Q13" s="37"/>
      <c r="R13" s="36"/>
      <c r="S13" s="15"/>
      <c r="T13" s="15"/>
      <c r="U13" s="15"/>
      <c r="V13" s="15"/>
      <c r="W13" s="18"/>
      <c r="Y13" t="s">
        <v>91</v>
      </c>
      <c r="AA13" s="12">
        <f>AA12*AM8/100</f>
        <v>67815.211804631574</v>
      </c>
      <c r="AB13" s="12">
        <f>AB12*AN8/100</f>
        <v>36837.892832145553</v>
      </c>
      <c r="AJ13" s="35" t="s">
        <v>92</v>
      </c>
      <c r="AK13" s="15"/>
      <c r="AL13" s="15"/>
      <c r="AM13" s="36"/>
      <c r="AN13" s="37"/>
      <c r="AO13" s="36"/>
      <c r="AP13" s="15"/>
      <c r="AQ13" s="15"/>
      <c r="AR13" s="15"/>
      <c r="AS13" s="15"/>
      <c r="AT13" s="18"/>
      <c r="AU13" s="32"/>
    </row>
    <row r="14" spans="2:47" x14ac:dyDescent="0.25">
      <c r="B14" t="s">
        <v>93</v>
      </c>
      <c r="D14" s="12">
        <f>D12-D13</f>
        <v>119192.15050351919</v>
      </c>
      <c r="E14" s="12">
        <f>E12-E13</f>
        <v>25550.968746836195</v>
      </c>
      <c r="M14" s="14" t="s">
        <v>94</v>
      </c>
      <c r="N14" s="15"/>
      <c r="O14" s="15"/>
      <c r="P14" s="15">
        <v>6.6</v>
      </c>
      <c r="Q14" s="37">
        <f t="shared" ref="Q14:Q22" si="4">P14</f>
        <v>6.6</v>
      </c>
      <c r="R14" s="24" t="s">
        <v>95</v>
      </c>
      <c r="S14" s="15"/>
      <c r="T14" s="15" t="s">
        <v>90</v>
      </c>
      <c r="U14" s="15"/>
      <c r="V14" s="15"/>
      <c r="W14" s="18"/>
      <c r="Y14" t="s">
        <v>93</v>
      </c>
      <c r="AA14" s="12">
        <f>AA12-AA13</f>
        <v>63355.410641464317</v>
      </c>
      <c r="AB14" s="12">
        <f>AB12-AB13</f>
        <v>34415.284792894199</v>
      </c>
      <c r="AJ14" s="14" t="s">
        <v>94</v>
      </c>
      <c r="AK14" s="15"/>
      <c r="AL14" s="15"/>
      <c r="AM14" s="19">
        <v>2</v>
      </c>
      <c r="AN14" s="37">
        <f t="shared" si="3"/>
        <v>2</v>
      </c>
      <c r="AO14" s="24" t="s">
        <v>95</v>
      </c>
      <c r="AP14" s="15"/>
      <c r="AQ14" s="15" t="s">
        <v>90</v>
      </c>
      <c r="AR14" s="15"/>
      <c r="AS14" s="15"/>
      <c r="AT14" s="18"/>
      <c r="AU14" s="32"/>
    </row>
    <row r="15" spans="2:47" x14ac:dyDescent="0.25">
      <c r="B15" t="s">
        <v>319</v>
      </c>
      <c r="D15" s="12">
        <f>D13*(1-P15/100)</f>
        <v>117222.05501834469</v>
      </c>
      <c r="E15" s="12">
        <f>E13*(1-Q15/100)</f>
        <v>25128.643552120531</v>
      </c>
      <c r="M15" s="14" t="s">
        <v>97</v>
      </c>
      <c r="N15" s="15"/>
      <c r="O15" s="15"/>
      <c r="P15" s="38">
        <v>4.2</v>
      </c>
      <c r="Q15" s="37">
        <f t="shared" si="4"/>
        <v>4.2</v>
      </c>
      <c r="R15" s="24" t="s">
        <v>98</v>
      </c>
      <c r="S15" s="15"/>
      <c r="T15" s="15" t="s">
        <v>90</v>
      </c>
      <c r="U15" s="15"/>
      <c r="V15" s="15"/>
      <c r="W15" s="18"/>
      <c r="AA15" s="12">
        <f>AA13*(1-AM15/100)</f>
        <v>65102.603332446306</v>
      </c>
      <c r="AB15" s="12">
        <f>AB13*(1-AN15/100)</f>
        <v>35364.377118859731</v>
      </c>
      <c r="AJ15" s="14" t="s">
        <v>97</v>
      </c>
      <c r="AK15" s="15"/>
      <c r="AL15" s="15"/>
      <c r="AM15" s="19">
        <v>4</v>
      </c>
      <c r="AN15" s="37">
        <f t="shared" si="3"/>
        <v>4</v>
      </c>
      <c r="AO15" s="24" t="s">
        <v>98</v>
      </c>
      <c r="AP15" s="15"/>
      <c r="AQ15" s="15" t="s">
        <v>90</v>
      </c>
      <c r="AR15" s="15"/>
      <c r="AS15" s="15"/>
      <c r="AT15" s="18"/>
      <c r="AU15" s="32"/>
    </row>
    <row r="16" spans="2:47" x14ac:dyDescent="0.25">
      <c r="B16" t="s">
        <v>320</v>
      </c>
      <c r="D16" s="12">
        <f>D14*(1-P17/100)</f>
        <v>115139.61738639954</v>
      </c>
      <c r="E16" s="12">
        <f>E14*(1-Q17/100)</f>
        <v>24682.235809443762</v>
      </c>
      <c r="M16" s="25" t="s">
        <v>100</v>
      </c>
      <c r="N16" s="15"/>
      <c r="O16" s="15"/>
      <c r="P16" s="15">
        <v>10</v>
      </c>
      <c r="Q16" s="37">
        <f t="shared" si="4"/>
        <v>10</v>
      </c>
      <c r="R16" s="15" t="s">
        <v>89</v>
      </c>
      <c r="S16" s="15"/>
      <c r="T16" s="15" t="s">
        <v>90</v>
      </c>
      <c r="U16" s="15"/>
      <c r="V16" s="15"/>
      <c r="W16" s="18"/>
      <c r="AA16" s="12">
        <f>AA14*(1-AM17/100)</f>
        <v>61328.037500937455</v>
      </c>
      <c r="AB16" s="12">
        <f>AB14*(1-AN17/100)</f>
        <v>33313.995679521584</v>
      </c>
      <c r="AJ16" s="25" t="s">
        <v>100</v>
      </c>
      <c r="AK16" s="15"/>
      <c r="AL16" s="15"/>
      <c r="AM16" s="15">
        <v>3</v>
      </c>
      <c r="AN16" s="37">
        <f t="shared" si="3"/>
        <v>3</v>
      </c>
      <c r="AO16" s="15" t="s">
        <v>89</v>
      </c>
      <c r="AP16" s="15"/>
      <c r="AQ16" s="15" t="s">
        <v>90</v>
      </c>
      <c r="AR16" s="15"/>
      <c r="AS16" s="15"/>
      <c r="AT16" s="18"/>
      <c r="AU16" s="32"/>
    </row>
    <row r="17" spans="2:47" x14ac:dyDescent="0.25">
      <c r="B17" t="s">
        <v>96</v>
      </c>
      <c r="D17" s="12">
        <f>D15+E15*P39/100</f>
        <v>139586.54777973198</v>
      </c>
      <c r="E17" s="12">
        <f>E15-E15*P39/100</f>
        <v>2764.1507907332598</v>
      </c>
      <c r="M17" s="14" t="s">
        <v>102</v>
      </c>
      <c r="N17" s="15"/>
      <c r="O17" s="15"/>
      <c r="P17" s="15">
        <v>3.4</v>
      </c>
      <c r="Q17" s="37">
        <f t="shared" si="4"/>
        <v>3.4</v>
      </c>
      <c r="R17" s="24" t="s">
        <v>98</v>
      </c>
      <c r="S17" s="15"/>
      <c r="T17" s="15" t="s">
        <v>90</v>
      </c>
      <c r="U17" s="15"/>
      <c r="V17" s="15"/>
      <c r="W17" s="18"/>
      <c r="Y17" t="s">
        <v>96</v>
      </c>
      <c r="AA17" s="12">
        <f>AA15+AB15*AM39/100</f>
        <v>70053.616129086673</v>
      </c>
      <c r="AB17" s="12">
        <f>AB15-AB15*AM39/100</f>
        <v>30413.364322219368</v>
      </c>
      <c r="AJ17" s="14" t="s">
        <v>102</v>
      </c>
      <c r="AK17" s="15"/>
      <c r="AL17" s="15"/>
      <c r="AM17" s="15">
        <v>3.2</v>
      </c>
      <c r="AN17" s="37">
        <f t="shared" si="3"/>
        <v>3.2</v>
      </c>
      <c r="AO17" s="24" t="s">
        <v>98</v>
      </c>
      <c r="AP17" s="15"/>
      <c r="AQ17" s="15" t="s">
        <v>90</v>
      </c>
      <c r="AR17" s="15"/>
      <c r="AS17" s="15"/>
      <c r="AT17" s="18"/>
      <c r="AU17" s="32"/>
    </row>
    <row r="18" spans="2:47" x14ac:dyDescent="0.25">
      <c r="B18" t="s">
        <v>99</v>
      </c>
      <c r="D18" s="12">
        <f>D16+E16*P40/100</f>
        <v>117237.60743020226</v>
      </c>
      <c r="E18" s="12">
        <f>E16-E16*P40/100</f>
        <v>22584.245765641041</v>
      </c>
      <c r="M18" s="25" t="s">
        <v>100</v>
      </c>
      <c r="N18" s="15"/>
      <c r="O18" s="15"/>
      <c r="P18" s="15">
        <v>10</v>
      </c>
      <c r="Q18" s="37">
        <f t="shared" si="4"/>
        <v>10</v>
      </c>
      <c r="R18" s="15" t="s">
        <v>89</v>
      </c>
      <c r="S18" s="15"/>
      <c r="T18" s="15" t="s">
        <v>90</v>
      </c>
      <c r="U18" s="15"/>
      <c r="V18" s="15"/>
      <c r="W18" s="18"/>
      <c r="Y18" t="s">
        <v>99</v>
      </c>
      <c r="AA18" s="12">
        <f>AA16+AB16*AM40/100</f>
        <v>64159.72713369679</v>
      </c>
      <c r="AB18" s="12">
        <f>AB16-AB16*AM40/100</f>
        <v>30482.306046762249</v>
      </c>
      <c r="AJ18" s="25" t="s">
        <v>100</v>
      </c>
      <c r="AK18" s="15"/>
      <c r="AL18" s="15"/>
      <c r="AM18" s="15">
        <v>10</v>
      </c>
      <c r="AN18" s="37">
        <f t="shared" si="3"/>
        <v>10</v>
      </c>
      <c r="AO18" s="15" t="s">
        <v>89</v>
      </c>
      <c r="AP18" s="15"/>
      <c r="AQ18" s="15" t="s">
        <v>90</v>
      </c>
      <c r="AR18" s="15"/>
      <c r="AS18" s="15"/>
      <c r="AT18" s="18"/>
      <c r="AU18" s="32"/>
    </row>
    <row r="19" spans="2:47" x14ac:dyDescent="0.25">
      <c r="B19" t="s">
        <v>101</v>
      </c>
      <c r="D19" s="12">
        <f>D17*(1-P19/100)</f>
        <v>130094.66253071019</v>
      </c>
      <c r="E19" s="12">
        <f>E17*(1-Q19/100)</f>
        <v>2576.1885369633978</v>
      </c>
      <c r="M19" s="14" t="s">
        <v>105</v>
      </c>
      <c r="N19" s="15"/>
      <c r="O19" s="15"/>
      <c r="P19" s="38">
        <v>6.8</v>
      </c>
      <c r="Q19" s="37">
        <f t="shared" si="4"/>
        <v>6.8</v>
      </c>
      <c r="R19" s="15" t="s">
        <v>106</v>
      </c>
      <c r="S19" s="15"/>
      <c r="T19" s="15" t="s">
        <v>90</v>
      </c>
      <c r="U19" s="15"/>
      <c r="V19" s="15"/>
      <c r="W19" s="18"/>
      <c r="Y19" t="s">
        <v>101</v>
      </c>
      <c r="AA19" s="12">
        <f>AA17*(1-AM19/100)</f>
        <v>68512.436574246763</v>
      </c>
      <c r="AB19" s="12">
        <f>AB17*(1-AN19/100)</f>
        <v>29744.27030713054</v>
      </c>
      <c r="AJ19" s="14" t="s">
        <v>105</v>
      </c>
      <c r="AK19" s="15"/>
      <c r="AL19" s="15"/>
      <c r="AM19" s="15">
        <v>2.2000000000000002</v>
      </c>
      <c r="AN19" s="37">
        <f t="shared" si="3"/>
        <v>2.2000000000000002</v>
      </c>
      <c r="AO19" s="15" t="s">
        <v>106</v>
      </c>
      <c r="AP19" s="15"/>
      <c r="AQ19" s="15" t="s">
        <v>90</v>
      </c>
      <c r="AR19" s="15"/>
      <c r="AS19" s="15"/>
      <c r="AT19" s="18"/>
      <c r="AU19" s="32"/>
    </row>
    <row r="20" spans="2:47" x14ac:dyDescent="0.25">
      <c r="B20" t="s">
        <v>103</v>
      </c>
      <c r="D20" s="12">
        <f>D18*(1-P21/100)</f>
        <v>112548.10313299416</v>
      </c>
      <c r="E20" s="12">
        <f>E18*(1-Q21/100)</f>
        <v>21680.8759350154</v>
      </c>
      <c r="H20" s="39"/>
      <c r="M20" s="25" t="s">
        <v>100</v>
      </c>
      <c r="N20" s="15"/>
      <c r="O20" s="15"/>
      <c r="P20" s="15">
        <v>59</v>
      </c>
      <c r="Q20" s="37">
        <f t="shared" si="4"/>
        <v>59</v>
      </c>
      <c r="R20" s="15" t="s">
        <v>89</v>
      </c>
      <c r="S20" s="15"/>
      <c r="T20" s="15" t="s">
        <v>90</v>
      </c>
      <c r="U20" s="15"/>
      <c r="V20" s="15"/>
      <c r="W20" s="18"/>
      <c r="Y20" t="s">
        <v>103</v>
      </c>
      <c r="AA20" s="12">
        <f>AA18*(1-AM21/100)</f>
        <v>63133.17149955764</v>
      </c>
      <c r="AB20" s="12">
        <f>AB18*(1-AN21/100)</f>
        <v>29994.589150014053</v>
      </c>
      <c r="AJ20" s="25" t="s">
        <v>100</v>
      </c>
      <c r="AK20" s="15"/>
      <c r="AL20" s="15"/>
      <c r="AM20" s="15">
        <v>234</v>
      </c>
      <c r="AN20" s="37">
        <f t="shared" si="3"/>
        <v>234</v>
      </c>
      <c r="AO20" s="15" t="s">
        <v>89</v>
      </c>
      <c r="AP20" s="15"/>
      <c r="AQ20" s="15" t="s">
        <v>90</v>
      </c>
      <c r="AR20" s="15"/>
      <c r="AS20" s="15"/>
      <c r="AT20" s="18"/>
      <c r="AU20" s="32"/>
    </row>
    <row r="21" spans="2:47" x14ac:dyDescent="0.25">
      <c r="B21" t="s">
        <v>104</v>
      </c>
      <c r="D21" s="12">
        <f>D13-D15+D17-D19</f>
        <v>14631.056763395987</v>
      </c>
      <c r="E21" s="12">
        <f>E13-E15+E17-E19</f>
        <v>1289.6355619004084</v>
      </c>
      <c r="F21" s="93"/>
      <c r="M21" s="14" t="s">
        <v>109</v>
      </c>
      <c r="N21" s="15"/>
      <c r="O21" s="15"/>
      <c r="P21" s="23">
        <v>4</v>
      </c>
      <c r="Q21" s="40">
        <f t="shared" si="4"/>
        <v>4</v>
      </c>
      <c r="R21" s="15" t="s">
        <v>106</v>
      </c>
      <c r="S21" s="15"/>
      <c r="T21" s="15" t="s">
        <v>90</v>
      </c>
      <c r="U21" s="15"/>
      <c r="V21" s="15"/>
      <c r="W21" s="18"/>
      <c r="Y21" t="s">
        <v>104</v>
      </c>
      <c r="AA21" s="12">
        <f>AA13-AA15+AA17-AA19</f>
        <v>4253.7880270251771</v>
      </c>
      <c r="AB21" s="12">
        <f>AB13-AB15+AB17-AB19</f>
        <v>2142.6097283746494</v>
      </c>
      <c r="AJ21" s="14" t="s">
        <v>109</v>
      </c>
      <c r="AK21" s="15"/>
      <c r="AL21" s="15"/>
      <c r="AM21" s="15">
        <v>1.6</v>
      </c>
      <c r="AN21" s="40">
        <f t="shared" si="3"/>
        <v>1.6</v>
      </c>
      <c r="AO21" s="15" t="s">
        <v>106</v>
      </c>
      <c r="AP21" s="15"/>
      <c r="AQ21" s="15" t="s">
        <v>90</v>
      </c>
      <c r="AR21" s="15"/>
      <c r="AS21" s="15"/>
      <c r="AT21" s="18"/>
    </row>
    <row r="22" spans="2:47" x14ac:dyDescent="0.25">
      <c r="B22" t="s">
        <v>107</v>
      </c>
      <c r="D22" s="12">
        <f>D14-D16+D18-D20</f>
        <v>8742.0374143277586</v>
      </c>
      <c r="E22" s="12">
        <f>E14-E16+E18-E20</f>
        <v>1772.1027680180741</v>
      </c>
      <c r="M22" s="25" t="s">
        <v>100</v>
      </c>
      <c r="N22" s="15"/>
      <c r="O22" s="15"/>
      <c r="P22" s="15">
        <v>59</v>
      </c>
      <c r="Q22" s="37">
        <f t="shared" si="4"/>
        <v>59</v>
      </c>
      <c r="R22" s="15" t="s">
        <v>89</v>
      </c>
      <c r="S22" s="15"/>
      <c r="T22" s="15" t="s">
        <v>90</v>
      </c>
      <c r="U22" s="15"/>
      <c r="V22" s="15"/>
      <c r="W22" s="18"/>
      <c r="Y22" t="s">
        <v>107</v>
      </c>
      <c r="AA22" s="12">
        <f>AA14-AA16+AA18-AA20</f>
        <v>3053.9287746660193</v>
      </c>
      <c r="AB22" s="12">
        <f>AB14-AB16+AB18-AB20</f>
        <v>1589.006010120811</v>
      </c>
      <c r="AJ22" s="25" t="s">
        <v>100</v>
      </c>
      <c r="AK22" s="15"/>
      <c r="AL22" s="15"/>
      <c r="AM22" s="15">
        <v>241</v>
      </c>
      <c r="AN22" s="37">
        <f t="shared" si="3"/>
        <v>241</v>
      </c>
      <c r="AO22" s="15" t="s">
        <v>89</v>
      </c>
      <c r="AP22" s="15"/>
      <c r="AQ22" s="15" t="s">
        <v>90</v>
      </c>
      <c r="AR22" s="15"/>
      <c r="AS22" s="15"/>
      <c r="AT22" s="18"/>
    </row>
    <row r="23" spans="2:47" x14ac:dyDescent="0.25">
      <c r="B23" t="s">
        <v>108</v>
      </c>
      <c r="D23" s="12">
        <f>D5*P7/100</f>
        <v>96909.870148000016</v>
      </c>
      <c r="E23" s="12">
        <f>E5*Q7/100</f>
        <v>19864.173731999999</v>
      </c>
      <c r="M23" s="35" t="s">
        <v>112</v>
      </c>
      <c r="N23" s="15"/>
      <c r="O23" s="15"/>
      <c r="P23" s="36"/>
      <c r="Q23" s="41"/>
      <c r="R23" s="36"/>
      <c r="S23" s="36"/>
      <c r="T23" s="15"/>
      <c r="U23" s="15"/>
      <c r="V23" s="15"/>
      <c r="W23" s="18"/>
      <c r="Y23" t="s">
        <v>108</v>
      </c>
      <c r="AA23" s="12">
        <f>AA5*AM7/100</f>
        <v>34638.236422008958</v>
      </c>
      <c r="AB23" s="12">
        <f>AB5*AN7/100</f>
        <v>18815.832130474009</v>
      </c>
      <c r="AJ23" s="35" t="s">
        <v>112</v>
      </c>
      <c r="AK23" s="15"/>
      <c r="AL23" s="15"/>
      <c r="AM23" s="36"/>
      <c r="AN23" s="37"/>
      <c r="AO23" s="36"/>
      <c r="AP23" s="36"/>
      <c r="AQ23" s="15"/>
      <c r="AR23" s="15"/>
      <c r="AS23" s="15"/>
      <c r="AT23" s="18"/>
    </row>
    <row r="24" spans="2:47" x14ac:dyDescent="0.25">
      <c r="B24" t="s">
        <v>110</v>
      </c>
      <c r="D24" s="12">
        <f>(SUM(D19:D20)-D23)*P36/100</f>
        <v>10596.343681386383</v>
      </c>
      <c r="E24" s="12">
        <f>(SUM(E19:E20)-E23)*Q36/100</f>
        <v>319.41024619646663</v>
      </c>
      <c r="M24" s="14" t="s">
        <v>94</v>
      </c>
      <c r="N24" s="21"/>
      <c r="O24" s="22"/>
      <c r="P24" s="23">
        <v>60.9</v>
      </c>
      <c r="Q24" s="23">
        <v>61.5</v>
      </c>
      <c r="R24" s="15" t="s">
        <v>65</v>
      </c>
      <c r="S24" s="15"/>
      <c r="T24" s="24" t="s">
        <v>73</v>
      </c>
      <c r="U24" s="15"/>
      <c r="V24" s="15"/>
      <c r="W24" s="18"/>
      <c r="Y24" t="s">
        <v>110</v>
      </c>
      <c r="AA24" s="12">
        <f>(SUM(AA19:AA20)-AA23)*AM36/100</f>
        <v>2007.180823218062</v>
      </c>
      <c r="AB24" s="12">
        <f>(SUM(AB19:AB20)-AB23)*AN36/100</f>
        <v>846.73890529639584</v>
      </c>
      <c r="AJ24" s="14" t="s">
        <v>94</v>
      </c>
      <c r="AK24" s="21"/>
      <c r="AL24" s="22"/>
      <c r="AM24" s="19">
        <f>'G&amp;D sammanställning'!K5</f>
        <v>75.040699327626541</v>
      </c>
      <c r="AN24" s="40">
        <f t="shared" si="3"/>
        <v>75.040699327626541</v>
      </c>
      <c r="AO24" s="15" t="s">
        <v>65</v>
      </c>
      <c r="AP24" s="15"/>
      <c r="AQ24" s="15"/>
      <c r="AR24" s="15"/>
      <c r="AS24" s="15"/>
      <c r="AT24" s="18"/>
    </row>
    <row r="25" spans="2:47" x14ac:dyDescent="0.25">
      <c r="B25" t="s">
        <v>111</v>
      </c>
      <c r="D25" s="12">
        <f>D24*(D19)/(D19+D20-D23)</f>
        <v>9459.2765100233191</v>
      </c>
      <c r="E25" s="12">
        <f>E24*(E19)/(E19+E20-E23)</f>
        <v>187.31652197749989</v>
      </c>
      <c r="M25" s="14" t="s">
        <v>115</v>
      </c>
      <c r="N25" s="21"/>
      <c r="O25" s="22"/>
      <c r="P25" s="19">
        <f>'G&amp;D sammanställning'!H8</f>
        <v>30.188104823951395</v>
      </c>
      <c r="Q25" s="40">
        <f>P25</f>
        <v>30.188104823951395</v>
      </c>
      <c r="R25" s="15" t="s">
        <v>65</v>
      </c>
      <c r="S25" s="15"/>
      <c r="T25" s="15"/>
      <c r="U25" s="15"/>
      <c r="V25" s="15"/>
      <c r="W25" s="18"/>
      <c r="Y25" t="s">
        <v>111</v>
      </c>
      <c r="AA25" s="12">
        <f>AA24*(AA19)/(AA19+AA20-AA23)</f>
        <v>1417.5917407326915</v>
      </c>
      <c r="AB25" s="12">
        <f>AB24*(AB19)/(AB19+AB20-AB23)</f>
        <v>615.43909441630399</v>
      </c>
      <c r="AJ25" s="14" t="s">
        <v>115</v>
      </c>
      <c r="AK25" s="21"/>
      <c r="AL25" s="22"/>
      <c r="AM25" s="19">
        <f>'G&amp;D sammanställning'!K8</f>
        <v>26.026750161681768</v>
      </c>
      <c r="AN25" s="40">
        <f t="shared" si="3"/>
        <v>26.026750161681768</v>
      </c>
      <c r="AO25" s="15" t="s">
        <v>65</v>
      </c>
      <c r="AP25" s="15"/>
      <c r="AQ25" s="15"/>
      <c r="AR25" s="15"/>
      <c r="AS25" s="15"/>
      <c r="AT25" s="18"/>
    </row>
    <row r="26" spans="2:47" x14ac:dyDescent="0.25">
      <c r="B26" t="s">
        <v>113</v>
      </c>
      <c r="D26" s="12">
        <f>D24-D25</f>
        <v>1137.0671713630636</v>
      </c>
      <c r="E26" s="12">
        <f>E24-E25</f>
        <v>132.09372421896674</v>
      </c>
      <c r="M26" s="14" t="s">
        <v>117</v>
      </c>
      <c r="N26" s="21"/>
      <c r="O26" s="22"/>
      <c r="P26" s="19">
        <f>'G&amp;D sammanställning'!H14</f>
        <v>10.328497352565272</v>
      </c>
      <c r="Q26" s="40">
        <f>P26</f>
        <v>10.328497352565272</v>
      </c>
      <c r="R26" s="15" t="s">
        <v>65</v>
      </c>
      <c r="S26" s="15"/>
      <c r="T26" s="15"/>
      <c r="U26" s="15"/>
      <c r="V26" s="15"/>
      <c r="W26" s="18"/>
      <c r="Y26" t="s">
        <v>113</v>
      </c>
      <c r="AA26" s="12">
        <f>AA24-AA25</f>
        <v>589.58908248537045</v>
      </c>
      <c r="AB26" s="12">
        <f>AB24-AB25</f>
        <v>231.29981088009185</v>
      </c>
      <c r="AJ26" s="14" t="s">
        <v>117</v>
      </c>
      <c r="AK26" s="21"/>
      <c r="AL26" s="22"/>
      <c r="AM26" s="19">
        <f>'G&amp;D sammanställning'!K14</f>
        <v>9.9010035771065183</v>
      </c>
      <c r="AN26" s="40">
        <f t="shared" si="3"/>
        <v>9.9010035771065183</v>
      </c>
      <c r="AO26" s="15" t="s">
        <v>65</v>
      </c>
      <c r="AP26" s="15"/>
      <c r="AQ26" s="15"/>
      <c r="AR26" s="15"/>
      <c r="AS26" s="15"/>
      <c r="AT26" s="18"/>
    </row>
    <row r="27" spans="2:47" x14ac:dyDescent="0.25">
      <c r="B27" t="s">
        <v>114</v>
      </c>
      <c r="D27" s="12">
        <f>D20-D23-D26</f>
        <v>14501.165813631082</v>
      </c>
      <c r="E27" s="12">
        <f>E20-E23-E26</f>
        <v>1684.6084787964335</v>
      </c>
      <c r="M27" s="14" t="s">
        <v>119</v>
      </c>
      <c r="N27" s="21"/>
      <c r="O27" s="22"/>
      <c r="P27" s="19">
        <f>'G&amp;D sammanställning'!H9</f>
        <v>29.050688450113576</v>
      </c>
      <c r="Q27" s="40">
        <f>P27</f>
        <v>29.050688450113576</v>
      </c>
      <c r="R27" s="15" t="s">
        <v>65</v>
      </c>
      <c r="S27" s="15"/>
      <c r="T27" s="15"/>
      <c r="U27" s="15"/>
      <c r="V27" s="15"/>
      <c r="W27" s="18"/>
      <c r="Y27" t="s">
        <v>114</v>
      </c>
      <c r="AA27" s="12">
        <f>AA20-AA23-AA26</f>
        <v>27905.345995063311</v>
      </c>
      <c r="AB27" s="12">
        <f>AB20-AB23-AB26</f>
        <v>10947.457208659953</v>
      </c>
      <c r="AJ27" s="14" t="s">
        <v>119</v>
      </c>
      <c r="AK27" s="21"/>
      <c r="AL27" s="22"/>
      <c r="AM27" s="19">
        <f>'G&amp;D sammanställning'!K9</f>
        <v>27.558030529284888</v>
      </c>
      <c r="AN27" s="40">
        <f t="shared" si="3"/>
        <v>27.558030529284888</v>
      </c>
      <c r="AO27" s="15" t="s">
        <v>65</v>
      </c>
      <c r="AP27" s="15"/>
      <c r="AQ27" s="15"/>
      <c r="AR27" s="15"/>
      <c r="AS27" s="15"/>
      <c r="AT27" s="18"/>
    </row>
    <row r="28" spans="2:47" x14ac:dyDescent="0.25">
      <c r="B28" t="s">
        <v>116</v>
      </c>
      <c r="D28" s="12">
        <f>(D19-D25)*(P37/100)</f>
        <v>16697.557956586181</v>
      </c>
      <c r="E28" s="12">
        <f>(E19-E25)*(Q37/100)</f>
        <v>1464.3158995083204</v>
      </c>
      <c r="M28" s="14" t="s">
        <v>120</v>
      </c>
      <c r="N28" s="21"/>
      <c r="O28" s="22"/>
      <c r="P28" s="19">
        <f>'G&amp;D sammanställning'!H10</f>
        <v>21.274161929371228</v>
      </c>
      <c r="Q28" s="40">
        <f>P28</f>
        <v>21.274161929371228</v>
      </c>
      <c r="R28" s="15" t="s">
        <v>65</v>
      </c>
      <c r="S28" s="15"/>
      <c r="T28" s="15"/>
      <c r="U28" s="15"/>
      <c r="V28" s="15"/>
      <c r="W28" s="18"/>
      <c r="Y28" t="s">
        <v>116</v>
      </c>
      <c r="AA28" s="12">
        <f>(AA19-AA25)*(AM37/100)</f>
        <v>6297.741874357187</v>
      </c>
      <c r="AB28" s="12">
        <f>(AB19-AB25)*(AN37/100)</f>
        <v>10594.74404585813</v>
      </c>
      <c r="AD28">
        <v>6180.1796543566261</v>
      </c>
      <c r="AE28">
        <v>10387.90219324291</v>
      </c>
      <c r="AJ28" s="14" t="s">
        <v>120</v>
      </c>
      <c r="AK28" s="21"/>
      <c r="AL28" s="22"/>
      <c r="AM28" s="19">
        <f>'G&amp;D sammanställning'!K10</f>
        <v>19.243860274657415</v>
      </c>
      <c r="AN28" s="40">
        <f t="shared" si="3"/>
        <v>19.243860274657415</v>
      </c>
      <c r="AO28" s="15" t="s">
        <v>65</v>
      </c>
      <c r="AP28" s="15"/>
      <c r="AQ28" s="15"/>
      <c r="AR28" s="15"/>
      <c r="AS28" s="15"/>
      <c r="AT28" s="18"/>
    </row>
    <row r="29" spans="2:47" x14ac:dyDescent="0.25">
      <c r="B29" t="s">
        <v>118</v>
      </c>
      <c r="D29" s="12">
        <f>D19-D25-D28</f>
        <v>103937.82806410069</v>
      </c>
      <c r="E29" s="12">
        <f>E19-E25-E28</f>
        <v>924.55611547757735</v>
      </c>
      <c r="M29" s="43" t="s">
        <v>121</v>
      </c>
      <c r="N29" s="21"/>
      <c r="O29" s="22"/>
      <c r="P29" s="19"/>
      <c r="Q29" s="37"/>
      <c r="R29" s="19"/>
      <c r="S29" s="19"/>
      <c r="T29" s="15"/>
      <c r="U29" s="15"/>
      <c r="V29" s="15"/>
      <c r="W29" s="18"/>
      <c r="Y29" t="s">
        <v>118</v>
      </c>
      <c r="AA29" s="12">
        <f>AA19-AA25-AA28</f>
        <v>60797.10295915688</v>
      </c>
      <c r="AB29" s="12">
        <f>AB19-AB25-AB28</f>
        <v>18534.087166856109</v>
      </c>
      <c r="AD29">
        <v>60706.75711053711</v>
      </c>
      <c r="AE29">
        <v>18612.205051647394</v>
      </c>
      <c r="AJ29" s="43" t="s">
        <v>121</v>
      </c>
      <c r="AK29" s="21"/>
      <c r="AL29" s="22"/>
      <c r="AM29" s="19"/>
      <c r="AN29" s="37"/>
      <c r="AO29" s="19"/>
      <c r="AP29" s="19"/>
      <c r="AQ29" s="15"/>
      <c r="AR29" s="15"/>
      <c r="AS29" s="15"/>
      <c r="AT29" s="18"/>
    </row>
    <row r="30" spans="2:47" x14ac:dyDescent="0.25">
      <c r="D30" s="12"/>
      <c r="E30" s="42"/>
      <c r="M30" s="14" t="s">
        <v>94</v>
      </c>
      <c r="N30" s="21"/>
      <c r="O30" s="22"/>
      <c r="P30" s="34">
        <f>'G&amp;D sammanställning'!B5</f>
        <v>311.47282254754418</v>
      </c>
      <c r="Q30" s="44">
        <f>P30</f>
        <v>311.47282254754418</v>
      </c>
      <c r="R30" s="19" t="s">
        <v>122</v>
      </c>
      <c r="S30" s="19"/>
      <c r="T30" s="15"/>
      <c r="U30" s="15"/>
      <c r="V30" s="15"/>
      <c r="W30" s="18"/>
      <c r="AA30" s="12"/>
      <c r="AB30" s="26"/>
      <c r="AJ30" s="14" t="s">
        <v>94</v>
      </c>
      <c r="AK30" s="21"/>
      <c r="AL30" s="22"/>
      <c r="AM30" s="19">
        <f>'G&amp;D sammanställning'!E5</f>
        <v>340.75348330914369</v>
      </c>
      <c r="AN30" s="44">
        <f t="shared" si="3"/>
        <v>340.75348330914369</v>
      </c>
      <c r="AO30" s="19" t="s">
        <v>122</v>
      </c>
      <c r="AP30" s="19"/>
      <c r="AQ30" s="15"/>
      <c r="AR30" s="15"/>
      <c r="AS30" s="15"/>
      <c r="AT30" s="18"/>
    </row>
    <row r="31" spans="2:47" x14ac:dyDescent="0.25">
      <c r="D31" s="12"/>
      <c r="E31" s="42"/>
      <c r="M31" s="14" t="s">
        <v>115</v>
      </c>
      <c r="N31" s="21"/>
      <c r="O31" s="22"/>
      <c r="P31" s="34">
        <f>'G&amp;D sammanställning'!B8</f>
        <v>300.087726618354</v>
      </c>
      <c r="Q31" s="44">
        <f>P31</f>
        <v>300.087726618354</v>
      </c>
      <c r="R31" s="19" t="s">
        <v>122</v>
      </c>
      <c r="S31" s="19"/>
      <c r="T31" s="15"/>
      <c r="U31" s="15"/>
      <c r="V31" s="15"/>
      <c r="W31" s="18"/>
      <c r="AA31" s="12"/>
      <c r="AB31" s="26"/>
      <c r="AJ31" s="14" t="s">
        <v>115</v>
      </c>
      <c r="AK31" s="21"/>
      <c r="AL31" s="22"/>
      <c r="AM31" s="19">
        <f>'G&amp;D sammanställning'!E8</f>
        <v>310.43925772421613</v>
      </c>
      <c r="AN31" s="44">
        <f t="shared" si="3"/>
        <v>310.43925772421613</v>
      </c>
      <c r="AO31" s="19" t="s">
        <v>122</v>
      </c>
      <c r="AP31" s="19"/>
      <c r="AQ31" s="15"/>
      <c r="AR31" s="15"/>
      <c r="AS31" s="15"/>
      <c r="AT31" s="18"/>
    </row>
    <row r="32" spans="2:47" x14ac:dyDescent="0.25">
      <c r="D32" s="12"/>
      <c r="E32" s="42"/>
      <c r="M32" s="14" t="s">
        <v>117</v>
      </c>
      <c r="N32" s="21"/>
      <c r="O32" s="22"/>
      <c r="P32" s="34">
        <f>'G&amp;D sammanställning'!B14</f>
        <v>169.22011685229137</v>
      </c>
      <c r="Q32" s="44">
        <f>P32</f>
        <v>169.22011685229137</v>
      </c>
      <c r="R32" s="19" t="s">
        <v>122</v>
      </c>
      <c r="S32" s="19"/>
      <c r="T32" s="15"/>
      <c r="U32" s="15"/>
      <c r="V32" s="15"/>
      <c r="W32" s="18"/>
      <c r="AA32" s="45"/>
      <c r="AB32" s="26"/>
      <c r="AJ32" s="14" t="s">
        <v>117</v>
      </c>
      <c r="AK32" s="21"/>
      <c r="AL32" s="22"/>
      <c r="AM32" s="19">
        <f>'G&amp;D sammanställning'!E14</f>
        <v>157.93041534181239</v>
      </c>
      <c r="AN32" s="44">
        <f t="shared" si="3"/>
        <v>157.93041534181239</v>
      </c>
      <c r="AO32" s="19" t="s">
        <v>122</v>
      </c>
      <c r="AP32" s="19"/>
      <c r="AQ32" s="15"/>
      <c r="AR32" s="15"/>
      <c r="AS32" s="15"/>
      <c r="AT32" s="18"/>
    </row>
    <row r="33" spans="2:46" x14ac:dyDescent="0.25">
      <c r="D33" s="12"/>
      <c r="E33" s="42"/>
      <c r="M33" s="14" t="s">
        <v>119</v>
      </c>
      <c r="N33" s="21"/>
      <c r="O33" s="22"/>
      <c r="P33" s="34">
        <f>'G&amp;D sammanställning'!B9</f>
        <v>328.06056613664163</v>
      </c>
      <c r="Q33" s="44">
        <f>P33</f>
        <v>328.06056613664163</v>
      </c>
      <c r="R33" s="19" t="s">
        <v>122</v>
      </c>
      <c r="S33" s="19"/>
      <c r="T33" s="15"/>
      <c r="U33" s="15"/>
      <c r="V33" s="15"/>
      <c r="W33" s="18"/>
      <c r="AA33" s="12"/>
      <c r="AB33" s="26"/>
      <c r="AJ33" s="14" t="s">
        <v>119</v>
      </c>
      <c r="AK33" s="21"/>
      <c r="AL33" s="22"/>
      <c r="AM33" s="19">
        <f>'G&amp;D sammanställning'!E9</f>
        <v>335.97588628947517</v>
      </c>
      <c r="AN33" s="44">
        <f t="shared" si="3"/>
        <v>335.97588628947517</v>
      </c>
      <c r="AO33" s="19" t="s">
        <v>122</v>
      </c>
      <c r="AP33" s="19"/>
      <c r="AQ33" s="15"/>
      <c r="AR33" s="15"/>
      <c r="AS33" s="15"/>
      <c r="AT33" s="18"/>
    </row>
    <row r="34" spans="2:46" x14ac:dyDescent="0.25">
      <c r="D34" s="12"/>
      <c r="E34" s="42"/>
      <c r="M34" s="14" t="s">
        <v>120</v>
      </c>
      <c r="N34" s="21"/>
      <c r="O34" s="22"/>
      <c r="P34" s="34">
        <f>'G&amp;D sammanställning'!B10</f>
        <v>328.17399870801034</v>
      </c>
      <c r="Q34" s="44">
        <f>P34</f>
        <v>328.17399870801034</v>
      </c>
      <c r="R34" s="19" t="s">
        <v>122</v>
      </c>
      <c r="S34" s="19"/>
      <c r="T34" s="15"/>
      <c r="U34" s="15"/>
      <c r="V34" s="15"/>
      <c r="W34" s="18"/>
      <c r="AA34" s="12"/>
      <c r="AB34" s="26"/>
      <c r="AJ34" s="14" t="s">
        <v>120</v>
      </c>
      <c r="AK34" s="21"/>
      <c r="AL34" s="22"/>
      <c r="AM34" s="19">
        <f>'G&amp;D sammanställning'!E10</f>
        <v>359.47633763159445</v>
      </c>
      <c r="AN34" s="44">
        <f t="shared" si="3"/>
        <v>359.47633763159445</v>
      </c>
      <c r="AO34" s="19" t="s">
        <v>122</v>
      </c>
      <c r="AP34" s="19"/>
      <c r="AQ34" s="15"/>
      <c r="AR34" s="15"/>
      <c r="AS34" s="15"/>
      <c r="AT34" s="18"/>
    </row>
    <row r="35" spans="2:46" x14ac:dyDescent="0.25">
      <c r="D35" s="12"/>
      <c r="E35" s="42"/>
      <c r="M35" s="35" t="s">
        <v>123</v>
      </c>
      <c r="N35" s="21"/>
      <c r="O35" s="22"/>
      <c r="P35" s="19"/>
      <c r="Q35" s="37"/>
      <c r="R35" s="19"/>
      <c r="S35" s="19" t="s">
        <v>306</v>
      </c>
      <c r="T35" s="15"/>
      <c r="U35" s="15"/>
      <c r="V35" s="15"/>
      <c r="W35" s="18"/>
      <c r="AA35" s="12"/>
      <c r="AB35" s="26"/>
      <c r="AJ35" s="35" t="s">
        <v>123</v>
      </c>
      <c r="AK35" s="21"/>
      <c r="AL35" s="22"/>
      <c r="AM35" s="19"/>
      <c r="AN35" s="37"/>
      <c r="AO35" s="19"/>
      <c r="AP35" s="19" t="s">
        <v>306</v>
      </c>
      <c r="AQ35" s="15"/>
      <c r="AR35" s="15"/>
      <c r="AS35" s="15"/>
      <c r="AT35" s="18"/>
    </row>
    <row r="36" spans="2:46" x14ac:dyDescent="0.25">
      <c r="D36" s="12"/>
      <c r="E36" s="42"/>
      <c r="M36" s="14" t="s">
        <v>496</v>
      </c>
      <c r="N36" s="21"/>
      <c r="O36" s="22"/>
      <c r="P36" s="19">
        <f>'G&amp;D sammanställning'!$T$14*S36</f>
        <v>7.2710719456229489</v>
      </c>
      <c r="Q36" s="19">
        <f>'G&amp;D sammanställning'!$T$14*T36</f>
        <v>7.2710719456229489</v>
      </c>
      <c r="R36" s="19" t="s">
        <v>9</v>
      </c>
      <c r="S36" s="19">
        <v>0.95</v>
      </c>
      <c r="T36" s="19">
        <v>0.95</v>
      </c>
      <c r="U36" s="15"/>
      <c r="V36" s="15"/>
      <c r="W36" s="18"/>
      <c r="AA36" s="12"/>
      <c r="AB36" s="26"/>
      <c r="AJ36" s="14" t="s">
        <v>117</v>
      </c>
      <c r="AK36" s="21"/>
      <c r="AL36" s="22"/>
      <c r="AM36" s="19">
        <f>'G&amp;D sammanställning'!$W$14*AP36</f>
        <v>2.0691013363631443</v>
      </c>
      <c r="AN36" s="19">
        <f>'G&amp;D sammanställning'!$W$14*AQ36</f>
        <v>2.0691013363631443</v>
      </c>
      <c r="AO36" s="19" t="s">
        <v>9</v>
      </c>
      <c r="AP36" s="19">
        <v>0.95</v>
      </c>
      <c r="AQ36" s="19">
        <v>0.95</v>
      </c>
      <c r="AR36" s="15"/>
      <c r="AS36" s="15"/>
      <c r="AT36" s="18"/>
    </row>
    <row r="37" spans="2:46" x14ac:dyDescent="0.25">
      <c r="D37" s="12"/>
      <c r="E37" s="42"/>
      <c r="M37" s="14" t="s">
        <v>497</v>
      </c>
      <c r="N37" s="21"/>
      <c r="O37" s="22"/>
      <c r="P37" s="19">
        <f>'G&amp;D sammanställning'!$T$9/SUM('G&amp;D sammanställning'!T9:T10)*100*S37</f>
        <v>13.841343329993437</v>
      </c>
      <c r="Q37" s="19">
        <f>'G&amp;D sammanställning'!$T$9/SUM('G&amp;D sammanställning'!T9:T10)*100*T37</f>
        <v>61.297377604256653</v>
      </c>
      <c r="R37" s="19" t="s">
        <v>9</v>
      </c>
      <c r="S37" s="19">
        <v>0.7</v>
      </c>
      <c r="T37" s="19">
        <v>3.1</v>
      </c>
      <c r="U37" s="15"/>
      <c r="V37" s="15"/>
      <c r="W37" s="18"/>
      <c r="AA37" s="12"/>
      <c r="AB37" s="26"/>
      <c r="AJ37" s="14" t="s">
        <v>119</v>
      </c>
      <c r="AK37" s="21"/>
      <c r="AL37" s="22"/>
      <c r="AM37" s="19">
        <f>'G&amp;D sammanställning'!$W$9/SUM('G&amp;D sammanställning'!W9:W10)*100*AP37</f>
        <v>9.3863275039745613</v>
      </c>
      <c r="AN37" s="19">
        <f>'G&amp;D sammanställning'!$W$9/SUM('G&amp;D sammanställning'!W9:W10)*100*AQ37</f>
        <v>36.372019077901427</v>
      </c>
      <c r="AO37" s="19" t="s">
        <v>9</v>
      </c>
      <c r="AP37" s="19">
        <v>0.8</v>
      </c>
      <c r="AQ37" s="19">
        <v>3.1</v>
      </c>
      <c r="AR37" s="15"/>
      <c r="AS37" s="15"/>
      <c r="AT37" s="18"/>
    </row>
    <row r="38" spans="2:46" x14ac:dyDescent="0.25">
      <c r="D38" s="12"/>
      <c r="E38" s="42"/>
      <c r="J38" s="15"/>
      <c r="K38" s="21"/>
      <c r="L38" s="22"/>
      <c r="M38" s="103" t="s">
        <v>301</v>
      </c>
      <c r="N38" s="15"/>
      <c r="O38" s="19"/>
      <c r="P38" s="19"/>
      <c r="Q38" s="15"/>
      <c r="R38" s="15"/>
      <c r="S38" s="15"/>
      <c r="T38" s="15"/>
      <c r="U38" s="15"/>
      <c r="V38" s="15"/>
      <c r="W38" s="106"/>
      <c r="X38" s="26"/>
      <c r="AA38" s="15"/>
      <c r="AB38" s="21"/>
      <c r="AC38" s="22"/>
      <c r="AD38" s="19"/>
      <c r="AE38" s="19"/>
      <c r="AF38" s="19"/>
      <c r="AG38" s="15"/>
      <c r="AH38" s="15"/>
      <c r="AI38" s="15"/>
      <c r="AJ38" s="103" t="s">
        <v>301</v>
      </c>
      <c r="AK38" s="15"/>
      <c r="AL38" s="19"/>
      <c r="AM38" s="19"/>
      <c r="AN38" s="15"/>
      <c r="AO38" s="15"/>
      <c r="AP38" s="15"/>
      <c r="AQ38" s="15"/>
      <c r="AR38" s="15"/>
      <c r="AS38" s="15"/>
      <c r="AT38" s="106"/>
    </row>
    <row r="39" spans="2:46" x14ac:dyDescent="0.25">
      <c r="D39" s="12"/>
      <c r="E39" s="42"/>
      <c r="J39" s="15"/>
      <c r="K39" s="21"/>
      <c r="L39" s="22"/>
      <c r="M39" s="104" t="s">
        <v>302</v>
      </c>
      <c r="N39" s="15"/>
      <c r="O39" s="19"/>
      <c r="P39" s="19">
        <v>89</v>
      </c>
      <c r="Q39" s="15"/>
      <c r="R39" s="108" t="s">
        <v>9</v>
      </c>
      <c r="S39" s="15"/>
      <c r="T39" s="15" t="s">
        <v>304</v>
      </c>
      <c r="U39" s="15"/>
      <c r="V39" s="15"/>
      <c r="W39" s="106"/>
      <c r="X39" s="26"/>
      <c r="AA39" s="15"/>
      <c r="AB39" s="21"/>
      <c r="AC39" s="22"/>
      <c r="AD39" s="19"/>
      <c r="AE39" s="19"/>
      <c r="AF39" s="19"/>
      <c r="AG39" s="15"/>
      <c r="AH39" s="15"/>
      <c r="AI39" s="15"/>
      <c r="AJ39" s="104" t="s">
        <v>302</v>
      </c>
      <c r="AK39" s="15"/>
      <c r="AL39" s="19"/>
      <c r="AM39" s="19">
        <v>14</v>
      </c>
      <c r="AN39" s="15"/>
      <c r="AO39" s="108" t="s">
        <v>9</v>
      </c>
      <c r="AP39" s="15"/>
      <c r="AQ39" s="15"/>
      <c r="AR39" s="15"/>
      <c r="AS39" s="15"/>
      <c r="AT39" s="106"/>
    </row>
    <row r="40" spans="2:46" x14ac:dyDescent="0.25">
      <c r="D40" s="12"/>
      <c r="E40" s="42"/>
      <c r="J40" s="15"/>
      <c r="K40" s="21"/>
      <c r="L40" s="22"/>
      <c r="M40" s="105" t="s">
        <v>303</v>
      </c>
      <c r="N40" s="47"/>
      <c r="O40" s="46"/>
      <c r="P40" s="46">
        <v>8.5</v>
      </c>
      <c r="Q40" s="47"/>
      <c r="R40" s="47" t="s">
        <v>9</v>
      </c>
      <c r="S40" s="47"/>
      <c r="T40" s="47" t="s">
        <v>304</v>
      </c>
      <c r="U40" s="47"/>
      <c r="V40" s="47"/>
      <c r="W40" s="107"/>
      <c r="X40" s="26"/>
      <c r="AA40" s="15"/>
      <c r="AB40" s="21"/>
      <c r="AC40" s="22"/>
      <c r="AD40" s="19"/>
      <c r="AE40" s="19"/>
      <c r="AF40" s="19"/>
      <c r="AG40" s="15"/>
      <c r="AH40" s="15"/>
      <c r="AI40" s="15"/>
      <c r="AJ40" s="105" t="s">
        <v>303</v>
      </c>
      <c r="AK40" s="47"/>
      <c r="AL40" s="46"/>
      <c r="AM40" s="46">
        <v>8.5</v>
      </c>
      <c r="AN40" s="47"/>
      <c r="AO40" s="47" t="s">
        <v>9</v>
      </c>
      <c r="AP40" s="47"/>
      <c r="AQ40" s="47"/>
      <c r="AR40" s="47"/>
      <c r="AS40" s="47"/>
      <c r="AT40" s="107"/>
    </row>
    <row r="41" spans="2:46" x14ac:dyDescent="0.25">
      <c r="D41" s="12"/>
      <c r="E41" s="42"/>
      <c r="J41" s="15"/>
      <c r="K41" s="21"/>
      <c r="L41" s="22"/>
      <c r="M41" s="19"/>
      <c r="O41" s="19"/>
      <c r="P41" s="19"/>
      <c r="Q41" s="15"/>
      <c r="R41" s="15"/>
      <c r="S41" s="15"/>
      <c r="T41" s="15"/>
      <c r="W41" s="12"/>
      <c r="X41" s="26"/>
      <c r="AA41" s="15"/>
      <c r="AB41" s="21"/>
      <c r="AC41" s="22"/>
      <c r="AD41" s="19"/>
      <c r="AE41" s="19"/>
      <c r="AF41" s="19"/>
      <c r="AG41" s="15"/>
      <c r="AH41" s="15"/>
      <c r="AI41" s="15"/>
      <c r="AJ41" s="15"/>
    </row>
    <row r="42" spans="2:46" x14ac:dyDescent="0.25">
      <c r="D42" s="6" t="s">
        <v>295</v>
      </c>
      <c r="F42" s="6" t="s">
        <v>296</v>
      </c>
      <c r="AH42" s="24"/>
      <c r="AI42" s="24"/>
    </row>
    <row r="43" spans="2:46" x14ac:dyDescent="0.25">
      <c r="B43" s="48" t="s">
        <v>124</v>
      </c>
      <c r="C43" s="48"/>
      <c r="D43" s="49" t="s">
        <v>265</v>
      </c>
      <c r="E43" s="49" t="s">
        <v>267</v>
      </c>
      <c r="F43" s="49" t="s">
        <v>126</v>
      </c>
      <c r="G43" s="49" t="s">
        <v>127</v>
      </c>
      <c r="H43" s="49" t="s">
        <v>317</v>
      </c>
      <c r="J43" s="48" t="s">
        <v>128</v>
      </c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24"/>
    </row>
    <row r="44" spans="2:46" x14ac:dyDescent="0.25">
      <c r="B44" s="81" t="s">
        <v>293</v>
      </c>
      <c r="C44" s="81"/>
      <c r="D44" s="50">
        <f>SUM(D5:E5)</f>
        <v>316238</v>
      </c>
      <c r="E44" s="102">
        <f>E5</f>
        <v>55025.411999999997</v>
      </c>
      <c r="F44" s="49"/>
      <c r="G44" s="49"/>
      <c r="H44" s="51">
        <f>(E44-D80*AD80/100)/(D80*AD80/100)</f>
        <v>1.3222904381312816E-16</v>
      </c>
      <c r="J44" s="48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24"/>
    </row>
    <row r="45" spans="2:46" x14ac:dyDescent="0.25">
      <c r="B45" s="81" t="s">
        <v>294</v>
      </c>
      <c r="C45" s="81"/>
      <c r="D45" s="50">
        <f>SUM(AA5:AB5)</f>
        <v>206514</v>
      </c>
      <c r="E45" s="102">
        <f>AB5</f>
        <v>72692.928000000014</v>
      </c>
      <c r="F45" s="49"/>
      <c r="G45" s="49"/>
      <c r="H45" s="51">
        <f>(E45-D81*AD81/100)/(D81*AD81/100)</f>
        <v>0</v>
      </c>
      <c r="J45" s="48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24"/>
    </row>
    <row r="46" spans="2:46" x14ac:dyDescent="0.25">
      <c r="B46" s="49" t="s">
        <v>129</v>
      </c>
      <c r="C46" s="49"/>
      <c r="D46" s="50">
        <f>SUM(D9:E9,AA9:AB9)</f>
        <v>461573.46186697541</v>
      </c>
      <c r="E46" s="102">
        <f>SUM(E9,AB9)</f>
        <v>85614.297031799593</v>
      </c>
      <c r="F46" s="51">
        <f>(D46-D82)/D82</f>
        <v>-1.1904364424937685E-2</v>
      </c>
      <c r="G46" s="49"/>
      <c r="H46" s="51">
        <f>(E46-D82*AD82/100)/(D82*AD82/100)</f>
        <v>-0.11886772357534101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</row>
    <row r="47" spans="2:46" x14ac:dyDescent="0.25">
      <c r="B47" s="49" t="s">
        <v>130</v>
      </c>
      <c r="C47" s="49"/>
      <c r="D47" s="50">
        <f>SUM(D6:E8,AA6:AB8)</f>
        <v>466854.39142431167</v>
      </c>
      <c r="E47" s="102">
        <f>SUM(E6:E8,AB6:AB8)</f>
        <v>94053.461256732422</v>
      </c>
      <c r="F47" s="51">
        <f>(D47-D83)/D83</f>
        <v>-5.3974341487811384E-2</v>
      </c>
      <c r="G47" s="49"/>
      <c r="H47" s="51">
        <f>(E47-D83*AD83/100)/(D83*AD83/100)</f>
        <v>-2.7610683558387385E-2</v>
      </c>
      <c r="J47" s="52" t="s">
        <v>131</v>
      </c>
      <c r="K47" s="49"/>
      <c r="L47" s="49" t="s">
        <v>132</v>
      </c>
      <c r="M47" s="49" t="s">
        <v>133</v>
      </c>
      <c r="N47" s="49" t="s">
        <v>134</v>
      </c>
      <c r="O47" s="49" t="s">
        <v>135</v>
      </c>
      <c r="P47" s="49" t="s">
        <v>136</v>
      </c>
      <c r="Q47" s="49" t="s">
        <v>137</v>
      </c>
      <c r="R47" s="49" t="s">
        <v>138</v>
      </c>
      <c r="S47" s="49" t="s">
        <v>139</v>
      </c>
      <c r="T47" s="49" t="s">
        <v>140</v>
      </c>
      <c r="U47" s="49" t="s">
        <v>141</v>
      </c>
      <c r="V47" s="49" t="s">
        <v>142</v>
      </c>
      <c r="W47" s="49" t="s">
        <v>143</v>
      </c>
      <c r="X47" s="49" t="s">
        <v>144</v>
      </c>
      <c r="Y47" s="49" t="s">
        <v>145</v>
      </c>
      <c r="Z47" s="49" t="s">
        <v>146</v>
      </c>
      <c r="AA47" s="49" t="s">
        <v>147</v>
      </c>
      <c r="AB47" s="49" t="s">
        <v>148</v>
      </c>
      <c r="AC47" s="49" t="s">
        <v>149</v>
      </c>
      <c r="AD47" s="49" t="s">
        <v>150</v>
      </c>
      <c r="AE47" s="49" t="s">
        <v>151</v>
      </c>
      <c r="AF47" s="49" t="s">
        <v>152</v>
      </c>
      <c r="AG47" s="49" t="s">
        <v>153</v>
      </c>
      <c r="AH47" s="49"/>
    </row>
    <row r="48" spans="2:46" x14ac:dyDescent="0.25">
      <c r="B48" s="49" t="s">
        <v>154</v>
      </c>
      <c r="C48" s="49"/>
      <c r="D48" s="50">
        <f>SUM(F5:G5,AC5:AD5)</f>
        <v>145226.12443248299</v>
      </c>
      <c r="E48" s="102">
        <f>SUM(G5,AD5)</f>
        <v>33594.470110474009</v>
      </c>
      <c r="F48" s="51">
        <f>(D48/1000-SUM(D65:D66))/SUM(D65:D66)</f>
        <v>3.6490396577648798E-2</v>
      </c>
      <c r="G48" s="51">
        <f>(D48-'G&amp;D sammanställning'!R5)/'G&amp;D sammanställning'!R5</f>
        <v>0.85778150730164826</v>
      </c>
      <c r="H48" s="51">
        <f>(E48/1000-D67*AD67/100)/(D67*AD67/100)</f>
        <v>0.17895829669642238</v>
      </c>
      <c r="J48" s="49" t="s">
        <v>129</v>
      </c>
      <c r="K48" s="49"/>
      <c r="L48" s="53">
        <f t="shared" ref="L48:AG48" si="5">(($D$9/$D$5*D80+$AA$9/$AA$5*D81)-D82)/D82</f>
        <v>6.8984404079337633E-2</v>
      </c>
      <c r="M48" s="51">
        <f t="shared" si="5"/>
        <v>0.16280079730949287</v>
      </c>
      <c r="N48" s="51">
        <f t="shared" si="5"/>
        <v>6.1301834097428669E-2</v>
      </c>
      <c r="O48" s="51">
        <f t="shared" si="5"/>
        <v>4.2378511106621643E-3</v>
      </c>
      <c r="P48" s="51">
        <f t="shared" si="5"/>
        <v>4.8402796542178474E-2</v>
      </c>
      <c r="Q48" s="51">
        <f t="shared" si="5"/>
        <v>8.8363703412988465E-2</v>
      </c>
      <c r="R48" s="51">
        <f t="shared" si="5"/>
        <v>4.6576416749099292E-2</v>
      </c>
      <c r="S48" s="51">
        <f t="shared" si="5"/>
        <v>8.6555887184176492E-2</v>
      </c>
      <c r="T48" s="51">
        <f t="shared" si="5"/>
        <v>-2.9656374738352069E-3</v>
      </c>
      <c r="U48" s="51">
        <f t="shared" si="5"/>
        <v>6.5196527541081517E-2</v>
      </c>
      <c r="V48" s="51">
        <f t="shared" si="5"/>
        <v>4.982474119694591E-2</v>
      </c>
      <c r="W48" s="51">
        <f t="shared" si="5"/>
        <v>8.8913698854940784E-2</v>
      </c>
      <c r="X48" s="51">
        <f t="shared" si="5"/>
        <v>4.0767985663457899E-2</v>
      </c>
      <c r="Y48" s="51">
        <f t="shared" si="5"/>
        <v>9.5220774560303909E-2</v>
      </c>
      <c r="Z48" s="51">
        <f t="shared" si="5"/>
        <v>-3.0554127936297137E-2</v>
      </c>
      <c r="AA48" s="51">
        <f t="shared" si="5"/>
        <v>-9.5685443640634027E-2</v>
      </c>
      <c r="AB48" s="51">
        <f t="shared" si="5"/>
        <v>9.3255531200802849E-2</v>
      </c>
      <c r="AC48" s="51">
        <f t="shared" si="5"/>
        <v>0.10646237565419953</v>
      </c>
      <c r="AD48" s="54">
        <f t="shared" si="5"/>
        <v>0.34093686237704651</v>
      </c>
      <c r="AE48" s="55">
        <f t="shared" si="5"/>
        <v>0.24838792851458796</v>
      </c>
      <c r="AF48" s="55">
        <f t="shared" si="5"/>
        <v>0.22799099481318119</v>
      </c>
      <c r="AG48" s="56">
        <f t="shared" si="5"/>
        <v>0.18757214163662478</v>
      </c>
      <c r="AH48" s="49"/>
    </row>
    <row r="49" spans="2:34" x14ac:dyDescent="0.25">
      <c r="B49" s="49" t="s">
        <v>155</v>
      </c>
      <c r="C49" s="49"/>
      <c r="D49" s="50">
        <f>SUM(F6:G6,AC6:AD6)</f>
        <v>55038.577496150778</v>
      </c>
      <c r="E49" s="102">
        <f>SUM(G6,AD6)</f>
        <v>12632.065687456387</v>
      </c>
      <c r="F49" s="51">
        <f>(D49/1000-D68)/D68</f>
        <v>-7.8821425049361071E-2</v>
      </c>
      <c r="G49" s="51">
        <f>(D49-'G&amp;D sammanställning'!R8)/'G&amp;D sammanställning'!R8</f>
        <v>0.48926794246663058</v>
      </c>
      <c r="H49" s="51">
        <f>(E49/1000-D68*AD68/100)/(D68*AD68/100)</f>
        <v>9.6589223099429897E-2</v>
      </c>
      <c r="J49" s="49" t="s">
        <v>130</v>
      </c>
      <c r="K49" s="49"/>
      <c r="L49" s="57">
        <f t="shared" ref="L49:AG49" si="6">((SUM($D$6:$D$8)/$D$5*D80+SUM($AA$6:$AA$8)/$AA$5*D81)-D83)/D83</f>
        <v>-7.6589353812566655E-4</v>
      </c>
      <c r="M49" s="51">
        <f t="shared" si="6"/>
        <v>-3.5804055175459149E-2</v>
      </c>
      <c r="N49" s="51">
        <f t="shared" si="6"/>
        <v>3.7232569592383705E-2</v>
      </c>
      <c r="O49" s="51">
        <f t="shared" si="6"/>
        <v>-2.6820068604340094E-2</v>
      </c>
      <c r="P49" s="51">
        <f t="shared" si="6"/>
        <v>2.2576524495846666E-2</v>
      </c>
      <c r="Q49" s="51">
        <f t="shared" si="6"/>
        <v>-5.5855850226305863E-3</v>
      </c>
      <c r="R49" s="51">
        <f t="shared" si="6"/>
        <v>-3.5301599458877765E-2</v>
      </c>
      <c r="S49" s="51">
        <f t="shared" si="6"/>
        <v>-3.7568474407539923E-2</v>
      </c>
      <c r="T49" s="51">
        <f t="shared" si="6"/>
        <v>-0.12103541989043097</v>
      </c>
      <c r="U49" s="51">
        <f t="shared" si="6"/>
        <v>-5.6065291680834191E-2</v>
      </c>
      <c r="V49" s="51">
        <f t="shared" si="6"/>
        <v>-2.4320609076777824E-4</v>
      </c>
      <c r="W49" s="51">
        <f t="shared" si="6"/>
        <v>0.13162484220214338</v>
      </c>
      <c r="X49" s="51">
        <f t="shared" si="6"/>
        <v>-3.8494056635310595E-2</v>
      </c>
      <c r="Y49" s="51">
        <f t="shared" si="6"/>
        <v>-0.11413717179798033</v>
      </c>
      <c r="Z49" s="51">
        <f t="shared" si="6"/>
        <v>-6.8591357722869492E-2</v>
      </c>
      <c r="AA49" s="51">
        <f t="shared" si="6"/>
        <v>8.7859955085425642E-2</v>
      </c>
      <c r="AB49" s="51">
        <f t="shared" si="6"/>
        <v>0.11785356820435364</v>
      </c>
      <c r="AC49" s="51">
        <f t="shared" si="6"/>
        <v>3.2252675420176728E-2</v>
      </c>
      <c r="AD49" s="58">
        <f t="shared" si="6"/>
        <v>0.21736050585437555</v>
      </c>
      <c r="AE49" s="59">
        <f t="shared" si="6"/>
        <v>0.1678760219493651</v>
      </c>
      <c r="AF49" s="59">
        <f t="shared" si="6"/>
        <v>0.12487350179302849</v>
      </c>
      <c r="AG49" s="60">
        <f t="shared" si="6"/>
        <v>0.13204701628413298</v>
      </c>
      <c r="AH49" s="49"/>
    </row>
    <row r="50" spans="2:34" x14ac:dyDescent="0.25">
      <c r="B50" s="49" t="s">
        <v>156</v>
      </c>
      <c r="C50" s="49"/>
      <c r="D50" s="50">
        <f>SUM(F7:G7,AC7:AD7)</f>
        <v>35054.359776309822</v>
      </c>
      <c r="E50" s="102">
        <f>SUM(G7,AD7)</f>
        <v>12059.059945366451</v>
      </c>
      <c r="F50" s="51">
        <f>(D50/1000-D70)/D70</f>
        <v>5.8639821035816912E-3</v>
      </c>
      <c r="G50" s="51">
        <f>(D50-'G&amp;D sammanställning'!R9)/'G&amp;D sammanställning'!R9</f>
        <v>0.87673247046373459</v>
      </c>
      <c r="H50" s="51">
        <f>(E50/1000-D70*AD70/100)/(D70*AD70/100)</f>
        <v>0.27497253154285278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61"/>
      <c r="AC50" s="61"/>
      <c r="AD50" s="61"/>
      <c r="AE50" s="62"/>
      <c r="AF50" s="62"/>
      <c r="AG50" s="61"/>
      <c r="AH50" s="49"/>
    </row>
    <row r="51" spans="2:34" x14ac:dyDescent="0.25">
      <c r="B51" s="49" t="s">
        <v>157</v>
      </c>
      <c r="C51" s="49"/>
      <c r="D51" s="50">
        <f>SUM(F8:G8,AC8:AD8)</f>
        <v>184193.57430559123</v>
      </c>
      <c r="E51" s="102">
        <f>SUM(G8,AD8)</f>
        <v>19458.643282333687</v>
      </c>
      <c r="F51" s="51">
        <f>(D51/1000-SUM(D71:D73))/SUM(D71:D73)</f>
        <v>3.1107318237714753E-2</v>
      </c>
      <c r="G51" s="51">
        <f>(D51-'G&amp;D sammanställning'!R10)/'G&amp;D sammanställning'!R10</f>
        <v>0.82641849155168901</v>
      </c>
      <c r="H51" s="51">
        <f>(E51/1000-D74*AD74/100)/(D74*AD74/100)</f>
        <v>0.26187363313433581</v>
      </c>
      <c r="J51" s="52" t="s">
        <v>158</v>
      </c>
      <c r="K51" s="49"/>
      <c r="L51" s="49" t="s">
        <v>159</v>
      </c>
      <c r="M51" s="49" t="s">
        <v>160</v>
      </c>
      <c r="N51" s="49" t="s">
        <v>161</v>
      </c>
      <c r="O51" s="49" t="s">
        <v>162</v>
      </c>
      <c r="P51" s="49" t="s">
        <v>163</v>
      </c>
      <c r="Q51" s="49" t="s">
        <v>164</v>
      </c>
      <c r="R51" s="49" t="s">
        <v>165</v>
      </c>
      <c r="S51" s="49" t="s">
        <v>166</v>
      </c>
      <c r="T51" s="49" t="s">
        <v>167</v>
      </c>
      <c r="U51" s="49"/>
      <c r="V51" s="49"/>
      <c r="W51" s="49"/>
      <c r="X51" s="49"/>
      <c r="Y51" s="49"/>
      <c r="Z51" s="49"/>
      <c r="AA51" s="49"/>
      <c r="AB51" s="61"/>
      <c r="AC51" s="61"/>
      <c r="AD51" s="61"/>
      <c r="AE51" s="62"/>
      <c r="AF51" s="62"/>
      <c r="AG51" s="61"/>
      <c r="AH51" s="49"/>
    </row>
    <row r="52" spans="2:34" x14ac:dyDescent="0.25">
      <c r="B52" s="49" t="s">
        <v>168</v>
      </c>
      <c r="C52" s="49"/>
      <c r="D52" s="50">
        <f>SUM(F9:G9,AC9:AD9)</f>
        <v>13769.673656097308</v>
      </c>
      <c r="E52" s="50">
        <f>SUM(G9,AD9)</f>
        <v>1166.1491514928625</v>
      </c>
      <c r="F52" s="51">
        <f>(D52/1000-D69)/D69</f>
        <v>-5.1893023449806716E-2</v>
      </c>
      <c r="G52" s="51">
        <f>(D52-'G&amp;D sammanställning'!R14)/'G&amp;D sammanställning'!R14</f>
        <v>0.8384567887122899</v>
      </c>
      <c r="H52" s="51">
        <f>(E52/1000-D69*AD69/100)/(D69*AD69/100)</f>
        <v>4.0088980295714727E-2</v>
      </c>
      <c r="J52" s="49" t="s">
        <v>129</v>
      </c>
      <c r="K52" s="49"/>
      <c r="L52" s="53">
        <f t="shared" ref="L52:T52" si="7">(($D$9/$D$5*D89+$AA$9/$AA$5*D90)-D87)/D87</f>
        <v>4.541211166150802E-2</v>
      </c>
      <c r="M52" s="51">
        <f t="shared" si="7"/>
        <v>4.1705308121249444E-2</v>
      </c>
      <c r="N52" s="51">
        <f t="shared" si="7"/>
        <v>-3.1518331698797523E-2</v>
      </c>
      <c r="O52" s="51">
        <f t="shared" si="7"/>
        <v>7.5728284042189217E-2</v>
      </c>
      <c r="P52" s="51">
        <f t="shared" si="7"/>
        <v>-3.3268841177864383E-2</v>
      </c>
      <c r="Q52" s="51">
        <f t="shared" si="7"/>
        <v>-1.6490268095079315E-2</v>
      </c>
      <c r="R52" s="54">
        <f t="shared" si="7"/>
        <v>0.12067887212959563</v>
      </c>
      <c r="S52" s="55">
        <f t="shared" si="7"/>
        <v>0.20783775826763898</v>
      </c>
      <c r="T52" s="56">
        <f t="shared" si="7"/>
        <v>0.2273411058072205</v>
      </c>
      <c r="U52" s="49"/>
      <c r="V52" s="49"/>
      <c r="W52" s="49"/>
      <c r="X52" s="49"/>
      <c r="Y52" s="49"/>
      <c r="Z52" s="49"/>
      <c r="AA52" s="63" t="s">
        <v>169</v>
      </c>
      <c r="AB52" s="61"/>
      <c r="AC52" s="61"/>
      <c r="AD52" s="62"/>
      <c r="AE52" s="62"/>
      <c r="AF52" s="61"/>
      <c r="AG52" s="62"/>
      <c r="AH52" s="49"/>
    </row>
    <row r="53" spans="2:34" x14ac:dyDescent="0.25">
      <c r="B53" s="49" t="s">
        <v>170</v>
      </c>
      <c r="C53" s="49"/>
      <c r="D53" s="50">
        <f>SUM(D49:D52)</f>
        <v>288056.18523414916</v>
      </c>
      <c r="E53" s="50">
        <f>SUM(G6:G9,AD6:AD9)</f>
        <v>45315.918066649392</v>
      </c>
      <c r="F53" s="51">
        <f>(D53/1000-SUM(D68:D73))/SUM(D68:D73)</f>
        <v>1.0362361225373967E-3</v>
      </c>
      <c r="G53" s="51">
        <f>(D53-SUM('G&amp;D sammanställning'!R8:R10,'G&amp;D sammanställning'!R14))/SUM('G&amp;D sammanställning'!R8:R10,'G&amp;D sammanställning'!R14)</f>
        <v>0.75671223002921884</v>
      </c>
      <c r="H53" s="51">
        <f>(E53/1000-D75*AD75/100)/(D75*AD75/100)</f>
        <v>0.20780147952295674</v>
      </c>
      <c r="J53" s="49" t="s">
        <v>130</v>
      </c>
      <c r="K53" s="49"/>
      <c r="L53" s="57">
        <f t="shared" ref="L53:T53" si="8">((SUM($D$6:$D$8)/$D$5*D89+SUM($AA$6:$AA$8)/$AA$5*D90)-D91)/D91</f>
        <v>7.270182325191149E-2</v>
      </c>
      <c r="M53" s="51">
        <f t="shared" si="8"/>
        <v>0.23170088569407313</v>
      </c>
      <c r="N53" s="51">
        <f t="shared" si="8"/>
        <v>1.2536654792677319E-2</v>
      </c>
      <c r="O53" s="51">
        <f t="shared" si="8"/>
        <v>7.1877782965189874E-2</v>
      </c>
      <c r="P53" s="51">
        <f t="shared" si="8"/>
        <v>3.4237009980598164E-2</v>
      </c>
      <c r="Q53" s="51">
        <f t="shared" si="8"/>
        <v>2.3544538598397172E-2</v>
      </c>
      <c r="R53" s="58">
        <f t="shared" si="8"/>
        <v>0.10682062510954489</v>
      </c>
      <c r="S53" s="59">
        <f t="shared" si="8"/>
        <v>0.17406966878965227</v>
      </c>
      <c r="T53" s="60">
        <f t="shared" si="8"/>
        <v>0.15322603498016077</v>
      </c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</row>
    <row r="54" spans="2:34" x14ac:dyDescent="0.25">
      <c r="B54" s="49" t="s">
        <v>171</v>
      </c>
      <c r="C54" s="49"/>
      <c r="D54" s="50">
        <f>SUM(D48:D52)</f>
        <v>433282.30966663215</v>
      </c>
      <c r="E54" s="50">
        <f>SUM(G5:G9,AD5:AD9)</f>
        <v>78910.388177123386</v>
      </c>
      <c r="F54" s="51">
        <f>(D54/1000-D76)/D76</f>
        <v>1.2646269828699538E-2</v>
      </c>
      <c r="G54" s="51">
        <f>(D54-SUM('G&amp;D sammanställning'!R5,'G&amp;D sammanställning'!R8:R10,'G&amp;D sammanställning'!R14))/SUM('G&amp;D sammanställning'!R5,'G&amp;D sammanställning'!R8:R10,'G&amp;D sammanställning'!R14)</f>
        <v>0.78934029028154939</v>
      </c>
      <c r="H54" s="51">
        <f>(E54/1000-D76*AD76/100)/(D76*AD76/100)</f>
        <v>0.19535134823915717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</row>
    <row r="56" spans="2:34" x14ac:dyDescent="0.25">
      <c r="B56" s="6" t="s">
        <v>172</v>
      </c>
    </row>
    <row r="57" spans="2:34" x14ac:dyDescent="0.25">
      <c r="D57" s="49" t="s">
        <v>125</v>
      </c>
      <c r="E57" t="s">
        <v>132</v>
      </c>
      <c r="F57" t="s">
        <v>133</v>
      </c>
      <c r="G57" t="s">
        <v>134</v>
      </c>
      <c r="H57" t="s">
        <v>135</v>
      </c>
      <c r="I57" t="s">
        <v>136</v>
      </c>
      <c r="J57" t="s">
        <v>137</v>
      </c>
      <c r="K57" t="s">
        <v>138</v>
      </c>
      <c r="L57" t="s">
        <v>139</v>
      </c>
      <c r="M57" t="s">
        <v>140</v>
      </c>
      <c r="N57" t="s">
        <v>141</v>
      </c>
      <c r="O57" t="s">
        <v>142</v>
      </c>
      <c r="P57" t="s">
        <v>143</v>
      </c>
      <c r="Q57" t="s">
        <v>144</v>
      </c>
      <c r="R57" t="s">
        <v>145</v>
      </c>
      <c r="S57" t="s">
        <v>146</v>
      </c>
      <c r="T57" t="s">
        <v>147</v>
      </c>
      <c r="U57" t="s">
        <v>148</v>
      </c>
      <c r="V57" t="s">
        <v>149</v>
      </c>
      <c r="W57" t="s">
        <v>150</v>
      </c>
      <c r="X57" t="s">
        <v>151</v>
      </c>
      <c r="Y57" t="s">
        <v>152</v>
      </c>
      <c r="Z57" t="s">
        <v>153</v>
      </c>
    </row>
    <row r="58" spans="2:34" x14ac:dyDescent="0.25">
      <c r="B58" t="s">
        <v>173</v>
      </c>
      <c r="D58" s="49">
        <f>E5/SUM(D5:E5)*100</f>
        <v>17.399999999999999</v>
      </c>
      <c r="E58">
        <v>17.399999999999999</v>
      </c>
      <c r="F58">
        <v>23.6</v>
      </c>
      <c r="G58">
        <v>34.799999999999997</v>
      </c>
      <c r="H58">
        <v>27.4</v>
      </c>
      <c r="I58">
        <v>23.8</v>
      </c>
      <c r="J58">
        <v>18.8</v>
      </c>
      <c r="K58">
        <v>9.4</v>
      </c>
      <c r="L58">
        <v>4.5999999999999996</v>
      </c>
      <c r="M58">
        <v>6.6</v>
      </c>
      <c r="N58">
        <v>11</v>
      </c>
      <c r="O58">
        <v>12.6</v>
      </c>
      <c r="P58">
        <v>8.4</v>
      </c>
      <c r="Q58">
        <v>25</v>
      </c>
      <c r="R58">
        <v>32</v>
      </c>
      <c r="S58">
        <v>37.799999999999997</v>
      </c>
      <c r="T58">
        <v>34.6</v>
      </c>
      <c r="U58">
        <v>31.6</v>
      </c>
      <c r="V58">
        <v>24.8</v>
      </c>
      <c r="W58">
        <v>11</v>
      </c>
      <c r="X58">
        <v>18.8</v>
      </c>
      <c r="Y58">
        <v>12.2</v>
      </c>
      <c r="Z58">
        <v>9.4</v>
      </c>
      <c r="AF58" t="s">
        <v>307</v>
      </c>
    </row>
    <row r="59" spans="2:34" x14ac:dyDescent="0.25">
      <c r="B59" t="s">
        <v>174</v>
      </c>
      <c r="D59" s="64">
        <f>AB5/SUM(AA5:AB5)*100</f>
        <v>35.20000000000001</v>
      </c>
      <c r="E59">
        <v>35.200000000000003</v>
      </c>
      <c r="F59">
        <v>38.6</v>
      </c>
      <c r="G59">
        <v>35</v>
      </c>
      <c r="H59">
        <v>54</v>
      </c>
      <c r="I59">
        <v>49</v>
      </c>
      <c r="J59">
        <v>26.4</v>
      </c>
      <c r="K59">
        <v>22.2</v>
      </c>
      <c r="L59">
        <v>22.6</v>
      </c>
      <c r="M59">
        <v>32.4</v>
      </c>
      <c r="N59">
        <v>8.1999999999999993</v>
      </c>
      <c r="O59">
        <v>13.8</v>
      </c>
      <c r="P59">
        <v>20.8</v>
      </c>
      <c r="Q59">
        <v>48.8</v>
      </c>
      <c r="R59">
        <v>57</v>
      </c>
      <c r="S59">
        <v>45.8</v>
      </c>
      <c r="T59">
        <v>50.2</v>
      </c>
      <c r="U59">
        <v>50</v>
      </c>
      <c r="V59">
        <v>49.4</v>
      </c>
      <c r="W59">
        <v>50.2</v>
      </c>
      <c r="X59">
        <v>61.4</v>
      </c>
      <c r="Y59">
        <v>36</v>
      </c>
      <c r="Z59">
        <v>40.4</v>
      </c>
      <c r="AF59" t="s">
        <v>308</v>
      </c>
    </row>
    <row r="60" spans="2:34" x14ac:dyDescent="0.25">
      <c r="B60" t="s">
        <v>130</v>
      </c>
      <c r="D60" s="64">
        <f>SUM(E6:E8,AB6:AB8)/SUM(D6:E8,AA6:AB8)*100</f>
        <v>20.146208964595498</v>
      </c>
      <c r="E60">
        <v>19.600000000000001</v>
      </c>
      <c r="F60">
        <v>31.4</v>
      </c>
      <c r="G60">
        <v>30.2</v>
      </c>
      <c r="H60">
        <v>28.4</v>
      </c>
      <c r="I60">
        <v>26.4</v>
      </c>
      <c r="J60">
        <v>16.2</v>
      </c>
      <c r="K60">
        <v>11.8</v>
      </c>
      <c r="L60">
        <v>7.4</v>
      </c>
      <c r="M60">
        <v>10</v>
      </c>
      <c r="N60">
        <v>6.6</v>
      </c>
      <c r="O60">
        <v>10.6</v>
      </c>
      <c r="P60">
        <v>10.199999999999999</v>
      </c>
      <c r="Q60">
        <v>26.8</v>
      </c>
      <c r="R60">
        <v>43.6</v>
      </c>
      <c r="S60">
        <v>34</v>
      </c>
      <c r="T60">
        <v>35.799999999999997</v>
      </c>
      <c r="U60">
        <v>30.2</v>
      </c>
      <c r="V60">
        <v>30.6</v>
      </c>
      <c r="W60">
        <v>23.8</v>
      </c>
      <c r="X60">
        <v>30.6</v>
      </c>
      <c r="Y60">
        <v>13.2</v>
      </c>
      <c r="Z60">
        <v>13.2</v>
      </c>
    </row>
    <row r="61" spans="2:34" x14ac:dyDescent="0.25">
      <c r="B61" t="s">
        <v>129</v>
      </c>
      <c r="D61" s="64">
        <f>SUM(E9,AB9)/SUM(D9:E9,AA9:AB9)*100</f>
        <v>18.54835775989077</v>
      </c>
      <c r="E61">
        <v>20.8</v>
      </c>
      <c r="F61">
        <v>31.6</v>
      </c>
      <c r="G61">
        <v>27.4</v>
      </c>
      <c r="H61">
        <v>32</v>
      </c>
      <c r="I61">
        <v>28.6</v>
      </c>
      <c r="J61">
        <v>19.2</v>
      </c>
      <c r="K61">
        <v>14.2</v>
      </c>
      <c r="L61">
        <v>8.4</v>
      </c>
      <c r="M61">
        <v>11.4</v>
      </c>
      <c r="N61">
        <v>7.8</v>
      </c>
      <c r="O61">
        <v>10.8</v>
      </c>
      <c r="P61">
        <v>9.6</v>
      </c>
      <c r="Q61">
        <v>28.2</v>
      </c>
      <c r="R61">
        <v>43.4</v>
      </c>
      <c r="S61">
        <v>30.8</v>
      </c>
      <c r="T61">
        <v>29.2</v>
      </c>
      <c r="U61">
        <v>30.8</v>
      </c>
      <c r="V61">
        <v>30.8</v>
      </c>
      <c r="W61">
        <v>25.6</v>
      </c>
      <c r="X61">
        <v>35.200000000000003</v>
      </c>
      <c r="Y61">
        <v>13.4</v>
      </c>
      <c r="Z61">
        <v>12</v>
      </c>
    </row>
    <row r="63" spans="2:34" x14ac:dyDescent="0.25">
      <c r="B63" s="6" t="s">
        <v>175</v>
      </c>
    </row>
    <row r="64" spans="2:34" x14ac:dyDescent="0.25">
      <c r="D64" t="s">
        <v>132</v>
      </c>
      <c r="E64" t="s">
        <v>133</v>
      </c>
      <c r="F64" t="s">
        <v>134</v>
      </c>
      <c r="G64" t="s">
        <v>135</v>
      </c>
      <c r="H64" t="s">
        <v>136</v>
      </c>
      <c r="I64" t="s">
        <v>137</v>
      </c>
      <c r="J64" t="s">
        <v>138</v>
      </c>
      <c r="K64" t="s">
        <v>139</v>
      </c>
      <c r="L64" t="s">
        <v>140</v>
      </c>
      <c r="M64" t="s">
        <v>141</v>
      </c>
      <c r="N64" t="s">
        <v>142</v>
      </c>
      <c r="O64" t="s">
        <v>143</v>
      </c>
      <c r="P64" t="s">
        <v>144</v>
      </c>
      <c r="Q64" t="s">
        <v>145</v>
      </c>
      <c r="R64" t="s">
        <v>146</v>
      </c>
      <c r="S64" t="s">
        <v>147</v>
      </c>
      <c r="T64" t="s">
        <v>148</v>
      </c>
      <c r="U64" t="s">
        <v>149</v>
      </c>
      <c r="V64" t="s">
        <v>150</v>
      </c>
      <c r="W64" t="s">
        <v>151</v>
      </c>
      <c r="X64" t="s">
        <v>152</v>
      </c>
      <c r="Y64" t="s">
        <v>153</v>
      </c>
      <c r="Z64" t="s">
        <v>176</v>
      </c>
      <c r="AC64" s="6" t="s">
        <v>297</v>
      </c>
    </row>
    <row r="65" spans="2:31" x14ac:dyDescent="0.25">
      <c r="B65" t="s">
        <v>177</v>
      </c>
      <c r="D65" s="2">
        <v>35.743333333333332</v>
      </c>
      <c r="E65" s="2">
        <v>0.28000000000000003</v>
      </c>
      <c r="F65" s="2">
        <v>0.89666666666666661</v>
      </c>
      <c r="G65" s="2">
        <v>1.0833333333333333</v>
      </c>
      <c r="H65" s="2">
        <v>2.8699999999999997</v>
      </c>
      <c r="I65" s="2">
        <v>3.2833333333333337</v>
      </c>
      <c r="J65" s="2">
        <v>1.7300000000000002</v>
      </c>
      <c r="K65" s="2">
        <v>4.2733333333333334</v>
      </c>
      <c r="L65" s="2">
        <v>1.07</v>
      </c>
      <c r="M65" s="2">
        <v>0.54666666666666675</v>
      </c>
      <c r="N65" s="2">
        <v>5.2333333333333334</v>
      </c>
      <c r="O65" s="2">
        <v>2.6466666666666665</v>
      </c>
      <c r="P65" s="2">
        <v>6.7366666666666672</v>
      </c>
      <c r="Q65" s="2">
        <v>1.0266666666666666</v>
      </c>
      <c r="R65" s="2">
        <v>0.72333333333333327</v>
      </c>
      <c r="S65" s="2">
        <v>0.43</v>
      </c>
      <c r="T65" s="2">
        <v>0.51</v>
      </c>
      <c r="U65" s="2">
        <v>0.81666666666666676</v>
      </c>
      <c r="V65" s="2">
        <v>0.5033333333333333</v>
      </c>
      <c r="W65" s="2">
        <v>0.47333333333333333</v>
      </c>
      <c r="X65" s="2">
        <v>0.37666666666666671</v>
      </c>
      <c r="Y65" s="2">
        <v>0.10333333333333333</v>
      </c>
      <c r="Z65" s="2">
        <v>0.13999999999999999</v>
      </c>
      <c r="AC65" t="s">
        <v>177</v>
      </c>
      <c r="AD65">
        <v>18.459999999999997</v>
      </c>
      <c r="AE65" s="13">
        <f>D65*AD65/100</f>
        <v>6.5982193333333319</v>
      </c>
    </row>
    <row r="66" spans="2:31" x14ac:dyDescent="0.25">
      <c r="B66" t="s">
        <v>178</v>
      </c>
      <c r="D66" s="2">
        <v>104.37</v>
      </c>
      <c r="E66" s="2">
        <v>1.1766666666666667</v>
      </c>
      <c r="F66" s="2">
        <v>3.2466666666666666</v>
      </c>
      <c r="G66" s="2">
        <v>2.9333333333333336</v>
      </c>
      <c r="H66" s="2">
        <v>7.663333333333334</v>
      </c>
      <c r="I66" s="2">
        <v>8.9266666666666659</v>
      </c>
      <c r="J66" s="2">
        <v>4.0333333333333341</v>
      </c>
      <c r="K66" s="2">
        <v>10.626666666666667</v>
      </c>
      <c r="L66" s="2">
        <v>4.416666666666667</v>
      </c>
      <c r="M66" s="2">
        <v>1.6266666666666667</v>
      </c>
      <c r="N66" s="2">
        <v>13.51</v>
      </c>
      <c r="O66" s="2">
        <v>6.5766666666666671</v>
      </c>
      <c r="P66" s="2">
        <v>17.593333333333334</v>
      </c>
      <c r="Q66" s="2">
        <v>3.0033333333333334</v>
      </c>
      <c r="R66" s="2">
        <v>2.1933333333333334</v>
      </c>
      <c r="S66" s="2">
        <v>1.3266666666666667</v>
      </c>
      <c r="T66" s="2">
        <v>2.3966666666666665</v>
      </c>
      <c r="U66" s="2">
        <v>3.1666666666666665</v>
      </c>
      <c r="V66" s="2">
        <v>2.3166666666666664</v>
      </c>
      <c r="W66" s="2">
        <v>2.3033333333333332</v>
      </c>
      <c r="X66" s="2">
        <v>3.3966666666666669</v>
      </c>
      <c r="Y66" s="2">
        <v>1.4166666666666667</v>
      </c>
      <c r="Z66" s="2">
        <v>0.52333333333333332</v>
      </c>
      <c r="AC66" t="s">
        <v>178</v>
      </c>
      <c r="AD66">
        <v>20.98</v>
      </c>
      <c r="AE66" s="13">
        <f t="shared" ref="AE66:AE76" si="9">D66*AD66/100</f>
        <v>21.896826000000001</v>
      </c>
    </row>
    <row r="67" spans="2:31" x14ac:dyDescent="0.25">
      <c r="B67" t="s">
        <v>299</v>
      </c>
      <c r="D67" s="2">
        <f>SUM(D65:D66)</f>
        <v>140.11333333333334</v>
      </c>
      <c r="E67" s="2">
        <f t="shared" ref="E67:Z67" si="10">SUM(E65:E66)</f>
        <v>1.4566666666666668</v>
      </c>
      <c r="F67" s="2">
        <f t="shared" si="10"/>
        <v>4.1433333333333335</v>
      </c>
      <c r="G67" s="2">
        <f t="shared" si="10"/>
        <v>4.0166666666666666</v>
      </c>
      <c r="H67" s="2">
        <f t="shared" si="10"/>
        <v>10.533333333333333</v>
      </c>
      <c r="I67" s="2">
        <f t="shared" si="10"/>
        <v>12.209999999999999</v>
      </c>
      <c r="J67" s="2">
        <f t="shared" si="10"/>
        <v>5.7633333333333345</v>
      </c>
      <c r="K67" s="2">
        <f t="shared" si="10"/>
        <v>14.9</v>
      </c>
      <c r="L67" s="2">
        <f t="shared" si="10"/>
        <v>5.4866666666666672</v>
      </c>
      <c r="M67" s="2">
        <f t="shared" si="10"/>
        <v>2.1733333333333333</v>
      </c>
      <c r="N67" s="2">
        <f t="shared" si="10"/>
        <v>18.743333333333332</v>
      </c>
      <c r="O67" s="2">
        <f t="shared" si="10"/>
        <v>9.2233333333333327</v>
      </c>
      <c r="P67" s="2">
        <f t="shared" si="10"/>
        <v>24.330000000000002</v>
      </c>
      <c r="Q67" s="2">
        <f t="shared" si="10"/>
        <v>4.03</v>
      </c>
      <c r="R67" s="2">
        <f t="shared" si="10"/>
        <v>2.9166666666666665</v>
      </c>
      <c r="S67" s="2">
        <f t="shared" si="10"/>
        <v>1.7566666666666666</v>
      </c>
      <c r="T67" s="2">
        <f t="shared" si="10"/>
        <v>2.9066666666666663</v>
      </c>
      <c r="U67" s="2">
        <f t="shared" si="10"/>
        <v>3.9833333333333334</v>
      </c>
      <c r="V67" s="2">
        <f t="shared" si="10"/>
        <v>2.82</v>
      </c>
      <c r="W67" s="2">
        <f t="shared" si="10"/>
        <v>2.7766666666666664</v>
      </c>
      <c r="X67" s="2">
        <f t="shared" si="10"/>
        <v>3.7733333333333334</v>
      </c>
      <c r="Y67" s="2">
        <f t="shared" si="10"/>
        <v>1.52</v>
      </c>
      <c r="Z67" s="2">
        <f t="shared" si="10"/>
        <v>0.66333333333333333</v>
      </c>
      <c r="AC67" t="s">
        <v>299</v>
      </c>
      <c r="AD67" s="13">
        <f>SUMPRODUCT(D65:D66,AD65:AD66)/D67</f>
        <v>20.337140410144166</v>
      </c>
      <c r="AE67" s="13">
        <f t="shared" si="9"/>
        <v>28.495045333333334</v>
      </c>
    </row>
    <row r="68" spans="2:31" x14ac:dyDescent="0.25">
      <c r="B68" t="s">
        <v>179</v>
      </c>
      <c r="D68" s="2">
        <v>59.748000000000005</v>
      </c>
      <c r="E68" s="2">
        <v>0.81400000000000006</v>
      </c>
      <c r="F68" s="2">
        <v>1.514</v>
      </c>
      <c r="G68" s="2">
        <v>2.012</v>
      </c>
      <c r="H68" s="2">
        <v>3.774</v>
      </c>
      <c r="I68" s="2">
        <v>4.6639999999999997</v>
      </c>
      <c r="J68" s="2">
        <v>2.3920000000000003</v>
      </c>
      <c r="K68" s="2">
        <v>6.0519999999999996</v>
      </c>
      <c r="L68" s="2">
        <v>3.0759999999999996</v>
      </c>
      <c r="M68" s="2">
        <v>1.288</v>
      </c>
      <c r="N68" s="2">
        <v>10.8</v>
      </c>
      <c r="O68" s="2">
        <v>3.6740000000000004</v>
      </c>
      <c r="P68" s="2">
        <v>10.156000000000001</v>
      </c>
      <c r="Q68" s="2">
        <v>1.9739999999999998</v>
      </c>
      <c r="R68" s="2">
        <v>1.3880000000000001</v>
      </c>
      <c r="S68" s="2">
        <v>0.68600000000000005</v>
      </c>
      <c r="T68" s="2">
        <v>1.002</v>
      </c>
      <c r="U68" s="2">
        <v>1.22</v>
      </c>
      <c r="V68" s="2">
        <v>0.68399999999999994</v>
      </c>
      <c r="W68" s="2">
        <v>0.77</v>
      </c>
      <c r="X68" s="2">
        <v>1.024</v>
      </c>
      <c r="Y68" s="2">
        <v>0.44600000000000001</v>
      </c>
      <c r="Z68" s="2">
        <v>0.34600000000000003</v>
      </c>
      <c r="AA68" s="26"/>
      <c r="AC68" t="s">
        <v>179</v>
      </c>
      <c r="AD68">
        <v>19.279999999999998</v>
      </c>
      <c r="AE68" s="13">
        <f t="shared" si="9"/>
        <v>11.5194144</v>
      </c>
    </row>
    <row r="69" spans="2:31" x14ac:dyDescent="0.25">
      <c r="B69" t="s">
        <v>180</v>
      </c>
      <c r="D69" s="2">
        <v>14.523333333333333</v>
      </c>
      <c r="E69" s="2">
        <v>0.12666666666666668</v>
      </c>
      <c r="F69" s="2">
        <v>1.68</v>
      </c>
      <c r="G69" s="2">
        <v>0.22333333333333336</v>
      </c>
      <c r="H69" s="2">
        <v>0.20666666666666667</v>
      </c>
      <c r="I69" s="2">
        <v>0.38666666666666671</v>
      </c>
      <c r="J69" s="2">
        <v>8.3333333333333329E-2</v>
      </c>
      <c r="K69" s="2">
        <v>0.08</v>
      </c>
      <c r="L69" s="2">
        <v>0.01</v>
      </c>
      <c r="M69" s="2">
        <v>8.3333333333333329E-2</v>
      </c>
      <c r="N69" s="2">
        <v>3.22</v>
      </c>
      <c r="O69" s="2">
        <v>0.87333333333333341</v>
      </c>
      <c r="P69" s="2">
        <v>4.0333333333333323</v>
      </c>
      <c r="Q69" s="2">
        <v>8.666666666666667E-2</v>
      </c>
      <c r="R69" s="2">
        <v>0.3</v>
      </c>
      <c r="S69" s="2">
        <v>1.9999999999999998</v>
      </c>
      <c r="T69" s="2">
        <v>0.23666666666666666</v>
      </c>
      <c r="U69" s="2">
        <v>0.27333333333333337</v>
      </c>
      <c r="V69" s="2">
        <v>0.10666666666666667</v>
      </c>
      <c r="W69" s="2">
        <v>0.3</v>
      </c>
      <c r="X69" s="2">
        <v>6.3333333333333339E-2</v>
      </c>
      <c r="Y69" s="2">
        <v>7.3333333333333334E-2</v>
      </c>
      <c r="Z69" s="2">
        <v>9.0000000000000011E-2</v>
      </c>
      <c r="AA69" s="26"/>
      <c r="AC69" t="s">
        <v>180</v>
      </c>
      <c r="AD69">
        <v>7.7200000000000006</v>
      </c>
      <c r="AE69" s="13">
        <f t="shared" si="9"/>
        <v>1.1212013333333335</v>
      </c>
    </row>
    <row r="70" spans="2:31" x14ac:dyDescent="0.25">
      <c r="B70" t="s">
        <v>181</v>
      </c>
      <c r="D70" s="2">
        <v>34.85</v>
      </c>
      <c r="E70" s="2">
        <v>0.69399999999999995</v>
      </c>
      <c r="F70" s="2">
        <v>1.754</v>
      </c>
      <c r="G70" s="2">
        <v>1.006</v>
      </c>
      <c r="H70" s="2">
        <v>2.6080000000000001</v>
      </c>
      <c r="I70" s="2">
        <v>3.6</v>
      </c>
      <c r="J70" s="2">
        <v>2.0640000000000001</v>
      </c>
      <c r="K70" s="2">
        <v>4.2180000000000009</v>
      </c>
      <c r="L70" s="2">
        <v>1.024</v>
      </c>
      <c r="M70" s="2">
        <v>0.35200000000000004</v>
      </c>
      <c r="N70" s="2">
        <v>3.1059999999999999</v>
      </c>
      <c r="O70" s="2">
        <v>1.3479999999999999</v>
      </c>
      <c r="P70" s="2">
        <v>6.9460000000000006</v>
      </c>
      <c r="Q70" s="2">
        <v>1.0979999999999999</v>
      </c>
      <c r="R70" s="2">
        <v>0.76999999999999991</v>
      </c>
      <c r="S70" s="2">
        <v>0.40600000000000003</v>
      </c>
      <c r="T70" s="2">
        <v>0.42600000000000005</v>
      </c>
      <c r="U70" s="2">
        <v>1.0880000000000001</v>
      </c>
      <c r="V70" s="2">
        <v>0.29800000000000004</v>
      </c>
      <c r="W70" s="2">
        <v>0.748</v>
      </c>
      <c r="X70" s="2">
        <v>0.82599999999999996</v>
      </c>
      <c r="Y70" s="2">
        <v>0.28799999999999998</v>
      </c>
      <c r="Z70" s="2">
        <v>0.17800000000000002</v>
      </c>
      <c r="AA70" s="26"/>
      <c r="AC70" t="s">
        <v>181</v>
      </c>
      <c r="AD70">
        <v>27.140000000000004</v>
      </c>
      <c r="AE70" s="13">
        <f t="shared" si="9"/>
        <v>9.4582900000000016</v>
      </c>
    </row>
    <row r="71" spans="2:31" x14ac:dyDescent="0.25">
      <c r="B71" t="s">
        <v>182</v>
      </c>
      <c r="D71" s="2">
        <v>154.28666666666666</v>
      </c>
      <c r="E71" s="2">
        <v>1.0466666666666666</v>
      </c>
      <c r="F71" s="2">
        <v>2.91</v>
      </c>
      <c r="G71" s="2">
        <v>5.7266666666666666</v>
      </c>
      <c r="H71" s="2">
        <v>11.753333333333332</v>
      </c>
      <c r="I71" s="2">
        <v>11</v>
      </c>
      <c r="J71" s="2">
        <v>5.5966666666666667</v>
      </c>
      <c r="K71" s="2">
        <v>15.916666666666666</v>
      </c>
      <c r="L71" s="2">
        <v>9.7233333333333345</v>
      </c>
      <c r="M71" s="2">
        <v>3.6700000000000004</v>
      </c>
      <c r="N71" s="2">
        <v>25.656666666666666</v>
      </c>
      <c r="O71" s="2">
        <v>9.6866666666666656</v>
      </c>
      <c r="P71" s="2">
        <v>24.626666666666665</v>
      </c>
      <c r="Q71" s="2">
        <v>4.91</v>
      </c>
      <c r="R71" s="2">
        <v>4.4866666666666672</v>
      </c>
      <c r="S71" s="2">
        <v>2.0633333333333335</v>
      </c>
      <c r="T71" s="2">
        <v>3.9133333333333336</v>
      </c>
      <c r="U71" s="2">
        <v>4.3433333333333337</v>
      </c>
      <c r="V71" s="2">
        <v>1.6266666666666667</v>
      </c>
      <c r="W71" s="2">
        <v>1.5533333333333335</v>
      </c>
      <c r="X71" s="2">
        <v>2.3800000000000003</v>
      </c>
      <c r="Y71" s="2">
        <v>1.3333333333333333</v>
      </c>
      <c r="Z71" s="2">
        <v>0.36333333333333334</v>
      </c>
      <c r="AA71" s="26"/>
      <c r="AC71" t="s">
        <v>182</v>
      </c>
      <c r="AD71">
        <v>7.7200000000000006</v>
      </c>
      <c r="AE71" s="13">
        <f t="shared" si="9"/>
        <v>11.910930666666667</v>
      </c>
    </row>
    <row r="72" spans="2:31" x14ac:dyDescent="0.25">
      <c r="B72" t="s">
        <v>183</v>
      </c>
      <c r="D72" s="2">
        <v>21.216666666666669</v>
      </c>
      <c r="E72" s="2">
        <v>7.0000000000000007E-2</v>
      </c>
      <c r="F72" s="2">
        <v>0.13333333333333333</v>
      </c>
      <c r="G72" s="2">
        <v>0.43999999999999995</v>
      </c>
      <c r="H72" s="2">
        <v>1.0733333333333335</v>
      </c>
      <c r="I72" s="2">
        <v>1.8833333333333335</v>
      </c>
      <c r="J72" s="2">
        <v>1.04</v>
      </c>
      <c r="K72" s="2">
        <v>1.97</v>
      </c>
      <c r="L72" s="2">
        <v>1.08</v>
      </c>
      <c r="M72" s="2">
        <v>0.38666666666666671</v>
      </c>
      <c r="N72" s="2">
        <v>3.16</v>
      </c>
      <c r="O72" s="2">
        <v>0.67333333333333323</v>
      </c>
      <c r="P72" s="2">
        <v>5.05</v>
      </c>
      <c r="Q72" s="2">
        <v>1.0999999999999999</v>
      </c>
      <c r="R72" s="2">
        <v>0.52333333333333332</v>
      </c>
      <c r="S72" s="2">
        <v>0.24333333333333332</v>
      </c>
      <c r="T72" s="2">
        <v>0.34999999999999992</v>
      </c>
      <c r="U72" s="2">
        <v>0.49333333333333335</v>
      </c>
      <c r="V72" s="2">
        <v>0.33333333333333331</v>
      </c>
      <c r="W72" s="2">
        <v>0.36333333333333329</v>
      </c>
      <c r="X72" s="2">
        <v>0.63666666666666671</v>
      </c>
      <c r="Y72" s="2">
        <v>0.15666666666666668</v>
      </c>
      <c r="Z72" s="2">
        <v>7.0000000000000007E-2</v>
      </c>
      <c r="AA72" s="26"/>
      <c r="AC72" t="s">
        <v>183</v>
      </c>
      <c r="AD72">
        <v>12.48</v>
      </c>
      <c r="AE72" s="13">
        <f t="shared" si="9"/>
        <v>2.6478400000000004</v>
      </c>
    </row>
    <row r="73" spans="2:31" x14ac:dyDescent="0.25">
      <c r="B73" t="s">
        <v>184</v>
      </c>
      <c r="D73" s="2">
        <v>3.1333333333333333</v>
      </c>
      <c r="E73" s="2">
        <v>4.3333333333333335E-2</v>
      </c>
      <c r="F73" s="2">
        <v>6.6666666666666666E-2</v>
      </c>
      <c r="G73" s="2">
        <v>8.666666666666667E-2</v>
      </c>
      <c r="H73" s="2">
        <v>0.19333333333333333</v>
      </c>
      <c r="I73" s="2">
        <v>0.27666666666666667</v>
      </c>
      <c r="J73" s="2">
        <v>0.14000000000000001</v>
      </c>
      <c r="K73" s="2">
        <v>0.22666666666666668</v>
      </c>
      <c r="L73" s="2">
        <v>9.6666666666666679E-2</v>
      </c>
      <c r="M73" s="2">
        <v>7.6666666666666675E-2</v>
      </c>
      <c r="N73" s="2">
        <v>0.60333333333333339</v>
      </c>
      <c r="O73" s="2">
        <v>0.11666666666666665</v>
      </c>
      <c r="P73" s="2">
        <v>0.56666666666666676</v>
      </c>
      <c r="Q73" s="2">
        <v>0.11333333333333334</v>
      </c>
      <c r="R73" s="2">
        <v>7.0000000000000007E-2</v>
      </c>
      <c r="S73" s="2">
        <v>0.04</v>
      </c>
      <c r="T73" s="2">
        <v>0.08</v>
      </c>
      <c r="U73" s="2">
        <v>9.6666666666666679E-2</v>
      </c>
      <c r="V73" s="2">
        <v>5.6666666666666671E-2</v>
      </c>
      <c r="W73" s="2">
        <v>6.6666666666666666E-2</v>
      </c>
      <c r="X73" s="2">
        <v>7.3333333333333334E-2</v>
      </c>
      <c r="Y73" s="2">
        <v>1.6666666666666666E-2</v>
      </c>
      <c r="Z73" s="2">
        <v>0.04</v>
      </c>
      <c r="AA73" s="26"/>
      <c r="AC73" t="s">
        <v>184</v>
      </c>
      <c r="AD73">
        <v>27.5</v>
      </c>
      <c r="AE73" s="13">
        <f t="shared" si="9"/>
        <v>0.86166666666666669</v>
      </c>
    </row>
    <row r="74" spans="2:31" x14ac:dyDescent="0.25">
      <c r="B74" t="s">
        <v>298</v>
      </c>
      <c r="D74" s="2">
        <f>SUM(D71:D73)</f>
        <v>178.63666666666666</v>
      </c>
      <c r="E74" s="2">
        <f t="shared" ref="E74:Z74" si="11">SUM(E71:E73)</f>
        <v>1.1600000000000001</v>
      </c>
      <c r="F74" s="2">
        <f t="shared" si="11"/>
        <v>3.1100000000000003</v>
      </c>
      <c r="G74" s="2">
        <f t="shared" si="11"/>
        <v>6.253333333333333</v>
      </c>
      <c r="H74" s="2">
        <f t="shared" si="11"/>
        <v>13.02</v>
      </c>
      <c r="I74" s="2">
        <f t="shared" si="11"/>
        <v>13.16</v>
      </c>
      <c r="J74" s="2">
        <f t="shared" si="11"/>
        <v>6.7766666666666664</v>
      </c>
      <c r="K74" s="2">
        <f t="shared" si="11"/>
        <v>18.113333333333333</v>
      </c>
      <c r="L74" s="2">
        <f t="shared" si="11"/>
        <v>10.900000000000002</v>
      </c>
      <c r="M74" s="2">
        <f t="shared" si="11"/>
        <v>4.1333333333333337</v>
      </c>
      <c r="N74" s="2">
        <f t="shared" si="11"/>
        <v>29.419999999999998</v>
      </c>
      <c r="O74" s="2">
        <f t="shared" si="11"/>
        <v>10.476666666666667</v>
      </c>
      <c r="P74" s="2">
        <f t="shared" si="11"/>
        <v>30.243333333333332</v>
      </c>
      <c r="Q74" s="2">
        <f t="shared" si="11"/>
        <v>6.1233333333333331</v>
      </c>
      <c r="R74" s="2">
        <f t="shared" si="11"/>
        <v>5.080000000000001</v>
      </c>
      <c r="S74" s="2">
        <f t="shared" si="11"/>
        <v>2.3466666666666667</v>
      </c>
      <c r="T74" s="2">
        <f t="shared" si="11"/>
        <v>4.3433333333333337</v>
      </c>
      <c r="U74" s="2">
        <f t="shared" si="11"/>
        <v>4.9333333333333336</v>
      </c>
      <c r="V74" s="2">
        <f t="shared" si="11"/>
        <v>2.0166666666666666</v>
      </c>
      <c r="W74" s="2">
        <f t="shared" si="11"/>
        <v>1.9833333333333334</v>
      </c>
      <c r="X74" s="2">
        <f t="shared" si="11"/>
        <v>3.0900000000000003</v>
      </c>
      <c r="Y74" s="2">
        <f t="shared" si="11"/>
        <v>1.5066666666666666</v>
      </c>
      <c r="Z74" s="2">
        <f t="shared" si="11"/>
        <v>0.47333333333333333</v>
      </c>
      <c r="AA74" s="26"/>
      <c r="AC74" t="s">
        <v>298</v>
      </c>
      <c r="AD74" s="13">
        <f>SUMPRODUCT(D71:D73,AD71:AD73)/D74</f>
        <v>8.6322912429325847</v>
      </c>
      <c r="AE74" s="13">
        <f t="shared" si="9"/>
        <v>15.420437333333336</v>
      </c>
    </row>
    <row r="75" spans="2:31" x14ac:dyDescent="0.25">
      <c r="B75" t="s">
        <v>305</v>
      </c>
      <c r="D75" s="2">
        <f>SUM(D68:D73)</f>
        <v>287.75800000000004</v>
      </c>
      <c r="E75" s="2">
        <f t="shared" ref="E75:Z75" si="12">SUM(E68:E73)</f>
        <v>2.7946666666666666</v>
      </c>
      <c r="F75" s="2">
        <f t="shared" si="12"/>
        <v>8.0580000000000016</v>
      </c>
      <c r="G75" s="2">
        <f t="shared" si="12"/>
        <v>9.4946666666666655</v>
      </c>
      <c r="H75" s="2">
        <f t="shared" si="12"/>
        <v>19.608666666666664</v>
      </c>
      <c r="I75" s="2">
        <f t="shared" si="12"/>
        <v>21.810666666666666</v>
      </c>
      <c r="J75" s="2">
        <f t="shared" si="12"/>
        <v>11.315999999999999</v>
      </c>
      <c r="K75" s="2">
        <f t="shared" si="12"/>
        <v>28.463333333333331</v>
      </c>
      <c r="L75" s="2">
        <f t="shared" si="12"/>
        <v>15.010000000000002</v>
      </c>
      <c r="M75" s="2">
        <f t="shared" si="12"/>
        <v>5.8566666666666674</v>
      </c>
      <c r="N75" s="2">
        <f t="shared" si="12"/>
        <v>46.545999999999999</v>
      </c>
      <c r="O75" s="2">
        <f t="shared" si="12"/>
        <v>16.372</v>
      </c>
      <c r="P75" s="2">
        <f t="shared" si="12"/>
        <v>51.378666666666668</v>
      </c>
      <c r="Q75" s="2">
        <f t="shared" si="12"/>
        <v>9.2819999999999983</v>
      </c>
      <c r="R75" s="2">
        <f t="shared" si="12"/>
        <v>7.5380000000000011</v>
      </c>
      <c r="S75" s="2">
        <f t="shared" si="12"/>
        <v>5.4386666666666663</v>
      </c>
      <c r="T75" s="2">
        <f t="shared" si="12"/>
        <v>6.008</v>
      </c>
      <c r="U75" s="2">
        <f t="shared" si="12"/>
        <v>7.5146666666666668</v>
      </c>
      <c r="V75" s="2">
        <f t="shared" si="12"/>
        <v>3.1053333333333337</v>
      </c>
      <c r="W75" s="2">
        <f t="shared" si="12"/>
        <v>3.8013333333333335</v>
      </c>
      <c r="X75" s="2">
        <f t="shared" si="12"/>
        <v>5.003333333333333</v>
      </c>
      <c r="Y75" s="2">
        <f t="shared" si="12"/>
        <v>2.3139999999999996</v>
      </c>
      <c r="Z75" s="2">
        <f t="shared" si="12"/>
        <v>1.0873333333333335</v>
      </c>
      <c r="AA75" s="26"/>
      <c r="AC75" t="s">
        <v>305</v>
      </c>
      <c r="AD75" s="13">
        <f>SUMPRODUCT(D68:D73,AD68:AD73)/D75</f>
        <v>13.038505642472725</v>
      </c>
      <c r="AE75" s="13">
        <f t="shared" si="9"/>
        <v>37.519343066666671</v>
      </c>
    </row>
    <row r="76" spans="2:31" x14ac:dyDescent="0.25">
      <c r="B76" t="s">
        <v>300</v>
      </c>
      <c r="D76" s="2">
        <f>SUM(D65:D66,D68:D73)</f>
        <v>427.87133333333338</v>
      </c>
      <c r="E76" s="2">
        <f t="shared" ref="E76:Z76" si="13">SUM(E65:E66,E68:E73)</f>
        <v>4.2513333333333332</v>
      </c>
      <c r="F76" s="2">
        <f t="shared" si="13"/>
        <v>12.201333333333332</v>
      </c>
      <c r="G76" s="2">
        <f t="shared" si="13"/>
        <v>13.511333333333331</v>
      </c>
      <c r="H76" s="2">
        <f t="shared" si="13"/>
        <v>30.141999999999996</v>
      </c>
      <c r="I76" s="2">
        <f t="shared" si="13"/>
        <v>34.020666666666664</v>
      </c>
      <c r="J76" s="2">
        <f t="shared" si="13"/>
        <v>17.079333333333334</v>
      </c>
      <c r="K76" s="2">
        <f t="shared" si="13"/>
        <v>43.36333333333333</v>
      </c>
      <c r="L76" s="2">
        <f t="shared" si="13"/>
        <v>20.496666666666666</v>
      </c>
      <c r="M76" s="2">
        <f t="shared" si="13"/>
        <v>8.0299999999999994</v>
      </c>
      <c r="N76" s="2">
        <f t="shared" si="13"/>
        <v>65.289333333333346</v>
      </c>
      <c r="O76" s="2">
        <f t="shared" si="13"/>
        <v>25.595333333333329</v>
      </c>
      <c r="P76" s="2">
        <f t="shared" si="13"/>
        <v>75.708666666666659</v>
      </c>
      <c r="Q76" s="2">
        <f t="shared" si="13"/>
        <v>13.311999999999999</v>
      </c>
      <c r="R76" s="2">
        <f t="shared" si="13"/>
        <v>10.454666666666668</v>
      </c>
      <c r="S76" s="2">
        <f t="shared" si="13"/>
        <v>7.1953333333333331</v>
      </c>
      <c r="T76" s="2">
        <f t="shared" si="13"/>
        <v>8.9146666666666654</v>
      </c>
      <c r="U76" s="2">
        <f t="shared" si="13"/>
        <v>11.498000000000001</v>
      </c>
      <c r="V76" s="2">
        <f t="shared" si="13"/>
        <v>5.9253333333333327</v>
      </c>
      <c r="W76" s="2">
        <f t="shared" si="13"/>
        <v>6.5779999999999994</v>
      </c>
      <c r="X76" s="2">
        <f t="shared" si="13"/>
        <v>8.7766666666666673</v>
      </c>
      <c r="Y76" s="2">
        <f t="shared" si="13"/>
        <v>3.8340000000000001</v>
      </c>
      <c r="Z76" s="2">
        <f t="shared" si="13"/>
        <v>1.7506666666666668</v>
      </c>
      <c r="AA76" s="26"/>
      <c r="AC76" t="s">
        <v>300</v>
      </c>
      <c r="AD76" s="13">
        <f>(SUMPRODUCT(D65:D66,AD65:AD66)+SUMPRODUCT(D68:D73,AD68:AD73))/D76</f>
        <v>15.428560704386209</v>
      </c>
      <c r="AE76" s="13">
        <f t="shared" si="9"/>
        <v>66.014388400000001</v>
      </c>
    </row>
    <row r="78" spans="2:31" x14ac:dyDescent="0.25">
      <c r="B78" s="6" t="s">
        <v>185</v>
      </c>
    </row>
    <row r="79" spans="2:31" x14ac:dyDescent="0.25">
      <c r="D79" t="s">
        <v>132</v>
      </c>
      <c r="E79" t="s">
        <v>133</v>
      </c>
      <c r="F79" t="s">
        <v>134</v>
      </c>
      <c r="G79" t="s">
        <v>135</v>
      </c>
      <c r="H79" t="s">
        <v>136</v>
      </c>
      <c r="I79" t="s">
        <v>137</v>
      </c>
      <c r="J79" t="s">
        <v>138</v>
      </c>
      <c r="K79" t="s">
        <v>139</v>
      </c>
      <c r="L79" t="s">
        <v>140</v>
      </c>
      <c r="M79" t="s">
        <v>141</v>
      </c>
      <c r="N79" t="s">
        <v>142</v>
      </c>
      <c r="O79" t="s">
        <v>143</v>
      </c>
      <c r="P79" t="s">
        <v>144</v>
      </c>
      <c r="Q79" t="s">
        <v>145</v>
      </c>
      <c r="R79" t="s">
        <v>146</v>
      </c>
      <c r="S79" t="s">
        <v>147</v>
      </c>
      <c r="T79" t="s">
        <v>148</v>
      </c>
      <c r="U79" t="s">
        <v>149</v>
      </c>
      <c r="V79" t="s">
        <v>150</v>
      </c>
      <c r="W79" t="s">
        <v>151</v>
      </c>
      <c r="X79" t="s">
        <v>152</v>
      </c>
      <c r="Y79" t="s">
        <v>153</v>
      </c>
      <c r="AC79" s="6" t="s">
        <v>297</v>
      </c>
    </row>
    <row r="80" spans="2:31" x14ac:dyDescent="0.25">
      <c r="B80" t="s">
        <v>173</v>
      </c>
      <c r="D80" s="12">
        <v>316238</v>
      </c>
      <c r="E80" s="12">
        <v>2717.2</v>
      </c>
      <c r="F80" s="12">
        <v>9318</v>
      </c>
      <c r="G80" s="12">
        <v>8206.4</v>
      </c>
      <c r="H80" s="12">
        <v>22933.8</v>
      </c>
      <c r="I80" s="12">
        <v>27619.8</v>
      </c>
      <c r="J80" s="12">
        <v>11545.6</v>
      </c>
      <c r="K80" s="12">
        <v>37903.199999999997</v>
      </c>
      <c r="L80" s="12">
        <v>14629.4</v>
      </c>
      <c r="M80" s="12">
        <v>3597.4</v>
      </c>
      <c r="N80" s="12">
        <v>36976.800000000003</v>
      </c>
      <c r="O80" s="12">
        <v>24239.8</v>
      </c>
      <c r="P80" s="12">
        <v>55299</v>
      </c>
      <c r="Q80" s="12">
        <v>6701.8</v>
      </c>
      <c r="R80" s="12">
        <v>5795.4</v>
      </c>
      <c r="S80" s="12">
        <v>3987.8</v>
      </c>
      <c r="T80" s="12">
        <v>5756</v>
      </c>
      <c r="U80" s="12">
        <v>8167.8</v>
      </c>
      <c r="V80" s="12">
        <v>6641.6</v>
      </c>
      <c r="W80" s="12">
        <v>6628.8</v>
      </c>
      <c r="X80" s="12">
        <v>12408.8</v>
      </c>
      <c r="Y80" s="12">
        <v>5163.6000000000004</v>
      </c>
      <c r="AC80" t="s">
        <v>173</v>
      </c>
      <c r="AD80">
        <v>17.399999999999999</v>
      </c>
    </row>
    <row r="81" spans="2:30" x14ac:dyDescent="0.25">
      <c r="B81" t="s">
        <v>174</v>
      </c>
      <c r="D81" s="12">
        <v>206514</v>
      </c>
      <c r="E81" s="12">
        <v>3219.4</v>
      </c>
      <c r="F81" s="12">
        <v>5281</v>
      </c>
      <c r="G81" s="12">
        <v>6811.2</v>
      </c>
      <c r="H81" s="12">
        <v>15615.8</v>
      </c>
      <c r="I81" s="12">
        <v>17393.2</v>
      </c>
      <c r="J81" s="12">
        <v>10283.799999999999</v>
      </c>
      <c r="K81" s="12">
        <v>14520</v>
      </c>
      <c r="L81" s="12">
        <v>5263</v>
      </c>
      <c r="M81" s="12">
        <v>5621.8</v>
      </c>
      <c r="N81" s="12">
        <v>37247</v>
      </c>
      <c r="O81" s="12">
        <v>8272.4</v>
      </c>
      <c r="P81" s="12">
        <v>34587.599999999999</v>
      </c>
      <c r="Q81" s="12">
        <v>10191.799999999999</v>
      </c>
      <c r="R81" s="12">
        <v>5383.4</v>
      </c>
      <c r="S81" s="12">
        <v>2824.8</v>
      </c>
      <c r="T81" s="12">
        <v>5603.4</v>
      </c>
      <c r="U81" s="12">
        <v>6685</v>
      </c>
      <c r="V81" s="12">
        <v>4109</v>
      </c>
      <c r="W81" s="12">
        <v>4754.6000000000004</v>
      </c>
      <c r="X81" s="12">
        <v>1753.4</v>
      </c>
      <c r="Y81" s="12">
        <v>1092.4000000000001</v>
      </c>
      <c r="AC81" t="s">
        <v>174</v>
      </c>
      <c r="AD81">
        <v>35.200000000000003</v>
      </c>
    </row>
    <row r="82" spans="2:30" x14ac:dyDescent="0.25">
      <c r="B82" t="s">
        <v>129</v>
      </c>
      <c r="D82" s="12">
        <v>467134.4</v>
      </c>
      <c r="E82" s="12">
        <v>4924.2</v>
      </c>
      <c r="F82" s="12">
        <v>13111.4</v>
      </c>
      <c r="G82" s="12">
        <v>14340</v>
      </c>
      <c r="H82" s="12">
        <v>35147.599999999999</v>
      </c>
      <c r="I82" s="12">
        <v>39485.199999999997</v>
      </c>
      <c r="J82" s="12">
        <v>20024.2</v>
      </c>
      <c r="K82" s="12">
        <v>45730.2</v>
      </c>
      <c r="L82" s="12">
        <v>18895.2</v>
      </c>
      <c r="M82" s="12">
        <v>8384.4</v>
      </c>
      <c r="N82" s="12">
        <v>68011.600000000006</v>
      </c>
      <c r="O82" s="12">
        <v>28257.599999999999</v>
      </c>
      <c r="P82" s="12">
        <v>82445.2</v>
      </c>
      <c r="Q82" s="12">
        <v>14936.4</v>
      </c>
      <c r="R82" s="12">
        <v>11077.8</v>
      </c>
      <c r="S82" s="12">
        <v>7205.6</v>
      </c>
      <c r="T82" s="12">
        <v>9989.6</v>
      </c>
      <c r="U82" s="12">
        <v>12869.4</v>
      </c>
      <c r="V82" s="12">
        <v>7652</v>
      </c>
      <c r="W82" s="12">
        <v>8723.4</v>
      </c>
      <c r="X82" s="12">
        <v>10820.2</v>
      </c>
      <c r="Y82" s="12">
        <v>4959.2</v>
      </c>
      <c r="AC82" t="s">
        <v>129</v>
      </c>
      <c r="AD82">
        <v>20.8</v>
      </c>
    </row>
    <row r="83" spans="2:30" x14ac:dyDescent="0.25">
      <c r="B83" t="s">
        <v>130</v>
      </c>
      <c r="D83" s="12">
        <v>493490.2</v>
      </c>
      <c r="E83" s="12">
        <v>5801.2</v>
      </c>
      <c r="F83" s="12">
        <v>13280.4</v>
      </c>
      <c r="G83" s="12">
        <v>14549.8</v>
      </c>
      <c r="H83" s="12">
        <v>35558.199999999997</v>
      </c>
      <c r="I83" s="12">
        <v>42702.2</v>
      </c>
      <c r="J83" s="12">
        <v>21332.400000000001</v>
      </c>
      <c r="K83" s="12">
        <v>51429</v>
      </c>
      <c r="L83" s="12">
        <v>21370.400000000001</v>
      </c>
      <c r="M83" s="12">
        <v>9197.4</v>
      </c>
      <c r="N83" s="12">
        <v>69973.399999999994</v>
      </c>
      <c r="O83" s="12">
        <v>27131.599999999999</v>
      </c>
      <c r="P83" s="12">
        <v>88191.8</v>
      </c>
      <c r="Q83" s="12">
        <v>17959.400000000001</v>
      </c>
      <c r="R83" s="12">
        <v>11313.8</v>
      </c>
      <c r="S83" s="12">
        <v>5906.4</v>
      </c>
      <c r="T83" s="12">
        <v>9578.2000000000007</v>
      </c>
      <c r="U83" s="12">
        <v>13567</v>
      </c>
      <c r="V83" s="12">
        <v>8331.2000000000007</v>
      </c>
      <c r="W83" s="12">
        <v>9192.7999999999993</v>
      </c>
      <c r="X83" s="12">
        <v>11901.6</v>
      </c>
      <c r="Y83" s="12">
        <v>5222</v>
      </c>
      <c r="AC83" t="s">
        <v>130</v>
      </c>
      <c r="AD83">
        <v>19.600000000000001</v>
      </c>
    </row>
    <row r="84" spans="2:30" x14ac:dyDescent="0.25">
      <c r="D84" s="12"/>
      <c r="E84" s="65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65"/>
      <c r="T84" s="65"/>
      <c r="U84" s="65"/>
      <c r="V84" s="65"/>
      <c r="W84" s="65"/>
      <c r="X84" s="65"/>
      <c r="Y84" s="65"/>
    </row>
    <row r="85" spans="2:30" x14ac:dyDescent="0.25">
      <c r="B85" s="6" t="s">
        <v>188</v>
      </c>
      <c r="D85" s="12"/>
      <c r="E85" s="65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65"/>
      <c r="T85" s="65"/>
      <c r="U85" s="65"/>
      <c r="V85" s="65"/>
      <c r="W85" s="65"/>
      <c r="X85" s="65"/>
      <c r="Y85" s="65"/>
    </row>
    <row r="86" spans="2:30" x14ac:dyDescent="0.25">
      <c r="D86" t="s">
        <v>159</v>
      </c>
      <c r="E86" t="s">
        <v>160</v>
      </c>
      <c r="F86" t="s">
        <v>161</v>
      </c>
      <c r="G86" t="s">
        <v>162</v>
      </c>
      <c r="H86" t="s">
        <v>163</v>
      </c>
      <c r="I86" t="s">
        <v>164</v>
      </c>
      <c r="J86" t="s">
        <v>165</v>
      </c>
      <c r="K86" t="s">
        <v>166</v>
      </c>
      <c r="L86" t="s">
        <v>167</v>
      </c>
    </row>
    <row r="87" spans="2:30" x14ac:dyDescent="0.25">
      <c r="B87" s="66" t="s">
        <v>129</v>
      </c>
      <c r="D87" s="67">
        <v>465343.6</v>
      </c>
      <c r="E87" s="67">
        <v>32163.8</v>
      </c>
      <c r="F87" s="67">
        <v>87137</v>
      </c>
      <c r="G87" s="67">
        <v>160665.20000000001</v>
      </c>
      <c r="H87" s="67">
        <v>59280.4</v>
      </c>
      <c r="I87" s="67">
        <v>52508.6</v>
      </c>
      <c r="J87" s="67">
        <v>27806.6</v>
      </c>
      <c r="K87" s="67">
        <v>28476.2</v>
      </c>
      <c r="L87" s="67">
        <v>17305.8</v>
      </c>
    </row>
    <row r="88" spans="2:30" x14ac:dyDescent="0.25">
      <c r="B88" s="66" t="s">
        <v>186</v>
      </c>
      <c r="D88" s="67">
        <v>509619</v>
      </c>
      <c r="E88" s="67">
        <v>35341.199999999997</v>
      </c>
      <c r="F88" s="67">
        <v>88843.4</v>
      </c>
      <c r="G88" s="67">
        <v>180449.6</v>
      </c>
      <c r="H88" s="67">
        <v>60213.599999999999</v>
      </c>
      <c r="I88" s="67">
        <v>53861.4</v>
      </c>
      <c r="J88" s="67">
        <v>32377.4</v>
      </c>
      <c r="K88" s="67">
        <v>35998.6</v>
      </c>
      <c r="L88" s="67">
        <v>22533.8</v>
      </c>
    </row>
    <row r="89" spans="2:30" x14ac:dyDescent="0.25">
      <c r="B89" s="66" t="s">
        <v>173</v>
      </c>
      <c r="D89" s="67">
        <v>313676.79999999999</v>
      </c>
      <c r="E89" s="67">
        <v>25430.6</v>
      </c>
      <c r="F89" s="67">
        <v>61340.4</v>
      </c>
      <c r="G89" s="67">
        <v>101882</v>
      </c>
      <c r="H89" s="67">
        <v>39782.800000000003</v>
      </c>
      <c r="I89" s="67">
        <v>29534.400000000001</v>
      </c>
      <c r="J89" s="67">
        <v>15866.6</v>
      </c>
      <c r="K89" s="67">
        <v>21667</v>
      </c>
      <c r="L89" s="67">
        <v>18173</v>
      </c>
    </row>
    <row r="90" spans="2:30" x14ac:dyDescent="0.25">
      <c r="B90" s="66" t="s">
        <v>174</v>
      </c>
      <c r="D90" s="67">
        <v>195942.2</v>
      </c>
      <c r="E90" s="67">
        <v>9910.6</v>
      </c>
      <c r="F90" s="67">
        <v>27503</v>
      </c>
      <c r="G90" s="67">
        <v>78567.600000000006</v>
      </c>
      <c r="H90" s="67">
        <v>20430.8</v>
      </c>
      <c r="I90" s="67">
        <v>24327</v>
      </c>
      <c r="J90" s="67">
        <v>16510.8</v>
      </c>
      <c r="K90" s="67">
        <v>14331.6</v>
      </c>
      <c r="L90" s="67">
        <v>4360.8</v>
      </c>
    </row>
    <row r="91" spans="2:30" x14ac:dyDescent="0.25">
      <c r="B91" s="66" t="s">
        <v>130</v>
      </c>
      <c r="D91" s="67">
        <v>448180.4</v>
      </c>
      <c r="E91" s="67">
        <v>27090.6</v>
      </c>
      <c r="F91" s="67">
        <v>82824.2</v>
      </c>
      <c r="G91" s="67">
        <v>158753.20000000001</v>
      </c>
      <c r="H91" s="67">
        <v>54943.4</v>
      </c>
      <c r="I91" s="67">
        <v>49616.6</v>
      </c>
      <c r="J91" s="67">
        <v>27569</v>
      </c>
      <c r="K91" s="67">
        <v>28922.2</v>
      </c>
      <c r="L91" s="67">
        <v>18461.2</v>
      </c>
    </row>
    <row r="92" spans="2:30" x14ac:dyDescent="0.25">
      <c r="B92" s="66" t="s">
        <v>187</v>
      </c>
      <c r="D92" s="67">
        <v>1423143</v>
      </c>
      <c r="E92" s="67">
        <v>94595.6</v>
      </c>
      <c r="F92" s="67">
        <v>258804.6</v>
      </c>
      <c r="G92" s="67">
        <v>499868</v>
      </c>
      <c r="H92" s="67">
        <v>174437.4</v>
      </c>
      <c r="I92" s="67">
        <v>155986.6</v>
      </c>
      <c r="J92" s="67">
        <v>87753</v>
      </c>
      <c r="K92" s="67">
        <v>93397</v>
      </c>
      <c r="L92" s="67">
        <v>58300.800000000003</v>
      </c>
    </row>
    <row r="94" spans="2:30" x14ac:dyDescent="0.25">
      <c r="B94" t="s">
        <v>377</v>
      </c>
    </row>
    <row r="96" spans="2:30" x14ac:dyDescent="0.25">
      <c r="C96" t="s">
        <v>300</v>
      </c>
      <c r="F96" t="s">
        <v>372</v>
      </c>
      <c r="I96" t="s">
        <v>375</v>
      </c>
    </row>
    <row r="97" spans="2:11" x14ac:dyDescent="0.25">
      <c r="C97" t="s">
        <v>18</v>
      </c>
      <c r="D97" t="s">
        <v>373</v>
      </c>
      <c r="E97" t="s">
        <v>374</v>
      </c>
      <c r="F97" t="s">
        <v>18</v>
      </c>
      <c r="G97" t="s">
        <v>373</v>
      </c>
      <c r="H97" t="s">
        <v>374</v>
      </c>
      <c r="I97" t="s">
        <v>18</v>
      </c>
      <c r="J97" t="s">
        <v>373</v>
      </c>
      <c r="K97" t="s">
        <v>374</v>
      </c>
    </row>
    <row r="98" spans="2:11" x14ac:dyDescent="0.25">
      <c r="B98">
        <v>2016</v>
      </c>
      <c r="C98">
        <v>193657</v>
      </c>
      <c r="D98">
        <v>10379</v>
      </c>
      <c r="E98" s="2">
        <f>C98/D98</f>
        <v>18.658541285287601</v>
      </c>
      <c r="F98">
        <v>67398</v>
      </c>
      <c r="G98">
        <v>2191</v>
      </c>
      <c r="H98" s="2">
        <f>F98/G98</f>
        <v>30.761296211775445</v>
      </c>
      <c r="I98">
        <f>C98-F98</f>
        <v>126259</v>
      </c>
      <c r="J98">
        <f>D98-G98</f>
        <v>8188</v>
      </c>
      <c r="K98" s="2">
        <f>I98/J98</f>
        <v>15.42000488519785</v>
      </c>
    </row>
    <row r="99" spans="2:11" x14ac:dyDescent="0.25">
      <c r="B99">
        <v>2017</v>
      </c>
      <c r="C99">
        <v>207620</v>
      </c>
      <c r="D99">
        <v>10471</v>
      </c>
      <c r="E99" s="2">
        <f t="shared" ref="E99:E103" si="14">C99/D99</f>
        <v>19.828096647884635</v>
      </c>
      <c r="F99">
        <v>70054</v>
      </c>
      <c r="G99">
        <v>2210</v>
      </c>
      <c r="H99" s="2">
        <f t="shared" ref="H99:H103" si="15">F99/G99</f>
        <v>31.698642533936653</v>
      </c>
      <c r="I99">
        <f t="shared" ref="I99:I102" si="16">C99-F99</f>
        <v>137566</v>
      </c>
      <c r="J99">
        <f t="shared" ref="J99:J102" si="17">D99-G99</f>
        <v>8261</v>
      </c>
      <c r="K99" s="2">
        <f t="shared" ref="K99:K103" si="18">I99/J99</f>
        <v>16.652463382157123</v>
      </c>
    </row>
    <row r="100" spans="2:11" x14ac:dyDescent="0.25">
      <c r="B100">
        <v>2018</v>
      </c>
      <c r="C100">
        <v>214257</v>
      </c>
      <c r="D100">
        <v>10418</v>
      </c>
      <c r="E100" s="2">
        <f t="shared" si="14"/>
        <v>20.566039546937994</v>
      </c>
      <c r="F100">
        <v>75021</v>
      </c>
      <c r="G100">
        <v>2330</v>
      </c>
      <c r="H100" s="2">
        <f t="shared" si="15"/>
        <v>32.197854077253218</v>
      </c>
      <c r="I100">
        <f t="shared" si="16"/>
        <v>139236</v>
      </c>
      <c r="J100">
        <f t="shared" si="17"/>
        <v>8088</v>
      </c>
      <c r="K100" s="2">
        <f t="shared" si="18"/>
        <v>17.215133531157271</v>
      </c>
    </row>
    <row r="101" spans="2:11" x14ac:dyDescent="0.25">
      <c r="B101">
        <v>2019</v>
      </c>
      <c r="C101">
        <v>210086</v>
      </c>
      <c r="D101">
        <v>10266</v>
      </c>
      <c r="E101" s="2">
        <f t="shared" si="14"/>
        <v>20.464250925384764</v>
      </c>
      <c r="F101">
        <v>74796</v>
      </c>
      <c r="G101">
        <v>2386</v>
      </c>
      <c r="H101" s="2">
        <f t="shared" si="15"/>
        <v>31.347862531433361</v>
      </c>
      <c r="I101">
        <f t="shared" si="16"/>
        <v>135290</v>
      </c>
      <c r="J101">
        <f t="shared" si="17"/>
        <v>7880</v>
      </c>
      <c r="K101" s="2">
        <f t="shared" si="18"/>
        <v>17.168781725888326</v>
      </c>
    </row>
    <row r="102" spans="2:11" x14ac:dyDescent="0.25">
      <c r="B102">
        <v>2020</v>
      </c>
      <c r="C102">
        <v>206950</v>
      </c>
      <c r="D102">
        <v>10063</v>
      </c>
      <c r="E102" s="2">
        <f t="shared" si="14"/>
        <v>20.565437742223988</v>
      </c>
      <c r="F102">
        <v>74103</v>
      </c>
      <c r="G102">
        <v>2291</v>
      </c>
      <c r="H102" s="2">
        <f t="shared" si="15"/>
        <v>32.345264076822346</v>
      </c>
      <c r="I102">
        <f t="shared" si="16"/>
        <v>132847</v>
      </c>
      <c r="J102">
        <f t="shared" si="17"/>
        <v>7772</v>
      </c>
      <c r="K102" s="2">
        <f t="shared" si="18"/>
        <v>17.093026248069997</v>
      </c>
    </row>
    <row r="103" spans="2:11" x14ac:dyDescent="0.25">
      <c r="B103" s="155" t="s">
        <v>371</v>
      </c>
      <c r="C103" s="2">
        <f>AVERAGE(C98:C102)</f>
        <v>206514</v>
      </c>
      <c r="D103" s="2">
        <f t="shared" ref="D103" si="19">AVERAGE(D98:D102)</f>
        <v>10319.4</v>
      </c>
      <c r="E103" s="2">
        <f t="shared" si="14"/>
        <v>20.012210012210012</v>
      </c>
      <c r="F103" s="2">
        <f>AVERAGE(F98:F102)</f>
        <v>72274.399999999994</v>
      </c>
      <c r="G103" s="2">
        <f t="shared" ref="G103" si="20">AVERAGE(G98:G102)</f>
        <v>2281.6</v>
      </c>
      <c r="H103" s="2">
        <f t="shared" si="15"/>
        <v>31.677068723702664</v>
      </c>
      <c r="I103" s="2">
        <f>AVERAGE(I98:I102)</f>
        <v>134239.6</v>
      </c>
      <c r="J103" s="2">
        <f t="shared" ref="J103" si="21">AVERAGE(J98:J102)</f>
        <v>8037.8</v>
      </c>
      <c r="K103" s="2">
        <f t="shared" si="18"/>
        <v>16.70103759735251</v>
      </c>
    </row>
    <row r="104" spans="2:11" x14ac:dyDescent="0.25">
      <c r="D104" s="155" t="s">
        <v>376</v>
      </c>
      <c r="E104" s="156">
        <f>1/E103</f>
        <v>4.9969493593654671E-2</v>
      </c>
      <c r="H104" s="156">
        <f>1/H103</f>
        <v>3.1568577532293592E-2</v>
      </c>
      <c r="K104" s="156">
        <f>1/K103</f>
        <v>5.9876519298329253E-2</v>
      </c>
    </row>
  </sheetData>
  <conditionalFormatting sqref="L48:AG49 L52:T53">
    <cfRule type="colorScale" priority="1">
      <colorScale>
        <cfvo type="num" val="-0.25"/>
        <cfvo type="num" val="0"/>
        <cfvo type="num" val="0.25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  <outlinePr summaryRight="0"/>
  </sheetPr>
  <dimension ref="A2:BG120"/>
  <sheetViews>
    <sheetView topLeftCell="K1" workbookViewId="0">
      <selection activeCell="AB22" sqref="AB22"/>
    </sheetView>
  </sheetViews>
  <sheetFormatPr defaultRowHeight="15" outlineLevelRow="2" outlineLevelCol="1" x14ac:dyDescent="0.25"/>
  <cols>
    <col min="2" max="2" width="26.85546875" customWidth="1"/>
    <col min="3" max="3" width="6.85546875" customWidth="1"/>
    <col min="4" max="4" width="7.5703125" customWidth="1"/>
    <col min="5" max="6" width="6.7109375" customWidth="1" outlineLevel="1"/>
    <col min="7" max="9" width="7.28515625" customWidth="1" outlineLevel="1"/>
    <col min="10" max="10" width="7.28515625" customWidth="1"/>
    <col min="11" max="11" width="6.7109375" customWidth="1"/>
    <col min="12" max="15" width="7.140625" customWidth="1"/>
    <col min="16" max="16" width="6.7109375" customWidth="1"/>
    <col min="17" max="17" width="7.7109375" customWidth="1"/>
    <col min="18" max="18" width="7.140625" customWidth="1"/>
    <col min="19" max="19" width="8" customWidth="1"/>
    <col min="20" max="20" width="7.5703125" customWidth="1"/>
    <col min="21" max="21" width="8" customWidth="1"/>
    <col min="22" max="22" width="7.42578125" customWidth="1"/>
    <col min="23" max="23" width="7.28515625" customWidth="1"/>
    <col min="24" max="24" width="7.42578125" customWidth="1"/>
    <col min="25" max="25" width="9.85546875" customWidth="1"/>
    <col min="29" max="29" width="9.140625" customWidth="1"/>
    <col min="30" max="30" width="7.28515625" customWidth="1" outlineLevel="1"/>
    <col min="31" max="31" width="9.140625" outlineLevel="1"/>
    <col min="32" max="34" width="8.5703125" customWidth="1" outlineLevel="1"/>
    <col min="35" max="38" width="8.5703125" customWidth="1"/>
    <col min="39" max="39" width="8.5703125" hidden="1" customWidth="1"/>
    <col min="40" max="47" width="8.5703125" customWidth="1"/>
  </cols>
  <sheetData>
    <row r="2" spans="2:59" x14ac:dyDescent="0.25">
      <c r="B2" s="196" t="s">
        <v>485</v>
      </c>
      <c r="C2" s="228"/>
      <c r="D2" s="228" t="s">
        <v>420</v>
      </c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18"/>
      <c r="Y2" s="196" t="s">
        <v>493</v>
      </c>
      <c r="Z2" s="218"/>
      <c r="AA2" s="196" t="s">
        <v>641</v>
      </c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18"/>
    </row>
    <row r="3" spans="2:59" ht="15" customHeight="1" x14ac:dyDescent="0.25">
      <c r="B3" s="229" t="s">
        <v>505</v>
      </c>
      <c r="C3" s="230"/>
      <c r="D3" s="231" t="s">
        <v>419</v>
      </c>
      <c r="E3" s="201"/>
      <c r="F3" s="201"/>
      <c r="G3" s="201"/>
      <c r="H3" s="201"/>
      <c r="I3" s="201"/>
      <c r="J3" s="201"/>
      <c r="K3" s="201"/>
      <c r="L3" s="201"/>
      <c r="M3" s="231" t="s">
        <v>436</v>
      </c>
      <c r="N3" s="201"/>
      <c r="O3" s="201"/>
      <c r="P3" s="201"/>
      <c r="Q3" s="201"/>
      <c r="R3" s="201"/>
      <c r="S3" s="231" t="s">
        <v>437</v>
      </c>
      <c r="T3" s="201"/>
      <c r="U3" s="201"/>
      <c r="V3" s="201"/>
      <c r="W3" s="201"/>
      <c r="X3" s="232"/>
      <c r="Y3" s="240" t="s">
        <v>494</v>
      </c>
      <c r="Z3" s="219"/>
      <c r="AA3" s="296" t="s">
        <v>642</v>
      </c>
      <c r="AB3" s="201"/>
      <c r="AC3" s="201"/>
      <c r="AD3" s="201"/>
      <c r="AE3" s="201"/>
      <c r="AF3" s="201"/>
      <c r="AG3" s="308" t="s">
        <v>663</v>
      </c>
      <c r="AH3" s="201"/>
      <c r="AI3" s="201"/>
      <c r="AJ3" s="201"/>
      <c r="AK3" s="201"/>
      <c r="AL3" s="232"/>
      <c r="AP3" s="196" t="s">
        <v>550</v>
      </c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8"/>
      <c r="BG3" s="199"/>
    </row>
    <row r="4" spans="2:59" ht="22.5" customHeight="1" x14ac:dyDescent="0.25">
      <c r="B4" s="200"/>
      <c r="C4" s="201"/>
      <c r="D4" s="233" t="s">
        <v>570</v>
      </c>
      <c r="E4" s="233"/>
      <c r="F4" s="233"/>
      <c r="G4" s="234" t="s">
        <v>422</v>
      </c>
      <c r="H4" s="234"/>
      <c r="I4" s="234"/>
      <c r="J4" s="233" t="s">
        <v>417</v>
      </c>
      <c r="K4" s="233"/>
      <c r="L4" s="233"/>
      <c r="M4" s="234" t="s">
        <v>430</v>
      </c>
      <c r="N4" s="234"/>
      <c r="O4" s="234"/>
      <c r="P4" s="233" t="s">
        <v>431</v>
      </c>
      <c r="Q4" s="233"/>
      <c r="R4" s="233"/>
      <c r="S4" s="234" t="s">
        <v>423</v>
      </c>
      <c r="T4" s="234"/>
      <c r="U4" s="234"/>
      <c r="V4" s="233" t="s">
        <v>424</v>
      </c>
      <c r="W4" s="233"/>
      <c r="X4" s="221"/>
      <c r="Y4" s="220" t="s">
        <v>490</v>
      </c>
      <c r="Z4" s="221" t="s">
        <v>490</v>
      </c>
      <c r="AA4" s="220" t="s">
        <v>637</v>
      </c>
      <c r="AB4" s="234"/>
      <c r="AC4" s="234"/>
      <c r="AD4" s="233" t="s">
        <v>659</v>
      </c>
      <c r="AE4" s="233"/>
      <c r="AF4" s="233"/>
      <c r="AG4" s="234" t="s">
        <v>660</v>
      </c>
      <c r="AH4" s="234"/>
      <c r="AI4" s="234"/>
      <c r="AJ4" s="233" t="s">
        <v>661</v>
      </c>
      <c r="AK4" s="233"/>
      <c r="AL4" s="221"/>
      <c r="AP4" s="240" t="s">
        <v>552</v>
      </c>
      <c r="AQ4" s="201"/>
      <c r="AR4" s="201"/>
      <c r="AS4" s="300" t="s">
        <v>512</v>
      </c>
      <c r="AT4" s="299" t="s">
        <v>514</v>
      </c>
      <c r="AU4" s="300" t="s">
        <v>516</v>
      </c>
      <c r="AV4" s="299" t="s">
        <v>518</v>
      </c>
      <c r="AW4" s="300" t="s">
        <v>519</v>
      </c>
      <c r="AX4" s="299" t="s">
        <v>521</v>
      </c>
      <c r="AY4" s="300" t="s">
        <v>522</v>
      </c>
      <c r="AZ4" s="299" t="s">
        <v>523</v>
      </c>
      <c r="BA4" s="300" t="s">
        <v>525</v>
      </c>
      <c r="BB4" s="299" t="s">
        <v>526</v>
      </c>
      <c r="BC4" s="300" t="s">
        <v>545</v>
      </c>
      <c r="BD4" s="299" t="s">
        <v>528</v>
      </c>
      <c r="BE4" s="300" t="s">
        <v>529</v>
      </c>
      <c r="BF4" s="301" t="s">
        <v>549</v>
      </c>
      <c r="BG4" s="302" t="s">
        <v>544</v>
      </c>
    </row>
    <row r="5" spans="2:59" ht="22.5" customHeight="1" x14ac:dyDescent="0.25">
      <c r="B5" s="208"/>
      <c r="C5" s="209"/>
      <c r="D5" s="304" t="s">
        <v>414</v>
      </c>
      <c r="E5" s="304" t="s">
        <v>415</v>
      </c>
      <c r="F5" s="304" t="s">
        <v>416</v>
      </c>
      <c r="G5" s="206" t="s">
        <v>414</v>
      </c>
      <c r="H5" s="206" t="s">
        <v>415</v>
      </c>
      <c r="I5" s="206" t="s">
        <v>416</v>
      </c>
      <c r="J5" s="304" t="s">
        <v>414</v>
      </c>
      <c r="K5" s="304" t="s">
        <v>415</v>
      </c>
      <c r="L5" s="304" t="s">
        <v>416</v>
      </c>
      <c r="M5" s="206" t="s">
        <v>414</v>
      </c>
      <c r="N5" s="206" t="s">
        <v>415</v>
      </c>
      <c r="O5" s="206" t="s">
        <v>416</v>
      </c>
      <c r="P5" s="304" t="s">
        <v>414</v>
      </c>
      <c r="Q5" s="304" t="s">
        <v>415</v>
      </c>
      <c r="R5" s="304" t="s">
        <v>416</v>
      </c>
      <c r="S5" s="206" t="s">
        <v>414</v>
      </c>
      <c r="T5" s="206" t="s">
        <v>415</v>
      </c>
      <c r="U5" s="206" t="s">
        <v>416</v>
      </c>
      <c r="V5" s="304" t="s">
        <v>414</v>
      </c>
      <c r="W5" s="304" t="s">
        <v>415</v>
      </c>
      <c r="X5" s="305" t="s">
        <v>416</v>
      </c>
      <c r="Y5" s="297" t="s">
        <v>491</v>
      </c>
      <c r="Z5" s="305" t="s">
        <v>492</v>
      </c>
      <c r="AA5" s="297" t="s">
        <v>638</v>
      </c>
      <c r="AB5" s="206" t="s">
        <v>639</v>
      </c>
      <c r="AC5" s="206" t="s">
        <v>640</v>
      </c>
      <c r="AD5" s="304" t="s">
        <v>638</v>
      </c>
      <c r="AE5" s="304" t="s">
        <v>639</v>
      </c>
      <c r="AF5" s="304" t="s">
        <v>640</v>
      </c>
      <c r="AG5" s="206" t="s">
        <v>638</v>
      </c>
      <c r="AH5" s="206" t="s">
        <v>639</v>
      </c>
      <c r="AI5" s="206" t="s">
        <v>640</v>
      </c>
      <c r="AJ5" s="304" t="s">
        <v>638</v>
      </c>
      <c r="AK5" s="304" t="s">
        <v>639</v>
      </c>
      <c r="AL5" s="305" t="s">
        <v>640</v>
      </c>
      <c r="AP5" s="200"/>
      <c r="AQ5" s="201"/>
      <c r="AR5" s="201"/>
      <c r="AS5" s="300"/>
      <c r="AT5" s="299"/>
      <c r="AU5" s="300"/>
      <c r="AV5" s="299"/>
      <c r="AW5" s="300"/>
      <c r="AX5" s="299"/>
      <c r="AY5" s="300"/>
      <c r="AZ5" s="299"/>
      <c r="BA5" s="300"/>
      <c r="BB5" s="299"/>
      <c r="BC5" s="300"/>
      <c r="BD5" s="299"/>
      <c r="BE5" s="300"/>
      <c r="BF5" s="301"/>
      <c r="BG5" s="302"/>
    </row>
    <row r="6" spans="2:59" ht="14.25" customHeight="1" x14ac:dyDescent="0.25">
      <c r="B6" s="208" t="s">
        <v>546</v>
      </c>
      <c r="C6" s="209" t="s">
        <v>456</v>
      </c>
      <c r="D6" s="304">
        <v>86</v>
      </c>
      <c r="E6" s="304">
        <v>86</v>
      </c>
      <c r="F6" s="304">
        <v>86</v>
      </c>
      <c r="G6" s="206">
        <v>15</v>
      </c>
      <c r="H6" s="206">
        <v>15</v>
      </c>
      <c r="I6" s="206">
        <v>16</v>
      </c>
      <c r="J6" s="304">
        <v>53</v>
      </c>
      <c r="K6" s="304">
        <v>53</v>
      </c>
      <c r="L6" s="304">
        <v>53</v>
      </c>
      <c r="M6" s="206">
        <v>18</v>
      </c>
      <c r="N6" s="206">
        <v>18</v>
      </c>
      <c r="O6" s="206">
        <v>18</v>
      </c>
      <c r="P6" s="304">
        <v>26</v>
      </c>
      <c r="Q6" s="304">
        <v>26</v>
      </c>
      <c r="R6" s="304">
        <v>26</v>
      </c>
      <c r="S6" s="206">
        <v>24</v>
      </c>
      <c r="T6" s="206">
        <v>24</v>
      </c>
      <c r="U6" s="206">
        <v>24</v>
      </c>
      <c r="V6" s="304">
        <v>24</v>
      </c>
      <c r="W6" s="304">
        <v>24</v>
      </c>
      <c r="X6" s="305">
        <v>24</v>
      </c>
      <c r="Y6" s="297"/>
      <c r="Z6" s="305"/>
      <c r="AA6" s="297">
        <v>27</v>
      </c>
      <c r="AB6" s="206">
        <v>27</v>
      </c>
      <c r="AC6" s="206">
        <v>27</v>
      </c>
      <c r="AD6" s="304">
        <v>26</v>
      </c>
      <c r="AE6" s="304">
        <v>26</v>
      </c>
      <c r="AF6" s="304">
        <v>26</v>
      </c>
      <c r="AG6" s="206">
        <v>24</v>
      </c>
      <c r="AH6" s="206">
        <v>24</v>
      </c>
      <c r="AI6" s="206">
        <v>24</v>
      </c>
      <c r="AJ6" s="304">
        <v>30</v>
      </c>
      <c r="AK6" s="304">
        <v>30</v>
      </c>
      <c r="AL6" s="305">
        <v>30</v>
      </c>
      <c r="AP6" s="200"/>
      <c r="AQ6" s="201"/>
      <c r="AR6" s="201"/>
      <c r="AS6" s="300"/>
      <c r="AT6" s="299"/>
      <c r="AU6" s="300"/>
      <c r="AV6" s="299"/>
      <c r="AW6" s="300"/>
      <c r="AX6" s="299"/>
      <c r="AY6" s="300"/>
      <c r="AZ6" s="299"/>
      <c r="BA6" s="300"/>
      <c r="BB6" s="299"/>
      <c r="BC6" s="300"/>
      <c r="BD6" s="299"/>
      <c r="BE6" s="300"/>
      <c r="BF6" s="301"/>
      <c r="BG6" s="302"/>
    </row>
    <row r="7" spans="2:59" ht="15" customHeight="1" outlineLevel="1" x14ac:dyDescent="0.25">
      <c r="B7" s="200" t="s">
        <v>506</v>
      </c>
      <c r="C7" s="235">
        <v>1</v>
      </c>
      <c r="D7" s="234"/>
      <c r="E7" s="234"/>
      <c r="F7" s="234"/>
      <c r="G7" s="236">
        <v>1229</v>
      </c>
      <c r="H7" s="236"/>
      <c r="I7" s="236">
        <v>1329</v>
      </c>
      <c r="J7" s="234"/>
      <c r="K7" s="234"/>
      <c r="L7" s="234"/>
      <c r="M7" s="236">
        <v>2119</v>
      </c>
      <c r="N7" s="236"/>
      <c r="O7" s="236">
        <v>2130</v>
      </c>
      <c r="P7" s="234"/>
      <c r="Q7" s="234"/>
      <c r="R7" s="234"/>
      <c r="S7" s="236"/>
      <c r="T7" s="236"/>
      <c r="U7" s="236"/>
      <c r="V7" s="234"/>
      <c r="W7" s="234"/>
      <c r="X7" s="225"/>
      <c r="Y7" s="222">
        <v>2973.75</v>
      </c>
      <c r="Z7" s="223">
        <v>1619.5499999999997</v>
      </c>
      <c r="AA7" s="222"/>
      <c r="AB7" s="236"/>
      <c r="AC7" s="236"/>
      <c r="AD7" s="234"/>
      <c r="AE7" s="234"/>
      <c r="AF7" s="234"/>
      <c r="AG7" s="236"/>
      <c r="AH7" s="236"/>
      <c r="AI7" s="236"/>
      <c r="AJ7" s="234"/>
      <c r="AK7" s="234"/>
      <c r="AL7" s="225"/>
      <c r="AM7" t="s">
        <v>506</v>
      </c>
      <c r="AP7" s="200" t="s">
        <v>542</v>
      </c>
      <c r="AQ7" s="201"/>
      <c r="AR7" s="201"/>
      <c r="AS7" s="202">
        <v>330888.66666666669</v>
      </c>
      <c r="AT7" s="203">
        <v>134305.60078577482</v>
      </c>
      <c r="AU7" s="202">
        <v>161884.47694681794</v>
      </c>
      <c r="AV7" s="203">
        <v>195238.33333333334</v>
      </c>
      <c r="AW7" s="202">
        <v>18420.385743830502</v>
      </c>
      <c r="AX7" s="203">
        <v>143245.77727956543</v>
      </c>
      <c r="AY7" s="202">
        <v>175831.90285749588</v>
      </c>
      <c r="AZ7" s="203">
        <v>55410.679511747854</v>
      </c>
      <c r="BA7" s="202">
        <v>93814.3633671766</v>
      </c>
      <c r="BB7" s="203">
        <v>85881.771420969075</v>
      </c>
      <c r="BC7" s="202">
        <v>36635.903910179375</v>
      </c>
      <c r="BD7" s="203">
        <v>22798.725582342147</v>
      </c>
      <c r="BE7" s="202">
        <v>35985.745927433803</v>
      </c>
      <c r="BF7" s="204"/>
      <c r="BG7" s="205"/>
    </row>
    <row r="8" spans="2:59" outlineLevel="2" x14ac:dyDescent="0.25">
      <c r="B8" s="200" t="s">
        <v>425</v>
      </c>
      <c r="C8" s="235">
        <v>1</v>
      </c>
      <c r="D8" s="234"/>
      <c r="E8" s="234"/>
      <c r="F8" s="234"/>
      <c r="G8" s="236"/>
      <c r="H8" s="236"/>
      <c r="I8" s="236"/>
      <c r="J8" s="234"/>
      <c r="K8" s="234"/>
      <c r="L8" s="234"/>
      <c r="M8" s="236"/>
      <c r="N8" s="236"/>
      <c r="O8" s="236"/>
      <c r="P8" s="234">
        <v>2663</v>
      </c>
      <c r="Q8" s="234">
        <v>2561</v>
      </c>
      <c r="R8" s="234">
        <v>2690</v>
      </c>
      <c r="S8" s="236">
        <v>2568</v>
      </c>
      <c r="T8" s="236">
        <v>2502</v>
      </c>
      <c r="U8" s="236">
        <v>2401</v>
      </c>
      <c r="V8" s="234">
        <v>2506</v>
      </c>
      <c r="W8" s="234">
        <v>2459</v>
      </c>
      <c r="X8" s="225">
        <v>2431</v>
      </c>
      <c r="Y8" s="222">
        <v>711.50000000000011</v>
      </c>
      <c r="Z8" s="223">
        <v>751.1500000000002</v>
      </c>
      <c r="AA8" s="222">
        <v>2807</v>
      </c>
      <c r="AB8" s="236">
        <v>2343</v>
      </c>
      <c r="AC8" s="236">
        <v>2144</v>
      </c>
      <c r="AD8" s="234">
        <v>3190</v>
      </c>
      <c r="AE8" s="234">
        <v>2663</v>
      </c>
      <c r="AF8" s="234">
        <v>2436</v>
      </c>
      <c r="AG8" s="236">
        <v>2883</v>
      </c>
      <c r="AH8" s="236">
        <v>2506</v>
      </c>
      <c r="AI8" s="236">
        <v>2339</v>
      </c>
      <c r="AJ8" s="234"/>
      <c r="AK8" s="234"/>
      <c r="AL8" s="225"/>
      <c r="AM8" t="s">
        <v>425</v>
      </c>
      <c r="AP8" s="200" t="s">
        <v>531</v>
      </c>
      <c r="AQ8" s="201"/>
      <c r="AR8" s="201"/>
      <c r="AS8" s="206" t="s">
        <v>513</v>
      </c>
      <c r="AT8" s="207" t="s">
        <v>515</v>
      </c>
      <c r="AU8" s="206" t="s">
        <v>517</v>
      </c>
      <c r="AV8" s="207" t="s">
        <v>513</v>
      </c>
      <c r="AW8" s="206" t="s">
        <v>520</v>
      </c>
      <c r="AX8" s="207" t="s">
        <v>515</v>
      </c>
      <c r="AY8" s="206" t="s">
        <v>515</v>
      </c>
      <c r="AZ8" s="207" t="s">
        <v>524</v>
      </c>
      <c r="BA8" s="206" t="s">
        <v>543</v>
      </c>
      <c r="BB8" s="207" t="s">
        <v>527</v>
      </c>
      <c r="BC8" s="206" t="s">
        <v>524</v>
      </c>
      <c r="BD8" s="207" t="s">
        <v>524</v>
      </c>
      <c r="BE8" s="206" t="s">
        <v>530</v>
      </c>
      <c r="BF8" s="204"/>
      <c r="BG8" s="205"/>
    </row>
    <row r="9" spans="2:59" outlineLevel="2" x14ac:dyDescent="0.25">
      <c r="B9" s="200" t="s">
        <v>507</v>
      </c>
      <c r="C9" s="235">
        <v>1</v>
      </c>
      <c r="D9" s="234">
        <v>659</v>
      </c>
      <c r="E9" s="234">
        <v>1254</v>
      </c>
      <c r="F9" s="234">
        <v>770</v>
      </c>
      <c r="G9" s="236"/>
      <c r="H9" s="236"/>
      <c r="I9" s="236"/>
      <c r="J9" s="234"/>
      <c r="K9" s="234">
        <v>1235</v>
      </c>
      <c r="L9" s="234"/>
      <c r="M9" s="236"/>
      <c r="N9" s="236"/>
      <c r="O9" s="236"/>
      <c r="P9" s="234"/>
      <c r="Q9" s="234"/>
      <c r="R9" s="234"/>
      <c r="S9" s="236"/>
      <c r="T9" s="236"/>
      <c r="U9" s="236"/>
      <c r="V9" s="234"/>
      <c r="W9" s="234"/>
      <c r="X9" s="225"/>
      <c r="Y9" s="224"/>
      <c r="Z9" s="225"/>
      <c r="AA9" s="224"/>
      <c r="AB9" s="236"/>
      <c r="AC9" s="236"/>
      <c r="AD9" s="234"/>
      <c r="AE9" s="234"/>
      <c r="AF9" s="234"/>
      <c r="AG9" s="236"/>
      <c r="AH9" s="236"/>
      <c r="AI9" s="236"/>
      <c r="AJ9" s="234">
        <v>3102</v>
      </c>
      <c r="AK9" s="234">
        <v>2615</v>
      </c>
      <c r="AL9" s="225">
        <v>2416</v>
      </c>
      <c r="AM9" t="s">
        <v>507</v>
      </c>
      <c r="AP9" s="200"/>
      <c r="AQ9" s="201"/>
      <c r="AR9" s="201"/>
      <c r="AS9" s="206"/>
      <c r="AT9" s="207"/>
      <c r="AU9" s="206"/>
      <c r="AV9" s="207"/>
      <c r="AW9" s="206"/>
      <c r="AX9" s="207"/>
      <c r="AY9" s="206"/>
      <c r="AZ9" s="207"/>
      <c r="BA9" s="206"/>
      <c r="BB9" s="207"/>
      <c r="BC9" s="206"/>
      <c r="BD9" s="207"/>
      <c r="BE9" s="206"/>
      <c r="BF9" s="204"/>
      <c r="BG9" s="205"/>
    </row>
    <row r="10" spans="2:59" outlineLevel="2" x14ac:dyDescent="0.25">
      <c r="B10" s="200" t="s">
        <v>426</v>
      </c>
      <c r="C10" s="235">
        <v>1</v>
      </c>
      <c r="D10" s="234"/>
      <c r="E10" s="234"/>
      <c r="F10" s="234"/>
      <c r="G10" s="236"/>
      <c r="H10" s="236">
        <v>1165</v>
      </c>
      <c r="I10" s="236"/>
      <c r="J10" s="234"/>
      <c r="K10" s="234"/>
      <c r="L10" s="234"/>
      <c r="M10" s="236"/>
      <c r="N10" s="236">
        <v>1868</v>
      </c>
      <c r="O10" s="236"/>
      <c r="P10" s="234"/>
      <c r="Q10" s="234"/>
      <c r="R10" s="234"/>
      <c r="S10" s="236"/>
      <c r="T10" s="236"/>
      <c r="U10" s="236"/>
      <c r="V10" s="234"/>
      <c r="W10" s="234"/>
      <c r="X10" s="225"/>
      <c r="Y10" s="224"/>
      <c r="Z10" s="225"/>
      <c r="AA10" s="224"/>
      <c r="AB10" s="236"/>
      <c r="AC10" s="236"/>
      <c r="AD10" s="234"/>
      <c r="AE10" s="234"/>
      <c r="AF10" s="234"/>
      <c r="AG10" s="236"/>
      <c r="AH10" s="236"/>
      <c r="AI10" s="236"/>
      <c r="AJ10" s="234"/>
      <c r="AK10" s="234"/>
      <c r="AL10" s="225"/>
      <c r="AM10" t="s">
        <v>426</v>
      </c>
      <c r="AP10" s="208" t="s">
        <v>546</v>
      </c>
      <c r="AQ10" s="201"/>
      <c r="AR10" s="209" t="s">
        <v>456</v>
      </c>
      <c r="AS10" s="202"/>
      <c r="AT10" s="203"/>
      <c r="AU10" s="202"/>
      <c r="AV10" s="203"/>
      <c r="AW10" s="202"/>
      <c r="AX10" s="203"/>
      <c r="AY10" s="202"/>
      <c r="AZ10" s="203"/>
      <c r="BA10" s="202"/>
      <c r="BB10" s="203"/>
      <c r="BC10" s="202"/>
      <c r="BD10" s="203"/>
      <c r="BE10" s="202"/>
      <c r="BF10" s="204"/>
      <c r="BG10" s="205"/>
    </row>
    <row r="11" spans="2:59" outlineLevel="2" x14ac:dyDescent="0.25">
      <c r="B11" s="200" t="s">
        <v>427</v>
      </c>
      <c r="C11" s="235">
        <v>1</v>
      </c>
      <c r="D11" s="234"/>
      <c r="E11" s="234"/>
      <c r="F11" s="234"/>
      <c r="G11" s="236"/>
      <c r="H11" s="236">
        <v>272</v>
      </c>
      <c r="I11" s="236"/>
      <c r="J11" s="234"/>
      <c r="K11" s="234"/>
      <c r="L11" s="234"/>
      <c r="M11" s="236"/>
      <c r="N11" s="236">
        <v>436</v>
      </c>
      <c r="O11" s="236"/>
      <c r="P11" s="234"/>
      <c r="Q11" s="234"/>
      <c r="R11" s="234"/>
      <c r="S11" s="236"/>
      <c r="T11" s="236"/>
      <c r="U11" s="236"/>
      <c r="V11" s="234"/>
      <c r="W11" s="234"/>
      <c r="X11" s="225"/>
      <c r="Y11" s="224"/>
      <c r="Z11" s="223">
        <v>1250.5</v>
      </c>
      <c r="AA11" s="224"/>
      <c r="AB11" s="236"/>
      <c r="AC11" s="236"/>
      <c r="AD11" s="234"/>
      <c r="AE11" s="234"/>
      <c r="AF11" s="234"/>
      <c r="AG11" s="236"/>
      <c r="AH11" s="236"/>
      <c r="AI11" s="236"/>
      <c r="AJ11" s="234"/>
      <c r="AK11" s="234"/>
      <c r="AL11" s="225"/>
      <c r="AM11" t="s">
        <v>427</v>
      </c>
      <c r="AP11" s="200" t="s">
        <v>532</v>
      </c>
      <c r="AQ11" s="201"/>
      <c r="AR11" s="235">
        <v>1</v>
      </c>
      <c r="AS11" s="202">
        <v>3312</v>
      </c>
      <c r="AT11" s="203">
        <v>1200</v>
      </c>
      <c r="AU11" s="202">
        <v>1574</v>
      </c>
      <c r="AV11" s="203">
        <v>786.48686181535004</v>
      </c>
      <c r="AW11" s="202">
        <v>262.69098440595201</v>
      </c>
      <c r="AX11" s="203">
        <v>806.85837484127944</v>
      </c>
      <c r="AY11" s="202">
        <v>826.64375933225631</v>
      </c>
      <c r="AZ11" s="203">
        <v>613.65524823425994</v>
      </c>
      <c r="BA11" s="202">
        <v>1049.6483068162927</v>
      </c>
      <c r="BB11" s="203">
        <v>579.64056365482281</v>
      </c>
      <c r="BC11" s="202">
        <v>1672.50649055184</v>
      </c>
      <c r="BD11" s="203">
        <v>1390.53746046009</v>
      </c>
      <c r="BE11" s="202">
        <v>1039.6552482342599</v>
      </c>
      <c r="BF11" s="210">
        <f>(AT11*AT$7+AX11*AX$7+AW11*AW$7)/SUM(AT$7,AW$7,AX$7)</f>
        <v>951.39023277684373</v>
      </c>
      <c r="BG11" s="211">
        <f>AY11</f>
        <v>826.64375933225631</v>
      </c>
    </row>
    <row r="12" spans="2:59" outlineLevel="2" x14ac:dyDescent="0.25">
      <c r="B12" s="200" t="s">
        <v>510</v>
      </c>
      <c r="C12" s="235">
        <v>1</v>
      </c>
      <c r="D12" s="234">
        <v>977</v>
      </c>
      <c r="E12" s="234"/>
      <c r="F12" s="234">
        <v>970</v>
      </c>
      <c r="G12" s="236"/>
      <c r="H12" s="236"/>
      <c r="I12" s="236"/>
      <c r="J12" s="234">
        <v>1536</v>
      </c>
      <c r="K12" s="234"/>
      <c r="L12" s="234">
        <v>1614</v>
      </c>
      <c r="M12" s="236"/>
      <c r="N12" s="236"/>
      <c r="O12" s="236"/>
      <c r="P12" s="234"/>
      <c r="Q12" s="234"/>
      <c r="R12" s="234"/>
      <c r="S12" s="236"/>
      <c r="T12" s="236"/>
      <c r="U12" s="236"/>
      <c r="V12" s="234"/>
      <c r="W12" s="234"/>
      <c r="X12" s="225"/>
      <c r="Y12" s="224"/>
      <c r="Z12" s="225"/>
      <c r="AA12" s="224"/>
      <c r="AB12" s="236"/>
      <c r="AC12" s="236"/>
      <c r="AD12" s="234"/>
      <c r="AE12" s="234"/>
      <c r="AF12" s="234"/>
      <c r="AG12" s="236"/>
      <c r="AH12" s="236"/>
      <c r="AI12" s="236"/>
      <c r="AJ12" s="234"/>
      <c r="AK12" s="234"/>
      <c r="AL12" s="225"/>
      <c r="AM12" t="s">
        <v>510</v>
      </c>
      <c r="AP12" s="200" t="s">
        <v>533</v>
      </c>
      <c r="AQ12" s="201"/>
      <c r="AR12" s="235">
        <v>1</v>
      </c>
      <c r="AS12" s="202"/>
      <c r="AT12" s="203"/>
      <c r="AU12" s="202">
        <v>426</v>
      </c>
      <c r="AV12" s="203">
        <v>707</v>
      </c>
      <c r="AW12" s="202"/>
      <c r="AX12" s="203"/>
      <c r="AY12" s="202"/>
      <c r="AZ12" s="203">
        <v>426</v>
      </c>
      <c r="BA12" s="202"/>
      <c r="BB12" s="203"/>
      <c r="BC12" s="202"/>
      <c r="BD12" s="203"/>
      <c r="BE12" s="202"/>
      <c r="BF12" s="210"/>
      <c r="BG12" s="211"/>
    </row>
    <row r="13" spans="2:59" outlineLevel="2" x14ac:dyDescent="0.25">
      <c r="B13" s="200" t="s">
        <v>509</v>
      </c>
      <c r="C13" s="235">
        <v>0.85</v>
      </c>
      <c r="D13" s="234"/>
      <c r="E13" s="234">
        <v>299</v>
      </c>
      <c r="F13" s="234"/>
      <c r="G13" s="236"/>
      <c r="H13" s="236"/>
      <c r="I13" s="236"/>
      <c r="J13" s="234"/>
      <c r="K13" s="234">
        <v>139</v>
      </c>
      <c r="L13" s="234"/>
      <c r="M13" s="236"/>
      <c r="N13" s="236"/>
      <c r="O13" s="236"/>
      <c r="P13" s="234"/>
      <c r="Q13" s="234"/>
      <c r="R13" s="234"/>
      <c r="S13" s="236"/>
      <c r="T13" s="236"/>
      <c r="U13" s="236"/>
      <c r="V13" s="234"/>
      <c r="W13" s="234"/>
      <c r="X13" s="225"/>
      <c r="Y13" s="222">
        <v>244</v>
      </c>
      <c r="Z13" s="223">
        <v>244</v>
      </c>
      <c r="AA13" s="222"/>
      <c r="AB13" s="236"/>
      <c r="AC13" s="236"/>
      <c r="AD13" s="234"/>
      <c r="AE13" s="234"/>
      <c r="AF13" s="234"/>
      <c r="AG13" s="236"/>
      <c r="AH13" s="236"/>
      <c r="AI13" s="236"/>
      <c r="AJ13" s="234"/>
      <c r="AK13" s="234"/>
      <c r="AL13" s="225"/>
      <c r="AM13" t="s">
        <v>509</v>
      </c>
      <c r="AP13" s="200" t="s">
        <v>534</v>
      </c>
      <c r="AQ13" s="201"/>
      <c r="AR13" s="235">
        <v>1</v>
      </c>
      <c r="AS13" s="202">
        <v>543</v>
      </c>
      <c r="AT13" s="203"/>
      <c r="AU13" s="202"/>
      <c r="AV13" s="203"/>
      <c r="AW13" s="202"/>
      <c r="AX13" s="203"/>
      <c r="AY13" s="202"/>
      <c r="AZ13" s="203"/>
      <c r="BA13" s="202"/>
      <c r="BB13" s="203"/>
      <c r="BC13" s="202"/>
      <c r="BD13" s="203"/>
      <c r="BE13" s="202"/>
      <c r="BF13" s="210"/>
      <c r="BG13" s="211"/>
    </row>
    <row r="14" spans="2:59" outlineLevel="2" x14ac:dyDescent="0.25">
      <c r="B14" s="200" t="s">
        <v>508</v>
      </c>
      <c r="C14" s="235">
        <v>1</v>
      </c>
      <c r="D14" s="234">
        <v>1953</v>
      </c>
      <c r="E14" s="234">
        <v>2053</v>
      </c>
      <c r="F14" s="234">
        <v>1806</v>
      </c>
      <c r="G14" s="236"/>
      <c r="H14" s="236"/>
      <c r="I14" s="236"/>
      <c r="J14" s="234">
        <v>1313</v>
      </c>
      <c r="K14" s="234">
        <v>1390</v>
      </c>
      <c r="L14" s="234">
        <v>1235</v>
      </c>
      <c r="M14" s="236"/>
      <c r="N14" s="236"/>
      <c r="O14" s="236"/>
      <c r="P14" s="234">
        <v>1548</v>
      </c>
      <c r="Q14" s="234">
        <v>1662</v>
      </c>
      <c r="R14" s="234">
        <v>1548</v>
      </c>
      <c r="S14" s="236">
        <v>932</v>
      </c>
      <c r="T14" s="236">
        <v>995</v>
      </c>
      <c r="U14" s="236">
        <v>951</v>
      </c>
      <c r="V14" s="234">
        <v>926</v>
      </c>
      <c r="W14" s="234">
        <v>978</v>
      </c>
      <c r="X14" s="225">
        <v>924</v>
      </c>
      <c r="Y14" s="224"/>
      <c r="Z14" s="225"/>
      <c r="AA14" s="224">
        <v>939</v>
      </c>
      <c r="AB14" s="236">
        <v>1280</v>
      </c>
      <c r="AC14" s="236">
        <v>1530</v>
      </c>
      <c r="AD14" s="234">
        <v>1068</v>
      </c>
      <c r="AE14" s="234">
        <v>1457</v>
      </c>
      <c r="AF14" s="234">
        <v>1662</v>
      </c>
      <c r="AG14" s="236">
        <v>638</v>
      </c>
      <c r="AH14" s="236">
        <v>871</v>
      </c>
      <c r="AI14" s="236">
        <v>978</v>
      </c>
      <c r="AJ14" s="234">
        <v>1307</v>
      </c>
      <c r="AK14" s="234">
        <v>1782</v>
      </c>
      <c r="AL14" s="225">
        <v>2020</v>
      </c>
      <c r="AM14" t="s">
        <v>508</v>
      </c>
      <c r="AP14" s="200" t="s">
        <v>538</v>
      </c>
      <c r="AQ14" s="201"/>
      <c r="AR14" s="235">
        <v>0.85</v>
      </c>
      <c r="AS14" s="202"/>
      <c r="AT14" s="203"/>
      <c r="AU14" s="202"/>
      <c r="AV14" s="203">
        <v>236.67855598613721</v>
      </c>
      <c r="AW14" s="202"/>
      <c r="AX14" s="203"/>
      <c r="AY14" s="202"/>
      <c r="AZ14" s="203"/>
      <c r="BA14" s="202"/>
      <c r="BB14" s="203"/>
      <c r="BC14" s="202"/>
      <c r="BD14" s="203"/>
      <c r="BE14" s="202"/>
      <c r="BF14" s="210"/>
      <c r="BG14" s="211"/>
    </row>
    <row r="15" spans="2:59" outlineLevel="2" x14ac:dyDescent="0.25">
      <c r="B15" s="200" t="s">
        <v>566</v>
      </c>
      <c r="C15" s="235">
        <v>1</v>
      </c>
      <c r="D15" s="234">
        <v>345</v>
      </c>
      <c r="E15" s="234">
        <v>362</v>
      </c>
      <c r="F15" s="234">
        <v>319</v>
      </c>
      <c r="G15" s="236"/>
      <c r="H15" s="236"/>
      <c r="I15" s="236"/>
      <c r="J15" s="234">
        <v>232</v>
      </c>
      <c r="K15" s="234">
        <v>245</v>
      </c>
      <c r="L15" s="234">
        <v>218</v>
      </c>
      <c r="M15" s="236"/>
      <c r="N15" s="236"/>
      <c r="O15" s="236"/>
      <c r="P15" s="234">
        <v>273</v>
      </c>
      <c r="Q15" s="234">
        <v>293</v>
      </c>
      <c r="R15" s="234">
        <v>273</v>
      </c>
      <c r="S15" s="236">
        <v>165</v>
      </c>
      <c r="T15" s="236">
        <v>176</v>
      </c>
      <c r="U15" s="236">
        <v>168</v>
      </c>
      <c r="V15" s="234">
        <v>163</v>
      </c>
      <c r="W15" s="234">
        <v>173</v>
      </c>
      <c r="X15" s="225">
        <v>163</v>
      </c>
      <c r="Y15" s="224">
        <v>782.99999999999989</v>
      </c>
      <c r="Z15" s="225">
        <v>782.99999999999989</v>
      </c>
      <c r="AA15" s="224">
        <v>235</v>
      </c>
      <c r="AB15" s="236">
        <v>320</v>
      </c>
      <c r="AC15" s="236">
        <v>283</v>
      </c>
      <c r="AD15" s="234">
        <v>267</v>
      </c>
      <c r="AE15" s="234">
        <v>364</v>
      </c>
      <c r="AF15" s="234">
        <v>415</v>
      </c>
      <c r="AG15" s="236">
        <v>159</v>
      </c>
      <c r="AH15" s="236">
        <v>218</v>
      </c>
      <c r="AI15" s="236">
        <v>245</v>
      </c>
      <c r="AJ15" s="234">
        <v>327</v>
      </c>
      <c r="AK15" s="234">
        <v>446</v>
      </c>
      <c r="AL15" s="225">
        <v>505</v>
      </c>
      <c r="AM15" t="s">
        <v>566</v>
      </c>
      <c r="AP15" s="200" t="s">
        <v>537</v>
      </c>
      <c r="AQ15" s="201"/>
      <c r="AR15" s="235">
        <v>1</v>
      </c>
      <c r="AS15" s="202">
        <v>417.5</v>
      </c>
      <c r="AT15" s="203">
        <v>250</v>
      </c>
      <c r="AU15" s="202">
        <v>700</v>
      </c>
      <c r="AV15" s="203">
        <v>2089.9186867547151</v>
      </c>
      <c r="AW15" s="202"/>
      <c r="AX15" s="203">
        <v>148.25672031204095</v>
      </c>
      <c r="AY15" s="202">
        <v>315.82638263311139</v>
      </c>
      <c r="AZ15" s="203">
        <v>1270.24890336371</v>
      </c>
      <c r="BA15" s="202"/>
      <c r="BB15" s="203">
        <v>0</v>
      </c>
      <c r="BC15" s="202">
        <v>2115.9077118980499</v>
      </c>
      <c r="BD15" s="203">
        <v>1860.8262874502</v>
      </c>
      <c r="BE15" s="202">
        <v>1391.3037356936829</v>
      </c>
      <c r="BF15" s="210">
        <f>(AT15*AT$7+AX15*AX$7+AW15*AW$7)/SUM(AT$7,AW$7,AX$7)</f>
        <v>185.19857647570211</v>
      </c>
      <c r="BG15" s="211">
        <f>AY15</f>
        <v>315.82638263311139</v>
      </c>
    </row>
    <row r="16" spans="2:59" outlineLevel="2" x14ac:dyDescent="0.25">
      <c r="B16" s="200" t="s">
        <v>511</v>
      </c>
      <c r="C16" s="235">
        <v>0.86</v>
      </c>
      <c r="D16" s="234"/>
      <c r="E16" s="234"/>
      <c r="F16" s="234"/>
      <c r="G16" s="236">
        <v>861</v>
      </c>
      <c r="H16" s="236">
        <v>654</v>
      </c>
      <c r="I16" s="236"/>
      <c r="J16" s="234"/>
      <c r="K16" s="234"/>
      <c r="L16" s="234"/>
      <c r="M16" s="236">
        <v>1084</v>
      </c>
      <c r="N16" s="236">
        <v>1014</v>
      </c>
      <c r="O16" s="236"/>
      <c r="P16" s="234">
        <v>188</v>
      </c>
      <c r="Q16" s="234">
        <v>184</v>
      </c>
      <c r="R16" s="234"/>
      <c r="S16" s="236"/>
      <c r="T16" s="236"/>
      <c r="U16" s="236"/>
      <c r="V16" s="234"/>
      <c r="W16" s="234"/>
      <c r="X16" s="225"/>
      <c r="Y16" s="222">
        <f>2180.75-(Y18*U59*C18/C16)</f>
        <v>1824.2423144269196</v>
      </c>
      <c r="Z16" s="223">
        <f>1516-(Y18*U59*C18/C16)</f>
        <v>1159.4923144269196</v>
      </c>
      <c r="AA16" s="222">
        <v>196</v>
      </c>
      <c r="AB16" s="236">
        <v>165</v>
      </c>
      <c r="AC16" s="236">
        <v>154</v>
      </c>
      <c r="AD16" s="234">
        <v>223</v>
      </c>
      <c r="AE16" s="234">
        <v>188</v>
      </c>
      <c r="AF16" s="234">
        <v>175</v>
      </c>
      <c r="AG16" s="236"/>
      <c r="AH16" s="236"/>
      <c r="AI16" s="236"/>
      <c r="AJ16" s="234"/>
      <c r="AK16" s="234"/>
      <c r="AL16" s="225"/>
      <c r="AM16" t="s">
        <v>511</v>
      </c>
      <c r="AP16" s="200" t="s">
        <v>535</v>
      </c>
      <c r="AQ16" s="201"/>
      <c r="AR16" s="235">
        <v>0.86</v>
      </c>
      <c r="AS16" s="202">
        <v>1280.5</v>
      </c>
      <c r="AT16" s="203">
        <v>250</v>
      </c>
      <c r="AU16" s="202">
        <v>50</v>
      </c>
      <c r="AV16" s="203">
        <v>40</v>
      </c>
      <c r="AW16" s="202">
        <v>544.72412968182198</v>
      </c>
      <c r="AX16" s="203">
        <v>470.02657462822322</v>
      </c>
      <c r="AY16" s="202">
        <v>352.21214602608444</v>
      </c>
      <c r="AZ16" s="203"/>
      <c r="BA16" s="202">
        <v>761.89322230651851</v>
      </c>
      <c r="BB16" s="203">
        <v>665.02406890599786</v>
      </c>
      <c r="BC16" s="202">
        <v>54.611532090800402</v>
      </c>
      <c r="BD16" s="203">
        <v>304.94242553949198</v>
      </c>
      <c r="BE16" s="202">
        <v>0</v>
      </c>
      <c r="BF16" s="210">
        <f>(AT16*AT$7+AX16*AX$7+AW16*AW$7)/SUM(AT$7,AW$7,AX$7)</f>
        <v>374.83221164758027</v>
      </c>
      <c r="BG16" s="211">
        <f>AY16</f>
        <v>352.21214602608444</v>
      </c>
    </row>
    <row r="17" spans="2:59" outlineLevel="2" x14ac:dyDescent="0.25">
      <c r="B17" s="200" t="s">
        <v>428</v>
      </c>
      <c r="C17" s="235">
        <v>0.85</v>
      </c>
      <c r="D17" s="234"/>
      <c r="E17" s="234"/>
      <c r="F17" s="234"/>
      <c r="G17" s="236">
        <v>68</v>
      </c>
      <c r="H17" s="236">
        <v>78</v>
      </c>
      <c r="I17" s="236"/>
      <c r="J17" s="234"/>
      <c r="K17" s="234"/>
      <c r="L17" s="234"/>
      <c r="M17" s="236">
        <v>124</v>
      </c>
      <c r="N17" s="236">
        <v>32</v>
      </c>
      <c r="O17" s="236"/>
      <c r="P17" s="234">
        <v>4</v>
      </c>
      <c r="Q17" s="234">
        <v>3</v>
      </c>
      <c r="R17" s="234"/>
      <c r="S17" s="236"/>
      <c r="T17" s="236"/>
      <c r="U17" s="236"/>
      <c r="V17" s="234"/>
      <c r="W17" s="234"/>
      <c r="X17" s="225"/>
      <c r="Y17" s="224"/>
      <c r="Z17" s="225"/>
      <c r="AA17" s="224"/>
      <c r="AB17" s="236"/>
      <c r="AC17" s="236"/>
      <c r="AD17" s="234"/>
      <c r="AE17" s="234"/>
      <c r="AF17" s="234"/>
      <c r="AG17" s="236"/>
      <c r="AH17" s="236"/>
      <c r="AI17" s="236"/>
      <c r="AJ17" s="234"/>
      <c r="AK17" s="234"/>
      <c r="AL17" s="225"/>
      <c r="AM17" t="s">
        <v>428</v>
      </c>
      <c r="AP17" s="200" t="s">
        <v>536</v>
      </c>
      <c r="AQ17" s="201"/>
      <c r="AR17" s="235">
        <v>0.9</v>
      </c>
      <c r="AS17" s="202">
        <v>1350.5</v>
      </c>
      <c r="AT17" s="203"/>
      <c r="AU17" s="202"/>
      <c r="AV17" s="203"/>
      <c r="AW17" s="202">
        <v>151.88273877697699</v>
      </c>
      <c r="AX17" s="203">
        <v>76.165488229258244</v>
      </c>
      <c r="AY17" s="202">
        <v>76.642835336930261</v>
      </c>
      <c r="AZ17" s="203"/>
      <c r="BA17" s="202"/>
      <c r="BB17" s="203">
        <v>70.258860306326625</v>
      </c>
      <c r="BC17" s="202">
        <v>0</v>
      </c>
      <c r="BD17" s="203">
        <v>0</v>
      </c>
      <c r="BE17" s="202">
        <v>0</v>
      </c>
      <c r="BF17" s="210">
        <f>(AT17*AT$7+AX17*AX$7+AW17*AW$7)/SUM(AT$7,AW$7,AX$7)</f>
        <v>46.315645191807654</v>
      </c>
      <c r="BG17" s="211">
        <f>AY17</f>
        <v>76.642835336930261</v>
      </c>
    </row>
    <row r="18" spans="2:59" outlineLevel="2" x14ac:dyDescent="0.25">
      <c r="B18" s="200" t="s">
        <v>429</v>
      </c>
      <c r="C18" s="235">
        <v>0.9</v>
      </c>
      <c r="D18" s="234"/>
      <c r="E18" s="234"/>
      <c r="F18" s="234"/>
      <c r="G18" s="236"/>
      <c r="H18" s="236"/>
      <c r="I18" s="236">
        <v>991</v>
      </c>
      <c r="J18" s="234"/>
      <c r="K18" s="234"/>
      <c r="L18" s="234"/>
      <c r="M18" s="236">
        <v>80</v>
      </c>
      <c r="N18" s="236">
        <v>79</v>
      </c>
      <c r="O18" s="236">
        <v>1279</v>
      </c>
      <c r="P18" s="234">
        <v>119</v>
      </c>
      <c r="Q18" s="234">
        <v>119</v>
      </c>
      <c r="R18" s="234">
        <v>294</v>
      </c>
      <c r="S18" s="236"/>
      <c r="T18" s="236"/>
      <c r="U18" s="236"/>
      <c r="V18" s="234"/>
      <c r="W18" s="234"/>
      <c r="X18" s="225"/>
      <c r="Y18" s="222">
        <f>1244*(1+U59)</f>
        <v>1522.3713939465354</v>
      </c>
      <c r="Z18" s="223">
        <f>1966*(1+U59)</f>
        <v>2405.9342126196852</v>
      </c>
      <c r="AA18" s="222">
        <v>128</v>
      </c>
      <c r="AB18" s="236">
        <v>108</v>
      </c>
      <c r="AC18" s="236">
        <v>102</v>
      </c>
      <c r="AD18" s="234">
        <v>146</v>
      </c>
      <c r="AE18" s="234">
        <v>123</v>
      </c>
      <c r="AF18" s="234">
        <v>116</v>
      </c>
      <c r="AG18" s="236"/>
      <c r="AH18" s="236"/>
      <c r="AI18" s="236"/>
      <c r="AJ18" s="234"/>
      <c r="AK18" s="234"/>
      <c r="AL18" s="225"/>
      <c r="AM18" t="s">
        <v>429</v>
      </c>
      <c r="AP18" s="200" t="s">
        <v>540</v>
      </c>
      <c r="AQ18" s="201"/>
      <c r="AR18" s="235">
        <v>0.9</v>
      </c>
      <c r="AS18" s="202"/>
      <c r="AT18" s="203">
        <v>14</v>
      </c>
      <c r="AU18" s="202"/>
      <c r="AV18" s="203"/>
      <c r="AW18" s="202">
        <v>13.5075892857143</v>
      </c>
      <c r="AX18" s="203">
        <v>13.575224933331304</v>
      </c>
      <c r="AY18" s="202"/>
      <c r="AZ18" s="203"/>
      <c r="BA18" s="202"/>
      <c r="BB18" s="203"/>
      <c r="BC18" s="202"/>
      <c r="BD18" s="203"/>
      <c r="BE18" s="202"/>
      <c r="BF18" s="210">
        <f>(AT18*AT$7+AX18*AX$7+AW18*AW$7)/SUM(AT$7,AW$7,AX$7)</f>
        <v>13.763769256243801</v>
      </c>
      <c r="BG18" s="211"/>
    </row>
    <row r="19" spans="2:59" outlineLevel="1" x14ac:dyDescent="0.25">
      <c r="B19" s="200" t="s">
        <v>418</v>
      </c>
      <c r="C19" s="235">
        <v>1</v>
      </c>
      <c r="D19" s="234">
        <v>34</v>
      </c>
      <c r="E19" s="234">
        <v>34</v>
      </c>
      <c r="F19" s="234">
        <v>34</v>
      </c>
      <c r="G19" s="236">
        <v>12</v>
      </c>
      <c r="H19" s="236">
        <v>12</v>
      </c>
      <c r="I19" s="236">
        <v>14</v>
      </c>
      <c r="J19" s="234">
        <v>33</v>
      </c>
      <c r="K19" s="234">
        <v>33</v>
      </c>
      <c r="L19" s="234">
        <v>33</v>
      </c>
      <c r="M19" s="236">
        <v>22</v>
      </c>
      <c r="N19" s="236">
        <v>22</v>
      </c>
      <c r="O19" s="236">
        <v>21</v>
      </c>
      <c r="P19" s="234">
        <v>35</v>
      </c>
      <c r="Q19" s="234">
        <v>35</v>
      </c>
      <c r="R19" s="234">
        <v>35</v>
      </c>
      <c r="S19" s="236">
        <v>26</v>
      </c>
      <c r="T19" s="236">
        <v>26</v>
      </c>
      <c r="U19" s="236">
        <v>24</v>
      </c>
      <c r="V19" s="234">
        <v>26</v>
      </c>
      <c r="W19" s="234">
        <v>26</v>
      </c>
      <c r="X19" s="225">
        <v>26</v>
      </c>
      <c r="Y19" s="247">
        <f>SUM(Y8:Y18)*0.01</f>
        <v>50.85113708373455</v>
      </c>
      <c r="Z19" s="248">
        <f>SUM(Z8:Z18)*0.01</f>
        <v>65.940765270466045</v>
      </c>
      <c r="AA19" s="298">
        <v>30</v>
      </c>
      <c r="AB19" s="236">
        <v>30</v>
      </c>
      <c r="AC19" s="236">
        <v>30</v>
      </c>
      <c r="AD19" s="234">
        <v>35</v>
      </c>
      <c r="AE19" s="234">
        <v>35</v>
      </c>
      <c r="AF19" s="234">
        <v>35</v>
      </c>
      <c r="AG19" s="236">
        <v>26</v>
      </c>
      <c r="AH19" s="236">
        <v>26</v>
      </c>
      <c r="AI19" s="236">
        <v>26</v>
      </c>
      <c r="AJ19" s="234">
        <v>28</v>
      </c>
      <c r="AK19" s="234">
        <v>28</v>
      </c>
      <c r="AL19" s="225">
        <v>28</v>
      </c>
      <c r="AM19" t="s">
        <v>418</v>
      </c>
      <c r="AP19" s="246" t="s">
        <v>449</v>
      </c>
      <c r="AQ19" s="201"/>
      <c r="AR19" s="235">
        <v>1</v>
      </c>
      <c r="AS19" s="202"/>
      <c r="AT19" s="203"/>
      <c r="AU19" s="202"/>
      <c r="AV19" s="203"/>
      <c r="AW19" s="202"/>
      <c r="AX19" s="203"/>
      <c r="AY19" s="202"/>
      <c r="AZ19" s="203"/>
      <c r="BA19" s="202"/>
      <c r="BB19" s="203"/>
      <c r="BC19" s="202"/>
      <c r="BD19" s="203"/>
      <c r="BE19" s="202"/>
      <c r="BF19" s="244">
        <f>SUM(BF11:BF18)*0.006</f>
        <v>9.4290026120890662</v>
      </c>
      <c r="BG19" s="245">
        <f>SUM(BG11:BG18)*0.006</f>
        <v>9.427950739970294</v>
      </c>
    </row>
    <row r="20" spans="2:59" outlineLevel="1" x14ac:dyDescent="0.25">
      <c r="B20" s="200"/>
      <c r="C20" s="235"/>
      <c r="D20" s="234"/>
      <c r="E20" s="234"/>
      <c r="F20" s="234"/>
      <c r="G20" s="236"/>
      <c r="H20" s="236"/>
      <c r="I20" s="236"/>
      <c r="J20" s="234"/>
      <c r="K20" s="234"/>
      <c r="L20" s="234"/>
      <c r="M20" s="236"/>
      <c r="N20" s="236"/>
      <c r="O20" s="236"/>
      <c r="P20" s="234"/>
      <c r="Q20" s="234"/>
      <c r="R20" s="234"/>
      <c r="S20" s="236"/>
      <c r="T20" s="236"/>
      <c r="U20" s="236"/>
      <c r="V20" s="234"/>
      <c r="W20" s="234"/>
      <c r="X20" s="225"/>
      <c r="Y20" s="224"/>
      <c r="Z20" s="225"/>
      <c r="AA20" s="224"/>
      <c r="AB20" s="236"/>
      <c r="AC20" s="236"/>
      <c r="AD20" s="234"/>
      <c r="AE20" s="234"/>
      <c r="AF20" s="234"/>
      <c r="AG20" s="236"/>
      <c r="AH20" s="236"/>
      <c r="AI20" s="236"/>
      <c r="AJ20" s="234"/>
      <c r="AK20" s="234"/>
      <c r="AL20" s="225"/>
      <c r="AP20" s="200" t="s">
        <v>539</v>
      </c>
      <c r="AQ20" s="201"/>
      <c r="AR20" s="254">
        <v>0.95</v>
      </c>
      <c r="AS20" s="202"/>
      <c r="AT20" s="203">
        <v>40</v>
      </c>
      <c r="AU20" s="202"/>
      <c r="AV20" s="203"/>
      <c r="AW20" s="202">
        <v>39.852222222222203</v>
      </c>
      <c r="AX20" s="203">
        <v>39.87786647807954</v>
      </c>
      <c r="AY20" s="202"/>
      <c r="AZ20" s="203"/>
      <c r="BA20" s="202"/>
      <c r="BB20" s="203"/>
      <c r="BC20" s="202"/>
      <c r="BD20" s="203"/>
      <c r="BE20" s="202"/>
      <c r="BF20" s="210">
        <f>(AT20*AT$7+AX20*AX$7+AW20*AW$7)/SUM(AT$7,AW$7,AX$7)</f>
        <v>39.931692014500904</v>
      </c>
      <c r="BG20" s="211"/>
    </row>
    <row r="21" spans="2:59" x14ac:dyDescent="0.25">
      <c r="B21" s="212" t="s">
        <v>300</v>
      </c>
      <c r="C21" s="237"/>
      <c r="D21" s="238">
        <f>SUM(D7:D19)</f>
        <v>3968</v>
      </c>
      <c r="E21" s="238">
        <f t="shared" ref="E21:AC21" si="0">SUM(E7:E19)</f>
        <v>4002</v>
      </c>
      <c r="F21" s="238">
        <f>SUM(F7:F19)</f>
        <v>3899</v>
      </c>
      <c r="G21" s="239">
        <f t="shared" si="0"/>
        <v>2170</v>
      </c>
      <c r="H21" s="239">
        <f t="shared" si="0"/>
        <v>2181</v>
      </c>
      <c r="I21" s="239">
        <f t="shared" si="0"/>
        <v>2334</v>
      </c>
      <c r="J21" s="238">
        <f t="shared" si="0"/>
        <v>3114</v>
      </c>
      <c r="K21" s="238">
        <f t="shared" si="0"/>
        <v>3042</v>
      </c>
      <c r="L21" s="238">
        <f t="shared" si="0"/>
        <v>3100</v>
      </c>
      <c r="M21" s="239">
        <f t="shared" si="0"/>
        <v>3429</v>
      </c>
      <c r="N21" s="239">
        <f t="shared" si="0"/>
        <v>3451</v>
      </c>
      <c r="O21" s="239">
        <f t="shared" si="0"/>
        <v>3430</v>
      </c>
      <c r="P21" s="238">
        <f t="shared" si="0"/>
        <v>4830</v>
      </c>
      <c r="Q21" s="238">
        <f t="shared" si="0"/>
        <v>4857</v>
      </c>
      <c r="R21" s="238">
        <f t="shared" si="0"/>
        <v>4840</v>
      </c>
      <c r="S21" s="239">
        <f t="shared" si="0"/>
        <v>3691</v>
      </c>
      <c r="T21" s="239">
        <f t="shared" si="0"/>
        <v>3699</v>
      </c>
      <c r="U21" s="239">
        <f t="shared" si="0"/>
        <v>3544</v>
      </c>
      <c r="V21" s="238">
        <f t="shared" si="0"/>
        <v>3621</v>
      </c>
      <c r="W21" s="238">
        <f t="shared" si="0"/>
        <v>3636</v>
      </c>
      <c r="X21" s="227">
        <f t="shared" si="0"/>
        <v>3544</v>
      </c>
      <c r="Y21" s="226">
        <f t="shared" si="0"/>
        <v>8109.7148454571889</v>
      </c>
      <c r="Z21" s="227">
        <f t="shared" si="0"/>
        <v>8279.5672923170714</v>
      </c>
      <c r="AA21" s="226">
        <f t="shared" si="0"/>
        <v>4335</v>
      </c>
      <c r="AB21" s="239">
        <f t="shared" si="0"/>
        <v>4246</v>
      </c>
      <c r="AC21" s="239">
        <f t="shared" si="0"/>
        <v>4243</v>
      </c>
      <c r="AD21" s="238">
        <f>SUM(AD7:AD19)</f>
        <v>4929</v>
      </c>
      <c r="AE21" s="238">
        <f>SUM(AE7:AE19)</f>
        <v>4830</v>
      </c>
      <c r="AF21" s="238">
        <f>SUM(AF7:AF19)</f>
        <v>4839</v>
      </c>
      <c r="AG21" s="239">
        <f t="shared" ref="AG21:AI21" si="1">SUM(AG7:AG19)</f>
        <v>3706</v>
      </c>
      <c r="AH21" s="239">
        <f t="shared" si="1"/>
        <v>3621</v>
      </c>
      <c r="AI21" s="239">
        <f t="shared" si="1"/>
        <v>3588</v>
      </c>
      <c r="AJ21" s="238">
        <f>SUM(AJ7:AJ19)</f>
        <v>4764</v>
      </c>
      <c r="AK21" s="238">
        <f>SUM(AK7:AK19)</f>
        <v>4871</v>
      </c>
      <c r="AL21" s="227">
        <f>SUM(AL7:AL19)</f>
        <v>4969</v>
      </c>
      <c r="AP21" s="200" t="s">
        <v>541</v>
      </c>
      <c r="AQ21" s="201"/>
      <c r="AR21" s="254">
        <v>0.13</v>
      </c>
      <c r="AS21" s="202"/>
      <c r="AT21" s="203"/>
      <c r="AU21" s="202"/>
      <c r="AV21" s="203"/>
      <c r="AW21" s="202"/>
      <c r="AX21" s="203"/>
      <c r="AY21" s="202">
        <v>1874.9851705020715</v>
      </c>
      <c r="AZ21" s="203"/>
      <c r="BA21" s="202"/>
      <c r="BB21" s="203"/>
      <c r="BC21" s="202"/>
      <c r="BD21" s="203"/>
      <c r="BE21" s="202"/>
      <c r="BF21" s="210"/>
      <c r="BG21" s="211">
        <f>AY21</f>
        <v>1874.9851705020715</v>
      </c>
    </row>
    <row r="22" spans="2:59" x14ac:dyDescent="0.25">
      <c r="C22" s="306" t="s">
        <v>662</v>
      </c>
      <c r="D22" s="307">
        <f>SUM(D14:D15)/D21</f>
        <v>0.579133064516129</v>
      </c>
      <c r="E22" s="307">
        <f t="shared" ref="E22:AF22" si="2">SUM(E14:E15)/E21</f>
        <v>0.60344827586206895</v>
      </c>
      <c r="F22" s="307">
        <f t="shared" si="2"/>
        <v>0.54501154142087715</v>
      </c>
      <c r="G22" s="307">
        <f t="shared" si="2"/>
        <v>0</v>
      </c>
      <c r="H22" s="307">
        <f t="shared" si="2"/>
        <v>0</v>
      </c>
      <c r="I22" s="307">
        <f t="shared" si="2"/>
        <v>0</v>
      </c>
      <c r="J22" s="307">
        <f t="shared" si="2"/>
        <v>0.49614643545279385</v>
      </c>
      <c r="K22" s="307">
        <f t="shared" si="2"/>
        <v>0.53747534516765283</v>
      </c>
      <c r="L22" s="307">
        <f t="shared" si="2"/>
        <v>0.46870967741935482</v>
      </c>
      <c r="M22" s="307">
        <f t="shared" si="2"/>
        <v>0</v>
      </c>
      <c r="N22" s="307">
        <f t="shared" si="2"/>
        <v>0</v>
      </c>
      <c r="O22" s="307">
        <f t="shared" si="2"/>
        <v>0</v>
      </c>
      <c r="P22" s="307">
        <f t="shared" si="2"/>
        <v>0.37701863354037268</v>
      </c>
      <c r="Q22" s="307">
        <f t="shared" si="2"/>
        <v>0.40251183858348777</v>
      </c>
      <c r="R22" s="307">
        <f t="shared" si="2"/>
        <v>0.37623966942148762</v>
      </c>
      <c r="S22" s="307">
        <f t="shared" si="2"/>
        <v>0.29720942833920344</v>
      </c>
      <c r="T22" s="307">
        <f t="shared" si="2"/>
        <v>0.31657204649905379</v>
      </c>
      <c r="U22" s="307">
        <f t="shared" si="2"/>
        <v>0.31574492099322798</v>
      </c>
      <c r="V22" s="307">
        <f t="shared" si="2"/>
        <v>0.30074565037282519</v>
      </c>
      <c r="W22" s="307">
        <f t="shared" si="2"/>
        <v>0.31655665566556657</v>
      </c>
      <c r="X22" s="307">
        <f t="shared" si="2"/>
        <v>0.30671557562076751</v>
      </c>
      <c r="Y22" s="307">
        <f t="shared" si="2"/>
        <v>9.6550867067614871E-2</v>
      </c>
      <c r="Z22" s="307">
        <f t="shared" si="2"/>
        <v>9.457015956939871E-2</v>
      </c>
      <c r="AA22" s="307">
        <f t="shared" si="2"/>
        <v>0.27081891580161477</v>
      </c>
      <c r="AB22" s="307">
        <f t="shared" si="2"/>
        <v>0.37682524729156852</v>
      </c>
      <c r="AC22" s="307">
        <f t="shared" si="2"/>
        <v>0.42729201037002124</v>
      </c>
      <c r="AD22" s="307">
        <f t="shared" si="2"/>
        <v>0.27084601339013997</v>
      </c>
      <c r="AE22" s="307">
        <f t="shared" si="2"/>
        <v>0.37701863354037268</v>
      </c>
      <c r="AF22" s="307">
        <f t="shared" si="2"/>
        <v>0.42922091341186197</v>
      </c>
      <c r="AG22" s="307">
        <f t="shared" ref="AG22" si="3">SUM(AG14:AG15)/AG21</f>
        <v>0.21505666486778197</v>
      </c>
      <c r="AH22" s="307">
        <f t="shared" ref="AH22" si="4">SUM(AH14:AH15)/AH21</f>
        <v>0.30074565037282519</v>
      </c>
      <c r="AI22" s="307">
        <f t="shared" ref="AI22" si="5">SUM(AI14:AI15)/AI21</f>
        <v>0.34085841694537344</v>
      </c>
      <c r="AJ22" s="307">
        <f t="shared" ref="AJ22" si="6">SUM(AJ14:AJ15)/AJ21</f>
        <v>0.34298908480268681</v>
      </c>
      <c r="AK22" s="307">
        <f t="shared" ref="AK22" si="7">SUM(AK14:AK15)/AK21</f>
        <v>0.45740094436460688</v>
      </c>
      <c r="AL22" s="307">
        <f t="shared" ref="AL22" si="8">SUM(AL14:AL15)/AL21</f>
        <v>0.50815053330650028</v>
      </c>
      <c r="AP22" s="212" t="s">
        <v>547</v>
      </c>
      <c r="AQ22" s="213"/>
      <c r="AR22" s="213"/>
      <c r="AS22" s="214">
        <f t="shared" ref="AS22:BG22" si="9">SUM(AS11:AS18)</f>
        <v>6903.5</v>
      </c>
      <c r="AT22" s="215">
        <f t="shared" si="9"/>
        <v>1714</v>
      </c>
      <c r="AU22" s="214">
        <f t="shared" si="9"/>
        <v>2750</v>
      </c>
      <c r="AV22" s="215">
        <f t="shared" si="9"/>
        <v>3860.0841045562024</v>
      </c>
      <c r="AW22" s="214">
        <f t="shared" si="9"/>
        <v>972.8054421504653</v>
      </c>
      <c r="AX22" s="215">
        <f t="shared" si="9"/>
        <v>1514.8823829441333</v>
      </c>
      <c r="AY22" s="214">
        <f t="shared" si="9"/>
        <v>1571.3251233283822</v>
      </c>
      <c r="AZ22" s="215">
        <f t="shared" si="9"/>
        <v>2309.9041515979698</v>
      </c>
      <c r="BA22" s="214">
        <f t="shared" si="9"/>
        <v>1811.5415291228112</v>
      </c>
      <c r="BB22" s="215">
        <f t="shared" si="9"/>
        <v>1314.9234928671474</v>
      </c>
      <c r="BC22" s="214">
        <f t="shared" si="9"/>
        <v>3843.0257345406899</v>
      </c>
      <c r="BD22" s="215">
        <f t="shared" si="9"/>
        <v>3556.3061734497819</v>
      </c>
      <c r="BE22" s="214">
        <f t="shared" si="9"/>
        <v>2430.9589839279429</v>
      </c>
      <c r="BF22" s="216">
        <f t="shared" si="9"/>
        <v>1571.5004353481777</v>
      </c>
      <c r="BG22" s="217">
        <f t="shared" si="9"/>
        <v>1571.3251233283822</v>
      </c>
    </row>
    <row r="23" spans="2:59" x14ac:dyDescent="0.25">
      <c r="B23" s="168" t="s">
        <v>433</v>
      </c>
      <c r="C23" s="168"/>
      <c r="D23" s="179">
        <v>103131</v>
      </c>
      <c r="E23" s="179">
        <v>40386</v>
      </c>
      <c r="F23" s="179">
        <v>21929</v>
      </c>
      <c r="G23" s="164"/>
      <c r="H23" s="164"/>
      <c r="I23" s="164"/>
      <c r="J23" s="164"/>
      <c r="K23" s="164"/>
      <c r="L23" s="173" t="s">
        <v>569</v>
      </c>
      <c r="M23" s="241"/>
      <c r="N23" s="241"/>
      <c r="O23" s="241"/>
      <c r="P23" s="241"/>
      <c r="Q23" s="241"/>
      <c r="R23" s="241"/>
      <c r="S23" s="241"/>
      <c r="T23" s="241"/>
      <c r="U23" s="242"/>
      <c r="V23" s="242"/>
      <c r="W23" s="242"/>
      <c r="X23" s="168"/>
      <c r="Y23" s="164"/>
    </row>
    <row r="24" spans="2:59" x14ac:dyDescent="0.25">
      <c r="B24" s="168" t="s">
        <v>432</v>
      </c>
      <c r="C24" s="168"/>
      <c r="D24" s="179">
        <v>87632</v>
      </c>
      <c r="E24" s="179">
        <v>21961</v>
      </c>
      <c r="F24" s="179">
        <v>15238</v>
      </c>
      <c r="G24" s="164"/>
      <c r="H24" s="164"/>
      <c r="I24" s="164"/>
      <c r="J24" s="164"/>
      <c r="K24" s="164"/>
      <c r="L24" s="168"/>
      <c r="M24" s="168"/>
      <c r="N24" s="168"/>
      <c r="O24" s="168"/>
      <c r="P24" s="168"/>
      <c r="Q24" s="310" t="s">
        <v>563</v>
      </c>
      <c r="R24" s="310" t="s">
        <v>564</v>
      </c>
      <c r="S24" s="310" t="s">
        <v>551</v>
      </c>
      <c r="T24" s="309" t="s">
        <v>290</v>
      </c>
      <c r="U24" s="309"/>
      <c r="V24" s="309" t="s">
        <v>291</v>
      </c>
      <c r="W24" s="309"/>
      <c r="X24" s="167" t="s">
        <v>455</v>
      </c>
      <c r="Y24" s="164"/>
      <c r="Z24" s="173" t="s">
        <v>550</v>
      </c>
      <c r="AA24" s="83"/>
      <c r="AB24" s="83"/>
      <c r="AC24" s="83"/>
      <c r="AD24" s="168"/>
      <c r="AE24" s="168"/>
      <c r="AF24" s="168"/>
      <c r="AG24" s="168"/>
      <c r="AH24" s="168"/>
    </row>
    <row r="25" spans="2:59" x14ac:dyDescent="0.25">
      <c r="L25" s="168"/>
      <c r="M25" s="168"/>
      <c r="N25" s="168"/>
      <c r="O25" s="168"/>
      <c r="P25" s="169" t="s">
        <v>456</v>
      </c>
      <c r="Q25" s="310"/>
      <c r="R25" s="310"/>
      <c r="S25" s="310"/>
      <c r="T25" s="243" t="s">
        <v>456</v>
      </c>
      <c r="U25" s="243" t="s">
        <v>311</v>
      </c>
      <c r="V25" s="243" t="s">
        <v>456</v>
      </c>
      <c r="W25" s="243" t="s">
        <v>311</v>
      </c>
      <c r="X25" s="167" t="s">
        <v>489</v>
      </c>
      <c r="Z25" s="173" t="s">
        <v>565</v>
      </c>
      <c r="AA25" s="168"/>
      <c r="AB25" s="168"/>
      <c r="AC25" s="167" t="s">
        <v>290</v>
      </c>
      <c r="AD25" s="167" t="s">
        <v>455</v>
      </c>
      <c r="AE25" s="101" t="s">
        <v>291</v>
      </c>
      <c r="AF25" s="101" t="s">
        <v>455</v>
      </c>
      <c r="AG25" s="167" t="s">
        <v>300</v>
      </c>
      <c r="AH25" s="167" t="s">
        <v>489</v>
      </c>
    </row>
    <row r="26" spans="2:59" outlineLevel="1" x14ac:dyDescent="0.25">
      <c r="B26" s="173" t="s">
        <v>482</v>
      </c>
      <c r="C26" s="173"/>
      <c r="D26" s="83" t="s">
        <v>488</v>
      </c>
      <c r="E26" s="168"/>
      <c r="F26" s="168"/>
      <c r="G26" s="168"/>
      <c r="H26" s="168"/>
      <c r="I26" s="168"/>
      <c r="J26" s="168"/>
      <c r="L26" s="168" t="s">
        <v>370</v>
      </c>
      <c r="M26" s="168"/>
      <c r="N26" s="168"/>
      <c r="O26" s="168"/>
      <c r="P26" s="185">
        <v>0.86</v>
      </c>
      <c r="Q26" s="187">
        <v>84300.800000000003</v>
      </c>
      <c r="R26" s="187">
        <v>2279</v>
      </c>
      <c r="S26" s="187">
        <f>SUM(Q26:R26)</f>
        <v>86579.8</v>
      </c>
      <c r="T26" s="186">
        <f>S26*X26*P26</f>
        <v>46200.229028142108</v>
      </c>
      <c r="U26" s="191">
        <f>T26/SUM(T$26:T$56)</f>
        <v>7.7600983612187147E-2</v>
      </c>
      <c r="V26" s="186">
        <f>S26*(1-X26)*P26</f>
        <v>28258.398971857892</v>
      </c>
      <c r="W26" s="191">
        <f>V26/SUM(V$26:V$56)</f>
        <v>0.2589516782516148</v>
      </c>
      <c r="X26" s="163">
        <f>$AH$27</f>
        <v>0.62048187388225995</v>
      </c>
      <c r="Z26" s="83" t="s">
        <v>487</v>
      </c>
      <c r="AA26" s="168"/>
      <c r="AB26" s="168"/>
      <c r="AC26" s="189">
        <f>SUM(AC27:AC30)</f>
        <v>332329.99870767561</v>
      </c>
      <c r="AD26" s="193">
        <f>AC26/(AC$26+AC$32)</f>
        <v>0.86121145432261814</v>
      </c>
      <c r="AE26" s="188">
        <f>SUM(AE27:AE30)</f>
        <v>203269.85149961221</v>
      </c>
      <c r="AF26" s="194">
        <f>AE26/(AE$26+AE$32)</f>
        <v>0.9805541436045544</v>
      </c>
      <c r="AG26" s="189">
        <f>SUM(AG27:AG30)</f>
        <v>535599.85020728782</v>
      </c>
      <c r="AH26" s="195"/>
    </row>
    <row r="27" spans="2:59" outlineLevel="1" x14ac:dyDescent="0.25">
      <c r="B27" s="173" t="s">
        <v>548</v>
      </c>
      <c r="C27" s="173"/>
      <c r="D27" s="167"/>
      <c r="E27" s="167" t="s">
        <v>456</v>
      </c>
      <c r="F27" s="101"/>
      <c r="G27" s="101" t="s">
        <v>456</v>
      </c>
      <c r="H27" s="167"/>
      <c r="I27" s="167" t="s">
        <v>455</v>
      </c>
      <c r="J27" s="101" t="s">
        <v>453</v>
      </c>
      <c r="L27" s="168" t="s">
        <v>404</v>
      </c>
      <c r="M27" s="168"/>
      <c r="N27" s="168"/>
      <c r="O27" s="168"/>
      <c r="P27" s="185">
        <v>0.86</v>
      </c>
      <c r="Q27" s="187">
        <v>92367.8</v>
      </c>
      <c r="R27" s="187">
        <v>1785</v>
      </c>
      <c r="S27" s="187">
        <f t="shared" ref="S27:S57" si="10">SUM(Q27:R27)</f>
        <v>94152.8</v>
      </c>
      <c r="T27" s="186">
        <f t="shared" ref="T27:T57" si="11">S27*X27*P27</f>
        <v>50241.290966725013</v>
      </c>
      <c r="U27" s="191">
        <f t="shared" ref="U27:U56" si="12">T27/SUM(T$26:T$56)</f>
        <v>8.4388620554003743E-2</v>
      </c>
      <c r="V27" s="186">
        <f t="shared" ref="V27:V57" si="13">S27*(1-X27)*P27</f>
        <v>30730.117033274986</v>
      </c>
      <c r="W27" s="191">
        <f t="shared" ref="W27:W56" si="14">V27/SUM(V$26:V$56)</f>
        <v>0.28160177745950715</v>
      </c>
      <c r="X27" s="163">
        <f>$AH$27</f>
        <v>0.62048187388225995</v>
      </c>
      <c r="Z27" s="168" t="s">
        <v>481</v>
      </c>
      <c r="AA27" s="168"/>
      <c r="AB27" s="168"/>
      <c r="AC27" s="187">
        <f>AG27*AH27</f>
        <v>77812.622155690507</v>
      </c>
      <c r="AD27" s="190">
        <f>AC27/SUM(AC$27:AC$30)</f>
        <v>0.23414263671133737</v>
      </c>
      <c r="AE27" s="186">
        <f>AG27-AC27</f>
        <v>47594.138994041161</v>
      </c>
      <c r="AF27" s="191">
        <f>AE27/SUM(AE$27:AE$30)</f>
        <v>0.2341426367113372</v>
      </c>
      <c r="AG27" s="187">
        <v>125406.76114973167</v>
      </c>
      <c r="AH27" s="192">
        <v>0.62048187388225995</v>
      </c>
    </row>
    <row r="28" spans="2:59" outlineLevel="1" x14ac:dyDescent="0.25">
      <c r="B28" s="83" t="s">
        <v>438</v>
      </c>
      <c r="C28" s="169" t="s">
        <v>456</v>
      </c>
      <c r="D28" s="167" t="s">
        <v>290</v>
      </c>
      <c r="E28" s="167" t="s">
        <v>455</v>
      </c>
      <c r="F28" s="101" t="s">
        <v>291</v>
      </c>
      <c r="G28" s="101" t="s">
        <v>455</v>
      </c>
      <c r="H28" s="167" t="s">
        <v>300</v>
      </c>
      <c r="I28" s="167" t="s">
        <v>489</v>
      </c>
      <c r="J28" s="101" t="s">
        <v>454</v>
      </c>
      <c r="L28" s="168" t="s">
        <v>435</v>
      </c>
      <c r="M28" s="168"/>
      <c r="N28" s="168"/>
      <c r="O28" s="168"/>
      <c r="P28" s="185">
        <v>0.86</v>
      </c>
      <c r="Q28" s="187">
        <v>31831.5</v>
      </c>
      <c r="R28" s="187">
        <v>0</v>
      </c>
      <c r="S28" s="187">
        <f t="shared" si="10"/>
        <v>31831.5</v>
      </c>
      <c r="T28" s="186">
        <f t="shared" si="11"/>
        <v>16985.747140895513</v>
      </c>
      <c r="U28" s="191">
        <f t="shared" si="12"/>
        <v>2.8530392884383367E-2</v>
      </c>
      <c r="V28" s="186">
        <f t="shared" si="13"/>
        <v>10389.342859104483</v>
      </c>
      <c r="W28" s="191">
        <f t="shared" si="14"/>
        <v>9.5204890127561809E-2</v>
      </c>
      <c r="X28" s="163">
        <f>$AH$27</f>
        <v>0.62048187388225995</v>
      </c>
      <c r="Z28" s="168" t="s">
        <v>478</v>
      </c>
      <c r="AA28" s="168"/>
      <c r="AB28" s="168"/>
      <c r="AC28" s="187">
        <f>AG28*AH28</f>
        <v>61792.549779753324</v>
      </c>
      <c r="AD28" s="190">
        <f>AC28/SUM(AC$27:AC$30)</f>
        <v>0.18593732139754057</v>
      </c>
      <c r="AE28" s="186">
        <f>AG28-AC28</f>
        <v>37795.451708713757</v>
      </c>
      <c r="AF28" s="191">
        <f>AE28/SUM(AE$27:AE$30)</f>
        <v>0.18593732139754066</v>
      </c>
      <c r="AG28" s="187">
        <v>99588.001488467082</v>
      </c>
      <c r="AH28" s="192">
        <v>0.62048187388225973</v>
      </c>
    </row>
    <row r="29" spans="2:59" outlineLevel="1" x14ac:dyDescent="0.25">
      <c r="B29" s="168" t="s">
        <v>439</v>
      </c>
      <c r="C29" s="185">
        <v>0.86</v>
      </c>
      <c r="D29" s="92">
        <f>H29*I29</f>
        <v>8000.2142902474725</v>
      </c>
      <c r="E29" s="170">
        <f>D29*$C29/SUMPRODUCT(D$29:D$49,$C$29:$C$49)</f>
        <v>1.0523812255528259E-2</v>
      </c>
      <c r="F29" s="171">
        <f>H29-D29</f>
        <v>631.319043085864</v>
      </c>
      <c r="G29" s="172">
        <f t="shared" ref="G29:G49" si="15">F29*$C29/SUMPRODUCT(F$29:F$49,$C$29:$C$49)</f>
        <v>4.6480203269391104E-3</v>
      </c>
      <c r="H29" s="92">
        <v>8631.5333333333365</v>
      </c>
      <c r="I29" s="180">
        <v>0.92685899263716798</v>
      </c>
      <c r="J29" s="172">
        <v>0.27270318402958632</v>
      </c>
      <c r="L29" s="168" t="s">
        <v>477</v>
      </c>
      <c r="M29" s="168"/>
      <c r="N29" s="168"/>
      <c r="O29" s="168"/>
      <c r="P29" s="185">
        <v>0.86</v>
      </c>
      <c r="Q29" s="187">
        <v>11430.7</v>
      </c>
      <c r="R29" s="187">
        <v>0</v>
      </c>
      <c r="S29" s="187">
        <f t="shared" si="10"/>
        <v>11430.7</v>
      </c>
      <c r="T29" s="186">
        <f t="shared" si="11"/>
        <v>6099.5862539759164</v>
      </c>
      <c r="U29" s="191">
        <f t="shared" si="12"/>
        <v>1.0245271568839703E-2</v>
      </c>
      <c r="V29" s="186">
        <f t="shared" si="13"/>
        <v>3730.8157460240845</v>
      </c>
      <c r="W29" s="191">
        <f t="shared" si="14"/>
        <v>3.4188101018837347E-2</v>
      </c>
      <c r="X29" s="163">
        <f>$AH$27</f>
        <v>0.62048187388225995</v>
      </c>
      <c r="Z29" s="168" t="s">
        <v>480</v>
      </c>
      <c r="AA29" s="168"/>
      <c r="AB29" s="168"/>
      <c r="AC29" s="187">
        <f>AG29*AH29</f>
        <v>159717.72580047889</v>
      </c>
      <c r="AD29" s="190">
        <f>AC29/SUM(AC$27:AC$30)</f>
        <v>0.48059978461640451</v>
      </c>
      <c r="AE29" s="186">
        <f>AG29-AC29</f>
        <v>97691.446849722182</v>
      </c>
      <c r="AF29" s="191">
        <f>AE29/SUM(AE$27:AE$30)</f>
        <v>0.48059978461640462</v>
      </c>
      <c r="AG29" s="187">
        <v>257409.17265020107</v>
      </c>
      <c r="AH29" s="192">
        <v>0.62048187388225973</v>
      </c>
    </row>
    <row r="30" spans="2:59" outlineLevel="1" x14ac:dyDescent="0.25">
      <c r="B30" s="168" t="s">
        <v>481</v>
      </c>
      <c r="C30" s="185">
        <v>0.86</v>
      </c>
      <c r="D30" s="92">
        <f t="shared" ref="D30:D35" si="16">H30*I30</f>
        <v>38739.785795838885</v>
      </c>
      <c r="E30" s="170">
        <f t="shared" ref="E30:E49" si="17">D30*C30/SUMPRODUCT(D$29:D$49,$C$29:$C$49)</f>
        <v>5.0959914040274737E-2</v>
      </c>
      <c r="F30" s="171">
        <f t="shared" ref="F30:F35" si="18">H30-D30</f>
        <v>23695.214204161115</v>
      </c>
      <c r="G30" s="172">
        <f t="shared" si="15"/>
        <v>0.17445353261288826</v>
      </c>
      <c r="H30" s="92">
        <v>62435</v>
      </c>
      <c r="I30" s="180">
        <v>0.62048187388225973</v>
      </c>
      <c r="J30" s="172">
        <v>0</v>
      </c>
      <c r="L30" s="168" t="s">
        <v>463</v>
      </c>
      <c r="M30" s="168"/>
      <c r="N30" s="168"/>
      <c r="O30" s="168"/>
      <c r="P30" s="185">
        <v>0.86</v>
      </c>
      <c r="Q30" s="187">
        <v>707</v>
      </c>
      <c r="R30" s="187">
        <v>0</v>
      </c>
      <c r="S30" s="187">
        <f t="shared" si="10"/>
        <v>707</v>
      </c>
      <c r="T30" s="186">
        <f t="shared" si="11"/>
        <v>377.26538895789167</v>
      </c>
      <c r="U30" s="191">
        <f t="shared" si="12"/>
        <v>6.3368008951067466E-4</v>
      </c>
      <c r="V30" s="186">
        <f t="shared" si="13"/>
        <v>230.75461104210834</v>
      </c>
      <c r="W30" s="191">
        <f t="shared" si="14"/>
        <v>2.1145675610695761E-3</v>
      </c>
      <c r="X30" s="163">
        <f>$AH$27</f>
        <v>0.62048187388225995</v>
      </c>
      <c r="Z30" s="168" t="s">
        <v>479</v>
      </c>
      <c r="AA30" s="168"/>
      <c r="AB30" s="168"/>
      <c r="AC30" s="187">
        <f>AG30*AH30</f>
        <v>33007.100971752872</v>
      </c>
      <c r="AD30" s="190">
        <f>AC30/SUM(AC$27:AC$30)</f>
        <v>9.9320257274717494E-2</v>
      </c>
      <c r="AE30" s="186">
        <f>AG30-AC30</f>
        <v>20188.81394713511</v>
      </c>
      <c r="AF30" s="191">
        <f>AE30/SUM(AE$27:AE$30)</f>
        <v>9.9320257274717522E-2</v>
      </c>
      <c r="AG30" s="187">
        <v>53195.914918887982</v>
      </c>
      <c r="AH30" s="192">
        <v>0.62048187388225973</v>
      </c>
    </row>
    <row r="31" spans="2:59" outlineLevel="1" x14ac:dyDescent="0.25">
      <c r="B31" s="168" t="s">
        <v>478</v>
      </c>
      <c r="C31" s="185">
        <v>0.86</v>
      </c>
      <c r="D31" s="92">
        <f t="shared" si="16"/>
        <v>21059.030703189121</v>
      </c>
      <c r="E31" s="170">
        <f t="shared" si="17"/>
        <v>2.7701918644095731E-2</v>
      </c>
      <c r="F31" s="171">
        <f t="shared" si="18"/>
        <v>12880.769296810882</v>
      </c>
      <c r="G31" s="172">
        <f t="shared" si="15"/>
        <v>9.4833314746134476E-2</v>
      </c>
      <c r="H31" s="92">
        <v>33939.800000000003</v>
      </c>
      <c r="I31" s="180">
        <v>0.62048187388225973</v>
      </c>
      <c r="J31" s="172">
        <v>0</v>
      </c>
      <c r="L31" s="168" t="s">
        <v>464</v>
      </c>
      <c r="M31" s="168"/>
      <c r="N31" s="168"/>
      <c r="O31" s="168"/>
      <c r="P31" s="185">
        <v>0.86</v>
      </c>
      <c r="Q31" s="187">
        <v>16116.5</v>
      </c>
      <c r="R31" s="187">
        <v>537</v>
      </c>
      <c r="S31" s="187">
        <f t="shared" si="10"/>
        <v>16653.5</v>
      </c>
      <c r="T31" s="186">
        <f t="shared" si="11"/>
        <v>13319.469300000001</v>
      </c>
      <c r="U31" s="191">
        <f t="shared" si="12"/>
        <v>2.2372268289898023E-2</v>
      </c>
      <c r="V31" s="186">
        <f t="shared" si="13"/>
        <v>1002.5406999999993</v>
      </c>
      <c r="W31" s="191">
        <f t="shared" si="14"/>
        <v>9.1869888679500123E-3</v>
      </c>
      <c r="X31" s="163">
        <f t="shared" ref="X31:X57" si="19">$AH$33</f>
        <v>0.93</v>
      </c>
      <c r="Z31" s="168"/>
      <c r="AA31" s="168"/>
      <c r="AB31" s="168"/>
      <c r="AC31" s="187"/>
      <c r="AD31" s="190"/>
      <c r="AE31" s="186"/>
      <c r="AF31" s="191"/>
      <c r="AG31" s="187"/>
      <c r="AH31" s="192"/>
    </row>
    <row r="32" spans="2:59" outlineLevel="2" x14ac:dyDescent="0.25">
      <c r="B32" s="168" t="s">
        <v>480</v>
      </c>
      <c r="C32" s="185">
        <v>0.86</v>
      </c>
      <c r="D32" s="92">
        <f t="shared" si="16"/>
        <v>68413.87639421731</v>
      </c>
      <c r="E32" s="170">
        <f t="shared" si="17"/>
        <v>8.9994438239402258E-2</v>
      </c>
      <c r="F32" s="171">
        <f t="shared" si="18"/>
        <v>41845.390272449687</v>
      </c>
      <c r="G32" s="172">
        <f t="shared" si="15"/>
        <v>0.30808230276778314</v>
      </c>
      <c r="H32" s="92">
        <v>110259.266666667</v>
      </c>
      <c r="I32" s="180">
        <v>0.62048187388225973</v>
      </c>
      <c r="J32" s="172">
        <v>0</v>
      </c>
      <c r="L32" s="168" t="s">
        <v>434</v>
      </c>
      <c r="M32" s="168"/>
      <c r="N32" s="168"/>
      <c r="O32" s="168"/>
      <c r="P32" s="185">
        <v>0.85</v>
      </c>
      <c r="Q32" s="187">
        <v>2047.3</v>
      </c>
      <c r="R32" s="187">
        <v>586</v>
      </c>
      <c r="S32" s="187">
        <f t="shared" si="10"/>
        <v>2633.3</v>
      </c>
      <c r="T32" s="186">
        <f t="shared" si="11"/>
        <v>2081.6236500000005</v>
      </c>
      <c r="U32" s="191">
        <f t="shared" si="12"/>
        <v>3.4964338088452809E-3</v>
      </c>
      <c r="V32" s="186">
        <f t="shared" si="13"/>
        <v>156.6813499999999</v>
      </c>
      <c r="W32" s="191">
        <f t="shared" si="14"/>
        <v>1.4357819271231379E-3</v>
      </c>
      <c r="X32" s="163">
        <f t="shared" si="19"/>
        <v>0.93</v>
      </c>
      <c r="Z32" s="83" t="s">
        <v>486</v>
      </c>
      <c r="AA32" s="168"/>
      <c r="AB32" s="168"/>
      <c r="AC32" s="189">
        <f>SUM(AC33:AC34)</f>
        <v>53556.646249999976</v>
      </c>
      <c r="AD32" s="193">
        <f>AC32/(AC$26+AC$32)</f>
        <v>0.1387885456773818</v>
      </c>
      <c r="AE32" s="188">
        <f>SUM(AE33:AE34)</f>
        <v>4031.1454166666626</v>
      </c>
      <c r="AF32" s="194">
        <f>AE32/(AE$26+AE$32)</f>
        <v>1.9445856395445563E-2</v>
      </c>
      <c r="AG32" s="189">
        <f>SUM(AG33:AG34)</f>
        <v>57587.791666666642</v>
      </c>
      <c r="AH32" s="195"/>
    </row>
    <row r="33" spans="2:34" outlineLevel="2" x14ac:dyDescent="0.25">
      <c r="B33" s="168" t="s">
        <v>479</v>
      </c>
      <c r="C33" s="185">
        <v>0.86</v>
      </c>
      <c r="D33" s="92">
        <f t="shared" si="16"/>
        <v>14138.341343739448</v>
      </c>
      <c r="E33" s="170">
        <f t="shared" si="17"/>
        <v>1.8598158062774157E-2</v>
      </c>
      <c r="F33" s="171">
        <f t="shared" si="18"/>
        <v>8647.7253229272501</v>
      </c>
      <c r="G33" s="172">
        <f t="shared" si="15"/>
        <v>6.3667971880400173E-2</v>
      </c>
      <c r="H33" s="92">
        <v>22786.066666666698</v>
      </c>
      <c r="I33" s="180">
        <v>0.62048187388225973</v>
      </c>
      <c r="J33" s="172">
        <v>0</v>
      </c>
      <c r="L33" s="168" t="s">
        <v>467</v>
      </c>
      <c r="M33" s="168"/>
      <c r="N33" s="168"/>
      <c r="O33" s="168"/>
      <c r="P33" s="185">
        <v>0.85</v>
      </c>
      <c r="Q33" s="187">
        <v>9008.7999999999993</v>
      </c>
      <c r="R33" s="187">
        <v>40</v>
      </c>
      <c r="S33" s="187">
        <f t="shared" si="10"/>
        <v>9048.7999999999993</v>
      </c>
      <c r="T33" s="186">
        <f t="shared" si="11"/>
        <v>7153.0763999999999</v>
      </c>
      <c r="U33" s="191">
        <f t="shared" si="12"/>
        <v>1.2014783826179763E-2</v>
      </c>
      <c r="V33" s="186">
        <f t="shared" si="13"/>
        <v>538.40359999999953</v>
      </c>
      <c r="W33" s="191">
        <f t="shared" si="14"/>
        <v>4.9337726435088472E-3</v>
      </c>
      <c r="X33" s="163">
        <f t="shared" si="19"/>
        <v>0.93</v>
      </c>
      <c r="Z33" s="168" t="s">
        <v>483</v>
      </c>
      <c r="AA33" s="168"/>
      <c r="AB33" s="168"/>
      <c r="AC33" s="187">
        <f>AG33*AH33</f>
        <v>27475.937049999968</v>
      </c>
      <c r="AD33" s="190">
        <f>AC33/SUM(AC$33:AC$34)</f>
        <v>0.51302572087399856</v>
      </c>
      <c r="AE33" s="186">
        <f>AG33-AC33</f>
        <v>2068.0812833333293</v>
      </c>
      <c r="AF33" s="191">
        <f>AE33/SUM(AE$33:AE$34)</f>
        <v>0.51302572087399845</v>
      </c>
      <c r="AG33" s="187">
        <v>29544.018333333297</v>
      </c>
      <c r="AH33" s="192">
        <v>0.93</v>
      </c>
    </row>
    <row r="34" spans="2:34" outlineLevel="2" x14ac:dyDescent="0.25">
      <c r="B34" s="168" t="s">
        <v>483</v>
      </c>
      <c r="C34" s="185">
        <v>0.85</v>
      </c>
      <c r="D34" s="92">
        <f t="shared" si="16"/>
        <v>4095.4809354661024</v>
      </c>
      <c r="E34" s="170">
        <f t="shared" si="17"/>
        <v>5.3247209739873142E-3</v>
      </c>
      <c r="F34" s="171">
        <f t="shared" si="18"/>
        <v>323.18573120056726</v>
      </c>
      <c r="G34" s="172">
        <f t="shared" si="15"/>
        <v>2.3517534066013895E-3</v>
      </c>
      <c r="H34" s="92">
        <v>4418.6666666666697</v>
      </c>
      <c r="I34" s="180">
        <v>0.92685899263716798</v>
      </c>
      <c r="J34" s="172">
        <v>0</v>
      </c>
      <c r="L34" s="168" t="s">
        <v>469</v>
      </c>
      <c r="M34" s="168"/>
      <c r="N34" s="168"/>
      <c r="O34" s="168"/>
      <c r="P34" s="185">
        <v>0.91</v>
      </c>
      <c r="Q34" s="187">
        <v>40016.699999999997</v>
      </c>
      <c r="R34" s="187">
        <v>93785</v>
      </c>
      <c r="S34" s="187">
        <f t="shared" si="10"/>
        <v>133801.70000000001</v>
      </c>
      <c r="T34" s="186">
        <f t="shared" si="11"/>
        <v>113236.37871000002</v>
      </c>
      <c r="U34" s="191">
        <f t="shared" si="12"/>
        <v>0.19019936812922544</v>
      </c>
      <c r="V34" s="186">
        <f t="shared" si="13"/>
        <v>8523.168289999996</v>
      </c>
      <c r="W34" s="191">
        <f t="shared" si="14"/>
        <v>7.810381384007109E-2</v>
      </c>
      <c r="X34" s="163">
        <f t="shared" si="19"/>
        <v>0.93</v>
      </c>
      <c r="Z34" s="168" t="s">
        <v>484</v>
      </c>
      <c r="AA34" s="168"/>
      <c r="AB34" s="168"/>
      <c r="AC34" s="187">
        <f>AG34*AH34</f>
        <v>26080.709200000008</v>
      </c>
      <c r="AD34" s="190">
        <f>AC34/SUM(AC$33:AC$34)</f>
        <v>0.4869742791260015</v>
      </c>
      <c r="AE34" s="186">
        <f>AG34-AC34</f>
        <v>1963.0641333333333</v>
      </c>
      <c r="AF34" s="191">
        <f>AE34/SUM(AE$33:AE$34)</f>
        <v>0.48697427912600155</v>
      </c>
      <c r="AG34" s="187">
        <v>28043.773333333342</v>
      </c>
      <c r="AH34" s="192">
        <v>0.93</v>
      </c>
    </row>
    <row r="35" spans="2:34" outlineLevel="2" x14ac:dyDescent="0.25">
      <c r="B35" s="168" t="s">
        <v>484</v>
      </c>
      <c r="C35" s="185">
        <v>0.85</v>
      </c>
      <c r="D35" s="92">
        <f t="shared" si="16"/>
        <v>11613.017957647857</v>
      </c>
      <c r="E35" s="170">
        <f t="shared" si="17"/>
        <v>1.5098612657402435E-2</v>
      </c>
      <c r="F35" s="171">
        <f t="shared" si="18"/>
        <v>916.415375685443</v>
      </c>
      <c r="G35" s="172">
        <f t="shared" si="15"/>
        <v>6.6685585827817324E-3</v>
      </c>
      <c r="H35" s="92">
        <v>12529.4333333333</v>
      </c>
      <c r="I35" s="180">
        <v>0.92685899263716798</v>
      </c>
      <c r="J35" s="172">
        <v>0</v>
      </c>
      <c r="L35" s="168" t="s">
        <v>553</v>
      </c>
      <c r="M35" s="168"/>
      <c r="N35" s="168"/>
      <c r="O35" s="168"/>
      <c r="P35" s="185">
        <v>0.91</v>
      </c>
      <c r="Q35" s="187">
        <v>98.7</v>
      </c>
      <c r="R35" s="187">
        <v>0</v>
      </c>
      <c r="S35" s="187">
        <f t="shared" si="10"/>
        <v>98.7</v>
      </c>
      <c r="T35" s="186">
        <f t="shared" si="11"/>
        <v>83.529810000000012</v>
      </c>
      <c r="U35" s="191">
        <f t="shared" si="12"/>
        <v>1.403022355796268E-4</v>
      </c>
      <c r="V35" s="186">
        <f t="shared" si="13"/>
        <v>6.2871899999999963</v>
      </c>
      <c r="W35" s="191">
        <f t="shared" si="14"/>
        <v>5.7613964740470527E-5</v>
      </c>
      <c r="X35" s="163">
        <f t="shared" si="19"/>
        <v>0.93</v>
      </c>
    </row>
    <row r="36" spans="2:34" outlineLevel="2" x14ac:dyDescent="0.25">
      <c r="B36" s="168" t="s">
        <v>445</v>
      </c>
      <c r="C36" s="185">
        <v>0.93</v>
      </c>
      <c r="D36" s="92">
        <f t="shared" ref="D36:D49" si="20">H36*I36</f>
        <v>125972.18626629541</v>
      </c>
      <c r="E36" s="170">
        <f t="shared" si="17"/>
        <v>0.17919695914371556</v>
      </c>
      <c r="F36" s="171">
        <f t="shared" ref="F36:F49" si="21">H36-D36</f>
        <v>9940.8137337045919</v>
      </c>
      <c r="G36" s="172">
        <f t="shared" si="15"/>
        <v>7.914537891799911E-2</v>
      </c>
      <c r="H36" s="92">
        <v>135913</v>
      </c>
      <c r="I36" s="180">
        <v>0.92685899263716798</v>
      </c>
      <c r="J36" s="172">
        <v>0.19883912083302038</v>
      </c>
      <c r="L36" s="168" t="s">
        <v>473</v>
      </c>
      <c r="M36" s="168"/>
      <c r="N36" s="168"/>
      <c r="O36" s="168"/>
      <c r="P36" s="185">
        <v>1</v>
      </c>
      <c r="Q36" s="187">
        <v>2126.8000000000002</v>
      </c>
      <c r="R36" s="187">
        <v>192</v>
      </c>
      <c r="S36" s="187">
        <f t="shared" si="10"/>
        <v>2318.8000000000002</v>
      </c>
      <c r="T36" s="186">
        <f t="shared" si="11"/>
        <v>2156.4840000000004</v>
      </c>
      <c r="U36" s="191">
        <f t="shared" si="12"/>
        <v>3.6221742416473347E-3</v>
      </c>
      <c r="V36" s="186">
        <f t="shared" si="13"/>
        <v>162.31599999999989</v>
      </c>
      <c r="W36" s="191">
        <f t="shared" si="14"/>
        <v>1.4874162067337257E-3</v>
      </c>
      <c r="X36" s="163">
        <f t="shared" si="19"/>
        <v>0.93</v>
      </c>
    </row>
    <row r="37" spans="2:34" outlineLevel="2" x14ac:dyDescent="0.25">
      <c r="B37" s="168" t="s">
        <v>440</v>
      </c>
      <c r="C37" s="185">
        <v>0.9</v>
      </c>
      <c r="D37" s="92">
        <f t="shared" si="20"/>
        <v>36603.206384229525</v>
      </c>
      <c r="E37" s="170">
        <f t="shared" si="17"/>
        <v>5.0388874796215039E-2</v>
      </c>
      <c r="F37" s="171">
        <f t="shared" si="21"/>
        <v>2888.4602824371759</v>
      </c>
      <c r="G37" s="172">
        <f t="shared" si="15"/>
        <v>2.2255101917213038E-2</v>
      </c>
      <c r="H37" s="92">
        <v>39491.666666666701</v>
      </c>
      <c r="I37" s="180">
        <v>0.92685899263716798</v>
      </c>
      <c r="J37" s="172">
        <v>0</v>
      </c>
      <c r="L37" s="168" t="s">
        <v>466</v>
      </c>
      <c r="M37" s="168"/>
      <c r="N37" s="168"/>
      <c r="O37" s="168"/>
      <c r="P37" s="185">
        <v>0.87</v>
      </c>
      <c r="Q37" s="187">
        <v>0</v>
      </c>
      <c r="R37" s="187">
        <v>2604.6</v>
      </c>
      <c r="S37" s="187">
        <f t="shared" si="10"/>
        <v>2604.6</v>
      </c>
      <c r="T37" s="186">
        <f t="shared" si="11"/>
        <v>2107.3818600000004</v>
      </c>
      <c r="U37" s="191">
        <f t="shared" si="12"/>
        <v>3.5396990149738415E-3</v>
      </c>
      <c r="V37" s="186">
        <f t="shared" si="13"/>
        <v>158.62013999999988</v>
      </c>
      <c r="W37" s="191">
        <f t="shared" si="14"/>
        <v>1.4535484299167828E-3</v>
      </c>
      <c r="X37" s="163">
        <f t="shared" si="19"/>
        <v>0.93</v>
      </c>
      <c r="Y37" s="26"/>
      <c r="AA37" s="26"/>
      <c r="AD37" s="26"/>
      <c r="AE37" s="26"/>
      <c r="AF37" s="65"/>
    </row>
    <row r="38" spans="2:34" outlineLevel="2" x14ac:dyDescent="0.25">
      <c r="B38" s="168" t="s">
        <v>441</v>
      </c>
      <c r="C38" s="185">
        <v>0.87</v>
      </c>
      <c r="D38" s="92">
        <f t="shared" si="20"/>
        <v>90204.110729731736</v>
      </c>
      <c r="E38" s="170">
        <f t="shared" si="17"/>
        <v>0.12003795899244715</v>
      </c>
      <c r="F38" s="171">
        <f t="shared" si="21"/>
        <v>7118.2559369349037</v>
      </c>
      <c r="G38" s="172">
        <f t="shared" si="15"/>
        <v>5.3016802262705415E-2</v>
      </c>
      <c r="H38" s="92">
        <v>97322.36666666664</v>
      </c>
      <c r="I38" s="180">
        <v>0.92685899263716798</v>
      </c>
      <c r="J38" s="172">
        <v>0</v>
      </c>
      <c r="L38" s="168" t="s">
        <v>468</v>
      </c>
      <c r="M38" s="168"/>
      <c r="N38" s="168"/>
      <c r="O38" s="168"/>
      <c r="P38" s="185">
        <v>0.875</v>
      </c>
      <c r="Q38" s="187">
        <v>6226.3</v>
      </c>
      <c r="R38" s="187">
        <v>17429.8</v>
      </c>
      <c r="S38" s="187">
        <f t="shared" si="10"/>
        <v>23656.1</v>
      </c>
      <c r="T38" s="186">
        <f t="shared" si="11"/>
        <v>19250.151374999998</v>
      </c>
      <c r="U38" s="191">
        <f t="shared" si="12"/>
        <v>3.2333837143394988E-2</v>
      </c>
      <c r="V38" s="186">
        <f t="shared" si="13"/>
        <v>1448.9361249999988</v>
      </c>
      <c r="W38" s="191">
        <f t="shared" si="14"/>
        <v>1.3277625587415678E-2</v>
      </c>
      <c r="X38" s="163">
        <f t="shared" si="19"/>
        <v>0.93</v>
      </c>
      <c r="AD38" s="12"/>
      <c r="AE38" s="26"/>
      <c r="AF38" s="65"/>
    </row>
    <row r="39" spans="2:34" outlineLevel="2" x14ac:dyDescent="0.25">
      <c r="B39" s="168" t="s">
        <v>442</v>
      </c>
      <c r="C39" s="185">
        <v>0.91</v>
      </c>
      <c r="D39" s="92">
        <f t="shared" si="20"/>
        <v>29382.974831585889</v>
      </c>
      <c r="E39" s="170">
        <f t="shared" si="17"/>
        <v>4.0898763293892797E-2</v>
      </c>
      <c r="F39" s="171">
        <f t="shared" si="21"/>
        <v>2318.69183508071</v>
      </c>
      <c r="G39" s="172">
        <f t="shared" si="15"/>
        <v>1.8063633075250322E-2</v>
      </c>
      <c r="H39" s="92">
        <v>31701.666666666599</v>
      </c>
      <c r="I39" s="180">
        <v>0.92685899263716798</v>
      </c>
      <c r="J39" s="172">
        <v>1</v>
      </c>
      <c r="L39" s="168" t="s">
        <v>554</v>
      </c>
      <c r="M39" s="168"/>
      <c r="N39" s="168"/>
      <c r="O39" s="168"/>
      <c r="P39" s="185">
        <v>0.87</v>
      </c>
      <c r="Q39" s="187">
        <v>0</v>
      </c>
      <c r="R39" s="187">
        <v>0</v>
      </c>
      <c r="S39" s="187">
        <f t="shared" si="10"/>
        <v>0</v>
      </c>
      <c r="T39" s="186">
        <f t="shared" si="11"/>
        <v>0</v>
      </c>
      <c r="U39" s="191">
        <f t="shared" si="12"/>
        <v>0</v>
      </c>
      <c r="V39" s="186">
        <f t="shared" si="13"/>
        <v>0</v>
      </c>
      <c r="W39" s="191">
        <f t="shared" si="14"/>
        <v>0</v>
      </c>
      <c r="X39" s="163">
        <f t="shared" si="19"/>
        <v>0.93</v>
      </c>
      <c r="AB39" s="12"/>
      <c r="AC39" s="12"/>
      <c r="AD39" s="12"/>
      <c r="AE39" s="26"/>
      <c r="AF39" s="65"/>
    </row>
    <row r="40" spans="2:34" outlineLevel="2" x14ac:dyDescent="0.25">
      <c r="B40" s="168" t="s">
        <v>443</v>
      </c>
      <c r="C40" s="185">
        <v>0.87</v>
      </c>
      <c r="D40" s="92">
        <f t="shared" si="20"/>
        <v>15543.487097124786</v>
      </c>
      <c r="E40" s="170">
        <f t="shared" si="17"/>
        <v>2.0684295334994267E-2</v>
      </c>
      <c r="F40" s="171">
        <f t="shared" si="21"/>
        <v>1226.5795695418474</v>
      </c>
      <c r="G40" s="172">
        <f t="shared" si="15"/>
        <v>9.1355701556687548E-3</v>
      </c>
      <c r="H40" s="92">
        <v>16770.066666666633</v>
      </c>
      <c r="I40" s="180">
        <v>0.92685899263716798</v>
      </c>
      <c r="J40" s="172">
        <v>1</v>
      </c>
      <c r="L40" s="168" t="s">
        <v>405</v>
      </c>
      <c r="M40" s="168"/>
      <c r="N40" s="168"/>
      <c r="O40" s="168"/>
      <c r="P40" s="185">
        <v>0.89500000000000002</v>
      </c>
      <c r="Q40" s="187">
        <v>143785.1</v>
      </c>
      <c r="R40" s="187">
        <v>34843</v>
      </c>
      <c r="S40" s="187">
        <f t="shared" si="10"/>
        <v>178628.1</v>
      </c>
      <c r="T40" s="186">
        <f t="shared" si="11"/>
        <v>148681.09903499999</v>
      </c>
      <c r="U40" s="191">
        <f t="shared" si="12"/>
        <v>0.2497346825408365</v>
      </c>
      <c r="V40" s="186">
        <f t="shared" si="13"/>
        <v>11191.050464999993</v>
      </c>
      <c r="W40" s="191">
        <f t="shared" si="14"/>
        <v>0.1025515034378373</v>
      </c>
      <c r="X40" s="163">
        <f t="shared" si="19"/>
        <v>0.93</v>
      </c>
      <c r="AB40" s="12"/>
      <c r="AC40" s="12"/>
      <c r="AD40" s="12"/>
      <c r="AE40" s="26"/>
      <c r="AF40" s="65"/>
    </row>
    <row r="41" spans="2:34" outlineLevel="2" x14ac:dyDescent="0.25">
      <c r="B41" s="168" t="s">
        <v>444</v>
      </c>
      <c r="C41" s="185">
        <v>0.87</v>
      </c>
      <c r="D41" s="92">
        <f t="shared" si="20"/>
        <v>39489.568868500683</v>
      </c>
      <c r="E41" s="170">
        <f t="shared" si="17"/>
        <v>5.2550235350905056E-2</v>
      </c>
      <c r="F41" s="171">
        <f t="shared" si="21"/>
        <v>3116.2311314993494</v>
      </c>
      <c r="G41" s="172">
        <f t="shared" si="15"/>
        <v>2.320970349581554E-2</v>
      </c>
      <c r="H41" s="92">
        <v>42605.800000000032</v>
      </c>
      <c r="I41" s="180">
        <v>0.92685899263716798</v>
      </c>
      <c r="J41" s="172">
        <v>1</v>
      </c>
      <c r="L41" s="168" t="s">
        <v>470</v>
      </c>
      <c r="M41" s="168"/>
      <c r="N41" s="168"/>
      <c r="O41" s="168"/>
      <c r="P41" s="185">
        <v>0.91</v>
      </c>
      <c r="Q41" s="187">
        <v>1937.9</v>
      </c>
      <c r="R41" s="187">
        <v>489</v>
      </c>
      <c r="S41" s="187">
        <f t="shared" si="10"/>
        <v>2426.9</v>
      </c>
      <c r="T41" s="186">
        <f t="shared" si="11"/>
        <v>2053.8854700000002</v>
      </c>
      <c r="U41" s="191">
        <f t="shared" si="12"/>
        <v>3.4498429131529511E-3</v>
      </c>
      <c r="V41" s="186">
        <f t="shared" si="13"/>
        <v>154.5935299999999</v>
      </c>
      <c r="W41" s="191">
        <f t="shared" si="14"/>
        <v>1.4166497571291583E-3</v>
      </c>
      <c r="X41" s="163">
        <f t="shared" si="19"/>
        <v>0.93</v>
      </c>
      <c r="AB41" s="12"/>
      <c r="AC41" s="12"/>
      <c r="AD41" s="12"/>
      <c r="AE41" s="26"/>
      <c r="AF41" s="65"/>
    </row>
    <row r="42" spans="2:34" outlineLevel="2" x14ac:dyDescent="0.25">
      <c r="B42" s="168" t="s">
        <v>446</v>
      </c>
      <c r="C42" s="185">
        <v>0.9</v>
      </c>
      <c r="D42" s="92">
        <f t="shared" si="20"/>
        <v>103581.4047798645</v>
      </c>
      <c r="E42" s="170">
        <f t="shared" si="17"/>
        <v>0.14259271119257511</v>
      </c>
      <c r="F42" s="171">
        <f t="shared" si="21"/>
        <v>8173.8952201354987</v>
      </c>
      <c r="G42" s="172">
        <f t="shared" si="15"/>
        <v>6.297849144432284E-2</v>
      </c>
      <c r="H42" s="92">
        <v>111755.3</v>
      </c>
      <c r="I42" s="180">
        <v>0.92685899263716798</v>
      </c>
      <c r="J42" s="172">
        <v>0.60570716705655525</v>
      </c>
      <c r="L42" s="168" t="s">
        <v>465</v>
      </c>
      <c r="M42" s="168"/>
      <c r="N42" s="168"/>
      <c r="O42" s="168"/>
      <c r="P42" s="185">
        <v>0.91</v>
      </c>
      <c r="Q42" s="187">
        <v>1397.8</v>
      </c>
      <c r="R42" s="187">
        <v>14372</v>
      </c>
      <c r="S42" s="187">
        <f t="shared" si="10"/>
        <v>15769.8</v>
      </c>
      <c r="T42" s="186">
        <f t="shared" si="11"/>
        <v>13345.981740000001</v>
      </c>
      <c r="U42" s="191">
        <f t="shared" si="12"/>
        <v>2.2416800350998974E-2</v>
      </c>
      <c r="V42" s="186">
        <f t="shared" si="13"/>
        <v>1004.5362599999994</v>
      </c>
      <c r="W42" s="191">
        <f t="shared" si="14"/>
        <v>9.2052755943695247E-3</v>
      </c>
      <c r="X42" s="163">
        <f t="shared" si="19"/>
        <v>0.93</v>
      </c>
      <c r="AB42" s="12"/>
      <c r="AC42" s="12"/>
      <c r="AD42" s="12"/>
      <c r="AE42" s="26"/>
      <c r="AF42" s="65"/>
    </row>
    <row r="43" spans="2:34" outlineLevel="2" x14ac:dyDescent="0.25">
      <c r="B43" s="168" t="s">
        <v>447</v>
      </c>
      <c r="C43" s="185">
        <v>0.92</v>
      </c>
      <c r="D43" s="92">
        <f t="shared" si="20"/>
        <v>3649.7235506071347</v>
      </c>
      <c r="E43" s="170">
        <f t="shared" si="17"/>
        <v>5.1359503625540851E-3</v>
      </c>
      <c r="F43" s="171">
        <f t="shared" si="21"/>
        <v>288.0097827262025</v>
      </c>
      <c r="G43" s="172">
        <f t="shared" si="15"/>
        <v>2.2683796616346378E-3</v>
      </c>
      <c r="H43" s="92">
        <v>3937.7333333333372</v>
      </c>
      <c r="I43" s="180">
        <v>0.92685899263716798</v>
      </c>
      <c r="J43" s="172">
        <v>1</v>
      </c>
      <c r="L43" s="168" t="s">
        <v>471</v>
      </c>
      <c r="M43" s="168"/>
      <c r="N43" s="168"/>
      <c r="O43" s="168"/>
      <c r="P43" s="185">
        <v>0.9</v>
      </c>
      <c r="Q43" s="187">
        <v>3732.3</v>
      </c>
      <c r="R43" s="187">
        <v>1118</v>
      </c>
      <c r="S43" s="187">
        <f t="shared" si="10"/>
        <v>4850.3</v>
      </c>
      <c r="T43" s="186">
        <f t="shared" si="11"/>
        <v>4059.7011000000007</v>
      </c>
      <c r="U43" s="191">
        <f t="shared" si="12"/>
        <v>6.8189445195083057E-3</v>
      </c>
      <c r="V43" s="186">
        <f t="shared" si="13"/>
        <v>305.56889999999981</v>
      </c>
      <c r="W43" s="191">
        <f t="shared" si="14"/>
        <v>2.8001437574471846E-3</v>
      </c>
      <c r="X43" s="163">
        <f t="shared" si="19"/>
        <v>0.93</v>
      </c>
      <c r="AB43" s="12"/>
      <c r="AC43" s="12"/>
      <c r="AD43" s="12"/>
      <c r="AE43" s="26"/>
      <c r="AF43" s="65"/>
    </row>
    <row r="44" spans="2:34" outlineLevel="2" x14ac:dyDescent="0.25">
      <c r="B44" s="168" t="s">
        <v>451</v>
      </c>
      <c r="C44" s="185">
        <v>0.9</v>
      </c>
      <c r="D44" s="92">
        <f t="shared" si="20"/>
        <v>2313.4678513921531</v>
      </c>
      <c r="E44" s="170">
        <f t="shared" si="17"/>
        <v>3.1847767839020039E-3</v>
      </c>
      <c r="F44" s="171">
        <f t="shared" si="21"/>
        <v>182.56214860784985</v>
      </c>
      <c r="G44" s="172">
        <f t="shared" si="15"/>
        <v>1.4066107289745849E-3</v>
      </c>
      <c r="H44" s="92">
        <f>2773.36666666667*0.9</f>
        <v>2496.0300000000029</v>
      </c>
      <c r="I44" s="180">
        <v>0.92685899263716798</v>
      </c>
      <c r="J44" s="172">
        <v>0.40587012896078656</v>
      </c>
      <c r="L44" s="168" t="s">
        <v>410</v>
      </c>
      <c r="M44" s="168"/>
      <c r="N44" s="168"/>
      <c r="O44" s="168"/>
      <c r="P44" s="185">
        <v>0.87</v>
      </c>
      <c r="Q44" s="187">
        <v>54666.9</v>
      </c>
      <c r="R44" s="187">
        <v>0</v>
      </c>
      <c r="S44" s="187">
        <f t="shared" si="10"/>
        <v>54666.9</v>
      </c>
      <c r="T44" s="186">
        <f t="shared" si="11"/>
        <v>44230.988790000003</v>
      </c>
      <c r="U44" s="191">
        <f t="shared" si="12"/>
        <v>7.4293316471501752E-2</v>
      </c>
      <c r="V44" s="186">
        <f t="shared" si="13"/>
        <v>3329.2142099999978</v>
      </c>
      <c r="W44" s="191">
        <f t="shared" si="14"/>
        <v>3.0507942357144199E-2</v>
      </c>
      <c r="X44" s="163">
        <f t="shared" si="19"/>
        <v>0.93</v>
      </c>
      <c r="AB44" s="12"/>
      <c r="AC44" s="12"/>
      <c r="AD44" s="12"/>
      <c r="AE44" s="26"/>
      <c r="AF44" s="65"/>
    </row>
    <row r="45" spans="2:34" outlineLevel="2" x14ac:dyDescent="0.25">
      <c r="B45" s="168" t="s">
        <v>452</v>
      </c>
      <c r="C45" s="185">
        <v>0.9</v>
      </c>
      <c r="D45" s="92">
        <f t="shared" si="20"/>
        <v>257.05198348801702</v>
      </c>
      <c r="E45" s="170">
        <f t="shared" si="17"/>
        <v>3.5386408710022266E-4</v>
      </c>
      <c r="F45" s="171">
        <f t="shared" si="21"/>
        <v>20.284683178649971</v>
      </c>
      <c r="G45" s="172">
        <f t="shared" si="15"/>
        <v>1.5629008099717602E-4</v>
      </c>
      <c r="H45" s="92">
        <f>2773.36666666667*0.1</f>
        <v>277.33666666666699</v>
      </c>
      <c r="I45" s="180">
        <v>0.92685899263716798</v>
      </c>
      <c r="J45" s="172">
        <v>0.40587012896078656</v>
      </c>
      <c r="L45" s="168" t="s">
        <v>555</v>
      </c>
      <c r="M45" s="168"/>
      <c r="N45" s="168"/>
      <c r="O45" s="168"/>
      <c r="P45" s="185">
        <v>0.878</v>
      </c>
      <c r="Q45" s="187">
        <v>142</v>
      </c>
      <c r="R45" s="187">
        <v>0</v>
      </c>
      <c r="S45" s="187">
        <f t="shared" si="10"/>
        <v>142</v>
      </c>
      <c r="T45" s="186">
        <f t="shared" si="11"/>
        <v>115.94868</v>
      </c>
      <c r="U45" s="191">
        <f t="shared" si="12"/>
        <v>1.9475513013266472E-4</v>
      </c>
      <c r="V45" s="186">
        <f t="shared" si="13"/>
        <v>8.7273199999999935</v>
      </c>
      <c r="W45" s="191">
        <f t="shared" si="14"/>
        <v>7.9974600220257885E-5</v>
      </c>
      <c r="X45" s="163">
        <f t="shared" si="19"/>
        <v>0.93</v>
      </c>
      <c r="AB45" s="12"/>
      <c r="AC45" s="12"/>
      <c r="AD45" s="12"/>
      <c r="AE45" s="26"/>
      <c r="AF45" s="65"/>
    </row>
    <row r="46" spans="2:34" outlineLevel="2" x14ac:dyDescent="0.25">
      <c r="B46" s="168" t="s">
        <v>448</v>
      </c>
      <c r="C46" s="185">
        <v>1</v>
      </c>
      <c r="D46" s="92">
        <f t="shared" si="20"/>
        <v>19145.662781409661</v>
      </c>
      <c r="E46" s="170">
        <f t="shared" si="17"/>
        <v>2.9284878447717939E-2</v>
      </c>
      <c r="F46" s="171">
        <f t="shared" si="21"/>
        <v>1510.837218590339</v>
      </c>
      <c r="G46" s="172">
        <f t="shared" si="15"/>
        <v>1.2934163684403482E-2</v>
      </c>
      <c r="H46" s="92">
        <v>20656.5</v>
      </c>
      <c r="I46" s="180">
        <v>0.92685899263716798</v>
      </c>
      <c r="J46" s="172">
        <v>0.2671631311304497</v>
      </c>
      <c r="L46" s="168" t="s">
        <v>556</v>
      </c>
      <c r="M46" s="168"/>
      <c r="N46" s="168"/>
      <c r="O46" s="168"/>
      <c r="P46" s="185">
        <v>0.87599999999999989</v>
      </c>
      <c r="Q46" s="187">
        <v>6539</v>
      </c>
      <c r="R46" s="187">
        <v>0</v>
      </c>
      <c r="S46" s="187">
        <f t="shared" si="10"/>
        <v>6539</v>
      </c>
      <c r="T46" s="186">
        <f t="shared" si="11"/>
        <v>5327.1925199999996</v>
      </c>
      <c r="U46" s="191">
        <f t="shared" si="12"/>
        <v>8.9479075783731061E-3</v>
      </c>
      <c r="V46" s="186">
        <f t="shared" si="13"/>
        <v>400.97147999999964</v>
      </c>
      <c r="W46" s="191">
        <f t="shared" si="14"/>
        <v>3.6743850131225994E-3</v>
      </c>
      <c r="X46" s="163">
        <f t="shared" si="19"/>
        <v>0.93</v>
      </c>
      <c r="AB46" s="12"/>
      <c r="AC46" s="12"/>
      <c r="AD46" s="12"/>
      <c r="AE46" s="26"/>
      <c r="AF46" s="65"/>
    </row>
    <row r="47" spans="2:34" outlineLevel="2" x14ac:dyDescent="0.25">
      <c r="B47" s="168" t="s">
        <v>449</v>
      </c>
      <c r="C47" s="185">
        <v>1</v>
      </c>
      <c r="D47" s="92">
        <f t="shared" si="20"/>
        <v>35644.185384547847</v>
      </c>
      <c r="E47" s="170">
        <f t="shared" si="17"/>
        <v>5.4520736538197417E-2</v>
      </c>
      <c r="F47" s="171">
        <f t="shared" si="21"/>
        <v>2812.7812821188563</v>
      </c>
      <c r="G47" s="172">
        <f t="shared" si="15"/>
        <v>2.4080008794922475E-2</v>
      </c>
      <c r="H47" s="92">
        <v>38456.966666666704</v>
      </c>
      <c r="I47" s="180">
        <v>0.92685899263716798</v>
      </c>
      <c r="J47" s="172">
        <v>0.14385536511797675</v>
      </c>
      <c r="L47" s="168" t="s">
        <v>557</v>
      </c>
      <c r="M47" s="168"/>
      <c r="N47" s="168"/>
      <c r="O47" s="168"/>
      <c r="P47" s="185">
        <v>0.87599999999999989</v>
      </c>
      <c r="Q47" s="187">
        <v>738</v>
      </c>
      <c r="R47" s="187">
        <v>0</v>
      </c>
      <c r="S47" s="187">
        <f t="shared" si="10"/>
        <v>738</v>
      </c>
      <c r="T47" s="186">
        <f t="shared" si="11"/>
        <v>601.23383999999999</v>
      </c>
      <c r="U47" s="191">
        <f t="shared" si="12"/>
        <v>1.0098724258815342E-3</v>
      </c>
      <c r="V47" s="186">
        <f t="shared" si="13"/>
        <v>45.254159999999963</v>
      </c>
      <c r="W47" s="191">
        <f t="shared" si="14"/>
        <v>4.146958464114511E-4</v>
      </c>
      <c r="X47" s="163">
        <f t="shared" si="19"/>
        <v>0.93</v>
      </c>
      <c r="AB47" s="12"/>
      <c r="AC47" s="12"/>
      <c r="AD47" s="12"/>
      <c r="AE47" s="26"/>
      <c r="AF47" s="65"/>
    </row>
    <row r="48" spans="2:34" outlineLevel="2" x14ac:dyDescent="0.25">
      <c r="B48" s="168" t="s">
        <v>458</v>
      </c>
      <c r="C48" s="185">
        <v>0.9</v>
      </c>
      <c r="D48" s="92">
        <f t="shared" si="20"/>
        <v>38744.652296118176</v>
      </c>
      <c r="E48" s="170">
        <f t="shared" si="17"/>
        <v>5.3336841944347575E-2</v>
      </c>
      <c r="F48" s="171">
        <f t="shared" si="21"/>
        <v>3057.4477038818441</v>
      </c>
      <c r="G48" s="172">
        <f t="shared" si="15"/>
        <v>2.3557121650648622E-2</v>
      </c>
      <c r="H48" s="92">
        <f>69670.1666666667*0.6</f>
        <v>41802.10000000002</v>
      </c>
      <c r="I48" s="180">
        <v>0.92685899263716798</v>
      </c>
      <c r="J48" s="172">
        <v>0.46986991038291381</v>
      </c>
      <c r="L48" s="168" t="s">
        <v>558</v>
      </c>
      <c r="M48" s="168"/>
      <c r="N48" s="168"/>
      <c r="O48" s="168"/>
      <c r="P48" s="185">
        <v>0.87599999999999989</v>
      </c>
      <c r="Q48" s="187">
        <v>2276</v>
      </c>
      <c r="R48" s="187">
        <v>0</v>
      </c>
      <c r="S48" s="187">
        <f t="shared" si="10"/>
        <v>2276</v>
      </c>
      <c r="T48" s="186">
        <f>S48*X48*P48</f>
        <v>1854.2116800000001</v>
      </c>
      <c r="U48" s="191">
        <f t="shared" si="12"/>
        <v>3.1144575085452196E-3</v>
      </c>
      <c r="V48" s="186">
        <f t="shared" si="13"/>
        <v>139.56431999999987</v>
      </c>
      <c r="W48" s="191">
        <f t="shared" si="14"/>
        <v>1.2789264856808435E-3</v>
      </c>
      <c r="X48" s="163">
        <f t="shared" si="19"/>
        <v>0.93</v>
      </c>
      <c r="AB48" s="12"/>
      <c r="AC48" s="12"/>
      <c r="AD48" s="12"/>
      <c r="AE48" s="26"/>
      <c r="AF48" s="65"/>
    </row>
    <row r="49" spans="2:44" outlineLevel="2" x14ac:dyDescent="0.25">
      <c r="B49" s="168" t="s">
        <v>457</v>
      </c>
      <c r="C49" s="185">
        <v>0.75</v>
      </c>
      <c r="D49" s="92">
        <f t="shared" si="20"/>
        <v>25829.768197412119</v>
      </c>
      <c r="E49" s="170">
        <f t="shared" si="17"/>
        <v>2.963157885797087E-2</v>
      </c>
      <c r="F49" s="171">
        <f t="shared" si="21"/>
        <v>2038.2984692545615</v>
      </c>
      <c r="G49" s="172">
        <f t="shared" si="15"/>
        <v>1.3087289805915893E-2</v>
      </c>
      <c r="H49" s="92">
        <f>69670.1666666667*0.4</f>
        <v>27868.06666666668</v>
      </c>
      <c r="I49" s="180">
        <v>0.92685899263716798</v>
      </c>
      <c r="J49" s="172">
        <v>0.46986991038291381</v>
      </c>
      <c r="L49" s="168" t="s">
        <v>406</v>
      </c>
      <c r="M49" s="168"/>
      <c r="N49" s="168"/>
      <c r="O49" s="168"/>
      <c r="P49" s="185">
        <v>0.9</v>
      </c>
      <c r="Q49" s="187">
        <v>56803</v>
      </c>
      <c r="R49" s="187">
        <v>0</v>
      </c>
      <c r="S49" s="187">
        <f t="shared" si="10"/>
        <v>56803</v>
      </c>
      <c r="T49" s="186">
        <f t="shared" si="11"/>
        <v>47544.111000000004</v>
      </c>
      <c r="U49" s="191">
        <f t="shared" si="12"/>
        <v>7.9858257332872246E-2</v>
      </c>
      <c r="V49" s="186">
        <f t="shared" si="13"/>
        <v>3578.5889999999977</v>
      </c>
      <c r="W49" s="191">
        <f t="shared" si="14"/>
        <v>3.2793139775740145E-2</v>
      </c>
      <c r="X49" s="163">
        <f t="shared" si="19"/>
        <v>0.93</v>
      </c>
      <c r="AB49" s="12"/>
      <c r="AC49" s="12"/>
      <c r="AD49" s="12"/>
      <c r="AE49" s="26"/>
      <c r="AF49" s="65"/>
    </row>
    <row r="50" spans="2:44" outlineLevel="2" x14ac:dyDescent="0.25">
      <c r="B50" s="174" t="s">
        <v>450</v>
      </c>
      <c r="C50" s="174"/>
      <c r="D50" s="175">
        <v>692.67262049750991</v>
      </c>
      <c r="E50" s="176"/>
      <c r="F50" s="177">
        <v>54.660712835823112</v>
      </c>
      <c r="G50" s="178"/>
      <c r="H50" s="92"/>
      <c r="I50" s="181">
        <v>0.92685899263716798</v>
      </c>
      <c r="J50" s="178">
        <v>0.15455308043620117</v>
      </c>
      <c r="L50" s="168" t="s">
        <v>559</v>
      </c>
      <c r="M50" s="168"/>
      <c r="N50" s="168"/>
      <c r="O50" s="168"/>
      <c r="P50" s="185">
        <v>0.9</v>
      </c>
      <c r="Q50" s="187"/>
      <c r="R50" s="187"/>
      <c r="S50" s="187">
        <f t="shared" si="10"/>
        <v>0</v>
      </c>
      <c r="T50" s="186">
        <f t="shared" si="11"/>
        <v>0</v>
      </c>
      <c r="U50" s="191">
        <f t="shared" si="12"/>
        <v>0</v>
      </c>
      <c r="V50" s="186">
        <f t="shared" si="13"/>
        <v>0</v>
      </c>
      <c r="W50" s="191">
        <f t="shared" si="14"/>
        <v>0</v>
      </c>
      <c r="X50" s="163">
        <f t="shared" si="19"/>
        <v>0.93</v>
      </c>
      <c r="AA50" s="1"/>
      <c r="AB50" s="12"/>
      <c r="AC50" s="12"/>
      <c r="AF50" s="32"/>
    </row>
    <row r="51" spans="2:44" outlineLevel="2" x14ac:dyDescent="0.25">
      <c r="L51" s="168" t="s">
        <v>560</v>
      </c>
      <c r="M51" s="168"/>
      <c r="N51" s="168"/>
      <c r="O51" s="168"/>
      <c r="P51" s="185">
        <v>0.88500000000000001</v>
      </c>
      <c r="Q51" s="187">
        <v>198</v>
      </c>
      <c r="R51" s="187">
        <v>1547.5</v>
      </c>
      <c r="S51" s="187">
        <f t="shared" si="10"/>
        <v>1745.5</v>
      </c>
      <c r="T51" s="186">
        <f t="shared" si="11"/>
        <v>1436.633775</v>
      </c>
      <c r="U51" s="191">
        <f t="shared" si="12"/>
        <v>2.4130658305304242E-3</v>
      </c>
      <c r="V51" s="186">
        <f t="shared" si="13"/>
        <v>108.13372499999993</v>
      </c>
      <c r="W51" s="191">
        <f t="shared" si="14"/>
        <v>9.9090573362754049E-4</v>
      </c>
      <c r="X51" s="163">
        <f t="shared" si="19"/>
        <v>0.93</v>
      </c>
      <c r="AB51" s="12"/>
      <c r="AC51" s="12"/>
    </row>
    <row r="52" spans="2:44" outlineLevel="2" x14ac:dyDescent="0.25">
      <c r="L52" s="168" t="s">
        <v>474</v>
      </c>
      <c r="M52" s="168"/>
      <c r="N52" s="168"/>
      <c r="O52" s="168"/>
      <c r="P52" s="185">
        <v>0.755</v>
      </c>
      <c r="Q52" s="187">
        <v>22689.449999999997</v>
      </c>
      <c r="R52" s="187">
        <v>0</v>
      </c>
      <c r="S52" s="187">
        <f t="shared" si="10"/>
        <v>22689.449999999997</v>
      </c>
      <c r="T52" s="186">
        <f t="shared" si="11"/>
        <v>15931.397317500001</v>
      </c>
      <c r="U52" s="191">
        <f t="shared" si="12"/>
        <v>2.6759436655638499E-2</v>
      </c>
      <c r="V52" s="186">
        <f t="shared" si="13"/>
        <v>1199.137432499999</v>
      </c>
      <c r="W52" s="191">
        <f t="shared" si="14"/>
        <v>1.098854365066641E-2</v>
      </c>
      <c r="X52" s="163">
        <f t="shared" si="19"/>
        <v>0.93</v>
      </c>
    </row>
    <row r="53" spans="2:44" outlineLevel="2" x14ac:dyDescent="0.25">
      <c r="L53" s="168" t="s">
        <v>409</v>
      </c>
      <c r="M53" s="168"/>
      <c r="N53" s="168"/>
      <c r="O53" s="168"/>
      <c r="P53" s="185">
        <v>0.89500000000000002</v>
      </c>
      <c r="Q53" s="187">
        <v>9769.35</v>
      </c>
      <c r="R53" s="187">
        <v>27163.3</v>
      </c>
      <c r="S53" s="187">
        <f t="shared" si="10"/>
        <v>36932.65</v>
      </c>
      <c r="T53" s="186">
        <f t="shared" si="11"/>
        <v>30740.891227500004</v>
      </c>
      <c r="U53" s="191">
        <f t="shared" si="12"/>
        <v>5.1634449580675305E-2</v>
      </c>
      <c r="V53" s="186">
        <f t="shared" si="13"/>
        <v>2313.8305224999986</v>
      </c>
      <c r="W53" s="191">
        <f t="shared" si="14"/>
        <v>2.1203264119382347E-2</v>
      </c>
      <c r="X53" s="163">
        <f t="shared" si="19"/>
        <v>0.93</v>
      </c>
    </row>
    <row r="54" spans="2:44" outlineLevel="2" x14ac:dyDescent="0.25">
      <c r="L54" s="168" t="s">
        <v>561</v>
      </c>
      <c r="M54" s="168"/>
      <c r="N54" s="168"/>
      <c r="O54" s="168"/>
      <c r="P54" s="185">
        <v>0.97</v>
      </c>
      <c r="Q54" s="187">
        <v>0</v>
      </c>
      <c r="R54" s="187">
        <v>0</v>
      </c>
      <c r="S54" s="187">
        <f t="shared" si="10"/>
        <v>0</v>
      </c>
      <c r="T54" s="186">
        <f t="shared" si="11"/>
        <v>0</v>
      </c>
      <c r="U54" s="191">
        <f t="shared" si="12"/>
        <v>0</v>
      </c>
      <c r="V54" s="186">
        <f t="shared" si="13"/>
        <v>0</v>
      </c>
      <c r="W54" s="191">
        <f t="shared" si="14"/>
        <v>0</v>
      </c>
      <c r="X54" s="163">
        <f t="shared" si="19"/>
        <v>0.93</v>
      </c>
    </row>
    <row r="55" spans="2:44" outlineLevel="2" x14ac:dyDescent="0.25">
      <c r="L55" s="168" t="s">
        <v>472</v>
      </c>
      <c r="M55" s="168"/>
      <c r="N55" s="168"/>
      <c r="O55" s="168"/>
      <c r="P55" s="185">
        <v>0.91</v>
      </c>
      <c r="Q55" s="187">
        <v>135.5</v>
      </c>
      <c r="R55" s="187">
        <v>30.8</v>
      </c>
      <c r="S55" s="187">
        <f t="shared" si="10"/>
        <v>166.3</v>
      </c>
      <c r="T55" s="186">
        <f t="shared" si="11"/>
        <v>140.73969000000002</v>
      </c>
      <c r="U55" s="191">
        <f t="shared" si="12"/>
        <v>2.3639576268380891E-4</v>
      </c>
      <c r="V55" s="186">
        <f t="shared" si="13"/>
        <v>10.593309999999994</v>
      </c>
      <c r="W55" s="191">
        <f t="shared" si="14"/>
        <v>9.7073985170620562E-5</v>
      </c>
      <c r="X55" s="163">
        <f t="shared" si="19"/>
        <v>0.93</v>
      </c>
      <c r="Z55" s="264"/>
      <c r="AA55" s="265"/>
      <c r="AB55" s="266"/>
      <c r="AC55" s="267"/>
    </row>
    <row r="56" spans="2:44" outlineLevel="2" x14ac:dyDescent="0.25">
      <c r="L56" s="168" t="s">
        <v>562</v>
      </c>
      <c r="M56" s="168"/>
      <c r="N56" s="168"/>
      <c r="O56" s="168"/>
      <c r="P56" s="185">
        <v>0.92</v>
      </c>
      <c r="Q56" s="187">
        <v>0</v>
      </c>
      <c r="R56" s="187">
        <v>0</v>
      </c>
      <c r="S56" s="187">
        <f t="shared" si="10"/>
        <v>0</v>
      </c>
      <c r="T56" s="186">
        <f t="shared" si="11"/>
        <v>0</v>
      </c>
      <c r="U56" s="191">
        <f t="shared" si="12"/>
        <v>0</v>
      </c>
      <c r="V56" s="186">
        <f t="shared" si="13"/>
        <v>0</v>
      </c>
      <c r="W56" s="191">
        <f t="shared" si="14"/>
        <v>0</v>
      </c>
      <c r="X56" s="163">
        <f t="shared" si="19"/>
        <v>0.93</v>
      </c>
    </row>
    <row r="57" spans="2:44" outlineLevel="2" x14ac:dyDescent="0.25">
      <c r="L57" s="174" t="s">
        <v>421</v>
      </c>
      <c r="M57" s="174"/>
      <c r="N57" s="174"/>
      <c r="O57" s="174"/>
      <c r="P57" s="249">
        <v>1</v>
      </c>
      <c r="Q57" s="250">
        <v>16268</v>
      </c>
      <c r="R57" s="250">
        <v>1347.3</v>
      </c>
      <c r="S57" s="250">
        <f t="shared" si="10"/>
        <v>17615.3</v>
      </c>
      <c r="T57" s="251">
        <f t="shared" si="11"/>
        <v>16382.228999999999</v>
      </c>
      <c r="U57" s="252"/>
      <c r="V57" s="251">
        <f t="shared" si="13"/>
        <v>1233.070999999999</v>
      </c>
      <c r="W57" s="252"/>
      <c r="X57" s="253">
        <f t="shared" si="19"/>
        <v>0.93</v>
      </c>
      <c r="Z57" s="261" t="s">
        <v>606</v>
      </c>
      <c r="AA57" s="261"/>
      <c r="AB57" s="261"/>
      <c r="AC57" s="260"/>
      <c r="AE57" t="s">
        <v>607</v>
      </c>
      <c r="AQ57" s="12"/>
      <c r="AR57" s="26"/>
    </row>
    <row r="58" spans="2:44" outlineLevel="2" x14ac:dyDescent="0.25">
      <c r="Z58" s="261" t="s">
        <v>608</v>
      </c>
      <c r="AA58" s="261"/>
      <c r="AB58" s="261"/>
      <c r="AC58" s="260"/>
      <c r="AE58" t="s">
        <v>1</v>
      </c>
      <c r="AG58">
        <v>9</v>
      </c>
      <c r="AH58" t="s">
        <v>9</v>
      </c>
      <c r="AQ58" s="12"/>
      <c r="AR58" s="26"/>
    </row>
    <row r="59" spans="2:44" outlineLevel="1" x14ac:dyDescent="0.25">
      <c r="S59" s="184" t="s">
        <v>567</v>
      </c>
      <c r="T59" s="12">
        <f>SUM(T26:T31)</f>
        <v>133223.58807869646</v>
      </c>
      <c r="U59" s="26">
        <f>T59/SUM(T$59:T$60)</f>
        <v>0.22377121699882263</v>
      </c>
      <c r="V59" s="12">
        <f>SUM(V26:V31)</f>
        <v>74341.969921303564</v>
      </c>
      <c r="W59" s="26">
        <f>V59/SUM(V$59:V$60)</f>
        <v>0.68124800328654078</v>
      </c>
      <c r="Z59" s="260" t="s">
        <v>602</v>
      </c>
      <c r="AA59" s="261"/>
      <c r="AB59" s="261"/>
      <c r="AC59" s="260"/>
      <c r="AE59" t="s">
        <v>5</v>
      </c>
      <c r="AG59">
        <v>14</v>
      </c>
      <c r="AH59" t="s">
        <v>9</v>
      </c>
      <c r="AI59" s="2"/>
      <c r="AQ59" s="12"/>
      <c r="AR59" s="26"/>
    </row>
    <row r="60" spans="2:44" x14ac:dyDescent="0.25">
      <c r="S60" s="184" t="s">
        <v>568</v>
      </c>
      <c r="T60" s="12">
        <f>SUM(T32:T56)</f>
        <v>462132.64166999998</v>
      </c>
      <c r="U60" s="26">
        <f>T60/SUM(T$59:T$60)</f>
        <v>0.77622878300117737</v>
      </c>
      <c r="V60" s="12">
        <f>SUM(V32:V56)</f>
        <v>34784.177329999977</v>
      </c>
      <c r="W60" s="26">
        <f>V60/SUM(V$59:V$60)</f>
        <v>0.31875199671345927</v>
      </c>
      <c r="AQ60" s="12"/>
      <c r="AR60" s="26"/>
    </row>
    <row r="61" spans="2:44" x14ac:dyDescent="0.25">
      <c r="W61" s="262" t="s">
        <v>603</v>
      </c>
      <c r="X61" s="263">
        <v>1</v>
      </c>
      <c r="Y61" s="263">
        <v>1</v>
      </c>
      <c r="Z61" s="263">
        <v>1</v>
      </c>
      <c r="AA61" s="263">
        <v>1</v>
      </c>
      <c r="AB61" s="263">
        <v>1</v>
      </c>
      <c r="AC61" s="263">
        <v>1</v>
      </c>
      <c r="AD61" s="263">
        <v>1</v>
      </c>
      <c r="AE61" s="263">
        <v>0.65</v>
      </c>
      <c r="AF61" s="263">
        <v>1</v>
      </c>
      <c r="AG61" s="263">
        <v>1</v>
      </c>
      <c r="AH61" s="263">
        <v>1</v>
      </c>
      <c r="AI61" s="263">
        <v>1</v>
      </c>
      <c r="AJ61" s="263">
        <v>1</v>
      </c>
      <c r="AK61" s="263">
        <v>0.65</v>
      </c>
      <c r="AL61" s="263">
        <v>1</v>
      </c>
    </row>
    <row r="62" spans="2:44" x14ac:dyDescent="0.25">
      <c r="T62" s="2"/>
      <c r="W62" s="272" t="s">
        <v>604</v>
      </c>
      <c r="X62" s="273">
        <f>1+(D72*(1-X61))/SUM(D67:D68)</f>
        <v>1</v>
      </c>
      <c r="Y62" s="273">
        <f>1+(E72*(1-Y61))/SUM(E67:E68)</f>
        <v>1</v>
      </c>
      <c r="Z62" s="263">
        <v>1</v>
      </c>
      <c r="AA62" s="273">
        <f t="shared" ref="AA62:AF62" si="22">1+(G72*(1-AA61))/SUM(G67:G68)</f>
        <v>1</v>
      </c>
      <c r="AB62" s="273">
        <f t="shared" si="22"/>
        <v>1</v>
      </c>
      <c r="AC62" s="273">
        <f t="shared" si="22"/>
        <v>1</v>
      </c>
      <c r="AD62" s="273">
        <f t="shared" si="22"/>
        <v>1</v>
      </c>
      <c r="AE62" s="273">
        <f t="shared" si="22"/>
        <v>1.0743640187232888</v>
      </c>
      <c r="AF62" s="273">
        <f t="shared" si="22"/>
        <v>1</v>
      </c>
      <c r="AG62" s="263">
        <v>1</v>
      </c>
      <c r="AH62" s="273">
        <f>1+(N72*(1-AH61))/SUM(N67:N68)</f>
        <v>1</v>
      </c>
      <c r="AI62" s="273">
        <f>1+(O72*(1-AI61))/SUM(O67:O68)</f>
        <v>1</v>
      </c>
      <c r="AJ62" s="273">
        <f>1+(P72*(1-AJ61))/SUM(P67:P68)</f>
        <v>1</v>
      </c>
      <c r="AK62" s="273">
        <f>1+(Q72*(1-AK61))/SUM(Q67:Q68)</f>
        <v>1.1155987682962838</v>
      </c>
      <c r="AL62" s="273">
        <f>1+(R72*(1-AL61))/SUM(R67:R68)</f>
        <v>1</v>
      </c>
    </row>
    <row r="63" spans="2:44" ht="60" x14ac:dyDescent="0.25">
      <c r="B63" s="6" t="s">
        <v>475</v>
      </c>
      <c r="C63" s="6"/>
      <c r="D63" s="90" t="s">
        <v>37</v>
      </c>
      <c r="E63" s="90" t="s">
        <v>37</v>
      </c>
      <c r="F63" s="90" t="s">
        <v>37</v>
      </c>
      <c r="G63" s="90" t="s">
        <v>37</v>
      </c>
      <c r="H63" s="90" t="s">
        <v>37</v>
      </c>
      <c r="I63" s="90" t="s">
        <v>37</v>
      </c>
      <c r="J63" s="90" t="s">
        <v>37</v>
      </c>
      <c r="K63" s="49" t="s">
        <v>2</v>
      </c>
      <c r="L63" s="49" t="s">
        <v>2</v>
      </c>
      <c r="M63" s="49" t="s">
        <v>2</v>
      </c>
      <c r="N63" s="49" t="s">
        <v>2</v>
      </c>
      <c r="O63" s="49" t="s">
        <v>2</v>
      </c>
      <c r="P63" s="49" t="s">
        <v>2</v>
      </c>
      <c r="Q63" s="49" t="s">
        <v>2</v>
      </c>
      <c r="R63" s="49" t="s">
        <v>2</v>
      </c>
      <c r="T63" s="2"/>
      <c r="X63" s="291" t="str">
        <f t="shared" ref="X63:Y63" si="23">D63&amp;D64&amp;D65</f>
        <v>beefcows</v>
      </c>
      <c r="Y63" s="291" t="str">
        <f t="shared" si="23"/>
        <v>beefbreeding bulls</v>
      </c>
      <c r="Z63" s="291" t="str">
        <f t="shared" ref="Z63:AF63" si="24">F63&amp;F64&amp;F65</f>
        <v>beefcalves, suckling</v>
      </c>
      <c r="AA63" s="291" t="str">
        <f t="shared" si="24"/>
        <v>beefheifers</v>
      </c>
      <c r="AB63" s="291" t="str">
        <f t="shared" si="24"/>
        <v>beefsteers</v>
      </c>
      <c r="AC63" s="291" t="str">
        <f t="shared" si="24"/>
        <v>beefbulls</v>
      </c>
      <c r="AD63" s="291" t="str">
        <f t="shared" si="24"/>
        <v>beefmaize basedbulls</v>
      </c>
      <c r="AE63" s="291" t="str">
        <f t="shared" si="24"/>
        <v>dairycows</v>
      </c>
      <c r="AF63" s="291" t="str">
        <f t="shared" si="24"/>
        <v>dairybreeding bulls</v>
      </c>
      <c r="AG63" s="291" t="str">
        <f t="shared" ref="AG63:AL63" si="25">M63&amp;M64&amp;M65</f>
        <v>dairycalves, suckling</v>
      </c>
      <c r="AH63" s="291" t="str">
        <f t="shared" si="25"/>
        <v>dairyheifers</v>
      </c>
      <c r="AI63" s="291" t="str">
        <f t="shared" si="25"/>
        <v>dairysteers</v>
      </c>
      <c r="AJ63" s="291" t="str">
        <f t="shared" si="25"/>
        <v>dairybulls</v>
      </c>
      <c r="AK63" s="291" t="str">
        <f t="shared" si="25"/>
        <v>dairymaize basedcows</v>
      </c>
      <c r="AL63" s="291" t="str">
        <f t="shared" si="25"/>
        <v>dairymaize basedbulls</v>
      </c>
    </row>
    <row r="64" spans="2:44" outlineLevel="2" x14ac:dyDescent="0.25">
      <c r="B64" s="6" t="s">
        <v>476</v>
      </c>
      <c r="C64" s="6"/>
      <c r="J64" t="s">
        <v>407</v>
      </c>
      <c r="Q64" t="s">
        <v>407</v>
      </c>
      <c r="R64" t="s">
        <v>407</v>
      </c>
      <c r="T64" s="2"/>
      <c r="U64" s="110" t="str">
        <f>B67</f>
        <v>ley silage, 1st cut</v>
      </c>
      <c r="X64" s="13">
        <f t="shared" ref="X64:AF64" si="26">X62*D67/D$117*100</f>
        <v>0</v>
      </c>
      <c r="Y64" s="13">
        <f t="shared" si="26"/>
        <v>0</v>
      </c>
      <c r="Z64" s="13">
        <f t="shared" si="26"/>
        <v>0</v>
      </c>
      <c r="AA64" s="13">
        <f t="shared" si="26"/>
        <v>0</v>
      </c>
      <c r="AB64" s="13">
        <f t="shared" si="26"/>
        <v>0</v>
      </c>
      <c r="AC64" s="13">
        <f t="shared" si="26"/>
        <v>60.138713626619086</v>
      </c>
      <c r="AD64" s="13">
        <f t="shared" si="26"/>
        <v>56.070538180908102</v>
      </c>
      <c r="AE64" s="13">
        <f t="shared" si="26"/>
        <v>41.480852339300604</v>
      </c>
      <c r="AF64" s="13">
        <f t="shared" si="26"/>
        <v>0</v>
      </c>
      <c r="AG64" s="13">
        <f t="shared" ref="AG64:AL64" si="27">AG62*M67/M$117*100</f>
        <v>0</v>
      </c>
      <c r="AH64" s="13">
        <f t="shared" si="27"/>
        <v>0</v>
      </c>
      <c r="AI64" s="13">
        <f t="shared" si="27"/>
        <v>0</v>
      </c>
      <c r="AJ64" s="13">
        <f t="shared" si="27"/>
        <v>65.065884609325579</v>
      </c>
      <c r="AK64" s="13">
        <f t="shared" si="27"/>
        <v>22.93829412577864</v>
      </c>
      <c r="AL64" s="13">
        <f t="shared" si="27"/>
        <v>56.668911580722877</v>
      </c>
    </row>
    <row r="65" spans="1:38" outlineLevel="2" x14ac:dyDescent="0.25">
      <c r="B65" s="6" t="s">
        <v>632</v>
      </c>
      <c r="C65" s="6"/>
      <c r="D65" t="s">
        <v>18</v>
      </c>
      <c r="E65" t="s">
        <v>402</v>
      </c>
      <c r="F65" t="s">
        <v>633</v>
      </c>
      <c r="G65" t="s">
        <v>32</v>
      </c>
      <c r="H65" t="s">
        <v>33</v>
      </c>
      <c r="I65" t="s">
        <v>34</v>
      </c>
      <c r="J65" t="s">
        <v>34</v>
      </c>
      <c r="K65" t="s">
        <v>18</v>
      </c>
      <c r="L65" t="s">
        <v>402</v>
      </c>
      <c r="M65" t="s">
        <v>633</v>
      </c>
      <c r="N65" t="s">
        <v>32</v>
      </c>
      <c r="O65" t="s">
        <v>33</v>
      </c>
      <c r="P65" t="s">
        <v>34</v>
      </c>
      <c r="Q65" t="s">
        <v>18</v>
      </c>
      <c r="R65" t="s">
        <v>34</v>
      </c>
      <c r="T65" s="2"/>
      <c r="U65" s="110" t="str">
        <f t="shared" ref="U65:U69" si="28">B68</f>
        <v>ley silage, regrowth</v>
      </c>
      <c r="X65" s="13">
        <f t="shared" ref="X65:Y65" si="29">X62*D68/D$117*100</f>
        <v>19.638470390756044</v>
      </c>
      <c r="Y65" s="13">
        <f t="shared" si="29"/>
        <v>7.0178130628008537</v>
      </c>
      <c r="Z65" s="13">
        <f t="shared" ref="Z65:AF65" si="30">Z62*F68/F$117*100</f>
        <v>0</v>
      </c>
      <c r="AA65" s="13">
        <f t="shared" si="30"/>
        <v>68.854768967576106</v>
      </c>
      <c r="AB65" s="13">
        <f t="shared" si="30"/>
        <v>69.016974351370379</v>
      </c>
      <c r="AC65" s="13">
        <f t="shared" si="30"/>
        <v>0</v>
      </c>
      <c r="AD65" s="13">
        <f t="shared" si="30"/>
        <v>0</v>
      </c>
      <c r="AE65" s="13">
        <f t="shared" si="30"/>
        <v>9.9247167513786927</v>
      </c>
      <c r="AF65" s="13">
        <f t="shared" si="30"/>
        <v>7.0178130628008537</v>
      </c>
      <c r="AG65" s="13">
        <f t="shared" ref="AG65:AL65" si="31">AG62*M68/M$117*100</f>
        <v>0</v>
      </c>
      <c r="AH65" s="13">
        <f t="shared" si="31"/>
        <v>55.625459984330824</v>
      </c>
      <c r="AI65" s="13">
        <f t="shared" si="31"/>
        <v>55.029062371648976</v>
      </c>
      <c r="AJ65" s="13">
        <f t="shared" si="31"/>
        <v>0</v>
      </c>
      <c r="AK65" s="13">
        <f t="shared" si="31"/>
        <v>10.638819198282629</v>
      </c>
      <c r="AL65" s="13">
        <f t="shared" si="31"/>
        <v>0</v>
      </c>
    </row>
    <row r="66" spans="1:38" outlineLevel="2" x14ac:dyDescent="0.25">
      <c r="B66" s="6" t="s">
        <v>459</v>
      </c>
      <c r="C66" s="6"/>
      <c r="T66" s="2"/>
      <c r="U66" s="110" t="str">
        <f t="shared" si="28"/>
        <v>other silage</v>
      </c>
      <c r="X66" s="13">
        <f t="shared" ref="X66:Y68" si="32">D69/D$117*100</f>
        <v>20.321711421281208</v>
      </c>
      <c r="Y66" s="13">
        <f t="shared" si="32"/>
        <v>41.192418289263692</v>
      </c>
      <c r="Z66" s="13">
        <f t="shared" ref="Z66:AF68" si="33">F69/F$117*100</f>
        <v>0</v>
      </c>
      <c r="AA66" s="13">
        <f t="shared" si="33"/>
        <v>0</v>
      </c>
      <c r="AB66" s="13">
        <f t="shared" si="33"/>
        <v>0</v>
      </c>
      <c r="AC66" s="13">
        <f t="shared" si="33"/>
        <v>0</v>
      </c>
      <c r="AD66" s="13">
        <f t="shared" si="33"/>
        <v>0</v>
      </c>
      <c r="AE66" s="13">
        <f t="shared" si="33"/>
        <v>0</v>
      </c>
      <c r="AF66" s="13">
        <f t="shared" si="33"/>
        <v>41.192418289263692</v>
      </c>
      <c r="AG66" s="13">
        <f t="shared" ref="AG66:AL68" si="34">M69/M$117*100</f>
        <v>0</v>
      </c>
      <c r="AH66" s="13">
        <f t="shared" si="34"/>
        <v>0</v>
      </c>
      <c r="AI66" s="13">
        <f t="shared" si="34"/>
        <v>0</v>
      </c>
      <c r="AJ66" s="13">
        <f t="shared" si="34"/>
        <v>0</v>
      </c>
      <c r="AK66" s="13">
        <f t="shared" si="34"/>
        <v>0</v>
      </c>
      <c r="AL66" s="13">
        <f t="shared" si="34"/>
        <v>0</v>
      </c>
    </row>
    <row r="67" spans="1:38" outlineLevel="2" x14ac:dyDescent="0.25">
      <c r="A67" s="155"/>
      <c r="B67" t="s">
        <v>411</v>
      </c>
      <c r="D67" s="12"/>
      <c r="F67" s="12"/>
      <c r="G67" s="12"/>
      <c r="H67" s="12"/>
      <c r="I67" s="12">
        <f>(G7*D24+I7*F24)/(D24+F24)*C7</f>
        <v>1243.8128706133955</v>
      </c>
      <c r="J67" s="2">
        <f>H10*C10</f>
        <v>1165</v>
      </c>
      <c r="K67" s="2">
        <f>Y7</f>
        <v>2973.75</v>
      </c>
      <c r="M67" s="2"/>
      <c r="N67" s="12"/>
      <c r="O67" s="12"/>
      <c r="P67" s="12">
        <f>(M7*D23+O7*F23)/(D23+F23)*C7</f>
        <v>2120.9288261634415</v>
      </c>
      <c r="Q67" s="12">
        <f>Z7</f>
        <v>1619.5499999999997</v>
      </c>
      <c r="R67">
        <f>N10*C10</f>
        <v>1868</v>
      </c>
      <c r="T67" s="72"/>
      <c r="U67" s="110" t="str">
        <f t="shared" si="28"/>
        <v>maize silage</v>
      </c>
      <c r="X67" s="13">
        <f t="shared" si="32"/>
        <v>0</v>
      </c>
      <c r="Y67" s="13">
        <f t="shared" si="32"/>
        <v>0</v>
      </c>
      <c r="Z67" s="13">
        <f t="shared" si="33"/>
        <v>0</v>
      </c>
      <c r="AA67" s="13">
        <f t="shared" si="33"/>
        <v>0</v>
      </c>
      <c r="AB67" s="13">
        <f t="shared" si="33"/>
        <v>0</v>
      </c>
      <c r="AC67" s="13">
        <f t="shared" si="33"/>
        <v>0</v>
      </c>
      <c r="AD67" s="13">
        <f t="shared" si="33"/>
        <v>13.09114711176567</v>
      </c>
      <c r="AE67" s="13">
        <f t="shared" si="33"/>
        <v>0</v>
      </c>
      <c r="AF67" s="13">
        <f t="shared" si="33"/>
        <v>0</v>
      </c>
      <c r="AG67" s="13">
        <f t="shared" si="34"/>
        <v>0</v>
      </c>
      <c r="AH67" s="13">
        <f t="shared" si="34"/>
        <v>0</v>
      </c>
      <c r="AI67" s="13">
        <f t="shared" si="34"/>
        <v>0</v>
      </c>
      <c r="AJ67" s="13">
        <f t="shared" si="34"/>
        <v>0</v>
      </c>
      <c r="AK67" s="13">
        <f t="shared" si="34"/>
        <v>15.876048855936714</v>
      </c>
      <c r="AL67" s="13">
        <f t="shared" si="34"/>
        <v>13.226790925693349</v>
      </c>
    </row>
    <row r="68" spans="1:38" outlineLevel="2" x14ac:dyDescent="0.25">
      <c r="B68" t="s">
        <v>412</v>
      </c>
      <c r="D68" s="12">
        <f>SUMPRODUCT(D9:F9,D24:F24)/SUM(D24:F24)*C9</f>
        <v>777.22554493675455</v>
      </c>
      <c r="E68" s="12">
        <f>SUMPRODUCT(J9:L9,D24:F24)/SUM(D24:F24)*C9</f>
        <v>217.26842691318663</v>
      </c>
      <c r="G68" s="12">
        <f>SUMPRODUCT(V8:X8,D24:F24)/SUM(D24:F24)*C8</f>
        <v>2488.57630716729</v>
      </c>
      <c r="H68" s="12">
        <f>SUMPRODUCT(S8:U8,D24:F24)/SUM(D24:F24)*C8</f>
        <v>2536.0033645488702</v>
      </c>
      <c r="I68" s="12"/>
      <c r="J68" s="2"/>
      <c r="K68" s="2">
        <f>Y8</f>
        <v>711.50000000000011</v>
      </c>
      <c r="L68" s="12">
        <f>E68</f>
        <v>217.26842691318663</v>
      </c>
      <c r="N68" s="12">
        <f>AB8*C8</f>
        <v>2343</v>
      </c>
      <c r="O68" s="12">
        <f>SUMPRODUCT(P8:R8,D23:F23)/SUM(D23:F23)*C8</f>
        <v>2641.6801191929694</v>
      </c>
      <c r="P68" s="12"/>
      <c r="Q68" s="12">
        <f>Z8</f>
        <v>751.1500000000002</v>
      </c>
      <c r="U68" s="110" t="str">
        <f t="shared" si="28"/>
        <v>straw</v>
      </c>
      <c r="X68" s="13">
        <f t="shared" si="32"/>
        <v>1.1297448457337229</v>
      </c>
      <c r="Y68" s="13">
        <f t="shared" si="32"/>
        <v>0.67138025374082655</v>
      </c>
      <c r="Z68" s="13">
        <f t="shared" si="33"/>
        <v>0</v>
      </c>
      <c r="AA68" s="13">
        <f t="shared" si="33"/>
        <v>0</v>
      </c>
      <c r="AB68" s="13">
        <f t="shared" si="33"/>
        <v>0</v>
      </c>
      <c r="AC68" s="13">
        <f t="shared" si="33"/>
        <v>0</v>
      </c>
      <c r="AD68" s="13">
        <f t="shared" si="33"/>
        <v>0</v>
      </c>
      <c r="AE68" s="13">
        <f t="shared" si="33"/>
        <v>3.1679738484393072</v>
      </c>
      <c r="AF68" s="13">
        <f t="shared" si="33"/>
        <v>0.67138025374082655</v>
      </c>
      <c r="AG68" s="13">
        <f t="shared" si="34"/>
        <v>0</v>
      </c>
      <c r="AH68" s="13">
        <f t="shared" si="34"/>
        <v>0</v>
      </c>
      <c r="AI68" s="13">
        <f t="shared" si="34"/>
        <v>0</v>
      </c>
      <c r="AJ68" s="13">
        <f t="shared" si="34"/>
        <v>0</v>
      </c>
      <c r="AK68" s="13">
        <f t="shared" si="34"/>
        <v>3.0977656304266756</v>
      </c>
      <c r="AL68" s="13">
        <f t="shared" si="34"/>
        <v>0</v>
      </c>
    </row>
    <row r="69" spans="1:38" outlineLevel="2" x14ac:dyDescent="0.25">
      <c r="B69" t="s">
        <v>413</v>
      </c>
      <c r="D69" s="12">
        <f>SUMPRODUCT(D12:F12,D24:F24)/SUM(D24:F24)*C12</f>
        <v>804.26595957734855</v>
      </c>
      <c r="E69" s="12">
        <f>SUMPRODUCT(J12:L12,D24:F24)/SUM(D24:F24)*C12</f>
        <v>1275.2992766219929</v>
      </c>
      <c r="G69" s="12"/>
      <c r="H69" s="12"/>
      <c r="I69" s="12"/>
      <c r="J69" s="2"/>
      <c r="L69" s="12">
        <f>E69</f>
        <v>1275.2992766219929</v>
      </c>
      <c r="N69" s="12"/>
      <c r="O69" s="12"/>
      <c r="P69" s="12"/>
      <c r="Q69" s="12"/>
      <c r="U69" s="110" t="str">
        <f t="shared" si="28"/>
        <v>grazing</v>
      </c>
      <c r="X69" s="13">
        <f t="shared" ref="X69:AF69" si="35">X61*D72/D$117*100</f>
        <v>58.050981669759572</v>
      </c>
      <c r="Y69" s="13">
        <f t="shared" si="35"/>
        <v>50.052481882315824</v>
      </c>
      <c r="Z69" s="13">
        <f t="shared" si="35"/>
        <v>100</v>
      </c>
      <c r="AA69" s="13">
        <f t="shared" si="35"/>
        <v>30.425854259446911</v>
      </c>
      <c r="AB69" s="13">
        <f t="shared" si="35"/>
        <v>30.282083494235561</v>
      </c>
      <c r="AC69" s="13">
        <f t="shared" si="35"/>
        <v>0</v>
      </c>
      <c r="AD69" s="13">
        <f t="shared" si="35"/>
        <v>0</v>
      </c>
      <c r="AE69" s="13">
        <f t="shared" si="35"/>
        <v>6.6079520088655128</v>
      </c>
      <c r="AF69" s="13">
        <f t="shared" si="35"/>
        <v>50.052481882315824</v>
      </c>
      <c r="AG69" s="13">
        <f t="shared" ref="AG69:AL69" si="36">AG61*M72/M$117*100</f>
        <v>0</v>
      </c>
      <c r="AH69" s="13">
        <f t="shared" si="36"/>
        <v>37.985802806201164</v>
      </c>
      <c r="AI69" s="13">
        <f t="shared" si="36"/>
        <v>38.614788214420173</v>
      </c>
      <c r="AJ69" s="13">
        <f t="shared" si="36"/>
        <v>0</v>
      </c>
      <c r="AK69" s="13">
        <f t="shared" si="36"/>
        <v>6.4615074492035101</v>
      </c>
      <c r="AL69" s="13">
        <f t="shared" si="36"/>
        <v>0</v>
      </c>
    </row>
    <row r="70" spans="1:38" outlineLevel="2" x14ac:dyDescent="0.25">
      <c r="B70" t="s">
        <v>408</v>
      </c>
      <c r="D70" s="12"/>
      <c r="E70" s="12"/>
      <c r="G70" s="12"/>
      <c r="H70" s="12"/>
      <c r="I70" s="12"/>
      <c r="J70" s="2">
        <f>H11*C11</f>
        <v>272</v>
      </c>
      <c r="N70" s="12"/>
      <c r="O70" s="12"/>
      <c r="P70" s="12"/>
      <c r="Q70" s="12">
        <f>Z11</f>
        <v>1250.5</v>
      </c>
      <c r="R70">
        <f>N11*C11</f>
        <v>436</v>
      </c>
      <c r="U70" s="110" t="str">
        <f t="shared" ref="U70:U101" si="37">B83</f>
        <v>wheat</v>
      </c>
      <c r="X70" s="13">
        <f t="shared" ref="X70:Y70" si="38">(D74+D83)/D$117*100</f>
        <v>0</v>
      </c>
      <c r="Y70" s="13">
        <f t="shared" si="38"/>
        <v>0</v>
      </c>
      <c r="Z70" s="13">
        <f t="shared" ref="Z70:AF70" si="39">(F74+F83)/F$117*100</f>
        <v>0</v>
      </c>
      <c r="AA70" s="13">
        <f t="shared" si="39"/>
        <v>0</v>
      </c>
      <c r="AB70" s="13">
        <f t="shared" si="39"/>
        <v>0</v>
      </c>
      <c r="AC70" s="13">
        <f t="shared" si="39"/>
        <v>8.7950802360888023</v>
      </c>
      <c r="AD70" s="13">
        <f t="shared" si="39"/>
        <v>6.338193642704308</v>
      </c>
      <c r="AE70" s="13">
        <f t="shared" si="39"/>
        <v>6.1497391870569844</v>
      </c>
      <c r="AF70" s="13">
        <f t="shared" si="39"/>
        <v>0</v>
      </c>
      <c r="AG70" s="13">
        <f t="shared" ref="AG70:AL70" si="40">(M74+M83)/M$117*100</f>
        <v>25.895167825161479</v>
      </c>
      <c r="AH70" s="13">
        <f t="shared" si="40"/>
        <v>1.3863617500865526</v>
      </c>
      <c r="AI70" s="13">
        <f t="shared" si="40"/>
        <v>1.3702995315856561</v>
      </c>
      <c r="AJ70" s="13">
        <f t="shared" si="40"/>
        <v>7.597272449205918</v>
      </c>
      <c r="AK70" s="13">
        <f t="shared" si="40"/>
        <v>5.0974881237730667</v>
      </c>
      <c r="AL70" s="13">
        <f t="shared" si="40"/>
        <v>6.3615760162052783</v>
      </c>
    </row>
    <row r="71" spans="1:38" outlineLevel="2" x14ac:dyDescent="0.25">
      <c r="B71" t="s">
        <v>403</v>
      </c>
      <c r="D71" s="12">
        <f>SUMPRODUCT(D13:F13,D24:F24)/SUM(D24:F24)*C13</f>
        <v>44.711555222661033</v>
      </c>
      <c r="E71" s="12">
        <f>SUMPRODUCT(J13:L13,D24:F24)/SUM(D24:F24)*C13</f>
        <v>20.785639384447773</v>
      </c>
      <c r="G71" s="12"/>
      <c r="H71" s="12"/>
      <c r="I71" s="12"/>
      <c r="K71" s="2">
        <f>Y13</f>
        <v>244</v>
      </c>
      <c r="L71" s="12">
        <f>E71</f>
        <v>20.785639384447773</v>
      </c>
      <c r="N71" s="12"/>
      <c r="O71" s="12"/>
      <c r="P71" s="12"/>
      <c r="Q71" s="12">
        <f>Z13</f>
        <v>244</v>
      </c>
      <c r="U71" s="110" t="str">
        <f t="shared" si="37"/>
        <v>barley</v>
      </c>
      <c r="X71" s="13">
        <f t="shared" ref="X71:Y72" si="41">(D76+D84)/D$117*100</f>
        <v>0</v>
      </c>
      <c r="Y71" s="13">
        <f t="shared" si="41"/>
        <v>0</v>
      </c>
      <c r="Z71" s="13">
        <f t="shared" ref="Z71:AF72" si="42">(F76+F84)/F$117*100</f>
        <v>0</v>
      </c>
      <c r="AA71" s="13">
        <f t="shared" si="42"/>
        <v>0</v>
      </c>
      <c r="AB71" s="13">
        <f t="shared" si="42"/>
        <v>0</v>
      </c>
      <c r="AC71" s="13">
        <f t="shared" si="42"/>
        <v>16.456273052444185</v>
      </c>
      <c r="AD71" s="13">
        <f t="shared" si="42"/>
        <v>13.009738603465815</v>
      </c>
      <c r="AE71" s="13">
        <f t="shared" si="42"/>
        <v>11.290606059990822</v>
      </c>
      <c r="AF71" s="13">
        <f t="shared" si="42"/>
        <v>0</v>
      </c>
      <c r="AG71" s="13">
        <f t="shared" ref="AG71:AL72" si="43">(M76+M84)/M$117*100</f>
        <v>28.160177745950715</v>
      </c>
      <c r="AH71" s="13">
        <f t="shared" si="43"/>
        <v>2.2689110468918563</v>
      </c>
      <c r="AI71" s="13">
        <f t="shared" si="43"/>
        <v>2.1464108702309166</v>
      </c>
      <c r="AJ71" s="13">
        <f t="shared" si="43"/>
        <v>13.591338970365666</v>
      </c>
      <c r="AK71" s="13">
        <f t="shared" si="43"/>
        <v>8.404170018075888</v>
      </c>
      <c r="AL71" s="13">
        <f t="shared" si="43"/>
        <v>12.896189928777954</v>
      </c>
    </row>
    <row r="72" spans="1:38" outlineLevel="2" x14ac:dyDescent="0.25">
      <c r="B72" t="s">
        <v>400</v>
      </c>
      <c r="D72" s="12">
        <f>SUMPRODUCT(D14:F14,D24:F24)/SUM(D24:F24)*C14+SUMPRODUCT(D15:F15,D24:F24)/SUM(D24:F24)*C15</f>
        <v>2297.4653811953758</v>
      </c>
      <c r="E72" s="12">
        <f>SUMPRODUCT(J14:L14,D24:F24)/SUM(D24:F24)*C14+SUMPRODUCT(J15:L15,D24:F24)/SUM(D24:F24)*C15</f>
        <v>1549.6029752225008</v>
      </c>
      <c r="F72" s="293">
        <v>100</v>
      </c>
      <c r="G72" s="12">
        <f>SUMPRODUCT(V14:X14,D24:F24)/SUM(D24:F24)*C14+SUMPRODUCT(V15:X15,D24:F24)/SUM(D24:F24)*C15</f>
        <v>1099.6632647339202</v>
      </c>
      <c r="H72" s="12">
        <f>SUMPRODUCT(S14:U14,D24:F24)/SUM(D24:F24)*C14+SUMPRODUCT(S15:U15,D24:F24)/SUM(D24:F24)*C15</f>
        <v>1112.7040318510626</v>
      </c>
      <c r="I72" s="12"/>
      <c r="K72">
        <f>Y15</f>
        <v>782.99999999999989</v>
      </c>
      <c r="L72" s="12">
        <f>E72</f>
        <v>1549.6029752225008</v>
      </c>
      <c r="M72" s="2"/>
      <c r="N72" s="12">
        <f>AB14*C14+AB15*C15</f>
        <v>1600</v>
      </c>
      <c r="O72" s="12">
        <f>SUMPRODUCT(P14:R14,D23:F23)/SUM(D23:F23)*C14+SUMPRODUCT(P15:R15,D23:F23)/SUM(D23:F23)*C15</f>
        <v>1853.7099113910278</v>
      </c>
      <c r="P72" s="12"/>
      <c r="Q72" s="12">
        <f>Z15</f>
        <v>782.99999999999989</v>
      </c>
      <c r="T72" s="2"/>
      <c r="U72" s="110" t="str">
        <f t="shared" si="37"/>
        <v>oats</v>
      </c>
      <c r="X72" s="13">
        <f t="shared" si="41"/>
        <v>0</v>
      </c>
      <c r="Y72" s="13">
        <f t="shared" si="41"/>
        <v>0</v>
      </c>
      <c r="Z72" s="13">
        <f t="shared" si="42"/>
        <v>0</v>
      </c>
      <c r="AA72" s="13">
        <f t="shared" si="42"/>
        <v>0</v>
      </c>
      <c r="AB72" s="13">
        <f t="shared" si="42"/>
        <v>0</v>
      </c>
      <c r="AC72" s="13">
        <f t="shared" si="42"/>
        <v>3.6372465594215786</v>
      </c>
      <c r="AD72" s="13">
        <f t="shared" si="42"/>
        <v>2.6885792015166539</v>
      </c>
      <c r="AE72" s="13">
        <f t="shared" si="42"/>
        <v>2.5305995086863016</v>
      </c>
      <c r="AF72" s="13">
        <f t="shared" si="42"/>
        <v>0</v>
      </c>
      <c r="AG72" s="13">
        <f t="shared" si="43"/>
        <v>9.5204890127561814</v>
      </c>
      <c r="AH72" s="13">
        <f t="shared" si="43"/>
        <v>0.55429500315000624</v>
      </c>
      <c r="AI72" s="13">
        <f t="shared" si="43"/>
        <v>0.54223737074929057</v>
      </c>
      <c r="AJ72" s="13">
        <f t="shared" si="43"/>
        <v>3.1053519716836115</v>
      </c>
      <c r="AK72" s="13">
        <f t="shared" si="43"/>
        <v>2.0416884227683041</v>
      </c>
      <c r="AL72" s="13">
        <f t="shared" si="43"/>
        <v>2.68903535703005</v>
      </c>
    </row>
    <row r="73" spans="1:38" outlineLevel="2" x14ac:dyDescent="0.25">
      <c r="A73" s="155"/>
      <c r="B73" s="6" t="s">
        <v>461</v>
      </c>
      <c r="C73" s="6"/>
      <c r="D73" s="165"/>
      <c r="F73" s="165"/>
      <c r="G73" s="165"/>
      <c r="H73" s="165"/>
      <c r="I73" s="165">
        <f>(G16*D$24+I16*F$24)/(D$24+F$24)*C16</f>
        <v>630.77661825605128</v>
      </c>
      <c r="J73" s="72">
        <f>H16*C16</f>
        <v>562.43999999999994</v>
      </c>
      <c r="K73" s="72">
        <f>Y16*C16</f>
        <v>1568.8483904071509</v>
      </c>
      <c r="M73" s="72"/>
      <c r="N73" s="165">
        <f>AB16*C16</f>
        <v>141.9</v>
      </c>
      <c r="O73" s="165">
        <f>SUMPRODUCT(P16:R16,D$23:F$23)/SUM(D$23:F$23)*C16</f>
        <v>139.41044642965076</v>
      </c>
      <c r="P73" s="165">
        <f>(M16*D$23+O16*F$23)/(D$23+F$23)*C16</f>
        <v>768.77373612665917</v>
      </c>
      <c r="Q73" s="165">
        <f>Z16*C16</f>
        <v>997.16339040715081</v>
      </c>
      <c r="R73" s="72">
        <f>N16*C16</f>
        <v>872.04</v>
      </c>
      <c r="T73" s="72"/>
      <c r="U73" s="110" t="str">
        <f t="shared" si="37"/>
        <v>triticale</v>
      </c>
      <c r="X73" s="13">
        <f t="shared" ref="X73:Y73" si="44">(D75+D86)/D$117*100</f>
        <v>0</v>
      </c>
      <c r="Y73" s="13">
        <f t="shared" si="44"/>
        <v>0</v>
      </c>
      <c r="Z73" s="13">
        <f t="shared" ref="Z73:AF73" si="45">(F75+F86)/F$117*100</f>
        <v>0</v>
      </c>
      <c r="AA73" s="13">
        <f t="shared" si="45"/>
        <v>0</v>
      </c>
      <c r="AB73" s="13">
        <f t="shared" si="45"/>
        <v>0</v>
      </c>
      <c r="AC73" s="13">
        <f t="shared" si="45"/>
        <v>5.8891480485237606</v>
      </c>
      <c r="AD73" s="13">
        <f t="shared" si="45"/>
        <v>5.0332855432745562</v>
      </c>
      <c r="AE73" s="13">
        <f t="shared" si="45"/>
        <v>3.9696382637077976</v>
      </c>
      <c r="AF73" s="13">
        <f t="shared" si="45"/>
        <v>0</v>
      </c>
      <c r="AG73" s="13">
        <f t="shared" ref="AG73:AL73" si="46">(M75+M86)/M$117*100</f>
        <v>3.4188101018837349</v>
      </c>
      <c r="AH73" s="13">
        <f t="shared" si="46"/>
        <v>0.70529164372503017</v>
      </c>
      <c r="AI73" s="13">
        <f t="shared" si="46"/>
        <v>0.63111634374194048</v>
      </c>
      <c r="AJ73" s="13">
        <f t="shared" si="46"/>
        <v>4.6592010515149394</v>
      </c>
      <c r="AK73" s="13">
        <f t="shared" si="46"/>
        <v>2.6355687688154275</v>
      </c>
      <c r="AL73" s="13">
        <f t="shared" si="46"/>
        <v>4.9410321920692617</v>
      </c>
    </row>
    <row r="74" spans="1:38" outlineLevel="2" x14ac:dyDescent="0.25">
      <c r="B74" s="166" t="s">
        <v>370</v>
      </c>
      <c r="C74" s="166"/>
      <c r="D74" s="12"/>
      <c r="F74" s="12"/>
      <c r="G74" s="12"/>
      <c r="H74" s="12"/>
      <c r="I74" s="12">
        <f t="shared" ref="I74:J77" si="47">I$73*$AF27</f>
        <v>147.69170057433243</v>
      </c>
      <c r="J74" s="12">
        <f t="shared" si="47"/>
        <v>131.69118459192447</v>
      </c>
      <c r="K74" s="12">
        <f>K$73*$AD27</f>
        <v>367.3342987302679</v>
      </c>
      <c r="M74" s="12"/>
      <c r="N74" s="12">
        <f t="shared" ref="N74:P77" si="48">N$73*$AF27</f>
        <v>33.224840149338753</v>
      </c>
      <c r="O74" s="12">
        <f t="shared" si="48"/>
        <v>32.641929512143051</v>
      </c>
      <c r="P74" s="12">
        <f t="shared" si="48"/>
        <v>180.00270961112176</v>
      </c>
      <c r="Q74" s="12">
        <f>Q$73*$AD27</f>
        <v>233.478465461947</v>
      </c>
      <c r="R74" s="12">
        <f>R$73*$AF27</f>
        <v>204.18174491775449</v>
      </c>
      <c r="T74" s="2"/>
      <c r="U74" s="110" t="str">
        <f t="shared" si="37"/>
        <v>rye</v>
      </c>
      <c r="X74" s="13">
        <f t="shared" ref="X74:Y74" si="49">(D78+D87)/D$117*100</f>
        <v>0</v>
      </c>
      <c r="Y74" s="13">
        <f t="shared" si="49"/>
        <v>0</v>
      </c>
      <c r="Z74" s="13">
        <f t="shared" ref="Z74:AF74" si="50">(F78+F87)/F$117*100</f>
        <v>0</v>
      </c>
      <c r="AA74" s="13">
        <f t="shared" si="50"/>
        <v>0</v>
      </c>
      <c r="AB74" s="13">
        <f t="shared" si="50"/>
        <v>0</v>
      </c>
      <c r="AC74" s="13">
        <f t="shared" si="50"/>
        <v>1.3507533293838584E-2</v>
      </c>
      <c r="AD74" s="13">
        <f t="shared" si="50"/>
        <v>0</v>
      </c>
      <c r="AE74" s="13">
        <f t="shared" si="50"/>
        <v>1.1272622080408017E-2</v>
      </c>
      <c r="AF74" s="13">
        <f t="shared" si="50"/>
        <v>0</v>
      </c>
      <c r="AG74" s="13">
        <f t="shared" ref="AG74:AL74" si="51">(M78+M87)/M$117*100</f>
        <v>0.21145675610695761</v>
      </c>
      <c r="AH74" s="13">
        <f t="shared" si="51"/>
        <v>4.8796554435071035E-3</v>
      </c>
      <c r="AI74" s="13">
        <f t="shared" si="51"/>
        <v>5.6371722021104978E-3</v>
      </c>
      <c r="AJ74" s="13">
        <f t="shared" si="51"/>
        <v>1.6945393347994473E-2</v>
      </c>
      <c r="AK74" s="13">
        <f t="shared" si="51"/>
        <v>1.7420276725880934E-2</v>
      </c>
      <c r="AL74" s="13">
        <f t="shared" si="51"/>
        <v>1.3668084713412143E-3</v>
      </c>
    </row>
    <row r="75" spans="1:38" outlineLevel="2" x14ac:dyDescent="0.25">
      <c r="B75" s="166" t="s">
        <v>477</v>
      </c>
      <c r="C75" s="166"/>
      <c r="D75" s="12"/>
      <c r="F75" s="12"/>
      <c r="G75" s="12"/>
      <c r="H75" s="12"/>
      <c r="I75" s="12">
        <f t="shared" si="47"/>
        <v>117.28491479872922</v>
      </c>
      <c r="J75" s="12">
        <f t="shared" si="47"/>
        <v>104.57858704683275</v>
      </c>
      <c r="K75" s="12">
        <f>K$73*$AD28</f>
        <v>291.70746739114861</v>
      </c>
      <c r="M75" s="12"/>
      <c r="N75" s="12">
        <f t="shared" si="48"/>
        <v>26.38450590631102</v>
      </c>
      <c r="O75" s="12">
        <f t="shared" si="48"/>
        <v>25.921604983964599</v>
      </c>
      <c r="P75" s="12">
        <f t="shared" si="48"/>
        <v>142.94372925617074</v>
      </c>
      <c r="Q75" s="12">
        <f>Q$73*$AD28</f>
        <v>185.40988980799563</v>
      </c>
      <c r="R75" s="12">
        <f>R$73*$AF28</f>
        <v>162.14478175151135</v>
      </c>
      <c r="T75" s="2"/>
      <c r="U75" s="110" t="str">
        <f t="shared" si="37"/>
        <v>maize</v>
      </c>
      <c r="X75" s="13">
        <f t="shared" ref="X75:Y75" si="52">D88/D$117*100</f>
        <v>0</v>
      </c>
      <c r="Y75" s="13">
        <f t="shared" si="52"/>
        <v>0</v>
      </c>
      <c r="Z75" s="13">
        <f t="shared" ref="Z75:AF75" si="53">F88/F$117*100</f>
        <v>0</v>
      </c>
      <c r="AA75" s="13">
        <f t="shared" si="53"/>
        <v>0</v>
      </c>
      <c r="AB75" s="13">
        <f t="shared" si="53"/>
        <v>0</v>
      </c>
      <c r="AC75" s="13">
        <f t="shared" si="53"/>
        <v>5.8685075988393134E-2</v>
      </c>
      <c r="AD75" s="13">
        <f t="shared" si="53"/>
        <v>0</v>
      </c>
      <c r="AE75" s="13">
        <f t="shared" si="53"/>
        <v>0.39798335104430993</v>
      </c>
      <c r="AF75" s="13">
        <f t="shared" si="53"/>
        <v>0</v>
      </c>
      <c r="AG75" s="13">
        <f t="shared" ref="AG75:AL75" si="54">M88/M$117*100</f>
        <v>0.91869888679500122</v>
      </c>
      <c r="AH75" s="13">
        <f t="shared" si="54"/>
        <v>2.1200240211883402E-2</v>
      </c>
      <c r="AI75" s="13">
        <f t="shared" si="54"/>
        <v>2.4491361364359067E-2</v>
      </c>
      <c r="AJ75" s="13">
        <f t="shared" si="54"/>
        <v>7.3621265603978081E-2</v>
      </c>
      <c r="AK75" s="13">
        <f t="shared" si="54"/>
        <v>0.6150281680723525</v>
      </c>
      <c r="AL75" s="13">
        <f t="shared" si="54"/>
        <v>4.8255588786707375E-2</v>
      </c>
    </row>
    <row r="76" spans="1:38" outlineLevel="2" x14ac:dyDescent="0.25">
      <c r="B76" s="166" t="s">
        <v>404</v>
      </c>
      <c r="C76" s="166"/>
      <c r="D76" s="12"/>
      <c r="F76" s="12"/>
      <c r="G76" s="12"/>
      <c r="H76" s="12"/>
      <c r="I76" s="12">
        <f t="shared" si="47"/>
        <v>303.15110687492233</v>
      </c>
      <c r="J76" s="12">
        <f t="shared" si="47"/>
        <v>270.30854285965057</v>
      </c>
      <c r="K76" s="12">
        <f>K$73*$AD29</f>
        <v>753.98819852546956</v>
      </c>
      <c r="M76" s="12"/>
      <c r="N76" s="12">
        <f t="shared" si="48"/>
        <v>68.197109437067823</v>
      </c>
      <c r="O76" s="12">
        <f t="shared" si="48"/>
        <v>67.000630527366965</v>
      </c>
      <c r="P76" s="12">
        <f t="shared" si="48"/>
        <v>369.4724920012211</v>
      </c>
      <c r="Q76" s="12">
        <f>Q$73*$AD29</f>
        <v>479.23651065704036</v>
      </c>
      <c r="R76" s="12">
        <f>R$73*$AF29</f>
        <v>419.10223617688945</v>
      </c>
      <c r="T76" s="72"/>
      <c r="U76" s="110" t="str">
        <f t="shared" si="37"/>
        <v>peas</v>
      </c>
      <c r="X76" s="13">
        <f t="shared" ref="X76:AF77" si="55">(D80+D89)/D$117*100</f>
        <v>0</v>
      </c>
      <c r="Y76" s="13">
        <f t="shared" si="55"/>
        <v>0</v>
      </c>
      <c r="Z76" s="13">
        <f t="shared" si="55"/>
        <v>0</v>
      </c>
      <c r="AA76" s="13">
        <f t="shared" si="55"/>
        <v>0</v>
      </c>
      <c r="AB76" s="13">
        <f t="shared" si="55"/>
        <v>0</v>
      </c>
      <c r="AC76" s="13">
        <f t="shared" si="55"/>
        <v>1.230521308754674</v>
      </c>
      <c r="AD76" s="13">
        <f t="shared" si="55"/>
        <v>1.6370482011197791</v>
      </c>
      <c r="AE76" s="13">
        <f t="shared" si="55"/>
        <v>6.2198540886316538E-2</v>
      </c>
      <c r="AF76" s="13">
        <f t="shared" si="55"/>
        <v>0</v>
      </c>
      <c r="AG76" s="13">
        <f t="shared" ref="AG76:AL77" si="56">(M80+M89)/M$117*100</f>
        <v>0.14357819271231378</v>
      </c>
      <c r="AH76" s="13">
        <f t="shared" si="56"/>
        <v>3.3132642462517254E-3</v>
      </c>
      <c r="AI76" s="13">
        <f t="shared" si="56"/>
        <v>3.3129545230803178E-2</v>
      </c>
      <c r="AJ76" s="13">
        <f t="shared" si="56"/>
        <v>1.3794797059070938</v>
      </c>
      <c r="AK76" s="13">
        <f t="shared" si="56"/>
        <v>9.6119233524986178E-2</v>
      </c>
      <c r="AL76" s="13">
        <f t="shared" si="56"/>
        <v>0.43086866195785822</v>
      </c>
    </row>
    <row r="77" spans="1:38" outlineLevel="2" x14ac:dyDescent="0.25">
      <c r="B77" s="166" t="s">
        <v>435</v>
      </c>
      <c r="C77" s="166"/>
      <c r="D77" s="12"/>
      <c r="F77" s="12"/>
      <c r="G77" s="12"/>
      <c r="H77" s="12"/>
      <c r="I77" s="12">
        <f t="shared" si="47"/>
        <v>62.648896008067297</v>
      </c>
      <c r="J77" s="12">
        <f t="shared" si="47"/>
        <v>55.86168550159212</v>
      </c>
      <c r="K77" s="12">
        <f>K$73*$AD30</f>
        <v>155.81842576026466</v>
      </c>
      <c r="M77" s="12"/>
      <c r="N77" s="12">
        <f t="shared" si="48"/>
        <v>14.093544507282417</v>
      </c>
      <c r="O77" s="12">
        <f t="shared" si="48"/>
        <v>13.846281406176139</v>
      </c>
      <c r="P77" s="12">
        <f t="shared" si="48"/>
        <v>76.354805258145589</v>
      </c>
      <c r="Q77" s="12">
        <f>Q$73*$AD30</f>
        <v>99.03852448016778</v>
      </c>
      <c r="R77" s="12">
        <f>R$73*$AF30</f>
        <v>86.611237153844669</v>
      </c>
      <c r="U77" s="110" t="str">
        <f t="shared" si="37"/>
        <v>broad beans</v>
      </c>
      <c r="X77" s="13">
        <f t="shared" si="55"/>
        <v>0</v>
      </c>
      <c r="Y77" s="13">
        <f t="shared" si="55"/>
        <v>0</v>
      </c>
      <c r="Z77" s="13">
        <f t="shared" si="55"/>
        <v>0</v>
      </c>
      <c r="AA77" s="13">
        <f t="shared" si="55"/>
        <v>0</v>
      </c>
      <c r="AB77" s="13">
        <f t="shared" si="55"/>
        <v>0</v>
      </c>
      <c r="AC77" s="13">
        <f t="shared" si="55"/>
        <v>1.1908458068725807</v>
      </c>
      <c r="AD77" s="13">
        <f t="shared" si="55"/>
        <v>1.5539189073731028</v>
      </c>
      <c r="AE77" s="13">
        <f t="shared" si="55"/>
        <v>0.21373263842786655</v>
      </c>
      <c r="AF77" s="13">
        <f t="shared" si="55"/>
        <v>0</v>
      </c>
      <c r="AG77" s="13">
        <f t="shared" si="56"/>
        <v>0.49337726435088475</v>
      </c>
      <c r="AH77" s="13">
        <f t="shared" si="56"/>
        <v>1.1385358869662632E-2</v>
      </c>
      <c r="AI77" s="13">
        <f t="shared" si="56"/>
        <v>4.0966798466627027E-2</v>
      </c>
      <c r="AJ77" s="13">
        <f t="shared" si="56"/>
        <v>1.338045660068792</v>
      </c>
      <c r="AK77" s="13">
        <f t="shared" si="56"/>
        <v>0.33029420131428044</v>
      </c>
      <c r="AL77" s="13">
        <f t="shared" si="56"/>
        <v>0.42774566708132739</v>
      </c>
    </row>
    <row r="78" spans="1:38" outlineLevel="2" x14ac:dyDescent="0.25">
      <c r="B78" s="110" t="s">
        <v>463</v>
      </c>
      <c r="C78" s="110"/>
      <c r="D78" s="12"/>
      <c r="G78" s="12"/>
      <c r="H78" s="12"/>
      <c r="I78" s="12"/>
      <c r="J78" s="12"/>
      <c r="N78" s="12"/>
      <c r="O78" s="12"/>
      <c r="P78" s="12"/>
      <c r="Q78" s="12"/>
      <c r="R78" s="12"/>
      <c r="U78" s="110" t="str">
        <f t="shared" si="37"/>
        <v>rapeseed</v>
      </c>
      <c r="X78" s="13">
        <f t="shared" ref="X78:Y101" si="57">D91/D$117*100</f>
        <v>0</v>
      </c>
      <c r="Y78" s="13">
        <f t="shared" si="57"/>
        <v>0</v>
      </c>
      <c r="Z78" s="13">
        <f t="shared" ref="Z78:Z101" si="58">F91/F$117*100</f>
        <v>0</v>
      </c>
      <c r="AA78" s="13">
        <f t="shared" ref="AA78:AA101" si="59">G91/G$117*100</f>
        <v>0</v>
      </c>
      <c r="AB78" s="13">
        <f t="shared" ref="AB78:AB101" si="60">H91/H$117*100</f>
        <v>0</v>
      </c>
      <c r="AC78" s="13">
        <f t="shared" ref="AC78:AC101" si="61">I91/I$117*100</f>
        <v>0.49891518495011011</v>
      </c>
      <c r="AD78" s="13">
        <f t="shared" ref="AD78:AD101" si="62">J91/J$117*100</f>
        <v>0</v>
      </c>
      <c r="AE78" s="13">
        <f t="shared" ref="AE78:AF101" si="63">K91/K$117*100</f>
        <v>3.3834826631664936</v>
      </c>
      <c r="AF78" s="13">
        <f t="shared" si="63"/>
        <v>0</v>
      </c>
      <c r="AG78" s="13">
        <f t="shared" ref="AG78:AG101" si="64">M91/M$117*100</f>
        <v>7.8103813840071092</v>
      </c>
      <c r="AH78" s="13">
        <f t="shared" ref="AH78:AH101" si="65">N91/N$117*100</f>
        <v>0.18023529130967705</v>
      </c>
      <c r="AI78" s="13">
        <f t="shared" ref="AI78:AI101" si="66">O91/O$117*100</f>
        <v>0.20821498275295594</v>
      </c>
      <c r="AJ78" s="13">
        <f t="shared" ref="AJ78:AJ101" si="67">P91/P$117*100</f>
        <v>0.62589622193442496</v>
      </c>
      <c r="AK78" s="13">
        <f t="shared" ref="AK78:AK101" si="68">Q91/Q$117*100</f>
        <v>5.2287040112895822</v>
      </c>
      <c r="AL78" s="13">
        <f t="shared" ref="AL78:AL101" si="69">R91/R$117*100</f>
        <v>0.41024818659446338</v>
      </c>
    </row>
    <row r="79" spans="1:38" outlineLevel="2" x14ac:dyDescent="0.25">
      <c r="B79" s="6" t="s">
        <v>462</v>
      </c>
      <c r="C79" s="6"/>
      <c r="D79" s="165"/>
      <c r="F79" s="165"/>
      <c r="G79" s="165"/>
      <c r="H79" s="165"/>
      <c r="I79" s="165">
        <f>(G17*D$24+I17*F$24)/(D$24+F$24)*C17</f>
        <v>49.238160785457367</v>
      </c>
      <c r="J79" s="72">
        <f>H17*C17</f>
        <v>66.3</v>
      </c>
      <c r="M79" s="72"/>
      <c r="N79" s="165"/>
      <c r="O79" s="165">
        <f>SUMPRODUCT(P17:R17,D$23:F$23)/SUM(D$23:F$23)*C17</f>
        <v>2.7418595795607028</v>
      </c>
      <c r="P79" s="165">
        <f>(M17*D$23+O17*F$23)/(D$23+F$23)*C17</f>
        <v>86.918338397569158</v>
      </c>
      <c r="Q79" s="165"/>
      <c r="R79" s="72">
        <f>N17*C17</f>
        <v>27.2</v>
      </c>
      <c r="U79" s="110" t="str">
        <f t="shared" si="37"/>
        <v>linseed</v>
      </c>
      <c r="X79" s="13">
        <f t="shared" si="57"/>
        <v>0</v>
      </c>
      <c r="Y79" s="13">
        <f t="shared" si="57"/>
        <v>0</v>
      </c>
      <c r="Z79" s="13">
        <f t="shared" si="58"/>
        <v>0</v>
      </c>
      <c r="AA79" s="13">
        <f t="shared" si="59"/>
        <v>0</v>
      </c>
      <c r="AB79" s="13">
        <f t="shared" si="60"/>
        <v>0</v>
      </c>
      <c r="AC79" s="13">
        <f t="shared" si="61"/>
        <v>3.6802917118822752E-4</v>
      </c>
      <c r="AD79" s="13">
        <f t="shared" si="62"/>
        <v>0</v>
      </c>
      <c r="AE79" s="13">
        <f t="shared" si="63"/>
        <v>2.4958557242137649E-3</v>
      </c>
      <c r="AF79" s="13">
        <f t="shared" si="63"/>
        <v>0</v>
      </c>
      <c r="AG79" s="13">
        <f t="shared" si="64"/>
        <v>5.7613964740470527E-3</v>
      </c>
      <c r="AH79" s="13">
        <f t="shared" si="65"/>
        <v>1.3295214673853263E-4</v>
      </c>
      <c r="AI79" s="13">
        <f t="shared" si="66"/>
        <v>1.5359161204765519E-4</v>
      </c>
      <c r="AJ79" s="13">
        <f t="shared" si="67"/>
        <v>4.6169784916729557E-4</v>
      </c>
      <c r="AK79" s="13">
        <f t="shared" si="68"/>
        <v>3.8569994694707295E-3</v>
      </c>
      <c r="AL79" s="13">
        <f t="shared" si="69"/>
        <v>3.0262318054907772E-4</v>
      </c>
    </row>
    <row r="80" spans="1:38" outlineLevel="2" x14ac:dyDescent="0.25">
      <c r="B80" s="166" t="s">
        <v>434</v>
      </c>
      <c r="C80" s="166"/>
      <c r="D80" s="12"/>
      <c r="F80" s="12"/>
      <c r="G80" s="12"/>
      <c r="H80" s="12"/>
      <c r="I80" s="12">
        <f>I$79*$AF33</f>
        <v>25.260442931469107</v>
      </c>
      <c r="J80" s="12">
        <f>J$79*$AF33</f>
        <v>34.013605293946092</v>
      </c>
      <c r="M80" s="12"/>
      <c r="N80" s="292"/>
      <c r="O80" s="292">
        <f>O$79*$AD33</f>
        <v>1.4066444873394082</v>
      </c>
      <c r="P80" s="12">
        <f>P$79*$AD33</f>
        <v>44.591343213583066</v>
      </c>
      <c r="Q80" s="12"/>
      <c r="R80" s="12">
        <f>R$79*$AD33</f>
        <v>13.954299607772761</v>
      </c>
      <c r="U80" s="110" t="str">
        <f t="shared" si="37"/>
        <v>vegetable oils</v>
      </c>
      <c r="X80" s="13">
        <f t="shared" si="57"/>
        <v>0</v>
      </c>
      <c r="Y80" s="13">
        <f t="shared" si="57"/>
        <v>0</v>
      </c>
      <c r="Z80" s="13">
        <f t="shared" si="58"/>
        <v>0</v>
      </c>
      <c r="AA80" s="13">
        <f t="shared" si="59"/>
        <v>0</v>
      </c>
      <c r="AB80" s="13">
        <f t="shared" si="60"/>
        <v>0</v>
      </c>
      <c r="AC80" s="13">
        <f t="shared" si="61"/>
        <v>9.5013866211436822E-3</v>
      </c>
      <c r="AD80" s="13">
        <f t="shared" si="62"/>
        <v>0</v>
      </c>
      <c r="AE80" s="13">
        <f t="shared" si="63"/>
        <v>6.4435354702415792E-2</v>
      </c>
      <c r="AF80" s="13">
        <f t="shared" si="63"/>
        <v>0</v>
      </c>
      <c r="AG80" s="13">
        <f t="shared" si="64"/>
        <v>0.14874162067337257</v>
      </c>
      <c r="AH80" s="13">
        <f t="shared" si="65"/>
        <v>3.4324174472239043E-3</v>
      </c>
      <c r="AI80" s="13">
        <f t="shared" si="66"/>
        <v>3.9652652617667341E-3</v>
      </c>
      <c r="AJ80" s="13">
        <f t="shared" si="67"/>
        <v>1.1919625156141098E-2</v>
      </c>
      <c r="AK80" s="13">
        <f t="shared" si="68"/>
        <v>9.957591958992984E-2</v>
      </c>
      <c r="AL80" s="13">
        <f t="shared" si="69"/>
        <v>7.8128041579790201E-3</v>
      </c>
    </row>
    <row r="81" spans="2:38" outlineLevel="2" x14ac:dyDescent="0.25">
      <c r="B81" s="166" t="s">
        <v>467</v>
      </c>
      <c r="C81" s="166"/>
      <c r="D81" s="12"/>
      <c r="F81" s="12"/>
      <c r="G81" s="12"/>
      <c r="H81" s="12"/>
      <c r="I81" s="12">
        <f>I$79*$AF34</f>
        <v>23.97771785398826</v>
      </c>
      <c r="J81" s="12">
        <f>J$79*$AF34</f>
        <v>32.286394706053905</v>
      </c>
      <c r="M81" s="12"/>
      <c r="N81" s="292"/>
      <c r="O81" s="292">
        <f>O$79*$AD34</f>
        <v>1.3352150922212949</v>
      </c>
      <c r="P81" s="12">
        <f>P$79*$AD34</f>
        <v>42.326995183986099</v>
      </c>
      <c r="Q81" s="12"/>
      <c r="R81" s="12">
        <f>R$79*$AD34</f>
        <v>13.24570039222724</v>
      </c>
      <c r="U81" s="110" t="str">
        <f t="shared" si="37"/>
        <v>soybeans</v>
      </c>
      <c r="X81" s="13">
        <f t="shared" si="57"/>
        <v>0</v>
      </c>
      <c r="Y81" s="13">
        <f t="shared" si="57"/>
        <v>0</v>
      </c>
      <c r="Z81" s="13">
        <f t="shared" si="58"/>
        <v>0</v>
      </c>
      <c r="AA81" s="13">
        <f t="shared" si="59"/>
        <v>0</v>
      </c>
      <c r="AB81" s="13">
        <f t="shared" si="60"/>
        <v>0</v>
      </c>
      <c r="AC81" s="13">
        <f t="shared" si="61"/>
        <v>9.2850444567383218E-3</v>
      </c>
      <c r="AD81" s="13">
        <f t="shared" si="62"/>
        <v>0</v>
      </c>
      <c r="AE81" s="13">
        <f t="shared" si="63"/>
        <v>6.2968191575980506E-2</v>
      </c>
      <c r="AF81" s="13">
        <f t="shared" si="63"/>
        <v>0</v>
      </c>
      <c r="AG81" s="13">
        <f t="shared" si="64"/>
        <v>0.14535484299167828</v>
      </c>
      <c r="AH81" s="13">
        <f t="shared" si="65"/>
        <v>3.3542628947059953E-3</v>
      </c>
      <c r="AI81" s="13">
        <f t="shared" si="66"/>
        <v>3.8749780117707201E-3</v>
      </c>
      <c r="AJ81" s="13">
        <f t="shared" si="67"/>
        <v>1.1648220822436621E-2</v>
      </c>
      <c r="AK81" s="13">
        <f t="shared" si="68"/>
        <v>9.7308622107391843E-2</v>
      </c>
      <c r="AL81" s="13">
        <f t="shared" si="69"/>
        <v>7.6349102327017302E-3</v>
      </c>
    </row>
    <row r="82" spans="2:38" outlineLevel="2" x14ac:dyDescent="0.25">
      <c r="B82" s="6" t="s">
        <v>460</v>
      </c>
      <c r="C82" s="6"/>
      <c r="D82" s="165"/>
      <c r="F82" s="165"/>
      <c r="G82" s="165"/>
      <c r="H82" s="165"/>
      <c r="I82" s="165">
        <f>(G18*D$24+I18*F$24)/(D$24+F$24)*C18</f>
        <v>132.11599300087491</v>
      </c>
      <c r="J82" s="72"/>
      <c r="K82" s="165">
        <f>Y18*C18</f>
        <v>1370.1342545518819</v>
      </c>
      <c r="M82" s="294">
        <v>100</v>
      </c>
      <c r="N82" s="165">
        <f>AB18*C18</f>
        <v>97.2</v>
      </c>
      <c r="O82" s="165">
        <f>SUMPRODUCT(P18:R18,D$23:F$23)/SUM(D$23:F$23)*C18</f>
        <v>127.97579935447216</v>
      </c>
      <c r="P82" s="165">
        <f>(M18*D$23+O18*F$23)/(D$23+F$23)*C18</f>
        <v>261.21784663361586</v>
      </c>
      <c r="Q82" s="165">
        <f>Z18*C18</f>
        <v>2165.3407913577166</v>
      </c>
      <c r="R82" s="72">
        <f>N18*C18</f>
        <v>71.100000000000009</v>
      </c>
      <c r="U82" s="110" t="str">
        <f t="shared" si="37"/>
        <v>soybean meal</v>
      </c>
      <c r="X82" s="13">
        <f t="shared" si="57"/>
        <v>0</v>
      </c>
      <c r="Y82" s="13">
        <f t="shared" si="57"/>
        <v>0</v>
      </c>
      <c r="Z82" s="13">
        <f t="shared" si="58"/>
        <v>0</v>
      </c>
      <c r="AA82" s="13">
        <f t="shared" si="59"/>
        <v>0</v>
      </c>
      <c r="AB82" s="13">
        <f t="shared" si="60"/>
        <v>0</v>
      </c>
      <c r="AC82" s="13">
        <f t="shared" si="61"/>
        <v>8.4815436019657742E-2</v>
      </c>
      <c r="AD82" s="13">
        <f t="shared" si="62"/>
        <v>0</v>
      </c>
      <c r="AE82" s="13">
        <f t="shared" si="63"/>
        <v>0.57519106653391427</v>
      </c>
      <c r="AF82" s="13">
        <f t="shared" si="63"/>
        <v>0</v>
      </c>
      <c r="AG82" s="13">
        <f t="shared" si="64"/>
        <v>1.3277625587415678</v>
      </c>
      <c r="AH82" s="13">
        <f t="shared" si="65"/>
        <v>3.0639946988362182E-2</v>
      </c>
      <c r="AI82" s="13">
        <f t="shared" si="66"/>
        <v>3.5396486378307765E-2</v>
      </c>
      <c r="AJ82" s="13">
        <f t="shared" si="67"/>
        <v>0.10640217529505162</v>
      </c>
      <c r="AK82" s="13">
        <f t="shared" si="68"/>
        <v>0.88887815787688529</v>
      </c>
      <c r="AL82" s="13">
        <f t="shared" si="69"/>
        <v>6.9742072143510206E-2</v>
      </c>
    </row>
    <row r="83" spans="2:38" outlineLevel="2" x14ac:dyDescent="0.25">
      <c r="B83" t="str">
        <f>L26</f>
        <v>wheat</v>
      </c>
      <c r="F83" s="13"/>
      <c r="I83" s="13">
        <f t="shared" ref="I83:I113" si="70">I$82*$W26</f>
        <v>34.211658111455151</v>
      </c>
      <c r="J83" s="13"/>
      <c r="K83" s="13">
        <f t="shared" ref="K83:K113" si="71">K$82*$U26</f>
        <v>106.32376583397684</v>
      </c>
      <c r="M83" s="13">
        <f t="shared" ref="M83:P113" si="72">M$82*$W26</f>
        <v>25.895167825161479</v>
      </c>
      <c r="N83" s="13">
        <f t="shared" si="72"/>
        <v>25.170103126056958</v>
      </c>
      <c r="O83" s="13">
        <f t="shared" si="72"/>
        <v>33.139548018432485</v>
      </c>
      <c r="P83" s="13">
        <f t="shared" si="72"/>
        <v>67.642799775047763</v>
      </c>
      <c r="Q83" s="13">
        <f t="shared" ref="Q83:R113" si="73">Q$82*$U26</f>
        <v>168.03257526495051</v>
      </c>
      <c r="R83" s="13">
        <f t="shared" si="73"/>
        <v>5.5174299348265068</v>
      </c>
      <c r="U83" s="110" t="str">
        <f t="shared" si="37"/>
        <v>soybean protein concentrate</v>
      </c>
      <c r="X83" s="13">
        <f t="shared" si="57"/>
        <v>0</v>
      </c>
      <c r="Y83" s="13">
        <f t="shared" si="57"/>
        <v>0</v>
      </c>
      <c r="Z83" s="13">
        <f t="shared" si="58"/>
        <v>0</v>
      </c>
      <c r="AA83" s="13">
        <f t="shared" si="59"/>
        <v>0</v>
      </c>
      <c r="AB83" s="13">
        <f t="shared" si="60"/>
        <v>0</v>
      </c>
      <c r="AC83" s="13">
        <f t="shared" si="61"/>
        <v>0</v>
      </c>
      <c r="AD83" s="13">
        <f t="shared" si="62"/>
        <v>0</v>
      </c>
      <c r="AE83" s="13">
        <f t="shared" si="63"/>
        <v>0</v>
      </c>
      <c r="AF83" s="13">
        <f t="shared" si="63"/>
        <v>0</v>
      </c>
      <c r="AG83" s="13">
        <f t="shared" si="64"/>
        <v>0</v>
      </c>
      <c r="AH83" s="13">
        <f t="shared" si="65"/>
        <v>0</v>
      </c>
      <c r="AI83" s="13">
        <f t="shared" si="66"/>
        <v>0</v>
      </c>
      <c r="AJ83" s="13">
        <f t="shared" si="67"/>
        <v>0</v>
      </c>
      <c r="AK83" s="13">
        <f t="shared" si="68"/>
        <v>0</v>
      </c>
      <c r="AL83" s="13">
        <f t="shared" si="69"/>
        <v>0</v>
      </c>
    </row>
    <row r="84" spans="2:38" outlineLevel="2" x14ac:dyDescent="0.25">
      <c r="B84" t="str">
        <f t="shared" ref="B84:B114" si="74">L27</f>
        <v>barley</v>
      </c>
      <c r="C84" s="166"/>
      <c r="F84" s="13"/>
      <c r="I84" s="13">
        <f t="shared" si="70"/>
        <v>37.204098459874182</v>
      </c>
      <c r="J84" s="13"/>
      <c r="K84" s="13">
        <f t="shared" si="71"/>
        <v>115.62373971542154</v>
      </c>
      <c r="M84" s="13">
        <f t="shared" si="72"/>
        <v>28.160177745950715</v>
      </c>
      <c r="N84" s="13">
        <f t="shared" si="72"/>
        <v>27.371692769064097</v>
      </c>
      <c r="O84" s="13">
        <f t="shared" si="72"/>
        <v>36.038212570020605</v>
      </c>
      <c r="P84" s="13">
        <f t="shared" si="72"/>
        <v>73.559409916171163</v>
      </c>
      <c r="Q84" s="13">
        <f t="shared" si="73"/>
        <v>182.73012241199254</v>
      </c>
      <c r="R84" s="13">
        <f t="shared" si="73"/>
        <v>6.0000309213896665</v>
      </c>
      <c r="U84" s="110" t="str">
        <f t="shared" si="37"/>
        <v>rapeseed meal</v>
      </c>
      <c r="X84" s="13">
        <f t="shared" si="57"/>
        <v>0</v>
      </c>
      <c r="Y84" s="13">
        <f t="shared" si="57"/>
        <v>0</v>
      </c>
      <c r="Z84" s="13">
        <f t="shared" si="58"/>
        <v>0</v>
      </c>
      <c r="AA84" s="13">
        <f t="shared" si="59"/>
        <v>0</v>
      </c>
      <c r="AB84" s="13">
        <f t="shared" si="60"/>
        <v>0</v>
      </c>
      <c r="AC84" s="13">
        <f t="shared" si="61"/>
        <v>0.65508327684698231</v>
      </c>
      <c r="AD84" s="13">
        <f t="shared" si="62"/>
        <v>0</v>
      </c>
      <c r="AE84" s="13">
        <f t="shared" si="63"/>
        <v>4.4425645420347344</v>
      </c>
      <c r="AF84" s="13">
        <f t="shared" si="63"/>
        <v>0</v>
      </c>
      <c r="AG84" s="13">
        <f t="shared" si="64"/>
        <v>10.255150343783729</v>
      </c>
      <c r="AH84" s="13">
        <f t="shared" si="65"/>
        <v>0.23665169711445078</v>
      </c>
      <c r="AI84" s="13">
        <f t="shared" si="66"/>
        <v>0.27338946038309825</v>
      </c>
      <c r="AJ84" s="13">
        <f t="shared" si="67"/>
        <v>0.82181132264384626</v>
      </c>
      <c r="AK84" s="13">
        <f t="shared" si="68"/>
        <v>6.8653684247374684</v>
      </c>
      <c r="AL84" s="13">
        <f t="shared" si="69"/>
        <v>0.53866215040479692</v>
      </c>
    </row>
    <row r="85" spans="2:38" outlineLevel="2" x14ac:dyDescent="0.25">
      <c r="B85" t="str">
        <f t="shared" si="74"/>
        <v>oats</v>
      </c>
      <c r="C85" s="166"/>
      <c r="F85" s="13"/>
      <c r="I85" s="13">
        <f t="shared" si="70"/>
        <v>12.57808859774202</v>
      </c>
      <c r="J85" s="13"/>
      <c r="K85" s="13">
        <f t="shared" si="71"/>
        <v>39.090468586716916</v>
      </c>
      <c r="M85" s="13">
        <f t="shared" si="72"/>
        <v>9.5204890127561814</v>
      </c>
      <c r="N85" s="13">
        <f t="shared" si="72"/>
        <v>9.2539153203990079</v>
      </c>
      <c r="O85" s="13">
        <f t="shared" si="72"/>
        <v>12.183921916529417</v>
      </c>
      <c r="P85" s="13">
        <f t="shared" si="72"/>
        <v>24.869216388111688</v>
      </c>
      <c r="Q85" s="13">
        <f t="shared" si="73"/>
        <v>61.778023506017249</v>
      </c>
      <c r="R85" s="13">
        <f t="shared" si="73"/>
        <v>2.0285109340796574</v>
      </c>
      <c r="U85" s="110" t="str">
        <f t="shared" si="37"/>
        <v>sunflower seed meal</v>
      </c>
      <c r="X85" s="13">
        <f t="shared" si="57"/>
        <v>0</v>
      </c>
      <c r="Y85" s="13">
        <f t="shared" si="57"/>
        <v>0</v>
      </c>
      <c r="Z85" s="13">
        <f t="shared" si="58"/>
        <v>0</v>
      </c>
      <c r="AA85" s="13">
        <f t="shared" si="59"/>
        <v>0</v>
      </c>
      <c r="AB85" s="13">
        <f t="shared" si="60"/>
        <v>0</v>
      </c>
      <c r="AC85" s="13">
        <f t="shared" si="61"/>
        <v>9.0493413936850002E-3</v>
      </c>
      <c r="AD85" s="13">
        <f t="shared" si="62"/>
        <v>0</v>
      </c>
      <c r="AE85" s="13">
        <f t="shared" si="63"/>
        <v>6.136972904857535E-2</v>
      </c>
      <c r="AF85" s="13">
        <f t="shared" si="63"/>
        <v>0</v>
      </c>
      <c r="AG85" s="13">
        <f t="shared" si="64"/>
        <v>0.14166497571291584</v>
      </c>
      <c r="AH85" s="13">
        <f t="shared" si="65"/>
        <v>3.2691141329254793E-3</v>
      </c>
      <c r="AI85" s="13">
        <f t="shared" si="66"/>
        <v>3.7766107728313516E-3</v>
      </c>
      <c r="AJ85" s="13">
        <f t="shared" si="67"/>
        <v>1.1352527964985915E-2</v>
      </c>
      <c r="AK85" s="13">
        <f t="shared" si="68"/>
        <v>9.4838419579113625E-2</v>
      </c>
      <c r="AL85" s="13">
        <f t="shared" si="69"/>
        <v>7.441096219600373E-3</v>
      </c>
    </row>
    <row r="86" spans="2:38" outlineLevel="2" x14ac:dyDescent="0.25">
      <c r="B86" t="str">
        <f t="shared" si="74"/>
        <v>triticale</v>
      </c>
      <c r="C86" s="166"/>
      <c r="F86" s="13"/>
      <c r="I86" s="13">
        <f t="shared" si="70"/>
        <v>4.5167949149179192</v>
      </c>
      <c r="J86" s="13"/>
      <c r="K86" s="13">
        <f t="shared" si="71"/>
        <v>14.037397523653777</v>
      </c>
      <c r="M86" s="13">
        <f t="shared" si="72"/>
        <v>3.4188101018837349</v>
      </c>
      <c r="N86" s="13">
        <f t="shared" si="72"/>
        <v>3.3230834190309904</v>
      </c>
      <c r="O86" s="13">
        <f t="shared" si="72"/>
        <v>4.3752495562971534</v>
      </c>
      <c r="P86" s="13">
        <f t="shared" si="72"/>
        <v>8.9305421286332205</v>
      </c>
      <c r="Q86" s="13">
        <f t="shared" si="73"/>
        <v>22.184504446546079</v>
      </c>
      <c r="R86" s="13">
        <f t="shared" si="73"/>
        <v>0.72843880854450294</v>
      </c>
      <c r="U86" s="110" t="str">
        <f t="shared" si="37"/>
        <v>palm kernel expeller</v>
      </c>
      <c r="X86" s="13">
        <f t="shared" si="57"/>
        <v>0</v>
      </c>
      <c r="Y86" s="13">
        <f t="shared" si="57"/>
        <v>0</v>
      </c>
      <c r="Z86" s="13">
        <f t="shared" si="58"/>
        <v>0</v>
      </c>
      <c r="AA86" s="13">
        <f t="shared" si="59"/>
        <v>0</v>
      </c>
      <c r="AB86" s="13">
        <f t="shared" si="60"/>
        <v>0</v>
      </c>
      <c r="AC86" s="13">
        <f t="shared" si="61"/>
        <v>5.880188879234155E-2</v>
      </c>
      <c r="AD86" s="13">
        <f t="shared" si="62"/>
        <v>0</v>
      </c>
      <c r="AE86" s="13">
        <f t="shared" si="63"/>
        <v>0.39877553799094467</v>
      </c>
      <c r="AF86" s="13">
        <f t="shared" si="63"/>
        <v>0</v>
      </c>
      <c r="AG86" s="13">
        <f t="shared" si="64"/>
        <v>0.92052755943695241</v>
      </c>
      <c r="AH86" s="13">
        <f t="shared" si="65"/>
        <v>2.1242439347895763E-2</v>
      </c>
      <c r="AI86" s="13">
        <f t="shared" si="66"/>
        <v>2.454011148600925E-2</v>
      </c>
      <c r="AJ86" s="13">
        <f t="shared" si="67"/>
        <v>7.3767808934127849E-2</v>
      </c>
      <c r="AK86" s="13">
        <f t="shared" si="68"/>
        <v>0.61625238331975196</v>
      </c>
      <c r="AL86" s="13">
        <f t="shared" si="69"/>
        <v>4.8351641667911303E-2</v>
      </c>
    </row>
    <row r="87" spans="2:38" outlineLevel="2" x14ac:dyDescent="0.25">
      <c r="B87" t="str">
        <f t="shared" si="74"/>
        <v>rye</v>
      </c>
      <c r="C87" s="166"/>
      <c r="F87" s="13"/>
      <c r="I87" s="13">
        <f t="shared" si="70"/>
        <v>0.27936819309814526</v>
      </c>
      <c r="J87" s="13"/>
      <c r="K87" s="13">
        <f t="shared" si="71"/>
        <v>0.86822679706607797</v>
      </c>
      <c r="M87" s="13">
        <f t="shared" si="72"/>
        <v>0.21145675610695761</v>
      </c>
      <c r="N87" s="13">
        <f t="shared" si="72"/>
        <v>0.20553596693596279</v>
      </c>
      <c r="O87" s="13">
        <f t="shared" si="72"/>
        <v>0.27061347391691565</v>
      </c>
      <c r="P87" s="13">
        <f t="shared" si="72"/>
        <v>0.55236278486389168</v>
      </c>
      <c r="Q87" s="13">
        <f t="shared" si="73"/>
        <v>1.3721333464886729</v>
      </c>
      <c r="R87" s="13">
        <f t="shared" si="73"/>
        <v>4.5054654364208975E-2</v>
      </c>
      <c r="U87" s="110" t="str">
        <f t="shared" si="37"/>
        <v>luzern meal</v>
      </c>
      <c r="X87" s="13">
        <f t="shared" si="57"/>
        <v>0</v>
      </c>
      <c r="Y87" s="13">
        <f t="shared" si="57"/>
        <v>0</v>
      </c>
      <c r="Z87" s="13">
        <f t="shared" si="58"/>
        <v>0</v>
      </c>
      <c r="AA87" s="13">
        <f t="shared" si="59"/>
        <v>0</v>
      </c>
      <c r="AB87" s="13">
        <f t="shared" si="60"/>
        <v>0</v>
      </c>
      <c r="AC87" s="13">
        <f t="shared" si="61"/>
        <v>1.7886888897567656E-2</v>
      </c>
      <c r="AD87" s="13">
        <f t="shared" si="62"/>
        <v>0</v>
      </c>
      <c r="AE87" s="13">
        <f t="shared" si="63"/>
        <v>0.12130313990935594</v>
      </c>
      <c r="AF87" s="13">
        <f t="shared" si="63"/>
        <v>0</v>
      </c>
      <c r="AG87" s="13">
        <f t="shared" si="64"/>
        <v>0.28001437574471844</v>
      </c>
      <c r="AH87" s="13">
        <f t="shared" si="65"/>
        <v>6.4617167974137888E-3</v>
      </c>
      <c r="AI87" s="13">
        <f t="shared" si="66"/>
        <v>7.4648324517994124E-3</v>
      </c>
      <c r="AJ87" s="13">
        <f t="shared" si="67"/>
        <v>2.2439357471687103E-2</v>
      </c>
      <c r="AK87" s="13">
        <f t="shared" si="68"/>
        <v>0.18745720825786316</v>
      </c>
      <c r="AL87" s="13">
        <f t="shared" si="69"/>
        <v>1.4708038471063079E-2</v>
      </c>
    </row>
    <row r="88" spans="2:38" outlineLevel="2" x14ac:dyDescent="0.25">
      <c r="B88" t="str">
        <f t="shared" si="74"/>
        <v>maize</v>
      </c>
      <c r="C88" s="166"/>
      <c r="F88" s="13"/>
      <c r="I88" s="13">
        <f t="shared" si="70"/>
        <v>1.2137481569771995</v>
      </c>
      <c r="J88" s="13"/>
      <c r="K88" s="13">
        <f t="shared" si="71"/>
        <v>30.653011136014133</v>
      </c>
      <c r="M88" s="13">
        <f t="shared" si="72"/>
        <v>0.91869888679500122</v>
      </c>
      <c r="N88" s="13">
        <f t="shared" si="72"/>
        <v>0.89297531796474128</v>
      </c>
      <c r="O88" s="13">
        <f t="shared" si="72"/>
        <v>1.1757122440365402</v>
      </c>
      <c r="P88" s="13">
        <f t="shared" si="72"/>
        <v>2.3998054491329026</v>
      </c>
      <c r="Q88" s="13">
        <f t="shared" si="73"/>
        <v>48.443585123314932</v>
      </c>
      <c r="R88" s="13">
        <f t="shared" si="73"/>
        <v>1.5906682754117496</v>
      </c>
      <c r="U88" s="110" t="str">
        <f t="shared" si="37"/>
        <v>wheat bran</v>
      </c>
      <c r="X88" s="13">
        <f t="shared" si="57"/>
        <v>0</v>
      </c>
      <c r="Y88" s="13">
        <f t="shared" si="57"/>
        <v>0</v>
      </c>
      <c r="Z88" s="13">
        <f t="shared" si="58"/>
        <v>0</v>
      </c>
      <c r="AA88" s="13">
        <f t="shared" si="59"/>
        <v>0</v>
      </c>
      <c r="AB88" s="13">
        <f t="shared" si="60"/>
        <v>0</v>
      </c>
      <c r="AC88" s="13">
        <f t="shared" si="61"/>
        <v>0.19488005713432707</v>
      </c>
      <c r="AD88" s="13">
        <f t="shared" si="62"/>
        <v>0</v>
      </c>
      <c r="AE88" s="13">
        <f t="shared" si="63"/>
        <v>1.321614002942858</v>
      </c>
      <c r="AF88" s="13">
        <f t="shared" si="63"/>
        <v>0</v>
      </c>
      <c r="AG88" s="13">
        <f t="shared" si="64"/>
        <v>3.0507942357144198</v>
      </c>
      <c r="AH88" s="13">
        <f t="shared" si="65"/>
        <v>7.0401272455886954E-2</v>
      </c>
      <c r="AI88" s="13">
        <f t="shared" si="66"/>
        <v>8.1330352250506319E-2</v>
      </c>
      <c r="AJ88" s="13">
        <f t="shared" si="67"/>
        <v>0.24447981374416825</v>
      </c>
      <c r="AK88" s="13">
        <f t="shared" si="68"/>
        <v>2.0423714635193808</v>
      </c>
      <c r="AL88" s="13">
        <f t="shared" si="69"/>
        <v>0.16024605474932127</v>
      </c>
    </row>
    <row r="89" spans="2:38" outlineLevel="2" x14ac:dyDescent="0.25">
      <c r="B89" t="str">
        <f t="shared" si="74"/>
        <v>peas</v>
      </c>
      <c r="C89" s="166"/>
      <c r="F89" s="13"/>
      <c r="I89" s="13">
        <f t="shared" si="70"/>
        <v>0.18968975503458319</v>
      </c>
      <c r="J89" s="13"/>
      <c r="K89" s="13">
        <f t="shared" si="71"/>
        <v>4.7905837302722256</v>
      </c>
      <c r="M89" s="13">
        <f t="shared" si="72"/>
        <v>0.14357819271231378</v>
      </c>
      <c r="N89" s="13">
        <f t="shared" si="72"/>
        <v>0.139558003316369</v>
      </c>
      <c r="O89" s="13">
        <f t="shared" si="72"/>
        <v>0.18374533982228808</v>
      </c>
      <c r="P89" s="13">
        <f t="shared" si="72"/>
        <v>0.37505186323856926</v>
      </c>
      <c r="Q89" s="13">
        <f t="shared" si="73"/>
        <v>7.570970750574916</v>
      </c>
      <c r="R89" s="13">
        <f t="shared" si="73"/>
        <v>0.2485964438088995</v>
      </c>
      <c r="U89" s="110" t="str">
        <f t="shared" si="37"/>
        <v>wheat bran, fine</v>
      </c>
      <c r="X89" s="13">
        <f t="shared" si="57"/>
        <v>0</v>
      </c>
      <c r="Y89" s="13">
        <f t="shared" si="57"/>
        <v>0</v>
      </c>
      <c r="Z89" s="13">
        <f t="shared" si="58"/>
        <v>0</v>
      </c>
      <c r="AA89" s="13">
        <f t="shared" si="59"/>
        <v>0</v>
      </c>
      <c r="AB89" s="13">
        <f t="shared" si="60"/>
        <v>0</v>
      </c>
      <c r="AC89" s="13">
        <f t="shared" si="61"/>
        <v>5.108654814463125E-4</v>
      </c>
      <c r="AD89" s="13">
        <f t="shared" si="62"/>
        <v>0</v>
      </c>
      <c r="AE89" s="13">
        <f t="shared" si="63"/>
        <v>3.4645257386917328E-3</v>
      </c>
      <c r="AF89" s="13">
        <f t="shared" si="63"/>
        <v>0</v>
      </c>
      <c r="AG89" s="13">
        <f t="shared" si="64"/>
        <v>7.9974600220257888E-3</v>
      </c>
      <c r="AH89" s="13">
        <f t="shared" si="65"/>
        <v>1.8455238815339291E-4</v>
      </c>
      <c r="AI89" s="13">
        <f t="shared" si="66"/>
        <v>2.1320226486804789E-4</v>
      </c>
      <c r="AJ89" s="13">
        <f t="shared" si="67"/>
        <v>6.4088803948898038E-4</v>
      </c>
      <c r="AK89" s="13">
        <f t="shared" si="68"/>
        <v>5.3539448640650723E-3</v>
      </c>
      <c r="AL89" s="13">
        <f t="shared" si="69"/>
        <v>4.2007468138700703E-4</v>
      </c>
    </row>
    <row r="90" spans="2:38" outlineLevel="2" x14ac:dyDescent="0.25">
      <c r="B90" t="str">
        <f t="shared" si="74"/>
        <v>broad beans</v>
      </c>
      <c r="F90" s="13"/>
      <c r="I90" s="13">
        <f t="shared" si="70"/>
        <v>0.65183027203772292</v>
      </c>
      <c r="J90" s="13"/>
      <c r="K90" s="13">
        <f t="shared" si="71"/>
        <v>16.461866881284816</v>
      </c>
      <c r="M90" s="13">
        <f t="shared" si="72"/>
        <v>0.49337726435088475</v>
      </c>
      <c r="N90" s="13">
        <f t="shared" si="72"/>
        <v>0.47956270094905995</v>
      </c>
      <c r="O90" s="13">
        <f t="shared" si="72"/>
        <v>0.63140349788627192</v>
      </c>
      <c r="P90" s="13">
        <f t="shared" si="72"/>
        <v>1.2887894657172236</v>
      </c>
      <c r="Q90" s="13">
        <f t="shared" si="73"/>
        <v>26.016101518171983</v>
      </c>
      <c r="R90" s="13">
        <f t="shared" si="73"/>
        <v>0.8542511300413812</v>
      </c>
      <c r="U90" s="110" t="str">
        <f t="shared" si="37"/>
        <v>oat hulls</v>
      </c>
      <c r="X90" s="13">
        <f t="shared" si="57"/>
        <v>0</v>
      </c>
      <c r="Y90" s="13">
        <f t="shared" si="57"/>
        <v>0</v>
      </c>
      <c r="Z90" s="13">
        <f t="shared" si="58"/>
        <v>0</v>
      </c>
      <c r="AA90" s="13">
        <f t="shared" si="59"/>
        <v>0</v>
      </c>
      <c r="AB90" s="13">
        <f t="shared" si="60"/>
        <v>0</v>
      </c>
      <c r="AC90" s="13">
        <f t="shared" si="61"/>
        <v>2.3471407966757316E-2</v>
      </c>
      <c r="AD90" s="13">
        <f t="shared" si="62"/>
        <v>0</v>
      </c>
      <c r="AE90" s="13">
        <f t="shared" si="63"/>
        <v>0.15917555594859789</v>
      </c>
      <c r="AF90" s="13">
        <f t="shared" si="63"/>
        <v>0</v>
      </c>
      <c r="AG90" s="13">
        <f t="shared" si="64"/>
        <v>0.36743850131225997</v>
      </c>
      <c r="AH90" s="13">
        <f t="shared" si="65"/>
        <v>8.4791487209590587E-3</v>
      </c>
      <c r="AI90" s="13">
        <f t="shared" si="66"/>
        <v>9.7954501133788105E-3</v>
      </c>
      <c r="AJ90" s="13">
        <f t="shared" si="67"/>
        <v>2.9445216367475335E-2</v>
      </c>
      <c r="AK90" s="13">
        <f t="shared" si="68"/>
        <v>0.24598378379417407</v>
      </c>
      <c r="AL90" s="13">
        <f t="shared" si="69"/>
        <v>1.9300079142998843E-2</v>
      </c>
    </row>
    <row r="91" spans="2:38" outlineLevel="2" x14ac:dyDescent="0.25">
      <c r="B91" t="str">
        <f t="shared" si="74"/>
        <v>rapeseed</v>
      </c>
      <c r="F91" s="13"/>
      <c r="I91" s="13">
        <f t="shared" si="70"/>
        <v>10.318762922636468</v>
      </c>
      <c r="J91" s="13"/>
      <c r="K91" s="13">
        <f t="shared" si="71"/>
        <v>260.59866946797524</v>
      </c>
      <c r="M91" s="13">
        <f t="shared" si="72"/>
        <v>7.8103813840071092</v>
      </c>
      <c r="N91" s="13">
        <f t="shared" si="72"/>
        <v>7.5916907052549103</v>
      </c>
      <c r="O91" s="13">
        <f t="shared" si="72"/>
        <v>9.9953980088159842</v>
      </c>
      <c r="P91" s="13">
        <f t="shared" si="72"/>
        <v>20.402110065176174</v>
      </c>
      <c r="Q91" s="13">
        <f t="shared" si="73"/>
        <v>411.84645030067469</v>
      </c>
      <c r="R91" s="13">
        <f t="shared" si="73"/>
        <v>13.523175073987931</v>
      </c>
      <c r="U91" s="110" t="str">
        <f t="shared" si="37"/>
        <v>oat bran</v>
      </c>
      <c r="X91" s="13">
        <f t="shared" si="57"/>
        <v>0</v>
      </c>
      <c r="Y91" s="13">
        <f t="shared" si="57"/>
        <v>0</v>
      </c>
      <c r="Z91" s="13">
        <f t="shared" si="58"/>
        <v>0</v>
      </c>
      <c r="AA91" s="13">
        <f t="shared" si="59"/>
        <v>0</v>
      </c>
      <c r="AB91" s="13">
        <f t="shared" si="60"/>
        <v>0</v>
      </c>
      <c r="AC91" s="13">
        <f t="shared" si="61"/>
        <v>2.6490134698680073E-3</v>
      </c>
      <c r="AD91" s="13">
        <f t="shared" si="62"/>
        <v>0</v>
      </c>
      <c r="AE91" s="13">
        <f t="shared" si="63"/>
        <v>1.7964759181842063E-2</v>
      </c>
      <c r="AF91" s="13">
        <f t="shared" si="63"/>
        <v>0</v>
      </c>
      <c r="AG91" s="13">
        <f t="shared" si="64"/>
        <v>4.1469584641145113E-2</v>
      </c>
      <c r="AH91" s="13">
        <f t="shared" si="65"/>
        <v>9.5696769476491604E-4</v>
      </c>
      <c r="AI91" s="13">
        <f t="shared" si="66"/>
        <v>1.1055271729123049E-3</v>
      </c>
      <c r="AJ91" s="13">
        <f t="shared" si="67"/>
        <v>3.3232252147418258E-3</v>
      </c>
      <c r="AK91" s="13">
        <f t="shared" si="68"/>
        <v>2.77620480868788E-2</v>
      </c>
      <c r="AL91" s="13">
        <f t="shared" si="69"/>
        <v>2.178231902054312E-3</v>
      </c>
    </row>
    <row r="92" spans="2:38" outlineLevel="2" x14ac:dyDescent="0.25">
      <c r="B92" t="str">
        <f t="shared" si="74"/>
        <v>linseed</v>
      </c>
      <c r="C92" s="93"/>
      <c r="F92" s="13"/>
      <c r="I92" s="13">
        <f t="shared" si="70"/>
        <v>7.6117261624046575E-3</v>
      </c>
      <c r="J92" s="13"/>
      <c r="K92" s="13">
        <f t="shared" si="71"/>
        <v>0.19223289895785448</v>
      </c>
      <c r="M92" s="13">
        <f t="shared" si="72"/>
        <v>5.7613964740470527E-3</v>
      </c>
      <c r="N92" s="13">
        <f t="shared" si="72"/>
        <v>5.6000773727737357E-3</v>
      </c>
      <c r="O92" s="13">
        <f t="shared" si="72"/>
        <v>7.3731931916420895E-3</v>
      </c>
      <c r="P92" s="13">
        <f t="shared" si="72"/>
        <v>1.5049795805530782E-2</v>
      </c>
      <c r="Q92" s="13">
        <f t="shared" si="73"/>
        <v>0.30380215381924586</v>
      </c>
      <c r="R92" s="13">
        <f t="shared" si="73"/>
        <v>9.9754889497114668E-3</v>
      </c>
      <c r="T92" s="6"/>
      <c r="U92" s="110" t="str">
        <f t="shared" si="37"/>
        <v>rye bran</v>
      </c>
      <c r="X92" s="13">
        <f t="shared" si="57"/>
        <v>0</v>
      </c>
      <c r="Y92" s="13">
        <f t="shared" si="57"/>
        <v>0</v>
      </c>
      <c r="Z92" s="13">
        <f t="shared" si="58"/>
        <v>0</v>
      </c>
      <c r="AA92" s="13">
        <f t="shared" si="59"/>
        <v>0</v>
      </c>
      <c r="AB92" s="13">
        <f t="shared" si="60"/>
        <v>0</v>
      </c>
      <c r="AC92" s="13">
        <f t="shared" si="61"/>
        <v>8.1695862566661028E-3</v>
      </c>
      <c r="AD92" s="13">
        <f t="shared" si="62"/>
        <v>0</v>
      </c>
      <c r="AE92" s="13">
        <f t="shared" si="63"/>
        <v>5.5403512056737859E-2</v>
      </c>
      <c r="AF92" s="13">
        <f t="shared" si="63"/>
        <v>0</v>
      </c>
      <c r="AG92" s="13">
        <f t="shared" si="64"/>
        <v>0.12789264856808435</v>
      </c>
      <c r="AH92" s="13">
        <f t="shared" si="65"/>
        <v>2.9512987442885481E-3</v>
      </c>
      <c r="AI92" s="13">
        <f t="shared" si="66"/>
        <v>3.4094577852959427E-3</v>
      </c>
      <c r="AJ92" s="13">
        <f t="shared" si="67"/>
        <v>1.0248862586385358E-2</v>
      </c>
      <c r="AK92" s="13">
        <f t="shared" si="68"/>
        <v>8.5618457243544915E-2</v>
      </c>
      <c r="AL92" s="13">
        <f t="shared" si="69"/>
        <v>6.7176907982054394E-3</v>
      </c>
    </row>
    <row r="93" spans="2:38" outlineLevel="2" x14ac:dyDescent="0.25">
      <c r="B93" t="str">
        <f t="shared" si="74"/>
        <v>vegetable oils</v>
      </c>
      <c r="F93" s="13"/>
      <c r="I93" s="13">
        <f t="shared" si="70"/>
        <v>0.19651146915822082</v>
      </c>
      <c r="J93" s="13"/>
      <c r="K93" s="13">
        <f t="shared" si="71"/>
        <v>4.962865004436499</v>
      </c>
      <c r="M93" s="13">
        <f t="shared" si="72"/>
        <v>0.14874162067337257</v>
      </c>
      <c r="N93" s="13">
        <f t="shared" si="72"/>
        <v>0.14457685529451814</v>
      </c>
      <c r="O93" s="13">
        <f t="shared" si="72"/>
        <v>0.19035327802954535</v>
      </c>
      <c r="P93" s="13">
        <f t="shared" si="72"/>
        <v>0.38853965857092504</v>
      </c>
      <c r="Q93" s="13">
        <f t="shared" si="73"/>
        <v>7.8432416388441766</v>
      </c>
      <c r="R93" s="13">
        <f t="shared" si="73"/>
        <v>0.25753658858112555</v>
      </c>
      <c r="U93" s="110" t="str">
        <f t="shared" si="37"/>
        <v>wheat distillers grain, dry</v>
      </c>
      <c r="X93" s="13">
        <f t="shared" si="57"/>
        <v>0</v>
      </c>
      <c r="Y93" s="13">
        <f t="shared" si="57"/>
        <v>0</v>
      </c>
      <c r="Z93" s="13">
        <f t="shared" si="58"/>
        <v>0</v>
      </c>
      <c r="AA93" s="13">
        <f t="shared" si="59"/>
        <v>0</v>
      </c>
      <c r="AB93" s="13">
        <f t="shared" si="60"/>
        <v>0</v>
      </c>
      <c r="AC93" s="13">
        <f t="shared" si="61"/>
        <v>0.20947754779055638</v>
      </c>
      <c r="AD93" s="13">
        <f t="shared" si="62"/>
        <v>0</v>
      </c>
      <c r="AE93" s="13">
        <f t="shared" si="63"/>
        <v>1.4206094996744831</v>
      </c>
      <c r="AF93" s="13">
        <f t="shared" si="63"/>
        <v>0</v>
      </c>
      <c r="AG93" s="13">
        <f t="shared" si="64"/>
        <v>3.2793139775740143</v>
      </c>
      <c r="AH93" s="13">
        <f t="shared" si="65"/>
        <v>7.5674679760735511E-2</v>
      </c>
      <c r="AI93" s="13">
        <f t="shared" si="66"/>
        <v>8.7422402276057576E-2</v>
      </c>
      <c r="AJ93" s="13">
        <f t="shared" si="67"/>
        <v>0.2627925741632976</v>
      </c>
      <c r="AK93" s="13">
        <f t="shared" si="68"/>
        <v>2.1953552977488813</v>
      </c>
      <c r="AL93" s="13">
        <f t="shared" si="69"/>
        <v>0.17224928546106344</v>
      </c>
    </row>
    <row r="94" spans="2:38" outlineLevel="2" x14ac:dyDescent="0.25">
      <c r="B94" t="str">
        <f t="shared" si="74"/>
        <v>soybeans</v>
      </c>
      <c r="C94" s="110"/>
      <c r="F94" s="13"/>
      <c r="I94" s="13">
        <f t="shared" si="70"/>
        <v>0.19203699419331838</v>
      </c>
      <c r="J94" s="13"/>
      <c r="K94" s="13">
        <f t="shared" si="71"/>
        <v>4.8498628712192149</v>
      </c>
      <c r="M94" s="13">
        <f t="shared" si="72"/>
        <v>0.14535484299167828</v>
      </c>
      <c r="N94" s="13">
        <f t="shared" si="72"/>
        <v>0.1412849073879113</v>
      </c>
      <c r="O94" s="13">
        <f t="shared" si="72"/>
        <v>0.18601902221903824</v>
      </c>
      <c r="P94" s="13">
        <f t="shared" si="72"/>
        <v>0.37969279084053531</v>
      </c>
      <c r="Q94" s="13">
        <f t="shared" si="73"/>
        <v>7.6646546662515878</v>
      </c>
      <c r="R94" s="13">
        <f t="shared" si="73"/>
        <v>0.25167259996464014</v>
      </c>
      <c r="U94" s="110" t="str">
        <f t="shared" si="37"/>
        <v>barley brewers grain</v>
      </c>
      <c r="X94" s="13">
        <f t="shared" si="57"/>
        <v>0</v>
      </c>
      <c r="Y94" s="13">
        <f t="shared" si="57"/>
        <v>0</v>
      </c>
      <c r="Z94" s="13">
        <f t="shared" si="58"/>
        <v>0</v>
      </c>
      <c r="AA94" s="13">
        <f t="shared" si="59"/>
        <v>0</v>
      </c>
      <c r="AB94" s="13">
        <f t="shared" si="60"/>
        <v>0</v>
      </c>
      <c r="AC94" s="13">
        <f t="shared" si="61"/>
        <v>0</v>
      </c>
      <c r="AD94" s="13">
        <f t="shared" si="62"/>
        <v>0</v>
      </c>
      <c r="AE94" s="13">
        <f t="shared" si="63"/>
        <v>0</v>
      </c>
      <c r="AF94" s="13">
        <f t="shared" si="63"/>
        <v>0</v>
      </c>
      <c r="AG94" s="13">
        <f t="shared" si="64"/>
        <v>0</v>
      </c>
      <c r="AH94" s="13">
        <f t="shared" si="65"/>
        <v>0</v>
      </c>
      <c r="AI94" s="13">
        <f t="shared" si="66"/>
        <v>0</v>
      </c>
      <c r="AJ94" s="13">
        <f t="shared" si="67"/>
        <v>0</v>
      </c>
      <c r="AK94" s="13">
        <f t="shared" si="68"/>
        <v>0</v>
      </c>
      <c r="AL94" s="13">
        <f t="shared" si="69"/>
        <v>0</v>
      </c>
    </row>
    <row r="95" spans="2:38" outlineLevel="2" x14ac:dyDescent="0.25">
      <c r="B95" t="str">
        <f t="shared" si="74"/>
        <v>soybean meal</v>
      </c>
      <c r="F95" s="13"/>
      <c r="I95" s="13">
        <f t="shared" si="70"/>
        <v>1.7541866891752473</v>
      </c>
      <c r="J95" s="13"/>
      <c r="K95" s="13">
        <f t="shared" si="71"/>
        <v>44.301697851267441</v>
      </c>
      <c r="M95" s="13">
        <f t="shared" si="72"/>
        <v>1.3277625587415678</v>
      </c>
      <c r="N95" s="13">
        <f t="shared" si="72"/>
        <v>1.290585207096804</v>
      </c>
      <c r="O95" s="13">
        <f t="shared" si="72"/>
        <v>1.6992147480789144</v>
      </c>
      <c r="P95" s="13">
        <f t="shared" si="72"/>
        <v>3.4683527643521224</v>
      </c>
      <c r="Q95" s="13">
        <f t="shared" si="73"/>
        <v>70.013776507710432</v>
      </c>
      <c r="R95" s="13">
        <f t="shared" si="73"/>
        <v>2.2989358208953838</v>
      </c>
      <c r="U95" s="110" t="str">
        <f t="shared" si="37"/>
        <v>maize gluten meal</v>
      </c>
      <c r="X95" s="13">
        <f t="shared" si="57"/>
        <v>0</v>
      </c>
      <c r="Y95" s="13">
        <f t="shared" si="57"/>
        <v>0</v>
      </c>
      <c r="Z95" s="13">
        <f t="shared" si="58"/>
        <v>0</v>
      </c>
      <c r="AA95" s="13">
        <f t="shared" si="59"/>
        <v>0</v>
      </c>
      <c r="AB95" s="13">
        <f t="shared" si="60"/>
        <v>0</v>
      </c>
      <c r="AC95" s="13">
        <f t="shared" si="61"/>
        <v>6.3297538628935548E-3</v>
      </c>
      <c r="AD95" s="13">
        <f t="shared" si="62"/>
        <v>0</v>
      </c>
      <c r="AE95" s="13">
        <f t="shared" si="63"/>
        <v>4.2926359235494246E-2</v>
      </c>
      <c r="AF95" s="13">
        <f t="shared" si="63"/>
        <v>0</v>
      </c>
      <c r="AG95" s="13">
        <f t="shared" si="64"/>
        <v>9.909057336275405E-2</v>
      </c>
      <c r="AH95" s="13">
        <f t="shared" si="65"/>
        <v>2.2866512501744235E-3</v>
      </c>
      <c r="AI95" s="13">
        <f t="shared" si="66"/>
        <v>2.6416305439262745E-3</v>
      </c>
      <c r="AJ95" s="13">
        <f t="shared" si="67"/>
        <v>7.940766583314298E-3</v>
      </c>
      <c r="AK95" s="13">
        <f t="shared" si="68"/>
        <v>6.6336745025503241E-2</v>
      </c>
      <c r="AL95" s="13">
        <f t="shared" si="69"/>
        <v>5.2048326492629164E-3</v>
      </c>
    </row>
    <row r="96" spans="2:38" outlineLevel="2" x14ac:dyDescent="0.25">
      <c r="B96" t="str">
        <f t="shared" si="74"/>
        <v>soybean protein concentrate</v>
      </c>
      <c r="F96" s="13"/>
      <c r="I96" s="13">
        <f t="shared" si="70"/>
        <v>0</v>
      </c>
      <c r="J96" s="13"/>
      <c r="K96" s="13">
        <f t="shared" si="71"/>
        <v>0</v>
      </c>
      <c r="M96" s="13">
        <f t="shared" si="72"/>
        <v>0</v>
      </c>
      <c r="N96" s="13">
        <f t="shared" si="72"/>
        <v>0</v>
      </c>
      <c r="O96" s="13">
        <f t="shared" si="72"/>
        <v>0</v>
      </c>
      <c r="P96" s="13">
        <f t="shared" si="72"/>
        <v>0</v>
      </c>
      <c r="Q96" s="13">
        <f t="shared" si="73"/>
        <v>0</v>
      </c>
      <c r="R96" s="13">
        <f t="shared" si="73"/>
        <v>0</v>
      </c>
      <c r="U96" s="110" t="str">
        <f t="shared" si="37"/>
        <v>sugar beet molasses</v>
      </c>
      <c r="X96" s="13">
        <f t="shared" si="57"/>
        <v>0</v>
      </c>
      <c r="Y96" s="13">
        <f t="shared" si="57"/>
        <v>0</v>
      </c>
      <c r="Z96" s="13">
        <f t="shared" si="58"/>
        <v>0</v>
      </c>
      <c r="AA96" s="13">
        <f t="shared" si="59"/>
        <v>0</v>
      </c>
      <c r="AB96" s="13">
        <f t="shared" si="60"/>
        <v>0</v>
      </c>
      <c r="AC96" s="13">
        <f t="shared" si="61"/>
        <v>7.0193131657187727E-2</v>
      </c>
      <c r="AD96" s="13">
        <f t="shared" si="62"/>
        <v>0</v>
      </c>
      <c r="AE96" s="13">
        <f t="shared" si="63"/>
        <v>0.47602729121024218</v>
      </c>
      <c r="AF96" s="13">
        <f t="shared" si="63"/>
        <v>0</v>
      </c>
      <c r="AG96" s="13">
        <f t="shared" si="64"/>
        <v>1.0988543650666409</v>
      </c>
      <c r="AH96" s="13">
        <f t="shared" si="65"/>
        <v>2.535757562367404E-2</v>
      </c>
      <c r="AI96" s="13">
        <f t="shared" si="66"/>
        <v>2.929408071401712E-2</v>
      </c>
      <c r="AJ96" s="13">
        <f t="shared" si="67"/>
        <v>8.8058285727207697E-2</v>
      </c>
      <c r="AK96" s="13">
        <f t="shared" si="68"/>
        <v>0.73563427238161927</v>
      </c>
      <c r="AL96" s="13">
        <f t="shared" si="69"/>
        <v>5.7718437607039867E-2</v>
      </c>
    </row>
    <row r="97" spans="2:38" outlineLevel="2" x14ac:dyDescent="0.25">
      <c r="B97" t="str">
        <f t="shared" si="74"/>
        <v>rapeseed meal</v>
      </c>
      <c r="F97" s="13"/>
      <c r="I97" s="13">
        <f t="shared" si="70"/>
        <v>13.548693710422512</v>
      </c>
      <c r="J97" s="13"/>
      <c r="K97" s="13">
        <f t="shared" si="71"/>
        <v>342.17004309883987</v>
      </c>
      <c r="M97" s="13">
        <f t="shared" si="72"/>
        <v>10.255150343783729</v>
      </c>
      <c r="N97" s="13">
        <f t="shared" si="72"/>
        <v>9.9680061341577861</v>
      </c>
      <c r="O97" s="13">
        <f t="shared" si="72"/>
        <v>13.124110627460128</v>
      </c>
      <c r="P97" s="13">
        <f t="shared" si="72"/>
        <v>26.788282897071714</v>
      </c>
      <c r="Q97" s="13">
        <f t="shared" si="73"/>
        <v>540.76069512244305</v>
      </c>
      <c r="R97" s="13">
        <f t="shared" si="73"/>
        <v>17.756135928653478</v>
      </c>
      <c r="U97" s="110" t="str">
        <f t="shared" si="37"/>
        <v>sugar beet pulp</v>
      </c>
      <c r="X97" s="13">
        <f t="shared" si="57"/>
        <v>0</v>
      </c>
      <c r="Y97" s="13">
        <f t="shared" si="57"/>
        <v>0</v>
      </c>
      <c r="Z97" s="13">
        <f t="shared" si="58"/>
        <v>0</v>
      </c>
      <c r="AA97" s="13">
        <f t="shared" si="59"/>
        <v>0</v>
      </c>
      <c r="AB97" s="13">
        <f t="shared" si="60"/>
        <v>0</v>
      </c>
      <c r="AC97" s="13">
        <f t="shared" si="61"/>
        <v>0.13544319950020575</v>
      </c>
      <c r="AD97" s="13">
        <f t="shared" si="62"/>
        <v>0</v>
      </c>
      <c r="AE97" s="13">
        <f t="shared" si="63"/>
        <v>0.91853231005300495</v>
      </c>
      <c r="AF97" s="13">
        <f t="shared" si="63"/>
        <v>0</v>
      </c>
      <c r="AG97" s="13">
        <f t="shared" si="64"/>
        <v>2.1203264119382346</v>
      </c>
      <c r="AH97" s="13">
        <f t="shared" si="65"/>
        <v>4.8929447838464507E-2</v>
      </c>
      <c r="AI97" s="13">
        <f t="shared" si="66"/>
        <v>5.6525245770502136E-2</v>
      </c>
      <c r="AJ97" s="13">
        <f t="shared" si="67"/>
        <v>0.16991542733333806</v>
      </c>
      <c r="AK97" s="13">
        <f t="shared" si="68"/>
        <v>1.4194645139923689</v>
      </c>
      <c r="AL97" s="13">
        <f t="shared" si="69"/>
        <v>0.11137229063707067</v>
      </c>
    </row>
    <row r="98" spans="2:38" outlineLevel="2" x14ac:dyDescent="0.25">
      <c r="B98" t="str">
        <f t="shared" si="74"/>
        <v>sunflower seed meal</v>
      </c>
      <c r="C98" s="110"/>
      <c r="F98" s="13"/>
      <c r="I98" s="13">
        <f t="shared" si="70"/>
        <v>0.18716208939756701</v>
      </c>
      <c r="J98" s="13"/>
      <c r="K98" s="13">
        <f t="shared" si="71"/>
        <v>4.7267479481339114</v>
      </c>
      <c r="M98" s="13">
        <f t="shared" si="72"/>
        <v>0.14166497571291584</v>
      </c>
      <c r="N98" s="13">
        <f t="shared" si="72"/>
        <v>0.13769835639295419</v>
      </c>
      <c r="O98" s="13">
        <f t="shared" si="72"/>
        <v>0.18129688507392289</v>
      </c>
      <c r="P98" s="13">
        <f t="shared" si="72"/>
        <v>0.37005419899131364</v>
      </c>
      <c r="Q98" s="13">
        <f t="shared" si="73"/>
        <v>7.4700855836264219</v>
      </c>
      <c r="R98" s="13">
        <f t="shared" si="73"/>
        <v>0.24528383112517485</v>
      </c>
      <c r="U98" s="110" t="str">
        <f t="shared" si="37"/>
        <v>whey powder</v>
      </c>
      <c r="X98" s="13">
        <f t="shared" si="57"/>
        <v>0</v>
      </c>
      <c r="Y98" s="13">
        <f t="shared" si="57"/>
        <v>0</v>
      </c>
      <c r="Z98" s="13">
        <f t="shared" si="58"/>
        <v>0</v>
      </c>
      <c r="AA98" s="13">
        <f t="shared" si="59"/>
        <v>0</v>
      </c>
      <c r="AB98" s="13">
        <f t="shared" si="60"/>
        <v>0</v>
      </c>
      <c r="AC98" s="13">
        <f t="shared" si="61"/>
        <v>0</v>
      </c>
      <c r="AD98" s="13">
        <f t="shared" si="62"/>
        <v>0</v>
      </c>
      <c r="AE98" s="13">
        <f t="shared" si="63"/>
        <v>0</v>
      </c>
      <c r="AF98" s="13">
        <f t="shared" si="63"/>
        <v>0</v>
      </c>
      <c r="AG98" s="13">
        <f t="shared" si="64"/>
        <v>0</v>
      </c>
      <c r="AH98" s="13">
        <f t="shared" si="65"/>
        <v>0</v>
      </c>
      <c r="AI98" s="13">
        <f t="shared" si="66"/>
        <v>0</v>
      </c>
      <c r="AJ98" s="13">
        <f t="shared" si="67"/>
        <v>0</v>
      </c>
      <c r="AK98" s="13">
        <f t="shared" si="68"/>
        <v>0</v>
      </c>
      <c r="AL98" s="13">
        <f t="shared" si="69"/>
        <v>0</v>
      </c>
    </row>
    <row r="99" spans="2:38" outlineLevel="2" x14ac:dyDescent="0.25">
      <c r="B99" t="str">
        <f t="shared" si="74"/>
        <v>palm kernel expeller</v>
      </c>
      <c r="F99" s="13"/>
      <c r="I99" s="13">
        <f t="shared" si="70"/>
        <v>1.2161641259968488</v>
      </c>
      <c r="J99" s="13"/>
      <c r="K99" s="13">
        <f t="shared" si="71"/>
        <v>30.714026038354344</v>
      </c>
      <c r="M99" s="13">
        <f t="shared" si="72"/>
        <v>0.92052755943695241</v>
      </c>
      <c r="N99" s="13">
        <f t="shared" si="72"/>
        <v>0.89475278777271783</v>
      </c>
      <c r="O99" s="13">
        <f t="shared" si="72"/>
        <v>1.1780525024676538</v>
      </c>
      <c r="P99" s="13">
        <f t="shared" si="72"/>
        <v>2.4045822684301856</v>
      </c>
      <c r="Q99" s="13">
        <f t="shared" si="73"/>
        <v>48.540012211740056</v>
      </c>
      <c r="R99" s="13">
        <f t="shared" si="73"/>
        <v>1.5938345049560272</v>
      </c>
      <c r="U99" s="110" t="str">
        <f t="shared" si="37"/>
        <v>potatoe protein</v>
      </c>
      <c r="X99" s="13">
        <f t="shared" si="57"/>
        <v>0</v>
      </c>
      <c r="Y99" s="13">
        <f t="shared" si="57"/>
        <v>0</v>
      </c>
      <c r="Z99" s="13">
        <f t="shared" si="58"/>
        <v>0</v>
      </c>
      <c r="AA99" s="13">
        <f t="shared" si="59"/>
        <v>0</v>
      </c>
      <c r="AB99" s="13">
        <f t="shared" si="60"/>
        <v>0</v>
      </c>
      <c r="AC99" s="13">
        <f t="shared" si="61"/>
        <v>6.2009373017834091E-4</v>
      </c>
      <c r="AD99" s="13">
        <f t="shared" si="62"/>
        <v>0</v>
      </c>
      <c r="AE99" s="13">
        <f t="shared" si="63"/>
        <v>4.2052766660258274E-3</v>
      </c>
      <c r="AF99" s="13">
        <f t="shared" si="63"/>
        <v>0</v>
      </c>
      <c r="AG99" s="13">
        <f t="shared" si="64"/>
        <v>9.7073985170620554E-3</v>
      </c>
      <c r="AH99" s="13">
        <f t="shared" si="65"/>
        <v>2.240115704419248E-4</v>
      </c>
      <c r="AI99" s="13">
        <f t="shared" si="66"/>
        <v>2.5878708291312121E-4</v>
      </c>
      <c r="AJ99" s="13">
        <f t="shared" si="67"/>
        <v>7.7791643684418715E-4</v>
      </c>
      <c r="AK99" s="13">
        <f t="shared" si="68"/>
        <v>6.4986728649744927E-3</v>
      </c>
      <c r="AL99" s="13">
        <f t="shared" si="69"/>
        <v>5.0989093136080688E-4</v>
      </c>
    </row>
    <row r="100" spans="2:38" outlineLevel="2" x14ac:dyDescent="0.25">
      <c r="B100" t="str">
        <f t="shared" si="74"/>
        <v>luzern meal</v>
      </c>
      <c r="C100" s="93"/>
      <c r="F100" s="13"/>
      <c r="I100" s="13">
        <f t="shared" si="70"/>
        <v>0.36994377306033582</v>
      </c>
      <c r="J100" s="13"/>
      <c r="K100" s="13">
        <f t="shared" si="71"/>
        <v>9.3428694660671532</v>
      </c>
      <c r="M100" s="13">
        <f t="shared" si="72"/>
        <v>0.28001437574471844</v>
      </c>
      <c r="N100" s="13">
        <f t="shared" si="72"/>
        <v>0.27217397322386633</v>
      </c>
      <c r="O100" s="13">
        <f t="shared" si="72"/>
        <v>0.35835063566673864</v>
      </c>
      <c r="P100" s="13">
        <f t="shared" si="72"/>
        <v>0.73144752258491552</v>
      </c>
      <c r="Q100" s="13">
        <f t="shared" si="73"/>
        <v>14.76533872209648</v>
      </c>
      <c r="R100" s="13">
        <f t="shared" si="73"/>
        <v>0.48482695533704057</v>
      </c>
      <c r="U100" s="110" t="str">
        <f t="shared" si="37"/>
        <v>fish meal</v>
      </c>
      <c r="X100" s="13">
        <f t="shared" si="57"/>
        <v>0</v>
      </c>
      <c r="Y100" s="13">
        <f t="shared" si="57"/>
        <v>0</v>
      </c>
      <c r="Z100" s="13">
        <f t="shared" si="58"/>
        <v>0</v>
      </c>
      <c r="AA100" s="13">
        <f t="shared" si="59"/>
        <v>0</v>
      </c>
      <c r="AB100" s="13">
        <f t="shared" si="60"/>
        <v>0</v>
      </c>
      <c r="AC100" s="13">
        <f t="shared" si="61"/>
        <v>0</v>
      </c>
      <c r="AD100" s="13">
        <f t="shared" si="62"/>
        <v>0</v>
      </c>
      <c r="AE100" s="13">
        <f t="shared" si="63"/>
        <v>0</v>
      </c>
      <c r="AF100" s="13">
        <f t="shared" si="63"/>
        <v>0</v>
      </c>
      <c r="AG100" s="13">
        <f t="shared" si="64"/>
        <v>0</v>
      </c>
      <c r="AH100" s="13">
        <f t="shared" si="65"/>
        <v>0</v>
      </c>
      <c r="AI100" s="13">
        <f t="shared" si="66"/>
        <v>0</v>
      </c>
      <c r="AJ100" s="13">
        <f t="shared" si="67"/>
        <v>0</v>
      </c>
      <c r="AK100" s="13">
        <f t="shared" si="68"/>
        <v>0</v>
      </c>
      <c r="AL100" s="13">
        <f t="shared" si="69"/>
        <v>0</v>
      </c>
    </row>
    <row r="101" spans="2:38" outlineLevel="2" x14ac:dyDescent="0.25">
      <c r="B101" t="str">
        <f t="shared" si="74"/>
        <v>wheat bran</v>
      </c>
      <c r="C101" s="160"/>
      <c r="F101" s="13"/>
      <c r="I101" s="13">
        <f t="shared" si="70"/>
        <v>4.0305870989275583</v>
      </c>
      <c r="J101" s="13"/>
      <c r="K101" s="13">
        <f t="shared" si="71"/>
        <v>101.7918177818681</v>
      </c>
      <c r="M101" s="13">
        <f t="shared" si="72"/>
        <v>3.0507942357144198</v>
      </c>
      <c r="N101" s="13">
        <f t="shared" si="72"/>
        <v>2.9653719971144161</v>
      </c>
      <c r="O101" s="13">
        <f t="shared" si="72"/>
        <v>3.9042783098156884</v>
      </c>
      <c r="P101" s="13">
        <f t="shared" si="72"/>
        <v>7.9692190077556866</v>
      </c>
      <c r="Q101" s="13">
        <f t="shared" si="73"/>
        <v>160.8703486809909</v>
      </c>
      <c r="R101" s="13">
        <f t="shared" si="73"/>
        <v>5.2822548011237753</v>
      </c>
      <c r="U101" s="110" t="str">
        <f t="shared" si="37"/>
        <v>minerals</v>
      </c>
      <c r="X101" s="13">
        <f t="shared" si="57"/>
        <v>0.85909167246946194</v>
      </c>
      <c r="Y101" s="13">
        <f t="shared" si="57"/>
        <v>1.0659065118787974</v>
      </c>
      <c r="Z101" s="13">
        <f t="shared" si="58"/>
        <v>0</v>
      </c>
      <c r="AA101" s="13">
        <f t="shared" si="59"/>
        <v>0.71937677297698155</v>
      </c>
      <c r="AB101" s="13">
        <f t="shared" si="60"/>
        <v>0.70094215439405494</v>
      </c>
      <c r="AC101" s="13">
        <f t="shared" si="61"/>
        <v>0.59452761799360676</v>
      </c>
      <c r="AD101" s="13">
        <f t="shared" si="62"/>
        <v>0.57755060787201484</v>
      </c>
      <c r="AE101" s="13">
        <f t="shared" si="63"/>
        <v>0.66022570674046432</v>
      </c>
      <c r="AF101" s="13">
        <f t="shared" si="63"/>
        <v>1.0659065118787974</v>
      </c>
      <c r="AG101" s="13">
        <f t="shared" si="64"/>
        <v>0</v>
      </c>
      <c r="AH101" s="13">
        <f t="shared" si="65"/>
        <v>0.71223380261627178</v>
      </c>
      <c r="AI101" s="13">
        <f t="shared" si="66"/>
        <v>0.72908796527420217</v>
      </c>
      <c r="AJ101" s="13">
        <f t="shared" si="67"/>
        <v>0.66953698870828937</v>
      </c>
      <c r="AK101" s="13">
        <f t="shared" si="68"/>
        <v>0.83716818155279793</v>
      </c>
      <c r="AL101" s="13">
        <f t="shared" si="69"/>
        <v>0.66740688157168271</v>
      </c>
    </row>
    <row r="102" spans="2:38" outlineLevel="2" x14ac:dyDescent="0.25">
      <c r="B102" t="str">
        <f t="shared" si="74"/>
        <v>wheat bran, fine</v>
      </c>
      <c r="F102" s="13"/>
      <c r="I102" s="13">
        <f t="shared" si="70"/>
        <v>1.056592372294736E-2</v>
      </c>
      <c r="J102" s="13"/>
      <c r="K102" s="13">
        <f t="shared" si="71"/>
        <v>0.26684067504447334</v>
      </c>
      <c r="M102" s="13">
        <f t="shared" si="72"/>
        <v>7.9974600220257888E-3</v>
      </c>
      <c r="N102" s="13">
        <f t="shared" si="72"/>
        <v>7.7735311414090669E-3</v>
      </c>
      <c r="O102" s="13">
        <f t="shared" si="72"/>
        <v>1.0234813391241849E-2</v>
      </c>
      <c r="P102" s="13">
        <f t="shared" si="72"/>
        <v>2.0890792854920067E-2</v>
      </c>
      <c r="Q102" s="13">
        <f t="shared" si="73"/>
        <v>0.42171122760243929</v>
      </c>
      <c r="R102" s="13">
        <f t="shared" si="73"/>
        <v>1.3847089752432463E-2</v>
      </c>
    </row>
    <row r="103" spans="2:38" outlineLevel="1" x14ac:dyDescent="0.25">
      <c r="B103" t="str">
        <f t="shared" si="74"/>
        <v>oat hulls</v>
      </c>
      <c r="F103" s="13"/>
      <c r="I103" s="13">
        <f t="shared" si="70"/>
        <v>0.48544502467622502</v>
      </c>
      <c r="J103" s="13"/>
      <c r="K103" s="13">
        <f t="shared" si="71"/>
        <v>12.25983467969337</v>
      </c>
      <c r="M103" s="13">
        <f t="shared" si="72"/>
        <v>0.36743850131225997</v>
      </c>
      <c r="N103" s="13">
        <f t="shared" si="72"/>
        <v>0.35715022327551665</v>
      </c>
      <c r="O103" s="13">
        <f t="shared" si="72"/>
        <v>0.47023235919045736</v>
      </c>
      <c r="P103" s="13">
        <f t="shared" si="72"/>
        <v>0.95981494083071583</v>
      </c>
      <c r="Q103" s="13">
        <f t="shared" si="73"/>
        <v>19.375269276750132</v>
      </c>
      <c r="R103" s="13">
        <f t="shared" si="73"/>
        <v>0.63619622882232796</v>
      </c>
      <c r="X103" s="2">
        <f>SUM(X64:X101)</f>
        <v>100.00000000000001</v>
      </c>
      <c r="Y103" s="2">
        <f>SUM(Y64:Y101)</f>
        <v>99.999999999999986</v>
      </c>
      <c r="Z103" s="2">
        <f t="shared" ref="Z103:AC103" si="75">SUM(Z64:Z101)</f>
        <v>100</v>
      </c>
      <c r="AA103" s="2">
        <f t="shared" si="75"/>
        <v>100</v>
      </c>
      <c r="AB103" s="2">
        <f t="shared" si="75"/>
        <v>100</v>
      </c>
      <c r="AC103" s="2">
        <f t="shared" si="75"/>
        <v>99.999999999999986</v>
      </c>
      <c r="AD103" s="2">
        <f>SUM(AD64:AD101)</f>
        <v>100.00000000000001</v>
      </c>
      <c r="AE103" s="2">
        <f>SUM(AE64:AE101)</f>
        <v>99.999999999999986</v>
      </c>
      <c r="AF103" s="2">
        <f>SUM(AF64:AF101)</f>
        <v>99.999999999999986</v>
      </c>
      <c r="AG103" s="2">
        <f t="shared" ref="AG103:AL103" si="76">SUM(AG64:AG101)</f>
        <v>100</v>
      </c>
      <c r="AH103" s="2">
        <f t="shared" si="76"/>
        <v>99.999999999999915</v>
      </c>
      <c r="AI103" s="2">
        <f t="shared" si="76"/>
        <v>100.00000000000001</v>
      </c>
      <c r="AJ103" s="2">
        <f t="shared" si="76"/>
        <v>99.999999999999972</v>
      </c>
      <c r="AK103" s="2">
        <f t="shared" si="76"/>
        <v>100.00000000000003</v>
      </c>
      <c r="AL103" s="2">
        <f t="shared" si="76"/>
        <v>99.999999999999986</v>
      </c>
    </row>
    <row r="104" spans="2:38" outlineLevel="1" x14ac:dyDescent="0.25">
      <c r="B104" t="str">
        <f t="shared" si="74"/>
        <v>oat bran</v>
      </c>
      <c r="D104" s="165"/>
      <c r="F104" s="13"/>
      <c r="I104" s="13">
        <f t="shared" si="70"/>
        <v>5.4787953541987171E-2</v>
      </c>
      <c r="J104" s="13"/>
      <c r="K104" s="13">
        <f t="shared" si="71"/>
        <v>1.3836608034276965</v>
      </c>
      <c r="M104" s="13">
        <f t="shared" si="72"/>
        <v>4.1469584641145113E-2</v>
      </c>
      <c r="N104" s="13">
        <f t="shared" si="72"/>
        <v>4.030843627119305E-2</v>
      </c>
      <c r="O104" s="13">
        <f t="shared" si="72"/>
        <v>5.307103243348487E-2</v>
      </c>
      <c r="P104" s="13">
        <f t="shared" si="72"/>
        <v>0.10832595600750396</v>
      </c>
      <c r="Q104" s="13">
        <f t="shared" si="73"/>
        <v>2.1867179578286584</v>
      </c>
      <c r="R104" s="13">
        <f t="shared" si="73"/>
        <v>7.1801929480177093E-2</v>
      </c>
    </row>
    <row r="105" spans="2:38" x14ac:dyDescent="0.25">
      <c r="B105" t="str">
        <f t="shared" si="74"/>
        <v>rye bran</v>
      </c>
      <c r="F105" s="13"/>
      <c r="I105" s="13">
        <f t="shared" si="70"/>
        <v>0.16896664263084388</v>
      </c>
      <c r="J105" s="13"/>
      <c r="K105" s="13">
        <f t="shared" si="71"/>
        <v>4.2672249168041159</v>
      </c>
      <c r="M105" s="13">
        <f t="shared" si="72"/>
        <v>0.12789264856808435</v>
      </c>
      <c r="N105" s="13">
        <f t="shared" si="72"/>
        <v>0.124311654408178</v>
      </c>
      <c r="O105" s="13">
        <f t="shared" si="72"/>
        <v>0.16367163932061185</v>
      </c>
      <c r="P105" s="13">
        <f t="shared" si="72"/>
        <v>0.3340784225922479</v>
      </c>
      <c r="Q105" s="13">
        <f t="shared" si="73"/>
        <v>6.7438618862032884</v>
      </c>
      <c r="R105" s="13">
        <f t="shared" si="73"/>
        <v>0.22143792885756514</v>
      </c>
      <c r="U105" s="6"/>
      <c r="V105" s="6"/>
      <c r="W105" s="184" t="s">
        <v>504</v>
      </c>
      <c r="X105" s="72">
        <f>SUM(X64:X69)</f>
        <v>99.140908327530553</v>
      </c>
      <c r="Y105" s="72">
        <f>SUM(Y64:Y69)</f>
        <v>98.934093488121192</v>
      </c>
      <c r="Z105" s="72">
        <f t="shared" ref="Z105:AE105" si="77">SUM(Z64:Z69)</f>
        <v>100</v>
      </c>
      <c r="AA105" s="72">
        <f t="shared" si="77"/>
        <v>99.280623227023014</v>
      </c>
      <c r="AB105" s="72">
        <f t="shared" si="77"/>
        <v>99.299057845605944</v>
      </c>
      <c r="AC105" s="72">
        <f t="shared" si="77"/>
        <v>60.138713626619086</v>
      </c>
      <c r="AD105" s="72">
        <f t="shared" si="77"/>
        <v>69.161685292673766</v>
      </c>
      <c r="AE105" s="72">
        <f t="shared" si="77"/>
        <v>61.181494947984113</v>
      </c>
      <c r="AF105" s="72">
        <f t="shared" ref="AF105" si="78">SUM(AF64:AF69)</f>
        <v>98.934093488121192</v>
      </c>
      <c r="AG105" s="72">
        <f t="shared" ref="AG105:AL105" si="79">SUM(AG64:AG69)</f>
        <v>0</v>
      </c>
      <c r="AH105" s="72">
        <f t="shared" si="79"/>
        <v>93.611262790531981</v>
      </c>
      <c r="AI105" s="72">
        <f t="shared" si="79"/>
        <v>93.643850586069149</v>
      </c>
      <c r="AJ105" s="72">
        <f t="shared" si="79"/>
        <v>65.065884609325579</v>
      </c>
      <c r="AK105" s="72">
        <f t="shared" si="79"/>
        <v>59.012435259628177</v>
      </c>
      <c r="AL105" s="72">
        <f t="shared" si="79"/>
        <v>69.895702506416228</v>
      </c>
    </row>
    <row r="106" spans="2:38" x14ac:dyDescent="0.25">
      <c r="B106" t="str">
        <f t="shared" si="74"/>
        <v>wheat distillers grain, dry</v>
      </c>
      <c r="F106" s="13"/>
      <c r="I106" s="13">
        <f t="shared" si="70"/>
        <v>4.3324982250883979</v>
      </c>
      <c r="J106" s="13"/>
      <c r="K106" s="13">
        <f t="shared" si="71"/>
        <v>109.41653388058727</v>
      </c>
      <c r="M106" s="13">
        <f t="shared" si="72"/>
        <v>3.2793139775740143</v>
      </c>
      <c r="N106" s="13">
        <f t="shared" si="72"/>
        <v>3.1874931862019422</v>
      </c>
      <c r="O106" s="13">
        <f t="shared" si="72"/>
        <v>4.1967282761432809</v>
      </c>
      <c r="P106" s="13">
        <f t="shared" si="72"/>
        <v>8.5661533565740164</v>
      </c>
      <c r="Q106" s="13">
        <f t="shared" si="73"/>
        <v>172.92034212960976</v>
      </c>
      <c r="R106" s="13">
        <f t="shared" si="73"/>
        <v>5.677922096367217</v>
      </c>
      <c r="W106" s="184" t="s">
        <v>605</v>
      </c>
      <c r="X106" s="72">
        <f>X69/X105*100</f>
        <v>58.5540143307718</v>
      </c>
      <c r="Y106" s="72">
        <f>Y69/Y105*100</f>
        <v>50.591742560743761</v>
      </c>
      <c r="Z106" s="72">
        <f t="shared" ref="Z106:AE106" si="80">Z69/Z105*100</f>
        <v>100</v>
      </c>
      <c r="AA106" s="72">
        <f t="shared" si="80"/>
        <v>30.646316743875307</v>
      </c>
      <c r="AB106" s="72">
        <f t="shared" si="80"/>
        <v>30.495841704076714</v>
      </c>
      <c r="AC106" s="72">
        <f t="shared" si="80"/>
        <v>0</v>
      </c>
      <c r="AD106" s="72">
        <f t="shared" si="80"/>
        <v>0</v>
      </c>
      <c r="AE106" s="72">
        <f t="shared" si="80"/>
        <v>10.800572974693617</v>
      </c>
      <c r="AF106" s="72">
        <f t="shared" ref="AF106" si="81">AF69/AF105*100</f>
        <v>50.591742560743761</v>
      </c>
      <c r="AG106" s="72"/>
      <c r="AH106" s="72">
        <f>AH69/AH105*100</f>
        <v>40.578239918843529</v>
      </c>
      <c r="AI106" s="72">
        <f>AI69/AI105*100</f>
        <v>41.235797089451033</v>
      </c>
      <c r="AJ106" s="72">
        <f>AJ69/AJ105*100</f>
        <v>0</v>
      </c>
      <c r="AK106" s="72">
        <f>AK69/AK105*100</f>
        <v>10.949399767651991</v>
      </c>
      <c r="AL106" s="72">
        <f>AL69/AL105*100</f>
        <v>0</v>
      </c>
    </row>
    <row r="107" spans="2:38" x14ac:dyDescent="0.25">
      <c r="B107" t="str">
        <f t="shared" si="74"/>
        <v>barley brewers grain</v>
      </c>
      <c r="F107" s="13"/>
      <c r="I107" s="13">
        <f t="shared" si="70"/>
        <v>0</v>
      </c>
      <c r="J107" s="13"/>
      <c r="K107" s="13">
        <f t="shared" si="71"/>
        <v>0</v>
      </c>
      <c r="M107" s="13">
        <f t="shared" si="72"/>
        <v>0</v>
      </c>
      <c r="N107" s="13">
        <f t="shared" si="72"/>
        <v>0</v>
      </c>
      <c r="O107" s="13">
        <f t="shared" si="72"/>
        <v>0</v>
      </c>
      <c r="P107" s="13">
        <f t="shared" si="72"/>
        <v>0</v>
      </c>
      <c r="Q107" s="13">
        <f t="shared" si="73"/>
        <v>0</v>
      </c>
      <c r="R107" s="13">
        <f t="shared" si="73"/>
        <v>0</v>
      </c>
    </row>
    <row r="108" spans="2:38" x14ac:dyDescent="0.25">
      <c r="B108" t="str">
        <f t="shared" si="74"/>
        <v>maize gluten meal</v>
      </c>
      <c r="F108" s="13"/>
      <c r="I108" s="13">
        <f t="shared" si="70"/>
        <v>0.13091449496846297</v>
      </c>
      <c r="J108" s="13"/>
      <c r="K108" s="13">
        <f t="shared" si="71"/>
        <v>3.3062241528984204</v>
      </c>
      <c r="M108" s="13">
        <f t="shared" si="72"/>
        <v>9.909057336275405E-2</v>
      </c>
      <c r="N108" s="13">
        <f t="shared" si="72"/>
        <v>9.6316037308596933E-2</v>
      </c>
      <c r="O108" s="13">
        <f t="shared" si="72"/>
        <v>0.12681195334591416</v>
      </c>
      <c r="P108" s="13">
        <f t="shared" si="72"/>
        <v>0.25884226195508947</v>
      </c>
      <c r="Q108" s="13">
        <f t="shared" si="73"/>
        <v>5.2251098750790144</v>
      </c>
      <c r="R108" s="13">
        <f t="shared" si="73"/>
        <v>0.17156898055071318</v>
      </c>
    </row>
    <row r="109" spans="2:38" x14ac:dyDescent="0.25">
      <c r="B109" t="str">
        <f t="shared" si="74"/>
        <v>sugar beet molasses</v>
      </c>
      <c r="F109" s="13"/>
      <c r="I109" s="13">
        <f t="shared" si="70"/>
        <v>1.4517623560412518</v>
      </c>
      <c r="J109" s="13"/>
      <c r="K109" s="13">
        <f t="shared" si="71"/>
        <v>36.664020794401559</v>
      </c>
      <c r="M109" s="13">
        <f t="shared" si="72"/>
        <v>1.0988543650666409</v>
      </c>
      <c r="N109" s="13">
        <f t="shared" si="72"/>
        <v>1.0680864428447749</v>
      </c>
      <c r="O109" s="13">
        <f t="shared" si="72"/>
        <v>1.4062676574355435</v>
      </c>
      <c r="P109" s="13">
        <f t="shared" si="72"/>
        <v>2.8704037100665714</v>
      </c>
      <c r="Q109" s="13">
        <f t="shared" si="73"/>
        <v>57.943299744206961</v>
      </c>
      <c r="R109" s="13">
        <f t="shared" si="73"/>
        <v>1.9025959462158974</v>
      </c>
    </row>
    <row r="110" spans="2:38" x14ac:dyDescent="0.25">
      <c r="B110" t="str">
        <f t="shared" si="74"/>
        <v>sugar beet pulp</v>
      </c>
      <c r="F110" s="13"/>
      <c r="I110" s="13">
        <f t="shared" si="70"/>
        <v>2.8012902939920203</v>
      </c>
      <c r="J110" s="13"/>
      <c r="K110" s="13">
        <f t="shared" si="71"/>
        <v>70.746128085415293</v>
      </c>
      <c r="M110" s="13">
        <f t="shared" si="72"/>
        <v>2.1203264119382346</v>
      </c>
      <c r="N110" s="13">
        <f t="shared" si="72"/>
        <v>2.0609572724039644</v>
      </c>
      <c r="O110" s="13">
        <f t="shared" si="72"/>
        <v>2.7135046746019542</v>
      </c>
      <c r="P110" s="13">
        <f t="shared" si="72"/>
        <v>5.5386709948688679</v>
      </c>
      <c r="Q110" s="13">
        <f t="shared" si="73"/>
        <v>111.80617991633959</v>
      </c>
      <c r="R110" s="13">
        <f t="shared" si="73"/>
        <v>3.6712093651860145</v>
      </c>
    </row>
    <row r="111" spans="2:38" x14ac:dyDescent="0.25">
      <c r="B111" t="str">
        <f t="shared" si="74"/>
        <v>whey powder</v>
      </c>
      <c r="F111" s="13"/>
      <c r="I111" s="13">
        <f t="shared" si="70"/>
        <v>0</v>
      </c>
      <c r="J111" s="13"/>
      <c r="K111" s="13">
        <f t="shared" si="71"/>
        <v>0</v>
      </c>
      <c r="M111" s="13">
        <f t="shared" si="72"/>
        <v>0</v>
      </c>
      <c r="N111" s="13">
        <f t="shared" si="72"/>
        <v>0</v>
      </c>
      <c r="O111" s="13">
        <f t="shared" si="72"/>
        <v>0</v>
      </c>
      <c r="P111" s="13">
        <f t="shared" si="72"/>
        <v>0</v>
      </c>
      <c r="Q111" s="13">
        <f t="shared" si="73"/>
        <v>0</v>
      </c>
      <c r="R111" s="13">
        <f t="shared" si="73"/>
        <v>0</v>
      </c>
    </row>
    <row r="112" spans="2:38" x14ac:dyDescent="0.25">
      <c r="B112" t="str">
        <f t="shared" si="74"/>
        <v>potatoe protein</v>
      </c>
      <c r="F112" s="13"/>
      <c r="I112" s="13">
        <f t="shared" si="70"/>
        <v>1.282502594536874E-2</v>
      </c>
      <c r="J112" s="13"/>
      <c r="K112" s="13">
        <f t="shared" si="71"/>
        <v>0.32389393208400408</v>
      </c>
      <c r="M112" s="13">
        <f t="shared" si="72"/>
        <v>9.7073985170620554E-3</v>
      </c>
      <c r="N112" s="13">
        <f t="shared" si="72"/>
        <v>9.4355913585843186E-3</v>
      </c>
      <c r="O112" s="13">
        <f t="shared" si="72"/>
        <v>1.2423120848734343E-2</v>
      </c>
      <c r="P112" s="13">
        <f t="shared" si="72"/>
        <v>2.5357457370413061E-2</v>
      </c>
      <c r="Q112" s="13">
        <f t="shared" si="73"/>
        <v>0.51187738784336978</v>
      </c>
      <c r="R112" s="13">
        <f t="shared" si="73"/>
        <v>1.6807738726818816E-2</v>
      </c>
    </row>
    <row r="113" spans="2:18" x14ac:dyDescent="0.25">
      <c r="B113" t="str">
        <f t="shared" si="74"/>
        <v>fish meal</v>
      </c>
      <c r="F113" s="13"/>
      <c r="I113" s="13">
        <f t="shared" si="70"/>
        <v>0</v>
      </c>
      <c r="J113" s="13"/>
      <c r="K113" s="13">
        <f t="shared" si="71"/>
        <v>0</v>
      </c>
      <c r="M113" s="13">
        <f t="shared" si="72"/>
        <v>0</v>
      </c>
      <c r="N113" s="13">
        <f t="shared" si="72"/>
        <v>0</v>
      </c>
      <c r="O113" s="13">
        <f t="shared" si="72"/>
        <v>0</v>
      </c>
      <c r="P113" s="13">
        <f t="shared" si="72"/>
        <v>0</v>
      </c>
      <c r="Q113" s="13">
        <f t="shared" si="73"/>
        <v>0</v>
      </c>
      <c r="R113" s="13">
        <f t="shared" si="73"/>
        <v>0</v>
      </c>
    </row>
    <row r="114" spans="2:18" x14ac:dyDescent="0.25">
      <c r="B114" s="6" t="str">
        <f t="shared" si="74"/>
        <v>minerals</v>
      </c>
      <c r="D114" s="72">
        <f>SUMPRODUCT(D19:F19,D24:F24)/SUM(D24:F24)*C19</f>
        <v>34</v>
      </c>
      <c r="E114" s="6">
        <f>SUMPRODUCT(J19:L19,D24:F24)/SUM(D24:F24)*C19</f>
        <v>33</v>
      </c>
      <c r="F114" s="72"/>
      <c r="G114" s="72">
        <f>SUMPRODUCT(V19:X19,D24:F24)/SUM(D24:F24)*C19</f>
        <v>26</v>
      </c>
      <c r="H114" s="72">
        <f>SUMPRODUCT(S19:U19,D24:F24)/SUM(D24:F24)*C19</f>
        <v>25.755861925323035</v>
      </c>
      <c r="I114" s="72">
        <f>(G19*D24+I19*F24)/(D24+F24)*C19</f>
        <v>12.296257412267911</v>
      </c>
      <c r="J114" s="72">
        <f>H19*C19</f>
        <v>12</v>
      </c>
      <c r="K114" s="72">
        <f>Y19*C19</f>
        <v>50.85113708373455</v>
      </c>
      <c r="L114" s="165">
        <f>E114</f>
        <v>33</v>
      </c>
      <c r="M114" s="72"/>
      <c r="N114" s="72">
        <f>AB19*C19</f>
        <v>30</v>
      </c>
      <c r="O114" s="72">
        <f>SUMPRODUCT(P19:R19,D23:F23)/SUM(D23:F23)*C19</f>
        <v>35</v>
      </c>
      <c r="P114" s="72">
        <f>(M19*D23+O19*F23)/(D23+F23)*C19</f>
        <v>21.824652166959858</v>
      </c>
      <c r="Q114" s="72">
        <f>Z19*C19</f>
        <v>65.940765270466045</v>
      </c>
      <c r="R114" s="72">
        <f>N19*C19</f>
        <v>22</v>
      </c>
    </row>
    <row r="117" spans="2:18" x14ac:dyDescent="0.25">
      <c r="B117" s="6" t="s">
        <v>300</v>
      </c>
      <c r="C117" s="6"/>
      <c r="D117" s="12">
        <f>SUM(D67:D72,D74:D78,D80:D81,D83:D114)</f>
        <v>3957.6684409321397</v>
      </c>
      <c r="E117" s="12">
        <f>SUM(E67:E72,E74:E78,E80:E81,E83:E114)</f>
        <v>3095.9563181421281</v>
      </c>
      <c r="F117" s="12">
        <f>SUM(F67:F72,F74:F78,F80:F81,F83:F114)</f>
        <v>100</v>
      </c>
      <c r="G117" s="12">
        <f>SUM(G67:G72,G74:G78,G80:G81,G83:G114)</f>
        <v>3614.2395719012102</v>
      </c>
      <c r="H117" s="12">
        <f t="shared" ref="H117:L117" si="82">SUM(H67:H72,H74:H78,H80:H81,H83:H114)</f>
        <v>3674.463258325256</v>
      </c>
      <c r="I117" s="12">
        <f t="shared" si="82"/>
        <v>2068.2399000680466</v>
      </c>
      <c r="J117" s="12">
        <f>SUM(J67:J72,J74:J78,J80:J81,J83:J114)</f>
        <v>2077.7399999999998</v>
      </c>
      <c r="K117" s="12">
        <f t="shared" si="82"/>
        <v>7702.0837820427678</v>
      </c>
      <c r="L117" s="12">
        <f t="shared" si="82"/>
        <v>3095.9563181421281</v>
      </c>
      <c r="M117" s="12">
        <f t="shared" ref="M117:R117" si="83">SUM(M67:M72,M74:M78,M80:M81,M83:M114)</f>
        <v>100</v>
      </c>
      <c r="N117" s="12">
        <f t="shared" si="83"/>
        <v>4212.1000000000022</v>
      </c>
      <c r="O117" s="12">
        <f t="shared" si="83"/>
        <v>4800.5181359476801</v>
      </c>
      <c r="P117" s="12">
        <f t="shared" si="83"/>
        <v>3259.6633994882459</v>
      </c>
      <c r="Q117" s="12">
        <f t="shared" si="83"/>
        <v>7876.6449470353336</v>
      </c>
      <c r="R117" s="12">
        <f t="shared" si="83"/>
        <v>3296.3399999999992</v>
      </c>
    </row>
    <row r="119" spans="2:18" x14ac:dyDescent="0.25">
      <c r="D119" s="295" t="s">
        <v>634</v>
      </c>
    </row>
    <row r="120" spans="2:18" x14ac:dyDescent="0.25">
      <c r="D120" s="295" t="s">
        <v>635</v>
      </c>
    </row>
  </sheetData>
  <mergeCells count="5">
    <mergeCell ref="V24:W24"/>
    <mergeCell ref="T24:U24"/>
    <mergeCell ref="Q24:Q25"/>
    <mergeCell ref="R24:R25"/>
    <mergeCell ref="S24:S25"/>
  </mergeCells>
  <pageMargins left="0.7" right="0.7" top="0.75" bottom="0.75" header="0.3" footer="0.3"/>
  <pageSetup paperSize="9" orientation="portrait" r:id="rId1"/>
  <ignoredErrors>
    <ignoredError sqref="S40:S57 S26:S39" formulaRange="1"/>
    <ignoredError sqref="V40:V57 V26:V39 F29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1"/>
  <sheetViews>
    <sheetView topLeftCell="A211" zoomScaleNormal="100" workbookViewId="0">
      <selection activeCell="J2" sqref="J2"/>
    </sheetView>
  </sheetViews>
  <sheetFormatPr defaultRowHeight="15" x14ac:dyDescent="0.25"/>
  <cols>
    <col min="1" max="1" width="10.7109375" bestFit="1" customWidth="1"/>
    <col min="2" max="2" width="16.7109375" customWidth="1"/>
    <col min="3" max="3" width="14.140625" customWidth="1"/>
    <col min="4" max="4" width="10.5703125" bestFit="1" customWidth="1"/>
    <col min="5" max="5" width="12.42578125" bestFit="1" customWidth="1"/>
    <col min="6" max="6" width="9.7109375" bestFit="1" customWidth="1"/>
    <col min="7" max="7" width="9.85546875" bestFit="1" customWidth="1"/>
    <col min="8" max="8" width="15.7109375" bestFit="1" customWidth="1"/>
    <col min="10" max="10" width="24.5703125" customWidth="1"/>
    <col min="11" max="11" width="22.5703125" bestFit="1" customWidth="1"/>
    <col min="12" max="12" width="22" customWidth="1"/>
    <col min="13" max="13" width="17.85546875" customWidth="1"/>
    <col min="14" max="14" width="21.140625" customWidth="1"/>
    <col min="15" max="15" width="18.42578125" customWidth="1"/>
    <col min="16" max="16" width="16.42578125" customWidth="1"/>
    <col min="17" max="17" width="22.5703125" bestFit="1" customWidth="1"/>
    <col min="18" max="18" width="16.42578125" customWidth="1"/>
    <col min="19" max="19" width="22.5703125" bestFit="1" customWidth="1"/>
    <col min="20" max="20" width="16.42578125" customWidth="1"/>
    <col min="21" max="21" width="22.5703125" bestFit="1" customWidth="1"/>
    <col min="22" max="22" width="16.42578125" customWidth="1"/>
    <col min="23" max="23" width="22.5703125" customWidth="1"/>
    <col min="24" max="24" width="16.42578125" customWidth="1"/>
    <col min="25" max="25" width="27.5703125" bestFit="1" customWidth="1"/>
    <col min="26" max="26" width="21.5703125" bestFit="1" customWidth="1"/>
  </cols>
  <sheetData>
    <row r="1" spans="1:10" x14ac:dyDescent="0.25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</row>
    <row r="2" spans="1:10" x14ac:dyDescent="0.25">
      <c r="A2" t="s">
        <v>199</v>
      </c>
      <c r="B2" t="s">
        <v>200</v>
      </c>
      <c r="C2">
        <v>2016</v>
      </c>
      <c r="D2">
        <v>30638</v>
      </c>
      <c r="E2">
        <v>302.7</v>
      </c>
      <c r="F2">
        <v>7.7</v>
      </c>
      <c r="G2">
        <v>4</v>
      </c>
      <c r="H2">
        <v>68.599999999999994</v>
      </c>
      <c r="I2">
        <f>D2*E2</f>
        <v>9274122.5999999996</v>
      </c>
      <c r="J2">
        <f>D2*H2</f>
        <v>2101766.7999999998</v>
      </c>
    </row>
    <row r="3" spans="1:10" x14ac:dyDescent="0.25">
      <c r="A3" t="s">
        <v>199</v>
      </c>
      <c r="B3" t="s">
        <v>200</v>
      </c>
      <c r="C3">
        <v>2017</v>
      </c>
      <c r="D3">
        <v>26251</v>
      </c>
      <c r="E3">
        <v>308.5</v>
      </c>
      <c r="F3">
        <v>7.8</v>
      </c>
      <c r="G3">
        <v>4.0999999999999996</v>
      </c>
      <c r="H3">
        <v>68.900000000000006</v>
      </c>
      <c r="I3">
        <f t="shared" ref="I3:I66" si="0">D3*E3</f>
        <v>8098433.5</v>
      </c>
      <c r="J3">
        <f t="shared" ref="J3:J66" si="1">D3*H3</f>
        <v>1808693.9000000001</v>
      </c>
    </row>
    <row r="4" spans="1:10" x14ac:dyDescent="0.25">
      <c r="A4" t="s">
        <v>199</v>
      </c>
      <c r="B4" t="s">
        <v>200</v>
      </c>
      <c r="C4">
        <v>2018</v>
      </c>
      <c r="D4">
        <v>26489</v>
      </c>
      <c r="E4">
        <v>306.2</v>
      </c>
      <c r="F4">
        <v>7.5</v>
      </c>
      <c r="G4">
        <v>4</v>
      </c>
      <c r="H4">
        <v>69.3</v>
      </c>
      <c r="I4">
        <f t="shared" si="0"/>
        <v>8110931.7999999998</v>
      </c>
      <c r="J4">
        <f t="shared" si="1"/>
        <v>1835687.7</v>
      </c>
    </row>
    <row r="5" spans="1:10" x14ac:dyDescent="0.25">
      <c r="A5" t="s">
        <v>199</v>
      </c>
      <c r="B5" t="s">
        <v>200</v>
      </c>
      <c r="C5">
        <v>2019</v>
      </c>
      <c r="D5">
        <v>25859</v>
      </c>
      <c r="E5">
        <v>310.39999999999998</v>
      </c>
      <c r="F5">
        <v>7.6</v>
      </c>
      <c r="G5">
        <v>4.0999999999999996</v>
      </c>
      <c r="H5">
        <v>70.099999999999994</v>
      </c>
      <c r="I5">
        <f t="shared" si="0"/>
        <v>8026633.5999999996</v>
      </c>
      <c r="J5">
        <f t="shared" si="1"/>
        <v>1812715.9</v>
      </c>
    </row>
    <row r="6" spans="1:10" x14ac:dyDescent="0.25">
      <c r="A6" t="s">
        <v>199</v>
      </c>
      <c r="B6" t="s">
        <v>200</v>
      </c>
      <c r="C6">
        <v>2020</v>
      </c>
      <c r="D6">
        <v>23718</v>
      </c>
      <c r="E6">
        <v>311.7</v>
      </c>
      <c r="F6">
        <v>7.4</v>
      </c>
      <c r="G6">
        <v>4</v>
      </c>
      <c r="H6">
        <v>71.599999999999994</v>
      </c>
      <c r="I6">
        <f t="shared" si="0"/>
        <v>7392900.5999999996</v>
      </c>
      <c r="J6">
        <f t="shared" si="1"/>
        <v>1698208.7999999998</v>
      </c>
    </row>
    <row r="7" spans="1:10" x14ac:dyDescent="0.25">
      <c r="A7" t="s">
        <v>199</v>
      </c>
      <c r="B7" t="s">
        <v>200</v>
      </c>
      <c r="C7">
        <v>2021</v>
      </c>
      <c r="D7">
        <v>21589</v>
      </c>
      <c r="E7">
        <v>313.39999999999998</v>
      </c>
      <c r="F7">
        <v>7.3</v>
      </c>
      <c r="G7">
        <v>4</v>
      </c>
      <c r="H7">
        <v>72.900000000000006</v>
      </c>
      <c r="I7">
        <f t="shared" si="0"/>
        <v>6765992.5999999996</v>
      </c>
      <c r="J7">
        <f t="shared" si="1"/>
        <v>1573838.1</v>
      </c>
    </row>
    <row r="8" spans="1:10" x14ac:dyDescent="0.25">
      <c r="A8" t="s">
        <v>199</v>
      </c>
      <c r="B8" t="s">
        <v>208</v>
      </c>
      <c r="C8">
        <v>2016</v>
      </c>
      <c r="D8">
        <v>41922</v>
      </c>
      <c r="E8">
        <v>310.8</v>
      </c>
      <c r="F8">
        <v>7</v>
      </c>
      <c r="G8">
        <v>3.4</v>
      </c>
      <c r="H8">
        <v>69.2</v>
      </c>
      <c r="I8">
        <f t="shared" si="0"/>
        <v>13029357.6</v>
      </c>
      <c r="J8">
        <f t="shared" si="1"/>
        <v>2901002.4</v>
      </c>
    </row>
    <row r="9" spans="1:10" x14ac:dyDescent="0.25">
      <c r="A9" t="s">
        <v>199</v>
      </c>
      <c r="B9" t="s">
        <v>208</v>
      </c>
      <c r="C9">
        <v>2017</v>
      </c>
      <c r="D9">
        <v>38032</v>
      </c>
      <c r="E9">
        <v>316.89999999999998</v>
      </c>
      <c r="F9">
        <v>7.2</v>
      </c>
      <c r="G9">
        <v>3.5</v>
      </c>
      <c r="H9">
        <v>68.900000000000006</v>
      </c>
      <c r="I9">
        <f t="shared" si="0"/>
        <v>12052340.799999999</v>
      </c>
      <c r="J9">
        <f t="shared" si="1"/>
        <v>2620404.8000000003</v>
      </c>
    </row>
    <row r="10" spans="1:10" x14ac:dyDescent="0.25">
      <c r="A10" t="s">
        <v>199</v>
      </c>
      <c r="B10" t="s">
        <v>208</v>
      </c>
      <c r="C10">
        <v>2018</v>
      </c>
      <c r="D10">
        <v>40654</v>
      </c>
      <c r="E10">
        <v>317</v>
      </c>
      <c r="F10">
        <v>7</v>
      </c>
      <c r="G10">
        <v>3.4</v>
      </c>
      <c r="H10">
        <v>69.400000000000006</v>
      </c>
      <c r="I10">
        <f t="shared" si="0"/>
        <v>12887318</v>
      </c>
      <c r="J10">
        <f t="shared" si="1"/>
        <v>2821387.6</v>
      </c>
    </row>
    <row r="11" spans="1:10" x14ac:dyDescent="0.25">
      <c r="A11" t="s">
        <v>199</v>
      </c>
      <c r="B11" t="s">
        <v>208</v>
      </c>
      <c r="C11">
        <v>2019</v>
      </c>
      <c r="D11">
        <v>40784</v>
      </c>
      <c r="E11">
        <v>321.39999999999998</v>
      </c>
      <c r="F11">
        <v>7.1</v>
      </c>
      <c r="G11">
        <v>3.5</v>
      </c>
      <c r="H11">
        <v>70.2</v>
      </c>
      <c r="I11">
        <f t="shared" si="0"/>
        <v>13107977.6</v>
      </c>
      <c r="J11">
        <f t="shared" si="1"/>
        <v>2863036.8000000003</v>
      </c>
    </row>
    <row r="12" spans="1:10" x14ac:dyDescent="0.25">
      <c r="A12" t="s">
        <v>199</v>
      </c>
      <c r="B12" t="s">
        <v>208</v>
      </c>
      <c r="C12">
        <v>2020</v>
      </c>
      <c r="D12">
        <v>40218</v>
      </c>
      <c r="E12">
        <v>322.60000000000002</v>
      </c>
      <c r="F12">
        <v>7</v>
      </c>
      <c r="G12">
        <v>3.4</v>
      </c>
      <c r="H12">
        <v>71.599999999999994</v>
      </c>
      <c r="I12">
        <f t="shared" si="0"/>
        <v>12974326.800000001</v>
      </c>
      <c r="J12">
        <f t="shared" si="1"/>
        <v>2879608.8</v>
      </c>
    </row>
    <row r="13" spans="1:10" x14ac:dyDescent="0.25">
      <c r="A13" t="s">
        <v>199</v>
      </c>
      <c r="B13" t="s">
        <v>208</v>
      </c>
      <c r="C13">
        <v>2021</v>
      </c>
      <c r="D13">
        <v>38776</v>
      </c>
      <c r="E13">
        <v>324.89999999999998</v>
      </c>
      <c r="F13">
        <v>6.9</v>
      </c>
      <c r="G13">
        <v>3.4</v>
      </c>
      <c r="H13">
        <v>73.2</v>
      </c>
      <c r="I13">
        <f t="shared" si="0"/>
        <v>12598322.399999999</v>
      </c>
      <c r="J13">
        <f t="shared" si="1"/>
        <v>2838403.2</v>
      </c>
    </row>
    <row r="14" spans="1:10" x14ac:dyDescent="0.25">
      <c r="A14" t="s">
        <v>199</v>
      </c>
      <c r="B14" t="s">
        <v>213</v>
      </c>
      <c r="C14">
        <v>2016</v>
      </c>
      <c r="D14">
        <v>2843</v>
      </c>
      <c r="E14">
        <v>368.4</v>
      </c>
      <c r="F14">
        <v>11.3</v>
      </c>
      <c r="G14">
        <v>6.2</v>
      </c>
      <c r="H14">
        <v>92.6</v>
      </c>
      <c r="I14">
        <f t="shared" si="0"/>
        <v>1047361.2</v>
      </c>
      <c r="J14">
        <f t="shared" si="1"/>
        <v>263261.8</v>
      </c>
    </row>
    <row r="15" spans="1:10" x14ac:dyDescent="0.25">
      <c r="A15" t="s">
        <v>199</v>
      </c>
      <c r="B15" t="s">
        <v>213</v>
      </c>
      <c r="C15">
        <v>2017</v>
      </c>
      <c r="D15">
        <v>3147</v>
      </c>
      <c r="E15">
        <v>365</v>
      </c>
      <c r="F15">
        <v>11.1</v>
      </c>
      <c r="G15">
        <v>6.1</v>
      </c>
      <c r="H15">
        <v>94</v>
      </c>
      <c r="I15">
        <f t="shared" si="0"/>
        <v>1148655</v>
      </c>
      <c r="J15">
        <f t="shared" si="1"/>
        <v>295818</v>
      </c>
    </row>
    <row r="16" spans="1:10" x14ac:dyDescent="0.25">
      <c r="A16" t="s">
        <v>199</v>
      </c>
      <c r="B16" t="s">
        <v>213</v>
      </c>
      <c r="C16">
        <v>2018</v>
      </c>
      <c r="D16">
        <v>4193</v>
      </c>
      <c r="E16">
        <v>352.3</v>
      </c>
      <c r="F16">
        <v>10.199999999999999</v>
      </c>
      <c r="G16">
        <v>5.9</v>
      </c>
      <c r="H16">
        <v>91.3</v>
      </c>
      <c r="I16">
        <f t="shared" si="0"/>
        <v>1477193.9000000001</v>
      </c>
      <c r="J16">
        <f t="shared" si="1"/>
        <v>382820.89999999997</v>
      </c>
    </row>
    <row r="17" spans="1:24" x14ac:dyDescent="0.25">
      <c r="A17" t="s">
        <v>199</v>
      </c>
      <c r="B17" t="s">
        <v>213</v>
      </c>
      <c r="C17">
        <v>2019</v>
      </c>
      <c r="D17">
        <v>4427</v>
      </c>
      <c r="E17">
        <v>348.6</v>
      </c>
      <c r="F17">
        <v>9.9</v>
      </c>
      <c r="G17">
        <v>5.8</v>
      </c>
      <c r="H17">
        <v>91.1</v>
      </c>
      <c r="I17">
        <f t="shared" si="0"/>
        <v>1543252.2000000002</v>
      </c>
      <c r="J17">
        <f t="shared" si="1"/>
        <v>403299.69999999995</v>
      </c>
    </row>
    <row r="18" spans="1:24" x14ac:dyDescent="0.25">
      <c r="A18" t="s">
        <v>199</v>
      </c>
      <c r="B18" t="s">
        <v>213</v>
      </c>
      <c r="C18">
        <v>2020</v>
      </c>
      <c r="D18">
        <v>4642</v>
      </c>
      <c r="E18">
        <v>355.5</v>
      </c>
      <c r="F18">
        <v>10.1</v>
      </c>
      <c r="G18">
        <v>5.9</v>
      </c>
      <c r="H18">
        <v>89.2</v>
      </c>
      <c r="I18">
        <f t="shared" si="0"/>
        <v>1650231</v>
      </c>
      <c r="J18">
        <f t="shared" si="1"/>
        <v>414066.4</v>
      </c>
    </row>
    <row r="19" spans="1:24" x14ac:dyDescent="0.25">
      <c r="A19" t="s">
        <v>199</v>
      </c>
      <c r="B19" t="s">
        <v>213</v>
      </c>
      <c r="C19">
        <v>2021</v>
      </c>
      <c r="D19">
        <v>4235</v>
      </c>
      <c r="E19">
        <v>364.2</v>
      </c>
      <c r="F19">
        <v>10.1</v>
      </c>
      <c r="G19">
        <v>6.2</v>
      </c>
      <c r="H19">
        <v>89.6</v>
      </c>
      <c r="I19">
        <f t="shared" si="0"/>
        <v>1542387</v>
      </c>
      <c r="J19">
        <f t="shared" si="1"/>
        <v>379456</v>
      </c>
      <c r="Q19" s="67"/>
      <c r="R19" s="67"/>
      <c r="S19" s="67"/>
      <c r="T19" s="67"/>
      <c r="U19" s="67"/>
      <c r="V19" s="67"/>
      <c r="W19" s="67"/>
      <c r="X19" s="67"/>
    </row>
    <row r="20" spans="1:24" x14ac:dyDescent="0.25">
      <c r="A20" t="s">
        <v>199</v>
      </c>
      <c r="B20" t="s">
        <v>216</v>
      </c>
      <c r="C20">
        <v>2016</v>
      </c>
      <c r="D20">
        <v>2485</v>
      </c>
      <c r="E20">
        <v>408.3</v>
      </c>
      <c r="F20">
        <v>9.3000000000000007</v>
      </c>
      <c r="G20">
        <v>7.4</v>
      </c>
      <c r="H20">
        <v>98.5</v>
      </c>
      <c r="I20">
        <f t="shared" si="0"/>
        <v>1014625.5</v>
      </c>
      <c r="J20">
        <f t="shared" si="1"/>
        <v>244772.5</v>
      </c>
      <c r="Q20" s="67"/>
      <c r="R20" s="67"/>
      <c r="S20" s="67"/>
      <c r="T20" s="67"/>
      <c r="U20" s="67"/>
      <c r="V20" s="67"/>
      <c r="W20" s="67"/>
      <c r="X20" s="67"/>
    </row>
    <row r="21" spans="1:24" x14ac:dyDescent="0.25">
      <c r="A21" t="s">
        <v>199</v>
      </c>
      <c r="B21" t="s">
        <v>216</v>
      </c>
      <c r="C21">
        <v>2017</v>
      </c>
      <c r="D21">
        <v>2981</v>
      </c>
      <c r="E21">
        <v>405.9</v>
      </c>
      <c r="F21">
        <v>9.1</v>
      </c>
      <c r="G21">
        <v>7.4</v>
      </c>
      <c r="H21">
        <v>99.1</v>
      </c>
      <c r="I21">
        <f t="shared" si="0"/>
        <v>1209987.8999999999</v>
      </c>
      <c r="J21">
        <f t="shared" si="1"/>
        <v>295417.09999999998</v>
      </c>
      <c r="Q21" s="67"/>
      <c r="R21" s="67"/>
      <c r="S21" s="67"/>
      <c r="T21" s="67"/>
      <c r="U21" s="67"/>
      <c r="V21" s="67"/>
      <c r="W21" s="67"/>
      <c r="X21" s="67"/>
    </row>
    <row r="22" spans="1:24" x14ac:dyDescent="0.25">
      <c r="A22" t="s">
        <v>199</v>
      </c>
      <c r="B22" t="s">
        <v>216</v>
      </c>
      <c r="C22">
        <v>2018</v>
      </c>
      <c r="D22">
        <v>3573</v>
      </c>
      <c r="E22">
        <v>393</v>
      </c>
      <c r="F22">
        <v>8.3000000000000007</v>
      </c>
      <c r="G22">
        <v>7.1</v>
      </c>
      <c r="H22">
        <v>94.2</v>
      </c>
      <c r="I22">
        <f t="shared" si="0"/>
        <v>1404189</v>
      </c>
      <c r="J22">
        <f t="shared" si="1"/>
        <v>336576.60000000003</v>
      </c>
      <c r="Q22" s="67"/>
      <c r="R22" s="67"/>
      <c r="S22" s="67"/>
      <c r="T22" s="67"/>
      <c r="U22" s="67"/>
      <c r="V22" s="67"/>
      <c r="W22" s="67"/>
      <c r="X22" s="67"/>
    </row>
    <row r="23" spans="1:24" x14ac:dyDescent="0.25">
      <c r="A23" t="s">
        <v>199</v>
      </c>
      <c r="B23" t="s">
        <v>216</v>
      </c>
      <c r="C23">
        <v>2019</v>
      </c>
      <c r="D23">
        <v>3426</v>
      </c>
      <c r="E23">
        <v>387.3</v>
      </c>
      <c r="F23">
        <v>8.1</v>
      </c>
      <c r="G23">
        <v>6.9</v>
      </c>
      <c r="H23">
        <v>94.6</v>
      </c>
      <c r="I23">
        <f t="shared" si="0"/>
        <v>1326889.8</v>
      </c>
      <c r="J23">
        <f t="shared" si="1"/>
        <v>324099.59999999998</v>
      </c>
      <c r="Q23" s="67"/>
      <c r="R23" s="67"/>
      <c r="S23" s="67"/>
      <c r="T23" s="67"/>
      <c r="U23" s="67"/>
      <c r="V23" s="67"/>
      <c r="W23" s="67"/>
      <c r="X23" s="67"/>
    </row>
    <row r="24" spans="1:24" x14ac:dyDescent="0.25">
      <c r="A24" t="s">
        <v>199</v>
      </c>
      <c r="B24" t="s">
        <v>216</v>
      </c>
      <c r="C24">
        <v>2020</v>
      </c>
      <c r="D24">
        <v>3258</v>
      </c>
      <c r="E24">
        <v>396.6</v>
      </c>
      <c r="F24">
        <v>8.1999999999999993</v>
      </c>
      <c r="G24">
        <v>7.1</v>
      </c>
      <c r="H24">
        <v>96.2</v>
      </c>
      <c r="I24">
        <f t="shared" si="0"/>
        <v>1292122.8</v>
      </c>
      <c r="J24">
        <f t="shared" si="1"/>
        <v>313419.60000000003</v>
      </c>
      <c r="Q24" s="67"/>
      <c r="R24" s="67"/>
      <c r="S24" s="67"/>
      <c r="T24" s="67"/>
      <c r="U24" s="67"/>
      <c r="V24" s="67"/>
      <c r="W24" s="67"/>
      <c r="X24" s="67"/>
    </row>
    <row r="25" spans="1:24" x14ac:dyDescent="0.25">
      <c r="A25" t="s">
        <v>199</v>
      </c>
      <c r="B25" t="s">
        <v>216</v>
      </c>
      <c r="C25">
        <v>2021</v>
      </c>
      <c r="D25">
        <v>2898</v>
      </c>
      <c r="E25">
        <v>409.9</v>
      </c>
      <c r="F25">
        <v>8.3000000000000007</v>
      </c>
      <c r="G25">
        <v>7.5</v>
      </c>
      <c r="H25">
        <v>96.2</v>
      </c>
      <c r="I25">
        <f t="shared" si="0"/>
        <v>1187890.2</v>
      </c>
      <c r="J25">
        <f t="shared" si="1"/>
        <v>278787.60000000003</v>
      </c>
      <c r="Q25" s="67"/>
      <c r="R25" s="67"/>
      <c r="S25" s="67"/>
      <c r="T25" s="67"/>
      <c r="U25" s="67"/>
      <c r="V25" s="67"/>
      <c r="W25" s="67"/>
      <c r="X25" s="67"/>
    </row>
    <row r="26" spans="1:24" x14ac:dyDescent="0.25">
      <c r="A26" t="s">
        <v>199</v>
      </c>
      <c r="B26" t="s">
        <v>217</v>
      </c>
      <c r="C26">
        <v>2016</v>
      </c>
      <c r="D26">
        <v>820</v>
      </c>
      <c r="E26">
        <v>363.4</v>
      </c>
      <c r="F26">
        <v>11.1</v>
      </c>
      <c r="G26">
        <v>6.4</v>
      </c>
      <c r="H26">
        <v>88.1</v>
      </c>
      <c r="I26">
        <f t="shared" si="0"/>
        <v>297988</v>
      </c>
      <c r="J26">
        <f t="shared" si="1"/>
        <v>72242</v>
      </c>
      <c r="Q26" s="67"/>
      <c r="R26" s="67"/>
      <c r="S26" s="67"/>
      <c r="T26" s="67"/>
      <c r="U26" s="67"/>
      <c r="V26" s="67"/>
      <c r="W26" s="67"/>
      <c r="X26" s="67"/>
    </row>
    <row r="27" spans="1:24" x14ac:dyDescent="0.25">
      <c r="A27" t="s">
        <v>199</v>
      </c>
      <c r="B27" t="s">
        <v>217</v>
      </c>
      <c r="C27">
        <v>2017</v>
      </c>
      <c r="D27">
        <v>800</v>
      </c>
      <c r="E27">
        <v>359.4</v>
      </c>
      <c r="F27">
        <v>10.8</v>
      </c>
      <c r="G27">
        <v>6.3</v>
      </c>
      <c r="H27">
        <v>89</v>
      </c>
      <c r="I27">
        <f t="shared" si="0"/>
        <v>287520</v>
      </c>
      <c r="J27">
        <f t="shared" si="1"/>
        <v>71200</v>
      </c>
      <c r="Q27" s="67"/>
      <c r="R27" s="67"/>
      <c r="S27" s="67"/>
      <c r="T27" s="67"/>
      <c r="U27" s="67"/>
      <c r="V27" s="67"/>
      <c r="W27" s="67"/>
      <c r="X27" s="67"/>
    </row>
    <row r="28" spans="1:24" x14ac:dyDescent="0.25">
      <c r="A28" t="s">
        <v>199</v>
      </c>
      <c r="B28" t="s">
        <v>217</v>
      </c>
      <c r="C28">
        <v>2018</v>
      </c>
      <c r="D28">
        <v>1144</v>
      </c>
      <c r="E28">
        <v>353.4</v>
      </c>
      <c r="F28">
        <v>10.199999999999999</v>
      </c>
      <c r="G28">
        <v>6.3</v>
      </c>
      <c r="H28">
        <v>85</v>
      </c>
      <c r="I28">
        <f t="shared" si="0"/>
        <v>404289.6</v>
      </c>
      <c r="J28">
        <f t="shared" si="1"/>
        <v>97240</v>
      </c>
      <c r="Q28" s="67"/>
      <c r="R28" s="67"/>
      <c r="S28" s="67"/>
      <c r="T28" s="67"/>
      <c r="U28" s="67"/>
      <c r="V28" s="67"/>
      <c r="W28" s="67"/>
      <c r="X28" s="67"/>
    </row>
    <row r="29" spans="1:24" x14ac:dyDescent="0.25">
      <c r="A29" t="s">
        <v>199</v>
      </c>
      <c r="B29" t="s">
        <v>217</v>
      </c>
      <c r="C29">
        <v>2019</v>
      </c>
      <c r="D29">
        <v>1352</v>
      </c>
      <c r="E29">
        <v>348.2</v>
      </c>
      <c r="F29">
        <v>10.1</v>
      </c>
      <c r="G29">
        <v>6.1</v>
      </c>
      <c r="H29">
        <v>87.3</v>
      </c>
      <c r="I29">
        <f t="shared" si="0"/>
        <v>470766.39999999997</v>
      </c>
      <c r="J29">
        <f t="shared" si="1"/>
        <v>118029.59999999999</v>
      </c>
      <c r="Q29" s="67"/>
      <c r="R29" s="67"/>
      <c r="S29" s="67"/>
      <c r="T29" s="67"/>
      <c r="U29" s="67"/>
      <c r="V29" s="67"/>
      <c r="W29" s="67"/>
      <c r="X29" s="67"/>
    </row>
    <row r="30" spans="1:24" x14ac:dyDescent="0.25">
      <c r="A30" t="s">
        <v>199</v>
      </c>
      <c r="B30" t="s">
        <v>217</v>
      </c>
      <c r="C30">
        <v>2020</v>
      </c>
      <c r="D30">
        <v>1390</v>
      </c>
      <c r="E30">
        <v>351.6</v>
      </c>
      <c r="F30">
        <v>9.9</v>
      </c>
      <c r="G30">
        <v>6.1</v>
      </c>
      <c r="H30">
        <v>84.5</v>
      </c>
      <c r="I30">
        <f t="shared" si="0"/>
        <v>488724.00000000006</v>
      </c>
      <c r="J30">
        <f t="shared" si="1"/>
        <v>117455</v>
      </c>
      <c r="Q30" s="67"/>
      <c r="R30" s="67"/>
      <c r="S30" s="67"/>
      <c r="T30" s="67"/>
      <c r="U30" s="67"/>
      <c r="V30" s="67"/>
      <c r="W30" s="67"/>
      <c r="X30" s="67"/>
    </row>
    <row r="31" spans="1:24" x14ac:dyDescent="0.25">
      <c r="A31" t="s">
        <v>199</v>
      </c>
      <c r="B31" t="s">
        <v>217</v>
      </c>
      <c r="C31">
        <v>2021</v>
      </c>
      <c r="D31">
        <v>1184</v>
      </c>
      <c r="E31">
        <v>357.6</v>
      </c>
      <c r="F31">
        <v>9.9</v>
      </c>
      <c r="G31">
        <v>6.3</v>
      </c>
      <c r="H31">
        <v>82.1</v>
      </c>
      <c r="I31">
        <f t="shared" si="0"/>
        <v>423398.40000000002</v>
      </c>
      <c r="J31">
        <f t="shared" si="1"/>
        <v>97206.399999999994</v>
      </c>
      <c r="Q31" s="67"/>
      <c r="R31" s="67"/>
      <c r="S31" s="67"/>
      <c r="T31" s="67"/>
      <c r="U31" s="67"/>
      <c r="V31" s="67"/>
      <c r="W31" s="67"/>
      <c r="X31" s="67"/>
    </row>
    <row r="32" spans="1:24" x14ac:dyDescent="0.25">
      <c r="A32" t="s">
        <v>199</v>
      </c>
      <c r="B32" t="s">
        <v>219</v>
      </c>
      <c r="C32">
        <v>2016</v>
      </c>
      <c r="D32">
        <v>376</v>
      </c>
      <c r="E32">
        <v>387.2</v>
      </c>
      <c r="F32">
        <v>9.3000000000000007</v>
      </c>
      <c r="G32">
        <v>8.3000000000000007</v>
      </c>
      <c r="H32">
        <v>96.2</v>
      </c>
      <c r="I32">
        <f t="shared" si="0"/>
        <v>145587.19999999998</v>
      </c>
      <c r="J32">
        <f t="shared" si="1"/>
        <v>36171.200000000004</v>
      </c>
      <c r="Q32" s="67"/>
      <c r="R32" s="67"/>
      <c r="S32" s="67"/>
      <c r="T32" s="67"/>
      <c r="U32" s="67"/>
      <c r="V32" s="67"/>
      <c r="W32" s="67"/>
      <c r="X32" s="67"/>
    </row>
    <row r="33" spans="1:24" x14ac:dyDescent="0.25">
      <c r="A33" t="s">
        <v>199</v>
      </c>
      <c r="B33" t="s">
        <v>219</v>
      </c>
      <c r="C33">
        <v>2017</v>
      </c>
      <c r="D33">
        <v>438</v>
      </c>
      <c r="E33">
        <v>381.2</v>
      </c>
      <c r="F33">
        <v>9</v>
      </c>
      <c r="G33">
        <v>8.3000000000000007</v>
      </c>
      <c r="H33">
        <v>93</v>
      </c>
      <c r="I33">
        <f t="shared" si="0"/>
        <v>166965.6</v>
      </c>
      <c r="J33">
        <f t="shared" si="1"/>
        <v>40734</v>
      </c>
      <c r="Q33" s="67"/>
      <c r="R33" s="67"/>
      <c r="S33" s="67"/>
      <c r="T33" s="67"/>
      <c r="U33" s="67"/>
      <c r="V33" s="67"/>
      <c r="W33" s="67"/>
      <c r="X33" s="67"/>
    </row>
    <row r="34" spans="1:24" x14ac:dyDescent="0.25">
      <c r="A34" t="s">
        <v>199</v>
      </c>
      <c r="B34" t="s">
        <v>219</v>
      </c>
      <c r="C34">
        <v>2018</v>
      </c>
      <c r="D34">
        <v>621</v>
      </c>
      <c r="E34">
        <v>372.9</v>
      </c>
      <c r="F34">
        <v>8.3000000000000007</v>
      </c>
      <c r="G34">
        <v>8.1</v>
      </c>
      <c r="H34">
        <v>89.5</v>
      </c>
      <c r="I34">
        <f t="shared" si="0"/>
        <v>231570.9</v>
      </c>
      <c r="J34">
        <f t="shared" si="1"/>
        <v>55579.5</v>
      </c>
      <c r="Q34" s="67"/>
      <c r="R34" s="67"/>
      <c r="S34" s="67"/>
      <c r="T34" s="67"/>
      <c r="U34" s="67"/>
      <c r="V34" s="67"/>
      <c r="W34" s="67"/>
      <c r="X34" s="67"/>
    </row>
    <row r="35" spans="1:24" x14ac:dyDescent="0.25">
      <c r="A35" t="s">
        <v>199</v>
      </c>
      <c r="B35" t="s">
        <v>219</v>
      </c>
      <c r="C35">
        <v>2019</v>
      </c>
      <c r="D35">
        <v>507</v>
      </c>
      <c r="E35">
        <v>365.3</v>
      </c>
      <c r="F35">
        <v>7.9</v>
      </c>
      <c r="G35">
        <v>7.7</v>
      </c>
      <c r="H35">
        <v>92.1</v>
      </c>
      <c r="I35">
        <f t="shared" si="0"/>
        <v>185207.1</v>
      </c>
      <c r="J35">
        <f t="shared" si="1"/>
        <v>46694.7</v>
      </c>
      <c r="Q35" s="67"/>
      <c r="R35" s="67"/>
      <c r="S35" s="67"/>
      <c r="T35" s="67"/>
      <c r="U35" s="67"/>
      <c r="V35" s="67"/>
      <c r="W35" s="67"/>
      <c r="X35" s="67"/>
    </row>
    <row r="36" spans="1:24" x14ac:dyDescent="0.25">
      <c r="A36" t="s">
        <v>199</v>
      </c>
      <c r="B36" t="s">
        <v>219</v>
      </c>
      <c r="C36">
        <v>2020</v>
      </c>
      <c r="D36">
        <v>692</v>
      </c>
      <c r="E36">
        <v>372</v>
      </c>
      <c r="F36">
        <v>7.7</v>
      </c>
      <c r="G36">
        <v>7.8</v>
      </c>
      <c r="H36">
        <v>100.2</v>
      </c>
      <c r="I36">
        <f t="shared" si="0"/>
        <v>257424</v>
      </c>
      <c r="J36">
        <f t="shared" si="1"/>
        <v>69338.400000000009</v>
      </c>
      <c r="Q36" s="67"/>
      <c r="R36" s="67"/>
      <c r="S36" s="67"/>
      <c r="T36" s="67"/>
      <c r="U36" s="67"/>
      <c r="V36" s="67"/>
      <c r="W36" s="67"/>
      <c r="X36" s="67"/>
    </row>
    <row r="37" spans="1:24" x14ac:dyDescent="0.25">
      <c r="A37" t="s">
        <v>199</v>
      </c>
      <c r="B37" t="s">
        <v>219</v>
      </c>
      <c r="C37">
        <v>2021</v>
      </c>
      <c r="D37">
        <v>549</v>
      </c>
      <c r="E37">
        <v>381.3</v>
      </c>
      <c r="F37">
        <v>8.3000000000000007</v>
      </c>
      <c r="G37">
        <v>8</v>
      </c>
      <c r="H37">
        <v>89</v>
      </c>
      <c r="I37">
        <f t="shared" si="0"/>
        <v>209333.7</v>
      </c>
      <c r="J37">
        <f t="shared" si="1"/>
        <v>48861</v>
      </c>
      <c r="Q37" s="67"/>
      <c r="R37" s="67"/>
      <c r="S37" s="67"/>
      <c r="T37" s="67"/>
      <c r="U37" s="67"/>
      <c r="V37" s="67"/>
      <c r="W37" s="67"/>
      <c r="X37" s="67"/>
    </row>
    <row r="38" spans="1:24" x14ac:dyDescent="0.25">
      <c r="A38" t="s">
        <v>199</v>
      </c>
      <c r="B38" t="s">
        <v>220</v>
      </c>
      <c r="C38">
        <v>2016</v>
      </c>
      <c r="D38">
        <v>1709</v>
      </c>
      <c r="E38">
        <v>374.6</v>
      </c>
      <c r="F38">
        <v>8.8000000000000007</v>
      </c>
      <c r="G38">
        <v>6.6</v>
      </c>
      <c r="H38">
        <v>91.2</v>
      </c>
      <c r="I38">
        <f t="shared" si="0"/>
        <v>640191.4</v>
      </c>
      <c r="J38">
        <f t="shared" si="1"/>
        <v>155860.80000000002</v>
      </c>
      <c r="Q38" s="67"/>
      <c r="R38" s="67"/>
      <c r="S38" s="67"/>
      <c r="T38" s="67"/>
      <c r="U38" s="67"/>
      <c r="V38" s="67"/>
      <c r="W38" s="67"/>
      <c r="X38" s="67"/>
    </row>
    <row r="39" spans="1:24" x14ac:dyDescent="0.25">
      <c r="A39" t="s">
        <v>199</v>
      </c>
      <c r="B39" t="s">
        <v>220</v>
      </c>
      <c r="C39">
        <v>2017</v>
      </c>
      <c r="D39">
        <v>1951</v>
      </c>
      <c r="E39">
        <v>379.3</v>
      </c>
      <c r="F39">
        <v>8.6999999999999993</v>
      </c>
      <c r="G39">
        <v>6.7</v>
      </c>
      <c r="H39">
        <v>92.5</v>
      </c>
      <c r="I39">
        <f t="shared" si="0"/>
        <v>740014.3</v>
      </c>
      <c r="J39">
        <f t="shared" si="1"/>
        <v>180467.5</v>
      </c>
      <c r="Q39" s="67"/>
      <c r="R39" s="67"/>
      <c r="S39" s="67"/>
      <c r="T39" s="67"/>
      <c r="U39" s="67"/>
      <c r="V39" s="67"/>
      <c r="W39" s="67"/>
      <c r="X39" s="67"/>
    </row>
    <row r="40" spans="1:24" x14ac:dyDescent="0.25">
      <c r="A40" t="s">
        <v>199</v>
      </c>
      <c r="B40" t="s">
        <v>220</v>
      </c>
      <c r="C40">
        <v>2018</v>
      </c>
      <c r="D40">
        <v>2598</v>
      </c>
      <c r="E40">
        <v>358.3</v>
      </c>
      <c r="F40">
        <v>7.6</v>
      </c>
      <c r="G40">
        <v>6.2</v>
      </c>
      <c r="H40">
        <v>89.8</v>
      </c>
      <c r="I40">
        <f t="shared" si="0"/>
        <v>930863.4</v>
      </c>
      <c r="J40">
        <f t="shared" si="1"/>
        <v>233300.4</v>
      </c>
      <c r="Q40" s="67"/>
      <c r="R40" s="67"/>
      <c r="S40" s="67"/>
      <c r="T40" s="67"/>
      <c r="U40" s="67"/>
      <c r="V40" s="67"/>
      <c r="W40" s="67"/>
      <c r="X40" s="67"/>
    </row>
    <row r="41" spans="1:24" x14ac:dyDescent="0.25">
      <c r="A41" t="s">
        <v>199</v>
      </c>
      <c r="B41" t="s">
        <v>220</v>
      </c>
      <c r="C41">
        <v>2019</v>
      </c>
      <c r="D41">
        <v>2584</v>
      </c>
      <c r="E41">
        <v>359.2</v>
      </c>
      <c r="F41">
        <v>7.5</v>
      </c>
      <c r="G41">
        <v>6.3</v>
      </c>
      <c r="H41">
        <v>87.9</v>
      </c>
      <c r="I41">
        <f t="shared" si="0"/>
        <v>928172.79999999993</v>
      </c>
      <c r="J41">
        <f t="shared" si="1"/>
        <v>227133.6</v>
      </c>
      <c r="Q41" s="67"/>
      <c r="R41" s="67"/>
      <c r="S41" s="67"/>
      <c r="T41" s="67"/>
      <c r="U41" s="67"/>
      <c r="V41" s="67"/>
      <c r="W41" s="67"/>
      <c r="X41" s="67"/>
    </row>
    <row r="42" spans="1:24" x14ac:dyDescent="0.25">
      <c r="A42" t="s">
        <v>199</v>
      </c>
      <c r="B42" t="s">
        <v>220</v>
      </c>
      <c r="C42">
        <v>2020</v>
      </c>
      <c r="D42">
        <v>2416</v>
      </c>
      <c r="E42">
        <v>363.9</v>
      </c>
      <c r="F42">
        <v>7.6</v>
      </c>
      <c r="G42">
        <v>6.3</v>
      </c>
      <c r="H42">
        <v>88.8</v>
      </c>
      <c r="I42">
        <f t="shared" si="0"/>
        <v>879182.39999999991</v>
      </c>
      <c r="J42">
        <f t="shared" si="1"/>
        <v>214540.79999999999</v>
      </c>
      <c r="Q42" s="67"/>
      <c r="R42" s="67"/>
      <c r="S42" s="67"/>
      <c r="T42" s="67"/>
      <c r="U42" s="67"/>
      <c r="V42" s="67"/>
      <c r="W42" s="67"/>
      <c r="X42" s="67"/>
    </row>
    <row r="43" spans="1:24" x14ac:dyDescent="0.25">
      <c r="A43" t="s">
        <v>199</v>
      </c>
      <c r="B43" t="s">
        <v>220</v>
      </c>
      <c r="C43">
        <v>2021</v>
      </c>
      <c r="D43">
        <v>2357</v>
      </c>
      <c r="E43">
        <v>374</v>
      </c>
      <c r="F43">
        <v>7.9</v>
      </c>
      <c r="G43">
        <v>6.6</v>
      </c>
      <c r="H43">
        <v>87.8</v>
      </c>
      <c r="I43">
        <f t="shared" si="0"/>
        <v>881518</v>
      </c>
      <c r="J43">
        <f t="shared" si="1"/>
        <v>206944.6</v>
      </c>
      <c r="Q43" s="67"/>
      <c r="R43" s="67"/>
      <c r="S43" s="67"/>
      <c r="T43" s="67"/>
      <c r="U43" s="67"/>
      <c r="V43" s="67"/>
      <c r="W43" s="67"/>
      <c r="X43" s="67"/>
    </row>
    <row r="44" spans="1:24" x14ac:dyDescent="0.25">
      <c r="A44" t="s">
        <v>199</v>
      </c>
      <c r="B44" t="s">
        <v>222</v>
      </c>
      <c r="C44">
        <v>2016</v>
      </c>
      <c r="D44">
        <v>483</v>
      </c>
      <c r="E44">
        <v>230.7</v>
      </c>
      <c r="F44">
        <v>8.1999999999999993</v>
      </c>
      <c r="G44">
        <v>4.5999999999999996</v>
      </c>
      <c r="H44">
        <v>108.5</v>
      </c>
      <c r="I44">
        <f t="shared" si="0"/>
        <v>111428.09999999999</v>
      </c>
      <c r="J44">
        <f t="shared" si="1"/>
        <v>52405.5</v>
      </c>
      <c r="Q44" s="67"/>
      <c r="R44" s="67"/>
      <c r="S44" s="67"/>
      <c r="T44" s="67"/>
      <c r="U44" s="67"/>
      <c r="V44" s="67"/>
      <c r="W44" s="67"/>
      <c r="X44" s="67"/>
    </row>
    <row r="45" spans="1:24" x14ac:dyDescent="0.25">
      <c r="A45" t="s">
        <v>199</v>
      </c>
      <c r="B45" t="s">
        <v>222</v>
      </c>
      <c r="C45">
        <v>2017</v>
      </c>
      <c r="D45">
        <v>427</v>
      </c>
      <c r="E45">
        <v>231.8</v>
      </c>
      <c r="F45">
        <v>8.1</v>
      </c>
      <c r="G45">
        <v>4.7</v>
      </c>
      <c r="H45">
        <v>98</v>
      </c>
      <c r="I45">
        <f t="shared" si="0"/>
        <v>98978.6</v>
      </c>
      <c r="J45">
        <f t="shared" si="1"/>
        <v>41846</v>
      </c>
      <c r="K45" s="67"/>
      <c r="P45" s="67"/>
      <c r="Q45" s="67"/>
      <c r="R45" s="67"/>
      <c r="S45" s="67"/>
      <c r="T45" s="67"/>
      <c r="U45" s="67"/>
      <c r="V45" s="67"/>
      <c r="W45" s="67"/>
      <c r="X45" s="67"/>
    </row>
    <row r="46" spans="1:24" x14ac:dyDescent="0.25">
      <c r="A46" t="s">
        <v>199</v>
      </c>
      <c r="B46" t="s">
        <v>222</v>
      </c>
      <c r="C46">
        <v>2018</v>
      </c>
      <c r="D46">
        <v>546</v>
      </c>
      <c r="E46">
        <v>224.4</v>
      </c>
      <c r="F46">
        <v>7.6</v>
      </c>
      <c r="G46">
        <v>4.4000000000000004</v>
      </c>
      <c r="H46">
        <v>100.9</v>
      </c>
      <c r="I46">
        <f t="shared" si="0"/>
        <v>122522.40000000001</v>
      </c>
      <c r="J46">
        <f t="shared" si="1"/>
        <v>55091.4</v>
      </c>
      <c r="K46" s="67"/>
      <c r="P46" s="67"/>
      <c r="Q46" s="67"/>
      <c r="R46" s="67"/>
      <c r="S46" s="67"/>
      <c r="T46" s="67"/>
      <c r="U46" s="67"/>
      <c r="V46" s="67"/>
      <c r="W46" s="67"/>
      <c r="X46" s="67"/>
    </row>
    <row r="47" spans="1:24" x14ac:dyDescent="0.25">
      <c r="A47" t="s">
        <v>199</v>
      </c>
      <c r="B47" t="s">
        <v>222</v>
      </c>
      <c r="C47">
        <v>2019</v>
      </c>
      <c r="D47">
        <v>408</v>
      </c>
      <c r="E47">
        <v>224.2</v>
      </c>
      <c r="F47">
        <v>7.3</v>
      </c>
      <c r="G47">
        <v>4.3</v>
      </c>
      <c r="H47">
        <v>105.8</v>
      </c>
      <c r="I47">
        <f t="shared" si="0"/>
        <v>91473.599999999991</v>
      </c>
      <c r="J47">
        <f t="shared" si="1"/>
        <v>43166.400000000001</v>
      </c>
      <c r="K47" s="67"/>
      <c r="P47" s="67"/>
      <c r="Q47" s="67"/>
      <c r="R47" s="67"/>
      <c r="S47" s="67"/>
      <c r="T47" s="67"/>
      <c r="U47" s="67"/>
      <c r="V47" s="67"/>
      <c r="W47" s="67"/>
      <c r="X47" s="67"/>
    </row>
    <row r="48" spans="1:24" x14ac:dyDescent="0.25">
      <c r="A48" t="s">
        <v>199</v>
      </c>
      <c r="B48" t="s">
        <v>222</v>
      </c>
      <c r="C48">
        <v>2020</v>
      </c>
      <c r="D48">
        <v>428</v>
      </c>
      <c r="E48">
        <v>232.7</v>
      </c>
      <c r="F48">
        <v>7.8</v>
      </c>
      <c r="G48">
        <v>4.5999999999999996</v>
      </c>
      <c r="H48">
        <v>106.7</v>
      </c>
      <c r="I48">
        <f t="shared" si="0"/>
        <v>99595.599999999991</v>
      </c>
      <c r="J48">
        <f t="shared" si="1"/>
        <v>45667.6</v>
      </c>
      <c r="K48" s="67"/>
      <c r="P48" s="67"/>
      <c r="Q48" s="67"/>
      <c r="R48" s="67"/>
      <c r="S48" s="67"/>
      <c r="T48" s="67"/>
      <c r="U48" s="67"/>
      <c r="V48" s="67"/>
      <c r="W48" s="67"/>
      <c r="X48" s="67"/>
    </row>
    <row r="49" spans="1:24" x14ac:dyDescent="0.25">
      <c r="A49" t="s">
        <v>199</v>
      </c>
      <c r="B49" t="s">
        <v>222</v>
      </c>
      <c r="C49">
        <v>2021</v>
      </c>
      <c r="D49">
        <v>305</v>
      </c>
      <c r="E49">
        <v>227.8</v>
      </c>
      <c r="F49">
        <v>7.56</v>
      </c>
      <c r="G49">
        <v>4.5</v>
      </c>
      <c r="H49">
        <v>108.4</v>
      </c>
      <c r="I49">
        <f t="shared" si="0"/>
        <v>69479</v>
      </c>
      <c r="J49">
        <f t="shared" si="1"/>
        <v>33062</v>
      </c>
      <c r="K49" s="67"/>
      <c r="P49" s="67"/>
      <c r="Q49" s="67"/>
      <c r="R49" s="67"/>
      <c r="S49" s="67"/>
      <c r="T49" s="67"/>
      <c r="U49" s="67"/>
      <c r="V49" s="67"/>
      <c r="W49" s="67"/>
      <c r="X49" s="67"/>
    </row>
    <row r="50" spans="1:24" x14ac:dyDescent="0.25">
      <c r="A50" t="s">
        <v>199</v>
      </c>
      <c r="B50" t="s">
        <v>223</v>
      </c>
      <c r="C50">
        <v>2016</v>
      </c>
      <c r="D50">
        <v>110</v>
      </c>
      <c r="E50">
        <v>389.5</v>
      </c>
      <c r="F50">
        <v>7.1</v>
      </c>
      <c r="G50">
        <v>7.8</v>
      </c>
      <c r="H50">
        <v>109.9</v>
      </c>
      <c r="I50">
        <f t="shared" si="0"/>
        <v>42845</v>
      </c>
      <c r="J50">
        <f t="shared" si="1"/>
        <v>12089</v>
      </c>
      <c r="K50" s="67"/>
      <c r="P50" s="67"/>
      <c r="Q50" s="67"/>
      <c r="R50" s="67"/>
      <c r="S50" s="67"/>
      <c r="T50" s="67"/>
      <c r="U50" s="67"/>
      <c r="V50" s="67"/>
      <c r="W50" s="67"/>
      <c r="X50" s="67"/>
    </row>
    <row r="51" spans="1:24" x14ac:dyDescent="0.25">
      <c r="A51" t="s">
        <v>199</v>
      </c>
      <c r="B51" t="s">
        <v>223</v>
      </c>
      <c r="C51">
        <v>2017</v>
      </c>
      <c r="D51">
        <v>98</v>
      </c>
      <c r="E51">
        <v>427.9</v>
      </c>
      <c r="F51">
        <v>8</v>
      </c>
      <c r="G51">
        <v>8.4</v>
      </c>
      <c r="H51">
        <v>103.3</v>
      </c>
      <c r="I51">
        <f t="shared" si="0"/>
        <v>41934.199999999997</v>
      </c>
      <c r="J51">
        <f t="shared" si="1"/>
        <v>10123.4</v>
      </c>
      <c r="K51" s="67"/>
      <c r="P51" s="67"/>
      <c r="Q51" s="67"/>
      <c r="R51" s="67"/>
      <c r="S51" s="67"/>
      <c r="T51" s="67"/>
      <c r="U51" s="67"/>
      <c r="V51" s="67"/>
      <c r="W51" s="67"/>
      <c r="X51" s="67"/>
    </row>
    <row r="52" spans="1:24" x14ac:dyDescent="0.25">
      <c r="A52" t="s">
        <v>199</v>
      </c>
      <c r="B52" t="s">
        <v>223</v>
      </c>
      <c r="C52">
        <v>2018</v>
      </c>
      <c r="D52">
        <v>139</v>
      </c>
      <c r="E52">
        <v>394.5</v>
      </c>
      <c r="F52">
        <v>6.7</v>
      </c>
      <c r="G52">
        <v>8.1</v>
      </c>
      <c r="H52">
        <v>101</v>
      </c>
      <c r="I52">
        <f t="shared" si="0"/>
        <v>54835.5</v>
      </c>
      <c r="J52">
        <f t="shared" si="1"/>
        <v>14039</v>
      </c>
      <c r="K52" s="67"/>
      <c r="P52" s="67"/>
      <c r="Q52" s="67"/>
      <c r="R52" s="67"/>
      <c r="S52" s="67"/>
      <c r="T52" s="67"/>
      <c r="U52" s="67"/>
      <c r="V52" s="67"/>
      <c r="W52" s="67"/>
      <c r="X52" s="67"/>
    </row>
    <row r="53" spans="1:24" x14ac:dyDescent="0.25">
      <c r="A53" t="s">
        <v>199</v>
      </c>
      <c r="B53" t="s">
        <v>223</v>
      </c>
      <c r="C53">
        <v>2019</v>
      </c>
      <c r="D53">
        <v>162</v>
      </c>
      <c r="E53">
        <v>402.6</v>
      </c>
      <c r="F53">
        <v>7.1</v>
      </c>
      <c r="G53">
        <v>7.7</v>
      </c>
      <c r="H53">
        <v>105.8</v>
      </c>
      <c r="I53">
        <f t="shared" si="0"/>
        <v>65221.200000000004</v>
      </c>
      <c r="J53">
        <f t="shared" si="1"/>
        <v>17139.599999999999</v>
      </c>
      <c r="K53" s="67"/>
      <c r="P53" s="67"/>
      <c r="Q53" s="67"/>
      <c r="R53" s="67"/>
      <c r="S53" s="67"/>
      <c r="T53" s="67"/>
      <c r="U53" s="67"/>
      <c r="V53" s="67"/>
      <c r="W53" s="67"/>
      <c r="X53" s="67"/>
    </row>
    <row r="54" spans="1:24" x14ac:dyDescent="0.25">
      <c r="A54" t="s">
        <v>199</v>
      </c>
      <c r="B54" t="s">
        <v>223</v>
      </c>
      <c r="C54">
        <v>2020</v>
      </c>
      <c r="D54">
        <v>127</v>
      </c>
      <c r="E54">
        <v>407.7</v>
      </c>
      <c r="F54">
        <v>6.7</v>
      </c>
      <c r="G54">
        <v>7.9</v>
      </c>
      <c r="H54">
        <v>103.6</v>
      </c>
      <c r="I54">
        <f t="shared" si="0"/>
        <v>51777.9</v>
      </c>
      <c r="J54">
        <f t="shared" si="1"/>
        <v>13157.199999999999</v>
      </c>
      <c r="K54" s="67"/>
      <c r="P54" s="67"/>
      <c r="Q54" s="67"/>
      <c r="R54" s="67"/>
      <c r="S54" s="67"/>
      <c r="T54" s="67"/>
      <c r="U54" s="67"/>
      <c r="V54" s="67"/>
      <c r="W54" s="67"/>
      <c r="X54" s="67"/>
    </row>
    <row r="55" spans="1:24" x14ac:dyDescent="0.25">
      <c r="A55" t="s">
        <v>199</v>
      </c>
      <c r="B55" t="s">
        <v>223</v>
      </c>
      <c r="C55">
        <v>2021</v>
      </c>
      <c r="D55">
        <v>135</v>
      </c>
      <c r="E55">
        <v>427.1</v>
      </c>
      <c r="F55">
        <v>6.7</v>
      </c>
      <c r="G55">
        <v>8.1</v>
      </c>
      <c r="H55">
        <v>93.9</v>
      </c>
      <c r="I55">
        <f t="shared" si="0"/>
        <v>57658.5</v>
      </c>
      <c r="J55">
        <f t="shared" si="1"/>
        <v>12676.5</v>
      </c>
      <c r="K55" s="67"/>
      <c r="P55" s="67"/>
      <c r="Q55" s="67"/>
      <c r="R55" s="67"/>
      <c r="S55" s="67"/>
      <c r="T55" s="67"/>
      <c r="U55" s="67"/>
      <c r="V55" s="67"/>
      <c r="W55" s="67"/>
      <c r="X55" s="67"/>
    </row>
    <row r="56" spans="1:24" x14ac:dyDescent="0.25">
      <c r="A56" t="s">
        <v>199</v>
      </c>
      <c r="B56" t="s">
        <v>224</v>
      </c>
      <c r="C56">
        <v>2016</v>
      </c>
      <c r="D56">
        <v>15724</v>
      </c>
      <c r="E56">
        <v>345</v>
      </c>
      <c r="F56">
        <v>9</v>
      </c>
      <c r="G56">
        <v>5.6</v>
      </c>
      <c r="H56">
        <v>87.3</v>
      </c>
      <c r="I56">
        <f t="shared" si="0"/>
        <v>5424780</v>
      </c>
      <c r="J56">
        <f t="shared" si="1"/>
        <v>1372705.2</v>
      </c>
      <c r="K56" s="67"/>
      <c r="P56" s="67"/>
      <c r="Q56" s="67"/>
      <c r="R56" s="67"/>
      <c r="S56" s="67"/>
      <c r="T56" s="67"/>
      <c r="U56" s="67"/>
      <c r="V56" s="67"/>
      <c r="W56" s="67"/>
      <c r="X56" s="67"/>
    </row>
    <row r="57" spans="1:24" x14ac:dyDescent="0.25">
      <c r="A57" t="s">
        <v>199</v>
      </c>
      <c r="B57" t="s">
        <v>224</v>
      </c>
      <c r="C57">
        <v>2017</v>
      </c>
      <c r="D57">
        <v>15992</v>
      </c>
      <c r="E57">
        <v>345.7</v>
      </c>
      <c r="F57">
        <v>8.8000000000000007</v>
      </c>
      <c r="G57">
        <v>5.7</v>
      </c>
      <c r="H57">
        <v>87.1</v>
      </c>
      <c r="I57">
        <f t="shared" si="0"/>
        <v>5528434.3999999994</v>
      </c>
      <c r="J57">
        <f t="shared" si="1"/>
        <v>1392903.2</v>
      </c>
      <c r="K57" s="67"/>
      <c r="P57" s="67"/>
      <c r="Q57" s="67"/>
      <c r="R57" s="67"/>
      <c r="S57" s="67"/>
      <c r="T57" s="67"/>
      <c r="U57" s="67"/>
      <c r="V57" s="67"/>
      <c r="W57" s="67"/>
      <c r="X57" s="67"/>
    </row>
    <row r="58" spans="1:24" x14ac:dyDescent="0.25">
      <c r="A58" t="s">
        <v>199</v>
      </c>
      <c r="B58" t="s">
        <v>224</v>
      </c>
      <c r="C58">
        <v>2018</v>
      </c>
      <c r="D58">
        <v>20874</v>
      </c>
      <c r="E58">
        <v>339.3</v>
      </c>
      <c r="F58">
        <v>8.3000000000000007</v>
      </c>
      <c r="G58">
        <v>5.6</v>
      </c>
      <c r="H58">
        <v>86.5</v>
      </c>
      <c r="I58">
        <f t="shared" si="0"/>
        <v>7082548.2000000002</v>
      </c>
      <c r="J58">
        <f t="shared" si="1"/>
        <v>1805601</v>
      </c>
      <c r="K58" s="67"/>
      <c r="P58" s="67"/>
      <c r="Q58" s="67"/>
      <c r="R58" s="67"/>
      <c r="S58" s="67"/>
      <c r="T58" s="67"/>
      <c r="U58" s="67"/>
      <c r="V58" s="67"/>
      <c r="W58" s="67"/>
      <c r="X58" s="67"/>
    </row>
    <row r="59" spans="1:24" x14ac:dyDescent="0.25">
      <c r="A59" t="s">
        <v>199</v>
      </c>
      <c r="B59" t="s">
        <v>224</v>
      </c>
      <c r="C59">
        <v>2019</v>
      </c>
      <c r="D59">
        <v>21397</v>
      </c>
      <c r="E59">
        <v>338.8</v>
      </c>
      <c r="F59">
        <v>8.1999999999999993</v>
      </c>
      <c r="G59">
        <v>5.5</v>
      </c>
      <c r="H59">
        <v>86.2</v>
      </c>
      <c r="I59">
        <f t="shared" si="0"/>
        <v>7249303.6000000006</v>
      </c>
      <c r="J59">
        <f t="shared" si="1"/>
        <v>1844421.4000000001</v>
      </c>
      <c r="K59" s="67"/>
      <c r="P59" s="67"/>
      <c r="Q59" s="67"/>
      <c r="R59" s="67"/>
      <c r="S59" s="67"/>
      <c r="T59" s="67"/>
      <c r="U59" s="67"/>
      <c r="V59" s="67"/>
      <c r="W59" s="67"/>
      <c r="X59" s="67"/>
    </row>
    <row r="60" spans="1:24" x14ac:dyDescent="0.25">
      <c r="A60" t="s">
        <v>199</v>
      </c>
      <c r="B60" t="s">
        <v>224</v>
      </c>
      <c r="C60">
        <v>2020</v>
      </c>
      <c r="D60">
        <v>21847</v>
      </c>
      <c r="E60">
        <v>343.8</v>
      </c>
      <c r="F60">
        <v>8.1999999999999993</v>
      </c>
      <c r="G60">
        <v>5.6</v>
      </c>
      <c r="H60">
        <v>86.3</v>
      </c>
      <c r="I60">
        <f t="shared" si="0"/>
        <v>7510998.6000000006</v>
      </c>
      <c r="J60">
        <f t="shared" si="1"/>
        <v>1885396.0999999999</v>
      </c>
      <c r="K60" s="67"/>
      <c r="P60" s="67"/>
      <c r="Q60" s="67"/>
      <c r="R60" s="67"/>
      <c r="S60" s="67"/>
      <c r="T60" s="67"/>
      <c r="U60" s="67"/>
      <c r="V60" s="67"/>
      <c r="W60" s="67"/>
      <c r="X60" s="67"/>
    </row>
    <row r="61" spans="1:24" x14ac:dyDescent="0.25">
      <c r="A61" t="s">
        <v>199</v>
      </c>
      <c r="B61" t="s">
        <v>224</v>
      </c>
      <c r="C61">
        <v>2021</v>
      </c>
      <c r="D61">
        <v>19983</v>
      </c>
      <c r="E61">
        <v>350.4</v>
      </c>
      <c r="F61">
        <v>8.3000000000000007</v>
      </c>
      <c r="G61">
        <v>5.8</v>
      </c>
      <c r="H61">
        <v>84.9</v>
      </c>
      <c r="I61">
        <f t="shared" si="0"/>
        <v>7002043.1999999993</v>
      </c>
      <c r="J61">
        <f t="shared" si="1"/>
        <v>1696556.7000000002</v>
      </c>
      <c r="K61" s="67"/>
      <c r="P61" s="67"/>
      <c r="Q61" s="67"/>
      <c r="R61" s="67"/>
      <c r="S61" s="67"/>
      <c r="T61" s="67"/>
      <c r="U61" s="67"/>
      <c r="V61" s="67"/>
      <c r="W61" s="67"/>
      <c r="X61" s="67"/>
    </row>
    <row r="62" spans="1:24" x14ac:dyDescent="0.25">
      <c r="A62" t="s">
        <v>207</v>
      </c>
      <c r="B62" t="s">
        <v>200</v>
      </c>
      <c r="C62">
        <v>2016</v>
      </c>
      <c r="D62">
        <v>10952</v>
      </c>
      <c r="E62">
        <v>274.39999999999998</v>
      </c>
      <c r="F62">
        <v>7.2</v>
      </c>
      <c r="G62">
        <v>3.9</v>
      </c>
      <c r="H62">
        <v>39.799999999999997</v>
      </c>
      <c r="I62">
        <f t="shared" si="0"/>
        <v>3005228.8</v>
      </c>
      <c r="J62">
        <f t="shared" si="1"/>
        <v>435889.6</v>
      </c>
      <c r="K62" s="67"/>
      <c r="P62" s="67"/>
      <c r="Q62" s="67"/>
      <c r="R62" s="67"/>
      <c r="S62" s="67"/>
      <c r="T62" s="67"/>
      <c r="U62" s="67"/>
      <c r="V62" s="67"/>
      <c r="W62" s="67"/>
      <c r="X62" s="67"/>
    </row>
    <row r="63" spans="1:24" x14ac:dyDescent="0.25">
      <c r="A63" t="s">
        <v>207</v>
      </c>
      <c r="B63" t="s">
        <v>200</v>
      </c>
      <c r="C63">
        <v>2017</v>
      </c>
      <c r="D63">
        <v>9142</v>
      </c>
      <c r="E63">
        <v>282</v>
      </c>
      <c r="F63">
        <v>7.5</v>
      </c>
      <c r="G63">
        <v>4</v>
      </c>
      <c r="H63">
        <v>39.9</v>
      </c>
      <c r="I63">
        <f t="shared" si="0"/>
        <v>2578044</v>
      </c>
      <c r="J63">
        <f t="shared" si="1"/>
        <v>364765.8</v>
      </c>
      <c r="K63" s="67"/>
      <c r="P63" s="67"/>
      <c r="Q63" s="67"/>
      <c r="R63" s="67"/>
      <c r="S63" s="67"/>
      <c r="T63" s="67"/>
      <c r="U63" s="67"/>
      <c r="V63" s="67"/>
      <c r="W63" s="67"/>
      <c r="X63" s="67"/>
    </row>
    <row r="64" spans="1:24" x14ac:dyDescent="0.25">
      <c r="A64" t="s">
        <v>207</v>
      </c>
      <c r="B64" t="s">
        <v>200</v>
      </c>
      <c r="C64">
        <v>2018</v>
      </c>
      <c r="D64">
        <v>8988</v>
      </c>
      <c r="E64">
        <v>277.8</v>
      </c>
      <c r="F64">
        <v>7.2</v>
      </c>
      <c r="G64">
        <v>3.9</v>
      </c>
      <c r="H64">
        <v>40.5</v>
      </c>
      <c r="I64">
        <f t="shared" si="0"/>
        <v>2496866.4</v>
      </c>
      <c r="J64">
        <f t="shared" si="1"/>
        <v>364014</v>
      </c>
      <c r="K64" s="67"/>
      <c r="P64" s="67"/>
      <c r="Q64" s="67"/>
      <c r="R64" s="67"/>
      <c r="S64" s="67"/>
      <c r="T64" s="67"/>
      <c r="U64" s="67"/>
      <c r="V64" s="67"/>
      <c r="W64" s="67"/>
      <c r="X64" s="67"/>
    </row>
    <row r="65" spans="1:24" x14ac:dyDescent="0.25">
      <c r="A65" t="s">
        <v>207</v>
      </c>
      <c r="B65" t="s">
        <v>200</v>
      </c>
      <c r="C65">
        <v>2019</v>
      </c>
      <c r="D65">
        <v>8439</v>
      </c>
      <c r="E65">
        <v>280.39999999999998</v>
      </c>
      <c r="F65">
        <v>7.2</v>
      </c>
      <c r="G65">
        <v>4</v>
      </c>
      <c r="H65">
        <v>42</v>
      </c>
      <c r="I65">
        <f t="shared" si="0"/>
        <v>2366295.5999999996</v>
      </c>
      <c r="J65">
        <f t="shared" si="1"/>
        <v>354438</v>
      </c>
      <c r="K65" s="67"/>
      <c r="P65" s="67"/>
      <c r="Q65" s="67"/>
      <c r="R65" s="67"/>
      <c r="S65" s="67"/>
      <c r="T65" s="67"/>
      <c r="U65" s="67"/>
      <c r="V65" s="67"/>
      <c r="W65" s="67"/>
      <c r="X65" s="67"/>
    </row>
    <row r="66" spans="1:24" x14ac:dyDescent="0.25">
      <c r="A66" t="s">
        <v>207</v>
      </c>
      <c r="B66" t="s">
        <v>200</v>
      </c>
      <c r="C66">
        <v>2020</v>
      </c>
      <c r="D66">
        <v>7515</v>
      </c>
      <c r="E66">
        <v>280.8</v>
      </c>
      <c r="F66">
        <v>7.1</v>
      </c>
      <c r="G66">
        <v>3.9</v>
      </c>
      <c r="H66">
        <v>44.9</v>
      </c>
      <c r="I66">
        <f t="shared" si="0"/>
        <v>2110212</v>
      </c>
      <c r="J66">
        <f t="shared" si="1"/>
        <v>337423.5</v>
      </c>
      <c r="K66" s="67"/>
      <c r="P66" s="67"/>
      <c r="Q66" s="67"/>
      <c r="R66" s="67"/>
      <c r="S66" s="67"/>
      <c r="T66" s="67"/>
      <c r="U66" s="67"/>
      <c r="V66" s="67"/>
      <c r="W66" s="67"/>
      <c r="X66" s="67"/>
    </row>
    <row r="67" spans="1:24" x14ac:dyDescent="0.25">
      <c r="A67" t="s">
        <v>207</v>
      </c>
      <c r="B67" t="s">
        <v>200</v>
      </c>
      <c r="C67">
        <v>2021</v>
      </c>
      <c r="D67">
        <v>6789</v>
      </c>
      <c r="E67">
        <v>283</v>
      </c>
      <c r="F67">
        <v>7</v>
      </c>
      <c r="G67">
        <v>4</v>
      </c>
      <c r="H67">
        <v>47.5</v>
      </c>
      <c r="I67">
        <f t="shared" ref="I67:I130" si="2">D67*E67</f>
        <v>1921287</v>
      </c>
      <c r="J67">
        <f t="shared" ref="J67:J130" si="3">D67*H67</f>
        <v>322477.5</v>
      </c>
      <c r="K67" s="67"/>
      <c r="P67" s="67"/>
      <c r="Q67" s="67"/>
      <c r="R67" s="67"/>
      <c r="S67" s="67"/>
      <c r="T67" s="67"/>
      <c r="U67" s="67"/>
      <c r="V67" s="67"/>
      <c r="W67" s="67"/>
      <c r="X67" s="67"/>
    </row>
    <row r="68" spans="1:24" x14ac:dyDescent="0.25">
      <c r="A68" t="s">
        <v>207</v>
      </c>
      <c r="B68" t="s">
        <v>208</v>
      </c>
      <c r="C68">
        <v>2016</v>
      </c>
      <c r="D68">
        <v>18177</v>
      </c>
      <c r="E68">
        <v>284.2</v>
      </c>
      <c r="F68">
        <v>6.7</v>
      </c>
      <c r="G68">
        <v>3.3</v>
      </c>
      <c r="H68">
        <v>40.200000000000003</v>
      </c>
      <c r="I68">
        <f t="shared" si="2"/>
        <v>5165903.3999999994</v>
      </c>
      <c r="J68">
        <f t="shared" si="3"/>
        <v>730715.4</v>
      </c>
      <c r="K68" s="67"/>
      <c r="P68" s="67"/>
      <c r="Q68" s="67"/>
      <c r="R68" s="67"/>
      <c r="S68" s="67"/>
      <c r="T68" s="67"/>
      <c r="U68" s="67"/>
      <c r="V68" s="67"/>
      <c r="W68" s="67"/>
      <c r="X68" s="67"/>
    </row>
    <row r="69" spans="1:24" x14ac:dyDescent="0.25">
      <c r="A69" t="s">
        <v>207</v>
      </c>
      <c r="B69" t="s">
        <v>208</v>
      </c>
      <c r="C69">
        <v>2017</v>
      </c>
      <c r="D69">
        <v>15414</v>
      </c>
      <c r="E69">
        <v>291.8</v>
      </c>
      <c r="F69">
        <v>7</v>
      </c>
      <c r="G69">
        <v>3.5</v>
      </c>
      <c r="H69">
        <v>40.6</v>
      </c>
      <c r="I69">
        <f t="shared" si="2"/>
        <v>4497805.2</v>
      </c>
      <c r="J69">
        <f t="shared" si="3"/>
        <v>625808.4</v>
      </c>
      <c r="K69" s="67"/>
      <c r="P69" s="67"/>
      <c r="Q69" s="67"/>
      <c r="R69" s="67"/>
      <c r="S69" s="67"/>
      <c r="T69" s="67"/>
      <c r="U69" s="67"/>
      <c r="V69" s="67"/>
      <c r="W69" s="67"/>
      <c r="X69" s="67"/>
    </row>
    <row r="70" spans="1:24" x14ac:dyDescent="0.25">
      <c r="A70" t="s">
        <v>207</v>
      </c>
      <c r="B70" t="s">
        <v>208</v>
      </c>
      <c r="C70">
        <v>2018</v>
      </c>
      <c r="D70">
        <v>15987</v>
      </c>
      <c r="E70">
        <v>289.89999999999998</v>
      </c>
      <c r="F70">
        <v>6.8</v>
      </c>
      <c r="G70">
        <v>3.4</v>
      </c>
      <c r="H70">
        <v>41.6</v>
      </c>
      <c r="I70">
        <f t="shared" si="2"/>
        <v>4634631.3</v>
      </c>
      <c r="J70">
        <f t="shared" si="3"/>
        <v>665059.20000000007</v>
      </c>
      <c r="K70" s="67"/>
      <c r="P70" s="67"/>
      <c r="Q70" s="67"/>
      <c r="R70" s="67"/>
      <c r="S70" s="67"/>
      <c r="T70" s="67"/>
      <c r="U70" s="67"/>
      <c r="V70" s="67"/>
      <c r="W70" s="67"/>
      <c r="X70" s="67"/>
    </row>
    <row r="71" spans="1:24" x14ac:dyDescent="0.25">
      <c r="A71" t="s">
        <v>207</v>
      </c>
      <c r="B71" t="s">
        <v>208</v>
      </c>
      <c r="C71">
        <v>2019</v>
      </c>
      <c r="D71">
        <v>15178</v>
      </c>
      <c r="E71">
        <v>292.3</v>
      </c>
      <c r="F71">
        <v>6.8</v>
      </c>
      <c r="G71">
        <v>3.4</v>
      </c>
      <c r="H71">
        <v>43.4</v>
      </c>
      <c r="I71">
        <f t="shared" si="2"/>
        <v>4436529.4000000004</v>
      </c>
      <c r="J71">
        <f t="shared" si="3"/>
        <v>658725.19999999995</v>
      </c>
      <c r="K71" s="67"/>
      <c r="P71" s="67"/>
      <c r="Q71" s="67"/>
      <c r="R71" s="67"/>
      <c r="S71" s="67"/>
      <c r="T71" s="67"/>
      <c r="U71" s="67"/>
      <c r="V71" s="67"/>
      <c r="W71" s="67"/>
      <c r="X71" s="67"/>
    </row>
    <row r="72" spans="1:24" x14ac:dyDescent="0.25">
      <c r="A72" t="s">
        <v>207</v>
      </c>
      <c r="B72" t="s">
        <v>208</v>
      </c>
      <c r="C72">
        <v>2020</v>
      </c>
      <c r="D72">
        <v>14143</v>
      </c>
      <c r="E72">
        <v>293.8</v>
      </c>
      <c r="F72">
        <v>6.8</v>
      </c>
      <c r="G72">
        <v>3.4</v>
      </c>
      <c r="H72">
        <v>45.8</v>
      </c>
      <c r="I72">
        <f t="shared" si="2"/>
        <v>4155213.4000000004</v>
      </c>
      <c r="J72">
        <f t="shared" si="3"/>
        <v>647749.39999999991</v>
      </c>
      <c r="K72" s="67"/>
      <c r="P72" s="67"/>
      <c r="Q72" s="67"/>
      <c r="R72" s="67"/>
      <c r="S72" s="67"/>
      <c r="T72" s="67"/>
      <c r="U72" s="67"/>
      <c r="V72" s="67"/>
      <c r="W72" s="67"/>
      <c r="X72" s="67"/>
    </row>
    <row r="73" spans="1:24" x14ac:dyDescent="0.25">
      <c r="A73" t="s">
        <v>207</v>
      </c>
      <c r="B73" t="s">
        <v>208</v>
      </c>
      <c r="C73">
        <v>2021</v>
      </c>
      <c r="D73">
        <v>13017</v>
      </c>
      <c r="E73">
        <v>296</v>
      </c>
      <c r="F73">
        <v>6.7</v>
      </c>
      <c r="G73">
        <v>3.4</v>
      </c>
      <c r="H73">
        <v>50.2</v>
      </c>
      <c r="I73">
        <f t="shared" si="2"/>
        <v>3853032</v>
      </c>
      <c r="J73">
        <f t="shared" si="3"/>
        <v>653453.4</v>
      </c>
      <c r="K73" s="67"/>
      <c r="P73" s="67"/>
      <c r="Q73" s="67"/>
      <c r="R73" s="67"/>
      <c r="S73" s="67"/>
      <c r="T73" s="67"/>
      <c r="U73" s="67"/>
      <c r="V73" s="67"/>
      <c r="W73" s="67"/>
      <c r="X73" s="67"/>
    </row>
    <row r="74" spans="1:24" x14ac:dyDescent="0.25">
      <c r="A74" t="s">
        <v>207</v>
      </c>
      <c r="B74" t="s">
        <v>213</v>
      </c>
      <c r="C74">
        <v>2016</v>
      </c>
      <c r="D74">
        <v>897</v>
      </c>
      <c r="E74">
        <v>319.2</v>
      </c>
      <c r="F74">
        <v>10.1</v>
      </c>
      <c r="G74">
        <v>6</v>
      </c>
      <c r="H74">
        <v>38.5</v>
      </c>
      <c r="I74">
        <f t="shared" si="2"/>
        <v>286322.39999999997</v>
      </c>
      <c r="J74">
        <f t="shared" si="3"/>
        <v>34534.5</v>
      </c>
      <c r="K74" s="67"/>
      <c r="P74" s="67"/>
      <c r="Q74" s="67"/>
      <c r="R74" s="67"/>
      <c r="S74" s="67"/>
      <c r="T74" s="67"/>
      <c r="U74" s="67"/>
      <c r="V74" s="67"/>
      <c r="W74" s="67"/>
      <c r="X74" s="67"/>
    </row>
    <row r="75" spans="1:24" x14ac:dyDescent="0.25">
      <c r="A75" t="s">
        <v>207</v>
      </c>
      <c r="B75" t="s">
        <v>213</v>
      </c>
      <c r="C75">
        <v>2017</v>
      </c>
      <c r="D75">
        <v>936</v>
      </c>
      <c r="E75">
        <v>317</v>
      </c>
      <c r="F75">
        <v>9.8000000000000007</v>
      </c>
      <c r="G75">
        <v>6</v>
      </c>
      <c r="H75">
        <v>38.5</v>
      </c>
      <c r="I75">
        <f t="shared" si="2"/>
        <v>296712</v>
      </c>
      <c r="J75">
        <f t="shared" si="3"/>
        <v>36036</v>
      </c>
      <c r="K75" s="67"/>
      <c r="P75" s="67"/>
      <c r="Q75" s="67"/>
      <c r="R75" s="67"/>
      <c r="S75" s="67"/>
      <c r="T75" s="67"/>
      <c r="U75" s="67"/>
      <c r="V75" s="67"/>
      <c r="W75" s="67"/>
      <c r="X75" s="67"/>
    </row>
    <row r="76" spans="1:24" x14ac:dyDescent="0.25">
      <c r="A76" t="s">
        <v>207</v>
      </c>
      <c r="B76" t="s">
        <v>213</v>
      </c>
      <c r="C76">
        <v>2018</v>
      </c>
      <c r="D76">
        <v>1167</v>
      </c>
      <c r="E76">
        <v>307.7</v>
      </c>
      <c r="F76">
        <v>9.1</v>
      </c>
      <c r="G76">
        <v>5.8</v>
      </c>
      <c r="H76">
        <v>38.1</v>
      </c>
      <c r="I76">
        <f t="shared" si="2"/>
        <v>359085.89999999997</v>
      </c>
      <c r="J76">
        <f t="shared" si="3"/>
        <v>44462.700000000004</v>
      </c>
      <c r="K76" s="67"/>
      <c r="P76" s="67"/>
      <c r="Q76" s="67"/>
      <c r="R76" s="67"/>
      <c r="S76" s="67"/>
      <c r="T76" s="67"/>
      <c r="U76" s="67"/>
      <c r="V76" s="67"/>
      <c r="W76" s="67"/>
      <c r="X76" s="67"/>
    </row>
    <row r="77" spans="1:24" x14ac:dyDescent="0.25">
      <c r="A77" t="s">
        <v>207</v>
      </c>
      <c r="B77" t="s">
        <v>213</v>
      </c>
      <c r="C77">
        <v>2019</v>
      </c>
      <c r="D77">
        <v>1454</v>
      </c>
      <c r="E77">
        <v>310.5</v>
      </c>
      <c r="F77">
        <v>9.1999999999999993</v>
      </c>
      <c r="G77">
        <v>5.9</v>
      </c>
      <c r="H77">
        <v>37.700000000000003</v>
      </c>
      <c r="I77">
        <f t="shared" si="2"/>
        <v>451467</v>
      </c>
      <c r="J77">
        <f t="shared" si="3"/>
        <v>54815.8</v>
      </c>
      <c r="K77" s="67"/>
      <c r="P77" s="67"/>
      <c r="Q77" s="67"/>
      <c r="R77" s="67"/>
      <c r="S77" s="67"/>
      <c r="T77" s="67"/>
      <c r="U77" s="67"/>
      <c r="V77" s="67"/>
      <c r="W77" s="67"/>
      <c r="X77" s="67"/>
    </row>
    <row r="78" spans="1:24" x14ac:dyDescent="0.25">
      <c r="A78" t="s">
        <v>207</v>
      </c>
      <c r="B78" t="s">
        <v>213</v>
      </c>
      <c r="C78">
        <v>2020</v>
      </c>
      <c r="D78">
        <v>1537</v>
      </c>
      <c r="E78">
        <v>310.7</v>
      </c>
      <c r="F78">
        <v>9</v>
      </c>
      <c r="G78">
        <v>5.9</v>
      </c>
      <c r="H78">
        <v>38.1</v>
      </c>
      <c r="I78">
        <f t="shared" si="2"/>
        <v>477545.89999999997</v>
      </c>
      <c r="J78">
        <f t="shared" si="3"/>
        <v>58559.700000000004</v>
      </c>
      <c r="K78" s="67"/>
      <c r="P78" s="67"/>
      <c r="Q78" s="67"/>
      <c r="R78" s="67"/>
      <c r="S78" s="67"/>
      <c r="T78" s="67"/>
      <c r="U78" s="67"/>
      <c r="V78" s="67"/>
      <c r="W78" s="67"/>
      <c r="X78" s="67"/>
    </row>
    <row r="79" spans="1:24" x14ac:dyDescent="0.25">
      <c r="A79" t="s">
        <v>207</v>
      </c>
      <c r="B79" t="s">
        <v>213</v>
      </c>
      <c r="C79">
        <v>2021</v>
      </c>
      <c r="D79">
        <v>1543</v>
      </c>
      <c r="E79">
        <v>322</v>
      </c>
      <c r="F79">
        <v>9.1</v>
      </c>
      <c r="G79">
        <v>6.1</v>
      </c>
      <c r="H79">
        <v>39.6</v>
      </c>
      <c r="I79">
        <f t="shared" si="2"/>
        <v>496846</v>
      </c>
      <c r="J79">
        <f t="shared" si="3"/>
        <v>61102.8</v>
      </c>
      <c r="K79" s="67"/>
      <c r="P79" s="67"/>
      <c r="Q79" s="67"/>
      <c r="R79" s="67"/>
      <c r="S79" s="67"/>
      <c r="T79" s="67"/>
      <c r="U79" s="67"/>
      <c r="V79" s="67"/>
      <c r="W79" s="67"/>
      <c r="X79" s="67"/>
    </row>
    <row r="80" spans="1:24" x14ac:dyDescent="0.25">
      <c r="A80" t="s">
        <v>207</v>
      </c>
      <c r="B80" t="s">
        <v>216</v>
      </c>
      <c r="C80">
        <v>2016</v>
      </c>
      <c r="D80">
        <v>506</v>
      </c>
      <c r="E80">
        <v>346</v>
      </c>
      <c r="F80">
        <v>8.1999999999999993</v>
      </c>
      <c r="G80">
        <v>7</v>
      </c>
      <c r="H80">
        <v>38.200000000000003</v>
      </c>
      <c r="I80">
        <f t="shared" si="2"/>
        <v>175076</v>
      </c>
      <c r="J80">
        <f t="shared" si="3"/>
        <v>19329.2</v>
      </c>
      <c r="K80" s="67"/>
      <c r="P80" s="67"/>
      <c r="Q80" s="67"/>
      <c r="R80" s="67"/>
      <c r="S80" s="67"/>
      <c r="T80" s="67"/>
      <c r="U80" s="67"/>
      <c r="V80" s="67"/>
      <c r="W80" s="67"/>
      <c r="X80" s="67"/>
    </row>
    <row r="81" spans="1:24" x14ac:dyDescent="0.25">
      <c r="A81" t="s">
        <v>207</v>
      </c>
      <c r="B81" t="s">
        <v>216</v>
      </c>
      <c r="C81">
        <v>2017</v>
      </c>
      <c r="D81">
        <v>585</v>
      </c>
      <c r="E81">
        <v>345.8</v>
      </c>
      <c r="F81">
        <v>8</v>
      </c>
      <c r="G81">
        <v>6.9</v>
      </c>
      <c r="H81">
        <v>37.9</v>
      </c>
      <c r="I81">
        <f t="shared" si="2"/>
        <v>202293</v>
      </c>
      <c r="J81">
        <f t="shared" si="3"/>
        <v>22171.5</v>
      </c>
      <c r="K81" s="67"/>
      <c r="P81" s="67"/>
      <c r="Q81" s="67"/>
      <c r="R81" s="67"/>
      <c r="S81" s="67"/>
      <c r="T81" s="67"/>
      <c r="U81" s="67"/>
      <c r="V81" s="67"/>
      <c r="W81" s="67"/>
      <c r="X81" s="67"/>
    </row>
    <row r="82" spans="1:24" x14ac:dyDescent="0.25">
      <c r="A82" t="s">
        <v>207</v>
      </c>
      <c r="B82" t="s">
        <v>216</v>
      </c>
      <c r="C82">
        <v>2018</v>
      </c>
      <c r="D82">
        <v>657</v>
      </c>
      <c r="E82">
        <v>334.7</v>
      </c>
      <c r="F82">
        <v>7.2</v>
      </c>
      <c r="G82">
        <v>6.6</v>
      </c>
      <c r="H82">
        <v>38</v>
      </c>
      <c r="I82">
        <f t="shared" si="2"/>
        <v>219897.9</v>
      </c>
      <c r="J82">
        <f t="shared" si="3"/>
        <v>24966</v>
      </c>
      <c r="K82" s="67"/>
      <c r="P82" s="67"/>
      <c r="Q82" s="67"/>
      <c r="R82" s="67"/>
      <c r="S82" s="67"/>
      <c r="T82" s="67"/>
      <c r="U82" s="67"/>
      <c r="V82" s="67"/>
      <c r="W82" s="67"/>
      <c r="X82" s="67"/>
    </row>
    <row r="83" spans="1:24" x14ac:dyDescent="0.25">
      <c r="A83" t="s">
        <v>207</v>
      </c>
      <c r="B83" t="s">
        <v>216</v>
      </c>
      <c r="C83">
        <v>2019</v>
      </c>
      <c r="D83">
        <v>758</v>
      </c>
      <c r="E83">
        <v>326.2</v>
      </c>
      <c r="F83">
        <v>7</v>
      </c>
      <c r="G83">
        <v>6.5</v>
      </c>
      <c r="H83">
        <v>36.700000000000003</v>
      </c>
      <c r="I83">
        <f t="shared" si="2"/>
        <v>247259.6</v>
      </c>
      <c r="J83">
        <f t="shared" si="3"/>
        <v>27818.600000000002</v>
      </c>
      <c r="K83" s="67"/>
      <c r="P83" s="67"/>
      <c r="Q83" s="67"/>
      <c r="R83" s="67"/>
      <c r="S83" s="67"/>
      <c r="T83" s="67"/>
      <c r="U83" s="67"/>
      <c r="V83" s="67"/>
      <c r="W83" s="67"/>
      <c r="X83" s="67"/>
    </row>
    <row r="84" spans="1:24" x14ac:dyDescent="0.25">
      <c r="A84" t="s">
        <v>207</v>
      </c>
      <c r="B84" t="s">
        <v>216</v>
      </c>
      <c r="C84">
        <v>2020</v>
      </c>
      <c r="D84">
        <v>744</v>
      </c>
      <c r="E84">
        <v>335.2</v>
      </c>
      <c r="F84">
        <v>7.3</v>
      </c>
      <c r="G84">
        <v>6.8</v>
      </c>
      <c r="H84">
        <v>37.9</v>
      </c>
      <c r="I84">
        <f t="shared" si="2"/>
        <v>249388.79999999999</v>
      </c>
      <c r="J84">
        <f t="shared" si="3"/>
        <v>28197.599999999999</v>
      </c>
      <c r="K84" s="67"/>
      <c r="P84" s="67"/>
      <c r="Q84" s="67"/>
      <c r="R84" s="67"/>
      <c r="S84" s="67"/>
      <c r="T84" s="67"/>
      <c r="U84" s="67"/>
      <c r="V84" s="67"/>
      <c r="W84" s="67"/>
      <c r="X84" s="67"/>
    </row>
    <row r="85" spans="1:24" x14ac:dyDescent="0.25">
      <c r="A85" t="s">
        <v>207</v>
      </c>
      <c r="B85" t="s">
        <v>216</v>
      </c>
      <c r="C85">
        <v>2021</v>
      </c>
      <c r="D85">
        <v>653</v>
      </c>
      <c r="E85">
        <v>346</v>
      </c>
      <c r="F85">
        <v>7.5</v>
      </c>
      <c r="G85">
        <v>7.1</v>
      </c>
      <c r="H85">
        <v>41.6</v>
      </c>
      <c r="I85">
        <f t="shared" si="2"/>
        <v>225938</v>
      </c>
      <c r="J85">
        <f t="shared" si="3"/>
        <v>27164.799999999999</v>
      </c>
      <c r="K85" s="67"/>
      <c r="P85" s="67"/>
      <c r="Q85" s="67"/>
      <c r="R85" s="67"/>
      <c r="S85" s="67"/>
      <c r="T85" s="67"/>
      <c r="U85" s="67"/>
      <c r="V85" s="67"/>
      <c r="W85" s="67"/>
      <c r="X85" s="67"/>
    </row>
    <row r="86" spans="1:24" x14ac:dyDescent="0.25">
      <c r="A86" t="s">
        <v>207</v>
      </c>
      <c r="B86" t="s">
        <v>217</v>
      </c>
      <c r="C86">
        <v>2016</v>
      </c>
      <c r="D86">
        <v>258</v>
      </c>
      <c r="E86">
        <v>311.2</v>
      </c>
      <c r="F86">
        <v>9.5</v>
      </c>
      <c r="G86">
        <v>6</v>
      </c>
      <c r="H86">
        <v>38</v>
      </c>
      <c r="I86">
        <f t="shared" si="2"/>
        <v>80289.599999999991</v>
      </c>
      <c r="J86">
        <f t="shared" si="3"/>
        <v>9804</v>
      </c>
      <c r="K86" s="67"/>
      <c r="P86" s="67"/>
      <c r="Q86" s="67"/>
      <c r="R86" s="67"/>
      <c r="S86" s="67"/>
      <c r="T86" s="67"/>
      <c r="U86" s="67"/>
      <c r="V86" s="67"/>
      <c r="W86" s="67"/>
      <c r="X86" s="67"/>
    </row>
    <row r="87" spans="1:24" x14ac:dyDescent="0.25">
      <c r="A87" t="s">
        <v>207</v>
      </c>
      <c r="B87" t="s">
        <v>217</v>
      </c>
      <c r="C87">
        <v>2017</v>
      </c>
      <c r="D87">
        <v>216</v>
      </c>
      <c r="E87">
        <v>318.5</v>
      </c>
      <c r="F87">
        <v>9.8000000000000007</v>
      </c>
      <c r="G87">
        <v>6</v>
      </c>
      <c r="H87">
        <v>37.9</v>
      </c>
      <c r="I87">
        <f t="shared" si="2"/>
        <v>68796</v>
      </c>
      <c r="J87">
        <f t="shared" si="3"/>
        <v>8186.4</v>
      </c>
      <c r="K87" s="67"/>
      <c r="P87" s="67"/>
      <c r="Q87" s="67"/>
      <c r="R87" s="67"/>
      <c r="S87" s="67"/>
      <c r="T87" s="67"/>
      <c r="U87" s="67"/>
      <c r="V87" s="67"/>
      <c r="W87" s="67"/>
      <c r="X87" s="67"/>
    </row>
    <row r="88" spans="1:24" x14ac:dyDescent="0.25">
      <c r="A88" t="s">
        <v>207</v>
      </c>
      <c r="B88" t="s">
        <v>217</v>
      </c>
      <c r="C88">
        <v>2018</v>
      </c>
      <c r="D88">
        <v>318</v>
      </c>
      <c r="E88">
        <v>303.3</v>
      </c>
      <c r="F88">
        <v>9.1</v>
      </c>
      <c r="G88">
        <v>5.9</v>
      </c>
      <c r="H88">
        <v>36.799999999999997</v>
      </c>
      <c r="I88">
        <f t="shared" si="2"/>
        <v>96449.400000000009</v>
      </c>
      <c r="J88">
        <f t="shared" si="3"/>
        <v>11702.4</v>
      </c>
      <c r="K88" s="67"/>
      <c r="P88" s="67"/>
      <c r="Q88" s="67"/>
      <c r="R88" s="67"/>
      <c r="S88" s="67"/>
      <c r="T88" s="67"/>
      <c r="U88" s="67"/>
      <c r="V88" s="67"/>
      <c r="W88" s="67"/>
      <c r="X88" s="67"/>
    </row>
    <row r="89" spans="1:24" x14ac:dyDescent="0.25">
      <c r="A89" t="s">
        <v>207</v>
      </c>
      <c r="B89" t="s">
        <v>217</v>
      </c>
      <c r="C89">
        <v>2019</v>
      </c>
      <c r="D89">
        <v>403</v>
      </c>
      <c r="E89">
        <v>304.7</v>
      </c>
      <c r="F89">
        <v>9</v>
      </c>
      <c r="G89">
        <v>5.8</v>
      </c>
      <c r="H89">
        <v>38</v>
      </c>
      <c r="I89">
        <f t="shared" si="2"/>
        <v>122794.09999999999</v>
      </c>
      <c r="J89">
        <f t="shared" si="3"/>
        <v>15314</v>
      </c>
      <c r="K89" s="67"/>
      <c r="P89" s="67"/>
      <c r="Q89" s="67"/>
      <c r="R89" s="67"/>
      <c r="S89" s="67"/>
      <c r="T89" s="67"/>
      <c r="U89" s="67"/>
      <c r="V89" s="67"/>
      <c r="W89" s="67"/>
      <c r="X89" s="67"/>
    </row>
    <row r="90" spans="1:24" x14ac:dyDescent="0.25">
      <c r="A90" t="s">
        <v>207</v>
      </c>
      <c r="B90" t="s">
        <v>217</v>
      </c>
      <c r="C90">
        <v>2020</v>
      </c>
      <c r="D90">
        <v>524</v>
      </c>
      <c r="E90">
        <v>319.8</v>
      </c>
      <c r="F90">
        <v>9.1999999999999993</v>
      </c>
      <c r="G90">
        <v>6.2</v>
      </c>
      <c r="H90">
        <v>36</v>
      </c>
      <c r="I90">
        <f t="shared" si="2"/>
        <v>167575.20000000001</v>
      </c>
      <c r="J90">
        <f t="shared" si="3"/>
        <v>18864</v>
      </c>
    </row>
    <row r="91" spans="1:24" x14ac:dyDescent="0.25">
      <c r="A91" t="s">
        <v>207</v>
      </c>
      <c r="B91" t="s">
        <v>217</v>
      </c>
      <c r="C91">
        <v>2021</v>
      </c>
      <c r="D91">
        <v>469</v>
      </c>
      <c r="E91">
        <v>316</v>
      </c>
      <c r="F91">
        <v>8.8000000000000007</v>
      </c>
      <c r="G91">
        <v>6.1</v>
      </c>
      <c r="H91">
        <v>36.200000000000003</v>
      </c>
      <c r="I91">
        <f t="shared" si="2"/>
        <v>148204</v>
      </c>
      <c r="J91">
        <f t="shared" si="3"/>
        <v>16977.800000000003</v>
      </c>
    </row>
    <row r="92" spans="1:24" x14ac:dyDescent="0.25">
      <c r="A92" t="s">
        <v>207</v>
      </c>
      <c r="B92" t="s">
        <v>219</v>
      </c>
      <c r="C92">
        <v>2016</v>
      </c>
      <c r="D92">
        <v>133</v>
      </c>
      <c r="E92">
        <v>350</v>
      </c>
      <c r="F92">
        <v>8.5</v>
      </c>
      <c r="G92">
        <v>8</v>
      </c>
      <c r="H92">
        <v>37.200000000000003</v>
      </c>
      <c r="I92">
        <f t="shared" si="2"/>
        <v>46550</v>
      </c>
      <c r="J92">
        <f t="shared" si="3"/>
        <v>4947.6000000000004</v>
      </c>
    </row>
    <row r="93" spans="1:24" x14ac:dyDescent="0.25">
      <c r="A93" t="s">
        <v>207</v>
      </c>
      <c r="B93" t="s">
        <v>219</v>
      </c>
      <c r="C93">
        <v>2017</v>
      </c>
      <c r="D93">
        <v>115</v>
      </c>
      <c r="E93">
        <v>332.6</v>
      </c>
      <c r="F93">
        <v>8.1</v>
      </c>
      <c r="G93">
        <v>7.3</v>
      </c>
      <c r="H93">
        <v>36.200000000000003</v>
      </c>
      <c r="I93">
        <f t="shared" si="2"/>
        <v>38249</v>
      </c>
      <c r="J93">
        <f t="shared" si="3"/>
        <v>4163</v>
      </c>
    </row>
    <row r="94" spans="1:24" x14ac:dyDescent="0.25">
      <c r="A94" t="s">
        <v>207</v>
      </c>
      <c r="B94" t="s">
        <v>219</v>
      </c>
      <c r="C94">
        <v>2018</v>
      </c>
      <c r="D94">
        <v>131</v>
      </c>
      <c r="E94">
        <v>326.5</v>
      </c>
      <c r="F94">
        <v>7.1</v>
      </c>
      <c r="G94">
        <v>7</v>
      </c>
      <c r="H94">
        <v>36.799999999999997</v>
      </c>
      <c r="I94">
        <f t="shared" si="2"/>
        <v>42771.5</v>
      </c>
      <c r="J94">
        <f t="shared" si="3"/>
        <v>4820.7999999999993</v>
      </c>
    </row>
    <row r="95" spans="1:24" x14ac:dyDescent="0.25">
      <c r="A95" t="s">
        <v>207</v>
      </c>
      <c r="B95" t="s">
        <v>219</v>
      </c>
      <c r="C95">
        <v>2019</v>
      </c>
      <c r="D95">
        <v>176</v>
      </c>
      <c r="E95">
        <v>313.89999999999998</v>
      </c>
      <c r="F95">
        <v>7.3</v>
      </c>
      <c r="G95">
        <v>7.1</v>
      </c>
      <c r="H95">
        <v>37.6</v>
      </c>
      <c r="I95">
        <f t="shared" si="2"/>
        <v>55246.399999999994</v>
      </c>
      <c r="J95">
        <f t="shared" si="3"/>
        <v>6617.6</v>
      </c>
    </row>
    <row r="96" spans="1:24" x14ac:dyDescent="0.25">
      <c r="A96" t="s">
        <v>207</v>
      </c>
      <c r="B96" t="s">
        <v>219</v>
      </c>
      <c r="C96">
        <v>2020</v>
      </c>
      <c r="D96">
        <v>216</v>
      </c>
      <c r="E96">
        <v>316.3</v>
      </c>
      <c r="F96">
        <v>7.2</v>
      </c>
      <c r="G96">
        <v>6.9</v>
      </c>
      <c r="H96">
        <v>38.4</v>
      </c>
      <c r="I96">
        <f t="shared" si="2"/>
        <v>68320.800000000003</v>
      </c>
      <c r="J96">
        <f t="shared" si="3"/>
        <v>8294.4</v>
      </c>
    </row>
    <row r="97" spans="1:10" x14ac:dyDescent="0.25">
      <c r="A97" t="s">
        <v>207</v>
      </c>
      <c r="B97" t="s">
        <v>219</v>
      </c>
      <c r="C97">
        <v>2021</v>
      </c>
      <c r="D97">
        <v>193</v>
      </c>
      <c r="E97">
        <v>333</v>
      </c>
      <c r="F97">
        <v>7.7</v>
      </c>
      <c r="G97">
        <v>7.6</v>
      </c>
      <c r="H97">
        <v>39.200000000000003</v>
      </c>
      <c r="I97">
        <f t="shared" si="2"/>
        <v>64269</v>
      </c>
      <c r="J97">
        <f t="shared" si="3"/>
        <v>7565.6</v>
      </c>
    </row>
    <row r="98" spans="1:10" x14ac:dyDescent="0.25">
      <c r="A98" t="s">
        <v>207</v>
      </c>
      <c r="B98" t="s">
        <v>220</v>
      </c>
      <c r="C98">
        <v>2016</v>
      </c>
      <c r="D98">
        <v>524</v>
      </c>
      <c r="E98">
        <v>333.5</v>
      </c>
      <c r="F98">
        <v>8.1</v>
      </c>
      <c r="G98">
        <v>6.2</v>
      </c>
      <c r="H98">
        <v>37.4</v>
      </c>
      <c r="I98">
        <f t="shared" si="2"/>
        <v>174754</v>
      </c>
      <c r="J98">
        <f t="shared" si="3"/>
        <v>19597.599999999999</v>
      </c>
    </row>
    <row r="99" spans="1:10" x14ac:dyDescent="0.25">
      <c r="A99" t="s">
        <v>207</v>
      </c>
      <c r="B99" t="s">
        <v>220</v>
      </c>
      <c r="C99">
        <v>2017</v>
      </c>
      <c r="D99">
        <v>578</v>
      </c>
      <c r="E99">
        <v>327.5</v>
      </c>
      <c r="F99">
        <v>8</v>
      </c>
      <c r="G99">
        <v>6.2</v>
      </c>
      <c r="H99">
        <v>36.700000000000003</v>
      </c>
      <c r="I99">
        <f t="shared" si="2"/>
        <v>189295</v>
      </c>
      <c r="J99">
        <f t="shared" si="3"/>
        <v>21212.600000000002</v>
      </c>
    </row>
    <row r="100" spans="1:10" x14ac:dyDescent="0.25">
      <c r="A100" t="s">
        <v>207</v>
      </c>
      <c r="B100" t="s">
        <v>220</v>
      </c>
      <c r="C100">
        <v>2018</v>
      </c>
      <c r="D100">
        <v>781</v>
      </c>
      <c r="E100">
        <v>317.5</v>
      </c>
      <c r="F100">
        <v>7</v>
      </c>
      <c r="G100">
        <v>5.9</v>
      </c>
      <c r="H100">
        <v>37.299999999999997</v>
      </c>
      <c r="I100">
        <f t="shared" si="2"/>
        <v>247967.5</v>
      </c>
      <c r="J100">
        <f t="shared" si="3"/>
        <v>29131.3</v>
      </c>
    </row>
    <row r="101" spans="1:10" x14ac:dyDescent="0.25">
      <c r="A101" t="s">
        <v>207</v>
      </c>
      <c r="B101" t="s">
        <v>220</v>
      </c>
      <c r="C101">
        <v>2019</v>
      </c>
      <c r="D101">
        <v>861</v>
      </c>
      <c r="E101">
        <v>314</v>
      </c>
      <c r="F101">
        <v>7</v>
      </c>
      <c r="G101">
        <v>5.9</v>
      </c>
      <c r="H101">
        <v>38.5</v>
      </c>
      <c r="I101">
        <f t="shared" si="2"/>
        <v>270354</v>
      </c>
      <c r="J101">
        <f t="shared" si="3"/>
        <v>33148.5</v>
      </c>
    </row>
    <row r="102" spans="1:10" x14ac:dyDescent="0.25">
      <c r="A102" t="s">
        <v>207</v>
      </c>
      <c r="B102" t="s">
        <v>220</v>
      </c>
      <c r="C102">
        <v>2020</v>
      </c>
      <c r="D102">
        <v>822</v>
      </c>
      <c r="E102">
        <v>316.60000000000002</v>
      </c>
      <c r="F102">
        <v>7.1</v>
      </c>
      <c r="G102">
        <v>6</v>
      </c>
      <c r="H102">
        <v>37.6</v>
      </c>
      <c r="I102">
        <f t="shared" si="2"/>
        <v>260245.2</v>
      </c>
      <c r="J102">
        <f t="shared" si="3"/>
        <v>30907.200000000001</v>
      </c>
    </row>
    <row r="103" spans="1:10" x14ac:dyDescent="0.25">
      <c r="A103" t="s">
        <v>207</v>
      </c>
      <c r="B103" t="s">
        <v>220</v>
      </c>
      <c r="C103">
        <v>2021</v>
      </c>
      <c r="D103">
        <v>772</v>
      </c>
      <c r="E103">
        <v>322</v>
      </c>
      <c r="F103">
        <v>7.1</v>
      </c>
      <c r="G103">
        <v>6.2</v>
      </c>
      <c r="H103">
        <v>37.299999999999997</v>
      </c>
      <c r="I103">
        <f t="shared" si="2"/>
        <v>248584</v>
      </c>
      <c r="J103">
        <f t="shared" si="3"/>
        <v>28795.599999999999</v>
      </c>
    </row>
    <row r="104" spans="1:10" x14ac:dyDescent="0.25">
      <c r="A104" t="s">
        <v>207</v>
      </c>
      <c r="B104" t="s">
        <v>222</v>
      </c>
      <c r="C104">
        <v>2016</v>
      </c>
      <c r="D104">
        <v>94</v>
      </c>
      <c r="E104">
        <v>197.6</v>
      </c>
      <c r="F104">
        <v>7.7</v>
      </c>
      <c r="G104">
        <v>4.7</v>
      </c>
      <c r="H104">
        <v>44.8</v>
      </c>
      <c r="I104">
        <f t="shared" si="2"/>
        <v>18574.399999999998</v>
      </c>
      <c r="J104">
        <f t="shared" si="3"/>
        <v>4211.2</v>
      </c>
    </row>
    <row r="105" spans="1:10" x14ac:dyDescent="0.25">
      <c r="A105" t="s">
        <v>207</v>
      </c>
      <c r="B105" t="s">
        <v>222</v>
      </c>
      <c r="C105">
        <v>2017</v>
      </c>
      <c r="D105">
        <v>68</v>
      </c>
      <c r="E105">
        <v>191.3</v>
      </c>
      <c r="F105">
        <v>6.7</v>
      </c>
      <c r="G105">
        <v>3.7</v>
      </c>
      <c r="H105">
        <v>44.3</v>
      </c>
      <c r="I105">
        <f t="shared" si="2"/>
        <v>13008.400000000001</v>
      </c>
      <c r="J105">
        <f t="shared" si="3"/>
        <v>3012.3999999999996</v>
      </c>
    </row>
    <row r="106" spans="1:10" x14ac:dyDescent="0.25">
      <c r="A106" t="s">
        <v>207</v>
      </c>
      <c r="B106" t="s">
        <v>222</v>
      </c>
      <c r="C106">
        <v>2018</v>
      </c>
      <c r="D106">
        <v>51</v>
      </c>
      <c r="E106">
        <v>174.7</v>
      </c>
      <c r="F106">
        <v>5.9</v>
      </c>
      <c r="G106">
        <v>3.9</v>
      </c>
      <c r="H106">
        <v>56.1</v>
      </c>
      <c r="I106">
        <f t="shared" si="2"/>
        <v>8909.6999999999989</v>
      </c>
      <c r="J106">
        <f t="shared" si="3"/>
        <v>2861.1</v>
      </c>
    </row>
    <row r="107" spans="1:10" x14ac:dyDescent="0.25">
      <c r="A107" t="s">
        <v>207</v>
      </c>
      <c r="B107" t="s">
        <v>222</v>
      </c>
      <c r="C107">
        <v>2019</v>
      </c>
      <c r="D107">
        <v>41</v>
      </c>
      <c r="E107">
        <v>195.2</v>
      </c>
      <c r="F107">
        <v>6</v>
      </c>
      <c r="G107">
        <v>3.8</v>
      </c>
      <c r="H107">
        <v>42.1</v>
      </c>
      <c r="I107">
        <f t="shared" si="2"/>
        <v>8003.2</v>
      </c>
      <c r="J107">
        <f t="shared" si="3"/>
        <v>1726.1000000000001</v>
      </c>
    </row>
    <row r="108" spans="1:10" x14ac:dyDescent="0.25">
      <c r="A108" t="s">
        <v>207</v>
      </c>
      <c r="B108" t="s">
        <v>222</v>
      </c>
      <c r="C108">
        <v>2020</v>
      </c>
      <c r="D108">
        <v>33</v>
      </c>
      <c r="E108">
        <v>203.5</v>
      </c>
      <c r="F108">
        <v>6</v>
      </c>
      <c r="G108">
        <v>4.0999999999999996</v>
      </c>
      <c r="H108">
        <v>47.2</v>
      </c>
      <c r="I108">
        <f t="shared" si="2"/>
        <v>6715.5</v>
      </c>
      <c r="J108">
        <f t="shared" si="3"/>
        <v>1557.6000000000001</v>
      </c>
    </row>
    <row r="109" spans="1:10" x14ac:dyDescent="0.25">
      <c r="A109" t="s">
        <v>207</v>
      </c>
      <c r="B109" t="s">
        <v>222</v>
      </c>
      <c r="C109">
        <v>2021</v>
      </c>
      <c r="D109">
        <v>31</v>
      </c>
      <c r="E109">
        <v>193</v>
      </c>
      <c r="F109">
        <v>6.3</v>
      </c>
      <c r="G109">
        <v>4</v>
      </c>
      <c r="H109">
        <v>43.3</v>
      </c>
      <c r="I109">
        <f t="shared" si="2"/>
        <v>5983</v>
      </c>
      <c r="J109">
        <f t="shared" si="3"/>
        <v>1342.3</v>
      </c>
    </row>
    <row r="110" spans="1:10" x14ac:dyDescent="0.25">
      <c r="A110" t="s">
        <v>207</v>
      </c>
      <c r="B110" t="s">
        <v>223</v>
      </c>
      <c r="C110">
        <v>2016</v>
      </c>
      <c r="D110">
        <v>30</v>
      </c>
      <c r="E110">
        <v>353</v>
      </c>
      <c r="F110">
        <v>7.1</v>
      </c>
      <c r="G110">
        <v>8.1</v>
      </c>
      <c r="H110">
        <v>40.6</v>
      </c>
      <c r="I110">
        <f t="shared" si="2"/>
        <v>10590</v>
      </c>
      <c r="J110">
        <f t="shared" si="3"/>
        <v>1218</v>
      </c>
    </row>
    <row r="111" spans="1:10" x14ac:dyDescent="0.25">
      <c r="A111" t="s">
        <v>207</v>
      </c>
      <c r="B111" t="s">
        <v>223</v>
      </c>
      <c r="C111">
        <v>2017</v>
      </c>
      <c r="D111">
        <v>37</v>
      </c>
      <c r="E111">
        <v>348.1</v>
      </c>
      <c r="F111">
        <v>8</v>
      </c>
      <c r="G111">
        <v>7.3</v>
      </c>
      <c r="H111">
        <v>36</v>
      </c>
      <c r="I111">
        <f t="shared" si="2"/>
        <v>12879.7</v>
      </c>
      <c r="J111">
        <f t="shared" si="3"/>
        <v>1332</v>
      </c>
    </row>
    <row r="112" spans="1:10" x14ac:dyDescent="0.25">
      <c r="A112" t="s">
        <v>207</v>
      </c>
      <c r="B112" t="s">
        <v>223</v>
      </c>
      <c r="C112">
        <v>2018</v>
      </c>
      <c r="D112">
        <v>17</v>
      </c>
      <c r="E112">
        <v>334.9</v>
      </c>
      <c r="F112">
        <v>5.8</v>
      </c>
      <c r="G112">
        <v>6.7</v>
      </c>
      <c r="H112">
        <v>39.200000000000003</v>
      </c>
      <c r="I112">
        <f t="shared" si="2"/>
        <v>5693.2999999999993</v>
      </c>
      <c r="J112">
        <f t="shared" si="3"/>
        <v>666.40000000000009</v>
      </c>
    </row>
    <row r="113" spans="1:10" x14ac:dyDescent="0.25">
      <c r="A113" t="s">
        <v>207</v>
      </c>
      <c r="B113" t="s">
        <v>223</v>
      </c>
      <c r="C113">
        <v>2019</v>
      </c>
      <c r="D113">
        <v>12</v>
      </c>
      <c r="E113">
        <v>291</v>
      </c>
      <c r="F113">
        <v>5</v>
      </c>
      <c r="G113">
        <v>5.9</v>
      </c>
      <c r="H113">
        <v>35.6</v>
      </c>
      <c r="I113">
        <f t="shared" si="2"/>
        <v>3492</v>
      </c>
      <c r="J113">
        <f t="shared" si="3"/>
        <v>427.20000000000005</v>
      </c>
    </row>
    <row r="114" spans="1:10" x14ac:dyDescent="0.25">
      <c r="A114" t="s">
        <v>207</v>
      </c>
      <c r="B114" t="s">
        <v>223</v>
      </c>
      <c r="C114">
        <v>2020</v>
      </c>
      <c r="D114">
        <v>34</v>
      </c>
      <c r="E114">
        <v>360.3</v>
      </c>
      <c r="F114">
        <v>5.6</v>
      </c>
      <c r="G114">
        <v>7.8</v>
      </c>
      <c r="H114">
        <v>39.9</v>
      </c>
      <c r="I114">
        <f t="shared" si="2"/>
        <v>12250.2</v>
      </c>
      <c r="J114">
        <f t="shared" si="3"/>
        <v>1356.6</v>
      </c>
    </row>
    <row r="115" spans="1:10" x14ac:dyDescent="0.25">
      <c r="A115" t="s">
        <v>207</v>
      </c>
      <c r="B115" t="s">
        <v>223</v>
      </c>
      <c r="C115">
        <v>2021</v>
      </c>
      <c r="D115">
        <v>46</v>
      </c>
      <c r="E115">
        <v>373</v>
      </c>
      <c r="F115">
        <v>5.7</v>
      </c>
      <c r="G115">
        <v>7.7</v>
      </c>
      <c r="H115">
        <v>36</v>
      </c>
      <c r="I115">
        <f t="shared" si="2"/>
        <v>17158</v>
      </c>
      <c r="J115">
        <f t="shared" si="3"/>
        <v>1656</v>
      </c>
    </row>
    <row r="116" spans="1:10" x14ac:dyDescent="0.25">
      <c r="A116" t="s">
        <v>207</v>
      </c>
      <c r="B116" t="s">
        <v>224</v>
      </c>
      <c r="C116">
        <v>2016</v>
      </c>
      <c r="D116">
        <v>5470</v>
      </c>
      <c r="E116">
        <v>306.89999999999998</v>
      </c>
      <c r="F116">
        <v>8.1999999999999993</v>
      </c>
      <c r="G116">
        <v>5.4</v>
      </c>
      <c r="H116">
        <v>38.700000000000003</v>
      </c>
      <c r="I116">
        <f t="shared" si="2"/>
        <v>1678742.9999999998</v>
      </c>
      <c r="J116">
        <f t="shared" si="3"/>
        <v>211689.00000000003</v>
      </c>
    </row>
    <row r="117" spans="1:10" x14ac:dyDescent="0.25">
      <c r="A117" t="s">
        <v>207</v>
      </c>
      <c r="B117" t="s">
        <v>224</v>
      </c>
      <c r="C117">
        <v>2017</v>
      </c>
      <c r="D117">
        <v>5847</v>
      </c>
      <c r="E117">
        <v>306.39999999999998</v>
      </c>
      <c r="F117">
        <v>8.1</v>
      </c>
      <c r="G117">
        <v>5.4</v>
      </c>
      <c r="H117">
        <v>37.6</v>
      </c>
      <c r="I117">
        <f t="shared" si="2"/>
        <v>1791520.7999999998</v>
      </c>
      <c r="J117">
        <f t="shared" si="3"/>
        <v>219847.2</v>
      </c>
    </row>
    <row r="118" spans="1:10" x14ac:dyDescent="0.25">
      <c r="A118" t="s">
        <v>207</v>
      </c>
      <c r="B118" t="s">
        <v>224</v>
      </c>
      <c r="C118">
        <v>2018</v>
      </c>
      <c r="D118">
        <v>7027</v>
      </c>
      <c r="E118">
        <v>298.8</v>
      </c>
      <c r="F118">
        <v>7.5</v>
      </c>
      <c r="G118">
        <v>5.2</v>
      </c>
      <c r="H118">
        <v>38.799999999999997</v>
      </c>
      <c r="I118">
        <f t="shared" si="2"/>
        <v>2099667.6</v>
      </c>
      <c r="J118">
        <f t="shared" si="3"/>
        <v>272647.59999999998</v>
      </c>
    </row>
    <row r="119" spans="1:10" x14ac:dyDescent="0.25">
      <c r="A119" t="s">
        <v>207</v>
      </c>
      <c r="B119" t="s">
        <v>224</v>
      </c>
      <c r="C119">
        <v>2019</v>
      </c>
      <c r="D119">
        <v>7190</v>
      </c>
      <c r="E119">
        <v>301.2</v>
      </c>
      <c r="F119">
        <v>7.6</v>
      </c>
      <c r="G119">
        <v>5.4</v>
      </c>
      <c r="H119">
        <v>37.700000000000003</v>
      </c>
      <c r="I119">
        <f t="shared" si="2"/>
        <v>2165628</v>
      </c>
      <c r="J119">
        <f t="shared" si="3"/>
        <v>271063</v>
      </c>
    </row>
    <row r="120" spans="1:10" x14ac:dyDescent="0.25">
      <c r="A120" t="s">
        <v>207</v>
      </c>
      <c r="B120" t="s">
        <v>224</v>
      </c>
      <c r="C120">
        <v>2020</v>
      </c>
      <c r="D120">
        <v>8259</v>
      </c>
      <c r="E120">
        <v>308</v>
      </c>
      <c r="F120">
        <v>7.8</v>
      </c>
      <c r="G120">
        <v>5.6</v>
      </c>
      <c r="H120">
        <v>37.9</v>
      </c>
      <c r="I120">
        <f t="shared" si="2"/>
        <v>2543772</v>
      </c>
      <c r="J120">
        <f t="shared" si="3"/>
        <v>313016.09999999998</v>
      </c>
    </row>
    <row r="121" spans="1:10" x14ac:dyDescent="0.25">
      <c r="A121" t="s">
        <v>207</v>
      </c>
      <c r="B121" t="s">
        <v>224</v>
      </c>
      <c r="C121">
        <v>2021</v>
      </c>
      <c r="D121">
        <v>7350</v>
      </c>
      <c r="E121">
        <v>314</v>
      </c>
      <c r="F121">
        <v>7.9</v>
      </c>
      <c r="G121">
        <v>5.8</v>
      </c>
      <c r="H121">
        <v>39.200000000000003</v>
      </c>
      <c r="I121">
        <f t="shared" si="2"/>
        <v>2307900</v>
      </c>
      <c r="J121">
        <f t="shared" si="3"/>
        <v>288120</v>
      </c>
    </row>
    <row r="122" spans="1:10" x14ac:dyDescent="0.25">
      <c r="A122" t="s">
        <v>209</v>
      </c>
      <c r="B122" t="s">
        <v>200</v>
      </c>
      <c r="C122">
        <v>2016</v>
      </c>
      <c r="D122">
        <v>7408</v>
      </c>
      <c r="E122">
        <v>295.2</v>
      </c>
      <c r="F122">
        <v>8.6999999999999993</v>
      </c>
      <c r="G122">
        <v>5</v>
      </c>
      <c r="H122">
        <v>29.3</v>
      </c>
      <c r="I122">
        <f t="shared" si="2"/>
        <v>2186841.6</v>
      </c>
      <c r="J122">
        <f t="shared" si="3"/>
        <v>217054.4</v>
      </c>
    </row>
    <row r="123" spans="1:10" x14ac:dyDescent="0.25">
      <c r="A123" t="s">
        <v>209</v>
      </c>
      <c r="B123" t="s">
        <v>200</v>
      </c>
      <c r="C123">
        <v>2017</v>
      </c>
      <c r="D123">
        <v>6518</v>
      </c>
      <c r="E123">
        <v>299.8</v>
      </c>
      <c r="F123">
        <v>8.8000000000000007</v>
      </c>
      <c r="G123">
        <v>5.0999999999999996</v>
      </c>
      <c r="H123">
        <v>30</v>
      </c>
      <c r="I123">
        <f t="shared" si="2"/>
        <v>1954096.4000000001</v>
      </c>
      <c r="J123">
        <f t="shared" si="3"/>
        <v>195540</v>
      </c>
    </row>
    <row r="124" spans="1:10" x14ac:dyDescent="0.25">
      <c r="A124" t="s">
        <v>209</v>
      </c>
      <c r="B124" t="s">
        <v>200</v>
      </c>
      <c r="C124">
        <v>2018</v>
      </c>
      <c r="D124">
        <v>5892</v>
      </c>
      <c r="E124">
        <v>293.3</v>
      </c>
      <c r="F124">
        <v>8.4</v>
      </c>
      <c r="G124">
        <v>5</v>
      </c>
      <c r="H124">
        <v>31.3</v>
      </c>
      <c r="I124">
        <f t="shared" si="2"/>
        <v>1728123.6</v>
      </c>
      <c r="J124">
        <f t="shared" si="3"/>
        <v>184419.6</v>
      </c>
    </row>
    <row r="125" spans="1:10" x14ac:dyDescent="0.25">
      <c r="A125" t="s">
        <v>209</v>
      </c>
      <c r="B125" t="s">
        <v>200</v>
      </c>
      <c r="C125">
        <v>2019</v>
      </c>
      <c r="D125">
        <v>5421</v>
      </c>
      <c r="E125">
        <v>297.5</v>
      </c>
      <c r="F125">
        <v>8.3000000000000007</v>
      </c>
      <c r="G125">
        <v>5.0999999999999996</v>
      </c>
      <c r="H125">
        <v>33.799999999999997</v>
      </c>
      <c r="I125">
        <f t="shared" si="2"/>
        <v>1612747.5</v>
      </c>
      <c r="J125">
        <f t="shared" si="3"/>
        <v>183229.8</v>
      </c>
    </row>
    <row r="126" spans="1:10" x14ac:dyDescent="0.25">
      <c r="A126" t="s">
        <v>209</v>
      </c>
      <c r="B126" t="s">
        <v>200</v>
      </c>
      <c r="C126">
        <v>2020</v>
      </c>
      <c r="D126">
        <v>5504</v>
      </c>
      <c r="E126">
        <v>294.7</v>
      </c>
      <c r="F126">
        <v>8.1999999999999993</v>
      </c>
      <c r="G126">
        <v>5.0999999999999996</v>
      </c>
      <c r="H126">
        <v>36.5</v>
      </c>
      <c r="I126">
        <f t="shared" si="2"/>
        <v>1622028.8</v>
      </c>
      <c r="J126">
        <f t="shared" si="3"/>
        <v>200896</v>
      </c>
    </row>
    <row r="127" spans="1:10" x14ac:dyDescent="0.25">
      <c r="A127" t="s">
        <v>209</v>
      </c>
      <c r="B127" t="s">
        <v>200</v>
      </c>
      <c r="C127">
        <v>2021</v>
      </c>
      <c r="D127">
        <v>5122</v>
      </c>
      <c r="E127">
        <v>302.5</v>
      </c>
      <c r="F127">
        <v>8.3000000000000007</v>
      </c>
      <c r="G127">
        <v>5.3</v>
      </c>
      <c r="H127">
        <v>37.6</v>
      </c>
      <c r="I127">
        <f t="shared" si="2"/>
        <v>1549405</v>
      </c>
      <c r="J127">
        <f t="shared" si="3"/>
        <v>192587.2</v>
      </c>
    </row>
    <row r="128" spans="1:10" x14ac:dyDescent="0.25">
      <c r="A128" t="s">
        <v>209</v>
      </c>
      <c r="B128" t="s">
        <v>208</v>
      </c>
      <c r="C128">
        <v>2016</v>
      </c>
      <c r="D128">
        <v>9600</v>
      </c>
      <c r="E128">
        <v>296.10000000000002</v>
      </c>
      <c r="F128">
        <v>8.4</v>
      </c>
      <c r="G128">
        <v>4.3</v>
      </c>
      <c r="H128">
        <v>29.7</v>
      </c>
      <c r="I128">
        <f t="shared" si="2"/>
        <v>2842560</v>
      </c>
      <c r="J128">
        <f t="shared" si="3"/>
        <v>285120</v>
      </c>
    </row>
    <row r="129" spans="1:10" x14ac:dyDescent="0.25">
      <c r="A129" t="s">
        <v>209</v>
      </c>
      <c r="B129" t="s">
        <v>208</v>
      </c>
      <c r="C129">
        <v>2017</v>
      </c>
      <c r="D129">
        <v>9297</v>
      </c>
      <c r="E129">
        <v>301.5</v>
      </c>
      <c r="F129">
        <v>8.5</v>
      </c>
      <c r="G129">
        <v>4.4000000000000004</v>
      </c>
      <c r="H129">
        <v>30.4</v>
      </c>
      <c r="I129">
        <f t="shared" si="2"/>
        <v>2803045.5</v>
      </c>
      <c r="J129">
        <f t="shared" si="3"/>
        <v>282628.8</v>
      </c>
    </row>
    <row r="130" spans="1:10" x14ac:dyDescent="0.25">
      <c r="A130" t="s">
        <v>209</v>
      </c>
      <c r="B130" t="s">
        <v>208</v>
      </c>
      <c r="C130">
        <v>2018</v>
      </c>
      <c r="D130">
        <v>8696</v>
      </c>
      <c r="E130">
        <v>299.39999999999998</v>
      </c>
      <c r="F130">
        <v>8.1999999999999993</v>
      </c>
      <c r="G130">
        <v>4.4000000000000004</v>
      </c>
      <c r="H130">
        <v>31.3</v>
      </c>
      <c r="I130">
        <f t="shared" si="2"/>
        <v>2603582.4</v>
      </c>
      <c r="J130">
        <f t="shared" si="3"/>
        <v>272184.8</v>
      </c>
    </row>
    <row r="131" spans="1:10" x14ac:dyDescent="0.25">
      <c r="A131" t="s">
        <v>209</v>
      </c>
      <c r="B131" t="s">
        <v>208</v>
      </c>
      <c r="C131">
        <v>2019</v>
      </c>
      <c r="D131">
        <v>8276</v>
      </c>
      <c r="E131">
        <v>299.8</v>
      </c>
      <c r="F131">
        <v>8.1</v>
      </c>
      <c r="G131">
        <v>4.4000000000000004</v>
      </c>
      <c r="H131">
        <v>34.4</v>
      </c>
      <c r="I131">
        <f t="shared" ref="I131:I194" si="4">D131*E131</f>
        <v>2481144.8000000003</v>
      </c>
      <c r="J131">
        <f t="shared" ref="J131:J194" si="5">D131*H131</f>
        <v>284694.39999999997</v>
      </c>
    </row>
    <row r="132" spans="1:10" x14ac:dyDescent="0.25">
      <c r="A132" t="s">
        <v>209</v>
      </c>
      <c r="B132" t="s">
        <v>208</v>
      </c>
      <c r="C132">
        <v>2020</v>
      </c>
      <c r="D132">
        <v>8258</v>
      </c>
      <c r="E132">
        <v>300.39999999999998</v>
      </c>
      <c r="F132">
        <v>8</v>
      </c>
      <c r="G132">
        <v>4.4000000000000004</v>
      </c>
      <c r="H132">
        <v>37.5</v>
      </c>
      <c r="I132">
        <f t="shared" si="4"/>
        <v>2480703.1999999997</v>
      </c>
      <c r="J132">
        <f t="shared" si="5"/>
        <v>309675</v>
      </c>
    </row>
    <row r="133" spans="1:10" x14ac:dyDescent="0.25">
      <c r="A133" t="s">
        <v>209</v>
      </c>
      <c r="B133" t="s">
        <v>208</v>
      </c>
      <c r="C133">
        <v>2021</v>
      </c>
      <c r="D133">
        <v>8360</v>
      </c>
      <c r="E133">
        <v>304</v>
      </c>
      <c r="F133">
        <v>8</v>
      </c>
      <c r="G133">
        <v>4.5</v>
      </c>
      <c r="H133">
        <v>40.9</v>
      </c>
      <c r="I133">
        <f t="shared" si="4"/>
        <v>2541440</v>
      </c>
      <c r="J133">
        <f t="shared" si="5"/>
        <v>341924</v>
      </c>
    </row>
    <row r="134" spans="1:10" x14ac:dyDescent="0.25">
      <c r="A134" t="s">
        <v>209</v>
      </c>
      <c r="B134" t="s">
        <v>213</v>
      </c>
      <c r="C134">
        <v>2016</v>
      </c>
      <c r="D134">
        <v>3740</v>
      </c>
      <c r="E134">
        <v>303</v>
      </c>
      <c r="F134">
        <v>10.4</v>
      </c>
      <c r="G134">
        <v>6.6</v>
      </c>
      <c r="H134">
        <v>26.5</v>
      </c>
      <c r="I134">
        <f t="shared" si="4"/>
        <v>1133220</v>
      </c>
      <c r="J134">
        <f t="shared" si="5"/>
        <v>99110</v>
      </c>
    </row>
    <row r="135" spans="1:10" x14ac:dyDescent="0.25">
      <c r="A135" t="s">
        <v>209</v>
      </c>
      <c r="B135" t="s">
        <v>213</v>
      </c>
      <c r="C135">
        <v>2017</v>
      </c>
      <c r="D135">
        <v>3729</v>
      </c>
      <c r="E135">
        <v>303</v>
      </c>
      <c r="F135">
        <v>10.3</v>
      </c>
      <c r="G135">
        <v>6.6</v>
      </c>
      <c r="H135">
        <v>26.4</v>
      </c>
      <c r="I135">
        <f t="shared" si="4"/>
        <v>1129887</v>
      </c>
      <c r="J135">
        <f t="shared" si="5"/>
        <v>98445.599999999991</v>
      </c>
    </row>
    <row r="136" spans="1:10" x14ac:dyDescent="0.25">
      <c r="A136" t="s">
        <v>209</v>
      </c>
      <c r="B136" t="s">
        <v>213</v>
      </c>
      <c r="C136">
        <v>2018</v>
      </c>
      <c r="D136">
        <v>4243</v>
      </c>
      <c r="E136">
        <v>295</v>
      </c>
      <c r="F136">
        <v>9.6</v>
      </c>
      <c r="G136">
        <v>6.4</v>
      </c>
      <c r="H136">
        <v>27.5</v>
      </c>
      <c r="I136">
        <f t="shared" si="4"/>
        <v>1251685</v>
      </c>
      <c r="J136">
        <f t="shared" si="5"/>
        <v>116682.5</v>
      </c>
    </row>
    <row r="137" spans="1:10" x14ac:dyDescent="0.25">
      <c r="A137" t="s">
        <v>209</v>
      </c>
      <c r="B137" t="s">
        <v>213</v>
      </c>
      <c r="C137">
        <v>2019</v>
      </c>
      <c r="D137">
        <v>5097</v>
      </c>
      <c r="E137">
        <v>296.8</v>
      </c>
      <c r="F137">
        <v>9.5</v>
      </c>
      <c r="G137">
        <v>6.4</v>
      </c>
      <c r="H137">
        <v>28.2</v>
      </c>
      <c r="I137">
        <f t="shared" si="4"/>
        <v>1512789.6</v>
      </c>
      <c r="J137">
        <f t="shared" si="5"/>
        <v>143735.4</v>
      </c>
    </row>
    <row r="138" spans="1:10" x14ac:dyDescent="0.25">
      <c r="A138" t="s">
        <v>209</v>
      </c>
      <c r="B138" t="s">
        <v>213</v>
      </c>
      <c r="C138">
        <v>2020</v>
      </c>
      <c r="D138">
        <v>5929</v>
      </c>
      <c r="E138">
        <v>297.10000000000002</v>
      </c>
      <c r="F138">
        <v>9.4</v>
      </c>
      <c r="G138">
        <v>6.5</v>
      </c>
      <c r="H138">
        <v>27.8</v>
      </c>
      <c r="I138">
        <f t="shared" si="4"/>
        <v>1761505.9000000001</v>
      </c>
      <c r="J138">
        <f t="shared" si="5"/>
        <v>164826.20000000001</v>
      </c>
    </row>
    <row r="139" spans="1:10" x14ac:dyDescent="0.25">
      <c r="A139" t="s">
        <v>209</v>
      </c>
      <c r="B139" t="s">
        <v>213</v>
      </c>
      <c r="C139">
        <v>2021</v>
      </c>
      <c r="D139">
        <v>5881</v>
      </c>
      <c r="E139">
        <v>303.39999999999998</v>
      </c>
      <c r="F139">
        <v>9.5</v>
      </c>
      <c r="G139">
        <v>6.6</v>
      </c>
      <c r="H139">
        <v>28.4</v>
      </c>
      <c r="I139">
        <f t="shared" si="4"/>
        <v>1784295.4</v>
      </c>
      <c r="J139">
        <f t="shared" si="5"/>
        <v>167020.4</v>
      </c>
    </row>
    <row r="140" spans="1:10" x14ac:dyDescent="0.25">
      <c r="A140" t="s">
        <v>209</v>
      </c>
      <c r="B140" t="s">
        <v>216</v>
      </c>
      <c r="C140">
        <v>2016</v>
      </c>
      <c r="D140">
        <v>3143</v>
      </c>
      <c r="E140">
        <v>323</v>
      </c>
      <c r="F140">
        <v>8.6999999999999993</v>
      </c>
      <c r="G140">
        <v>7.6</v>
      </c>
      <c r="H140">
        <v>25.4</v>
      </c>
      <c r="I140">
        <f t="shared" si="4"/>
        <v>1015189</v>
      </c>
      <c r="J140">
        <f t="shared" si="5"/>
        <v>79832.2</v>
      </c>
    </row>
    <row r="141" spans="1:10" x14ac:dyDescent="0.25">
      <c r="A141" t="s">
        <v>209</v>
      </c>
      <c r="B141" t="s">
        <v>216</v>
      </c>
      <c r="C141">
        <v>2017</v>
      </c>
      <c r="D141">
        <v>3122</v>
      </c>
      <c r="E141">
        <v>323.8</v>
      </c>
      <c r="F141">
        <v>8.5</v>
      </c>
      <c r="G141">
        <v>7.6</v>
      </c>
      <c r="H141">
        <v>25.8</v>
      </c>
      <c r="I141">
        <f t="shared" si="4"/>
        <v>1010903.6000000001</v>
      </c>
      <c r="J141">
        <f t="shared" si="5"/>
        <v>80547.600000000006</v>
      </c>
    </row>
    <row r="142" spans="1:10" x14ac:dyDescent="0.25">
      <c r="A142" t="s">
        <v>209</v>
      </c>
      <c r="B142" t="s">
        <v>216</v>
      </c>
      <c r="C142">
        <v>2018</v>
      </c>
      <c r="D142">
        <v>3455</v>
      </c>
      <c r="E142">
        <v>319.3</v>
      </c>
      <c r="F142">
        <v>8.1999999999999993</v>
      </c>
      <c r="G142">
        <v>7.5</v>
      </c>
      <c r="H142">
        <v>26.2</v>
      </c>
      <c r="I142">
        <f t="shared" si="4"/>
        <v>1103181.5</v>
      </c>
      <c r="J142">
        <f t="shared" si="5"/>
        <v>90521</v>
      </c>
    </row>
    <row r="143" spans="1:10" x14ac:dyDescent="0.25">
      <c r="A143" t="s">
        <v>209</v>
      </c>
      <c r="B143" t="s">
        <v>216</v>
      </c>
      <c r="C143">
        <v>2019</v>
      </c>
      <c r="D143">
        <v>4053</v>
      </c>
      <c r="E143">
        <v>321.10000000000002</v>
      </c>
      <c r="F143">
        <v>8.1</v>
      </c>
      <c r="G143">
        <v>7.5</v>
      </c>
      <c r="H143">
        <v>27.4</v>
      </c>
      <c r="I143">
        <f t="shared" si="4"/>
        <v>1301418.3</v>
      </c>
      <c r="J143">
        <f t="shared" si="5"/>
        <v>111052.2</v>
      </c>
    </row>
    <row r="144" spans="1:10" x14ac:dyDescent="0.25">
      <c r="A144" t="s">
        <v>209</v>
      </c>
      <c r="B144" t="s">
        <v>216</v>
      </c>
      <c r="C144">
        <v>2020</v>
      </c>
      <c r="D144">
        <v>3983</v>
      </c>
      <c r="E144">
        <v>324.2</v>
      </c>
      <c r="F144">
        <v>8</v>
      </c>
      <c r="G144">
        <v>7.6</v>
      </c>
      <c r="H144">
        <v>31.5</v>
      </c>
      <c r="I144">
        <f t="shared" si="4"/>
        <v>1291288.5999999999</v>
      </c>
      <c r="J144">
        <f t="shared" si="5"/>
        <v>125464.5</v>
      </c>
    </row>
    <row r="145" spans="1:10" x14ac:dyDescent="0.25">
      <c r="A145" t="s">
        <v>209</v>
      </c>
      <c r="B145" t="s">
        <v>216</v>
      </c>
      <c r="C145">
        <v>2021</v>
      </c>
      <c r="D145">
        <v>3778</v>
      </c>
      <c r="E145">
        <v>332.1</v>
      </c>
      <c r="F145">
        <v>8.1</v>
      </c>
      <c r="G145">
        <v>7.8</v>
      </c>
      <c r="H145">
        <v>31.5</v>
      </c>
      <c r="I145">
        <f t="shared" si="4"/>
        <v>1254673.8</v>
      </c>
      <c r="J145">
        <f t="shared" si="5"/>
        <v>119007</v>
      </c>
    </row>
    <row r="146" spans="1:10" x14ac:dyDescent="0.25">
      <c r="A146" t="s">
        <v>209</v>
      </c>
      <c r="B146" t="s">
        <v>217</v>
      </c>
      <c r="C146">
        <v>2016</v>
      </c>
      <c r="D146">
        <v>1103</v>
      </c>
      <c r="E146">
        <v>304.3</v>
      </c>
      <c r="F146">
        <v>10.3</v>
      </c>
      <c r="G146">
        <v>6.9</v>
      </c>
      <c r="H146">
        <v>25.6</v>
      </c>
      <c r="I146">
        <f t="shared" si="4"/>
        <v>335642.9</v>
      </c>
      <c r="J146">
        <f t="shared" si="5"/>
        <v>28236.800000000003</v>
      </c>
    </row>
    <row r="147" spans="1:10" x14ac:dyDescent="0.25">
      <c r="A147" t="s">
        <v>209</v>
      </c>
      <c r="B147" t="s">
        <v>217</v>
      </c>
      <c r="C147">
        <v>2017</v>
      </c>
      <c r="D147">
        <v>1215</v>
      </c>
      <c r="E147">
        <v>306.7</v>
      </c>
      <c r="F147">
        <v>10.4</v>
      </c>
      <c r="G147">
        <v>7</v>
      </c>
      <c r="H147">
        <v>25.7</v>
      </c>
      <c r="I147">
        <f t="shared" si="4"/>
        <v>372640.5</v>
      </c>
      <c r="J147">
        <f t="shared" si="5"/>
        <v>31225.5</v>
      </c>
    </row>
    <row r="148" spans="1:10" x14ac:dyDescent="0.25">
      <c r="A148" t="s">
        <v>209</v>
      </c>
      <c r="B148" t="s">
        <v>217</v>
      </c>
      <c r="C148">
        <v>2018</v>
      </c>
      <c r="D148">
        <v>1464</v>
      </c>
      <c r="E148">
        <v>297</v>
      </c>
      <c r="F148">
        <v>9.6999999999999993</v>
      </c>
      <c r="G148">
        <v>6.7</v>
      </c>
      <c r="H148">
        <v>26.1</v>
      </c>
      <c r="I148">
        <f t="shared" si="4"/>
        <v>434808</v>
      </c>
      <c r="J148">
        <f t="shared" si="5"/>
        <v>38210.400000000001</v>
      </c>
    </row>
    <row r="149" spans="1:10" x14ac:dyDescent="0.25">
      <c r="A149" t="s">
        <v>209</v>
      </c>
      <c r="B149" t="s">
        <v>217</v>
      </c>
      <c r="C149">
        <v>2019</v>
      </c>
      <c r="D149">
        <v>1764</v>
      </c>
      <c r="E149">
        <v>300.39999999999998</v>
      </c>
      <c r="F149">
        <v>9.5</v>
      </c>
      <c r="G149">
        <v>6.6</v>
      </c>
      <c r="H149">
        <v>26.9</v>
      </c>
      <c r="I149">
        <f t="shared" si="4"/>
        <v>529905.6</v>
      </c>
      <c r="J149">
        <f t="shared" si="5"/>
        <v>47451.6</v>
      </c>
    </row>
    <row r="150" spans="1:10" x14ac:dyDescent="0.25">
      <c r="A150" t="s">
        <v>209</v>
      </c>
      <c r="B150" t="s">
        <v>217</v>
      </c>
      <c r="C150">
        <v>2020</v>
      </c>
      <c r="D150">
        <v>2183</v>
      </c>
      <c r="E150">
        <v>305</v>
      </c>
      <c r="F150">
        <v>9.4</v>
      </c>
      <c r="G150">
        <v>6.8</v>
      </c>
      <c r="H150">
        <v>27.9</v>
      </c>
      <c r="I150">
        <f t="shared" si="4"/>
        <v>665815</v>
      </c>
      <c r="J150">
        <f t="shared" si="5"/>
        <v>60905.7</v>
      </c>
    </row>
    <row r="151" spans="1:10" x14ac:dyDescent="0.25">
      <c r="A151" t="s">
        <v>209</v>
      </c>
      <c r="B151" t="s">
        <v>217</v>
      </c>
      <c r="C151">
        <v>2021</v>
      </c>
      <c r="D151">
        <v>2144</v>
      </c>
      <c r="E151">
        <v>308</v>
      </c>
      <c r="F151">
        <v>9.5</v>
      </c>
      <c r="G151">
        <v>6.8</v>
      </c>
      <c r="H151">
        <v>28.2</v>
      </c>
      <c r="I151">
        <f t="shared" si="4"/>
        <v>660352</v>
      </c>
      <c r="J151">
        <f t="shared" si="5"/>
        <v>60460.799999999996</v>
      </c>
    </row>
    <row r="152" spans="1:10" x14ac:dyDescent="0.25">
      <c r="A152" t="s">
        <v>209</v>
      </c>
      <c r="B152" t="s">
        <v>219</v>
      </c>
      <c r="C152">
        <v>2016</v>
      </c>
      <c r="D152">
        <v>870</v>
      </c>
      <c r="E152">
        <v>319.3</v>
      </c>
      <c r="F152">
        <v>8.8000000000000007</v>
      </c>
      <c r="G152">
        <v>8.6999999999999993</v>
      </c>
      <c r="H152">
        <v>24.3</v>
      </c>
      <c r="I152">
        <f t="shared" si="4"/>
        <v>277791</v>
      </c>
      <c r="J152">
        <f t="shared" si="5"/>
        <v>21141</v>
      </c>
    </row>
    <row r="153" spans="1:10" x14ac:dyDescent="0.25">
      <c r="A153" t="s">
        <v>209</v>
      </c>
      <c r="B153" t="s">
        <v>219</v>
      </c>
      <c r="C153">
        <v>2017</v>
      </c>
      <c r="D153">
        <v>865</v>
      </c>
      <c r="E153">
        <v>321.10000000000002</v>
      </c>
      <c r="F153">
        <v>8.8000000000000007</v>
      </c>
      <c r="G153">
        <v>8.6999999999999993</v>
      </c>
      <c r="H153">
        <v>24.6</v>
      </c>
      <c r="I153">
        <f t="shared" si="4"/>
        <v>277751.5</v>
      </c>
      <c r="J153">
        <f t="shared" si="5"/>
        <v>21279</v>
      </c>
    </row>
    <row r="154" spans="1:10" x14ac:dyDescent="0.25">
      <c r="A154" t="s">
        <v>209</v>
      </c>
      <c r="B154" t="s">
        <v>219</v>
      </c>
      <c r="C154">
        <v>2018</v>
      </c>
      <c r="D154">
        <v>1016</v>
      </c>
      <c r="E154">
        <v>315.60000000000002</v>
      </c>
      <c r="F154">
        <v>8.4</v>
      </c>
      <c r="G154">
        <v>8.3000000000000007</v>
      </c>
      <c r="H154">
        <v>24.6</v>
      </c>
      <c r="I154">
        <f t="shared" si="4"/>
        <v>320649.60000000003</v>
      </c>
      <c r="J154">
        <f t="shared" si="5"/>
        <v>24993.600000000002</v>
      </c>
    </row>
    <row r="155" spans="1:10" x14ac:dyDescent="0.25">
      <c r="A155" t="s">
        <v>209</v>
      </c>
      <c r="B155" t="s">
        <v>219</v>
      </c>
      <c r="C155">
        <v>2019</v>
      </c>
      <c r="D155">
        <v>1106</v>
      </c>
      <c r="E155">
        <v>317</v>
      </c>
      <c r="F155">
        <v>8.3000000000000007</v>
      </c>
      <c r="G155">
        <v>8.1</v>
      </c>
      <c r="H155">
        <v>29.1</v>
      </c>
      <c r="I155">
        <f t="shared" si="4"/>
        <v>350602</v>
      </c>
      <c r="J155">
        <f t="shared" si="5"/>
        <v>32184.600000000002</v>
      </c>
    </row>
    <row r="156" spans="1:10" x14ac:dyDescent="0.25">
      <c r="A156" t="s">
        <v>209</v>
      </c>
      <c r="B156" t="s">
        <v>219</v>
      </c>
      <c r="C156">
        <v>2020</v>
      </c>
      <c r="D156">
        <v>1249</v>
      </c>
      <c r="E156">
        <v>314.3</v>
      </c>
      <c r="F156">
        <v>8.1</v>
      </c>
      <c r="G156">
        <v>8.3000000000000007</v>
      </c>
      <c r="H156">
        <v>28.2</v>
      </c>
      <c r="I156">
        <f t="shared" si="4"/>
        <v>392560.7</v>
      </c>
      <c r="J156">
        <f t="shared" si="5"/>
        <v>35221.799999999996</v>
      </c>
    </row>
    <row r="157" spans="1:10" x14ac:dyDescent="0.25">
      <c r="A157" t="s">
        <v>209</v>
      </c>
      <c r="B157" t="s">
        <v>219</v>
      </c>
      <c r="C157">
        <v>2021</v>
      </c>
      <c r="D157">
        <v>1265</v>
      </c>
      <c r="E157">
        <v>313.3</v>
      </c>
      <c r="F157">
        <v>8</v>
      </c>
      <c r="G157">
        <v>8.1</v>
      </c>
      <c r="H157">
        <v>28.1</v>
      </c>
      <c r="I157">
        <f t="shared" si="4"/>
        <v>396324.5</v>
      </c>
      <c r="J157">
        <f t="shared" si="5"/>
        <v>35546.5</v>
      </c>
    </row>
    <row r="158" spans="1:10" x14ac:dyDescent="0.25">
      <c r="A158" t="s">
        <v>209</v>
      </c>
      <c r="B158" t="s">
        <v>220</v>
      </c>
      <c r="C158">
        <v>2016</v>
      </c>
      <c r="D158">
        <v>2468</v>
      </c>
      <c r="E158">
        <v>315.8</v>
      </c>
      <c r="F158">
        <v>8.8000000000000007</v>
      </c>
      <c r="G158">
        <v>7.1</v>
      </c>
      <c r="H158">
        <v>24.4</v>
      </c>
      <c r="I158">
        <f t="shared" si="4"/>
        <v>779394.4</v>
      </c>
      <c r="J158">
        <f t="shared" si="5"/>
        <v>60219.199999999997</v>
      </c>
    </row>
    <row r="159" spans="1:10" x14ac:dyDescent="0.25">
      <c r="A159" t="s">
        <v>209</v>
      </c>
      <c r="B159" t="s">
        <v>220</v>
      </c>
      <c r="C159">
        <v>2017</v>
      </c>
      <c r="D159">
        <v>2484</v>
      </c>
      <c r="E159">
        <v>317.2</v>
      </c>
      <c r="F159">
        <v>8.6999999999999993</v>
      </c>
      <c r="G159">
        <v>7.1</v>
      </c>
      <c r="H159">
        <v>24.4</v>
      </c>
      <c r="I159">
        <f t="shared" si="4"/>
        <v>787924.79999999993</v>
      </c>
      <c r="J159">
        <f t="shared" si="5"/>
        <v>60609.599999999999</v>
      </c>
    </row>
    <row r="160" spans="1:10" x14ac:dyDescent="0.25">
      <c r="A160" t="s">
        <v>209</v>
      </c>
      <c r="B160" t="s">
        <v>220</v>
      </c>
      <c r="C160">
        <v>2018</v>
      </c>
      <c r="D160">
        <v>2820</v>
      </c>
      <c r="E160">
        <v>311.2</v>
      </c>
      <c r="F160">
        <v>8.1999999999999993</v>
      </c>
      <c r="G160">
        <v>7</v>
      </c>
      <c r="H160">
        <v>25.3</v>
      </c>
      <c r="I160">
        <f t="shared" si="4"/>
        <v>877584</v>
      </c>
      <c r="J160">
        <f t="shared" si="5"/>
        <v>71346</v>
      </c>
    </row>
    <row r="161" spans="1:10" x14ac:dyDescent="0.25">
      <c r="A161" t="s">
        <v>209</v>
      </c>
      <c r="B161" t="s">
        <v>220</v>
      </c>
      <c r="C161">
        <v>2019</v>
      </c>
      <c r="D161">
        <v>3088</v>
      </c>
      <c r="E161">
        <v>309.8</v>
      </c>
      <c r="F161">
        <v>8.1</v>
      </c>
      <c r="G161">
        <v>7</v>
      </c>
      <c r="H161">
        <v>25.2</v>
      </c>
      <c r="I161">
        <f t="shared" si="4"/>
        <v>956662.4</v>
      </c>
      <c r="J161">
        <f t="shared" si="5"/>
        <v>77817.599999999991</v>
      </c>
    </row>
    <row r="162" spans="1:10" x14ac:dyDescent="0.25">
      <c r="A162" t="s">
        <v>209</v>
      </c>
      <c r="B162" t="s">
        <v>220</v>
      </c>
      <c r="C162">
        <v>2020</v>
      </c>
      <c r="D162">
        <v>3594</v>
      </c>
      <c r="E162">
        <v>312.7</v>
      </c>
      <c r="F162">
        <v>8</v>
      </c>
      <c r="G162">
        <v>7</v>
      </c>
      <c r="H162">
        <v>27.1</v>
      </c>
      <c r="I162">
        <f t="shared" si="4"/>
        <v>1123843.8</v>
      </c>
      <c r="J162">
        <f t="shared" si="5"/>
        <v>97397.400000000009</v>
      </c>
    </row>
    <row r="163" spans="1:10" x14ac:dyDescent="0.25">
      <c r="A163" t="s">
        <v>209</v>
      </c>
      <c r="B163" t="s">
        <v>220</v>
      </c>
      <c r="C163">
        <v>2021</v>
      </c>
      <c r="D163">
        <v>3319</v>
      </c>
      <c r="E163">
        <v>322.10000000000002</v>
      </c>
      <c r="F163">
        <v>8.1999999999999993</v>
      </c>
      <c r="G163">
        <v>7.3</v>
      </c>
      <c r="H163">
        <v>26.9</v>
      </c>
      <c r="I163">
        <f t="shared" si="4"/>
        <v>1069049.9000000001</v>
      </c>
      <c r="J163">
        <f t="shared" si="5"/>
        <v>89281.099999999991</v>
      </c>
    </row>
    <row r="164" spans="1:10" x14ac:dyDescent="0.25">
      <c r="A164" t="s">
        <v>209</v>
      </c>
      <c r="B164" t="s">
        <v>222</v>
      </c>
      <c r="C164">
        <v>2016</v>
      </c>
      <c r="D164">
        <v>284</v>
      </c>
      <c r="E164">
        <v>177</v>
      </c>
      <c r="F164">
        <v>7.1</v>
      </c>
      <c r="G164">
        <v>4.5</v>
      </c>
      <c r="H164">
        <v>31</v>
      </c>
      <c r="I164">
        <f t="shared" si="4"/>
        <v>50268</v>
      </c>
      <c r="J164">
        <f t="shared" si="5"/>
        <v>8804</v>
      </c>
    </row>
    <row r="165" spans="1:10" x14ac:dyDescent="0.25">
      <c r="A165" t="s">
        <v>209</v>
      </c>
      <c r="B165" t="s">
        <v>222</v>
      </c>
      <c r="C165">
        <v>2017</v>
      </c>
      <c r="D165">
        <v>237</v>
      </c>
      <c r="E165">
        <v>191.4</v>
      </c>
      <c r="F165">
        <v>7.3</v>
      </c>
      <c r="G165">
        <v>4.7</v>
      </c>
      <c r="H165">
        <v>34.200000000000003</v>
      </c>
      <c r="I165">
        <f t="shared" si="4"/>
        <v>45361.8</v>
      </c>
      <c r="J165">
        <f t="shared" si="5"/>
        <v>8105.4000000000005</v>
      </c>
    </row>
    <row r="166" spans="1:10" x14ac:dyDescent="0.25">
      <c r="A166" t="s">
        <v>209</v>
      </c>
      <c r="B166" t="s">
        <v>222</v>
      </c>
      <c r="C166">
        <v>2018</v>
      </c>
      <c r="D166">
        <v>273</v>
      </c>
      <c r="E166">
        <v>168.9</v>
      </c>
      <c r="F166">
        <v>6.1</v>
      </c>
      <c r="G166">
        <v>4.3</v>
      </c>
      <c r="H166">
        <v>33.700000000000003</v>
      </c>
      <c r="I166">
        <f t="shared" si="4"/>
        <v>46109.700000000004</v>
      </c>
      <c r="J166">
        <f t="shared" si="5"/>
        <v>9200.1</v>
      </c>
    </row>
    <row r="167" spans="1:10" x14ac:dyDescent="0.25">
      <c r="A167" t="s">
        <v>209</v>
      </c>
      <c r="B167" t="s">
        <v>222</v>
      </c>
      <c r="C167">
        <v>2019</v>
      </c>
      <c r="D167">
        <v>221</v>
      </c>
      <c r="E167">
        <v>175.3</v>
      </c>
      <c r="F167">
        <v>6.3</v>
      </c>
      <c r="G167">
        <v>4.3</v>
      </c>
      <c r="H167">
        <v>37.5</v>
      </c>
      <c r="I167">
        <f t="shared" si="4"/>
        <v>38741.300000000003</v>
      </c>
      <c r="J167">
        <f t="shared" si="5"/>
        <v>8287.5</v>
      </c>
    </row>
    <row r="168" spans="1:10" x14ac:dyDescent="0.25">
      <c r="A168" t="s">
        <v>209</v>
      </c>
      <c r="B168" t="s">
        <v>222</v>
      </c>
      <c r="C168">
        <v>2020</v>
      </c>
      <c r="D168">
        <v>163</v>
      </c>
      <c r="E168">
        <v>192.3</v>
      </c>
      <c r="F168">
        <v>7.3</v>
      </c>
      <c r="G168">
        <v>4.5999999999999996</v>
      </c>
      <c r="H168">
        <v>38.700000000000003</v>
      </c>
      <c r="I168">
        <f t="shared" si="4"/>
        <v>31344.9</v>
      </c>
      <c r="J168">
        <f t="shared" si="5"/>
        <v>6308.1</v>
      </c>
    </row>
    <row r="169" spans="1:10" x14ac:dyDescent="0.25">
      <c r="A169" t="s">
        <v>209</v>
      </c>
      <c r="B169" t="s">
        <v>222</v>
      </c>
      <c r="C169">
        <v>2021</v>
      </c>
      <c r="D169">
        <v>179</v>
      </c>
      <c r="E169">
        <v>193.2</v>
      </c>
      <c r="F169">
        <v>6.5</v>
      </c>
      <c r="G169">
        <v>4.5999999999999996</v>
      </c>
      <c r="H169">
        <v>43.4</v>
      </c>
      <c r="I169">
        <f t="shared" si="4"/>
        <v>34582.799999999996</v>
      </c>
      <c r="J169">
        <f t="shared" si="5"/>
        <v>7768.5999999999995</v>
      </c>
    </row>
    <row r="170" spans="1:10" x14ac:dyDescent="0.25">
      <c r="A170" t="s">
        <v>209</v>
      </c>
      <c r="B170" t="s">
        <v>223</v>
      </c>
      <c r="C170">
        <v>2016</v>
      </c>
      <c r="D170">
        <v>176</v>
      </c>
      <c r="E170">
        <v>330.6</v>
      </c>
      <c r="F170">
        <v>7.5</v>
      </c>
      <c r="G170">
        <v>9.3000000000000007</v>
      </c>
      <c r="H170">
        <v>21.9</v>
      </c>
      <c r="I170">
        <f t="shared" si="4"/>
        <v>58185.600000000006</v>
      </c>
      <c r="J170">
        <f t="shared" si="5"/>
        <v>3854.3999999999996</v>
      </c>
    </row>
    <row r="171" spans="1:10" x14ac:dyDescent="0.25">
      <c r="A171" t="s">
        <v>209</v>
      </c>
      <c r="B171" t="s">
        <v>223</v>
      </c>
      <c r="C171">
        <v>2017</v>
      </c>
      <c r="D171">
        <v>159</v>
      </c>
      <c r="E171">
        <v>315.8</v>
      </c>
      <c r="F171">
        <v>7.2</v>
      </c>
      <c r="G171">
        <v>9.1</v>
      </c>
      <c r="H171">
        <v>21.6</v>
      </c>
      <c r="I171">
        <f t="shared" si="4"/>
        <v>50212.200000000004</v>
      </c>
      <c r="J171">
        <f t="shared" si="5"/>
        <v>3434.4</v>
      </c>
    </row>
    <row r="172" spans="1:10" x14ac:dyDescent="0.25">
      <c r="A172" t="s">
        <v>209</v>
      </c>
      <c r="B172" t="s">
        <v>223</v>
      </c>
      <c r="C172">
        <v>2018</v>
      </c>
      <c r="D172">
        <v>174</v>
      </c>
      <c r="E172">
        <v>318.89999999999998</v>
      </c>
      <c r="F172">
        <v>6.7</v>
      </c>
      <c r="G172">
        <v>8.9</v>
      </c>
      <c r="H172">
        <v>22.7</v>
      </c>
      <c r="I172">
        <f t="shared" si="4"/>
        <v>55488.6</v>
      </c>
      <c r="J172">
        <f t="shared" si="5"/>
        <v>3949.7999999999997</v>
      </c>
    </row>
    <row r="173" spans="1:10" x14ac:dyDescent="0.25">
      <c r="A173" t="s">
        <v>209</v>
      </c>
      <c r="B173" t="s">
        <v>223</v>
      </c>
      <c r="C173">
        <v>2019</v>
      </c>
      <c r="D173">
        <v>213</v>
      </c>
      <c r="E173">
        <v>330.7</v>
      </c>
      <c r="F173">
        <v>6.6</v>
      </c>
      <c r="G173">
        <v>9.3000000000000007</v>
      </c>
      <c r="H173">
        <v>22.7</v>
      </c>
      <c r="I173">
        <f t="shared" si="4"/>
        <v>70439.099999999991</v>
      </c>
      <c r="J173">
        <f t="shared" si="5"/>
        <v>4835.0999999999995</v>
      </c>
    </row>
    <row r="174" spans="1:10" x14ac:dyDescent="0.25">
      <c r="A174" t="s">
        <v>209</v>
      </c>
      <c r="B174" t="s">
        <v>223</v>
      </c>
      <c r="C174">
        <v>2020</v>
      </c>
      <c r="D174">
        <v>200</v>
      </c>
      <c r="E174">
        <v>316.39999999999998</v>
      </c>
      <c r="F174">
        <v>6.8</v>
      </c>
      <c r="G174">
        <v>8.6</v>
      </c>
      <c r="H174">
        <v>21.5</v>
      </c>
      <c r="I174">
        <f t="shared" si="4"/>
        <v>63279.999999999993</v>
      </c>
      <c r="J174">
        <f t="shared" si="5"/>
        <v>4300</v>
      </c>
    </row>
    <row r="175" spans="1:10" x14ac:dyDescent="0.25">
      <c r="A175" t="s">
        <v>209</v>
      </c>
      <c r="B175" t="s">
        <v>223</v>
      </c>
      <c r="C175">
        <v>2021</v>
      </c>
      <c r="D175">
        <v>257</v>
      </c>
      <c r="E175">
        <v>323.60000000000002</v>
      </c>
      <c r="F175">
        <v>6.7</v>
      </c>
      <c r="G175">
        <v>8.6999999999999993</v>
      </c>
      <c r="H175">
        <v>23</v>
      </c>
      <c r="I175">
        <f t="shared" si="4"/>
        <v>83165.200000000012</v>
      </c>
      <c r="J175">
        <f t="shared" si="5"/>
        <v>5911</v>
      </c>
    </row>
    <row r="176" spans="1:10" x14ac:dyDescent="0.25">
      <c r="A176" t="s">
        <v>209</v>
      </c>
      <c r="B176" t="s">
        <v>224</v>
      </c>
      <c r="C176">
        <v>2016</v>
      </c>
      <c r="D176">
        <v>23158</v>
      </c>
      <c r="E176">
        <v>311.8</v>
      </c>
      <c r="F176">
        <v>9.4</v>
      </c>
      <c r="G176">
        <v>7</v>
      </c>
      <c r="H176">
        <v>26.3</v>
      </c>
      <c r="I176">
        <f t="shared" si="4"/>
        <v>7220664.4000000004</v>
      </c>
      <c r="J176">
        <f t="shared" si="5"/>
        <v>609055.4</v>
      </c>
    </row>
    <row r="177" spans="1:10" x14ac:dyDescent="0.25">
      <c r="A177" t="s">
        <v>209</v>
      </c>
      <c r="B177" t="s">
        <v>224</v>
      </c>
      <c r="C177">
        <v>2017</v>
      </c>
      <c r="D177">
        <v>22888</v>
      </c>
      <c r="E177">
        <v>313.8</v>
      </c>
      <c r="F177">
        <v>9.3000000000000007</v>
      </c>
      <c r="G177">
        <v>7</v>
      </c>
      <c r="H177">
        <v>26.5</v>
      </c>
      <c r="I177">
        <f t="shared" si="4"/>
        <v>7182254.4000000004</v>
      </c>
      <c r="J177">
        <f t="shared" si="5"/>
        <v>606532</v>
      </c>
    </row>
    <row r="178" spans="1:10" x14ac:dyDescent="0.25">
      <c r="A178" t="s">
        <v>209</v>
      </c>
      <c r="B178" t="s">
        <v>224</v>
      </c>
      <c r="C178">
        <v>2018</v>
      </c>
      <c r="D178">
        <v>27050</v>
      </c>
      <c r="E178">
        <v>307.89999999999998</v>
      </c>
      <c r="F178">
        <v>8.9</v>
      </c>
      <c r="G178">
        <v>6.9</v>
      </c>
      <c r="H178">
        <v>27.5</v>
      </c>
      <c r="I178">
        <f t="shared" si="4"/>
        <v>8328694.9999999991</v>
      </c>
      <c r="J178">
        <f t="shared" si="5"/>
        <v>743875</v>
      </c>
    </row>
    <row r="179" spans="1:10" x14ac:dyDescent="0.25">
      <c r="A179" t="s">
        <v>209</v>
      </c>
      <c r="B179" t="s">
        <v>224</v>
      </c>
      <c r="C179">
        <v>2019</v>
      </c>
      <c r="D179">
        <v>29484</v>
      </c>
      <c r="E179">
        <v>307.5</v>
      </c>
      <c r="F179">
        <v>8.8000000000000007</v>
      </c>
      <c r="G179">
        <v>6.8</v>
      </c>
      <c r="H179">
        <v>27.1</v>
      </c>
      <c r="I179">
        <f t="shared" si="4"/>
        <v>9066330</v>
      </c>
      <c r="J179">
        <f t="shared" si="5"/>
        <v>799016.4</v>
      </c>
    </row>
    <row r="180" spans="1:10" x14ac:dyDescent="0.25">
      <c r="A180" t="s">
        <v>209</v>
      </c>
      <c r="B180" t="s">
        <v>224</v>
      </c>
      <c r="C180">
        <v>2020</v>
      </c>
      <c r="D180">
        <v>33134</v>
      </c>
      <c r="E180">
        <v>309.7</v>
      </c>
      <c r="F180">
        <v>8.6999999999999993</v>
      </c>
      <c r="G180">
        <v>6.9</v>
      </c>
      <c r="H180">
        <v>27.4</v>
      </c>
      <c r="I180">
        <f t="shared" si="4"/>
        <v>10261599.799999999</v>
      </c>
      <c r="J180">
        <f t="shared" si="5"/>
        <v>907871.6</v>
      </c>
    </row>
    <row r="181" spans="1:10" x14ac:dyDescent="0.25">
      <c r="A181" t="s">
        <v>209</v>
      </c>
      <c r="B181" t="s">
        <v>224</v>
      </c>
      <c r="C181">
        <v>2021</v>
      </c>
      <c r="D181">
        <v>31140</v>
      </c>
      <c r="E181">
        <v>316.2</v>
      </c>
      <c r="F181">
        <v>8.8000000000000007</v>
      </c>
      <c r="G181">
        <v>7.1</v>
      </c>
      <c r="H181">
        <v>28.2</v>
      </c>
      <c r="I181">
        <f t="shared" si="4"/>
        <v>9846468</v>
      </c>
      <c r="J181">
        <f t="shared" si="5"/>
        <v>878148</v>
      </c>
    </row>
    <row r="182" spans="1:10" x14ac:dyDescent="0.25">
      <c r="A182" t="s">
        <v>210</v>
      </c>
      <c r="B182" t="s">
        <v>200</v>
      </c>
      <c r="C182">
        <v>2016</v>
      </c>
      <c r="D182">
        <v>11185</v>
      </c>
      <c r="E182">
        <v>326.5</v>
      </c>
      <c r="F182">
        <v>7.9</v>
      </c>
      <c r="G182">
        <v>4.8</v>
      </c>
      <c r="H182">
        <v>28</v>
      </c>
      <c r="I182">
        <f t="shared" si="4"/>
        <v>3651902.5</v>
      </c>
      <c r="J182">
        <f t="shared" si="5"/>
        <v>313180</v>
      </c>
    </row>
    <row r="183" spans="1:10" x14ac:dyDescent="0.25">
      <c r="A183" t="s">
        <v>210</v>
      </c>
      <c r="B183" t="s">
        <v>200</v>
      </c>
      <c r="C183">
        <v>2017</v>
      </c>
      <c r="D183">
        <v>10763</v>
      </c>
      <c r="E183">
        <v>327.39999999999998</v>
      </c>
      <c r="F183">
        <v>7.9</v>
      </c>
      <c r="G183">
        <v>4.8</v>
      </c>
      <c r="H183">
        <v>28.7</v>
      </c>
      <c r="I183">
        <f t="shared" si="4"/>
        <v>3523806.1999999997</v>
      </c>
      <c r="J183">
        <f t="shared" si="5"/>
        <v>308898.09999999998</v>
      </c>
    </row>
    <row r="184" spans="1:10" x14ac:dyDescent="0.25">
      <c r="A184" t="s">
        <v>210</v>
      </c>
      <c r="B184" t="s">
        <v>200</v>
      </c>
      <c r="C184">
        <v>2018</v>
      </c>
      <c r="D184">
        <v>10031</v>
      </c>
      <c r="E184">
        <v>324.7</v>
      </c>
      <c r="F184">
        <v>7.5</v>
      </c>
      <c r="G184">
        <v>4.7</v>
      </c>
      <c r="H184">
        <v>29.8</v>
      </c>
      <c r="I184">
        <f t="shared" si="4"/>
        <v>3257065.6999999997</v>
      </c>
      <c r="J184">
        <f t="shared" si="5"/>
        <v>298923.8</v>
      </c>
    </row>
    <row r="185" spans="1:10" x14ac:dyDescent="0.25">
      <c r="A185" t="s">
        <v>210</v>
      </c>
      <c r="B185" t="s">
        <v>200</v>
      </c>
      <c r="C185">
        <v>2019</v>
      </c>
      <c r="D185">
        <v>8586</v>
      </c>
      <c r="E185">
        <v>324.89999999999998</v>
      </c>
      <c r="F185">
        <v>7.3</v>
      </c>
      <c r="G185">
        <v>4.5999999999999996</v>
      </c>
      <c r="H185">
        <v>30.9</v>
      </c>
      <c r="I185">
        <f t="shared" si="4"/>
        <v>2789591.4</v>
      </c>
      <c r="J185">
        <f t="shared" si="5"/>
        <v>265307.39999999997</v>
      </c>
    </row>
    <row r="186" spans="1:10" x14ac:dyDescent="0.25">
      <c r="A186" t="s">
        <v>210</v>
      </c>
      <c r="B186" t="s">
        <v>200</v>
      </c>
      <c r="C186">
        <v>2020</v>
      </c>
      <c r="D186">
        <v>8434</v>
      </c>
      <c r="E186">
        <v>326.7</v>
      </c>
      <c r="F186">
        <v>7.3</v>
      </c>
      <c r="G186">
        <v>4.5999999999999996</v>
      </c>
      <c r="H186">
        <v>31.9</v>
      </c>
      <c r="I186">
        <f t="shared" si="4"/>
        <v>2755387.8</v>
      </c>
      <c r="J186">
        <f t="shared" si="5"/>
        <v>269044.59999999998</v>
      </c>
    </row>
    <row r="187" spans="1:10" x14ac:dyDescent="0.25">
      <c r="A187" t="s">
        <v>210</v>
      </c>
      <c r="B187" t="s">
        <v>200</v>
      </c>
      <c r="C187">
        <v>2021</v>
      </c>
      <c r="D187">
        <v>7586</v>
      </c>
      <c r="E187">
        <v>332.4</v>
      </c>
      <c r="F187">
        <v>7.4</v>
      </c>
      <c r="G187">
        <v>4.8</v>
      </c>
      <c r="H187">
        <v>33.4</v>
      </c>
      <c r="I187">
        <f t="shared" si="4"/>
        <v>2521586.4</v>
      </c>
      <c r="J187">
        <f t="shared" si="5"/>
        <v>253372.4</v>
      </c>
    </row>
    <row r="188" spans="1:10" x14ac:dyDescent="0.25">
      <c r="A188" t="s">
        <v>210</v>
      </c>
      <c r="B188" t="s">
        <v>208</v>
      </c>
      <c r="C188">
        <v>2016</v>
      </c>
      <c r="D188">
        <v>12148</v>
      </c>
      <c r="E188">
        <v>325.7</v>
      </c>
      <c r="F188">
        <v>7.7</v>
      </c>
      <c r="G188">
        <v>4.2</v>
      </c>
      <c r="H188">
        <v>27.8</v>
      </c>
      <c r="I188">
        <f t="shared" si="4"/>
        <v>3956603.6</v>
      </c>
      <c r="J188">
        <f t="shared" si="5"/>
        <v>337714.4</v>
      </c>
    </row>
    <row r="189" spans="1:10" x14ac:dyDescent="0.25">
      <c r="A189" t="s">
        <v>210</v>
      </c>
      <c r="B189" t="s">
        <v>208</v>
      </c>
      <c r="C189">
        <v>2017</v>
      </c>
      <c r="D189">
        <v>12969</v>
      </c>
      <c r="E189">
        <v>326.89999999999998</v>
      </c>
      <c r="F189">
        <v>7.6</v>
      </c>
      <c r="G189">
        <v>4.0999999999999996</v>
      </c>
      <c r="H189">
        <v>28.4</v>
      </c>
      <c r="I189">
        <f t="shared" si="4"/>
        <v>4239566.0999999996</v>
      </c>
      <c r="J189">
        <f t="shared" si="5"/>
        <v>368319.6</v>
      </c>
    </row>
    <row r="190" spans="1:10" x14ac:dyDescent="0.25">
      <c r="A190" t="s">
        <v>210</v>
      </c>
      <c r="B190" t="s">
        <v>208</v>
      </c>
      <c r="C190">
        <v>2018</v>
      </c>
      <c r="D190">
        <v>12251</v>
      </c>
      <c r="E190">
        <v>322.2</v>
      </c>
      <c r="F190">
        <v>7.2</v>
      </c>
      <c r="G190">
        <v>4</v>
      </c>
      <c r="H190">
        <v>29.5</v>
      </c>
      <c r="I190">
        <f t="shared" si="4"/>
        <v>3947272.1999999997</v>
      </c>
      <c r="J190">
        <f t="shared" si="5"/>
        <v>361404.5</v>
      </c>
    </row>
    <row r="191" spans="1:10" x14ac:dyDescent="0.25">
      <c r="A191" t="s">
        <v>210</v>
      </c>
      <c r="B191" t="s">
        <v>208</v>
      </c>
      <c r="C191">
        <v>2019</v>
      </c>
      <c r="D191">
        <v>11456</v>
      </c>
      <c r="E191">
        <v>323.8</v>
      </c>
      <c r="F191">
        <v>7.1</v>
      </c>
      <c r="G191">
        <v>4</v>
      </c>
      <c r="H191">
        <v>31.5</v>
      </c>
      <c r="I191">
        <f t="shared" si="4"/>
        <v>3709452.8000000003</v>
      </c>
      <c r="J191">
        <f t="shared" si="5"/>
        <v>360864</v>
      </c>
    </row>
    <row r="192" spans="1:10" x14ac:dyDescent="0.25">
      <c r="A192" t="s">
        <v>210</v>
      </c>
      <c r="B192" t="s">
        <v>208</v>
      </c>
      <c r="C192">
        <v>2020</v>
      </c>
      <c r="D192">
        <v>11044</v>
      </c>
      <c r="E192">
        <v>329.5</v>
      </c>
      <c r="F192">
        <v>7.2</v>
      </c>
      <c r="G192">
        <v>4.0999999999999996</v>
      </c>
      <c r="H192">
        <v>31.6</v>
      </c>
      <c r="I192">
        <f t="shared" si="4"/>
        <v>3638998</v>
      </c>
      <c r="J192">
        <f t="shared" si="5"/>
        <v>348990.4</v>
      </c>
    </row>
    <row r="193" spans="1:10" x14ac:dyDescent="0.25">
      <c r="A193" t="s">
        <v>210</v>
      </c>
      <c r="B193" t="s">
        <v>208</v>
      </c>
      <c r="C193">
        <v>2021</v>
      </c>
      <c r="D193">
        <v>10036</v>
      </c>
      <c r="E193">
        <v>332.4</v>
      </c>
      <c r="F193">
        <v>7.2</v>
      </c>
      <c r="G193">
        <v>4.0999999999999996</v>
      </c>
      <c r="H193">
        <v>32.4</v>
      </c>
      <c r="I193">
        <f t="shared" si="4"/>
        <v>3335966.4</v>
      </c>
      <c r="J193">
        <f t="shared" si="5"/>
        <v>325166.39999999997</v>
      </c>
    </row>
    <row r="194" spans="1:10" x14ac:dyDescent="0.25">
      <c r="A194" t="s">
        <v>210</v>
      </c>
      <c r="B194" t="s">
        <v>213</v>
      </c>
      <c r="C194">
        <v>2016</v>
      </c>
      <c r="D194">
        <v>1478</v>
      </c>
      <c r="E194">
        <v>334.4</v>
      </c>
      <c r="F194">
        <v>9.1</v>
      </c>
      <c r="G194">
        <v>6.5</v>
      </c>
      <c r="H194">
        <v>26.4</v>
      </c>
      <c r="I194">
        <f t="shared" si="4"/>
        <v>494243.19999999995</v>
      </c>
      <c r="J194">
        <f t="shared" si="5"/>
        <v>39019.199999999997</v>
      </c>
    </row>
    <row r="195" spans="1:10" x14ac:dyDescent="0.25">
      <c r="A195" t="s">
        <v>210</v>
      </c>
      <c r="B195" t="s">
        <v>213</v>
      </c>
      <c r="C195">
        <v>2017</v>
      </c>
      <c r="D195">
        <v>1420</v>
      </c>
      <c r="E195">
        <v>343.6</v>
      </c>
      <c r="F195">
        <v>9.1999999999999993</v>
      </c>
      <c r="G195">
        <v>6.6</v>
      </c>
      <c r="H195">
        <v>27.8</v>
      </c>
      <c r="I195">
        <f t="shared" ref="I195:I258" si="6">D195*E195</f>
        <v>487912.00000000006</v>
      </c>
      <c r="J195">
        <f t="shared" ref="J195:J258" si="7">D195*H195</f>
        <v>39476</v>
      </c>
    </row>
    <row r="196" spans="1:10" x14ac:dyDescent="0.25">
      <c r="A196" t="s">
        <v>210</v>
      </c>
      <c r="B196" t="s">
        <v>213</v>
      </c>
      <c r="C196">
        <v>2018</v>
      </c>
      <c r="D196">
        <v>1536</v>
      </c>
      <c r="E196">
        <v>330.1</v>
      </c>
      <c r="F196">
        <v>8.4</v>
      </c>
      <c r="G196">
        <v>6.4</v>
      </c>
      <c r="H196">
        <v>27.9</v>
      </c>
      <c r="I196">
        <f t="shared" si="6"/>
        <v>507033.60000000003</v>
      </c>
      <c r="J196">
        <f t="shared" si="7"/>
        <v>42854.399999999994</v>
      </c>
    </row>
    <row r="197" spans="1:10" x14ac:dyDescent="0.25">
      <c r="A197" t="s">
        <v>210</v>
      </c>
      <c r="B197" t="s">
        <v>213</v>
      </c>
      <c r="C197">
        <v>2019</v>
      </c>
      <c r="D197">
        <v>1608</v>
      </c>
      <c r="E197">
        <v>330.2</v>
      </c>
      <c r="F197">
        <v>8.3000000000000007</v>
      </c>
      <c r="G197">
        <v>6.2</v>
      </c>
      <c r="H197">
        <v>28.8</v>
      </c>
      <c r="I197">
        <f t="shared" si="6"/>
        <v>530961.6</v>
      </c>
      <c r="J197">
        <f t="shared" si="7"/>
        <v>46310.400000000001</v>
      </c>
    </row>
    <row r="198" spans="1:10" x14ac:dyDescent="0.25">
      <c r="A198" t="s">
        <v>210</v>
      </c>
      <c r="B198" t="s">
        <v>213</v>
      </c>
      <c r="C198">
        <v>2020</v>
      </c>
      <c r="D198">
        <v>1848</v>
      </c>
      <c r="E198">
        <v>328</v>
      </c>
      <c r="F198">
        <v>8.1999999999999993</v>
      </c>
      <c r="G198">
        <v>6.2</v>
      </c>
      <c r="H198">
        <v>28.6</v>
      </c>
      <c r="I198">
        <f t="shared" si="6"/>
        <v>606144</v>
      </c>
      <c r="J198">
        <f t="shared" si="7"/>
        <v>52852.800000000003</v>
      </c>
    </row>
    <row r="199" spans="1:10" x14ac:dyDescent="0.25">
      <c r="A199" t="s">
        <v>210</v>
      </c>
      <c r="B199" t="s">
        <v>213</v>
      </c>
      <c r="C199">
        <v>2021</v>
      </c>
      <c r="D199">
        <v>1857</v>
      </c>
      <c r="E199">
        <v>335.7</v>
      </c>
      <c r="F199">
        <v>8.4</v>
      </c>
      <c r="G199">
        <v>6.4</v>
      </c>
      <c r="H199">
        <v>28.7</v>
      </c>
      <c r="I199">
        <f t="shared" si="6"/>
        <v>623394.9</v>
      </c>
      <c r="J199">
        <f t="shared" si="7"/>
        <v>53295.9</v>
      </c>
    </row>
    <row r="200" spans="1:10" x14ac:dyDescent="0.25">
      <c r="A200" t="s">
        <v>210</v>
      </c>
      <c r="B200" t="s">
        <v>216</v>
      </c>
      <c r="C200">
        <v>2016</v>
      </c>
      <c r="D200">
        <v>293</v>
      </c>
      <c r="E200">
        <v>359.8</v>
      </c>
      <c r="F200">
        <v>7.6</v>
      </c>
      <c r="G200">
        <v>7.5</v>
      </c>
      <c r="H200">
        <v>23.9</v>
      </c>
      <c r="I200">
        <f t="shared" si="6"/>
        <v>105421.40000000001</v>
      </c>
      <c r="J200">
        <f t="shared" si="7"/>
        <v>7002.7</v>
      </c>
    </row>
    <row r="201" spans="1:10" x14ac:dyDescent="0.25">
      <c r="A201" t="s">
        <v>210</v>
      </c>
      <c r="B201" t="s">
        <v>216</v>
      </c>
      <c r="C201">
        <v>2017</v>
      </c>
      <c r="D201">
        <v>280</v>
      </c>
      <c r="E201">
        <v>360</v>
      </c>
      <c r="F201">
        <v>7.5</v>
      </c>
      <c r="G201">
        <v>7.4</v>
      </c>
      <c r="H201">
        <v>29.4</v>
      </c>
      <c r="I201">
        <f t="shared" si="6"/>
        <v>100800</v>
      </c>
      <c r="J201">
        <f t="shared" si="7"/>
        <v>8232</v>
      </c>
    </row>
    <row r="202" spans="1:10" x14ac:dyDescent="0.25">
      <c r="A202" t="s">
        <v>210</v>
      </c>
      <c r="B202" t="s">
        <v>216</v>
      </c>
      <c r="C202">
        <v>2018</v>
      </c>
      <c r="D202">
        <v>211</v>
      </c>
      <c r="E202">
        <v>372.1</v>
      </c>
      <c r="F202">
        <v>7.3</v>
      </c>
      <c r="G202">
        <v>7.3</v>
      </c>
      <c r="H202">
        <v>25.3</v>
      </c>
      <c r="I202">
        <f t="shared" si="6"/>
        <v>78513.100000000006</v>
      </c>
      <c r="J202">
        <f t="shared" si="7"/>
        <v>5338.3</v>
      </c>
    </row>
    <row r="203" spans="1:10" x14ac:dyDescent="0.25">
      <c r="A203" t="s">
        <v>210</v>
      </c>
      <c r="B203" t="s">
        <v>216</v>
      </c>
      <c r="C203">
        <v>2019</v>
      </c>
      <c r="D203">
        <v>223</v>
      </c>
      <c r="E203">
        <v>357.2</v>
      </c>
      <c r="F203">
        <v>7.3</v>
      </c>
      <c r="G203">
        <v>6.9</v>
      </c>
      <c r="H203">
        <v>26.5</v>
      </c>
      <c r="I203">
        <f t="shared" si="6"/>
        <v>79655.599999999991</v>
      </c>
      <c r="J203">
        <f t="shared" si="7"/>
        <v>5909.5</v>
      </c>
    </row>
    <row r="204" spans="1:10" x14ac:dyDescent="0.25">
      <c r="A204" t="s">
        <v>210</v>
      </c>
      <c r="B204" t="s">
        <v>216</v>
      </c>
      <c r="C204">
        <v>2020</v>
      </c>
      <c r="D204">
        <v>224</v>
      </c>
      <c r="E204">
        <v>358.9</v>
      </c>
      <c r="F204">
        <v>6.8</v>
      </c>
      <c r="G204">
        <v>7</v>
      </c>
      <c r="H204">
        <v>26.5</v>
      </c>
      <c r="I204">
        <f t="shared" si="6"/>
        <v>80393.599999999991</v>
      </c>
      <c r="J204">
        <f t="shared" si="7"/>
        <v>5936</v>
      </c>
    </row>
    <row r="205" spans="1:10" x14ac:dyDescent="0.25">
      <c r="A205" t="s">
        <v>210</v>
      </c>
      <c r="B205" t="s">
        <v>216</v>
      </c>
      <c r="C205">
        <v>2021</v>
      </c>
      <c r="D205">
        <v>213</v>
      </c>
      <c r="E205">
        <v>353.4</v>
      </c>
      <c r="F205">
        <v>6.9</v>
      </c>
      <c r="G205">
        <v>6.9</v>
      </c>
      <c r="H205">
        <v>25.2</v>
      </c>
      <c r="I205">
        <f t="shared" si="6"/>
        <v>75274.2</v>
      </c>
      <c r="J205">
        <f t="shared" si="7"/>
        <v>5367.5999999999995</v>
      </c>
    </row>
    <row r="206" spans="1:10" x14ac:dyDescent="0.25">
      <c r="A206" t="s">
        <v>210</v>
      </c>
      <c r="B206" t="s">
        <v>217</v>
      </c>
      <c r="C206">
        <v>2016</v>
      </c>
      <c r="D206">
        <v>436</v>
      </c>
      <c r="E206">
        <v>334.1</v>
      </c>
      <c r="F206">
        <v>9.4</v>
      </c>
      <c r="G206">
        <v>6.6</v>
      </c>
      <c r="H206">
        <v>26</v>
      </c>
      <c r="I206">
        <f t="shared" si="6"/>
        <v>145667.6</v>
      </c>
      <c r="J206">
        <f t="shared" si="7"/>
        <v>11336</v>
      </c>
    </row>
    <row r="207" spans="1:10" x14ac:dyDescent="0.25">
      <c r="A207" t="s">
        <v>210</v>
      </c>
      <c r="B207" t="s">
        <v>217</v>
      </c>
      <c r="C207">
        <v>2017</v>
      </c>
      <c r="D207">
        <v>518</v>
      </c>
      <c r="E207">
        <v>344.4</v>
      </c>
      <c r="F207">
        <v>9.3000000000000007</v>
      </c>
      <c r="G207">
        <v>6.7</v>
      </c>
      <c r="H207">
        <v>27.2</v>
      </c>
      <c r="I207">
        <f t="shared" si="6"/>
        <v>178399.19999999998</v>
      </c>
      <c r="J207">
        <f t="shared" si="7"/>
        <v>14089.6</v>
      </c>
    </row>
    <row r="208" spans="1:10" x14ac:dyDescent="0.25">
      <c r="A208" t="s">
        <v>210</v>
      </c>
      <c r="B208" t="s">
        <v>217</v>
      </c>
      <c r="C208">
        <v>2018</v>
      </c>
      <c r="D208">
        <v>651</v>
      </c>
      <c r="E208">
        <v>334.2</v>
      </c>
      <c r="F208">
        <v>8.9</v>
      </c>
      <c r="G208">
        <v>6.5</v>
      </c>
      <c r="H208">
        <v>27.4</v>
      </c>
      <c r="I208">
        <f t="shared" si="6"/>
        <v>217564.19999999998</v>
      </c>
      <c r="J208">
        <f t="shared" si="7"/>
        <v>17837.399999999998</v>
      </c>
    </row>
    <row r="209" spans="1:10" x14ac:dyDescent="0.25">
      <c r="A209" t="s">
        <v>210</v>
      </c>
      <c r="B209" t="s">
        <v>217</v>
      </c>
      <c r="C209">
        <v>2019</v>
      </c>
      <c r="D209">
        <v>659</v>
      </c>
      <c r="E209">
        <v>333.2</v>
      </c>
      <c r="F209">
        <v>8.6</v>
      </c>
      <c r="G209">
        <v>6.4</v>
      </c>
      <c r="H209">
        <v>28.1</v>
      </c>
      <c r="I209">
        <f t="shared" si="6"/>
        <v>219578.8</v>
      </c>
      <c r="J209">
        <f t="shared" si="7"/>
        <v>18517.900000000001</v>
      </c>
    </row>
    <row r="210" spans="1:10" x14ac:dyDescent="0.25">
      <c r="A210" t="s">
        <v>210</v>
      </c>
      <c r="B210" t="s">
        <v>217</v>
      </c>
      <c r="C210">
        <v>2020</v>
      </c>
      <c r="D210">
        <v>786</v>
      </c>
      <c r="E210">
        <v>334.4</v>
      </c>
      <c r="F210">
        <v>8.4</v>
      </c>
      <c r="G210">
        <v>6.5</v>
      </c>
      <c r="H210">
        <v>33.4</v>
      </c>
      <c r="I210">
        <f t="shared" si="6"/>
        <v>262838.39999999997</v>
      </c>
      <c r="J210">
        <f t="shared" si="7"/>
        <v>26252.399999999998</v>
      </c>
    </row>
    <row r="211" spans="1:10" x14ac:dyDescent="0.25">
      <c r="A211" t="s">
        <v>210</v>
      </c>
      <c r="B211" t="s">
        <v>217</v>
      </c>
      <c r="C211">
        <v>2021</v>
      </c>
      <c r="D211">
        <v>820</v>
      </c>
      <c r="E211">
        <v>340.2</v>
      </c>
      <c r="F211">
        <v>8.6</v>
      </c>
      <c r="G211">
        <v>6.7</v>
      </c>
      <c r="H211">
        <v>32.6</v>
      </c>
      <c r="I211">
        <f t="shared" si="6"/>
        <v>278964</v>
      </c>
      <c r="J211">
        <f t="shared" si="7"/>
        <v>26732</v>
      </c>
    </row>
    <row r="212" spans="1:10" x14ac:dyDescent="0.25">
      <c r="A212" t="s">
        <v>210</v>
      </c>
      <c r="B212" t="s">
        <v>219</v>
      </c>
      <c r="C212">
        <v>2016</v>
      </c>
      <c r="D212">
        <v>79</v>
      </c>
      <c r="E212">
        <v>332.2</v>
      </c>
      <c r="F212">
        <v>7.6</v>
      </c>
      <c r="G212">
        <v>7.7</v>
      </c>
      <c r="H212">
        <v>22.8</v>
      </c>
      <c r="I212">
        <f t="shared" si="6"/>
        <v>26243.8</v>
      </c>
      <c r="J212">
        <f t="shared" si="7"/>
        <v>1801.2</v>
      </c>
    </row>
    <row r="213" spans="1:10" x14ac:dyDescent="0.25">
      <c r="A213" t="s">
        <v>210</v>
      </c>
      <c r="B213" t="s">
        <v>219</v>
      </c>
      <c r="C213">
        <v>2017</v>
      </c>
      <c r="D213">
        <v>116</v>
      </c>
      <c r="E213">
        <v>355.4</v>
      </c>
      <c r="F213">
        <v>8</v>
      </c>
      <c r="G213">
        <v>8</v>
      </c>
      <c r="H213">
        <v>23.5</v>
      </c>
      <c r="I213">
        <f t="shared" si="6"/>
        <v>41226.399999999994</v>
      </c>
      <c r="J213">
        <f t="shared" si="7"/>
        <v>2726</v>
      </c>
    </row>
    <row r="214" spans="1:10" x14ac:dyDescent="0.25">
      <c r="A214" t="s">
        <v>210</v>
      </c>
      <c r="B214" t="s">
        <v>219</v>
      </c>
      <c r="C214">
        <v>2018</v>
      </c>
      <c r="D214">
        <v>93</v>
      </c>
      <c r="E214">
        <v>338.5</v>
      </c>
      <c r="F214">
        <v>7.8</v>
      </c>
      <c r="G214">
        <v>7</v>
      </c>
      <c r="H214">
        <v>24.6</v>
      </c>
      <c r="I214">
        <f t="shared" si="6"/>
        <v>31480.5</v>
      </c>
      <c r="J214">
        <f t="shared" si="7"/>
        <v>2287.8000000000002</v>
      </c>
    </row>
    <row r="215" spans="1:10" x14ac:dyDescent="0.25">
      <c r="A215" t="s">
        <v>210</v>
      </c>
      <c r="B215" t="s">
        <v>219</v>
      </c>
      <c r="C215">
        <v>2019</v>
      </c>
      <c r="D215">
        <v>136</v>
      </c>
      <c r="E215">
        <v>351.3</v>
      </c>
      <c r="F215">
        <v>8.1</v>
      </c>
      <c r="G215">
        <v>6.7</v>
      </c>
      <c r="H215">
        <v>25.9</v>
      </c>
      <c r="I215">
        <f t="shared" si="6"/>
        <v>47776.800000000003</v>
      </c>
      <c r="J215">
        <f t="shared" si="7"/>
        <v>3522.3999999999996</v>
      </c>
    </row>
    <row r="216" spans="1:10" x14ac:dyDescent="0.25">
      <c r="A216" t="s">
        <v>210</v>
      </c>
      <c r="B216" t="s">
        <v>219</v>
      </c>
      <c r="C216">
        <v>2020</v>
      </c>
      <c r="D216">
        <v>183</v>
      </c>
      <c r="E216">
        <v>345.4</v>
      </c>
      <c r="F216">
        <v>7.8</v>
      </c>
      <c r="G216">
        <v>6.8</v>
      </c>
      <c r="H216">
        <v>25.7</v>
      </c>
      <c r="I216">
        <f t="shared" si="6"/>
        <v>63208.2</v>
      </c>
      <c r="J216">
        <f t="shared" si="7"/>
        <v>4703.0999999999995</v>
      </c>
    </row>
    <row r="217" spans="1:10" x14ac:dyDescent="0.25">
      <c r="A217" t="s">
        <v>210</v>
      </c>
      <c r="B217" t="s">
        <v>219</v>
      </c>
      <c r="C217">
        <v>2021</v>
      </c>
      <c r="D217">
        <v>185</v>
      </c>
      <c r="E217">
        <v>352</v>
      </c>
      <c r="F217">
        <v>7.6</v>
      </c>
      <c r="G217">
        <v>7.2</v>
      </c>
      <c r="H217">
        <v>26.3</v>
      </c>
      <c r="I217">
        <f t="shared" si="6"/>
        <v>65120</v>
      </c>
      <c r="J217">
        <f t="shared" si="7"/>
        <v>4865.5</v>
      </c>
    </row>
    <row r="218" spans="1:10" x14ac:dyDescent="0.25">
      <c r="A218" t="s">
        <v>210</v>
      </c>
      <c r="B218" t="s">
        <v>220</v>
      </c>
      <c r="C218">
        <v>2016</v>
      </c>
      <c r="D218">
        <v>318</v>
      </c>
      <c r="E218">
        <v>345.7</v>
      </c>
      <c r="F218">
        <v>7.8</v>
      </c>
      <c r="G218">
        <v>6.8</v>
      </c>
      <c r="H218">
        <v>25.1</v>
      </c>
      <c r="I218">
        <f t="shared" si="6"/>
        <v>109932.59999999999</v>
      </c>
      <c r="J218">
        <f t="shared" si="7"/>
        <v>7981.8</v>
      </c>
    </row>
    <row r="219" spans="1:10" x14ac:dyDescent="0.25">
      <c r="A219" t="s">
        <v>210</v>
      </c>
      <c r="B219" t="s">
        <v>220</v>
      </c>
      <c r="C219">
        <v>2017</v>
      </c>
      <c r="D219">
        <v>408</v>
      </c>
      <c r="E219">
        <v>353.3</v>
      </c>
      <c r="F219">
        <v>7.7</v>
      </c>
      <c r="G219">
        <v>6.9</v>
      </c>
      <c r="H219">
        <v>25.1</v>
      </c>
      <c r="I219">
        <f t="shared" si="6"/>
        <v>144146.4</v>
      </c>
      <c r="J219">
        <f t="shared" si="7"/>
        <v>10240.800000000001</v>
      </c>
    </row>
    <row r="220" spans="1:10" x14ac:dyDescent="0.25">
      <c r="A220" t="s">
        <v>210</v>
      </c>
      <c r="B220" t="s">
        <v>220</v>
      </c>
      <c r="C220">
        <v>2018</v>
      </c>
      <c r="D220">
        <v>353</v>
      </c>
      <c r="E220">
        <v>340.4</v>
      </c>
      <c r="F220">
        <v>7.1</v>
      </c>
      <c r="G220">
        <v>6.5</v>
      </c>
      <c r="H220">
        <v>25</v>
      </c>
      <c r="I220">
        <f t="shared" si="6"/>
        <v>120161.2</v>
      </c>
      <c r="J220">
        <f t="shared" si="7"/>
        <v>8825</v>
      </c>
    </row>
    <row r="221" spans="1:10" x14ac:dyDescent="0.25">
      <c r="A221" t="s">
        <v>210</v>
      </c>
      <c r="B221" t="s">
        <v>220</v>
      </c>
      <c r="C221">
        <v>2019</v>
      </c>
      <c r="D221">
        <v>387</v>
      </c>
      <c r="E221">
        <v>337.6</v>
      </c>
      <c r="F221">
        <v>7.1</v>
      </c>
      <c r="G221">
        <v>6.3</v>
      </c>
      <c r="H221">
        <v>25.3</v>
      </c>
      <c r="I221">
        <f t="shared" si="6"/>
        <v>130651.20000000001</v>
      </c>
      <c r="J221">
        <f t="shared" si="7"/>
        <v>9791.1</v>
      </c>
    </row>
    <row r="222" spans="1:10" x14ac:dyDescent="0.25">
      <c r="A222" t="s">
        <v>210</v>
      </c>
      <c r="B222" t="s">
        <v>220</v>
      </c>
      <c r="C222">
        <v>2020</v>
      </c>
      <c r="D222">
        <v>410</v>
      </c>
      <c r="E222">
        <v>343.7</v>
      </c>
      <c r="F222">
        <v>7.2</v>
      </c>
      <c r="G222">
        <v>6.4</v>
      </c>
      <c r="H222">
        <v>27</v>
      </c>
      <c r="I222">
        <f t="shared" si="6"/>
        <v>140917</v>
      </c>
      <c r="J222">
        <f t="shared" si="7"/>
        <v>11070</v>
      </c>
    </row>
    <row r="223" spans="1:10" x14ac:dyDescent="0.25">
      <c r="A223" t="s">
        <v>210</v>
      </c>
      <c r="B223" t="s">
        <v>220</v>
      </c>
      <c r="C223">
        <v>2021</v>
      </c>
      <c r="D223">
        <v>405</v>
      </c>
      <c r="E223">
        <v>356.7</v>
      </c>
      <c r="F223">
        <v>7.3</v>
      </c>
      <c r="G223">
        <v>6.7</v>
      </c>
      <c r="H223">
        <v>26.8</v>
      </c>
      <c r="I223">
        <f t="shared" si="6"/>
        <v>144463.5</v>
      </c>
      <c r="J223">
        <f t="shared" si="7"/>
        <v>10854</v>
      </c>
    </row>
    <row r="224" spans="1:10" x14ac:dyDescent="0.25">
      <c r="A224" t="s">
        <v>210</v>
      </c>
      <c r="B224" t="s">
        <v>222</v>
      </c>
      <c r="C224">
        <v>2016</v>
      </c>
      <c r="D224">
        <v>179</v>
      </c>
      <c r="E224">
        <v>256.10000000000002</v>
      </c>
      <c r="F224">
        <v>7.9</v>
      </c>
      <c r="G224">
        <v>5.2</v>
      </c>
      <c r="H224">
        <v>40.1</v>
      </c>
      <c r="I224">
        <f t="shared" si="6"/>
        <v>45841.9</v>
      </c>
      <c r="J224">
        <f t="shared" si="7"/>
        <v>7177.9000000000005</v>
      </c>
    </row>
    <row r="225" spans="1:10" x14ac:dyDescent="0.25">
      <c r="A225" t="s">
        <v>210</v>
      </c>
      <c r="B225" t="s">
        <v>222</v>
      </c>
      <c r="C225">
        <v>2017</v>
      </c>
      <c r="D225">
        <v>148</v>
      </c>
      <c r="E225">
        <v>229.3</v>
      </c>
      <c r="F225">
        <v>6.8</v>
      </c>
      <c r="G225">
        <v>4.5</v>
      </c>
      <c r="H225">
        <v>49</v>
      </c>
      <c r="I225">
        <f t="shared" si="6"/>
        <v>33936.400000000001</v>
      </c>
      <c r="J225">
        <f t="shared" si="7"/>
        <v>7252</v>
      </c>
    </row>
    <row r="226" spans="1:10" x14ac:dyDescent="0.25">
      <c r="A226" t="s">
        <v>210</v>
      </c>
      <c r="B226" t="s">
        <v>222</v>
      </c>
      <c r="C226">
        <v>2018</v>
      </c>
      <c r="D226">
        <v>164</v>
      </c>
      <c r="E226">
        <v>230.8</v>
      </c>
      <c r="F226">
        <v>6.8</v>
      </c>
      <c r="G226">
        <v>4.5</v>
      </c>
      <c r="H226">
        <v>40.299999999999997</v>
      </c>
      <c r="I226">
        <f t="shared" si="6"/>
        <v>37851.200000000004</v>
      </c>
      <c r="J226">
        <f t="shared" si="7"/>
        <v>6609.2</v>
      </c>
    </row>
    <row r="227" spans="1:10" x14ac:dyDescent="0.25">
      <c r="A227" t="s">
        <v>210</v>
      </c>
      <c r="B227" t="s">
        <v>222</v>
      </c>
      <c r="C227">
        <v>2019</v>
      </c>
      <c r="D227">
        <v>143</v>
      </c>
      <c r="E227">
        <v>245.2</v>
      </c>
      <c r="F227">
        <v>6.7</v>
      </c>
      <c r="G227">
        <v>4.5</v>
      </c>
      <c r="H227">
        <v>47</v>
      </c>
      <c r="I227">
        <f t="shared" si="6"/>
        <v>35063.599999999999</v>
      </c>
      <c r="J227">
        <f t="shared" si="7"/>
        <v>6721</v>
      </c>
    </row>
    <row r="228" spans="1:10" x14ac:dyDescent="0.25">
      <c r="A228" t="s">
        <v>210</v>
      </c>
      <c r="B228" t="s">
        <v>222</v>
      </c>
      <c r="C228">
        <v>2020</v>
      </c>
      <c r="D228">
        <v>92</v>
      </c>
      <c r="E228">
        <v>246.3</v>
      </c>
      <c r="F228">
        <v>6.9</v>
      </c>
      <c r="G228">
        <v>5.0999999999999996</v>
      </c>
      <c r="H228">
        <v>36.4</v>
      </c>
      <c r="I228">
        <f t="shared" si="6"/>
        <v>22659.600000000002</v>
      </c>
      <c r="J228">
        <f t="shared" si="7"/>
        <v>3348.7999999999997</v>
      </c>
    </row>
    <row r="229" spans="1:10" x14ac:dyDescent="0.25">
      <c r="A229" t="s">
        <v>210</v>
      </c>
      <c r="B229" t="s">
        <v>222</v>
      </c>
      <c r="C229">
        <v>2021</v>
      </c>
      <c r="D229">
        <v>97</v>
      </c>
      <c r="E229">
        <v>238.7</v>
      </c>
      <c r="F229">
        <v>6.6</v>
      </c>
      <c r="G229">
        <v>4.9000000000000004</v>
      </c>
      <c r="H229">
        <v>35.799999999999997</v>
      </c>
      <c r="I229">
        <f t="shared" si="6"/>
        <v>23153.899999999998</v>
      </c>
      <c r="J229">
        <f t="shared" si="7"/>
        <v>3472.6</v>
      </c>
    </row>
    <row r="230" spans="1:10" x14ac:dyDescent="0.25">
      <c r="A230" t="s">
        <v>210</v>
      </c>
      <c r="B230" t="s">
        <v>223</v>
      </c>
      <c r="C230">
        <v>2016</v>
      </c>
      <c r="D230">
        <v>6</v>
      </c>
      <c r="E230">
        <v>323.2</v>
      </c>
      <c r="F230">
        <v>7</v>
      </c>
      <c r="G230">
        <v>6</v>
      </c>
      <c r="H230">
        <v>25</v>
      </c>
      <c r="I230">
        <f t="shared" si="6"/>
        <v>1939.1999999999998</v>
      </c>
      <c r="J230">
        <f t="shared" si="7"/>
        <v>150</v>
      </c>
    </row>
    <row r="231" spans="1:10" x14ac:dyDescent="0.25">
      <c r="A231" t="s">
        <v>210</v>
      </c>
      <c r="B231" t="s">
        <v>223</v>
      </c>
      <c r="C231">
        <v>2017</v>
      </c>
      <c r="D231">
        <v>18</v>
      </c>
      <c r="E231">
        <v>341</v>
      </c>
      <c r="F231">
        <v>8.1999999999999993</v>
      </c>
      <c r="G231">
        <v>5.7</v>
      </c>
      <c r="H231">
        <v>32.5</v>
      </c>
      <c r="I231">
        <f t="shared" si="6"/>
        <v>6138</v>
      </c>
      <c r="J231">
        <f t="shared" si="7"/>
        <v>585</v>
      </c>
    </row>
    <row r="232" spans="1:10" x14ac:dyDescent="0.25">
      <c r="A232" t="s">
        <v>210</v>
      </c>
      <c r="B232" t="s">
        <v>223</v>
      </c>
      <c r="C232">
        <v>2018</v>
      </c>
      <c r="D232">
        <v>12</v>
      </c>
      <c r="E232">
        <v>351.8</v>
      </c>
      <c r="F232">
        <v>7.8</v>
      </c>
      <c r="G232">
        <v>6.8</v>
      </c>
      <c r="H232">
        <v>32.4</v>
      </c>
      <c r="I232">
        <f t="shared" si="6"/>
        <v>4221.6000000000004</v>
      </c>
      <c r="J232">
        <f t="shared" si="7"/>
        <v>388.79999999999995</v>
      </c>
    </row>
    <row r="233" spans="1:10" x14ac:dyDescent="0.25">
      <c r="A233" t="s">
        <v>210</v>
      </c>
      <c r="B233" t="s">
        <v>223</v>
      </c>
      <c r="C233">
        <v>2019</v>
      </c>
      <c r="D233">
        <v>14</v>
      </c>
      <c r="E233">
        <v>319.89999999999998</v>
      </c>
      <c r="F233">
        <v>7.1</v>
      </c>
      <c r="G233">
        <v>6.4</v>
      </c>
      <c r="H233">
        <v>22.7</v>
      </c>
      <c r="I233">
        <f t="shared" si="6"/>
        <v>4478.5999999999995</v>
      </c>
      <c r="J233">
        <f t="shared" si="7"/>
        <v>317.8</v>
      </c>
    </row>
    <row r="234" spans="1:10" x14ac:dyDescent="0.25">
      <c r="A234" t="s">
        <v>210</v>
      </c>
      <c r="B234" t="s">
        <v>223</v>
      </c>
      <c r="C234">
        <v>2020</v>
      </c>
      <c r="D234">
        <v>21</v>
      </c>
      <c r="E234">
        <v>333.7</v>
      </c>
      <c r="F234">
        <v>7</v>
      </c>
      <c r="G234">
        <v>5.9</v>
      </c>
      <c r="H234">
        <v>26.4</v>
      </c>
      <c r="I234">
        <f t="shared" si="6"/>
        <v>7007.7</v>
      </c>
      <c r="J234">
        <f t="shared" si="7"/>
        <v>554.4</v>
      </c>
    </row>
    <row r="235" spans="1:10" x14ac:dyDescent="0.25">
      <c r="A235" t="s">
        <v>210</v>
      </c>
      <c r="B235" t="s">
        <v>223</v>
      </c>
      <c r="C235">
        <v>2021</v>
      </c>
      <c r="D235">
        <v>31</v>
      </c>
      <c r="E235">
        <v>342.8</v>
      </c>
      <c r="F235">
        <v>7.6</v>
      </c>
      <c r="G235">
        <v>6.6</v>
      </c>
      <c r="H235">
        <v>30.9</v>
      </c>
      <c r="I235">
        <f t="shared" si="6"/>
        <v>10626.800000000001</v>
      </c>
      <c r="J235">
        <f t="shared" si="7"/>
        <v>957.9</v>
      </c>
    </row>
    <row r="236" spans="1:10" x14ac:dyDescent="0.25">
      <c r="A236" t="s">
        <v>210</v>
      </c>
      <c r="B236" t="s">
        <v>224</v>
      </c>
      <c r="C236">
        <v>2016</v>
      </c>
      <c r="D236">
        <v>6598</v>
      </c>
      <c r="E236">
        <v>338.6</v>
      </c>
      <c r="F236">
        <v>8.3000000000000007</v>
      </c>
      <c r="G236">
        <v>6.2</v>
      </c>
      <c r="H236">
        <v>26.8</v>
      </c>
      <c r="I236">
        <f t="shared" si="6"/>
        <v>2234082.8000000003</v>
      </c>
      <c r="J236">
        <f t="shared" si="7"/>
        <v>176826.4</v>
      </c>
    </row>
    <row r="237" spans="1:10" x14ac:dyDescent="0.25">
      <c r="A237" t="s">
        <v>210</v>
      </c>
      <c r="B237" t="s">
        <v>224</v>
      </c>
      <c r="C237">
        <v>2017</v>
      </c>
      <c r="D237">
        <v>7805</v>
      </c>
      <c r="E237">
        <v>341.7</v>
      </c>
      <c r="F237">
        <v>8.3000000000000007</v>
      </c>
      <c r="G237">
        <v>6.2</v>
      </c>
      <c r="H237">
        <v>27.7</v>
      </c>
      <c r="I237">
        <f t="shared" si="6"/>
        <v>2666968.5</v>
      </c>
      <c r="J237">
        <f t="shared" si="7"/>
        <v>216198.5</v>
      </c>
    </row>
    <row r="238" spans="1:10" x14ac:dyDescent="0.25">
      <c r="A238" t="s">
        <v>210</v>
      </c>
      <c r="B238" t="s">
        <v>224</v>
      </c>
      <c r="C238">
        <v>2018</v>
      </c>
      <c r="D238">
        <v>8365</v>
      </c>
      <c r="E238">
        <v>333.1</v>
      </c>
      <c r="F238">
        <v>7.9</v>
      </c>
      <c r="G238">
        <v>6</v>
      </c>
      <c r="H238">
        <v>28.9</v>
      </c>
      <c r="I238">
        <f t="shared" si="6"/>
        <v>2786381.5</v>
      </c>
      <c r="J238">
        <f t="shared" si="7"/>
        <v>241748.5</v>
      </c>
    </row>
    <row r="239" spans="1:10" x14ac:dyDescent="0.25">
      <c r="A239" t="s">
        <v>210</v>
      </c>
      <c r="B239" t="s">
        <v>224</v>
      </c>
      <c r="C239">
        <v>2019</v>
      </c>
      <c r="D239">
        <v>8272</v>
      </c>
      <c r="E239">
        <v>333.8</v>
      </c>
      <c r="F239">
        <v>7.7</v>
      </c>
      <c r="G239">
        <v>5.9</v>
      </c>
      <c r="H239">
        <v>29.2</v>
      </c>
      <c r="I239">
        <f t="shared" si="6"/>
        <v>2761193.6</v>
      </c>
      <c r="J239">
        <f t="shared" si="7"/>
        <v>241542.39999999999</v>
      </c>
    </row>
    <row r="240" spans="1:10" x14ac:dyDescent="0.25">
      <c r="A240" t="s">
        <v>210</v>
      </c>
      <c r="B240" t="s">
        <v>224</v>
      </c>
      <c r="C240">
        <v>2020</v>
      </c>
      <c r="D240">
        <v>8766</v>
      </c>
      <c r="E240">
        <v>336</v>
      </c>
      <c r="F240">
        <v>7.7</v>
      </c>
      <c r="G240">
        <v>6</v>
      </c>
      <c r="H240">
        <v>29.5</v>
      </c>
      <c r="I240">
        <f t="shared" si="6"/>
        <v>2945376</v>
      </c>
      <c r="J240">
        <f t="shared" si="7"/>
        <v>258597</v>
      </c>
    </row>
    <row r="241" spans="1:10" x14ac:dyDescent="0.25">
      <c r="A241" t="s">
        <v>210</v>
      </c>
      <c r="B241" t="s">
        <v>224</v>
      </c>
      <c r="C241">
        <v>2021</v>
      </c>
      <c r="D241">
        <v>8674</v>
      </c>
      <c r="E241">
        <v>342.1</v>
      </c>
      <c r="F241">
        <v>7.8</v>
      </c>
      <c r="G241">
        <v>6.3</v>
      </c>
      <c r="H241">
        <v>29.6</v>
      </c>
      <c r="I241">
        <f t="shared" si="6"/>
        <v>2967375.4000000004</v>
      </c>
      <c r="J241">
        <f t="shared" si="7"/>
        <v>256750.40000000002</v>
      </c>
    </row>
    <row r="242" spans="1:10" x14ac:dyDescent="0.25">
      <c r="A242" t="s">
        <v>212</v>
      </c>
      <c r="B242" t="s">
        <v>200</v>
      </c>
      <c r="C242">
        <v>2016</v>
      </c>
      <c r="D242">
        <v>24950</v>
      </c>
      <c r="E242">
        <v>326.39999999999998</v>
      </c>
      <c r="F242">
        <v>7.1</v>
      </c>
      <c r="G242">
        <v>5.4</v>
      </c>
      <c r="H242">
        <v>19.7</v>
      </c>
      <c r="I242">
        <f t="shared" si="6"/>
        <v>8143679.9999999991</v>
      </c>
      <c r="J242">
        <f t="shared" si="7"/>
        <v>491515</v>
      </c>
    </row>
    <row r="243" spans="1:10" x14ac:dyDescent="0.25">
      <c r="A243" t="s">
        <v>212</v>
      </c>
      <c r="B243" t="s">
        <v>200</v>
      </c>
      <c r="C243">
        <v>2017</v>
      </c>
      <c r="D243">
        <v>24916</v>
      </c>
      <c r="E243">
        <v>330.2</v>
      </c>
      <c r="F243">
        <v>7.1</v>
      </c>
      <c r="G243">
        <v>5.3</v>
      </c>
      <c r="H243">
        <v>20.3</v>
      </c>
      <c r="I243">
        <f t="shared" si="6"/>
        <v>8227263.1999999993</v>
      </c>
      <c r="J243">
        <f t="shared" si="7"/>
        <v>505794.80000000005</v>
      </c>
    </row>
    <row r="244" spans="1:10" x14ac:dyDescent="0.25">
      <c r="A244" t="s">
        <v>212</v>
      </c>
      <c r="B244" t="s">
        <v>200</v>
      </c>
      <c r="C244">
        <v>2018</v>
      </c>
      <c r="D244">
        <v>22985</v>
      </c>
      <c r="E244">
        <v>327.60000000000002</v>
      </c>
      <c r="F244">
        <v>7</v>
      </c>
      <c r="G244">
        <v>5.3</v>
      </c>
      <c r="H244">
        <v>20.6</v>
      </c>
      <c r="I244">
        <f t="shared" si="6"/>
        <v>7529886.0000000009</v>
      </c>
      <c r="J244">
        <f t="shared" si="7"/>
        <v>473491.00000000006</v>
      </c>
    </row>
    <row r="245" spans="1:10" x14ac:dyDescent="0.25">
      <c r="A245" t="s">
        <v>212</v>
      </c>
      <c r="B245" t="s">
        <v>200</v>
      </c>
      <c r="C245">
        <v>2019</v>
      </c>
      <c r="D245">
        <v>20980</v>
      </c>
      <c r="E245">
        <v>325.8</v>
      </c>
      <c r="F245">
        <v>6.8</v>
      </c>
      <c r="G245">
        <v>5.2</v>
      </c>
      <c r="H245">
        <v>22.2</v>
      </c>
      <c r="I245">
        <f t="shared" si="6"/>
        <v>6835284</v>
      </c>
      <c r="J245">
        <f t="shared" si="7"/>
        <v>465756</v>
      </c>
    </row>
    <row r="246" spans="1:10" x14ac:dyDescent="0.25">
      <c r="A246" t="s">
        <v>212</v>
      </c>
      <c r="B246" t="s">
        <v>200</v>
      </c>
      <c r="C246">
        <v>2020</v>
      </c>
      <c r="D246">
        <v>20762</v>
      </c>
      <c r="E246">
        <v>325.89999999999998</v>
      </c>
      <c r="F246">
        <v>6.8</v>
      </c>
      <c r="G246">
        <v>5.2</v>
      </c>
      <c r="H246">
        <v>22.3</v>
      </c>
      <c r="I246">
        <f t="shared" si="6"/>
        <v>6766335.7999999998</v>
      </c>
      <c r="J246">
        <f t="shared" si="7"/>
        <v>462992.60000000003</v>
      </c>
    </row>
    <row r="247" spans="1:10" x14ac:dyDescent="0.25">
      <c r="A247" t="s">
        <v>212</v>
      </c>
      <c r="B247" t="s">
        <v>200</v>
      </c>
      <c r="C247">
        <v>2021</v>
      </c>
      <c r="D247">
        <v>19790</v>
      </c>
      <c r="E247">
        <v>327.3</v>
      </c>
      <c r="F247">
        <v>6.5</v>
      </c>
      <c r="G247">
        <v>5.2</v>
      </c>
      <c r="H247">
        <v>23.3</v>
      </c>
      <c r="I247">
        <f t="shared" si="6"/>
        <v>6477267</v>
      </c>
      <c r="J247">
        <f t="shared" si="7"/>
        <v>461107</v>
      </c>
    </row>
    <row r="248" spans="1:10" x14ac:dyDescent="0.25">
      <c r="A248" t="s">
        <v>212</v>
      </c>
      <c r="B248" t="s">
        <v>208</v>
      </c>
      <c r="C248">
        <v>2016</v>
      </c>
      <c r="D248">
        <v>47500</v>
      </c>
      <c r="E248">
        <v>323.2</v>
      </c>
      <c r="F248">
        <v>6.7</v>
      </c>
      <c r="G248">
        <v>4.5999999999999996</v>
      </c>
      <c r="H248">
        <v>19.899999999999999</v>
      </c>
      <c r="I248">
        <f t="shared" si="6"/>
        <v>15352000</v>
      </c>
      <c r="J248">
        <f t="shared" si="7"/>
        <v>945249.99999999988</v>
      </c>
    </row>
    <row r="249" spans="1:10" x14ac:dyDescent="0.25">
      <c r="A249" t="s">
        <v>212</v>
      </c>
      <c r="B249" t="s">
        <v>208</v>
      </c>
      <c r="C249">
        <v>2017</v>
      </c>
      <c r="D249">
        <v>48665</v>
      </c>
      <c r="E249">
        <v>326.5</v>
      </c>
      <c r="F249">
        <v>6.6</v>
      </c>
      <c r="G249">
        <v>4.5</v>
      </c>
      <c r="H249">
        <v>20.6</v>
      </c>
      <c r="I249">
        <f t="shared" si="6"/>
        <v>15889122.5</v>
      </c>
      <c r="J249">
        <f t="shared" si="7"/>
        <v>1002499.0000000001</v>
      </c>
    </row>
    <row r="250" spans="1:10" x14ac:dyDescent="0.25">
      <c r="A250" t="s">
        <v>212</v>
      </c>
      <c r="B250" t="s">
        <v>208</v>
      </c>
      <c r="C250">
        <v>2018</v>
      </c>
      <c r="D250">
        <v>47030</v>
      </c>
      <c r="E250">
        <v>325.5</v>
      </c>
      <c r="F250">
        <v>6.6</v>
      </c>
      <c r="G250">
        <v>4.5</v>
      </c>
      <c r="H250">
        <v>21.2</v>
      </c>
      <c r="I250">
        <f t="shared" si="6"/>
        <v>15308265</v>
      </c>
      <c r="J250">
        <f t="shared" si="7"/>
        <v>997036</v>
      </c>
    </row>
    <row r="251" spans="1:10" x14ac:dyDescent="0.25">
      <c r="A251" t="s">
        <v>212</v>
      </c>
      <c r="B251" t="s">
        <v>208</v>
      </c>
      <c r="C251">
        <v>2019</v>
      </c>
      <c r="D251">
        <v>46699</v>
      </c>
      <c r="E251">
        <v>323.2</v>
      </c>
      <c r="F251">
        <v>6.4</v>
      </c>
      <c r="G251">
        <v>4.4000000000000004</v>
      </c>
      <c r="H251">
        <v>24</v>
      </c>
      <c r="I251">
        <f t="shared" si="6"/>
        <v>15093116.799999999</v>
      </c>
      <c r="J251">
        <f t="shared" si="7"/>
        <v>1120776</v>
      </c>
    </row>
    <row r="252" spans="1:10" x14ac:dyDescent="0.25">
      <c r="A252" t="s">
        <v>212</v>
      </c>
      <c r="B252" t="s">
        <v>208</v>
      </c>
      <c r="C252">
        <v>2020</v>
      </c>
      <c r="D252">
        <v>47003</v>
      </c>
      <c r="E252">
        <v>323.10000000000002</v>
      </c>
      <c r="F252">
        <v>6.3</v>
      </c>
      <c r="G252">
        <v>4.4000000000000004</v>
      </c>
      <c r="H252">
        <v>23.7</v>
      </c>
      <c r="I252">
        <f t="shared" si="6"/>
        <v>15186669.300000001</v>
      </c>
      <c r="J252">
        <f t="shared" si="7"/>
        <v>1113971.0999999999</v>
      </c>
    </row>
    <row r="253" spans="1:10" x14ac:dyDescent="0.25">
      <c r="A253" t="s">
        <v>212</v>
      </c>
      <c r="B253" t="s">
        <v>208</v>
      </c>
      <c r="C253">
        <v>2021</v>
      </c>
      <c r="D253">
        <v>47112</v>
      </c>
      <c r="E253">
        <v>325</v>
      </c>
      <c r="F253">
        <v>6.2</v>
      </c>
      <c r="G253">
        <v>4.5</v>
      </c>
      <c r="H253">
        <v>25.9</v>
      </c>
      <c r="I253">
        <f t="shared" si="6"/>
        <v>15311400</v>
      </c>
      <c r="J253">
        <f t="shared" si="7"/>
        <v>1220200.8</v>
      </c>
    </row>
    <row r="254" spans="1:10" x14ac:dyDescent="0.25">
      <c r="A254" t="s">
        <v>212</v>
      </c>
      <c r="B254" t="s">
        <v>213</v>
      </c>
      <c r="C254">
        <v>2016</v>
      </c>
      <c r="D254">
        <v>6973</v>
      </c>
      <c r="E254">
        <v>340.5</v>
      </c>
      <c r="F254">
        <v>8.1999999999999993</v>
      </c>
      <c r="G254">
        <v>7.4</v>
      </c>
      <c r="H254">
        <v>18.7</v>
      </c>
      <c r="I254">
        <f t="shared" si="6"/>
        <v>2374306.5</v>
      </c>
      <c r="J254">
        <f t="shared" si="7"/>
        <v>130395.09999999999</v>
      </c>
    </row>
    <row r="255" spans="1:10" x14ac:dyDescent="0.25">
      <c r="A255" t="s">
        <v>212</v>
      </c>
      <c r="B255" t="s">
        <v>213</v>
      </c>
      <c r="C255">
        <v>2017</v>
      </c>
      <c r="D255">
        <v>7820</v>
      </c>
      <c r="E255">
        <v>347.2</v>
      </c>
      <c r="F255">
        <v>8.1</v>
      </c>
      <c r="G255">
        <v>7.5</v>
      </c>
      <c r="H255">
        <v>19.100000000000001</v>
      </c>
      <c r="I255">
        <f t="shared" si="6"/>
        <v>2715104</v>
      </c>
      <c r="J255">
        <f t="shared" si="7"/>
        <v>149362</v>
      </c>
    </row>
    <row r="256" spans="1:10" x14ac:dyDescent="0.25">
      <c r="A256" t="s">
        <v>212</v>
      </c>
      <c r="B256" t="s">
        <v>213</v>
      </c>
      <c r="C256">
        <v>2018</v>
      </c>
      <c r="D256">
        <v>8849</v>
      </c>
      <c r="E256">
        <v>340.3</v>
      </c>
      <c r="F256">
        <v>7.8</v>
      </c>
      <c r="G256">
        <v>7.3</v>
      </c>
      <c r="H256">
        <v>19.5</v>
      </c>
      <c r="I256">
        <f t="shared" si="6"/>
        <v>3011314.7</v>
      </c>
      <c r="J256">
        <f t="shared" si="7"/>
        <v>172555.5</v>
      </c>
    </row>
    <row r="257" spans="1:10" x14ac:dyDescent="0.25">
      <c r="A257" t="s">
        <v>212</v>
      </c>
      <c r="B257" t="s">
        <v>213</v>
      </c>
      <c r="C257">
        <v>2019</v>
      </c>
      <c r="D257">
        <v>9669</v>
      </c>
      <c r="E257">
        <v>340.1</v>
      </c>
      <c r="F257">
        <v>7.7</v>
      </c>
      <c r="G257">
        <v>7.3</v>
      </c>
      <c r="H257">
        <v>21.8</v>
      </c>
      <c r="I257">
        <f t="shared" si="6"/>
        <v>3288426.9000000004</v>
      </c>
      <c r="J257">
        <f t="shared" si="7"/>
        <v>210784.2</v>
      </c>
    </row>
    <row r="258" spans="1:10" x14ac:dyDescent="0.25">
      <c r="A258" t="s">
        <v>212</v>
      </c>
      <c r="B258" t="s">
        <v>213</v>
      </c>
      <c r="C258">
        <v>2020</v>
      </c>
      <c r="D258">
        <v>9814</v>
      </c>
      <c r="E258">
        <v>342.8</v>
      </c>
      <c r="F258">
        <v>7.7</v>
      </c>
      <c r="G258">
        <v>7.3</v>
      </c>
      <c r="H258">
        <v>22.1</v>
      </c>
      <c r="I258">
        <f t="shared" si="6"/>
        <v>3364239.2</v>
      </c>
      <c r="J258">
        <f t="shared" si="7"/>
        <v>216889.40000000002</v>
      </c>
    </row>
    <row r="259" spans="1:10" x14ac:dyDescent="0.25">
      <c r="A259" t="s">
        <v>212</v>
      </c>
      <c r="B259" t="s">
        <v>213</v>
      </c>
      <c r="C259">
        <v>2021</v>
      </c>
      <c r="D259">
        <v>9953</v>
      </c>
      <c r="E259">
        <v>349.4</v>
      </c>
      <c r="F259">
        <v>7.8</v>
      </c>
      <c r="G259">
        <v>7.4</v>
      </c>
      <c r="H259">
        <v>22.1</v>
      </c>
      <c r="I259">
        <f t="shared" ref="I259:I322" si="8">D259*E259</f>
        <v>3477578.1999999997</v>
      </c>
      <c r="J259">
        <f t="shared" ref="J259:J322" si="9">D259*H259</f>
        <v>219961.30000000002</v>
      </c>
    </row>
    <row r="260" spans="1:10" x14ac:dyDescent="0.25">
      <c r="A260" t="s">
        <v>212</v>
      </c>
      <c r="B260" t="s">
        <v>216</v>
      </c>
      <c r="C260">
        <v>2016</v>
      </c>
      <c r="D260">
        <v>6430</v>
      </c>
      <c r="E260">
        <v>374</v>
      </c>
      <c r="F260">
        <v>6.9</v>
      </c>
      <c r="G260">
        <v>9</v>
      </c>
      <c r="H260">
        <v>17.3</v>
      </c>
      <c r="I260">
        <f t="shared" si="8"/>
        <v>2404820</v>
      </c>
      <c r="J260">
        <f t="shared" si="9"/>
        <v>111239</v>
      </c>
    </row>
    <row r="261" spans="1:10" x14ac:dyDescent="0.25">
      <c r="A261" t="s">
        <v>212</v>
      </c>
      <c r="B261" t="s">
        <v>216</v>
      </c>
      <c r="C261">
        <v>2017</v>
      </c>
      <c r="D261">
        <v>6453</v>
      </c>
      <c r="E261">
        <v>379.2</v>
      </c>
      <c r="F261">
        <v>6.7</v>
      </c>
      <c r="G261">
        <v>9.1</v>
      </c>
      <c r="H261">
        <v>18.2</v>
      </c>
      <c r="I261">
        <f t="shared" si="8"/>
        <v>2446977.6</v>
      </c>
      <c r="J261">
        <f t="shared" si="9"/>
        <v>117444.59999999999</v>
      </c>
    </row>
    <row r="262" spans="1:10" x14ac:dyDescent="0.25">
      <c r="A262" t="s">
        <v>212</v>
      </c>
      <c r="B262" t="s">
        <v>216</v>
      </c>
      <c r="C262">
        <v>2018</v>
      </c>
      <c r="D262">
        <v>6897</v>
      </c>
      <c r="E262">
        <v>370.2</v>
      </c>
      <c r="F262">
        <v>6.6</v>
      </c>
      <c r="G262">
        <v>8.8000000000000007</v>
      </c>
      <c r="H262">
        <v>18.3</v>
      </c>
      <c r="I262">
        <f t="shared" si="8"/>
        <v>2553269.4</v>
      </c>
      <c r="J262">
        <f t="shared" si="9"/>
        <v>126215.1</v>
      </c>
    </row>
    <row r="263" spans="1:10" x14ac:dyDescent="0.25">
      <c r="A263" t="s">
        <v>212</v>
      </c>
      <c r="B263" t="s">
        <v>216</v>
      </c>
      <c r="C263">
        <v>2019</v>
      </c>
      <c r="D263">
        <v>6858</v>
      </c>
      <c r="E263">
        <v>373</v>
      </c>
      <c r="F263">
        <v>6.4</v>
      </c>
      <c r="G263">
        <v>8.8000000000000007</v>
      </c>
      <c r="H263">
        <v>18.5</v>
      </c>
      <c r="I263">
        <f t="shared" si="8"/>
        <v>2558034</v>
      </c>
      <c r="J263">
        <f t="shared" si="9"/>
        <v>126873</v>
      </c>
    </row>
    <row r="264" spans="1:10" x14ac:dyDescent="0.25">
      <c r="A264" t="s">
        <v>212</v>
      </c>
      <c r="B264" t="s">
        <v>216</v>
      </c>
      <c r="C264">
        <v>2020</v>
      </c>
      <c r="D264">
        <v>6610</v>
      </c>
      <c r="E264">
        <v>370.5</v>
      </c>
      <c r="F264">
        <v>6.3</v>
      </c>
      <c r="G264">
        <v>8.8000000000000007</v>
      </c>
      <c r="H264">
        <v>18.600000000000001</v>
      </c>
      <c r="I264">
        <f t="shared" si="8"/>
        <v>2449005</v>
      </c>
      <c r="J264">
        <f t="shared" si="9"/>
        <v>122946.00000000001</v>
      </c>
    </row>
    <row r="265" spans="1:10" x14ac:dyDescent="0.25">
      <c r="A265" t="s">
        <v>212</v>
      </c>
      <c r="B265" t="s">
        <v>216</v>
      </c>
      <c r="C265">
        <v>2021</v>
      </c>
      <c r="D265">
        <v>6329</v>
      </c>
      <c r="E265">
        <v>381.4</v>
      </c>
      <c r="F265">
        <v>6.4</v>
      </c>
      <c r="G265">
        <v>8.9</v>
      </c>
      <c r="H265">
        <v>19</v>
      </c>
      <c r="I265">
        <f t="shared" si="8"/>
        <v>2413880.5999999996</v>
      </c>
      <c r="J265">
        <f t="shared" si="9"/>
        <v>120251</v>
      </c>
    </row>
    <row r="266" spans="1:10" x14ac:dyDescent="0.25">
      <c r="A266" t="s">
        <v>212</v>
      </c>
      <c r="B266" t="s">
        <v>217</v>
      </c>
      <c r="C266">
        <v>2016</v>
      </c>
      <c r="D266">
        <v>1988</v>
      </c>
      <c r="E266">
        <v>347</v>
      </c>
      <c r="F266">
        <v>8.1999999999999993</v>
      </c>
      <c r="G266">
        <v>7.8</v>
      </c>
      <c r="H266">
        <v>18.399999999999999</v>
      </c>
      <c r="I266">
        <f t="shared" si="8"/>
        <v>689836</v>
      </c>
      <c r="J266">
        <f t="shared" si="9"/>
        <v>36579.199999999997</v>
      </c>
    </row>
    <row r="267" spans="1:10" x14ac:dyDescent="0.25">
      <c r="A267" t="s">
        <v>212</v>
      </c>
      <c r="B267" t="s">
        <v>217</v>
      </c>
      <c r="C267">
        <v>2017</v>
      </c>
      <c r="D267">
        <v>2383</v>
      </c>
      <c r="E267">
        <v>354.8</v>
      </c>
      <c r="F267">
        <v>8.3000000000000007</v>
      </c>
      <c r="G267">
        <v>7.9</v>
      </c>
      <c r="H267">
        <v>18.2</v>
      </c>
      <c r="I267">
        <f t="shared" si="8"/>
        <v>845488.4</v>
      </c>
      <c r="J267">
        <f t="shared" si="9"/>
        <v>43370.6</v>
      </c>
    </row>
    <row r="268" spans="1:10" x14ac:dyDescent="0.25">
      <c r="A268" t="s">
        <v>212</v>
      </c>
      <c r="B268" t="s">
        <v>217</v>
      </c>
      <c r="C268">
        <v>2018</v>
      </c>
      <c r="D268">
        <v>2750</v>
      </c>
      <c r="E268">
        <v>349.2</v>
      </c>
      <c r="F268">
        <v>7.9</v>
      </c>
      <c r="G268">
        <v>7.7</v>
      </c>
      <c r="H268">
        <v>19.600000000000001</v>
      </c>
      <c r="I268">
        <f t="shared" si="8"/>
        <v>960300</v>
      </c>
      <c r="J268">
        <f t="shared" si="9"/>
        <v>53900.000000000007</v>
      </c>
    </row>
    <row r="269" spans="1:10" x14ac:dyDescent="0.25">
      <c r="A269" t="s">
        <v>212</v>
      </c>
      <c r="B269" t="s">
        <v>217</v>
      </c>
      <c r="C269">
        <v>2019</v>
      </c>
      <c r="D269">
        <v>3256</v>
      </c>
      <c r="E269">
        <v>345.4</v>
      </c>
      <c r="F269">
        <v>7.8</v>
      </c>
      <c r="G269">
        <v>7.6</v>
      </c>
      <c r="H269">
        <v>19.899999999999999</v>
      </c>
      <c r="I269">
        <f t="shared" si="8"/>
        <v>1124622.3999999999</v>
      </c>
      <c r="J269">
        <f t="shared" si="9"/>
        <v>64794.399999999994</v>
      </c>
    </row>
    <row r="270" spans="1:10" x14ac:dyDescent="0.25">
      <c r="A270" t="s">
        <v>212</v>
      </c>
      <c r="B270" t="s">
        <v>217</v>
      </c>
      <c r="C270">
        <v>2020</v>
      </c>
      <c r="D270">
        <v>3414</v>
      </c>
      <c r="E270">
        <v>347.5</v>
      </c>
      <c r="F270">
        <v>7.8</v>
      </c>
      <c r="G270">
        <v>7.7</v>
      </c>
      <c r="H270">
        <v>19.5</v>
      </c>
      <c r="I270">
        <f t="shared" si="8"/>
        <v>1186365</v>
      </c>
      <c r="J270">
        <f t="shared" si="9"/>
        <v>66573</v>
      </c>
    </row>
    <row r="271" spans="1:10" x14ac:dyDescent="0.25">
      <c r="A271" t="s">
        <v>212</v>
      </c>
      <c r="B271" t="s">
        <v>217</v>
      </c>
      <c r="C271">
        <v>2021</v>
      </c>
      <c r="D271">
        <v>3337</v>
      </c>
      <c r="E271">
        <v>355.5</v>
      </c>
      <c r="F271">
        <v>7.7</v>
      </c>
      <c r="G271">
        <v>7.8</v>
      </c>
      <c r="H271">
        <v>21</v>
      </c>
      <c r="I271">
        <f t="shared" si="8"/>
        <v>1186303.5</v>
      </c>
      <c r="J271">
        <f t="shared" si="9"/>
        <v>70077</v>
      </c>
    </row>
    <row r="272" spans="1:10" x14ac:dyDescent="0.25">
      <c r="A272" t="s">
        <v>212</v>
      </c>
      <c r="B272" t="s">
        <v>219</v>
      </c>
      <c r="C272">
        <v>2016</v>
      </c>
      <c r="D272">
        <v>1404</v>
      </c>
      <c r="E272">
        <v>368.3</v>
      </c>
      <c r="F272">
        <v>6.7</v>
      </c>
      <c r="G272">
        <v>10.3</v>
      </c>
      <c r="H272">
        <v>17.2</v>
      </c>
      <c r="I272">
        <f t="shared" si="8"/>
        <v>517093.2</v>
      </c>
      <c r="J272">
        <f t="shared" si="9"/>
        <v>24148.799999999999</v>
      </c>
    </row>
    <row r="273" spans="1:10" x14ac:dyDescent="0.25">
      <c r="A273" t="s">
        <v>212</v>
      </c>
      <c r="B273" t="s">
        <v>219</v>
      </c>
      <c r="C273">
        <v>2017</v>
      </c>
      <c r="D273">
        <v>1302</v>
      </c>
      <c r="E273">
        <v>372.9</v>
      </c>
      <c r="F273">
        <v>6.6</v>
      </c>
      <c r="G273">
        <v>10.199999999999999</v>
      </c>
      <c r="H273">
        <v>17.399999999999999</v>
      </c>
      <c r="I273">
        <f t="shared" si="8"/>
        <v>485515.8</v>
      </c>
      <c r="J273">
        <f t="shared" si="9"/>
        <v>22654.799999999999</v>
      </c>
    </row>
    <row r="274" spans="1:10" x14ac:dyDescent="0.25">
      <c r="A274" t="s">
        <v>212</v>
      </c>
      <c r="B274" t="s">
        <v>219</v>
      </c>
      <c r="C274">
        <v>2018</v>
      </c>
      <c r="D274">
        <v>1588</v>
      </c>
      <c r="E274">
        <v>370.9</v>
      </c>
      <c r="F274">
        <v>6.6</v>
      </c>
      <c r="G274">
        <v>9.8000000000000007</v>
      </c>
      <c r="H274">
        <v>18.2</v>
      </c>
      <c r="I274">
        <f t="shared" si="8"/>
        <v>588989.19999999995</v>
      </c>
      <c r="J274">
        <f t="shared" si="9"/>
        <v>28901.599999999999</v>
      </c>
    </row>
    <row r="275" spans="1:10" x14ac:dyDescent="0.25">
      <c r="A275" t="s">
        <v>212</v>
      </c>
      <c r="B275" t="s">
        <v>219</v>
      </c>
      <c r="C275">
        <v>2019</v>
      </c>
      <c r="D275">
        <v>1658</v>
      </c>
      <c r="E275">
        <v>367.7</v>
      </c>
      <c r="F275">
        <v>6.4</v>
      </c>
      <c r="G275">
        <v>9.5</v>
      </c>
      <c r="H275">
        <v>18.600000000000001</v>
      </c>
      <c r="I275">
        <f t="shared" si="8"/>
        <v>609646.6</v>
      </c>
      <c r="J275">
        <f t="shared" si="9"/>
        <v>30838.800000000003</v>
      </c>
    </row>
    <row r="276" spans="1:10" x14ac:dyDescent="0.25">
      <c r="A276" t="s">
        <v>212</v>
      </c>
      <c r="B276" t="s">
        <v>219</v>
      </c>
      <c r="C276">
        <v>2020</v>
      </c>
      <c r="D276">
        <v>1787</v>
      </c>
      <c r="E276">
        <v>365.3</v>
      </c>
      <c r="F276">
        <v>6.3</v>
      </c>
      <c r="G276">
        <v>9.6</v>
      </c>
      <c r="H276">
        <v>18</v>
      </c>
      <c r="I276">
        <f t="shared" si="8"/>
        <v>652791.1</v>
      </c>
      <c r="J276">
        <f t="shared" si="9"/>
        <v>32166</v>
      </c>
    </row>
    <row r="277" spans="1:10" x14ac:dyDescent="0.25">
      <c r="A277" t="s">
        <v>212</v>
      </c>
      <c r="B277" t="s">
        <v>219</v>
      </c>
      <c r="C277">
        <v>2021</v>
      </c>
      <c r="D277">
        <v>1890</v>
      </c>
      <c r="E277">
        <v>370</v>
      </c>
      <c r="F277">
        <v>6.4</v>
      </c>
      <c r="G277">
        <v>9.5</v>
      </c>
      <c r="H277">
        <v>18.8</v>
      </c>
      <c r="I277">
        <f t="shared" si="8"/>
        <v>699300</v>
      </c>
      <c r="J277">
        <f t="shared" si="9"/>
        <v>35532</v>
      </c>
    </row>
    <row r="278" spans="1:10" x14ac:dyDescent="0.25">
      <c r="A278" t="s">
        <v>212</v>
      </c>
      <c r="B278" t="s">
        <v>220</v>
      </c>
      <c r="C278">
        <v>2016</v>
      </c>
      <c r="D278">
        <v>5253</v>
      </c>
      <c r="E278">
        <v>370.1</v>
      </c>
      <c r="F278">
        <v>7.1</v>
      </c>
      <c r="G278">
        <v>8.5</v>
      </c>
      <c r="H278">
        <v>17.7</v>
      </c>
      <c r="I278">
        <f t="shared" si="8"/>
        <v>1944135.3</v>
      </c>
      <c r="J278">
        <f t="shared" si="9"/>
        <v>92978.099999999991</v>
      </c>
    </row>
    <row r="279" spans="1:10" x14ac:dyDescent="0.25">
      <c r="A279" t="s">
        <v>212</v>
      </c>
      <c r="B279" t="s">
        <v>220</v>
      </c>
      <c r="C279">
        <v>2017</v>
      </c>
      <c r="D279">
        <v>5678</v>
      </c>
      <c r="E279">
        <v>376.8</v>
      </c>
      <c r="F279">
        <v>7</v>
      </c>
      <c r="G279">
        <v>8.6</v>
      </c>
      <c r="H279">
        <v>17.5</v>
      </c>
      <c r="I279">
        <f t="shared" si="8"/>
        <v>2139470.4</v>
      </c>
      <c r="J279">
        <f t="shared" si="9"/>
        <v>99365</v>
      </c>
    </row>
    <row r="280" spans="1:10" x14ac:dyDescent="0.25">
      <c r="A280" t="s">
        <v>212</v>
      </c>
      <c r="B280" t="s">
        <v>220</v>
      </c>
      <c r="C280">
        <v>2018</v>
      </c>
      <c r="D280">
        <v>5954</v>
      </c>
      <c r="E280">
        <v>370.1</v>
      </c>
      <c r="F280">
        <v>6.8</v>
      </c>
      <c r="G280">
        <v>8.3000000000000007</v>
      </c>
      <c r="H280">
        <v>17.8</v>
      </c>
      <c r="I280">
        <f t="shared" si="8"/>
        <v>2203575.4</v>
      </c>
      <c r="J280">
        <f t="shared" si="9"/>
        <v>105981.2</v>
      </c>
    </row>
    <row r="281" spans="1:10" x14ac:dyDescent="0.25">
      <c r="A281" t="s">
        <v>212</v>
      </c>
      <c r="B281" t="s">
        <v>220</v>
      </c>
      <c r="C281">
        <v>2019</v>
      </c>
      <c r="D281">
        <v>6320</v>
      </c>
      <c r="E281">
        <v>363.8</v>
      </c>
      <c r="F281">
        <v>6.5</v>
      </c>
      <c r="G281">
        <v>8.3000000000000007</v>
      </c>
      <c r="H281">
        <v>18.399999999999999</v>
      </c>
      <c r="I281">
        <f t="shared" si="8"/>
        <v>2299216</v>
      </c>
      <c r="J281">
        <f t="shared" si="9"/>
        <v>116287.99999999999</v>
      </c>
    </row>
    <row r="282" spans="1:10" x14ac:dyDescent="0.25">
      <c r="A282" t="s">
        <v>212</v>
      </c>
      <c r="B282" t="s">
        <v>220</v>
      </c>
      <c r="C282">
        <v>2020</v>
      </c>
      <c r="D282">
        <v>6471</v>
      </c>
      <c r="E282">
        <v>365.6</v>
      </c>
      <c r="F282">
        <v>6.5</v>
      </c>
      <c r="G282">
        <v>8.3000000000000007</v>
      </c>
      <c r="H282">
        <v>18.3</v>
      </c>
      <c r="I282">
        <f t="shared" si="8"/>
        <v>2365797.6</v>
      </c>
      <c r="J282">
        <f t="shared" si="9"/>
        <v>118419.3</v>
      </c>
    </row>
    <row r="283" spans="1:10" x14ac:dyDescent="0.25">
      <c r="A283" t="s">
        <v>212</v>
      </c>
      <c r="B283" t="s">
        <v>220</v>
      </c>
      <c r="C283">
        <v>2021</v>
      </c>
      <c r="D283">
        <v>6677</v>
      </c>
      <c r="E283">
        <v>374.3</v>
      </c>
      <c r="F283">
        <v>6.5</v>
      </c>
      <c r="G283">
        <v>8.4</v>
      </c>
      <c r="H283">
        <v>18.2</v>
      </c>
      <c r="I283">
        <f t="shared" si="8"/>
        <v>2499201.1</v>
      </c>
      <c r="J283">
        <f t="shared" si="9"/>
        <v>121521.4</v>
      </c>
    </row>
    <row r="284" spans="1:10" x14ac:dyDescent="0.25">
      <c r="A284" t="s">
        <v>212</v>
      </c>
      <c r="B284" t="s">
        <v>222</v>
      </c>
      <c r="C284">
        <v>2016</v>
      </c>
      <c r="D284">
        <v>254</v>
      </c>
      <c r="E284">
        <v>192.8</v>
      </c>
      <c r="F284">
        <v>4.9000000000000004</v>
      </c>
      <c r="G284">
        <v>4.5999999999999996</v>
      </c>
      <c r="H284">
        <v>23.6</v>
      </c>
      <c r="I284">
        <f t="shared" si="8"/>
        <v>48971.200000000004</v>
      </c>
      <c r="J284">
        <f t="shared" si="9"/>
        <v>5994.4000000000005</v>
      </c>
    </row>
    <row r="285" spans="1:10" x14ac:dyDescent="0.25">
      <c r="A285" t="s">
        <v>212</v>
      </c>
      <c r="B285" t="s">
        <v>222</v>
      </c>
      <c r="C285">
        <v>2017</v>
      </c>
      <c r="D285">
        <v>201</v>
      </c>
      <c r="E285">
        <v>209.6</v>
      </c>
      <c r="F285">
        <v>4.8</v>
      </c>
      <c r="G285">
        <v>5.0999999999999996</v>
      </c>
      <c r="H285">
        <v>22.9</v>
      </c>
      <c r="I285">
        <f t="shared" si="8"/>
        <v>42129.599999999999</v>
      </c>
      <c r="J285">
        <f t="shared" si="9"/>
        <v>4602.8999999999996</v>
      </c>
    </row>
    <row r="286" spans="1:10" x14ac:dyDescent="0.25">
      <c r="A286" t="s">
        <v>212</v>
      </c>
      <c r="B286" t="s">
        <v>222</v>
      </c>
      <c r="C286">
        <v>2018</v>
      </c>
      <c r="D286">
        <v>229</v>
      </c>
      <c r="E286">
        <v>190.4</v>
      </c>
      <c r="F286">
        <v>4.5</v>
      </c>
      <c r="G286">
        <v>4.5</v>
      </c>
      <c r="H286">
        <v>23.6</v>
      </c>
      <c r="I286">
        <f t="shared" si="8"/>
        <v>43601.599999999999</v>
      </c>
      <c r="J286">
        <f t="shared" si="9"/>
        <v>5404.4000000000005</v>
      </c>
    </row>
    <row r="287" spans="1:10" x14ac:dyDescent="0.25">
      <c r="A287" t="s">
        <v>212</v>
      </c>
      <c r="B287" t="s">
        <v>222</v>
      </c>
      <c r="C287">
        <v>2019</v>
      </c>
      <c r="D287">
        <v>198</v>
      </c>
      <c r="E287">
        <v>202.6</v>
      </c>
      <c r="F287">
        <v>4.5999999999999996</v>
      </c>
      <c r="G287">
        <v>4.8</v>
      </c>
      <c r="H287">
        <v>27.6</v>
      </c>
      <c r="I287">
        <f t="shared" si="8"/>
        <v>40114.799999999996</v>
      </c>
      <c r="J287">
        <f t="shared" si="9"/>
        <v>5464.8</v>
      </c>
    </row>
    <row r="288" spans="1:10" x14ac:dyDescent="0.25">
      <c r="A288" t="s">
        <v>212</v>
      </c>
      <c r="B288" t="s">
        <v>222</v>
      </c>
      <c r="C288">
        <v>2020</v>
      </c>
      <c r="D288">
        <v>173</v>
      </c>
      <c r="E288">
        <v>212.6</v>
      </c>
      <c r="F288">
        <v>4.7</v>
      </c>
      <c r="G288">
        <v>5</v>
      </c>
      <c r="H288">
        <v>29.4</v>
      </c>
      <c r="I288">
        <f t="shared" si="8"/>
        <v>36779.799999999996</v>
      </c>
      <c r="J288">
        <f t="shared" si="9"/>
        <v>5086.2</v>
      </c>
    </row>
    <row r="289" spans="1:10" x14ac:dyDescent="0.25">
      <c r="A289" t="s">
        <v>212</v>
      </c>
      <c r="B289" t="s">
        <v>222</v>
      </c>
      <c r="C289">
        <v>2021</v>
      </c>
      <c r="D289">
        <v>110</v>
      </c>
      <c r="E289">
        <v>225.5</v>
      </c>
      <c r="F289">
        <v>4.5999999999999996</v>
      </c>
      <c r="G289">
        <v>5.2</v>
      </c>
      <c r="H289">
        <v>24.8</v>
      </c>
      <c r="I289">
        <f t="shared" si="8"/>
        <v>24805</v>
      </c>
      <c r="J289">
        <f t="shared" si="9"/>
        <v>2728</v>
      </c>
    </row>
    <row r="290" spans="1:10" x14ac:dyDescent="0.25">
      <c r="A290" t="s">
        <v>212</v>
      </c>
      <c r="B290" t="s">
        <v>223</v>
      </c>
      <c r="C290">
        <v>2016</v>
      </c>
      <c r="D290">
        <v>306</v>
      </c>
      <c r="E290">
        <v>391.6</v>
      </c>
      <c r="F290">
        <v>5.4</v>
      </c>
      <c r="G290">
        <v>10.8</v>
      </c>
      <c r="H290">
        <v>17</v>
      </c>
      <c r="I290">
        <f t="shared" si="8"/>
        <v>119829.6</v>
      </c>
      <c r="J290">
        <f t="shared" si="9"/>
        <v>5202</v>
      </c>
    </row>
    <row r="291" spans="1:10" x14ac:dyDescent="0.25">
      <c r="A291" t="s">
        <v>212</v>
      </c>
      <c r="B291" t="s">
        <v>223</v>
      </c>
      <c r="C291">
        <v>2017</v>
      </c>
      <c r="D291">
        <v>285</v>
      </c>
      <c r="E291">
        <v>386</v>
      </c>
      <c r="F291">
        <v>5.2</v>
      </c>
      <c r="G291">
        <v>11</v>
      </c>
      <c r="H291">
        <v>17.100000000000001</v>
      </c>
      <c r="I291">
        <f t="shared" si="8"/>
        <v>110010</v>
      </c>
      <c r="J291">
        <f t="shared" si="9"/>
        <v>4873.5</v>
      </c>
    </row>
    <row r="292" spans="1:10" x14ac:dyDescent="0.25">
      <c r="A292" t="s">
        <v>212</v>
      </c>
      <c r="B292" t="s">
        <v>223</v>
      </c>
      <c r="C292">
        <v>2018</v>
      </c>
      <c r="D292">
        <v>288</v>
      </c>
      <c r="E292">
        <v>379.6</v>
      </c>
      <c r="F292">
        <v>5.3</v>
      </c>
      <c r="G292">
        <v>10.6</v>
      </c>
      <c r="H292">
        <v>17.2</v>
      </c>
      <c r="I292">
        <f t="shared" si="8"/>
        <v>109324.8</v>
      </c>
      <c r="J292">
        <f t="shared" si="9"/>
        <v>4953.5999999999995</v>
      </c>
    </row>
    <row r="293" spans="1:10" x14ac:dyDescent="0.25">
      <c r="A293" t="s">
        <v>212</v>
      </c>
      <c r="B293" t="s">
        <v>223</v>
      </c>
      <c r="C293">
        <v>2019</v>
      </c>
      <c r="D293">
        <v>311</v>
      </c>
      <c r="E293">
        <v>381</v>
      </c>
      <c r="F293">
        <v>4.7</v>
      </c>
      <c r="G293">
        <v>10.8</v>
      </c>
      <c r="H293">
        <v>16.100000000000001</v>
      </c>
      <c r="I293">
        <f t="shared" si="8"/>
        <v>118491</v>
      </c>
      <c r="J293">
        <f t="shared" si="9"/>
        <v>5007.1000000000004</v>
      </c>
    </row>
    <row r="294" spans="1:10" x14ac:dyDescent="0.25">
      <c r="A294" t="s">
        <v>212</v>
      </c>
      <c r="B294" t="s">
        <v>223</v>
      </c>
      <c r="C294">
        <v>2020</v>
      </c>
      <c r="D294">
        <v>423</v>
      </c>
      <c r="E294">
        <v>366.7</v>
      </c>
      <c r="F294">
        <v>5</v>
      </c>
      <c r="G294">
        <v>10.1</v>
      </c>
      <c r="H294">
        <v>15.6</v>
      </c>
      <c r="I294">
        <f t="shared" si="8"/>
        <v>155114.1</v>
      </c>
      <c r="J294">
        <f t="shared" si="9"/>
        <v>6598.8</v>
      </c>
    </row>
    <row r="295" spans="1:10" x14ac:dyDescent="0.25">
      <c r="A295" t="s">
        <v>212</v>
      </c>
      <c r="B295" t="s">
        <v>223</v>
      </c>
      <c r="C295">
        <v>2021</v>
      </c>
      <c r="D295">
        <v>424</v>
      </c>
      <c r="E295">
        <v>374</v>
      </c>
      <c r="F295">
        <v>5.0999999999999996</v>
      </c>
      <c r="G295">
        <v>10</v>
      </c>
      <c r="H295">
        <v>15.2</v>
      </c>
      <c r="I295">
        <f t="shared" si="8"/>
        <v>158576</v>
      </c>
      <c r="J295">
        <f t="shared" si="9"/>
        <v>6444.7999999999993</v>
      </c>
    </row>
    <row r="296" spans="1:10" x14ac:dyDescent="0.25">
      <c r="A296" t="s">
        <v>212</v>
      </c>
      <c r="B296" t="s">
        <v>224</v>
      </c>
      <c r="C296">
        <v>2016</v>
      </c>
      <c r="D296">
        <v>43969</v>
      </c>
      <c r="E296">
        <v>356.9</v>
      </c>
      <c r="F296">
        <v>7.4</v>
      </c>
      <c r="G296">
        <v>7.8</v>
      </c>
      <c r="H296">
        <v>18.7</v>
      </c>
      <c r="I296">
        <f t="shared" si="8"/>
        <v>15692536.1</v>
      </c>
      <c r="J296">
        <f t="shared" si="9"/>
        <v>822220.29999999993</v>
      </c>
    </row>
    <row r="297" spans="1:10" x14ac:dyDescent="0.25">
      <c r="A297" t="s">
        <v>212</v>
      </c>
      <c r="B297" t="s">
        <v>224</v>
      </c>
      <c r="C297">
        <v>2017</v>
      </c>
      <c r="D297">
        <v>46967</v>
      </c>
      <c r="E297">
        <v>360.4</v>
      </c>
      <c r="F297">
        <v>7.3</v>
      </c>
      <c r="G297">
        <v>7.8</v>
      </c>
      <c r="H297">
        <v>18.8</v>
      </c>
      <c r="I297">
        <f t="shared" si="8"/>
        <v>16926906.800000001</v>
      </c>
      <c r="J297">
        <f t="shared" si="9"/>
        <v>882979.6</v>
      </c>
    </row>
    <row r="298" spans="1:10" x14ac:dyDescent="0.25">
      <c r="A298" t="s">
        <v>212</v>
      </c>
      <c r="B298" t="s">
        <v>224</v>
      </c>
      <c r="C298">
        <v>2018</v>
      </c>
      <c r="D298">
        <v>49412</v>
      </c>
      <c r="E298">
        <v>355.9</v>
      </c>
      <c r="F298">
        <v>7.1</v>
      </c>
      <c r="G298">
        <v>7.7</v>
      </c>
      <c r="H298">
        <v>18.7</v>
      </c>
      <c r="I298">
        <f t="shared" si="8"/>
        <v>17585730.799999997</v>
      </c>
      <c r="J298">
        <f t="shared" si="9"/>
        <v>924004.39999999991</v>
      </c>
    </row>
    <row r="299" spans="1:10" x14ac:dyDescent="0.25">
      <c r="A299" t="s">
        <v>212</v>
      </c>
      <c r="B299" t="s">
        <v>224</v>
      </c>
      <c r="C299">
        <v>2019</v>
      </c>
      <c r="D299">
        <v>52654</v>
      </c>
      <c r="E299">
        <v>356</v>
      </c>
      <c r="F299">
        <v>7</v>
      </c>
      <c r="G299">
        <v>7.8</v>
      </c>
      <c r="H299">
        <v>19</v>
      </c>
      <c r="I299">
        <f t="shared" si="8"/>
        <v>18744824</v>
      </c>
      <c r="J299">
        <f t="shared" si="9"/>
        <v>1000426</v>
      </c>
    </row>
    <row r="300" spans="1:10" x14ac:dyDescent="0.25">
      <c r="A300" t="s">
        <v>212</v>
      </c>
      <c r="B300" t="s">
        <v>224</v>
      </c>
      <c r="C300">
        <v>2020</v>
      </c>
      <c r="D300">
        <v>52664</v>
      </c>
      <c r="E300">
        <v>354.9</v>
      </c>
      <c r="F300">
        <v>6.9</v>
      </c>
      <c r="G300">
        <v>7.8</v>
      </c>
      <c r="H300">
        <v>19.2</v>
      </c>
      <c r="I300">
        <f t="shared" si="8"/>
        <v>18690453.599999998</v>
      </c>
      <c r="J300">
        <f t="shared" si="9"/>
        <v>1011148.7999999999</v>
      </c>
    </row>
    <row r="301" spans="1:10" x14ac:dyDescent="0.25">
      <c r="A301" t="s">
        <v>212</v>
      </c>
      <c r="B301" t="s">
        <v>224</v>
      </c>
      <c r="C301">
        <v>2021</v>
      </c>
      <c r="D301">
        <v>50606</v>
      </c>
      <c r="E301">
        <v>362.1</v>
      </c>
      <c r="F301">
        <v>6.9</v>
      </c>
      <c r="G301">
        <v>7.8</v>
      </c>
      <c r="H301">
        <v>20.6</v>
      </c>
      <c r="I301">
        <f t="shared" si="8"/>
        <v>18324432.600000001</v>
      </c>
      <c r="J301">
        <f t="shared" si="9"/>
        <v>1042483.6000000001</v>
      </c>
    </row>
    <row r="302" spans="1:10" x14ac:dyDescent="0.25">
      <c r="A302" t="s">
        <v>214</v>
      </c>
      <c r="B302" t="s">
        <v>200</v>
      </c>
      <c r="C302">
        <v>2016</v>
      </c>
      <c r="D302">
        <v>4295</v>
      </c>
      <c r="E302">
        <v>344.1</v>
      </c>
      <c r="F302">
        <v>6.4</v>
      </c>
      <c r="G302">
        <v>5.0999999999999996</v>
      </c>
      <c r="H302">
        <v>28.9</v>
      </c>
      <c r="I302">
        <f t="shared" si="8"/>
        <v>1477909.5</v>
      </c>
      <c r="J302">
        <f t="shared" si="9"/>
        <v>124125.5</v>
      </c>
    </row>
    <row r="303" spans="1:10" x14ac:dyDescent="0.25">
      <c r="A303" t="s">
        <v>214</v>
      </c>
      <c r="B303" t="s">
        <v>200</v>
      </c>
      <c r="C303">
        <v>2017</v>
      </c>
      <c r="D303">
        <v>4428</v>
      </c>
      <c r="E303">
        <v>349.4</v>
      </c>
      <c r="F303">
        <v>6.5</v>
      </c>
      <c r="G303">
        <v>5.0999999999999996</v>
      </c>
      <c r="H303">
        <v>28.8</v>
      </c>
      <c r="I303">
        <f t="shared" si="8"/>
        <v>1547143.2</v>
      </c>
      <c r="J303">
        <f t="shared" si="9"/>
        <v>127526.40000000001</v>
      </c>
    </row>
    <row r="304" spans="1:10" x14ac:dyDescent="0.25">
      <c r="A304" t="s">
        <v>214</v>
      </c>
      <c r="B304" t="s">
        <v>200</v>
      </c>
      <c r="C304">
        <v>2018</v>
      </c>
      <c r="D304">
        <v>4079</v>
      </c>
      <c r="E304">
        <v>352.5</v>
      </c>
      <c r="F304">
        <v>6.4</v>
      </c>
      <c r="G304">
        <v>5.0999999999999996</v>
      </c>
      <c r="H304">
        <v>28.6</v>
      </c>
      <c r="I304">
        <f t="shared" si="8"/>
        <v>1437847.5</v>
      </c>
      <c r="J304">
        <f t="shared" si="9"/>
        <v>116659.40000000001</v>
      </c>
    </row>
    <row r="305" spans="1:10" x14ac:dyDescent="0.25">
      <c r="A305" t="s">
        <v>214</v>
      </c>
      <c r="B305" t="s">
        <v>200</v>
      </c>
      <c r="C305">
        <v>2019</v>
      </c>
      <c r="D305">
        <v>3985</v>
      </c>
      <c r="E305">
        <v>345.8</v>
      </c>
      <c r="F305">
        <v>6</v>
      </c>
      <c r="G305">
        <v>5</v>
      </c>
      <c r="H305">
        <v>29.3</v>
      </c>
      <c r="I305">
        <f t="shared" si="8"/>
        <v>1378013</v>
      </c>
      <c r="J305">
        <f t="shared" si="9"/>
        <v>116760.5</v>
      </c>
    </row>
    <row r="306" spans="1:10" x14ac:dyDescent="0.25">
      <c r="A306" t="s">
        <v>214</v>
      </c>
      <c r="B306" t="s">
        <v>200</v>
      </c>
      <c r="C306">
        <v>2020</v>
      </c>
      <c r="D306">
        <v>3856</v>
      </c>
      <c r="E306">
        <v>347</v>
      </c>
      <c r="F306">
        <v>6.1</v>
      </c>
      <c r="G306">
        <v>5</v>
      </c>
      <c r="H306">
        <v>29.2</v>
      </c>
      <c r="I306">
        <f t="shared" si="8"/>
        <v>1338032</v>
      </c>
      <c r="J306">
        <f t="shared" si="9"/>
        <v>112595.2</v>
      </c>
    </row>
    <row r="307" spans="1:10" x14ac:dyDescent="0.25">
      <c r="A307" t="s">
        <v>214</v>
      </c>
      <c r="B307" t="s">
        <v>200</v>
      </c>
      <c r="C307">
        <v>2021</v>
      </c>
      <c r="D307">
        <v>2996</v>
      </c>
      <c r="E307">
        <v>356.7</v>
      </c>
      <c r="F307">
        <v>6.1</v>
      </c>
      <c r="G307">
        <v>5.0999999999999996</v>
      </c>
      <c r="H307">
        <v>29.7</v>
      </c>
      <c r="I307">
        <f t="shared" si="8"/>
        <v>1068673.2</v>
      </c>
      <c r="J307">
        <f t="shared" si="9"/>
        <v>88981.2</v>
      </c>
    </row>
    <row r="308" spans="1:10" x14ac:dyDescent="0.25">
      <c r="A308" t="s">
        <v>214</v>
      </c>
      <c r="B308" t="s">
        <v>208</v>
      </c>
      <c r="C308">
        <v>2016</v>
      </c>
      <c r="D308">
        <v>6740</v>
      </c>
      <c r="E308">
        <v>352.8</v>
      </c>
      <c r="F308">
        <v>6</v>
      </c>
      <c r="G308">
        <v>4.4000000000000004</v>
      </c>
      <c r="H308">
        <v>28.5</v>
      </c>
      <c r="I308">
        <f t="shared" si="8"/>
        <v>2377872</v>
      </c>
      <c r="J308">
        <f t="shared" si="9"/>
        <v>192090</v>
      </c>
    </row>
    <row r="309" spans="1:10" x14ac:dyDescent="0.25">
      <c r="A309" t="s">
        <v>214</v>
      </c>
      <c r="B309" t="s">
        <v>208</v>
      </c>
      <c r="C309">
        <v>2017</v>
      </c>
      <c r="D309">
        <v>7005</v>
      </c>
      <c r="E309">
        <v>358.6</v>
      </c>
      <c r="F309">
        <v>6.1</v>
      </c>
      <c r="G309">
        <v>4.4000000000000004</v>
      </c>
      <c r="H309">
        <v>28.5</v>
      </c>
      <c r="I309">
        <f t="shared" si="8"/>
        <v>2511993</v>
      </c>
      <c r="J309">
        <f t="shared" si="9"/>
        <v>199642.5</v>
      </c>
    </row>
    <row r="310" spans="1:10" x14ac:dyDescent="0.25">
      <c r="A310" t="s">
        <v>214</v>
      </c>
      <c r="B310" t="s">
        <v>208</v>
      </c>
      <c r="C310">
        <v>2018</v>
      </c>
      <c r="D310">
        <v>6873</v>
      </c>
      <c r="E310">
        <v>356.7</v>
      </c>
      <c r="F310">
        <v>5.9</v>
      </c>
      <c r="G310">
        <v>4.4000000000000004</v>
      </c>
      <c r="H310">
        <v>29.2</v>
      </c>
      <c r="I310">
        <f t="shared" si="8"/>
        <v>2451599.1</v>
      </c>
      <c r="J310">
        <f t="shared" si="9"/>
        <v>200691.6</v>
      </c>
    </row>
    <row r="311" spans="1:10" x14ac:dyDescent="0.25">
      <c r="A311" t="s">
        <v>214</v>
      </c>
      <c r="B311" t="s">
        <v>208</v>
      </c>
      <c r="C311">
        <v>2019</v>
      </c>
      <c r="D311">
        <v>6585</v>
      </c>
      <c r="E311">
        <v>350.6</v>
      </c>
      <c r="F311">
        <v>5.5</v>
      </c>
      <c r="G311">
        <v>4.3</v>
      </c>
      <c r="H311">
        <v>30.1</v>
      </c>
      <c r="I311">
        <f t="shared" si="8"/>
        <v>2308701</v>
      </c>
      <c r="J311">
        <f t="shared" si="9"/>
        <v>198208.5</v>
      </c>
    </row>
    <row r="312" spans="1:10" x14ac:dyDescent="0.25">
      <c r="A312" t="s">
        <v>214</v>
      </c>
      <c r="B312" t="s">
        <v>208</v>
      </c>
      <c r="C312">
        <v>2020</v>
      </c>
      <c r="D312">
        <v>6773</v>
      </c>
      <c r="E312">
        <v>354.2</v>
      </c>
      <c r="F312">
        <v>5.7</v>
      </c>
      <c r="G312">
        <v>4.3</v>
      </c>
      <c r="H312">
        <v>29.9</v>
      </c>
      <c r="I312">
        <f t="shared" si="8"/>
        <v>2398996.6</v>
      </c>
      <c r="J312">
        <f t="shared" si="9"/>
        <v>202512.69999999998</v>
      </c>
    </row>
    <row r="313" spans="1:10" x14ac:dyDescent="0.25">
      <c r="A313" t="s">
        <v>214</v>
      </c>
      <c r="B313" t="s">
        <v>208</v>
      </c>
      <c r="C313">
        <v>2021</v>
      </c>
      <c r="D313">
        <v>5484</v>
      </c>
      <c r="E313">
        <v>363.7</v>
      </c>
      <c r="F313">
        <v>5.7</v>
      </c>
      <c r="G313">
        <v>4.4000000000000004</v>
      </c>
      <c r="H313">
        <v>31.8</v>
      </c>
      <c r="I313">
        <f t="shared" si="8"/>
        <v>1994530.8</v>
      </c>
      <c r="J313">
        <f t="shared" si="9"/>
        <v>174391.2</v>
      </c>
    </row>
    <row r="314" spans="1:10" x14ac:dyDescent="0.25">
      <c r="A314" t="s">
        <v>214</v>
      </c>
      <c r="B314" t="s">
        <v>213</v>
      </c>
      <c r="C314">
        <v>2016</v>
      </c>
      <c r="D314">
        <v>1540</v>
      </c>
      <c r="E314">
        <v>373.4</v>
      </c>
      <c r="F314">
        <v>7.1</v>
      </c>
      <c r="G314">
        <v>7</v>
      </c>
      <c r="H314">
        <v>30.3</v>
      </c>
      <c r="I314">
        <f t="shared" si="8"/>
        <v>575036</v>
      </c>
      <c r="J314">
        <f t="shared" si="9"/>
        <v>46662</v>
      </c>
    </row>
    <row r="315" spans="1:10" x14ac:dyDescent="0.25">
      <c r="A315" t="s">
        <v>214</v>
      </c>
      <c r="B315" t="s">
        <v>213</v>
      </c>
      <c r="C315">
        <v>2017</v>
      </c>
      <c r="D315">
        <v>1587</v>
      </c>
      <c r="E315">
        <v>374.6</v>
      </c>
      <c r="F315">
        <v>7.2</v>
      </c>
      <c r="G315">
        <v>7</v>
      </c>
      <c r="H315">
        <v>30</v>
      </c>
      <c r="I315">
        <f t="shared" si="8"/>
        <v>594490.20000000007</v>
      </c>
      <c r="J315">
        <f t="shared" si="9"/>
        <v>47610</v>
      </c>
    </row>
    <row r="316" spans="1:10" x14ac:dyDescent="0.25">
      <c r="A316" t="s">
        <v>214</v>
      </c>
      <c r="B316" t="s">
        <v>213</v>
      </c>
      <c r="C316">
        <v>2018</v>
      </c>
      <c r="D316">
        <v>1633</v>
      </c>
      <c r="E316">
        <v>370.7</v>
      </c>
      <c r="F316">
        <v>6.8</v>
      </c>
      <c r="G316">
        <v>6.9</v>
      </c>
      <c r="H316">
        <v>29.5</v>
      </c>
      <c r="I316">
        <f t="shared" si="8"/>
        <v>605353.1</v>
      </c>
      <c r="J316">
        <f t="shared" si="9"/>
        <v>48173.5</v>
      </c>
    </row>
    <row r="317" spans="1:10" x14ac:dyDescent="0.25">
      <c r="A317" t="s">
        <v>214</v>
      </c>
      <c r="B317" t="s">
        <v>213</v>
      </c>
      <c r="C317">
        <v>2019</v>
      </c>
      <c r="D317">
        <v>1806</v>
      </c>
      <c r="E317">
        <v>368.8</v>
      </c>
      <c r="F317">
        <v>6.7</v>
      </c>
      <c r="G317">
        <v>6.7</v>
      </c>
      <c r="H317">
        <v>30.4</v>
      </c>
      <c r="I317">
        <f t="shared" si="8"/>
        <v>666052.80000000005</v>
      </c>
      <c r="J317">
        <f t="shared" si="9"/>
        <v>54902.399999999994</v>
      </c>
    </row>
    <row r="318" spans="1:10" x14ac:dyDescent="0.25">
      <c r="A318" t="s">
        <v>214</v>
      </c>
      <c r="B318" t="s">
        <v>213</v>
      </c>
      <c r="C318">
        <v>2020</v>
      </c>
      <c r="D318">
        <v>1771</v>
      </c>
      <c r="E318">
        <v>368.3</v>
      </c>
      <c r="F318">
        <v>6.7</v>
      </c>
      <c r="G318">
        <v>6.9</v>
      </c>
      <c r="H318">
        <v>30.6</v>
      </c>
      <c r="I318">
        <f t="shared" si="8"/>
        <v>652259.30000000005</v>
      </c>
      <c r="J318">
        <f t="shared" si="9"/>
        <v>54192.600000000006</v>
      </c>
    </row>
    <row r="319" spans="1:10" x14ac:dyDescent="0.25">
      <c r="A319" t="s">
        <v>214</v>
      </c>
      <c r="B319" t="s">
        <v>213</v>
      </c>
      <c r="C319">
        <v>2021</v>
      </c>
      <c r="D319">
        <v>1686</v>
      </c>
      <c r="E319">
        <v>374.7</v>
      </c>
      <c r="F319">
        <v>6.6</v>
      </c>
      <c r="G319">
        <v>7</v>
      </c>
      <c r="H319">
        <v>31.1</v>
      </c>
      <c r="I319">
        <f t="shared" si="8"/>
        <v>631744.19999999995</v>
      </c>
      <c r="J319">
        <f t="shared" si="9"/>
        <v>52434.600000000006</v>
      </c>
    </row>
    <row r="320" spans="1:10" x14ac:dyDescent="0.25">
      <c r="A320" t="s">
        <v>214</v>
      </c>
      <c r="B320" t="s">
        <v>216</v>
      </c>
      <c r="C320">
        <v>2016</v>
      </c>
      <c r="D320">
        <v>463</v>
      </c>
      <c r="E320">
        <v>414</v>
      </c>
      <c r="F320">
        <v>6</v>
      </c>
      <c r="G320">
        <v>8.1999999999999993</v>
      </c>
      <c r="H320">
        <v>29.9</v>
      </c>
      <c r="I320">
        <f t="shared" si="8"/>
        <v>191682</v>
      </c>
      <c r="J320">
        <f t="shared" si="9"/>
        <v>13843.699999999999</v>
      </c>
    </row>
    <row r="321" spans="1:10" x14ac:dyDescent="0.25">
      <c r="A321" t="s">
        <v>214</v>
      </c>
      <c r="B321" t="s">
        <v>216</v>
      </c>
      <c r="C321">
        <v>2017</v>
      </c>
      <c r="D321">
        <v>406</v>
      </c>
      <c r="E321">
        <v>410.4</v>
      </c>
      <c r="F321">
        <v>5.8</v>
      </c>
      <c r="G321">
        <v>8.1</v>
      </c>
      <c r="H321">
        <v>31.4</v>
      </c>
      <c r="I321">
        <f t="shared" si="8"/>
        <v>166622.39999999999</v>
      </c>
      <c r="J321">
        <f t="shared" si="9"/>
        <v>12748.4</v>
      </c>
    </row>
    <row r="322" spans="1:10" x14ac:dyDescent="0.25">
      <c r="A322" t="s">
        <v>214</v>
      </c>
      <c r="B322" t="s">
        <v>216</v>
      </c>
      <c r="C322">
        <v>2018</v>
      </c>
      <c r="D322">
        <v>429</v>
      </c>
      <c r="E322">
        <v>417.1</v>
      </c>
      <c r="F322">
        <v>5.3</v>
      </c>
      <c r="G322">
        <v>8.1</v>
      </c>
      <c r="H322">
        <v>29.7</v>
      </c>
      <c r="I322">
        <f t="shared" si="8"/>
        <v>178935.90000000002</v>
      </c>
      <c r="J322">
        <f t="shared" si="9"/>
        <v>12741.3</v>
      </c>
    </row>
    <row r="323" spans="1:10" x14ac:dyDescent="0.25">
      <c r="A323" t="s">
        <v>214</v>
      </c>
      <c r="B323" t="s">
        <v>216</v>
      </c>
      <c r="C323">
        <v>2019</v>
      </c>
      <c r="D323">
        <v>507</v>
      </c>
      <c r="E323">
        <v>416.6</v>
      </c>
      <c r="F323">
        <v>5.4</v>
      </c>
      <c r="G323">
        <v>8.3000000000000007</v>
      </c>
      <c r="H323">
        <v>30</v>
      </c>
      <c r="I323">
        <f t="shared" ref="I323:I386" si="10">D323*E323</f>
        <v>211216.2</v>
      </c>
      <c r="J323">
        <f t="shared" ref="J323:J386" si="11">D323*H323</f>
        <v>15210</v>
      </c>
    </row>
    <row r="324" spans="1:10" x14ac:dyDescent="0.25">
      <c r="A324" t="s">
        <v>214</v>
      </c>
      <c r="B324" t="s">
        <v>216</v>
      </c>
      <c r="C324">
        <v>2020</v>
      </c>
      <c r="D324">
        <v>452</v>
      </c>
      <c r="E324">
        <v>396.3</v>
      </c>
      <c r="F324">
        <v>5.2</v>
      </c>
      <c r="G324">
        <v>8</v>
      </c>
      <c r="H324">
        <v>31.7</v>
      </c>
      <c r="I324">
        <f t="shared" si="10"/>
        <v>179127.6</v>
      </c>
      <c r="J324">
        <f t="shared" si="11"/>
        <v>14328.4</v>
      </c>
    </row>
    <row r="325" spans="1:10" x14ac:dyDescent="0.25">
      <c r="A325" t="s">
        <v>214</v>
      </c>
      <c r="B325" t="s">
        <v>216</v>
      </c>
      <c r="C325">
        <v>2021</v>
      </c>
      <c r="D325">
        <v>402</v>
      </c>
      <c r="E325">
        <v>405.1</v>
      </c>
      <c r="F325">
        <v>5.4</v>
      </c>
      <c r="G325">
        <v>8.3000000000000007</v>
      </c>
      <c r="H325">
        <v>30.5</v>
      </c>
      <c r="I325">
        <f t="shared" si="10"/>
        <v>162850.20000000001</v>
      </c>
      <c r="J325">
        <f t="shared" si="11"/>
        <v>12261</v>
      </c>
    </row>
    <row r="326" spans="1:10" x14ac:dyDescent="0.25">
      <c r="A326" t="s">
        <v>214</v>
      </c>
      <c r="B326" t="s">
        <v>217</v>
      </c>
      <c r="C326">
        <v>2016</v>
      </c>
      <c r="D326">
        <v>284</v>
      </c>
      <c r="E326">
        <v>386.3</v>
      </c>
      <c r="F326">
        <v>7.2</v>
      </c>
      <c r="G326">
        <v>7.2</v>
      </c>
      <c r="H326">
        <v>30.4</v>
      </c>
      <c r="I326">
        <f t="shared" si="10"/>
        <v>109709.2</v>
      </c>
      <c r="J326">
        <f t="shared" si="11"/>
        <v>8633.6</v>
      </c>
    </row>
    <row r="327" spans="1:10" x14ac:dyDescent="0.25">
      <c r="A327" t="s">
        <v>214</v>
      </c>
      <c r="B327" t="s">
        <v>217</v>
      </c>
      <c r="C327">
        <v>2017</v>
      </c>
      <c r="D327">
        <v>273</v>
      </c>
      <c r="E327">
        <v>391.2</v>
      </c>
      <c r="F327">
        <v>7.4</v>
      </c>
      <c r="G327">
        <v>7.5</v>
      </c>
      <c r="H327">
        <v>29.2</v>
      </c>
      <c r="I327">
        <f t="shared" si="10"/>
        <v>106797.59999999999</v>
      </c>
      <c r="J327">
        <f t="shared" si="11"/>
        <v>7971.5999999999995</v>
      </c>
    </row>
    <row r="328" spans="1:10" x14ac:dyDescent="0.25">
      <c r="A328" t="s">
        <v>214</v>
      </c>
      <c r="B328" t="s">
        <v>217</v>
      </c>
      <c r="C328">
        <v>2018</v>
      </c>
      <c r="D328">
        <v>299</v>
      </c>
      <c r="E328">
        <v>391.2</v>
      </c>
      <c r="F328">
        <v>7.1</v>
      </c>
      <c r="G328">
        <v>7.3</v>
      </c>
      <c r="H328">
        <v>29</v>
      </c>
      <c r="I328">
        <f t="shared" si="10"/>
        <v>116968.8</v>
      </c>
      <c r="J328">
        <f t="shared" si="11"/>
        <v>8671</v>
      </c>
    </row>
    <row r="329" spans="1:10" x14ac:dyDescent="0.25">
      <c r="A329" t="s">
        <v>214</v>
      </c>
      <c r="B329" t="s">
        <v>217</v>
      </c>
      <c r="C329">
        <v>2019</v>
      </c>
      <c r="D329">
        <v>446</v>
      </c>
      <c r="E329">
        <v>383.4</v>
      </c>
      <c r="F329">
        <v>6.9</v>
      </c>
      <c r="G329">
        <v>7</v>
      </c>
      <c r="H329">
        <v>30</v>
      </c>
      <c r="I329">
        <f t="shared" si="10"/>
        <v>170996.4</v>
      </c>
      <c r="J329">
        <f t="shared" si="11"/>
        <v>13380</v>
      </c>
    </row>
    <row r="330" spans="1:10" x14ac:dyDescent="0.25">
      <c r="A330" t="s">
        <v>214</v>
      </c>
      <c r="B330" t="s">
        <v>217</v>
      </c>
      <c r="C330">
        <v>2020</v>
      </c>
      <c r="D330">
        <v>434</v>
      </c>
      <c r="E330">
        <v>376.9</v>
      </c>
      <c r="F330">
        <v>6.6</v>
      </c>
      <c r="G330">
        <v>7.1</v>
      </c>
      <c r="H330">
        <v>33</v>
      </c>
      <c r="I330">
        <f t="shared" si="10"/>
        <v>163574.59999999998</v>
      </c>
      <c r="J330">
        <f t="shared" si="11"/>
        <v>14322</v>
      </c>
    </row>
    <row r="331" spans="1:10" x14ac:dyDescent="0.25">
      <c r="A331" t="s">
        <v>214</v>
      </c>
      <c r="B331" t="s">
        <v>217</v>
      </c>
      <c r="C331">
        <v>2021</v>
      </c>
      <c r="D331">
        <v>372</v>
      </c>
      <c r="E331">
        <v>380</v>
      </c>
      <c r="F331">
        <v>6.7</v>
      </c>
      <c r="G331">
        <v>7.2</v>
      </c>
      <c r="H331">
        <v>33.1</v>
      </c>
      <c r="I331">
        <f t="shared" si="10"/>
        <v>141360</v>
      </c>
      <c r="J331">
        <f t="shared" si="11"/>
        <v>12313.2</v>
      </c>
    </row>
    <row r="332" spans="1:10" x14ac:dyDescent="0.25">
      <c r="A332" t="s">
        <v>214</v>
      </c>
      <c r="B332" t="s">
        <v>219</v>
      </c>
      <c r="C332">
        <v>2016</v>
      </c>
      <c r="D332">
        <v>100</v>
      </c>
      <c r="E332">
        <v>407.8</v>
      </c>
      <c r="F332">
        <v>6</v>
      </c>
      <c r="G332">
        <v>9.3000000000000007</v>
      </c>
      <c r="H332">
        <v>30.1</v>
      </c>
      <c r="I332">
        <f t="shared" si="10"/>
        <v>40780</v>
      </c>
      <c r="J332">
        <f t="shared" si="11"/>
        <v>3010</v>
      </c>
    </row>
    <row r="333" spans="1:10" x14ac:dyDescent="0.25">
      <c r="A333" t="s">
        <v>214</v>
      </c>
      <c r="B333" t="s">
        <v>219</v>
      </c>
      <c r="C333">
        <v>2017</v>
      </c>
      <c r="D333">
        <v>104</v>
      </c>
      <c r="E333">
        <v>409.1</v>
      </c>
      <c r="F333">
        <v>5.5</v>
      </c>
      <c r="G333">
        <v>9.4</v>
      </c>
      <c r="H333">
        <v>29.1</v>
      </c>
      <c r="I333">
        <f t="shared" si="10"/>
        <v>42546.400000000001</v>
      </c>
      <c r="J333">
        <f t="shared" si="11"/>
        <v>3026.4</v>
      </c>
    </row>
    <row r="334" spans="1:10" x14ac:dyDescent="0.25">
      <c r="A334" t="s">
        <v>214</v>
      </c>
      <c r="B334" t="s">
        <v>219</v>
      </c>
      <c r="C334">
        <v>2018</v>
      </c>
      <c r="D334">
        <v>161</v>
      </c>
      <c r="E334">
        <v>415.9</v>
      </c>
      <c r="F334">
        <v>5.0999999999999996</v>
      </c>
      <c r="G334">
        <v>9.1999999999999993</v>
      </c>
      <c r="H334">
        <v>30.9</v>
      </c>
      <c r="I334">
        <f t="shared" si="10"/>
        <v>66959.899999999994</v>
      </c>
      <c r="J334">
        <f t="shared" si="11"/>
        <v>4974.8999999999996</v>
      </c>
    </row>
    <row r="335" spans="1:10" x14ac:dyDescent="0.25">
      <c r="A335" t="s">
        <v>214</v>
      </c>
      <c r="B335" t="s">
        <v>219</v>
      </c>
      <c r="C335">
        <v>2019</v>
      </c>
      <c r="D335">
        <v>193</v>
      </c>
      <c r="E335">
        <v>407.1</v>
      </c>
      <c r="F335">
        <v>5.4</v>
      </c>
      <c r="G335">
        <v>8.8000000000000007</v>
      </c>
      <c r="H335">
        <v>31.5</v>
      </c>
      <c r="I335">
        <f t="shared" si="10"/>
        <v>78570.3</v>
      </c>
      <c r="J335">
        <f t="shared" si="11"/>
        <v>6079.5</v>
      </c>
    </row>
    <row r="336" spans="1:10" x14ac:dyDescent="0.25">
      <c r="A336" t="s">
        <v>214</v>
      </c>
      <c r="B336" t="s">
        <v>219</v>
      </c>
      <c r="C336">
        <v>2020</v>
      </c>
      <c r="D336">
        <v>151</v>
      </c>
      <c r="E336">
        <v>401.7</v>
      </c>
      <c r="F336">
        <v>5.0999999999999996</v>
      </c>
      <c r="G336">
        <v>9</v>
      </c>
      <c r="H336">
        <v>36.799999999999997</v>
      </c>
      <c r="I336">
        <f t="shared" si="10"/>
        <v>60656.7</v>
      </c>
      <c r="J336">
        <f t="shared" si="11"/>
        <v>5556.7999999999993</v>
      </c>
    </row>
    <row r="337" spans="1:10" x14ac:dyDescent="0.25">
      <c r="A337" t="s">
        <v>214</v>
      </c>
      <c r="B337" t="s">
        <v>219</v>
      </c>
      <c r="C337">
        <v>2021</v>
      </c>
      <c r="D337">
        <v>154</v>
      </c>
      <c r="E337">
        <v>405.2</v>
      </c>
      <c r="F337">
        <v>5.2</v>
      </c>
      <c r="G337">
        <v>9.1999999999999993</v>
      </c>
      <c r="H337">
        <v>30.6</v>
      </c>
      <c r="I337">
        <f t="shared" si="10"/>
        <v>62400.799999999996</v>
      </c>
      <c r="J337">
        <f t="shared" si="11"/>
        <v>4712.4000000000005</v>
      </c>
    </row>
    <row r="338" spans="1:10" x14ac:dyDescent="0.25">
      <c r="A338" t="s">
        <v>214</v>
      </c>
      <c r="B338" t="s">
        <v>220</v>
      </c>
      <c r="C338">
        <v>2016</v>
      </c>
      <c r="D338">
        <v>414</v>
      </c>
      <c r="E338">
        <v>417</v>
      </c>
      <c r="F338">
        <v>5.8</v>
      </c>
      <c r="G338">
        <v>7.9</v>
      </c>
      <c r="H338">
        <v>30</v>
      </c>
      <c r="I338">
        <f t="shared" si="10"/>
        <v>172638</v>
      </c>
      <c r="J338">
        <f t="shared" si="11"/>
        <v>12420</v>
      </c>
    </row>
    <row r="339" spans="1:10" x14ac:dyDescent="0.25">
      <c r="A339" t="s">
        <v>214</v>
      </c>
      <c r="B339" t="s">
        <v>220</v>
      </c>
      <c r="C339">
        <v>2017</v>
      </c>
      <c r="D339">
        <v>424</v>
      </c>
      <c r="E339">
        <v>411.4</v>
      </c>
      <c r="F339">
        <v>5.8</v>
      </c>
      <c r="G339">
        <v>7.9</v>
      </c>
      <c r="H339">
        <v>29.9</v>
      </c>
      <c r="I339">
        <f t="shared" si="10"/>
        <v>174433.59999999998</v>
      </c>
      <c r="J339">
        <f t="shared" si="11"/>
        <v>12677.599999999999</v>
      </c>
    </row>
    <row r="340" spans="1:10" x14ac:dyDescent="0.25">
      <c r="A340" t="s">
        <v>214</v>
      </c>
      <c r="B340" t="s">
        <v>220</v>
      </c>
      <c r="C340">
        <v>2018</v>
      </c>
      <c r="D340">
        <v>489</v>
      </c>
      <c r="E340">
        <v>404.6</v>
      </c>
      <c r="F340">
        <v>5.3</v>
      </c>
      <c r="G340">
        <v>7.6</v>
      </c>
      <c r="H340">
        <v>30.1</v>
      </c>
      <c r="I340">
        <f t="shared" si="10"/>
        <v>197849.40000000002</v>
      </c>
      <c r="J340">
        <f t="shared" si="11"/>
        <v>14718.900000000001</v>
      </c>
    </row>
    <row r="341" spans="1:10" x14ac:dyDescent="0.25">
      <c r="A341" t="s">
        <v>214</v>
      </c>
      <c r="B341" t="s">
        <v>220</v>
      </c>
      <c r="C341">
        <v>2019</v>
      </c>
      <c r="D341">
        <v>631</v>
      </c>
      <c r="E341">
        <v>390.9</v>
      </c>
      <c r="F341">
        <v>5.0999999999999996</v>
      </c>
      <c r="G341">
        <v>7.5</v>
      </c>
      <c r="H341">
        <v>31.1</v>
      </c>
      <c r="I341">
        <f t="shared" si="10"/>
        <v>246657.9</v>
      </c>
      <c r="J341">
        <f t="shared" si="11"/>
        <v>19624.100000000002</v>
      </c>
    </row>
    <row r="342" spans="1:10" x14ac:dyDescent="0.25">
      <c r="A342" t="s">
        <v>214</v>
      </c>
      <c r="B342" t="s">
        <v>220</v>
      </c>
      <c r="C342">
        <v>2020</v>
      </c>
      <c r="D342">
        <v>592</v>
      </c>
      <c r="E342">
        <v>386.3</v>
      </c>
      <c r="F342">
        <v>5.3</v>
      </c>
      <c r="G342">
        <v>7.7</v>
      </c>
      <c r="H342">
        <v>31.9</v>
      </c>
      <c r="I342">
        <f t="shared" si="10"/>
        <v>228689.6</v>
      </c>
      <c r="J342">
        <f t="shared" si="11"/>
        <v>18884.8</v>
      </c>
    </row>
    <row r="343" spans="1:10" x14ac:dyDescent="0.25">
      <c r="A343" t="s">
        <v>214</v>
      </c>
      <c r="B343" t="s">
        <v>220</v>
      </c>
      <c r="C343">
        <v>2021</v>
      </c>
      <c r="D343">
        <v>511</v>
      </c>
      <c r="E343">
        <v>408.2</v>
      </c>
      <c r="F343">
        <v>5.4</v>
      </c>
      <c r="G343">
        <v>7.9</v>
      </c>
      <c r="H343">
        <v>31.5</v>
      </c>
      <c r="I343">
        <f t="shared" si="10"/>
        <v>208590.19999999998</v>
      </c>
      <c r="J343">
        <f t="shared" si="11"/>
        <v>16096.5</v>
      </c>
    </row>
    <row r="344" spans="1:10" x14ac:dyDescent="0.25">
      <c r="A344" t="s">
        <v>214</v>
      </c>
      <c r="B344" t="s">
        <v>222</v>
      </c>
      <c r="C344">
        <v>2016</v>
      </c>
      <c r="D344">
        <v>251</v>
      </c>
      <c r="E344">
        <v>244.4</v>
      </c>
      <c r="F344">
        <v>5.4</v>
      </c>
      <c r="G344">
        <v>5.0999999999999996</v>
      </c>
      <c r="H344">
        <v>35.4</v>
      </c>
      <c r="I344">
        <f t="shared" si="10"/>
        <v>61344.4</v>
      </c>
      <c r="J344">
        <f t="shared" si="11"/>
        <v>8885.4</v>
      </c>
    </row>
    <row r="345" spans="1:10" x14ac:dyDescent="0.25">
      <c r="A345" t="s">
        <v>214</v>
      </c>
      <c r="B345" t="s">
        <v>222</v>
      </c>
      <c r="C345">
        <v>2017</v>
      </c>
      <c r="D345">
        <v>207</v>
      </c>
      <c r="E345">
        <v>235</v>
      </c>
      <c r="F345">
        <v>5.2</v>
      </c>
      <c r="G345">
        <v>5.0999999999999996</v>
      </c>
      <c r="H345">
        <v>32.5</v>
      </c>
      <c r="I345">
        <f t="shared" si="10"/>
        <v>48645</v>
      </c>
      <c r="J345">
        <f t="shared" si="11"/>
        <v>6727.5</v>
      </c>
    </row>
    <row r="346" spans="1:10" x14ac:dyDescent="0.25">
      <c r="A346" t="s">
        <v>214</v>
      </c>
      <c r="B346" t="s">
        <v>222</v>
      </c>
      <c r="C346">
        <v>2018</v>
      </c>
      <c r="D346">
        <v>154</v>
      </c>
      <c r="E346">
        <v>234.3</v>
      </c>
      <c r="F346">
        <v>4.7</v>
      </c>
      <c r="G346">
        <v>5.4</v>
      </c>
      <c r="H346">
        <v>34.4</v>
      </c>
      <c r="I346">
        <f t="shared" si="10"/>
        <v>36082.200000000004</v>
      </c>
      <c r="J346">
        <f t="shared" si="11"/>
        <v>5297.5999999999995</v>
      </c>
    </row>
    <row r="347" spans="1:10" x14ac:dyDescent="0.25">
      <c r="A347" t="s">
        <v>214</v>
      </c>
      <c r="B347" t="s">
        <v>222</v>
      </c>
      <c r="C347">
        <v>2019</v>
      </c>
      <c r="D347">
        <v>106</v>
      </c>
      <c r="E347">
        <v>257.5</v>
      </c>
      <c r="F347">
        <v>4.5999999999999996</v>
      </c>
      <c r="G347">
        <v>5.7</v>
      </c>
      <c r="H347">
        <v>35.4</v>
      </c>
      <c r="I347">
        <f t="shared" si="10"/>
        <v>27295</v>
      </c>
      <c r="J347">
        <f t="shared" si="11"/>
        <v>3752.3999999999996</v>
      </c>
    </row>
    <row r="348" spans="1:10" x14ac:dyDescent="0.25">
      <c r="A348" t="s">
        <v>214</v>
      </c>
      <c r="B348" t="s">
        <v>222</v>
      </c>
      <c r="C348">
        <v>2020</v>
      </c>
      <c r="D348">
        <v>98</v>
      </c>
      <c r="E348">
        <v>235.6</v>
      </c>
      <c r="F348">
        <v>4.7</v>
      </c>
      <c r="G348">
        <v>4.9000000000000004</v>
      </c>
      <c r="H348">
        <v>37.9</v>
      </c>
      <c r="I348">
        <f t="shared" si="10"/>
        <v>23088.799999999999</v>
      </c>
      <c r="J348">
        <f t="shared" si="11"/>
        <v>3714.2</v>
      </c>
    </row>
    <row r="349" spans="1:10" x14ac:dyDescent="0.25">
      <c r="A349" t="s">
        <v>214</v>
      </c>
      <c r="B349" t="s">
        <v>222</v>
      </c>
      <c r="C349">
        <v>2021</v>
      </c>
      <c r="D349">
        <v>76</v>
      </c>
      <c r="E349">
        <v>268.5</v>
      </c>
      <c r="F349">
        <v>5</v>
      </c>
      <c r="G349">
        <v>5.5</v>
      </c>
      <c r="H349">
        <v>34.799999999999997</v>
      </c>
      <c r="I349">
        <f t="shared" si="10"/>
        <v>20406</v>
      </c>
      <c r="J349">
        <f t="shared" si="11"/>
        <v>2644.7999999999997</v>
      </c>
    </row>
    <row r="350" spans="1:10" x14ac:dyDescent="0.25">
      <c r="A350" t="s">
        <v>214</v>
      </c>
      <c r="B350" t="s">
        <v>223</v>
      </c>
      <c r="C350">
        <v>2016</v>
      </c>
      <c r="D350">
        <v>26</v>
      </c>
      <c r="E350">
        <v>441.5</v>
      </c>
      <c r="F350">
        <v>4.2</v>
      </c>
      <c r="G350">
        <v>10.199999999999999</v>
      </c>
      <c r="H350">
        <v>32.700000000000003</v>
      </c>
      <c r="I350">
        <f t="shared" si="10"/>
        <v>11479</v>
      </c>
      <c r="J350">
        <f t="shared" si="11"/>
        <v>850.2</v>
      </c>
    </row>
    <row r="351" spans="1:10" x14ac:dyDescent="0.25">
      <c r="A351" t="s">
        <v>214</v>
      </c>
      <c r="B351" t="s">
        <v>223</v>
      </c>
      <c r="C351">
        <v>2017</v>
      </c>
      <c r="D351">
        <v>40</v>
      </c>
      <c r="E351">
        <v>365.1</v>
      </c>
      <c r="F351">
        <v>4.9000000000000004</v>
      </c>
      <c r="G351">
        <v>9.6</v>
      </c>
      <c r="H351">
        <v>22.6</v>
      </c>
      <c r="I351">
        <f t="shared" si="10"/>
        <v>14604</v>
      </c>
      <c r="J351">
        <f t="shared" si="11"/>
        <v>904</v>
      </c>
    </row>
    <row r="352" spans="1:10" x14ac:dyDescent="0.25">
      <c r="A352" t="s">
        <v>214</v>
      </c>
      <c r="B352" t="s">
        <v>223</v>
      </c>
      <c r="C352">
        <v>2018</v>
      </c>
      <c r="D352">
        <v>29</v>
      </c>
      <c r="E352">
        <v>456.2</v>
      </c>
      <c r="F352">
        <v>5</v>
      </c>
      <c r="G352">
        <v>10</v>
      </c>
      <c r="H352">
        <v>40.6</v>
      </c>
      <c r="I352">
        <f t="shared" si="10"/>
        <v>13229.8</v>
      </c>
      <c r="J352">
        <f t="shared" si="11"/>
        <v>1177.4000000000001</v>
      </c>
    </row>
    <row r="353" spans="1:10" x14ac:dyDescent="0.25">
      <c r="A353" t="s">
        <v>214</v>
      </c>
      <c r="B353" t="s">
        <v>223</v>
      </c>
      <c r="C353">
        <v>2019</v>
      </c>
      <c r="D353">
        <v>16</v>
      </c>
      <c r="E353">
        <v>453.4</v>
      </c>
      <c r="F353">
        <v>4.3</v>
      </c>
      <c r="G353">
        <v>9.6</v>
      </c>
      <c r="H353">
        <v>36.9</v>
      </c>
      <c r="I353">
        <f t="shared" si="10"/>
        <v>7254.4</v>
      </c>
      <c r="J353">
        <f t="shared" si="11"/>
        <v>590.4</v>
      </c>
    </row>
    <row r="354" spans="1:10" x14ac:dyDescent="0.25">
      <c r="A354" t="s">
        <v>214</v>
      </c>
      <c r="B354" t="s">
        <v>223</v>
      </c>
      <c r="C354">
        <v>2020</v>
      </c>
      <c r="D354">
        <v>26</v>
      </c>
      <c r="E354">
        <v>445.2</v>
      </c>
      <c r="F354">
        <v>4.3</v>
      </c>
      <c r="G354">
        <v>10.4</v>
      </c>
      <c r="H354">
        <v>30.4</v>
      </c>
      <c r="I354">
        <f t="shared" si="10"/>
        <v>11575.199999999999</v>
      </c>
      <c r="J354">
        <f t="shared" si="11"/>
        <v>790.4</v>
      </c>
    </row>
    <row r="355" spans="1:10" x14ac:dyDescent="0.25">
      <c r="A355" t="s">
        <v>214</v>
      </c>
      <c r="B355" t="s">
        <v>223</v>
      </c>
      <c r="C355">
        <v>2021</v>
      </c>
      <c r="D355">
        <v>15</v>
      </c>
      <c r="E355">
        <v>467.9</v>
      </c>
      <c r="F355">
        <v>4.4000000000000004</v>
      </c>
      <c r="G355">
        <v>9.3000000000000007</v>
      </c>
      <c r="H355">
        <v>28.6</v>
      </c>
      <c r="I355">
        <f t="shared" si="10"/>
        <v>7018.5</v>
      </c>
      <c r="J355">
        <f t="shared" si="11"/>
        <v>429</v>
      </c>
    </row>
    <row r="356" spans="1:10" x14ac:dyDescent="0.25">
      <c r="A356" t="s">
        <v>214</v>
      </c>
      <c r="B356" t="s">
        <v>224</v>
      </c>
      <c r="C356">
        <v>2016</v>
      </c>
      <c r="D356">
        <v>5075</v>
      </c>
      <c r="E356">
        <v>365.4</v>
      </c>
      <c r="F356">
        <v>6.4</v>
      </c>
      <c r="G356">
        <v>6.8</v>
      </c>
      <c r="H356">
        <v>28.9</v>
      </c>
      <c r="I356">
        <f t="shared" si="10"/>
        <v>1854405</v>
      </c>
      <c r="J356">
        <f t="shared" si="11"/>
        <v>146667.5</v>
      </c>
    </row>
    <row r="357" spans="1:10" x14ac:dyDescent="0.25">
      <c r="A357" t="s">
        <v>214</v>
      </c>
      <c r="B357" t="s">
        <v>224</v>
      </c>
      <c r="C357">
        <v>2017</v>
      </c>
      <c r="D357">
        <v>5279</v>
      </c>
      <c r="E357">
        <v>370.3</v>
      </c>
      <c r="F357">
        <v>6.3</v>
      </c>
      <c r="G357">
        <v>6.9</v>
      </c>
      <c r="H357">
        <v>29</v>
      </c>
      <c r="I357">
        <f t="shared" si="10"/>
        <v>1954813.7</v>
      </c>
      <c r="J357">
        <f t="shared" si="11"/>
        <v>153091</v>
      </c>
    </row>
    <row r="358" spans="1:10" x14ac:dyDescent="0.25">
      <c r="A358" t="s">
        <v>214</v>
      </c>
      <c r="B358" t="s">
        <v>224</v>
      </c>
      <c r="C358">
        <v>2018</v>
      </c>
      <c r="D358">
        <v>5478</v>
      </c>
      <c r="E358">
        <v>366</v>
      </c>
      <c r="F358">
        <v>6</v>
      </c>
      <c r="G358">
        <v>6.8</v>
      </c>
      <c r="H358">
        <v>29.1</v>
      </c>
      <c r="I358">
        <f t="shared" si="10"/>
        <v>2004948</v>
      </c>
      <c r="J358">
        <f t="shared" si="11"/>
        <v>159409.80000000002</v>
      </c>
    </row>
    <row r="359" spans="1:10" x14ac:dyDescent="0.25">
      <c r="A359" t="s">
        <v>214</v>
      </c>
      <c r="B359" t="s">
        <v>224</v>
      </c>
      <c r="C359">
        <v>2019</v>
      </c>
      <c r="D359">
        <v>6424</v>
      </c>
      <c r="E359">
        <v>361.6</v>
      </c>
      <c r="F359">
        <v>5.8</v>
      </c>
      <c r="G359">
        <v>6.7</v>
      </c>
      <c r="H359">
        <v>29.6</v>
      </c>
      <c r="I359">
        <f t="shared" si="10"/>
        <v>2322918.4000000004</v>
      </c>
      <c r="J359">
        <f t="shared" si="11"/>
        <v>190150.40000000002</v>
      </c>
    </row>
    <row r="360" spans="1:10" x14ac:dyDescent="0.25">
      <c r="A360" t="s">
        <v>214</v>
      </c>
      <c r="B360" t="s">
        <v>224</v>
      </c>
      <c r="C360">
        <v>2020</v>
      </c>
      <c r="D360">
        <v>6649</v>
      </c>
      <c r="E360">
        <v>360.4</v>
      </c>
      <c r="F360">
        <v>5.8</v>
      </c>
      <c r="G360">
        <v>6.8</v>
      </c>
      <c r="H360">
        <v>30.2</v>
      </c>
      <c r="I360">
        <f t="shared" si="10"/>
        <v>2396299.5999999996</v>
      </c>
      <c r="J360">
        <f t="shared" si="11"/>
        <v>200799.8</v>
      </c>
    </row>
    <row r="361" spans="1:10" x14ac:dyDescent="0.25">
      <c r="A361" t="s">
        <v>214</v>
      </c>
      <c r="B361" t="s">
        <v>224</v>
      </c>
      <c r="C361">
        <v>2021</v>
      </c>
      <c r="D361">
        <v>6017</v>
      </c>
      <c r="E361">
        <v>367.3</v>
      </c>
      <c r="F361">
        <v>5.9</v>
      </c>
      <c r="G361">
        <v>7</v>
      </c>
      <c r="H361">
        <v>30.9</v>
      </c>
      <c r="I361">
        <f t="shared" si="10"/>
        <v>2210044.1</v>
      </c>
      <c r="J361">
        <f t="shared" si="11"/>
        <v>185925.3</v>
      </c>
    </row>
    <row r="362" spans="1:10" x14ac:dyDescent="0.25">
      <c r="A362" t="s">
        <v>117</v>
      </c>
      <c r="B362" t="s">
        <v>200</v>
      </c>
      <c r="C362">
        <v>2016</v>
      </c>
      <c r="D362">
        <v>3715</v>
      </c>
      <c r="E362">
        <v>167.6</v>
      </c>
      <c r="F362">
        <v>5.7</v>
      </c>
      <c r="G362">
        <v>5.0999999999999996</v>
      </c>
      <c r="H362">
        <v>10.6</v>
      </c>
      <c r="I362">
        <f t="shared" si="10"/>
        <v>622634</v>
      </c>
      <c r="J362">
        <f t="shared" si="11"/>
        <v>39379</v>
      </c>
    </row>
    <row r="363" spans="1:10" x14ac:dyDescent="0.25">
      <c r="A363" t="s">
        <v>117</v>
      </c>
      <c r="B363" t="s">
        <v>200</v>
      </c>
      <c r="C363">
        <v>2017</v>
      </c>
      <c r="D363">
        <v>2935</v>
      </c>
      <c r="E363">
        <v>170.7</v>
      </c>
      <c r="F363">
        <v>5.7</v>
      </c>
      <c r="G363">
        <v>5.0999999999999996</v>
      </c>
      <c r="H363">
        <v>9.6</v>
      </c>
      <c r="I363">
        <f t="shared" si="10"/>
        <v>501004.49999999994</v>
      </c>
      <c r="J363">
        <f t="shared" si="11"/>
        <v>28176</v>
      </c>
    </row>
    <row r="364" spans="1:10" x14ac:dyDescent="0.25">
      <c r="A364" t="s">
        <v>117</v>
      </c>
      <c r="B364" t="s">
        <v>200</v>
      </c>
      <c r="C364">
        <v>2018</v>
      </c>
      <c r="D364">
        <v>2645</v>
      </c>
      <c r="E364">
        <v>170.1</v>
      </c>
      <c r="F364">
        <v>5.5</v>
      </c>
      <c r="G364">
        <v>5.0999999999999996</v>
      </c>
      <c r="H364">
        <v>10.3</v>
      </c>
      <c r="I364">
        <f t="shared" si="10"/>
        <v>449914.5</v>
      </c>
      <c r="J364">
        <f t="shared" si="11"/>
        <v>27243.500000000004</v>
      </c>
    </row>
    <row r="365" spans="1:10" x14ac:dyDescent="0.25">
      <c r="A365" t="s">
        <v>117</v>
      </c>
      <c r="B365" t="s">
        <v>200</v>
      </c>
      <c r="C365">
        <v>2019</v>
      </c>
      <c r="D365">
        <v>2526</v>
      </c>
      <c r="E365">
        <v>169.6</v>
      </c>
      <c r="F365">
        <v>5.5</v>
      </c>
      <c r="G365">
        <v>4.9000000000000004</v>
      </c>
      <c r="H365">
        <v>11.2</v>
      </c>
      <c r="I365">
        <f t="shared" si="10"/>
        <v>428409.59999999998</v>
      </c>
      <c r="J365">
        <f t="shared" si="11"/>
        <v>28291.199999999997</v>
      </c>
    </row>
    <row r="366" spans="1:10" x14ac:dyDescent="0.25">
      <c r="A366" t="s">
        <v>117</v>
      </c>
      <c r="B366" t="s">
        <v>200</v>
      </c>
      <c r="C366">
        <v>2020</v>
      </c>
      <c r="D366">
        <v>2237</v>
      </c>
      <c r="E366">
        <v>168.3</v>
      </c>
      <c r="F366">
        <v>5.6</v>
      </c>
      <c r="G366">
        <v>4.9000000000000004</v>
      </c>
      <c r="H366">
        <v>11.1</v>
      </c>
      <c r="I366">
        <f t="shared" si="10"/>
        <v>376487.10000000003</v>
      </c>
      <c r="J366">
        <f t="shared" si="11"/>
        <v>24830.7</v>
      </c>
    </row>
    <row r="367" spans="1:10" x14ac:dyDescent="0.25">
      <c r="A367" t="s">
        <v>117</v>
      </c>
      <c r="B367" t="s">
        <v>200</v>
      </c>
      <c r="C367">
        <v>2021</v>
      </c>
      <c r="D367">
        <v>2281</v>
      </c>
      <c r="E367">
        <v>172</v>
      </c>
      <c r="F367">
        <v>5.5</v>
      </c>
      <c r="G367">
        <v>5.0999999999999996</v>
      </c>
      <c r="H367">
        <v>12.4</v>
      </c>
      <c r="I367">
        <f t="shared" si="10"/>
        <v>392332</v>
      </c>
      <c r="J367">
        <f t="shared" si="11"/>
        <v>28284.400000000001</v>
      </c>
    </row>
    <row r="368" spans="1:10" x14ac:dyDescent="0.25">
      <c r="A368" t="s">
        <v>117</v>
      </c>
      <c r="B368" t="s">
        <v>208</v>
      </c>
      <c r="C368">
        <v>2016</v>
      </c>
      <c r="D368">
        <v>8472</v>
      </c>
      <c r="E368">
        <v>169.2</v>
      </c>
      <c r="F368">
        <v>5.0999999999999996</v>
      </c>
      <c r="G368">
        <v>4.5</v>
      </c>
      <c r="H368">
        <v>9.5</v>
      </c>
      <c r="I368">
        <f t="shared" si="10"/>
        <v>1433462.4</v>
      </c>
      <c r="J368">
        <f t="shared" si="11"/>
        <v>80484</v>
      </c>
    </row>
    <row r="369" spans="1:10" x14ac:dyDescent="0.25">
      <c r="A369" t="s">
        <v>117</v>
      </c>
      <c r="B369" t="s">
        <v>208</v>
      </c>
      <c r="C369">
        <v>2017</v>
      </c>
      <c r="D369">
        <v>7393</v>
      </c>
      <c r="E369">
        <v>171.7</v>
      </c>
      <c r="F369">
        <v>5.0999999999999996</v>
      </c>
      <c r="G369">
        <v>4.4000000000000004</v>
      </c>
      <c r="H369">
        <v>9.9</v>
      </c>
      <c r="I369">
        <f t="shared" si="10"/>
        <v>1269378.0999999999</v>
      </c>
      <c r="J369">
        <f t="shared" si="11"/>
        <v>73190.7</v>
      </c>
    </row>
    <row r="370" spans="1:10" x14ac:dyDescent="0.25">
      <c r="A370" t="s">
        <v>117</v>
      </c>
      <c r="B370" t="s">
        <v>208</v>
      </c>
      <c r="C370">
        <v>2018</v>
      </c>
      <c r="D370">
        <v>7577</v>
      </c>
      <c r="E370">
        <v>169.8</v>
      </c>
      <c r="F370">
        <v>5.0999999999999996</v>
      </c>
      <c r="G370">
        <v>4.4000000000000004</v>
      </c>
      <c r="H370">
        <v>12</v>
      </c>
      <c r="I370">
        <f t="shared" si="10"/>
        <v>1286574.6000000001</v>
      </c>
      <c r="J370">
        <f t="shared" si="11"/>
        <v>90924</v>
      </c>
    </row>
    <row r="371" spans="1:10" x14ac:dyDescent="0.25">
      <c r="A371" t="s">
        <v>117</v>
      </c>
      <c r="B371" t="s">
        <v>208</v>
      </c>
      <c r="C371">
        <v>2019</v>
      </c>
      <c r="D371">
        <v>7329</v>
      </c>
      <c r="E371">
        <v>169.1</v>
      </c>
      <c r="F371">
        <v>5</v>
      </c>
      <c r="G371">
        <v>4.4000000000000004</v>
      </c>
      <c r="H371">
        <v>12.5</v>
      </c>
      <c r="I371">
        <f t="shared" si="10"/>
        <v>1239333.8999999999</v>
      </c>
      <c r="J371">
        <f t="shared" si="11"/>
        <v>91612.5</v>
      </c>
    </row>
    <row r="372" spans="1:10" x14ac:dyDescent="0.25">
      <c r="A372" t="s">
        <v>117</v>
      </c>
      <c r="B372" t="s">
        <v>208</v>
      </c>
      <c r="C372">
        <v>2020</v>
      </c>
      <c r="D372">
        <v>7258</v>
      </c>
      <c r="E372">
        <v>168.4</v>
      </c>
      <c r="F372">
        <v>5.0999999999999996</v>
      </c>
      <c r="G372">
        <v>4.4000000000000004</v>
      </c>
      <c r="H372">
        <v>11.5</v>
      </c>
      <c r="I372">
        <f t="shared" si="10"/>
        <v>1222247.2</v>
      </c>
      <c r="J372">
        <f t="shared" si="11"/>
        <v>83467</v>
      </c>
    </row>
    <row r="373" spans="1:10" x14ac:dyDescent="0.25">
      <c r="A373" t="s">
        <v>117</v>
      </c>
      <c r="B373" t="s">
        <v>208</v>
      </c>
      <c r="C373">
        <v>2021</v>
      </c>
      <c r="D373">
        <v>5700</v>
      </c>
      <c r="E373">
        <v>170.5</v>
      </c>
      <c r="F373">
        <v>5.0999999999999996</v>
      </c>
      <c r="G373">
        <v>4.4000000000000004</v>
      </c>
      <c r="H373">
        <v>13.7</v>
      </c>
      <c r="I373">
        <f t="shared" si="10"/>
        <v>971850</v>
      </c>
      <c r="J373">
        <f t="shared" si="11"/>
        <v>78090</v>
      </c>
    </row>
    <row r="374" spans="1:10" x14ac:dyDescent="0.25">
      <c r="A374" t="s">
        <v>117</v>
      </c>
      <c r="B374" t="s">
        <v>213</v>
      </c>
      <c r="C374">
        <v>2016</v>
      </c>
      <c r="D374">
        <v>253</v>
      </c>
      <c r="E374">
        <v>152</v>
      </c>
      <c r="F374">
        <v>5.9</v>
      </c>
      <c r="G374">
        <v>5.6</v>
      </c>
      <c r="H374">
        <v>10.6</v>
      </c>
      <c r="I374">
        <f t="shared" si="10"/>
        <v>38456</v>
      </c>
      <c r="J374">
        <f t="shared" si="11"/>
        <v>2681.7999999999997</v>
      </c>
    </row>
    <row r="375" spans="1:10" x14ac:dyDescent="0.25">
      <c r="A375" t="s">
        <v>117</v>
      </c>
      <c r="B375" t="s">
        <v>213</v>
      </c>
      <c r="C375">
        <v>2017</v>
      </c>
      <c r="D375">
        <v>269</v>
      </c>
      <c r="E375">
        <v>155.80000000000001</v>
      </c>
      <c r="F375">
        <v>6.6</v>
      </c>
      <c r="G375">
        <v>5.6</v>
      </c>
      <c r="H375">
        <v>10.3</v>
      </c>
      <c r="I375">
        <f t="shared" si="10"/>
        <v>41910.200000000004</v>
      </c>
      <c r="J375">
        <f t="shared" si="11"/>
        <v>2770.7000000000003</v>
      </c>
    </row>
    <row r="376" spans="1:10" x14ac:dyDescent="0.25">
      <c r="A376" t="s">
        <v>117</v>
      </c>
      <c r="B376" t="s">
        <v>213</v>
      </c>
      <c r="C376">
        <v>2018</v>
      </c>
      <c r="D376">
        <v>408</v>
      </c>
      <c r="E376">
        <v>156</v>
      </c>
      <c r="F376">
        <v>6.4</v>
      </c>
      <c r="G376">
        <v>5.7</v>
      </c>
      <c r="H376">
        <v>11.8</v>
      </c>
      <c r="I376">
        <f t="shared" si="10"/>
        <v>63648</v>
      </c>
      <c r="J376">
        <f t="shared" si="11"/>
        <v>4814.4000000000005</v>
      </c>
    </row>
    <row r="377" spans="1:10" x14ac:dyDescent="0.25">
      <c r="A377" t="s">
        <v>117</v>
      </c>
      <c r="B377" t="s">
        <v>213</v>
      </c>
      <c r="C377">
        <v>2019</v>
      </c>
      <c r="D377">
        <v>411</v>
      </c>
      <c r="E377">
        <v>158.80000000000001</v>
      </c>
      <c r="F377">
        <v>6.2</v>
      </c>
      <c r="G377">
        <v>5.4</v>
      </c>
      <c r="H377">
        <v>9.5</v>
      </c>
      <c r="I377">
        <f t="shared" si="10"/>
        <v>65266.8</v>
      </c>
      <c r="J377">
        <f t="shared" si="11"/>
        <v>3904.5</v>
      </c>
    </row>
    <row r="378" spans="1:10" x14ac:dyDescent="0.25">
      <c r="A378" t="s">
        <v>117</v>
      </c>
      <c r="B378" t="s">
        <v>213</v>
      </c>
      <c r="C378">
        <v>2020</v>
      </c>
      <c r="D378">
        <v>320</v>
      </c>
      <c r="E378">
        <v>156.1</v>
      </c>
      <c r="F378">
        <v>5.9</v>
      </c>
      <c r="G378">
        <v>5.5</v>
      </c>
      <c r="H378">
        <v>12.2</v>
      </c>
      <c r="I378">
        <f t="shared" si="10"/>
        <v>49952</v>
      </c>
      <c r="J378">
        <f t="shared" si="11"/>
        <v>3904</v>
      </c>
    </row>
    <row r="379" spans="1:10" x14ac:dyDescent="0.25">
      <c r="A379" t="s">
        <v>117</v>
      </c>
      <c r="B379" t="s">
        <v>213</v>
      </c>
      <c r="C379">
        <v>2021</v>
      </c>
      <c r="D379">
        <v>290</v>
      </c>
      <c r="E379">
        <v>155.5</v>
      </c>
      <c r="F379">
        <v>5.5</v>
      </c>
      <c r="G379">
        <v>5.5</v>
      </c>
      <c r="H379">
        <v>22.7</v>
      </c>
      <c r="I379">
        <f t="shared" si="10"/>
        <v>45095</v>
      </c>
      <c r="J379">
        <f t="shared" si="11"/>
        <v>6583</v>
      </c>
    </row>
    <row r="380" spans="1:10" x14ac:dyDescent="0.25">
      <c r="A380" t="s">
        <v>117</v>
      </c>
      <c r="B380" t="s">
        <v>216</v>
      </c>
      <c r="C380">
        <v>2016</v>
      </c>
      <c r="D380">
        <v>70</v>
      </c>
      <c r="E380">
        <v>166.9</v>
      </c>
      <c r="F380">
        <v>5</v>
      </c>
      <c r="G380">
        <v>6.4</v>
      </c>
      <c r="H380">
        <v>9.9</v>
      </c>
      <c r="I380">
        <f t="shared" si="10"/>
        <v>11683</v>
      </c>
      <c r="J380">
        <f t="shared" si="11"/>
        <v>693</v>
      </c>
    </row>
    <row r="381" spans="1:10" x14ac:dyDescent="0.25">
      <c r="A381" t="s">
        <v>117</v>
      </c>
      <c r="B381" t="s">
        <v>216</v>
      </c>
      <c r="C381">
        <v>2017</v>
      </c>
      <c r="D381">
        <v>56</v>
      </c>
      <c r="E381">
        <v>170.6</v>
      </c>
      <c r="F381">
        <v>5</v>
      </c>
      <c r="G381">
        <v>6.3</v>
      </c>
      <c r="H381">
        <v>11.3</v>
      </c>
      <c r="I381">
        <f t="shared" si="10"/>
        <v>9553.6</v>
      </c>
      <c r="J381">
        <f t="shared" si="11"/>
        <v>632.80000000000007</v>
      </c>
    </row>
    <row r="382" spans="1:10" x14ac:dyDescent="0.25">
      <c r="A382" t="s">
        <v>117</v>
      </c>
      <c r="B382" t="s">
        <v>216</v>
      </c>
      <c r="C382">
        <v>2018</v>
      </c>
      <c r="D382">
        <v>111</v>
      </c>
      <c r="E382">
        <v>174.2</v>
      </c>
      <c r="F382">
        <v>5</v>
      </c>
      <c r="G382">
        <v>6.6</v>
      </c>
      <c r="H382">
        <v>10.5</v>
      </c>
      <c r="I382">
        <f t="shared" si="10"/>
        <v>19336.199999999997</v>
      </c>
      <c r="J382">
        <f t="shared" si="11"/>
        <v>1165.5</v>
      </c>
    </row>
    <row r="383" spans="1:10" x14ac:dyDescent="0.25">
      <c r="A383" t="s">
        <v>117</v>
      </c>
      <c r="B383" t="s">
        <v>216</v>
      </c>
      <c r="C383">
        <v>2019</v>
      </c>
      <c r="D383">
        <v>109</v>
      </c>
      <c r="E383">
        <v>169.1</v>
      </c>
      <c r="F383">
        <v>5.8</v>
      </c>
      <c r="G383">
        <v>6.3</v>
      </c>
      <c r="H383">
        <v>11</v>
      </c>
      <c r="I383">
        <f t="shared" si="10"/>
        <v>18431.899999999998</v>
      </c>
      <c r="J383">
        <f t="shared" si="11"/>
        <v>1199</v>
      </c>
    </row>
    <row r="384" spans="1:10" x14ac:dyDescent="0.25">
      <c r="A384" t="s">
        <v>117</v>
      </c>
      <c r="B384" t="s">
        <v>216</v>
      </c>
      <c r="C384">
        <v>2020</v>
      </c>
      <c r="D384">
        <v>127</v>
      </c>
      <c r="E384">
        <v>172.4</v>
      </c>
      <c r="F384">
        <v>5.7</v>
      </c>
      <c r="G384">
        <v>6.5</v>
      </c>
      <c r="H384">
        <v>9.5</v>
      </c>
      <c r="I384">
        <f t="shared" si="10"/>
        <v>21894.799999999999</v>
      </c>
      <c r="J384">
        <f t="shared" si="11"/>
        <v>1206.5</v>
      </c>
    </row>
    <row r="385" spans="1:10" x14ac:dyDescent="0.25">
      <c r="A385" t="s">
        <v>117</v>
      </c>
      <c r="B385" t="s">
        <v>216</v>
      </c>
      <c r="C385">
        <v>2021</v>
      </c>
      <c r="D385">
        <v>92</v>
      </c>
      <c r="E385">
        <v>184</v>
      </c>
      <c r="F385">
        <v>6</v>
      </c>
      <c r="G385">
        <v>6.6</v>
      </c>
      <c r="H385">
        <v>16.8</v>
      </c>
      <c r="I385">
        <f t="shared" si="10"/>
        <v>16928</v>
      </c>
      <c r="J385">
        <f t="shared" si="11"/>
        <v>1545.6000000000001</v>
      </c>
    </row>
    <row r="386" spans="1:10" x14ac:dyDescent="0.25">
      <c r="A386" t="s">
        <v>117</v>
      </c>
      <c r="B386" t="s">
        <v>217</v>
      </c>
      <c r="C386">
        <v>2016</v>
      </c>
      <c r="D386">
        <v>234</v>
      </c>
      <c r="E386">
        <v>149</v>
      </c>
      <c r="F386">
        <v>6.5</v>
      </c>
      <c r="G386">
        <v>6.3</v>
      </c>
      <c r="H386">
        <v>8.5</v>
      </c>
      <c r="I386">
        <f t="shared" si="10"/>
        <v>34866</v>
      </c>
      <c r="J386">
        <f t="shared" si="11"/>
        <v>1989</v>
      </c>
    </row>
    <row r="387" spans="1:10" x14ac:dyDescent="0.25">
      <c r="A387" t="s">
        <v>117</v>
      </c>
      <c r="B387" t="s">
        <v>217</v>
      </c>
      <c r="C387">
        <v>2017</v>
      </c>
      <c r="D387">
        <v>247</v>
      </c>
      <c r="E387">
        <v>157.4</v>
      </c>
      <c r="F387">
        <v>6.5</v>
      </c>
      <c r="G387">
        <v>6.3</v>
      </c>
      <c r="H387">
        <v>10.3</v>
      </c>
      <c r="I387">
        <f t="shared" ref="I387:I421" si="12">D387*E387</f>
        <v>38877.800000000003</v>
      </c>
      <c r="J387">
        <f t="shared" ref="J387:J421" si="13">D387*H387</f>
        <v>2544.1000000000004</v>
      </c>
    </row>
    <row r="388" spans="1:10" x14ac:dyDescent="0.25">
      <c r="A388" t="s">
        <v>117</v>
      </c>
      <c r="B388" t="s">
        <v>217</v>
      </c>
      <c r="C388">
        <v>2018</v>
      </c>
      <c r="D388">
        <v>297</v>
      </c>
      <c r="E388">
        <v>157.6</v>
      </c>
      <c r="F388">
        <v>6.4</v>
      </c>
      <c r="G388">
        <v>6.2</v>
      </c>
      <c r="H388">
        <v>10.7</v>
      </c>
      <c r="I388">
        <f t="shared" si="12"/>
        <v>46807.199999999997</v>
      </c>
      <c r="J388">
        <f t="shared" si="13"/>
        <v>3177.8999999999996</v>
      </c>
    </row>
    <row r="389" spans="1:10" x14ac:dyDescent="0.25">
      <c r="A389" t="s">
        <v>117</v>
      </c>
      <c r="B389" t="s">
        <v>217</v>
      </c>
      <c r="C389">
        <v>2019</v>
      </c>
      <c r="D389">
        <v>281</v>
      </c>
      <c r="E389">
        <v>134.9</v>
      </c>
      <c r="F389">
        <v>5.5</v>
      </c>
      <c r="G389">
        <v>5.7</v>
      </c>
      <c r="H389">
        <v>12.7</v>
      </c>
      <c r="I389">
        <f t="shared" si="12"/>
        <v>37906.9</v>
      </c>
      <c r="J389">
        <f t="shared" si="13"/>
        <v>3568.7</v>
      </c>
    </row>
    <row r="390" spans="1:10" x14ac:dyDescent="0.25">
      <c r="A390" t="s">
        <v>117</v>
      </c>
      <c r="B390" t="s">
        <v>217</v>
      </c>
      <c r="C390">
        <v>2020</v>
      </c>
      <c r="D390">
        <v>260</v>
      </c>
      <c r="E390">
        <v>138.1</v>
      </c>
      <c r="F390">
        <v>5.6</v>
      </c>
      <c r="G390">
        <v>5.3</v>
      </c>
      <c r="H390">
        <v>10.199999999999999</v>
      </c>
      <c r="I390">
        <f t="shared" si="12"/>
        <v>35906</v>
      </c>
      <c r="J390">
        <f t="shared" si="13"/>
        <v>2652</v>
      </c>
    </row>
    <row r="391" spans="1:10" x14ac:dyDescent="0.25">
      <c r="A391" t="s">
        <v>117</v>
      </c>
      <c r="B391" t="s">
        <v>217</v>
      </c>
      <c r="C391">
        <v>2021</v>
      </c>
      <c r="D391">
        <v>271</v>
      </c>
      <c r="E391">
        <v>137.1</v>
      </c>
      <c r="F391">
        <v>5.2</v>
      </c>
      <c r="G391">
        <v>5.6</v>
      </c>
      <c r="H391">
        <v>11.6</v>
      </c>
      <c r="I391">
        <f t="shared" si="12"/>
        <v>37154.1</v>
      </c>
      <c r="J391">
        <f t="shared" si="13"/>
        <v>3143.6</v>
      </c>
    </row>
    <row r="392" spans="1:10" x14ac:dyDescent="0.25">
      <c r="A392" t="s">
        <v>117</v>
      </c>
      <c r="B392" t="s">
        <v>219</v>
      </c>
      <c r="C392">
        <v>2016</v>
      </c>
      <c r="D392">
        <v>81</v>
      </c>
      <c r="E392">
        <v>175.1</v>
      </c>
      <c r="F392">
        <v>5.5</v>
      </c>
      <c r="G392">
        <v>8.4</v>
      </c>
      <c r="H392">
        <v>9.4</v>
      </c>
      <c r="I392">
        <f t="shared" si="12"/>
        <v>14183.1</v>
      </c>
      <c r="J392">
        <f t="shared" si="13"/>
        <v>761.4</v>
      </c>
    </row>
    <row r="393" spans="1:10" x14ac:dyDescent="0.25">
      <c r="A393" t="s">
        <v>117</v>
      </c>
      <c r="B393" t="s">
        <v>219</v>
      </c>
      <c r="C393">
        <v>2017</v>
      </c>
      <c r="D393">
        <v>74</v>
      </c>
      <c r="E393">
        <v>177.7</v>
      </c>
      <c r="F393">
        <v>5.3</v>
      </c>
      <c r="G393">
        <v>7.9</v>
      </c>
      <c r="H393">
        <v>9.1</v>
      </c>
      <c r="I393">
        <f t="shared" si="12"/>
        <v>13149.8</v>
      </c>
      <c r="J393">
        <f t="shared" si="13"/>
        <v>673.4</v>
      </c>
    </row>
    <row r="394" spans="1:10" x14ac:dyDescent="0.25">
      <c r="A394" t="s">
        <v>117</v>
      </c>
      <c r="B394" t="s">
        <v>219</v>
      </c>
      <c r="C394">
        <v>2018</v>
      </c>
      <c r="D394">
        <v>93</v>
      </c>
      <c r="E394">
        <v>176.8</v>
      </c>
      <c r="F394">
        <v>5.5</v>
      </c>
      <c r="G394">
        <v>7.8</v>
      </c>
      <c r="H394">
        <v>9.3000000000000007</v>
      </c>
      <c r="I394">
        <f t="shared" si="12"/>
        <v>16442.400000000001</v>
      </c>
      <c r="J394">
        <f t="shared" si="13"/>
        <v>864.90000000000009</v>
      </c>
    </row>
    <row r="395" spans="1:10" x14ac:dyDescent="0.25">
      <c r="A395" t="s">
        <v>117</v>
      </c>
      <c r="B395" t="s">
        <v>219</v>
      </c>
      <c r="C395">
        <v>2019</v>
      </c>
      <c r="D395">
        <v>69</v>
      </c>
      <c r="E395">
        <v>163</v>
      </c>
      <c r="F395">
        <v>4.9000000000000004</v>
      </c>
      <c r="G395">
        <v>8</v>
      </c>
      <c r="H395">
        <v>11.1</v>
      </c>
      <c r="I395">
        <f t="shared" si="12"/>
        <v>11247</v>
      </c>
      <c r="J395">
        <f t="shared" si="13"/>
        <v>765.9</v>
      </c>
    </row>
    <row r="396" spans="1:10" x14ac:dyDescent="0.25">
      <c r="A396" t="s">
        <v>117</v>
      </c>
      <c r="B396" t="s">
        <v>219</v>
      </c>
      <c r="C396">
        <v>2020</v>
      </c>
      <c r="D396">
        <v>78</v>
      </c>
      <c r="E396">
        <v>156.19999999999999</v>
      </c>
      <c r="F396">
        <v>5</v>
      </c>
      <c r="G396">
        <v>6.7</v>
      </c>
      <c r="H396">
        <v>15.3</v>
      </c>
      <c r="I396">
        <f t="shared" si="12"/>
        <v>12183.599999999999</v>
      </c>
      <c r="J396">
        <f t="shared" si="13"/>
        <v>1193.4000000000001</v>
      </c>
    </row>
    <row r="397" spans="1:10" x14ac:dyDescent="0.25">
      <c r="A397" t="s">
        <v>117</v>
      </c>
      <c r="B397" t="s">
        <v>219</v>
      </c>
      <c r="C397">
        <v>2021</v>
      </c>
      <c r="D397">
        <v>102</v>
      </c>
      <c r="E397">
        <v>181.1</v>
      </c>
      <c r="F397">
        <v>5.3</v>
      </c>
      <c r="G397">
        <v>8</v>
      </c>
      <c r="H397">
        <v>15.3</v>
      </c>
      <c r="I397">
        <f t="shared" si="12"/>
        <v>18472.2</v>
      </c>
      <c r="J397">
        <f t="shared" si="13"/>
        <v>1560.6000000000001</v>
      </c>
    </row>
    <row r="398" spans="1:10" x14ac:dyDescent="0.25">
      <c r="A398" t="s">
        <v>117</v>
      </c>
      <c r="B398" t="s">
        <v>220</v>
      </c>
      <c r="C398">
        <v>2016</v>
      </c>
      <c r="D398">
        <v>127</v>
      </c>
      <c r="E398">
        <v>174.5</v>
      </c>
      <c r="F398">
        <v>5.7</v>
      </c>
      <c r="G398">
        <v>6.2</v>
      </c>
      <c r="H398">
        <v>11.7</v>
      </c>
      <c r="I398">
        <f t="shared" si="12"/>
        <v>22161.5</v>
      </c>
      <c r="J398">
        <f t="shared" si="13"/>
        <v>1485.8999999999999</v>
      </c>
    </row>
    <row r="399" spans="1:10" x14ac:dyDescent="0.25">
      <c r="A399" t="s">
        <v>117</v>
      </c>
      <c r="B399" t="s">
        <v>220</v>
      </c>
      <c r="C399">
        <v>2017</v>
      </c>
      <c r="D399">
        <v>108</v>
      </c>
      <c r="E399">
        <v>169.9</v>
      </c>
      <c r="F399">
        <v>5.5</v>
      </c>
      <c r="G399">
        <v>6.2</v>
      </c>
      <c r="H399">
        <v>14.4</v>
      </c>
      <c r="I399">
        <f t="shared" si="12"/>
        <v>18349.2</v>
      </c>
      <c r="J399">
        <f t="shared" si="13"/>
        <v>1555.2</v>
      </c>
    </row>
    <row r="400" spans="1:10" x14ac:dyDescent="0.25">
      <c r="A400" t="s">
        <v>117</v>
      </c>
      <c r="B400" t="s">
        <v>220</v>
      </c>
      <c r="C400">
        <v>2018</v>
      </c>
      <c r="D400">
        <v>168</v>
      </c>
      <c r="E400">
        <v>163.4</v>
      </c>
      <c r="F400">
        <v>5</v>
      </c>
      <c r="G400">
        <v>5.9</v>
      </c>
      <c r="H400">
        <v>9</v>
      </c>
      <c r="I400">
        <f t="shared" si="12"/>
        <v>27451.200000000001</v>
      </c>
      <c r="J400">
        <f t="shared" si="13"/>
        <v>1512</v>
      </c>
    </row>
    <row r="401" spans="1:10" x14ac:dyDescent="0.25">
      <c r="A401" t="s">
        <v>117</v>
      </c>
      <c r="B401" t="s">
        <v>220</v>
      </c>
      <c r="C401">
        <v>2019</v>
      </c>
      <c r="D401">
        <v>136</v>
      </c>
      <c r="E401">
        <v>160.6</v>
      </c>
      <c r="F401">
        <v>4.7</v>
      </c>
      <c r="G401">
        <v>5.4</v>
      </c>
      <c r="H401">
        <v>9.5</v>
      </c>
      <c r="I401">
        <f t="shared" si="12"/>
        <v>21841.599999999999</v>
      </c>
      <c r="J401">
        <f t="shared" si="13"/>
        <v>1292</v>
      </c>
    </row>
    <row r="402" spans="1:10" x14ac:dyDescent="0.25">
      <c r="A402" t="s">
        <v>117</v>
      </c>
      <c r="B402" t="s">
        <v>220</v>
      </c>
      <c r="C402">
        <v>2020</v>
      </c>
      <c r="D402">
        <v>105</v>
      </c>
      <c r="E402">
        <v>169.8</v>
      </c>
      <c r="F402">
        <v>4.9000000000000004</v>
      </c>
      <c r="G402">
        <v>5.8</v>
      </c>
      <c r="H402">
        <v>12.9</v>
      </c>
      <c r="I402">
        <f t="shared" si="12"/>
        <v>17829</v>
      </c>
      <c r="J402">
        <f t="shared" si="13"/>
        <v>1354.5</v>
      </c>
    </row>
    <row r="403" spans="1:10" x14ac:dyDescent="0.25">
      <c r="A403" t="s">
        <v>117</v>
      </c>
      <c r="B403" t="s">
        <v>220</v>
      </c>
      <c r="C403">
        <v>2021</v>
      </c>
      <c r="D403">
        <v>85</v>
      </c>
      <c r="E403">
        <v>176.8</v>
      </c>
      <c r="F403">
        <v>5.4</v>
      </c>
      <c r="G403">
        <v>6.2</v>
      </c>
      <c r="H403">
        <v>14.1</v>
      </c>
      <c r="I403">
        <f t="shared" si="12"/>
        <v>15028.000000000002</v>
      </c>
      <c r="J403">
        <f t="shared" si="13"/>
        <v>1198.5</v>
      </c>
    </row>
    <row r="404" spans="1:10" x14ac:dyDescent="0.25">
      <c r="A404" t="s">
        <v>117</v>
      </c>
      <c r="B404" t="s">
        <v>222</v>
      </c>
      <c r="C404">
        <v>2016</v>
      </c>
      <c r="D404">
        <v>100</v>
      </c>
      <c r="E404">
        <v>95.4</v>
      </c>
      <c r="F404">
        <v>4</v>
      </c>
      <c r="G404">
        <v>3.7</v>
      </c>
      <c r="H404">
        <v>11.3</v>
      </c>
      <c r="I404">
        <f t="shared" si="12"/>
        <v>9540</v>
      </c>
      <c r="J404">
        <f t="shared" si="13"/>
        <v>1130</v>
      </c>
    </row>
    <row r="405" spans="1:10" x14ac:dyDescent="0.25">
      <c r="A405" t="s">
        <v>117</v>
      </c>
      <c r="B405" t="s">
        <v>222</v>
      </c>
      <c r="C405">
        <v>2017</v>
      </c>
      <c r="D405">
        <v>78</v>
      </c>
      <c r="E405">
        <v>97.7</v>
      </c>
      <c r="F405">
        <v>3.5</v>
      </c>
      <c r="G405">
        <v>3.6</v>
      </c>
      <c r="H405">
        <v>11.6</v>
      </c>
      <c r="I405">
        <f t="shared" si="12"/>
        <v>7620.6</v>
      </c>
      <c r="J405">
        <f t="shared" si="13"/>
        <v>904.8</v>
      </c>
    </row>
    <row r="406" spans="1:10" x14ac:dyDescent="0.25">
      <c r="A406" t="s">
        <v>117</v>
      </c>
      <c r="B406" t="s">
        <v>222</v>
      </c>
      <c r="C406">
        <v>2018</v>
      </c>
      <c r="D406">
        <v>82</v>
      </c>
      <c r="E406">
        <v>98.1</v>
      </c>
      <c r="F406">
        <v>4.2</v>
      </c>
      <c r="G406">
        <v>3.8</v>
      </c>
      <c r="H406">
        <v>11.5</v>
      </c>
      <c r="I406">
        <f t="shared" si="12"/>
        <v>8044.2</v>
      </c>
      <c r="J406">
        <f t="shared" si="13"/>
        <v>943</v>
      </c>
    </row>
    <row r="407" spans="1:10" x14ac:dyDescent="0.25">
      <c r="A407" t="s">
        <v>117</v>
      </c>
      <c r="B407" t="s">
        <v>222</v>
      </c>
      <c r="C407">
        <v>2019</v>
      </c>
      <c r="D407">
        <v>76</v>
      </c>
      <c r="E407">
        <v>95.3</v>
      </c>
      <c r="F407">
        <v>4.4000000000000004</v>
      </c>
      <c r="G407">
        <v>3.8</v>
      </c>
      <c r="H407">
        <v>11</v>
      </c>
      <c r="I407">
        <f t="shared" si="12"/>
        <v>7242.8</v>
      </c>
      <c r="J407">
        <f t="shared" si="13"/>
        <v>836</v>
      </c>
    </row>
    <row r="408" spans="1:10" x14ac:dyDescent="0.25">
      <c r="A408" t="s">
        <v>117</v>
      </c>
      <c r="B408" t="s">
        <v>222</v>
      </c>
      <c r="C408">
        <v>2020</v>
      </c>
      <c r="D408">
        <v>51</v>
      </c>
      <c r="E408">
        <v>98.8</v>
      </c>
      <c r="F408">
        <v>4.4000000000000004</v>
      </c>
      <c r="G408">
        <v>3.9</v>
      </c>
      <c r="H408">
        <v>14</v>
      </c>
      <c r="I408">
        <f t="shared" si="12"/>
        <v>5038.8</v>
      </c>
      <c r="J408">
        <f t="shared" si="13"/>
        <v>714</v>
      </c>
    </row>
    <row r="409" spans="1:10" x14ac:dyDescent="0.25">
      <c r="A409" t="s">
        <v>117</v>
      </c>
      <c r="B409" t="s">
        <v>222</v>
      </c>
      <c r="C409">
        <v>2021</v>
      </c>
      <c r="D409">
        <v>43</v>
      </c>
      <c r="E409">
        <v>98.2</v>
      </c>
      <c r="F409">
        <v>4.5999999999999996</v>
      </c>
      <c r="G409">
        <v>3.7</v>
      </c>
      <c r="H409">
        <v>12.5</v>
      </c>
      <c r="I409">
        <f t="shared" si="12"/>
        <v>4222.6000000000004</v>
      </c>
      <c r="J409">
        <f t="shared" si="13"/>
        <v>537.5</v>
      </c>
    </row>
    <row r="410" spans="1:10" x14ac:dyDescent="0.25">
      <c r="A410" t="s">
        <v>117</v>
      </c>
      <c r="B410" t="s">
        <v>223</v>
      </c>
      <c r="C410">
        <v>2016</v>
      </c>
      <c r="D410">
        <v>36</v>
      </c>
      <c r="E410">
        <v>169.4</v>
      </c>
      <c r="F410">
        <v>4.4000000000000004</v>
      </c>
      <c r="G410">
        <v>8.1999999999999993</v>
      </c>
      <c r="H410">
        <v>7.3</v>
      </c>
      <c r="I410">
        <f t="shared" si="12"/>
        <v>6098.4000000000005</v>
      </c>
      <c r="J410">
        <f t="shared" si="13"/>
        <v>262.8</v>
      </c>
    </row>
    <row r="411" spans="1:10" x14ac:dyDescent="0.25">
      <c r="A411" t="s">
        <v>117</v>
      </c>
      <c r="B411" t="s">
        <v>223</v>
      </c>
      <c r="C411">
        <v>2017</v>
      </c>
      <c r="D411">
        <v>39</v>
      </c>
      <c r="E411">
        <v>192</v>
      </c>
      <c r="F411">
        <v>4.2</v>
      </c>
      <c r="G411">
        <v>9.1999999999999993</v>
      </c>
      <c r="H411">
        <v>10</v>
      </c>
      <c r="I411">
        <f t="shared" si="12"/>
        <v>7488</v>
      </c>
      <c r="J411">
        <f t="shared" si="13"/>
        <v>390</v>
      </c>
    </row>
    <row r="412" spans="1:10" x14ac:dyDescent="0.25">
      <c r="A412" t="s">
        <v>117</v>
      </c>
      <c r="B412" t="s">
        <v>223</v>
      </c>
      <c r="C412">
        <v>2018</v>
      </c>
      <c r="D412">
        <v>59</v>
      </c>
      <c r="E412">
        <v>215.8</v>
      </c>
      <c r="F412">
        <v>4.5999999999999996</v>
      </c>
      <c r="G412">
        <v>9.3000000000000007</v>
      </c>
      <c r="H412">
        <v>9.1999999999999993</v>
      </c>
      <c r="I412">
        <f t="shared" si="12"/>
        <v>12732.2</v>
      </c>
      <c r="J412">
        <f t="shared" si="13"/>
        <v>542.79999999999995</v>
      </c>
    </row>
    <row r="413" spans="1:10" x14ac:dyDescent="0.25">
      <c r="A413" t="s">
        <v>117</v>
      </c>
      <c r="B413" t="s">
        <v>223</v>
      </c>
      <c r="C413">
        <v>2019</v>
      </c>
      <c r="D413">
        <v>36</v>
      </c>
      <c r="E413">
        <v>210</v>
      </c>
      <c r="F413">
        <v>4.3</v>
      </c>
      <c r="G413">
        <v>9.9</v>
      </c>
      <c r="H413">
        <v>8</v>
      </c>
      <c r="I413">
        <f t="shared" si="12"/>
        <v>7560</v>
      </c>
      <c r="J413">
        <f t="shared" si="13"/>
        <v>288</v>
      </c>
    </row>
    <row r="414" spans="1:10" x14ac:dyDescent="0.25">
      <c r="A414" t="s">
        <v>117</v>
      </c>
      <c r="B414" t="s">
        <v>223</v>
      </c>
      <c r="C414">
        <v>2020</v>
      </c>
      <c r="D414">
        <v>37</v>
      </c>
      <c r="E414">
        <v>212.7</v>
      </c>
      <c r="F414">
        <v>4.2</v>
      </c>
      <c r="G414">
        <v>9.4</v>
      </c>
      <c r="H414">
        <v>9.1</v>
      </c>
      <c r="I414">
        <f t="shared" si="12"/>
        <v>7869.9</v>
      </c>
      <c r="J414">
        <f t="shared" si="13"/>
        <v>336.7</v>
      </c>
    </row>
    <row r="415" spans="1:10" x14ac:dyDescent="0.25">
      <c r="A415" t="s">
        <v>117</v>
      </c>
      <c r="B415" t="s">
        <v>223</v>
      </c>
      <c r="C415">
        <v>2021</v>
      </c>
      <c r="D415">
        <v>18</v>
      </c>
      <c r="E415">
        <v>208.4</v>
      </c>
      <c r="F415">
        <v>4.5</v>
      </c>
      <c r="G415">
        <v>9.6999999999999993</v>
      </c>
      <c r="H415">
        <v>15.9</v>
      </c>
      <c r="I415">
        <f t="shared" si="12"/>
        <v>3751.2000000000003</v>
      </c>
      <c r="J415">
        <f t="shared" si="13"/>
        <v>286.2</v>
      </c>
    </row>
    <row r="416" spans="1:10" x14ac:dyDescent="0.25">
      <c r="A416" t="s">
        <v>117</v>
      </c>
      <c r="B416" t="s">
        <v>224</v>
      </c>
      <c r="C416">
        <v>2016</v>
      </c>
      <c r="D416">
        <v>2397</v>
      </c>
      <c r="E416">
        <v>159.1</v>
      </c>
      <c r="F416">
        <v>5.7</v>
      </c>
      <c r="G416">
        <v>5.3</v>
      </c>
      <c r="H416">
        <v>10</v>
      </c>
      <c r="I416">
        <f t="shared" si="12"/>
        <v>381362.7</v>
      </c>
      <c r="J416">
        <f t="shared" si="13"/>
        <v>23970</v>
      </c>
    </row>
    <row r="417" spans="1:10" x14ac:dyDescent="0.25">
      <c r="A417" t="s">
        <v>117</v>
      </c>
      <c r="B417" t="s">
        <v>224</v>
      </c>
      <c r="C417">
        <v>2017</v>
      </c>
      <c r="D417">
        <v>2396</v>
      </c>
      <c r="E417">
        <v>160</v>
      </c>
      <c r="F417">
        <v>5.6</v>
      </c>
      <c r="G417">
        <v>5.4</v>
      </c>
      <c r="H417">
        <v>10.5</v>
      </c>
      <c r="I417">
        <f t="shared" si="12"/>
        <v>383360</v>
      </c>
      <c r="J417">
        <f t="shared" si="13"/>
        <v>25158</v>
      </c>
    </row>
    <row r="418" spans="1:10" x14ac:dyDescent="0.25">
      <c r="A418" t="s">
        <v>117</v>
      </c>
      <c r="B418" t="s">
        <v>224</v>
      </c>
      <c r="C418">
        <v>2018</v>
      </c>
      <c r="D418">
        <v>3182</v>
      </c>
      <c r="E418">
        <v>156.30000000000001</v>
      </c>
      <c r="F418">
        <v>5.6</v>
      </c>
      <c r="G418">
        <v>5.5</v>
      </c>
      <c r="H418">
        <v>10.8</v>
      </c>
      <c r="I418">
        <f t="shared" si="12"/>
        <v>497346.60000000003</v>
      </c>
      <c r="J418">
        <f t="shared" si="13"/>
        <v>34365.600000000006</v>
      </c>
    </row>
    <row r="419" spans="1:10" x14ac:dyDescent="0.25">
      <c r="A419" t="s">
        <v>117</v>
      </c>
      <c r="B419" t="s">
        <v>224</v>
      </c>
      <c r="C419">
        <v>2019</v>
      </c>
      <c r="D419">
        <v>2754</v>
      </c>
      <c r="E419">
        <v>157.30000000000001</v>
      </c>
      <c r="F419">
        <v>5.5</v>
      </c>
      <c r="G419">
        <v>5.4</v>
      </c>
      <c r="H419">
        <v>10.8</v>
      </c>
      <c r="I419">
        <f t="shared" si="12"/>
        <v>433204.2</v>
      </c>
      <c r="J419">
        <f t="shared" si="13"/>
        <v>29743.200000000001</v>
      </c>
    </row>
    <row r="420" spans="1:10" x14ac:dyDescent="0.25">
      <c r="A420" t="s">
        <v>117</v>
      </c>
      <c r="B420" t="s">
        <v>224</v>
      </c>
      <c r="C420">
        <v>2020</v>
      </c>
      <c r="D420">
        <v>2305</v>
      </c>
      <c r="E420">
        <v>159.1</v>
      </c>
      <c r="F420">
        <v>5.5</v>
      </c>
      <c r="G420">
        <v>5.4</v>
      </c>
      <c r="H420">
        <v>13.1</v>
      </c>
      <c r="I420">
        <f t="shared" si="12"/>
        <v>366725.5</v>
      </c>
      <c r="J420">
        <f t="shared" si="13"/>
        <v>30195.5</v>
      </c>
    </row>
    <row r="421" spans="1:10" x14ac:dyDescent="0.25">
      <c r="A421" t="s">
        <v>117</v>
      </c>
      <c r="B421" t="s">
        <v>224</v>
      </c>
      <c r="C421">
        <v>2021</v>
      </c>
      <c r="D421">
        <v>1961</v>
      </c>
      <c r="E421">
        <v>164.3</v>
      </c>
      <c r="F421">
        <v>5.6</v>
      </c>
      <c r="G421">
        <v>5.5</v>
      </c>
      <c r="H421">
        <v>14.1</v>
      </c>
      <c r="I421">
        <f t="shared" si="12"/>
        <v>322192.30000000005</v>
      </c>
      <c r="J421">
        <f t="shared" si="13"/>
        <v>27650.1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1"/>
  <sheetViews>
    <sheetView workbookViewId="0">
      <selection activeCell="D2" sqref="D2"/>
    </sheetView>
  </sheetViews>
  <sheetFormatPr defaultRowHeight="15" x14ac:dyDescent="0.25"/>
  <sheetData>
    <row r="1" spans="1:10" x14ac:dyDescent="0.25">
      <c r="A1" s="6" t="s">
        <v>189</v>
      </c>
      <c r="B1" s="6" t="s">
        <v>190</v>
      </c>
      <c r="C1" s="6" t="s">
        <v>191</v>
      </c>
      <c r="D1" s="6" t="s">
        <v>192</v>
      </c>
      <c r="E1" s="6" t="s">
        <v>193</v>
      </c>
      <c r="F1" s="6" t="s">
        <v>194</v>
      </c>
      <c r="G1" s="6" t="s">
        <v>195</v>
      </c>
      <c r="H1" s="6" t="s">
        <v>196</v>
      </c>
      <c r="I1" s="6" t="s">
        <v>197</v>
      </c>
      <c r="J1" s="6" t="s">
        <v>198</v>
      </c>
    </row>
    <row r="2" spans="1:10" x14ac:dyDescent="0.25">
      <c r="A2" t="s">
        <v>199</v>
      </c>
      <c r="B2" t="s">
        <v>200</v>
      </c>
      <c r="C2">
        <v>2019</v>
      </c>
      <c r="D2">
        <v>25859</v>
      </c>
      <c r="E2">
        <v>310.39999999999998</v>
      </c>
      <c r="F2">
        <v>7.6</v>
      </c>
      <c r="G2">
        <v>4.0999999999999996</v>
      </c>
      <c r="H2">
        <v>70.099999999999994</v>
      </c>
      <c r="I2">
        <f t="shared" ref="I2:I33" si="0">D2*E2</f>
        <v>8026633.5999999996</v>
      </c>
      <c r="J2">
        <f t="shared" ref="J2:J33" si="1">D2*H2</f>
        <v>1812715.9</v>
      </c>
    </row>
    <row r="3" spans="1:10" x14ac:dyDescent="0.25">
      <c r="A3" t="s">
        <v>199</v>
      </c>
      <c r="B3" t="s">
        <v>208</v>
      </c>
      <c r="C3">
        <v>2019</v>
      </c>
      <c r="D3">
        <v>40784</v>
      </c>
      <c r="E3">
        <v>321.39999999999998</v>
      </c>
      <c r="F3">
        <v>7.1</v>
      </c>
      <c r="G3">
        <v>3.5</v>
      </c>
      <c r="H3">
        <v>70.2</v>
      </c>
      <c r="I3">
        <f t="shared" si="0"/>
        <v>13107977.6</v>
      </c>
      <c r="J3">
        <f t="shared" si="1"/>
        <v>2863036.8000000003</v>
      </c>
    </row>
    <row r="4" spans="1:10" x14ac:dyDescent="0.25">
      <c r="A4" t="s">
        <v>199</v>
      </c>
      <c r="B4" t="s">
        <v>213</v>
      </c>
      <c r="C4">
        <v>2019</v>
      </c>
      <c r="D4">
        <v>4427</v>
      </c>
      <c r="E4">
        <v>348.6</v>
      </c>
      <c r="F4">
        <v>9.9</v>
      </c>
      <c r="G4">
        <v>5.8</v>
      </c>
      <c r="H4">
        <v>91.1</v>
      </c>
      <c r="I4">
        <f t="shared" si="0"/>
        <v>1543252.2000000002</v>
      </c>
      <c r="J4">
        <f t="shared" si="1"/>
        <v>403299.69999999995</v>
      </c>
    </row>
    <row r="5" spans="1:10" x14ac:dyDescent="0.25">
      <c r="A5" t="s">
        <v>199</v>
      </c>
      <c r="B5" t="s">
        <v>216</v>
      </c>
      <c r="C5">
        <v>2019</v>
      </c>
      <c r="D5">
        <v>3426</v>
      </c>
      <c r="E5">
        <v>387.3</v>
      </c>
      <c r="F5">
        <v>8.1</v>
      </c>
      <c r="G5">
        <v>6.9</v>
      </c>
      <c r="H5">
        <v>94.6</v>
      </c>
      <c r="I5">
        <f t="shared" si="0"/>
        <v>1326889.8</v>
      </c>
      <c r="J5">
        <f t="shared" si="1"/>
        <v>324099.59999999998</v>
      </c>
    </row>
    <row r="6" spans="1:10" x14ac:dyDescent="0.25">
      <c r="A6" t="s">
        <v>199</v>
      </c>
      <c r="B6" t="s">
        <v>217</v>
      </c>
      <c r="C6">
        <v>2019</v>
      </c>
      <c r="D6">
        <v>1352</v>
      </c>
      <c r="E6">
        <v>348.2</v>
      </c>
      <c r="F6">
        <v>10.1</v>
      </c>
      <c r="G6">
        <v>6.1</v>
      </c>
      <c r="H6">
        <v>87.3</v>
      </c>
      <c r="I6">
        <f t="shared" si="0"/>
        <v>470766.39999999997</v>
      </c>
      <c r="J6">
        <f t="shared" si="1"/>
        <v>118029.59999999999</v>
      </c>
    </row>
    <row r="7" spans="1:10" x14ac:dyDescent="0.25">
      <c r="A7" t="s">
        <v>199</v>
      </c>
      <c r="B7" t="s">
        <v>219</v>
      </c>
      <c r="C7">
        <v>2019</v>
      </c>
      <c r="D7">
        <v>507</v>
      </c>
      <c r="E7">
        <v>365.3</v>
      </c>
      <c r="F7">
        <v>7.9</v>
      </c>
      <c r="G7">
        <v>7.7</v>
      </c>
      <c r="H7">
        <v>92.1</v>
      </c>
      <c r="I7">
        <f t="shared" si="0"/>
        <v>185207.1</v>
      </c>
      <c r="J7">
        <f t="shared" si="1"/>
        <v>46694.7</v>
      </c>
    </row>
    <row r="8" spans="1:10" x14ac:dyDescent="0.25">
      <c r="A8" t="s">
        <v>199</v>
      </c>
      <c r="B8" t="s">
        <v>220</v>
      </c>
      <c r="C8">
        <v>2019</v>
      </c>
      <c r="D8">
        <v>2584</v>
      </c>
      <c r="E8">
        <v>359.2</v>
      </c>
      <c r="F8">
        <v>7.5</v>
      </c>
      <c r="G8">
        <v>6.3</v>
      </c>
      <c r="H8">
        <v>87.9</v>
      </c>
      <c r="I8">
        <f t="shared" si="0"/>
        <v>928172.79999999993</v>
      </c>
      <c r="J8">
        <f t="shared" si="1"/>
        <v>227133.6</v>
      </c>
    </row>
    <row r="9" spans="1:10" x14ac:dyDescent="0.25">
      <c r="A9" t="s">
        <v>199</v>
      </c>
      <c r="B9" t="s">
        <v>222</v>
      </c>
      <c r="C9">
        <v>2019</v>
      </c>
      <c r="D9">
        <v>408</v>
      </c>
      <c r="E9">
        <v>224.2</v>
      </c>
      <c r="F9">
        <v>7.3</v>
      </c>
      <c r="G9">
        <v>4.3</v>
      </c>
      <c r="H9">
        <v>105.8</v>
      </c>
      <c r="I9">
        <f t="shared" si="0"/>
        <v>91473.599999999991</v>
      </c>
      <c r="J9">
        <f t="shared" si="1"/>
        <v>43166.400000000001</v>
      </c>
    </row>
    <row r="10" spans="1:10" x14ac:dyDescent="0.25">
      <c r="A10" t="s">
        <v>199</v>
      </c>
      <c r="B10" t="s">
        <v>223</v>
      </c>
      <c r="C10">
        <v>2019</v>
      </c>
      <c r="D10">
        <v>162</v>
      </c>
      <c r="E10">
        <v>402.6</v>
      </c>
      <c r="F10">
        <v>7.1</v>
      </c>
      <c r="G10">
        <v>7.7</v>
      </c>
      <c r="H10">
        <v>105.8</v>
      </c>
      <c r="I10">
        <f t="shared" si="0"/>
        <v>65221.200000000004</v>
      </c>
      <c r="J10">
        <f t="shared" si="1"/>
        <v>17139.599999999999</v>
      </c>
    </row>
    <row r="11" spans="1:10" x14ac:dyDescent="0.25">
      <c r="A11" t="s">
        <v>199</v>
      </c>
      <c r="B11" t="s">
        <v>224</v>
      </c>
      <c r="C11">
        <v>2019</v>
      </c>
      <c r="D11">
        <v>21397</v>
      </c>
      <c r="E11">
        <v>338.8</v>
      </c>
      <c r="F11">
        <v>8.1999999999999993</v>
      </c>
      <c r="G11">
        <v>5.5</v>
      </c>
      <c r="H11">
        <v>86.2</v>
      </c>
      <c r="I11">
        <f t="shared" si="0"/>
        <v>7249303.6000000006</v>
      </c>
      <c r="J11">
        <f t="shared" si="1"/>
        <v>1844421.4000000001</v>
      </c>
    </row>
    <row r="12" spans="1:10" x14ac:dyDescent="0.25">
      <c r="A12" t="s">
        <v>209</v>
      </c>
      <c r="B12" t="s">
        <v>200</v>
      </c>
      <c r="C12">
        <v>2019</v>
      </c>
      <c r="D12">
        <v>5421</v>
      </c>
      <c r="E12">
        <v>297.5</v>
      </c>
      <c r="F12">
        <v>8.3000000000000007</v>
      </c>
      <c r="G12">
        <v>5.0999999999999996</v>
      </c>
      <c r="H12">
        <v>33.799999999999997</v>
      </c>
      <c r="I12">
        <f t="shared" si="0"/>
        <v>1612747.5</v>
      </c>
      <c r="J12">
        <f t="shared" si="1"/>
        <v>183229.8</v>
      </c>
    </row>
    <row r="13" spans="1:10" x14ac:dyDescent="0.25">
      <c r="A13" t="s">
        <v>209</v>
      </c>
      <c r="B13" t="s">
        <v>208</v>
      </c>
      <c r="C13">
        <v>2019</v>
      </c>
      <c r="D13">
        <v>8276</v>
      </c>
      <c r="E13">
        <v>299.8</v>
      </c>
      <c r="F13">
        <v>8.1</v>
      </c>
      <c r="G13">
        <v>4.4000000000000004</v>
      </c>
      <c r="H13">
        <v>34.4</v>
      </c>
      <c r="I13">
        <f t="shared" si="0"/>
        <v>2481144.8000000003</v>
      </c>
      <c r="J13">
        <f t="shared" si="1"/>
        <v>284694.39999999997</v>
      </c>
    </row>
    <row r="14" spans="1:10" x14ac:dyDescent="0.25">
      <c r="A14" t="s">
        <v>209</v>
      </c>
      <c r="B14" t="s">
        <v>213</v>
      </c>
      <c r="C14">
        <v>2019</v>
      </c>
      <c r="D14">
        <v>5097</v>
      </c>
      <c r="E14">
        <v>296.8</v>
      </c>
      <c r="F14">
        <v>9.5</v>
      </c>
      <c r="G14">
        <v>6.4</v>
      </c>
      <c r="H14">
        <v>28.2</v>
      </c>
      <c r="I14">
        <f t="shared" si="0"/>
        <v>1512789.6</v>
      </c>
      <c r="J14">
        <f t="shared" si="1"/>
        <v>143735.4</v>
      </c>
    </row>
    <row r="15" spans="1:10" x14ac:dyDescent="0.25">
      <c r="A15" t="s">
        <v>209</v>
      </c>
      <c r="B15" t="s">
        <v>216</v>
      </c>
      <c r="C15">
        <v>2019</v>
      </c>
      <c r="D15">
        <v>4053</v>
      </c>
      <c r="E15">
        <v>321.10000000000002</v>
      </c>
      <c r="F15">
        <v>8.1</v>
      </c>
      <c r="G15">
        <v>7.5</v>
      </c>
      <c r="H15">
        <v>27.4</v>
      </c>
      <c r="I15">
        <f t="shared" si="0"/>
        <v>1301418.3</v>
      </c>
      <c r="J15">
        <f t="shared" si="1"/>
        <v>111052.2</v>
      </c>
    </row>
    <row r="16" spans="1:10" x14ac:dyDescent="0.25">
      <c r="A16" t="s">
        <v>209</v>
      </c>
      <c r="B16" t="s">
        <v>217</v>
      </c>
      <c r="C16">
        <v>2019</v>
      </c>
      <c r="D16">
        <v>1764</v>
      </c>
      <c r="E16">
        <v>300.39999999999998</v>
      </c>
      <c r="F16">
        <v>9.5</v>
      </c>
      <c r="G16">
        <v>6.6</v>
      </c>
      <c r="H16">
        <v>26.9</v>
      </c>
      <c r="I16">
        <f t="shared" si="0"/>
        <v>529905.6</v>
      </c>
      <c r="J16">
        <f t="shared" si="1"/>
        <v>47451.6</v>
      </c>
    </row>
    <row r="17" spans="1:10" x14ac:dyDescent="0.25">
      <c r="A17" t="s">
        <v>209</v>
      </c>
      <c r="B17" t="s">
        <v>219</v>
      </c>
      <c r="C17">
        <v>2019</v>
      </c>
      <c r="D17">
        <v>1106</v>
      </c>
      <c r="E17">
        <v>317</v>
      </c>
      <c r="F17">
        <v>8.3000000000000007</v>
      </c>
      <c r="G17">
        <v>8.1</v>
      </c>
      <c r="H17">
        <v>29.1</v>
      </c>
      <c r="I17">
        <f t="shared" si="0"/>
        <v>350602</v>
      </c>
      <c r="J17">
        <f t="shared" si="1"/>
        <v>32184.600000000002</v>
      </c>
    </row>
    <row r="18" spans="1:10" x14ac:dyDescent="0.25">
      <c r="A18" t="s">
        <v>209</v>
      </c>
      <c r="B18" t="s">
        <v>220</v>
      </c>
      <c r="C18">
        <v>2019</v>
      </c>
      <c r="D18">
        <v>3088</v>
      </c>
      <c r="E18">
        <v>309.8</v>
      </c>
      <c r="F18">
        <v>8.1</v>
      </c>
      <c r="G18">
        <v>7</v>
      </c>
      <c r="H18">
        <v>25.2</v>
      </c>
      <c r="I18">
        <f t="shared" si="0"/>
        <v>956662.4</v>
      </c>
      <c r="J18">
        <f t="shared" si="1"/>
        <v>77817.599999999991</v>
      </c>
    </row>
    <row r="19" spans="1:10" x14ac:dyDescent="0.25">
      <c r="A19" t="s">
        <v>209</v>
      </c>
      <c r="B19" t="s">
        <v>222</v>
      </c>
      <c r="C19">
        <v>2019</v>
      </c>
      <c r="D19">
        <v>221</v>
      </c>
      <c r="E19">
        <v>175.3</v>
      </c>
      <c r="F19">
        <v>6.3</v>
      </c>
      <c r="G19">
        <v>4.3</v>
      </c>
      <c r="H19">
        <v>37.5</v>
      </c>
      <c r="I19">
        <f t="shared" si="0"/>
        <v>38741.300000000003</v>
      </c>
      <c r="J19">
        <f t="shared" si="1"/>
        <v>8287.5</v>
      </c>
    </row>
    <row r="20" spans="1:10" x14ac:dyDescent="0.25">
      <c r="A20" t="s">
        <v>209</v>
      </c>
      <c r="B20" t="s">
        <v>223</v>
      </c>
      <c r="C20">
        <v>2019</v>
      </c>
      <c r="D20">
        <v>213</v>
      </c>
      <c r="E20">
        <v>330.7</v>
      </c>
      <c r="F20">
        <v>6.6</v>
      </c>
      <c r="G20">
        <v>9.3000000000000007</v>
      </c>
      <c r="H20">
        <v>22.7</v>
      </c>
      <c r="I20">
        <f t="shared" si="0"/>
        <v>70439.099999999991</v>
      </c>
      <c r="J20">
        <f t="shared" si="1"/>
        <v>4835.0999999999995</v>
      </c>
    </row>
    <row r="21" spans="1:10" x14ac:dyDescent="0.25">
      <c r="A21" t="s">
        <v>209</v>
      </c>
      <c r="B21" t="s">
        <v>224</v>
      </c>
      <c r="C21">
        <v>2019</v>
      </c>
      <c r="D21">
        <v>29484</v>
      </c>
      <c r="E21">
        <v>307.5</v>
      </c>
      <c r="F21">
        <v>8.8000000000000007</v>
      </c>
      <c r="G21">
        <v>6.8</v>
      </c>
      <c r="H21">
        <v>27.1</v>
      </c>
      <c r="I21">
        <f t="shared" si="0"/>
        <v>9066330</v>
      </c>
      <c r="J21">
        <f t="shared" si="1"/>
        <v>799016.4</v>
      </c>
    </row>
    <row r="22" spans="1:10" x14ac:dyDescent="0.25">
      <c r="A22" t="s">
        <v>207</v>
      </c>
      <c r="B22" t="s">
        <v>200</v>
      </c>
      <c r="C22">
        <v>2019</v>
      </c>
      <c r="D22">
        <v>8439</v>
      </c>
      <c r="E22">
        <v>280.39999999999998</v>
      </c>
      <c r="F22">
        <v>7.2</v>
      </c>
      <c r="G22">
        <v>4</v>
      </c>
      <c r="H22">
        <v>42</v>
      </c>
      <c r="I22">
        <f t="shared" si="0"/>
        <v>2366295.5999999996</v>
      </c>
      <c r="J22">
        <f t="shared" si="1"/>
        <v>354438</v>
      </c>
    </row>
    <row r="23" spans="1:10" x14ac:dyDescent="0.25">
      <c r="A23" t="s">
        <v>207</v>
      </c>
      <c r="B23" t="s">
        <v>208</v>
      </c>
      <c r="C23">
        <v>2019</v>
      </c>
      <c r="D23">
        <v>15178</v>
      </c>
      <c r="E23">
        <v>292.3</v>
      </c>
      <c r="F23">
        <v>6.8</v>
      </c>
      <c r="G23">
        <v>3.4</v>
      </c>
      <c r="H23">
        <v>43.4</v>
      </c>
      <c r="I23">
        <f t="shared" si="0"/>
        <v>4436529.4000000004</v>
      </c>
      <c r="J23">
        <f t="shared" si="1"/>
        <v>658725.19999999995</v>
      </c>
    </row>
    <row r="24" spans="1:10" x14ac:dyDescent="0.25">
      <c r="A24" t="s">
        <v>207</v>
      </c>
      <c r="B24" t="s">
        <v>213</v>
      </c>
      <c r="C24">
        <v>2019</v>
      </c>
      <c r="D24">
        <v>1454</v>
      </c>
      <c r="E24">
        <v>310.5</v>
      </c>
      <c r="F24">
        <v>9.1999999999999993</v>
      </c>
      <c r="G24">
        <v>5.9</v>
      </c>
      <c r="H24">
        <v>37.700000000000003</v>
      </c>
      <c r="I24">
        <f t="shared" si="0"/>
        <v>451467</v>
      </c>
      <c r="J24">
        <f t="shared" si="1"/>
        <v>54815.8</v>
      </c>
    </row>
    <row r="25" spans="1:10" x14ac:dyDescent="0.25">
      <c r="A25" t="s">
        <v>207</v>
      </c>
      <c r="B25" t="s">
        <v>216</v>
      </c>
      <c r="C25">
        <v>2019</v>
      </c>
      <c r="D25">
        <v>758</v>
      </c>
      <c r="E25">
        <v>326.2</v>
      </c>
      <c r="F25">
        <v>7</v>
      </c>
      <c r="G25">
        <v>6.5</v>
      </c>
      <c r="H25">
        <v>36.700000000000003</v>
      </c>
      <c r="I25">
        <f t="shared" si="0"/>
        <v>247259.6</v>
      </c>
      <c r="J25">
        <f t="shared" si="1"/>
        <v>27818.600000000002</v>
      </c>
    </row>
    <row r="26" spans="1:10" x14ac:dyDescent="0.25">
      <c r="A26" t="s">
        <v>207</v>
      </c>
      <c r="B26" t="s">
        <v>217</v>
      </c>
      <c r="C26">
        <v>2019</v>
      </c>
      <c r="D26">
        <v>403</v>
      </c>
      <c r="E26">
        <v>304.7</v>
      </c>
      <c r="F26">
        <v>9</v>
      </c>
      <c r="G26">
        <v>5.8</v>
      </c>
      <c r="H26">
        <v>38</v>
      </c>
      <c r="I26">
        <f t="shared" si="0"/>
        <v>122794.09999999999</v>
      </c>
      <c r="J26">
        <f t="shared" si="1"/>
        <v>15314</v>
      </c>
    </row>
    <row r="27" spans="1:10" x14ac:dyDescent="0.25">
      <c r="A27" t="s">
        <v>207</v>
      </c>
      <c r="B27" t="s">
        <v>219</v>
      </c>
      <c r="C27">
        <v>2019</v>
      </c>
      <c r="D27">
        <v>176</v>
      </c>
      <c r="E27">
        <v>313.89999999999998</v>
      </c>
      <c r="F27">
        <v>7.3</v>
      </c>
      <c r="G27">
        <v>7.1</v>
      </c>
      <c r="H27">
        <v>37.6</v>
      </c>
      <c r="I27">
        <f t="shared" si="0"/>
        <v>55246.399999999994</v>
      </c>
      <c r="J27">
        <f t="shared" si="1"/>
        <v>6617.6</v>
      </c>
    </row>
    <row r="28" spans="1:10" x14ac:dyDescent="0.25">
      <c r="A28" t="s">
        <v>207</v>
      </c>
      <c r="B28" t="s">
        <v>220</v>
      </c>
      <c r="C28">
        <v>2019</v>
      </c>
      <c r="D28">
        <v>861</v>
      </c>
      <c r="E28">
        <v>314</v>
      </c>
      <c r="F28">
        <v>7</v>
      </c>
      <c r="G28">
        <v>5.9</v>
      </c>
      <c r="H28">
        <v>38.5</v>
      </c>
      <c r="I28">
        <f t="shared" si="0"/>
        <v>270354</v>
      </c>
      <c r="J28">
        <f t="shared" si="1"/>
        <v>33148.5</v>
      </c>
    </row>
    <row r="29" spans="1:10" x14ac:dyDescent="0.25">
      <c r="A29" t="s">
        <v>207</v>
      </c>
      <c r="B29" t="s">
        <v>222</v>
      </c>
      <c r="C29">
        <v>2019</v>
      </c>
      <c r="D29">
        <v>41</v>
      </c>
      <c r="E29">
        <v>195.2</v>
      </c>
      <c r="F29">
        <v>6</v>
      </c>
      <c r="G29">
        <v>3.8</v>
      </c>
      <c r="H29">
        <v>42.1</v>
      </c>
      <c r="I29">
        <f t="shared" si="0"/>
        <v>8003.2</v>
      </c>
      <c r="J29">
        <f t="shared" si="1"/>
        <v>1726.1000000000001</v>
      </c>
    </row>
    <row r="30" spans="1:10" x14ac:dyDescent="0.25">
      <c r="A30" t="s">
        <v>207</v>
      </c>
      <c r="B30" t="s">
        <v>223</v>
      </c>
      <c r="C30">
        <v>2019</v>
      </c>
      <c r="D30">
        <v>12</v>
      </c>
      <c r="E30">
        <v>291</v>
      </c>
      <c r="F30">
        <v>5</v>
      </c>
      <c r="G30">
        <v>5.9</v>
      </c>
      <c r="H30">
        <v>35.6</v>
      </c>
      <c r="I30">
        <f t="shared" si="0"/>
        <v>3492</v>
      </c>
      <c r="J30">
        <f t="shared" si="1"/>
        <v>427.20000000000005</v>
      </c>
    </row>
    <row r="31" spans="1:10" x14ac:dyDescent="0.25">
      <c r="A31" t="s">
        <v>207</v>
      </c>
      <c r="B31" t="s">
        <v>224</v>
      </c>
      <c r="C31">
        <v>2019</v>
      </c>
      <c r="D31">
        <v>7190</v>
      </c>
      <c r="E31">
        <v>301.2</v>
      </c>
      <c r="F31">
        <v>7.6</v>
      </c>
      <c r="G31">
        <v>5.4</v>
      </c>
      <c r="H31">
        <v>37.700000000000003</v>
      </c>
      <c r="I31">
        <f t="shared" si="0"/>
        <v>2165628</v>
      </c>
      <c r="J31">
        <f t="shared" si="1"/>
        <v>271063</v>
      </c>
    </row>
    <row r="32" spans="1:10" x14ac:dyDescent="0.25">
      <c r="A32" t="s">
        <v>210</v>
      </c>
      <c r="B32" t="s">
        <v>200</v>
      </c>
      <c r="C32">
        <v>2019</v>
      </c>
      <c r="D32">
        <v>8586</v>
      </c>
      <c r="E32">
        <v>324.89999999999998</v>
      </c>
      <c r="F32">
        <v>7.3</v>
      </c>
      <c r="G32">
        <v>4.5999999999999996</v>
      </c>
      <c r="H32">
        <v>30.9</v>
      </c>
      <c r="I32">
        <f t="shared" si="0"/>
        <v>2789591.4</v>
      </c>
      <c r="J32">
        <f t="shared" si="1"/>
        <v>265307.39999999997</v>
      </c>
    </row>
    <row r="33" spans="1:10" x14ac:dyDescent="0.25">
      <c r="A33" t="s">
        <v>210</v>
      </c>
      <c r="B33" t="s">
        <v>208</v>
      </c>
      <c r="C33">
        <v>2019</v>
      </c>
      <c r="D33">
        <v>11456</v>
      </c>
      <c r="E33">
        <v>323.8</v>
      </c>
      <c r="F33">
        <v>7.1</v>
      </c>
      <c r="G33">
        <v>4</v>
      </c>
      <c r="H33">
        <v>31.5</v>
      </c>
      <c r="I33">
        <f t="shared" si="0"/>
        <v>3709452.8000000003</v>
      </c>
      <c r="J33">
        <f t="shared" si="1"/>
        <v>360864</v>
      </c>
    </row>
    <row r="34" spans="1:10" x14ac:dyDescent="0.25">
      <c r="A34" t="s">
        <v>210</v>
      </c>
      <c r="B34" t="s">
        <v>213</v>
      </c>
      <c r="C34">
        <v>2019</v>
      </c>
      <c r="D34">
        <v>1608</v>
      </c>
      <c r="E34">
        <v>330.2</v>
      </c>
      <c r="F34">
        <v>8.3000000000000007</v>
      </c>
      <c r="G34">
        <v>6.2</v>
      </c>
      <c r="H34">
        <v>28.8</v>
      </c>
      <c r="I34">
        <f t="shared" ref="I34:I61" si="2">D34*E34</f>
        <v>530961.6</v>
      </c>
      <c r="J34">
        <f t="shared" ref="J34:J61" si="3">D34*H34</f>
        <v>46310.400000000001</v>
      </c>
    </row>
    <row r="35" spans="1:10" x14ac:dyDescent="0.25">
      <c r="A35" t="s">
        <v>210</v>
      </c>
      <c r="B35" t="s">
        <v>216</v>
      </c>
      <c r="C35">
        <v>2019</v>
      </c>
      <c r="D35">
        <v>223</v>
      </c>
      <c r="E35">
        <v>357.2</v>
      </c>
      <c r="F35">
        <v>7.3</v>
      </c>
      <c r="G35">
        <v>6.9</v>
      </c>
      <c r="H35">
        <v>26.5</v>
      </c>
      <c r="I35">
        <f t="shared" si="2"/>
        <v>79655.599999999991</v>
      </c>
      <c r="J35">
        <f t="shared" si="3"/>
        <v>5909.5</v>
      </c>
    </row>
    <row r="36" spans="1:10" x14ac:dyDescent="0.25">
      <c r="A36" t="s">
        <v>210</v>
      </c>
      <c r="B36" t="s">
        <v>217</v>
      </c>
      <c r="C36">
        <v>2019</v>
      </c>
      <c r="D36">
        <v>659</v>
      </c>
      <c r="E36">
        <v>333.2</v>
      </c>
      <c r="F36">
        <v>8.6</v>
      </c>
      <c r="G36">
        <v>6.4</v>
      </c>
      <c r="H36">
        <v>28.1</v>
      </c>
      <c r="I36">
        <f t="shared" si="2"/>
        <v>219578.8</v>
      </c>
      <c r="J36">
        <f t="shared" si="3"/>
        <v>18517.900000000001</v>
      </c>
    </row>
    <row r="37" spans="1:10" x14ac:dyDescent="0.25">
      <c r="A37" t="s">
        <v>210</v>
      </c>
      <c r="B37" t="s">
        <v>219</v>
      </c>
      <c r="C37">
        <v>2019</v>
      </c>
      <c r="D37">
        <v>136</v>
      </c>
      <c r="E37">
        <v>351.3</v>
      </c>
      <c r="F37">
        <v>8.1</v>
      </c>
      <c r="G37">
        <v>6.7</v>
      </c>
      <c r="H37">
        <v>25.9</v>
      </c>
      <c r="I37">
        <f t="shared" si="2"/>
        <v>47776.800000000003</v>
      </c>
      <c r="J37">
        <f t="shared" si="3"/>
        <v>3522.3999999999996</v>
      </c>
    </row>
    <row r="38" spans="1:10" x14ac:dyDescent="0.25">
      <c r="A38" t="s">
        <v>210</v>
      </c>
      <c r="B38" t="s">
        <v>220</v>
      </c>
      <c r="C38">
        <v>2019</v>
      </c>
      <c r="D38">
        <v>387</v>
      </c>
      <c r="E38">
        <v>337.6</v>
      </c>
      <c r="F38">
        <v>7.1</v>
      </c>
      <c r="G38">
        <v>6.3</v>
      </c>
      <c r="H38">
        <v>25.3</v>
      </c>
      <c r="I38">
        <f t="shared" si="2"/>
        <v>130651.20000000001</v>
      </c>
      <c r="J38">
        <f t="shared" si="3"/>
        <v>9791.1</v>
      </c>
    </row>
    <row r="39" spans="1:10" x14ac:dyDescent="0.25">
      <c r="A39" t="s">
        <v>210</v>
      </c>
      <c r="B39" t="s">
        <v>222</v>
      </c>
      <c r="C39">
        <v>2019</v>
      </c>
      <c r="D39">
        <v>143</v>
      </c>
      <c r="E39">
        <v>245.2</v>
      </c>
      <c r="F39">
        <v>6.7</v>
      </c>
      <c r="G39">
        <v>4.5</v>
      </c>
      <c r="H39">
        <v>47</v>
      </c>
      <c r="I39">
        <f t="shared" si="2"/>
        <v>35063.599999999999</v>
      </c>
      <c r="J39">
        <f t="shared" si="3"/>
        <v>6721</v>
      </c>
    </row>
    <row r="40" spans="1:10" x14ac:dyDescent="0.25">
      <c r="A40" t="s">
        <v>210</v>
      </c>
      <c r="B40" t="s">
        <v>223</v>
      </c>
      <c r="C40">
        <v>2019</v>
      </c>
      <c r="D40">
        <v>14</v>
      </c>
      <c r="E40">
        <v>319.89999999999998</v>
      </c>
      <c r="F40">
        <v>7.1</v>
      </c>
      <c r="G40">
        <v>6.4</v>
      </c>
      <c r="H40">
        <v>22.7</v>
      </c>
      <c r="I40">
        <f t="shared" si="2"/>
        <v>4478.5999999999995</v>
      </c>
      <c r="J40">
        <f t="shared" si="3"/>
        <v>317.8</v>
      </c>
    </row>
    <row r="41" spans="1:10" x14ac:dyDescent="0.25">
      <c r="A41" t="s">
        <v>210</v>
      </c>
      <c r="B41" t="s">
        <v>224</v>
      </c>
      <c r="C41">
        <v>2019</v>
      </c>
      <c r="D41">
        <v>8272</v>
      </c>
      <c r="E41">
        <v>333.8</v>
      </c>
      <c r="F41">
        <v>7.7</v>
      </c>
      <c r="G41">
        <v>5.9</v>
      </c>
      <c r="H41">
        <v>29.2</v>
      </c>
      <c r="I41">
        <f t="shared" si="2"/>
        <v>2761193.6</v>
      </c>
      <c r="J41">
        <f t="shared" si="3"/>
        <v>241542.39999999999</v>
      </c>
    </row>
    <row r="42" spans="1:10" x14ac:dyDescent="0.25">
      <c r="A42" t="s">
        <v>212</v>
      </c>
      <c r="B42" t="s">
        <v>200</v>
      </c>
      <c r="C42">
        <v>2019</v>
      </c>
      <c r="D42">
        <v>20980</v>
      </c>
      <c r="E42">
        <v>325.8</v>
      </c>
      <c r="F42">
        <v>6.8</v>
      </c>
      <c r="G42">
        <v>5.2</v>
      </c>
      <c r="H42">
        <v>22.2</v>
      </c>
      <c r="I42">
        <f t="shared" si="2"/>
        <v>6835284</v>
      </c>
      <c r="J42">
        <f t="shared" si="3"/>
        <v>465756</v>
      </c>
    </row>
    <row r="43" spans="1:10" x14ac:dyDescent="0.25">
      <c r="A43" t="s">
        <v>212</v>
      </c>
      <c r="B43" t="s">
        <v>208</v>
      </c>
      <c r="C43">
        <v>2019</v>
      </c>
      <c r="D43">
        <v>46699</v>
      </c>
      <c r="E43">
        <v>323.2</v>
      </c>
      <c r="F43">
        <v>6.4</v>
      </c>
      <c r="G43">
        <v>4.4000000000000004</v>
      </c>
      <c r="H43">
        <v>24</v>
      </c>
      <c r="I43">
        <f t="shared" si="2"/>
        <v>15093116.799999999</v>
      </c>
      <c r="J43">
        <f t="shared" si="3"/>
        <v>1120776</v>
      </c>
    </row>
    <row r="44" spans="1:10" x14ac:dyDescent="0.25">
      <c r="A44" t="s">
        <v>212</v>
      </c>
      <c r="B44" t="s">
        <v>213</v>
      </c>
      <c r="C44">
        <v>2019</v>
      </c>
      <c r="D44">
        <v>9669</v>
      </c>
      <c r="E44">
        <v>340.1</v>
      </c>
      <c r="F44">
        <v>7.7</v>
      </c>
      <c r="G44">
        <v>7.3</v>
      </c>
      <c r="H44">
        <v>21.8</v>
      </c>
      <c r="I44">
        <f t="shared" si="2"/>
        <v>3288426.9000000004</v>
      </c>
      <c r="J44">
        <f t="shared" si="3"/>
        <v>210784.2</v>
      </c>
    </row>
    <row r="45" spans="1:10" x14ac:dyDescent="0.25">
      <c r="A45" t="s">
        <v>212</v>
      </c>
      <c r="B45" t="s">
        <v>216</v>
      </c>
      <c r="C45">
        <v>2019</v>
      </c>
      <c r="D45">
        <v>6858</v>
      </c>
      <c r="E45">
        <v>373</v>
      </c>
      <c r="F45">
        <v>6.4</v>
      </c>
      <c r="G45">
        <v>8.8000000000000007</v>
      </c>
      <c r="H45">
        <v>18.5</v>
      </c>
      <c r="I45">
        <f t="shared" si="2"/>
        <v>2558034</v>
      </c>
      <c r="J45">
        <f t="shared" si="3"/>
        <v>126873</v>
      </c>
    </row>
    <row r="46" spans="1:10" x14ac:dyDescent="0.25">
      <c r="A46" t="s">
        <v>212</v>
      </c>
      <c r="B46" t="s">
        <v>217</v>
      </c>
      <c r="C46">
        <v>2019</v>
      </c>
      <c r="D46">
        <v>3256</v>
      </c>
      <c r="E46">
        <v>345.4</v>
      </c>
      <c r="F46">
        <v>7.8</v>
      </c>
      <c r="G46">
        <v>7.6</v>
      </c>
      <c r="H46">
        <v>19.899999999999999</v>
      </c>
      <c r="I46">
        <f t="shared" si="2"/>
        <v>1124622.3999999999</v>
      </c>
      <c r="J46">
        <f t="shared" si="3"/>
        <v>64794.399999999994</v>
      </c>
    </row>
    <row r="47" spans="1:10" x14ac:dyDescent="0.25">
      <c r="A47" t="s">
        <v>212</v>
      </c>
      <c r="B47" t="s">
        <v>219</v>
      </c>
      <c r="C47">
        <v>2019</v>
      </c>
      <c r="D47">
        <v>1658</v>
      </c>
      <c r="E47">
        <v>367.7</v>
      </c>
      <c r="F47">
        <v>6.4</v>
      </c>
      <c r="G47">
        <v>9.5</v>
      </c>
      <c r="H47">
        <v>18.600000000000001</v>
      </c>
      <c r="I47">
        <f t="shared" si="2"/>
        <v>609646.6</v>
      </c>
      <c r="J47">
        <f t="shared" si="3"/>
        <v>30838.800000000003</v>
      </c>
    </row>
    <row r="48" spans="1:10" x14ac:dyDescent="0.25">
      <c r="A48" t="s">
        <v>212</v>
      </c>
      <c r="B48" t="s">
        <v>220</v>
      </c>
      <c r="C48">
        <v>2019</v>
      </c>
      <c r="D48">
        <v>6320</v>
      </c>
      <c r="E48">
        <v>363.8</v>
      </c>
      <c r="F48">
        <v>6.5</v>
      </c>
      <c r="G48">
        <v>8.3000000000000007</v>
      </c>
      <c r="H48">
        <v>18.399999999999999</v>
      </c>
      <c r="I48">
        <f t="shared" si="2"/>
        <v>2299216</v>
      </c>
      <c r="J48">
        <f t="shared" si="3"/>
        <v>116287.99999999999</v>
      </c>
    </row>
    <row r="49" spans="1:10" x14ac:dyDescent="0.25">
      <c r="A49" t="s">
        <v>212</v>
      </c>
      <c r="B49" t="s">
        <v>222</v>
      </c>
      <c r="C49">
        <v>2019</v>
      </c>
      <c r="D49">
        <v>198</v>
      </c>
      <c r="E49">
        <v>202.6</v>
      </c>
      <c r="F49">
        <v>4.5999999999999996</v>
      </c>
      <c r="G49">
        <v>4.8</v>
      </c>
      <c r="H49">
        <v>27.6</v>
      </c>
      <c r="I49">
        <f t="shared" si="2"/>
        <v>40114.799999999996</v>
      </c>
      <c r="J49">
        <f t="shared" si="3"/>
        <v>5464.8</v>
      </c>
    </row>
    <row r="50" spans="1:10" x14ac:dyDescent="0.25">
      <c r="A50" t="s">
        <v>212</v>
      </c>
      <c r="B50" t="s">
        <v>223</v>
      </c>
      <c r="C50">
        <v>2019</v>
      </c>
      <c r="D50">
        <v>311</v>
      </c>
      <c r="E50">
        <v>381</v>
      </c>
      <c r="F50">
        <v>4.7</v>
      </c>
      <c r="G50">
        <v>10.8</v>
      </c>
      <c r="H50">
        <v>16.100000000000001</v>
      </c>
      <c r="I50">
        <f t="shared" si="2"/>
        <v>118491</v>
      </c>
      <c r="J50">
        <f t="shared" si="3"/>
        <v>5007.1000000000004</v>
      </c>
    </row>
    <row r="51" spans="1:10" x14ac:dyDescent="0.25">
      <c r="A51" t="s">
        <v>212</v>
      </c>
      <c r="B51" t="s">
        <v>224</v>
      </c>
      <c r="C51">
        <v>2019</v>
      </c>
      <c r="D51">
        <v>52654</v>
      </c>
      <c r="E51">
        <v>356</v>
      </c>
      <c r="F51">
        <v>7</v>
      </c>
      <c r="G51">
        <v>7.8</v>
      </c>
      <c r="H51">
        <v>19</v>
      </c>
      <c r="I51">
        <f t="shared" si="2"/>
        <v>18744824</v>
      </c>
      <c r="J51">
        <f t="shared" si="3"/>
        <v>1000426</v>
      </c>
    </row>
    <row r="52" spans="1:10" x14ac:dyDescent="0.25">
      <c r="A52" t="s">
        <v>214</v>
      </c>
      <c r="B52" t="s">
        <v>200</v>
      </c>
      <c r="C52">
        <v>2019</v>
      </c>
      <c r="D52">
        <v>3985</v>
      </c>
      <c r="E52">
        <v>345.8</v>
      </c>
      <c r="F52">
        <v>6</v>
      </c>
      <c r="G52">
        <v>5</v>
      </c>
      <c r="H52">
        <v>29.3</v>
      </c>
      <c r="I52">
        <f t="shared" si="2"/>
        <v>1378013</v>
      </c>
      <c r="J52">
        <f t="shared" si="3"/>
        <v>116760.5</v>
      </c>
    </row>
    <row r="53" spans="1:10" x14ac:dyDescent="0.25">
      <c r="A53" t="s">
        <v>214</v>
      </c>
      <c r="B53" t="s">
        <v>208</v>
      </c>
      <c r="C53">
        <v>2019</v>
      </c>
      <c r="D53">
        <v>6585</v>
      </c>
      <c r="E53">
        <v>350.6</v>
      </c>
      <c r="F53">
        <v>5.5</v>
      </c>
      <c r="G53">
        <v>4.3</v>
      </c>
      <c r="H53">
        <v>30.1</v>
      </c>
      <c r="I53">
        <f t="shared" si="2"/>
        <v>2308701</v>
      </c>
      <c r="J53">
        <f t="shared" si="3"/>
        <v>198208.5</v>
      </c>
    </row>
    <row r="54" spans="1:10" x14ac:dyDescent="0.25">
      <c r="A54" t="s">
        <v>214</v>
      </c>
      <c r="B54" t="s">
        <v>213</v>
      </c>
      <c r="C54">
        <v>2019</v>
      </c>
      <c r="D54">
        <v>1806</v>
      </c>
      <c r="E54">
        <v>368.8</v>
      </c>
      <c r="F54">
        <v>6.7</v>
      </c>
      <c r="G54">
        <v>6.7</v>
      </c>
      <c r="H54">
        <v>30.4</v>
      </c>
      <c r="I54">
        <f t="shared" si="2"/>
        <v>666052.80000000005</v>
      </c>
      <c r="J54">
        <f t="shared" si="3"/>
        <v>54902.399999999994</v>
      </c>
    </row>
    <row r="55" spans="1:10" x14ac:dyDescent="0.25">
      <c r="A55" t="s">
        <v>214</v>
      </c>
      <c r="B55" t="s">
        <v>216</v>
      </c>
      <c r="C55">
        <v>2019</v>
      </c>
      <c r="D55">
        <v>507</v>
      </c>
      <c r="E55">
        <v>416.6</v>
      </c>
      <c r="F55">
        <v>5.4</v>
      </c>
      <c r="G55">
        <v>8.3000000000000007</v>
      </c>
      <c r="H55">
        <v>30</v>
      </c>
      <c r="I55">
        <f t="shared" si="2"/>
        <v>211216.2</v>
      </c>
      <c r="J55">
        <f t="shared" si="3"/>
        <v>15210</v>
      </c>
    </row>
    <row r="56" spans="1:10" x14ac:dyDescent="0.25">
      <c r="A56" t="s">
        <v>214</v>
      </c>
      <c r="B56" t="s">
        <v>217</v>
      </c>
      <c r="C56">
        <v>2019</v>
      </c>
      <c r="D56">
        <v>446</v>
      </c>
      <c r="E56">
        <v>383.4</v>
      </c>
      <c r="F56">
        <v>6.9</v>
      </c>
      <c r="G56">
        <v>7</v>
      </c>
      <c r="H56">
        <v>30</v>
      </c>
      <c r="I56">
        <f t="shared" si="2"/>
        <v>170996.4</v>
      </c>
      <c r="J56">
        <f t="shared" si="3"/>
        <v>13380</v>
      </c>
    </row>
    <row r="57" spans="1:10" x14ac:dyDescent="0.25">
      <c r="A57" t="s">
        <v>214</v>
      </c>
      <c r="B57" t="s">
        <v>219</v>
      </c>
      <c r="C57">
        <v>2019</v>
      </c>
      <c r="D57">
        <v>193</v>
      </c>
      <c r="E57">
        <v>407.1</v>
      </c>
      <c r="F57">
        <v>5.4</v>
      </c>
      <c r="G57">
        <v>8.8000000000000007</v>
      </c>
      <c r="H57">
        <v>31.5</v>
      </c>
      <c r="I57">
        <f t="shared" si="2"/>
        <v>78570.3</v>
      </c>
      <c r="J57">
        <f t="shared" si="3"/>
        <v>6079.5</v>
      </c>
    </row>
    <row r="58" spans="1:10" x14ac:dyDescent="0.25">
      <c r="A58" t="s">
        <v>214</v>
      </c>
      <c r="B58" t="s">
        <v>220</v>
      </c>
      <c r="C58">
        <v>2019</v>
      </c>
      <c r="D58">
        <v>631</v>
      </c>
      <c r="E58">
        <v>390.9</v>
      </c>
      <c r="F58">
        <v>5.0999999999999996</v>
      </c>
      <c r="G58">
        <v>7.5</v>
      </c>
      <c r="H58">
        <v>31.1</v>
      </c>
      <c r="I58">
        <f t="shared" si="2"/>
        <v>246657.9</v>
      </c>
      <c r="J58">
        <f t="shared" si="3"/>
        <v>19624.100000000002</v>
      </c>
    </row>
    <row r="59" spans="1:10" x14ac:dyDescent="0.25">
      <c r="A59" t="s">
        <v>214</v>
      </c>
      <c r="B59" t="s">
        <v>222</v>
      </c>
      <c r="C59">
        <v>2019</v>
      </c>
      <c r="D59">
        <v>106</v>
      </c>
      <c r="E59">
        <v>257.5</v>
      </c>
      <c r="F59">
        <v>4.5999999999999996</v>
      </c>
      <c r="G59">
        <v>5.7</v>
      </c>
      <c r="H59">
        <v>35.4</v>
      </c>
      <c r="I59">
        <f t="shared" si="2"/>
        <v>27295</v>
      </c>
      <c r="J59">
        <f t="shared" si="3"/>
        <v>3752.3999999999996</v>
      </c>
    </row>
    <row r="60" spans="1:10" x14ac:dyDescent="0.25">
      <c r="A60" t="s">
        <v>214</v>
      </c>
      <c r="B60" t="s">
        <v>223</v>
      </c>
      <c r="C60">
        <v>2019</v>
      </c>
      <c r="D60">
        <v>16</v>
      </c>
      <c r="E60">
        <v>453.4</v>
      </c>
      <c r="F60">
        <v>4.3</v>
      </c>
      <c r="G60">
        <v>9.6</v>
      </c>
      <c r="H60">
        <v>36.9</v>
      </c>
      <c r="I60">
        <f t="shared" si="2"/>
        <v>7254.4</v>
      </c>
      <c r="J60">
        <f t="shared" si="3"/>
        <v>590.4</v>
      </c>
    </row>
    <row r="61" spans="1:10" x14ac:dyDescent="0.25">
      <c r="A61" t="s">
        <v>214</v>
      </c>
      <c r="B61" t="s">
        <v>224</v>
      </c>
      <c r="C61">
        <v>2019</v>
      </c>
      <c r="D61">
        <v>6424</v>
      </c>
      <c r="E61">
        <v>361.6</v>
      </c>
      <c r="F61">
        <v>5.8</v>
      </c>
      <c r="G61">
        <v>6.7</v>
      </c>
      <c r="H61">
        <v>29.6</v>
      </c>
      <c r="I61">
        <f t="shared" si="2"/>
        <v>2322918.4000000004</v>
      </c>
      <c r="J61">
        <f t="shared" si="3"/>
        <v>190150.40000000002</v>
      </c>
    </row>
    <row r="62" spans="1:10" x14ac:dyDescent="0.25">
      <c r="A62" t="s">
        <v>625</v>
      </c>
      <c r="B62" t="s">
        <v>200</v>
      </c>
      <c r="C62">
        <v>2019</v>
      </c>
    </row>
    <row r="63" spans="1:10" x14ac:dyDescent="0.25">
      <c r="A63" t="s">
        <v>625</v>
      </c>
      <c r="B63" t="s">
        <v>208</v>
      </c>
      <c r="C63">
        <v>2019</v>
      </c>
    </row>
    <row r="64" spans="1:10" x14ac:dyDescent="0.25">
      <c r="A64" t="s">
        <v>625</v>
      </c>
      <c r="B64" t="s">
        <v>213</v>
      </c>
      <c r="C64">
        <v>2019</v>
      </c>
    </row>
    <row r="65" spans="1:10" x14ac:dyDescent="0.25">
      <c r="A65" t="s">
        <v>625</v>
      </c>
      <c r="B65" t="s">
        <v>216</v>
      </c>
      <c r="C65">
        <v>2019</v>
      </c>
    </row>
    <row r="66" spans="1:10" x14ac:dyDescent="0.25">
      <c r="A66" t="s">
        <v>625</v>
      </c>
      <c r="B66" t="s">
        <v>217</v>
      </c>
      <c r="C66">
        <v>2019</v>
      </c>
    </row>
    <row r="67" spans="1:10" x14ac:dyDescent="0.25">
      <c r="A67" t="s">
        <v>625</v>
      </c>
      <c r="B67" t="s">
        <v>219</v>
      </c>
      <c r="C67">
        <v>2019</v>
      </c>
    </row>
    <row r="68" spans="1:10" x14ac:dyDescent="0.25">
      <c r="A68" t="s">
        <v>625</v>
      </c>
      <c r="B68" t="s">
        <v>220</v>
      </c>
      <c r="C68">
        <v>2019</v>
      </c>
    </row>
    <row r="69" spans="1:10" x14ac:dyDescent="0.25">
      <c r="A69" t="s">
        <v>625</v>
      </c>
      <c r="B69" t="s">
        <v>222</v>
      </c>
      <c r="C69">
        <v>2019</v>
      </c>
    </row>
    <row r="70" spans="1:10" x14ac:dyDescent="0.25">
      <c r="A70" t="s">
        <v>625</v>
      </c>
      <c r="B70" t="s">
        <v>223</v>
      </c>
      <c r="C70">
        <v>2019</v>
      </c>
    </row>
    <row r="71" spans="1:10" x14ac:dyDescent="0.25">
      <c r="A71" t="s">
        <v>625</v>
      </c>
      <c r="B71" t="s">
        <v>224</v>
      </c>
      <c r="C71">
        <v>2019</v>
      </c>
    </row>
    <row r="72" spans="1:10" x14ac:dyDescent="0.25">
      <c r="A72" t="s">
        <v>117</v>
      </c>
      <c r="B72" t="s">
        <v>200</v>
      </c>
      <c r="C72">
        <v>2019</v>
      </c>
      <c r="D72">
        <v>2526</v>
      </c>
      <c r="E72">
        <v>169.6</v>
      </c>
      <c r="F72">
        <v>5.5</v>
      </c>
      <c r="G72">
        <v>4.9000000000000004</v>
      </c>
      <c r="H72">
        <v>11.2</v>
      </c>
      <c r="I72">
        <f t="shared" ref="I72:I103" si="4">D72*E72</f>
        <v>428409.59999999998</v>
      </c>
      <c r="J72">
        <f t="shared" ref="J72:J103" si="5">D72*H72</f>
        <v>28291.199999999997</v>
      </c>
    </row>
    <row r="73" spans="1:10" x14ac:dyDescent="0.25">
      <c r="A73" t="s">
        <v>117</v>
      </c>
      <c r="B73" t="s">
        <v>208</v>
      </c>
      <c r="C73">
        <v>2019</v>
      </c>
      <c r="D73">
        <v>7329</v>
      </c>
      <c r="E73">
        <v>169.1</v>
      </c>
      <c r="F73">
        <v>5</v>
      </c>
      <c r="G73">
        <v>4.4000000000000004</v>
      </c>
      <c r="H73">
        <v>12.5</v>
      </c>
      <c r="I73">
        <f t="shared" si="4"/>
        <v>1239333.8999999999</v>
      </c>
      <c r="J73">
        <f t="shared" si="5"/>
        <v>91612.5</v>
      </c>
    </row>
    <row r="74" spans="1:10" x14ac:dyDescent="0.25">
      <c r="A74" t="s">
        <v>117</v>
      </c>
      <c r="B74" t="s">
        <v>213</v>
      </c>
      <c r="C74">
        <v>2019</v>
      </c>
      <c r="D74">
        <v>411</v>
      </c>
      <c r="E74">
        <v>158.80000000000001</v>
      </c>
      <c r="F74">
        <v>6.2</v>
      </c>
      <c r="G74">
        <v>5.4</v>
      </c>
      <c r="H74">
        <v>9.5</v>
      </c>
      <c r="I74">
        <f t="shared" si="4"/>
        <v>65266.8</v>
      </c>
      <c r="J74">
        <f t="shared" si="5"/>
        <v>3904.5</v>
      </c>
    </row>
    <row r="75" spans="1:10" x14ac:dyDescent="0.25">
      <c r="A75" t="s">
        <v>117</v>
      </c>
      <c r="B75" t="s">
        <v>216</v>
      </c>
      <c r="C75">
        <v>2019</v>
      </c>
      <c r="D75">
        <v>109</v>
      </c>
      <c r="E75">
        <v>169.1</v>
      </c>
      <c r="F75">
        <v>5.8</v>
      </c>
      <c r="G75">
        <v>6.3</v>
      </c>
      <c r="H75">
        <v>11</v>
      </c>
      <c r="I75">
        <f t="shared" si="4"/>
        <v>18431.899999999998</v>
      </c>
      <c r="J75">
        <f t="shared" si="5"/>
        <v>1199</v>
      </c>
    </row>
    <row r="76" spans="1:10" x14ac:dyDescent="0.25">
      <c r="A76" t="s">
        <v>117</v>
      </c>
      <c r="B76" t="s">
        <v>217</v>
      </c>
      <c r="C76">
        <v>2019</v>
      </c>
      <c r="D76">
        <v>281</v>
      </c>
      <c r="E76">
        <v>134.9</v>
      </c>
      <c r="F76">
        <v>5.5</v>
      </c>
      <c r="G76">
        <v>5.7</v>
      </c>
      <c r="H76">
        <v>12.7</v>
      </c>
      <c r="I76">
        <f t="shared" si="4"/>
        <v>37906.9</v>
      </c>
      <c r="J76">
        <f t="shared" si="5"/>
        <v>3568.7</v>
      </c>
    </row>
    <row r="77" spans="1:10" x14ac:dyDescent="0.25">
      <c r="A77" t="s">
        <v>117</v>
      </c>
      <c r="B77" t="s">
        <v>219</v>
      </c>
      <c r="C77">
        <v>2019</v>
      </c>
      <c r="D77">
        <v>69</v>
      </c>
      <c r="E77">
        <v>163</v>
      </c>
      <c r="F77">
        <v>4.9000000000000004</v>
      </c>
      <c r="G77">
        <v>8</v>
      </c>
      <c r="H77">
        <v>11.1</v>
      </c>
      <c r="I77">
        <f t="shared" si="4"/>
        <v>11247</v>
      </c>
      <c r="J77">
        <f t="shared" si="5"/>
        <v>765.9</v>
      </c>
    </row>
    <row r="78" spans="1:10" x14ac:dyDescent="0.25">
      <c r="A78" t="s">
        <v>117</v>
      </c>
      <c r="B78" t="s">
        <v>220</v>
      </c>
      <c r="C78">
        <v>2019</v>
      </c>
      <c r="D78">
        <v>136</v>
      </c>
      <c r="E78">
        <v>160.6</v>
      </c>
      <c r="F78">
        <v>4.7</v>
      </c>
      <c r="G78">
        <v>5.4</v>
      </c>
      <c r="H78">
        <v>9.5</v>
      </c>
      <c r="I78">
        <f t="shared" si="4"/>
        <v>21841.599999999999</v>
      </c>
      <c r="J78">
        <f t="shared" si="5"/>
        <v>1292</v>
      </c>
    </row>
    <row r="79" spans="1:10" x14ac:dyDescent="0.25">
      <c r="A79" t="s">
        <v>117</v>
      </c>
      <c r="B79" t="s">
        <v>222</v>
      </c>
      <c r="C79">
        <v>2019</v>
      </c>
      <c r="D79">
        <v>76</v>
      </c>
      <c r="E79">
        <v>95.3</v>
      </c>
      <c r="F79">
        <v>4.4000000000000004</v>
      </c>
      <c r="G79">
        <v>3.8</v>
      </c>
      <c r="H79">
        <v>11</v>
      </c>
      <c r="I79">
        <f t="shared" si="4"/>
        <v>7242.8</v>
      </c>
      <c r="J79">
        <f t="shared" si="5"/>
        <v>836</v>
      </c>
    </row>
    <row r="80" spans="1:10" x14ac:dyDescent="0.25">
      <c r="A80" t="s">
        <v>117</v>
      </c>
      <c r="B80" t="s">
        <v>223</v>
      </c>
      <c r="C80">
        <v>2019</v>
      </c>
      <c r="D80">
        <v>36</v>
      </c>
      <c r="E80">
        <v>210</v>
      </c>
      <c r="F80">
        <v>4.3</v>
      </c>
      <c r="G80">
        <v>9.9</v>
      </c>
      <c r="H80">
        <v>8</v>
      </c>
      <c r="I80">
        <f t="shared" si="4"/>
        <v>7560</v>
      </c>
      <c r="J80">
        <f t="shared" si="5"/>
        <v>288</v>
      </c>
    </row>
    <row r="81" spans="1:10" x14ac:dyDescent="0.25">
      <c r="A81" t="s">
        <v>117</v>
      </c>
      <c r="B81" t="s">
        <v>224</v>
      </c>
      <c r="C81">
        <v>2019</v>
      </c>
      <c r="D81">
        <v>2754</v>
      </c>
      <c r="E81">
        <v>157.30000000000001</v>
      </c>
      <c r="F81">
        <v>5.5</v>
      </c>
      <c r="G81">
        <v>5.4</v>
      </c>
      <c r="H81">
        <v>10.8</v>
      </c>
      <c r="I81">
        <f t="shared" si="4"/>
        <v>433204.2</v>
      </c>
      <c r="J81">
        <f t="shared" si="5"/>
        <v>29743.200000000001</v>
      </c>
    </row>
    <row r="82" spans="1:10" x14ac:dyDescent="0.25">
      <c r="A82" t="s">
        <v>199</v>
      </c>
      <c r="B82" t="s">
        <v>217</v>
      </c>
      <c r="C82">
        <v>2020</v>
      </c>
      <c r="D82">
        <v>1392</v>
      </c>
      <c r="E82">
        <v>348.4</v>
      </c>
      <c r="F82">
        <v>9.8000000000000007</v>
      </c>
      <c r="G82">
        <v>6</v>
      </c>
      <c r="H82">
        <v>84.7</v>
      </c>
      <c r="I82">
        <f t="shared" si="4"/>
        <v>484972.79999999999</v>
      </c>
      <c r="J82">
        <f t="shared" si="5"/>
        <v>117902.40000000001</v>
      </c>
    </row>
    <row r="83" spans="1:10" x14ac:dyDescent="0.25">
      <c r="A83" t="s">
        <v>199</v>
      </c>
      <c r="B83" t="s">
        <v>223</v>
      </c>
      <c r="C83">
        <v>2020</v>
      </c>
      <c r="D83">
        <v>127</v>
      </c>
      <c r="E83">
        <v>405.9</v>
      </c>
      <c r="F83">
        <v>6.7</v>
      </c>
      <c r="G83">
        <v>7.8</v>
      </c>
      <c r="H83">
        <v>107.8</v>
      </c>
      <c r="I83">
        <f t="shared" si="4"/>
        <v>51549.299999999996</v>
      </c>
      <c r="J83">
        <f t="shared" si="5"/>
        <v>13690.6</v>
      </c>
    </row>
    <row r="84" spans="1:10" x14ac:dyDescent="0.25">
      <c r="A84" t="s">
        <v>199</v>
      </c>
      <c r="B84" t="s">
        <v>216</v>
      </c>
      <c r="C84">
        <v>2020</v>
      </c>
      <c r="D84">
        <v>3256</v>
      </c>
      <c r="E84">
        <v>394.6</v>
      </c>
      <c r="F84">
        <v>8.1</v>
      </c>
      <c r="G84">
        <v>7</v>
      </c>
      <c r="H84">
        <v>95.8</v>
      </c>
      <c r="I84">
        <f t="shared" si="4"/>
        <v>1284817.6000000001</v>
      </c>
      <c r="J84">
        <f t="shared" si="5"/>
        <v>311924.8</v>
      </c>
    </row>
    <row r="85" spans="1:10" x14ac:dyDescent="0.25">
      <c r="A85" t="s">
        <v>199</v>
      </c>
      <c r="B85" t="s">
        <v>213</v>
      </c>
      <c r="C85">
        <v>2020</v>
      </c>
      <c r="D85">
        <v>4659</v>
      </c>
      <c r="E85">
        <v>352.5</v>
      </c>
      <c r="F85">
        <v>9.9</v>
      </c>
      <c r="G85">
        <v>5.8</v>
      </c>
      <c r="H85">
        <v>89.6</v>
      </c>
      <c r="I85">
        <f t="shared" si="4"/>
        <v>1642297.5</v>
      </c>
      <c r="J85">
        <f t="shared" si="5"/>
        <v>417446.39999999997</v>
      </c>
    </row>
    <row r="86" spans="1:10" x14ac:dyDescent="0.25">
      <c r="A86" t="s">
        <v>199</v>
      </c>
      <c r="B86" t="s">
        <v>222</v>
      </c>
      <c r="C86">
        <v>2020</v>
      </c>
      <c r="D86">
        <v>440</v>
      </c>
      <c r="E86">
        <v>229.2</v>
      </c>
      <c r="F86">
        <v>7.6</v>
      </c>
      <c r="G86">
        <v>4.5</v>
      </c>
      <c r="H86">
        <v>107.5</v>
      </c>
      <c r="I86">
        <f t="shared" si="4"/>
        <v>100848</v>
      </c>
      <c r="J86">
        <f t="shared" si="5"/>
        <v>47300</v>
      </c>
    </row>
    <row r="87" spans="1:10" x14ac:dyDescent="0.25">
      <c r="A87" t="s">
        <v>199</v>
      </c>
      <c r="B87" t="s">
        <v>224</v>
      </c>
      <c r="C87">
        <v>2020</v>
      </c>
      <c r="D87">
        <v>21904</v>
      </c>
      <c r="E87">
        <v>343.6</v>
      </c>
      <c r="F87">
        <v>8.1999999999999993</v>
      </c>
      <c r="G87">
        <v>5.6</v>
      </c>
      <c r="H87">
        <v>86.7</v>
      </c>
      <c r="I87">
        <f t="shared" si="4"/>
        <v>7526214.4000000004</v>
      </c>
      <c r="J87">
        <f t="shared" si="5"/>
        <v>1899076.8</v>
      </c>
    </row>
    <row r="88" spans="1:10" x14ac:dyDescent="0.25">
      <c r="A88" t="s">
        <v>199</v>
      </c>
      <c r="B88" t="s">
        <v>219</v>
      </c>
      <c r="C88">
        <v>2020</v>
      </c>
      <c r="D88">
        <v>691</v>
      </c>
      <c r="E88">
        <v>373.8</v>
      </c>
      <c r="F88">
        <v>7.8</v>
      </c>
      <c r="G88">
        <v>7.9</v>
      </c>
      <c r="H88">
        <v>98.2</v>
      </c>
      <c r="I88">
        <f t="shared" si="4"/>
        <v>258295.80000000002</v>
      </c>
      <c r="J88">
        <f t="shared" si="5"/>
        <v>67856.2</v>
      </c>
    </row>
    <row r="89" spans="1:10" x14ac:dyDescent="0.25">
      <c r="A89" t="s">
        <v>199</v>
      </c>
      <c r="B89" t="s">
        <v>220</v>
      </c>
      <c r="C89">
        <v>2020</v>
      </c>
      <c r="D89">
        <v>2425</v>
      </c>
      <c r="E89">
        <v>362.7</v>
      </c>
      <c r="F89">
        <v>7.5</v>
      </c>
      <c r="G89">
        <v>6.3</v>
      </c>
      <c r="H89">
        <v>89.3</v>
      </c>
      <c r="I89">
        <f t="shared" si="4"/>
        <v>879547.5</v>
      </c>
      <c r="J89">
        <f t="shared" si="5"/>
        <v>216552.5</v>
      </c>
    </row>
    <row r="90" spans="1:10" x14ac:dyDescent="0.25">
      <c r="A90" t="s">
        <v>199</v>
      </c>
      <c r="B90" t="s">
        <v>208</v>
      </c>
      <c r="C90">
        <v>2020</v>
      </c>
      <c r="D90">
        <v>39953</v>
      </c>
      <c r="E90">
        <v>323</v>
      </c>
      <c r="F90">
        <v>7</v>
      </c>
      <c r="G90">
        <v>3.3</v>
      </c>
      <c r="H90">
        <v>68.8</v>
      </c>
      <c r="I90">
        <f t="shared" si="4"/>
        <v>12904819</v>
      </c>
      <c r="J90">
        <f t="shared" si="5"/>
        <v>2748766.4</v>
      </c>
    </row>
    <row r="91" spans="1:10" x14ac:dyDescent="0.25">
      <c r="A91" t="s">
        <v>199</v>
      </c>
      <c r="B91" t="s">
        <v>200</v>
      </c>
      <c r="C91">
        <v>2020</v>
      </c>
      <c r="D91">
        <v>23657</v>
      </c>
      <c r="E91">
        <v>312.3</v>
      </c>
      <c r="F91">
        <v>7.4</v>
      </c>
      <c r="G91">
        <v>4</v>
      </c>
      <c r="H91">
        <v>69.7</v>
      </c>
      <c r="I91">
        <f t="shared" si="4"/>
        <v>7388081.1000000006</v>
      </c>
      <c r="J91">
        <f t="shared" si="5"/>
        <v>1648892.9000000001</v>
      </c>
    </row>
    <row r="92" spans="1:10" x14ac:dyDescent="0.25">
      <c r="A92" t="s">
        <v>209</v>
      </c>
      <c r="B92" t="s">
        <v>217</v>
      </c>
      <c r="C92">
        <v>2020</v>
      </c>
      <c r="D92">
        <v>2197</v>
      </c>
      <c r="E92">
        <v>304.2</v>
      </c>
      <c r="F92">
        <v>9.4</v>
      </c>
      <c r="G92">
        <v>6.8</v>
      </c>
      <c r="H92">
        <v>26</v>
      </c>
      <c r="I92">
        <f t="shared" si="4"/>
        <v>668327.4</v>
      </c>
      <c r="J92">
        <f t="shared" si="5"/>
        <v>57122</v>
      </c>
    </row>
    <row r="93" spans="1:10" x14ac:dyDescent="0.25">
      <c r="A93" t="s">
        <v>209</v>
      </c>
      <c r="B93" t="s">
        <v>223</v>
      </c>
      <c r="C93">
        <v>2020</v>
      </c>
      <c r="D93">
        <v>200</v>
      </c>
      <c r="E93">
        <v>315.39999999999998</v>
      </c>
      <c r="F93">
        <v>6.5</v>
      </c>
      <c r="G93">
        <v>8.5</v>
      </c>
      <c r="H93">
        <v>22.5</v>
      </c>
      <c r="I93">
        <f t="shared" si="4"/>
        <v>63079.999999999993</v>
      </c>
      <c r="J93">
        <f t="shared" si="5"/>
        <v>4500</v>
      </c>
    </row>
    <row r="94" spans="1:10" x14ac:dyDescent="0.25">
      <c r="A94" t="s">
        <v>209</v>
      </c>
      <c r="B94" t="s">
        <v>216</v>
      </c>
      <c r="C94">
        <v>2020</v>
      </c>
      <c r="D94">
        <v>3984</v>
      </c>
      <c r="E94">
        <v>324.2</v>
      </c>
      <c r="F94">
        <v>8</v>
      </c>
      <c r="G94">
        <v>7.6</v>
      </c>
      <c r="H94">
        <v>24.3</v>
      </c>
      <c r="I94">
        <f t="shared" si="4"/>
        <v>1291612.8</v>
      </c>
      <c r="J94">
        <f t="shared" si="5"/>
        <v>96811.199999999997</v>
      </c>
    </row>
    <row r="95" spans="1:10" x14ac:dyDescent="0.25">
      <c r="A95" t="s">
        <v>209</v>
      </c>
      <c r="B95" t="s">
        <v>213</v>
      </c>
      <c r="C95">
        <v>2020</v>
      </c>
      <c r="D95">
        <v>5948</v>
      </c>
      <c r="E95">
        <v>296.5</v>
      </c>
      <c r="F95">
        <v>9.4</v>
      </c>
      <c r="G95">
        <v>6.5</v>
      </c>
      <c r="H95">
        <v>26.2</v>
      </c>
      <c r="I95">
        <f t="shared" si="4"/>
        <v>1763582</v>
      </c>
      <c r="J95">
        <f t="shared" si="5"/>
        <v>155837.6</v>
      </c>
    </row>
    <row r="96" spans="1:10" x14ac:dyDescent="0.25">
      <c r="A96" t="s">
        <v>209</v>
      </c>
      <c r="B96" t="s">
        <v>222</v>
      </c>
      <c r="C96">
        <v>2020</v>
      </c>
      <c r="D96">
        <v>170</v>
      </c>
      <c r="E96">
        <v>186.7</v>
      </c>
      <c r="F96">
        <v>7.1</v>
      </c>
      <c r="G96">
        <v>4.8</v>
      </c>
      <c r="H96">
        <v>37.4</v>
      </c>
      <c r="I96">
        <f t="shared" si="4"/>
        <v>31738.999999999996</v>
      </c>
      <c r="J96">
        <f t="shared" si="5"/>
        <v>6358</v>
      </c>
    </row>
    <row r="97" spans="1:10" x14ac:dyDescent="0.25">
      <c r="A97" t="s">
        <v>209</v>
      </c>
      <c r="B97" t="s">
        <v>224</v>
      </c>
      <c r="C97">
        <v>2020</v>
      </c>
      <c r="D97">
        <v>33203</v>
      </c>
      <c r="E97">
        <v>309.5</v>
      </c>
      <c r="F97">
        <v>8.6999999999999993</v>
      </c>
      <c r="G97">
        <v>6.9</v>
      </c>
      <c r="H97">
        <v>25.6</v>
      </c>
      <c r="I97">
        <f t="shared" si="4"/>
        <v>10276328.5</v>
      </c>
      <c r="J97">
        <f t="shared" si="5"/>
        <v>849996.80000000005</v>
      </c>
    </row>
    <row r="98" spans="1:10" x14ac:dyDescent="0.25">
      <c r="A98" t="s">
        <v>209</v>
      </c>
      <c r="B98" t="s">
        <v>219</v>
      </c>
      <c r="C98">
        <v>2020</v>
      </c>
      <c r="D98">
        <v>1268</v>
      </c>
      <c r="E98">
        <v>314.3</v>
      </c>
      <c r="F98">
        <v>8</v>
      </c>
      <c r="G98">
        <v>8.3000000000000007</v>
      </c>
      <c r="H98">
        <v>24.8</v>
      </c>
      <c r="I98">
        <f t="shared" si="4"/>
        <v>398532.4</v>
      </c>
      <c r="J98">
        <f t="shared" si="5"/>
        <v>31446.400000000001</v>
      </c>
    </row>
    <row r="99" spans="1:10" x14ac:dyDescent="0.25">
      <c r="A99" t="s">
        <v>209</v>
      </c>
      <c r="B99" t="s">
        <v>220</v>
      </c>
      <c r="C99">
        <v>2020</v>
      </c>
      <c r="D99">
        <v>3601</v>
      </c>
      <c r="E99">
        <v>312.5</v>
      </c>
      <c r="F99">
        <v>8</v>
      </c>
      <c r="G99">
        <v>7</v>
      </c>
      <c r="H99">
        <v>24.8</v>
      </c>
      <c r="I99">
        <f t="shared" si="4"/>
        <v>1125312.5</v>
      </c>
      <c r="J99">
        <f t="shared" si="5"/>
        <v>89304.8</v>
      </c>
    </row>
    <row r="100" spans="1:10" x14ac:dyDescent="0.25">
      <c r="A100" t="s">
        <v>209</v>
      </c>
      <c r="B100" t="s">
        <v>208</v>
      </c>
      <c r="C100">
        <v>2020</v>
      </c>
      <c r="D100">
        <v>8250</v>
      </c>
      <c r="E100">
        <v>300.2</v>
      </c>
      <c r="F100">
        <v>8</v>
      </c>
      <c r="G100">
        <v>4.4000000000000004</v>
      </c>
      <c r="H100">
        <v>28.3</v>
      </c>
      <c r="I100">
        <f t="shared" si="4"/>
        <v>2476650</v>
      </c>
      <c r="J100">
        <f t="shared" si="5"/>
        <v>233475</v>
      </c>
    </row>
    <row r="101" spans="1:10" x14ac:dyDescent="0.25">
      <c r="A101" t="s">
        <v>209</v>
      </c>
      <c r="B101" t="s">
        <v>200</v>
      </c>
      <c r="C101">
        <v>2020</v>
      </c>
      <c r="D101">
        <v>5513</v>
      </c>
      <c r="E101">
        <v>295.2</v>
      </c>
      <c r="F101">
        <v>8.1999999999999993</v>
      </c>
      <c r="G101">
        <v>5.0999999999999996</v>
      </c>
      <c r="H101">
        <v>28.8</v>
      </c>
      <c r="I101">
        <f t="shared" si="4"/>
        <v>1627437.5999999999</v>
      </c>
      <c r="J101">
        <f t="shared" si="5"/>
        <v>158774.39999999999</v>
      </c>
    </row>
    <row r="102" spans="1:10" x14ac:dyDescent="0.25">
      <c r="A102" t="s">
        <v>207</v>
      </c>
      <c r="B102" t="s">
        <v>217</v>
      </c>
      <c r="C102">
        <v>2020</v>
      </c>
      <c r="D102">
        <v>524</v>
      </c>
      <c r="E102">
        <v>315.8</v>
      </c>
      <c r="F102">
        <v>9</v>
      </c>
      <c r="G102">
        <v>6.1</v>
      </c>
      <c r="H102">
        <v>35.700000000000003</v>
      </c>
      <c r="I102">
        <f t="shared" si="4"/>
        <v>165479.20000000001</v>
      </c>
      <c r="J102">
        <f t="shared" si="5"/>
        <v>18706.800000000003</v>
      </c>
    </row>
    <row r="103" spans="1:10" x14ac:dyDescent="0.25">
      <c r="A103" t="s">
        <v>207</v>
      </c>
      <c r="B103" t="s">
        <v>223</v>
      </c>
      <c r="C103">
        <v>2020</v>
      </c>
      <c r="D103">
        <v>34</v>
      </c>
      <c r="E103">
        <v>354.2</v>
      </c>
      <c r="F103">
        <v>5.8</v>
      </c>
      <c r="G103">
        <v>7.6</v>
      </c>
      <c r="H103">
        <v>40.9</v>
      </c>
      <c r="I103">
        <f t="shared" si="4"/>
        <v>12042.8</v>
      </c>
      <c r="J103">
        <f t="shared" si="5"/>
        <v>1390.6</v>
      </c>
    </row>
    <row r="104" spans="1:10" x14ac:dyDescent="0.25">
      <c r="A104" t="s">
        <v>207</v>
      </c>
      <c r="B104" t="s">
        <v>216</v>
      </c>
      <c r="C104">
        <v>2020</v>
      </c>
      <c r="D104">
        <v>746</v>
      </c>
      <c r="E104">
        <v>335.3</v>
      </c>
      <c r="F104">
        <v>7.3</v>
      </c>
      <c r="G104">
        <v>6.7</v>
      </c>
      <c r="H104">
        <v>35.799999999999997</v>
      </c>
      <c r="I104">
        <f t="shared" ref="I104:I135" si="6">D104*E104</f>
        <v>250133.80000000002</v>
      </c>
      <c r="J104">
        <f t="shared" ref="J104:J135" si="7">D104*H104</f>
        <v>26706.799999999999</v>
      </c>
    </row>
    <row r="105" spans="1:10" x14ac:dyDescent="0.25">
      <c r="A105" t="s">
        <v>207</v>
      </c>
      <c r="B105" t="s">
        <v>213</v>
      </c>
      <c r="C105">
        <v>2020</v>
      </c>
      <c r="D105">
        <v>1544</v>
      </c>
      <c r="E105">
        <v>310</v>
      </c>
      <c r="F105">
        <v>8.9</v>
      </c>
      <c r="G105">
        <v>5.8</v>
      </c>
      <c r="H105">
        <v>37.6</v>
      </c>
      <c r="I105">
        <f t="shared" si="6"/>
        <v>478640</v>
      </c>
      <c r="J105">
        <f t="shared" si="7"/>
        <v>58054.400000000001</v>
      </c>
    </row>
    <row r="106" spans="1:10" x14ac:dyDescent="0.25">
      <c r="A106" t="s">
        <v>207</v>
      </c>
      <c r="B106" t="s">
        <v>222</v>
      </c>
      <c r="C106">
        <v>2020</v>
      </c>
      <c r="D106">
        <v>33</v>
      </c>
      <c r="E106">
        <v>207.7</v>
      </c>
      <c r="F106">
        <v>6.6</v>
      </c>
      <c r="G106">
        <v>4.0999999999999996</v>
      </c>
      <c r="H106">
        <v>48.3</v>
      </c>
      <c r="I106">
        <f t="shared" si="6"/>
        <v>6854.0999999999995</v>
      </c>
      <c r="J106">
        <f t="shared" si="7"/>
        <v>1593.8999999999999</v>
      </c>
    </row>
    <row r="107" spans="1:10" x14ac:dyDescent="0.25">
      <c r="A107" t="s">
        <v>207</v>
      </c>
      <c r="B107" t="s">
        <v>224</v>
      </c>
      <c r="C107">
        <v>2020</v>
      </c>
      <c r="D107">
        <v>8262</v>
      </c>
      <c r="E107">
        <v>307.2</v>
      </c>
      <c r="F107">
        <v>7.7</v>
      </c>
      <c r="G107">
        <v>5.6</v>
      </c>
      <c r="H107">
        <v>36.200000000000003</v>
      </c>
      <c r="I107">
        <f t="shared" si="6"/>
        <v>2538086.3999999999</v>
      </c>
      <c r="J107">
        <f t="shared" si="7"/>
        <v>299084.40000000002</v>
      </c>
    </row>
    <row r="108" spans="1:10" x14ac:dyDescent="0.25">
      <c r="A108" t="s">
        <v>207</v>
      </c>
      <c r="B108" t="s">
        <v>219</v>
      </c>
      <c r="C108">
        <v>2020</v>
      </c>
      <c r="D108">
        <v>216</v>
      </c>
      <c r="E108">
        <v>317.3</v>
      </c>
      <c r="F108">
        <v>7.2</v>
      </c>
      <c r="G108">
        <v>7</v>
      </c>
      <c r="H108">
        <v>36</v>
      </c>
      <c r="I108">
        <f t="shared" si="6"/>
        <v>68536.800000000003</v>
      </c>
      <c r="J108">
        <f t="shared" si="7"/>
        <v>7776</v>
      </c>
    </row>
    <row r="109" spans="1:10" x14ac:dyDescent="0.25">
      <c r="A109" t="s">
        <v>207</v>
      </c>
      <c r="B109" t="s">
        <v>220</v>
      </c>
      <c r="C109">
        <v>2020</v>
      </c>
      <c r="D109">
        <v>825</v>
      </c>
      <c r="E109">
        <v>315.7</v>
      </c>
      <c r="F109">
        <v>7</v>
      </c>
      <c r="G109">
        <v>6</v>
      </c>
      <c r="H109">
        <v>35.9</v>
      </c>
      <c r="I109">
        <f t="shared" si="6"/>
        <v>260452.5</v>
      </c>
      <c r="J109">
        <f t="shared" si="7"/>
        <v>29617.5</v>
      </c>
    </row>
    <row r="110" spans="1:10" x14ac:dyDescent="0.25">
      <c r="A110" t="s">
        <v>207</v>
      </c>
      <c r="B110" t="s">
        <v>208</v>
      </c>
      <c r="C110">
        <v>2020</v>
      </c>
      <c r="D110">
        <v>14125</v>
      </c>
      <c r="E110">
        <v>294.3</v>
      </c>
      <c r="F110">
        <v>6.9</v>
      </c>
      <c r="G110">
        <v>3.4</v>
      </c>
      <c r="H110">
        <v>38.700000000000003</v>
      </c>
      <c r="I110">
        <f t="shared" si="6"/>
        <v>4156987.5</v>
      </c>
      <c r="J110">
        <f t="shared" si="7"/>
        <v>546637.5</v>
      </c>
    </row>
    <row r="111" spans="1:10" x14ac:dyDescent="0.25">
      <c r="A111" t="s">
        <v>207</v>
      </c>
      <c r="B111" t="s">
        <v>200</v>
      </c>
      <c r="C111">
        <v>2020</v>
      </c>
      <c r="D111">
        <v>7505</v>
      </c>
      <c r="E111">
        <v>281.39999999999998</v>
      </c>
      <c r="F111">
        <v>7.1</v>
      </c>
      <c r="G111">
        <v>3.9</v>
      </c>
      <c r="H111">
        <v>38.700000000000003</v>
      </c>
      <c r="I111">
        <f t="shared" si="6"/>
        <v>2111907</v>
      </c>
      <c r="J111">
        <f t="shared" si="7"/>
        <v>290443.5</v>
      </c>
    </row>
    <row r="112" spans="1:10" x14ac:dyDescent="0.25">
      <c r="A112" t="s">
        <v>210</v>
      </c>
      <c r="B112" t="s">
        <v>217</v>
      </c>
      <c r="C112">
        <v>2020</v>
      </c>
      <c r="D112">
        <v>789</v>
      </c>
      <c r="E112">
        <v>333.3</v>
      </c>
      <c r="F112">
        <v>8.4</v>
      </c>
      <c r="G112">
        <v>6.5</v>
      </c>
      <c r="H112">
        <v>27.8</v>
      </c>
      <c r="I112">
        <f t="shared" si="6"/>
        <v>262973.7</v>
      </c>
      <c r="J112">
        <f t="shared" si="7"/>
        <v>21934.2</v>
      </c>
    </row>
    <row r="113" spans="1:10" x14ac:dyDescent="0.25">
      <c r="A113" t="s">
        <v>210</v>
      </c>
      <c r="B113" t="s">
        <v>223</v>
      </c>
      <c r="C113">
        <v>2020</v>
      </c>
      <c r="D113">
        <v>21</v>
      </c>
      <c r="E113">
        <v>329.6</v>
      </c>
      <c r="F113">
        <v>6.8</v>
      </c>
      <c r="G113">
        <v>5.7</v>
      </c>
      <c r="H113">
        <v>27.5</v>
      </c>
      <c r="I113">
        <f t="shared" si="6"/>
        <v>6921.6</v>
      </c>
      <c r="J113">
        <f t="shared" si="7"/>
        <v>577.5</v>
      </c>
    </row>
    <row r="114" spans="1:10" x14ac:dyDescent="0.25">
      <c r="A114" t="s">
        <v>210</v>
      </c>
      <c r="B114" t="s">
        <v>216</v>
      </c>
      <c r="C114">
        <v>2020</v>
      </c>
      <c r="D114">
        <v>224</v>
      </c>
      <c r="E114">
        <v>354.8</v>
      </c>
      <c r="F114">
        <v>6.6</v>
      </c>
      <c r="G114">
        <v>7</v>
      </c>
      <c r="H114">
        <v>24.9</v>
      </c>
      <c r="I114">
        <f t="shared" si="6"/>
        <v>79475.199999999997</v>
      </c>
      <c r="J114">
        <f t="shared" si="7"/>
        <v>5577.5999999999995</v>
      </c>
    </row>
    <row r="115" spans="1:10" x14ac:dyDescent="0.25">
      <c r="A115" t="s">
        <v>210</v>
      </c>
      <c r="B115" t="s">
        <v>213</v>
      </c>
      <c r="C115">
        <v>2020</v>
      </c>
      <c r="D115">
        <v>1856</v>
      </c>
      <c r="E115">
        <v>326.3</v>
      </c>
      <c r="F115">
        <v>8.1999999999999993</v>
      </c>
      <c r="G115">
        <v>6.1</v>
      </c>
      <c r="H115">
        <v>26.7</v>
      </c>
      <c r="I115">
        <f t="shared" si="6"/>
        <v>605612.80000000005</v>
      </c>
      <c r="J115">
        <f t="shared" si="7"/>
        <v>49555.199999999997</v>
      </c>
    </row>
    <row r="116" spans="1:10" x14ac:dyDescent="0.25">
      <c r="A116" t="s">
        <v>210</v>
      </c>
      <c r="B116" t="s">
        <v>222</v>
      </c>
      <c r="C116">
        <v>2020</v>
      </c>
      <c r="D116">
        <v>103</v>
      </c>
      <c r="E116">
        <v>231.4</v>
      </c>
      <c r="F116">
        <v>6.9</v>
      </c>
      <c r="G116">
        <v>5</v>
      </c>
      <c r="H116">
        <v>34.700000000000003</v>
      </c>
      <c r="I116">
        <f t="shared" si="6"/>
        <v>23834.2</v>
      </c>
      <c r="J116">
        <f t="shared" si="7"/>
        <v>3574.1000000000004</v>
      </c>
    </row>
    <row r="117" spans="1:10" x14ac:dyDescent="0.25">
      <c r="A117" t="s">
        <v>210</v>
      </c>
      <c r="B117" t="s">
        <v>224</v>
      </c>
      <c r="C117">
        <v>2020</v>
      </c>
      <c r="D117">
        <v>8794</v>
      </c>
      <c r="E117">
        <v>335.8</v>
      </c>
      <c r="F117">
        <v>7.7</v>
      </c>
      <c r="G117">
        <v>6</v>
      </c>
      <c r="H117">
        <v>27.1</v>
      </c>
      <c r="I117">
        <f t="shared" si="6"/>
        <v>2953025.2</v>
      </c>
      <c r="J117">
        <f t="shared" si="7"/>
        <v>238317.40000000002</v>
      </c>
    </row>
    <row r="118" spans="1:10" x14ac:dyDescent="0.25">
      <c r="A118" t="s">
        <v>210</v>
      </c>
      <c r="B118" t="s">
        <v>219</v>
      </c>
      <c r="C118">
        <v>2020</v>
      </c>
      <c r="D118">
        <v>186</v>
      </c>
      <c r="E118">
        <v>348.7</v>
      </c>
      <c r="F118">
        <v>7.8</v>
      </c>
      <c r="G118">
        <v>7</v>
      </c>
      <c r="H118">
        <v>25.9</v>
      </c>
      <c r="I118">
        <f t="shared" si="6"/>
        <v>64858.2</v>
      </c>
      <c r="J118">
        <f t="shared" si="7"/>
        <v>4817.3999999999996</v>
      </c>
    </row>
    <row r="119" spans="1:10" x14ac:dyDescent="0.25">
      <c r="A119" t="s">
        <v>210</v>
      </c>
      <c r="B119" t="s">
        <v>220</v>
      </c>
      <c r="C119">
        <v>2020</v>
      </c>
      <c r="D119">
        <v>411</v>
      </c>
      <c r="E119">
        <v>341.8</v>
      </c>
      <c r="F119">
        <v>7.1</v>
      </c>
      <c r="G119">
        <v>6.4</v>
      </c>
      <c r="H119">
        <v>25.2</v>
      </c>
      <c r="I119">
        <f t="shared" si="6"/>
        <v>140479.80000000002</v>
      </c>
      <c r="J119">
        <f t="shared" si="7"/>
        <v>10357.199999999999</v>
      </c>
    </row>
    <row r="120" spans="1:10" x14ac:dyDescent="0.25">
      <c r="A120" t="s">
        <v>210</v>
      </c>
      <c r="B120" t="s">
        <v>208</v>
      </c>
      <c r="C120">
        <v>2020</v>
      </c>
      <c r="D120">
        <v>11063</v>
      </c>
      <c r="E120">
        <v>329.6</v>
      </c>
      <c r="F120">
        <v>7.2</v>
      </c>
      <c r="G120">
        <v>4.0999999999999996</v>
      </c>
      <c r="H120">
        <v>27.7</v>
      </c>
      <c r="I120">
        <f t="shared" si="6"/>
        <v>3646364.8000000003</v>
      </c>
      <c r="J120">
        <f t="shared" si="7"/>
        <v>306445.09999999998</v>
      </c>
    </row>
    <row r="121" spans="1:10" x14ac:dyDescent="0.25">
      <c r="A121" t="s">
        <v>210</v>
      </c>
      <c r="B121" t="s">
        <v>200</v>
      </c>
      <c r="C121">
        <v>2020</v>
      </c>
      <c r="D121">
        <v>8447</v>
      </c>
      <c r="E121">
        <v>327</v>
      </c>
      <c r="F121">
        <v>7.3</v>
      </c>
      <c r="G121">
        <v>4.5999999999999996</v>
      </c>
      <c r="H121">
        <v>28.8</v>
      </c>
      <c r="I121">
        <f t="shared" si="6"/>
        <v>2762169</v>
      </c>
      <c r="J121">
        <f t="shared" si="7"/>
        <v>243273.60000000001</v>
      </c>
    </row>
    <row r="122" spans="1:10" x14ac:dyDescent="0.25">
      <c r="A122" t="s">
        <v>212</v>
      </c>
      <c r="B122" t="s">
        <v>217</v>
      </c>
      <c r="C122">
        <v>2020</v>
      </c>
      <c r="D122">
        <v>3427</v>
      </c>
      <c r="E122">
        <v>347.1</v>
      </c>
      <c r="F122">
        <v>7.8</v>
      </c>
      <c r="G122">
        <v>7.7</v>
      </c>
      <c r="H122">
        <v>17.8</v>
      </c>
      <c r="I122">
        <f t="shared" si="6"/>
        <v>1189511.7000000002</v>
      </c>
      <c r="J122">
        <f t="shared" si="7"/>
        <v>61000.600000000006</v>
      </c>
    </row>
    <row r="123" spans="1:10" x14ac:dyDescent="0.25">
      <c r="A123" t="s">
        <v>212</v>
      </c>
      <c r="B123" t="s">
        <v>223</v>
      </c>
      <c r="C123">
        <v>2020</v>
      </c>
      <c r="D123">
        <v>424</v>
      </c>
      <c r="E123">
        <v>369.6</v>
      </c>
      <c r="F123">
        <v>5</v>
      </c>
      <c r="G123">
        <v>10.1</v>
      </c>
      <c r="H123">
        <v>15.1</v>
      </c>
      <c r="I123">
        <f t="shared" si="6"/>
        <v>156710.40000000002</v>
      </c>
      <c r="J123">
        <f t="shared" si="7"/>
        <v>6402.4</v>
      </c>
    </row>
    <row r="124" spans="1:10" x14ac:dyDescent="0.25">
      <c r="A124" t="s">
        <v>212</v>
      </c>
      <c r="B124" t="s">
        <v>216</v>
      </c>
      <c r="C124">
        <v>2020</v>
      </c>
      <c r="D124">
        <v>6636</v>
      </c>
      <c r="E124">
        <v>369.9</v>
      </c>
      <c r="F124">
        <v>6.3</v>
      </c>
      <c r="G124">
        <v>8.9</v>
      </c>
      <c r="H124">
        <v>16.5</v>
      </c>
      <c r="I124">
        <f t="shared" si="6"/>
        <v>2454656.4</v>
      </c>
      <c r="J124">
        <f t="shared" si="7"/>
        <v>109494</v>
      </c>
    </row>
    <row r="125" spans="1:10" x14ac:dyDescent="0.25">
      <c r="A125" t="s">
        <v>212</v>
      </c>
      <c r="B125" t="s">
        <v>213</v>
      </c>
      <c r="C125">
        <v>2020</v>
      </c>
      <c r="D125">
        <v>9839</v>
      </c>
      <c r="E125">
        <v>342.8</v>
      </c>
      <c r="F125">
        <v>7.7</v>
      </c>
      <c r="G125">
        <v>7.4</v>
      </c>
      <c r="H125">
        <v>18.100000000000001</v>
      </c>
      <c r="I125">
        <f t="shared" si="6"/>
        <v>3372809.2</v>
      </c>
      <c r="J125">
        <f t="shared" si="7"/>
        <v>178085.90000000002</v>
      </c>
    </row>
    <row r="126" spans="1:10" x14ac:dyDescent="0.25">
      <c r="A126" t="s">
        <v>212</v>
      </c>
      <c r="B126" t="s">
        <v>222</v>
      </c>
      <c r="C126">
        <v>2020</v>
      </c>
      <c r="D126">
        <v>181</v>
      </c>
      <c r="E126">
        <v>204.5</v>
      </c>
      <c r="F126">
        <v>4.8</v>
      </c>
      <c r="G126">
        <v>5</v>
      </c>
      <c r="H126">
        <v>25</v>
      </c>
      <c r="I126">
        <f t="shared" si="6"/>
        <v>37014.5</v>
      </c>
      <c r="J126">
        <f t="shared" si="7"/>
        <v>4525</v>
      </c>
    </row>
    <row r="127" spans="1:10" x14ac:dyDescent="0.25">
      <c r="A127" t="s">
        <v>212</v>
      </c>
      <c r="B127" t="s">
        <v>224</v>
      </c>
      <c r="C127">
        <v>2020</v>
      </c>
      <c r="D127">
        <v>52859</v>
      </c>
      <c r="E127">
        <v>355.5</v>
      </c>
      <c r="F127">
        <v>6.9</v>
      </c>
      <c r="G127">
        <v>7.9</v>
      </c>
      <c r="H127">
        <v>17.399999999999999</v>
      </c>
      <c r="I127">
        <f t="shared" si="6"/>
        <v>18791374.5</v>
      </c>
      <c r="J127">
        <f t="shared" si="7"/>
        <v>919746.6</v>
      </c>
    </row>
    <row r="128" spans="1:10" x14ac:dyDescent="0.25">
      <c r="A128" t="s">
        <v>212</v>
      </c>
      <c r="B128" t="s">
        <v>219</v>
      </c>
      <c r="C128">
        <v>2020</v>
      </c>
      <c r="D128">
        <v>1786</v>
      </c>
      <c r="E128">
        <v>365.1</v>
      </c>
      <c r="F128">
        <v>6.2</v>
      </c>
      <c r="G128">
        <v>9.6999999999999993</v>
      </c>
      <c r="H128">
        <v>17</v>
      </c>
      <c r="I128">
        <f t="shared" si="6"/>
        <v>652068.60000000009</v>
      </c>
      <c r="J128">
        <f t="shared" si="7"/>
        <v>30362</v>
      </c>
    </row>
    <row r="129" spans="1:10" x14ac:dyDescent="0.25">
      <c r="A129" t="s">
        <v>212</v>
      </c>
      <c r="B129" t="s">
        <v>220</v>
      </c>
      <c r="C129">
        <v>2020</v>
      </c>
      <c r="D129">
        <v>6495</v>
      </c>
      <c r="E129">
        <v>365.8</v>
      </c>
      <c r="F129">
        <v>6.6</v>
      </c>
      <c r="G129">
        <v>8.4</v>
      </c>
      <c r="H129">
        <v>16.5</v>
      </c>
      <c r="I129">
        <f t="shared" si="6"/>
        <v>2375871</v>
      </c>
      <c r="J129">
        <f t="shared" si="7"/>
        <v>107167.5</v>
      </c>
    </row>
    <row r="130" spans="1:10" x14ac:dyDescent="0.25">
      <c r="A130" t="s">
        <v>212</v>
      </c>
      <c r="B130" t="s">
        <v>208</v>
      </c>
      <c r="C130">
        <v>2020</v>
      </c>
      <c r="D130">
        <v>47035</v>
      </c>
      <c r="E130">
        <v>323</v>
      </c>
      <c r="F130">
        <v>6.3</v>
      </c>
      <c r="G130">
        <v>4.4000000000000004</v>
      </c>
      <c r="H130">
        <v>18.5</v>
      </c>
      <c r="I130">
        <f t="shared" si="6"/>
        <v>15192305</v>
      </c>
      <c r="J130">
        <f t="shared" si="7"/>
        <v>870147.5</v>
      </c>
    </row>
    <row r="131" spans="1:10" x14ac:dyDescent="0.25">
      <c r="A131" t="s">
        <v>212</v>
      </c>
      <c r="B131" t="s">
        <v>200</v>
      </c>
      <c r="C131">
        <v>2020</v>
      </c>
      <c r="D131">
        <v>20792</v>
      </c>
      <c r="E131">
        <v>325.8</v>
      </c>
      <c r="F131">
        <v>6.8</v>
      </c>
      <c r="G131">
        <v>5.2</v>
      </c>
      <c r="H131">
        <v>18.899999999999999</v>
      </c>
      <c r="I131">
        <f t="shared" si="6"/>
        <v>6774033.6000000006</v>
      </c>
      <c r="J131">
        <f t="shared" si="7"/>
        <v>392968.8</v>
      </c>
    </row>
    <row r="132" spans="1:10" x14ac:dyDescent="0.25">
      <c r="A132" t="s">
        <v>214</v>
      </c>
      <c r="B132" t="s">
        <v>217</v>
      </c>
      <c r="C132">
        <v>2020</v>
      </c>
      <c r="D132">
        <v>439</v>
      </c>
      <c r="E132">
        <v>373.4</v>
      </c>
      <c r="F132">
        <v>6.5</v>
      </c>
      <c r="G132">
        <v>7.2</v>
      </c>
      <c r="H132">
        <v>30.6</v>
      </c>
      <c r="I132">
        <f t="shared" si="6"/>
        <v>163922.59999999998</v>
      </c>
      <c r="J132">
        <f t="shared" si="7"/>
        <v>13433.400000000001</v>
      </c>
    </row>
    <row r="133" spans="1:10" x14ac:dyDescent="0.25">
      <c r="A133" t="s">
        <v>214</v>
      </c>
      <c r="B133" t="s">
        <v>223</v>
      </c>
      <c r="C133">
        <v>2020</v>
      </c>
      <c r="D133">
        <v>27</v>
      </c>
      <c r="E133">
        <v>456.2</v>
      </c>
      <c r="F133">
        <v>4.2</v>
      </c>
      <c r="G133">
        <v>10.6</v>
      </c>
      <c r="H133">
        <v>30.3</v>
      </c>
      <c r="I133">
        <f t="shared" si="6"/>
        <v>12317.4</v>
      </c>
      <c r="J133">
        <f t="shared" si="7"/>
        <v>818.1</v>
      </c>
    </row>
    <row r="134" spans="1:10" x14ac:dyDescent="0.25">
      <c r="A134" t="s">
        <v>214</v>
      </c>
      <c r="B134" t="s">
        <v>216</v>
      </c>
      <c r="C134">
        <v>2020</v>
      </c>
      <c r="D134">
        <v>455</v>
      </c>
      <c r="E134">
        <v>395.5</v>
      </c>
      <c r="F134">
        <v>5.2</v>
      </c>
      <c r="G134">
        <v>8.1</v>
      </c>
      <c r="H134">
        <v>29.5</v>
      </c>
      <c r="I134">
        <f t="shared" si="6"/>
        <v>179952.5</v>
      </c>
      <c r="J134">
        <f t="shared" si="7"/>
        <v>13422.5</v>
      </c>
    </row>
    <row r="135" spans="1:10" x14ac:dyDescent="0.25">
      <c r="A135" t="s">
        <v>214</v>
      </c>
      <c r="B135" t="s">
        <v>213</v>
      </c>
      <c r="C135">
        <v>2020</v>
      </c>
      <c r="D135">
        <v>1786</v>
      </c>
      <c r="E135">
        <v>365.7</v>
      </c>
      <c r="F135">
        <v>6.6</v>
      </c>
      <c r="G135">
        <v>6.9</v>
      </c>
      <c r="H135">
        <v>29.9</v>
      </c>
      <c r="I135">
        <f t="shared" si="6"/>
        <v>653140.19999999995</v>
      </c>
      <c r="J135">
        <f t="shared" si="7"/>
        <v>53401.399999999994</v>
      </c>
    </row>
    <row r="136" spans="1:10" x14ac:dyDescent="0.25">
      <c r="A136" t="s">
        <v>214</v>
      </c>
      <c r="B136" t="s">
        <v>222</v>
      </c>
      <c r="C136">
        <v>2020</v>
      </c>
      <c r="D136">
        <v>99</v>
      </c>
      <c r="E136">
        <v>252.1</v>
      </c>
      <c r="F136">
        <v>4.9000000000000004</v>
      </c>
      <c r="G136">
        <v>5.5</v>
      </c>
      <c r="H136">
        <v>37.700000000000003</v>
      </c>
      <c r="I136">
        <f t="shared" ref="I136:I167" si="8">D136*E136</f>
        <v>24957.899999999998</v>
      </c>
      <c r="J136">
        <f t="shared" ref="J136:J167" si="9">D136*H136</f>
        <v>3732.3</v>
      </c>
    </row>
    <row r="137" spans="1:10" x14ac:dyDescent="0.25">
      <c r="A137" t="s">
        <v>214</v>
      </c>
      <c r="B137" t="s">
        <v>224</v>
      </c>
      <c r="C137">
        <v>2020</v>
      </c>
      <c r="D137">
        <v>6663</v>
      </c>
      <c r="E137">
        <v>360</v>
      </c>
      <c r="F137">
        <v>5.8</v>
      </c>
      <c r="G137">
        <v>6.8</v>
      </c>
      <c r="H137">
        <v>28.9</v>
      </c>
      <c r="I137">
        <f t="shared" si="8"/>
        <v>2398680</v>
      </c>
      <c r="J137">
        <f t="shared" si="9"/>
        <v>192560.69999999998</v>
      </c>
    </row>
    <row r="138" spans="1:10" x14ac:dyDescent="0.25">
      <c r="A138" t="s">
        <v>214</v>
      </c>
      <c r="B138" t="s">
        <v>219</v>
      </c>
      <c r="C138">
        <v>2020</v>
      </c>
      <c r="D138">
        <v>151</v>
      </c>
      <c r="E138">
        <v>406.5</v>
      </c>
      <c r="F138">
        <v>5.0999999999999996</v>
      </c>
      <c r="G138">
        <v>9</v>
      </c>
      <c r="H138">
        <v>31.6</v>
      </c>
      <c r="I138">
        <f t="shared" si="8"/>
        <v>61381.5</v>
      </c>
      <c r="J138">
        <f t="shared" si="9"/>
        <v>4771.6000000000004</v>
      </c>
    </row>
    <row r="139" spans="1:10" x14ac:dyDescent="0.25">
      <c r="A139" t="s">
        <v>214</v>
      </c>
      <c r="B139" t="s">
        <v>220</v>
      </c>
      <c r="C139">
        <v>2020</v>
      </c>
      <c r="D139">
        <v>598</v>
      </c>
      <c r="E139">
        <v>384.8</v>
      </c>
      <c r="F139">
        <v>5.3</v>
      </c>
      <c r="G139">
        <v>7.7</v>
      </c>
      <c r="H139">
        <v>30.2</v>
      </c>
      <c r="I139">
        <f t="shared" si="8"/>
        <v>230110.4</v>
      </c>
      <c r="J139">
        <f t="shared" si="9"/>
        <v>18059.599999999999</v>
      </c>
    </row>
    <row r="140" spans="1:10" x14ac:dyDescent="0.25">
      <c r="A140" t="s">
        <v>214</v>
      </c>
      <c r="B140" t="s">
        <v>208</v>
      </c>
      <c r="C140">
        <v>2020</v>
      </c>
      <c r="D140">
        <v>6788</v>
      </c>
      <c r="E140">
        <v>353.8</v>
      </c>
      <c r="F140">
        <v>5.7</v>
      </c>
      <c r="G140">
        <v>4.3</v>
      </c>
      <c r="H140">
        <v>27.9</v>
      </c>
      <c r="I140">
        <f t="shared" si="8"/>
        <v>2401594.4</v>
      </c>
      <c r="J140">
        <f t="shared" si="9"/>
        <v>189385.19999999998</v>
      </c>
    </row>
    <row r="141" spans="1:10" x14ac:dyDescent="0.25">
      <c r="A141" t="s">
        <v>214</v>
      </c>
      <c r="B141" t="s">
        <v>200</v>
      </c>
      <c r="C141">
        <v>2020</v>
      </c>
      <c r="D141">
        <v>3861</v>
      </c>
      <c r="E141">
        <v>347</v>
      </c>
      <c r="F141">
        <v>6.1</v>
      </c>
      <c r="G141">
        <v>5</v>
      </c>
      <c r="H141">
        <v>27.9</v>
      </c>
      <c r="I141">
        <f t="shared" si="8"/>
        <v>1339767</v>
      </c>
      <c r="J141">
        <f t="shared" si="9"/>
        <v>107721.9</v>
      </c>
    </row>
    <row r="142" spans="1:10" x14ac:dyDescent="0.25">
      <c r="A142" t="s">
        <v>625</v>
      </c>
      <c r="B142" t="s">
        <v>217</v>
      </c>
      <c r="C142">
        <v>2020</v>
      </c>
      <c r="D142">
        <v>319</v>
      </c>
      <c r="E142">
        <v>554.20000000000005</v>
      </c>
      <c r="F142">
        <v>7.8</v>
      </c>
      <c r="G142">
        <v>7.8</v>
      </c>
      <c r="H142">
        <v>63.3</v>
      </c>
      <c r="I142">
        <f t="shared" si="8"/>
        <v>176789.80000000002</v>
      </c>
      <c r="J142">
        <f t="shared" si="9"/>
        <v>20192.7</v>
      </c>
    </row>
    <row r="143" spans="1:10" x14ac:dyDescent="0.25">
      <c r="A143" t="s">
        <v>625</v>
      </c>
      <c r="B143" t="s">
        <v>223</v>
      </c>
      <c r="C143">
        <v>2020</v>
      </c>
      <c r="D143">
        <v>26</v>
      </c>
      <c r="E143">
        <v>613.6</v>
      </c>
      <c r="F143">
        <v>3.7</v>
      </c>
      <c r="G143">
        <v>10.4</v>
      </c>
      <c r="H143">
        <v>75.900000000000006</v>
      </c>
      <c r="I143">
        <f t="shared" si="8"/>
        <v>15953.6</v>
      </c>
      <c r="J143">
        <f t="shared" si="9"/>
        <v>1973.4</v>
      </c>
    </row>
    <row r="144" spans="1:10" x14ac:dyDescent="0.25">
      <c r="A144" t="s">
        <v>625</v>
      </c>
      <c r="B144" t="s">
        <v>216</v>
      </c>
      <c r="C144">
        <v>2020</v>
      </c>
      <c r="D144">
        <v>407</v>
      </c>
      <c r="E144">
        <v>591.29999999999995</v>
      </c>
      <c r="F144">
        <v>5.5</v>
      </c>
      <c r="G144">
        <v>8.6999999999999993</v>
      </c>
      <c r="H144">
        <v>59.8</v>
      </c>
      <c r="I144">
        <f t="shared" si="8"/>
        <v>240659.09999999998</v>
      </c>
      <c r="J144">
        <f t="shared" si="9"/>
        <v>24338.6</v>
      </c>
    </row>
    <row r="145" spans="1:10" x14ac:dyDescent="0.25">
      <c r="A145" t="s">
        <v>625</v>
      </c>
      <c r="B145" t="s">
        <v>213</v>
      </c>
      <c r="C145">
        <v>2020</v>
      </c>
      <c r="D145">
        <v>652</v>
      </c>
      <c r="E145">
        <v>527.9</v>
      </c>
      <c r="F145">
        <v>7.6</v>
      </c>
      <c r="G145">
        <v>7.6</v>
      </c>
      <c r="H145">
        <v>58.4</v>
      </c>
      <c r="I145">
        <f t="shared" si="8"/>
        <v>344190.8</v>
      </c>
      <c r="J145">
        <f t="shared" si="9"/>
        <v>38076.799999999996</v>
      </c>
    </row>
    <row r="146" spans="1:10" x14ac:dyDescent="0.25">
      <c r="A146" t="s">
        <v>625</v>
      </c>
      <c r="B146" t="s">
        <v>222</v>
      </c>
      <c r="C146">
        <v>2020</v>
      </c>
      <c r="D146">
        <v>97</v>
      </c>
      <c r="E146">
        <v>269.7</v>
      </c>
      <c r="F146">
        <v>4.5999999999999996</v>
      </c>
      <c r="G146">
        <v>5.0999999999999996</v>
      </c>
      <c r="H146">
        <v>54.6</v>
      </c>
      <c r="I146">
        <f t="shared" si="8"/>
        <v>26160.899999999998</v>
      </c>
      <c r="J146">
        <f t="shared" si="9"/>
        <v>5296.2</v>
      </c>
    </row>
    <row r="147" spans="1:10" x14ac:dyDescent="0.25">
      <c r="A147" t="s">
        <v>625</v>
      </c>
      <c r="B147" t="s">
        <v>224</v>
      </c>
      <c r="C147">
        <v>2020</v>
      </c>
      <c r="D147">
        <v>704</v>
      </c>
      <c r="E147">
        <v>466.9</v>
      </c>
      <c r="F147">
        <v>6.3</v>
      </c>
      <c r="G147">
        <v>7.4</v>
      </c>
      <c r="H147">
        <v>46.5</v>
      </c>
      <c r="I147">
        <f t="shared" si="8"/>
        <v>328697.59999999998</v>
      </c>
      <c r="J147">
        <f t="shared" si="9"/>
        <v>32736</v>
      </c>
    </row>
    <row r="148" spans="1:10" x14ac:dyDescent="0.25">
      <c r="A148" t="s">
        <v>625</v>
      </c>
      <c r="B148" t="s">
        <v>219</v>
      </c>
      <c r="C148">
        <v>2020</v>
      </c>
      <c r="D148">
        <v>117</v>
      </c>
      <c r="E148">
        <v>553.9</v>
      </c>
      <c r="F148">
        <v>5.2</v>
      </c>
      <c r="G148">
        <v>10.199999999999999</v>
      </c>
      <c r="H148">
        <v>68.5</v>
      </c>
      <c r="I148">
        <f t="shared" si="8"/>
        <v>64806.299999999996</v>
      </c>
      <c r="J148">
        <f t="shared" si="9"/>
        <v>8014.5</v>
      </c>
    </row>
    <row r="149" spans="1:10" x14ac:dyDescent="0.25">
      <c r="A149" t="s">
        <v>625</v>
      </c>
      <c r="B149" t="s">
        <v>220</v>
      </c>
      <c r="C149">
        <v>2020</v>
      </c>
      <c r="D149">
        <v>423</v>
      </c>
      <c r="E149">
        <v>574.20000000000005</v>
      </c>
      <c r="F149">
        <v>5.3</v>
      </c>
      <c r="G149">
        <v>8.5</v>
      </c>
      <c r="H149">
        <v>58.4</v>
      </c>
      <c r="I149">
        <f t="shared" si="8"/>
        <v>242886.6</v>
      </c>
      <c r="J149">
        <f t="shared" si="9"/>
        <v>24703.200000000001</v>
      </c>
    </row>
    <row r="150" spans="1:10" x14ac:dyDescent="0.25">
      <c r="A150" t="s">
        <v>625</v>
      </c>
      <c r="B150" t="s">
        <v>208</v>
      </c>
      <c r="C150">
        <v>2020</v>
      </c>
      <c r="D150">
        <v>174</v>
      </c>
      <c r="E150">
        <v>451.6</v>
      </c>
      <c r="F150">
        <v>6.2</v>
      </c>
      <c r="G150">
        <v>4.5999999999999996</v>
      </c>
      <c r="H150">
        <v>40.1</v>
      </c>
      <c r="I150">
        <f t="shared" si="8"/>
        <v>78578.400000000009</v>
      </c>
      <c r="J150">
        <f t="shared" si="9"/>
        <v>6977.4000000000005</v>
      </c>
    </row>
    <row r="151" spans="1:10" x14ac:dyDescent="0.25">
      <c r="A151" t="s">
        <v>625</v>
      </c>
      <c r="B151" t="s">
        <v>200</v>
      </c>
      <c r="C151">
        <v>2020</v>
      </c>
      <c r="D151">
        <v>131</v>
      </c>
      <c r="E151">
        <v>416.3</v>
      </c>
      <c r="F151">
        <v>6.2</v>
      </c>
      <c r="G151">
        <v>5.5</v>
      </c>
      <c r="H151">
        <v>43.1</v>
      </c>
      <c r="I151">
        <f t="shared" si="8"/>
        <v>54535.3</v>
      </c>
      <c r="J151">
        <f t="shared" si="9"/>
        <v>5646.1</v>
      </c>
    </row>
    <row r="152" spans="1:10" x14ac:dyDescent="0.25">
      <c r="A152" t="s">
        <v>117</v>
      </c>
      <c r="B152" t="s">
        <v>217</v>
      </c>
      <c r="C152">
        <v>2020</v>
      </c>
      <c r="D152">
        <v>260</v>
      </c>
      <c r="E152">
        <v>138.80000000000001</v>
      </c>
      <c r="F152">
        <v>5.4</v>
      </c>
      <c r="G152">
        <v>5.3</v>
      </c>
      <c r="H152">
        <v>8.4</v>
      </c>
      <c r="I152">
        <f t="shared" si="8"/>
        <v>36088</v>
      </c>
      <c r="J152">
        <f t="shared" si="9"/>
        <v>2184</v>
      </c>
    </row>
    <row r="153" spans="1:10" x14ac:dyDescent="0.25">
      <c r="A153" t="s">
        <v>117</v>
      </c>
      <c r="B153" t="s">
        <v>223</v>
      </c>
      <c r="C153">
        <v>2020</v>
      </c>
      <c r="D153">
        <v>37</v>
      </c>
      <c r="E153">
        <v>219</v>
      </c>
      <c r="F153">
        <v>3.9</v>
      </c>
      <c r="G153">
        <v>9.5</v>
      </c>
      <c r="H153">
        <v>8.9</v>
      </c>
      <c r="I153">
        <f t="shared" si="8"/>
        <v>8103</v>
      </c>
      <c r="J153">
        <f t="shared" si="9"/>
        <v>329.3</v>
      </c>
    </row>
    <row r="154" spans="1:10" x14ac:dyDescent="0.25">
      <c r="A154" t="s">
        <v>117</v>
      </c>
      <c r="B154" t="s">
        <v>216</v>
      </c>
      <c r="C154">
        <v>2020</v>
      </c>
      <c r="D154">
        <v>127</v>
      </c>
      <c r="E154">
        <v>170.7</v>
      </c>
      <c r="F154">
        <v>5.6</v>
      </c>
      <c r="G154">
        <v>6.5</v>
      </c>
      <c r="H154">
        <v>9.8000000000000007</v>
      </c>
      <c r="I154">
        <f t="shared" si="8"/>
        <v>21678.899999999998</v>
      </c>
      <c r="J154">
        <f t="shared" si="9"/>
        <v>1244.6000000000001</v>
      </c>
    </row>
    <row r="155" spans="1:10" x14ac:dyDescent="0.25">
      <c r="A155" t="s">
        <v>117</v>
      </c>
      <c r="B155" t="s">
        <v>213</v>
      </c>
      <c r="C155">
        <v>2020</v>
      </c>
      <c r="D155">
        <v>321</v>
      </c>
      <c r="E155">
        <v>156.19999999999999</v>
      </c>
      <c r="F155">
        <v>5.8</v>
      </c>
      <c r="G155">
        <v>5.4</v>
      </c>
      <c r="H155">
        <v>9.6999999999999993</v>
      </c>
      <c r="I155">
        <f t="shared" si="8"/>
        <v>50140.2</v>
      </c>
      <c r="J155">
        <f t="shared" si="9"/>
        <v>3113.7</v>
      </c>
    </row>
    <row r="156" spans="1:10" x14ac:dyDescent="0.25">
      <c r="A156" t="s">
        <v>117</v>
      </c>
      <c r="B156" t="s">
        <v>222</v>
      </c>
      <c r="C156">
        <v>2020</v>
      </c>
      <c r="D156">
        <v>50</v>
      </c>
      <c r="E156">
        <v>100.9</v>
      </c>
      <c r="F156">
        <v>4.7</v>
      </c>
      <c r="G156">
        <v>3.9</v>
      </c>
      <c r="H156">
        <v>14.2</v>
      </c>
      <c r="I156">
        <f t="shared" si="8"/>
        <v>5045</v>
      </c>
      <c r="J156">
        <f t="shared" si="9"/>
        <v>710</v>
      </c>
    </row>
    <row r="157" spans="1:10" x14ac:dyDescent="0.25">
      <c r="A157" t="s">
        <v>117</v>
      </c>
      <c r="B157" t="s">
        <v>224</v>
      </c>
      <c r="C157">
        <v>2020</v>
      </c>
      <c r="D157">
        <v>2321</v>
      </c>
      <c r="E157">
        <v>159.6</v>
      </c>
      <c r="F157">
        <v>5.5</v>
      </c>
      <c r="G157">
        <v>5.4</v>
      </c>
      <c r="H157">
        <v>9.4</v>
      </c>
      <c r="I157">
        <f t="shared" si="8"/>
        <v>370431.6</v>
      </c>
      <c r="J157">
        <f t="shared" si="9"/>
        <v>21817.4</v>
      </c>
    </row>
    <row r="158" spans="1:10" x14ac:dyDescent="0.25">
      <c r="A158" t="s">
        <v>117</v>
      </c>
      <c r="B158" t="s">
        <v>219</v>
      </c>
      <c r="C158">
        <v>2020</v>
      </c>
      <c r="D158">
        <v>80</v>
      </c>
      <c r="E158">
        <v>161.30000000000001</v>
      </c>
      <c r="F158">
        <v>5.2</v>
      </c>
      <c r="G158">
        <v>7</v>
      </c>
      <c r="H158">
        <v>9.9</v>
      </c>
      <c r="I158">
        <f t="shared" si="8"/>
        <v>12904</v>
      </c>
      <c r="J158">
        <f t="shared" si="9"/>
        <v>792</v>
      </c>
    </row>
    <row r="159" spans="1:10" x14ac:dyDescent="0.25">
      <c r="A159" t="s">
        <v>117</v>
      </c>
      <c r="B159" t="s">
        <v>220</v>
      </c>
      <c r="C159">
        <v>2020</v>
      </c>
      <c r="D159">
        <v>105</v>
      </c>
      <c r="E159">
        <v>168.3</v>
      </c>
      <c r="F159">
        <v>4.9000000000000004</v>
      </c>
      <c r="G159">
        <v>5.8</v>
      </c>
      <c r="H159">
        <v>9</v>
      </c>
      <c r="I159">
        <f t="shared" si="8"/>
        <v>17671.5</v>
      </c>
      <c r="J159">
        <f t="shared" si="9"/>
        <v>945</v>
      </c>
    </row>
    <row r="160" spans="1:10" x14ac:dyDescent="0.25">
      <c r="A160" t="s">
        <v>117</v>
      </c>
      <c r="B160" t="s">
        <v>208</v>
      </c>
      <c r="C160">
        <v>2020</v>
      </c>
      <c r="D160">
        <v>7266</v>
      </c>
      <c r="E160">
        <v>168</v>
      </c>
      <c r="F160">
        <v>5.0999999999999996</v>
      </c>
      <c r="G160">
        <v>4.4000000000000004</v>
      </c>
      <c r="H160">
        <v>9.1</v>
      </c>
      <c r="I160">
        <f t="shared" si="8"/>
        <v>1220688</v>
      </c>
      <c r="J160">
        <f t="shared" si="9"/>
        <v>66120.599999999991</v>
      </c>
    </row>
    <row r="161" spans="1:10" x14ac:dyDescent="0.25">
      <c r="A161" t="s">
        <v>117</v>
      </c>
      <c r="B161" t="s">
        <v>200</v>
      </c>
      <c r="C161">
        <v>2020</v>
      </c>
      <c r="D161">
        <v>2244</v>
      </c>
      <c r="E161">
        <v>168.1</v>
      </c>
      <c r="F161">
        <v>5.6</v>
      </c>
      <c r="G161">
        <v>4.9000000000000004</v>
      </c>
      <c r="H161">
        <v>9.5</v>
      </c>
      <c r="I161">
        <f t="shared" si="8"/>
        <v>377216.39999999997</v>
      </c>
      <c r="J161">
        <f t="shared" si="9"/>
        <v>21318</v>
      </c>
    </row>
    <row r="162" spans="1:10" x14ac:dyDescent="0.25">
      <c r="A162" t="s">
        <v>199</v>
      </c>
      <c r="B162" t="s">
        <v>217</v>
      </c>
      <c r="C162">
        <v>2021</v>
      </c>
      <c r="D162">
        <v>1197</v>
      </c>
      <c r="E162">
        <v>354.2</v>
      </c>
      <c r="F162">
        <v>9.6999999999999993</v>
      </c>
      <c r="G162">
        <v>6.3</v>
      </c>
      <c r="H162">
        <v>81.400000000000006</v>
      </c>
      <c r="I162">
        <f t="shared" si="8"/>
        <v>423977.39999999997</v>
      </c>
      <c r="J162">
        <f t="shared" si="9"/>
        <v>97435.8</v>
      </c>
    </row>
    <row r="163" spans="1:10" x14ac:dyDescent="0.25">
      <c r="A163" t="s">
        <v>199</v>
      </c>
      <c r="B163" t="s">
        <v>223</v>
      </c>
      <c r="C163">
        <v>2021</v>
      </c>
      <c r="D163">
        <v>135</v>
      </c>
      <c r="E163">
        <v>415.7</v>
      </c>
      <c r="F163">
        <v>6.4</v>
      </c>
      <c r="G163">
        <v>7.7</v>
      </c>
      <c r="H163">
        <v>98.1</v>
      </c>
      <c r="I163">
        <f t="shared" si="8"/>
        <v>56119.5</v>
      </c>
      <c r="J163">
        <f t="shared" si="9"/>
        <v>13243.5</v>
      </c>
    </row>
    <row r="164" spans="1:10" x14ac:dyDescent="0.25">
      <c r="A164" t="s">
        <v>199</v>
      </c>
      <c r="B164" t="s">
        <v>216</v>
      </c>
      <c r="C164">
        <v>2021</v>
      </c>
      <c r="D164">
        <v>2901</v>
      </c>
      <c r="E164">
        <v>404</v>
      </c>
      <c r="F164">
        <v>8.1</v>
      </c>
      <c r="G164">
        <v>7.4</v>
      </c>
      <c r="H164">
        <v>94.3</v>
      </c>
      <c r="I164">
        <f t="shared" si="8"/>
        <v>1172004</v>
      </c>
      <c r="J164">
        <f t="shared" si="9"/>
        <v>273564.3</v>
      </c>
    </row>
    <row r="165" spans="1:10" x14ac:dyDescent="0.25">
      <c r="A165" t="s">
        <v>199</v>
      </c>
      <c r="B165" t="s">
        <v>213</v>
      </c>
      <c r="C165">
        <v>2021</v>
      </c>
      <c r="D165">
        <v>4249</v>
      </c>
      <c r="E165">
        <v>358.6</v>
      </c>
      <c r="F165">
        <v>9.9</v>
      </c>
      <c r="G165">
        <v>6.1</v>
      </c>
      <c r="H165">
        <v>90</v>
      </c>
      <c r="I165">
        <f t="shared" si="8"/>
        <v>1523691.4000000001</v>
      </c>
      <c r="J165">
        <f t="shared" si="9"/>
        <v>382410</v>
      </c>
    </row>
    <row r="166" spans="1:10" x14ac:dyDescent="0.25">
      <c r="A166" t="s">
        <v>199</v>
      </c>
      <c r="B166" t="s">
        <v>222</v>
      </c>
      <c r="C166">
        <v>2021</v>
      </c>
      <c r="D166">
        <v>305</v>
      </c>
      <c r="E166">
        <v>229</v>
      </c>
      <c r="F166">
        <v>7.6</v>
      </c>
      <c r="G166">
        <v>4.5</v>
      </c>
      <c r="H166">
        <v>107.6</v>
      </c>
      <c r="I166">
        <f t="shared" si="8"/>
        <v>69845</v>
      </c>
      <c r="J166">
        <f t="shared" si="9"/>
        <v>32818</v>
      </c>
    </row>
    <row r="167" spans="1:10" x14ac:dyDescent="0.25">
      <c r="A167" t="s">
        <v>199</v>
      </c>
      <c r="B167" t="s">
        <v>224</v>
      </c>
      <c r="C167">
        <v>2021</v>
      </c>
      <c r="D167">
        <v>20034</v>
      </c>
      <c r="E167">
        <v>348.7</v>
      </c>
      <c r="F167">
        <v>8.1999999999999993</v>
      </c>
      <c r="G167">
        <v>5.8</v>
      </c>
      <c r="H167">
        <v>84.8</v>
      </c>
      <c r="I167">
        <f t="shared" si="8"/>
        <v>6985855.7999999998</v>
      </c>
      <c r="J167">
        <f t="shared" si="9"/>
        <v>1698883.2</v>
      </c>
    </row>
    <row r="168" spans="1:10" x14ac:dyDescent="0.25">
      <c r="A168" t="s">
        <v>199</v>
      </c>
      <c r="B168" t="s">
        <v>219</v>
      </c>
      <c r="C168">
        <v>2021</v>
      </c>
      <c r="D168">
        <v>549</v>
      </c>
      <c r="E168">
        <v>378.2</v>
      </c>
      <c r="F168">
        <v>8.1</v>
      </c>
      <c r="G168">
        <v>8</v>
      </c>
      <c r="H168">
        <v>92.5</v>
      </c>
      <c r="I168">
        <f t="shared" ref="I168:I199" si="10">D168*E168</f>
        <v>207631.8</v>
      </c>
      <c r="J168">
        <f t="shared" ref="J168:J199" si="11">D168*H168</f>
        <v>50782.5</v>
      </c>
    </row>
    <row r="169" spans="1:10" x14ac:dyDescent="0.25">
      <c r="A169" t="s">
        <v>199</v>
      </c>
      <c r="B169" t="s">
        <v>220</v>
      </c>
      <c r="C169">
        <v>2021</v>
      </c>
      <c r="D169">
        <v>2359</v>
      </c>
      <c r="E169">
        <v>370.8</v>
      </c>
      <c r="F169">
        <v>7.6</v>
      </c>
      <c r="G169">
        <v>6.6</v>
      </c>
      <c r="H169">
        <v>87.9</v>
      </c>
      <c r="I169">
        <f t="shared" si="10"/>
        <v>874717.20000000007</v>
      </c>
      <c r="J169">
        <f t="shared" si="11"/>
        <v>207356.1</v>
      </c>
    </row>
    <row r="170" spans="1:10" x14ac:dyDescent="0.25">
      <c r="A170" t="s">
        <v>199</v>
      </c>
      <c r="B170" t="s">
        <v>208</v>
      </c>
      <c r="C170">
        <v>2021</v>
      </c>
      <c r="D170">
        <v>38839</v>
      </c>
      <c r="E170">
        <v>324.89999999999998</v>
      </c>
      <c r="F170">
        <v>6.8</v>
      </c>
      <c r="G170">
        <v>3.4</v>
      </c>
      <c r="H170">
        <v>68.7</v>
      </c>
      <c r="I170">
        <f t="shared" si="10"/>
        <v>12618791.1</v>
      </c>
      <c r="J170">
        <f t="shared" si="11"/>
        <v>2668239.3000000003</v>
      </c>
    </row>
    <row r="171" spans="1:10" x14ac:dyDescent="0.25">
      <c r="A171" t="s">
        <v>199</v>
      </c>
      <c r="B171" t="s">
        <v>200</v>
      </c>
      <c r="C171">
        <v>2021</v>
      </c>
      <c r="D171">
        <v>21654</v>
      </c>
      <c r="E171">
        <v>313.3</v>
      </c>
      <c r="F171">
        <v>7.3</v>
      </c>
      <c r="G171">
        <v>4.0999999999999996</v>
      </c>
      <c r="H171">
        <v>69.8</v>
      </c>
      <c r="I171">
        <f t="shared" si="10"/>
        <v>6784198.2000000002</v>
      </c>
      <c r="J171">
        <f t="shared" si="11"/>
        <v>1511449.2</v>
      </c>
    </row>
    <row r="172" spans="1:10" x14ac:dyDescent="0.25">
      <c r="A172" t="s">
        <v>209</v>
      </c>
      <c r="B172" t="s">
        <v>217</v>
      </c>
      <c r="C172">
        <v>2021</v>
      </c>
      <c r="D172">
        <v>2167</v>
      </c>
      <c r="E172">
        <v>306.5</v>
      </c>
      <c r="F172">
        <v>9.5</v>
      </c>
      <c r="G172">
        <v>6.8</v>
      </c>
      <c r="H172">
        <v>25.1</v>
      </c>
      <c r="I172">
        <f t="shared" si="10"/>
        <v>664185.5</v>
      </c>
      <c r="J172">
        <f t="shared" si="11"/>
        <v>54391.700000000004</v>
      </c>
    </row>
    <row r="173" spans="1:10" x14ac:dyDescent="0.25">
      <c r="A173" t="s">
        <v>209</v>
      </c>
      <c r="B173" t="s">
        <v>223</v>
      </c>
      <c r="C173">
        <v>2021</v>
      </c>
      <c r="D173">
        <v>257</v>
      </c>
      <c r="E173">
        <v>320</v>
      </c>
      <c r="F173">
        <v>6.6</v>
      </c>
      <c r="G173">
        <v>8.6</v>
      </c>
      <c r="H173">
        <v>21.8</v>
      </c>
      <c r="I173">
        <f t="shared" si="10"/>
        <v>82240</v>
      </c>
      <c r="J173">
        <f t="shared" si="11"/>
        <v>5602.6</v>
      </c>
    </row>
    <row r="174" spans="1:10" x14ac:dyDescent="0.25">
      <c r="A174" t="s">
        <v>209</v>
      </c>
      <c r="B174" t="s">
        <v>216</v>
      </c>
      <c r="C174">
        <v>2021</v>
      </c>
      <c r="D174">
        <v>3788</v>
      </c>
      <c r="E174">
        <v>332.7</v>
      </c>
      <c r="F174">
        <v>8.1</v>
      </c>
      <c r="G174">
        <v>7.8</v>
      </c>
      <c r="H174">
        <v>24.2</v>
      </c>
      <c r="I174">
        <f t="shared" si="10"/>
        <v>1260267.5999999999</v>
      </c>
      <c r="J174">
        <f t="shared" si="11"/>
        <v>91669.599999999991</v>
      </c>
    </row>
    <row r="175" spans="1:10" x14ac:dyDescent="0.25">
      <c r="A175" t="s">
        <v>209</v>
      </c>
      <c r="B175" t="s">
        <v>213</v>
      </c>
      <c r="C175">
        <v>2021</v>
      </c>
      <c r="D175">
        <v>5922</v>
      </c>
      <c r="E175">
        <v>302.39999999999998</v>
      </c>
      <c r="F175">
        <v>9.4</v>
      </c>
      <c r="G175">
        <v>6.6</v>
      </c>
      <c r="H175">
        <v>26.2</v>
      </c>
      <c r="I175">
        <f t="shared" si="10"/>
        <v>1790812.7999999998</v>
      </c>
      <c r="J175">
        <f t="shared" si="11"/>
        <v>155156.4</v>
      </c>
    </row>
    <row r="176" spans="1:10" x14ac:dyDescent="0.25">
      <c r="A176" t="s">
        <v>209</v>
      </c>
      <c r="B176" t="s">
        <v>222</v>
      </c>
      <c r="C176">
        <v>2021</v>
      </c>
      <c r="D176">
        <v>189</v>
      </c>
      <c r="E176">
        <v>193.5</v>
      </c>
      <c r="F176">
        <v>6.6</v>
      </c>
      <c r="G176">
        <v>4.8</v>
      </c>
      <c r="H176">
        <v>42.5</v>
      </c>
      <c r="I176">
        <f t="shared" si="10"/>
        <v>36571.5</v>
      </c>
      <c r="J176">
        <f t="shared" si="11"/>
        <v>8032.5</v>
      </c>
    </row>
    <row r="177" spans="1:10" x14ac:dyDescent="0.25">
      <c r="A177" t="s">
        <v>209</v>
      </c>
      <c r="B177" t="s">
        <v>224</v>
      </c>
      <c r="C177">
        <v>2021</v>
      </c>
      <c r="D177">
        <v>31280</v>
      </c>
      <c r="E177">
        <v>316.2</v>
      </c>
      <c r="F177">
        <v>8.8000000000000007</v>
      </c>
      <c r="G177">
        <v>7.1</v>
      </c>
      <c r="H177">
        <v>25.6</v>
      </c>
      <c r="I177">
        <f t="shared" si="10"/>
        <v>9890736</v>
      </c>
      <c r="J177">
        <f t="shared" si="11"/>
        <v>800768</v>
      </c>
    </row>
    <row r="178" spans="1:10" x14ac:dyDescent="0.25">
      <c r="A178" t="s">
        <v>209</v>
      </c>
      <c r="B178" t="s">
        <v>219</v>
      </c>
      <c r="C178">
        <v>2021</v>
      </c>
      <c r="D178">
        <v>1274</v>
      </c>
      <c r="E178">
        <v>312.89999999999998</v>
      </c>
      <c r="F178">
        <v>8</v>
      </c>
      <c r="G178">
        <v>8.1</v>
      </c>
      <c r="H178">
        <v>23.9</v>
      </c>
      <c r="I178">
        <f t="shared" si="10"/>
        <v>398634.6</v>
      </c>
      <c r="J178">
        <f t="shared" si="11"/>
        <v>30448.6</v>
      </c>
    </row>
    <row r="179" spans="1:10" x14ac:dyDescent="0.25">
      <c r="A179" t="s">
        <v>209</v>
      </c>
      <c r="B179" t="s">
        <v>220</v>
      </c>
      <c r="C179">
        <v>2021</v>
      </c>
      <c r="D179">
        <v>3327</v>
      </c>
      <c r="E179">
        <v>322.39999999999998</v>
      </c>
      <c r="F179">
        <v>8.1</v>
      </c>
      <c r="G179">
        <v>7.3</v>
      </c>
      <c r="H179">
        <v>24.3</v>
      </c>
      <c r="I179">
        <f t="shared" si="10"/>
        <v>1072624.7999999998</v>
      </c>
      <c r="J179">
        <f t="shared" si="11"/>
        <v>80846.100000000006</v>
      </c>
    </row>
    <row r="180" spans="1:10" x14ac:dyDescent="0.25">
      <c r="A180" t="s">
        <v>209</v>
      </c>
      <c r="B180" t="s">
        <v>208</v>
      </c>
      <c r="C180">
        <v>2021</v>
      </c>
      <c r="D180">
        <v>8380</v>
      </c>
      <c r="E180">
        <v>304.10000000000002</v>
      </c>
      <c r="F180">
        <v>8</v>
      </c>
      <c r="G180">
        <v>4.5</v>
      </c>
      <c r="H180">
        <v>27.5</v>
      </c>
      <c r="I180">
        <f t="shared" si="10"/>
        <v>2548358</v>
      </c>
      <c r="J180">
        <f t="shared" si="11"/>
        <v>230450</v>
      </c>
    </row>
    <row r="181" spans="1:10" x14ac:dyDescent="0.25">
      <c r="A181" t="s">
        <v>209</v>
      </c>
      <c r="B181" t="s">
        <v>200</v>
      </c>
      <c r="C181">
        <v>2021</v>
      </c>
      <c r="D181">
        <v>5143</v>
      </c>
      <c r="E181">
        <v>301.8</v>
      </c>
      <c r="F181">
        <v>8.3000000000000007</v>
      </c>
      <c r="G181">
        <v>5.3</v>
      </c>
      <c r="H181">
        <v>28.5</v>
      </c>
      <c r="I181">
        <f t="shared" si="10"/>
        <v>1552157.4000000001</v>
      </c>
      <c r="J181">
        <f t="shared" si="11"/>
        <v>146575.5</v>
      </c>
    </row>
    <row r="182" spans="1:10" x14ac:dyDescent="0.25">
      <c r="A182" t="s">
        <v>207</v>
      </c>
      <c r="B182" t="s">
        <v>217</v>
      </c>
      <c r="C182">
        <v>2021</v>
      </c>
      <c r="D182">
        <v>472</v>
      </c>
      <c r="E182">
        <v>313.7</v>
      </c>
      <c r="F182">
        <v>8.6999999999999993</v>
      </c>
      <c r="G182">
        <v>6.1</v>
      </c>
      <c r="H182">
        <v>35.799999999999997</v>
      </c>
      <c r="I182">
        <f t="shared" si="10"/>
        <v>148066.4</v>
      </c>
      <c r="J182">
        <f t="shared" si="11"/>
        <v>16897.599999999999</v>
      </c>
    </row>
    <row r="183" spans="1:10" x14ac:dyDescent="0.25">
      <c r="A183" t="s">
        <v>207</v>
      </c>
      <c r="B183" t="s">
        <v>223</v>
      </c>
      <c r="C183">
        <v>2021</v>
      </c>
      <c r="D183">
        <v>47</v>
      </c>
      <c r="E183">
        <v>362.7</v>
      </c>
      <c r="F183">
        <v>5.9</v>
      </c>
      <c r="G183">
        <v>7.1</v>
      </c>
      <c r="H183">
        <v>37.1</v>
      </c>
      <c r="I183">
        <f t="shared" si="10"/>
        <v>17046.899999999998</v>
      </c>
      <c r="J183">
        <f t="shared" si="11"/>
        <v>1743.7</v>
      </c>
    </row>
    <row r="184" spans="1:10" x14ac:dyDescent="0.25">
      <c r="A184" t="s">
        <v>207</v>
      </c>
      <c r="B184" t="s">
        <v>216</v>
      </c>
      <c r="C184">
        <v>2021</v>
      </c>
      <c r="D184">
        <v>656</v>
      </c>
      <c r="E184">
        <v>343.7</v>
      </c>
      <c r="F184">
        <v>7.4</v>
      </c>
      <c r="G184">
        <v>7</v>
      </c>
      <c r="H184">
        <v>35.5</v>
      </c>
      <c r="I184">
        <f t="shared" si="10"/>
        <v>225467.19999999998</v>
      </c>
      <c r="J184">
        <f t="shared" si="11"/>
        <v>23288</v>
      </c>
    </row>
    <row r="185" spans="1:10" x14ac:dyDescent="0.25">
      <c r="A185" t="s">
        <v>207</v>
      </c>
      <c r="B185" t="s">
        <v>213</v>
      </c>
      <c r="C185">
        <v>2021</v>
      </c>
      <c r="D185">
        <v>1546</v>
      </c>
      <c r="E185">
        <v>320.60000000000002</v>
      </c>
      <c r="F185">
        <v>9.1</v>
      </c>
      <c r="G185">
        <v>6.1</v>
      </c>
      <c r="H185">
        <v>38</v>
      </c>
      <c r="I185">
        <f t="shared" si="10"/>
        <v>495647.60000000003</v>
      </c>
      <c r="J185">
        <f t="shared" si="11"/>
        <v>58748</v>
      </c>
    </row>
    <row r="186" spans="1:10" x14ac:dyDescent="0.25">
      <c r="A186" t="s">
        <v>207</v>
      </c>
      <c r="B186" t="s">
        <v>222</v>
      </c>
      <c r="C186">
        <v>2021</v>
      </c>
      <c r="D186">
        <v>31</v>
      </c>
      <c r="E186">
        <v>206.1</v>
      </c>
      <c r="F186">
        <v>6.7</v>
      </c>
      <c r="G186">
        <v>4.3</v>
      </c>
      <c r="H186">
        <v>43.5</v>
      </c>
      <c r="I186">
        <f t="shared" si="10"/>
        <v>6389.0999999999995</v>
      </c>
      <c r="J186">
        <f t="shared" si="11"/>
        <v>1348.5</v>
      </c>
    </row>
    <row r="187" spans="1:10" x14ac:dyDescent="0.25">
      <c r="A187" t="s">
        <v>207</v>
      </c>
      <c r="B187" t="s">
        <v>224</v>
      </c>
      <c r="C187">
        <v>2021</v>
      </c>
      <c r="D187">
        <v>7359</v>
      </c>
      <c r="E187">
        <v>313.3</v>
      </c>
      <c r="F187">
        <v>7.8</v>
      </c>
      <c r="G187">
        <v>5.8</v>
      </c>
      <c r="H187">
        <v>36.799999999999997</v>
      </c>
      <c r="I187">
        <f t="shared" si="10"/>
        <v>2305574.7000000002</v>
      </c>
      <c r="J187">
        <f t="shared" si="11"/>
        <v>270811.19999999995</v>
      </c>
    </row>
    <row r="188" spans="1:10" x14ac:dyDescent="0.25">
      <c r="A188" t="s">
        <v>207</v>
      </c>
      <c r="B188" t="s">
        <v>219</v>
      </c>
      <c r="C188">
        <v>2021</v>
      </c>
      <c r="D188">
        <v>195</v>
      </c>
      <c r="E188">
        <v>329.1</v>
      </c>
      <c r="F188">
        <v>7.5</v>
      </c>
      <c r="G188">
        <v>7.5</v>
      </c>
      <c r="H188">
        <v>37.700000000000003</v>
      </c>
      <c r="I188">
        <f t="shared" si="10"/>
        <v>64174.500000000007</v>
      </c>
      <c r="J188">
        <f t="shared" si="11"/>
        <v>7351.5000000000009</v>
      </c>
    </row>
    <row r="189" spans="1:10" x14ac:dyDescent="0.25">
      <c r="A189" t="s">
        <v>207</v>
      </c>
      <c r="B189" t="s">
        <v>220</v>
      </c>
      <c r="C189">
        <v>2021</v>
      </c>
      <c r="D189">
        <v>773</v>
      </c>
      <c r="E189">
        <v>319.8</v>
      </c>
      <c r="F189">
        <v>7</v>
      </c>
      <c r="G189">
        <v>6.2</v>
      </c>
      <c r="H189">
        <v>35.6</v>
      </c>
      <c r="I189">
        <f t="shared" si="10"/>
        <v>247205.40000000002</v>
      </c>
      <c r="J189">
        <f t="shared" si="11"/>
        <v>27518.800000000003</v>
      </c>
    </row>
    <row r="190" spans="1:10" x14ac:dyDescent="0.25">
      <c r="A190" t="s">
        <v>207</v>
      </c>
      <c r="B190" t="s">
        <v>208</v>
      </c>
      <c r="C190">
        <v>2021</v>
      </c>
      <c r="D190">
        <v>13030</v>
      </c>
      <c r="E190">
        <v>295.60000000000002</v>
      </c>
      <c r="F190">
        <v>6.7</v>
      </c>
      <c r="G190">
        <v>3.4</v>
      </c>
      <c r="H190">
        <v>37.9</v>
      </c>
      <c r="I190">
        <f t="shared" si="10"/>
        <v>3851668.0000000005</v>
      </c>
      <c r="J190">
        <f t="shared" si="11"/>
        <v>493837</v>
      </c>
    </row>
    <row r="191" spans="1:10" x14ac:dyDescent="0.25">
      <c r="A191" t="s">
        <v>207</v>
      </c>
      <c r="B191" t="s">
        <v>200</v>
      </c>
      <c r="C191">
        <v>2021</v>
      </c>
      <c r="D191">
        <v>6792</v>
      </c>
      <c r="E191">
        <v>283.5</v>
      </c>
      <c r="F191">
        <v>7</v>
      </c>
      <c r="G191">
        <v>4</v>
      </c>
      <c r="H191">
        <v>38.299999999999997</v>
      </c>
      <c r="I191">
        <f t="shared" si="10"/>
        <v>1925532</v>
      </c>
      <c r="J191">
        <f t="shared" si="11"/>
        <v>260133.59999999998</v>
      </c>
    </row>
    <row r="192" spans="1:10" x14ac:dyDescent="0.25">
      <c r="A192" t="s">
        <v>210</v>
      </c>
      <c r="B192" t="s">
        <v>217</v>
      </c>
      <c r="C192">
        <v>2021</v>
      </c>
      <c r="D192">
        <v>828</v>
      </c>
      <c r="E192">
        <v>342</v>
      </c>
      <c r="F192">
        <v>8.6999999999999993</v>
      </c>
      <c r="G192">
        <v>6.8</v>
      </c>
      <c r="H192">
        <v>26.3</v>
      </c>
      <c r="I192">
        <f t="shared" si="10"/>
        <v>283176</v>
      </c>
      <c r="J192">
        <f t="shared" si="11"/>
        <v>21776.400000000001</v>
      </c>
    </row>
    <row r="193" spans="1:10" x14ac:dyDescent="0.25">
      <c r="A193" t="s">
        <v>210</v>
      </c>
      <c r="B193" t="s">
        <v>223</v>
      </c>
      <c r="C193">
        <v>2021</v>
      </c>
      <c r="D193">
        <v>31</v>
      </c>
      <c r="E193">
        <v>337.8</v>
      </c>
      <c r="F193">
        <v>7.5</v>
      </c>
      <c r="G193">
        <v>6.5</v>
      </c>
      <c r="H193">
        <v>29.4</v>
      </c>
      <c r="I193">
        <f t="shared" si="10"/>
        <v>10471.800000000001</v>
      </c>
      <c r="J193">
        <f t="shared" si="11"/>
        <v>911.4</v>
      </c>
    </row>
    <row r="194" spans="1:10" x14ac:dyDescent="0.25">
      <c r="A194" t="s">
        <v>210</v>
      </c>
      <c r="B194" t="s">
        <v>216</v>
      </c>
      <c r="C194">
        <v>2021</v>
      </c>
      <c r="D194">
        <v>213</v>
      </c>
      <c r="E194">
        <v>353.4</v>
      </c>
      <c r="F194">
        <v>6.8</v>
      </c>
      <c r="G194">
        <v>7</v>
      </c>
      <c r="H194">
        <v>24.1</v>
      </c>
      <c r="I194">
        <f t="shared" si="10"/>
        <v>75274.2</v>
      </c>
      <c r="J194">
        <f t="shared" si="11"/>
        <v>5133.3</v>
      </c>
    </row>
    <row r="195" spans="1:10" x14ac:dyDescent="0.25">
      <c r="A195" t="s">
        <v>210</v>
      </c>
      <c r="B195" t="s">
        <v>213</v>
      </c>
      <c r="C195">
        <v>2021</v>
      </c>
      <c r="D195">
        <v>1861</v>
      </c>
      <c r="E195">
        <v>334.4</v>
      </c>
      <c r="F195">
        <v>8.3000000000000007</v>
      </c>
      <c r="G195">
        <v>6.4</v>
      </c>
      <c r="H195">
        <v>26.2</v>
      </c>
      <c r="I195">
        <f t="shared" si="10"/>
        <v>622318.39999999991</v>
      </c>
      <c r="J195">
        <f t="shared" si="11"/>
        <v>48758.2</v>
      </c>
    </row>
    <row r="196" spans="1:10" x14ac:dyDescent="0.25">
      <c r="A196" t="s">
        <v>210</v>
      </c>
      <c r="B196" t="s">
        <v>222</v>
      </c>
      <c r="C196">
        <v>2021</v>
      </c>
      <c r="D196">
        <v>111</v>
      </c>
      <c r="E196">
        <v>251.1</v>
      </c>
      <c r="F196">
        <v>7.1</v>
      </c>
      <c r="G196">
        <v>5.0999999999999996</v>
      </c>
      <c r="H196">
        <v>40.799999999999997</v>
      </c>
      <c r="I196">
        <f t="shared" si="10"/>
        <v>27872.1</v>
      </c>
      <c r="J196">
        <f t="shared" si="11"/>
        <v>4528.7999999999993</v>
      </c>
    </row>
    <row r="197" spans="1:10" x14ac:dyDescent="0.25">
      <c r="A197" t="s">
        <v>210</v>
      </c>
      <c r="B197" t="s">
        <v>224</v>
      </c>
      <c r="C197">
        <v>2021</v>
      </c>
      <c r="D197">
        <v>8705</v>
      </c>
      <c r="E197">
        <v>341.9</v>
      </c>
      <c r="F197">
        <v>7.8</v>
      </c>
      <c r="G197">
        <v>6.3</v>
      </c>
      <c r="H197">
        <v>26.8</v>
      </c>
      <c r="I197">
        <f t="shared" si="10"/>
        <v>2976239.5</v>
      </c>
      <c r="J197">
        <f t="shared" si="11"/>
        <v>233294</v>
      </c>
    </row>
    <row r="198" spans="1:10" x14ac:dyDescent="0.25">
      <c r="A198" t="s">
        <v>210</v>
      </c>
      <c r="B198" t="s">
        <v>219</v>
      </c>
      <c r="C198">
        <v>2021</v>
      </c>
      <c r="D198">
        <v>182</v>
      </c>
      <c r="E198">
        <v>349.5</v>
      </c>
      <c r="F198">
        <v>7.4</v>
      </c>
      <c r="G198">
        <v>7.3</v>
      </c>
      <c r="H198">
        <v>26.4</v>
      </c>
      <c r="I198">
        <f t="shared" si="10"/>
        <v>63609</v>
      </c>
      <c r="J198">
        <f t="shared" si="11"/>
        <v>4804.8</v>
      </c>
    </row>
    <row r="199" spans="1:10" x14ac:dyDescent="0.25">
      <c r="A199" t="s">
        <v>210</v>
      </c>
      <c r="B199" t="s">
        <v>220</v>
      </c>
      <c r="C199">
        <v>2021</v>
      </c>
      <c r="D199">
        <v>405</v>
      </c>
      <c r="E199">
        <v>355.7</v>
      </c>
      <c r="F199">
        <v>7.3</v>
      </c>
      <c r="G199">
        <v>6.7</v>
      </c>
      <c r="H199">
        <v>24.7</v>
      </c>
      <c r="I199">
        <f t="shared" si="10"/>
        <v>144058.5</v>
      </c>
      <c r="J199">
        <f t="shared" si="11"/>
        <v>10003.5</v>
      </c>
    </row>
    <row r="200" spans="1:10" x14ac:dyDescent="0.25">
      <c r="A200" t="s">
        <v>210</v>
      </c>
      <c r="B200" t="s">
        <v>208</v>
      </c>
      <c r="C200">
        <v>2021</v>
      </c>
      <c r="D200">
        <v>10071</v>
      </c>
      <c r="E200">
        <v>331.9</v>
      </c>
      <c r="F200">
        <v>7.2</v>
      </c>
      <c r="G200">
        <v>4.0999999999999996</v>
      </c>
      <c r="H200">
        <v>27.1</v>
      </c>
      <c r="I200">
        <f t="shared" ref="I200:I231" si="12">D200*E200</f>
        <v>3342564.9</v>
      </c>
      <c r="J200">
        <f t="shared" ref="J200:J231" si="13">D200*H200</f>
        <v>272924.10000000003</v>
      </c>
    </row>
    <row r="201" spans="1:10" x14ac:dyDescent="0.25">
      <c r="A201" t="s">
        <v>210</v>
      </c>
      <c r="B201" t="s">
        <v>200</v>
      </c>
      <c r="C201">
        <v>2021</v>
      </c>
      <c r="D201">
        <v>7607</v>
      </c>
      <c r="E201">
        <v>331.9</v>
      </c>
      <c r="F201">
        <v>7.4</v>
      </c>
      <c r="G201">
        <v>4.8</v>
      </c>
      <c r="H201">
        <v>28.1</v>
      </c>
      <c r="I201">
        <f t="shared" si="12"/>
        <v>2524763.2999999998</v>
      </c>
      <c r="J201">
        <f t="shared" si="13"/>
        <v>213756.7</v>
      </c>
    </row>
    <row r="202" spans="1:10" x14ac:dyDescent="0.25">
      <c r="A202" t="s">
        <v>212</v>
      </c>
      <c r="B202" t="s">
        <v>217</v>
      </c>
      <c r="C202">
        <v>2021</v>
      </c>
      <c r="D202">
        <v>3351</v>
      </c>
      <c r="E202">
        <v>355.8</v>
      </c>
      <c r="F202">
        <v>7.7</v>
      </c>
      <c r="G202">
        <v>7.8</v>
      </c>
      <c r="H202">
        <v>17.8</v>
      </c>
      <c r="I202">
        <f t="shared" si="12"/>
        <v>1192285.8</v>
      </c>
      <c r="J202">
        <f t="shared" si="13"/>
        <v>59647.8</v>
      </c>
    </row>
    <row r="203" spans="1:10" x14ac:dyDescent="0.25">
      <c r="A203" t="s">
        <v>212</v>
      </c>
      <c r="B203" t="s">
        <v>223</v>
      </c>
      <c r="C203">
        <v>2021</v>
      </c>
      <c r="D203">
        <v>424</v>
      </c>
      <c r="E203">
        <v>376.2</v>
      </c>
      <c r="F203">
        <v>5.2</v>
      </c>
      <c r="G203">
        <v>10</v>
      </c>
      <c r="H203">
        <v>14.8</v>
      </c>
      <c r="I203">
        <f t="shared" si="12"/>
        <v>159508.79999999999</v>
      </c>
      <c r="J203">
        <f t="shared" si="13"/>
        <v>6275.2000000000007</v>
      </c>
    </row>
    <row r="204" spans="1:10" x14ac:dyDescent="0.25">
      <c r="A204" t="s">
        <v>212</v>
      </c>
      <c r="B204" t="s">
        <v>216</v>
      </c>
      <c r="C204">
        <v>2021</v>
      </c>
      <c r="D204">
        <v>6384</v>
      </c>
      <c r="E204">
        <v>382.5</v>
      </c>
      <c r="F204">
        <v>6.4</v>
      </c>
      <c r="G204">
        <v>9.1</v>
      </c>
      <c r="H204">
        <v>16.5</v>
      </c>
      <c r="I204">
        <f t="shared" si="12"/>
        <v>2441880</v>
      </c>
      <c r="J204">
        <f t="shared" si="13"/>
        <v>105336</v>
      </c>
    </row>
    <row r="205" spans="1:10" x14ac:dyDescent="0.25">
      <c r="A205" t="s">
        <v>212</v>
      </c>
      <c r="B205" t="s">
        <v>213</v>
      </c>
      <c r="C205">
        <v>2021</v>
      </c>
      <c r="D205">
        <v>9982</v>
      </c>
      <c r="E205">
        <v>349.9</v>
      </c>
      <c r="F205">
        <v>7.8</v>
      </c>
      <c r="G205">
        <v>7.5</v>
      </c>
      <c r="H205">
        <v>18</v>
      </c>
      <c r="I205">
        <f t="shared" si="12"/>
        <v>3492701.8</v>
      </c>
      <c r="J205">
        <f t="shared" si="13"/>
        <v>179676</v>
      </c>
    </row>
    <row r="206" spans="1:10" x14ac:dyDescent="0.25">
      <c r="A206" t="s">
        <v>212</v>
      </c>
      <c r="B206" t="s">
        <v>222</v>
      </c>
      <c r="C206">
        <v>2021</v>
      </c>
      <c r="D206">
        <v>119</v>
      </c>
      <c r="E206">
        <v>201.4</v>
      </c>
      <c r="F206">
        <v>4.7</v>
      </c>
      <c r="G206">
        <v>5</v>
      </c>
      <c r="H206">
        <v>24.6</v>
      </c>
      <c r="I206">
        <f t="shared" si="12"/>
        <v>23966.600000000002</v>
      </c>
      <c r="J206">
        <f t="shared" si="13"/>
        <v>2927.4</v>
      </c>
    </row>
    <row r="207" spans="1:10" x14ac:dyDescent="0.25">
      <c r="A207" t="s">
        <v>212</v>
      </c>
      <c r="B207" t="s">
        <v>224</v>
      </c>
      <c r="C207">
        <v>2021</v>
      </c>
      <c r="D207">
        <v>50927</v>
      </c>
      <c r="E207">
        <v>363.4</v>
      </c>
      <c r="F207">
        <v>6.9</v>
      </c>
      <c r="G207">
        <v>7.9</v>
      </c>
      <c r="H207">
        <v>17.3</v>
      </c>
      <c r="I207">
        <f t="shared" si="12"/>
        <v>18506871.799999997</v>
      </c>
      <c r="J207">
        <f t="shared" si="13"/>
        <v>881037.10000000009</v>
      </c>
    </row>
    <row r="208" spans="1:10" x14ac:dyDescent="0.25">
      <c r="A208" t="s">
        <v>212</v>
      </c>
      <c r="B208" t="s">
        <v>219</v>
      </c>
      <c r="C208">
        <v>2021</v>
      </c>
      <c r="D208">
        <v>1914</v>
      </c>
      <c r="E208">
        <v>370.9</v>
      </c>
      <c r="F208">
        <v>6.4</v>
      </c>
      <c r="G208">
        <v>9.5</v>
      </c>
      <c r="H208">
        <v>16.8</v>
      </c>
      <c r="I208">
        <f t="shared" si="12"/>
        <v>709902.6</v>
      </c>
      <c r="J208">
        <f t="shared" si="13"/>
        <v>32155.200000000001</v>
      </c>
    </row>
    <row r="209" spans="1:10" x14ac:dyDescent="0.25">
      <c r="A209" t="s">
        <v>212</v>
      </c>
      <c r="B209" t="s">
        <v>220</v>
      </c>
      <c r="C209">
        <v>2021</v>
      </c>
      <c r="D209">
        <v>6751</v>
      </c>
      <c r="E209">
        <v>376.4</v>
      </c>
      <c r="F209">
        <v>6.5</v>
      </c>
      <c r="G209">
        <v>8.5</v>
      </c>
      <c r="H209">
        <v>16.5</v>
      </c>
      <c r="I209">
        <f t="shared" si="12"/>
        <v>2541076.4</v>
      </c>
      <c r="J209">
        <f t="shared" si="13"/>
        <v>111391.5</v>
      </c>
    </row>
    <row r="210" spans="1:10" x14ac:dyDescent="0.25">
      <c r="A210" t="s">
        <v>212</v>
      </c>
      <c r="B210" t="s">
        <v>208</v>
      </c>
      <c r="C210">
        <v>2021</v>
      </c>
      <c r="D210">
        <v>47163</v>
      </c>
      <c r="E210">
        <v>324.89999999999998</v>
      </c>
      <c r="F210">
        <v>6.2</v>
      </c>
      <c r="G210">
        <v>4.5</v>
      </c>
      <c r="H210">
        <v>18.399999999999999</v>
      </c>
      <c r="I210">
        <f t="shared" si="12"/>
        <v>15323258.699999999</v>
      </c>
      <c r="J210">
        <f t="shared" si="13"/>
        <v>867799.2</v>
      </c>
    </row>
    <row r="211" spans="1:10" x14ac:dyDescent="0.25">
      <c r="A211" t="s">
        <v>212</v>
      </c>
      <c r="B211" t="s">
        <v>200</v>
      </c>
      <c r="C211">
        <v>2021</v>
      </c>
      <c r="D211">
        <v>19826</v>
      </c>
      <c r="E211">
        <v>327.2</v>
      </c>
      <c r="F211">
        <v>6.5</v>
      </c>
      <c r="G211">
        <v>5.2</v>
      </c>
      <c r="H211">
        <v>18.8</v>
      </c>
      <c r="I211">
        <f t="shared" si="12"/>
        <v>6487067.2000000002</v>
      </c>
      <c r="J211">
        <f t="shared" si="13"/>
        <v>372728.8</v>
      </c>
    </row>
    <row r="212" spans="1:10" x14ac:dyDescent="0.25">
      <c r="A212" t="s">
        <v>214</v>
      </c>
      <c r="B212" t="s">
        <v>217</v>
      </c>
      <c r="C212">
        <v>2021</v>
      </c>
      <c r="D212">
        <v>375</v>
      </c>
      <c r="E212">
        <v>380.2</v>
      </c>
      <c r="F212">
        <v>6.7</v>
      </c>
      <c r="G212">
        <v>7.2</v>
      </c>
      <c r="H212">
        <v>30.6</v>
      </c>
      <c r="I212">
        <f t="shared" si="12"/>
        <v>142575</v>
      </c>
      <c r="J212">
        <f t="shared" si="13"/>
        <v>11475</v>
      </c>
    </row>
    <row r="213" spans="1:10" x14ac:dyDescent="0.25">
      <c r="A213" t="s">
        <v>214</v>
      </c>
      <c r="B213" t="s">
        <v>223</v>
      </c>
      <c r="C213">
        <v>2021</v>
      </c>
      <c r="D213">
        <v>16</v>
      </c>
      <c r="E213">
        <v>445.4</v>
      </c>
      <c r="F213">
        <v>4.4000000000000004</v>
      </c>
      <c r="G213">
        <v>8.9</v>
      </c>
      <c r="H213">
        <v>29</v>
      </c>
      <c r="I213">
        <f t="shared" si="12"/>
        <v>7126.4</v>
      </c>
      <c r="J213">
        <f t="shared" si="13"/>
        <v>464</v>
      </c>
    </row>
    <row r="214" spans="1:10" x14ac:dyDescent="0.25">
      <c r="A214" t="s">
        <v>214</v>
      </c>
      <c r="B214" t="s">
        <v>216</v>
      </c>
      <c r="C214">
        <v>2021</v>
      </c>
      <c r="D214">
        <v>404</v>
      </c>
      <c r="E214">
        <v>402.2</v>
      </c>
      <c r="F214">
        <v>5.3</v>
      </c>
      <c r="G214">
        <v>8.1999999999999993</v>
      </c>
      <c r="H214">
        <v>28.9</v>
      </c>
      <c r="I214">
        <f t="shared" si="12"/>
        <v>162488.79999999999</v>
      </c>
      <c r="J214">
        <f t="shared" si="13"/>
        <v>11675.599999999999</v>
      </c>
    </row>
    <row r="215" spans="1:10" x14ac:dyDescent="0.25">
      <c r="A215" t="s">
        <v>214</v>
      </c>
      <c r="B215" t="s">
        <v>213</v>
      </c>
      <c r="C215">
        <v>2021</v>
      </c>
      <c r="D215">
        <v>1695</v>
      </c>
      <c r="E215">
        <v>373.2</v>
      </c>
      <c r="F215">
        <v>6.6</v>
      </c>
      <c r="G215">
        <v>7</v>
      </c>
      <c r="H215">
        <v>30</v>
      </c>
      <c r="I215">
        <f t="shared" si="12"/>
        <v>632574</v>
      </c>
      <c r="J215">
        <f t="shared" si="13"/>
        <v>50850</v>
      </c>
    </row>
    <row r="216" spans="1:10" x14ac:dyDescent="0.25">
      <c r="A216" t="s">
        <v>214</v>
      </c>
      <c r="B216" t="s">
        <v>222</v>
      </c>
      <c r="C216">
        <v>2021</v>
      </c>
      <c r="D216">
        <v>79</v>
      </c>
      <c r="E216">
        <v>261.8</v>
      </c>
      <c r="F216">
        <v>4.8</v>
      </c>
      <c r="G216">
        <v>5.4</v>
      </c>
      <c r="H216">
        <v>34.5</v>
      </c>
      <c r="I216">
        <f t="shared" si="12"/>
        <v>20682.2</v>
      </c>
      <c r="J216">
        <f t="shared" si="13"/>
        <v>2725.5</v>
      </c>
    </row>
    <row r="217" spans="1:10" x14ac:dyDescent="0.25">
      <c r="A217" t="s">
        <v>214</v>
      </c>
      <c r="B217" t="s">
        <v>224</v>
      </c>
      <c r="C217">
        <v>2021</v>
      </c>
      <c r="D217">
        <v>6041</v>
      </c>
      <c r="E217">
        <v>367.8</v>
      </c>
      <c r="F217">
        <v>5.9</v>
      </c>
      <c r="G217">
        <v>7</v>
      </c>
      <c r="H217">
        <v>29.6</v>
      </c>
      <c r="I217">
        <f t="shared" si="12"/>
        <v>2221879.8000000003</v>
      </c>
      <c r="J217">
        <f t="shared" si="13"/>
        <v>178813.6</v>
      </c>
    </row>
    <row r="218" spans="1:10" x14ac:dyDescent="0.25">
      <c r="A218" t="s">
        <v>214</v>
      </c>
      <c r="B218" t="s">
        <v>219</v>
      </c>
      <c r="C218">
        <v>2021</v>
      </c>
      <c r="D218">
        <v>155</v>
      </c>
      <c r="E218">
        <v>404.3</v>
      </c>
      <c r="F218">
        <v>5.2</v>
      </c>
      <c r="G218">
        <v>9.3000000000000007</v>
      </c>
      <c r="H218">
        <v>29.5</v>
      </c>
      <c r="I218">
        <f t="shared" si="12"/>
        <v>62666.5</v>
      </c>
      <c r="J218">
        <f t="shared" si="13"/>
        <v>4572.5</v>
      </c>
    </row>
    <row r="219" spans="1:10" x14ac:dyDescent="0.25">
      <c r="A219" t="s">
        <v>214</v>
      </c>
      <c r="B219" t="s">
        <v>220</v>
      </c>
      <c r="C219">
        <v>2021</v>
      </c>
      <c r="D219">
        <v>513</v>
      </c>
      <c r="E219">
        <v>405.1</v>
      </c>
      <c r="F219">
        <v>5.3</v>
      </c>
      <c r="G219">
        <v>7.9</v>
      </c>
      <c r="H219">
        <v>29.4</v>
      </c>
      <c r="I219">
        <f t="shared" si="12"/>
        <v>207816.30000000002</v>
      </c>
      <c r="J219">
        <f t="shared" si="13"/>
        <v>15082.199999999999</v>
      </c>
    </row>
    <row r="220" spans="1:10" x14ac:dyDescent="0.25">
      <c r="A220" t="s">
        <v>214</v>
      </c>
      <c r="B220" t="s">
        <v>208</v>
      </c>
      <c r="C220">
        <v>2021</v>
      </c>
      <c r="D220">
        <v>5487</v>
      </c>
      <c r="E220">
        <v>363.9</v>
      </c>
      <c r="F220">
        <v>5.7</v>
      </c>
      <c r="G220">
        <v>4.4000000000000004</v>
      </c>
      <c r="H220">
        <v>28</v>
      </c>
      <c r="I220">
        <f t="shared" si="12"/>
        <v>1996719.2999999998</v>
      </c>
      <c r="J220">
        <f t="shared" si="13"/>
        <v>153636</v>
      </c>
    </row>
    <row r="221" spans="1:10" x14ac:dyDescent="0.25">
      <c r="A221" t="s">
        <v>214</v>
      </c>
      <c r="B221" t="s">
        <v>200</v>
      </c>
      <c r="C221">
        <v>2021</v>
      </c>
      <c r="D221">
        <v>2999</v>
      </c>
      <c r="E221">
        <v>357.5</v>
      </c>
      <c r="F221">
        <v>6.1</v>
      </c>
      <c r="G221">
        <v>5.0999999999999996</v>
      </c>
      <c r="H221">
        <v>28</v>
      </c>
      <c r="I221">
        <f t="shared" si="12"/>
        <v>1072142.5</v>
      </c>
      <c r="J221">
        <f t="shared" si="13"/>
        <v>83972</v>
      </c>
    </row>
    <row r="222" spans="1:10" x14ac:dyDescent="0.25">
      <c r="A222" t="s">
        <v>625</v>
      </c>
      <c r="B222" t="s">
        <v>217</v>
      </c>
      <c r="C222">
        <v>2021</v>
      </c>
      <c r="D222">
        <v>251</v>
      </c>
      <c r="E222">
        <v>545.5</v>
      </c>
      <c r="F222">
        <v>7.4</v>
      </c>
      <c r="G222">
        <v>8</v>
      </c>
      <c r="H222">
        <v>59.3</v>
      </c>
      <c r="I222">
        <f t="shared" si="12"/>
        <v>136920.5</v>
      </c>
      <c r="J222">
        <f t="shared" si="13"/>
        <v>14884.3</v>
      </c>
    </row>
    <row r="223" spans="1:10" x14ac:dyDescent="0.25">
      <c r="A223" t="s">
        <v>625</v>
      </c>
      <c r="B223" t="s">
        <v>223</v>
      </c>
      <c r="C223">
        <v>2021</v>
      </c>
      <c r="D223">
        <v>14</v>
      </c>
      <c r="E223">
        <v>594.79999999999995</v>
      </c>
      <c r="F223">
        <v>3.9</v>
      </c>
      <c r="G223">
        <v>10.4</v>
      </c>
      <c r="H223">
        <v>65.8</v>
      </c>
      <c r="I223">
        <f t="shared" si="12"/>
        <v>8327.1999999999989</v>
      </c>
      <c r="J223">
        <f t="shared" si="13"/>
        <v>921.19999999999993</v>
      </c>
    </row>
    <row r="224" spans="1:10" x14ac:dyDescent="0.25">
      <c r="A224" t="s">
        <v>625</v>
      </c>
      <c r="B224" t="s">
        <v>216</v>
      </c>
      <c r="C224">
        <v>2021</v>
      </c>
      <c r="D224">
        <v>326</v>
      </c>
      <c r="E224">
        <v>582</v>
      </c>
      <c r="F224">
        <v>5.3</v>
      </c>
      <c r="G224">
        <v>8.9</v>
      </c>
      <c r="H224">
        <v>59.6</v>
      </c>
      <c r="I224">
        <f t="shared" si="12"/>
        <v>189732</v>
      </c>
      <c r="J224">
        <f t="shared" si="13"/>
        <v>19429.600000000002</v>
      </c>
    </row>
    <row r="225" spans="1:10" x14ac:dyDescent="0.25">
      <c r="A225" t="s">
        <v>625</v>
      </c>
      <c r="B225" t="s">
        <v>213</v>
      </c>
      <c r="C225">
        <v>2021</v>
      </c>
      <c r="D225">
        <v>574</v>
      </c>
      <c r="E225">
        <v>539</v>
      </c>
      <c r="F225">
        <v>7.9</v>
      </c>
      <c r="G225">
        <v>7.9</v>
      </c>
      <c r="H225">
        <v>59</v>
      </c>
      <c r="I225">
        <f t="shared" si="12"/>
        <v>309386</v>
      </c>
      <c r="J225">
        <f t="shared" si="13"/>
        <v>33866</v>
      </c>
    </row>
    <row r="226" spans="1:10" x14ac:dyDescent="0.25">
      <c r="A226" t="s">
        <v>625</v>
      </c>
      <c r="B226" t="s">
        <v>222</v>
      </c>
      <c r="C226">
        <v>2021</v>
      </c>
      <c r="D226">
        <v>106</v>
      </c>
      <c r="E226">
        <v>292.10000000000002</v>
      </c>
      <c r="F226">
        <v>4.4000000000000004</v>
      </c>
      <c r="G226">
        <v>5</v>
      </c>
      <c r="H226">
        <v>58.6</v>
      </c>
      <c r="I226">
        <f t="shared" si="12"/>
        <v>30962.600000000002</v>
      </c>
      <c r="J226">
        <f t="shared" si="13"/>
        <v>6211.6</v>
      </c>
    </row>
    <row r="227" spans="1:10" x14ac:dyDescent="0.25">
      <c r="A227" t="s">
        <v>625</v>
      </c>
      <c r="B227" t="s">
        <v>224</v>
      </c>
      <c r="C227">
        <v>2021</v>
      </c>
      <c r="D227">
        <v>644</v>
      </c>
      <c r="E227">
        <v>457.3</v>
      </c>
      <c r="F227">
        <v>6.2</v>
      </c>
      <c r="G227">
        <v>7.8</v>
      </c>
      <c r="H227">
        <v>44.8</v>
      </c>
      <c r="I227">
        <f t="shared" si="12"/>
        <v>294501.2</v>
      </c>
      <c r="J227">
        <f t="shared" si="13"/>
        <v>28851.199999999997</v>
      </c>
    </row>
    <row r="228" spans="1:10" x14ac:dyDescent="0.25">
      <c r="A228" t="s">
        <v>625</v>
      </c>
      <c r="B228" t="s">
        <v>219</v>
      </c>
      <c r="C228">
        <v>2021</v>
      </c>
      <c r="D228">
        <v>101</v>
      </c>
      <c r="E228">
        <v>570.5</v>
      </c>
      <c r="F228">
        <v>5.5</v>
      </c>
      <c r="G228">
        <v>10.4</v>
      </c>
      <c r="H228">
        <v>65.099999999999994</v>
      </c>
      <c r="I228">
        <f t="shared" si="12"/>
        <v>57620.5</v>
      </c>
      <c r="J228">
        <f t="shared" si="13"/>
        <v>6575.0999999999995</v>
      </c>
    </row>
    <row r="229" spans="1:10" x14ac:dyDescent="0.25">
      <c r="A229" t="s">
        <v>625</v>
      </c>
      <c r="B229" t="s">
        <v>220</v>
      </c>
      <c r="C229">
        <v>2021</v>
      </c>
      <c r="D229">
        <v>419</v>
      </c>
      <c r="E229">
        <v>576.4</v>
      </c>
      <c r="F229">
        <v>5.7</v>
      </c>
      <c r="G229">
        <v>8.6999999999999993</v>
      </c>
      <c r="H229">
        <v>58.4</v>
      </c>
      <c r="I229">
        <f t="shared" si="12"/>
        <v>241511.59999999998</v>
      </c>
      <c r="J229">
        <f t="shared" si="13"/>
        <v>24469.599999999999</v>
      </c>
    </row>
    <row r="230" spans="1:10" x14ac:dyDescent="0.25">
      <c r="A230" t="s">
        <v>625</v>
      </c>
      <c r="B230" t="s">
        <v>208</v>
      </c>
      <c r="C230">
        <v>2021</v>
      </c>
      <c r="D230">
        <v>188</v>
      </c>
      <c r="E230">
        <v>432.9</v>
      </c>
      <c r="F230">
        <v>5.9</v>
      </c>
      <c r="G230">
        <v>4.9000000000000004</v>
      </c>
      <c r="H230">
        <v>41.2</v>
      </c>
      <c r="I230">
        <f t="shared" si="12"/>
        <v>81385.2</v>
      </c>
      <c r="J230">
        <f t="shared" si="13"/>
        <v>7745.6</v>
      </c>
    </row>
    <row r="231" spans="1:10" x14ac:dyDescent="0.25">
      <c r="A231" t="s">
        <v>625</v>
      </c>
      <c r="B231" t="s">
        <v>200</v>
      </c>
      <c r="C231">
        <v>2021</v>
      </c>
      <c r="D231">
        <v>120</v>
      </c>
      <c r="E231">
        <v>416.4</v>
      </c>
      <c r="F231">
        <v>6.4</v>
      </c>
      <c r="G231">
        <v>5.4</v>
      </c>
      <c r="H231">
        <v>41.5</v>
      </c>
      <c r="I231">
        <f t="shared" si="12"/>
        <v>49968</v>
      </c>
      <c r="J231">
        <f t="shared" si="13"/>
        <v>4980</v>
      </c>
    </row>
    <row r="232" spans="1:10" x14ac:dyDescent="0.25">
      <c r="A232" t="s">
        <v>117</v>
      </c>
      <c r="B232" t="s">
        <v>217</v>
      </c>
      <c r="C232">
        <v>2021</v>
      </c>
      <c r="D232">
        <v>273</v>
      </c>
      <c r="E232">
        <v>135.5</v>
      </c>
      <c r="F232">
        <v>5.2</v>
      </c>
      <c r="G232">
        <v>5.6</v>
      </c>
      <c r="H232">
        <v>8.1</v>
      </c>
      <c r="I232">
        <f t="shared" ref="I232:I241" si="14">D232*E232</f>
        <v>36991.5</v>
      </c>
      <c r="J232">
        <f t="shared" ref="J232:J241" si="15">D232*H232</f>
        <v>2211.2999999999997</v>
      </c>
    </row>
    <row r="233" spans="1:10" x14ac:dyDescent="0.25">
      <c r="A233" t="s">
        <v>117</v>
      </c>
      <c r="B233" t="s">
        <v>223</v>
      </c>
      <c r="C233">
        <v>2021</v>
      </c>
      <c r="D233">
        <v>18</v>
      </c>
      <c r="E233">
        <v>194.6</v>
      </c>
      <c r="F233">
        <v>3.9</v>
      </c>
      <c r="G233">
        <v>9.1999999999999993</v>
      </c>
      <c r="H233">
        <v>7.8</v>
      </c>
      <c r="I233">
        <f t="shared" si="14"/>
        <v>3502.7999999999997</v>
      </c>
      <c r="J233">
        <f t="shared" si="15"/>
        <v>140.4</v>
      </c>
    </row>
    <row r="234" spans="1:10" x14ac:dyDescent="0.25">
      <c r="A234" t="s">
        <v>117</v>
      </c>
      <c r="B234" t="s">
        <v>216</v>
      </c>
      <c r="C234">
        <v>2021</v>
      </c>
      <c r="D234">
        <v>92</v>
      </c>
      <c r="E234">
        <v>180.4</v>
      </c>
      <c r="F234">
        <v>5.7</v>
      </c>
      <c r="G234">
        <v>6.6</v>
      </c>
      <c r="H234">
        <v>9.8000000000000007</v>
      </c>
      <c r="I234">
        <f t="shared" si="14"/>
        <v>16596.8</v>
      </c>
      <c r="J234">
        <f t="shared" si="15"/>
        <v>901.6</v>
      </c>
    </row>
    <row r="235" spans="1:10" x14ac:dyDescent="0.25">
      <c r="A235" t="s">
        <v>117</v>
      </c>
      <c r="B235" t="s">
        <v>213</v>
      </c>
      <c r="C235">
        <v>2021</v>
      </c>
      <c r="D235">
        <v>294</v>
      </c>
      <c r="E235">
        <v>155.1</v>
      </c>
      <c r="F235">
        <v>5.5</v>
      </c>
      <c r="G235">
        <v>5.5</v>
      </c>
      <c r="H235">
        <v>9.6</v>
      </c>
      <c r="I235">
        <f t="shared" si="14"/>
        <v>45599.4</v>
      </c>
      <c r="J235">
        <f t="shared" si="15"/>
        <v>2822.4</v>
      </c>
    </row>
    <row r="236" spans="1:10" x14ac:dyDescent="0.25">
      <c r="A236" t="s">
        <v>117</v>
      </c>
      <c r="B236" t="s">
        <v>222</v>
      </c>
      <c r="C236">
        <v>2021</v>
      </c>
      <c r="D236">
        <v>45</v>
      </c>
      <c r="E236">
        <v>103.6</v>
      </c>
      <c r="F236">
        <v>4.8</v>
      </c>
      <c r="G236">
        <v>3.8</v>
      </c>
      <c r="H236">
        <v>13.6</v>
      </c>
      <c r="I236">
        <f t="shared" si="14"/>
        <v>4662</v>
      </c>
      <c r="J236">
        <f t="shared" si="15"/>
        <v>612</v>
      </c>
    </row>
    <row r="237" spans="1:10" x14ac:dyDescent="0.25">
      <c r="A237" t="s">
        <v>117</v>
      </c>
      <c r="B237" t="s">
        <v>224</v>
      </c>
      <c r="C237">
        <v>2021</v>
      </c>
      <c r="D237">
        <v>1982</v>
      </c>
      <c r="E237">
        <v>163.19999999999999</v>
      </c>
      <c r="F237">
        <v>5.6</v>
      </c>
      <c r="G237">
        <v>5.5</v>
      </c>
      <c r="H237">
        <v>9.3000000000000007</v>
      </c>
      <c r="I237">
        <f t="shared" si="14"/>
        <v>323462.39999999997</v>
      </c>
      <c r="J237">
        <f t="shared" si="15"/>
        <v>18432.600000000002</v>
      </c>
    </row>
    <row r="238" spans="1:10" x14ac:dyDescent="0.25">
      <c r="A238" t="s">
        <v>117</v>
      </c>
      <c r="B238" t="s">
        <v>219</v>
      </c>
      <c r="C238">
        <v>2021</v>
      </c>
      <c r="D238">
        <v>102</v>
      </c>
      <c r="E238">
        <v>183.7</v>
      </c>
      <c r="F238">
        <v>5.4</v>
      </c>
      <c r="G238">
        <v>8.1</v>
      </c>
      <c r="H238">
        <v>9.8000000000000007</v>
      </c>
      <c r="I238">
        <f t="shared" si="14"/>
        <v>18737.399999999998</v>
      </c>
      <c r="J238">
        <f t="shared" si="15"/>
        <v>999.6</v>
      </c>
    </row>
    <row r="239" spans="1:10" x14ac:dyDescent="0.25">
      <c r="A239" t="s">
        <v>117</v>
      </c>
      <c r="B239" t="s">
        <v>220</v>
      </c>
      <c r="C239">
        <v>2021</v>
      </c>
      <c r="D239">
        <v>85</v>
      </c>
      <c r="E239">
        <v>177.6</v>
      </c>
      <c r="F239">
        <v>5.2</v>
      </c>
      <c r="G239">
        <v>6.2</v>
      </c>
      <c r="H239">
        <v>9.3000000000000007</v>
      </c>
      <c r="I239">
        <f t="shared" si="14"/>
        <v>15096</v>
      </c>
      <c r="J239">
        <f t="shared" si="15"/>
        <v>790.50000000000011</v>
      </c>
    </row>
    <row r="240" spans="1:10" x14ac:dyDescent="0.25">
      <c r="A240" t="s">
        <v>117</v>
      </c>
      <c r="B240" t="s">
        <v>208</v>
      </c>
      <c r="C240">
        <v>2021</v>
      </c>
      <c r="D240">
        <v>5726</v>
      </c>
      <c r="E240">
        <v>170.2</v>
      </c>
      <c r="F240">
        <v>5.0999999999999996</v>
      </c>
      <c r="G240">
        <v>4.5</v>
      </c>
      <c r="H240">
        <v>9.3000000000000007</v>
      </c>
      <c r="I240">
        <f t="shared" si="14"/>
        <v>974565.2</v>
      </c>
      <c r="J240">
        <f t="shared" si="15"/>
        <v>53251.8</v>
      </c>
    </row>
    <row r="241" spans="1:10" x14ac:dyDescent="0.25">
      <c r="A241" t="s">
        <v>117</v>
      </c>
      <c r="B241" t="s">
        <v>200</v>
      </c>
      <c r="C241">
        <v>2021</v>
      </c>
      <c r="D241">
        <v>2294</v>
      </c>
      <c r="E241">
        <v>171.7</v>
      </c>
      <c r="F241">
        <v>5.5</v>
      </c>
      <c r="G241">
        <v>5.0999999999999996</v>
      </c>
      <c r="H241">
        <v>9.6999999999999993</v>
      </c>
      <c r="I241">
        <f t="shared" si="14"/>
        <v>393879.8</v>
      </c>
      <c r="J241">
        <f t="shared" si="15"/>
        <v>22251.8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7"/>
  <sheetViews>
    <sheetView workbookViewId="0">
      <selection activeCell="E14" sqref="E14"/>
    </sheetView>
  </sheetViews>
  <sheetFormatPr defaultRowHeight="15" x14ac:dyDescent="0.25"/>
  <cols>
    <col min="1" max="1" width="13.28515625" customWidth="1"/>
    <col min="2" max="2" width="22" customWidth="1"/>
    <col min="3" max="3" width="16.42578125" customWidth="1"/>
    <col min="4" max="4" width="21.140625" customWidth="1"/>
    <col min="5" max="5" width="18.42578125" customWidth="1"/>
    <col min="6" max="24" width="8.85546875" customWidth="1"/>
  </cols>
  <sheetData>
    <row r="2" spans="1:24" x14ac:dyDescent="0.25">
      <c r="A2" s="27" t="s">
        <v>225</v>
      </c>
    </row>
    <row r="3" spans="1:24" x14ac:dyDescent="0.25">
      <c r="B3" s="6" t="s">
        <v>193</v>
      </c>
      <c r="H3" s="6" t="s">
        <v>226</v>
      </c>
      <c r="N3" s="6" t="s">
        <v>227</v>
      </c>
      <c r="T3" s="6" t="s">
        <v>228</v>
      </c>
    </row>
    <row r="4" spans="1:24" ht="30" customHeight="1" x14ac:dyDescent="0.25">
      <c r="B4" s="70" t="s">
        <v>205</v>
      </c>
      <c r="C4" s="70" t="s">
        <v>215</v>
      </c>
      <c r="D4" s="70" t="s">
        <v>218</v>
      </c>
      <c r="E4" s="70" t="s">
        <v>229</v>
      </c>
      <c r="F4" s="70" t="s">
        <v>230</v>
      </c>
      <c r="G4" s="70"/>
      <c r="H4" s="70" t="s">
        <v>205</v>
      </c>
      <c r="I4" s="70" t="s">
        <v>215</v>
      </c>
      <c r="J4" s="70" t="s">
        <v>218</v>
      </c>
      <c r="K4" s="70" t="s">
        <v>229</v>
      </c>
      <c r="L4" s="70" t="s">
        <v>230</v>
      </c>
      <c r="M4" s="71"/>
      <c r="N4" s="70" t="s">
        <v>205</v>
      </c>
      <c r="O4" s="70" t="s">
        <v>215</v>
      </c>
      <c r="P4" s="70" t="s">
        <v>218</v>
      </c>
      <c r="Q4" s="70" t="s">
        <v>229</v>
      </c>
      <c r="R4" s="70" t="s">
        <v>230</v>
      </c>
      <c r="S4" s="70"/>
      <c r="T4" s="70" t="s">
        <v>205</v>
      </c>
      <c r="U4" s="70" t="s">
        <v>215</v>
      </c>
      <c r="V4" s="70" t="s">
        <v>218</v>
      </c>
      <c r="W4" s="70" t="s">
        <v>229</v>
      </c>
      <c r="X4" s="70" t="s">
        <v>230</v>
      </c>
    </row>
    <row r="5" spans="1:24" x14ac:dyDescent="0.25">
      <c r="A5" s="6" t="s">
        <v>231</v>
      </c>
      <c r="B5" s="73">
        <f>GETPIVOTDATA("Sum of Slaktvikt*Antal",'G&amp;D sammanställning'!$B$21,"Djur2",$A5,"Ras2",B$4)/GETPIVOTDATA("Sum of Antal djur",'G&amp;D sammanställning'!$B$21,"Djur2",$A5,"Ras2",B$4)</f>
        <v>311.47282254754418</v>
      </c>
      <c r="C5" s="72">
        <f>GETPIVOTDATA("Sum of Slaktvikt*Antal",'G&amp;D sammanställning'!$B$21,"Djur2",$A5,"Ras2",C$4)/GETPIVOTDATA("Sum of Antal djur",'G&amp;D sammanställning'!$B$21,"Djur2",$A5,"Ras2",C$4)</f>
        <v>352.69439445376088</v>
      </c>
      <c r="D5" s="72">
        <f>GETPIVOTDATA("Sum of Slaktvikt*Antal",'G&amp;D sammanställning'!$B$21,"Djur2",$A5,"Ras2",D$4)/GETPIVOTDATA("Sum of Antal djur",'G&amp;D sammanställning'!$B$21,"Djur2",$A5,"Ras2",D$4)</f>
        <v>333.97561001091174</v>
      </c>
      <c r="E5" s="73">
        <f t="shared" ref="E5:E14" si="0">(C5*$O5+D5*$P5)/SUM($O5,$P5)</f>
        <v>340.75348330914369</v>
      </c>
      <c r="F5" s="72">
        <f>(B5*$N5+C5*$O5+D5*$P5)/SUM($N5:$P5)</f>
        <v>321.58945681179154</v>
      </c>
      <c r="G5" s="72"/>
      <c r="H5" s="73">
        <f>GETPIVOTDATA("Sum of Ålder*Antal",'G&amp;D sammanställning'!$B$21,"Djur2",$A5,"Ras2",H$4)/GETPIVOTDATA("Sum of Antal djur",'G&amp;D sammanställning'!$B$21,"Djur2",$A5,"Ras2",H$4)</f>
        <v>61.98743349686297</v>
      </c>
      <c r="I5" s="72">
        <f>GETPIVOTDATA("Sum of Ålder*Antal",'G&amp;D sammanställning'!$B$21,"Djur2",$A5,"Ras2",I$4)/GETPIVOTDATA("Sum of Antal djur",'G&amp;D sammanställning'!$B$21,"Djur2",$A5,"Ras2",I$4)</f>
        <v>78.744656223158401</v>
      </c>
      <c r="J5" s="72">
        <f>GETPIVOTDATA("Sum of Ålder*Antal",'G&amp;D sammanställning'!$B$21,"Djur2",$A5,"Ras2",J$4)/GETPIVOTDATA("Sum of Antal djur",'G&amp;D sammanställning'!$B$21,"Djur2",$A5,"Ras2",J$4)</f>
        <v>72.938267592227149</v>
      </c>
      <c r="K5" s="73">
        <f t="shared" ref="K5:K14" si="1">(I5*$O5+J5*$P5)/SUM($O5,$P5)</f>
        <v>75.040699327626541</v>
      </c>
      <c r="L5" s="72">
        <f>(H5*$N5+I5*$O5+J5*$P5)/SUM($N5:$P5)</f>
        <v>66.497410831015785</v>
      </c>
      <c r="M5" s="72"/>
      <c r="N5" s="72">
        <f>GETPIVOTDATA("Sum of Antal djur",'G&amp;D sammanställning'!$B$21,"Djur2",$A5,"Ras2",N$4)/5</f>
        <v>51163</v>
      </c>
      <c r="O5" s="72">
        <f>GETPIVOTDATA("Sum of Antal djur",'G&amp;D sammanställning'!$B$21,"Djur2",$A5,"Ras2",O$4)/5</f>
        <v>9779.6</v>
      </c>
      <c r="P5" s="72">
        <f>GETPIVOTDATA("Sum of Antal djur",'G&amp;D sammanställning'!$B$21,"Djur2",$A5,"Ras2",P$4)/5</f>
        <v>17229.2</v>
      </c>
      <c r="Q5" s="72">
        <f t="shared" ref="Q5:Q14" si="2">SUM(O5,P5)</f>
        <v>27008.800000000003</v>
      </c>
      <c r="R5" s="72">
        <f t="shared" ref="R5:R14" si="3">SUM(N5,O5,P5)</f>
        <v>78171.8</v>
      </c>
      <c r="S5" s="72"/>
    </row>
    <row r="6" spans="1:24" x14ac:dyDescent="0.25">
      <c r="A6" t="s">
        <v>199</v>
      </c>
      <c r="B6" s="2">
        <f>GETPIVOTDATA("Sum of Slaktvikt*Antal",'G&amp;D sammanställning'!$B$21,"Djur",$A6,"Ras2",B$4)/GETPIVOTDATA("Sum of Antal djur",'G&amp;D sammanställning'!$B$21,"Djur",$A6,"Ras2",B$4)</f>
        <v>318.90839440931927</v>
      </c>
      <c r="C6" s="2">
        <f>GETPIVOTDATA("Sum of Slaktvikt*Antal",'G&amp;D sammanställning'!$B$21,"Djur",$A6,"Ras2",C$4)/GETPIVOTDATA("Sum of Antal djur",'G&amp;D sammanställning'!$B$21,"Djur",$A6,"Ras2",C$4)</f>
        <v>363.27389150754976</v>
      </c>
      <c r="D6" s="2">
        <f>GETPIVOTDATA("Sum of Slaktvikt*Antal",'G&amp;D sammanställning'!$B$21,"Djur",$A6,"Ras2",D$4)/GETPIVOTDATA("Sum of Antal djur",'G&amp;D sammanställning'!$B$21,"Djur",$A6,"Ras2",D$4)</f>
        <v>343.59159706323521</v>
      </c>
      <c r="E6" s="74">
        <f t="shared" si="0"/>
        <v>350.91758717760644</v>
      </c>
      <c r="F6" s="74">
        <f t="shared" ref="F6:F14" si="4">(B6*$N6+C6*$O6+D6*$P6)/SUM($N6:$P6)</f>
        <v>329.9815256899106</v>
      </c>
      <c r="G6" s="2"/>
      <c r="H6" s="2">
        <f>GETPIVOTDATA("Sum of Ålder*Antal",'G&amp;D sammanställning'!$B$21,"Djur",$A6,"Ras2",H$4)/GETPIVOTDATA("Sum of Antal djur",'G&amp;D sammanställning'!$B$21,"Djur",$A6,"Ras2",H$4)</f>
        <v>69.480358696905839</v>
      </c>
      <c r="I6" s="2">
        <f>GETPIVOTDATA("Sum of Ålder*Antal",'G&amp;D sammanställning'!$B$21,"Djur",$A6,"Ras2",I$4)/GETPIVOTDATA("Sum of Antal djur",'G&amp;D sammanställning'!$B$21,"Djur",$A6,"Ras2",I$4)</f>
        <v>91.338347846928173</v>
      </c>
      <c r="J6" s="2">
        <f>GETPIVOTDATA("Sum of Ålder*Antal",'G&amp;D sammanställning'!$B$21,"Djur",$A6,"Ras2",J$4)/GETPIVOTDATA("Sum of Antal djur",'G&amp;D sammanställning'!$B$21,"Djur",$A6,"Ras2",J$4)</f>
        <v>85.930076576932194</v>
      </c>
      <c r="K6" s="74">
        <f t="shared" si="1"/>
        <v>87.943101124040993</v>
      </c>
      <c r="L6" s="74">
        <f t="shared" ref="L6:L14" si="5">(H6*$N6+I6*$O6+J6*$P6)/SUM($N6:$P6)</f>
        <v>75.867285483074568</v>
      </c>
      <c r="M6" s="2"/>
      <c r="N6" s="2">
        <f>GETPIVOTDATA("Sum of Antal djur",'G&amp;D sammanställning'!$B$21,"Djur",$A6,"Ras2",N$4)/5</f>
        <v>38149.199999999997</v>
      </c>
      <c r="O6" s="2">
        <f>GETPIVOTDATA("Sum of Antal djur",'G&amp;D sammanställning'!$B$21,"Djur",$A6,"Ras2",O$4)/5</f>
        <v>7510.2</v>
      </c>
      <c r="P6" s="2">
        <f>GETPIVOTDATA("Sum of Antal djur",'G&amp;D sammanställning'!$B$21,"Djur",$A6,"Ras2",P$4)/5</f>
        <v>12667</v>
      </c>
      <c r="Q6" s="2">
        <f t="shared" si="2"/>
        <v>20177.2</v>
      </c>
      <c r="R6" s="2">
        <f t="shared" si="3"/>
        <v>58326.399999999994</v>
      </c>
      <c r="S6" s="2"/>
    </row>
    <row r="7" spans="1:24" x14ac:dyDescent="0.25">
      <c r="A7" t="s">
        <v>207</v>
      </c>
      <c r="B7" s="2">
        <f>GETPIVOTDATA("Sum of Slaktvikt*Antal",'G&amp;D sammanställning'!$B$21,"Djur",$A7,"Ras2",B$4)/GETPIVOTDATA("Sum of Antal djur",'G&amp;D sammanställning'!$B$21,"Djur",$A7,"Ras2",B$4)</f>
        <v>289.67587484055389</v>
      </c>
      <c r="C7" s="2">
        <f>GETPIVOTDATA("Sum of Slaktvikt*Antal",'G&amp;D sammanställning'!$B$21,"Djur",$A7,"Ras2",C$4)/GETPIVOTDATA("Sum of Antal djur",'G&amp;D sammanställning'!$B$21,"Djur",$A7,"Ras2",C$4)</f>
        <v>317.68331717634618</v>
      </c>
      <c r="D7" s="2">
        <f>GETPIVOTDATA("Sum of Slaktvikt*Antal",'G&amp;D sammanställning'!$B$21,"Djur",$A7,"Ras2",D$4)/GETPIVOTDATA("Sum of Antal djur",'G&amp;D sammanställning'!$B$21,"Djur",$A7,"Ras2",D$4)</f>
        <v>307.27671298934729</v>
      </c>
      <c r="E7" s="74">
        <f t="shared" si="0"/>
        <v>310.7336992798173</v>
      </c>
      <c r="F7" s="74">
        <f t="shared" si="4"/>
        <v>296.92484102109307</v>
      </c>
      <c r="G7" s="2"/>
      <c r="H7" s="2">
        <f>GETPIVOTDATA("Sum of Ålder*Antal",'G&amp;D sammanställning'!$B$21,"Djur",$A7,"Ras2",H$4)/GETPIVOTDATA("Sum of Antal djur",'G&amp;D sammanställning'!$B$21,"Djur",$A7,"Ras2",H$4)</f>
        <v>40.022357804791838</v>
      </c>
      <c r="I7" s="2">
        <f>GETPIVOTDATA("Sum of Ålder*Antal",'G&amp;D sammanställning'!$B$21,"Djur",$A7,"Ras2",I$4)/GETPIVOTDATA("Sum of Antal djur",'G&amp;D sammanställning'!$B$21,"Djur",$A7,"Ras2",I$4)</f>
        <v>37.067938662201463</v>
      </c>
      <c r="J7" s="2">
        <f>GETPIVOTDATA("Sum of Ålder*Antal",'G&amp;D sammanställning'!$B$21,"Djur",$A7,"Ras2",J$4)/GETPIVOTDATA("Sum of Antal djur",'G&amp;D sammanställning'!$B$21,"Djur",$A7,"Ras2",J$4)</f>
        <v>36.866362719740472</v>
      </c>
      <c r="K7" s="74">
        <f t="shared" si="1"/>
        <v>36.933324550617712</v>
      </c>
      <c r="L7" s="74">
        <f t="shared" si="5"/>
        <v>38.958985961482263</v>
      </c>
      <c r="M7" s="2"/>
      <c r="N7" s="2">
        <f>GETPIVOTDATA("Sum of Antal djur",'G&amp;D sammanställning'!$B$21,"Djur",$A7,"Ras2",N$4)/5</f>
        <v>13013.8</v>
      </c>
      <c r="O7" s="2">
        <f>GETPIVOTDATA("Sum of Antal djur",'G&amp;D sammanställning'!$B$21,"Djur",$A7,"Ras2",O$4)/5</f>
        <v>2269.4</v>
      </c>
      <c r="P7" s="2">
        <f>GETPIVOTDATA("Sum of Antal djur",'G&amp;D sammanställning'!$B$21,"Djur",$A7,"Ras2",P$4)/5</f>
        <v>4562.2</v>
      </c>
      <c r="Q7" s="2">
        <f t="shared" si="2"/>
        <v>6831.6</v>
      </c>
      <c r="R7" s="2">
        <f t="shared" si="3"/>
        <v>19845.399999999998</v>
      </c>
      <c r="S7" s="2"/>
    </row>
    <row r="8" spans="1:24" x14ac:dyDescent="0.25">
      <c r="A8" s="6" t="s">
        <v>209</v>
      </c>
      <c r="B8" s="75">
        <f>GETPIVOTDATA("Sum of Slaktvikt*Antal",'G&amp;D sammanställning'!$B$21,"Djur",$A8,"Ras2",B$4)/GETPIVOTDATA("Sum of Antal djur",'G&amp;D sammanställning'!$B$21,"Djur",$A8,"Ras2",B$4)</f>
        <v>300.087726618354</v>
      </c>
      <c r="C8" s="2">
        <f>GETPIVOTDATA("Sum of Slaktvikt*Antal",'G&amp;D sammanställning'!$B$21,"Djur",$A8,"Ras2",C$4)/GETPIVOTDATA("Sum of Antal djur",'G&amp;D sammanställning'!$B$21,"Djur",$A8,"Ras2",C$4)</f>
        <v>309.18812858690853</v>
      </c>
      <c r="D8" s="2">
        <f>GETPIVOTDATA("Sum of Slaktvikt*Antal",'G&amp;D sammanställning'!$B$21,"Djur",$A8,"Ras2",D$4)/GETPIVOTDATA("Sum of Antal djur",'G&amp;D sammanställning'!$B$21,"Djur",$A8,"Ras2",D$4)</f>
        <v>311.10277544244258</v>
      </c>
      <c r="E8" s="76">
        <f t="shared" si="0"/>
        <v>310.43925772421613</v>
      </c>
      <c r="F8" s="74">
        <f t="shared" si="4"/>
        <v>308.14340527318382</v>
      </c>
      <c r="G8" s="2"/>
      <c r="H8" s="285">
        <f>GETPIVOTDATA("Sum of Ålder*Antal",'G&amp;D sammanställning'!$B$21,"Djur",$A8,"Ras2",H$4)/GETPIVOTDATA("Sum of Antal djur",'G&amp;D sammanställning'!$B$21,"Djur",$A8,"Ras2",H$4)</f>
        <v>30.188104823951395</v>
      </c>
      <c r="I8" s="2">
        <f>GETPIVOTDATA("Sum of Ålder*Antal",'G&amp;D sammanställning'!$B$21,"Djur",$A8,"Ras2",I$4)/GETPIVOTDATA("Sum of Antal djur",'G&amp;D sammanställning'!$B$21,"Djur",$A8,"Ras2",I$4)</f>
        <v>25.943963960348356</v>
      </c>
      <c r="J8" s="2">
        <f>GETPIVOTDATA("Sum of Ålder*Antal",'G&amp;D sammanställning'!$B$21,"Djur",$A8,"Ras2",J$4)/GETPIVOTDATA("Sum of Antal djur",'G&amp;D sammanställning'!$B$21,"Djur",$A8,"Ras2",J$4)</f>
        <v>26.07065459150553</v>
      </c>
      <c r="K8" s="76">
        <f t="shared" si="1"/>
        <v>26.026750161681768</v>
      </c>
      <c r="L8" s="74">
        <f t="shared" si="5"/>
        <v>26.949691531734349</v>
      </c>
      <c r="M8" s="2"/>
      <c r="N8" s="2">
        <f>GETPIVOTDATA("Sum of Antal djur",'G&amp;D sammanställning'!$B$21,"Djur",$A8,"Ras2",N$4)/5</f>
        <v>8196.6</v>
      </c>
      <c r="O8" s="2">
        <f>GETPIVOTDATA("Sum of Antal djur",'G&amp;D sammanställning'!$B$21,"Djur",$A8,"Ras2",O$4)/5</f>
        <v>9966.7999999999993</v>
      </c>
      <c r="P8" s="2">
        <f>GETPIVOTDATA("Sum of Antal djur",'G&amp;D sammanställning'!$B$21,"Djur",$A8,"Ras2",P$4)/5</f>
        <v>18793.400000000001</v>
      </c>
      <c r="Q8" s="2">
        <f t="shared" si="2"/>
        <v>28760.2</v>
      </c>
      <c r="R8" s="2">
        <f t="shared" si="3"/>
        <v>36956.800000000003</v>
      </c>
      <c r="S8" s="2"/>
      <c r="T8" s="75">
        <f t="shared" ref="T8:X12" si="6">N8/SUM(N$8:N$10,N$14)*100</f>
        <v>11.454228363490014</v>
      </c>
      <c r="U8" s="2">
        <f t="shared" si="6"/>
        <v>31.202414345822476</v>
      </c>
      <c r="V8" s="2">
        <f t="shared" si="6"/>
        <v>31.077545863746558</v>
      </c>
      <c r="W8" s="75">
        <f t="shared" si="6"/>
        <v>31.120705513174268</v>
      </c>
      <c r="X8" s="2">
        <f t="shared" si="6"/>
        <v>22.538124807134764</v>
      </c>
    </row>
    <row r="9" spans="1:24" x14ac:dyDescent="0.25">
      <c r="A9" s="6" t="s">
        <v>210</v>
      </c>
      <c r="B9" s="75">
        <f>GETPIVOTDATA("Sum of Slaktvikt*Antal",'G&amp;D sammanställning'!$B$21,"Djur",$A9,"Ras2",B$4)/GETPIVOTDATA("Sum of Antal djur",'G&amp;D sammanställning'!$B$21,"Djur",$A9,"Ras2",B$4)</f>
        <v>328.06056613664163</v>
      </c>
      <c r="C9" s="2">
        <f>GETPIVOTDATA("Sum of Slaktvikt*Antal",'G&amp;D sammanställning'!$B$21,"Djur",$A9,"Ras2",C$4)/GETPIVOTDATA("Sum of Antal djur",'G&amp;D sammanställning'!$B$21,"Djur",$A9,"Ras2",C$4)</f>
        <v>332.89401405062068</v>
      </c>
      <c r="D9" s="2">
        <f>GETPIVOTDATA("Sum of Slaktvikt*Antal",'G&amp;D sammanställning'!$B$21,"Djur",$A9,"Ras2",D$4)/GETPIVOTDATA("Sum of Antal djur",'G&amp;D sammanställning'!$B$21,"Djur",$A9,"Ras2",D$4)</f>
        <v>337.21851305731252</v>
      </c>
      <c r="E9" s="76">
        <f t="shared" si="0"/>
        <v>335.97588628947517</v>
      </c>
      <c r="F9" s="74">
        <f t="shared" si="4"/>
        <v>331.12543044372109</v>
      </c>
      <c r="G9" s="2"/>
      <c r="H9" s="75">
        <f>GETPIVOTDATA("Sum of Ålder*Antal",'G&amp;D sammanställning'!$B$21,"Djur",$A9,"Ras2",H$4)/GETPIVOTDATA("Sum of Antal djur",'G&amp;D sammanställning'!$B$21,"Djur",$A9,"Ras2",H$4)</f>
        <v>29.050688450113576</v>
      </c>
      <c r="I9" s="2">
        <f>GETPIVOTDATA("Sum of Ålder*Antal",'G&amp;D sammanställning'!$B$21,"Djur",$A9,"Ras2",I$4)/GETPIVOTDATA("Sum of Antal djur",'G&amp;D sammanställning'!$B$21,"Djur",$A9,"Ras2",I$4)</f>
        <v>27.273573284573185</v>
      </c>
      <c r="J9" s="2">
        <f>GETPIVOTDATA("Sum of Ålder*Antal",'G&amp;D sammanställning'!$B$21,"Djur",$A9,"Ras2",J$4)/GETPIVOTDATA("Sum of Antal djur",'G&amp;D sammanställning'!$B$21,"Djur",$A9,"Ras2",J$4)</f>
        <v>27.672725156183308</v>
      </c>
      <c r="K9" s="76">
        <f t="shared" si="1"/>
        <v>27.558030529284888</v>
      </c>
      <c r="L9" s="74">
        <f t="shared" si="5"/>
        <v>28.47272143224259</v>
      </c>
      <c r="M9" s="2"/>
      <c r="N9" s="2">
        <f>GETPIVOTDATA("Sum of Antal djur",'G&amp;D sammanställning'!$B$21,"Djur",$A9,"Ras2",N$4)/5</f>
        <v>11446</v>
      </c>
      <c r="O9" s="2">
        <f>GETPIVOTDATA("Sum of Antal djur",'G&amp;D sammanställning'!$B$21,"Djur",$A9,"Ras2",O$4)/5</f>
        <v>2078.1999999999998</v>
      </c>
      <c r="P9" s="2">
        <f>GETPIVOTDATA("Sum of Antal djur",'G&amp;D sammanställning'!$B$21,"Djur",$A9,"Ras2",P$4)/5</f>
        <v>5154.2</v>
      </c>
      <c r="Q9" s="2">
        <f t="shared" si="2"/>
        <v>7232.4</v>
      </c>
      <c r="R9" s="2">
        <f t="shared" si="3"/>
        <v>18678.400000000001</v>
      </c>
      <c r="S9" s="2"/>
      <c r="T9" s="75">
        <f t="shared" si="6"/>
        <v>15.99505866438605</v>
      </c>
      <c r="U9" s="2">
        <f t="shared" si="6"/>
        <v>6.5060859547184924</v>
      </c>
      <c r="V9" s="2">
        <f t="shared" si="6"/>
        <v>8.5231989363777974</v>
      </c>
      <c r="W9" s="75">
        <f t="shared" si="6"/>
        <v>7.8260022723583829</v>
      </c>
      <c r="X9" s="2">
        <f t="shared" si="6"/>
        <v>11.391032513572224</v>
      </c>
    </row>
    <row r="10" spans="1:24" x14ac:dyDescent="0.25">
      <c r="A10" s="6" t="s">
        <v>211</v>
      </c>
      <c r="B10" s="73">
        <f>GETPIVOTDATA("Sum of Slaktvikt*Antal",'G&amp;D sammanställning'!$B$21,"Djur2",$A10,"Ras2",B$4)/GETPIVOTDATA("Sum of Antal djur",'G&amp;D sammanställning'!$B$21,"Djur2",$A10,"Ras2",B$4)</f>
        <v>328.17399870801034</v>
      </c>
      <c r="C10" s="72">
        <f>GETPIVOTDATA("Sum of Slaktvikt*Antal",'G&amp;D sammanställning'!$B$21,"Djur2",$A10,"Ras2",C$4)/GETPIVOTDATA("Sum of Antal djur",'G&amp;D sammanställning'!$B$21,"Djur2",$A10,"Ras2",C$4)</f>
        <v>360.7822367330017</v>
      </c>
      <c r="D10" s="72">
        <f>GETPIVOTDATA("Sum of Slaktvikt*Antal",'G&amp;D sammanställning'!$B$21,"Djur2",$A10,"Ras2",D$4)/GETPIVOTDATA("Sum of Antal djur",'G&amp;D sammanställning'!$B$21,"Djur2",$A10,"Ras2",D$4)</f>
        <v>358.75870602843344</v>
      </c>
      <c r="E10" s="73">
        <f t="shared" si="0"/>
        <v>359.47633763159445</v>
      </c>
      <c r="F10" s="72">
        <f t="shared" si="4"/>
        <v>345.06199568466303</v>
      </c>
      <c r="G10" s="72"/>
      <c r="H10" s="288">
        <f>GETPIVOTDATA("Sum of Ålder*Antal",'G&amp;D sammanställning'!$B$21,"Djur2",$A10,"Ras2",H$4)/GETPIVOTDATA("Sum of Antal djur",'G&amp;D sammanställning'!$B$21,"Djur2",$A10,"Ras2",H$4)</f>
        <v>21.274161929371228</v>
      </c>
      <c r="I10" s="287">
        <f>GETPIVOTDATA("Sum of Ålder*Antal",'G&amp;D sammanställning'!$B$21,"Djur2",$A10,"Ras2",I$4)/GETPIVOTDATA("Sum of Antal djur",'G&amp;D sammanställning'!$B$21,"Djur2",$A10,"Ras2",I$4)</f>
        <v>19.408367537313431</v>
      </c>
      <c r="J10" s="287">
        <f>GETPIVOTDATA("Sum of Ålder*Antal",'G&amp;D sammanställning'!$B$21,"Djur2",$A10,"Ras2",J$4)/GETPIVOTDATA("Sum of Antal djur",'G&amp;D sammanställning'!$B$21,"Djur2",$A10,"Ras2",J$4)</f>
        <v>19.153458489018501</v>
      </c>
      <c r="K10" s="288">
        <f t="shared" si="1"/>
        <v>19.243860274657415</v>
      </c>
      <c r="L10" s="287">
        <f t="shared" si="5"/>
        <v>20.178789206898191</v>
      </c>
      <c r="M10" s="72"/>
      <c r="N10" s="72">
        <f>GETPIVOTDATA("Sum of Antal djur",'G&amp;D sammanställning'!$B$21,"Djur2",$A10,"Ras2",N$4)/5</f>
        <v>46440</v>
      </c>
      <c r="O10" s="72">
        <f>GETPIVOTDATA("Sum of Antal djur",'G&amp;D sammanställning'!$B$21,"Djur2",$A10,"Ras2",O$4)/5</f>
        <v>19296</v>
      </c>
      <c r="P10" s="72">
        <f>GETPIVOTDATA("Sum of Antal djur",'G&amp;D sammanställning'!$B$21,"Djur2",$A10,"Ras2",P$4)/5</f>
        <v>35113.599999999999</v>
      </c>
      <c r="Q10" s="72">
        <f t="shared" si="2"/>
        <v>54409.599999999999</v>
      </c>
      <c r="R10" s="72">
        <f t="shared" si="3"/>
        <v>100849.60000000001</v>
      </c>
      <c r="S10" s="72"/>
      <c r="T10" s="73">
        <f t="shared" si="6"/>
        <v>64.896953029362933</v>
      </c>
      <c r="U10" s="72">
        <f t="shared" si="6"/>
        <v>60.408735724303739</v>
      </c>
      <c r="V10" s="72">
        <f t="shared" si="6"/>
        <v>58.065305609482643</v>
      </c>
      <c r="W10" s="73">
        <f t="shared" si="6"/>
        <v>58.875290807769296</v>
      </c>
      <c r="X10" s="72">
        <f t="shared" si="6"/>
        <v>61.50318402972168</v>
      </c>
    </row>
    <row r="11" spans="1:24" x14ac:dyDescent="0.25">
      <c r="A11" t="s">
        <v>212</v>
      </c>
      <c r="B11" s="2">
        <f>GETPIVOTDATA("Sum of Slaktvikt*Antal",'G&amp;D sammanställning'!$B$21,"Djur",$A11,"Ras2",B$4)/GETPIVOTDATA("Sum of Antal djur",'G&amp;D sammanställning'!$B$21,"Djur",$A11,"Ras2",B$4)</f>
        <v>324.47747006098916</v>
      </c>
      <c r="C11" s="2">
        <f>GETPIVOTDATA("Sum of Slaktvikt*Antal",'G&amp;D sammanställning'!$B$21,"Djur",$A11,"Ras2",C$4)/GETPIVOTDATA("Sum of Antal djur",'G&amp;D sammanställning'!$B$21,"Djur",$A11,"Ras2",C$4)</f>
        <v>358.65828710326468</v>
      </c>
      <c r="D11" s="2">
        <f>GETPIVOTDATA("Sum of Slaktvikt*Antal",'G&amp;D sammanställning'!$B$21,"Djur",$A11,"Ras2",D$4)/GETPIVOTDATA("Sum of Antal djur",'G&amp;D sammanställning'!$B$21,"Djur",$A11,"Ras2",D$4)</f>
        <v>358.24003004346713</v>
      </c>
      <c r="E11" s="74">
        <f t="shared" si="0"/>
        <v>358.3883781654381</v>
      </c>
      <c r="F11" s="74">
        <f t="shared" si="4"/>
        <v>342.95454690527242</v>
      </c>
      <c r="G11" s="2"/>
      <c r="H11" s="2">
        <f>GETPIVOTDATA("Sum of Ålder*Antal",'G&amp;D sammanställning'!$B$21,"Djur",$A11,"Ras2",H$4)/GETPIVOTDATA("Sum of Antal djur",'G&amp;D sammanställning'!$B$21,"Djur",$A11,"Ras2",H$4)</f>
        <v>20.19890021975851</v>
      </c>
      <c r="I11" s="2">
        <f>GETPIVOTDATA("Sum of Ålder*Antal",'G&amp;D sammanställning'!$B$21,"Djur",$A11,"Ras2",I$4)/GETPIVOTDATA("Sum of Antal djur",'G&amp;D sammanställning'!$B$21,"Djur",$A11,"Ras2",I$4)</f>
        <v>18.079117965179162</v>
      </c>
      <c r="J11" s="2">
        <f>GETPIVOTDATA("Sum of Ålder*Antal",'G&amp;D sammanställning'!$B$21,"Djur",$A11,"Ras2",J$4)/GETPIVOTDATA("Sum of Antal djur",'G&amp;D sammanställning'!$B$21,"Djur",$A11,"Ras2",J$4)</f>
        <v>17.905968422398363</v>
      </c>
      <c r="K11" s="74">
        <f t="shared" si="1"/>
        <v>17.96738139532965</v>
      </c>
      <c r="L11" s="74">
        <f t="shared" si="5"/>
        <v>18.983009902948407</v>
      </c>
      <c r="M11" s="2"/>
      <c r="N11" s="2">
        <f>GETPIVOTDATA("Sum of Antal djur",'G&amp;D sammanställning'!$B$21,"Djur",$A11,"Ras2",N$4)/5</f>
        <v>40499</v>
      </c>
      <c r="O11" s="2">
        <f>GETPIVOTDATA("Sum of Antal djur",'G&amp;D sammanställning'!$B$21,"Djur",$A11,"Ras2",O$4)/5</f>
        <v>17196.599999999999</v>
      </c>
      <c r="P11" s="2">
        <f>GETPIVOTDATA("Sum of Antal djur",'G&amp;D sammanställning'!$B$21,"Djur",$A11,"Ras2",P$4)/5</f>
        <v>31288</v>
      </c>
      <c r="Q11" s="2">
        <f t="shared" si="2"/>
        <v>48484.6</v>
      </c>
      <c r="R11" s="2">
        <f t="shared" si="3"/>
        <v>88983.6</v>
      </c>
      <c r="S11" s="2"/>
      <c r="T11" s="2">
        <f t="shared" si="6"/>
        <v>56.594782530925272</v>
      </c>
      <c r="U11" s="2">
        <f t="shared" si="6"/>
        <v>53.836280304548175</v>
      </c>
      <c r="V11" s="2">
        <f t="shared" si="6"/>
        <v>51.739134748629958</v>
      </c>
      <c r="W11" s="2">
        <f t="shared" si="6"/>
        <v>52.463993940377641</v>
      </c>
      <c r="X11" s="2">
        <f t="shared" si="6"/>
        <v>54.266697403134387</v>
      </c>
    </row>
    <row r="12" spans="1:24" x14ac:dyDescent="0.25">
      <c r="A12" t="s">
        <v>214</v>
      </c>
      <c r="B12" s="2">
        <f>GETPIVOTDATA("Sum of Slaktvikt*Antal",'G&amp;D sammanställning'!$B$21,"Djur",$A12,"Ras2",B$4)/GETPIVOTDATA("Sum of Antal djur",'G&amp;D sammanställning'!$B$21,"Djur",$A12,"Ras2",B$4)</f>
        <v>353.37273859619592</v>
      </c>
      <c r="C12" s="2">
        <f>GETPIVOTDATA("Sum of Slaktvikt*Antal",'G&amp;D sammanställning'!$B$21,"Djur",$A12,"Ras2",C$4)/GETPIVOTDATA("Sum of Antal djur",'G&amp;D sammanställning'!$B$21,"Djur",$A12,"Ras2",C$4)</f>
        <v>378.1799275983613</v>
      </c>
      <c r="D12" s="2">
        <f>GETPIVOTDATA("Sum of Slaktvikt*Antal",'G&amp;D sammanställning'!$B$21,"Djur",$A12,"Ras2",D$4)/GETPIVOTDATA("Sum of Antal djur",'G&amp;D sammanställning'!$B$21,"Djur",$A12,"Ras2",D$4)</f>
        <v>363.00074236721042</v>
      </c>
      <c r="E12" s="74">
        <f t="shared" si="0"/>
        <v>368.37916962025315</v>
      </c>
      <c r="F12" s="74">
        <f t="shared" si="4"/>
        <v>360.86583684476653</v>
      </c>
      <c r="G12" s="2"/>
      <c r="H12" s="2">
        <f>GETPIVOTDATA("Sum of Ålder*Antal",'G&amp;D sammanställning'!$B$21,"Djur",$A12,"Ras2",H$4)/GETPIVOTDATA("Sum of Antal djur",'G&amp;D sammanställning'!$B$21,"Djur",$A12,"Ras2",H$4)</f>
        <v>28.604076754755091</v>
      </c>
      <c r="I12" s="2">
        <f>GETPIVOTDATA("Sum of Ålder*Antal",'G&amp;D sammanställning'!$B$21,"Djur",$A12,"Ras2",I$4)/GETPIVOTDATA("Sum of Antal djur",'G&amp;D sammanställning'!$B$21,"Djur",$A12,"Ras2",I$4)</f>
        <v>30.296513289511289</v>
      </c>
      <c r="J12" s="2">
        <f>GETPIVOTDATA("Sum of Ålder*Antal",'G&amp;D sammanställning'!$B$21,"Djur",$A12,"Ras2",J$4)/GETPIVOTDATA("Sum of Antal djur",'G&amp;D sammanställning'!$B$21,"Djur",$A12,"Ras2",J$4)</f>
        <v>29.356163739021326</v>
      </c>
      <c r="K12" s="74">
        <f t="shared" si="1"/>
        <v>29.689356962025318</v>
      </c>
      <c r="L12" s="74">
        <f t="shared" si="5"/>
        <v>29.145985167706051</v>
      </c>
      <c r="M12" s="2"/>
      <c r="N12" s="2">
        <f>GETPIVOTDATA("Sum of Antal djur",'G&amp;D sammanställning'!$B$21,"Djur",$A12,"Ras2",N$4)/5</f>
        <v>5941</v>
      </c>
      <c r="O12" s="2">
        <f>GETPIVOTDATA("Sum of Antal djur",'G&amp;D sammanställning'!$B$21,"Djur",$A12,"Ras2",O$4)/5</f>
        <v>2099.4</v>
      </c>
      <c r="P12" s="2">
        <f>GETPIVOTDATA("Sum of Antal djur",'G&amp;D sammanställning'!$B$21,"Djur",$A12,"Ras2",P$4)/5</f>
        <v>3825.6</v>
      </c>
      <c r="Q12" s="2">
        <f t="shared" si="2"/>
        <v>5925</v>
      </c>
      <c r="R12" s="2">
        <f t="shared" si="3"/>
        <v>11866</v>
      </c>
      <c r="S12" s="2"/>
      <c r="T12" s="2">
        <f t="shared" si="6"/>
        <v>8.3021704984376647</v>
      </c>
      <c r="U12" s="2">
        <f t="shared" si="6"/>
        <v>6.5724554197555598</v>
      </c>
      <c r="V12" s="2">
        <f t="shared" si="6"/>
        <v>6.3261708608526837</v>
      </c>
      <c r="W12" s="2">
        <f t="shared" si="6"/>
        <v>6.4112968673916564</v>
      </c>
      <c r="X12" s="2">
        <f t="shared" si="6"/>
        <v>7.236486626587288</v>
      </c>
    </row>
    <row r="13" spans="1:24" x14ac:dyDescent="0.25">
      <c r="A13" s="6" t="s">
        <v>625</v>
      </c>
      <c r="B13" s="75">
        <f>GETPIVOTDATA("Sum of Slaktvikt*Antal",'G&amp;D sammanställning'!$B$21,"Djur",$A13,"Ras2",B$4)/GETPIVOTDATA("Sum of Antal djur",'G&amp;D sammanställning'!$B$21,"Djur",$A13,"Ras2",B$4)</f>
        <v>431.43050570962481</v>
      </c>
      <c r="C13" s="2">
        <f>GETPIVOTDATA("Sum of Slaktvikt*Antal",'G&amp;D sammanställning'!$B$21,"Djur",$A13,"Ras2",C$4)/GETPIVOTDATA("Sum of Antal djur",'G&amp;D sammanställning'!$B$21,"Djur",$A13,"Ras2",C$4)</f>
        <v>544.33911795407096</v>
      </c>
      <c r="D13" s="2">
        <f>GETPIVOTDATA("Sum of Slaktvikt*Antal",'G&amp;D sammanställning'!$B$21,"Djur",$A13,"Ras2",D$4)/GETPIVOTDATA("Sum of Antal djur",'G&amp;D sammanställning'!$B$21,"Djur",$A13,"Ras2",D$4)</f>
        <v>462.31364985163208</v>
      </c>
      <c r="E13" s="76">
        <f t="shared" si="0"/>
        <v>522.99349420849421</v>
      </c>
      <c r="F13" s="74">
        <f t="shared" si="4"/>
        <v>513.30453996202323</v>
      </c>
      <c r="G13" s="2"/>
      <c r="H13" s="75">
        <f>GETPIVOTDATA("Sum of Ålder*Antal",'G&amp;D sammanställning'!$B$21,"Djur",$A13,"Ras2",H$4)/GETPIVOTDATA("Sum of Antal djur",'G&amp;D sammanställning'!$B$21,"Djur",$A13,"Ras2",H$4)</f>
        <v>41.352528548123978</v>
      </c>
      <c r="I13" s="2">
        <f>GETPIVOTDATA("Sum of Ålder*Antal",'G&amp;D sammanställning'!$B$21,"Djur",$A13,"Ras2",I$4)/GETPIVOTDATA("Sum of Antal djur",'G&amp;D sammanställning'!$B$21,"Djur",$A13,"Ras2",I$4)</f>
        <v>59.747599164926939</v>
      </c>
      <c r="J13" s="2">
        <f>GETPIVOTDATA("Sum of Ålder*Antal",'G&amp;D sammanställning'!$B$21,"Djur",$A13,"Ras2",J$4)/GETPIVOTDATA("Sum of Antal djur",'G&amp;D sammanställning'!$B$21,"Djur",$A13,"Ras2",J$4)</f>
        <v>45.687833827893172</v>
      </c>
      <c r="K13" s="76">
        <f>(I13*$O13+J13*$P13)/SUM($O13,$P13)</f>
        <v>56.088803088803097</v>
      </c>
      <c r="L13" s="74">
        <f>(H13*$N13+I13*$O13+J13*$P13)/SUM($N13:$P13)</f>
        <v>54.529449335404806</v>
      </c>
      <c r="M13" s="2"/>
      <c r="N13" s="2">
        <f>GETPIVOTDATA("Sum of Antal djur",'G&amp;D sammanställning'!$B$21,"Djur",$A13,"Ras2",N$4)/5</f>
        <v>122.6</v>
      </c>
      <c r="O13" s="2">
        <f>GETPIVOTDATA("Sum of Antal djur",'G&amp;D sammanställning'!$B$21,"Djur",$A13,"Ras2",O$4)/5</f>
        <v>766.4</v>
      </c>
      <c r="P13" s="2">
        <f>GETPIVOTDATA("Sum of Antal djur",'G&amp;D sammanställning'!$B$21,"Djur",$A13,"Ras2",P$4)/5</f>
        <v>269.60000000000002</v>
      </c>
      <c r="Q13" s="2">
        <f t="shared" si="2"/>
        <v>1036</v>
      </c>
      <c r="R13" s="2">
        <f t="shared" si="3"/>
        <v>1158.5999999999999</v>
      </c>
      <c r="S13" s="2"/>
      <c r="T13" s="2"/>
      <c r="U13" s="2"/>
      <c r="V13" s="2"/>
      <c r="W13" s="2"/>
      <c r="X13" s="2"/>
    </row>
    <row r="14" spans="1:24" x14ac:dyDescent="0.25">
      <c r="A14" s="6" t="s">
        <v>117</v>
      </c>
      <c r="B14" s="75">
        <f>GETPIVOTDATA("Sum of Slaktvikt*Antal",'G&amp;D sammanställning'!$B$21,"Djur",$A14,"Ras2",B$4)/GETPIVOTDATA("Sum of Antal djur",'G&amp;D sammanställning'!$B$21,"Djur",$A14,"Ras2",B$4)</f>
        <v>169.22011685229137</v>
      </c>
      <c r="C14" s="2">
        <f>GETPIVOTDATA("Sum of Slaktvikt*Antal",'G&amp;D sammanställning'!$B$21,"Djur",$A14,"Ras2",C$4)/GETPIVOTDATA("Sum of Antal djur",'G&amp;D sammanställning'!$B$21,"Djur",$A14,"Ras2",C$4)</f>
        <v>153.74575989358163</v>
      </c>
      <c r="D14" s="2">
        <f>GETPIVOTDATA("Sum of Slaktvikt*Antal",'G&amp;D sammanställning'!$B$21,"Djur",$A14,"Ras2",D$4)/GETPIVOTDATA("Sum of Antal djur",'G&amp;D sammanställning'!$B$21,"Djur",$A14,"Ras2",D$4)</f>
        <v>159.71350432194984</v>
      </c>
      <c r="E14" s="76">
        <f t="shared" si="0"/>
        <v>157.93041534181239</v>
      </c>
      <c r="F14" s="74">
        <f t="shared" si="4"/>
        <v>166.18613581137015</v>
      </c>
      <c r="G14" s="2"/>
      <c r="H14" s="285">
        <f>GETPIVOTDATA("Sum of Ålder*Antal",'G&amp;D sammanställning'!$B$21,"Djur",$A14,"Ras2",H$4)/GETPIVOTDATA("Sum of Antal djur",'G&amp;D sammanställning'!$B$21,"Djur",$A14,"Ras2",H$4)</f>
        <v>10.328497352565272</v>
      </c>
      <c r="I14" s="13">
        <f>GETPIVOTDATA("Sum of Ålder*Antal",'G&amp;D sammanställning'!$B$21,"Djur",$A14,"Ras2",I$4)/GETPIVOTDATA("Sum of Antal djur",'G&amp;D sammanställning'!$B$21,"Djur",$A14,"Ras2",I$4)</f>
        <v>9.8604921849018954</v>
      </c>
      <c r="J14" s="13">
        <f>GETPIVOTDATA("Sum of Ålder*Antal",'G&amp;D sammanställning'!$B$21,"Djur",$A14,"Ras2",J$4)/GETPIVOTDATA("Sum of Antal djur",'G&amp;D sammanställning'!$B$21,"Djur",$A14,"Ras2",J$4)</f>
        <v>9.9182655519342511</v>
      </c>
      <c r="K14" s="289">
        <f t="shared" si="1"/>
        <v>9.9010035771065183</v>
      </c>
      <c r="L14" s="290">
        <f t="shared" si="5"/>
        <v>10.213613180592272</v>
      </c>
      <c r="M14" s="2"/>
      <c r="N14" s="2">
        <f>GETPIVOTDATA("Sum of Antal djur",'G&amp;D sammanställning'!$B$21,"Djur",$A14,"Ras2",N$4)/5</f>
        <v>5477</v>
      </c>
      <c r="O14" s="2">
        <f>GETPIVOTDATA("Sum of Antal djur",'G&amp;D sammanställning'!$B$21,"Djur",$A14,"Ras2",O$4)/5</f>
        <v>601.4</v>
      </c>
      <c r="P14" s="2">
        <f>GETPIVOTDATA("Sum of Antal djur",'G&amp;D sammanställning'!$B$21,"Djur",$A14,"Ras2",P$4)/5</f>
        <v>1411.4</v>
      </c>
      <c r="Q14" s="2">
        <f t="shared" si="2"/>
        <v>2012.8000000000002</v>
      </c>
      <c r="R14" s="2">
        <f t="shared" si="3"/>
        <v>7489.7999999999993</v>
      </c>
      <c r="S14" s="2"/>
      <c r="T14" s="75">
        <f>N14/SUM(N$8:N$10,N$14)*100</f>
        <v>7.653759942760999</v>
      </c>
      <c r="U14" s="2">
        <f>O14/SUM(O$8:O$10,O$14)*100</f>
        <v>1.8827639751552792</v>
      </c>
      <c r="V14" s="2">
        <f>P14/SUM(P$8:P$10,P$14)*100</f>
        <v>2.3339495903930048</v>
      </c>
      <c r="W14" s="75">
        <f>Q14/SUM(Q$8:Q$10,Q$14)*100</f>
        <v>2.1780014066980469</v>
      </c>
      <c r="X14" s="2">
        <f>R14/SUM(R$8:R$10,R$14)*100</f>
        <v>4.567658649571336</v>
      </c>
    </row>
    <row r="16" spans="1:24" x14ac:dyDescent="0.25">
      <c r="H16">
        <f>H10/H11</f>
        <v>1.0532336759880074</v>
      </c>
      <c r="I16">
        <f t="shared" ref="I16:L16" si="7">I10/I11</f>
        <v>1.0735240278145448</v>
      </c>
      <c r="J16">
        <f t="shared" si="7"/>
        <v>1.0696689526750012</v>
      </c>
      <c r="K16">
        <f t="shared" si="7"/>
        <v>1.0710442357315111</v>
      </c>
      <c r="L16">
        <f t="shared" si="7"/>
        <v>1.0629920813434364</v>
      </c>
    </row>
    <row r="18" spans="2:11" x14ac:dyDescent="0.25">
      <c r="G18" t="s">
        <v>6</v>
      </c>
      <c r="H18">
        <v>27</v>
      </c>
      <c r="I18">
        <f>(27.5+28.4+27.6+29.9+30)/5</f>
        <v>28.68</v>
      </c>
      <c r="J18">
        <f>(27.5+28.4+27.6+29.9+30)/5</f>
        <v>28.68</v>
      </c>
      <c r="K18">
        <f>(27.5+28.4+27.6+29.9+30)/5</f>
        <v>28.68</v>
      </c>
    </row>
    <row r="19" spans="2:11" x14ac:dyDescent="0.25">
      <c r="B19" s="286" t="s">
        <v>191</v>
      </c>
      <c r="C19" t="s">
        <v>624</v>
      </c>
      <c r="G19" t="s">
        <v>628</v>
      </c>
      <c r="H19">
        <v>0</v>
      </c>
      <c r="I19">
        <v>7</v>
      </c>
      <c r="J19">
        <v>7</v>
      </c>
      <c r="K19">
        <v>7</v>
      </c>
    </row>
    <row r="20" spans="2:11" x14ac:dyDescent="0.25">
      <c r="G20" t="s">
        <v>629</v>
      </c>
      <c r="H20" s="26">
        <f t="shared" ref="H20:J20" si="8">1/((H5+H19-H18)/12)</f>
        <v>0.34298028751025533</v>
      </c>
      <c r="I20" s="26">
        <f t="shared" si="8"/>
        <v>0.21028778221448519</v>
      </c>
      <c r="J20" s="26">
        <f t="shared" si="8"/>
        <v>0.23410857533194687</v>
      </c>
      <c r="K20" s="26">
        <f>1/((K5+K19-K18)/12)</f>
        <v>0.22488460892016862</v>
      </c>
    </row>
    <row r="21" spans="2:11" x14ac:dyDescent="0.25">
      <c r="B21" s="286" t="s">
        <v>201</v>
      </c>
      <c r="C21" t="s">
        <v>202</v>
      </c>
      <c r="D21" t="s">
        <v>203</v>
      </c>
      <c r="E21" t="s">
        <v>204</v>
      </c>
    </row>
    <row r="22" spans="2:11" x14ac:dyDescent="0.25">
      <c r="B22" s="66" t="s">
        <v>205</v>
      </c>
      <c r="C22" s="12"/>
      <c r="D22" s="12"/>
      <c r="E22" s="12"/>
    </row>
    <row r="23" spans="2:11" x14ac:dyDescent="0.25">
      <c r="B23" s="68" t="s">
        <v>206</v>
      </c>
      <c r="C23" s="12">
        <v>255815</v>
      </c>
      <c r="D23" s="12">
        <v>79679420.100000009</v>
      </c>
      <c r="E23" s="12">
        <v>15857315.300000001</v>
      </c>
    </row>
    <row r="24" spans="2:11" x14ac:dyDescent="0.25">
      <c r="B24" s="69" t="s">
        <v>199</v>
      </c>
      <c r="C24" s="12">
        <v>190746</v>
      </c>
      <c r="D24" s="12">
        <v>60830500.600000009</v>
      </c>
      <c r="E24" s="12">
        <v>13253100.5</v>
      </c>
    </row>
    <row r="25" spans="2:11" x14ac:dyDescent="0.25">
      <c r="B25" s="69" t="s">
        <v>207</v>
      </c>
      <c r="C25" s="12">
        <v>65069</v>
      </c>
      <c r="D25" s="12">
        <v>18848919.5</v>
      </c>
      <c r="E25" s="12">
        <v>2604214.8000000003</v>
      </c>
    </row>
    <row r="26" spans="2:11" x14ac:dyDescent="0.25">
      <c r="B26" s="68" t="s">
        <v>209</v>
      </c>
      <c r="C26" s="12">
        <v>40983</v>
      </c>
      <c r="D26" s="12">
        <v>12298495.300000001</v>
      </c>
      <c r="E26" s="12">
        <v>1237199.1000000001</v>
      </c>
    </row>
    <row r="27" spans="2:11" x14ac:dyDescent="0.25">
      <c r="B27" s="69" t="s">
        <v>209</v>
      </c>
      <c r="C27" s="12">
        <v>40983</v>
      </c>
      <c r="D27" s="12">
        <v>12298495.300000001</v>
      </c>
      <c r="E27" s="12">
        <v>1237199.1000000001</v>
      </c>
    </row>
    <row r="28" spans="2:11" x14ac:dyDescent="0.25">
      <c r="B28" s="68" t="s">
        <v>210</v>
      </c>
      <c r="C28" s="12">
        <v>57230</v>
      </c>
      <c r="D28" s="12">
        <v>18774906.199999999</v>
      </c>
      <c r="E28" s="12">
        <v>1662570.9</v>
      </c>
    </row>
    <row r="29" spans="2:11" x14ac:dyDescent="0.25">
      <c r="B29" s="69" t="s">
        <v>210</v>
      </c>
      <c r="C29" s="12">
        <v>57230</v>
      </c>
      <c r="D29" s="12">
        <v>18774906.199999999</v>
      </c>
      <c r="E29" s="12">
        <v>1662570.9</v>
      </c>
    </row>
    <row r="30" spans="2:11" x14ac:dyDescent="0.25">
      <c r="B30" s="68" t="s">
        <v>211</v>
      </c>
      <c r="C30" s="12">
        <v>232200</v>
      </c>
      <c r="D30" s="12">
        <v>76202002.5</v>
      </c>
      <c r="E30" s="12">
        <v>4939860.3999999994</v>
      </c>
    </row>
    <row r="31" spans="2:11" x14ac:dyDescent="0.25">
      <c r="B31" s="69" t="s">
        <v>212</v>
      </c>
      <c r="C31" s="12">
        <v>202495</v>
      </c>
      <c r="D31" s="12">
        <v>65705065.299999997</v>
      </c>
      <c r="E31" s="12">
        <v>4090176.3</v>
      </c>
    </row>
    <row r="32" spans="2:11" x14ac:dyDescent="0.25">
      <c r="B32" s="69" t="s">
        <v>214</v>
      </c>
      <c r="C32" s="12">
        <v>29705</v>
      </c>
      <c r="D32" s="12">
        <v>10496937.199999999</v>
      </c>
      <c r="E32" s="12">
        <v>849684.1</v>
      </c>
    </row>
    <row r="33" spans="1:6" x14ac:dyDescent="0.25">
      <c r="B33" s="68" t="s">
        <v>117</v>
      </c>
      <c r="C33" s="12">
        <v>27385</v>
      </c>
      <c r="D33" s="12">
        <v>4634092.8999999994</v>
      </c>
      <c r="E33" s="12">
        <v>282845.89999999997</v>
      </c>
    </row>
    <row r="34" spans="1:6" x14ac:dyDescent="0.25">
      <c r="B34" s="69" t="s">
        <v>117</v>
      </c>
      <c r="C34" s="12">
        <v>27385</v>
      </c>
      <c r="D34" s="12">
        <v>4634092.8999999994</v>
      </c>
      <c r="E34" s="12">
        <v>282845.89999999997</v>
      </c>
    </row>
    <row r="35" spans="1:6" x14ac:dyDescent="0.25">
      <c r="B35" s="68" t="s">
        <v>625</v>
      </c>
      <c r="C35" s="12">
        <v>613</v>
      </c>
      <c r="D35" s="12">
        <v>264466.90000000002</v>
      </c>
      <c r="E35" s="12">
        <v>25349.1</v>
      </c>
    </row>
    <row r="36" spans="1:6" x14ac:dyDescent="0.25">
      <c r="B36" s="69" t="s">
        <v>625</v>
      </c>
      <c r="C36" s="12">
        <v>613</v>
      </c>
      <c r="D36" s="12">
        <v>264466.90000000002</v>
      </c>
      <c r="E36" s="12">
        <v>25349.1</v>
      </c>
    </row>
    <row r="37" spans="1:6" x14ac:dyDescent="0.25">
      <c r="A37" s="67"/>
      <c r="B37" s="66" t="s">
        <v>215</v>
      </c>
      <c r="C37" s="12"/>
      <c r="D37" s="12"/>
      <c r="E37" s="12"/>
      <c r="F37" s="67"/>
    </row>
    <row r="38" spans="1:6" x14ac:dyDescent="0.25">
      <c r="A38" s="67"/>
      <c r="B38" s="68" t="s">
        <v>206</v>
      </c>
      <c r="C38" s="12">
        <v>48898</v>
      </c>
      <c r="D38" s="12">
        <v>17246050.5</v>
      </c>
      <c r="E38" s="12">
        <v>3850456.1999999997</v>
      </c>
      <c r="F38" s="67"/>
    </row>
    <row r="39" spans="1:6" x14ac:dyDescent="0.25">
      <c r="A39" s="67"/>
      <c r="B39" s="69" t="s">
        <v>199</v>
      </c>
      <c r="C39" s="12">
        <v>37551</v>
      </c>
      <c r="D39" s="12">
        <v>13641297.9</v>
      </c>
      <c r="E39" s="12">
        <v>3429846.3</v>
      </c>
      <c r="F39" s="67"/>
    </row>
    <row r="40" spans="1:6" x14ac:dyDescent="0.25">
      <c r="A40" s="67"/>
      <c r="B40" s="69" t="s">
        <v>207</v>
      </c>
      <c r="C40" s="12">
        <v>11347</v>
      </c>
      <c r="D40" s="12">
        <v>3604752.6</v>
      </c>
      <c r="E40" s="12">
        <v>420609.9</v>
      </c>
      <c r="F40" s="67"/>
    </row>
    <row r="41" spans="1:6" x14ac:dyDescent="0.25">
      <c r="A41" s="67"/>
      <c r="B41" s="68" t="s">
        <v>209</v>
      </c>
      <c r="C41" s="12">
        <v>49834</v>
      </c>
      <c r="D41" s="12">
        <v>15408081.199999999</v>
      </c>
      <c r="E41" s="12">
        <v>1292891.5</v>
      </c>
      <c r="F41" s="67"/>
    </row>
    <row r="42" spans="1:6" x14ac:dyDescent="0.25">
      <c r="A42" s="67"/>
      <c r="B42" s="69" t="s">
        <v>209</v>
      </c>
      <c r="C42" s="12">
        <v>49834</v>
      </c>
      <c r="D42" s="12">
        <v>15408081.199999999</v>
      </c>
      <c r="E42" s="12">
        <v>1292891.5</v>
      </c>
      <c r="F42" s="67"/>
    </row>
    <row r="43" spans="1:6" x14ac:dyDescent="0.25">
      <c r="A43" s="67"/>
      <c r="B43" s="68" t="s">
        <v>210</v>
      </c>
      <c r="C43" s="12">
        <v>10391</v>
      </c>
      <c r="D43" s="12">
        <v>3459101.6999999997</v>
      </c>
      <c r="E43" s="12">
        <v>283399.69999999995</v>
      </c>
      <c r="F43" s="67"/>
    </row>
    <row r="44" spans="1:6" x14ac:dyDescent="0.25">
      <c r="A44" s="67"/>
      <c r="B44" s="69" t="s">
        <v>210</v>
      </c>
      <c r="C44" s="12">
        <v>10391</v>
      </c>
      <c r="D44" s="12">
        <v>3459101.6999999997</v>
      </c>
      <c r="E44" s="12">
        <v>283399.69999999995</v>
      </c>
      <c r="F44" s="67"/>
    </row>
    <row r="45" spans="1:6" x14ac:dyDescent="0.25">
      <c r="A45" s="67"/>
      <c r="B45" s="68" t="s">
        <v>211</v>
      </c>
      <c r="C45" s="12">
        <v>96480</v>
      </c>
      <c r="D45" s="12">
        <v>34808270.200000003</v>
      </c>
      <c r="E45" s="12">
        <v>1872519.2999999998</v>
      </c>
      <c r="F45" s="67"/>
    </row>
    <row r="46" spans="1:6" x14ac:dyDescent="0.25">
      <c r="A46" s="67"/>
      <c r="B46" s="69" t="s">
        <v>212</v>
      </c>
      <c r="C46" s="12">
        <v>85983</v>
      </c>
      <c r="D46" s="12">
        <v>30838515.500000007</v>
      </c>
      <c r="E46" s="12">
        <v>1554496.7999999998</v>
      </c>
      <c r="F46" s="67"/>
    </row>
    <row r="47" spans="1:6" x14ac:dyDescent="0.25">
      <c r="A47" s="67"/>
      <c r="B47" s="69" t="s">
        <v>214</v>
      </c>
      <c r="C47" s="12">
        <v>10497</v>
      </c>
      <c r="D47" s="12">
        <v>3969754.6999999988</v>
      </c>
      <c r="E47" s="12">
        <v>318022.5</v>
      </c>
      <c r="F47" s="67"/>
    </row>
    <row r="48" spans="1:6" x14ac:dyDescent="0.25">
      <c r="A48" s="67"/>
      <c r="B48" s="68" t="s">
        <v>117</v>
      </c>
      <c r="C48" s="12">
        <v>3007</v>
      </c>
      <c r="D48" s="12">
        <v>462313.5</v>
      </c>
      <c r="E48" s="12">
        <v>29650.5</v>
      </c>
      <c r="F48" s="67"/>
    </row>
    <row r="49" spans="1:6" x14ac:dyDescent="0.25">
      <c r="A49" s="67"/>
      <c r="B49" s="69" t="s">
        <v>117</v>
      </c>
      <c r="C49" s="12">
        <v>3007</v>
      </c>
      <c r="D49" s="12">
        <v>462313.5</v>
      </c>
      <c r="E49" s="12">
        <v>29650.5</v>
      </c>
      <c r="F49" s="67"/>
    </row>
    <row r="50" spans="1:6" x14ac:dyDescent="0.25">
      <c r="A50" s="67"/>
      <c r="B50" s="68" t="s">
        <v>625</v>
      </c>
      <c r="C50" s="12">
        <v>3832</v>
      </c>
      <c r="D50" s="12">
        <v>2085907.5</v>
      </c>
      <c r="E50" s="12">
        <v>228952.80000000002</v>
      </c>
      <c r="F50" s="67"/>
    </row>
    <row r="51" spans="1:6" x14ac:dyDescent="0.25">
      <c r="A51" s="67"/>
      <c r="B51" s="69" t="s">
        <v>625</v>
      </c>
      <c r="C51" s="12">
        <v>3832</v>
      </c>
      <c r="D51" s="12">
        <v>2085907.5</v>
      </c>
      <c r="E51" s="12">
        <v>228952.80000000002</v>
      </c>
      <c r="F51" s="67"/>
    </row>
    <row r="52" spans="1:6" x14ac:dyDescent="0.25">
      <c r="A52" s="67"/>
      <c r="B52" s="66" t="s">
        <v>218</v>
      </c>
      <c r="C52" s="12"/>
      <c r="D52" s="12"/>
      <c r="E52" s="12"/>
      <c r="F52" s="67"/>
    </row>
    <row r="53" spans="1:6" x14ac:dyDescent="0.25">
      <c r="A53" s="67"/>
      <c r="B53" s="68" t="s">
        <v>206</v>
      </c>
      <c r="C53" s="12">
        <v>86146</v>
      </c>
      <c r="D53" s="12">
        <v>28770662.900000002</v>
      </c>
      <c r="E53" s="12">
        <v>6283340</v>
      </c>
      <c r="F53" s="67"/>
    </row>
    <row r="54" spans="1:6" x14ac:dyDescent="0.25">
      <c r="A54" s="67"/>
      <c r="B54" s="69" t="s">
        <v>199</v>
      </c>
      <c r="C54" s="12">
        <v>63335</v>
      </c>
      <c r="D54" s="12">
        <v>21761373.800000001</v>
      </c>
      <c r="E54" s="12">
        <v>5442381.4000000004</v>
      </c>
      <c r="F54" s="67"/>
    </row>
    <row r="55" spans="1:6" x14ac:dyDescent="0.25">
      <c r="A55" s="67"/>
      <c r="B55" s="69" t="s">
        <v>207</v>
      </c>
      <c r="C55" s="12">
        <v>22811</v>
      </c>
      <c r="D55" s="12">
        <v>7009289.1000000006</v>
      </c>
      <c r="E55" s="12">
        <v>840958.6</v>
      </c>
      <c r="F55" s="67"/>
    </row>
    <row r="56" spans="1:6" x14ac:dyDescent="0.25">
      <c r="A56" s="67"/>
      <c r="B56" s="68" t="s">
        <v>209</v>
      </c>
      <c r="C56" s="12">
        <v>93967</v>
      </c>
      <c r="D56" s="12">
        <v>29233394.5</v>
      </c>
      <c r="E56" s="12">
        <v>2449781.2000000002</v>
      </c>
      <c r="F56" s="67"/>
    </row>
    <row r="57" spans="1:6" x14ac:dyDescent="0.25">
      <c r="A57" s="67"/>
      <c r="B57" s="69" t="s">
        <v>209</v>
      </c>
      <c r="C57" s="12">
        <v>93967</v>
      </c>
      <c r="D57" s="12">
        <v>29233394.5</v>
      </c>
      <c r="E57" s="12">
        <v>2449781.2000000002</v>
      </c>
      <c r="F57" s="67"/>
    </row>
    <row r="58" spans="1:6" x14ac:dyDescent="0.25">
      <c r="A58" s="67"/>
      <c r="B58" s="68" t="s">
        <v>210</v>
      </c>
      <c r="C58" s="12">
        <v>25771</v>
      </c>
      <c r="D58" s="12">
        <v>8690458.3000000007</v>
      </c>
      <c r="E58" s="12">
        <v>713153.8</v>
      </c>
      <c r="F58" s="67"/>
    </row>
    <row r="59" spans="1:6" x14ac:dyDescent="0.25">
      <c r="A59" s="67"/>
      <c r="B59" s="69" t="s">
        <v>210</v>
      </c>
      <c r="C59" s="12">
        <v>25771</v>
      </c>
      <c r="D59" s="12">
        <v>8690458.3000000007</v>
      </c>
      <c r="E59" s="12">
        <v>713153.8</v>
      </c>
      <c r="F59" s="67"/>
    </row>
    <row r="60" spans="1:6" x14ac:dyDescent="0.25">
      <c r="A60" s="67"/>
      <c r="B60" s="68" t="s">
        <v>211</v>
      </c>
      <c r="C60" s="12">
        <v>175568</v>
      </c>
      <c r="D60" s="12">
        <v>62986548.5</v>
      </c>
      <c r="E60" s="12">
        <v>3362734.4000000004</v>
      </c>
      <c r="F60" s="67"/>
    </row>
    <row r="61" spans="1:6" x14ac:dyDescent="0.25">
      <c r="A61" s="67"/>
      <c r="B61" s="69" t="s">
        <v>212</v>
      </c>
      <c r="C61" s="12">
        <v>156440</v>
      </c>
      <c r="D61" s="12">
        <v>56043070.299999997</v>
      </c>
      <c r="E61" s="12">
        <v>2801209.7</v>
      </c>
      <c r="F61" s="67"/>
    </row>
    <row r="62" spans="1:6" x14ac:dyDescent="0.25">
      <c r="A62" s="67"/>
      <c r="B62" s="69" t="s">
        <v>214</v>
      </c>
      <c r="C62" s="12">
        <v>19128</v>
      </c>
      <c r="D62" s="12">
        <v>6943478.2000000011</v>
      </c>
      <c r="E62" s="12">
        <v>561524.69999999995</v>
      </c>
      <c r="F62" s="67"/>
    </row>
    <row r="63" spans="1:6" x14ac:dyDescent="0.25">
      <c r="B63" s="68" t="s">
        <v>117</v>
      </c>
      <c r="C63" s="12">
        <v>7057</v>
      </c>
      <c r="D63" s="12">
        <v>1127098.2</v>
      </c>
      <c r="E63" s="12">
        <v>69993.200000000012</v>
      </c>
    </row>
    <row r="64" spans="1:6" x14ac:dyDescent="0.25">
      <c r="B64" s="69" t="s">
        <v>117</v>
      </c>
      <c r="C64" s="12">
        <v>7057</v>
      </c>
      <c r="D64" s="12">
        <v>1127098.2</v>
      </c>
      <c r="E64" s="12">
        <v>69993.200000000012</v>
      </c>
    </row>
    <row r="65" spans="2:5" x14ac:dyDescent="0.25">
      <c r="B65" s="68" t="s">
        <v>625</v>
      </c>
      <c r="C65" s="12">
        <v>1348</v>
      </c>
      <c r="D65" s="12">
        <v>623198.80000000005</v>
      </c>
      <c r="E65" s="12">
        <v>61587.199999999997</v>
      </c>
    </row>
    <row r="66" spans="2:5" x14ac:dyDescent="0.25">
      <c r="B66" s="69" t="s">
        <v>625</v>
      </c>
      <c r="C66" s="12">
        <v>1348</v>
      </c>
      <c r="D66" s="12">
        <v>623198.80000000005</v>
      </c>
      <c r="E66" s="12">
        <v>61587.199999999997</v>
      </c>
    </row>
    <row r="67" spans="2:5" x14ac:dyDescent="0.25">
      <c r="B67" s="66" t="s">
        <v>221</v>
      </c>
      <c r="C67" s="12">
        <v>1216525</v>
      </c>
      <c r="D67" s="12">
        <v>396754469.69999999</v>
      </c>
      <c r="E67" s="12">
        <v>44503600.500000015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0"/>
  <sheetViews>
    <sheetView topLeftCell="A40" workbookViewId="0">
      <selection activeCell="D46" sqref="D41:D46"/>
    </sheetView>
  </sheetViews>
  <sheetFormatPr defaultRowHeight="15" x14ac:dyDescent="0.25"/>
  <cols>
    <col min="1" max="1" width="24.28515625" bestFit="1" customWidth="1"/>
    <col min="2" max="2" width="10.85546875" bestFit="1" customWidth="1"/>
    <col min="3" max="3" width="9.7109375" bestFit="1" customWidth="1"/>
    <col min="4" max="4" width="15.28515625" customWidth="1"/>
    <col min="5" max="5" width="12.7109375" bestFit="1" customWidth="1"/>
    <col min="6" max="7" width="9.5703125" bestFit="1" customWidth="1"/>
    <col min="8" max="8" width="11.85546875" bestFit="1" customWidth="1"/>
    <col min="9" max="9" width="11.7109375" bestFit="1" customWidth="1"/>
    <col min="11" max="11" width="11.7109375" customWidth="1"/>
  </cols>
  <sheetData>
    <row r="1" spans="1:19" x14ac:dyDescent="0.25">
      <c r="A1" s="27" t="s">
        <v>232</v>
      </c>
    </row>
    <row r="2" spans="1:19" x14ac:dyDescent="0.25">
      <c r="A2" s="27"/>
      <c r="B2" s="27"/>
    </row>
    <row r="4" spans="1:19" x14ac:dyDescent="0.25">
      <c r="C4" s="6" t="s">
        <v>192</v>
      </c>
      <c r="D4" s="6" t="s">
        <v>233</v>
      </c>
      <c r="E4" s="6" t="s">
        <v>193</v>
      </c>
      <c r="F4" s="6" t="s">
        <v>234</v>
      </c>
      <c r="G4" s="6" t="s">
        <v>235</v>
      </c>
      <c r="H4" s="6" t="s">
        <v>226</v>
      </c>
      <c r="I4" s="6" t="s">
        <v>236</v>
      </c>
      <c r="N4" t="s">
        <v>192</v>
      </c>
      <c r="P4" t="s">
        <v>193</v>
      </c>
      <c r="R4" t="s">
        <v>226</v>
      </c>
    </row>
    <row r="5" spans="1:19" x14ac:dyDescent="0.25">
      <c r="A5" s="77" t="s">
        <v>237</v>
      </c>
      <c r="B5" s="78" t="s">
        <v>238</v>
      </c>
      <c r="C5" s="79">
        <f>C11+C17+C23+C29+C35</f>
        <v>254237</v>
      </c>
      <c r="D5" s="78"/>
      <c r="E5" s="80">
        <f>($C11*E11+$C17*E17+$C23*E23+$C29*E29+$C35*E35)/$C5</f>
        <v>311.62467776130143</v>
      </c>
      <c r="F5" s="80">
        <f t="shared" ref="F5:H5" si="0">($C11*F11+$C17*F17+$C23*F23+$C29*F29+$C35*F35)/$C5</f>
        <v>4.0213434708559337</v>
      </c>
      <c r="G5" s="80">
        <f t="shared" si="0"/>
        <v>7.3071405814259922</v>
      </c>
      <c r="H5" s="80">
        <f t="shared" si="0"/>
        <v>69.22407517395186</v>
      </c>
      <c r="I5" s="80"/>
      <c r="K5" t="s">
        <v>239</v>
      </c>
      <c r="L5" s="13">
        <f>SUMPRODUCT(C5:C6,H5:H6)/SUM(C5:C6)/12</f>
        <v>5.0579254131664273</v>
      </c>
      <c r="M5" t="s">
        <v>240</v>
      </c>
      <c r="N5" s="12">
        <f>C11+C17+C23+C29</f>
        <v>212411</v>
      </c>
      <c r="O5" s="26">
        <f>N5/C5</f>
        <v>0.83548421354877533</v>
      </c>
      <c r="P5">
        <f>($C11*E11+$C17*E17+$C23*E23+$C29*E29)/$N5</f>
        <v>312.02335848896712</v>
      </c>
      <c r="Q5" s="26">
        <f>P5/E5</f>
        <v>1.0012793618609725</v>
      </c>
      <c r="R5">
        <f t="shared" ref="R5:R10" si="1">($C11*H11+$C17*H17+$C23*H23+$C29*H29)/$N5</f>
        <v>69.760474740008746</v>
      </c>
      <c r="S5" s="26">
        <f>R5/H5</f>
        <v>1.00774874297286</v>
      </c>
    </row>
    <row r="6" spans="1:19" x14ac:dyDescent="0.25">
      <c r="A6" s="77"/>
      <c r="B6" s="78" t="s">
        <v>177</v>
      </c>
      <c r="C6" s="79">
        <f t="shared" ref="C6:C10" si="2">C12+C18+C24+C30+C36</f>
        <v>101572</v>
      </c>
      <c r="D6" s="78"/>
      <c r="E6" s="80">
        <f t="shared" ref="E6:I10" si="3">($C12*E12+$C18*E18+$C24*E24+$C30*E30+$C36*E36)/$C6</f>
        <v>284.07221970621828</v>
      </c>
      <c r="F6" s="80">
        <f t="shared" si="3"/>
        <v>3.8006232032449891</v>
      </c>
      <c r="G6" s="80">
        <f t="shared" si="3"/>
        <v>6.9220759658173519</v>
      </c>
      <c r="H6" s="80">
        <f t="shared" si="3"/>
        <v>39.346900720671051</v>
      </c>
      <c r="I6" s="80"/>
      <c r="K6" t="s">
        <v>72</v>
      </c>
      <c r="L6" s="26"/>
      <c r="N6" s="12">
        <f t="shared" ref="N6:N10" si="4">C12+C18+C24+C30</f>
        <v>83208</v>
      </c>
      <c r="O6" s="26">
        <f t="shared" ref="O6:O10" si="5">N6/C6</f>
        <v>0.8192021423226874</v>
      </c>
      <c r="P6">
        <f t="shared" ref="P6:P10" si="6">($C12*E12+$C18*E18+$C24*E24+$C30*E30)/$N6</f>
        <v>284.7061184020767</v>
      </c>
      <c r="Q6" s="26">
        <f t="shared" ref="Q6:Q10" si="7">P6/E6</f>
        <v>1.0022314702103359</v>
      </c>
      <c r="R6">
        <f t="shared" si="1"/>
        <v>39.511741659455822</v>
      </c>
      <c r="S6" s="26">
        <f t="shared" ref="S6:S10" si="8">R6/H6</f>
        <v>1.0041894262512567</v>
      </c>
    </row>
    <row r="7" spans="1:19" x14ac:dyDescent="0.25">
      <c r="A7" s="77"/>
      <c r="B7" s="78" t="s">
        <v>241</v>
      </c>
      <c r="C7" s="79">
        <f t="shared" si="2"/>
        <v>42815</v>
      </c>
      <c r="D7" s="78"/>
      <c r="E7" s="80">
        <f t="shared" si="3"/>
        <v>294.00667289501342</v>
      </c>
      <c r="F7" s="80">
        <f t="shared" si="3"/>
        <v>4.5251850986803683</v>
      </c>
      <c r="G7" s="80">
        <f t="shared" si="3"/>
        <v>8.3261310288450296</v>
      </c>
      <c r="H7" s="80">
        <f t="shared" si="3"/>
        <v>28.461235548289153</v>
      </c>
      <c r="I7" s="80">
        <f t="shared" si="3"/>
        <v>316.44785705944179</v>
      </c>
      <c r="K7" t="s">
        <v>242</v>
      </c>
      <c r="L7" s="26">
        <f>(C9*(I9/12))/(C9*(I9/12)+C10*(I10/12))</f>
        <v>0.22305303246475736</v>
      </c>
      <c r="N7" s="12">
        <f t="shared" si="4"/>
        <v>34206</v>
      </c>
      <c r="O7" s="26">
        <f t="shared" si="5"/>
        <v>0.79892561018334696</v>
      </c>
      <c r="P7">
        <f t="shared" si="6"/>
        <v>294.46137812079752</v>
      </c>
      <c r="Q7" s="26">
        <f t="shared" si="7"/>
        <v>1.0015465813115965</v>
      </c>
      <c r="R7">
        <f t="shared" si="1"/>
        <v>28.526983570133893</v>
      </c>
      <c r="S7" s="26">
        <f t="shared" si="8"/>
        <v>1.0023100902184372</v>
      </c>
    </row>
    <row r="8" spans="1:19" x14ac:dyDescent="0.25">
      <c r="A8" s="77"/>
      <c r="B8" s="78" t="s">
        <v>180</v>
      </c>
      <c r="C8" s="79">
        <f t="shared" si="2"/>
        <v>8283</v>
      </c>
      <c r="D8" s="78"/>
      <c r="E8" s="80">
        <f t="shared" si="3"/>
        <v>167.41452372328865</v>
      </c>
      <c r="F8" s="80">
        <f t="shared" si="3"/>
        <v>4.6737413980441866</v>
      </c>
      <c r="G8" s="80">
        <f t="shared" si="3"/>
        <v>5.3224194132560667</v>
      </c>
      <c r="H8" s="80">
        <f t="shared" si="3"/>
        <v>9.2787154412652413</v>
      </c>
      <c r="I8" s="80">
        <f t="shared" si="3"/>
        <v>523.08378606784981</v>
      </c>
      <c r="N8" s="12">
        <f t="shared" si="4"/>
        <v>6929</v>
      </c>
      <c r="O8" s="26">
        <f t="shared" si="5"/>
        <v>0.83653265724978876</v>
      </c>
      <c r="P8">
        <f t="shared" si="6"/>
        <v>168.04267571078077</v>
      </c>
      <c r="Q8" s="26">
        <f t="shared" si="7"/>
        <v>1.0037520758266492</v>
      </c>
      <c r="R8">
        <f t="shared" si="1"/>
        <v>9.3136383316495888</v>
      </c>
      <c r="S8" s="26">
        <f t="shared" si="8"/>
        <v>1.0037637634870269</v>
      </c>
    </row>
    <row r="9" spans="1:19" x14ac:dyDescent="0.25">
      <c r="A9" s="77"/>
      <c r="B9" s="78" t="s">
        <v>181</v>
      </c>
      <c r="C9" s="79">
        <f t="shared" si="2"/>
        <v>39167</v>
      </c>
      <c r="D9" s="78"/>
      <c r="E9" s="80">
        <f t="shared" si="3"/>
        <v>323.46097224704465</v>
      </c>
      <c r="F9" s="80">
        <f t="shared" si="3"/>
        <v>4.3642786018842399</v>
      </c>
      <c r="G9" s="80">
        <f t="shared" si="3"/>
        <v>7.5542293257078663</v>
      </c>
      <c r="H9" s="80">
        <f t="shared" si="3"/>
        <v>27.685237572446191</v>
      </c>
      <c r="I9" s="80">
        <f t="shared" si="3"/>
        <v>360.49804682513343</v>
      </c>
      <c r="N9" s="12">
        <f t="shared" si="4"/>
        <v>30466</v>
      </c>
      <c r="O9" s="26">
        <f t="shared" si="5"/>
        <v>0.7778486991600071</v>
      </c>
      <c r="P9">
        <f t="shared" si="6"/>
        <v>323.73542309459719</v>
      </c>
      <c r="Q9" s="26">
        <f t="shared" si="7"/>
        <v>1.0008484821078907</v>
      </c>
      <c r="R9">
        <f t="shared" si="1"/>
        <v>27.681021466552878</v>
      </c>
      <c r="S9" s="26">
        <f t="shared" si="8"/>
        <v>0.9998477128512161</v>
      </c>
    </row>
    <row r="10" spans="1:19" x14ac:dyDescent="0.25">
      <c r="A10" s="77"/>
      <c r="B10" s="78" t="s">
        <v>182</v>
      </c>
      <c r="C10" s="79">
        <f t="shared" si="2"/>
        <v>97422</v>
      </c>
      <c r="D10" s="78"/>
      <c r="E10" s="80">
        <f t="shared" si="3"/>
        <v>328.44804253659339</v>
      </c>
      <c r="F10" s="80">
        <f t="shared" si="3"/>
        <v>4.7509351070600072</v>
      </c>
      <c r="G10" s="80">
        <f t="shared" si="3"/>
        <v>6.6520775594834838</v>
      </c>
      <c r="H10" s="80">
        <f t="shared" si="3"/>
        <v>20.048902711913119</v>
      </c>
      <c r="I10" s="80">
        <f t="shared" si="3"/>
        <v>504.83496540822404</v>
      </c>
      <c r="N10" s="12">
        <f t="shared" si="4"/>
        <v>77052</v>
      </c>
      <c r="O10" s="26">
        <f t="shared" si="5"/>
        <v>0.79090965079756115</v>
      </c>
      <c r="P10">
        <f t="shared" si="6"/>
        <v>328.59292685459172</v>
      </c>
      <c r="Q10" s="26">
        <f t="shared" si="7"/>
        <v>1.0004411179219683</v>
      </c>
      <c r="R10">
        <f t="shared" si="1"/>
        <v>20.088267663396145</v>
      </c>
      <c r="S10" s="26">
        <f t="shared" si="8"/>
        <v>1.0019634466807821</v>
      </c>
    </row>
    <row r="11" spans="1:19" x14ac:dyDescent="0.25">
      <c r="A11" s="49" t="s">
        <v>243</v>
      </c>
      <c r="B11" s="81" t="s">
        <v>238</v>
      </c>
      <c r="C11" s="50">
        <v>1433</v>
      </c>
      <c r="D11" s="64">
        <v>40</v>
      </c>
      <c r="E11" s="64">
        <v>202.3</v>
      </c>
      <c r="F11" s="64">
        <v>3.5</v>
      </c>
      <c r="G11" s="64">
        <v>6.6</v>
      </c>
      <c r="H11" s="64">
        <v>69.599999999999994</v>
      </c>
      <c r="I11" s="82"/>
      <c r="S11" s="26"/>
    </row>
    <row r="12" spans="1:19" x14ac:dyDescent="0.25">
      <c r="A12" s="49"/>
      <c r="B12" s="49" t="s">
        <v>177</v>
      </c>
      <c r="C12" s="50">
        <v>438</v>
      </c>
      <c r="D12" s="64">
        <v>40</v>
      </c>
      <c r="E12" s="64">
        <v>184.8</v>
      </c>
      <c r="F12" s="64">
        <v>2.9</v>
      </c>
      <c r="G12" s="64">
        <v>6.4</v>
      </c>
      <c r="H12" s="64">
        <v>36.4</v>
      </c>
      <c r="I12" s="82"/>
    </row>
    <row r="13" spans="1:19" x14ac:dyDescent="0.25">
      <c r="A13" s="49"/>
      <c r="B13" s="49" t="s">
        <v>241</v>
      </c>
      <c r="C13" s="50">
        <v>205</v>
      </c>
      <c r="D13" s="64">
        <v>40</v>
      </c>
      <c r="E13" s="64">
        <v>205.2</v>
      </c>
      <c r="F13" s="64">
        <v>3.7</v>
      </c>
      <c r="G13" s="64">
        <v>8</v>
      </c>
      <c r="H13" s="64">
        <v>30.3</v>
      </c>
      <c r="I13" s="82">
        <v>201</v>
      </c>
    </row>
    <row r="14" spans="1:19" x14ac:dyDescent="0.25">
      <c r="A14" s="49"/>
      <c r="B14" s="49" t="s">
        <v>180</v>
      </c>
      <c r="C14" s="50">
        <v>85</v>
      </c>
      <c r="D14" s="64">
        <v>40</v>
      </c>
      <c r="E14" s="64">
        <v>129.69999999999999</v>
      </c>
      <c r="F14" s="64">
        <v>4</v>
      </c>
      <c r="G14" s="64">
        <v>5</v>
      </c>
      <c r="H14" s="64">
        <v>10.6</v>
      </c>
      <c r="I14" s="82">
        <v>341</v>
      </c>
    </row>
    <row r="15" spans="1:19" x14ac:dyDescent="0.25">
      <c r="A15" s="49"/>
      <c r="B15" s="49" t="s">
        <v>181</v>
      </c>
      <c r="C15" s="50">
        <v>235</v>
      </c>
      <c r="D15" s="64">
        <v>39.9</v>
      </c>
      <c r="E15" s="64">
        <v>255.3</v>
      </c>
      <c r="F15" s="64">
        <v>3.7</v>
      </c>
      <c r="G15" s="64">
        <v>7.7</v>
      </c>
      <c r="H15" s="64">
        <v>32</v>
      </c>
      <c r="I15" s="82">
        <v>242</v>
      </c>
    </row>
    <row r="16" spans="1:19" x14ac:dyDescent="0.25">
      <c r="A16" s="49"/>
      <c r="B16" s="49" t="s">
        <v>182</v>
      </c>
      <c r="C16" s="50">
        <v>168</v>
      </c>
      <c r="D16" s="64">
        <v>40</v>
      </c>
      <c r="E16" s="64">
        <v>258.89999999999998</v>
      </c>
      <c r="F16" s="64">
        <v>4.3</v>
      </c>
      <c r="G16" s="64">
        <v>6.6</v>
      </c>
      <c r="H16" s="64">
        <v>21.6</v>
      </c>
      <c r="I16" s="82">
        <v>364</v>
      </c>
    </row>
    <row r="17" spans="1:9" x14ac:dyDescent="0.25">
      <c r="A17" s="49" t="s">
        <v>244</v>
      </c>
      <c r="B17" s="81" t="s">
        <v>238</v>
      </c>
      <c r="C17" s="50">
        <v>681</v>
      </c>
      <c r="D17" s="64"/>
      <c r="E17" s="64">
        <v>247.2</v>
      </c>
      <c r="F17" s="64">
        <v>4</v>
      </c>
      <c r="G17" s="64">
        <v>9.9</v>
      </c>
      <c r="H17" s="64">
        <v>95.3</v>
      </c>
      <c r="I17" s="82"/>
    </row>
    <row r="18" spans="1:9" x14ac:dyDescent="0.25">
      <c r="A18" s="49"/>
      <c r="B18" s="49" t="s">
        <v>177</v>
      </c>
      <c r="C18" s="50">
        <v>93</v>
      </c>
      <c r="D18" s="64"/>
      <c r="E18" s="64">
        <v>207.6</v>
      </c>
      <c r="F18" s="64">
        <v>3.5</v>
      </c>
      <c r="G18" s="64">
        <v>8.4</v>
      </c>
      <c r="H18" s="64">
        <v>35.9</v>
      </c>
      <c r="I18" s="82"/>
    </row>
    <row r="19" spans="1:9" x14ac:dyDescent="0.25">
      <c r="A19" s="49"/>
      <c r="B19" s="49" t="s">
        <v>241</v>
      </c>
      <c r="C19" s="50">
        <v>106</v>
      </c>
      <c r="D19" s="64"/>
      <c r="E19" s="64">
        <v>212.2</v>
      </c>
      <c r="F19" s="64">
        <v>4.2</v>
      </c>
      <c r="G19" s="64">
        <v>8.9</v>
      </c>
      <c r="H19" s="64">
        <v>28.9</v>
      </c>
      <c r="I19" s="82">
        <v>219</v>
      </c>
    </row>
    <row r="20" spans="1:9" x14ac:dyDescent="0.25">
      <c r="A20" s="49"/>
      <c r="B20" s="49" t="s">
        <v>180</v>
      </c>
      <c r="C20" s="50">
        <v>164</v>
      </c>
      <c r="D20" s="64"/>
      <c r="E20" s="64">
        <v>123.8</v>
      </c>
      <c r="F20" s="64">
        <v>4.0999999999999996</v>
      </c>
      <c r="G20" s="64">
        <v>5.3</v>
      </c>
      <c r="H20" s="64">
        <v>9.3000000000000007</v>
      </c>
      <c r="I20" s="82">
        <v>366</v>
      </c>
    </row>
    <row r="21" spans="1:9" x14ac:dyDescent="0.25">
      <c r="A21" s="49"/>
      <c r="B21" s="49" t="s">
        <v>181</v>
      </c>
      <c r="C21" s="50">
        <v>224</v>
      </c>
      <c r="D21" s="64"/>
      <c r="E21" s="64">
        <v>242</v>
      </c>
      <c r="F21" s="64">
        <v>4</v>
      </c>
      <c r="G21" s="64">
        <v>7.8</v>
      </c>
      <c r="H21" s="64">
        <v>28.4</v>
      </c>
      <c r="I21" s="82">
        <v>257</v>
      </c>
    </row>
    <row r="22" spans="1:9" x14ac:dyDescent="0.25">
      <c r="A22" s="49"/>
      <c r="B22" s="49" t="s">
        <v>182</v>
      </c>
      <c r="C22" s="50">
        <v>301</v>
      </c>
      <c r="D22" s="64"/>
      <c r="E22" s="64">
        <v>260.5</v>
      </c>
      <c r="F22" s="64">
        <v>4.5999999999999996</v>
      </c>
      <c r="G22" s="64">
        <v>6</v>
      </c>
      <c r="H22" s="64">
        <v>23.1</v>
      </c>
      <c r="I22" s="82">
        <v>343</v>
      </c>
    </row>
    <row r="23" spans="1:9" x14ac:dyDescent="0.25">
      <c r="A23" s="49" t="s">
        <v>245</v>
      </c>
      <c r="B23" s="81" t="s">
        <v>238</v>
      </c>
      <c r="C23" s="50">
        <v>130623</v>
      </c>
      <c r="D23" s="64"/>
      <c r="E23" s="64">
        <v>317.3</v>
      </c>
      <c r="F23" s="64">
        <v>3.8</v>
      </c>
      <c r="G23" s="64">
        <v>7</v>
      </c>
      <c r="H23" s="64">
        <v>69.3</v>
      </c>
      <c r="I23" s="82"/>
    </row>
    <row r="24" spans="1:9" x14ac:dyDescent="0.25">
      <c r="A24" s="49"/>
      <c r="B24" s="49" t="s">
        <v>177</v>
      </c>
      <c r="C24" s="50">
        <v>55981</v>
      </c>
      <c r="D24" s="64"/>
      <c r="E24" s="64">
        <v>289.10000000000002</v>
      </c>
      <c r="F24" s="64">
        <v>3.6</v>
      </c>
      <c r="G24" s="64">
        <v>6.7</v>
      </c>
      <c r="H24" s="64">
        <v>39.5</v>
      </c>
      <c r="I24" s="82"/>
    </row>
    <row r="25" spans="1:9" x14ac:dyDescent="0.25">
      <c r="A25" s="49"/>
      <c r="B25" s="49" t="s">
        <v>241</v>
      </c>
      <c r="C25" s="50">
        <v>21744</v>
      </c>
      <c r="D25" s="64"/>
      <c r="E25" s="64">
        <v>296.8</v>
      </c>
      <c r="F25" s="64">
        <v>4.2</v>
      </c>
      <c r="G25" s="64">
        <v>8.1999999999999993</v>
      </c>
      <c r="H25" s="64">
        <v>28.3</v>
      </c>
      <c r="I25" s="82">
        <v>321</v>
      </c>
    </row>
    <row r="26" spans="1:9" x14ac:dyDescent="0.25">
      <c r="A26" s="49"/>
      <c r="B26" s="49" t="s">
        <v>180</v>
      </c>
      <c r="C26" s="50">
        <v>5050</v>
      </c>
      <c r="D26" s="64"/>
      <c r="E26" s="64">
        <v>170.3</v>
      </c>
      <c r="F26" s="64">
        <v>4.5</v>
      </c>
      <c r="G26" s="64">
        <v>5.0999999999999996</v>
      </c>
      <c r="H26" s="64">
        <v>9.1999999999999993</v>
      </c>
      <c r="I26" s="82">
        <v>537</v>
      </c>
    </row>
    <row r="27" spans="1:9" x14ac:dyDescent="0.25">
      <c r="A27" s="49"/>
      <c r="B27" s="49" t="s">
        <v>181</v>
      </c>
      <c r="C27" s="50">
        <v>18610</v>
      </c>
      <c r="D27" s="64"/>
      <c r="E27" s="64">
        <v>326.33999999999997</v>
      </c>
      <c r="F27" s="64">
        <v>4</v>
      </c>
      <c r="G27" s="64">
        <v>7.5</v>
      </c>
      <c r="H27" s="64">
        <v>27.3</v>
      </c>
      <c r="I27" s="82">
        <v>369</v>
      </c>
    </row>
    <row r="28" spans="1:9" x14ac:dyDescent="0.25">
      <c r="A28" s="49"/>
      <c r="B28" s="49" t="s">
        <v>182</v>
      </c>
      <c r="C28" s="50">
        <v>54487</v>
      </c>
      <c r="D28" s="64"/>
      <c r="E28" s="64">
        <v>329.1</v>
      </c>
      <c r="F28" s="64">
        <v>4.4000000000000004</v>
      </c>
      <c r="G28" s="64">
        <v>6.5</v>
      </c>
      <c r="H28" s="64">
        <v>19.899999999999999</v>
      </c>
      <c r="I28" s="82">
        <v>509</v>
      </c>
    </row>
    <row r="29" spans="1:9" x14ac:dyDescent="0.25">
      <c r="A29" s="49" t="s">
        <v>246</v>
      </c>
      <c r="B29" s="81" t="s">
        <v>238</v>
      </c>
      <c r="C29" s="50">
        <v>79674</v>
      </c>
      <c r="D29" s="64"/>
      <c r="E29" s="64">
        <v>305.89999999999998</v>
      </c>
      <c r="F29" s="64">
        <v>4.3</v>
      </c>
      <c r="G29" s="64">
        <v>7.7</v>
      </c>
      <c r="H29" s="64">
        <v>70.3</v>
      </c>
      <c r="I29" s="82"/>
    </row>
    <row r="30" spans="1:9" x14ac:dyDescent="0.25">
      <c r="A30" s="49"/>
      <c r="B30" s="49" t="s">
        <v>177</v>
      </c>
      <c r="C30" s="50">
        <v>26696</v>
      </c>
      <c r="D30" s="64"/>
      <c r="E30" s="64">
        <v>277.39999999999998</v>
      </c>
      <c r="F30" s="64">
        <v>4.0999999999999996</v>
      </c>
      <c r="G30" s="64">
        <v>7.2</v>
      </c>
      <c r="H30" s="64">
        <v>39.6</v>
      </c>
      <c r="I30" s="82"/>
    </row>
    <row r="31" spans="1:9" x14ac:dyDescent="0.25">
      <c r="A31" s="49"/>
      <c r="B31" s="49" t="s">
        <v>241</v>
      </c>
      <c r="C31" s="50">
        <v>12151</v>
      </c>
      <c r="D31" s="64"/>
      <c r="E31" s="64">
        <v>292.5</v>
      </c>
      <c r="F31" s="64">
        <v>5</v>
      </c>
      <c r="G31" s="64">
        <v>8.5</v>
      </c>
      <c r="H31" s="64">
        <v>28.9</v>
      </c>
      <c r="I31" s="82">
        <v>310</v>
      </c>
    </row>
    <row r="32" spans="1:9" x14ac:dyDescent="0.25">
      <c r="A32" s="49"/>
      <c r="B32" s="49" t="s">
        <v>180</v>
      </c>
      <c r="C32" s="50">
        <v>1630</v>
      </c>
      <c r="D32" s="64"/>
      <c r="E32" s="64">
        <v>167.5</v>
      </c>
      <c r="F32" s="64">
        <v>5.2</v>
      </c>
      <c r="G32" s="64">
        <v>5.8</v>
      </c>
      <c r="H32" s="64">
        <v>9.6</v>
      </c>
      <c r="I32" s="82">
        <v>507</v>
      </c>
    </row>
    <row r="33" spans="1:19" x14ac:dyDescent="0.25">
      <c r="A33" s="49"/>
      <c r="B33" s="49" t="s">
        <v>181</v>
      </c>
      <c r="C33" s="50">
        <v>11397</v>
      </c>
      <c r="D33" s="64"/>
      <c r="E33" s="64">
        <v>322.5</v>
      </c>
      <c r="F33" s="64">
        <v>4.8</v>
      </c>
      <c r="G33" s="64">
        <v>7.6</v>
      </c>
      <c r="H33" s="64">
        <v>28.2</v>
      </c>
      <c r="I33" s="82">
        <v>353</v>
      </c>
    </row>
    <row r="34" spans="1:19" x14ac:dyDescent="0.25">
      <c r="A34" s="49"/>
      <c r="B34" s="49" t="s">
        <v>182</v>
      </c>
      <c r="C34" s="50">
        <v>22096</v>
      </c>
      <c r="D34" s="64"/>
      <c r="E34" s="64">
        <v>328.8</v>
      </c>
      <c r="F34" s="64">
        <v>5.3</v>
      </c>
      <c r="G34" s="64">
        <v>6.9</v>
      </c>
      <c r="H34" s="64">
        <v>20.5</v>
      </c>
      <c r="I34" s="82">
        <v>494</v>
      </c>
    </row>
    <row r="35" spans="1:19" x14ac:dyDescent="0.25">
      <c r="A35" s="49" t="s">
        <v>247</v>
      </c>
      <c r="B35" s="81" t="s">
        <v>238</v>
      </c>
      <c r="C35" s="50">
        <v>41826</v>
      </c>
      <c r="D35" s="64"/>
      <c r="E35" s="64">
        <v>309.60000000000002</v>
      </c>
      <c r="F35" s="64">
        <v>4.2</v>
      </c>
      <c r="G35" s="64">
        <v>7.5</v>
      </c>
      <c r="H35" s="64">
        <v>66.5</v>
      </c>
      <c r="I35" s="82"/>
      <c r="J35" s="26">
        <f>C35/C5</f>
        <v>0.16451578645122464</v>
      </c>
    </row>
    <row r="36" spans="1:19" x14ac:dyDescent="0.25">
      <c r="A36" s="49"/>
      <c r="B36" s="49" t="s">
        <v>177</v>
      </c>
      <c r="C36" s="50">
        <v>18364</v>
      </c>
      <c r="D36" s="64"/>
      <c r="E36" s="64">
        <v>281.2</v>
      </c>
      <c r="F36" s="64">
        <v>4</v>
      </c>
      <c r="G36" s="64">
        <v>7.2</v>
      </c>
      <c r="H36" s="64">
        <v>38.6</v>
      </c>
      <c r="I36" s="82"/>
      <c r="J36" s="26">
        <f t="shared" ref="J36:J40" si="9">C36/C6</f>
        <v>0.18079785767731266</v>
      </c>
    </row>
    <row r="37" spans="1:19" x14ac:dyDescent="0.25">
      <c r="A37" s="49"/>
      <c r="B37" s="49" t="s">
        <v>241</v>
      </c>
      <c r="C37" s="50">
        <v>8609</v>
      </c>
      <c r="D37" s="64"/>
      <c r="E37" s="64">
        <v>292.2</v>
      </c>
      <c r="F37" s="64">
        <v>4.7</v>
      </c>
      <c r="G37" s="64">
        <v>8.4</v>
      </c>
      <c r="H37" s="64">
        <v>28.2</v>
      </c>
      <c r="I37" s="82">
        <v>318</v>
      </c>
      <c r="J37" s="26">
        <f t="shared" si="9"/>
        <v>0.20107438981665304</v>
      </c>
    </row>
    <row r="38" spans="1:19" x14ac:dyDescent="0.25">
      <c r="A38" s="49"/>
      <c r="B38" s="49" t="s">
        <v>180</v>
      </c>
      <c r="C38" s="50">
        <v>1354</v>
      </c>
      <c r="D38" s="64"/>
      <c r="E38" s="64">
        <v>164.2</v>
      </c>
      <c r="F38" s="64">
        <v>4.8</v>
      </c>
      <c r="G38" s="64">
        <v>5.6</v>
      </c>
      <c r="H38" s="64">
        <v>9.1</v>
      </c>
      <c r="I38" s="82">
        <v>521</v>
      </c>
      <c r="J38" s="26">
        <f t="shared" si="9"/>
        <v>0.16346734275021127</v>
      </c>
    </row>
    <row r="39" spans="1:19" x14ac:dyDescent="0.25">
      <c r="A39" s="49"/>
      <c r="B39" s="49" t="s">
        <v>181</v>
      </c>
      <c r="C39" s="50">
        <v>8701</v>
      </c>
      <c r="D39" s="64"/>
      <c r="E39" s="64">
        <v>322.5</v>
      </c>
      <c r="F39" s="64">
        <v>4.5999999999999996</v>
      </c>
      <c r="G39" s="64">
        <v>7.6</v>
      </c>
      <c r="H39" s="64">
        <v>27.7</v>
      </c>
      <c r="I39" s="82">
        <v>358</v>
      </c>
      <c r="J39" s="26">
        <f t="shared" si="9"/>
        <v>0.22215130083999285</v>
      </c>
    </row>
    <row r="40" spans="1:19" x14ac:dyDescent="0.25">
      <c r="A40" s="49"/>
      <c r="B40" s="49" t="s">
        <v>182</v>
      </c>
      <c r="C40" s="50">
        <v>20370</v>
      </c>
      <c r="D40" s="64"/>
      <c r="E40" s="64">
        <v>327.9</v>
      </c>
      <c r="F40" s="64">
        <v>5.0999999999999996</v>
      </c>
      <c r="G40" s="64">
        <v>6.8</v>
      </c>
      <c r="H40" s="64">
        <v>19.899999999999999</v>
      </c>
      <c r="I40" s="82">
        <v>509</v>
      </c>
      <c r="J40" s="26">
        <f t="shared" si="9"/>
        <v>0.20909034920243888</v>
      </c>
      <c r="N40" t="s">
        <v>192</v>
      </c>
      <c r="P40" t="s">
        <v>193</v>
      </c>
      <c r="R40" t="s">
        <v>226</v>
      </c>
    </row>
    <row r="41" spans="1:19" x14ac:dyDescent="0.25">
      <c r="A41" s="83" t="s">
        <v>248</v>
      </c>
      <c r="B41" s="84" t="s">
        <v>238</v>
      </c>
      <c r="C41" s="85">
        <f>SUM(C47,C83)</f>
        <v>16927</v>
      </c>
      <c r="D41" s="86">
        <f>($C47*D47+$C83*D83)/$C41</f>
        <v>41.57488759531968</v>
      </c>
      <c r="E41" s="86">
        <f>($C47*E47+$C83*E83)/$C41</f>
        <v>379.16193064335084</v>
      </c>
      <c r="F41" s="86">
        <f t="shared" ref="F41:H41" si="10">($C47*F47+$C83*F83)/$C41</f>
        <v>6.7577597920482075</v>
      </c>
      <c r="G41" s="86">
        <f t="shared" si="10"/>
        <v>9.0394458557334438</v>
      </c>
      <c r="H41" s="86">
        <f t="shared" si="10"/>
        <v>91.658143793938692</v>
      </c>
      <c r="I41" s="86"/>
      <c r="K41" t="s">
        <v>239</v>
      </c>
      <c r="L41" s="13">
        <f>SUMPRODUCT(C41:C42,H41:H42)/SUM(C41:C42)/12</f>
        <v>6.4128831355158482</v>
      </c>
      <c r="M41" t="s">
        <v>240</v>
      </c>
      <c r="N41">
        <f>SUM(N47,N83)</f>
        <v>10586</v>
      </c>
      <c r="O41" s="26">
        <f t="shared" ref="O41:O46" si="11">N41/C41</f>
        <v>0.62539138654221071</v>
      </c>
      <c r="P41">
        <f>($N47*P47+$N83*P83)/$N41</f>
        <v>389.65669752503305</v>
      </c>
      <c r="Q41" s="26">
        <f t="shared" ref="Q41:Q46" si="12">P41/E41</f>
        <v>1.0276788517873485</v>
      </c>
      <c r="R41">
        <f>($N47*R47+$N83*R83)/$N41</f>
        <v>94.044558851313056</v>
      </c>
      <c r="S41" s="26">
        <f t="shared" ref="S41:S46" si="13">R41/H41</f>
        <v>1.0260360395551908</v>
      </c>
    </row>
    <row r="42" spans="1:19" x14ac:dyDescent="0.25">
      <c r="A42" s="83"/>
      <c r="B42" s="84" t="s">
        <v>177</v>
      </c>
      <c r="C42" s="85">
        <f t="shared" ref="C42:C46" si="14">SUM(C48,C84)</f>
        <v>6074</v>
      </c>
      <c r="D42" s="86">
        <f t="shared" ref="D42:I46" si="15">($C48*D48+$C84*D84)/$C42</f>
        <v>40.890930304487334</v>
      </c>
      <c r="E42" s="86">
        <f t="shared" si="15"/>
        <v>324.01010865986171</v>
      </c>
      <c r="F42" s="86">
        <f t="shared" si="15"/>
        <v>6.0869937438261434</v>
      </c>
      <c r="G42" s="86">
        <f t="shared" si="15"/>
        <v>8.2787290088903518</v>
      </c>
      <c r="H42" s="86">
        <f t="shared" si="15"/>
        <v>35.978811326967403</v>
      </c>
      <c r="I42" s="86"/>
      <c r="K42" t="s">
        <v>72</v>
      </c>
      <c r="L42" s="26" t="e">
        <f>1/(L41-'Antal djur'!#REF!/12)</f>
        <v>#REF!</v>
      </c>
      <c r="N42">
        <f t="shared" ref="N42:N46" si="16">SUM(N48,N84)</f>
        <v>2473</v>
      </c>
      <c r="O42" s="26">
        <f t="shared" si="11"/>
        <v>0.40714520908791568</v>
      </c>
      <c r="P42">
        <f t="shared" ref="P42:P46" si="17">($N48*P48+$N84*P84)/$N42</f>
        <v>331.88790942175496</v>
      </c>
      <c r="Q42" s="26">
        <f t="shared" si="12"/>
        <v>1.0243134413135337</v>
      </c>
      <c r="R42">
        <f t="shared" ref="R42:R46" si="18">($N48*R48+$N84*R84)/$N42</f>
        <v>38.378568540234532</v>
      </c>
      <c r="S42" s="26">
        <f t="shared" si="13"/>
        <v>1.0666991800106644</v>
      </c>
    </row>
    <row r="43" spans="1:19" x14ac:dyDescent="0.25">
      <c r="A43" s="83"/>
      <c r="B43" s="84" t="s">
        <v>241</v>
      </c>
      <c r="C43" s="85">
        <f t="shared" si="14"/>
        <v>22242</v>
      </c>
      <c r="D43" s="86">
        <f t="shared" si="15"/>
        <v>40.351524143512272</v>
      </c>
      <c r="E43" s="86">
        <f t="shared" si="15"/>
        <v>314.82855408686271</v>
      </c>
      <c r="F43" s="86">
        <f t="shared" si="15"/>
        <v>6.9360983724485212</v>
      </c>
      <c r="G43" s="86">
        <f t="shared" si="15"/>
        <v>9.0933639061235496</v>
      </c>
      <c r="H43" s="86">
        <f t="shared" si="15"/>
        <v>24.804527470551211</v>
      </c>
      <c r="I43" s="86">
        <f t="shared" si="15"/>
        <v>390.96951712975454</v>
      </c>
      <c r="K43" t="s">
        <v>242</v>
      </c>
      <c r="L43" s="26">
        <f>(C45*(I45/12))/(C45*(I45/12)+C46*(I46/12))</f>
        <v>0.11158582333331575</v>
      </c>
      <c r="N43">
        <f t="shared" si="16"/>
        <v>8319</v>
      </c>
      <c r="O43" s="26">
        <f t="shared" si="11"/>
        <v>0.37402212031292148</v>
      </c>
      <c r="P43">
        <f t="shared" si="17"/>
        <v>315.25748287053733</v>
      </c>
      <c r="Q43" s="26">
        <f t="shared" si="12"/>
        <v>1.0013624202065112</v>
      </c>
      <c r="R43">
        <f t="shared" si="18"/>
        <v>24.422310373843011</v>
      </c>
      <c r="S43" s="26">
        <f t="shared" si="13"/>
        <v>0.98459083338064068</v>
      </c>
    </row>
    <row r="44" spans="1:19" x14ac:dyDescent="0.25">
      <c r="A44" s="83"/>
      <c r="B44" s="84" t="s">
        <v>180</v>
      </c>
      <c r="C44" s="85">
        <f t="shared" si="14"/>
        <v>830</v>
      </c>
      <c r="D44" s="86">
        <f t="shared" si="15"/>
        <v>40.474096385542168</v>
      </c>
      <c r="E44" s="86">
        <f t="shared" si="15"/>
        <v>176.07710843373494</v>
      </c>
      <c r="F44" s="86">
        <f t="shared" si="15"/>
        <v>6.5266265060240967</v>
      </c>
      <c r="G44" s="86">
        <f t="shared" si="15"/>
        <v>6.411927710843373</v>
      </c>
      <c r="H44" s="86">
        <f t="shared" si="15"/>
        <v>9.2815662650602402</v>
      </c>
      <c r="I44" s="86">
        <f t="shared" si="15"/>
        <v>549.44216867469879</v>
      </c>
      <c r="N44">
        <f t="shared" si="16"/>
        <v>162</v>
      </c>
      <c r="O44" s="26">
        <f t="shared" si="11"/>
        <v>0.19518072289156627</v>
      </c>
      <c r="P44">
        <f t="shared" si="17"/>
        <v>194.71481481481482</v>
      </c>
      <c r="Q44" s="26">
        <f t="shared" si="12"/>
        <v>1.1058496845323538</v>
      </c>
      <c r="R44">
        <f t="shared" si="18"/>
        <v>9.8611111111111107</v>
      </c>
      <c r="S44" s="26">
        <f t="shared" si="13"/>
        <v>1.0624404146348148</v>
      </c>
    </row>
    <row r="45" spans="1:19" x14ac:dyDescent="0.25">
      <c r="A45" s="83"/>
      <c r="B45" s="84" t="s">
        <v>181</v>
      </c>
      <c r="C45" s="85">
        <f t="shared" si="14"/>
        <v>5996</v>
      </c>
      <c r="D45" s="86">
        <f t="shared" si="15"/>
        <v>40.175300200133421</v>
      </c>
      <c r="E45" s="86">
        <f t="shared" si="15"/>
        <v>339.48610740493666</v>
      </c>
      <c r="F45" s="86">
        <f t="shared" si="15"/>
        <v>6.0807038025350222</v>
      </c>
      <c r="G45" s="86">
        <f t="shared" si="15"/>
        <v>8.0606404269513003</v>
      </c>
      <c r="H45" s="86">
        <f t="shared" si="15"/>
        <v>26.432438292194792</v>
      </c>
      <c r="I45" s="86">
        <f t="shared" si="15"/>
        <v>398.93195463642428</v>
      </c>
      <c r="N45">
        <f t="shared" si="16"/>
        <v>707</v>
      </c>
      <c r="O45" s="26">
        <f t="shared" si="11"/>
        <v>0.11791194129419613</v>
      </c>
      <c r="P45">
        <f t="shared" si="17"/>
        <v>329.69533239038185</v>
      </c>
      <c r="Q45" s="26">
        <f t="shared" si="12"/>
        <v>0.97116001273396313</v>
      </c>
      <c r="R45">
        <f t="shared" si="18"/>
        <v>27.532390381895336</v>
      </c>
      <c r="S45" s="26">
        <f t="shared" si="13"/>
        <v>1.041613720139672</v>
      </c>
    </row>
    <row r="46" spans="1:19" x14ac:dyDescent="0.25">
      <c r="A46" s="83"/>
      <c r="B46" s="84" t="s">
        <v>182</v>
      </c>
      <c r="C46" s="85">
        <f t="shared" si="14"/>
        <v>29580</v>
      </c>
      <c r="D46" s="86">
        <f t="shared" si="15"/>
        <v>42.463299526707232</v>
      </c>
      <c r="E46" s="86">
        <f t="shared" si="15"/>
        <v>363.96025354969578</v>
      </c>
      <c r="F46" s="86">
        <f t="shared" si="15"/>
        <v>9.830202839756593</v>
      </c>
      <c r="G46" s="86">
        <f t="shared" si="15"/>
        <v>7.2128634212305611</v>
      </c>
      <c r="H46" s="86">
        <f t="shared" si="15"/>
        <v>17.659303583502368</v>
      </c>
      <c r="I46" s="86">
        <f t="shared" si="15"/>
        <v>643.82633536173091</v>
      </c>
      <c r="N46">
        <f t="shared" si="16"/>
        <v>15148</v>
      </c>
      <c r="O46" s="26">
        <f t="shared" si="11"/>
        <v>0.5121027721433401</v>
      </c>
      <c r="P46">
        <f t="shared" si="17"/>
        <v>367.85721547398998</v>
      </c>
      <c r="Q46" s="26">
        <f t="shared" si="12"/>
        <v>1.0107071084995882</v>
      </c>
      <c r="R46">
        <f t="shared" si="18"/>
        <v>17.0853578030103</v>
      </c>
      <c r="S46" s="26">
        <f t="shared" si="13"/>
        <v>0.96749895726192414</v>
      </c>
    </row>
    <row r="47" spans="1:19" x14ac:dyDescent="0.25">
      <c r="A47" s="87" t="s">
        <v>249</v>
      </c>
      <c r="B47" s="87" t="s">
        <v>238</v>
      </c>
      <c r="C47" s="88">
        <f>C53+C59+C65+C71+C77</f>
        <v>6087</v>
      </c>
      <c r="D47" s="89">
        <f>($C53*D53+$C59*D59+$C65*D65+$C71*D71+$C77*D77)/($C47-C77)</f>
        <v>39.758488964346355</v>
      </c>
      <c r="E47" s="89">
        <f>($C53*E53+$C59*E59+$C65*E65+$C71*E71+$C77*E77)/$C47</f>
        <v>358.55812387054374</v>
      </c>
      <c r="F47" s="89">
        <f t="shared" ref="F47:H47" si="19">($C53*F53+$C59*F59+$C65*F65+$C71*F71+$C77*F77)/$C47</f>
        <v>6.1595202891407919</v>
      </c>
      <c r="G47" s="89">
        <f t="shared" si="19"/>
        <v>10.32260555281748</v>
      </c>
      <c r="H47" s="89">
        <f t="shared" si="19"/>
        <v>92.899441432561204</v>
      </c>
      <c r="I47" s="89"/>
      <c r="K47" t="s">
        <v>239</v>
      </c>
      <c r="L47" s="13">
        <f>SUMPRODUCT(C47:C48,H47:H48)/SUM(C47:C48)/12</f>
        <v>6.4392738490745138</v>
      </c>
      <c r="M47" t="s">
        <v>240</v>
      </c>
      <c r="N47" s="12">
        <f>C53+C59+C65+C71</f>
        <v>3534</v>
      </c>
      <c r="O47" s="26">
        <f>N47/C47</f>
        <v>0.58058156727451948</v>
      </c>
      <c r="P47">
        <f>($C53*E53+$C59*E59+$C65*E65+$C71*E71)/$N47</f>
        <v>359.39476513865304</v>
      </c>
      <c r="Q47" s="26">
        <f>P47/E47</f>
        <v>1.0023333490790223</v>
      </c>
      <c r="R47">
        <f t="shared" ref="R47:R52" si="20">($C53*H53+$C59*H59+$C65*H65+$C71*H71)/$N47</f>
        <v>94.343859649122805</v>
      </c>
      <c r="S47" s="26">
        <f>R47/H47</f>
        <v>1.0155481905411687</v>
      </c>
    </row>
    <row r="48" spans="1:19" x14ac:dyDescent="0.25">
      <c r="A48" s="87"/>
      <c r="B48" s="87" t="s">
        <v>177</v>
      </c>
      <c r="C48" s="88">
        <f t="shared" ref="C48:C52" si="21">C54+C60+C66+C72+C78</f>
        <v>2341</v>
      </c>
      <c r="D48" s="89">
        <f>($C54*D54+$C60*D60+$C66*D66+$C72*D72+$C78*D78)/($C48-C78)</f>
        <v>40.016108786610872</v>
      </c>
      <c r="E48" s="89">
        <f t="shared" ref="E48:I52" si="22">($C54*E54+$C60*E60+$C66*E66+$C72*E72+$C78*E78)/$C48</f>
        <v>314.80914139256726</v>
      </c>
      <c r="F48" s="89">
        <f t="shared" si="22"/>
        <v>5.7646304997864162</v>
      </c>
      <c r="G48" s="89">
        <f t="shared" si="22"/>
        <v>9.3019222554463923</v>
      </c>
      <c r="H48" s="89">
        <f t="shared" si="22"/>
        <v>36.635412217001281</v>
      </c>
      <c r="I48" s="89"/>
      <c r="K48" t="s">
        <v>72</v>
      </c>
      <c r="L48" s="26" t="e">
        <f>1/(L47-'Antal djur'!#REF!/12)</f>
        <v>#REF!</v>
      </c>
      <c r="N48" s="12">
        <f t="shared" ref="N48:N52" si="23">C54+C60+C66+C72</f>
        <v>956</v>
      </c>
      <c r="O48" s="26">
        <f t="shared" ref="O48:O52" si="24">N48/C48</f>
        <v>0.40837249038872275</v>
      </c>
      <c r="P48">
        <f t="shared" ref="P48:P52" si="25">($C54*E54+$C60*E60+$C66*E66+$C72*E72)/$N48</f>
        <v>311.63514644351466</v>
      </c>
      <c r="Q48" s="26">
        <f t="shared" ref="Q48:Q52" si="26">P48/E48</f>
        <v>0.98991771669967288</v>
      </c>
      <c r="R48">
        <f t="shared" si="20"/>
        <v>39.439330543933053</v>
      </c>
      <c r="S48" s="26">
        <f t="shared" ref="S48:S52" si="27">R48/H48</f>
        <v>1.0765357384358996</v>
      </c>
    </row>
    <row r="49" spans="1:19" x14ac:dyDescent="0.25">
      <c r="A49" s="87"/>
      <c r="B49" s="87" t="s">
        <v>241</v>
      </c>
      <c r="C49" s="88">
        <f t="shared" si="21"/>
        <v>7952</v>
      </c>
      <c r="D49" s="89">
        <f>($C55*D55+$C61*D61+$C67*D67+$C73*D73+$C79*D79)/$C49</f>
        <v>39.908689637826967</v>
      </c>
      <c r="E49" s="89">
        <f t="shared" si="22"/>
        <v>304.57195674044266</v>
      </c>
      <c r="F49" s="89">
        <f t="shared" si="22"/>
        <v>6.4919139839034203</v>
      </c>
      <c r="G49" s="89">
        <f t="shared" si="22"/>
        <v>9.9578596579476848</v>
      </c>
      <c r="H49" s="89">
        <f t="shared" si="22"/>
        <v>25.802716297786723</v>
      </c>
      <c r="I49" s="89">
        <f t="shared" si="22"/>
        <v>362.36443661971833</v>
      </c>
      <c r="K49" t="s">
        <v>242</v>
      </c>
      <c r="L49" s="26">
        <f>(C51*(I51/12))/(C51*(I51/12)+C52*(I52/12))</f>
        <v>0.16285725467323639</v>
      </c>
      <c r="N49" s="12">
        <f t="shared" si="23"/>
        <v>2802</v>
      </c>
      <c r="O49" s="26">
        <f t="shared" si="24"/>
        <v>0.35236418511066397</v>
      </c>
      <c r="P49">
        <f>($C55*E55+$C61*E61+$C67*E67+$C73*E73)/$N49</f>
        <v>299.74168451106351</v>
      </c>
      <c r="Q49" s="26">
        <f t="shared" si="26"/>
        <v>0.98414078472268696</v>
      </c>
      <c r="R49">
        <f t="shared" si="20"/>
        <v>26.17530335474661</v>
      </c>
      <c r="S49" s="26">
        <f t="shared" si="27"/>
        <v>1.0144398385293973</v>
      </c>
    </row>
    <row r="50" spans="1:19" x14ac:dyDescent="0.25">
      <c r="A50" s="87"/>
      <c r="B50" s="87" t="s">
        <v>180</v>
      </c>
      <c r="C50" s="88">
        <f t="shared" si="21"/>
        <v>388</v>
      </c>
      <c r="D50" s="89">
        <f>($C56*D56+$C62*D62+$C68*D68+$C74*D74+$C80*D80)/$C50</f>
        <v>39.900515463917522</v>
      </c>
      <c r="E50" s="89">
        <f t="shared" si="22"/>
        <v>157.11907216494845</v>
      </c>
      <c r="F50" s="89">
        <f t="shared" si="22"/>
        <v>5.64639175257732</v>
      </c>
      <c r="G50" s="89">
        <f t="shared" si="22"/>
        <v>6.7556701030927826</v>
      </c>
      <c r="H50" s="89">
        <f t="shared" si="22"/>
        <v>9.2572164948453608</v>
      </c>
      <c r="I50" s="89">
        <f t="shared" si="22"/>
        <v>492.71649484536084</v>
      </c>
      <c r="N50" s="12">
        <f t="shared" si="23"/>
        <v>66</v>
      </c>
      <c r="O50" s="26">
        <f t="shared" si="24"/>
        <v>0.17010309278350516</v>
      </c>
      <c r="P50">
        <f t="shared" si="25"/>
        <v>129.89090909090908</v>
      </c>
      <c r="Q50" s="26">
        <f t="shared" si="26"/>
        <v>0.82670364139208763</v>
      </c>
      <c r="R50">
        <f t="shared" si="20"/>
        <v>8.5606060606060606</v>
      </c>
      <c r="S50" s="26">
        <f t="shared" si="27"/>
        <v>0.92474947143915354</v>
      </c>
    </row>
    <row r="51" spans="1:19" x14ac:dyDescent="0.25">
      <c r="A51" s="87"/>
      <c r="B51" s="87" t="s">
        <v>181</v>
      </c>
      <c r="C51" s="88">
        <f t="shared" si="21"/>
        <v>3017</v>
      </c>
      <c r="D51" s="89">
        <f>($C57*D57+$C63*D63+$C69*D69+$C75*D75+$C81*D81)/$C51</f>
        <v>40.082399734835931</v>
      </c>
      <c r="E51" s="89">
        <f t="shared" si="22"/>
        <v>335.68001325820353</v>
      </c>
      <c r="F51" s="89">
        <f t="shared" si="22"/>
        <v>5.9614849187935031</v>
      </c>
      <c r="G51" s="89">
        <f t="shared" si="22"/>
        <v>8.6885316539608883</v>
      </c>
      <c r="H51" s="89">
        <f t="shared" si="22"/>
        <v>27.12230692741133</v>
      </c>
      <c r="I51" s="89">
        <f t="shared" si="22"/>
        <v>384.82532316871067</v>
      </c>
      <c r="N51" s="12">
        <f t="shared" si="23"/>
        <v>469</v>
      </c>
      <c r="O51" s="26">
        <f t="shared" si="24"/>
        <v>0.1554524361948956</v>
      </c>
      <c r="P51">
        <f t="shared" si="25"/>
        <v>322.53262260127929</v>
      </c>
      <c r="Q51" s="26">
        <f t="shared" si="26"/>
        <v>0.96083356131539677</v>
      </c>
      <c r="R51">
        <f t="shared" si="20"/>
        <v>29.416631130063966</v>
      </c>
      <c r="S51" s="26">
        <f t="shared" si="27"/>
        <v>1.0845917793347388</v>
      </c>
    </row>
    <row r="52" spans="1:19" x14ac:dyDescent="0.25">
      <c r="A52" s="87"/>
      <c r="B52" s="87" t="s">
        <v>182</v>
      </c>
      <c r="C52" s="88">
        <f t="shared" si="21"/>
        <v>10463</v>
      </c>
      <c r="D52" s="89">
        <f>($C58*D58+$C64*D64+$C70*D70+$C76*D76+$C82*D82)/$C52</f>
        <v>40.779661664914457</v>
      </c>
      <c r="E52" s="89">
        <f t="shared" si="22"/>
        <v>346.56856542100741</v>
      </c>
      <c r="F52" s="89">
        <f t="shared" si="22"/>
        <v>12.033843066042245</v>
      </c>
      <c r="G52" s="89">
        <f t="shared" si="22"/>
        <v>7.9628691579852813</v>
      </c>
      <c r="H52" s="89">
        <f t="shared" si="22"/>
        <v>18.879174233011565</v>
      </c>
      <c r="I52" s="89">
        <f t="shared" si="22"/>
        <v>570.39424639204822</v>
      </c>
      <c r="N52" s="12">
        <f t="shared" si="23"/>
        <v>5067</v>
      </c>
      <c r="O52" s="26">
        <f t="shared" si="24"/>
        <v>0.4842779317595336</v>
      </c>
      <c r="P52">
        <f t="shared" si="25"/>
        <v>344.40522991908432</v>
      </c>
      <c r="Q52" s="26">
        <f t="shared" si="26"/>
        <v>0.99375784269616285</v>
      </c>
      <c r="R52">
        <f t="shared" si="20"/>
        <v>19.069982238010653</v>
      </c>
      <c r="S52" s="26">
        <f t="shared" si="27"/>
        <v>1.0101067982446736</v>
      </c>
    </row>
    <row r="53" spans="1:19" x14ac:dyDescent="0.25">
      <c r="A53" s="90" t="s">
        <v>250</v>
      </c>
      <c r="B53" s="91" t="s">
        <v>238</v>
      </c>
      <c r="C53" s="92">
        <v>842</v>
      </c>
      <c r="D53" s="3">
        <v>37.700000000000003</v>
      </c>
      <c r="E53" s="3">
        <v>360.5</v>
      </c>
      <c r="F53" s="3">
        <v>6.6</v>
      </c>
      <c r="G53" s="3">
        <v>10.4</v>
      </c>
      <c r="H53" s="3">
        <v>92.6</v>
      </c>
      <c r="I53" s="3"/>
    </row>
    <row r="54" spans="1:19" x14ac:dyDescent="0.25">
      <c r="A54" s="90"/>
      <c r="B54" s="90" t="s">
        <v>177</v>
      </c>
      <c r="C54" s="92">
        <v>190</v>
      </c>
      <c r="D54" s="3">
        <v>37.9</v>
      </c>
      <c r="E54" s="3">
        <v>307.10000000000002</v>
      </c>
      <c r="F54" s="3">
        <v>6</v>
      </c>
      <c r="G54" s="3">
        <v>9.1</v>
      </c>
      <c r="H54" s="3">
        <v>38.4</v>
      </c>
      <c r="I54" s="3"/>
    </row>
    <row r="55" spans="1:19" x14ac:dyDescent="0.25">
      <c r="A55" s="90"/>
      <c r="B55" s="90" t="s">
        <v>241</v>
      </c>
      <c r="C55" s="92">
        <v>552</v>
      </c>
      <c r="D55" s="3">
        <v>38.700000000000003</v>
      </c>
      <c r="E55" s="3">
        <v>307.3</v>
      </c>
      <c r="F55" s="3">
        <v>7.2</v>
      </c>
      <c r="G55" s="3">
        <v>10.1</v>
      </c>
      <c r="H55" s="3">
        <v>27</v>
      </c>
      <c r="I55" s="3">
        <v>350</v>
      </c>
    </row>
    <row r="56" spans="1:19" x14ac:dyDescent="0.25">
      <c r="A56" s="90"/>
      <c r="B56" s="90" t="s">
        <v>180</v>
      </c>
      <c r="C56" s="92">
        <v>32</v>
      </c>
      <c r="D56" s="3">
        <v>40</v>
      </c>
      <c r="E56" s="3">
        <v>132.9</v>
      </c>
      <c r="F56" s="3">
        <v>6.1</v>
      </c>
      <c r="G56" s="3">
        <v>4.8</v>
      </c>
      <c r="H56" s="3">
        <v>6.8</v>
      </c>
      <c r="I56" s="3">
        <v>544</v>
      </c>
    </row>
    <row r="57" spans="1:19" x14ac:dyDescent="0.25">
      <c r="A57" s="90"/>
      <c r="B57" s="90" t="s">
        <v>181</v>
      </c>
      <c r="C57" s="92">
        <v>129</v>
      </c>
      <c r="D57" s="3">
        <v>39.4</v>
      </c>
      <c r="E57" s="3">
        <v>344.6</v>
      </c>
      <c r="F57" s="3">
        <v>6.6</v>
      </c>
      <c r="G57" s="3">
        <v>8.3000000000000007</v>
      </c>
      <c r="H57" s="3">
        <v>31.2</v>
      </c>
      <c r="I57" s="3">
        <v>342</v>
      </c>
    </row>
    <row r="58" spans="1:19" x14ac:dyDescent="0.25">
      <c r="A58" s="90"/>
      <c r="B58" s="90" t="s">
        <v>182</v>
      </c>
      <c r="C58" s="92">
        <v>1144</v>
      </c>
      <c r="D58" s="3">
        <v>40.1</v>
      </c>
      <c r="E58" s="3">
        <v>352.1</v>
      </c>
      <c r="F58" s="3">
        <v>7.9</v>
      </c>
      <c r="G58" s="3">
        <v>7.9</v>
      </c>
      <c r="H58" s="3">
        <v>18.899999999999999</v>
      </c>
      <c r="I58" s="3">
        <v>588</v>
      </c>
    </row>
    <row r="59" spans="1:19" x14ac:dyDescent="0.25">
      <c r="A59" s="90" t="s">
        <v>251</v>
      </c>
      <c r="B59" s="91" t="s">
        <v>238</v>
      </c>
      <c r="C59" s="92">
        <v>2527</v>
      </c>
      <c r="D59" s="3">
        <v>40.700000000000003</v>
      </c>
      <c r="E59" s="3">
        <v>365.7</v>
      </c>
      <c r="F59" s="3">
        <v>6.2</v>
      </c>
      <c r="G59" s="3">
        <v>10.6</v>
      </c>
      <c r="H59" s="3">
        <v>93.4</v>
      </c>
      <c r="I59" s="3"/>
    </row>
    <row r="60" spans="1:19" x14ac:dyDescent="0.25">
      <c r="A60" s="90"/>
      <c r="B60" s="90" t="s">
        <v>177</v>
      </c>
      <c r="C60" s="92">
        <v>734</v>
      </c>
      <c r="D60" s="3">
        <v>40.799999999999997</v>
      </c>
      <c r="E60" s="3">
        <v>318.5</v>
      </c>
      <c r="F60" s="3">
        <v>6.1</v>
      </c>
      <c r="G60" s="3">
        <v>9.3000000000000007</v>
      </c>
      <c r="H60" s="3">
        <v>39.200000000000003</v>
      </c>
      <c r="I60" s="3"/>
    </row>
    <row r="61" spans="1:19" x14ac:dyDescent="0.25">
      <c r="A61" s="90"/>
      <c r="B61" s="90" t="s">
        <v>241</v>
      </c>
      <c r="C61" s="92">
        <v>2183</v>
      </c>
      <c r="D61" s="3">
        <v>40.1</v>
      </c>
      <c r="E61" s="3">
        <v>300.39999999999998</v>
      </c>
      <c r="F61" s="3">
        <v>6.8</v>
      </c>
      <c r="G61" s="3">
        <v>10.1</v>
      </c>
      <c r="H61" s="3">
        <v>25.8</v>
      </c>
      <c r="I61" s="3">
        <v>357</v>
      </c>
    </row>
    <row r="62" spans="1:19" x14ac:dyDescent="0.25">
      <c r="A62" s="90"/>
      <c r="B62" s="90" t="s">
        <v>180</v>
      </c>
      <c r="C62" s="92">
        <v>28</v>
      </c>
      <c r="D62" s="3">
        <v>39.299999999999997</v>
      </c>
      <c r="E62" s="3">
        <v>128.5</v>
      </c>
      <c r="F62" s="3">
        <v>4.9000000000000004</v>
      </c>
      <c r="G62" s="3">
        <v>5.3</v>
      </c>
      <c r="H62" s="3">
        <v>9.1</v>
      </c>
      <c r="I62" s="3">
        <v>395</v>
      </c>
    </row>
    <row r="63" spans="1:19" x14ac:dyDescent="0.25">
      <c r="A63" s="90"/>
      <c r="B63" s="90" t="s">
        <v>181</v>
      </c>
      <c r="C63" s="92">
        <v>238</v>
      </c>
      <c r="D63" s="3">
        <v>40.6</v>
      </c>
      <c r="E63" s="3">
        <v>333</v>
      </c>
      <c r="F63" s="3">
        <v>6.3</v>
      </c>
      <c r="G63" s="3">
        <v>8.9</v>
      </c>
      <c r="H63" s="3">
        <v>24.9</v>
      </c>
      <c r="I63" s="3">
        <v>413</v>
      </c>
    </row>
    <row r="64" spans="1:19" x14ac:dyDescent="0.25">
      <c r="A64" s="90"/>
      <c r="B64" s="90" t="s">
        <v>182</v>
      </c>
      <c r="C64" s="92">
        <v>3824</v>
      </c>
      <c r="D64" s="3">
        <v>41.8</v>
      </c>
      <c r="E64" s="3">
        <v>344.2</v>
      </c>
      <c r="F64" s="3">
        <v>7.5</v>
      </c>
      <c r="G64" s="3">
        <v>8</v>
      </c>
      <c r="H64" s="3">
        <v>18.899999999999999</v>
      </c>
      <c r="I64" s="3">
        <v>563</v>
      </c>
    </row>
    <row r="65" spans="1:10" x14ac:dyDescent="0.25">
      <c r="A65" s="90" t="s">
        <v>252</v>
      </c>
      <c r="B65" s="91" t="s">
        <v>238</v>
      </c>
      <c r="C65" s="92">
        <v>156</v>
      </c>
      <c r="D65" s="3">
        <v>36.1</v>
      </c>
      <c r="E65" s="3">
        <v>253.9</v>
      </c>
      <c r="F65" s="3">
        <v>5.7</v>
      </c>
      <c r="G65" s="3">
        <v>8.9</v>
      </c>
      <c r="H65" s="3">
        <v>119.4</v>
      </c>
      <c r="I65" s="3"/>
    </row>
    <row r="66" spans="1:10" x14ac:dyDescent="0.25">
      <c r="A66" s="90"/>
      <c r="B66" s="90" t="s">
        <v>177</v>
      </c>
      <c r="C66" s="92">
        <v>32</v>
      </c>
      <c r="D66" s="3">
        <v>34.6</v>
      </c>
      <c r="E66" s="3">
        <v>181.1</v>
      </c>
      <c r="F66" s="3">
        <v>3.8</v>
      </c>
      <c r="G66" s="3">
        <v>6.3</v>
      </c>
      <c r="H66" s="3">
        <v>51.1</v>
      </c>
      <c r="I66" s="3"/>
    </row>
    <row r="67" spans="1:10" x14ac:dyDescent="0.25">
      <c r="A67" s="90"/>
      <c r="B67" s="90" t="s">
        <v>241</v>
      </c>
      <c r="C67" s="92">
        <v>59</v>
      </c>
      <c r="D67" s="3">
        <v>36.4</v>
      </c>
      <c r="E67" s="3">
        <v>209</v>
      </c>
      <c r="F67" s="3">
        <v>5.3</v>
      </c>
      <c r="G67" s="3">
        <v>8.4</v>
      </c>
      <c r="H67" s="3">
        <v>31.8</v>
      </c>
      <c r="I67" s="3">
        <v>197</v>
      </c>
    </row>
    <row r="68" spans="1:10" x14ac:dyDescent="0.25">
      <c r="A68" s="90"/>
      <c r="B68" s="90" t="s">
        <v>180</v>
      </c>
      <c r="C68" s="92">
        <v>4</v>
      </c>
      <c r="D68" s="3">
        <v>40</v>
      </c>
      <c r="E68" s="3">
        <v>106.8</v>
      </c>
      <c r="F68" s="3">
        <v>3</v>
      </c>
      <c r="G68" s="3">
        <v>5.5</v>
      </c>
      <c r="H68" s="3">
        <v>17.100000000000001</v>
      </c>
      <c r="I68" s="3">
        <v>167</v>
      </c>
    </row>
    <row r="69" spans="1:10" x14ac:dyDescent="0.25">
      <c r="A69" s="90"/>
      <c r="B69" s="90" t="s">
        <v>181</v>
      </c>
      <c r="C69" s="92">
        <v>102</v>
      </c>
      <c r="D69" s="3">
        <v>36.799999999999997</v>
      </c>
      <c r="E69" s="3">
        <v>270.2</v>
      </c>
      <c r="F69" s="3">
        <v>5.9</v>
      </c>
      <c r="G69" s="3">
        <v>8.4</v>
      </c>
      <c r="H69" s="3">
        <v>37.700000000000003</v>
      </c>
      <c r="I69" s="3">
        <v>219</v>
      </c>
    </row>
    <row r="70" spans="1:10" x14ac:dyDescent="0.25">
      <c r="A70" s="90"/>
      <c r="B70" s="90" t="s">
        <v>182</v>
      </c>
      <c r="C70" s="92">
        <v>94</v>
      </c>
      <c r="D70" s="3">
        <v>35.299999999999997</v>
      </c>
      <c r="E70" s="3">
        <v>257.89999999999998</v>
      </c>
      <c r="F70" s="3">
        <v>536</v>
      </c>
      <c r="G70" s="3">
        <v>5.0999999999999996</v>
      </c>
      <c r="H70" s="3">
        <v>27.6</v>
      </c>
      <c r="I70" s="3">
        <v>286</v>
      </c>
    </row>
    <row r="71" spans="1:10" x14ac:dyDescent="0.25">
      <c r="A71" s="90" t="s">
        <v>253</v>
      </c>
      <c r="B71" s="91" t="s">
        <v>238</v>
      </c>
      <c r="C71" s="92">
        <v>9</v>
      </c>
      <c r="D71" s="3">
        <v>31.4</v>
      </c>
      <c r="E71" s="3">
        <v>314.2</v>
      </c>
      <c r="F71" s="3">
        <v>6.8</v>
      </c>
      <c r="G71" s="3">
        <v>13</v>
      </c>
      <c r="H71" s="3">
        <v>88.2</v>
      </c>
      <c r="I71" s="3"/>
    </row>
    <row r="72" spans="1:10" x14ac:dyDescent="0.25">
      <c r="A72" s="90"/>
      <c r="B72" s="90" t="s">
        <v>177</v>
      </c>
      <c r="C72" s="92"/>
      <c r="D72" s="3"/>
      <c r="E72" s="3"/>
      <c r="F72" s="3"/>
      <c r="G72" s="3"/>
      <c r="H72" s="3"/>
      <c r="I72" s="3"/>
    </row>
    <row r="73" spans="1:10" x14ac:dyDescent="0.25">
      <c r="A73" s="90"/>
      <c r="B73" s="90" t="s">
        <v>241</v>
      </c>
      <c r="C73" s="92">
        <v>8</v>
      </c>
      <c r="D73" s="3">
        <v>38.200000000000003</v>
      </c>
      <c r="E73" s="3">
        <v>267.8</v>
      </c>
      <c r="F73" s="3">
        <v>5.9</v>
      </c>
      <c r="G73" s="3">
        <v>10.1</v>
      </c>
      <c r="H73" s="3">
        <v>30.2</v>
      </c>
      <c r="I73" s="3">
        <v>271</v>
      </c>
    </row>
    <row r="74" spans="1:10" x14ac:dyDescent="0.25">
      <c r="A74" s="90"/>
      <c r="B74" s="90" t="s">
        <v>180</v>
      </c>
      <c r="C74" s="92">
        <v>2</v>
      </c>
      <c r="D74" s="3">
        <v>30.5</v>
      </c>
      <c r="E74" s="3">
        <v>147.4</v>
      </c>
      <c r="F74" s="3">
        <v>5.5</v>
      </c>
      <c r="G74" s="3">
        <v>5.5</v>
      </c>
      <c r="H74" s="3">
        <v>12.1</v>
      </c>
      <c r="I74" s="3">
        <v>358</v>
      </c>
    </row>
    <row r="75" spans="1:10" x14ac:dyDescent="0.25">
      <c r="A75" s="90"/>
      <c r="B75" s="90" t="s">
        <v>181</v>
      </c>
      <c r="C75" s="92"/>
      <c r="D75" s="3"/>
      <c r="E75" s="3"/>
      <c r="F75" s="3"/>
      <c r="G75" s="3"/>
      <c r="H75" s="3"/>
      <c r="I75" s="3"/>
    </row>
    <row r="76" spans="1:10" x14ac:dyDescent="0.25">
      <c r="A76" s="90"/>
      <c r="B76" s="90" t="s">
        <v>182</v>
      </c>
      <c r="C76" s="92">
        <v>5</v>
      </c>
      <c r="D76" s="3">
        <v>36.6</v>
      </c>
      <c r="E76" s="3">
        <v>367.1</v>
      </c>
      <c r="F76" s="3">
        <v>7.3</v>
      </c>
      <c r="G76" s="3">
        <v>7.7</v>
      </c>
      <c r="H76" s="3">
        <v>27.6</v>
      </c>
      <c r="I76" s="3">
        <v>415</v>
      </c>
    </row>
    <row r="77" spans="1:10" x14ac:dyDescent="0.25">
      <c r="A77" s="90" t="s">
        <v>247</v>
      </c>
      <c r="B77" s="91" t="s">
        <v>238</v>
      </c>
      <c r="C77" s="92">
        <v>2553</v>
      </c>
      <c r="D77" s="3"/>
      <c r="E77" s="3">
        <v>357.4</v>
      </c>
      <c r="F77" s="3">
        <v>6</v>
      </c>
      <c r="G77" s="3">
        <v>10.1</v>
      </c>
      <c r="H77" s="3">
        <v>90.9</v>
      </c>
      <c r="I77" s="3"/>
      <c r="J77" s="26">
        <f>C77/C41</f>
        <v>0.15082412713416435</v>
      </c>
    </row>
    <row r="78" spans="1:10" x14ac:dyDescent="0.25">
      <c r="A78" s="90"/>
      <c r="B78" s="90" t="s">
        <v>177</v>
      </c>
      <c r="C78" s="92">
        <v>1385</v>
      </c>
      <c r="D78" s="3"/>
      <c r="E78" s="3">
        <v>317</v>
      </c>
      <c r="F78" s="3">
        <v>5.6</v>
      </c>
      <c r="G78" s="3">
        <v>9.4</v>
      </c>
      <c r="H78" s="3">
        <v>34.700000000000003</v>
      </c>
      <c r="I78" s="3"/>
      <c r="J78" s="26">
        <f t="shared" ref="J78:J82" si="28">C78/C42</f>
        <v>0.22802107342772474</v>
      </c>
    </row>
    <row r="79" spans="1:10" x14ac:dyDescent="0.25">
      <c r="A79" s="90"/>
      <c r="B79" s="90" t="s">
        <v>241</v>
      </c>
      <c r="C79" s="92">
        <v>5150</v>
      </c>
      <c r="D79" s="3">
        <v>40</v>
      </c>
      <c r="E79" s="3">
        <v>307.2</v>
      </c>
      <c r="F79" s="3">
        <v>6.3</v>
      </c>
      <c r="G79" s="3">
        <v>9.9</v>
      </c>
      <c r="H79" s="3">
        <v>25.6</v>
      </c>
      <c r="I79" s="3">
        <v>368</v>
      </c>
      <c r="J79" s="26">
        <f t="shared" si="28"/>
        <v>0.23154392590594372</v>
      </c>
    </row>
    <row r="80" spans="1:10" x14ac:dyDescent="0.25">
      <c r="A80" s="90"/>
      <c r="B80" s="90" t="s">
        <v>180</v>
      </c>
      <c r="C80" s="92">
        <v>322</v>
      </c>
      <c r="D80" s="3">
        <v>40</v>
      </c>
      <c r="E80" s="3">
        <v>162.69999999999999</v>
      </c>
      <c r="F80" s="3">
        <v>5.7</v>
      </c>
      <c r="G80" s="3">
        <v>7.1</v>
      </c>
      <c r="H80" s="3">
        <v>9.4</v>
      </c>
      <c r="I80" s="3">
        <v>501</v>
      </c>
      <c r="J80" s="26">
        <f t="shared" si="28"/>
        <v>0.38795180722891565</v>
      </c>
    </row>
    <row r="81" spans="1:19" x14ac:dyDescent="0.25">
      <c r="A81" s="90"/>
      <c r="B81" s="90" t="s">
        <v>181</v>
      </c>
      <c r="C81" s="92">
        <v>2548</v>
      </c>
      <c r="D81" s="3">
        <v>40.200000000000003</v>
      </c>
      <c r="E81" s="3">
        <v>338.1</v>
      </c>
      <c r="F81" s="3">
        <v>5.9</v>
      </c>
      <c r="G81" s="3">
        <v>8.6999999999999993</v>
      </c>
      <c r="H81" s="3">
        <v>26.7</v>
      </c>
      <c r="I81" s="3">
        <v>391</v>
      </c>
      <c r="J81" s="26">
        <f t="shared" si="28"/>
        <v>0.42494996664442963</v>
      </c>
    </row>
    <row r="82" spans="1:19" x14ac:dyDescent="0.25">
      <c r="A82" s="90"/>
      <c r="B82" s="90" t="s">
        <v>182</v>
      </c>
      <c r="C82" s="92">
        <v>5396</v>
      </c>
      <c r="D82" s="3">
        <v>40.299999999999997</v>
      </c>
      <c r="E82" s="3">
        <v>348.6</v>
      </c>
      <c r="F82" s="3">
        <v>7</v>
      </c>
      <c r="G82" s="3">
        <v>8</v>
      </c>
      <c r="H82" s="3">
        <v>18.7</v>
      </c>
      <c r="I82" s="3">
        <v>577</v>
      </c>
      <c r="J82" s="26">
        <f t="shared" si="28"/>
        <v>0.18242055442866803</v>
      </c>
      <c r="N82" t="s">
        <v>192</v>
      </c>
      <c r="P82" t="s">
        <v>193</v>
      </c>
      <c r="R82" t="s">
        <v>226</v>
      </c>
    </row>
    <row r="83" spans="1:19" x14ac:dyDescent="0.25">
      <c r="A83" s="87" t="s">
        <v>254</v>
      </c>
      <c r="B83" s="87" t="s">
        <v>238</v>
      </c>
      <c r="C83" s="88">
        <f>C89+C95+C101+C107+C113+C119+C125</f>
        <v>10840</v>
      </c>
      <c r="D83" s="89">
        <f>($C89*D89+$C95*D95+$C101*D101+$C107*D107+$C113*D113+$C119*D119+$C125*D125)/$C83</f>
        <v>42.594852398523983</v>
      </c>
      <c r="E83" s="89">
        <f>($C89*E89+$C95*E95+$C101*E101+$C107*E107+$C113*E113+$C119*E119+$C125*E125)/$C83</f>
        <v>390.73161439114392</v>
      </c>
      <c r="F83" s="89">
        <f t="shared" ref="F83:G83" si="29">($C89*F89+$C95*F95+$C101*F101+$C107*F107+$C113*F113+$C119*F119+$C125*F125)/$C83</f>
        <v>7.0936900369003695</v>
      </c>
      <c r="G83" s="89">
        <f t="shared" si="29"/>
        <v>8.318911439114391</v>
      </c>
      <c r="H83" s="89">
        <f>($C89*H89+$C95*H95+$C101*H101+$C107*H107+$C113*H113+$C119*H119+$C125*H125)/$C83</f>
        <v>90.961116236162368</v>
      </c>
      <c r="I83" s="89"/>
      <c r="K83" t="s">
        <v>239</v>
      </c>
      <c r="L83" s="13">
        <f>SUMPRODUCT(C83:C84,H83:H84)/SUM(C83:C84)/12</f>
        <v>6.3976205997392439</v>
      </c>
      <c r="M83" t="s">
        <v>240</v>
      </c>
      <c r="N83" s="12">
        <f>C89+C95+C101+C107+C113+C119</f>
        <v>7052</v>
      </c>
      <c r="O83" s="26">
        <f>N83/C83</f>
        <v>0.65055350553505531</v>
      </c>
      <c r="P83">
        <f>($C89*E89+$C95*E95+$C101*E101+$C107*E107+$C113*E113+$C119*E119)/$N83</f>
        <v>404.82199376063528</v>
      </c>
      <c r="Q83" s="26">
        <f>P83/E83</f>
        <v>1.0360615288103769</v>
      </c>
      <c r="R83">
        <f>($C89*H89+$C95*H95+$C101*H101+$C107*H107+$C113*H113+$C119*H119)/$N83</f>
        <v>93.894568916619406</v>
      </c>
      <c r="S83" s="26">
        <f>R83/H83</f>
        <v>1.0322495237727836</v>
      </c>
    </row>
    <row r="84" spans="1:19" x14ac:dyDescent="0.25">
      <c r="A84" s="87"/>
      <c r="B84" s="87" t="s">
        <v>177</v>
      </c>
      <c r="C84" s="88">
        <f t="shared" ref="C84:C88" si="30">C90+C96+C102+C108+C114+C120+C126</f>
        <v>3733</v>
      </c>
      <c r="D84" s="89">
        <f>($C90*D90+$C96*D96+$C102*D102+$C108*D108+$C114*D114+$C120*D120+$C126*D126)/$C84</f>
        <v>41.439539244575414</v>
      </c>
      <c r="E84" s="89">
        <f t="shared" ref="E84:I88" si="31">($C90*E90+$C96*E96+$C102*E102+$C108*E108+$C114*E114+$C120*E120+$C126*E126)/$C84</f>
        <v>329.78012322528804</v>
      </c>
      <c r="F84" s="89">
        <f t="shared" si="31"/>
        <v>6.2891508170372346</v>
      </c>
      <c r="G84" s="89">
        <f t="shared" si="31"/>
        <v>7.6370747388159659</v>
      </c>
      <c r="H84" s="89">
        <f t="shared" si="31"/>
        <v>35.567050629520487</v>
      </c>
      <c r="I84" s="89"/>
      <c r="K84" t="s">
        <v>72</v>
      </c>
      <c r="L84" s="26" t="e">
        <f>1/(L83-'Antal djur'!#REF!/12)</f>
        <v>#REF!</v>
      </c>
      <c r="N84" s="12">
        <f t="shared" ref="N84:N88" si="32">C90+C96+C102+C108+C114+C120</f>
        <v>1517</v>
      </c>
      <c r="O84" s="26">
        <f t="shared" ref="O84:O88" si="33">N84/C84</f>
        <v>0.40637556924725421</v>
      </c>
      <c r="P84">
        <f t="shared" ref="P84:P88" si="34">($C90*E90+$C96*E96+$C102*E102+$C108*E108+$C114*E114+$C120*E120)/$N84</f>
        <v>344.65102175346078</v>
      </c>
      <c r="Q84" s="26">
        <f t="shared" ref="Q84:Q88" si="35">P84/E84</f>
        <v>1.0450933742844584</v>
      </c>
      <c r="R84">
        <f t="shared" ref="R84:R88" si="36">($C90*H90+$C96*H96+$C102*H102+$C108*H108+$C114*H114+$C120*H120)/$N84</f>
        <v>37.710085695451546</v>
      </c>
      <c r="S84" s="26">
        <f t="shared" ref="S84:S88" si="37">R84/H84</f>
        <v>1.0602533813740618</v>
      </c>
    </row>
    <row r="85" spans="1:19" x14ac:dyDescent="0.25">
      <c r="A85" s="87"/>
      <c r="B85" s="87" t="s">
        <v>241</v>
      </c>
      <c r="C85" s="88">
        <f t="shared" si="30"/>
        <v>14290</v>
      </c>
      <c r="D85" s="89">
        <f>($C91*D91+$C97*D97+$C103*D103+$C109*D109+$C115*D115+$C121*D121+$C127*D127)/$C85</f>
        <v>40.597949615115461</v>
      </c>
      <c r="E85" s="89">
        <f t="shared" si="31"/>
        <v>320.53607417774668</v>
      </c>
      <c r="F85" s="89">
        <f t="shared" si="31"/>
        <v>7.1832750174947515</v>
      </c>
      <c r="G85" s="89">
        <f t="shared" si="31"/>
        <v>8.6122953114065783</v>
      </c>
      <c r="H85" s="89">
        <f t="shared" si="31"/>
        <v>24.249062281315602</v>
      </c>
      <c r="I85" s="89">
        <f t="shared" si="31"/>
        <v>406.88747375787261</v>
      </c>
      <c r="K85" t="s">
        <v>242</v>
      </c>
      <c r="L85" s="26">
        <f>(C87*(I87/12))/(C87*(I87/12)+C88*(I88/12))</f>
        <v>8.603829953969036E-2</v>
      </c>
      <c r="N85" s="12">
        <f t="shared" si="32"/>
        <v>5517</v>
      </c>
      <c r="O85" s="26">
        <f t="shared" si="33"/>
        <v>0.38607417774667602</v>
      </c>
      <c r="P85">
        <f t="shared" si="34"/>
        <v>323.13771977524016</v>
      </c>
      <c r="Q85" s="26">
        <f t="shared" si="35"/>
        <v>1.0081165453971672</v>
      </c>
      <c r="R85">
        <f t="shared" si="36"/>
        <v>23.531992024651078</v>
      </c>
      <c r="S85" s="26">
        <f t="shared" si="37"/>
        <v>0.97042894903127697</v>
      </c>
    </row>
    <row r="86" spans="1:19" x14ac:dyDescent="0.25">
      <c r="A86" s="87"/>
      <c r="B86" s="87" t="s">
        <v>180</v>
      </c>
      <c r="C86" s="88">
        <f t="shared" si="30"/>
        <v>442</v>
      </c>
      <c r="D86" s="89">
        <f>($C92*D92+$C98*D98+$C104*D104+$C110*D110+$C116*D116+$C122*D122+$C128*D128)/$C86</f>
        <v>40.977601809954749</v>
      </c>
      <c r="E86" s="89">
        <f t="shared" si="31"/>
        <v>192.71900452488688</v>
      </c>
      <c r="F86" s="89">
        <f t="shared" si="31"/>
        <v>7.2993212669683265</v>
      </c>
      <c r="G86" s="89">
        <f t="shared" si="31"/>
        <v>6.1101809954751127</v>
      </c>
      <c r="H86" s="89">
        <f t="shared" si="31"/>
        <v>9.302941176470588</v>
      </c>
      <c r="I86" s="89">
        <f t="shared" si="31"/>
        <v>599.23755656108597</v>
      </c>
      <c r="N86" s="12">
        <f t="shared" si="32"/>
        <v>96</v>
      </c>
      <c r="O86" s="26">
        <f t="shared" si="33"/>
        <v>0.21719457013574661</v>
      </c>
      <c r="P86">
        <f>($C92*E92+$C98*E98+$C104*E104+$C110*E110+$C116*E116+$C122*E122)/$N86</f>
        <v>239.28125</v>
      </c>
      <c r="Q86" s="26">
        <f t="shared" si="35"/>
        <v>1.2416069219011572</v>
      </c>
      <c r="R86">
        <f t="shared" si="36"/>
        <v>10.755208333333334</v>
      </c>
      <c r="S86" s="26">
        <f t="shared" si="37"/>
        <v>1.1561083886605543</v>
      </c>
    </row>
    <row r="87" spans="1:19" x14ac:dyDescent="0.25">
      <c r="A87" s="87"/>
      <c r="B87" s="87" t="s">
        <v>181</v>
      </c>
      <c r="C87" s="88">
        <f t="shared" si="30"/>
        <v>2979</v>
      </c>
      <c r="D87" s="89">
        <f>($C93*D93+$C99*D99+$C105*D105+$C111*D111+$C117*D117+$C123*D123+$C129*D129)/$C87</f>
        <v>40.269385699899296</v>
      </c>
      <c r="E87" s="89">
        <f t="shared" si="31"/>
        <v>343.34075193017793</v>
      </c>
      <c r="F87" s="89">
        <f t="shared" si="31"/>
        <v>6.2014434373950982</v>
      </c>
      <c r="G87" s="89">
        <f t="shared" si="31"/>
        <v>7.4247398455857665</v>
      </c>
      <c r="H87" s="89">
        <f t="shared" si="31"/>
        <v>25.733769721383013</v>
      </c>
      <c r="I87" s="89">
        <f t="shared" si="31"/>
        <v>413.21852970795567</v>
      </c>
      <c r="N87" s="12">
        <f t="shared" si="32"/>
        <v>238</v>
      </c>
      <c r="O87" s="26">
        <f t="shared" si="33"/>
        <v>7.9892581403155416E-2</v>
      </c>
      <c r="P87">
        <f t="shared" si="34"/>
        <v>343.81008403361346</v>
      </c>
      <c r="Q87" s="26">
        <f t="shared" si="35"/>
        <v>1.0013669571724215</v>
      </c>
      <c r="R87">
        <f t="shared" si="36"/>
        <v>23.819327731092436</v>
      </c>
      <c r="S87" s="26">
        <f t="shared" si="37"/>
        <v>0.92560584745188712</v>
      </c>
    </row>
    <row r="88" spans="1:19" x14ac:dyDescent="0.25">
      <c r="A88" s="87"/>
      <c r="B88" s="87" t="s">
        <v>182</v>
      </c>
      <c r="C88" s="88">
        <f t="shared" si="30"/>
        <v>19117</v>
      </c>
      <c r="D88" s="89">
        <f>($C94*D94+$C100*D100+$C106*D106+$C112*D112+$C118*D118+$C124*D124+$C130*D130)/$C88</f>
        <v>43.384777946330487</v>
      </c>
      <c r="E88" s="89">
        <f t="shared" si="31"/>
        <v>373.47896636501542</v>
      </c>
      <c r="F88" s="89">
        <f t="shared" si="31"/>
        <v>8.6241198932886949</v>
      </c>
      <c r="G88" s="89">
        <f t="shared" si="31"/>
        <v>6.8023748496102945</v>
      </c>
      <c r="H88" s="89">
        <f t="shared" si="31"/>
        <v>16.991651409740022</v>
      </c>
      <c r="I88" s="89">
        <f t="shared" si="31"/>
        <v>684.01673902809023</v>
      </c>
      <c r="N88" s="12">
        <f t="shared" si="32"/>
        <v>10081</v>
      </c>
      <c r="O88" s="26">
        <f t="shared" si="33"/>
        <v>0.52733169430349947</v>
      </c>
      <c r="P88">
        <f t="shared" si="34"/>
        <v>379.64485666104554</v>
      </c>
      <c r="Q88" s="26">
        <f t="shared" si="35"/>
        <v>1.0165093374763279</v>
      </c>
      <c r="R88">
        <f t="shared" si="36"/>
        <v>16.087828588433691</v>
      </c>
      <c r="S88" s="26">
        <f t="shared" si="37"/>
        <v>0.94680782935623087</v>
      </c>
    </row>
    <row r="89" spans="1:19" x14ac:dyDescent="0.25">
      <c r="A89" s="90" t="s">
        <v>255</v>
      </c>
      <c r="B89" s="91" t="s">
        <v>238</v>
      </c>
      <c r="C89" s="92">
        <v>123</v>
      </c>
      <c r="D89" s="3">
        <v>43.5</v>
      </c>
      <c r="E89" s="3">
        <v>417.1</v>
      </c>
      <c r="F89" s="3">
        <v>9.1</v>
      </c>
      <c r="G89" s="3">
        <v>7</v>
      </c>
      <c r="H89" s="3">
        <v>112.8</v>
      </c>
      <c r="I89" s="3"/>
    </row>
    <row r="90" spans="1:19" x14ac:dyDescent="0.25">
      <c r="A90" s="90"/>
      <c r="B90" s="90" t="s">
        <v>177</v>
      </c>
      <c r="C90" s="92">
        <v>20</v>
      </c>
      <c r="D90" s="3">
        <v>43.4</v>
      </c>
      <c r="E90" s="3">
        <v>343.2</v>
      </c>
      <c r="F90" s="3">
        <v>8.3000000000000007</v>
      </c>
      <c r="G90" s="3">
        <v>5.4</v>
      </c>
      <c r="H90" s="3">
        <v>36.200000000000003</v>
      </c>
      <c r="I90" s="3"/>
    </row>
    <row r="91" spans="1:19" x14ac:dyDescent="0.25">
      <c r="A91" s="90"/>
      <c r="B91" s="90" t="s">
        <v>241</v>
      </c>
      <c r="C91" s="92">
        <v>79</v>
      </c>
      <c r="D91" s="3">
        <v>8</v>
      </c>
      <c r="E91" s="3">
        <v>344.7</v>
      </c>
      <c r="F91" s="3">
        <v>9.5</v>
      </c>
      <c r="G91" s="3">
        <v>7.1</v>
      </c>
      <c r="H91" s="3">
        <v>23.9</v>
      </c>
      <c r="I91" s="3">
        <v>443</v>
      </c>
    </row>
    <row r="92" spans="1:19" x14ac:dyDescent="0.25">
      <c r="A92" s="90"/>
      <c r="B92" s="90" t="s">
        <v>180</v>
      </c>
      <c r="C92" s="92">
        <v>5</v>
      </c>
      <c r="D92" s="3">
        <v>44.4</v>
      </c>
      <c r="E92" s="3">
        <v>177.3</v>
      </c>
      <c r="F92" s="3">
        <v>10.199999999999999</v>
      </c>
      <c r="G92" s="3">
        <v>4.5999999999999996</v>
      </c>
      <c r="H92" s="3">
        <v>8.5</v>
      </c>
      <c r="I92" s="3">
        <v>597</v>
      </c>
    </row>
    <row r="93" spans="1:19" x14ac:dyDescent="0.25">
      <c r="A93" s="90"/>
      <c r="B93" s="90" t="s">
        <v>181</v>
      </c>
      <c r="C93" s="92"/>
      <c r="D93" s="3"/>
      <c r="E93" s="3"/>
      <c r="F93" s="3"/>
      <c r="G93" s="3"/>
      <c r="H93" s="3"/>
      <c r="I93" s="3"/>
    </row>
    <row r="94" spans="1:19" x14ac:dyDescent="0.25">
      <c r="A94" s="90"/>
      <c r="B94" s="90" t="s">
        <v>182</v>
      </c>
      <c r="C94" s="92">
        <v>129</v>
      </c>
      <c r="D94" s="3">
        <v>47.9</v>
      </c>
      <c r="E94" s="3">
        <v>394.5</v>
      </c>
      <c r="F94" s="3">
        <v>11.8</v>
      </c>
      <c r="G94" s="3">
        <v>4.5</v>
      </c>
      <c r="H94" s="3">
        <v>15.7</v>
      </c>
      <c r="I94" s="3">
        <v>774</v>
      </c>
    </row>
    <row r="95" spans="1:19" x14ac:dyDescent="0.25">
      <c r="A95" s="90" t="s">
        <v>256</v>
      </c>
      <c r="B95" s="91" t="s">
        <v>238</v>
      </c>
      <c r="C95" s="92">
        <v>3815</v>
      </c>
      <c r="D95" s="3">
        <v>44.3</v>
      </c>
      <c r="E95" s="3">
        <v>419.1</v>
      </c>
      <c r="F95" s="3">
        <v>7.7</v>
      </c>
      <c r="G95" s="3">
        <v>8.6</v>
      </c>
      <c r="H95" s="3">
        <v>94.8</v>
      </c>
      <c r="I95" s="3"/>
    </row>
    <row r="96" spans="1:19" x14ac:dyDescent="0.25">
      <c r="A96" s="90"/>
      <c r="B96" s="90" t="s">
        <v>177</v>
      </c>
      <c r="C96" s="92">
        <v>782</v>
      </c>
      <c r="D96" s="3">
        <v>44.2</v>
      </c>
      <c r="E96" s="3">
        <v>352.4</v>
      </c>
      <c r="F96" s="3">
        <v>7.1</v>
      </c>
      <c r="G96" s="3">
        <v>7.4</v>
      </c>
      <c r="H96" s="3">
        <v>37.299999999999997</v>
      </c>
      <c r="I96" s="3"/>
    </row>
    <row r="97" spans="1:9" x14ac:dyDescent="0.25">
      <c r="A97" s="90"/>
      <c r="B97" s="90" t="s">
        <v>241</v>
      </c>
      <c r="C97" s="92">
        <v>3366</v>
      </c>
      <c r="D97" s="3">
        <v>42.1</v>
      </c>
      <c r="E97" s="3">
        <v>325.89999999999998</v>
      </c>
      <c r="F97" s="3">
        <v>7.8</v>
      </c>
      <c r="G97" s="3">
        <v>8.4</v>
      </c>
      <c r="H97" s="3">
        <v>22.9</v>
      </c>
      <c r="I97" s="3">
        <v>437</v>
      </c>
    </row>
    <row r="98" spans="1:9" x14ac:dyDescent="0.25">
      <c r="A98" s="90"/>
      <c r="B98" s="90" t="s">
        <v>180</v>
      </c>
      <c r="C98" s="92">
        <v>10</v>
      </c>
      <c r="D98" s="3">
        <v>41.3</v>
      </c>
      <c r="E98" s="3">
        <v>167.5</v>
      </c>
      <c r="F98" s="3">
        <v>6.8</v>
      </c>
      <c r="G98" s="3">
        <v>5.2</v>
      </c>
      <c r="H98" s="3">
        <v>10.199999999999999</v>
      </c>
      <c r="I98" s="3">
        <v>471</v>
      </c>
    </row>
    <row r="99" spans="1:9" x14ac:dyDescent="0.25">
      <c r="A99" s="90"/>
      <c r="B99" s="90" t="s">
        <v>181</v>
      </c>
      <c r="C99" s="92">
        <v>74</v>
      </c>
      <c r="D99" s="3">
        <v>42.2</v>
      </c>
      <c r="E99" s="3">
        <v>366.8</v>
      </c>
      <c r="F99" s="3">
        <v>8.1</v>
      </c>
      <c r="G99" s="3">
        <v>6.7</v>
      </c>
      <c r="H99" s="3">
        <v>20.8</v>
      </c>
      <c r="I99" s="3">
        <v>546</v>
      </c>
    </row>
    <row r="100" spans="1:9" x14ac:dyDescent="0.25">
      <c r="A100" s="90"/>
      <c r="B100" s="90" t="s">
        <v>182</v>
      </c>
      <c r="C100" s="92">
        <v>5889</v>
      </c>
      <c r="D100" s="3">
        <v>46.2</v>
      </c>
      <c r="E100" s="3">
        <v>382.6</v>
      </c>
      <c r="F100" s="3">
        <v>9.5</v>
      </c>
      <c r="G100" s="3">
        <v>6.8</v>
      </c>
      <c r="H100" s="3">
        <v>15.7</v>
      </c>
      <c r="I100" s="3">
        <v>751</v>
      </c>
    </row>
    <row r="101" spans="1:9" x14ac:dyDescent="0.25">
      <c r="A101" s="90" t="s">
        <v>257</v>
      </c>
      <c r="B101" s="91" t="s">
        <v>238</v>
      </c>
      <c r="C101" s="92">
        <v>11</v>
      </c>
      <c r="D101" s="3">
        <v>49.5</v>
      </c>
      <c r="E101" s="3">
        <v>467.2</v>
      </c>
      <c r="F101" s="3">
        <v>6.7</v>
      </c>
      <c r="G101" s="3">
        <v>9.5</v>
      </c>
      <c r="H101" s="3">
        <v>88.4</v>
      </c>
      <c r="I101" s="3"/>
    </row>
    <row r="102" spans="1:9" x14ac:dyDescent="0.25">
      <c r="A102" s="90"/>
      <c r="B102" s="90" t="s">
        <v>177</v>
      </c>
      <c r="C102" s="92">
        <v>3</v>
      </c>
      <c r="D102" s="3">
        <v>49.7</v>
      </c>
      <c r="E102" s="3">
        <v>370.3</v>
      </c>
      <c r="F102" s="3">
        <v>8</v>
      </c>
      <c r="G102" s="3">
        <v>7</v>
      </c>
      <c r="H102" s="3">
        <v>33.1</v>
      </c>
      <c r="I102" s="3"/>
    </row>
    <row r="103" spans="1:9" x14ac:dyDescent="0.25">
      <c r="A103" s="90"/>
      <c r="B103" s="90" t="s">
        <v>241</v>
      </c>
      <c r="C103" s="92">
        <v>5</v>
      </c>
      <c r="D103" s="3">
        <v>43.6</v>
      </c>
      <c r="E103" s="3">
        <v>376.9</v>
      </c>
      <c r="F103" s="3">
        <v>8</v>
      </c>
      <c r="G103" s="3">
        <v>7.4</v>
      </c>
      <c r="H103" s="3">
        <v>27.6</v>
      </c>
      <c r="I103" s="3">
        <v>422</v>
      </c>
    </row>
    <row r="104" spans="1:9" x14ac:dyDescent="0.25">
      <c r="A104" s="90"/>
      <c r="B104" s="90" t="s">
        <v>180</v>
      </c>
      <c r="C104" s="92">
        <v>30</v>
      </c>
      <c r="D104" s="3">
        <v>53.8</v>
      </c>
      <c r="E104" s="3">
        <v>403.7</v>
      </c>
      <c r="F104" s="3">
        <v>9.9</v>
      </c>
      <c r="G104" s="3">
        <v>6.4</v>
      </c>
      <c r="H104" s="3">
        <v>14.6</v>
      </c>
      <c r="I104" s="3">
        <v>847</v>
      </c>
    </row>
    <row r="105" spans="1:9" x14ac:dyDescent="0.25">
      <c r="A105" s="90"/>
      <c r="B105" s="90" t="s">
        <v>181</v>
      </c>
      <c r="C105" s="92"/>
      <c r="D105" s="3"/>
      <c r="E105" s="3"/>
      <c r="F105" s="3"/>
      <c r="G105" s="3"/>
      <c r="H105" s="3"/>
      <c r="I105" s="3"/>
    </row>
    <row r="106" spans="1:9" x14ac:dyDescent="0.25">
      <c r="A106" s="90"/>
      <c r="B106" s="90" t="s">
        <v>182</v>
      </c>
      <c r="C106" s="92">
        <v>8</v>
      </c>
      <c r="D106" s="3">
        <v>53.5</v>
      </c>
      <c r="E106" s="3">
        <v>381.1</v>
      </c>
      <c r="F106" s="3">
        <v>7.6</v>
      </c>
      <c r="G106" s="3">
        <v>6.1</v>
      </c>
      <c r="H106" s="3">
        <v>17.3</v>
      </c>
      <c r="I106" s="3">
        <v>671</v>
      </c>
    </row>
    <row r="107" spans="1:9" x14ac:dyDescent="0.25">
      <c r="A107" s="90" t="s">
        <v>258</v>
      </c>
      <c r="B107" s="91" t="s">
        <v>238</v>
      </c>
      <c r="C107" s="92">
        <v>3</v>
      </c>
      <c r="D107" s="3">
        <v>40</v>
      </c>
      <c r="E107" s="3">
        <v>176.9</v>
      </c>
      <c r="F107" s="3">
        <v>5</v>
      </c>
      <c r="G107" s="3">
        <v>11.3</v>
      </c>
      <c r="H107" s="3">
        <v>212.4</v>
      </c>
      <c r="I107" s="3"/>
    </row>
    <row r="108" spans="1:9" x14ac:dyDescent="0.25">
      <c r="A108" s="90"/>
      <c r="B108" s="90" t="s">
        <v>177</v>
      </c>
      <c r="C108" s="92"/>
      <c r="D108" s="3"/>
      <c r="E108" s="3"/>
      <c r="F108" s="3"/>
      <c r="G108" s="3"/>
      <c r="H108" s="3"/>
      <c r="I108" s="3"/>
    </row>
    <row r="109" spans="1:9" x14ac:dyDescent="0.25">
      <c r="A109" s="90"/>
      <c r="B109" s="90" t="s">
        <v>241</v>
      </c>
      <c r="C109" s="92"/>
      <c r="D109" s="3"/>
      <c r="E109" s="3"/>
      <c r="F109" s="3"/>
      <c r="G109" s="3"/>
      <c r="H109" s="3"/>
      <c r="I109" s="3"/>
    </row>
    <row r="110" spans="1:9" x14ac:dyDescent="0.25">
      <c r="A110" s="90"/>
      <c r="B110" s="90" t="s">
        <v>180</v>
      </c>
      <c r="C110" s="92">
        <v>1</v>
      </c>
      <c r="D110" s="3">
        <v>22</v>
      </c>
      <c r="E110" s="3">
        <v>91.5</v>
      </c>
      <c r="F110" s="3">
        <v>4</v>
      </c>
      <c r="G110" s="3">
        <v>2</v>
      </c>
      <c r="H110" s="3">
        <v>11.9</v>
      </c>
      <c r="I110" s="3">
        <v>222</v>
      </c>
    </row>
    <row r="111" spans="1:9" x14ac:dyDescent="0.25">
      <c r="A111" s="90"/>
      <c r="B111" s="90" t="s">
        <v>181</v>
      </c>
      <c r="C111" s="92"/>
      <c r="D111" s="3"/>
      <c r="E111" s="3"/>
      <c r="F111" s="3"/>
      <c r="G111" s="3"/>
      <c r="H111" s="3"/>
      <c r="I111" s="3"/>
    </row>
    <row r="112" spans="1:9" x14ac:dyDescent="0.25">
      <c r="A112" s="90"/>
      <c r="B112" s="90" t="s">
        <v>182</v>
      </c>
      <c r="C112" s="92">
        <v>2</v>
      </c>
      <c r="D112" s="3">
        <v>31.5</v>
      </c>
      <c r="E112" s="3">
        <v>148.5</v>
      </c>
      <c r="F112" s="3">
        <v>6</v>
      </c>
      <c r="G112" s="3">
        <v>3.5</v>
      </c>
      <c r="H112" s="3">
        <v>21.8</v>
      </c>
      <c r="I112" s="3">
        <v>200</v>
      </c>
    </row>
    <row r="113" spans="1:10" x14ac:dyDescent="0.25">
      <c r="A113" s="90" t="s">
        <v>259</v>
      </c>
      <c r="B113" s="91" t="s">
        <v>238</v>
      </c>
      <c r="C113" s="92">
        <v>845</v>
      </c>
      <c r="D113" s="3">
        <v>40.4</v>
      </c>
      <c r="E113" s="3">
        <v>390.4</v>
      </c>
      <c r="F113" s="3">
        <v>8.6</v>
      </c>
      <c r="G113" s="3">
        <v>8.6</v>
      </c>
      <c r="H113" s="3">
        <v>98.7</v>
      </c>
      <c r="I113" s="3"/>
    </row>
    <row r="114" spans="1:10" x14ac:dyDescent="0.25">
      <c r="A114" s="90"/>
      <c r="B114" s="90" t="s">
        <v>177</v>
      </c>
      <c r="C114" s="92">
        <v>159</v>
      </c>
      <c r="D114" s="3">
        <v>40.700000000000003</v>
      </c>
      <c r="E114" s="3">
        <v>340.5</v>
      </c>
      <c r="F114" s="3">
        <v>8.1</v>
      </c>
      <c r="G114" s="3">
        <v>7.3</v>
      </c>
      <c r="H114" s="3">
        <v>38.299999999999997</v>
      </c>
      <c r="I114" s="3"/>
    </row>
    <row r="115" spans="1:10" x14ac:dyDescent="0.25">
      <c r="A115" s="90"/>
      <c r="B115" s="90" t="s">
        <v>241</v>
      </c>
      <c r="C115" s="92">
        <v>613</v>
      </c>
      <c r="D115" s="3">
        <v>39.6</v>
      </c>
      <c r="E115" s="3">
        <v>308.39999999999998</v>
      </c>
      <c r="F115" s="3">
        <v>8.6999999999999993</v>
      </c>
      <c r="G115" s="3">
        <v>7.8</v>
      </c>
      <c r="H115" s="3">
        <v>25.1</v>
      </c>
      <c r="I115" s="3">
        <v>378</v>
      </c>
    </row>
    <row r="116" spans="1:10" x14ac:dyDescent="0.25">
      <c r="A116" s="90"/>
      <c r="B116" s="90" t="s">
        <v>180</v>
      </c>
      <c r="C116" s="92">
        <v>41</v>
      </c>
      <c r="D116" s="3">
        <v>39.5</v>
      </c>
      <c r="E116" s="3">
        <v>166.3</v>
      </c>
      <c r="F116" s="3">
        <v>10.5</v>
      </c>
      <c r="G116" s="3">
        <v>4.4000000000000004</v>
      </c>
      <c r="H116" s="3">
        <v>8.6</v>
      </c>
      <c r="I116" s="3">
        <v>567</v>
      </c>
    </row>
    <row r="117" spans="1:10" x14ac:dyDescent="0.25">
      <c r="A117" s="90"/>
      <c r="B117" s="90" t="s">
        <v>181</v>
      </c>
      <c r="C117" s="92">
        <v>10</v>
      </c>
      <c r="D117" s="3">
        <v>39.6</v>
      </c>
      <c r="E117" s="3">
        <v>341.7</v>
      </c>
      <c r="F117" s="3">
        <v>9.1999999999999993</v>
      </c>
      <c r="G117" s="3">
        <v>6.4</v>
      </c>
      <c r="H117" s="3">
        <v>24.9</v>
      </c>
      <c r="I117" s="3">
        <v>424</v>
      </c>
    </row>
    <row r="118" spans="1:10" x14ac:dyDescent="0.25">
      <c r="A118" s="90"/>
      <c r="B118" s="90" t="s">
        <v>182</v>
      </c>
      <c r="C118" s="92">
        <v>1185</v>
      </c>
      <c r="D118" s="3">
        <v>42.5</v>
      </c>
      <c r="E118" s="3">
        <v>376.9</v>
      </c>
      <c r="F118" s="3">
        <v>10.8</v>
      </c>
      <c r="G118" s="3">
        <v>6.3</v>
      </c>
      <c r="H118" s="3">
        <v>16.8</v>
      </c>
      <c r="I118" s="3">
        <v>695</v>
      </c>
    </row>
    <row r="119" spans="1:10" x14ac:dyDescent="0.25">
      <c r="A119" s="90" t="s">
        <v>260</v>
      </c>
      <c r="B119" s="91" t="s">
        <v>238</v>
      </c>
      <c r="C119" s="92">
        <v>2255</v>
      </c>
      <c r="D119" s="3">
        <v>43.3</v>
      </c>
      <c r="E119" s="3">
        <v>385.4</v>
      </c>
      <c r="F119" s="3">
        <v>6.9</v>
      </c>
      <c r="G119" s="3">
        <v>8</v>
      </c>
      <c r="H119" s="3">
        <v>89.4</v>
      </c>
      <c r="I119" s="3"/>
    </row>
    <row r="120" spans="1:10" x14ac:dyDescent="0.25">
      <c r="A120" s="90"/>
      <c r="B120" s="90" t="s">
        <v>177</v>
      </c>
      <c r="C120" s="92">
        <v>553</v>
      </c>
      <c r="D120" s="3">
        <v>42.6</v>
      </c>
      <c r="E120" s="3">
        <v>334.8</v>
      </c>
      <c r="F120" s="3">
        <v>6.5</v>
      </c>
      <c r="G120" s="3">
        <v>7.1</v>
      </c>
      <c r="H120" s="3">
        <v>38.200000000000003</v>
      </c>
      <c r="I120" s="3"/>
    </row>
    <row r="121" spans="1:10" x14ac:dyDescent="0.25">
      <c r="A121" s="90"/>
      <c r="B121" s="90" t="s">
        <v>241</v>
      </c>
      <c r="C121" s="92">
        <v>1454</v>
      </c>
      <c r="D121" s="3">
        <v>41.1</v>
      </c>
      <c r="E121" s="3">
        <v>321.60000000000002</v>
      </c>
      <c r="F121" s="3">
        <v>7.3</v>
      </c>
      <c r="G121" s="3">
        <v>8.4</v>
      </c>
      <c r="H121" s="3">
        <v>24.3</v>
      </c>
      <c r="I121" s="3">
        <v>407</v>
      </c>
    </row>
    <row r="122" spans="1:10" x14ac:dyDescent="0.25">
      <c r="A122" s="90"/>
      <c r="B122" s="90" t="s">
        <v>180</v>
      </c>
      <c r="C122" s="92">
        <v>9</v>
      </c>
      <c r="D122" s="3">
        <v>42.4</v>
      </c>
      <c r="E122" s="3">
        <v>154.30000000000001</v>
      </c>
      <c r="F122" s="3">
        <v>6.4</v>
      </c>
      <c r="G122" s="3">
        <v>4.0999999999999996</v>
      </c>
      <c r="H122" s="3">
        <v>9.5</v>
      </c>
      <c r="I122" s="3">
        <v>461</v>
      </c>
    </row>
    <row r="123" spans="1:10" x14ac:dyDescent="0.25">
      <c r="A123" s="90"/>
      <c r="B123" s="90" t="s">
        <v>181</v>
      </c>
      <c r="C123" s="92">
        <v>154</v>
      </c>
      <c r="D123" s="3">
        <v>42.4</v>
      </c>
      <c r="E123" s="3">
        <v>332.9</v>
      </c>
      <c r="F123" s="3">
        <v>6.9</v>
      </c>
      <c r="G123" s="3">
        <v>6.5</v>
      </c>
      <c r="H123" s="3">
        <v>25.2</v>
      </c>
      <c r="I123" s="3">
        <v>406</v>
      </c>
    </row>
    <row r="124" spans="1:10" x14ac:dyDescent="0.25">
      <c r="A124" s="90"/>
      <c r="B124" s="90" t="s">
        <v>182</v>
      </c>
      <c r="C124" s="92">
        <v>2868</v>
      </c>
      <c r="D124" s="3">
        <v>44</v>
      </c>
      <c r="E124" s="3">
        <v>374.2</v>
      </c>
      <c r="F124" s="3">
        <v>8.6999999999999993</v>
      </c>
      <c r="G124" s="3">
        <v>6.5</v>
      </c>
      <c r="H124" s="3">
        <v>16.600000000000001</v>
      </c>
      <c r="I124" s="3">
        <v>699</v>
      </c>
    </row>
    <row r="125" spans="1:10" x14ac:dyDescent="0.25">
      <c r="A125" s="90" t="s">
        <v>247</v>
      </c>
      <c r="B125" s="91" t="s">
        <v>238</v>
      </c>
      <c r="C125" s="92">
        <v>3788</v>
      </c>
      <c r="D125" s="3">
        <v>40.9</v>
      </c>
      <c r="E125" s="3">
        <v>364.5</v>
      </c>
      <c r="F125" s="3">
        <v>6.2</v>
      </c>
      <c r="G125" s="3">
        <v>8.1999999999999993</v>
      </c>
      <c r="H125" s="3">
        <v>85.5</v>
      </c>
      <c r="I125" s="3"/>
      <c r="J125" s="26">
        <f>C125/C41</f>
        <v>0.22378448632362496</v>
      </c>
    </row>
    <row r="126" spans="1:10" x14ac:dyDescent="0.25">
      <c r="A126" s="90"/>
      <c r="B126" s="90" t="s">
        <v>177</v>
      </c>
      <c r="C126" s="92">
        <v>2216</v>
      </c>
      <c r="D126" s="3">
        <v>40.200000000000003</v>
      </c>
      <c r="E126" s="3">
        <v>319.60000000000002</v>
      </c>
      <c r="F126" s="3">
        <v>5.8</v>
      </c>
      <c r="G126" s="3">
        <v>7.9</v>
      </c>
      <c r="H126" s="3">
        <v>34.1</v>
      </c>
      <c r="I126" s="3"/>
      <c r="J126" s="26">
        <f t="shared" ref="J126:J130" si="38">C126/C42</f>
        <v>0.36483371748435955</v>
      </c>
    </row>
    <row r="127" spans="1:10" x14ac:dyDescent="0.25">
      <c r="A127" s="90"/>
      <c r="B127" s="90" t="s">
        <v>241</v>
      </c>
      <c r="C127" s="92">
        <v>8773</v>
      </c>
      <c r="D127" s="3">
        <v>40.299999999999997</v>
      </c>
      <c r="E127" s="3">
        <v>318.89999999999998</v>
      </c>
      <c r="F127" s="3">
        <v>6.8</v>
      </c>
      <c r="G127" s="3">
        <v>8.8000000000000007</v>
      </c>
      <c r="H127" s="3">
        <v>24.7</v>
      </c>
      <c r="I127" s="3">
        <v>397</v>
      </c>
      <c r="J127" s="26">
        <f t="shared" si="38"/>
        <v>0.39443395378113477</v>
      </c>
    </row>
    <row r="128" spans="1:10" x14ac:dyDescent="0.25">
      <c r="A128" s="90"/>
      <c r="B128" s="90" t="s">
        <v>180</v>
      </c>
      <c r="C128" s="92">
        <v>346</v>
      </c>
      <c r="D128" s="3">
        <v>40</v>
      </c>
      <c r="E128" s="3">
        <v>179.8</v>
      </c>
      <c r="F128" s="3">
        <v>6.7</v>
      </c>
      <c r="G128" s="3">
        <v>6.4</v>
      </c>
      <c r="H128" s="3">
        <v>8.9</v>
      </c>
      <c r="I128" s="3">
        <v>590</v>
      </c>
      <c r="J128" s="26">
        <f t="shared" si="38"/>
        <v>0.41686746987951806</v>
      </c>
    </row>
    <row r="129" spans="1:10" x14ac:dyDescent="0.25">
      <c r="A129" s="90"/>
      <c r="B129" s="90" t="s">
        <v>181</v>
      </c>
      <c r="C129" s="92">
        <v>2741</v>
      </c>
      <c r="D129" s="3">
        <v>40.1</v>
      </c>
      <c r="E129" s="3">
        <v>343.3</v>
      </c>
      <c r="F129" s="3">
        <v>6.1</v>
      </c>
      <c r="G129" s="3">
        <v>7.5</v>
      </c>
      <c r="H129" s="3">
        <v>25.9</v>
      </c>
      <c r="I129" s="3">
        <v>410</v>
      </c>
      <c r="J129" s="26">
        <f t="shared" si="38"/>
        <v>0.45713809206137423</v>
      </c>
    </row>
    <row r="130" spans="1:10" x14ac:dyDescent="0.25">
      <c r="A130" s="90"/>
      <c r="B130" s="90" t="s">
        <v>182</v>
      </c>
      <c r="C130" s="92">
        <v>9036</v>
      </c>
      <c r="D130" s="3">
        <v>41.4</v>
      </c>
      <c r="E130" s="3">
        <v>366.6</v>
      </c>
      <c r="F130" s="3">
        <v>7.7</v>
      </c>
      <c r="G130" s="3">
        <v>7</v>
      </c>
      <c r="H130" s="3">
        <v>18</v>
      </c>
      <c r="I130" s="3">
        <v>633</v>
      </c>
      <c r="J130" s="26">
        <f t="shared" si="38"/>
        <v>0.3054766734279919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1"/>
  <sheetViews>
    <sheetView workbookViewId="0">
      <selection activeCell="F14" sqref="F14"/>
    </sheetView>
  </sheetViews>
  <sheetFormatPr defaultRowHeight="15" x14ac:dyDescent="0.25"/>
  <sheetData>
    <row r="1" spans="2:15" x14ac:dyDescent="0.25">
      <c r="C1" t="s">
        <v>261</v>
      </c>
      <c r="G1" t="s">
        <v>262</v>
      </c>
    </row>
    <row r="2" spans="2:15" x14ac:dyDescent="0.25">
      <c r="C2" t="s">
        <v>263</v>
      </c>
      <c r="D2" t="s">
        <v>281</v>
      </c>
      <c r="E2" t="s">
        <v>264</v>
      </c>
      <c r="G2" t="s">
        <v>265</v>
      </c>
      <c r="H2" t="s">
        <v>266</v>
      </c>
      <c r="I2" t="s">
        <v>267</v>
      </c>
      <c r="J2" t="s">
        <v>268</v>
      </c>
      <c r="K2" t="s">
        <v>265</v>
      </c>
      <c r="L2" t="s">
        <v>266</v>
      </c>
      <c r="M2" t="s">
        <v>267</v>
      </c>
      <c r="O2" t="s">
        <v>269</v>
      </c>
    </row>
    <row r="3" spans="2:15" x14ac:dyDescent="0.25">
      <c r="B3">
        <v>2016</v>
      </c>
      <c r="C3" s="12">
        <v>330833</v>
      </c>
      <c r="D3" s="12">
        <v>2862.23</v>
      </c>
      <c r="E3" s="12">
        <f>D3*1000000/C3</f>
        <v>8651.5855431592372</v>
      </c>
      <c r="F3" s="12"/>
      <c r="G3" s="12">
        <v>9759</v>
      </c>
      <c r="H3" s="12">
        <v>9829</v>
      </c>
      <c r="I3" s="12">
        <v>9135</v>
      </c>
      <c r="J3" s="26">
        <v>0.92700000000000005</v>
      </c>
      <c r="K3" s="12">
        <f t="shared" ref="K3:M7" si="0">G3*$J3</f>
        <v>9046.5930000000008</v>
      </c>
      <c r="L3" s="12">
        <f t="shared" si="0"/>
        <v>9111.4830000000002</v>
      </c>
      <c r="M3" s="12">
        <f t="shared" si="0"/>
        <v>8468.1450000000004</v>
      </c>
      <c r="O3">
        <f>E3/G3</f>
        <v>0.88652377735006016</v>
      </c>
    </row>
    <row r="4" spans="2:15" x14ac:dyDescent="0.25">
      <c r="B4">
        <v>2017</v>
      </c>
      <c r="C4" s="12">
        <v>322010</v>
      </c>
      <c r="D4" s="12">
        <v>2816.66</v>
      </c>
      <c r="E4" s="12">
        <f t="shared" ref="E4:E7" si="1">D4*1000000/C4</f>
        <v>8747.1196546691099</v>
      </c>
      <c r="F4" s="12"/>
      <c r="G4" s="12">
        <v>9801</v>
      </c>
      <c r="H4" s="12">
        <v>9903</v>
      </c>
      <c r="I4" s="12">
        <v>9246</v>
      </c>
      <c r="J4" s="26">
        <v>0.92500000000000004</v>
      </c>
      <c r="K4" s="12">
        <f t="shared" si="0"/>
        <v>9065.9250000000011</v>
      </c>
      <c r="L4" s="12">
        <f t="shared" si="0"/>
        <v>9160.2749999999996</v>
      </c>
      <c r="M4" s="12">
        <f t="shared" si="0"/>
        <v>8552.5500000000011</v>
      </c>
      <c r="O4">
        <f t="shared" ref="O4:O7" si="2">E4/G4</f>
        <v>0.89247216148037034</v>
      </c>
    </row>
    <row r="5" spans="2:15" x14ac:dyDescent="0.25">
      <c r="B5">
        <v>2018</v>
      </c>
      <c r="C5" s="12">
        <v>319387</v>
      </c>
      <c r="D5" s="12">
        <v>2760.23</v>
      </c>
      <c r="E5" s="12">
        <f t="shared" si="1"/>
        <v>8642.2741063349476</v>
      </c>
      <c r="F5" s="12"/>
      <c r="G5" s="12">
        <v>9827</v>
      </c>
      <c r="H5" s="12">
        <v>9953</v>
      </c>
      <c r="I5" s="12">
        <v>9280</v>
      </c>
      <c r="J5" s="26">
        <v>0.92300000000000004</v>
      </c>
      <c r="K5" s="12">
        <f t="shared" si="0"/>
        <v>9070.3209999999999</v>
      </c>
      <c r="L5" s="12">
        <f t="shared" si="0"/>
        <v>9186.6190000000006</v>
      </c>
      <c r="M5" s="12">
        <f t="shared" si="0"/>
        <v>8565.44</v>
      </c>
      <c r="O5">
        <f t="shared" si="2"/>
        <v>0.87944175295969751</v>
      </c>
    </row>
    <row r="6" spans="2:15" x14ac:dyDescent="0.25">
      <c r="B6">
        <v>2019</v>
      </c>
      <c r="C6" s="12">
        <v>305570</v>
      </c>
      <c r="D6" s="12">
        <v>2704.39</v>
      </c>
      <c r="E6" s="12">
        <f t="shared" si="1"/>
        <v>8850.3125306803686</v>
      </c>
      <c r="F6" s="12"/>
      <c r="G6" s="12">
        <v>9996</v>
      </c>
      <c r="H6" s="12">
        <v>10112</v>
      </c>
      <c r="I6" s="12">
        <v>9499</v>
      </c>
      <c r="J6" s="26">
        <v>0.92100000000000004</v>
      </c>
      <c r="K6" s="12">
        <f t="shared" si="0"/>
        <v>9206.3160000000007</v>
      </c>
      <c r="L6" s="12">
        <f t="shared" si="0"/>
        <v>9313.152</v>
      </c>
      <c r="M6" s="12">
        <f t="shared" si="0"/>
        <v>8748.5789999999997</v>
      </c>
      <c r="O6">
        <f t="shared" si="2"/>
        <v>0.88538540723092918</v>
      </c>
    </row>
    <row r="7" spans="2:15" x14ac:dyDescent="0.25">
      <c r="B7">
        <v>2020</v>
      </c>
      <c r="C7" s="12">
        <v>303390</v>
      </c>
      <c r="D7" s="12">
        <v>2772.74</v>
      </c>
      <c r="E7" s="12">
        <f t="shared" si="1"/>
        <v>9139.1937769867163</v>
      </c>
      <c r="F7" s="12"/>
      <c r="G7" s="12">
        <v>10232</v>
      </c>
      <c r="H7" s="12">
        <v>10330</v>
      </c>
      <c r="I7" s="12">
        <v>9676</v>
      </c>
      <c r="J7" s="26">
        <v>0.92</v>
      </c>
      <c r="K7" s="12">
        <f t="shared" si="0"/>
        <v>9413.44</v>
      </c>
      <c r="L7" s="12">
        <f t="shared" si="0"/>
        <v>9503.6</v>
      </c>
      <c r="M7" s="12">
        <f t="shared" si="0"/>
        <v>8901.92</v>
      </c>
      <c r="O7">
        <f t="shared" si="2"/>
        <v>0.89319720259838897</v>
      </c>
    </row>
    <row r="8" spans="2:15" x14ac:dyDescent="0.25">
      <c r="G8" s="6" t="s">
        <v>278</v>
      </c>
    </row>
    <row r="9" spans="2:15" x14ac:dyDescent="0.25">
      <c r="E9" s="12">
        <f>AVERAGE(E3:E7)</f>
        <v>8806.0971223660763</v>
      </c>
      <c r="G9" s="12">
        <f>SUMPRODUCT(G3:G7,$O3:$O7)/5</f>
        <v>8806.0971223660763</v>
      </c>
      <c r="H9" s="12">
        <f t="shared" ref="H9:I9" si="3">SUMPRODUCT(H3:H7,$O3:$O7)/5</f>
        <v>8896.9244261364474</v>
      </c>
      <c r="I9" s="12">
        <f t="shared" si="3"/>
        <v>8312.8527788469837</v>
      </c>
      <c r="O9" s="26">
        <f>AVERAGE(O3:O7)</f>
        <v>0.8874040603238893</v>
      </c>
    </row>
    <row r="11" spans="2:15" x14ac:dyDescent="0.25">
      <c r="K11" s="6" t="s">
        <v>276</v>
      </c>
    </row>
    <row r="12" spans="2:15" x14ac:dyDescent="0.25">
      <c r="B12" s="6" t="s">
        <v>275</v>
      </c>
      <c r="L12" t="s">
        <v>277</v>
      </c>
      <c r="N12" t="s">
        <v>274</v>
      </c>
    </row>
    <row r="13" spans="2:15" x14ac:dyDescent="0.25">
      <c r="B13" t="s">
        <v>191</v>
      </c>
      <c r="C13" t="s">
        <v>270</v>
      </c>
      <c r="D13" t="s">
        <v>271</v>
      </c>
      <c r="E13" t="s">
        <v>272</v>
      </c>
      <c r="F13" t="s">
        <v>282</v>
      </c>
      <c r="G13" t="s">
        <v>173</v>
      </c>
      <c r="H13" t="s">
        <v>273</v>
      </c>
      <c r="I13" t="s">
        <v>274</v>
      </c>
      <c r="K13" t="s">
        <v>191</v>
      </c>
      <c r="L13" t="s">
        <v>59</v>
      </c>
      <c r="M13" t="s">
        <v>60</v>
      </c>
      <c r="N13" t="s">
        <v>59</v>
      </c>
      <c r="O13" t="s">
        <v>60</v>
      </c>
    </row>
    <row r="14" spans="2:15" x14ac:dyDescent="0.25">
      <c r="B14">
        <v>1995</v>
      </c>
      <c r="C14">
        <v>3243</v>
      </c>
      <c r="D14">
        <v>4.33</v>
      </c>
      <c r="E14">
        <v>3.34</v>
      </c>
      <c r="F14" s="2">
        <f>C14*(0.25+D14/100*12.2+E14/100*7.7)</f>
        <v>3357.9319199999995</v>
      </c>
      <c r="G14" s="12">
        <v>482118</v>
      </c>
      <c r="H14" s="12">
        <f t="shared" ref="H14:H40" si="4">C14*1000000/G14</f>
        <v>6726.5690142247331</v>
      </c>
      <c r="K14">
        <v>2015</v>
      </c>
      <c r="L14" s="12">
        <v>9716</v>
      </c>
      <c r="M14" s="12">
        <v>8916</v>
      </c>
    </row>
    <row r="15" spans="2:15" x14ac:dyDescent="0.25">
      <c r="B15">
        <v>1996</v>
      </c>
      <c r="C15">
        <v>3258</v>
      </c>
      <c r="D15">
        <v>4.29</v>
      </c>
      <c r="E15">
        <v>3.33</v>
      </c>
      <c r="F15" s="2">
        <f t="shared" ref="F15:F40" si="5">C15*(0.25+D15/100*12.2+E15/100*7.7)</f>
        <v>3355.05582</v>
      </c>
      <c r="G15" s="12">
        <v>466265</v>
      </c>
      <c r="H15" s="12">
        <f t="shared" si="4"/>
        <v>6987.4427632354991</v>
      </c>
      <c r="K15">
        <v>2016</v>
      </c>
      <c r="L15" s="12">
        <v>9829</v>
      </c>
      <c r="M15" s="12">
        <v>9135</v>
      </c>
    </row>
    <row r="16" spans="2:15" x14ac:dyDescent="0.25">
      <c r="B16">
        <v>1997</v>
      </c>
      <c r="C16">
        <v>3276</v>
      </c>
      <c r="D16">
        <v>4.28</v>
      </c>
      <c r="E16">
        <v>3.32</v>
      </c>
      <c r="F16" s="2">
        <f t="shared" si="5"/>
        <v>3367.0728000000004</v>
      </c>
      <c r="G16" s="12">
        <v>467981</v>
      </c>
      <c r="H16" s="12">
        <f t="shared" si="4"/>
        <v>7000.2841995722047</v>
      </c>
      <c r="K16">
        <v>2017</v>
      </c>
      <c r="L16" s="12">
        <v>9903</v>
      </c>
      <c r="M16" s="12">
        <v>9246</v>
      </c>
    </row>
    <row r="17" spans="2:15" x14ac:dyDescent="0.25">
      <c r="B17">
        <v>1998</v>
      </c>
      <c r="C17">
        <v>3277</v>
      </c>
      <c r="D17">
        <v>4.26</v>
      </c>
      <c r="E17">
        <v>3.31</v>
      </c>
      <c r="F17" s="2">
        <f t="shared" si="5"/>
        <v>3357.5814299999997</v>
      </c>
      <c r="G17" s="12">
        <v>449130</v>
      </c>
      <c r="H17" s="12">
        <f t="shared" si="4"/>
        <v>7296.3284572395523</v>
      </c>
      <c r="K17">
        <v>2018</v>
      </c>
      <c r="L17" s="12">
        <v>9953</v>
      </c>
      <c r="M17" s="12">
        <v>9280</v>
      </c>
    </row>
    <row r="18" spans="2:15" x14ac:dyDescent="0.25">
      <c r="B18">
        <v>1999</v>
      </c>
      <c r="C18">
        <v>3299</v>
      </c>
      <c r="D18">
        <v>4.1900000000000004</v>
      </c>
      <c r="E18">
        <v>3.3</v>
      </c>
      <c r="F18" s="2">
        <f t="shared" si="5"/>
        <v>3349.4087200000008</v>
      </c>
      <c r="G18" s="12">
        <v>448520</v>
      </c>
      <c r="H18" s="12">
        <f t="shared" si="4"/>
        <v>7355.3018817444035</v>
      </c>
      <c r="K18">
        <v>2019</v>
      </c>
      <c r="L18" s="12">
        <v>10112</v>
      </c>
      <c r="M18" s="12">
        <v>9499</v>
      </c>
    </row>
    <row r="19" spans="2:15" x14ac:dyDescent="0.25">
      <c r="B19">
        <v>2000</v>
      </c>
      <c r="C19">
        <v>3297</v>
      </c>
      <c r="D19">
        <v>4.18</v>
      </c>
      <c r="E19">
        <v>3.28</v>
      </c>
      <c r="F19" s="2">
        <f t="shared" si="5"/>
        <v>3338.2784399999996</v>
      </c>
      <c r="G19" s="12">
        <v>427621</v>
      </c>
      <c r="H19" s="12">
        <f t="shared" si="4"/>
        <v>7710.0984282811178</v>
      </c>
      <c r="I19" s="1">
        <f t="shared" ref="I19:I40" si="6">H19/H14</f>
        <v>1.1462156133351946</v>
      </c>
      <c r="K19">
        <v>2020</v>
      </c>
      <c r="L19" s="12">
        <v>10330</v>
      </c>
      <c r="M19" s="12">
        <v>9676</v>
      </c>
      <c r="N19" s="1">
        <f>L19/L14</f>
        <v>1.0631947303417044</v>
      </c>
      <c r="O19" s="1">
        <f>M19/M14</f>
        <v>1.085240017945267</v>
      </c>
    </row>
    <row r="20" spans="2:15" x14ac:dyDescent="0.25">
      <c r="B20">
        <v>2001</v>
      </c>
      <c r="C20">
        <v>3290</v>
      </c>
      <c r="D20">
        <v>4.2</v>
      </c>
      <c r="E20">
        <v>3.28</v>
      </c>
      <c r="F20" s="2">
        <f t="shared" si="5"/>
        <v>3339.2183999999997</v>
      </c>
      <c r="G20" s="12">
        <v>418471</v>
      </c>
      <c r="H20" s="12">
        <f t="shared" si="4"/>
        <v>7861.9545918355152</v>
      </c>
      <c r="I20" s="1">
        <f t="shared" si="6"/>
        <v>1.1251547752492899</v>
      </c>
    </row>
    <row r="21" spans="2:15" x14ac:dyDescent="0.25">
      <c r="B21">
        <v>2002</v>
      </c>
      <c r="C21">
        <v>3226</v>
      </c>
      <c r="D21">
        <v>4.17</v>
      </c>
      <c r="E21">
        <v>3.32</v>
      </c>
      <c r="F21" s="2">
        <f t="shared" si="5"/>
        <v>3272.3898800000002</v>
      </c>
      <c r="G21" s="12">
        <v>417082</v>
      </c>
      <c r="H21" s="12">
        <f t="shared" si="4"/>
        <v>7734.6900609472477</v>
      </c>
      <c r="I21" s="1">
        <f t="shared" si="6"/>
        <v>1.1049108636789238</v>
      </c>
    </row>
    <row r="22" spans="2:15" x14ac:dyDescent="0.25">
      <c r="B22">
        <v>2003</v>
      </c>
      <c r="C22">
        <v>3206</v>
      </c>
      <c r="D22">
        <v>4.22</v>
      </c>
      <c r="E22">
        <v>3.35</v>
      </c>
      <c r="F22" s="2">
        <f t="shared" si="5"/>
        <v>3279.0647399999993</v>
      </c>
      <c r="G22" s="12">
        <v>402520</v>
      </c>
      <c r="H22" s="12">
        <f t="shared" si="4"/>
        <v>7964.8216237702472</v>
      </c>
      <c r="I22" s="1">
        <f t="shared" si="6"/>
        <v>1.0916204869954016</v>
      </c>
    </row>
    <row r="23" spans="2:15" x14ac:dyDescent="0.25">
      <c r="B23">
        <v>2004</v>
      </c>
      <c r="C23">
        <v>3229</v>
      </c>
      <c r="D23">
        <v>4.25</v>
      </c>
      <c r="E23">
        <v>3.38</v>
      </c>
      <c r="F23" s="2">
        <f t="shared" si="5"/>
        <v>3321.8660399999999</v>
      </c>
      <c r="G23" s="12">
        <v>403702</v>
      </c>
      <c r="H23" s="12">
        <f t="shared" si="4"/>
        <v>7998.4741220008818</v>
      </c>
      <c r="I23" s="1">
        <f t="shared" si="6"/>
        <v>1.0874433504697896</v>
      </c>
    </row>
    <row r="24" spans="2:15" x14ac:dyDescent="0.25">
      <c r="B24">
        <v>2005</v>
      </c>
      <c r="C24">
        <v>3163</v>
      </c>
      <c r="D24">
        <v>4.25</v>
      </c>
      <c r="E24">
        <v>3.38</v>
      </c>
      <c r="F24" s="2">
        <f t="shared" si="5"/>
        <v>3253.9678799999997</v>
      </c>
      <c r="G24" s="12">
        <v>393263</v>
      </c>
      <c r="H24" s="12">
        <f t="shared" si="4"/>
        <v>8042.9636146802522</v>
      </c>
      <c r="I24" s="1">
        <f t="shared" si="6"/>
        <v>1.0431726247719697</v>
      </c>
    </row>
    <row r="25" spans="2:15" x14ac:dyDescent="0.25">
      <c r="B25">
        <v>2006</v>
      </c>
      <c r="C25">
        <v>3130</v>
      </c>
      <c r="D25">
        <v>4.22</v>
      </c>
      <c r="E25">
        <v>3.38</v>
      </c>
      <c r="F25" s="2">
        <f t="shared" si="5"/>
        <v>3208.5629999999996</v>
      </c>
      <c r="G25" s="12">
        <v>387530</v>
      </c>
      <c r="H25" s="12">
        <f t="shared" si="4"/>
        <v>8076.794054653833</v>
      </c>
      <c r="I25" s="1">
        <f t="shared" si="6"/>
        <v>1.0273264695577642</v>
      </c>
    </row>
    <row r="26" spans="2:15" x14ac:dyDescent="0.25">
      <c r="B26">
        <v>2007</v>
      </c>
      <c r="C26">
        <v>2986</v>
      </c>
      <c r="D26">
        <v>4.2300000000000004</v>
      </c>
      <c r="E26">
        <v>3.4</v>
      </c>
      <c r="F26" s="2">
        <f t="shared" si="5"/>
        <v>3069.1899600000002</v>
      </c>
      <c r="G26" s="12">
        <v>369646</v>
      </c>
      <c r="H26" s="12">
        <f t="shared" si="4"/>
        <v>8077.9989503470888</v>
      </c>
      <c r="I26" s="1">
        <f t="shared" si="6"/>
        <v>1.0443856039084516</v>
      </c>
    </row>
    <row r="27" spans="2:15" x14ac:dyDescent="0.25">
      <c r="B27">
        <v>2008</v>
      </c>
      <c r="C27">
        <v>2987</v>
      </c>
      <c r="D27">
        <v>4.21</v>
      </c>
      <c r="E27">
        <v>3.38</v>
      </c>
      <c r="F27" s="2">
        <f t="shared" si="5"/>
        <v>3058.3295599999997</v>
      </c>
      <c r="G27" s="12">
        <v>357194</v>
      </c>
      <c r="H27" s="12">
        <f t="shared" si="4"/>
        <v>8362.4025039614335</v>
      </c>
      <c r="I27" s="1">
        <f t="shared" si="6"/>
        <v>1.0499171103850768</v>
      </c>
    </row>
    <row r="28" spans="2:15" x14ac:dyDescent="0.25">
      <c r="B28">
        <v>2009</v>
      </c>
      <c r="C28">
        <v>2933</v>
      </c>
      <c r="D28">
        <v>4.24</v>
      </c>
      <c r="E28">
        <v>3.4</v>
      </c>
      <c r="F28" s="2">
        <f t="shared" si="5"/>
        <v>3018.2916399999999</v>
      </c>
      <c r="G28" s="12">
        <v>356776</v>
      </c>
      <c r="H28" s="12">
        <f t="shared" si="4"/>
        <v>8220.8444514204984</v>
      </c>
      <c r="I28" s="1">
        <f t="shared" si="6"/>
        <v>1.0278015939075125</v>
      </c>
    </row>
    <row r="29" spans="2:15" x14ac:dyDescent="0.25">
      <c r="B29">
        <v>2010</v>
      </c>
      <c r="C29">
        <v>2862</v>
      </c>
      <c r="D29">
        <v>4.2300000000000004</v>
      </c>
      <c r="E29">
        <v>3.41</v>
      </c>
      <c r="F29" s="2">
        <f t="shared" si="5"/>
        <v>2943.9390600000006</v>
      </c>
      <c r="G29" s="12">
        <v>348095</v>
      </c>
      <c r="H29" s="12">
        <f t="shared" si="4"/>
        <v>8221.8934486275302</v>
      </c>
      <c r="I29" s="1">
        <f t="shared" si="6"/>
        <v>1.0222467541219122</v>
      </c>
    </row>
    <row r="30" spans="2:15" x14ac:dyDescent="0.25">
      <c r="B30">
        <v>2011</v>
      </c>
      <c r="C30">
        <v>2850</v>
      </c>
      <c r="D30">
        <v>4.2</v>
      </c>
      <c r="E30">
        <v>3.41</v>
      </c>
      <c r="F30" s="2">
        <f t="shared" si="5"/>
        <v>2921.1644999999999</v>
      </c>
      <c r="G30" s="12">
        <v>346495</v>
      </c>
      <c r="H30" s="12">
        <f t="shared" si="4"/>
        <v>8225.2269152513018</v>
      </c>
      <c r="I30" s="1">
        <f t="shared" si="6"/>
        <v>1.0183776953569768</v>
      </c>
    </row>
    <row r="31" spans="2:15" x14ac:dyDescent="0.25">
      <c r="B31">
        <v>2012</v>
      </c>
      <c r="C31">
        <v>2861</v>
      </c>
      <c r="D31">
        <v>4.22</v>
      </c>
      <c r="E31">
        <v>3.42</v>
      </c>
      <c r="F31" s="2">
        <f t="shared" si="5"/>
        <v>2941.6229799999996</v>
      </c>
      <c r="G31" s="12">
        <v>347969</v>
      </c>
      <c r="H31" s="12">
        <f t="shared" si="4"/>
        <v>8221.996787070113</v>
      </c>
      <c r="I31" s="1">
        <f t="shared" si="6"/>
        <v>1.0178259291203346</v>
      </c>
    </row>
    <row r="32" spans="2:15" x14ac:dyDescent="0.25">
      <c r="B32">
        <v>2013</v>
      </c>
      <c r="C32">
        <v>2868</v>
      </c>
      <c r="D32">
        <v>4.26</v>
      </c>
      <c r="E32">
        <v>3.42</v>
      </c>
      <c r="F32" s="2">
        <f t="shared" si="5"/>
        <v>2962.8160799999996</v>
      </c>
      <c r="G32" s="12">
        <v>344021</v>
      </c>
      <c r="H32" s="12">
        <f t="shared" si="4"/>
        <v>8336.7003758491483</v>
      </c>
      <c r="I32" s="1">
        <f t="shared" si="6"/>
        <v>0.99692646603651169</v>
      </c>
    </row>
    <row r="33" spans="2:9" x14ac:dyDescent="0.25">
      <c r="B33">
        <v>2014</v>
      </c>
      <c r="C33">
        <v>2931.25</v>
      </c>
      <c r="D33">
        <v>4.25</v>
      </c>
      <c r="E33">
        <v>3.42</v>
      </c>
      <c r="F33" s="2">
        <f t="shared" si="5"/>
        <v>3024.5809999999997</v>
      </c>
      <c r="G33" s="12">
        <v>344339</v>
      </c>
      <c r="H33" s="12">
        <f t="shared" si="4"/>
        <v>8512.6866256799258</v>
      </c>
      <c r="I33" s="1">
        <f t="shared" si="6"/>
        <v>1.0355002671543068</v>
      </c>
    </row>
    <row r="34" spans="2:9" x14ac:dyDescent="0.25">
      <c r="B34">
        <v>2015</v>
      </c>
      <c r="C34">
        <v>2933.16</v>
      </c>
      <c r="D34">
        <v>4.25</v>
      </c>
      <c r="E34">
        <v>3.42</v>
      </c>
      <c r="F34" s="2">
        <f t="shared" si="5"/>
        <v>3026.5518143999993</v>
      </c>
      <c r="G34" s="12">
        <v>339823</v>
      </c>
      <c r="H34" s="12">
        <f t="shared" si="4"/>
        <v>8631.4345997769433</v>
      </c>
      <c r="I34" s="1">
        <f t="shared" si="6"/>
        <v>1.0498110506671401</v>
      </c>
    </row>
    <row r="35" spans="2:9" x14ac:dyDescent="0.25">
      <c r="B35">
        <v>2016</v>
      </c>
      <c r="C35">
        <v>2862.23</v>
      </c>
      <c r="D35">
        <v>4.24</v>
      </c>
      <c r="E35">
        <v>3.45</v>
      </c>
      <c r="F35" s="2">
        <f t="shared" si="5"/>
        <v>2956.4832339</v>
      </c>
      <c r="G35" s="12">
        <v>330833</v>
      </c>
      <c r="H35" s="12">
        <f t="shared" si="4"/>
        <v>8651.5855431592372</v>
      </c>
      <c r="I35" s="1">
        <f t="shared" si="6"/>
        <v>1.0518354851848983</v>
      </c>
    </row>
    <row r="36" spans="2:9" x14ac:dyDescent="0.25">
      <c r="B36">
        <v>2017</v>
      </c>
      <c r="C36">
        <v>2816.66</v>
      </c>
      <c r="D36">
        <v>4.21</v>
      </c>
      <c r="E36">
        <v>3.47</v>
      </c>
      <c r="F36" s="2">
        <f t="shared" si="5"/>
        <v>2903.4412945999998</v>
      </c>
      <c r="G36" s="12">
        <v>322010</v>
      </c>
      <c r="H36" s="12">
        <f t="shared" si="4"/>
        <v>8747.1196546691099</v>
      </c>
      <c r="I36" s="1">
        <f t="shared" si="6"/>
        <v>1.0638680458285759</v>
      </c>
    </row>
    <row r="37" spans="2:9" x14ac:dyDescent="0.25">
      <c r="B37">
        <v>2018</v>
      </c>
      <c r="C37">
        <v>2760.23</v>
      </c>
      <c r="D37">
        <v>4.2</v>
      </c>
      <c r="E37">
        <v>3.46</v>
      </c>
      <c r="F37" s="2">
        <f t="shared" si="5"/>
        <v>2839.7798286000002</v>
      </c>
      <c r="G37" s="12">
        <v>319387</v>
      </c>
      <c r="H37" s="12">
        <f t="shared" si="4"/>
        <v>8642.2741063349476</v>
      </c>
      <c r="I37" s="1">
        <f t="shared" si="6"/>
        <v>1.0366540377738687</v>
      </c>
    </row>
    <row r="38" spans="2:9" x14ac:dyDescent="0.25">
      <c r="B38">
        <v>2019</v>
      </c>
      <c r="C38">
        <v>2704.39</v>
      </c>
      <c r="D38">
        <v>4.24</v>
      </c>
      <c r="E38">
        <v>3.5</v>
      </c>
      <c r="F38" s="2">
        <f t="shared" si="5"/>
        <v>2803.8574641999999</v>
      </c>
      <c r="G38" s="12">
        <v>305570</v>
      </c>
      <c r="H38" s="12">
        <f t="shared" si="4"/>
        <v>8850.3125306803686</v>
      </c>
      <c r="I38" s="1">
        <f t="shared" si="6"/>
        <v>1.0396614981669756</v>
      </c>
    </row>
    <row r="39" spans="2:9" x14ac:dyDescent="0.25">
      <c r="B39">
        <v>2020</v>
      </c>
      <c r="C39">
        <v>2772.74</v>
      </c>
      <c r="D39">
        <v>4.2300000000000004</v>
      </c>
      <c r="E39">
        <v>3.51</v>
      </c>
      <c r="F39" s="2">
        <f t="shared" si="5"/>
        <v>2873.4736441999999</v>
      </c>
      <c r="G39" s="12">
        <v>303390</v>
      </c>
      <c r="H39" s="12">
        <f t="shared" si="4"/>
        <v>9139.1937769867163</v>
      </c>
      <c r="I39" s="1">
        <f t="shared" si="6"/>
        <v>1.0588267421064506</v>
      </c>
    </row>
    <row r="40" spans="2:9" x14ac:dyDescent="0.25">
      <c r="B40">
        <v>2021</v>
      </c>
      <c r="C40">
        <v>2782.22</v>
      </c>
      <c r="D40">
        <v>4.26</v>
      </c>
      <c r="E40">
        <v>3.51</v>
      </c>
      <c r="F40" s="2">
        <f t="shared" si="5"/>
        <v>2893.4809777999999</v>
      </c>
      <c r="G40" s="12">
        <v>301850</v>
      </c>
      <c r="H40" s="12">
        <f t="shared" si="4"/>
        <v>9217.2270995527579</v>
      </c>
      <c r="I40" s="1">
        <f t="shared" si="6"/>
        <v>1.0653801032853187</v>
      </c>
    </row>
    <row r="41" spans="2:9" x14ac:dyDescent="0.25">
      <c r="I41" s="1">
        <f>AVERAGE(I30:I40)</f>
        <v>1.0395152109710324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AR32"/>
  <sheetViews>
    <sheetView workbookViewId="0">
      <selection activeCell="AF10" sqref="AF10"/>
    </sheetView>
  </sheetViews>
  <sheetFormatPr defaultRowHeight="15" x14ac:dyDescent="0.25"/>
  <cols>
    <col min="18" max="18" width="15.42578125" customWidth="1"/>
  </cols>
  <sheetData>
    <row r="1" spans="6:44" x14ac:dyDescent="0.25">
      <c r="F1" s="4" t="s">
        <v>327</v>
      </c>
      <c r="R1" s="4" t="s">
        <v>328</v>
      </c>
    </row>
    <row r="2" spans="6:44" x14ac:dyDescent="0.25">
      <c r="G2" t="s">
        <v>325</v>
      </c>
    </row>
    <row r="3" spans="6:44" x14ac:dyDescent="0.25">
      <c r="F3" t="s">
        <v>326</v>
      </c>
      <c r="G3" t="s">
        <v>322</v>
      </c>
      <c r="H3" t="s">
        <v>323</v>
      </c>
      <c r="I3" t="s">
        <v>324</v>
      </c>
    </row>
    <row r="4" spans="6:44" ht="15.75" customHeight="1" x14ac:dyDescent="0.25">
      <c r="F4">
        <v>400</v>
      </c>
      <c r="G4">
        <v>5</v>
      </c>
      <c r="H4">
        <v>8</v>
      </c>
      <c r="I4">
        <v>15</v>
      </c>
      <c r="J4" s="2">
        <f>F4*0.013</f>
        <v>5.2</v>
      </c>
      <c r="K4" s="2">
        <f>F4*0.021</f>
        <v>8.4</v>
      </c>
      <c r="L4" s="2">
        <f>F4*0.038</f>
        <v>15.2</v>
      </c>
      <c r="M4" s="2">
        <f>F4*(0.013+0.021+0.038)</f>
        <v>28.800000000000004</v>
      </c>
      <c r="N4">
        <f>SUM(G4:I4)</f>
        <v>28</v>
      </c>
      <c r="R4" s="140" t="s">
        <v>329</v>
      </c>
      <c r="S4" s="118"/>
      <c r="T4" s="118"/>
      <c r="U4" s="118"/>
      <c r="V4" s="118"/>
      <c r="W4" s="118"/>
      <c r="X4" s="112"/>
      <c r="Y4" s="112"/>
      <c r="AB4" t="s">
        <v>326</v>
      </c>
      <c r="AC4" t="s">
        <v>362</v>
      </c>
      <c r="AD4" t="s">
        <v>332</v>
      </c>
      <c r="AE4" t="s">
        <v>333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</row>
    <row r="5" spans="6:44" ht="15.75" customHeight="1" x14ac:dyDescent="0.25">
      <c r="F5">
        <v>500</v>
      </c>
      <c r="G5">
        <v>7</v>
      </c>
      <c r="H5">
        <v>11</v>
      </c>
      <c r="I5">
        <v>19</v>
      </c>
      <c r="J5" s="2">
        <f>F5*0.013</f>
        <v>6.5</v>
      </c>
      <c r="K5" s="2">
        <f>F5*0.021</f>
        <v>10.5</v>
      </c>
      <c r="L5" s="2">
        <f>F5*0.038</f>
        <v>19</v>
      </c>
      <c r="M5" s="2">
        <f>F5*(0.013+0.021+0.038)</f>
        <v>36.000000000000007</v>
      </c>
      <c r="N5">
        <f t="shared" ref="N5:N7" si="0">SUM(G5:I5)</f>
        <v>37</v>
      </c>
      <c r="R5" s="119" t="s">
        <v>331</v>
      </c>
      <c r="S5" s="119" t="s">
        <v>330</v>
      </c>
      <c r="T5" s="118"/>
      <c r="U5" s="118"/>
      <c r="V5" s="118"/>
      <c r="W5" s="118"/>
      <c r="X5" s="118"/>
      <c r="Y5" s="118"/>
      <c r="AB5" s="133">
        <v>30</v>
      </c>
      <c r="AC5" s="133">
        <f t="shared" ref="AC5:AC28" si="1">AB5^0.75</f>
        <v>12.818610191887021</v>
      </c>
      <c r="AD5" s="133">
        <v>0</v>
      </c>
      <c r="AE5" s="125">
        <v>6</v>
      </c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6:44" x14ac:dyDescent="0.25">
      <c r="F6">
        <v>600</v>
      </c>
      <c r="G6">
        <v>8</v>
      </c>
      <c r="H6">
        <v>13</v>
      </c>
      <c r="I6">
        <v>23</v>
      </c>
      <c r="J6" s="2">
        <f>F6*0.013</f>
        <v>7.8</v>
      </c>
      <c r="K6" s="2">
        <f>F6*0.021</f>
        <v>12.600000000000001</v>
      </c>
      <c r="L6" s="2">
        <f>F6*0.038</f>
        <v>22.8</v>
      </c>
      <c r="M6" s="2">
        <f>F6*(0.013+0.021+0.038)</f>
        <v>43.2</v>
      </c>
      <c r="N6">
        <f t="shared" si="0"/>
        <v>44</v>
      </c>
      <c r="R6" s="120" t="s">
        <v>122</v>
      </c>
      <c r="S6" s="121">
        <v>0</v>
      </c>
      <c r="T6" s="122">
        <v>250</v>
      </c>
      <c r="U6" s="122">
        <v>500</v>
      </c>
      <c r="V6" s="123">
        <v>1000</v>
      </c>
      <c r="W6" s="115"/>
      <c r="X6" s="115"/>
      <c r="Y6" s="115"/>
      <c r="AB6" s="134">
        <v>40</v>
      </c>
      <c r="AC6" s="134">
        <f t="shared" si="1"/>
        <v>15.905414575341014</v>
      </c>
      <c r="AD6" s="134">
        <v>0</v>
      </c>
      <c r="AE6" s="128">
        <v>7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6:44" x14ac:dyDescent="0.25">
      <c r="F7">
        <v>700</v>
      </c>
      <c r="G7">
        <v>9</v>
      </c>
      <c r="H7">
        <v>15</v>
      </c>
      <c r="I7">
        <v>27</v>
      </c>
      <c r="J7" s="2">
        <f>F7*0.013</f>
        <v>9.1</v>
      </c>
      <c r="K7" s="2">
        <f>F7*0.021</f>
        <v>14.700000000000001</v>
      </c>
      <c r="L7" s="2">
        <f>F7*0.038</f>
        <v>26.599999999999998</v>
      </c>
      <c r="M7" s="2">
        <f>F7*(0.013+0.021+0.038)</f>
        <v>50.400000000000006</v>
      </c>
      <c r="N7">
        <f t="shared" si="0"/>
        <v>51</v>
      </c>
      <c r="R7" s="114">
        <v>30</v>
      </c>
      <c r="S7" s="124">
        <v>6</v>
      </c>
      <c r="T7" s="125">
        <v>8</v>
      </c>
      <c r="U7" s="125">
        <v>11</v>
      </c>
      <c r="V7" s="126">
        <v>17.5</v>
      </c>
      <c r="W7" s="113"/>
      <c r="X7" s="154" t="s">
        <v>365</v>
      </c>
      <c r="Y7" s="113"/>
      <c r="AB7" s="134">
        <v>50</v>
      </c>
      <c r="AC7" s="134">
        <f t="shared" si="1"/>
        <v>18.803015465431965</v>
      </c>
      <c r="AD7" s="134">
        <v>0</v>
      </c>
      <c r="AE7" s="128">
        <v>8.5</v>
      </c>
      <c r="AH7" s="281"/>
      <c r="AI7" s="281"/>
      <c r="AJ7" s="15"/>
      <c r="AK7" s="15"/>
      <c r="AL7" s="15"/>
      <c r="AM7" s="15"/>
      <c r="AN7" s="15"/>
      <c r="AO7" s="15"/>
      <c r="AP7" s="15"/>
      <c r="AQ7" s="15"/>
      <c r="AR7" s="15"/>
    </row>
    <row r="8" spans="6:44" x14ac:dyDescent="0.25">
      <c r="R8" s="116">
        <v>40</v>
      </c>
      <c r="S8" s="127">
        <v>7</v>
      </c>
      <c r="T8" s="128">
        <v>9.5</v>
      </c>
      <c r="U8" s="128">
        <v>12.5</v>
      </c>
      <c r="V8" s="129">
        <v>19</v>
      </c>
      <c r="W8" s="113"/>
      <c r="X8" s="275" t="s">
        <v>363</v>
      </c>
      <c r="Y8" s="10">
        <v>0</v>
      </c>
      <c r="AB8" s="134">
        <v>60</v>
      </c>
      <c r="AC8" s="134">
        <f t="shared" si="1"/>
        <v>21.558246717785043</v>
      </c>
      <c r="AD8" s="134">
        <v>0</v>
      </c>
      <c r="AE8" s="128">
        <v>10</v>
      </c>
      <c r="AH8" s="136"/>
      <c r="AI8" s="136"/>
      <c r="AJ8" s="15"/>
      <c r="AK8" s="15"/>
      <c r="AL8" s="15"/>
      <c r="AM8" s="15"/>
      <c r="AN8" s="15"/>
      <c r="AO8" s="15"/>
      <c r="AP8" s="15"/>
      <c r="AQ8" s="15"/>
      <c r="AR8" s="15"/>
    </row>
    <row r="9" spans="6:44" x14ac:dyDescent="0.25">
      <c r="R9" s="116">
        <v>50</v>
      </c>
      <c r="S9" s="127">
        <v>8.5</v>
      </c>
      <c r="T9" s="128">
        <v>11</v>
      </c>
      <c r="U9" s="128">
        <v>14</v>
      </c>
      <c r="V9" s="129">
        <v>21</v>
      </c>
      <c r="W9" s="113"/>
      <c r="X9" s="14" t="s">
        <v>326</v>
      </c>
      <c r="Y9" s="279">
        <v>0.16</v>
      </c>
      <c r="AB9" s="134">
        <v>70</v>
      </c>
      <c r="AC9" s="134">
        <f t="shared" si="1"/>
        <v>24.200454924935883</v>
      </c>
      <c r="AD9" s="134">
        <v>0</v>
      </c>
      <c r="AE9" s="128">
        <v>11.5</v>
      </c>
      <c r="AH9" s="136"/>
      <c r="AI9" s="136"/>
      <c r="AJ9" s="15"/>
      <c r="AK9" s="15"/>
      <c r="AL9" s="15"/>
      <c r="AM9" s="15"/>
      <c r="AN9" s="15"/>
      <c r="AO9" s="15"/>
      <c r="AP9" s="15"/>
      <c r="AQ9" s="15"/>
      <c r="AR9" s="15"/>
    </row>
    <row r="10" spans="6:44" x14ac:dyDescent="0.25">
      <c r="R10" s="116">
        <v>60</v>
      </c>
      <c r="S10" s="127">
        <v>10</v>
      </c>
      <c r="T10" s="128">
        <v>12.5</v>
      </c>
      <c r="U10" s="128">
        <v>15.5</v>
      </c>
      <c r="V10" s="129">
        <v>23</v>
      </c>
      <c r="W10" s="113"/>
      <c r="X10" s="277" t="s">
        <v>332</v>
      </c>
      <c r="Y10" s="280">
        <v>12.5</v>
      </c>
      <c r="AB10" s="135">
        <v>80</v>
      </c>
      <c r="AC10" s="135">
        <f t="shared" si="1"/>
        <v>26.749612199056873</v>
      </c>
      <c r="AD10" s="135">
        <v>0</v>
      </c>
      <c r="AE10" s="131">
        <v>13</v>
      </c>
      <c r="AH10" s="136"/>
      <c r="AI10" s="136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6:44" x14ac:dyDescent="0.25">
      <c r="R11" s="116">
        <v>70</v>
      </c>
      <c r="S11" s="127">
        <v>11.5</v>
      </c>
      <c r="T11" s="128">
        <v>14</v>
      </c>
      <c r="U11" s="128">
        <v>17.5</v>
      </c>
      <c r="V11" s="129">
        <v>25</v>
      </c>
      <c r="W11" s="115"/>
      <c r="X11" s="115"/>
      <c r="Y11" s="115"/>
      <c r="AB11" s="133">
        <v>30</v>
      </c>
      <c r="AC11" s="133">
        <f t="shared" si="1"/>
        <v>12.818610191887021</v>
      </c>
      <c r="AD11" s="133">
        <v>250</v>
      </c>
      <c r="AE11" s="125">
        <v>8</v>
      </c>
      <c r="AH11" s="136"/>
      <c r="AI11" s="136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6:44" x14ac:dyDescent="0.25">
      <c r="R12" s="117">
        <v>80</v>
      </c>
      <c r="S12" s="130">
        <v>13</v>
      </c>
      <c r="T12" s="131">
        <v>16</v>
      </c>
      <c r="U12" s="131">
        <v>19.5</v>
      </c>
      <c r="V12" s="132">
        <v>28</v>
      </c>
      <c r="X12" s="275" t="s">
        <v>363</v>
      </c>
      <c r="Y12" s="10">
        <v>0</v>
      </c>
      <c r="AB12" s="134">
        <v>40</v>
      </c>
      <c r="AC12" s="134">
        <f t="shared" si="1"/>
        <v>15.905414575341014</v>
      </c>
      <c r="AD12" s="134">
        <v>250</v>
      </c>
      <c r="AE12" s="128">
        <v>9.5</v>
      </c>
      <c r="AH12" s="136"/>
      <c r="AI12" s="136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6:44" x14ac:dyDescent="0.25">
      <c r="X13" s="14" t="s">
        <v>362</v>
      </c>
      <c r="Y13" s="276">
        <v>0.46328995179259302</v>
      </c>
      <c r="AB13" s="134">
        <v>50</v>
      </c>
      <c r="AC13" s="134">
        <f t="shared" si="1"/>
        <v>18.803015465431965</v>
      </c>
      <c r="AD13" s="134">
        <v>250</v>
      </c>
      <c r="AE13" s="128">
        <v>11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6:44" ht="15.75" x14ac:dyDescent="0.25">
      <c r="R14" s="140" t="s">
        <v>367</v>
      </c>
      <c r="S14" s="118"/>
      <c r="T14" s="118"/>
      <c r="U14" s="118"/>
      <c r="V14" s="118"/>
      <c r="X14" s="277" t="s">
        <v>332</v>
      </c>
      <c r="Y14" s="278">
        <f>0.0125625963867342*1000</f>
        <v>12.562596386734201</v>
      </c>
      <c r="AB14" s="134">
        <v>60</v>
      </c>
      <c r="AC14" s="134">
        <f t="shared" si="1"/>
        <v>21.558246717785043</v>
      </c>
      <c r="AD14" s="134">
        <v>250</v>
      </c>
      <c r="AE14" s="128">
        <v>12.5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6:44" ht="15.75" x14ac:dyDescent="0.25">
      <c r="R15" s="119" t="s">
        <v>331</v>
      </c>
      <c r="S15" s="119" t="s">
        <v>364</v>
      </c>
      <c r="T15" s="118"/>
      <c r="U15" s="118"/>
      <c r="V15" s="118"/>
      <c r="AB15" s="134">
        <v>70</v>
      </c>
      <c r="AC15" s="134">
        <f t="shared" si="1"/>
        <v>24.200454924935883</v>
      </c>
      <c r="AD15" s="134">
        <v>250</v>
      </c>
      <c r="AE15" s="128">
        <v>14</v>
      </c>
      <c r="AH15" s="282"/>
      <c r="AI15" s="282"/>
      <c r="AJ15" s="282"/>
      <c r="AK15" s="282"/>
      <c r="AL15" s="282"/>
      <c r="AM15" s="282"/>
      <c r="AN15" s="15"/>
      <c r="AO15" s="15"/>
      <c r="AP15" s="15"/>
      <c r="AQ15" s="15"/>
      <c r="AR15" s="15"/>
    </row>
    <row r="16" spans="6:44" x14ac:dyDescent="0.25">
      <c r="R16" s="120" t="s">
        <v>122</v>
      </c>
      <c r="S16" s="151">
        <v>0</v>
      </c>
      <c r="T16" s="152">
        <v>0.25</v>
      </c>
      <c r="U16" s="152">
        <v>0.5</v>
      </c>
      <c r="V16" s="153">
        <v>1</v>
      </c>
      <c r="AB16" s="135">
        <v>80</v>
      </c>
      <c r="AC16" s="135">
        <f t="shared" si="1"/>
        <v>26.749612199056873</v>
      </c>
      <c r="AD16" s="135">
        <v>250</v>
      </c>
      <c r="AE16" s="131">
        <v>16</v>
      </c>
      <c r="AH16" s="136"/>
      <c r="AI16" s="136"/>
      <c r="AJ16" s="136"/>
      <c r="AK16" s="136"/>
      <c r="AL16" s="136"/>
      <c r="AM16" s="136"/>
      <c r="AN16" s="15"/>
      <c r="AO16" s="15"/>
      <c r="AP16" s="15"/>
      <c r="AQ16" s="15"/>
      <c r="AR16" s="15"/>
    </row>
    <row r="17" spans="18:44" x14ac:dyDescent="0.25">
      <c r="R17" s="114">
        <v>30</v>
      </c>
      <c r="S17" s="142">
        <f>($Y$12+$R17^0.75*$Y$13+S$16*$Y$14)/S7</f>
        <v>0.98978888297456324</v>
      </c>
      <c r="T17" s="143">
        <f t="shared" ref="T17:V17" si="2">($Y$12+$R17^0.75*$Y$13+T$16*$Y$14)/T7</f>
        <v>1.1349227993163662</v>
      </c>
      <c r="U17" s="143">
        <f t="shared" si="2"/>
        <v>1.1109119537467711</v>
      </c>
      <c r="V17" s="144">
        <f t="shared" si="2"/>
        <v>1.0572188391189474</v>
      </c>
      <c r="AB17" s="133">
        <v>30</v>
      </c>
      <c r="AC17" s="133">
        <f t="shared" si="1"/>
        <v>12.818610191887021</v>
      </c>
      <c r="AD17" s="133">
        <v>500</v>
      </c>
      <c r="AE17" s="125">
        <v>11</v>
      </c>
      <c r="AH17" s="136"/>
      <c r="AI17" s="136"/>
      <c r="AJ17" s="136"/>
      <c r="AK17" s="136"/>
      <c r="AL17" s="136"/>
      <c r="AM17" s="136"/>
      <c r="AN17" s="15"/>
      <c r="AO17" s="15"/>
      <c r="AP17" s="15"/>
      <c r="AQ17" s="15"/>
      <c r="AR17" s="15"/>
    </row>
    <row r="18" spans="18:44" x14ac:dyDescent="0.25">
      <c r="R18" s="116">
        <v>40</v>
      </c>
      <c r="S18" s="145">
        <f t="shared" ref="S18:V18" si="3">($Y$12+$R18^0.75*$Y$13+S$16*$Y$14)/S8</f>
        <v>1.0526883931215636</v>
      </c>
      <c r="T18" s="146">
        <f t="shared" si="3"/>
        <v>1.1062597735299469</v>
      </c>
      <c r="U18" s="146">
        <f t="shared" si="3"/>
        <v>1.0920093556174435</v>
      </c>
      <c r="V18" s="147">
        <f t="shared" si="3"/>
        <v>1.0490218493992181</v>
      </c>
      <c r="AB18" s="134">
        <v>40</v>
      </c>
      <c r="AC18" s="134">
        <f t="shared" si="1"/>
        <v>15.905414575341014</v>
      </c>
      <c r="AD18" s="134">
        <v>500</v>
      </c>
      <c r="AE18" s="128">
        <v>12.5</v>
      </c>
      <c r="AH18" s="136"/>
      <c r="AI18" s="136"/>
      <c r="AJ18" s="136"/>
      <c r="AK18" s="136"/>
      <c r="AL18" s="136"/>
      <c r="AM18" s="136"/>
      <c r="AN18" s="15"/>
      <c r="AO18" s="15"/>
      <c r="AP18" s="15"/>
      <c r="AQ18" s="15"/>
      <c r="AR18" s="15"/>
    </row>
    <row r="19" spans="18:44" x14ac:dyDescent="0.25">
      <c r="R19" s="116">
        <v>50</v>
      </c>
      <c r="S19" s="145">
        <f>($Y$12+$R19^0.75*$Y$13+S$16*$Y$14)/S9</f>
        <v>1.0248527210041596</v>
      </c>
      <c r="T19" s="146">
        <f t="shared" ref="T19:V19" si="4">($Y$12+$R19^0.75*$Y$13+T$16*$Y$14)/T9</f>
        <v>1.0774452022926277</v>
      </c>
      <c r="U19" s="146">
        <f t="shared" si="4"/>
        <v>1.0708961658501754</v>
      </c>
      <c r="V19" s="147">
        <f t="shared" si="4"/>
        <v>1.0130402150128361</v>
      </c>
      <c r="AB19" s="134">
        <v>50</v>
      </c>
      <c r="AC19" s="134">
        <f t="shared" si="1"/>
        <v>18.803015465431965</v>
      </c>
      <c r="AD19" s="134">
        <v>500</v>
      </c>
      <c r="AE19" s="128">
        <v>14</v>
      </c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18:44" x14ac:dyDescent="0.25">
      <c r="R20" s="116">
        <v>60</v>
      </c>
      <c r="S20" s="145">
        <f t="shared" ref="S20:V20" si="5">($Y$12+$R20^0.75*$Y$13+S$16*$Y$14)/S10</f>
        <v>0.99877190826154594</v>
      </c>
      <c r="T20" s="146">
        <f t="shared" si="5"/>
        <v>1.0502694543439208</v>
      </c>
      <c r="U20" s="146">
        <f t="shared" si="5"/>
        <v>1.0496140178053264</v>
      </c>
      <c r="V20" s="147">
        <f t="shared" si="5"/>
        <v>0.9804484986673766</v>
      </c>
      <c r="AB20" s="134">
        <v>60</v>
      </c>
      <c r="AC20" s="134">
        <f t="shared" si="1"/>
        <v>21.558246717785043</v>
      </c>
      <c r="AD20" s="134">
        <v>500</v>
      </c>
      <c r="AE20" s="128">
        <v>15.5</v>
      </c>
      <c r="AH20" s="282"/>
      <c r="AI20" s="282"/>
      <c r="AJ20" s="282"/>
      <c r="AK20" s="282"/>
      <c r="AL20" s="282"/>
      <c r="AM20" s="282"/>
      <c r="AN20" s="282"/>
      <c r="AO20" s="282"/>
      <c r="AP20" s="282"/>
      <c r="AQ20" s="15"/>
      <c r="AR20" s="15"/>
    </row>
    <row r="21" spans="18:44" x14ac:dyDescent="0.25">
      <c r="R21" s="116">
        <v>70</v>
      </c>
      <c r="S21" s="145">
        <f>($Y$12+$R21^0.75*$Y$13+S$16*$Y$14)/S11</f>
        <v>0.97494153004629269</v>
      </c>
      <c r="T21" s="146">
        <f t="shared" ref="T21:V21" si="6">($Y$12+$R21^0.75*$Y$13+T$16*$Y$14)/T11</f>
        <v>1.0251769065868512</v>
      </c>
      <c r="U21" s="146">
        <f t="shared" si="6"/>
        <v>0.99960718793711234</v>
      </c>
      <c r="V21" s="147">
        <f t="shared" si="6"/>
        <v>0.95097695929066273</v>
      </c>
      <c r="AB21" s="134">
        <v>70</v>
      </c>
      <c r="AC21" s="134">
        <f t="shared" si="1"/>
        <v>24.200454924935883</v>
      </c>
      <c r="AD21" s="134">
        <v>500</v>
      </c>
      <c r="AE21" s="128">
        <v>17.5</v>
      </c>
      <c r="AH21" s="136"/>
      <c r="AI21" s="136"/>
      <c r="AJ21" s="136"/>
      <c r="AK21" s="136"/>
      <c r="AL21" s="136"/>
      <c r="AM21" s="136"/>
      <c r="AN21" s="136"/>
      <c r="AO21" s="136"/>
      <c r="AP21" s="136"/>
      <c r="AQ21" s="15"/>
      <c r="AR21" s="15"/>
    </row>
    <row r="22" spans="18:44" x14ac:dyDescent="0.25">
      <c r="R22" s="117">
        <v>80</v>
      </c>
      <c r="S22" s="148">
        <f t="shared" ref="S22:V22" si="7">($Y$12+$R22^0.75*$Y$13+S$16*$Y$14)/S12</f>
        <v>0.95329434970550908</v>
      </c>
      <c r="T22" s="149">
        <f t="shared" si="7"/>
        <v>0.97084222767844797</v>
      </c>
      <c r="U22" s="149">
        <f t="shared" si="7"/>
        <v>0.9576474225404471</v>
      </c>
      <c r="V22" s="150">
        <f t="shared" si="7"/>
        <v>0.89126510474663634</v>
      </c>
      <c r="AB22" s="135">
        <v>80</v>
      </c>
      <c r="AC22" s="135">
        <f t="shared" si="1"/>
        <v>26.749612199056873</v>
      </c>
      <c r="AD22" s="135">
        <v>500</v>
      </c>
      <c r="AE22" s="131">
        <v>19.5</v>
      </c>
      <c r="AH22" s="136"/>
      <c r="AI22" s="136"/>
      <c r="AJ22" s="136"/>
      <c r="AK22" s="136"/>
      <c r="AL22" s="136"/>
      <c r="AM22" s="136"/>
      <c r="AN22" s="136"/>
      <c r="AO22" s="136"/>
      <c r="AP22" s="136"/>
      <c r="AQ22" s="15"/>
      <c r="AR22" s="15"/>
    </row>
    <row r="23" spans="18:44" x14ac:dyDescent="0.25">
      <c r="AB23" s="133">
        <v>30</v>
      </c>
      <c r="AC23" s="133">
        <f t="shared" si="1"/>
        <v>12.818610191887021</v>
      </c>
      <c r="AD23" s="133">
        <v>1000</v>
      </c>
      <c r="AE23" s="125">
        <v>17.5</v>
      </c>
      <c r="AH23" s="136"/>
      <c r="AI23" s="136"/>
      <c r="AJ23" s="136"/>
      <c r="AK23" s="136"/>
      <c r="AL23" s="136"/>
      <c r="AM23" s="136"/>
      <c r="AN23" s="136"/>
      <c r="AO23" s="136"/>
      <c r="AP23" s="136"/>
      <c r="AQ23" s="15"/>
      <c r="AR23" s="15"/>
    </row>
    <row r="24" spans="18:44" ht="15.75" x14ac:dyDescent="0.25">
      <c r="R24" s="140" t="s">
        <v>366</v>
      </c>
      <c r="S24" s="118"/>
      <c r="T24" s="118"/>
      <c r="U24" s="118"/>
      <c r="V24" s="118"/>
      <c r="AB24" s="134">
        <v>40</v>
      </c>
      <c r="AC24" s="134">
        <f t="shared" si="1"/>
        <v>15.905414575341014</v>
      </c>
      <c r="AD24" s="134">
        <v>1000</v>
      </c>
      <c r="AE24" s="128">
        <v>19</v>
      </c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</row>
    <row r="25" spans="18:44" ht="15.75" x14ac:dyDescent="0.25">
      <c r="R25" s="119" t="s">
        <v>331</v>
      </c>
      <c r="S25" s="119" t="s">
        <v>364</v>
      </c>
      <c r="T25" s="118"/>
      <c r="U25" s="118"/>
      <c r="V25" s="118"/>
      <c r="AB25" s="134">
        <v>50</v>
      </c>
      <c r="AC25" s="134">
        <f t="shared" si="1"/>
        <v>18.803015465431965</v>
      </c>
      <c r="AD25" s="134">
        <v>1000</v>
      </c>
      <c r="AE25" s="128">
        <v>21</v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</row>
    <row r="26" spans="18:44" x14ac:dyDescent="0.25">
      <c r="R26" s="120" t="s">
        <v>122</v>
      </c>
      <c r="S26" s="151">
        <v>0</v>
      </c>
      <c r="T26" s="152">
        <v>0.25</v>
      </c>
      <c r="U26" s="152">
        <v>0.5</v>
      </c>
      <c r="V26" s="153">
        <v>1</v>
      </c>
      <c r="AB26" s="134">
        <v>60</v>
      </c>
      <c r="AC26" s="134">
        <f t="shared" si="1"/>
        <v>21.558246717785043</v>
      </c>
      <c r="AD26" s="134">
        <v>1000</v>
      </c>
      <c r="AE26" s="128">
        <v>23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</row>
    <row r="27" spans="18:44" x14ac:dyDescent="0.25">
      <c r="R27" s="114">
        <v>30</v>
      </c>
      <c r="S27" s="142">
        <f>(0.475*$R27^0.75 + S$26*$X$27)/S7</f>
        <v>1.0148066401910558</v>
      </c>
      <c r="T27" s="143">
        <f t="shared" ref="T27:V27" si="8">(0.475*$R27^0.75 + T$26*$X$27)/T7</f>
        <v>1.1361049801432919</v>
      </c>
      <c r="U27" s="143">
        <f t="shared" si="8"/>
        <v>1.0989854401042123</v>
      </c>
      <c r="V27" s="144">
        <f t="shared" si="8"/>
        <v>1.0336479909226477</v>
      </c>
      <c r="X27">
        <v>12</v>
      </c>
      <c r="AB27" s="134">
        <v>70</v>
      </c>
      <c r="AC27" s="134">
        <f t="shared" si="1"/>
        <v>24.200454924935883</v>
      </c>
      <c r="AD27" s="134">
        <v>1000</v>
      </c>
      <c r="AE27" s="128">
        <v>25</v>
      </c>
    </row>
    <row r="28" spans="18:44" x14ac:dyDescent="0.25">
      <c r="R28" s="116">
        <v>40</v>
      </c>
      <c r="S28" s="145">
        <f t="shared" ref="S28:V28" si="9">(0.475*$R28^0.75 + S$26*$X$27)/S8</f>
        <v>1.0792959890409974</v>
      </c>
      <c r="T28" s="146">
        <f t="shared" si="9"/>
        <v>1.1110602024512612</v>
      </c>
      <c r="U28" s="146">
        <f t="shared" si="9"/>
        <v>1.0844057538629586</v>
      </c>
      <c r="V28" s="147">
        <f t="shared" si="9"/>
        <v>1.0292143117519463</v>
      </c>
      <c r="X28">
        <v>0.2</v>
      </c>
      <c r="AB28" s="135">
        <v>80</v>
      </c>
      <c r="AC28" s="135">
        <f t="shared" si="1"/>
        <v>26.749612199056873</v>
      </c>
      <c r="AD28" s="135">
        <v>1000</v>
      </c>
      <c r="AE28" s="131">
        <v>28</v>
      </c>
    </row>
    <row r="29" spans="18:44" x14ac:dyDescent="0.25">
      <c r="R29" s="116">
        <v>50</v>
      </c>
      <c r="S29" s="145">
        <f t="shared" ref="S29:V29" si="10">(0.475*$R29^0.75 + S$26*$X$27)/S9</f>
        <v>1.0507567465976686</v>
      </c>
      <c r="T29" s="146">
        <f t="shared" si="10"/>
        <v>1.0846756678254712</v>
      </c>
      <c r="U29" s="146">
        <f t="shared" si="10"/>
        <v>1.0665308818628703</v>
      </c>
      <c r="V29" s="147">
        <f t="shared" si="10"/>
        <v>0.99673487362286584</v>
      </c>
    </row>
    <row r="30" spans="18:44" x14ac:dyDescent="0.25">
      <c r="R30" s="116">
        <v>60</v>
      </c>
      <c r="S30" s="145">
        <f t="shared" ref="S30:V30" si="11">(0.475*$R30^0.75 + S$26*$X$27)/S10</f>
        <v>1.0240167190947895</v>
      </c>
      <c r="T30" s="146">
        <f t="shared" si="11"/>
        <v>1.0592133752758317</v>
      </c>
      <c r="U30" s="146">
        <f t="shared" si="11"/>
        <v>1.0477527219966383</v>
      </c>
      <c r="V30" s="147">
        <f t="shared" si="11"/>
        <v>0.966963790910778</v>
      </c>
    </row>
    <row r="31" spans="18:44" x14ac:dyDescent="0.25">
      <c r="R31" s="116">
        <v>70</v>
      </c>
      <c r="S31" s="145">
        <f t="shared" ref="S31:V31" si="12">(0.475*$R31^0.75 + S$26*$X$27)/S11</f>
        <v>0.99958400776909073</v>
      </c>
      <c r="T31" s="146">
        <f t="shared" si="12"/>
        <v>1.0353725778103244</v>
      </c>
      <c r="U31" s="146">
        <f t="shared" si="12"/>
        <v>0.99972663367683112</v>
      </c>
      <c r="V31" s="147">
        <f t="shared" si="12"/>
        <v>0.9398086435737818</v>
      </c>
    </row>
    <row r="32" spans="18:44" x14ac:dyDescent="0.25">
      <c r="R32" s="117">
        <v>80</v>
      </c>
      <c r="S32" s="148">
        <f t="shared" ref="S32:V32" si="13">(0.475*$R32^0.75 + S$26*$X$27)/S12</f>
        <v>0.9773896765040011</v>
      </c>
      <c r="T32" s="149">
        <f t="shared" si="13"/>
        <v>0.98162911215950088</v>
      </c>
      <c r="U32" s="149">
        <f t="shared" si="13"/>
        <v>0.95928542536164174</v>
      </c>
      <c r="V32" s="150">
        <f t="shared" si="13"/>
        <v>0.88235949266257196</v>
      </c>
    </row>
  </sheetData>
  <conditionalFormatting sqref="S17:V22">
    <cfRule type="colorScale" priority="2">
      <colorScale>
        <cfvo type="num" val="0.9"/>
        <cfvo type="num" val="1"/>
        <cfvo type="num" val="1.1000000000000001"/>
        <color rgb="FF5A8AC6"/>
        <color rgb="FFFCFCFF"/>
        <color rgb="FFF8696B"/>
      </colorScale>
    </cfRule>
  </conditionalFormatting>
  <conditionalFormatting sqref="S27:V32">
    <cfRule type="colorScale" priority="1">
      <colorScale>
        <cfvo type="num" val="0.9"/>
        <cfvo type="num" val="1"/>
        <cfvo type="num" val="1.1000000000000001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activeCell="B17" sqref="B17:B19"/>
    </sheetView>
  </sheetViews>
  <sheetFormatPr defaultRowHeight="15" x14ac:dyDescent="0.25"/>
  <sheetData>
    <row r="1" spans="1:9" x14ac:dyDescent="0.25">
      <c r="A1" t="s">
        <v>334</v>
      </c>
    </row>
    <row r="2" spans="1:9" ht="15.75" thickBot="1" x14ac:dyDescent="0.3"/>
    <row r="3" spans="1:9" x14ac:dyDescent="0.25">
      <c r="A3" s="139" t="s">
        <v>335</v>
      </c>
      <c r="B3" s="139"/>
    </row>
    <row r="4" spans="1:9" x14ac:dyDescent="0.25">
      <c r="A4" s="136" t="s">
        <v>336</v>
      </c>
      <c r="B4" s="136">
        <v>0.99434308508956182</v>
      </c>
    </row>
    <row r="5" spans="1:9" x14ac:dyDescent="0.25">
      <c r="A5" s="136" t="s">
        <v>337</v>
      </c>
      <c r="B5" s="136">
        <v>0.98871817086542757</v>
      </c>
    </row>
    <row r="6" spans="1:9" x14ac:dyDescent="0.25">
      <c r="A6" s="136" t="s">
        <v>338</v>
      </c>
      <c r="B6" s="141">
        <v>0.9876437109478492</v>
      </c>
    </row>
    <row r="7" spans="1:9" x14ac:dyDescent="0.25">
      <c r="A7" s="136" t="s">
        <v>339</v>
      </c>
      <c r="B7" s="136">
        <v>0.64295634155271764</v>
      </c>
    </row>
    <row r="8" spans="1:9" ht="15.75" thickBot="1" x14ac:dyDescent="0.3">
      <c r="A8" s="137" t="s">
        <v>340</v>
      </c>
      <c r="B8" s="137">
        <v>24</v>
      </c>
    </row>
    <row r="10" spans="1:9" ht="15.75" thickBot="1" x14ac:dyDescent="0.3">
      <c r="A10" t="s">
        <v>341</v>
      </c>
    </row>
    <row r="11" spans="1:9" x14ac:dyDescent="0.25">
      <c r="A11" s="138"/>
      <c r="B11" s="138" t="s">
        <v>345</v>
      </c>
      <c r="C11" s="138" t="s">
        <v>346</v>
      </c>
      <c r="D11" s="138" t="s">
        <v>347</v>
      </c>
      <c r="E11" s="138" t="s">
        <v>348</v>
      </c>
      <c r="F11" s="138" t="s">
        <v>349</v>
      </c>
    </row>
    <row r="12" spans="1:9" x14ac:dyDescent="0.25">
      <c r="A12" s="136" t="s">
        <v>342</v>
      </c>
      <c r="B12" s="136">
        <v>2</v>
      </c>
      <c r="C12" s="136">
        <v>760.80833333333317</v>
      </c>
      <c r="D12" s="136">
        <v>380.40416666666658</v>
      </c>
      <c r="E12" s="136">
        <v>920.20014398848559</v>
      </c>
      <c r="F12" s="136">
        <v>3.5480108451103033E-21</v>
      </c>
    </row>
    <row r="13" spans="1:9" x14ac:dyDescent="0.25">
      <c r="A13" s="136" t="s">
        <v>343</v>
      </c>
      <c r="B13" s="136">
        <v>21</v>
      </c>
      <c r="C13" s="136">
        <v>8.6812499999999542</v>
      </c>
      <c r="D13" s="136">
        <v>0.41339285714285495</v>
      </c>
      <c r="E13" s="136"/>
      <c r="F13" s="136"/>
    </row>
    <row r="14" spans="1:9" ht="15.75" thickBot="1" x14ac:dyDescent="0.3">
      <c r="A14" s="137" t="s">
        <v>300</v>
      </c>
      <c r="B14" s="137">
        <v>23</v>
      </c>
      <c r="C14" s="137">
        <v>769.48958333333314</v>
      </c>
      <c r="D14" s="137"/>
      <c r="E14" s="137"/>
      <c r="F14" s="137"/>
    </row>
    <row r="15" spans="1:9" ht="15.75" thickBot="1" x14ac:dyDescent="0.3"/>
    <row r="16" spans="1:9" x14ac:dyDescent="0.25">
      <c r="A16" s="138"/>
      <c r="B16" s="138" t="s">
        <v>350</v>
      </c>
      <c r="C16" s="138" t="s">
        <v>339</v>
      </c>
      <c r="D16" s="138" t="s">
        <v>351</v>
      </c>
      <c r="E16" s="138" t="s">
        <v>352</v>
      </c>
      <c r="F16" s="138" t="s">
        <v>353</v>
      </c>
      <c r="G16" s="138" t="s">
        <v>354</v>
      </c>
      <c r="H16" s="138" t="s">
        <v>355</v>
      </c>
      <c r="I16" s="138" t="s">
        <v>356</v>
      </c>
    </row>
    <row r="17" spans="1:9" x14ac:dyDescent="0.25">
      <c r="A17" s="136" t="s">
        <v>344</v>
      </c>
      <c r="B17" s="136">
        <v>-0.40773809523810023</v>
      </c>
      <c r="C17" s="136">
        <v>0.46902457944381531</v>
      </c>
      <c r="D17" s="136">
        <v>-0.86933204166316702</v>
      </c>
      <c r="E17" s="136">
        <v>0.3944933503705087</v>
      </c>
      <c r="F17" s="136">
        <v>-1.383128104167036</v>
      </c>
      <c r="G17" s="136">
        <v>0.56765191369083567</v>
      </c>
      <c r="H17" s="136">
        <v>-1.383128104167036</v>
      </c>
      <c r="I17" s="136">
        <v>0.56765191369083567</v>
      </c>
    </row>
    <row r="18" spans="1:9" x14ac:dyDescent="0.25">
      <c r="A18" s="136" t="s">
        <v>326</v>
      </c>
      <c r="B18" s="136">
        <v>0.16892857142857148</v>
      </c>
      <c r="C18" s="136">
        <v>7.6847981397678419E-3</v>
      </c>
      <c r="D18" s="136">
        <v>21.982174203690253</v>
      </c>
      <c r="E18" s="136">
        <v>5.622260089430527E-16</v>
      </c>
      <c r="F18" s="136">
        <v>0.15294715882317275</v>
      </c>
      <c r="G18" s="136">
        <v>0.18490998403397021</v>
      </c>
      <c r="H18" s="136">
        <v>0.15294715882317275</v>
      </c>
      <c r="I18" s="136">
        <v>0.18490998403397021</v>
      </c>
    </row>
    <row r="19" spans="1:9" ht="15.75" thickBot="1" x14ac:dyDescent="0.3">
      <c r="A19" s="137" t="s">
        <v>332</v>
      </c>
      <c r="B19" s="137">
        <v>1.3076190476190479E-2</v>
      </c>
      <c r="C19" s="137">
        <v>3.549456219730319E-4</v>
      </c>
      <c r="D19" s="137">
        <v>36.839982427460349</v>
      </c>
      <c r="E19" s="137">
        <v>1.4430475578158989E-20</v>
      </c>
      <c r="F19" s="137">
        <v>1.2338040646609885E-2</v>
      </c>
      <c r="G19" s="137">
        <v>1.3814340305771073E-2</v>
      </c>
      <c r="H19" s="137">
        <v>1.2338040646609885E-2</v>
      </c>
      <c r="I19" s="137">
        <v>1.3814340305771073E-2</v>
      </c>
    </row>
    <row r="23" spans="1:9" x14ac:dyDescent="0.25">
      <c r="A23" t="s">
        <v>357</v>
      </c>
    </row>
    <row r="24" spans="1:9" ht="15.75" thickBot="1" x14ac:dyDescent="0.3"/>
    <row r="25" spans="1:9" x14ac:dyDescent="0.25">
      <c r="A25" s="138" t="s">
        <v>358</v>
      </c>
      <c r="B25" s="138" t="s">
        <v>359</v>
      </c>
      <c r="C25" s="138" t="s">
        <v>360</v>
      </c>
      <c r="D25" s="138" t="s">
        <v>361</v>
      </c>
    </row>
    <row r="26" spans="1:9" x14ac:dyDescent="0.25">
      <c r="A26" s="136">
        <v>1</v>
      </c>
      <c r="B26" s="136">
        <v>4.6601190476190446</v>
      </c>
      <c r="C26" s="136">
        <v>1.3398809523809554</v>
      </c>
      <c r="D26" s="136">
        <v>2.1809163068088218</v>
      </c>
    </row>
    <row r="27" spans="1:9" x14ac:dyDescent="0.25">
      <c r="A27" s="136">
        <v>2</v>
      </c>
      <c r="B27" s="136">
        <v>6.3494047619047596</v>
      </c>
      <c r="C27" s="136">
        <v>0.65059523809524045</v>
      </c>
      <c r="D27" s="136">
        <v>1.0589700236970436</v>
      </c>
    </row>
    <row r="28" spans="1:9" x14ac:dyDescent="0.25">
      <c r="A28" s="136">
        <v>3</v>
      </c>
      <c r="B28" s="136">
        <v>8.0386904761904745</v>
      </c>
      <c r="C28" s="136">
        <v>0.4613095238095255</v>
      </c>
      <c r="D28" s="136">
        <v>0.75087078532955975</v>
      </c>
    </row>
    <row r="29" spans="1:9" x14ac:dyDescent="0.25">
      <c r="A29" s="136">
        <v>4</v>
      </c>
      <c r="B29" s="136">
        <v>9.7279761904761894</v>
      </c>
      <c r="C29" s="136">
        <v>0.27202380952381056</v>
      </c>
      <c r="D29" s="136">
        <v>0.44277154696207599</v>
      </c>
    </row>
    <row r="30" spans="1:9" x14ac:dyDescent="0.25">
      <c r="A30" s="136">
        <v>5</v>
      </c>
      <c r="B30" s="136">
        <v>11.417261904761904</v>
      </c>
      <c r="C30" s="136">
        <v>8.273809523809561E-2</v>
      </c>
      <c r="D30" s="136">
        <v>0.13467230859459212</v>
      </c>
    </row>
    <row r="31" spans="1:9" x14ac:dyDescent="0.25">
      <c r="A31" s="136">
        <v>6</v>
      </c>
      <c r="B31" s="136">
        <v>13.106547619047619</v>
      </c>
      <c r="C31" s="136">
        <v>-0.10654761904761934</v>
      </c>
      <c r="D31" s="136">
        <v>-0.1734269297728917</v>
      </c>
    </row>
    <row r="32" spans="1:9" x14ac:dyDescent="0.25">
      <c r="A32" s="136">
        <v>7</v>
      </c>
      <c r="B32" s="136">
        <v>7.9291666666666645</v>
      </c>
      <c r="C32" s="136">
        <v>7.0833333333335524E-2</v>
      </c>
      <c r="D32" s="136">
        <v>0.11529499800544522</v>
      </c>
    </row>
    <row r="33" spans="1:4" x14ac:dyDescent="0.25">
      <c r="A33" s="136">
        <v>8</v>
      </c>
      <c r="B33" s="136">
        <v>9.6184523809523803</v>
      </c>
      <c r="C33" s="136">
        <v>-0.11845238095238031</v>
      </c>
      <c r="D33" s="136">
        <v>-0.19280424036204005</v>
      </c>
    </row>
    <row r="34" spans="1:4" x14ac:dyDescent="0.25">
      <c r="A34" s="136">
        <v>9</v>
      </c>
      <c r="B34" s="136">
        <v>11.307738095238093</v>
      </c>
      <c r="C34" s="136">
        <v>-0.30773809523809348</v>
      </c>
      <c r="D34" s="136">
        <v>-0.50090347872952101</v>
      </c>
    </row>
    <row r="35" spans="1:4" x14ac:dyDescent="0.25">
      <c r="A35" s="136">
        <v>10</v>
      </c>
      <c r="B35" s="136">
        <v>12.99702380952381</v>
      </c>
      <c r="C35" s="136">
        <v>-0.4970238095238102</v>
      </c>
      <c r="D35" s="136">
        <v>-0.80900271709700777</v>
      </c>
    </row>
    <row r="36" spans="1:4" x14ac:dyDescent="0.25">
      <c r="A36" s="136">
        <v>11</v>
      </c>
      <c r="B36" s="136">
        <v>14.686309523809523</v>
      </c>
      <c r="C36" s="136">
        <v>-0.68630952380952337</v>
      </c>
      <c r="D36" s="136">
        <v>-1.1171019554644888</v>
      </c>
    </row>
    <row r="37" spans="1:4" x14ac:dyDescent="0.25">
      <c r="A37" s="136">
        <v>12</v>
      </c>
      <c r="B37" s="136">
        <v>16.37559523809524</v>
      </c>
      <c r="C37" s="136">
        <v>-0.37559523809524009</v>
      </c>
      <c r="D37" s="136">
        <v>-0.61135414908768126</v>
      </c>
    </row>
    <row r="38" spans="1:4" x14ac:dyDescent="0.25">
      <c r="A38" s="136">
        <v>13</v>
      </c>
      <c r="B38" s="136">
        <v>11.198214285714284</v>
      </c>
      <c r="C38" s="136">
        <v>-0.19821428571428434</v>
      </c>
      <c r="D38" s="136">
        <v>-0.32263222130934294</v>
      </c>
    </row>
    <row r="39" spans="1:4" x14ac:dyDescent="0.25">
      <c r="A39" s="136">
        <v>14</v>
      </c>
      <c r="B39" s="136">
        <v>12.887499999999999</v>
      </c>
      <c r="C39" s="136">
        <v>-0.38749999999999929</v>
      </c>
      <c r="D39" s="136">
        <v>-0.63073145967682676</v>
      </c>
    </row>
    <row r="40" spans="1:4" x14ac:dyDescent="0.25">
      <c r="A40" s="136">
        <v>15</v>
      </c>
      <c r="B40" s="136">
        <v>14.576785714285714</v>
      </c>
      <c r="C40" s="136">
        <v>-0.57678571428571423</v>
      </c>
      <c r="D40" s="136">
        <v>-0.93883069804431063</v>
      </c>
    </row>
    <row r="41" spans="1:4" x14ac:dyDescent="0.25">
      <c r="A41" s="136">
        <v>16</v>
      </c>
      <c r="B41" s="136">
        <v>16.266071428571429</v>
      </c>
      <c r="C41" s="136">
        <v>-0.76607142857142918</v>
      </c>
      <c r="D41" s="136">
        <v>-1.2469299364117945</v>
      </c>
    </row>
    <row r="42" spans="1:4" x14ac:dyDescent="0.25">
      <c r="A42" s="136">
        <v>17</v>
      </c>
      <c r="B42" s="136">
        <v>17.955357142857146</v>
      </c>
      <c r="C42" s="136">
        <v>-0.4553571428571459</v>
      </c>
      <c r="D42" s="136">
        <v>-0.74118213003498712</v>
      </c>
    </row>
    <row r="43" spans="1:4" x14ac:dyDescent="0.25">
      <c r="A43" s="136">
        <v>18</v>
      </c>
      <c r="B43" s="136">
        <v>19.644642857142859</v>
      </c>
      <c r="C43" s="136">
        <v>-0.14464285714285907</v>
      </c>
      <c r="D43" s="136">
        <v>-0.23543432365817393</v>
      </c>
    </row>
    <row r="44" spans="1:4" x14ac:dyDescent="0.25">
      <c r="A44" s="136">
        <v>19</v>
      </c>
      <c r="B44" s="136">
        <v>17.736309523809524</v>
      </c>
      <c r="C44" s="136">
        <v>-0.23630952380952408</v>
      </c>
      <c r="D44" s="136">
        <v>-0.38463961519462514</v>
      </c>
    </row>
    <row r="45" spans="1:4" x14ac:dyDescent="0.25">
      <c r="A45" s="136">
        <v>20</v>
      </c>
      <c r="B45" s="136">
        <v>19.425595238095241</v>
      </c>
      <c r="C45" s="136">
        <v>-0.4255952380952408</v>
      </c>
      <c r="D45" s="136">
        <v>-0.69273885356211184</v>
      </c>
    </row>
    <row r="46" spans="1:4" x14ac:dyDescent="0.25">
      <c r="A46" s="136">
        <v>21</v>
      </c>
      <c r="B46" s="136">
        <v>21.114880952380954</v>
      </c>
      <c r="C46" s="136">
        <v>-0.11488095238095397</v>
      </c>
      <c r="D46" s="136">
        <v>-0.18699104718529874</v>
      </c>
    </row>
    <row r="47" spans="1:4" x14ac:dyDescent="0.25">
      <c r="A47" s="136">
        <v>22</v>
      </c>
      <c r="B47" s="136">
        <v>22.804166666666667</v>
      </c>
      <c r="C47" s="136">
        <v>0.19583333333333286</v>
      </c>
      <c r="D47" s="136">
        <v>0.31875675919151442</v>
      </c>
    </row>
    <row r="48" spans="1:4" x14ac:dyDescent="0.25">
      <c r="A48" s="136">
        <v>23</v>
      </c>
      <c r="B48" s="136">
        <v>24.493452380952384</v>
      </c>
      <c r="C48" s="136">
        <v>0.50654761904761614</v>
      </c>
      <c r="D48" s="136">
        <v>0.82450456556832175</v>
      </c>
    </row>
    <row r="49" spans="1:4" ht="15.75" thickBot="1" x14ac:dyDescent="0.3">
      <c r="A49" s="137">
        <v>24</v>
      </c>
      <c r="B49" s="137">
        <v>26.182738095238101</v>
      </c>
      <c r="C49" s="137">
        <v>1.8172619047618994</v>
      </c>
      <c r="D49" s="137">
        <v>2.9579464614337172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activeCell="B17" sqref="B17:B19"/>
    </sheetView>
  </sheetViews>
  <sheetFormatPr defaultRowHeight="15" x14ac:dyDescent="0.25"/>
  <sheetData>
    <row r="1" spans="1:9" x14ac:dyDescent="0.25">
      <c r="A1" t="s">
        <v>334</v>
      </c>
    </row>
    <row r="2" spans="1:9" ht="15.75" thickBot="1" x14ac:dyDescent="0.3"/>
    <row r="3" spans="1:9" x14ac:dyDescent="0.25">
      <c r="A3" s="139" t="s">
        <v>335</v>
      </c>
      <c r="B3" s="139"/>
    </row>
    <row r="4" spans="1:9" x14ac:dyDescent="0.25">
      <c r="A4" s="136" t="s">
        <v>336</v>
      </c>
      <c r="B4" s="136">
        <v>0.99923601209082613</v>
      </c>
    </row>
    <row r="5" spans="1:9" x14ac:dyDescent="0.25">
      <c r="A5" s="136" t="s">
        <v>337</v>
      </c>
      <c r="B5" s="136">
        <v>0.99847260785917769</v>
      </c>
    </row>
    <row r="6" spans="1:9" x14ac:dyDescent="0.25">
      <c r="A6" s="136" t="s">
        <v>338</v>
      </c>
      <c r="B6" s="141">
        <v>0.95294863548914033</v>
      </c>
    </row>
    <row r="7" spans="1:9" x14ac:dyDescent="0.25">
      <c r="A7" s="136" t="s">
        <v>339</v>
      </c>
      <c r="B7" s="136">
        <v>0.63937706804773409</v>
      </c>
    </row>
    <row r="8" spans="1:9" ht="15.75" thickBot="1" x14ac:dyDescent="0.3">
      <c r="A8" s="137" t="s">
        <v>340</v>
      </c>
      <c r="B8" s="137">
        <v>24</v>
      </c>
    </row>
    <row r="10" spans="1:9" ht="15.75" thickBot="1" x14ac:dyDescent="0.3">
      <c r="A10" t="s">
        <v>341</v>
      </c>
    </row>
    <row r="11" spans="1:9" x14ac:dyDescent="0.25">
      <c r="A11" s="138"/>
      <c r="B11" s="138" t="s">
        <v>345</v>
      </c>
      <c r="C11" s="138" t="s">
        <v>346</v>
      </c>
      <c r="D11" s="138" t="s">
        <v>347</v>
      </c>
      <c r="E11" s="138" t="s">
        <v>348</v>
      </c>
      <c r="F11" s="138" t="s">
        <v>349</v>
      </c>
    </row>
    <row r="12" spans="1:9" x14ac:dyDescent="0.25">
      <c r="A12" s="136" t="s">
        <v>342</v>
      </c>
      <c r="B12" s="136">
        <v>2</v>
      </c>
      <c r="C12" s="136">
        <v>5879.2563332268028</v>
      </c>
      <c r="D12" s="136">
        <v>2939.6281666134014</v>
      </c>
      <c r="E12" s="136">
        <v>7190.8178606561842</v>
      </c>
      <c r="F12" s="136">
        <v>1.658295194250544E-30</v>
      </c>
    </row>
    <row r="13" spans="1:9" x14ac:dyDescent="0.25">
      <c r="A13" s="136" t="s">
        <v>343</v>
      </c>
      <c r="B13" s="136">
        <v>22</v>
      </c>
      <c r="C13" s="136">
        <v>8.9936667731969688</v>
      </c>
      <c r="D13" s="136">
        <v>0.40880303514531674</v>
      </c>
      <c r="E13" s="136"/>
      <c r="F13" s="136"/>
    </row>
    <row r="14" spans="1:9" ht="15.75" thickBot="1" x14ac:dyDescent="0.3">
      <c r="A14" s="137" t="s">
        <v>300</v>
      </c>
      <c r="B14" s="137">
        <v>24</v>
      </c>
      <c r="C14" s="137">
        <v>5888.25</v>
      </c>
      <c r="D14" s="137"/>
      <c r="E14" s="137"/>
      <c r="F14" s="137"/>
    </row>
    <row r="15" spans="1:9" ht="15.75" thickBot="1" x14ac:dyDescent="0.3"/>
    <row r="16" spans="1:9" x14ac:dyDescent="0.25">
      <c r="A16" s="138"/>
      <c r="B16" s="138" t="s">
        <v>350</v>
      </c>
      <c r="C16" s="138" t="s">
        <v>339</v>
      </c>
      <c r="D16" s="138" t="s">
        <v>351</v>
      </c>
      <c r="E16" s="138" t="s">
        <v>352</v>
      </c>
      <c r="F16" s="138" t="s">
        <v>353</v>
      </c>
      <c r="G16" s="138" t="s">
        <v>354</v>
      </c>
      <c r="H16" s="138" t="s">
        <v>355</v>
      </c>
      <c r="I16" s="138" t="s">
        <v>356</v>
      </c>
    </row>
    <row r="17" spans="1:9" x14ac:dyDescent="0.25">
      <c r="A17" s="136" t="s">
        <v>344</v>
      </c>
      <c r="B17" s="136">
        <v>0</v>
      </c>
      <c r="C17" s="136" t="e">
        <v>#N/A</v>
      </c>
      <c r="D17" s="136" t="e">
        <v>#N/A</v>
      </c>
      <c r="E17" s="136" t="e">
        <v>#N/A</v>
      </c>
      <c r="F17" s="136" t="e">
        <v>#N/A</v>
      </c>
      <c r="G17" s="136" t="e">
        <v>#N/A</v>
      </c>
      <c r="H17" s="136" t="e">
        <v>#N/A</v>
      </c>
      <c r="I17" s="136" t="e">
        <v>#N/A</v>
      </c>
    </row>
    <row r="18" spans="1:9" x14ac:dyDescent="0.25">
      <c r="A18" s="136" t="s">
        <v>326</v>
      </c>
      <c r="B18" s="136">
        <v>0.1629082774049217</v>
      </c>
      <c r="C18" s="136">
        <v>3.3127900815938349E-3</v>
      </c>
      <c r="D18" s="136">
        <v>49.175550938181992</v>
      </c>
      <c r="E18" s="136">
        <v>5.4013091173267767E-24</v>
      </c>
      <c r="F18" s="136">
        <v>0.15603797127508467</v>
      </c>
      <c r="G18" s="136">
        <v>0.16977858353475872</v>
      </c>
      <c r="H18" s="136">
        <v>0.15603797127508467</v>
      </c>
      <c r="I18" s="136">
        <v>0.16977858353475872</v>
      </c>
    </row>
    <row r="19" spans="1:9" ht="15.75" thickBot="1" x14ac:dyDescent="0.3">
      <c r="A19" s="137" t="s">
        <v>332</v>
      </c>
      <c r="B19" s="137">
        <v>1.2974027910940667E-2</v>
      </c>
      <c r="C19" s="137">
        <v>3.330620646154739E-4</v>
      </c>
      <c r="D19" s="137">
        <v>38.953784562404053</v>
      </c>
      <c r="E19" s="137">
        <v>8.5990489859870578E-22</v>
      </c>
      <c r="F19" s="137">
        <v>1.2283299465194126E-2</v>
      </c>
      <c r="G19" s="137">
        <v>1.3664756356687209E-2</v>
      </c>
      <c r="H19" s="137">
        <v>1.2283299465194126E-2</v>
      </c>
      <c r="I19" s="137">
        <v>1.3664756356687209E-2</v>
      </c>
    </row>
    <row r="23" spans="1:9" x14ac:dyDescent="0.25">
      <c r="A23" t="s">
        <v>357</v>
      </c>
    </row>
    <row r="24" spans="1:9" ht="15.75" thickBot="1" x14ac:dyDescent="0.3"/>
    <row r="25" spans="1:9" x14ac:dyDescent="0.25">
      <c r="A25" s="138" t="s">
        <v>358</v>
      </c>
      <c r="B25" s="138" t="s">
        <v>359</v>
      </c>
      <c r="C25" s="138" t="s">
        <v>360</v>
      </c>
      <c r="D25" s="138" t="s">
        <v>361</v>
      </c>
    </row>
    <row r="26" spans="1:9" x14ac:dyDescent="0.25">
      <c r="A26" s="136">
        <v>1</v>
      </c>
      <c r="B26" s="136">
        <v>4.8872483221476513</v>
      </c>
      <c r="C26" s="136">
        <v>1.1127516778523487</v>
      </c>
      <c r="D26" s="136">
        <v>1.8177555632337312</v>
      </c>
    </row>
    <row r="27" spans="1:9" x14ac:dyDescent="0.25">
      <c r="A27" s="136">
        <v>2</v>
      </c>
      <c r="B27" s="136">
        <v>6.5163310961968683</v>
      </c>
      <c r="C27" s="136">
        <v>0.48366890380313166</v>
      </c>
      <c r="D27" s="136">
        <v>0.79010605703886705</v>
      </c>
    </row>
    <row r="28" spans="1:9" x14ac:dyDescent="0.25">
      <c r="A28" s="136">
        <v>3</v>
      </c>
      <c r="B28" s="136">
        <v>8.1454138702460845</v>
      </c>
      <c r="C28" s="136">
        <v>0.35458612975391546</v>
      </c>
      <c r="D28" s="136">
        <v>0.57924056448039174</v>
      </c>
    </row>
    <row r="29" spans="1:9" x14ac:dyDescent="0.25">
      <c r="A29" s="136">
        <v>4</v>
      </c>
      <c r="B29" s="136">
        <v>9.7744966442953025</v>
      </c>
      <c r="C29" s="136">
        <v>0.22550335570469748</v>
      </c>
      <c r="D29" s="136">
        <v>0.36837507192191343</v>
      </c>
    </row>
    <row r="30" spans="1:9" x14ac:dyDescent="0.25">
      <c r="A30" s="136">
        <v>5</v>
      </c>
      <c r="B30" s="136">
        <v>11.403579418344519</v>
      </c>
      <c r="C30" s="136">
        <v>9.6420581655481286E-2</v>
      </c>
      <c r="D30" s="136">
        <v>0.15750957936343804</v>
      </c>
    </row>
    <row r="31" spans="1:9" x14ac:dyDescent="0.25">
      <c r="A31" s="136">
        <v>6</v>
      </c>
      <c r="B31" s="136">
        <v>13.032662192393737</v>
      </c>
      <c r="C31" s="136">
        <v>-3.2662192393736689E-2</v>
      </c>
      <c r="D31" s="136">
        <v>-5.335591319504026E-2</v>
      </c>
    </row>
    <row r="32" spans="1:9" x14ac:dyDescent="0.25">
      <c r="A32" s="136">
        <v>7</v>
      </c>
      <c r="B32" s="136">
        <v>8.1307552998828179</v>
      </c>
      <c r="C32" s="136">
        <v>-0.13075529988281787</v>
      </c>
      <c r="D32" s="136">
        <v>-0.21359767728503481</v>
      </c>
    </row>
    <row r="33" spans="1:4" x14ac:dyDescent="0.25">
      <c r="A33" s="136">
        <v>8</v>
      </c>
      <c r="B33" s="136">
        <v>9.7598380739320358</v>
      </c>
      <c r="C33" s="136">
        <v>-0.25983807393203584</v>
      </c>
      <c r="D33" s="136">
        <v>-0.42446316984351312</v>
      </c>
    </row>
    <row r="34" spans="1:4" x14ac:dyDescent="0.25">
      <c r="A34" s="136">
        <v>9</v>
      </c>
      <c r="B34" s="136">
        <v>11.388920847981252</v>
      </c>
      <c r="C34" s="136">
        <v>-0.38892084798125204</v>
      </c>
      <c r="D34" s="136">
        <v>-0.63532866240198849</v>
      </c>
    </row>
    <row r="35" spans="1:4" x14ac:dyDescent="0.25">
      <c r="A35" s="136">
        <v>10</v>
      </c>
      <c r="B35" s="136">
        <v>13.01800362203047</v>
      </c>
      <c r="C35" s="136">
        <v>-0.51800362203047001</v>
      </c>
      <c r="D35" s="136">
        <v>-0.84619415496046679</v>
      </c>
    </row>
    <row r="36" spans="1:4" x14ac:dyDescent="0.25">
      <c r="A36" s="136">
        <v>11</v>
      </c>
      <c r="B36" s="136">
        <v>14.647086396079686</v>
      </c>
      <c r="C36" s="136">
        <v>-0.64708639607968621</v>
      </c>
      <c r="D36" s="136">
        <v>-1.0570596475189422</v>
      </c>
    </row>
    <row r="37" spans="1:4" x14ac:dyDescent="0.25">
      <c r="A37" s="136">
        <v>12</v>
      </c>
      <c r="B37" s="136">
        <v>16.276169170128902</v>
      </c>
      <c r="C37" s="136">
        <v>-0.27616917012890241</v>
      </c>
      <c r="D37" s="136">
        <v>-0.45114112644103033</v>
      </c>
    </row>
    <row r="38" spans="1:4" x14ac:dyDescent="0.25">
      <c r="A38" s="136">
        <v>13</v>
      </c>
      <c r="B38" s="136">
        <v>11.374262277617985</v>
      </c>
      <c r="C38" s="136">
        <v>-0.37426227761798536</v>
      </c>
      <c r="D38" s="136">
        <v>-0.61138289053102779</v>
      </c>
    </row>
    <row r="39" spans="1:4" x14ac:dyDescent="0.25">
      <c r="A39" s="136">
        <v>14</v>
      </c>
      <c r="B39" s="136">
        <v>13.003345051667203</v>
      </c>
      <c r="C39" s="136">
        <v>-0.50334505166720334</v>
      </c>
      <c r="D39" s="136">
        <v>-0.8222483830895061</v>
      </c>
    </row>
    <row r="40" spans="1:4" x14ac:dyDescent="0.25">
      <c r="A40" s="136">
        <v>15</v>
      </c>
      <c r="B40" s="136">
        <v>14.63242782571642</v>
      </c>
      <c r="C40" s="136">
        <v>-0.63242782571641953</v>
      </c>
      <c r="D40" s="136">
        <v>-1.0331138756479814</v>
      </c>
    </row>
    <row r="41" spans="1:4" x14ac:dyDescent="0.25">
      <c r="A41" s="136">
        <v>16</v>
      </c>
      <c r="B41" s="136">
        <v>16.261510599765636</v>
      </c>
      <c r="C41" s="136">
        <v>-0.76151059976563573</v>
      </c>
      <c r="D41" s="136">
        <v>-1.2439793682064568</v>
      </c>
    </row>
    <row r="42" spans="1:4" x14ac:dyDescent="0.25">
      <c r="A42" s="136">
        <v>17</v>
      </c>
      <c r="B42" s="136">
        <v>17.890593373814852</v>
      </c>
      <c r="C42" s="136">
        <v>-0.39059337381485193</v>
      </c>
      <c r="D42" s="136">
        <v>-0.63806084712854505</v>
      </c>
    </row>
    <row r="43" spans="1:4" x14ac:dyDescent="0.25">
      <c r="A43" s="136">
        <v>18</v>
      </c>
      <c r="B43" s="136">
        <v>19.519676147864072</v>
      </c>
      <c r="C43" s="136">
        <v>-1.967614786407168E-2</v>
      </c>
      <c r="D43" s="136">
        <v>-3.2142326050638992E-2</v>
      </c>
    </row>
    <row r="44" spans="1:4" x14ac:dyDescent="0.25">
      <c r="A44" s="136">
        <v>19</v>
      </c>
      <c r="B44" s="136">
        <v>17.861276233088319</v>
      </c>
      <c r="C44" s="136">
        <v>-0.36127623308831858</v>
      </c>
      <c r="D44" s="136">
        <v>-0.59016930338662366</v>
      </c>
    </row>
    <row r="45" spans="1:4" x14ac:dyDescent="0.25">
      <c r="A45" s="136">
        <v>20</v>
      </c>
      <c r="B45" s="136">
        <v>19.490359007137535</v>
      </c>
      <c r="C45" s="136">
        <v>-0.49035900713753477</v>
      </c>
      <c r="D45" s="136">
        <v>-0.80103479594509897</v>
      </c>
    </row>
    <row r="46" spans="1:4" x14ac:dyDescent="0.25">
      <c r="A46" s="136">
        <v>21</v>
      </c>
      <c r="B46" s="136">
        <v>21.119441781186751</v>
      </c>
      <c r="C46" s="136">
        <v>-0.11944178118675097</v>
      </c>
      <c r="D46" s="136">
        <v>-0.19511627486718716</v>
      </c>
    </row>
    <row r="47" spans="1:4" x14ac:dyDescent="0.25">
      <c r="A47" s="136">
        <v>22</v>
      </c>
      <c r="B47" s="136">
        <v>22.748524555235971</v>
      </c>
      <c r="C47" s="136">
        <v>0.25147544476402928</v>
      </c>
      <c r="D47" s="136">
        <v>0.41080224621071887</v>
      </c>
    </row>
    <row r="48" spans="1:4" x14ac:dyDescent="0.25">
      <c r="A48" s="136">
        <v>23</v>
      </c>
      <c r="B48" s="136">
        <v>24.377607329285187</v>
      </c>
      <c r="C48" s="136">
        <v>0.62239267071481308</v>
      </c>
      <c r="D48" s="136">
        <v>1.0167207672886307</v>
      </c>
    </row>
    <row r="49" spans="1:4" ht="15.75" thickBot="1" x14ac:dyDescent="0.3">
      <c r="A49" s="137">
        <v>24</v>
      </c>
      <c r="B49" s="137">
        <v>26.006690103334407</v>
      </c>
      <c r="C49" s="137">
        <v>1.9933098966655933</v>
      </c>
      <c r="D49" s="137">
        <v>3.2562073156393114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references</vt:lpstr>
      <vt:lpstr>default</vt:lpstr>
      <vt:lpstr>Antal djur</vt:lpstr>
      <vt:lpstr>Foderstater</vt:lpstr>
      <vt:lpstr>G&amp;D slakt</vt:lpstr>
      <vt:lpstr>G&amp;D slakt (ny)</vt:lpstr>
      <vt:lpstr>G&amp;D sammanställning</vt:lpstr>
      <vt:lpstr>Växa slakt</vt:lpstr>
      <vt:lpstr>Invägd mjölk</vt:lpstr>
      <vt:lpstr>Energy req.</vt:lpstr>
      <vt:lpstr>LW</vt:lpstr>
      <vt:lpstr>LW int=0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2023-01-11T08:28:08Z</dcterms:created>
  <dcterms:modified xsi:type="dcterms:W3CDTF">2024-11-25T14:22:22Z</dcterms:modified>
</cp:coreProperties>
</file>