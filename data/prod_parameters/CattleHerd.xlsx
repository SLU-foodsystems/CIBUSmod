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Documents\#1 Projekt\MISTRA Food Futures WP5\CIBUSmod Food Systems Model\CIBUSmod\data\prod_parameters\"/>
    </mc:Choice>
  </mc:AlternateContent>
  <bookViews>
    <workbookView xWindow="0" yWindow="0" windowWidth="19020" windowHeight="6705" tabRatio="846" activeTab="1"/>
  </bookViews>
  <sheets>
    <sheet name="references" sheetId="13" r:id="rId1"/>
    <sheet name="default" sheetId="1" r:id="rId2"/>
    <sheet name="scn_baseline" sheetId="2" r:id="rId3"/>
    <sheet name="Antal djur" sheetId="8" r:id="rId4"/>
    <sheet name="Foderstater" sheetId="21" r:id="rId5"/>
    <sheet name="G&amp;D slakt" sheetId="9" r:id="rId6"/>
    <sheet name="G&amp;D sammanställning" sheetId="10" r:id="rId7"/>
    <sheet name="Växa slakt" sheetId="11" r:id="rId8"/>
    <sheet name="Invägd mjölk" sheetId="12" r:id="rId9"/>
    <sheet name="Energy req." sheetId="14" r:id="rId10"/>
    <sheet name="LW" sheetId="20" r:id="rId11"/>
    <sheet name="LW int=0" sheetId="19" r:id="rId12"/>
  </sheets>
  <definedNames>
    <definedName name="_xlnm._FilterDatabase" localSheetId="5" hidden="1">'G&amp;D slakt'!$A$1:$H$421</definedName>
    <definedName name="solver_adj" localSheetId="3" hidden="1">'Antal djur'!$P$39:$P$40,'Antal djur'!$T$36:$T$37,'Antal djur'!$AM$39:$AM$40,'Antal djur'!$AQ$36:$AQ$37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'Antal djur'!#REF!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62913"/>
  <pivotCaches>
    <pivotCache cacheId="0" r:id="rId13"/>
  </pivotCaches>
</workbook>
</file>

<file path=xl/calcChain.xml><?xml version="1.0" encoding="utf-8"?>
<calcChain xmlns="http://schemas.openxmlformats.org/spreadsheetml/2006/main">
  <c r="I12" i="1" l="1"/>
  <c r="E2" i="2" l="1"/>
  <c r="F2" i="2" s="1"/>
  <c r="G2" i="2" s="1"/>
  <c r="H2" i="2" s="1"/>
  <c r="I2" i="2" s="1"/>
  <c r="J2" i="2" s="1"/>
  <c r="AN37" i="8" l="1"/>
  <c r="AM37" i="8"/>
  <c r="P37" i="8"/>
  <c r="Q37" i="8"/>
  <c r="I423" i="1" l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50" i="1"/>
  <c r="N90" i="21"/>
  <c r="N91" i="21"/>
  <c r="N92" i="21"/>
  <c r="N87" i="21"/>
  <c r="N88" i="21"/>
  <c r="N89" i="21"/>
  <c r="N85" i="21"/>
  <c r="N86" i="21"/>
  <c r="N82" i="21"/>
  <c r="N83" i="21"/>
  <c r="N84" i="21"/>
  <c r="N80" i="21"/>
  <c r="N81" i="21"/>
  <c r="N79" i="21"/>
  <c r="N73" i="21"/>
  <c r="N74" i="21"/>
  <c r="N75" i="21"/>
  <c r="N76" i="21"/>
  <c r="N77" i="21"/>
  <c r="N78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72" i="21"/>
  <c r="H73" i="21"/>
  <c r="H74" i="21"/>
  <c r="H75" i="21"/>
  <c r="H76" i="21"/>
  <c r="H94" i="21" s="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72" i="21"/>
  <c r="V85" i="21"/>
  <c r="W85" i="21"/>
  <c r="X85" i="21"/>
  <c r="Y85" i="21"/>
  <c r="AA85" i="21"/>
  <c r="AB85" i="21"/>
  <c r="AD85" i="21"/>
  <c r="U85" i="21"/>
  <c r="AA56" i="21"/>
  <c r="AB56" i="21"/>
  <c r="AD56" i="21"/>
  <c r="AA57" i="21"/>
  <c r="AB57" i="21"/>
  <c r="AD57" i="21"/>
  <c r="AA58" i="21"/>
  <c r="AB58" i="21"/>
  <c r="AD58" i="21"/>
  <c r="AA59" i="21"/>
  <c r="AB59" i="21"/>
  <c r="AD59" i="21"/>
  <c r="AA60" i="21"/>
  <c r="AB60" i="21"/>
  <c r="AD60" i="21"/>
  <c r="AA61" i="21"/>
  <c r="AB61" i="21"/>
  <c r="AD61" i="21"/>
  <c r="AA62" i="21"/>
  <c r="AB62" i="21"/>
  <c r="AD62" i="21"/>
  <c r="AA63" i="21"/>
  <c r="AB63" i="21"/>
  <c r="AD63" i="21"/>
  <c r="AA64" i="21"/>
  <c r="AB64" i="21"/>
  <c r="AD64" i="21"/>
  <c r="AA65" i="21"/>
  <c r="AB65" i="21"/>
  <c r="AD65" i="21"/>
  <c r="AA66" i="21"/>
  <c r="AB66" i="21"/>
  <c r="AD66" i="21"/>
  <c r="AA67" i="21"/>
  <c r="AB67" i="21"/>
  <c r="AD67" i="21"/>
  <c r="AA68" i="21"/>
  <c r="AB68" i="21"/>
  <c r="AD68" i="21"/>
  <c r="AA69" i="21"/>
  <c r="AB69" i="21"/>
  <c r="AD69" i="21"/>
  <c r="AA70" i="21"/>
  <c r="AB70" i="21"/>
  <c r="AD70" i="21"/>
  <c r="AA71" i="21"/>
  <c r="AB71" i="21"/>
  <c r="AD71" i="21"/>
  <c r="AA72" i="21"/>
  <c r="AB72" i="21"/>
  <c r="AD72" i="21"/>
  <c r="AA73" i="21"/>
  <c r="AB73" i="21"/>
  <c r="AD73" i="21"/>
  <c r="AA74" i="21"/>
  <c r="AB74" i="21"/>
  <c r="AD74" i="21"/>
  <c r="AA75" i="21"/>
  <c r="AB75" i="21"/>
  <c r="AD75" i="21"/>
  <c r="AA76" i="21"/>
  <c r="AB76" i="21"/>
  <c r="AD76" i="21"/>
  <c r="AA77" i="21"/>
  <c r="AB77" i="21"/>
  <c r="AD77" i="21"/>
  <c r="AA78" i="21"/>
  <c r="AB78" i="21"/>
  <c r="AD78" i="21"/>
  <c r="AA79" i="21"/>
  <c r="AB79" i="21"/>
  <c r="AD79" i="21"/>
  <c r="AA80" i="21"/>
  <c r="AB80" i="21"/>
  <c r="AD80" i="21"/>
  <c r="AA81" i="21"/>
  <c r="AB81" i="21"/>
  <c r="AD81" i="21"/>
  <c r="AA82" i="21"/>
  <c r="AB82" i="21"/>
  <c r="AD82" i="21"/>
  <c r="AA83" i="21"/>
  <c r="AB83" i="21"/>
  <c r="AD83" i="21"/>
  <c r="AA55" i="21"/>
  <c r="AB55" i="21"/>
  <c r="AC55" i="21"/>
  <c r="AD55" i="21"/>
  <c r="V56" i="21"/>
  <c r="W56" i="21"/>
  <c r="X56" i="21"/>
  <c r="Y56" i="21"/>
  <c r="V57" i="21"/>
  <c r="W57" i="21"/>
  <c r="X57" i="21"/>
  <c r="Y57" i="21"/>
  <c r="V58" i="21"/>
  <c r="W58" i="21"/>
  <c r="X58" i="21"/>
  <c r="Y58" i="21"/>
  <c r="V59" i="21"/>
  <c r="W59" i="21"/>
  <c r="X59" i="21"/>
  <c r="Y59" i="21"/>
  <c r="V60" i="21"/>
  <c r="W60" i="21"/>
  <c r="X60" i="21"/>
  <c r="Y60" i="21"/>
  <c r="V61" i="21"/>
  <c r="W61" i="21"/>
  <c r="X61" i="21"/>
  <c r="Y61" i="21"/>
  <c r="V62" i="21"/>
  <c r="W62" i="21"/>
  <c r="X62" i="21"/>
  <c r="Y62" i="21"/>
  <c r="V63" i="21"/>
  <c r="W63" i="21"/>
  <c r="X63" i="21"/>
  <c r="Y63" i="21"/>
  <c r="V64" i="21"/>
  <c r="W64" i="21"/>
  <c r="X64" i="21"/>
  <c r="Y64" i="21"/>
  <c r="V65" i="21"/>
  <c r="W65" i="21"/>
  <c r="X65" i="21"/>
  <c r="Y65" i="21"/>
  <c r="V66" i="21"/>
  <c r="W66" i="21"/>
  <c r="X66" i="21"/>
  <c r="Y66" i="21"/>
  <c r="V67" i="21"/>
  <c r="W67" i="21"/>
  <c r="X67" i="21"/>
  <c r="Y67" i="21"/>
  <c r="V68" i="21"/>
  <c r="W68" i="21"/>
  <c r="X68" i="21"/>
  <c r="Y68" i="21"/>
  <c r="V69" i="21"/>
  <c r="W69" i="21"/>
  <c r="X69" i="21"/>
  <c r="Y69" i="21"/>
  <c r="V70" i="21"/>
  <c r="W70" i="21"/>
  <c r="X70" i="21"/>
  <c r="Y70" i="21"/>
  <c r="V71" i="21"/>
  <c r="W71" i="21"/>
  <c r="X71" i="21"/>
  <c r="Y71" i="21"/>
  <c r="V72" i="21"/>
  <c r="W72" i="21"/>
  <c r="X72" i="21"/>
  <c r="Y72" i="21"/>
  <c r="V73" i="21"/>
  <c r="W73" i="21"/>
  <c r="X73" i="21"/>
  <c r="Y73" i="21"/>
  <c r="V74" i="21"/>
  <c r="W74" i="21"/>
  <c r="X74" i="21"/>
  <c r="Y74" i="21"/>
  <c r="V75" i="21"/>
  <c r="W75" i="21"/>
  <c r="X75" i="21"/>
  <c r="Y75" i="21"/>
  <c r="V76" i="21"/>
  <c r="W76" i="21"/>
  <c r="X76" i="21"/>
  <c r="Y76" i="21"/>
  <c r="V77" i="21"/>
  <c r="W77" i="21"/>
  <c r="X77" i="21"/>
  <c r="Y77" i="21"/>
  <c r="V78" i="21"/>
  <c r="W78" i="21"/>
  <c r="X78" i="21"/>
  <c r="Y78" i="21"/>
  <c r="V79" i="21"/>
  <c r="W79" i="21"/>
  <c r="X79" i="21"/>
  <c r="Y79" i="21"/>
  <c r="V80" i="21"/>
  <c r="W80" i="21"/>
  <c r="X80" i="21"/>
  <c r="Y80" i="21"/>
  <c r="V81" i="21"/>
  <c r="W81" i="21"/>
  <c r="X81" i="21"/>
  <c r="Y81" i="21"/>
  <c r="V82" i="21"/>
  <c r="W82" i="21"/>
  <c r="X82" i="21"/>
  <c r="Y82" i="21"/>
  <c r="V83" i="21"/>
  <c r="W83" i="21"/>
  <c r="X83" i="21"/>
  <c r="Y83" i="21"/>
  <c r="U83" i="21"/>
  <c r="U82" i="21"/>
  <c r="U81" i="21"/>
  <c r="U80" i="21"/>
  <c r="U79" i="21"/>
  <c r="U78" i="21"/>
  <c r="U77" i="21"/>
  <c r="U76" i="21"/>
  <c r="U75" i="21"/>
  <c r="U74" i="21"/>
  <c r="U73" i="21"/>
  <c r="U72" i="21"/>
  <c r="U71" i="21"/>
  <c r="U70" i="21"/>
  <c r="U69" i="21"/>
  <c r="U68" i="21"/>
  <c r="U67" i="21"/>
  <c r="U66" i="21"/>
  <c r="U65" i="21"/>
  <c r="U64" i="21"/>
  <c r="U63" i="21"/>
  <c r="U62" i="21"/>
  <c r="L70" i="21"/>
  <c r="L69" i="21"/>
  <c r="J70" i="21"/>
  <c r="J69" i="21"/>
  <c r="I70" i="21"/>
  <c r="I69" i="21"/>
  <c r="G70" i="21"/>
  <c r="G69" i="21"/>
  <c r="F70" i="21"/>
  <c r="F69" i="21"/>
  <c r="K66" i="21"/>
  <c r="K65" i="21"/>
  <c r="K64" i="21"/>
  <c r="K63" i="21"/>
  <c r="K94" i="21" s="1"/>
  <c r="AC72" i="21" s="1"/>
  <c r="H64" i="21"/>
  <c r="H65" i="21"/>
  <c r="H66" i="21"/>
  <c r="H63" i="21"/>
  <c r="L66" i="21"/>
  <c r="L65" i="21"/>
  <c r="L64" i="21"/>
  <c r="L63" i="21"/>
  <c r="J66" i="21"/>
  <c r="J65" i="21"/>
  <c r="J64" i="21"/>
  <c r="J63" i="21"/>
  <c r="I66" i="21"/>
  <c r="I65" i="21"/>
  <c r="I64" i="21"/>
  <c r="I63" i="21"/>
  <c r="G66" i="21"/>
  <c r="G65" i="21"/>
  <c r="G64" i="21"/>
  <c r="G63" i="21"/>
  <c r="F64" i="21"/>
  <c r="F65" i="21"/>
  <c r="F66" i="21"/>
  <c r="H62" i="21"/>
  <c r="H61" i="21"/>
  <c r="K61" i="21"/>
  <c r="K71" i="21"/>
  <c r="K62" i="21"/>
  <c r="K59" i="21"/>
  <c r="K60" i="21"/>
  <c r="K57" i="21"/>
  <c r="K56" i="21"/>
  <c r="H71" i="21"/>
  <c r="H60" i="21"/>
  <c r="H57" i="21"/>
  <c r="H56" i="21"/>
  <c r="F56" i="21"/>
  <c r="Y19" i="21"/>
  <c r="X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W19" i="21"/>
  <c r="AC82" i="21" l="1"/>
  <c r="AC80" i="21"/>
  <c r="AC78" i="21"/>
  <c r="AC76" i="21"/>
  <c r="AC75" i="21"/>
  <c r="AC74" i="21"/>
  <c r="AC73" i="21"/>
  <c r="AC71" i="21"/>
  <c r="AC70" i="21"/>
  <c r="AC69" i="21"/>
  <c r="AC68" i="21"/>
  <c r="AC67" i="21"/>
  <c r="AC66" i="21"/>
  <c r="AC65" i="21"/>
  <c r="AC64" i="21"/>
  <c r="AC63" i="21"/>
  <c r="AC62" i="21"/>
  <c r="AC61" i="21"/>
  <c r="AC60" i="21"/>
  <c r="AC59" i="21"/>
  <c r="AC58" i="21"/>
  <c r="AC57" i="21"/>
  <c r="AC56" i="21"/>
  <c r="AC83" i="21"/>
  <c r="AC81" i="21"/>
  <c r="AC79" i="21"/>
  <c r="AC77" i="21"/>
  <c r="Z58" i="21"/>
  <c r="Z76" i="21"/>
  <c r="Z80" i="21"/>
  <c r="Z63" i="21"/>
  <c r="Z72" i="21"/>
  <c r="Z81" i="21"/>
  <c r="Z68" i="21"/>
  <c r="Z83" i="21"/>
  <c r="Z79" i="21"/>
  <c r="Z75" i="21"/>
  <c r="Z71" i="21"/>
  <c r="Z67" i="21"/>
  <c r="Z62" i="21"/>
  <c r="Z56" i="21"/>
  <c r="Z82" i="21"/>
  <c r="Z78" i="21"/>
  <c r="Z74" i="21"/>
  <c r="Z70" i="21"/>
  <c r="Z66" i="21"/>
  <c r="Z59" i="21"/>
  <c r="Z77" i="21"/>
  <c r="Z73" i="21"/>
  <c r="Z69" i="21"/>
  <c r="Z65" i="21"/>
  <c r="Z61" i="21"/>
  <c r="Z57" i="21"/>
  <c r="Z64" i="21"/>
  <c r="Z60" i="21"/>
  <c r="AC85" i="21" l="1"/>
  <c r="Z85" i="21"/>
  <c r="P35" i="21" l="1"/>
  <c r="R35" i="21" s="1"/>
  <c r="P34" i="21"/>
  <c r="R34" i="21" s="1"/>
  <c r="P27" i="21"/>
  <c r="R27" i="21" s="1"/>
  <c r="P28" i="21"/>
  <c r="R28" i="21" s="1"/>
  <c r="P29" i="21"/>
  <c r="R29" i="21" s="1"/>
  <c r="P26" i="21"/>
  <c r="R26" i="21" s="1"/>
  <c r="C33" i="21"/>
  <c r="E33" i="21" s="1"/>
  <c r="C32" i="21"/>
  <c r="E32" i="21" s="1"/>
  <c r="C31" i="21"/>
  <c r="E31" i="21" s="1"/>
  <c r="C30" i="21"/>
  <c r="E30" i="21" s="1"/>
  <c r="C29" i="21"/>
  <c r="E29" i="21" s="1"/>
  <c r="C28" i="21"/>
  <c r="C45" i="21"/>
  <c r="E45" i="21" s="1"/>
  <c r="C44" i="21"/>
  <c r="E44" i="21" s="1"/>
  <c r="C41" i="21"/>
  <c r="E41" i="21" s="1"/>
  <c r="C40" i="21"/>
  <c r="E40" i="21" s="1"/>
  <c r="C39" i="21"/>
  <c r="E39" i="21" s="1"/>
  <c r="C38" i="21"/>
  <c r="E38" i="21" s="1"/>
  <c r="C37" i="21"/>
  <c r="E37" i="21" s="1"/>
  <c r="C36" i="21"/>
  <c r="E36" i="21" s="1"/>
  <c r="C35" i="21"/>
  <c r="E35" i="21" s="1"/>
  <c r="C34" i="21"/>
  <c r="E34" i="21" s="1"/>
  <c r="G47" i="21"/>
  <c r="G46" i="21"/>
  <c r="G43" i="21"/>
  <c r="G42" i="21"/>
  <c r="C27" i="21"/>
  <c r="E27" i="21" s="1"/>
  <c r="Z55" i="21"/>
  <c r="X55" i="21"/>
  <c r="W55" i="21"/>
  <c r="V55" i="21"/>
  <c r="U55" i="21"/>
  <c r="Q27" i="21" l="1"/>
  <c r="S26" i="21"/>
  <c r="S34" i="21"/>
  <c r="C46" i="21"/>
  <c r="E46" i="21" s="1"/>
  <c r="S28" i="21"/>
  <c r="S29" i="21"/>
  <c r="S27" i="21"/>
  <c r="C42" i="21"/>
  <c r="E42" i="21" s="1"/>
  <c r="Q34" i="21"/>
  <c r="C43" i="21"/>
  <c r="E43" i="21" s="1"/>
  <c r="C47" i="21"/>
  <c r="E47" i="21" s="1"/>
  <c r="S35" i="21"/>
  <c r="Q35" i="21"/>
  <c r="E28" i="21"/>
  <c r="Q26" i="21"/>
  <c r="Q28" i="21"/>
  <c r="Q29" i="21"/>
  <c r="D33" i="21" l="1"/>
  <c r="D29" i="21"/>
  <c r="D28" i="21"/>
  <c r="D32" i="21"/>
  <c r="D30" i="21"/>
  <c r="D31" i="21"/>
  <c r="F33" i="21"/>
  <c r="F29" i="21"/>
  <c r="F30" i="21"/>
  <c r="F32" i="21"/>
  <c r="F28" i="21"/>
  <c r="F31" i="21"/>
  <c r="Y55" i="21" l="1"/>
  <c r="I57" i="21"/>
  <c r="L71" i="21"/>
  <c r="J71" i="21"/>
  <c r="I71" i="21"/>
  <c r="F71" i="21"/>
  <c r="L68" i="21"/>
  <c r="J68" i="21"/>
  <c r="I68" i="21"/>
  <c r="G68" i="21"/>
  <c r="F68" i="21"/>
  <c r="J62" i="21"/>
  <c r="I62" i="21"/>
  <c r="G62" i="21"/>
  <c r="F62" i="21"/>
  <c r="L62" i="21"/>
  <c r="L59" i="21"/>
  <c r="G59" i="21"/>
  <c r="L56" i="21"/>
  <c r="G56" i="21"/>
  <c r="J56" i="21"/>
  <c r="I61" i="21"/>
  <c r="E57" i="21"/>
  <c r="D57" i="21"/>
  <c r="E61" i="21"/>
  <c r="D61" i="21"/>
  <c r="C61" i="21"/>
  <c r="C57" i="21"/>
  <c r="C60" i="21"/>
  <c r="C58" i="21"/>
  <c r="N72" i="21"/>
  <c r="F63" i="21" l="1"/>
  <c r="L75" i="21"/>
  <c r="L76" i="21"/>
  <c r="L74" i="21"/>
  <c r="L77" i="21"/>
  <c r="L73" i="21"/>
  <c r="L78" i="21"/>
  <c r="F73" i="21"/>
  <c r="F75" i="21"/>
  <c r="F78" i="21"/>
  <c r="F76" i="21"/>
  <c r="F74" i="21"/>
  <c r="F77" i="21"/>
  <c r="I77" i="21"/>
  <c r="I73" i="21"/>
  <c r="I74" i="21"/>
  <c r="I76" i="21"/>
  <c r="I75" i="21"/>
  <c r="I78" i="21"/>
  <c r="J74" i="21"/>
  <c r="J78" i="21"/>
  <c r="J77" i="21"/>
  <c r="J73" i="21"/>
  <c r="J76" i="21"/>
  <c r="J75" i="21"/>
  <c r="D45" i="21"/>
  <c r="E94" i="21"/>
  <c r="D94" i="21"/>
  <c r="C94" i="21"/>
  <c r="F46" i="21"/>
  <c r="I91" i="21" s="1"/>
  <c r="D36" i="21"/>
  <c r="F36" i="21"/>
  <c r="F47" i="21"/>
  <c r="I92" i="21" s="1"/>
  <c r="F43" i="21"/>
  <c r="D35" i="21"/>
  <c r="D44" i="21"/>
  <c r="D38" i="21"/>
  <c r="D27" i="21"/>
  <c r="F45" i="21"/>
  <c r="F41" i="21"/>
  <c r="F39" i="21"/>
  <c r="F35" i="21"/>
  <c r="D47" i="21"/>
  <c r="D43" i="21"/>
  <c r="D40" i="21"/>
  <c r="D37" i="21"/>
  <c r="F27" i="21"/>
  <c r="F44" i="21"/>
  <c r="F38" i="21"/>
  <c r="D46" i="21"/>
  <c r="D42" i="21"/>
  <c r="D34" i="21"/>
  <c r="F40" i="21"/>
  <c r="F37" i="21"/>
  <c r="D41" i="21"/>
  <c r="D39" i="21"/>
  <c r="F42" i="21"/>
  <c r="I87" i="21" s="1"/>
  <c r="F34" i="21"/>
  <c r="J91" i="21" l="1"/>
  <c r="G94" i="21"/>
  <c r="F79" i="21"/>
  <c r="L79" i="21"/>
  <c r="I89" i="21"/>
  <c r="L89" i="21"/>
  <c r="F89" i="21"/>
  <c r="J86" i="21"/>
  <c r="L86" i="21"/>
  <c r="F86" i="21"/>
  <c r="F92" i="21"/>
  <c r="L92" i="21"/>
  <c r="U56" i="21"/>
  <c r="U59" i="21"/>
  <c r="U60" i="21"/>
  <c r="U61" i="21"/>
  <c r="L87" i="21"/>
  <c r="F87" i="21"/>
  <c r="F72" i="21"/>
  <c r="L72" i="21"/>
  <c r="J90" i="21"/>
  <c r="L90" i="21"/>
  <c r="F90" i="21"/>
  <c r="F81" i="21"/>
  <c r="L81" i="21"/>
  <c r="U57" i="21"/>
  <c r="L82" i="21"/>
  <c r="F82" i="21"/>
  <c r="J80" i="21"/>
  <c r="L80" i="21"/>
  <c r="U58" i="21"/>
  <c r="L85" i="21"/>
  <c r="F85" i="21"/>
  <c r="I83" i="21"/>
  <c r="L83" i="21"/>
  <c r="F83" i="21"/>
  <c r="J84" i="21"/>
  <c r="L84" i="21"/>
  <c r="F84" i="21"/>
  <c r="F88" i="21"/>
  <c r="L88" i="21"/>
  <c r="L91" i="21"/>
  <c r="F91" i="21"/>
  <c r="F80" i="21"/>
  <c r="I85" i="21"/>
  <c r="J79" i="21"/>
  <c r="I82" i="21"/>
  <c r="I81" i="21"/>
  <c r="J81" i="21"/>
  <c r="I72" i="21"/>
  <c r="I79" i="21"/>
  <c r="I90" i="21"/>
  <c r="J87" i="21"/>
  <c r="J72" i="21"/>
  <c r="I88" i="21"/>
  <c r="J92" i="21"/>
  <c r="J89" i="21"/>
  <c r="J82" i="21"/>
  <c r="J88" i="21"/>
  <c r="I84" i="21"/>
  <c r="I86" i="21"/>
  <c r="J85" i="21"/>
  <c r="J83" i="21"/>
  <c r="I80" i="21"/>
  <c r="L94" i="21" l="1"/>
  <c r="F94" i="21"/>
  <c r="I94" i="21"/>
  <c r="J94" i="21"/>
  <c r="I134" i="1" l="1"/>
  <c r="I133" i="1"/>
  <c r="I99" i="8" l="1"/>
  <c r="J99" i="8"/>
  <c r="I100" i="8"/>
  <c r="J100" i="8"/>
  <c r="I101" i="8"/>
  <c r="J101" i="8"/>
  <c r="I102" i="8"/>
  <c r="J102" i="8"/>
  <c r="J98" i="8"/>
  <c r="I98" i="8"/>
  <c r="D103" i="8"/>
  <c r="C103" i="8"/>
  <c r="E102" i="8"/>
  <c r="E101" i="8"/>
  <c r="E100" i="8"/>
  <c r="E99" i="8"/>
  <c r="E98" i="8"/>
  <c r="G103" i="8"/>
  <c r="F103" i="8"/>
  <c r="H99" i="8"/>
  <c r="H100" i="8"/>
  <c r="H101" i="8"/>
  <c r="H102" i="8"/>
  <c r="H98" i="8"/>
  <c r="E103" i="8" l="1"/>
  <c r="E104" i="8" s="1"/>
  <c r="K98" i="8"/>
  <c r="K102" i="8"/>
  <c r="J103" i="8"/>
  <c r="K101" i="8"/>
  <c r="I103" i="8"/>
  <c r="K100" i="8"/>
  <c r="H103" i="8"/>
  <c r="H104" i="8" s="1"/>
  <c r="K99" i="8"/>
  <c r="T18" i="14"/>
  <c r="V32" i="14"/>
  <c r="U32" i="14"/>
  <c r="T32" i="14"/>
  <c r="S32" i="14"/>
  <c r="V31" i="14"/>
  <c r="U31" i="14"/>
  <c r="T31" i="14"/>
  <c r="S31" i="14"/>
  <c r="V30" i="14"/>
  <c r="U30" i="14"/>
  <c r="T30" i="14"/>
  <c r="S30" i="14"/>
  <c r="V29" i="14"/>
  <c r="U29" i="14"/>
  <c r="T29" i="14"/>
  <c r="S29" i="14"/>
  <c r="V28" i="14"/>
  <c r="U28" i="14"/>
  <c r="T28" i="14"/>
  <c r="S28" i="14"/>
  <c r="V27" i="14"/>
  <c r="U27" i="14"/>
  <c r="T27" i="14"/>
  <c r="S27" i="14"/>
  <c r="K103" i="8" l="1"/>
  <c r="K104" i="8" s="1"/>
  <c r="I57" i="1"/>
  <c r="I48" i="1"/>
  <c r="I60" i="1"/>
  <c r="I61" i="1"/>
  <c r="I62" i="1"/>
  <c r="I59" i="1"/>
  <c r="I58" i="1" s="1"/>
  <c r="I55" i="1"/>
  <c r="I46" i="1" l="1"/>
  <c r="V22" i="14"/>
  <c r="U22" i="14"/>
  <c r="T22" i="14"/>
  <c r="S22" i="14"/>
  <c r="V21" i="14"/>
  <c r="U21" i="14"/>
  <c r="T21" i="14"/>
  <c r="S21" i="14"/>
  <c r="V20" i="14"/>
  <c r="U20" i="14"/>
  <c r="T20" i="14"/>
  <c r="S20" i="14"/>
  <c r="V19" i="14"/>
  <c r="U19" i="14"/>
  <c r="T19" i="14"/>
  <c r="S19" i="14"/>
  <c r="V18" i="14"/>
  <c r="U18" i="14"/>
  <c r="S18" i="14"/>
  <c r="V17" i="14"/>
  <c r="U17" i="14"/>
  <c r="T17" i="14"/>
  <c r="S17" i="14"/>
  <c r="AC28" i="14"/>
  <c r="AC27" i="14"/>
  <c r="AC26" i="14"/>
  <c r="AC25" i="14"/>
  <c r="AC24" i="14"/>
  <c r="AC23" i="14"/>
  <c r="AC22" i="14"/>
  <c r="AC21" i="14"/>
  <c r="AC20" i="14"/>
  <c r="AC19" i="14"/>
  <c r="AC18" i="14"/>
  <c r="AC17" i="14"/>
  <c r="AC16" i="14"/>
  <c r="AC15" i="14"/>
  <c r="AC14" i="14"/>
  <c r="AC13" i="14"/>
  <c r="AC12" i="14"/>
  <c r="AC11" i="14"/>
  <c r="AC10" i="14"/>
  <c r="AC9" i="14"/>
  <c r="AC8" i="14"/>
  <c r="AC7" i="14"/>
  <c r="AC6" i="14"/>
  <c r="AC5" i="14"/>
  <c r="N4" i="14" l="1"/>
  <c r="M4" i="14"/>
  <c r="N7" i="14"/>
  <c r="M7" i="14"/>
  <c r="L7" i="14"/>
  <c r="K7" i="14"/>
  <c r="J7" i="14"/>
  <c r="N6" i="14"/>
  <c r="M6" i="14"/>
  <c r="L6" i="14"/>
  <c r="K6" i="14"/>
  <c r="J6" i="14"/>
  <c r="N5" i="14"/>
  <c r="M5" i="14"/>
  <c r="L5" i="14"/>
  <c r="K5" i="14"/>
  <c r="J5" i="14"/>
  <c r="L4" i="14"/>
  <c r="K4" i="14"/>
  <c r="J4" i="14"/>
  <c r="I53" i="1" l="1"/>
  <c r="I52" i="1"/>
  <c r="I51" i="1"/>
  <c r="I50" i="1"/>
  <c r="I49" i="1" s="1"/>
  <c r="AE66" i="8" l="1"/>
  <c r="AE68" i="8"/>
  <c r="AE69" i="8"/>
  <c r="AE70" i="8"/>
  <c r="AE71" i="8"/>
  <c r="AE72" i="8"/>
  <c r="AE73" i="8"/>
  <c r="AE65" i="8"/>
  <c r="AN36" i="8"/>
  <c r="AM36" i="8"/>
  <c r="Q36" i="8"/>
  <c r="P36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D75" i="8"/>
  <c r="AD75" i="8" s="1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D76" i="8"/>
  <c r="AD76" i="8" s="1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D67" i="8"/>
  <c r="AD67" i="8" s="1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D74" i="8"/>
  <c r="AD74" i="8" s="1"/>
  <c r="AE76" i="8" l="1"/>
  <c r="AE75" i="8"/>
  <c r="AE67" i="8"/>
  <c r="AE74" i="8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14" i="12"/>
  <c r="O9" i="12"/>
  <c r="I4" i="1"/>
  <c r="I7" i="1"/>
  <c r="N19" i="12"/>
  <c r="O19" i="12"/>
  <c r="I21" i="12"/>
  <c r="I37" i="12"/>
  <c r="H15" i="12"/>
  <c r="I20" i="12" s="1"/>
  <c r="H16" i="12"/>
  <c r="H17" i="12"/>
  <c r="H18" i="12"/>
  <c r="H19" i="12"/>
  <c r="H20" i="12"/>
  <c r="H21" i="12"/>
  <c r="H22" i="12"/>
  <c r="I22" i="12" s="1"/>
  <c r="H23" i="12"/>
  <c r="H24" i="12"/>
  <c r="H25" i="12"/>
  <c r="I25" i="12" s="1"/>
  <c r="H26" i="12"/>
  <c r="I26" i="12" s="1"/>
  <c r="H27" i="12"/>
  <c r="H28" i="12"/>
  <c r="H29" i="12"/>
  <c r="I29" i="12" s="1"/>
  <c r="H30" i="12"/>
  <c r="I30" i="12" s="1"/>
  <c r="H31" i="12"/>
  <c r="H32" i="12"/>
  <c r="H33" i="12"/>
  <c r="I33" i="12" s="1"/>
  <c r="H34" i="12"/>
  <c r="I34" i="12" s="1"/>
  <c r="H35" i="12"/>
  <c r="H36" i="12"/>
  <c r="H37" i="12"/>
  <c r="H38" i="12"/>
  <c r="I38" i="12" s="1"/>
  <c r="H39" i="12"/>
  <c r="H40" i="12"/>
  <c r="H14" i="12"/>
  <c r="M7" i="12"/>
  <c r="L7" i="12"/>
  <c r="K7" i="12"/>
  <c r="E7" i="12"/>
  <c r="O7" i="12" s="1"/>
  <c r="M6" i="12"/>
  <c r="L6" i="12"/>
  <c r="K6" i="12"/>
  <c r="E6" i="12"/>
  <c r="O6" i="12" s="1"/>
  <c r="M5" i="12"/>
  <c r="L5" i="12"/>
  <c r="K5" i="12"/>
  <c r="E5" i="12"/>
  <c r="O5" i="12" s="1"/>
  <c r="M4" i="12"/>
  <c r="L4" i="12"/>
  <c r="K4" i="12"/>
  <c r="E4" i="12"/>
  <c r="O4" i="12" s="1"/>
  <c r="M3" i="12"/>
  <c r="L3" i="12"/>
  <c r="K3" i="12"/>
  <c r="E3" i="12"/>
  <c r="O3" i="12" s="1"/>
  <c r="G9" i="12" s="1"/>
  <c r="N88" i="11"/>
  <c r="R88" i="11" s="1"/>
  <c r="C88" i="11"/>
  <c r="F88" i="11" s="1"/>
  <c r="P87" i="11"/>
  <c r="N87" i="11"/>
  <c r="O87" i="11" s="1"/>
  <c r="H87" i="11"/>
  <c r="D87" i="11"/>
  <c r="C87" i="11"/>
  <c r="G87" i="11" s="1"/>
  <c r="N86" i="11"/>
  <c r="P86" i="11" s="1"/>
  <c r="Q86" i="11" s="1"/>
  <c r="I86" i="11"/>
  <c r="H86" i="11"/>
  <c r="F86" i="11"/>
  <c r="E86" i="11"/>
  <c r="D86" i="11"/>
  <c r="C86" i="11"/>
  <c r="G86" i="11" s="1"/>
  <c r="N85" i="11"/>
  <c r="P85" i="11" s="1"/>
  <c r="C85" i="11"/>
  <c r="F85" i="11" s="1"/>
  <c r="P84" i="11"/>
  <c r="N84" i="11"/>
  <c r="R84" i="11" s="1"/>
  <c r="S84" i="11" s="1"/>
  <c r="H84" i="11"/>
  <c r="D84" i="11"/>
  <c r="C84" i="11"/>
  <c r="O84" i="11" s="1"/>
  <c r="N83" i="11"/>
  <c r="P83" i="11" s="1"/>
  <c r="Q83" i="11" s="1"/>
  <c r="L83" i="11"/>
  <c r="L84" i="11" s="1"/>
  <c r="H83" i="11"/>
  <c r="F83" i="11"/>
  <c r="E83" i="11"/>
  <c r="D83" i="11"/>
  <c r="C83" i="11"/>
  <c r="G83" i="11" s="1"/>
  <c r="J77" i="11"/>
  <c r="P52" i="11"/>
  <c r="N52" i="11"/>
  <c r="R52" i="11" s="1"/>
  <c r="H52" i="11"/>
  <c r="D52" i="11"/>
  <c r="C52" i="11"/>
  <c r="O52" i="11" s="1"/>
  <c r="P51" i="11"/>
  <c r="N51" i="11"/>
  <c r="O51" i="11" s="1"/>
  <c r="I51" i="11"/>
  <c r="H51" i="11"/>
  <c r="F51" i="11"/>
  <c r="E51" i="11"/>
  <c r="D51" i="11"/>
  <c r="C51" i="11"/>
  <c r="G51" i="11" s="1"/>
  <c r="G45" i="11" s="1"/>
  <c r="N50" i="11"/>
  <c r="P50" i="11" s="1"/>
  <c r="I50" i="11"/>
  <c r="F50" i="11"/>
  <c r="F44" i="11" s="1"/>
  <c r="E50" i="11"/>
  <c r="C50" i="11"/>
  <c r="H50" i="11" s="1"/>
  <c r="H44" i="11" s="1"/>
  <c r="O49" i="11"/>
  <c r="N49" i="11"/>
  <c r="R49" i="11" s="1"/>
  <c r="H49" i="11"/>
  <c r="D49" i="11"/>
  <c r="C49" i="11"/>
  <c r="G49" i="11" s="1"/>
  <c r="P48" i="11"/>
  <c r="N48" i="11"/>
  <c r="O48" i="11" s="1"/>
  <c r="H48" i="11"/>
  <c r="F48" i="11"/>
  <c r="E48" i="11"/>
  <c r="D48" i="11"/>
  <c r="C48" i="11"/>
  <c r="G48" i="11" s="1"/>
  <c r="N47" i="11"/>
  <c r="P47" i="11" s="1"/>
  <c r="F47" i="11"/>
  <c r="F41" i="11" s="1"/>
  <c r="E47" i="11"/>
  <c r="C47" i="11"/>
  <c r="H47" i="11" s="1"/>
  <c r="N46" i="11"/>
  <c r="O46" i="11" s="1"/>
  <c r="C46" i="11"/>
  <c r="J130" i="11" s="1"/>
  <c r="P45" i="11"/>
  <c r="N45" i="11"/>
  <c r="C45" i="11"/>
  <c r="O45" i="11" s="1"/>
  <c r="I44" i="11"/>
  <c r="E44" i="11"/>
  <c r="C44" i="11"/>
  <c r="J80" i="11" s="1"/>
  <c r="N43" i="11"/>
  <c r="O43" i="11" s="1"/>
  <c r="C43" i="11"/>
  <c r="J127" i="11" s="1"/>
  <c r="P42" i="11"/>
  <c r="N42" i="11"/>
  <c r="C42" i="11"/>
  <c r="O42" i="11" s="1"/>
  <c r="E41" i="11"/>
  <c r="C41" i="11"/>
  <c r="J125" i="11" s="1"/>
  <c r="J35" i="11"/>
  <c r="P10" i="11"/>
  <c r="N10" i="11"/>
  <c r="R10" i="11" s="1"/>
  <c r="G10" i="11"/>
  <c r="C10" i="11"/>
  <c r="S9" i="11"/>
  <c r="P9" i="11"/>
  <c r="N9" i="11"/>
  <c r="R9" i="11" s="1"/>
  <c r="H9" i="11"/>
  <c r="C9" i="11"/>
  <c r="P8" i="11"/>
  <c r="N8" i="11"/>
  <c r="R8" i="11" s="1"/>
  <c r="G8" i="11"/>
  <c r="C8" i="11"/>
  <c r="J38" i="11" s="1"/>
  <c r="P7" i="11"/>
  <c r="O7" i="11"/>
  <c r="N7" i="11"/>
  <c r="R7" i="11" s="1"/>
  <c r="I7" i="11"/>
  <c r="H7" i="11"/>
  <c r="S7" i="11" s="1"/>
  <c r="E7" i="11"/>
  <c r="C7" i="11"/>
  <c r="P6" i="11"/>
  <c r="N6" i="11"/>
  <c r="R6" i="11" s="1"/>
  <c r="C6" i="11"/>
  <c r="S5" i="11"/>
  <c r="P5" i="11"/>
  <c r="N5" i="11"/>
  <c r="R5" i="11" s="1"/>
  <c r="H5" i="11"/>
  <c r="C5" i="11"/>
  <c r="J421" i="9"/>
  <c r="I421" i="9"/>
  <c r="J420" i="9"/>
  <c r="I420" i="9"/>
  <c r="J419" i="9"/>
  <c r="I419" i="9"/>
  <c r="J418" i="9"/>
  <c r="I418" i="9"/>
  <c r="J417" i="9"/>
  <c r="I417" i="9"/>
  <c r="J416" i="9"/>
  <c r="I416" i="9"/>
  <c r="J415" i="9"/>
  <c r="I415" i="9"/>
  <c r="J414" i="9"/>
  <c r="I414" i="9"/>
  <c r="J413" i="9"/>
  <c r="I413" i="9"/>
  <c r="J412" i="9"/>
  <c r="I412" i="9"/>
  <c r="J411" i="9"/>
  <c r="I411" i="9"/>
  <c r="J410" i="9"/>
  <c r="I410" i="9"/>
  <c r="J409" i="9"/>
  <c r="I409" i="9"/>
  <c r="J408" i="9"/>
  <c r="I408" i="9"/>
  <c r="J407" i="9"/>
  <c r="I407" i="9"/>
  <c r="J406" i="9"/>
  <c r="I406" i="9"/>
  <c r="J405" i="9"/>
  <c r="I405" i="9"/>
  <c r="J404" i="9"/>
  <c r="I404" i="9"/>
  <c r="J403" i="9"/>
  <c r="I403" i="9"/>
  <c r="J402" i="9"/>
  <c r="I402" i="9"/>
  <c r="J401" i="9"/>
  <c r="I401" i="9"/>
  <c r="J400" i="9"/>
  <c r="I400" i="9"/>
  <c r="J399" i="9"/>
  <c r="I399" i="9"/>
  <c r="J398" i="9"/>
  <c r="I398" i="9"/>
  <c r="J397" i="9"/>
  <c r="I397" i="9"/>
  <c r="J396" i="9"/>
  <c r="I396" i="9"/>
  <c r="J395" i="9"/>
  <c r="I395" i="9"/>
  <c r="J394" i="9"/>
  <c r="I394" i="9"/>
  <c r="J393" i="9"/>
  <c r="I393" i="9"/>
  <c r="J392" i="9"/>
  <c r="I392" i="9"/>
  <c r="J391" i="9"/>
  <c r="I391" i="9"/>
  <c r="J390" i="9"/>
  <c r="I390" i="9"/>
  <c r="J389" i="9"/>
  <c r="I389" i="9"/>
  <c r="J388" i="9"/>
  <c r="I388" i="9"/>
  <c r="J387" i="9"/>
  <c r="I387" i="9"/>
  <c r="J386" i="9"/>
  <c r="I386" i="9"/>
  <c r="J385" i="9"/>
  <c r="I385" i="9"/>
  <c r="J384" i="9"/>
  <c r="I384" i="9"/>
  <c r="J383" i="9"/>
  <c r="I383" i="9"/>
  <c r="J382" i="9"/>
  <c r="I382" i="9"/>
  <c r="J381" i="9"/>
  <c r="I381" i="9"/>
  <c r="J380" i="9"/>
  <c r="I380" i="9"/>
  <c r="J379" i="9"/>
  <c r="I379" i="9"/>
  <c r="J378" i="9"/>
  <c r="I378" i="9"/>
  <c r="J377" i="9"/>
  <c r="I377" i="9"/>
  <c r="J376" i="9"/>
  <c r="I376" i="9"/>
  <c r="J375" i="9"/>
  <c r="I375" i="9"/>
  <c r="J374" i="9"/>
  <c r="I374" i="9"/>
  <c r="J373" i="9"/>
  <c r="I373" i="9"/>
  <c r="J372" i="9"/>
  <c r="I372" i="9"/>
  <c r="J371" i="9"/>
  <c r="I371" i="9"/>
  <c r="J370" i="9"/>
  <c r="I370" i="9"/>
  <c r="J369" i="9"/>
  <c r="I369" i="9"/>
  <c r="J368" i="9"/>
  <c r="I368" i="9"/>
  <c r="J367" i="9"/>
  <c r="I367" i="9"/>
  <c r="J366" i="9"/>
  <c r="I366" i="9"/>
  <c r="J365" i="9"/>
  <c r="I365" i="9"/>
  <c r="J364" i="9"/>
  <c r="I364" i="9"/>
  <c r="J363" i="9"/>
  <c r="I363" i="9"/>
  <c r="J362" i="9"/>
  <c r="I362" i="9"/>
  <c r="J361" i="9"/>
  <c r="I361" i="9"/>
  <c r="J360" i="9"/>
  <c r="I360" i="9"/>
  <c r="J359" i="9"/>
  <c r="I359" i="9"/>
  <c r="J358" i="9"/>
  <c r="I358" i="9"/>
  <c r="J357" i="9"/>
  <c r="I357" i="9"/>
  <c r="J356" i="9"/>
  <c r="I356" i="9"/>
  <c r="J355" i="9"/>
  <c r="I355" i="9"/>
  <c r="J354" i="9"/>
  <c r="I354" i="9"/>
  <c r="J353" i="9"/>
  <c r="I353" i="9"/>
  <c r="J352" i="9"/>
  <c r="I352" i="9"/>
  <c r="J351" i="9"/>
  <c r="I351" i="9"/>
  <c r="J350" i="9"/>
  <c r="I350" i="9"/>
  <c r="J349" i="9"/>
  <c r="I349" i="9"/>
  <c r="J348" i="9"/>
  <c r="I348" i="9"/>
  <c r="J347" i="9"/>
  <c r="I347" i="9"/>
  <c r="J346" i="9"/>
  <c r="I346" i="9"/>
  <c r="J345" i="9"/>
  <c r="I345" i="9"/>
  <c r="J344" i="9"/>
  <c r="I344" i="9"/>
  <c r="J343" i="9"/>
  <c r="I343" i="9"/>
  <c r="J342" i="9"/>
  <c r="I342" i="9"/>
  <c r="J341" i="9"/>
  <c r="I341" i="9"/>
  <c r="J340" i="9"/>
  <c r="I340" i="9"/>
  <c r="J339" i="9"/>
  <c r="I339" i="9"/>
  <c r="J338" i="9"/>
  <c r="I338" i="9"/>
  <c r="J337" i="9"/>
  <c r="I337" i="9"/>
  <c r="J336" i="9"/>
  <c r="I336" i="9"/>
  <c r="J335" i="9"/>
  <c r="I335" i="9"/>
  <c r="J334" i="9"/>
  <c r="I334" i="9"/>
  <c r="J333" i="9"/>
  <c r="I333" i="9"/>
  <c r="J332" i="9"/>
  <c r="I332" i="9"/>
  <c r="J331" i="9"/>
  <c r="I331" i="9"/>
  <c r="J330" i="9"/>
  <c r="I330" i="9"/>
  <c r="J329" i="9"/>
  <c r="I329" i="9"/>
  <c r="J328" i="9"/>
  <c r="I328" i="9"/>
  <c r="J327" i="9"/>
  <c r="I327" i="9"/>
  <c r="J326" i="9"/>
  <c r="I326" i="9"/>
  <c r="J325" i="9"/>
  <c r="I325" i="9"/>
  <c r="J324" i="9"/>
  <c r="I324" i="9"/>
  <c r="J323" i="9"/>
  <c r="I323" i="9"/>
  <c r="J322" i="9"/>
  <c r="I322" i="9"/>
  <c r="J321" i="9"/>
  <c r="I321" i="9"/>
  <c r="J320" i="9"/>
  <c r="I320" i="9"/>
  <c r="J319" i="9"/>
  <c r="I319" i="9"/>
  <c r="J318" i="9"/>
  <c r="I318" i="9"/>
  <c r="J317" i="9"/>
  <c r="I317" i="9"/>
  <c r="J316" i="9"/>
  <c r="I316" i="9"/>
  <c r="J315" i="9"/>
  <c r="I315" i="9"/>
  <c r="J314" i="9"/>
  <c r="I314" i="9"/>
  <c r="J313" i="9"/>
  <c r="I313" i="9"/>
  <c r="J312" i="9"/>
  <c r="I312" i="9"/>
  <c r="J311" i="9"/>
  <c r="I311" i="9"/>
  <c r="J310" i="9"/>
  <c r="I310" i="9"/>
  <c r="J309" i="9"/>
  <c r="I309" i="9"/>
  <c r="J308" i="9"/>
  <c r="I308" i="9"/>
  <c r="J307" i="9"/>
  <c r="I307" i="9"/>
  <c r="J306" i="9"/>
  <c r="I306" i="9"/>
  <c r="J305" i="9"/>
  <c r="I305" i="9"/>
  <c r="J304" i="9"/>
  <c r="I304" i="9"/>
  <c r="J303" i="9"/>
  <c r="I303" i="9"/>
  <c r="J302" i="9"/>
  <c r="I302" i="9"/>
  <c r="J301" i="9"/>
  <c r="I301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2" i="9"/>
  <c r="I272" i="9"/>
  <c r="J271" i="9"/>
  <c r="I271" i="9"/>
  <c r="J270" i="9"/>
  <c r="I270" i="9"/>
  <c r="J269" i="9"/>
  <c r="I269" i="9"/>
  <c r="J268" i="9"/>
  <c r="I268" i="9"/>
  <c r="J267" i="9"/>
  <c r="I267" i="9"/>
  <c r="J266" i="9"/>
  <c r="I266" i="9"/>
  <c r="J265" i="9"/>
  <c r="I265" i="9"/>
  <c r="J264" i="9"/>
  <c r="I264" i="9"/>
  <c r="J263" i="9"/>
  <c r="I263" i="9"/>
  <c r="J262" i="9"/>
  <c r="I262" i="9"/>
  <c r="J261" i="9"/>
  <c r="I261" i="9"/>
  <c r="J260" i="9"/>
  <c r="I260" i="9"/>
  <c r="J259" i="9"/>
  <c r="I259" i="9"/>
  <c r="J258" i="9"/>
  <c r="I258" i="9"/>
  <c r="J257" i="9"/>
  <c r="I257" i="9"/>
  <c r="J256" i="9"/>
  <c r="I256" i="9"/>
  <c r="J255" i="9"/>
  <c r="I255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9" i="9"/>
  <c r="I239" i="9"/>
  <c r="J238" i="9"/>
  <c r="I238" i="9"/>
  <c r="J237" i="9"/>
  <c r="I237" i="9"/>
  <c r="J236" i="9"/>
  <c r="I236" i="9"/>
  <c r="J235" i="9"/>
  <c r="I235" i="9"/>
  <c r="J234" i="9"/>
  <c r="I234" i="9"/>
  <c r="J233" i="9"/>
  <c r="I233" i="9"/>
  <c r="J232" i="9"/>
  <c r="I232" i="9"/>
  <c r="J231" i="9"/>
  <c r="I231" i="9"/>
  <c r="J230" i="9"/>
  <c r="I230" i="9"/>
  <c r="J229" i="9"/>
  <c r="I229" i="9"/>
  <c r="J228" i="9"/>
  <c r="I228" i="9"/>
  <c r="J227" i="9"/>
  <c r="I227" i="9"/>
  <c r="J226" i="9"/>
  <c r="I226" i="9"/>
  <c r="J225" i="9"/>
  <c r="I225" i="9"/>
  <c r="J224" i="9"/>
  <c r="I224" i="9"/>
  <c r="J223" i="9"/>
  <c r="I223" i="9"/>
  <c r="J222" i="9"/>
  <c r="I222" i="9"/>
  <c r="J221" i="9"/>
  <c r="I221" i="9"/>
  <c r="J220" i="9"/>
  <c r="I220" i="9"/>
  <c r="J219" i="9"/>
  <c r="I219" i="9"/>
  <c r="J218" i="9"/>
  <c r="I218" i="9"/>
  <c r="J217" i="9"/>
  <c r="I217" i="9"/>
  <c r="J216" i="9"/>
  <c r="I216" i="9"/>
  <c r="J215" i="9"/>
  <c r="I215" i="9"/>
  <c r="J214" i="9"/>
  <c r="I214" i="9"/>
  <c r="J213" i="9"/>
  <c r="I213" i="9"/>
  <c r="J212" i="9"/>
  <c r="I212" i="9"/>
  <c r="J211" i="9"/>
  <c r="I211" i="9"/>
  <c r="J210" i="9"/>
  <c r="I210" i="9"/>
  <c r="J209" i="9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I137" i="9"/>
  <c r="J136" i="9"/>
  <c r="I136" i="9"/>
  <c r="J135" i="9"/>
  <c r="I135" i="9"/>
  <c r="J134" i="9"/>
  <c r="I134" i="9"/>
  <c r="J133" i="9"/>
  <c r="I133" i="9"/>
  <c r="J132" i="9"/>
  <c r="I132" i="9"/>
  <c r="J131" i="9"/>
  <c r="I131" i="9"/>
  <c r="J130" i="9"/>
  <c r="I130" i="9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2" i="9"/>
  <c r="I2" i="9"/>
  <c r="AN22" i="8"/>
  <c r="Q22" i="8"/>
  <c r="AN21" i="8"/>
  <c r="Q21" i="8"/>
  <c r="AN20" i="8"/>
  <c r="Q20" i="8"/>
  <c r="AN19" i="8"/>
  <c r="Q19" i="8"/>
  <c r="AN18" i="8"/>
  <c r="Q18" i="8"/>
  <c r="AN17" i="8"/>
  <c r="Q17" i="8"/>
  <c r="AN16" i="8"/>
  <c r="Q16" i="8"/>
  <c r="AN15" i="8"/>
  <c r="Q15" i="8"/>
  <c r="AN14" i="8"/>
  <c r="Q14" i="8"/>
  <c r="AM12" i="8"/>
  <c r="AN12" i="8" s="1"/>
  <c r="Q12" i="8"/>
  <c r="AM10" i="8"/>
  <c r="AN10" i="8" s="1"/>
  <c r="AN9" i="8"/>
  <c r="P9" i="8"/>
  <c r="Q9" i="8" s="1"/>
  <c r="Q11" i="8" s="1"/>
  <c r="AN8" i="8"/>
  <c r="P8" i="8"/>
  <c r="Q8" i="8" s="1"/>
  <c r="AM6" i="8"/>
  <c r="AN6" i="8" s="1"/>
  <c r="AM5" i="8"/>
  <c r="AB5" i="8"/>
  <c r="E45" i="8" s="1"/>
  <c r="H45" i="8" s="1"/>
  <c r="AA5" i="8"/>
  <c r="E5" i="8"/>
  <c r="E44" i="8" s="1"/>
  <c r="H44" i="8" s="1"/>
  <c r="D5" i="8"/>
  <c r="O13" i="10"/>
  <c r="J13" i="10"/>
  <c r="O12" i="10"/>
  <c r="J12" i="10"/>
  <c r="O11" i="10"/>
  <c r="J11" i="10"/>
  <c r="N13" i="10"/>
  <c r="I13" i="10"/>
  <c r="D13" i="10"/>
  <c r="N12" i="10"/>
  <c r="I12" i="10"/>
  <c r="D12" i="10"/>
  <c r="N11" i="10"/>
  <c r="P13" i="10"/>
  <c r="B12" i="10"/>
  <c r="P11" i="10"/>
  <c r="H11" i="10"/>
  <c r="B11" i="10"/>
  <c r="N10" i="10"/>
  <c r="I10" i="10"/>
  <c r="D10" i="10"/>
  <c r="N9" i="10"/>
  <c r="I9" i="10"/>
  <c r="D9" i="10"/>
  <c r="N8" i="10"/>
  <c r="I8" i="10"/>
  <c r="D8" i="10"/>
  <c r="H7" i="10"/>
  <c r="C7" i="10"/>
  <c r="P6" i="10"/>
  <c r="B6" i="10"/>
  <c r="O5" i="10"/>
  <c r="J5" i="10"/>
  <c r="C13" i="10"/>
  <c r="H12" i="10"/>
  <c r="H10" i="10"/>
  <c r="C10" i="10"/>
  <c r="H9" i="10"/>
  <c r="C9" i="10"/>
  <c r="H8" i="10"/>
  <c r="C8" i="10"/>
  <c r="P7" i="10"/>
  <c r="B7" i="10"/>
  <c r="O6" i="10"/>
  <c r="J6" i="10"/>
  <c r="N5" i="10"/>
  <c r="I5" i="10"/>
  <c r="D5" i="10"/>
  <c r="B13" i="10"/>
  <c r="P12" i="10"/>
  <c r="D11" i="10"/>
  <c r="P10" i="10"/>
  <c r="B10" i="10"/>
  <c r="P9" i="10"/>
  <c r="B9" i="10"/>
  <c r="P8" i="10"/>
  <c r="B8" i="10"/>
  <c r="O7" i="10"/>
  <c r="J7" i="10"/>
  <c r="N6" i="10"/>
  <c r="I6" i="10"/>
  <c r="D6" i="10"/>
  <c r="H5" i="10"/>
  <c r="C5" i="10"/>
  <c r="C12" i="10"/>
  <c r="J8" i="10"/>
  <c r="I7" i="10"/>
  <c r="H6" i="10"/>
  <c r="H13" i="10"/>
  <c r="O10" i="10"/>
  <c r="D7" i="10"/>
  <c r="C6" i="10"/>
  <c r="B5" i="10"/>
  <c r="I11" i="10"/>
  <c r="J10" i="10"/>
  <c r="O9" i="10"/>
  <c r="P5" i="10"/>
  <c r="C11" i="10"/>
  <c r="J9" i="10"/>
  <c r="O8" i="10"/>
  <c r="N7" i="10"/>
  <c r="D44" i="8" l="1"/>
  <c r="D23" i="8"/>
  <c r="E23" i="8"/>
  <c r="AH5" i="8"/>
  <c r="D45" i="8"/>
  <c r="I39" i="12"/>
  <c r="I35" i="12"/>
  <c r="I31" i="12"/>
  <c r="I41" i="12" s="1"/>
  <c r="I27" i="12"/>
  <c r="I23" i="12"/>
  <c r="I19" i="12"/>
  <c r="I40" i="12"/>
  <c r="I36" i="12"/>
  <c r="I32" i="12"/>
  <c r="I28" i="12"/>
  <c r="I24" i="12"/>
  <c r="P11" i="8"/>
  <c r="D12" i="8" s="1"/>
  <c r="R7" i="10"/>
  <c r="Q8" i="10"/>
  <c r="U8" i="10"/>
  <c r="E11" i="10"/>
  <c r="Q9" i="10"/>
  <c r="U9" i="10"/>
  <c r="J15" i="10"/>
  <c r="K11" i="10"/>
  <c r="P30" i="8"/>
  <c r="Q30" i="8" s="1"/>
  <c r="F5" i="10"/>
  <c r="E6" i="10"/>
  <c r="Q10" i="10"/>
  <c r="U10" i="10"/>
  <c r="L13" i="10"/>
  <c r="P26" i="8"/>
  <c r="Q26" i="8" s="1"/>
  <c r="L6" i="10"/>
  <c r="K7" i="10"/>
  <c r="E12" i="10"/>
  <c r="E5" i="10"/>
  <c r="AM30" i="8" s="1"/>
  <c r="AN30" i="8" s="1"/>
  <c r="L5" i="10"/>
  <c r="K6" i="10"/>
  <c r="R6" i="10"/>
  <c r="Q7" i="10"/>
  <c r="P31" i="8"/>
  <c r="Q31" i="8" s="1"/>
  <c r="F8" i="10"/>
  <c r="V8" i="10"/>
  <c r="P33" i="8"/>
  <c r="Q33" i="8" s="1"/>
  <c r="F9" i="10"/>
  <c r="V9" i="10"/>
  <c r="P34" i="8"/>
  <c r="Q34" i="8" s="1"/>
  <c r="F10" i="10"/>
  <c r="V10" i="10"/>
  <c r="V12" i="10"/>
  <c r="F13" i="10"/>
  <c r="P32" i="8"/>
  <c r="Q32" i="8" s="1"/>
  <c r="K5" i="10"/>
  <c r="AM24" i="8" s="1"/>
  <c r="R5" i="10"/>
  <c r="Q6" i="10"/>
  <c r="F7" i="10"/>
  <c r="E8" i="10"/>
  <c r="AM31" i="8" s="1"/>
  <c r="AN31" i="8" s="1"/>
  <c r="L8" i="10"/>
  <c r="P25" i="8"/>
  <c r="Q25" i="8" s="1"/>
  <c r="E9" i="10"/>
  <c r="AM33" i="8" s="1"/>
  <c r="AN33" i="8" s="1"/>
  <c r="L9" i="10"/>
  <c r="P27" i="8"/>
  <c r="Q27" i="8" s="1"/>
  <c r="E10" i="10"/>
  <c r="AM34" i="8" s="1"/>
  <c r="AN34" i="8" s="1"/>
  <c r="H15" i="10"/>
  <c r="L10" i="10"/>
  <c r="L15" i="10" s="1"/>
  <c r="P28" i="8"/>
  <c r="Q28" i="8" s="1"/>
  <c r="L12" i="10"/>
  <c r="E13" i="10"/>
  <c r="AM32" i="8" s="1"/>
  <c r="AN32" i="8" s="1"/>
  <c r="Q5" i="10"/>
  <c r="F6" i="10"/>
  <c r="E7" i="10"/>
  <c r="L7" i="10"/>
  <c r="K8" i="10"/>
  <c r="AM25" i="8" s="1"/>
  <c r="AN25" i="8" s="1"/>
  <c r="R8" i="10"/>
  <c r="T8" i="10"/>
  <c r="K9" i="10"/>
  <c r="AM27" i="8" s="1"/>
  <c r="AN27" i="8" s="1"/>
  <c r="R9" i="10"/>
  <c r="X9" i="10" s="1"/>
  <c r="T9" i="10"/>
  <c r="K10" i="10"/>
  <c r="I15" i="10"/>
  <c r="T10" i="10"/>
  <c r="R10" i="10"/>
  <c r="F11" i="10"/>
  <c r="L11" i="10"/>
  <c r="V11" i="10"/>
  <c r="F12" i="10"/>
  <c r="V13" i="10"/>
  <c r="T11" i="10"/>
  <c r="R11" i="10"/>
  <c r="X11" i="10" s="1"/>
  <c r="K12" i="10"/>
  <c r="T12" i="10"/>
  <c r="R12" i="10"/>
  <c r="K13" i="10"/>
  <c r="AM26" i="8" s="1"/>
  <c r="AN26" i="8" s="1"/>
  <c r="T13" i="10"/>
  <c r="R13" i="10"/>
  <c r="U11" i="10"/>
  <c r="Q11" i="10"/>
  <c r="W11" i="10" s="1"/>
  <c r="U12" i="10"/>
  <c r="Q12" i="10"/>
  <c r="U13" i="10"/>
  <c r="Q13" i="10"/>
  <c r="W13" i="10" s="1"/>
  <c r="J5" i="8"/>
  <c r="F5" i="8" s="1"/>
  <c r="AG5" i="8"/>
  <c r="Q6" i="11"/>
  <c r="K5" i="8"/>
  <c r="G5" i="8" s="1"/>
  <c r="E12" i="8"/>
  <c r="D58" i="8"/>
  <c r="D59" i="8"/>
  <c r="S49" i="11"/>
  <c r="D46" i="11"/>
  <c r="O6" i="11"/>
  <c r="F6" i="11"/>
  <c r="J36" i="11"/>
  <c r="E6" i="11"/>
  <c r="Q7" i="11"/>
  <c r="H8" i="11"/>
  <c r="S8" i="11" s="1"/>
  <c r="F10" i="11"/>
  <c r="J40" i="11"/>
  <c r="I10" i="11"/>
  <c r="E10" i="11"/>
  <c r="O10" i="11"/>
  <c r="Q47" i="11"/>
  <c r="G43" i="11"/>
  <c r="I9" i="12"/>
  <c r="H9" i="12"/>
  <c r="F5" i="11"/>
  <c r="E5" i="11"/>
  <c r="Q5" i="11" s="1"/>
  <c r="O5" i="11"/>
  <c r="G6" i="11"/>
  <c r="F9" i="11"/>
  <c r="I9" i="11"/>
  <c r="L7" i="11" s="1"/>
  <c r="E9" i="11"/>
  <c r="O9" i="11"/>
  <c r="Q10" i="11"/>
  <c r="J39" i="11"/>
  <c r="L47" i="11"/>
  <c r="L48" i="11" s="1"/>
  <c r="H41" i="11"/>
  <c r="L41" i="11" s="1"/>
  <c r="L42" i="11" s="1"/>
  <c r="G42" i="11"/>
  <c r="Q50" i="11"/>
  <c r="P44" i="11"/>
  <c r="Q44" i="11" s="1"/>
  <c r="S52" i="11"/>
  <c r="R46" i="11"/>
  <c r="G5" i="11"/>
  <c r="H6" i="11"/>
  <c r="S6" i="11" s="1"/>
  <c r="J37" i="11"/>
  <c r="G7" i="11"/>
  <c r="F7" i="11"/>
  <c r="F8" i="11"/>
  <c r="I8" i="11"/>
  <c r="E8" i="11"/>
  <c r="Q8" i="11" s="1"/>
  <c r="O8" i="11"/>
  <c r="G9" i="11"/>
  <c r="Q9" i="11"/>
  <c r="H10" i="11"/>
  <c r="S10" i="11" s="1"/>
  <c r="Q52" i="11"/>
  <c r="D42" i="11"/>
  <c r="H42" i="11"/>
  <c r="D45" i="11"/>
  <c r="H45" i="11"/>
  <c r="R47" i="11"/>
  <c r="S47" i="11" s="1"/>
  <c r="Q48" i="11"/>
  <c r="R50" i="11"/>
  <c r="S50" i="11" s="1"/>
  <c r="Q51" i="11"/>
  <c r="J81" i="11"/>
  <c r="G85" i="11"/>
  <c r="R85" i="11"/>
  <c r="S85" i="11" s="1"/>
  <c r="G88" i="11"/>
  <c r="O88" i="11"/>
  <c r="J128" i="11"/>
  <c r="E9" i="12"/>
  <c r="N41" i="11"/>
  <c r="O41" i="11" s="1"/>
  <c r="N44" i="11"/>
  <c r="O44" i="11" s="1"/>
  <c r="I45" i="11"/>
  <c r="G47" i="11"/>
  <c r="G41" i="11" s="1"/>
  <c r="O47" i="11"/>
  <c r="R48" i="11"/>
  <c r="E49" i="11"/>
  <c r="I49" i="11"/>
  <c r="P49" i="11"/>
  <c r="G50" i="11"/>
  <c r="G44" i="11" s="1"/>
  <c r="O50" i="11"/>
  <c r="R51" i="11"/>
  <c r="E52" i="11"/>
  <c r="I52" i="11"/>
  <c r="L49" i="11" s="1"/>
  <c r="J78" i="11"/>
  <c r="J82" i="11"/>
  <c r="R83" i="11"/>
  <c r="S83" i="11" s="1"/>
  <c r="E84" i="11"/>
  <c r="Q84" i="11" s="1"/>
  <c r="D85" i="11"/>
  <c r="D43" i="11" s="1"/>
  <c r="H85" i="11"/>
  <c r="H43" i="11" s="1"/>
  <c r="O85" i="11"/>
  <c r="R86" i="11"/>
  <c r="S86" i="11" s="1"/>
  <c r="E87" i="11"/>
  <c r="E45" i="11" s="1"/>
  <c r="Q45" i="11" s="1"/>
  <c r="I87" i="11"/>
  <c r="D88" i="11"/>
  <c r="H88" i="11"/>
  <c r="S88" i="11" s="1"/>
  <c r="P88" i="11"/>
  <c r="J129" i="11"/>
  <c r="D47" i="11"/>
  <c r="D41" i="11" s="1"/>
  <c r="F49" i="11"/>
  <c r="F43" i="11" s="1"/>
  <c r="D50" i="11"/>
  <c r="D44" i="11" s="1"/>
  <c r="F52" i="11"/>
  <c r="F46" i="11" s="1"/>
  <c r="J79" i="11"/>
  <c r="O83" i="11"/>
  <c r="F84" i="11"/>
  <c r="F42" i="11" s="1"/>
  <c r="E85" i="11"/>
  <c r="Q85" i="11" s="1"/>
  <c r="I85" i="11"/>
  <c r="O86" i="11"/>
  <c r="F87" i="11"/>
  <c r="F45" i="11" s="1"/>
  <c r="R87" i="11"/>
  <c r="S87" i="11" s="1"/>
  <c r="E88" i="11"/>
  <c r="I88" i="11"/>
  <c r="J126" i="11"/>
  <c r="G52" i="11"/>
  <c r="G84" i="11"/>
  <c r="I9" i="1"/>
  <c r="I8" i="1"/>
  <c r="I6" i="1"/>
  <c r="I5" i="1"/>
  <c r="AN24" i="8" l="1"/>
  <c r="AN7" i="8" s="1"/>
  <c r="AN11" i="8" s="1"/>
  <c r="AM7" i="8"/>
  <c r="I5" i="8"/>
  <c r="H5" i="8"/>
  <c r="W10" i="10"/>
  <c r="Q49" i="11"/>
  <c r="P43" i="11"/>
  <c r="Q43" i="11" s="1"/>
  <c r="R44" i="11"/>
  <c r="S44" i="11" s="1"/>
  <c r="Q87" i="11"/>
  <c r="L5" i="11"/>
  <c r="P41" i="11"/>
  <c r="Q41" i="11" s="1"/>
  <c r="D13" i="8"/>
  <c r="D15" i="8" s="1"/>
  <c r="X12" i="10"/>
  <c r="G46" i="11"/>
  <c r="L85" i="11"/>
  <c r="S51" i="11"/>
  <c r="R45" i="11"/>
  <c r="S45" i="11" s="1"/>
  <c r="I43" i="11"/>
  <c r="H46" i="11"/>
  <c r="R43" i="11"/>
  <c r="S43" i="11" s="1"/>
  <c r="W12" i="10"/>
  <c r="X13" i="10"/>
  <c r="K15" i="10"/>
  <c r="AM28" i="8"/>
  <c r="AN28" i="8" s="1"/>
  <c r="W8" i="10"/>
  <c r="I46" i="11"/>
  <c r="L43" i="11" s="1"/>
  <c r="S48" i="11"/>
  <c r="R42" i="11"/>
  <c r="S42" i="11" s="1"/>
  <c r="E42" i="11"/>
  <c r="Q42" i="11" s="1"/>
  <c r="E13" i="8"/>
  <c r="E15" i="8" s="1"/>
  <c r="E17" i="8" s="1"/>
  <c r="E46" i="11"/>
  <c r="Q88" i="11"/>
  <c r="E43" i="11"/>
  <c r="P46" i="11"/>
  <c r="R41" i="11"/>
  <c r="S41" i="11" s="1"/>
  <c r="S46" i="11"/>
  <c r="X10" i="10"/>
  <c r="X8" i="10"/>
  <c r="W9" i="10"/>
  <c r="D17" i="8" l="1"/>
  <c r="D19" i="8" s="1"/>
  <c r="Q46" i="11"/>
  <c r="E19" i="8"/>
  <c r="E21" i="8" s="1"/>
  <c r="E14" i="8"/>
  <c r="E16" i="8" s="1"/>
  <c r="E18" i="8" s="1"/>
  <c r="D14" i="8"/>
  <c r="D16" i="8" s="1"/>
  <c r="AM11" i="8"/>
  <c r="AA23" i="8"/>
  <c r="AC5" i="8"/>
  <c r="D21" i="8" l="1"/>
  <c r="D18" i="8"/>
  <c r="D20" i="8" s="1"/>
  <c r="D24" i="8" s="1"/>
  <c r="D25" i="8" s="1"/>
  <c r="AB12" i="8"/>
  <c r="AA12" i="8"/>
  <c r="AB23" i="8"/>
  <c r="AD5" i="8"/>
  <c r="E48" i="8" s="1"/>
  <c r="H48" i="8" s="1"/>
  <c r="AE5" i="8"/>
  <c r="D28" i="8" l="1"/>
  <c r="D29" i="8"/>
  <c r="F9" i="8"/>
  <c r="D22" i="8"/>
  <c r="J9" i="8" s="1"/>
  <c r="AF5" i="8"/>
  <c r="D48" i="8"/>
  <c r="AA13" i="8"/>
  <c r="AB13" i="8"/>
  <c r="E20" i="8"/>
  <c r="E22" i="8" s="1"/>
  <c r="AA14" i="8" l="1"/>
  <c r="AA16" i="8" s="1"/>
  <c r="AA15" i="8"/>
  <c r="D26" i="8"/>
  <c r="D27" i="8" s="1"/>
  <c r="AB14" i="8"/>
  <c r="AB15" i="8"/>
  <c r="G48" i="8"/>
  <c r="F48" i="8"/>
  <c r="E24" i="8"/>
  <c r="K9" i="8"/>
  <c r="H9" i="8"/>
  <c r="D8" i="8" l="1"/>
  <c r="AB16" i="8"/>
  <c r="AB17" i="8"/>
  <c r="AA17" i="8"/>
  <c r="F6" i="8"/>
  <c r="H6" i="8" s="1"/>
  <c r="D6" i="8"/>
  <c r="G9" i="8"/>
  <c r="E25" i="8"/>
  <c r="E26" i="8" l="1"/>
  <c r="E27" i="8" s="1"/>
  <c r="G6" i="8" s="1"/>
  <c r="E28" i="8"/>
  <c r="E29" i="8" s="1"/>
  <c r="D9" i="8"/>
  <c r="D7" i="8"/>
  <c r="F8" i="8"/>
  <c r="H8" i="8" s="1"/>
  <c r="F7" i="8"/>
  <c r="H7" i="8" s="1"/>
  <c r="AB18" i="8"/>
  <c r="AA18" i="8"/>
  <c r="AA19" i="8"/>
  <c r="AA21" i="8" s="1"/>
  <c r="AB19" i="8"/>
  <c r="AB21" i="8" s="1"/>
  <c r="I9" i="8"/>
  <c r="E6" i="8"/>
  <c r="AA20" i="8" l="1"/>
  <c r="AA22" i="8" s="1"/>
  <c r="AG9" i="8" s="1"/>
  <c r="AB20" i="8"/>
  <c r="AB24" i="8" s="1"/>
  <c r="E7" i="8"/>
  <c r="G7" i="8"/>
  <c r="E9" i="8"/>
  <c r="G8" i="8"/>
  <c r="E8" i="8"/>
  <c r="I6" i="8"/>
  <c r="AB22" i="8" l="1"/>
  <c r="AH9" i="8" s="1"/>
  <c r="AA24" i="8"/>
  <c r="AA25" i="8" s="1"/>
  <c r="AA28" i="8" s="1"/>
  <c r="AD9" i="8"/>
  <c r="AB25" i="8"/>
  <c r="AB28" i="8" s="1"/>
  <c r="I7" i="8"/>
  <c r="I8" i="8"/>
  <c r="AF9" i="8" l="1"/>
  <c r="E52" i="8"/>
  <c r="H52" i="8" s="1"/>
  <c r="AC9" i="8"/>
  <c r="D52" i="8" s="1"/>
  <c r="AA26" i="8"/>
  <c r="AA27" i="8" s="1"/>
  <c r="AB26" i="8"/>
  <c r="AB27" i="8" s="1"/>
  <c r="AE9" i="8" l="1"/>
  <c r="AD6" i="8"/>
  <c r="AB6" i="8"/>
  <c r="G52" i="8"/>
  <c r="F52" i="8"/>
  <c r="AA29" i="8"/>
  <c r="AA7" i="8"/>
  <c r="AC7" i="8"/>
  <c r="AC6" i="8"/>
  <c r="AA6" i="8"/>
  <c r="AD7" i="8"/>
  <c r="AB7" i="8"/>
  <c r="AB29" i="8"/>
  <c r="AF7" i="8" l="1"/>
  <c r="E50" i="8"/>
  <c r="H50" i="8" s="1"/>
  <c r="AF6" i="8"/>
  <c r="E49" i="8"/>
  <c r="H49" i="8" s="1"/>
  <c r="AB9" i="8"/>
  <c r="E46" i="8" s="1"/>
  <c r="H46" i="8" s="1"/>
  <c r="AD8" i="8"/>
  <c r="E54" i="8" s="1"/>
  <c r="H54" i="8" s="1"/>
  <c r="AB8" i="8"/>
  <c r="E47" i="8" s="1"/>
  <c r="H47" i="8" s="1"/>
  <c r="AE6" i="8"/>
  <c r="D49" i="8"/>
  <c r="AC8" i="8"/>
  <c r="AA8" i="8"/>
  <c r="AA9" i="8"/>
  <c r="AE7" i="8"/>
  <c r="D50" i="8"/>
  <c r="AF8" i="8" l="1"/>
  <c r="E51" i="8"/>
  <c r="H51" i="8" s="1"/>
  <c r="E53" i="8"/>
  <c r="H53" i="8" s="1"/>
  <c r="D47" i="8"/>
  <c r="F47" i="8" s="1"/>
  <c r="D60" i="8"/>
  <c r="D61" i="8"/>
  <c r="G50" i="8"/>
  <c r="F50" i="8"/>
  <c r="U49" i="8"/>
  <c r="AC49" i="8"/>
  <c r="Y49" i="8"/>
  <c r="R53" i="8"/>
  <c r="M49" i="8"/>
  <c r="S53" i="8"/>
  <c r="N49" i="8"/>
  <c r="V49" i="8"/>
  <c r="AE8" i="8"/>
  <c r="H11" i="8" s="1"/>
  <c r="D51" i="8"/>
  <c r="X49" i="8"/>
  <c r="L53" i="8"/>
  <c r="AB49" i="8"/>
  <c r="T49" i="8"/>
  <c r="Q53" i="8"/>
  <c r="Q49" i="8"/>
  <c r="AG49" i="8"/>
  <c r="T53" i="8"/>
  <c r="G49" i="8"/>
  <c r="F49" i="8"/>
  <c r="O49" i="8"/>
  <c r="L49" i="8"/>
  <c r="W49" i="8"/>
  <c r="P49" i="8"/>
  <c r="AA49" i="8"/>
  <c r="M53" i="8"/>
  <c r="S49" i="8"/>
  <c r="M48" i="8"/>
  <c r="N52" i="8"/>
  <c r="P48" i="8"/>
  <c r="Z48" i="8"/>
  <c r="S48" i="8"/>
  <c r="U48" i="8"/>
  <c r="O48" i="8"/>
  <c r="X48" i="8"/>
  <c r="L52" i="8"/>
  <c r="AA48" i="8"/>
  <c r="AD48" i="8"/>
  <c r="Q52" i="8"/>
  <c r="P52" i="8"/>
  <c r="T52" i="8"/>
  <c r="V48" i="8"/>
  <c r="S52" i="8"/>
  <c r="T48" i="8"/>
  <c r="R48" i="8"/>
  <c r="Q48" i="8"/>
  <c r="Y48" i="8"/>
  <c r="N48" i="8"/>
  <c r="AB48" i="8"/>
  <c r="R52" i="8"/>
  <c r="D46" i="8"/>
  <c r="AC48" i="8"/>
  <c r="AE48" i="8"/>
  <c r="AF48" i="8"/>
  <c r="O52" i="8"/>
  <c r="W48" i="8"/>
  <c r="M52" i="8"/>
  <c r="L48" i="8"/>
  <c r="AG48" i="8"/>
  <c r="R49" i="8"/>
  <c r="AD49" i="8"/>
  <c r="O53" i="8"/>
  <c r="AF49" i="8"/>
  <c r="Z49" i="8"/>
  <c r="AE49" i="8"/>
  <c r="N53" i="8"/>
  <c r="P53" i="8"/>
  <c r="AE11" i="8" l="1"/>
  <c r="I11" i="8"/>
  <c r="I12" i="8" s="1"/>
  <c r="AF11" i="8"/>
  <c r="F51" i="8"/>
  <c r="G51" i="8"/>
  <c r="F46" i="8"/>
  <c r="D54" i="8"/>
  <c r="D53" i="8"/>
  <c r="AF12" i="8" l="1"/>
  <c r="H12" i="8"/>
  <c r="AE12" i="8"/>
  <c r="F53" i="8"/>
  <c r="G53" i="8"/>
  <c r="G54" i="8"/>
  <c r="F54" i="8"/>
</calcChain>
</file>

<file path=xl/comments1.xml><?xml version="1.0" encoding="utf-8"?>
<comments xmlns="http://schemas.openxmlformats.org/spreadsheetml/2006/main">
  <authors>
    <author>Johan Karlsson</author>
  </authors>
  <commentList>
    <comment ref="B42" authorId="0" shapeId="0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Disaggregated based on comment in source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Disaggregated assuming 40% molasses and 60% pulp</t>
        </r>
      </text>
    </comment>
  </commentList>
</comments>
</file>

<file path=xl/sharedStrings.xml><?xml version="1.0" encoding="utf-8"?>
<sst xmlns="http://schemas.openxmlformats.org/spreadsheetml/2006/main" count="3609" uniqueCount="541">
  <si>
    <t>value</t>
  </si>
  <si>
    <t>conventional</t>
  </si>
  <si>
    <t>dairy</t>
  </si>
  <si>
    <t>calving_interval</t>
  </si>
  <si>
    <t>months</t>
  </si>
  <si>
    <t>organic</t>
  </si>
  <si>
    <t>AFC</t>
  </si>
  <si>
    <t>age at first calving</t>
  </si>
  <si>
    <t>recruitment_rate</t>
  </si>
  <si>
    <t>%</t>
  </si>
  <si>
    <t>% of cows per year</t>
  </si>
  <si>
    <t>ratio_male_calf</t>
  </si>
  <si>
    <t>% of calves</t>
  </si>
  <si>
    <t>twin_birth</t>
  </si>
  <si>
    <t>% of calvings</t>
  </si>
  <si>
    <t>stillborn_calf</t>
  </si>
  <si>
    <t>weaning_age</t>
  </si>
  <si>
    <t>days</t>
  </si>
  <si>
    <t>cows</t>
  </si>
  <si>
    <t>mortality</t>
  </si>
  <si>
    <t>calves</t>
  </si>
  <si>
    <t>mortality_male_0towean</t>
  </si>
  <si>
    <t>% of live born</t>
  </si>
  <si>
    <t>mortality_male_0towean_age</t>
  </si>
  <si>
    <t>avg age of deaths in span</t>
  </si>
  <si>
    <t>mortality_female_0towean</t>
  </si>
  <si>
    <t>mortality_female_0towean_age</t>
  </si>
  <si>
    <t>mortality_male_weantoslaught</t>
  </si>
  <si>
    <t>% of weaned</t>
  </si>
  <si>
    <t>mortality_male_weantoslaught_age</t>
  </si>
  <si>
    <t>mortality_female_weantoslaught</t>
  </si>
  <si>
    <t>mortality_female_weantoslaught_age</t>
  </si>
  <si>
    <t>slaughter_age</t>
  </si>
  <si>
    <t>heifers</t>
  </si>
  <si>
    <t>steers</t>
  </si>
  <si>
    <t>bulls</t>
  </si>
  <si>
    <t>slaughter_weight</t>
  </si>
  <si>
    <t>kg CW</t>
  </si>
  <si>
    <t>beef</t>
  </si>
  <si>
    <t>avg age of death in span</t>
  </si>
  <si>
    <t>stable_period</t>
  </si>
  <si>
    <t>NIR 2022 Table 5.9</t>
  </si>
  <si>
    <t>OBS Borde sla isar tjurar och stutar har</t>
  </si>
  <si>
    <t>milk_prod</t>
  </si>
  <si>
    <t>kg/cow/year</t>
  </si>
  <si>
    <t>milk_fat</t>
  </si>
  <si>
    <t>milk_protein</t>
  </si>
  <si>
    <t>parameter</t>
  </si>
  <si>
    <t>unit</t>
  </si>
  <si>
    <t>description</t>
  </si>
  <si>
    <t>source</t>
  </si>
  <si>
    <t>f_breed</t>
  </si>
  <si>
    <t>f_animal</t>
  </si>
  <si>
    <t>y_2020</t>
  </si>
  <si>
    <t>y_2030</t>
  </si>
  <si>
    <t>y_2050</t>
  </si>
  <si>
    <t>y_2025</t>
  </si>
  <si>
    <t>y_2035</t>
  </si>
  <si>
    <t>y_2040</t>
  </si>
  <si>
    <t>y_2045</t>
  </si>
  <si>
    <t>Växa Husdjursstatistik Tab. 17 (2016-2020)</t>
  </si>
  <si>
    <t>Mjölk besättningar</t>
  </si>
  <si>
    <t>Diko besättningar</t>
  </si>
  <si>
    <t>Number</t>
  </si>
  <si>
    <t>Slaughtered</t>
  </si>
  <si>
    <t>Slaughtered (1000 tonnes)</t>
  </si>
  <si>
    <t>Dead/culled</t>
  </si>
  <si>
    <t>Conv</t>
  </si>
  <si>
    <t>Org</t>
  </si>
  <si>
    <t>Parameter</t>
  </si>
  <si>
    <t>Konv</t>
  </si>
  <si>
    <t>Eko</t>
  </si>
  <si>
    <t>Enhet</t>
  </si>
  <si>
    <t>Källa</t>
  </si>
  <si>
    <t>Cows</t>
  </si>
  <si>
    <t>Kalvningsintervall</t>
  </si>
  <si>
    <t>mån</t>
  </si>
  <si>
    <t>(Växa tab 29)</t>
  </si>
  <si>
    <t>(Växa Husdjursstatistik 2020, tab 31)</t>
  </si>
  <si>
    <t>Heifers</t>
  </si>
  <si>
    <t>Inkalvningsålder</t>
  </si>
  <si>
    <t>(Växa Husdjursstatistik 2020, tab 32)</t>
  </si>
  <si>
    <t>Steers</t>
  </si>
  <si>
    <t>Rekrytering</t>
  </si>
  <si>
    <t>(Växa tab 28)</t>
  </si>
  <si>
    <t>(ber.)</t>
  </si>
  <si>
    <t>Bulls</t>
  </si>
  <si>
    <t>Könskvot, tjurkalvar</t>
  </si>
  <si>
    <t>(Växa Husdjursstatistik 2020, tab 20)</t>
  </si>
  <si>
    <t>(Växa KAP, tab 34)</t>
  </si>
  <si>
    <t>Calves</t>
  </si>
  <si>
    <t>Tvilingfödslar</t>
  </si>
  <si>
    <t>(Växa Husdjursstatistik 2020, tab 34a)</t>
  </si>
  <si>
    <t>Dödfödda kalvar</t>
  </si>
  <si>
    <t>Intermediates</t>
  </si>
  <si>
    <t>Andel</t>
  </si>
  <si>
    <t>Lev. kalvar per år</t>
  </si>
  <si>
    <t>antal/ko/år</t>
  </si>
  <si>
    <t>Calves born</t>
  </si>
  <si>
    <t>Avvänjningsålder</t>
  </si>
  <si>
    <t>dagar</t>
  </si>
  <si>
    <t>RISE</t>
  </si>
  <si>
    <t>Male calves born</t>
  </si>
  <si>
    <t>Dödlighet</t>
  </si>
  <si>
    <t>Female calves born</t>
  </si>
  <si>
    <t>kor</t>
  </si>
  <si>
    <t>% av djur</t>
  </si>
  <si>
    <t>Male calves 2 weaned</t>
  </si>
  <si>
    <t>tjurkalv (föds.-avv.)</t>
  </si>
  <si>
    <t>% av levande födda</t>
  </si>
  <si>
    <t>Female calves 2 weaned</t>
  </si>
  <si>
    <t xml:space="preserve">   snittålder</t>
  </si>
  <si>
    <t>Male calves 2 end</t>
  </si>
  <si>
    <t>kvigkalv (föds.-avv.)</t>
  </si>
  <si>
    <t>Female calves 2 end</t>
  </si>
  <si>
    <t>Male calves 2 dead</t>
  </si>
  <si>
    <t>tjurar/stutar (avv.-slakt)</t>
  </si>
  <si>
    <t>% av avvanda</t>
  </si>
  <si>
    <t>Female calves 2 dead</t>
  </si>
  <si>
    <t>Calves 2 recruitment</t>
  </si>
  <si>
    <t>kvigor (avv.-slakt)</t>
  </si>
  <si>
    <t>Calves 2 slaughter</t>
  </si>
  <si>
    <t>Male calves 2 slaughter</t>
  </si>
  <si>
    <t>Slaktålder</t>
  </si>
  <si>
    <t>Female calves 2 slaughter</t>
  </si>
  <si>
    <t>Calves 2 heifers</t>
  </si>
  <si>
    <t>kvigor</t>
  </si>
  <si>
    <t>Calves 2 steers</t>
  </si>
  <si>
    <t>mellankalv</t>
  </si>
  <si>
    <t>Calves 2 bulls</t>
  </si>
  <si>
    <t>stutar</t>
  </si>
  <si>
    <t>tjurar</t>
  </si>
  <si>
    <t>Slaktvikt</t>
  </si>
  <si>
    <t>kg</t>
  </si>
  <si>
    <t>Andel av slaktade ungdjur</t>
  </si>
  <si>
    <t>Kontroll (riks)</t>
  </si>
  <si>
    <t>mod.</t>
  </si>
  <si>
    <t>jmf. SJV</t>
  </si>
  <si>
    <t>jmf. G&amp;D</t>
  </si>
  <si>
    <t>Kontroll djurantal (region)</t>
  </si>
  <si>
    <t>Kalvar, under 1 år</t>
  </si>
  <si>
    <t>Kvigor, tjurar och stutar</t>
  </si>
  <si>
    <t>Djur i juni</t>
  </si>
  <si>
    <t>00 Riket</t>
  </si>
  <si>
    <t>01 Stockholms län</t>
  </si>
  <si>
    <t>03 Uppsala län</t>
  </si>
  <si>
    <t>04 Södermanlands län</t>
  </si>
  <si>
    <t>05 Östergötlands län</t>
  </si>
  <si>
    <t>06 Jönköpings län</t>
  </si>
  <si>
    <t>07 Kronobergs län</t>
  </si>
  <si>
    <t>08 Kalmar län</t>
  </si>
  <si>
    <t>09 Gotlands län</t>
  </si>
  <si>
    <t>10 Blekinge län</t>
  </si>
  <si>
    <t>12 Skåne län</t>
  </si>
  <si>
    <t>13 Hallands län</t>
  </si>
  <si>
    <t>14 Västra Götalands län</t>
  </si>
  <si>
    <t>17 Värmlands län</t>
  </si>
  <si>
    <t>18 Örebro län</t>
  </si>
  <si>
    <t>19 Västmanlands län</t>
  </si>
  <si>
    <t>20 Dalarnas län</t>
  </si>
  <si>
    <t>21 Gävleborgs län</t>
  </si>
  <si>
    <t>22 Västernorrlands län</t>
  </si>
  <si>
    <t>23 Jämtlands län</t>
  </si>
  <si>
    <t>24 Västerbottens län</t>
  </si>
  <si>
    <t>25 Norrbottens län</t>
  </si>
  <si>
    <t>Slakt, kor</t>
  </si>
  <si>
    <t>slakt, kvigor</t>
  </si>
  <si>
    <t>slakt, stutar</t>
  </si>
  <si>
    <t>slakt, tjurar</t>
  </si>
  <si>
    <t>Djur i december</t>
  </si>
  <si>
    <t>Hela riket</t>
  </si>
  <si>
    <t>Götalands södra slättbygder</t>
  </si>
  <si>
    <t>Götalands mellanbygder</t>
  </si>
  <si>
    <t>Götalands skogsbygder</t>
  </si>
  <si>
    <t>Götalands norra slättbygder</t>
  </si>
  <si>
    <t>Svealands slättbygder</t>
  </si>
  <si>
    <t>Mellersta Sveriges skogsbygder</t>
  </si>
  <si>
    <t>Nedre Norrland</t>
  </si>
  <si>
    <t>Övre Norrland</t>
  </si>
  <si>
    <t>slakt, kalvar</t>
  </si>
  <si>
    <t>Ungdjur flyttas från norra Sverige till södra</t>
  </si>
  <si>
    <t>slakt, total (exkl. kor)</t>
  </si>
  <si>
    <t>slakt, total</t>
  </si>
  <si>
    <t>Andel eko, medel 2016-2020</t>
  </si>
  <si>
    <t>Kor för mjölkproduktion</t>
  </si>
  <si>
    <t>Kor för uppfödning av kalvar</t>
  </si>
  <si>
    <t>Slaktstatistik, 1000-tal slaktade djur, medel 2016-2020</t>
  </si>
  <si>
    <t>Okänd</t>
  </si>
  <si>
    <t>Ungko</t>
  </si>
  <si>
    <t>Ko</t>
  </si>
  <si>
    <t>Kviga</t>
  </si>
  <si>
    <t>Mellankalv</t>
  </si>
  <si>
    <t>Stut</t>
  </si>
  <si>
    <t>Ungtjur</t>
  </si>
  <si>
    <t>Yngre tjur</t>
  </si>
  <si>
    <t>Äldre tjur</t>
  </si>
  <si>
    <t>Antal djur i juni, medel 2016-2020</t>
  </si>
  <si>
    <t>Kor - totalt</t>
  </si>
  <si>
    <t>Nötkreatur - totalt</t>
  </si>
  <si>
    <t>Antal djur i december, medel 2016-2020</t>
  </si>
  <si>
    <t>Djur</t>
  </si>
  <si>
    <t>Ras</t>
  </si>
  <si>
    <t>År</t>
  </si>
  <si>
    <t>Antal djur</t>
  </si>
  <si>
    <t>Slaktvikt (kg)</t>
  </si>
  <si>
    <t>Fettgrupp</t>
  </si>
  <si>
    <t>Formklass</t>
  </si>
  <si>
    <t>Ålder (månader)</t>
  </si>
  <si>
    <t>Slaktvikt*Antal</t>
  </si>
  <si>
    <t>Ålder*Antal</t>
  </si>
  <si>
    <t>(Multiple Items)</t>
  </si>
  <si>
    <t>ko</t>
  </si>
  <si>
    <t>01 SRB</t>
  </si>
  <si>
    <t>Row Labels</t>
  </si>
  <si>
    <t>Sum of Antal djur</t>
  </si>
  <si>
    <t>Sum of Slaktvikt*Antal</t>
  </si>
  <si>
    <t>Sum of Ålder*Antal</t>
  </si>
  <si>
    <t>Mjölkras</t>
  </si>
  <si>
    <t>ko, tot</t>
  </si>
  <si>
    <t>ungko</t>
  </si>
  <si>
    <t>02 SLB</t>
  </si>
  <si>
    <t>kviga</t>
  </si>
  <si>
    <t>stut</t>
  </si>
  <si>
    <t>tjur, tot</t>
  </si>
  <si>
    <t>ungtjur</t>
  </si>
  <si>
    <t>08 Hereford</t>
  </si>
  <si>
    <t>yngre tjur</t>
  </si>
  <si>
    <t>Köttras</t>
  </si>
  <si>
    <t>09 Charolais</t>
  </si>
  <si>
    <t>11 Aberdeen Angus</t>
  </si>
  <si>
    <t>Korsning/övriga raser</t>
  </si>
  <si>
    <t>12 Limousin</t>
  </si>
  <si>
    <t>14 Simmental</t>
  </si>
  <si>
    <t>Grand Total</t>
  </si>
  <si>
    <t>16 Highland Cattle</t>
  </si>
  <si>
    <t>18 Blonde D´Aquitaine</t>
  </si>
  <si>
    <t>99 Korsning/övriga raser</t>
  </si>
  <si>
    <t>Medel 2016-2020</t>
  </si>
  <si>
    <t>Ålder (mån)</t>
  </si>
  <si>
    <t>Antal</t>
  </si>
  <si>
    <t>Andel av slaktade ungdjur (%)</t>
  </si>
  <si>
    <t>Kött+korsn./övr.</t>
  </si>
  <si>
    <t>Totalt</t>
  </si>
  <si>
    <t>Ko, tot</t>
  </si>
  <si>
    <t>Medelvärde för 2015-2019</t>
  </si>
  <si>
    <t>Födelsevikt (kg)</t>
  </si>
  <si>
    <t>Klass</t>
  </si>
  <si>
    <t>Fett</t>
  </si>
  <si>
    <t>Slakttillväxt</t>
  </si>
  <si>
    <t>Mjölkraser</t>
  </si>
  <si>
    <t>Kor</t>
  </si>
  <si>
    <t>Ålder kor</t>
  </si>
  <si>
    <t>år</t>
  </si>
  <si>
    <t>Kvigor</t>
  </si>
  <si>
    <t>Andel stut</t>
  </si>
  <si>
    <t>SJB</t>
  </si>
  <si>
    <t>SKB</t>
  </si>
  <si>
    <t>SLB (Svensk Holstein)</t>
  </si>
  <si>
    <t>SRB</t>
  </si>
  <si>
    <t>Korsning</t>
  </si>
  <si>
    <t>Köttraser</t>
  </si>
  <si>
    <t>Lätta köttraser</t>
  </si>
  <si>
    <t>Angus</t>
  </si>
  <si>
    <t>Hereford</t>
  </si>
  <si>
    <t>Higland Cattle</t>
  </si>
  <si>
    <t>Belted Galloway</t>
  </si>
  <si>
    <t>Tunga köttraser</t>
  </si>
  <si>
    <t>Blonde d’aquitaine</t>
  </si>
  <si>
    <t>Charolais</t>
  </si>
  <si>
    <t>Chianina</t>
  </si>
  <si>
    <t>Dexter</t>
  </si>
  <si>
    <t>Limousin</t>
  </si>
  <si>
    <t>Simmental</t>
  </si>
  <si>
    <t>SJV Stat</t>
  </si>
  <si>
    <t>Växa</t>
  </si>
  <si>
    <t>Mjölkkor</t>
  </si>
  <si>
    <t>…per ko</t>
  </si>
  <si>
    <t>tot</t>
  </si>
  <si>
    <t>konv</t>
  </si>
  <si>
    <t>eko</t>
  </si>
  <si>
    <t>% mejeri</t>
  </si>
  <si>
    <t>SJV/Växa</t>
  </si>
  <si>
    <t>Kvantitet invägd mjölk, 1 000 ton</t>
  </si>
  <si>
    <t>Genomsnittlig fetthalt på invägd mjölk, procent</t>
  </si>
  <si>
    <t>Genomsnittlig proteinhalt på invägd mjölk, procent</t>
  </si>
  <si>
    <t>Mjölk per ko</t>
  </si>
  <si>
    <t>Ökning per 5 år</t>
  </si>
  <si>
    <t>Jordbruksverkets statistik</t>
  </si>
  <si>
    <t>Växa statistik</t>
  </si>
  <si>
    <t>Mjölkproduktion</t>
  </si>
  <si>
    <t>Snitt (2016-2020) justerat utifrån inväg mjölk</t>
  </si>
  <si>
    <t>milk_to_dairy</t>
  </si>
  <si>
    <t>Växa + Swedish Board of Agriculture</t>
  </si>
  <si>
    <t>Invägd mjölk 1000 ton</t>
  </si>
  <si>
    <t>ECM</t>
  </si>
  <si>
    <t>f_prod_system</t>
  </si>
  <si>
    <t>live_weight_slaughter</t>
  </si>
  <si>
    <t>Milk production</t>
  </si>
  <si>
    <t>Fertility etc.</t>
  </si>
  <si>
    <t>Live weights</t>
  </si>
  <si>
    <t>live_weight</t>
  </si>
  <si>
    <t>Mortality</t>
  </si>
  <si>
    <t>Slaughter</t>
  </si>
  <si>
    <t>Dairy</t>
  </si>
  <si>
    <t>Beef</t>
  </si>
  <si>
    <t>Not used yet</t>
  </si>
  <si>
    <t>Animal redistribution</t>
  </si>
  <si>
    <t>val_is</t>
  </si>
  <si>
    <t>rel</t>
  </si>
  <si>
    <t>mjölkkor</t>
  </si>
  <si>
    <t>dikor</t>
  </si>
  <si>
    <t>Från modell</t>
  </si>
  <si>
    <t>Kontroll</t>
  </si>
  <si>
    <t>PROCENT EKOLOGISK</t>
  </si>
  <si>
    <t>Tjur, tot</t>
  </si>
  <si>
    <t>Kor, tot</t>
  </si>
  <si>
    <t>Total</t>
  </si>
  <si>
    <t>Överföring djur eko -&gt; konv</t>
  </si>
  <si>
    <t>tjurkalvar</t>
  </si>
  <si>
    <t>kvigkalvar</t>
  </si>
  <si>
    <t>(uppskattat baserat på stat.)</t>
  </si>
  <si>
    <t>Total, exkl kor</t>
  </si>
  <si>
    <t>adj</t>
  </si>
  <si>
    <t>Victora Thullier LRF</t>
  </si>
  <si>
    <t>Ekologiska lantbrukarna</t>
  </si>
  <si>
    <t>f_feed</t>
  </si>
  <si>
    <t>share_in_ration</t>
  </si>
  <si>
    <t>% of DM</t>
  </si>
  <si>
    <t>live_weight_1yr</t>
  </si>
  <si>
    <t>Strid, Röös &amp; Tidåker. (2014). Förluster av svenskt nötkött inom primärproduktion och slakt. SJV Rapport 2014:07</t>
  </si>
  <si>
    <t>Calculated from slaughter weight and 50% slaughter yeild</t>
  </si>
  <si>
    <t xml:space="preserve"> Strid, Roos &amp; Tidaker (2014)</t>
  </si>
  <si>
    <t>Calculated from slaughter weight and 47% slaughter yeild</t>
  </si>
  <si>
    <r>
      <t xml:space="preserve">share of milk delivered to dairy </t>
    </r>
    <r>
      <rPr>
        <sz val="11"/>
        <color rgb="FFFF0000"/>
        <rFont val="Calibri"/>
        <family val="2"/>
        <scheme val="minor"/>
      </rPr>
      <t>(sould incl. home cons.)</t>
    </r>
  </si>
  <si>
    <t>f_from_ps</t>
  </si>
  <si>
    <t>f_to_ps</t>
  </si>
  <si>
    <t>redist_male_calves</t>
  </si>
  <si>
    <t>redist_female_calves</t>
  </si>
  <si>
    <t>jmf. SJV eko</t>
  </si>
  <si>
    <t>of weaned calves (estimated from animal and slaughter statistics)</t>
  </si>
  <si>
    <t>Male calves 2 weaned before redist</t>
  </si>
  <si>
    <t>Female calves 2 weaned before redist</t>
  </si>
  <si>
    <t>birth_weight</t>
  </si>
  <si>
    <t>7th</t>
  </si>
  <si>
    <t>8th</t>
  </si>
  <si>
    <t>9th</t>
  </si>
  <si>
    <t>Month</t>
  </si>
  <si>
    <t>LW</t>
  </si>
  <si>
    <t>ROUGH based on slaughter weight of calves. Need to separate heifers, steers and bulls?</t>
  </si>
  <si>
    <t>Energy for gestation</t>
  </si>
  <si>
    <t>Total energy (incl milk) for calves</t>
  </si>
  <si>
    <t>Omsättbar energi, MJ</t>
  </si>
  <si>
    <t>Viktökning, g per dag</t>
  </si>
  <si>
    <t>Levande vikt</t>
  </si>
  <si>
    <t>WG</t>
  </si>
  <si>
    <t>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</si>
  <si>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</si>
  <si>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</si>
  <si>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</si>
  <si>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</si>
  <si>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</si>
  <si>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</si>
  <si>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</si>
  <si>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</si>
  <si>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</si>
  <si>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</si>
  <si>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</si>
  <si>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</si>
  <si>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</si>
  <si>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</si>
  <si>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</si>
  <si>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</si>
  <si>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</si>
  <si>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</si>
  <si>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</si>
  <si>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</si>
  <si>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</si>
  <si>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</si>
  <si>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</si>
  <si>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</si>
  <si>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</si>
  <si>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ME</t>
  </si>
  <si>
    <t>Residuals</t>
  </si>
  <si>
    <t>Standard Residuals</t>
  </si>
  <si>
    <t>LW^0.75</t>
  </si>
  <si>
    <t>INT</t>
  </si>
  <si>
    <t>Viktökning, kg per dag</t>
  </si>
  <si>
    <t>live_weight_weaning</t>
  </si>
  <si>
    <t>Ekvation beräknad från tabell</t>
  </si>
  <si>
    <t>Mikaela???</t>
  </si>
  <si>
    <t>Mikaela??? Calculated assuming linear growth</t>
  </si>
  <si>
    <t>Samma ekv som växande nöt</t>
  </si>
  <si>
    <t>Ekvation baserad på tabell ovan</t>
  </si>
  <si>
    <t>Total incl. for calves</t>
  </si>
  <si>
    <t>f_sub_system</t>
  </si>
  <si>
    <t>wheat</t>
  </si>
  <si>
    <t>Avg</t>
  </si>
  <si>
    <t>Organic</t>
  </si>
  <si>
    <t>farms</t>
  </si>
  <si>
    <t>cows/farm</t>
  </si>
  <si>
    <t>Conventional</t>
  </si>
  <si>
    <t>Breeding bulls per cow:</t>
  </si>
  <si>
    <t>Number of suckler cows per farm. Used to assume number of breeding bulls (i.e. one per farm)</t>
  </si>
  <si>
    <t>breeding_bulls_per_cow</t>
  </si>
  <si>
    <t>nr</t>
  </si>
  <si>
    <t>(estimated from animal and slaughter statistics)</t>
  </si>
  <si>
    <t>Feed rations</t>
  </si>
  <si>
    <t>Feed requirements</t>
  </si>
  <si>
    <t>maintanance_energy_factor</t>
  </si>
  <si>
    <t>MJ ME/kg LW^0.75</t>
  </si>
  <si>
    <t>Spörndly (2003). Tabell 1</t>
  </si>
  <si>
    <t>Spörndly (2003). Tabell 1&amp;7</t>
  </si>
  <si>
    <t>Spörndly (2003). Tabell 4a</t>
  </si>
  <si>
    <t>gestation_energy_factor</t>
  </si>
  <si>
    <t>MJ ME/kg LW</t>
  </si>
  <si>
    <t>7th (LW*0.013 MJ/day), 8th (LW*0.021 MJ/day) and 9th (LW*0.038 MJ/day) month deduced from (Tabell 1)</t>
  </si>
  <si>
    <t>3.6 MJ/day per 100 kg LW the last 8 weeks (Tabell 7)</t>
  </si>
  <si>
    <t>Spörndly (2003). Tabell 7</t>
  </si>
  <si>
    <t>energy_adjustment_factor</t>
  </si>
  <si>
    <t>Spörndly (2003). Tabell 4b</t>
  </si>
  <si>
    <t>Avg. heavy and light beef breeds</t>
  </si>
  <si>
    <t>energy_adjustment_addend</t>
  </si>
  <si>
    <t>MJ ME/kg ECM</t>
  </si>
  <si>
    <t>lactation_energy_factor</t>
  </si>
  <si>
    <t>-</t>
  </si>
  <si>
    <t>grazing</t>
  </si>
  <si>
    <t>Fallback</t>
  </si>
  <si>
    <t>breeding bulls</t>
  </si>
  <si>
    <t>straw</t>
  </si>
  <si>
    <t>barley</t>
  </si>
  <si>
    <t>rapeseed meal</t>
  </si>
  <si>
    <t>wheat distillers grain, dry</t>
  </si>
  <si>
    <t>maize based</t>
  </si>
  <si>
    <t>maize silage</t>
  </si>
  <si>
    <t>sugar beet pulp</t>
  </si>
  <si>
    <t>wheat bran</t>
  </si>
  <si>
    <t>ley silage, 1st cut</t>
  </si>
  <si>
    <t>ley silage, regrowth</t>
  </si>
  <si>
    <t>other silage</t>
  </si>
  <si>
    <t>Gsk</t>
  </si>
  <si>
    <t>Gns</t>
  </si>
  <si>
    <t>Nn</t>
  </si>
  <si>
    <t>Diko</t>
  </si>
  <si>
    <t>Avelstjur</t>
  </si>
  <si>
    <r>
      <t>Vallensilage, sent, kg ts</t>
    </r>
    <r>
      <rPr>
        <sz val="7"/>
        <color indexed="8"/>
        <rFont val="Tahoma"/>
        <family val="1"/>
        <charset val="204"/>
      </rPr>
      <t>b</t>
    </r>
  </si>
  <si>
    <r>
      <t>Helsädesensilage, kg ts</t>
    </r>
    <r>
      <rPr>
        <sz val="7"/>
        <color indexed="8"/>
        <rFont val="Tahoma"/>
        <family val="1"/>
        <charset val="204"/>
      </rPr>
      <t>b</t>
    </r>
  </si>
  <si>
    <r>
      <t>Halm, kg</t>
    </r>
    <r>
      <rPr>
        <sz val="7"/>
        <color indexed="8"/>
        <rFont val="Tahoma"/>
        <family val="1"/>
        <charset val="204"/>
      </rPr>
      <t>b</t>
    </r>
  </si>
  <si>
    <r>
      <t>Permanent bete, kg ts</t>
    </r>
    <r>
      <rPr>
        <sz val="7"/>
        <color indexed="8"/>
        <rFont val="Tahoma"/>
        <family val="1"/>
        <charset val="204"/>
      </rPr>
      <t>c</t>
    </r>
  </si>
  <si>
    <r>
      <t>Vallåterväxt, kg ts</t>
    </r>
    <r>
      <rPr>
        <sz val="7"/>
        <color indexed="8"/>
        <rFont val="Tahoma"/>
        <family val="1"/>
        <charset val="204"/>
      </rPr>
      <t>c</t>
    </r>
  </si>
  <si>
    <t>Mineraler, kg</t>
  </si>
  <si>
    <t>Tabell 10</t>
  </si>
  <si>
    <t>Ahlgren et al 2022</t>
  </si>
  <si>
    <t>minerals</t>
  </si>
  <si>
    <t>Heifers, steers and calves</t>
  </si>
  <si>
    <t>Köttrastjur</t>
  </si>
  <si>
    <t>Köttrasstut</t>
  </si>
  <si>
    <t>Köttraskviga</t>
  </si>
  <si>
    <r>
      <t>Vallensilage, tidigt, kg ts</t>
    </r>
    <r>
      <rPr>
        <sz val="6"/>
        <color indexed="8"/>
        <rFont val="Tahoma"/>
        <family val="1"/>
        <charset val="204"/>
      </rPr>
      <t>b</t>
    </r>
  </si>
  <si>
    <t>Vallensilage, medelsen, kg ts</t>
  </si>
  <si>
    <t>Vallensilage, klöverrikt, kg ts</t>
  </si>
  <si>
    <t>Majsensilage, kg ts</t>
  </si>
  <si>
    <r>
      <t>Spannmål, kg</t>
    </r>
    <r>
      <rPr>
        <sz val="6"/>
        <color indexed="8"/>
        <rFont val="Tahoma"/>
        <family val="1"/>
        <charset val="204"/>
      </rPr>
      <t>c</t>
    </r>
  </si>
  <si>
    <t>Åkerböna/ärt, kg</t>
  </si>
  <si>
    <t>Färdigfoder, kg</t>
  </si>
  <si>
    <t>Mjölkrastjur</t>
  </si>
  <si>
    <t>Mjölkrasstut</t>
  </si>
  <si>
    <t># Dikor (2018)</t>
  </si>
  <si>
    <t># Mjölkkor (2018)</t>
  </si>
  <si>
    <t>peas</t>
  </si>
  <si>
    <t>oats</t>
  </si>
  <si>
    <t>Tabell 11</t>
  </si>
  <si>
    <t>Tabell 12</t>
  </si>
  <si>
    <t>Feed name</t>
  </si>
  <si>
    <t>Grain maize</t>
  </si>
  <si>
    <t>Distiller’s dried grain</t>
  </si>
  <si>
    <t>Bran, middlings, etc.</t>
  </si>
  <si>
    <t>Palm kernel expeller</t>
  </si>
  <si>
    <t>Soybeans, whole</t>
  </si>
  <si>
    <t>Soybean meal via feed industry</t>
  </si>
  <si>
    <t>Rapeseed, whole</t>
  </si>
  <si>
    <t>Rapeseed meal</t>
  </si>
  <si>
    <t>Sunflower meal</t>
  </si>
  <si>
    <t>Fat</t>
  </si>
  <si>
    <t>Minerals</t>
  </si>
  <si>
    <t>Other</t>
  </si>
  <si>
    <t>Luzern meal</t>
  </si>
  <si>
    <t>Potatoe protein</t>
  </si>
  <si>
    <t>Share</t>
  </si>
  <si>
    <t>import</t>
  </si>
  <si>
    <t>share</t>
  </si>
  <si>
    <t>DM</t>
  </si>
  <si>
    <t>Supplementary Material</t>
  </si>
  <si>
    <t>Beet molasses</t>
  </si>
  <si>
    <t>Beet pulp</t>
  </si>
  <si>
    <t>feed</t>
  </si>
  <si>
    <t>concentrates</t>
  </si>
  <si>
    <t>cereals</t>
  </si>
  <si>
    <t>grain legumes</t>
  </si>
  <si>
    <t>rye</t>
  </si>
  <si>
    <t>maize</t>
  </si>
  <si>
    <t>palm kernel expeller</t>
  </si>
  <si>
    <t>soybeans</t>
  </si>
  <si>
    <t>broad beans</t>
  </si>
  <si>
    <t>soybean meal</t>
  </si>
  <si>
    <t>rapeseed</t>
  </si>
  <si>
    <t>sunflower seed meal</t>
  </si>
  <si>
    <t>luzern meal</t>
  </si>
  <si>
    <t>potatoe protein</t>
  </si>
  <si>
    <t>vegetable oils</t>
  </si>
  <si>
    <t>sugar beet molasses</t>
  </si>
  <si>
    <t>breed</t>
  </si>
  <si>
    <t>sub_system</t>
  </si>
  <si>
    <t>animal</t>
  </si>
  <si>
    <t>triticale</t>
  </si>
  <si>
    <t>Triticale</t>
  </si>
  <si>
    <t>Oats</t>
  </si>
  <si>
    <t>Barley</t>
  </si>
  <si>
    <t>Wheat</t>
  </si>
  <si>
    <t>Einarsson et al 2022</t>
  </si>
  <si>
    <t>Peas</t>
  </si>
  <si>
    <t>Faba beans</t>
  </si>
  <si>
    <t>FEED RATIONS</t>
  </si>
  <si>
    <t>Grain legumes (on-farm)</t>
  </si>
  <si>
    <t>Cereals (on-farm)</t>
  </si>
  <si>
    <t>Feeds via feed industry</t>
  </si>
  <si>
    <t>to dairy</t>
  </si>
  <si>
    <t>Mjölkko</t>
  </si>
  <si>
    <t>vall</t>
  </si>
  <si>
    <t>majs</t>
  </si>
  <si>
    <t xml:space="preserve">Mikaela Lindberg </t>
  </si>
  <si>
    <t>pers. com. 2023-04</t>
  </si>
  <si>
    <t>slaughter_share_as_calf</t>
  </si>
  <si>
    <t>som kalv</t>
  </si>
  <si>
    <t>som stut (av handjur)</t>
  </si>
  <si>
    <t>slaughter_share_male_as_steers</t>
  </si>
  <si>
    <t>share of young animals slaughtered as calves (&lt;1 yr)</t>
  </si>
  <si>
    <t>share of males slaughtered as steers</t>
  </si>
  <si>
    <t>milk kg x 0,25 + fat kg x 12,2 + protein kg x 7,7</t>
  </si>
  <si>
    <t>Hessle (2016)  in Bertilsson (2016)</t>
  </si>
  <si>
    <t>Assumes same as dairy cows</t>
  </si>
  <si>
    <t>Converted from ECM. 2013 kg ECM/cow/year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</si>
</sst>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#,##0.0"/>
    <numFmt numFmtId="167" formatCode="0.000"/>
    <numFmt numFmtId="168" formatCode="0.0%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0"/>
      <name val="Times New Roman"/>
      <family val="1"/>
      <charset val="204"/>
    </font>
    <font>
      <sz val="12"/>
      <color indexed="8"/>
      <name val="Arial"/>
      <family val="2"/>
    </font>
    <font>
      <b/>
      <sz val="12"/>
      <color indexed="8"/>
      <name val="Arial"/>
      <family val="1"/>
      <charset val="204"/>
    </font>
    <font>
      <b/>
      <sz val="11"/>
      <color indexed="8"/>
      <name val="Arial"/>
      <family val="1"/>
      <charset val="204"/>
    </font>
    <font>
      <b/>
      <sz val="11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sz val="11"/>
      <color rgb="FF7030A0"/>
      <name val="Calibri"/>
      <family val="2"/>
      <scheme val="minor"/>
    </font>
    <font>
      <sz val="7"/>
      <color indexed="8"/>
      <name val="Tahoma"/>
      <family val="1"/>
      <charset val="204"/>
    </font>
    <font>
      <sz val="11"/>
      <color rgb="FF00B0F0"/>
      <name val="Calibri"/>
      <family val="2"/>
      <scheme val="minor"/>
    </font>
    <font>
      <sz val="6"/>
      <color indexed="8"/>
      <name val="Tahoma"/>
      <family val="1"/>
      <charset val="204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  <font>
      <sz val="11"/>
      <color rgb="FF6A9955"/>
      <name val="Consolas"/>
      <family val="3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33" borderId="0" xfId="0" applyNumberFormat="1" applyFill="1"/>
    <xf numFmtId="0" fontId="18" fillId="0" borderId="0" xfId="0" applyFont="1"/>
    <xf numFmtId="165" fontId="0" fillId="0" borderId="0" xfId="0" applyNumberFormat="1"/>
    <xf numFmtId="0" fontId="16" fillId="0" borderId="0" xfId="0" applyFont="1"/>
    <xf numFmtId="0" fontId="18" fillId="0" borderId="10" xfId="0" applyFont="1" applyBorder="1"/>
    <xf numFmtId="0" fontId="0" fillId="0" borderId="11" xfId="0" applyBorder="1"/>
    <xf numFmtId="0" fontId="18" fillId="0" borderId="11" xfId="0" applyFont="1" applyBorder="1"/>
    <xf numFmtId="0" fontId="0" fillId="0" borderId="12" xfId="0" applyBorder="1"/>
    <xf numFmtId="3" fontId="19" fillId="33" borderId="0" xfId="0" applyNumberFormat="1" applyFont="1" applyFill="1"/>
    <xf numFmtId="3" fontId="0" fillId="0" borderId="0" xfId="0" applyNumberFormat="1"/>
    <xf numFmtId="164" fontId="0" fillId="0" borderId="0" xfId="0" applyNumberFormat="1"/>
    <xf numFmtId="0" fontId="0" fillId="0" borderId="13" xfId="0" applyBorder="1"/>
    <xf numFmtId="0" fontId="0" fillId="0" borderId="0" xfId="0" applyBorder="1"/>
    <xf numFmtId="166" fontId="0" fillId="0" borderId="0" xfId="0" applyNumberFormat="1" applyBorder="1"/>
    <xf numFmtId="166" fontId="20" fillId="0" borderId="0" xfId="0" applyNumberFormat="1" applyFont="1" applyBorder="1"/>
    <xf numFmtId="0" fontId="0" fillId="0" borderId="14" xfId="0" applyBorder="1"/>
    <xf numFmtId="164" fontId="0" fillId="0" borderId="0" xfId="0" applyNumberFormat="1" applyBorder="1"/>
    <xf numFmtId="166" fontId="21" fillId="0" borderId="0" xfId="0" applyNumberFormat="1" applyFont="1" applyBorder="1"/>
    <xf numFmtId="0" fontId="22" fillId="0" borderId="0" xfId="0" applyFont="1" applyBorder="1"/>
    <xf numFmtId="164" fontId="22" fillId="0" borderId="0" xfId="0" applyNumberFormat="1" applyFont="1" applyBorder="1"/>
    <xf numFmtId="164" fontId="20" fillId="0" borderId="0" xfId="0" applyNumberFormat="1" applyFont="1" applyBorder="1"/>
    <xf numFmtId="0" fontId="0" fillId="0" borderId="0" xfId="0" applyFill="1" applyBorder="1"/>
    <xf numFmtId="0" fontId="0" fillId="0" borderId="13" xfId="0" applyFill="1" applyBorder="1"/>
    <xf numFmtId="9" fontId="0" fillId="0" borderId="0" xfId="42" applyFont="1"/>
    <xf numFmtId="0" fontId="23" fillId="0" borderId="0" xfId="0" applyFont="1"/>
    <xf numFmtId="2" fontId="22" fillId="0" borderId="0" xfId="0" applyNumberFormat="1" applyFont="1" applyBorder="1"/>
    <xf numFmtId="165" fontId="0" fillId="0" borderId="0" xfId="0" applyNumberFormat="1" applyBorder="1"/>
    <xf numFmtId="167" fontId="0" fillId="0" borderId="0" xfId="0" applyNumberFormat="1" applyBorder="1"/>
    <xf numFmtId="4" fontId="21" fillId="0" borderId="0" xfId="0" applyNumberFormat="1" applyFont="1" applyBorder="1"/>
    <xf numFmtId="0" fontId="0" fillId="0" borderId="0" xfId="0" applyFill="1"/>
    <xf numFmtId="3" fontId="21" fillId="0" borderId="0" xfId="0" applyNumberFormat="1" applyFont="1" applyBorder="1"/>
    <xf numFmtId="1" fontId="0" fillId="0" borderId="0" xfId="0" applyNumberFormat="1" applyBorder="1"/>
    <xf numFmtId="0" fontId="16" fillId="0" borderId="13" xfId="0" applyFont="1" applyBorder="1"/>
    <xf numFmtId="0" fontId="23" fillId="0" borderId="0" xfId="0" applyFont="1" applyBorder="1"/>
    <xf numFmtId="0" fontId="21" fillId="0" borderId="0" xfId="0" applyFont="1" applyBorder="1"/>
    <xf numFmtId="0" fontId="20" fillId="0" borderId="0" xfId="0" applyFont="1" applyBorder="1"/>
    <xf numFmtId="0" fontId="0" fillId="0" borderId="0" xfId="42" applyNumberFormat="1" applyFont="1"/>
    <xf numFmtId="164" fontId="21" fillId="0" borderId="0" xfId="0" applyNumberFormat="1" applyFont="1" applyBorder="1"/>
    <xf numFmtId="0" fontId="24" fillId="0" borderId="0" xfId="0" applyFont="1" applyBorder="1"/>
    <xf numFmtId="168" fontId="0" fillId="0" borderId="0" xfId="42" applyNumberFormat="1" applyFont="1"/>
    <xf numFmtId="0" fontId="16" fillId="0" borderId="13" xfId="0" applyFont="1" applyFill="1" applyBorder="1"/>
    <xf numFmtId="1" fontId="21" fillId="0" borderId="0" xfId="0" applyNumberFormat="1" applyFont="1" applyBorder="1"/>
    <xf numFmtId="4" fontId="0" fillId="0" borderId="0" xfId="0" applyNumberFormat="1"/>
    <xf numFmtId="164" fontId="0" fillId="0" borderId="16" xfId="0" applyNumberFormat="1" applyBorder="1"/>
    <xf numFmtId="0" fontId="0" fillId="0" borderId="16" xfId="0" applyBorder="1"/>
    <xf numFmtId="0" fontId="16" fillId="34" borderId="0" xfId="0" applyFont="1" applyFill="1"/>
    <xf numFmtId="0" fontId="0" fillId="34" borderId="0" xfId="0" applyFill="1"/>
    <xf numFmtId="3" fontId="0" fillId="34" borderId="0" xfId="0" applyNumberFormat="1" applyFill="1"/>
    <xf numFmtId="9" fontId="0" fillId="34" borderId="0" xfId="42" applyFont="1" applyFill="1"/>
    <xf numFmtId="0" fontId="23" fillId="34" borderId="0" xfId="0" applyFont="1" applyFill="1"/>
    <xf numFmtId="9" fontId="0" fillId="34" borderId="18" xfId="42" applyFont="1" applyFill="1" applyBorder="1"/>
    <xf numFmtId="9" fontId="0" fillId="34" borderId="19" xfId="42" applyFont="1" applyFill="1" applyBorder="1"/>
    <xf numFmtId="9" fontId="0" fillId="34" borderId="20" xfId="42" applyFont="1" applyFill="1" applyBorder="1"/>
    <xf numFmtId="9" fontId="0" fillId="34" borderId="21" xfId="42" applyFont="1" applyFill="1" applyBorder="1"/>
    <xf numFmtId="9" fontId="0" fillId="34" borderId="22" xfId="42" applyFont="1" applyFill="1" applyBorder="1"/>
    <xf numFmtId="9" fontId="0" fillId="34" borderId="23" xfId="42" applyFont="1" applyFill="1" applyBorder="1"/>
    <xf numFmtId="9" fontId="0" fillId="34" borderId="24" xfId="42" applyFont="1" applyFill="1" applyBorder="1"/>
    <xf numFmtId="9" fontId="0" fillId="34" borderId="25" xfId="42" applyFont="1" applyFill="1" applyBorder="1"/>
    <xf numFmtId="0" fontId="0" fillId="34" borderId="0" xfId="0" applyFill="1" applyBorder="1"/>
    <xf numFmtId="164" fontId="0" fillId="34" borderId="0" xfId="0" applyNumberFormat="1" applyFill="1" applyBorder="1"/>
    <xf numFmtId="0" fontId="14" fillId="34" borderId="0" xfId="0" applyFont="1" applyFill="1"/>
    <xf numFmtId="164" fontId="0" fillId="34" borderId="0" xfId="0" applyNumberFormat="1" applyFill="1"/>
    <xf numFmtId="3" fontId="0" fillId="0" borderId="0" xfId="0" applyNumberForma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" fontId="16" fillId="0" borderId="0" xfId="0" applyNumberFormat="1" applyFont="1"/>
    <xf numFmtId="1" fontId="16" fillId="35" borderId="0" xfId="0" applyNumberFormat="1" applyFont="1" applyFill="1"/>
    <xf numFmtId="1" fontId="0" fillId="0" borderId="0" xfId="0" applyNumberFormat="1" applyFont="1"/>
    <xf numFmtId="1" fontId="0" fillId="35" borderId="0" xfId="0" applyNumberFormat="1" applyFill="1"/>
    <xf numFmtId="1" fontId="0" fillId="35" borderId="0" xfId="0" applyNumberFormat="1" applyFont="1" applyFill="1"/>
    <xf numFmtId="0" fontId="16" fillId="36" borderId="0" xfId="0" applyFont="1" applyFill="1"/>
    <xf numFmtId="0" fontId="0" fillId="36" borderId="0" xfId="0" applyFont="1" applyFill="1"/>
    <xf numFmtId="3" fontId="0" fillId="36" borderId="0" xfId="0" applyNumberFormat="1" applyFont="1" applyFill="1"/>
    <xf numFmtId="164" fontId="0" fillId="36" borderId="0" xfId="0" applyNumberFormat="1" applyFont="1" applyFill="1"/>
    <xf numFmtId="0" fontId="0" fillId="34" borderId="0" xfId="0" applyFont="1" applyFill="1"/>
    <xf numFmtId="1" fontId="0" fillId="34" borderId="0" xfId="0" applyNumberFormat="1" applyFill="1"/>
    <xf numFmtId="0" fontId="16" fillId="37" borderId="0" xfId="0" applyFont="1" applyFill="1"/>
    <xf numFmtId="0" fontId="0" fillId="37" borderId="0" xfId="0" applyFont="1" applyFill="1"/>
    <xf numFmtId="3" fontId="0" fillId="37" borderId="0" xfId="0" applyNumberFormat="1" applyFont="1" applyFill="1"/>
    <xf numFmtId="164" fontId="0" fillId="37" borderId="0" xfId="0" applyNumberFormat="1" applyFont="1" applyFill="1"/>
    <xf numFmtId="0" fontId="0" fillId="38" borderId="0" xfId="0" applyFont="1" applyFill="1"/>
    <xf numFmtId="3" fontId="0" fillId="38" borderId="0" xfId="0" applyNumberFormat="1" applyFont="1" applyFill="1"/>
    <xf numFmtId="164" fontId="0" fillId="38" borderId="0" xfId="0" applyNumberFormat="1" applyFont="1" applyFill="1"/>
    <xf numFmtId="0" fontId="0" fillId="33" borderId="0" xfId="0" applyFill="1"/>
    <xf numFmtId="0" fontId="0" fillId="33" borderId="0" xfId="0" applyFont="1" applyFill="1"/>
    <xf numFmtId="3" fontId="0" fillId="33" borderId="0" xfId="0" applyNumberFormat="1" applyFill="1"/>
    <xf numFmtId="0" fontId="14" fillId="0" borderId="0" xfId="0" applyFont="1"/>
    <xf numFmtId="0" fontId="18" fillId="35" borderId="0" xfId="0" applyFont="1" applyFill="1"/>
    <xf numFmtId="0" fontId="0" fillId="35" borderId="0" xfId="0" applyFill="1"/>
    <xf numFmtId="2" fontId="0" fillId="35" borderId="0" xfId="0" applyNumberFormat="1" applyFill="1"/>
    <xf numFmtId="0" fontId="16" fillId="39" borderId="0" xfId="0" applyFont="1" applyFill="1"/>
    <xf numFmtId="0" fontId="0" fillId="39" borderId="0" xfId="0" applyFill="1"/>
    <xf numFmtId="2" fontId="0" fillId="39" borderId="0" xfId="0" applyNumberFormat="1" applyFill="1"/>
    <xf numFmtId="0" fontId="16" fillId="38" borderId="0" xfId="0" applyFont="1" applyFill="1"/>
    <xf numFmtId="0" fontId="0" fillId="38" borderId="0" xfId="0" applyFill="1"/>
    <xf numFmtId="166" fontId="0" fillId="34" borderId="0" xfId="0" applyNumberFormat="1" applyFill="1"/>
    <xf numFmtId="164" fontId="16" fillId="0" borderId="13" xfId="0" applyNumberFormat="1" applyFont="1" applyBorder="1"/>
    <xf numFmtId="164" fontId="0" fillId="0" borderId="13" xfId="0" applyNumberFormat="1" applyBorder="1"/>
    <xf numFmtId="164" fontId="0" fillId="0" borderId="15" xfId="0" applyNumberFormat="1" applyBorder="1"/>
    <xf numFmtId="3" fontId="0" fillId="0" borderId="14" xfId="0" applyNumberFormat="1" applyBorder="1"/>
    <xf numFmtId="3" fontId="0" fillId="0" borderId="17" xfId="0" applyNumberFormat="1" applyBorder="1"/>
    <xf numFmtId="164" fontId="0" fillId="0" borderId="0" xfId="0" applyNumberFormat="1" applyFill="1" applyBorder="1"/>
    <xf numFmtId="0" fontId="0" fillId="0" borderId="0" xfId="0" applyAlignment="1"/>
    <xf numFmtId="0" fontId="20" fillId="0" borderId="0" xfId="0" applyFont="1"/>
    <xf numFmtId="1" fontId="14" fillId="0" borderId="0" xfId="0" applyNumberFormat="1" applyFont="1"/>
    <xf numFmtId="0" fontId="28" fillId="0" borderId="0" xfId="0" applyFont="1" applyAlignment="1">
      <alignment horizontal="right" vertical="center" wrapText="1" indent="15"/>
    </xf>
    <xf numFmtId="0" fontId="26" fillId="0" borderId="0" xfId="0" applyFont="1" applyAlignment="1">
      <alignment horizontal="left" wrapText="1"/>
    </xf>
    <xf numFmtId="1" fontId="27" fillId="0" borderId="27" xfId="0" applyNumberFormat="1" applyFont="1" applyBorder="1" applyAlignment="1">
      <alignment horizontal="left" vertical="top" shrinkToFit="1"/>
    </xf>
    <xf numFmtId="0" fontId="26" fillId="0" borderId="0" xfId="0" applyFont="1" applyAlignment="1">
      <alignment horizontal="left" vertical="center" wrapText="1"/>
    </xf>
    <xf numFmtId="1" fontId="27" fillId="0" borderId="0" xfId="0" applyNumberFormat="1" applyFont="1" applyAlignment="1">
      <alignment horizontal="left" vertical="top" shrinkToFit="1"/>
    </xf>
    <xf numFmtId="1" fontId="27" fillId="0" borderId="26" xfId="0" applyNumberFormat="1" applyFont="1" applyBorder="1" applyAlignment="1">
      <alignment horizontal="left" vertical="top" shrinkToFi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30" fillId="0" borderId="26" xfId="0" applyFont="1" applyBorder="1" applyAlignment="1">
      <alignment horizontal="left" vertical="top" wrapText="1"/>
    </xf>
    <xf numFmtId="1" fontId="30" fillId="0" borderId="26" xfId="0" applyNumberFormat="1" applyFont="1" applyBorder="1" applyAlignment="1">
      <alignment horizontal="right" vertical="top" indent="2" shrinkToFit="1"/>
    </xf>
    <xf numFmtId="1" fontId="30" fillId="0" borderId="26" xfId="0" applyNumberFormat="1" applyFont="1" applyBorder="1" applyAlignment="1">
      <alignment horizontal="center" vertical="top" shrinkToFit="1"/>
    </xf>
    <xf numFmtId="1" fontId="30" fillId="0" borderId="26" xfId="0" applyNumberFormat="1" applyFont="1" applyBorder="1" applyAlignment="1">
      <alignment horizontal="right" vertical="top" shrinkToFit="1"/>
    </xf>
    <xf numFmtId="164" fontId="27" fillId="0" borderId="27" xfId="0" applyNumberFormat="1" applyFont="1" applyBorder="1" applyAlignment="1">
      <alignment horizontal="right" vertical="top" wrapText="1" indent="1"/>
    </xf>
    <xf numFmtId="164" fontId="27" fillId="0" borderId="27" xfId="0" applyNumberFormat="1" applyFont="1" applyBorder="1" applyAlignment="1">
      <alignment horizontal="center" vertical="top" wrapText="1"/>
    </xf>
    <xf numFmtId="164" fontId="27" fillId="0" borderId="27" xfId="0" applyNumberFormat="1" applyFont="1" applyBorder="1" applyAlignment="1">
      <alignment horizontal="right" vertical="top" wrapText="1"/>
    </xf>
    <xf numFmtId="164" fontId="27" fillId="0" borderId="0" xfId="0" applyNumberFormat="1" applyFont="1" applyAlignment="1">
      <alignment horizontal="right" vertical="top" wrapText="1" indent="1"/>
    </xf>
    <xf numFmtId="164" fontId="27" fillId="0" borderId="0" xfId="0" applyNumberFormat="1" applyFont="1" applyAlignment="1">
      <alignment horizontal="center" vertical="top" wrapText="1"/>
    </xf>
    <xf numFmtId="164" fontId="27" fillId="0" borderId="0" xfId="0" applyNumberFormat="1" applyFont="1" applyAlignment="1">
      <alignment horizontal="right" vertical="top" wrapText="1"/>
    </xf>
    <xf numFmtId="164" fontId="27" fillId="0" borderId="26" xfId="0" applyNumberFormat="1" applyFont="1" applyBorder="1" applyAlignment="1">
      <alignment horizontal="right" vertical="top" wrapText="1" indent="1"/>
    </xf>
    <xf numFmtId="164" fontId="27" fillId="0" borderId="26" xfId="0" applyNumberFormat="1" applyFont="1" applyBorder="1" applyAlignment="1">
      <alignment horizontal="center" vertical="top" wrapText="1"/>
    </xf>
    <xf numFmtId="164" fontId="27" fillId="0" borderId="26" xfId="0" applyNumberFormat="1" applyFont="1" applyBorder="1" applyAlignment="1">
      <alignment horizontal="right" vertical="top" wrapText="1"/>
    </xf>
    <xf numFmtId="1" fontId="27" fillId="0" borderId="27" xfId="0" applyNumberFormat="1" applyFont="1" applyBorder="1" applyAlignment="1">
      <alignment horizontal="center" vertical="top" shrinkToFit="1"/>
    </xf>
    <xf numFmtId="1" fontId="27" fillId="0" borderId="0" xfId="0" applyNumberFormat="1" applyFont="1" applyAlignment="1">
      <alignment horizontal="center" vertical="top" shrinkToFit="1"/>
    </xf>
    <xf numFmtId="1" fontId="27" fillId="0" borderId="26" xfId="0" applyNumberFormat="1" applyFont="1" applyBorder="1" applyAlignment="1">
      <alignment horizontal="center" vertical="top" shrinkToFit="1"/>
    </xf>
    <xf numFmtId="0" fontId="0" fillId="0" borderId="0" xfId="0" applyFill="1" applyBorder="1" applyAlignment="1"/>
    <xf numFmtId="0" fontId="0" fillId="0" borderId="28" xfId="0" applyFill="1" applyBorder="1" applyAlignment="1"/>
    <xf numFmtId="0" fontId="31" fillId="0" borderId="29" xfId="0" applyFont="1" applyFill="1" applyBorder="1" applyAlignment="1">
      <alignment horizontal="center"/>
    </xf>
    <xf numFmtId="0" fontId="31" fillId="0" borderId="29" xfId="0" applyFont="1" applyFill="1" applyBorder="1" applyAlignment="1">
      <alignment horizontal="centerContinuous"/>
    </xf>
    <xf numFmtId="0" fontId="28" fillId="0" borderId="0" xfId="0" applyFont="1" applyAlignment="1">
      <alignment horizontal="left" vertical="center"/>
    </xf>
    <xf numFmtId="0" fontId="16" fillId="0" borderId="0" xfId="0" applyFont="1" applyFill="1" applyBorder="1" applyAlignment="1"/>
    <xf numFmtId="9" fontId="27" fillId="0" borderId="27" xfId="42" applyFont="1" applyBorder="1" applyAlignment="1">
      <alignment horizontal="right" vertical="top" wrapText="1" indent="1"/>
    </xf>
    <xf numFmtId="9" fontId="27" fillId="0" borderId="27" xfId="42" applyFont="1" applyBorder="1" applyAlignment="1">
      <alignment horizontal="center" vertical="top" wrapText="1"/>
    </xf>
    <xf numFmtId="9" fontId="27" fillId="0" borderId="27" xfId="42" applyFont="1" applyBorder="1" applyAlignment="1">
      <alignment horizontal="right" vertical="top" wrapText="1"/>
    </xf>
    <xf numFmtId="9" fontId="27" fillId="0" borderId="0" xfId="42" applyFont="1" applyAlignment="1">
      <alignment horizontal="right" vertical="top" wrapText="1" indent="1"/>
    </xf>
    <xf numFmtId="9" fontId="27" fillId="0" borderId="0" xfId="42" applyFont="1" applyAlignment="1">
      <alignment horizontal="center" vertical="top" wrapText="1"/>
    </xf>
    <xf numFmtId="9" fontId="27" fillId="0" borderId="0" xfId="42" applyFont="1" applyAlignment="1">
      <alignment horizontal="right" vertical="top" wrapText="1"/>
    </xf>
    <xf numFmtId="9" fontId="27" fillId="0" borderId="26" xfId="42" applyFont="1" applyBorder="1" applyAlignment="1">
      <alignment horizontal="right" vertical="top" wrapText="1" indent="1"/>
    </xf>
    <xf numFmtId="9" fontId="27" fillId="0" borderId="26" xfId="42" applyFont="1" applyBorder="1" applyAlignment="1">
      <alignment horizontal="center" vertical="top" wrapText="1"/>
    </xf>
    <xf numFmtId="9" fontId="27" fillId="0" borderId="26" xfId="42" applyFont="1" applyBorder="1" applyAlignment="1">
      <alignment horizontal="right" vertical="top" wrapText="1"/>
    </xf>
    <xf numFmtId="2" fontId="30" fillId="0" borderId="26" xfId="0" applyNumberFormat="1" applyFont="1" applyBorder="1" applyAlignment="1">
      <alignment horizontal="right" vertical="top" indent="2" shrinkToFit="1"/>
    </xf>
    <xf numFmtId="2" fontId="30" fillId="0" borderId="26" xfId="0" applyNumberFormat="1" applyFont="1" applyBorder="1" applyAlignment="1">
      <alignment horizontal="center" vertical="top" shrinkToFit="1"/>
    </xf>
    <xf numFmtId="2" fontId="30" fillId="0" borderId="26" xfId="0" applyNumberFormat="1" applyFont="1" applyBorder="1" applyAlignment="1">
      <alignment horizontal="right" vertical="top" shrinkToFit="1"/>
    </xf>
    <xf numFmtId="0" fontId="32" fillId="0" borderId="0" xfId="0" applyFont="1" applyAlignment="1">
      <alignment horizontal="left"/>
    </xf>
    <xf numFmtId="0" fontId="0" fillId="0" borderId="0" xfId="0" applyAlignment="1">
      <alignment horizontal="right"/>
    </xf>
    <xf numFmtId="167" fontId="16" fillId="0" borderId="0" xfId="0" applyNumberFormat="1" applyFont="1"/>
    <xf numFmtId="164" fontId="14" fillId="0" borderId="0" xfId="0" applyNumberFormat="1" applyFont="1"/>
    <xf numFmtId="0" fontId="25" fillId="35" borderId="0" xfId="0" applyFont="1" applyFill="1"/>
    <xf numFmtId="0" fontId="33" fillId="0" borderId="0" xfId="0" applyFont="1"/>
    <xf numFmtId="0" fontId="33" fillId="0" borderId="0" xfId="0" applyFont="1" applyAlignment="1"/>
    <xf numFmtId="0" fontId="35" fillId="0" borderId="0" xfId="0" applyFont="1"/>
    <xf numFmtId="2" fontId="0" fillId="34" borderId="0" xfId="0" applyNumberFormat="1" applyFill="1"/>
    <xf numFmtId="0" fontId="16" fillId="33" borderId="0" xfId="0" applyFont="1" applyFill="1"/>
    <xf numFmtId="2" fontId="0" fillId="33" borderId="0" xfId="0" applyNumberFormat="1" applyFill="1"/>
    <xf numFmtId="3" fontId="37" fillId="0" borderId="0" xfId="0" applyNumberFormat="1" applyFont="1"/>
    <xf numFmtId="3" fontId="16" fillId="0" borderId="0" xfId="0" applyNumberFormat="1" applyFont="1"/>
    <xf numFmtId="0" fontId="0" fillId="0" borderId="0" xfId="0" applyFont="1"/>
    <xf numFmtId="0" fontId="0" fillId="40" borderId="0" xfId="0" applyFill="1"/>
    <xf numFmtId="1" fontId="16" fillId="33" borderId="0" xfId="0" applyNumberFormat="1" applyFont="1" applyFill="1"/>
    <xf numFmtId="1" fontId="16" fillId="40" borderId="0" xfId="0" applyNumberFormat="1" applyFont="1" applyFill="1"/>
    <xf numFmtId="0" fontId="0" fillId="37" borderId="0" xfId="0" applyFill="1"/>
    <xf numFmtId="0" fontId="0" fillId="37" borderId="0" xfId="0" applyFill="1" applyAlignment="1">
      <alignment horizontal="center"/>
    </xf>
    <xf numFmtId="2" fontId="0" fillId="40" borderId="0" xfId="0" applyNumberFormat="1" applyFill="1" applyAlignment="1">
      <alignment horizontal="center"/>
    </xf>
    <xf numFmtId="9" fontId="0" fillId="33" borderId="0" xfId="42" applyFont="1" applyFill="1"/>
    <xf numFmtId="3" fontId="0" fillId="40" borderId="0" xfId="0" applyNumberFormat="1" applyFill="1"/>
    <xf numFmtId="9" fontId="0" fillId="40" borderId="0" xfId="42" applyFont="1" applyFill="1"/>
    <xf numFmtId="2" fontId="0" fillId="0" borderId="0" xfId="0" applyNumberFormat="1" applyFill="1" applyAlignment="1">
      <alignment horizontal="center"/>
    </xf>
    <xf numFmtId="0" fontId="13" fillId="37" borderId="0" xfId="0" applyFont="1" applyFill="1"/>
    <xf numFmtId="0" fontId="40" fillId="37" borderId="0" xfId="0" applyFont="1" applyFill="1"/>
    <xf numFmtId="3" fontId="40" fillId="33" borderId="0" xfId="0" applyNumberFormat="1" applyFont="1" applyFill="1"/>
    <xf numFmtId="9" fontId="40" fillId="33" borderId="0" xfId="42" applyFont="1" applyFill="1"/>
    <xf numFmtId="3" fontId="40" fillId="40" borderId="0" xfId="0" applyNumberFormat="1" applyFont="1" applyFill="1"/>
    <xf numFmtId="9" fontId="40" fillId="40" borderId="0" xfId="42" applyFont="1" applyFill="1"/>
    <xf numFmtId="3" fontId="0" fillId="40" borderId="0" xfId="0" applyNumberFormat="1" applyFont="1" applyFill="1"/>
    <xf numFmtId="2" fontId="0" fillId="33" borderId="0" xfId="42" applyNumberFormat="1" applyFont="1" applyFill="1"/>
    <xf numFmtId="4" fontId="40" fillId="33" borderId="0" xfId="0" applyNumberFormat="1" applyFont="1" applyFill="1"/>
    <xf numFmtId="2" fontId="0" fillId="0" borderId="0" xfId="42" applyNumberFormat="1" applyFont="1" applyFill="1"/>
    <xf numFmtId="1" fontId="0" fillId="33" borderId="0" xfId="0" applyNumberFormat="1" applyFill="1"/>
    <xf numFmtId="1" fontId="0" fillId="40" borderId="0" xfId="0" applyNumberFormat="1" applyFill="1"/>
    <xf numFmtId="0" fontId="13" fillId="0" borderId="0" xfId="0" applyFont="1" applyFill="1"/>
    <xf numFmtId="0" fontId="16" fillId="0" borderId="0" xfId="0" applyFont="1" applyFill="1"/>
    <xf numFmtId="1" fontId="16" fillId="0" borderId="0" xfId="0" applyNumberFormat="1" applyFont="1" applyFill="1"/>
    <xf numFmtId="14" fontId="13" fillId="37" borderId="0" xfId="0" quotePrefix="1" applyNumberFormat="1" applyFont="1" applyFill="1"/>
    <xf numFmtId="0" fontId="41" fillId="0" borderId="0" xfId="0" applyFont="1" applyAlignment="1">
      <alignment vertical="center"/>
    </xf>
    <xf numFmtId="2" fontId="20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19781373164613E-2"/>
          <c:y val="0.17171296296296296"/>
          <c:w val="0.61188768976339114"/>
          <c:h val="0.685032596731860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3038969621105737"/>
                  <c:y val="1.39889933113199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req.'!$G$4:$G$7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0-45F1-B70E-5AEC6CBEF5AB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3405773786383652"/>
                  <c:y val="-3.152992972652611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req.'!$H$4:$H$7</c:f>
              <c:numCache>
                <c:formatCode>General</c:formatCode>
                <c:ptCount val="4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0-45F1-B70E-5AEC6CBEF5AB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4139382116939478"/>
                  <c:y val="-3.970874608415883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req.'!$I$4:$I$7</c:f>
              <c:numCache>
                <c:formatCode>General</c:formatCode>
                <c:ptCount val="4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A0-45F1-B70E-5AEC6CBEF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517856"/>
        <c:axId val="1921506624"/>
      </c:scatterChart>
      <c:valAx>
        <c:axId val="1921517856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06624"/>
        <c:crosses val="autoZero"/>
        <c:crossBetween val="midCat"/>
      </c:valAx>
      <c:valAx>
        <c:axId val="19215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1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14E-2"/>
          <c:y val="9.6588521860949419E-2"/>
          <c:w val="0.63355796150481181"/>
          <c:h val="0.6948870786402807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81955380577429"/>
                  <c:y val="6.538633890275910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req.'!$S$7:$V$7</c:f>
              <c:numCache>
                <c:formatCode>0.0</c:formatCode>
                <c:ptCount val="4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1-4970-95C0-511D4F533E1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237510936132982"/>
                  <c:y val="-1.0777030919915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req.'!$S$8:$V$8</c:f>
              <c:numCache>
                <c:formatCode>0.0</c:formatCode>
                <c:ptCount val="4"/>
                <c:pt idx="0">
                  <c:v>7</c:v>
                </c:pt>
                <c:pt idx="1">
                  <c:v>9.5</c:v>
                </c:pt>
                <c:pt idx="2">
                  <c:v>12.5</c:v>
                </c:pt>
                <c:pt idx="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41-4970-95C0-511D4F533E1F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81955380577429"/>
                  <c:y val="-9.60117790154279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req.'!$S$9:$V$9</c:f>
              <c:numCache>
                <c:formatCode>0.0</c:formatCode>
                <c:ptCount val="4"/>
                <c:pt idx="0">
                  <c:v>8.5</c:v>
                </c:pt>
                <c:pt idx="1">
                  <c:v>11</c:v>
                </c:pt>
                <c:pt idx="2">
                  <c:v>14</c:v>
                </c:pt>
                <c:pt idx="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41-4970-95C0-511D4F533E1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81955380577429"/>
                  <c:y val="-1.1677101337942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req.'!$S$10:$V$10</c:f>
              <c:numCache>
                <c:formatCode>0.0</c:formatCode>
                <c:ptCount val="4"/>
                <c:pt idx="0">
                  <c:v>10</c:v>
                </c:pt>
                <c:pt idx="1">
                  <c:v>12.5</c:v>
                </c:pt>
                <c:pt idx="2">
                  <c:v>15.5</c:v>
                </c:pt>
                <c:pt idx="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41-4970-95C0-511D4F533E1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606933508311461"/>
                  <c:y val="3.707829204276294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req.'!$S$11:$V$11</c:f>
              <c:numCache>
                <c:formatCode>0.0</c:formatCode>
                <c:ptCount val="4"/>
                <c:pt idx="0">
                  <c:v>11.5</c:v>
                </c:pt>
                <c:pt idx="1">
                  <c:v>14</c:v>
                </c:pt>
                <c:pt idx="2">
                  <c:v>17.5</c:v>
                </c:pt>
                <c:pt idx="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41-4970-95C0-511D4F533E1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504177602799651"/>
                  <c:y val="-9.28519300941040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req.'!$S$12:$V$12</c:f>
              <c:numCache>
                <c:formatCode>0.0</c:formatCode>
                <c:ptCount val="4"/>
                <c:pt idx="0">
                  <c:v>13</c:v>
                </c:pt>
                <c:pt idx="1">
                  <c:v>16</c:v>
                </c:pt>
                <c:pt idx="2">
                  <c:v>19.5</c:v>
                </c:pt>
                <c:pt idx="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41-4970-95C0-511D4F533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021168"/>
        <c:axId val="1459019920"/>
      </c:scatterChart>
      <c:valAx>
        <c:axId val="145902116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19920"/>
        <c:crosses val="autoZero"/>
        <c:crossBetween val="midCat"/>
      </c:valAx>
      <c:valAx>
        <c:axId val="145901992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2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LW!$C$26:$C$49</c:f>
              <c:numCache>
                <c:formatCode>General</c:formatCode>
                <c:ptCount val="24"/>
                <c:pt idx="0">
                  <c:v>1.3398809523809554</c:v>
                </c:pt>
                <c:pt idx="1">
                  <c:v>0.65059523809524045</c:v>
                </c:pt>
                <c:pt idx="2">
                  <c:v>0.4613095238095255</c:v>
                </c:pt>
                <c:pt idx="3">
                  <c:v>0.27202380952381056</c:v>
                </c:pt>
                <c:pt idx="4">
                  <c:v>8.273809523809561E-2</c:v>
                </c:pt>
                <c:pt idx="5">
                  <c:v>-0.10654761904761934</c:v>
                </c:pt>
                <c:pt idx="6">
                  <c:v>7.0833333333335524E-2</c:v>
                </c:pt>
                <c:pt idx="7">
                  <c:v>-0.11845238095238031</c:v>
                </c:pt>
                <c:pt idx="8">
                  <c:v>-0.30773809523809348</c:v>
                </c:pt>
                <c:pt idx="9">
                  <c:v>-0.4970238095238102</c:v>
                </c:pt>
                <c:pt idx="10">
                  <c:v>-0.68630952380952337</c:v>
                </c:pt>
                <c:pt idx="11">
                  <c:v>-0.37559523809524009</c:v>
                </c:pt>
                <c:pt idx="12">
                  <c:v>-0.19821428571428434</c:v>
                </c:pt>
                <c:pt idx="13">
                  <c:v>-0.38749999999999929</c:v>
                </c:pt>
                <c:pt idx="14">
                  <c:v>-0.57678571428571423</c:v>
                </c:pt>
                <c:pt idx="15">
                  <c:v>-0.76607142857142918</c:v>
                </c:pt>
                <c:pt idx="16">
                  <c:v>-0.4553571428571459</c:v>
                </c:pt>
                <c:pt idx="17">
                  <c:v>-0.14464285714285907</c:v>
                </c:pt>
                <c:pt idx="18">
                  <c:v>-0.23630952380952408</c:v>
                </c:pt>
                <c:pt idx="19">
                  <c:v>-0.4255952380952408</c:v>
                </c:pt>
                <c:pt idx="20">
                  <c:v>-0.11488095238095397</c:v>
                </c:pt>
                <c:pt idx="21">
                  <c:v>0.19583333333333286</c:v>
                </c:pt>
                <c:pt idx="22">
                  <c:v>0.50654761904761614</c:v>
                </c:pt>
                <c:pt idx="23">
                  <c:v>1.8172619047618994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6D-4A1B-BAA4-1A37D9139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80608"/>
        <c:axId val="1321571456"/>
      </c:scatterChart>
      <c:valAx>
        <c:axId val="132158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71456"/>
        <c:crosses val="autoZero"/>
        <c:crossBetween val="midCat"/>
      </c:valAx>
      <c:valAx>
        <c:axId val="1321571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80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LW!$C$26:$C$49</c:f>
              <c:numCache>
                <c:formatCode>General</c:formatCode>
                <c:ptCount val="24"/>
                <c:pt idx="0">
                  <c:v>1.3398809523809554</c:v>
                </c:pt>
                <c:pt idx="1">
                  <c:v>0.65059523809524045</c:v>
                </c:pt>
                <c:pt idx="2">
                  <c:v>0.4613095238095255</c:v>
                </c:pt>
                <c:pt idx="3">
                  <c:v>0.27202380952381056</c:v>
                </c:pt>
                <c:pt idx="4">
                  <c:v>8.273809523809561E-2</c:v>
                </c:pt>
                <c:pt idx="5">
                  <c:v>-0.10654761904761934</c:v>
                </c:pt>
                <c:pt idx="6">
                  <c:v>7.0833333333335524E-2</c:v>
                </c:pt>
                <c:pt idx="7">
                  <c:v>-0.11845238095238031</c:v>
                </c:pt>
                <c:pt idx="8">
                  <c:v>-0.30773809523809348</c:v>
                </c:pt>
                <c:pt idx="9">
                  <c:v>-0.4970238095238102</c:v>
                </c:pt>
                <c:pt idx="10">
                  <c:v>-0.68630952380952337</c:v>
                </c:pt>
                <c:pt idx="11">
                  <c:v>-0.37559523809524009</c:v>
                </c:pt>
                <c:pt idx="12">
                  <c:v>-0.19821428571428434</c:v>
                </c:pt>
                <c:pt idx="13">
                  <c:v>-0.38749999999999929</c:v>
                </c:pt>
                <c:pt idx="14">
                  <c:v>-0.57678571428571423</c:v>
                </c:pt>
                <c:pt idx="15">
                  <c:v>-0.76607142857142918</c:v>
                </c:pt>
                <c:pt idx="16">
                  <c:v>-0.4553571428571459</c:v>
                </c:pt>
                <c:pt idx="17">
                  <c:v>-0.14464285714285907</c:v>
                </c:pt>
                <c:pt idx="18">
                  <c:v>-0.23630952380952408</c:v>
                </c:pt>
                <c:pt idx="19">
                  <c:v>-0.4255952380952408</c:v>
                </c:pt>
                <c:pt idx="20">
                  <c:v>-0.11488095238095397</c:v>
                </c:pt>
                <c:pt idx="21">
                  <c:v>0.19583333333333286</c:v>
                </c:pt>
                <c:pt idx="22">
                  <c:v>0.50654761904761614</c:v>
                </c:pt>
                <c:pt idx="23">
                  <c:v>1.8172619047618994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C8-437D-A4EE-4D6442F9C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5200"/>
        <c:axId val="1321580608"/>
      </c:scatterChart>
      <c:valAx>
        <c:axId val="132157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0608"/>
        <c:crosses val="autoZero"/>
        <c:crossBetween val="midCat"/>
      </c:valAx>
      <c:valAx>
        <c:axId val="1321580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75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25-4A96-9E0D-B541FF413318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LW!$B$26:$B$49</c:f>
              <c:numCache>
                <c:formatCode>General</c:formatCode>
                <c:ptCount val="24"/>
                <c:pt idx="0">
                  <c:v>4.6601190476190446</c:v>
                </c:pt>
                <c:pt idx="1">
                  <c:v>6.3494047619047596</c:v>
                </c:pt>
                <c:pt idx="2">
                  <c:v>8.0386904761904745</c:v>
                </c:pt>
                <c:pt idx="3">
                  <c:v>9.7279761904761894</c:v>
                </c:pt>
                <c:pt idx="4">
                  <c:v>11.417261904761904</c:v>
                </c:pt>
                <c:pt idx="5">
                  <c:v>13.106547619047619</c:v>
                </c:pt>
                <c:pt idx="6">
                  <c:v>7.9291666666666645</c:v>
                </c:pt>
                <c:pt idx="7">
                  <c:v>9.6184523809523803</c:v>
                </c:pt>
                <c:pt idx="8">
                  <c:v>11.307738095238093</c:v>
                </c:pt>
                <c:pt idx="9">
                  <c:v>12.99702380952381</c:v>
                </c:pt>
                <c:pt idx="10">
                  <c:v>14.686309523809523</c:v>
                </c:pt>
                <c:pt idx="11">
                  <c:v>16.37559523809524</c:v>
                </c:pt>
                <c:pt idx="12">
                  <c:v>11.198214285714284</c:v>
                </c:pt>
                <c:pt idx="13">
                  <c:v>12.887499999999999</c:v>
                </c:pt>
                <c:pt idx="14">
                  <c:v>14.576785714285714</c:v>
                </c:pt>
                <c:pt idx="15">
                  <c:v>16.266071428571429</c:v>
                </c:pt>
                <c:pt idx="16">
                  <c:v>17.955357142857146</c:v>
                </c:pt>
                <c:pt idx="17">
                  <c:v>19.644642857142859</c:v>
                </c:pt>
                <c:pt idx="18">
                  <c:v>17.736309523809524</c:v>
                </c:pt>
                <c:pt idx="19">
                  <c:v>19.425595238095241</c:v>
                </c:pt>
                <c:pt idx="20">
                  <c:v>21.114880952380954</c:v>
                </c:pt>
                <c:pt idx="21">
                  <c:v>22.804166666666667</c:v>
                </c:pt>
                <c:pt idx="22">
                  <c:v>24.493452380952384</c:v>
                </c:pt>
                <c:pt idx="23">
                  <c:v>26.182738095238101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25-4A96-9E0D-B541FF41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5616"/>
        <c:axId val="1321569376"/>
      </c:scatterChart>
      <c:valAx>
        <c:axId val="132157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69376"/>
        <c:crosses val="autoZero"/>
        <c:crossBetween val="midCat"/>
      </c:valAx>
      <c:valAx>
        <c:axId val="1321569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5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2A-4C3A-85BC-E28718D15BDA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LW!$B$26:$B$49</c:f>
              <c:numCache>
                <c:formatCode>General</c:formatCode>
                <c:ptCount val="24"/>
                <c:pt idx="0">
                  <c:v>4.6601190476190446</c:v>
                </c:pt>
                <c:pt idx="1">
                  <c:v>6.3494047619047596</c:v>
                </c:pt>
                <c:pt idx="2">
                  <c:v>8.0386904761904745</c:v>
                </c:pt>
                <c:pt idx="3">
                  <c:v>9.7279761904761894</c:v>
                </c:pt>
                <c:pt idx="4">
                  <c:v>11.417261904761904</c:v>
                </c:pt>
                <c:pt idx="5">
                  <c:v>13.106547619047619</c:v>
                </c:pt>
                <c:pt idx="6">
                  <c:v>7.9291666666666645</c:v>
                </c:pt>
                <c:pt idx="7">
                  <c:v>9.6184523809523803</c:v>
                </c:pt>
                <c:pt idx="8">
                  <c:v>11.307738095238093</c:v>
                </c:pt>
                <c:pt idx="9">
                  <c:v>12.99702380952381</c:v>
                </c:pt>
                <c:pt idx="10">
                  <c:v>14.686309523809523</c:v>
                </c:pt>
                <c:pt idx="11">
                  <c:v>16.37559523809524</c:v>
                </c:pt>
                <c:pt idx="12">
                  <c:v>11.198214285714284</c:v>
                </c:pt>
                <c:pt idx="13">
                  <c:v>12.887499999999999</c:v>
                </c:pt>
                <c:pt idx="14">
                  <c:v>14.576785714285714</c:v>
                </c:pt>
                <c:pt idx="15">
                  <c:v>16.266071428571429</c:v>
                </c:pt>
                <c:pt idx="16">
                  <c:v>17.955357142857146</c:v>
                </c:pt>
                <c:pt idx="17">
                  <c:v>19.644642857142859</c:v>
                </c:pt>
                <c:pt idx="18">
                  <c:v>17.736309523809524</c:v>
                </c:pt>
                <c:pt idx="19">
                  <c:v>19.425595238095241</c:v>
                </c:pt>
                <c:pt idx="20">
                  <c:v>21.114880952380954</c:v>
                </c:pt>
                <c:pt idx="21">
                  <c:v>22.804166666666667</c:v>
                </c:pt>
                <c:pt idx="22">
                  <c:v>24.493452380952384</c:v>
                </c:pt>
                <c:pt idx="23">
                  <c:v>26.182738095238101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2A-4C3A-85BC-E28718D1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5200"/>
        <c:axId val="1321575616"/>
      </c:scatterChart>
      <c:valAx>
        <c:axId val="132157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75616"/>
        <c:crosses val="autoZero"/>
        <c:crossBetween val="midCat"/>
      </c:valAx>
      <c:valAx>
        <c:axId val="1321575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5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'LW int=0'!$C$26:$C$49</c:f>
              <c:numCache>
                <c:formatCode>General</c:formatCode>
                <c:ptCount val="24"/>
                <c:pt idx="0">
                  <c:v>1.1127516778523487</c:v>
                </c:pt>
                <c:pt idx="1">
                  <c:v>0.48366890380313166</c:v>
                </c:pt>
                <c:pt idx="2">
                  <c:v>0.35458612975391546</c:v>
                </c:pt>
                <c:pt idx="3">
                  <c:v>0.22550335570469748</c:v>
                </c:pt>
                <c:pt idx="4">
                  <c:v>9.6420581655481286E-2</c:v>
                </c:pt>
                <c:pt idx="5">
                  <c:v>-3.2662192393736689E-2</c:v>
                </c:pt>
                <c:pt idx="6">
                  <c:v>-0.13075529988281787</c:v>
                </c:pt>
                <c:pt idx="7">
                  <c:v>-0.25983807393203584</c:v>
                </c:pt>
                <c:pt idx="8">
                  <c:v>-0.38892084798125204</c:v>
                </c:pt>
                <c:pt idx="9">
                  <c:v>-0.51800362203047001</c:v>
                </c:pt>
                <c:pt idx="10">
                  <c:v>-0.64708639607968621</c:v>
                </c:pt>
                <c:pt idx="11">
                  <c:v>-0.27616917012890241</c:v>
                </c:pt>
                <c:pt idx="12">
                  <c:v>-0.37426227761798536</c:v>
                </c:pt>
                <c:pt idx="13">
                  <c:v>-0.50334505166720334</c:v>
                </c:pt>
                <c:pt idx="14">
                  <c:v>-0.63242782571641953</c:v>
                </c:pt>
                <c:pt idx="15">
                  <c:v>-0.76151059976563573</c:v>
                </c:pt>
                <c:pt idx="16">
                  <c:v>-0.39059337381485193</c:v>
                </c:pt>
                <c:pt idx="17">
                  <c:v>-1.967614786407168E-2</c:v>
                </c:pt>
                <c:pt idx="18">
                  <c:v>-0.36127623308831858</c:v>
                </c:pt>
                <c:pt idx="19">
                  <c:v>-0.49035900713753477</c:v>
                </c:pt>
                <c:pt idx="20">
                  <c:v>-0.11944178118675097</c:v>
                </c:pt>
                <c:pt idx="21">
                  <c:v>0.25147544476402928</c:v>
                </c:pt>
                <c:pt idx="22">
                  <c:v>0.62239267071481308</c:v>
                </c:pt>
                <c:pt idx="23">
                  <c:v>1.9933098966655933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52-432D-86D8-2F816B65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0208"/>
        <c:axId val="1321580192"/>
      </c:scatterChart>
      <c:valAx>
        <c:axId val="132157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0192"/>
        <c:crosses val="autoZero"/>
        <c:crossBetween val="midCat"/>
      </c:valAx>
      <c:valAx>
        <c:axId val="1321580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70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'LW int=0'!$C$26:$C$49</c:f>
              <c:numCache>
                <c:formatCode>General</c:formatCode>
                <c:ptCount val="24"/>
                <c:pt idx="0">
                  <c:v>1.1127516778523487</c:v>
                </c:pt>
                <c:pt idx="1">
                  <c:v>0.48366890380313166</c:v>
                </c:pt>
                <c:pt idx="2">
                  <c:v>0.35458612975391546</c:v>
                </c:pt>
                <c:pt idx="3">
                  <c:v>0.22550335570469748</c:v>
                </c:pt>
                <c:pt idx="4">
                  <c:v>9.6420581655481286E-2</c:v>
                </c:pt>
                <c:pt idx="5">
                  <c:v>-3.2662192393736689E-2</c:v>
                </c:pt>
                <c:pt idx="6">
                  <c:v>-0.13075529988281787</c:v>
                </c:pt>
                <c:pt idx="7">
                  <c:v>-0.25983807393203584</c:v>
                </c:pt>
                <c:pt idx="8">
                  <c:v>-0.38892084798125204</c:v>
                </c:pt>
                <c:pt idx="9">
                  <c:v>-0.51800362203047001</c:v>
                </c:pt>
                <c:pt idx="10">
                  <c:v>-0.64708639607968621</c:v>
                </c:pt>
                <c:pt idx="11">
                  <c:v>-0.27616917012890241</c:v>
                </c:pt>
                <c:pt idx="12">
                  <c:v>-0.37426227761798536</c:v>
                </c:pt>
                <c:pt idx="13">
                  <c:v>-0.50334505166720334</c:v>
                </c:pt>
                <c:pt idx="14">
                  <c:v>-0.63242782571641953</c:v>
                </c:pt>
                <c:pt idx="15">
                  <c:v>-0.76151059976563573</c:v>
                </c:pt>
                <c:pt idx="16">
                  <c:v>-0.39059337381485193</c:v>
                </c:pt>
                <c:pt idx="17">
                  <c:v>-1.967614786407168E-2</c:v>
                </c:pt>
                <c:pt idx="18">
                  <c:v>-0.36127623308831858</c:v>
                </c:pt>
                <c:pt idx="19">
                  <c:v>-0.49035900713753477</c:v>
                </c:pt>
                <c:pt idx="20">
                  <c:v>-0.11944178118675097</c:v>
                </c:pt>
                <c:pt idx="21">
                  <c:v>0.25147544476402928</c:v>
                </c:pt>
                <c:pt idx="22">
                  <c:v>0.62239267071481308</c:v>
                </c:pt>
                <c:pt idx="23">
                  <c:v>1.9933098966655933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4C-465E-9F4A-42755914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3536"/>
        <c:axId val="1321582272"/>
      </c:scatterChart>
      <c:valAx>
        <c:axId val="132157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2272"/>
        <c:crosses val="autoZero"/>
        <c:crossBetween val="midCat"/>
      </c:valAx>
      <c:valAx>
        <c:axId val="132158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1573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LW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84-4334-B545-349ED0A6D0D4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'LW int=0'!$B$26:$B$49</c:f>
              <c:numCache>
                <c:formatCode>General</c:formatCode>
                <c:ptCount val="24"/>
                <c:pt idx="0">
                  <c:v>4.8872483221476513</c:v>
                </c:pt>
                <c:pt idx="1">
                  <c:v>6.5163310961968683</c:v>
                </c:pt>
                <c:pt idx="2">
                  <c:v>8.1454138702460845</c:v>
                </c:pt>
                <c:pt idx="3">
                  <c:v>9.7744966442953025</c:v>
                </c:pt>
                <c:pt idx="4">
                  <c:v>11.403579418344519</c:v>
                </c:pt>
                <c:pt idx="5">
                  <c:v>13.032662192393737</c:v>
                </c:pt>
                <c:pt idx="6">
                  <c:v>8.1307552998828179</c:v>
                </c:pt>
                <c:pt idx="7">
                  <c:v>9.7598380739320358</c:v>
                </c:pt>
                <c:pt idx="8">
                  <c:v>11.388920847981252</c:v>
                </c:pt>
                <c:pt idx="9">
                  <c:v>13.01800362203047</c:v>
                </c:pt>
                <c:pt idx="10">
                  <c:v>14.647086396079686</c:v>
                </c:pt>
                <c:pt idx="11">
                  <c:v>16.276169170128902</c:v>
                </c:pt>
                <c:pt idx="12">
                  <c:v>11.374262277617985</c:v>
                </c:pt>
                <c:pt idx="13">
                  <c:v>13.003345051667203</c:v>
                </c:pt>
                <c:pt idx="14">
                  <c:v>14.63242782571642</c:v>
                </c:pt>
                <c:pt idx="15">
                  <c:v>16.261510599765636</c:v>
                </c:pt>
                <c:pt idx="16">
                  <c:v>17.890593373814852</c:v>
                </c:pt>
                <c:pt idx="17">
                  <c:v>19.519676147864072</c:v>
                </c:pt>
                <c:pt idx="18">
                  <c:v>17.861276233088319</c:v>
                </c:pt>
                <c:pt idx="19">
                  <c:v>19.490359007137535</c:v>
                </c:pt>
                <c:pt idx="20">
                  <c:v>21.119441781186751</c:v>
                </c:pt>
                <c:pt idx="21">
                  <c:v>22.748524555235971</c:v>
                </c:pt>
                <c:pt idx="22">
                  <c:v>24.377607329285187</c:v>
                </c:pt>
                <c:pt idx="23">
                  <c:v>26.006690103334407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84-4334-B545-349ED0A6D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2288"/>
        <c:axId val="1321571040"/>
      </c:scatterChart>
      <c:valAx>
        <c:axId val="132157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LW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71040"/>
        <c:crosses val="autoZero"/>
        <c:crossBetween val="midCat"/>
      </c:valAx>
      <c:valAx>
        <c:axId val="132157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22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68-4771-9F15-DB50A9228805}"/>
            </c:ext>
          </c:extLst>
        </c:ser>
        <c:ser>
          <c:idx val="1"/>
          <c:order val="1"/>
          <c:tx>
            <c:v>Predicted ME</c:v>
          </c:tx>
          <c:spPr>
            <a:ln w="19050">
              <a:noFill/>
            </a:ln>
          </c:spPr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'LW int=0'!$B$26:$B$49</c:f>
              <c:numCache>
                <c:formatCode>General</c:formatCode>
                <c:ptCount val="24"/>
                <c:pt idx="0">
                  <c:v>4.8872483221476513</c:v>
                </c:pt>
                <c:pt idx="1">
                  <c:v>6.5163310961968683</c:v>
                </c:pt>
                <c:pt idx="2">
                  <c:v>8.1454138702460845</c:v>
                </c:pt>
                <c:pt idx="3">
                  <c:v>9.7744966442953025</c:v>
                </c:pt>
                <c:pt idx="4">
                  <c:v>11.403579418344519</c:v>
                </c:pt>
                <c:pt idx="5">
                  <c:v>13.032662192393737</c:v>
                </c:pt>
                <c:pt idx="6">
                  <c:v>8.1307552998828179</c:v>
                </c:pt>
                <c:pt idx="7">
                  <c:v>9.7598380739320358</c:v>
                </c:pt>
                <c:pt idx="8">
                  <c:v>11.388920847981252</c:v>
                </c:pt>
                <c:pt idx="9">
                  <c:v>13.01800362203047</c:v>
                </c:pt>
                <c:pt idx="10">
                  <c:v>14.647086396079686</c:v>
                </c:pt>
                <c:pt idx="11">
                  <c:v>16.276169170128902</c:v>
                </c:pt>
                <c:pt idx="12">
                  <c:v>11.374262277617985</c:v>
                </c:pt>
                <c:pt idx="13">
                  <c:v>13.003345051667203</c:v>
                </c:pt>
                <c:pt idx="14">
                  <c:v>14.63242782571642</c:v>
                </c:pt>
                <c:pt idx="15">
                  <c:v>16.261510599765636</c:v>
                </c:pt>
                <c:pt idx="16">
                  <c:v>17.890593373814852</c:v>
                </c:pt>
                <c:pt idx="17">
                  <c:v>19.519676147864072</c:v>
                </c:pt>
                <c:pt idx="18">
                  <c:v>17.861276233088319</c:v>
                </c:pt>
                <c:pt idx="19">
                  <c:v>19.490359007137535</c:v>
                </c:pt>
                <c:pt idx="20">
                  <c:v>21.119441781186751</c:v>
                </c:pt>
                <c:pt idx="21">
                  <c:v>22.748524555235971</c:v>
                </c:pt>
                <c:pt idx="22">
                  <c:v>24.377607329285187</c:v>
                </c:pt>
                <c:pt idx="23">
                  <c:v>26.006690103334407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68-4771-9F15-DB50A922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577696"/>
        <c:axId val="1321581024"/>
      </c:scatterChart>
      <c:valAx>
        <c:axId val="132157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WG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21581024"/>
        <c:crosses val="autoZero"/>
        <c:crossBetween val="midCat"/>
      </c:valAx>
      <c:valAx>
        <c:axId val="1321581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215776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119062</xdr:colOff>
      <xdr:row>51</xdr:row>
      <xdr:rowOff>130969</xdr:rowOff>
    </xdr:from>
    <xdr:to>
      <xdr:col>25</xdr:col>
      <xdr:colOff>523875</xdr:colOff>
      <xdr:row>52</xdr:row>
      <xdr:rowOff>11906</xdr:rowOff>
    </xdr:to>
    <xdr:cxnSp macro="">
      <xdr:nvCxnSpPr>
        <xdr:cNvPr id="2" name="Straight Arrow Connector 1"/>
        <xdr:cNvCxnSpPr/>
      </xdr:nvCxnSpPr>
      <xdr:spPr>
        <a:xfrm flipH="1">
          <a:off x="10815637" y="9274969"/>
          <a:ext cx="3224213" cy="71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130969</xdr:colOff>
      <xdr:row>49</xdr:row>
      <xdr:rowOff>71437</xdr:rowOff>
    </xdr:from>
    <xdr:to>
      <xdr:col>29</xdr:col>
      <xdr:colOff>333374</xdr:colOff>
      <xdr:row>50</xdr:row>
      <xdr:rowOff>166687</xdr:rowOff>
    </xdr:to>
    <xdr:cxnSp macro="">
      <xdr:nvCxnSpPr>
        <xdr:cNvPr id="3" name="Straight Arrow Connector 2"/>
        <xdr:cNvCxnSpPr/>
      </xdr:nvCxnSpPr>
      <xdr:spPr>
        <a:xfrm flipV="1">
          <a:off x="15913894" y="8834437"/>
          <a:ext cx="202405" cy="285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8</xdr:row>
      <xdr:rowOff>57150</xdr:rowOff>
    </xdr:from>
    <xdr:to>
      <xdr:col>11</xdr:col>
      <xdr:colOff>171450</xdr:colOff>
      <xdr:row>23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600075</xdr:colOff>
      <xdr:row>32</xdr:row>
      <xdr:rowOff>171450</xdr:rowOff>
    </xdr:from>
    <xdr:to>
      <xdr:col>23</xdr:col>
      <xdr:colOff>485775</xdr:colOff>
      <xdr:row>53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nka0003/Documents/%231%20Projekt/MISTRA%20Food%20Futures%20WP5/Model_structure/Djurant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an Karlsson" refreshedDate="44901.45061886574" createdVersion="6" refreshedVersion="6" minRefreshableVersion="3" recordCount="420">
  <cacheSource type="worksheet">
    <worksheetSource ref="A1:J421" sheet="G&amp;D slakt" r:id="rId2"/>
  </cacheSource>
  <cacheFields count="12">
    <cacheField name="Djur" numFmtId="0">
      <sharedItems count="7">
        <s v="ko"/>
        <s v="ungko"/>
        <s v="kviga"/>
        <s v="stut"/>
        <s v="ungtjur"/>
        <s v="yngre tjur"/>
        <s v="mellankalv"/>
      </sharedItems>
      <fieldGroup par="11"/>
    </cacheField>
    <cacheField name="Ras" numFmtId="0">
      <sharedItems count="10">
        <s v="01 SRB"/>
        <s v="02 SLB"/>
        <s v="08 Hereford"/>
        <s v="09 Charolais"/>
        <s v="11 Aberdeen Angus"/>
        <s v="12 Limousin"/>
        <s v="14 Simmental"/>
        <s v="16 Highland Cattle"/>
        <s v="18 Blonde D´Aquitaine"/>
        <s v="99 Korsning/övriga raser"/>
      </sharedItems>
      <fieldGroup par="10"/>
    </cacheField>
    <cacheField name="År" numFmtId="0">
      <sharedItems containsSemiMixedTypes="0" containsString="0" containsNumber="1" containsInteger="1" minValue="2016" maxValue="2021" count="6">
        <n v="2016"/>
        <n v="2017"/>
        <n v="2018"/>
        <n v="2019"/>
        <n v="2020"/>
        <n v="2021"/>
      </sharedItems>
    </cacheField>
    <cacheField name="Antal djur" numFmtId="0">
      <sharedItems containsSemiMixedTypes="0" containsString="0" containsNumber="1" containsInteger="1" minValue="6" maxValue="52664"/>
    </cacheField>
    <cacheField name="Slaktvikt (kg)" numFmtId="0">
      <sharedItems containsSemiMixedTypes="0" containsString="0" containsNumber="1" minValue="95.3" maxValue="467.9"/>
    </cacheField>
    <cacheField name="Fettgrupp" numFmtId="0">
      <sharedItems containsSemiMixedTypes="0" containsString="0" containsNumber="1" minValue="3.5" maxValue="11.3"/>
    </cacheField>
    <cacheField name="Formklass" numFmtId="0">
      <sharedItems containsSemiMixedTypes="0" containsString="0" containsNumber="1" minValue="3.3" maxValue="11"/>
    </cacheField>
    <cacheField name="Ålder (månader)" numFmtId="0">
      <sharedItems containsSemiMixedTypes="0" containsString="0" containsNumber="1" minValue="7.3" maxValue="109.9"/>
    </cacheField>
    <cacheField name="Slaktvikt*Antal" numFmtId="0">
      <sharedItems containsSemiMixedTypes="0" containsString="0" containsNumber="1" minValue="1939.1999999999998" maxValue="18744824"/>
    </cacheField>
    <cacheField name="Ålder*Antal" numFmtId="0">
      <sharedItems containsSemiMixedTypes="0" containsString="0" containsNumber="1" minValue="150" maxValue="2901002.4"/>
    </cacheField>
    <cacheField name="Ras2" numFmtId="0" databaseField="0">
      <fieldGroup base="1">
        <discretePr count="10">
          <x v="1"/>
          <x v="1"/>
          <x v="2"/>
          <x v="2"/>
          <x v="2"/>
          <x v="2"/>
          <x v="2"/>
          <x v="2"/>
          <x v="2"/>
          <x v="0"/>
        </discretePr>
        <groupItems count="3">
          <s v="99 Korsning/övriga raser"/>
          <s v="Group1"/>
          <s v="Group2"/>
        </groupItems>
      </fieldGroup>
    </cacheField>
    <cacheField name="Djur2" numFmtId="0" databaseField="0">
      <fieldGroup base="0">
        <discretePr count="7">
          <x v="3"/>
          <x v="3"/>
          <x v="0"/>
          <x v="1"/>
          <x v="4"/>
          <x v="4"/>
          <x v="2"/>
        </discretePr>
        <groupItems count="5">
          <s v="kviga"/>
          <s v="stut"/>
          <s v="mellankalv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">
  <r>
    <x v="0"/>
    <x v="0"/>
    <x v="0"/>
    <n v="30638"/>
    <n v="302.7"/>
    <n v="7.7"/>
    <n v="4"/>
    <n v="68.599999999999994"/>
    <n v="9274122.5999999996"/>
    <n v="2101766.7999999998"/>
  </r>
  <r>
    <x v="0"/>
    <x v="0"/>
    <x v="1"/>
    <n v="26251"/>
    <n v="308.5"/>
    <n v="7.8"/>
    <n v="4.0999999999999996"/>
    <n v="68.900000000000006"/>
    <n v="8098433.5"/>
    <n v="1808693.9000000001"/>
  </r>
  <r>
    <x v="0"/>
    <x v="0"/>
    <x v="2"/>
    <n v="26489"/>
    <n v="306.2"/>
    <n v="7.5"/>
    <n v="4"/>
    <n v="69.3"/>
    <n v="8110931.7999999998"/>
    <n v="1835687.7"/>
  </r>
  <r>
    <x v="0"/>
    <x v="0"/>
    <x v="3"/>
    <n v="25859"/>
    <n v="310.39999999999998"/>
    <n v="7.6"/>
    <n v="4.0999999999999996"/>
    <n v="70.099999999999994"/>
    <n v="8026633.5999999996"/>
    <n v="1812715.9"/>
  </r>
  <r>
    <x v="0"/>
    <x v="0"/>
    <x v="4"/>
    <n v="23718"/>
    <n v="311.7"/>
    <n v="7.4"/>
    <n v="4"/>
    <n v="71.599999999999994"/>
    <n v="7392900.5999999996"/>
    <n v="1698208.7999999998"/>
  </r>
  <r>
    <x v="0"/>
    <x v="0"/>
    <x v="5"/>
    <n v="21589"/>
    <n v="313.39999999999998"/>
    <n v="7.3"/>
    <n v="4"/>
    <n v="72.900000000000006"/>
    <n v="6765992.5999999996"/>
    <n v="1573838.1"/>
  </r>
  <r>
    <x v="0"/>
    <x v="1"/>
    <x v="0"/>
    <n v="41922"/>
    <n v="310.8"/>
    <n v="7"/>
    <n v="3.4"/>
    <n v="69.2"/>
    <n v="13029357.6"/>
    <n v="2901002.4"/>
  </r>
  <r>
    <x v="0"/>
    <x v="1"/>
    <x v="1"/>
    <n v="38032"/>
    <n v="316.89999999999998"/>
    <n v="7.2"/>
    <n v="3.5"/>
    <n v="68.900000000000006"/>
    <n v="12052340.799999999"/>
    <n v="2620404.8000000003"/>
  </r>
  <r>
    <x v="0"/>
    <x v="1"/>
    <x v="2"/>
    <n v="40654"/>
    <n v="317"/>
    <n v="7"/>
    <n v="3.4"/>
    <n v="69.400000000000006"/>
    <n v="12887318"/>
    <n v="2821387.6"/>
  </r>
  <r>
    <x v="0"/>
    <x v="1"/>
    <x v="3"/>
    <n v="40784"/>
    <n v="321.39999999999998"/>
    <n v="7.1"/>
    <n v="3.5"/>
    <n v="70.2"/>
    <n v="13107977.6"/>
    <n v="2863036.8000000003"/>
  </r>
  <r>
    <x v="0"/>
    <x v="1"/>
    <x v="4"/>
    <n v="40218"/>
    <n v="322.60000000000002"/>
    <n v="7"/>
    <n v="3.4"/>
    <n v="71.599999999999994"/>
    <n v="12974326.800000001"/>
    <n v="2879608.8"/>
  </r>
  <r>
    <x v="0"/>
    <x v="1"/>
    <x v="5"/>
    <n v="38776"/>
    <n v="324.89999999999998"/>
    <n v="6.9"/>
    <n v="3.4"/>
    <n v="73.2"/>
    <n v="12598322.399999999"/>
    <n v="2838403.2"/>
  </r>
  <r>
    <x v="0"/>
    <x v="2"/>
    <x v="0"/>
    <n v="2843"/>
    <n v="368.4"/>
    <n v="11.3"/>
    <n v="6.2"/>
    <n v="92.6"/>
    <n v="1047361.2"/>
    <n v="263261.8"/>
  </r>
  <r>
    <x v="0"/>
    <x v="2"/>
    <x v="1"/>
    <n v="3147"/>
    <n v="365"/>
    <n v="11.1"/>
    <n v="6.1"/>
    <n v="94"/>
    <n v="1148655"/>
    <n v="295818"/>
  </r>
  <r>
    <x v="0"/>
    <x v="2"/>
    <x v="2"/>
    <n v="4193"/>
    <n v="352.3"/>
    <n v="10.199999999999999"/>
    <n v="5.9"/>
    <n v="91.3"/>
    <n v="1477193.9000000001"/>
    <n v="382820.89999999997"/>
  </r>
  <r>
    <x v="0"/>
    <x v="2"/>
    <x v="3"/>
    <n v="4427"/>
    <n v="348.6"/>
    <n v="9.9"/>
    <n v="5.8"/>
    <n v="91.1"/>
    <n v="1543252.2000000002"/>
    <n v="403299.69999999995"/>
  </r>
  <r>
    <x v="0"/>
    <x v="2"/>
    <x v="4"/>
    <n v="4642"/>
    <n v="355.5"/>
    <n v="10.1"/>
    <n v="5.9"/>
    <n v="89.2"/>
    <n v="1650231"/>
    <n v="414066.4"/>
  </r>
  <r>
    <x v="0"/>
    <x v="2"/>
    <x v="5"/>
    <n v="4235"/>
    <n v="364.2"/>
    <n v="10.1"/>
    <n v="6.2"/>
    <n v="89.6"/>
    <n v="1542387"/>
    <n v="379456"/>
  </r>
  <r>
    <x v="0"/>
    <x v="3"/>
    <x v="0"/>
    <n v="2485"/>
    <n v="408.3"/>
    <n v="9.3000000000000007"/>
    <n v="7.4"/>
    <n v="98.5"/>
    <n v="1014625.5"/>
    <n v="244772.5"/>
  </r>
  <r>
    <x v="0"/>
    <x v="3"/>
    <x v="1"/>
    <n v="2981"/>
    <n v="405.9"/>
    <n v="9.1"/>
    <n v="7.4"/>
    <n v="99.1"/>
    <n v="1209987.8999999999"/>
    <n v="295417.09999999998"/>
  </r>
  <r>
    <x v="0"/>
    <x v="3"/>
    <x v="2"/>
    <n v="3573"/>
    <n v="393"/>
    <n v="8.3000000000000007"/>
    <n v="7.1"/>
    <n v="94.2"/>
    <n v="1404189"/>
    <n v="336576.60000000003"/>
  </r>
  <r>
    <x v="0"/>
    <x v="3"/>
    <x v="3"/>
    <n v="3426"/>
    <n v="387.3"/>
    <n v="8.1"/>
    <n v="6.9"/>
    <n v="94.6"/>
    <n v="1326889.8"/>
    <n v="324099.59999999998"/>
  </r>
  <r>
    <x v="0"/>
    <x v="3"/>
    <x v="4"/>
    <n v="3258"/>
    <n v="396.6"/>
    <n v="8.1999999999999993"/>
    <n v="7.1"/>
    <n v="96.2"/>
    <n v="1292122.8"/>
    <n v="313419.60000000003"/>
  </r>
  <r>
    <x v="0"/>
    <x v="3"/>
    <x v="5"/>
    <n v="2898"/>
    <n v="409.9"/>
    <n v="8.3000000000000007"/>
    <n v="7.5"/>
    <n v="96.2"/>
    <n v="1187890.2"/>
    <n v="278787.60000000003"/>
  </r>
  <r>
    <x v="0"/>
    <x v="4"/>
    <x v="0"/>
    <n v="820"/>
    <n v="363.4"/>
    <n v="11.1"/>
    <n v="6.4"/>
    <n v="88.1"/>
    <n v="297988"/>
    <n v="72242"/>
  </r>
  <r>
    <x v="0"/>
    <x v="4"/>
    <x v="1"/>
    <n v="800"/>
    <n v="359.4"/>
    <n v="10.8"/>
    <n v="6.3"/>
    <n v="89"/>
    <n v="287520"/>
    <n v="71200"/>
  </r>
  <r>
    <x v="0"/>
    <x v="4"/>
    <x v="2"/>
    <n v="1144"/>
    <n v="353.4"/>
    <n v="10.199999999999999"/>
    <n v="6.3"/>
    <n v="85"/>
    <n v="404289.6"/>
    <n v="97240"/>
  </r>
  <r>
    <x v="0"/>
    <x v="4"/>
    <x v="3"/>
    <n v="1352"/>
    <n v="348.2"/>
    <n v="10.1"/>
    <n v="6.1"/>
    <n v="87.3"/>
    <n v="470766.39999999997"/>
    <n v="118029.59999999999"/>
  </r>
  <r>
    <x v="0"/>
    <x v="4"/>
    <x v="4"/>
    <n v="1390"/>
    <n v="351.6"/>
    <n v="9.9"/>
    <n v="6.1"/>
    <n v="84.5"/>
    <n v="488724.00000000006"/>
    <n v="117455"/>
  </r>
  <r>
    <x v="0"/>
    <x v="4"/>
    <x v="5"/>
    <n v="1184"/>
    <n v="357.6"/>
    <n v="9.9"/>
    <n v="6.3"/>
    <n v="82.1"/>
    <n v="423398.40000000002"/>
    <n v="97206.399999999994"/>
  </r>
  <r>
    <x v="0"/>
    <x v="5"/>
    <x v="0"/>
    <n v="376"/>
    <n v="387.2"/>
    <n v="9.3000000000000007"/>
    <n v="8.3000000000000007"/>
    <n v="96.2"/>
    <n v="145587.19999999998"/>
    <n v="36171.200000000004"/>
  </r>
  <r>
    <x v="0"/>
    <x v="5"/>
    <x v="1"/>
    <n v="438"/>
    <n v="381.2"/>
    <n v="9"/>
    <n v="8.3000000000000007"/>
    <n v="93"/>
    <n v="166965.6"/>
    <n v="40734"/>
  </r>
  <r>
    <x v="0"/>
    <x v="5"/>
    <x v="2"/>
    <n v="621"/>
    <n v="372.9"/>
    <n v="8.3000000000000007"/>
    <n v="8.1"/>
    <n v="89.5"/>
    <n v="231570.9"/>
    <n v="55579.5"/>
  </r>
  <r>
    <x v="0"/>
    <x v="5"/>
    <x v="3"/>
    <n v="507"/>
    <n v="365.3"/>
    <n v="7.9"/>
    <n v="7.7"/>
    <n v="92.1"/>
    <n v="185207.1"/>
    <n v="46694.7"/>
  </r>
  <r>
    <x v="0"/>
    <x v="5"/>
    <x v="4"/>
    <n v="692"/>
    <n v="372"/>
    <n v="7.7"/>
    <n v="7.8"/>
    <n v="100.2"/>
    <n v="257424"/>
    <n v="69338.400000000009"/>
  </r>
  <r>
    <x v="0"/>
    <x v="5"/>
    <x v="5"/>
    <n v="549"/>
    <n v="381.3"/>
    <n v="8.3000000000000007"/>
    <n v="8"/>
    <n v="89"/>
    <n v="209333.7"/>
    <n v="48861"/>
  </r>
  <r>
    <x v="0"/>
    <x v="6"/>
    <x v="0"/>
    <n v="1709"/>
    <n v="374.6"/>
    <n v="8.8000000000000007"/>
    <n v="6.6"/>
    <n v="91.2"/>
    <n v="640191.4"/>
    <n v="155860.80000000002"/>
  </r>
  <r>
    <x v="0"/>
    <x v="6"/>
    <x v="1"/>
    <n v="1951"/>
    <n v="379.3"/>
    <n v="8.6999999999999993"/>
    <n v="6.7"/>
    <n v="92.5"/>
    <n v="740014.3"/>
    <n v="180467.5"/>
  </r>
  <r>
    <x v="0"/>
    <x v="6"/>
    <x v="2"/>
    <n v="2598"/>
    <n v="358.3"/>
    <n v="7.6"/>
    <n v="6.2"/>
    <n v="89.8"/>
    <n v="930863.4"/>
    <n v="233300.4"/>
  </r>
  <r>
    <x v="0"/>
    <x v="6"/>
    <x v="3"/>
    <n v="2584"/>
    <n v="359.2"/>
    <n v="7.5"/>
    <n v="6.3"/>
    <n v="87.9"/>
    <n v="928172.79999999993"/>
    <n v="227133.6"/>
  </r>
  <r>
    <x v="0"/>
    <x v="6"/>
    <x v="4"/>
    <n v="2416"/>
    <n v="363.9"/>
    <n v="7.6"/>
    <n v="6.3"/>
    <n v="88.8"/>
    <n v="879182.39999999991"/>
    <n v="214540.79999999999"/>
  </r>
  <r>
    <x v="0"/>
    <x v="6"/>
    <x v="5"/>
    <n v="2357"/>
    <n v="374"/>
    <n v="7.9"/>
    <n v="6.6"/>
    <n v="87.8"/>
    <n v="881518"/>
    <n v="206944.6"/>
  </r>
  <r>
    <x v="0"/>
    <x v="7"/>
    <x v="0"/>
    <n v="483"/>
    <n v="230.7"/>
    <n v="8.1999999999999993"/>
    <n v="4.5999999999999996"/>
    <n v="108.5"/>
    <n v="111428.09999999999"/>
    <n v="52405.5"/>
  </r>
  <r>
    <x v="0"/>
    <x v="7"/>
    <x v="1"/>
    <n v="427"/>
    <n v="231.8"/>
    <n v="8.1"/>
    <n v="4.7"/>
    <n v="98"/>
    <n v="98978.6"/>
    <n v="41846"/>
  </r>
  <r>
    <x v="0"/>
    <x v="7"/>
    <x v="2"/>
    <n v="546"/>
    <n v="224.4"/>
    <n v="7.6"/>
    <n v="4.4000000000000004"/>
    <n v="100.9"/>
    <n v="122522.40000000001"/>
    <n v="55091.4"/>
  </r>
  <r>
    <x v="0"/>
    <x v="7"/>
    <x v="3"/>
    <n v="408"/>
    <n v="224.2"/>
    <n v="7.3"/>
    <n v="4.3"/>
    <n v="105.8"/>
    <n v="91473.599999999991"/>
    <n v="43166.400000000001"/>
  </r>
  <r>
    <x v="0"/>
    <x v="7"/>
    <x v="4"/>
    <n v="428"/>
    <n v="232.7"/>
    <n v="7.8"/>
    <n v="4.5999999999999996"/>
    <n v="106.7"/>
    <n v="99595.599999999991"/>
    <n v="45667.6"/>
  </r>
  <r>
    <x v="0"/>
    <x v="7"/>
    <x v="5"/>
    <n v="305"/>
    <n v="227.8"/>
    <n v="7.56"/>
    <n v="4.5"/>
    <n v="108.4"/>
    <n v="69479"/>
    <n v="33062"/>
  </r>
  <r>
    <x v="0"/>
    <x v="8"/>
    <x v="0"/>
    <n v="110"/>
    <n v="389.5"/>
    <n v="7.1"/>
    <n v="7.8"/>
    <n v="109.9"/>
    <n v="42845"/>
    <n v="12089"/>
  </r>
  <r>
    <x v="0"/>
    <x v="8"/>
    <x v="1"/>
    <n v="98"/>
    <n v="427.9"/>
    <n v="8"/>
    <n v="8.4"/>
    <n v="103.3"/>
    <n v="41934.199999999997"/>
    <n v="10123.4"/>
  </r>
  <r>
    <x v="0"/>
    <x v="8"/>
    <x v="2"/>
    <n v="139"/>
    <n v="394.5"/>
    <n v="6.7"/>
    <n v="8.1"/>
    <n v="101"/>
    <n v="54835.5"/>
    <n v="14039"/>
  </r>
  <r>
    <x v="0"/>
    <x v="8"/>
    <x v="3"/>
    <n v="162"/>
    <n v="402.6"/>
    <n v="7.1"/>
    <n v="7.7"/>
    <n v="105.8"/>
    <n v="65221.200000000004"/>
    <n v="17139.599999999999"/>
  </r>
  <r>
    <x v="0"/>
    <x v="8"/>
    <x v="4"/>
    <n v="127"/>
    <n v="407.7"/>
    <n v="6.7"/>
    <n v="7.9"/>
    <n v="103.6"/>
    <n v="51777.9"/>
    <n v="13157.199999999999"/>
  </r>
  <r>
    <x v="0"/>
    <x v="8"/>
    <x v="5"/>
    <n v="135"/>
    <n v="427.1"/>
    <n v="6.7"/>
    <n v="8.1"/>
    <n v="93.9"/>
    <n v="57658.5"/>
    <n v="12676.5"/>
  </r>
  <r>
    <x v="0"/>
    <x v="9"/>
    <x v="0"/>
    <n v="15724"/>
    <n v="345"/>
    <n v="9"/>
    <n v="5.6"/>
    <n v="87.3"/>
    <n v="5424780"/>
    <n v="1372705.2"/>
  </r>
  <r>
    <x v="0"/>
    <x v="9"/>
    <x v="1"/>
    <n v="15992"/>
    <n v="345.7"/>
    <n v="8.8000000000000007"/>
    <n v="5.7"/>
    <n v="87.1"/>
    <n v="5528434.3999999994"/>
    <n v="1392903.2"/>
  </r>
  <r>
    <x v="0"/>
    <x v="9"/>
    <x v="2"/>
    <n v="20874"/>
    <n v="339.3"/>
    <n v="8.3000000000000007"/>
    <n v="5.6"/>
    <n v="86.5"/>
    <n v="7082548.2000000002"/>
    <n v="1805601"/>
  </r>
  <r>
    <x v="0"/>
    <x v="9"/>
    <x v="3"/>
    <n v="21397"/>
    <n v="338.8"/>
    <n v="8.1999999999999993"/>
    <n v="5.5"/>
    <n v="86.2"/>
    <n v="7249303.6000000006"/>
    <n v="1844421.4000000001"/>
  </r>
  <r>
    <x v="0"/>
    <x v="9"/>
    <x v="4"/>
    <n v="21847"/>
    <n v="343.8"/>
    <n v="8.1999999999999993"/>
    <n v="5.6"/>
    <n v="86.3"/>
    <n v="7510998.6000000006"/>
    <n v="1885396.0999999999"/>
  </r>
  <r>
    <x v="0"/>
    <x v="9"/>
    <x v="5"/>
    <n v="19983"/>
    <n v="350.4"/>
    <n v="8.3000000000000007"/>
    <n v="5.8"/>
    <n v="84.9"/>
    <n v="7002043.1999999993"/>
    <n v="1696556.7000000002"/>
  </r>
  <r>
    <x v="1"/>
    <x v="0"/>
    <x v="0"/>
    <n v="10952"/>
    <n v="274.39999999999998"/>
    <n v="7.2"/>
    <n v="3.9"/>
    <n v="39.799999999999997"/>
    <n v="3005228.8"/>
    <n v="435889.6"/>
  </r>
  <r>
    <x v="1"/>
    <x v="0"/>
    <x v="1"/>
    <n v="9142"/>
    <n v="282"/>
    <n v="7.5"/>
    <n v="4"/>
    <n v="39.9"/>
    <n v="2578044"/>
    <n v="364765.8"/>
  </r>
  <r>
    <x v="1"/>
    <x v="0"/>
    <x v="2"/>
    <n v="8988"/>
    <n v="277.8"/>
    <n v="7.2"/>
    <n v="3.9"/>
    <n v="40.5"/>
    <n v="2496866.4"/>
    <n v="364014"/>
  </r>
  <r>
    <x v="1"/>
    <x v="0"/>
    <x v="3"/>
    <n v="8439"/>
    <n v="280.39999999999998"/>
    <n v="7.2"/>
    <n v="4"/>
    <n v="42"/>
    <n v="2366295.5999999996"/>
    <n v="354438"/>
  </r>
  <r>
    <x v="1"/>
    <x v="0"/>
    <x v="4"/>
    <n v="7515"/>
    <n v="280.8"/>
    <n v="7.1"/>
    <n v="3.9"/>
    <n v="44.9"/>
    <n v="2110212"/>
    <n v="337423.5"/>
  </r>
  <r>
    <x v="1"/>
    <x v="0"/>
    <x v="5"/>
    <n v="6789"/>
    <n v="283"/>
    <n v="7"/>
    <n v="4"/>
    <n v="47.5"/>
    <n v="1921287"/>
    <n v="322477.5"/>
  </r>
  <r>
    <x v="1"/>
    <x v="1"/>
    <x v="0"/>
    <n v="18177"/>
    <n v="284.2"/>
    <n v="6.7"/>
    <n v="3.3"/>
    <n v="40.200000000000003"/>
    <n v="5165903.3999999994"/>
    <n v="730715.4"/>
  </r>
  <r>
    <x v="1"/>
    <x v="1"/>
    <x v="1"/>
    <n v="15414"/>
    <n v="291.8"/>
    <n v="7"/>
    <n v="3.5"/>
    <n v="40.6"/>
    <n v="4497805.2"/>
    <n v="625808.4"/>
  </r>
  <r>
    <x v="1"/>
    <x v="1"/>
    <x v="2"/>
    <n v="15987"/>
    <n v="289.89999999999998"/>
    <n v="6.8"/>
    <n v="3.4"/>
    <n v="41.6"/>
    <n v="4634631.3"/>
    <n v="665059.20000000007"/>
  </r>
  <r>
    <x v="1"/>
    <x v="1"/>
    <x v="3"/>
    <n v="15178"/>
    <n v="292.3"/>
    <n v="6.8"/>
    <n v="3.4"/>
    <n v="43.4"/>
    <n v="4436529.4000000004"/>
    <n v="658725.19999999995"/>
  </r>
  <r>
    <x v="1"/>
    <x v="1"/>
    <x v="4"/>
    <n v="14143"/>
    <n v="293.8"/>
    <n v="6.8"/>
    <n v="3.4"/>
    <n v="45.8"/>
    <n v="4155213.4000000004"/>
    <n v="647749.39999999991"/>
  </r>
  <r>
    <x v="1"/>
    <x v="1"/>
    <x v="5"/>
    <n v="13017"/>
    <n v="296"/>
    <n v="6.7"/>
    <n v="3.4"/>
    <n v="50.2"/>
    <n v="3853032"/>
    <n v="653453.4"/>
  </r>
  <r>
    <x v="1"/>
    <x v="2"/>
    <x v="0"/>
    <n v="897"/>
    <n v="319.2"/>
    <n v="10.1"/>
    <n v="6"/>
    <n v="38.5"/>
    <n v="286322.39999999997"/>
    <n v="34534.5"/>
  </r>
  <r>
    <x v="1"/>
    <x v="2"/>
    <x v="1"/>
    <n v="936"/>
    <n v="317"/>
    <n v="9.8000000000000007"/>
    <n v="6"/>
    <n v="38.5"/>
    <n v="296712"/>
    <n v="36036"/>
  </r>
  <r>
    <x v="1"/>
    <x v="2"/>
    <x v="2"/>
    <n v="1167"/>
    <n v="307.7"/>
    <n v="9.1"/>
    <n v="5.8"/>
    <n v="38.1"/>
    <n v="359085.89999999997"/>
    <n v="44462.700000000004"/>
  </r>
  <r>
    <x v="1"/>
    <x v="2"/>
    <x v="3"/>
    <n v="1454"/>
    <n v="310.5"/>
    <n v="9.1999999999999993"/>
    <n v="5.9"/>
    <n v="37.700000000000003"/>
    <n v="451467"/>
    <n v="54815.8"/>
  </r>
  <r>
    <x v="1"/>
    <x v="2"/>
    <x v="4"/>
    <n v="1537"/>
    <n v="310.7"/>
    <n v="9"/>
    <n v="5.9"/>
    <n v="38.1"/>
    <n v="477545.89999999997"/>
    <n v="58559.700000000004"/>
  </r>
  <r>
    <x v="1"/>
    <x v="2"/>
    <x v="5"/>
    <n v="1543"/>
    <n v="322"/>
    <n v="9.1"/>
    <n v="6.1"/>
    <n v="39.6"/>
    <n v="496846"/>
    <n v="61102.8"/>
  </r>
  <r>
    <x v="1"/>
    <x v="3"/>
    <x v="0"/>
    <n v="506"/>
    <n v="346"/>
    <n v="8.1999999999999993"/>
    <n v="7"/>
    <n v="38.200000000000003"/>
    <n v="175076"/>
    <n v="19329.2"/>
  </r>
  <r>
    <x v="1"/>
    <x v="3"/>
    <x v="1"/>
    <n v="585"/>
    <n v="345.8"/>
    <n v="8"/>
    <n v="6.9"/>
    <n v="37.9"/>
    <n v="202293"/>
    <n v="22171.5"/>
  </r>
  <r>
    <x v="1"/>
    <x v="3"/>
    <x v="2"/>
    <n v="657"/>
    <n v="334.7"/>
    <n v="7.2"/>
    <n v="6.6"/>
    <n v="38"/>
    <n v="219897.9"/>
    <n v="24966"/>
  </r>
  <r>
    <x v="1"/>
    <x v="3"/>
    <x v="3"/>
    <n v="758"/>
    <n v="326.2"/>
    <n v="7"/>
    <n v="6.5"/>
    <n v="36.700000000000003"/>
    <n v="247259.6"/>
    <n v="27818.600000000002"/>
  </r>
  <r>
    <x v="1"/>
    <x v="3"/>
    <x v="4"/>
    <n v="744"/>
    <n v="335.2"/>
    <n v="7.3"/>
    <n v="6.8"/>
    <n v="37.9"/>
    <n v="249388.79999999999"/>
    <n v="28197.599999999999"/>
  </r>
  <r>
    <x v="1"/>
    <x v="3"/>
    <x v="5"/>
    <n v="653"/>
    <n v="346"/>
    <n v="7.5"/>
    <n v="7.1"/>
    <n v="41.6"/>
    <n v="225938"/>
    <n v="27164.799999999999"/>
  </r>
  <r>
    <x v="1"/>
    <x v="4"/>
    <x v="0"/>
    <n v="258"/>
    <n v="311.2"/>
    <n v="9.5"/>
    <n v="6"/>
    <n v="38"/>
    <n v="80289.599999999991"/>
    <n v="9804"/>
  </r>
  <r>
    <x v="1"/>
    <x v="4"/>
    <x v="1"/>
    <n v="216"/>
    <n v="318.5"/>
    <n v="9.8000000000000007"/>
    <n v="6"/>
    <n v="37.9"/>
    <n v="68796"/>
    <n v="8186.4"/>
  </r>
  <r>
    <x v="1"/>
    <x v="4"/>
    <x v="2"/>
    <n v="318"/>
    <n v="303.3"/>
    <n v="9.1"/>
    <n v="5.9"/>
    <n v="36.799999999999997"/>
    <n v="96449.400000000009"/>
    <n v="11702.4"/>
  </r>
  <r>
    <x v="1"/>
    <x v="4"/>
    <x v="3"/>
    <n v="403"/>
    <n v="304.7"/>
    <n v="9"/>
    <n v="5.8"/>
    <n v="38"/>
    <n v="122794.09999999999"/>
    <n v="15314"/>
  </r>
  <r>
    <x v="1"/>
    <x v="4"/>
    <x v="4"/>
    <n v="524"/>
    <n v="319.8"/>
    <n v="9.1999999999999993"/>
    <n v="6.2"/>
    <n v="36"/>
    <n v="167575.20000000001"/>
    <n v="18864"/>
  </r>
  <r>
    <x v="1"/>
    <x v="4"/>
    <x v="5"/>
    <n v="469"/>
    <n v="316"/>
    <n v="8.8000000000000007"/>
    <n v="6.1"/>
    <n v="36.200000000000003"/>
    <n v="148204"/>
    <n v="16977.800000000003"/>
  </r>
  <r>
    <x v="1"/>
    <x v="5"/>
    <x v="0"/>
    <n v="133"/>
    <n v="350"/>
    <n v="8.5"/>
    <n v="8"/>
    <n v="37.200000000000003"/>
    <n v="46550"/>
    <n v="4947.6000000000004"/>
  </r>
  <r>
    <x v="1"/>
    <x v="5"/>
    <x v="1"/>
    <n v="115"/>
    <n v="332.6"/>
    <n v="8.1"/>
    <n v="7.3"/>
    <n v="36.200000000000003"/>
    <n v="38249"/>
    <n v="4163"/>
  </r>
  <r>
    <x v="1"/>
    <x v="5"/>
    <x v="2"/>
    <n v="131"/>
    <n v="326.5"/>
    <n v="7.1"/>
    <n v="7"/>
    <n v="36.799999999999997"/>
    <n v="42771.5"/>
    <n v="4820.7999999999993"/>
  </r>
  <r>
    <x v="1"/>
    <x v="5"/>
    <x v="3"/>
    <n v="176"/>
    <n v="313.89999999999998"/>
    <n v="7.3"/>
    <n v="7.1"/>
    <n v="37.6"/>
    <n v="55246.399999999994"/>
    <n v="6617.6"/>
  </r>
  <r>
    <x v="1"/>
    <x v="5"/>
    <x v="4"/>
    <n v="216"/>
    <n v="316.3"/>
    <n v="7.2"/>
    <n v="6.9"/>
    <n v="38.4"/>
    <n v="68320.800000000003"/>
    <n v="8294.4"/>
  </r>
  <r>
    <x v="1"/>
    <x v="5"/>
    <x v="5"/>
    <n v="193"/>
    <n v="333"/>
    <n v="7.7"/>
    <n v="7.6"/>
    <n v="39.200000000000003"/>
    <n v="64269"/>
    <n v="7565.6"/>
  </r>
  <r>
    <x v="1"/>
    <x v="6"/>
    <x v="0"/>
    <n v="524"/>
    <n v="333.5"/>
    <n v="8.1"/>
    <n v="6.2"/>
    <n v="37.4"/>
    <n v="174754"/>
    <n v="19597.599999999999"/>
  </r>
  <r>
    <x v="1"/>
    <x v="6"/>
    <x v="1"/>
    <n v="578"/>
    <n v="327.5"/>
    <n v="8"/>
    <n v="6.2"/>
    <n v="36.700000000000003"/>
    <n v="189295"/>
    <n v="21212.600000000002"/>
  </r>
  <r>
    <x v="1"/>
    <x v="6"/>
    <x v="2"/>
    <n v="781"/>
    <n v="317.5"/>
    <n v="7"/>
    <n v="5.9"/>
    <n v="37.299999999999997"/>
    <n v="247967.5"/>
    <n v="29131.3"/>
  </r>
  <r>
    <x v="1"/>
    <x v="6"/>
    <x v="3"/>
    <n v="861"/>
    <n v="314"/>
    <n v="7"/>
    <n v="5.9"/>
    <n v="38.5"/>
    <n v="270354"/>
    <n v="33148.5"/>
  </r>
  <r>
    <x v="1"/>
    <x v="6"/>
    <x v="4"/>
    <n v="822"/>
    <n v="316.60000000000002"/>
    <n v="7.1"/>
    <n v="6"/>
    <n v="37.6"/>
    <n v="260245.2"/>
    <n v="30907.200000000001"/>
  </r>
  <r>
    <x v="1"/>
    <x v="6"/>
    <x v="5"/>
    <n v="772"/>
    <n v="322"/>
    <n v="7.1"/>
    <n v="6.2"/>
    <n v="37.299999999999997"/>
    <n v="248584"/>
    <n v="28795.599999999999"/>
  </r>
  <r>
    <x v="1"/>
    <x v="7"/>
    <x v="0"/>
    <n v="94"/>
    <n v="197.6"/>
    <n v="7.7"/>
    <n v="4.7"/>
    <n v="44.8"/>
    <n v="18574.399999999998"/>
    <n v="4211.2"/>
  </r>
  <r>
    <x v="1"/>
    <x v="7"/>
    <x v="1"/>
    <n v="68"/>
    <n v="191.3"/>
    <n v="6.7"/>
    <n v="3.7"/>
    <n v="44.3"/>
    <n v="13008.400000000001"/>
    <n v="3012.3999999999996"/>
  </r>
  <r>
    <x v="1"/>
    <x v="7"/>
    <x v="2"/>
    <n v="51"/>
    <n v="174.7"/>
    <n v="5.9"/>
    <n v="3.9"/>
    <n v="56.1"/>
    <n v="8909.6999999999989"/>
    <n v="2861.1"/>
  </r>
  <r>
    <x v="1"/>
    <x v="7"/>
    <x v="3"/>
    <n v="41"/>
    <n v="195.2"/>
    <n v="6"/>
    <n v="3.8"/>
    <n v="42.1"/>
    <n v="8003.2"/>
    <n v="1726.1000000000001"/>
  </r>
  <r>
    <x v="1"/>
    <x v="7"/>
    <x v="4"/>
    <n v="33"/>
    <n v="203.5"/>
    <n v="6"/>
    <n v="4.0999999999999996"/>
    <n v="47.2"/>
    <n v="6715.5"/>
    <n v="1557.6000000000001"/>
  </r>
  <r>
    <x v="1"/>
    <x v="7"/>
    <x v="5"/>
    <n v="31"/>
    <n v="193"/>
    <n v="6.3"/>
    <n v="4"/>
    <n v="43.3"/>
    <n v="5983"/>
    <n v="1342.3"/>
  </r>
  <r>
    <x v="1"/>
    <x v="8"/>
    <x v="0"/>
    <n v="30"/>
    <n v="353"/>
    <n v="7.1"/>
    <n v="8.1"/>
    <n v="40.6"/>
    <n v="10590"/>
    <n v="1218"/>
  </r>
  <r>
    <x v="1"/>
    <x v="8"/>
    <x v="1"/>
    <n v="37"/>
    <n v="348.1"/>
    <n v="8"/>
    <n v="7.3"/>
    <n v="36"/>
    <n v="12879.7"/>
    <n v="1332"/>
  </r>
  <r>
    <x v="1"/>
    <x v="8"/>
    <x v="2"/>
    <n v="17"/>
    <n v="334.9"/>
    <n v="5.8"/>
    <n v="6.7"/>
    <n v="39.200000000000003"/>
    <n v="5693.2999999999993"/>
    <n v="666.40000000000009"/>
  </r>
  <r>
    <x v="1"/>
    <x v="8"/>
    <x v="3"/>
    <n v="12"/>
    <n v="291"/>
    <n v="5"/>
    <n v="5.9"/>
    <n v="35.6"/>
    <n v="3492"/>
    <n v="427.20000000000005"/>
  </r>
  <r>
    <x v="1"/>
    <x v="8"/>
    <x v="4"/>
    <n v="34"/>
    <n v="360.3"/>
    <n v="5.6"/>
    <n v="7.8"/>
    <n v="39.9"/>
    <n v="12250.2"/>
    <n v="1356.6"/>
  </r>
  <r>
    <x v="1"/>
    <x v="8"/>
    <x v="5"/>
    <n v="46"/>
    <n v="373"/>
    <n v="5.7"/>
    <n v="7.7"/>
    <n v="36"/>
    <n v="17158"/>
    <n v="1656"/>
  </r>
  <r>
    <x v="1"/>
    <x v="9"/>
    <x v="0"/>
    <n v="5470"/>
    <n v="306.89999999999998"/>
    <n v="8.1999999999999993"/>
    <n v="5.4"/>
    <n v="38.700000000000003"/>
    <n v="1678742.9999999998"/>
    <n v="211689.00000000003"/>
  </r>
  <r>
    <x v="1"/>
    <x v="9"/>
    <x v="1"/>
    <n v="5847"/>
    <n v="306.39999999999998"/>
    <n v="8.1"/>
    <n v="5.4"/>
    <n v="37.6"/>
    <n v="1791520.7999999998"/>
    <n v="219847.2"/>
  </r>
  <r>
    <x v="1"/>
    <x v="9"/>
    <x v="2"/>
    <n v="7027"/>
    <n v="298.8"/>
    <n v="7.5"/>
    <n v="5.2"/>
    <n v="38.799999999999997"/>
    <n v="2099667.6"/>
    <n v="272647.59999999998"/>
  </r>
  <r>
    <x v="1"/>
    <x v="9"/>
    <x v="3"/>
    <n v="7190"/>
    <n v="301.2"/>
    <n v="7.6"/>
    <n v="5.4"/>
    <n v="37.700000000000003"/>
    <n v="2165628"/>
    <n v="271063"/>
  </r>
  <r>
    <x v="1"/>
    <x v="9"/>
    <x v="4"/>
    <n v="8259"/>
    <n v="308"/>
    <n v="7.8"/>
    <n v="5.6"/>
    <n v="37.9"/>
    <n v="2543772"/>
    <n v="313016.09999999998"/>
  </r>
  <r>
    <x v="1"/>
    <x v="9"/>
    <x v="5"/>
    <n v="7350"/>
    <n v="314"/>
    <n v="7.9"/>
    <n v="5.8"/>
    <n v="39.200000000000003"/>
    <n v="2307900"/>
    <n v="288120"/>
  </r>
  <r>
    <x v="2"/>
    <x v="0"/>
    <x v="0"/>
    <n v="7408"/>
    <n v="295.2"/>
    <n v="8.6999999999999993"/>
    <n v="5"/>
    <n v="29.3"/>
    <n v="2186841.6"/>
    <n v="217054.4"/>
  </r>
  <r>
    <x v="2"/>
    <x v="0"/>
    <x v="1"/>
    <n v="6518"/>
    <n v="299.8"/>
    <n v="8.8000000000000007"/>
    <n v="5.0999999999999996"/>
    <n v="30"/>
    <n v="1954096.4000000001"/>
    <n v="195540"/>
  </r>
  <r>
    <x v="2"/>
    <x v="0"/>
    <x v="2"/>
    <n v="5892"/>
    <n v="293.3"/>
    <n v="8.4"/>
    <n v="5"/>
    <n v="31.3"/>
    <n v="1728123.6"/>
    <n v="184419.6"/>
  </r>
  <r>
    <x v="2"/>
    <x v="0"/>
    <x v="3"/>
    <n v="5421"/>
    <n v="297.5"/>
    <n v="8.3000000000000007"/>
    <n v="5.0999999999999996"/>
    <n v="33.799999999999997"/>
    <n v="1612747.5"/>
    <n v="183229.8"/>
  </r>
  <r>
    <x v="2"/>
    <x v="0"/>
    <x v="4"/>
    <n v="5504"/>
    <n v="294.7"/>
    <n v="8.1999999999999993"/>
    <n v="5.0999999999999996"/>
    <n v="36.5"/>
    <n v="1622028.8"/>
    <n v="200896"/>
  </r>
  <r>
    <x v="2"/>
    <x v="0"/>
    <x v="5"/>
    <n v="5122"/>
    <n v="302.5"/>
    <n v="8.3000000000000007"/>
    <n v="5.3"/>
    <n v="37.6"/>
    <n v="1549405"/>
    <n v="192587.2"/>
  </r>
  <r>
    <x v="2"/>
    <x v="1"/>
    <x v="0"/>
    <n v="9600"/>
    <n v="296.10000000000002"/>
    <n v="8.4"/>
    <n v="4.3"/>
    <n v="29.7"/>
    <n v="2842560"/>
    <n v="285120"/>
  </r>
  <r>
    <x v="2"/>
    <x v="1"/>
    <x v="1"/>
    <n v="9297"/>
    <n v="301.5"/>
    <n v="8.5"/>
    <n v="4.4000000000000004"/>
    <n v="30.4"/>
    <n v="2803045.5"/>
    <n v="282628.8"/>
  </r>
  <r>
    <x v="2"/>
    <x v="1"/>
    <x v="2"/>
    <n v="8696"/>
    <n v="299.39999999999998"/>
    <n v="8.1999999999999993"/>
    <n v="4.4000000000000004"/>
    <n v="31.3"/>
    <n v="2603582.4"/>
    <n v="272184.8"/>
  </r>
  <r>
    <x v="2"/>
    <x v="1"/>
    <x v="3"/>
    <n v="8276"/>
    <n v="299.8"/>
    <n v="8.1"/>
    <n v="4.4000000000000004"/>
    <n v="34.4"/>
    <n v="2481144.8000000003"/>
    <n v="284694.39999999997"/>
  </r>
  <r>
    <x v="2"/>
    <x v="1"/>
    <x v="4"/>
    <n v="8258"/>
    <n v="300.39999999999998"/>
    <n v="8"/>
    <n v="4.4000000000000004"/>
    <n v="37.5"/>
    <n v="2480703.1999999997"/>
    <n v="309675"/>
  </r>
  <r>
    <x v="2"/>
    <x v="1"/>
    <x v="5"/>
    <n v="8360"/>
    <n v="304"/>
    <n v="8"/>
    <n v="4.5"/>
    <n v="40.9"/>
    <n v="2541440"/>
    <n v="341924"/>
  </r>
  <r>
    <x v="2"/>
    <x v="2"/>
    <x v="0"/>
    <n v="3740"/>
    <n v="303"/>
    <n v="10.4"/>
    <n v="6.6"/>
    <n v="26.5"/>
    <n v="1133220"/>
    <n v="99110"/>
  </r>
  <r>
    <x v="2"/>
    <x v="2"/>
    <x v="1"/>
    <n v="3729"/>
    <n v="303"/>
    <n v="10.3"/>
    <n v="6.6"/>
    <n v="26.4"/>
    <n v="1129887"/>
    <n v="98445.599999999991"/>
  </r>
  <r>
    <x v="2"/>
    <x v="2"/>
    <x v="2"/>
    <n v="4243"/>
    <n v="295"/>
    <n v="9.6"/>
    <n v="6.4"/>
    <n v="27.5"/>
    <n v="1251685"/>
    <n v="116682.5"/>
  </r>
  <r>
    <x v="2"/>
    <x v="2"/>
    <x v="3"/>
    <n v="5097"/>
    <n v="296.8"/>
    <n v="9.5"/>
    <n v="6.4"/>
    <n v="28.2"/>
    <n v="1512789.6"/>
    <n v="143735.4"/>
  </r>
  <r>
    <x v="2"/>
    <x v="2"/>
    <x v="4"/>
    <n v="5929"/>
    <n v="297.10000000000002"/>
    <n v="9.4"/>
    <n v="6.5"/>
    <n v="27.8"/>
    <n v="1761505.9000000001"/>
    <n v="164826.20000000001"/>
  </r>
  <r>
    <x v="2"/>
    <x v="2"/>
    <x v="5"/>
    <n v="5881"/>
    <n v="303.39999999999998"/>
    <n v="9.5"/>
    <n v="6.6"/>
    <n v="28.4"/>
    <n v="1784295.4"/>
    <n v="167020.4"/>
  </r>
  <r>
    <x v="2"/>
    <x v="3"/>
    <x v="0"/>
    <n v="3143"/>
    <n v="323"/>
    <n v="8.6999999999999993"/>
    <n v="7.6"/>
    <n v="25.4"/>
    <n v="1015189"/>
    <n v="79832.2"/>
  </r>
  <r>
    <x v="2"/>
    <x v="3"/>
    <x v="1"/>
    <n v="3122"/>
    <n v="323.8"/>
    <n v="8.5"/>
    <n v="7.6"/>
    <n v="25.8"/>
    <n v="1010903.6000000001"/>
    <n v="80547.600000000006"/>
  </r>
  <r>
    <x v="2"/>
    <x v="3"/>
    <x v="2"/>
    <n v="3455"/>
    <n v="319.3"/>
    <n v="8.1999999999999993"/>
    <n v="7.5"/>
    <n v="26.2"/>
    <n v="1103181.5"/>
    <n v="90521"/>
  </r>
  <r>
    <x v="2"/>
    <x v="3"/>
    <x v="3"/>
    <n v="4053"/>
    <n v="321.10000000000002"/>
    <n v="8.1"/>
    <n v="7.5"/>
    <n v="27.4"/>
    <n v="1301418.3"/>
    <n v="111052.2"/>
  </r>
  <r>
    <x v="2"/>
    <x v="3"/>
    <x v="4"/>
    <n v="3983"/>
    <n v="324.2"/>
    <n v="8"/>
    <n v="7.6"/>
    <n v="31.5"/>
    <n v="1291288.5999999999"/>
    <n v="125464.5"/>
  </r>
  <r>
    <x v="2"/>
    <x v="3"/>
    <x v="5"/>
    <n v="3778"/>
    <n v="332.1"/>
    <n v="8.1"/>
    <n v="7.8"/>
    <n v="31.5"/>
    <n v="1254673.8"/>
    <n v="119007"/>
  </r>
  <r>
    <x v="2"/>
    <x v="4"/>
    <x v="0"/>
    <n v="1103"/>
    <n v="304.3"/>
    <n v="10.3"/>
    <n v="6.9"/>
    <n v="25.6"/>
    <n v="335642.9"/>
    <n v="28236.800000000003"/>
  </r>
  <r>
    <x v="2"/>
    <x v="4"/>
    <x v="1"/>
    <n v="1215"/>
    <n v="306.7"/>
    <n v="10.4"/>
    <n v="7"/>
    <n v="25.7"/>
    <n v="372640.5"/>
    <n v="31225.5"/>
  </r>
  <r>
    <x v="2"/>
    <x v="4"/>
    <x v="2"/>
    <n v="1464"/>
    <n v="297"/>
    <n v="9.6999999999999993"/>
    <n v="6.7"/>
    <n v="26.1"/>
    <n v="434808"/>
    <n v="38210.400000000001"/>
  </r>
  <r>
    <x v="2"/>
    <x v="4"/>
    <x v="3"/>
    <n v="1764"/>
    <n v="300.39999999999998"/>
    <n v="9.5"/>
    <n v="6.6"/>
    <n v="26.9"/>
    <n v="529905.6"/>
    <n v="47451.6"/>
  </r>
  <r>
    <x v="2"/>
    <x v="4"/>
    <x v="4"/>
    <n v="2183"/>
    <n v="305"/>
    <n v="9.4"/>
    <n v="6.8"/>
    <n v="27.9"/>
    <n v="665815"/>
    <n v="60905.7"/>
  </r>
  <r>
    <x v="2"/>
    <x v="4"/>
    <x v="5"/>
    <n v="2144"/>
    <n v="308"/>
    <n v="9.5"/>
    <n v="6.8"/>
    <n v="28.2"/>
    <n v="660352"/>
    <n v="60460.799999999996"/>
  </r>
  <r>
    <x v="2"/>
    <x v="5"/>
    <x v="0"/>
    <n v="870"/>
    <n v="319.3"/>
    <n v="8.8000000000000007"/>
    <n v="8.6999999999999993"/>
    <n v="24.3"/>
    <n v="277791"/>
    <n v="21141"/>
  </r>
  <r>
    <x v="2"/>
    <x v="5"/>
    <x v="1"/>
    <n v="865"/>
    <n v="321.10000000000002"/>
    <n v="8.8000000000000007"/>
    <n v="8.6999999999999993"/>
    <n v="24.6"/>
    <n v="277751.5"/>
    <n v="21279"/>
  </r>
  <r>
    <x v="2"/>
    <x v="5"/>
    <x v="2"/>
    <n v="1016"/>
    <n v="315.60000000000002"/>
    <n v="8.4"/>
    <n v="8.3000000000000007"/>
    <n v="24.6"/>
    <n v="320649.60000000003"/>
    <n v="24993.600000000002"/>
  </r>
  <r>
    <x v="2"/>
    <x v="5"/>
    <x v="3"/>
    <n v="1106"/>
    <n v="317"/>
    <n v="8.3000000000000007"/>
    <n v="8.1"/>
    <n v="29.1"/>
    <n v="350602"/>
    <n v="32184.600000000002"/>
  </r>
  <r>
    <x v="2"/>
    <x v="5"/>
    <x v="4"/>
    <n v="1249"/>
    <n v="314.3"/>
    <n v="8.1"/>
    <n v="8.3000000000000007"/>
    <n v="28.2"/>
    <n v="392560.7"/>
    <n v="35221.799999999996"/>
  </r>
  <r>
    <x v="2"/>
    <x v="5"/>
    <x v="5"/>
    <n v="1265"/>
    <n v="313.3"/>
    <n v="8"/>
    <n v="8.1"/>
    <n v="28.1"/>
    <n v="396324.5"/>
    <n v="35546.5"/>
  </r>
  <r>
    <x v="2"/>
    <x v="6"/>
    <x v="0"/>
    <n v="2468"/>
    <n v="315.8"/>
    <n v="8.8000000000000007"/>
    <n v="7.1"/>
    <n v="24.4"/>
    <n v="779394.4"/>
    <n v="60219.199999999997"/>
  </r>
  <r>
    <x v="2"/>
    <x v="6"/>
    <x v="1"/>
    <n v="2484"/>
    <n v="317.2"/>
    <n v="8.6999999999999993"/>
    <n v="7.1"/>
    <n v="24.4"/>
    <n v="787924.79999999993"/>
    <n v="60609.599999999999"/>
  </r>
  <r>
    <x v="2"/>
    <x v="6"/>
    <x v="2"/>
    <n v="2820"/>
    <n v="311.2"/>
    <n v="8.1999999999999993"/>
    <n v="7"/>
    <n v="25.3"/>
    <n v="877584"/>
    <n v="71346"/>
  </r>
  <r>
    <x v="2"/>
    <x v="6"/>
    <x v="3"/>
    <n v="3088"/>
    <n v="309.8"/>
    <n v="8.1"/>
    <n v="7"/>
    <n v="25.2"/>
    <n v="956662.4"/>
    <n v="77817.599999999991"/>
  </r>
  <r>
    <x v="2"/>
    <x v="6"/>
    <x v="4"/>
    <n v="3594"/>
    <n v="312.7"/>
    <n v="8"/>
    <n v="7"/>
    <n v="27.1"/>
    <n v="1123843.8"/>
    <n v="97397.400000000009"/>
  </r>
  <r>
    <x v="2"/>
    <x v="6"/>
    <x v="5"/>
    <n v="3319"/>
    <n v="322.10000000000002"/>
    <n v="8.1999999999999993"/>
    <n v="7.3"/>
    <n v="26.9"/>
    <n v="1069049.9000000001"/>
    <n v="89281.099999999991"/>
  </r>
  <r>
    <x v="2"/>
    <x v="7"/>
    <x v="0"/>
    <n v="284"/>
    <n v="177"/>
    <n v="7.1"/>
    <n v="4.5"/>
    <n v="31"/>
    <n v="50268"/>
    <n v="8804"/>
  </r>
  <r>
    <x v="2"/>
    <x v="7"/>
    <x v="1"/>
    <n v="237"/>
    <n v="191.4"/>
    <n v="7.3"/>
    <n v="4.7"/>
    <n v="34.200000000000003"/>
    <n v="45361.8"/>
    <n v="8105.4000000000005"/>
  </r>
  <r>
    <x v="2"/>
    <x v="7"/>
    <x v="2"/>
    <n v="273"/>
    <n v="168.9"/>
    <n v="6.1"/>
    <n v="4.3"/>
    <n v="33.700000000000003"/>
    <n v="46109.700000000004"/>
    <n v="9200.1"/>
  </r>
  <r>
    <x v="2"/>
    <x v="7"/>
    <x v="3"/>
    <n v="221"/>
    <n v="175.3"/>
    <n v="6.3"/>
    <n v="4.3"/>
    <n v="37.5"/>
    <n v="38741.300000000003"/>
    <n v="8287.5"/>
  </r>
  <r>
    <x v="2"/>
    <x v="7"/>
    <x v="4"/>
    <n v="163"/>
    <n v="192.3"/>
    <n v="7.3"/>
    <n v="4.5999999999999996"/>
    <n v="38.700000000000003"/>
    <n v="31344.9"/>
    <n v="6308.1"/>
  </r>
  <r>
    <x v="2"/>
    <x v="7"/>
    <x v="5"/>
    <n v="179"/>
    <n v="193.2"/>
    <n v="6.5"/>
    <n v="4.5999999999999996"/>
    <n v="43.4"/>
    <n v="34582.799999999996"/>
    <n v="7768.5999999999995"/>
  </r>
  <r>
    <x v="2"/>
    <x v="8"/>
    <x v="0"/>
    <n v="176"/>
    <n v="330.6"/>
    <n v="7.5"/>
    <n v="9.3000000000000007"/>
    <n v="21.9"/>
    <n v="58185.600000000006"/>
    <n v="3854.3999999999996"/>
  </r>
  <r>
    <x v="2"/>
    <x v="8"/>
    <x v="1"/>
    <n v="159"/>
    <n v="315.8"/>
    <n v="7.2"/>
    <n v="9.1"/>
    <n v="21.6"/>
    <n v="50212.200000000004"/>
    <n v="3434.4"/>
  </r>
  <r>
    <x v="2"/>
    <x v="8"/>
    <x v="2"/>
    <n v="174"/>
    <n v="318.89999999999998"/>
    <n v="6.7"/>
    <n v="8.9"/>
    <n v="22.7"/>
    <n v="55488.6"/>
    <n v="3949.7999999999997"/>
  </r>
  <r>
    <x v="2"/>
    <x v="8"/>
    <x v="3"/>
    <n v="213"/>
    <n v="330.7"/>
    <n v="6.6"/>
    <n v="9.3000000000000007"/>
    <n v="22.7"/>
    <n v="70439.099999999991"/>
    <n v="4835.0999999999995"/>
  </r>
  <r>
    <x v="2"/>
    <x v="8"/>
    <x v="4"/>
    <n v="200"/>
    <n v="316.39999999999998"/>
    <n v="6.8"/>
    <n v="8.6"/>
    <n v="21.5"/>
    <n v="63279.999999999993"/>
    <n v="4300"/>
  </r>
  <r>
    <x v="2"/>
    <x v="8"/>
    <x v="5"/>
    <n v="257"/>
    <n v="323.60000000000002"/>
    <n v="6.7"/>
    <n v="8.6999999999999993"/>
    <n v="23"/>
    <n v="83165.200000000012"/>
    <n v="5911"/>
  </r>
  <r>
    <x v="2"/>
    <x v="9"/>
    <x v="0"/>
    <n v="23158"/>
    <n v="311.8"/>
    <n v="9.4"/>
    <n v="7"/>
    <n v="26.3"/>
    <n v="7220664.4000000004"/>
    <n v="609055.4"/>
  </r>
  <r>
    <x v="2"/>
    <x v="9"/>
    <x v="1"/>
    <n v="22888"/>
    <n v="313.8"/>
    <n v="9.3000000000000007"/>
    <n v="7"/>
    <n v="26.5"/>
    <n v="7182254.4000000004"/>
    <n v="606532"/>
  </r>
  <r>
    <x v="2"/>
    <x v="9"/>
    <x v="2"/>
    <n v="27050"/>
    <n v="307.89999999999998"/>
    <n v="8.9"/>
    <n v="6.9"/>
    <n v="27.5"/>
    <n v="8328694.9999999991"/>
    <n v="743875"/>
  </r>
  <r>
    <x v="2"/>
    <x v="9"/>
    <x v="3"/>
    <n v="29484"/>
    <n v="307.5"/>
    <n v="8.8000000000000007"/>
    <n v="6.8"/>
    <n v="27.1"/>
    <n v="9066330"/>
    <n v="799016.4"/>
  </r>
  <r>
    <x v="2"/>
    <x v="9"/>
    <x v="4"/>
    <n v="33134"/>
    <n v="309.7"/>
    <n v="8.6999999999999993"/>
    <n v="6.9"/>
    <n v="27.4"/>
    <n v="10261599.799999999"/>
    <n v="907871.6"/>
  </r>
  <r>
    <x v="2"/>
    <x v="9"/>
    <x v="5"/>
    <n v="31140"/>
    <n v="316.2"/>
    <n v="8.8000000000000007"/>
    <n v="7.1"/>
    <n v="28.2"/>
    <n v="9846468"/>
    <n v="878148"/>
  </r>
  <r>
    <x v="3"/>
    <x v="0"/>
    <x v="0"/>
    <n v="11185"/>
    <n v="326.5"/>
    <n v="7.9"/>
    <n v="4.8"/>
    <n v="28"/>
    <n v="3651902.5"/>
    <n v="313180"/>
  </r>
  <r>
    <x v="3"/>
    <x v="0"/>
    <x v="1"/>
    <n v="10763"/>
    <n v="327.39999999999998"/>
    <n v="7.9"/>
    <n v="4.8"/>
    <n v="28.7"/>
    <n v="3523806.1999999997"/>
    <n v="308898.09999999998"/>
  </r>
  <r>
    <x v="3"/>
    <x v="0"/>
    <x v="2"/>
    <n v="10031"/>
    <n v="324.7"/>
    <n v="7.5"/>
    <n v="4.7"/>
    <n v="29.8"/>
    <n v="3257065.6999999997"/>
    <n v="298923.8"/>
  </r>
  <r>
    <x v="3"/>
    <x v="0"/>
    <x v="3"/>
    <n v="8586"/>
    <n v="324.89999999999998"/>
    <n v="7.3"/>
    <n v="4.5999999999999996"/>
    <n v="30.9"/>
    <n v="2789591.4"/>
    <n v="265307.39999999997"/>
  </r>
  <r>
    <x v="3"/>
    <x v="0"/>
    <x v="4"/>
    <n v="8434"/>
    <n v="326.7"/>
    <n v="7.3"/>
    <n v="4.5999999999999996"/>
    <n v="31.9"/>
    <n v="2755387.8"/>
    <n v="269044.59999999998"/>
  </r>
  <r>
    <x v="3"/>
    <x v="0"/>
    <x v="5"/>
    <n v="7586"/>
    <n v="332.4"/>
    <n v="7.4"/>
    <n v="4.8"/>
    <n v="33.4"/>
    <n v="2521586.4"/>
    <n v="253372.4"/>
  </r>
  <r>
    <x v="3"/>
    <x v="1"/>
    <x v="0"/>
    <n v="12148"/>
    <n v="325.7"/>
    <n v="7.7"/>
    <n v="4.2"/>
    <n v="27.8"/>
    <n v="3956603.6"/>
    <n v="337714.4"/>
  </r>
  <r>
    <x v="3"/>
    <x v="1"/>
    <x v="1"/>
    <n v="12969"/>
    <n v="326.89999999999998"/>
    <n v="7.6"/>
    <n v="4.0999999999999996"/>
    <n v="28.4"/>
    <n v="4239566.0999999996"/>
    <n v="368319.6"/>
  </r>
  <r>
    <x v="3"/>
    <x v="1"/>
    <x v="2"/>
    <n v="12251"/>
    <n v="322.2"/>
    <n v="7.2"/>
    <n v="4"/>
    <n v="29.5"/>
    <n v="3947272.1999999997"/>
    <n v="361404.5"/>
  </r>
  <r>
    <x v="3"/>
    <x v="1"/>
    <x v="3"/>
    <n v="11456"/>
    <n v="323.8"/>
    <n v="7.1"/>
    <n v="4"/>
    <n v="31.5"/>
    <n v="3709452.8000000003"/>
    <n v="360864"/>
  </r>
  <r>
    <x v="3"/>
    <x v="1"/>
    <x v="4"/>
    <n v="11044"/>
    <n v="329.5"/>
    <n v="7.2"/>
    <n v="4.0999999999999996"/>
    <n v="31.6"/>
    <n v="3638998"/>
    <n v="348990.4"/>
  </r>
  <r>
    <x v="3"/>
    <x v="1"/>
    <x v="5"/>
    <n v="10036"/>
    <n v="332.4"/>
    <n v="7.2"/>
    <n v="4.0999999999999996"/>
    <n v="32.4"/>
    <n v="3335966.4"/>
    <n v="325166.39999999997"/>
  </r>
  <r>
    <x v="3"/>
    <x v="2"/>
    <x v="0"/>
    <n v="1478"/>
    <n v="334.4"/>
    <n v="9.1"/>
    <n v="6.5"/>
    <n v="26.4"/>
    <n v="494243.19999999995"/>
    <n v="39019.199999999997"/>
  </r>
  <r>
    <x v="3"/>
    <x v="2"/>
    <x v="1"/>
    <n v="1420"/>
    <n v="343.6"/>
    <n v="9.1999999999999993"/>
    <n v="6.6"/>
    <n v="27.8"/>
    <n v="487912.00000000006"/>
    <n v="39476"/>
  </r>
  <r>
    <x v="3"/>
    <x v="2"/>
    <x v="2"/>
    <n v="1536"/>
    <n v="330.1"/>
    <n v="8.4"/>
    <n v="6.4"/>
    <n v="27.9"/>
    <n v="507033.60000000003"/>
    <n v="42854.399999999994"/>
  </r>
  <r>
    <x v="3"/>
    <x v="2"/>
    <x v="3"/>
    <n v="1608"/>
    <n v="330.2"/>
    <n v="8.3000000000000007"/>
    <n v="6.2"/>
    <n v="28.8"/>
    <n v="530961.6"/>
    <n v="46310.400000000001"/>
  </r>
  <r>
    <x v="3"/>
    <x v="2"/>
    <x v="4"/>
    <n v="1848"/>
    <n v="328"/>
    <n v="8.1999999999999993"/>
    <n v="6.2"/>
    <n v="28.6"/>
    <n v="606144"/>
    <n v="52852.800000000003"/>
  </r>
  <r>
    <x v="3"/>
    <x v="2"/>
    <x v="5"/>
    <n v="1857"/>
    <n v="335.7"/>
    <n v="8.4"/>
    <n v="6.4"/>
    <n v="28.7"/>
    <n v="623394.9"/>
    <n v="53295.9"/>
  </r>
  <r>
    <x v="3"/>
    <x v="3"/>
    <x v="0"/>
    <n v="293"/>
    <n v="359.8"/>
    <n v="7.6"/>
    <n v="7.5"/>
    <n v="23.9"/>
    <n v="105421.40000000001"/>
    <n v="7002.7"/>
  </r>
  <r>
    <x v="3"/>
    <x v="3"/>
    <x v="1"/>
    <n v="280"/>
    <n v="360"/>
    <n v="7.5"/>
    <n v="7.4"/>
    <n v="29.4"/>
    <n v="100800"/>
    <n v="8232"/>
  </r>
  <r>
    <x v="3"/>
    <x v="3"/>
    <x v="2"/>
    <n v="211"/>
    <n v="372.1"/>
    <n v="7.3"/>
    <n v="7.3"/>
    <n v="25.3"/>
    <n v="78513.100000000006"/>
    <n v="5338.3"/>
  </r>
  <r>
    <x v="3"/>
    <x v="3"/>
    <x v="3"/>
    <n v="223"/>
    <n v="357.2"/>
    <n v="7.3"/>
    <n v="6.9"/>
    <n v="26.5"/>
    <n v="79655.599999999991"/>
    <n v="5909.5"/>
  </r>
  <r>
    <x v="3"/>
    <x v="3"/>
    <x v="4"/>
    <n v="224"/>
    <n v="358.9"/>
    <n v="6.8"/>
    <n v="7"/>
    <n v="26.5"/>
    <n v="80393.599999999991"/>
    <n v="5936"/>
  </r>
  <r>
    <x v="3"/>
    <x v="3"/>
    <x v="5"/>
    <n v="213"/>
    <n v="353.4"/>
    <n v="6.9"/>
    <n v="6.9"/>
    <n v="25.2"/>
    <n v="75274.2"/>
    <n v="5367.5999999999995"/>
  </r>
  <r>
    <x v="3"/>
    <x v="4"/>
    <x v="0"/>
    <n v="436"/>
    <n v="334.1"/>
    <n v="9.4"/>
    <n v="6.6"/>
    <n v="26"/>
    <n v="145667.6"/>
    <n v="11336"/>
  </r>
  <r>
    <x v="3"/>
    <x v="4"/>
    <x v="1"/>
    <n v="518"/>
    <n v="344.4"/>
    <n v="9.3000000000000007"/>
    <n v="6.7"/>
    <n v="27.2"/>
    <n v="178399.19999999998"/>
    <n v="14089.6"/>
  </r>
  <r>
    <x v="3"/>
    <x v="4"/>
    <x v="2"/>
    <n v="651"/>
    <n v="334.2"/>
    <n v="8.9"/>
    <n v="6.5"/>
    <n v="27.4"/>
    <n v="217564.19999999998"/>
    <n v="17837.399999999998"/>
  </r>
  <r>
    <x v="3"/>
    <x v="4"/>
    <x v="3"/>
    <n v="659"/>
    <n v="333.2"/>
    <n v="8.6"/>
    <n v="6.4"/>
    <n v="28.1"/>
    <n v="219578.8"/>
    <n v="18517.900000000001"/>
  </r>
  <r>
    <x v="3"/>
    <x v="4"/>
    <x v="4"/>
    <n v="786"/>
    <n v="334.4"/>
    <n v="8.4"/>
    <n v="6.5"/>
    <n v="33.4"/>
    <n v="262838.39999999997"/>
    <n v="26252.399999999998"/>
  </r>
  <r>
    <x v="3"/>
    <x v="4"/>
    <x v="5"/>
    <n v="820"/>
    <n v="340.2"/>
    <n v="8.6"/>
    <n v="6.7"/>
    <n v="32.6"/>
    <n v="278964"/>
    <n v="26732"/>
  </r>
  <r>
    <x v="3"/>
    <x v="5"/>
    <x v="0"/>
    <n v="79"/>
    <n v="332.2"/>
    <n v="7.6"/>
    <n v="7.7"/>
    <n v="22.8"/>
    <n v="26243.8"/>
    <n v="1801.2"/>
  </r>
  <r>
    <x v="3"/>
    <x v="5"/>
    <x v="1"/>
    <n v="116"/>
    <n v="355.4"/>
    <n v="8"/>
    <n v="8"/>
    <n v="23.5"/>
    <n v="41226.399999999994"/>
    <n v="2726"/>
  </r>
  <r>
    <x v="3"/>
    <x v="5"/>
    <x v="2"/>
    <n v="93"/>
    <n v="338.5"/>
    <n v="7.8"/>
    <n v="7"/>
    <n v="24.6"/>
    <n v="31480.5"/>
    <n v="2287.8000000000002"/>
  </r>
  <r>
    <x v="3"/>
    <x v="5"/>
    <x v="3"/>
    <n v="136"/>
    <n v="351.3"/>
    <n v="8.1"/>
    <n v="6.7"/>
    <n v="25.9"/>
    <n v="47776.800000000003"/>
    <n v="3522.3999999999996"/>
  </r>
  <r>
    <x v="3"/>
    <x v="5"/>
    <x v="4"/>
    <n v="183"/>
    <n v="345.4"/>
    <n v="7.8"/>
    <n v="6.8"/>
    <n v="25.7"/>
    <n v="63208.2"/>
    <n v="4703.0999999999995"/>
  </r>
  <r>
    <x v="3"/>
    <x v="5"/>
    <x v="5"/>
    <n v="185"/>
    <n v="352"/>
    <n v="7.6"/>
    <n v="7.2"/>
    <n v="26.3"/>
    <n v="65120"/>
    <n v="4865.5"/>
  </r>
  <r>
    <x v="3"/>
    <x v="6"/>
    <x v="0"/>
    <n v="318"/>
    <n v="345.7"/>
    <n v="7.8"/>
    <n v="6.8"/>
    <n v="25.1"/>
    <n v="109932.59999999999"/>
    <n v="7981.8"/>
  </r>
  <r>
    <x v="3"/>
    <x v="6"/>
    <x v="1"/>
    <n v="408"/>
    <n v="353.3"/>
    <n v="7.7"/>
    <n v="6.9"/>
    <n v="25.1"/>
    <n v="144146.4"/>
    <n v="10240.800000000001"/>
  </r>
  <r>
    <x v="3"/>
    <x v="6"/>
    <x v="2"/>
    <n v="353"/>
    <n v="340.4"/>
    <n v="7.1"/>
    <n v="6.5"/>
    <n v="25"/>
    <n v="120161.2"/>
    <n v="8825"/>
  </r>
  <r>
    <x v="3"/>
    <x v="6"/>
    <x v="3"/>
    <n v="387"/>
    <n v="337.6"/>
    <n v="7.1"/>
    <n v="6.3"/>
    <n v="25.3"/>
    <n v="130651.20000000001"/>
    <n v="9791.1"/>
  </r>
  <r>
    <x v="3"/>
    <x v="6"/>
    <x v="4"/>
    <n v="410"/>
    <n v="343.7"/>
    <n v="7.2"/>
    <n v="6.4"/>
    <n v="27"/>
    <n v="140917"/>
    <n v="11070"/>
  </r>
  <r>
    <x v="3"/>
    <x v="6"/>
    <x v="5"/>
    <n v="405"/>
    <n v="356.7"/>
    <n v="7.3"/>
    <n v="6.7"/>
    <n v="26.8"/>
    <n v="144463.5"/>
    <n v="10854"/>
  </r>
  <r>
    <x v="3"/>
    <x v="7"/>
    <x v="0"/>
    <n v="179"/>
    <n v="256.10000000000002"/>
    <n v="7.9"/>
    <n v="5.2"/>
    <n v="40.1"/>
    <n v="45841.9"/>
    <n v="7177.9000000000005"/>
  </r>
  <r>
    <x v="3"/>
    <x v="7"/>
    <x v="1"/>
    <n v="148"/>
    <n v="229.3"/>
    <n v="6.8"/>
    <n v="4.5"/>
    <n v="49"/>
    <n v="33936.400000000001"/>
    <n v="7252"/>
  </r>
  <r>
    <x v="3"/>
    <x v="7"/>
    <x v="2"/>
    <n v="164"/>
    <n v="230.8"/>
    <n v="6.8"/>
    <n v="4.5"/>
    <n v="40.299999999999997"/>
    <n v="37851.200000000004"/>
    <n v="6609.2"/>
  </r>
  <r>
    <x v="3"/>
    <x v="7"/>
    <x v="3"/>
    <n v="143"/>
    <n v="245.2"/>
    <n v="6.7"/>
    <n v="4.5"/>
    <n v="47"/>
    <n v="35063.599999999999"/>
    <n v="6721"/>
  </r>
  <r>
    <x v="3"/>
    <x v="7"/>
    <x v="4"/>
    <n v="92"/>
    <n v="246.3"/>
    <n v="6.9"/>
    <n v="5.0999999999999996"/>
    <n v="36.4"/>
    <n v="22659.600000000002"/>
    <n v="3348.7999999999997"/>
  </r>
  <r>
    <x v="3"/>
    <x v="7"/>
    <x v="5"/>
    <n v="97"/>
    <n v="238.7"/>
    <n v="6.6"/>
    <n v="4.9000000000000004"/>
    <n v="35.799999999999997"/>
    <n v="23153.899999999998"/>
    <n v="3472.6"/>
  </r>
  <r>
    <x v="3"/>
    <x v="8"/>
    <x v="0"/>
    <n v="6"/>
    <n v="323.2"/>
    <n v="7"/>
    <n v="6"/>
    <n v="25"/>
    <n v="1939.1999999999998"/>
    <n v="150"/>
  </r>
  <r>
    <x v="3"/>
    <x v="8"/>
    <x v="1"/>
    <n v="18"/>
    <n v="341"/>
    <n v="8.1999999999999993"/>
    <n v="5.7"/>
    <n v="32.5"/>
    <n v="6138"/>
    <n v="585"/>
  </r>
  <r>
    <x v="3"/>
    <x v="8"/>
    <x v="2"/>
    <n v="12"/>
    <n v="351.8"/>
    <n v="7.8"/>
    <n v="6.8"/>
    <n v="32.4"/>
    <n v="4221.6000000000004"/>
    <n v="388.79999999999995"/>
  </r>
  <r>
    <x v="3"/>
    <x v="8"/>
    <x v="3"/>
    <n v="14"/>
    <n v="319.89999999999998"/>
    <n v="7.1"/>
    <n v="6.4"/>
    <n v="22.7"/>
    <n v="4478.5999999999995"/>
    <n v="317.8"/>
  </r>
  <r>
    <x v="3"/>
    <x v="8"/>
    <x v="4"/>
    <n v="21"/>
    <n v="333.7"/>
    <n v="7"/>
    <n v="5.9"/>
    <n v="26.4"/>
    <n v="7007.7"/>
    <n v="554.4"/>
  </r>
  <r>
    <x v="3"/>
    <x v="8"/>
    <x v="5"/>
    <n v="31"/>
    <n v="342.8"/>
    <n v="7.6"/>
    <n v="6.6"/>
    <n v="30.9"/>
    <n v="10626.800000000001"/>
    <n v="957.9"/>
  </r>
  <r>
    <x v="3"/>
    <x v="9"/>
    <x v="0"/>
    <n v="6598"/>
    <n v="338.6"/>
    <n v="8.3000000000000007"/>
    <n v="6.2"/>
    <n v="26.8"/>
    <n v="2234082.8000000003"/>
    <n v="176826.4"/>
  </r>
  <r>
    <x v="3"/>
    <x v="9"/>
    <x v="1"/>
    <n v="7805"/>
    <n v="341.7"/>
    <n v="8.3000000000000007"/>
    <n v="6.2"/>
    <n v="27.7"/>
    <n v="2666968.5"/>
    <n v="216198.5"/>
  </r>
  <r>
    <x v="3"/>
    <x v="9"/>
    <x v="2"/>
    <n v="8365"/>
    <n v="333.1"/>
    <n v="7.9"/>
    <n v="6"/>
    <n v="28.9"/>
    <n v="2786381.5"/>
    <n v="241748.5"/>
  </r>
  <r>
    <x v="3"/>
    <x v="9"/>
    <x v="3"/>
    <n v="8272"/>
    <n v="333.8"/>
    <n v="7.7"/>
    <n v="5.9"/>
    <n v="29.2"/>
    <n v="2761193.6"/>
    <n v="241542.39999999999"/>
  </r>
  <r>
    <x v="3"/>
    <x v="9"/>
    <x v="4"/>
    <n v="8766"/>
    <n v="336"/>
    <n v="7.7"/>
    <n v="6"/>
    <n v="29.5"/>
    <n v="2945376"/>
    <n v="258597"/>
  </r>
  <r>
    <x v="3"/>
    <x v="9"/>
    <x v="5"/>
    <n v="8674"/>
    <n v="342.1"/>
    <n v="7.8"/>
    <n v="6.3"/>
    <n v="29.6"/>
    <n v="2967375.4000000004"/>
    <n v="256750.40000000002"/>
  </r>
  <r>
    <x v="4"/>
    <x v="0"/>
    <x v="0"/>
    <n v="24950"/>
    <n v="326.39999999999998"/>
    <n v="7.1"/>
    <n v="5.4"/>
    <n v="19.7"/>
    <n v="8143679.9999999991"/>
    <n v="491515"/>
  </r>
  <r>
    <x v="4"/>
    <x v="0"/>
    <x v="1"/>
    <n v="24916"/>
    <n v="330.2"/>
    <n v="7.1"/>
    <n v="5.3"/>
    <n v="20.3"/>
    <n v="8227263.1999999993"/>
    <n v="505794.80000000005"/>
  </r>
  <r>
    <x v="4"/>
    <x v="0"/>
    <x v="2"/>
    <n v="22985"/>
    <n v="327.60000000000002"/>
    <n v="7"/>
    <n v="5.3"/>
    <n v="20.6"/>
    <n v="7529886.0000000009"/>
    <n v="473491.00000000006"/>
  </r>
  <r>
    <x v="4"/>
    <x v="0"/>
    <x v="3"/>
    <n v="20980"/>
    <n v="325.8"/>
    <n v="6.8"/>
    <n v="5.2"/>
    <n v="22.2"/>
    <n v="6835284"/>
    <n v="465756"/>
  </r>
  <r>
    <x v="4"/>
    <x v="0"/>
    <x v="4"/>
    <n v="20762"/>
    <n v="325.89999999999998"/>
    <n v="6.8"/>
    <n v="5.2"/>
    <n v="22.3"/>
    <n v="6766335.7999999998"/>
    <n v="462992.60000000003"/>
  </r>
  <r>
    <x v="4"/>
    <x v="0"/>
    <x v="5"/>
    <n v="19790"/>
    <n v="327.3"/>
    <n v="6.5"/>
    <n v="5.2"/>
    <n v="23.3"/>
    <n v="6477267"/>
    <n v="461107"/>
  </r>
  <r>
    <x v="4"/>
    <x v="1"/>
    <x v="0"/>
    <n v="47500"/>
    <n v="323.2"/>
    <n v="6.7"/>
    <n v="4.5999999999999996"/>
    <n v="19.899999999999999"/>
    <n v="15352000"/>
    <n v="945249.99999999988"/>
  </r>
  <r>
    <x v="4"/>
    <x v="1"/>
    <x v="1"/>
    <n v="48665"/>
    <n v="326.5"/>
    <n v="6.6"/>
    <n v="4.5"/>
    <n v="20.6"/>
    <n v="15889122.5"/>
    <n v="1002499.0000000001"/>
  </r>
  <r>
    <x v="4"/>
    <x v="1"/>
    <x v="2"/>
    <n v="47030"/>
    <n v="325.5"/>
    <n v="6.6"/>
    <n v="4.5"/>
    <n v="21.2"/>
    <n v="15308265"/>
    <n v="997036"/>
  </r>
  <r>
    <x v="4"/>
    <x v="1"/>
    <x v="3"/>
    <n v="46699"/>
    <n v="323.2"/>
    <n v="6.4"/>
    <n v="4.4000000000000004"/>
    <n v="24"/>
    <n v="15093116.799999999"/>
    <n v="1120776"/>
  </r>
  <r>
    <x v="4"/>
    <x v="1"/>
    <x v="4"/>
    <n v="47003"/>
    <n v="323.10000000000002"/>
    <n v="6.3"/>
    <n v="4.4000000000000004"/>
    <n v="23.7"/>
    <n v="15186669.300000001"/>
    <n v="1113971.0999999999"/>
  </r>
  <r>
    <x v="4"/>
    <x v="1"/>
    <x v="5"/>
    <n v="47112"/>
    <n v="325"/>
    <n v="6.2"/>
    <n v="4.5"/>
    <n v="25.9"/>
    <n v="15311400"/>
    <n v="1220200.8"/>
  </r>
  <r>
    <x v="4"/>
    <x v="2"/>
    <x v="0"/>
    <n v="6973"/>
    <n v="340.5"/>
    <n v="8.1999999999999993"/>
    <n v="7.4"/>
    <n v="18.7"/>
    <n v="2374306.5"/>
    <n v="130395.09999999999"/>
  </r>
  <r>
    <x v="4"/>
    <x v="2"/>
    <x v="1"/>
    <n v="7820"/>
    <n v="347.2"/>
    <n v="8.1"/>
    <n v="7.5"/>
    <n v="19.100000000000001"/>
    <n v="2715104"/>
    <n v="149362"/>
  </r>
  <r>
    <x v="4"/>
    <x v="2"/>
    <x v="2"/>
    <n v="8849"/>
    <n v="340.3"/>
    <n v="7.8"/>
    <n v="7.3"/>
    <n v="19.5"/>
    <n v="3011314.7"/>
    <n v="172555.5"/>
  </r>
  <r>
    <x v="4"/>
    <x v="2"/>
    <x v="3"/>
    <n v="9669"/>
    <n v="340.1"/>
    <n v="7.7"/>
    <n v="7.3"/>
    <n v="21.8"/>
    <n v="3288426.9000000004"/>
    <n v="210784.2"/>
  </r>
  <r>
    <x v="4"/>
    <x v="2"/>
    <x v="4"/>
    <n v="9814"/>
    <n v="342.8"/>
    <n v="7.7"/>
    <n v="7.3"/>
    <n v="22.1"/>
    <n v="3364239.2"/>
    <n v="216889.40000000002"/>
  </r>
  <r>
    <x v="4"/>
    <x v="2"/>
    <x v="5"/>
    <n v="9953"/>
    <n v="349.4"/>
    <n v="7.8"/>
    <n v="7.4"/>
    <n v="22.1"/>
    <n v="3477578.1999999997"/>
    <n v="219961.30000000002"/>
  </r>
  <r>
    <x v="4"/>
    <x v="3"/>
    <x v="0"/>
    <n v="6430"/>
    <n v="374"/>
    <n v="6.9"/>
    <n v="9"/>
    <n v="17.3"/>
    <n v="2404820"/>
    <n v="111239"/>
  </r>
  <r>
    <x v="4"/>
    <x v="3"/>
    <x v="1"/>
    <n v="6453"/>
    <n v="379.2"/>
    <n v="6.7"/>
    <n v="9.1"/>
    <n v="18.2"/>
    <n v="2446977.6"/>
    <n v="117444.59999999999"/>
  </r>
  <r>
    <x v="4"/>
    <x v="3"/>
    <x v="2"/>
    <n v="6897"/>
    <n v="370.2"/>
    <n v="6.6"/>
    <n v="8.8000000000000007"/>
    <n v="18.3"/>
    <n v="2553269.4"/>
    <n v="126215.1"/>
  </r>
  <r>
    <x v="4"/>
    <x v="3"/>
    <x v="3"/>
    <n v="6858"/>
    <n v="373"/>
    <n v="6.4"/>
    <n v="8.8000000000000007"/>
    <n v="18.5"/>
    <n v="2558034"/>
    <n v="126873"/>
  </r>
  <r>
    <x v="4"/>
    <x v="3"/>
    <x v="4"/>
    <n v="6610"/>
    <n v="370.5"/>
    <n v="6.3"/>
    <n v="8.8000000000000007"/>
    <n v="18.600000000000001"/>
    <n v="2449005"/>
    <n v="122946.00000000001"/>
  </r>
  <r>
    <x v="4"/>
    <x v="3"/>
    <x v="5"/>
    <n v="6329"/>
    <n v="381.4"/>
    <n v="6.4"/>
    <n v="8.9"/>
    <n v="19"/>
    <n v="2413880.5999999996"/>
    <n v="120251"/>
  </r>
  <r>
    <x v="4"/>
    <x v="4"/>
    <x v="0"/>
    <n v="1988"/>
    <n v="347"/>
    <n v="8.1999999999999993"/>
    <n v="7.8"/>
    <n v="18.399999999999999"/>
    <n v="689836"/>
    <n v="36579.199999999997"/>
  </r>
  <r>
    <x v="4"/>
    <x v="4"/>
    <x v="1"/>
    <n v="2383"/>
    <n v="354.8"/>
    <n v="8.3000000000000007"/>
    <n v="7.9"/>
    <n v="18.2"/>
    <n v="845488.4"/>
    <n v="43370.6"/>
  </r>
  <r>
    <x v="4"/>
    <x v="4"/>
    <x v="2"/>
    <n v="2750"/>
    <n v="349.2"/>
    <n v="7.9"/>
    <n v="7.7"/>
    <n v="19.600000000000001"/>
    <n v="960300"/>
    <n v="53900.000000000007"/>
  </r>
  <r>
    <x v="4"/>
    <x v="4"/>
    <x v="3"/>
    <n v="3256"/>
    <n v="345.4"/>
    <n v="7.8"/>
    <n v="7.6"/>
    <n v="19.899999999999999"/>
    <n v="1124622.3999999999"/>
    <n v="64794.399999999994"/>
  </r>
  <r>
    <x v="4"/>
    <x v="4"/>
    <x v="4"/>
    <n v="3414"/>
    <n v="347.5"/>
    <n v="7.8"/>
    <n v="7.7"/>
    <n v="19.5"/>
    <n v="1186365"/>
    <n v="66573"/>
  </r>
  <r>
    <x v="4"/>
    <x v="4"/>
    <x v="5"/>
    <n v="3337"/>
    <n v="355.5"/>
    <n v="7.7"/>
    <n v="7.8"/>
    <n v="21"/>
    <n v="1186303.5"/>
    <n v="70077"/>
  </r>
  <r>
    <x v="4"/>
    <x v="5"/>
    <x v="0"/>
    <n v="1404"/>
    <n v="368.3"/>
    <n v="6.7"/>
    <n v="10.3"/>
    <n v="17.2"/>
    <n v="517093.2"/>
    <n v="24148.799999999999"/>
  </r>
  <r>
    <x v="4"/>
    <x v="5"/>
    <x v="1"/>
    <n v="1302"/>
    <n v="372.9"/>
    <n v="6.6"/>
    <n v="10.199999999999999"/>
    <n v="17.399999999999999"/>
    <n v="485515.8"/>
    <n v="22654.799999999999"/>
  </r>
  <r>
    <x v="4"/>
    <x v="5"/>
    <x v="2"/>
    <n v="1588"/>
    <n v="370.9"/>
    <n v="6.6"/>
    <n v="9.8000000000000007"/>
    <n v="18.2"/>
    <n v="588989.19999999995"/>
    <n v="28901.599999999999"/>
  </r>
  <r>
    <x v="4"/>
    <x v="5"/>
    <x v="3"/>
    <n v="1658"/>
    <n v="367.7"/>
    <n v="6.4"/>
    <n v="9.5"/>
    <n v="18.600000000000001"/>
    <n v="609646.6"/>
    <n v="30838.800000000003"/>
  </r>
  <r>
    <x v="4"/>
    <x v="5"/>
    <x v="4"/>
    <n v="1787"/>
    <n v="365.3"/>
    <n v="6.3"/>
    <n v="9.6"/>
    <n v="18"/>
    <n v="652791.1"/>
    <n v="32166"/>
  </r>
  <r>
    <x v="4"/>
    <x v="5"/>
    <x v="5"/>
    <n v="1890"/>
    <n v="370"/>
    <n v="6.4"/>
    <n v="9.5"/>
    <n v="18.8"/>
    <n v="699300"/>
    <n v="35532"/>
  </r>
  <r>
    <x v="4"/>
    <x v="6"/>
    <x v="0"/>
    <n v="5253"/>
    <n v="370.1"/>
    <n v="7.1"/>
    <n v="8.5"/>
    <n v="17.7"/>
    <n v="1944135.3"/>
    <n v="92978.099999999991"/>
  </r>
  <r>
    <x v="4"/>
    <x v="6"/>
    <x v="1"/>
    <n v="5678"/>
    <n v="376.8"/>
    <n v="7"/>
    <n v="8.6"/>
    <n v="17.5"/>
    <n v="2139470.4"/>
    <n v="99365"/>
  </r>
  <r>
    <x v="4"/>
    <x v="6"/>
    <x v="2"/>
    <n v="5954"/>
    <n v="370.1"/>
    <n v="6.8"/>
    <n v="8.3000000000000007"/>
    <n v="17.8"/>
    <n v="2203575.4"/>
    <n v="105981.2"/>
  </r>
  <r>
    <x v="4"/>
    <x v="6"/>
    <x v="3"/>
    <n v="6320"/>
    <n v="363.8"/>
    <n v="6.5"/>
    <n v="8.3000000000000007"/>
    <n v="18.399999999999999"/>
    <n v="2299216"/>
    <n v="116287.99999999999"/>
  </r>
  <r>
    <x v="4"/>
    <x v="6"/>
    <x v="4"/>
    <n v="6471"/>
    <n v="365.6"/>
    <n v="6.5"/>
    <n v="8.3000000000000007"/>
    <n v="18.3"/>
    <n v="2365797.6"/>
    <n v="118419.3"/>
  </r>
  <r>
    <x v="4"/>
    <x v="6"/>
    <x v="5"/>
    <n v="6677"/>
    <n v="374.3"/>
    <n v="6.5"/>
    <n v="8.4"/>
    <n v="18.2"/>
    <n v="2499201.1"/>
    <n v="121521.4"/>
  </r>
  <r>
    <x v="4"/>
    <x v="7"/>
    <x v="0"/>
    <n v="254"/>
    <n v="192.8"/>
    <n v="4.9000000000000004"/>
    <n v="4.5999999999999996"/>
    <n v="23.6"/>
    <n v="48971.200000000004"/>
    <n v="5994.4000000000005"/>
  </r>
  <r>
    <x v="4"/>
    <x v="7"/>
    <x v="1"/>
    <n v="201"/>
    <n v="209.6"/>
    <n v="4.8"/>
    <n v="5.0999999999999996"/>
    <n v="22.9"/>
    <n v="42129.599999999999"/>
    <n v="4602.8999999999996"/>
  </r>
  <r>
    <x v="4"/>
    <x v="7"/>
    <x v="2"/>
    <n v="229"/>
    <n v="190.4"/>
    <n v="4.5"/>
    <n v="4.5"/>
    <n v="23.6"/>
    <n v="43601.599999999999"/>
    <n v="5404.4000000000005"/>
  </r>
  <r>
    <x v="4"/>
    <x v="7"/>
    <x v="3"/>
    <n v="198"/>
    <n v="202.6"/>
    <n v="4.5999999999999996"/>
    <n v="4.8"/>
    <n v="27.6"/>
    <n v="40114.799999999996"/>
    <n v="5464.8"/>
  </r>
  <r>
    <x v="4"/>
    <x v="7"/>
    <x v="4"/>
    <n v="173"/>
    <n v="212.6"/>
    <n v="4.7"/>
    <n v="5"/>
    <n v="29.4"/>
    <n v="36779.799999999996"/>
    <n v="5086.2"/>
  </r>
  <r>
    <x v="4"/>
    <x v="7"/>
    <x v="5"/>
    <n v="110"/>
    <n v="225.5"/>
    <n v="4.5999999999999996"/>
    <n v="5.2"/>
    <n v="24.8"/>
    <n v="24805"/>
    <n v="2728"/>
  </r>
  <r>
    <x v="4"/>
    <x v="8"/>
    <x v="0"/>
    <n v="306"/>
    <n v="391.6"/>
    <n v="5.4"/>
    <n v="10.8"/>
    <n v="17"/>
    <n v="119829.6"/>
    <n v="5202"/>
  </r>
  <r>
    <x v="4"/>
    <x v="8"/>
    <x v="1"/>
    <n v="285"/>
    <n v="386"/>
    <n v="5.2"/>
    <n v="11"/>
    <n v="17.100000000000001"/>
    <n v="110010"/>
    <n v="4873.5"/>
  </r>
  <r>
    <x v="4"/>
    <x v="8"/>
    <x v="2"/>
    <n v="288"/>
    <n v="379.6"/>
    <n v="5.3"/>
    <n v="10.6"/>
    <n v="17.2"/>
    <n v="109324.8"/>
    <n v="4953.5999999999995"/>
  </r>
  <r>
    <x v="4"/>
    <x v="8"/>
    <x v="3"/>
    <n v="311"/>
    <n v="381"/>
    <n v="4.7"/>
    <n v="10.8"/>
    <n v="16.100000000000001"/>
    <n v="118491"/>
    <n v="5007.1000000000004"/>
  </r>
  <r>
    <x v="4"/>
    <x v="8"/>
    <x v="4"/>
    <n v="423"/>
    <n v="366.7"/>
    <n v="5"/>
    <n v="10.1"/>
    <n v="15.6"/>
    <n v="155114.1"/>
    <n v="6598.8"/>
  </r>
  <r>
    <x v="4"/>
    <x v="8"/>
    <x v="5"/>
    <n v="424"/>
    <n v="374"/>
    <n v="5.0999999999999996"/>
    <n v="10"/>
    <n v="15.2"/>
    <n v="158576"/>
    <n v="6444.7999999999993"/>
  </r>
  <r>
    <x v="4"/>
    <x v="9"/>
    <x v="0"/>
    <n v="43969"/>
    <n v="356.9"/>
    <n v="7.4"/>
    <n v="7.8"/>
    <n v="18.7"/>
    <n v="15692536.1"/>
    <n v="822220.29999999993"/>
  </r>
  <r>
    <x v="4"/>
    <x v="9"/>
    <x v="1"/>
    <n v="46967"/>
    <n v="360.4"/>
    <n v="7.3"/>
    <n v="7.8"/>
    <n v="18.8"/>
    <n v="16926906.800000001"/>
    <n v="882979.6"/>
  </r>
  <r>
    <x v="4"/>
    <x v="9"/>
    <x v="2"/>
    <n v="49412"/>
    <n v="355.9"/>
    <n v="7.1"/>
    <n v="7.7"/>
    <n v="18.7"/>
    <n v="17585730.799999997"/>
    <n v="924004.39999999991"/>
  </r>
  <r>
    <x v="4"/>
    <x v="9"/>
    <x v="3"/>
    <n v="52654"/>
    <n v="356"/>
    <n v="7"/>
    <n v="7.8"/>
    <n v="19"/>
    <n v="18744824"/>
    <n v="1000426"/>
  </r>
  <r>
    <x v="4"/>
    <x v="9"/>
    <x v="4"/>
    <n v="52664"/>
    <n v="354.9"/>
    <n v="6.9"/>
    <n v="7.8"/>
    <n v="19.2"/>
    <n v="18690453.599999998"/>
    <n v="1011148.7999999999"/>
  </r>
  <r>
    <x v="4"/>
    <x v="9"/>
    <x v="5"/>
    <n v="50606"/>
    <n v="362.1"/>
    <n v="6.9"/>
    <n v="7.8"/>
    <n v="20.6"/>
    <n v="18324432.600000001"/>
    <n v="1042483.6000000001"/>
  </r>
  <r>
    <x v="5"/>
    <x v="0"/>
    <x v="0"/>
    <n v="4295"/>
    <n v="344.1"/>
    <n v="6.4"/>
    <n v="5.0999999999999996"/>
    <n v="28.9"/>
    <n v="1477909.5"/>
    <n v="124125.5"/>
  </r>
  <r>
    <x v="5"/>
    <x v="0"/>
    <x v="1"/>
    <n v="4428"/>
    <n v="349.4"/>
    <n v="6.5"/>
    <n v="5.0999999999999996"/>
    <n v="28.8"/>
    <n v="1547143.2"/>
    <n v="127526.40000000001"/>
  </r>
  <r>
    <x v="5"/>
    <x v="0"/>
    <x v="2"/>
    <n v="4079"/>
    <n v="352.5"/>
    <n v="6.4"/>
    <n v="5.0999999999999996"/>
    <n v="28.6"/>
    <n v="1437847.5"/>
    <n v="116659.40000000001"/>
  </r>
  <r>
    <x v="5"/>
    <x v="0"/>
    <x v="3"/>
    <n v="3985"/>
    <n v="345.8"/>
    <n v="6"/>
    <n v="5"/>
    <n v="29.3"/>
    <n v="1378013"/>
    <n v="116760.5"/>
  </r>
  <r>
    <x v="5"/>
    <x v="0"/>
    <x v="4"/>
    <n v="3856"/>
    <n v="347"/>
    <n v="6.1"/>
    <n v="5"/>
    <n v="29.2"/>
    <n v="1338032"/>
    <n v="112595.2"/>
  </r>
  <r>
    <x v="5"/>
    <x v="0"/>
    <x v="5"/>
    <n v="2996"/>
    <n v="356.7"/>
    <n v="6.1"/>
    <n v="5.0999999999999996"/>
    <n v="29.7"/>
    <n v="1068673.2"/>
    <n v="88981.2"/>
  </r>
  <r>
    <x v="5"/>
    <x v="1"/>
    <x v="0"/>
    <n v="6740"/>
    <n v="352.8"/>
    <n v="6"/>
    <n v="4.4000000000000004"/>
    <n v="28.5"/>
    <n v="2377872"/>
    <n v="192090"/>
  </r>
  <r>
    <x v="5"/>
    <x v="1"/>
    <x v="1"/>
    <n v="7005"/>
    <n v="358.6"/>
    <n v="6.1"/>
    <n v="4.4000000000000004"/>
    <n v="28.5"/>
    <n v="2511993"/>
    <n v="199642.5"/>
  </r>
  <r>
    <x v="5"/>
    <x v="1"/>
    <x v="2"/>
    <n v="6873"/>
    <n v="356.7"/>
    <n v="5.9"/>
    <n v="4.4000000000000004"/>
    <n v="29.2"/>
    <n v="2451599.1"/>
    <n v="200691.6"/>
  </r>
  <r>
    <x v="5"/>
    <x v="1"/>
    <x v="3"/>
    <n v="6585"/>
    <n v="350.6"/>
    <n v="5.5"/>
    <n v="4.3"/>
    <n v="30.1"/>
    <n v="2308701"/>
    <n v="198208.5"/>
  </r>
  <r>
    <x v="5"/>
    <x v="1"/>
    <x v="4"/>
    <n v="6773"/>
    <n v="354.2"/>
    <n v="5.7"/>
    <n v="4.3"/>
    <n v="29.9"/>
    <n v="2398996.6"/>
    <n v="202512.69999999998"/>
  </r>
  <r>
    <x v="5"/>
    <x v="1"/>
    <x v="5"/>
    <n v="5484"/>
    <n v="363.7"/>
    <n v="5.7"/>
    <n v="4.4000000000000004"/>
    <n v="31.8"/>
    <n v="1994530.8"/>
    <n v="174391.2"/>
  </r>
  <r>
    <x v="5"/>
    <x v="2"/>
    <x v="0"/>
    <n v="1540"/>
    <n v="373.4"/>
    <n v="7.1"/>
    <n v="7"/>
    <n v="30.3"/>
    <n v="575036"/>
    <n v="46662"/>
  </r>
  <r>
    <x v="5"/>
    <x v="2"/>
    <x v="1"/>
    <n v="1587"/>
    <n v="374.6"/>
    <n v="7.2"/>
    <n v="7"/>
    <n v="30"/>
    <n v="594490.20000000007"/>
    <n v="47610"/>
  </r>
  <r>
    <x v="5"/>
    <x v="2"/>
    <x v="2"/>
    <n v="1633"/>
    <n v="370.7"/>
    <n v="6.8"/>
    <n v="6.9"/>
    <n v="29.5"/>
    <n v="605353.1"/>
    <n v="48173.5"/>
  </r>
  <r>
    <x v="5"/>
    <x v="2"/>
    <x v="3"/>
    <n v="1806"/>
    <n v="368.8"/>
    <n v="6.7"/>
    <n v="6.7"/>
    <n v="30.4"/>
    <n v="666052.80000000005"/>
    <n v="54902.399999999994"/>
  </r>
  <r>
    <x v="5"/>
    <x v="2"/>
    <x v="4"/>
    <n v="1771"/>
    <n v="368.3"/>
    <n v="6.7"/>
    <n v="6.9"/>
    <n v="30.6"/>
    <n v="652259.30000000005"/>
    <n v="54192.600000000006"/>
  </r>
  <r>
    <x v="5"/>
    <x v="2"/>
    <x v="5"/>
    <n v="1686"/>
    <n v="374.7"/>
    <n v="6.6"/>
    <n v="7"/>
    <n v="31.1"/>
    <n v="631744.19999999995"/>
    <n v="52434.600000000006"/>
  </r>
  <r>
    <x v="5"/>
    <x v="3"/>
    <x v="0"/>
    <n v="463"/>
    <n v="414"/>
    <n v="6"/>
    <n v="8.1999999999999993"/>
    <n v="29.9"/>
    <n v="191682"/>
    <n v="13843.699999999999"/>
  </r>
  <r>
    <x v="5"/>
    <x v="3"/>
    <x v="1"/>
    <n v="406"/>
    <n v="410.4"/>
    <n v="5.8"/>
    <n v="8.1"/>
    <n v="31.4"/>
    <n v="166622.39999999999"/>
    <n v="12748.4"/>
  </r>
  <r>
    <x v="5"/>
    <x v="3"/>
    <x v="2"/>
    <n v="429"/>
    <n v="417.1"/>
    <n v="5.3"/>
    <n v="8.1"/>
    <n v="29.7"/>
    <n v="178935.90000000002"/>
    <n v="12741.3"/>
  </r>
  <r>
    <x v="5"/>
    <x v="3"/>
    <x v="3"/>
    <n v="507"/>
    <n v="416.6"/>
    <n v="5.4"/>
    <n v="8.3000000000000007"/>
    <n v="30"/>
    <n v="211216.2"/>
    <n v="15210"/>
  </r>
  <r>
    <x v="5"/>
    <x v="3"/>
    <x v="4"/>
    <n v="452"/>
    <n v="396.3"/>
    <n v="5.2"/>
    <n v="8"/>
    <n v="31.7"/>
    <n v="179127.6"/>
    <n v="14328.4"/>
  </r>
  <r>
    <x v="5"/>
    <x v="3"/>
    <x v="5"/>
    <n v="402"/>
    <n v="405.1"/>
    <n v="5.4"/>
    <n v="8.3000000000000007"/>
    <n v="30.5"/>
    <n v="162850.20000000001"/>
    <n v="12261"/>
  </r>
  <r>
    <x v="5"/>
    <x v="4"/>
    <x v="0"/>
    <n v="284"/>
    <n v="386.3"/>
    <n v="7.2"/>
    <n v="7.2"/>
    <n v="30.4"/>
    <n v="109709.2"/>
    <n v="8633.6"/>
  </r>
  <r>
    <x v="5"/>
    <x v="4"/>
    <x v="1"/>
    <n v="273"/>
    <n v="391.2"/>
    <n v="7.4"/>
    <n v="7.5"/>
    <n v="29.2"/>
    <n v="106797.59999999999"/>
    <n v="7971.5999999999995"/>
  </r>
  <r>
    <x v="5"/>
    <x v="4"/>
    <x v="2"/>
    <n v="299"/>
    <n v="391.2"/>
    <n v="7.1"/>
    <n v="7.3"/>
    <n v="29"/>
    <n v="116968.8"/>
    <n v="8671"/>
  </r>
  <r>
    <x v="5"/>
    <x v="4"/>
    <x v="3"/>
    <n v="446"/>
    <n v="383.4"/>
    <n v="6.9"/>
    <n v="7"/>
    <n v="30"/>
    <n v="170996.4"/>
    <n v="13380"/>
  </r>
  <r>
    <x v="5"/>
    <x v="4"/>
    <x v="4"/>
    <n v="434"/>
    <n v="376.9"/>
    <n v="6.6"/>
    <n v="7.1"/>
    <n v="33"/>
    <n v="163574.59999999998"/>
    <n v="14322"/>
  </r>
  <r>
    <x v="5"/>
    <x v="4"/>
    <x v="5"/>
    <n v="372"/>
    <n v="380"/>
    <n v="6.7"/>
    <n v="7.2"/>
    <n v="33.1"/>
    <n v="141360"/>
    <n v="12313.2"/>
  </r>
  <r>
    <x v="5"/>
    <x v="5"/>
    <x v="0"/>
    <n v="100"/>
    <n v="407.8"/>
    <n v="6"/>
    <n v="9.3000000000000007"/>
    <n v="30.1"/>
    <n v="40780"/>
    <n v="3010"/>
  </r>
  <r>
    <x v="5"/>
    <x v="5"/>
    <x v="1"/>
    <n v="104"/>
    <n v="409.1"/>
    <n v="5.5"/>
    <n v="9.4"/>
    <n v="29.1"/>
    <n v="42546.400000000001"/>
    <n v="3026.4"/>
  </r>
  <r>
    <x v="5"/>
    <x v="5"/>
    <x v="2"/>
    <n v="161"/>
    <n v="415.9"/>
    <n v="5.0999999999999996"/>
    <n v="9.1999999999999993"/>
    <n v="30.9"/>
    <n v="66959.899999999994"/>
    <n v="4974.8999999999996"/>
  </r>
  <r>
    <x v="5"/>
    <x v="5"/>
    <x v="3"/>
    <n v="193"/>
    <n v="407.1"/>
    <n v="5.4"/>
    <n v="8.8000000000000007"/>
    <n v="31.5"/>
    <n v="78570.3"/>
    <n v="6079.5"/>
  </r>
  <r>
    <x v="5"/>
    <x v="5"/>
    <x v="4"/>
    <n v="151"/>
    <n v="401.7"/>
    <n v="5.0999999999999996"/>
    <n v="9"/>
    <n v="36.799999999999997"/>
    <n v="60656.7"/>
    <n v="5556.7999999999993"/>
  </r>
  <r>
    <x v="5"/>
    <x v="5"/>
    <x v="5"/>
    <n v="154"/>
    <n v="405.2"/>
    <n v="5.2"/>
    <n v="9.1999999999999993"/>
    <n v="30.6"/>
    <n v="62400.799999999996"/>
    <n v="4712.4000000000005"/>
  </r>
  <r>
    <x v="5"/>
    <x v="6"/>
    <x v="0"/>
    <n v="414"/>
    <n v="417"/>
    <n v="5.8"/>
    <n v="7.9"/>
    <n v="30"/>
    <n v="172638"/>
    <n v="12420"/>
  </r>
  <r>
    <x v="5"/>
    <x v="6"/>
    <x v="1"/>
    <n v="424"/>
    <n v="411.4"/>
    <n v="5.8"/>
    <n v="7.9"/>
    <n v="29.9"/>
    <n v="174433.59999999998"/>
    <n v="12677.599999999999"/>
  </r>
  <r>
    <x v="5"/>
    <x v="6"/>
    <x v="2"/>
    <n v="489"/>
    <n v="404.6"/>
    <n v="5.3"/>
    <n v="7.6"/>
    <n v="30.1"/>
    <n v="197849.40000000002"/>
    <n v="14718.900000000001"/>
  </r>
  <r>
    <x v="5"/>
    <x v="6"/>
    <x v="3"/>
    <n v="631"/>
    <n v="390.9"/>
    <n v="5.0999999999999996"/>
    <n v="7.5"/>
    <n v="31.1"/>
    <n v="246657.9"/>
    <n v="19624.100000000002"/>
  </r>
  <r>
    <x v="5"/>
    <x v="6"/>
    <x v="4"/>
    <n v="592"/>
    <n v="386.3"/>
    <n v="5.3"/>
    <n v="7.7"/>
    <n v="31.9"/>
    <n v="228689.6"/>
    <n v="18884.8"/>
  </r>
  <r>
    <x v="5"/>
    <x v="6"/>
    <x v="5"/>
    <n v="511"/>
    <n v="408.2"/>
    <n v="5.4"/>
    <n v="7.9"/>
    <n v="31.5"/>
    <n v="208590.19999999998"/>
    <n v="16096.5"/>
  </r>
  <r>
    <x v="5"/>
    <x v="7"/>
    <x v="0"/>
    <n v="251"/>
    <n v="244.4"/>
    <n v="5.4"/>
    <n v="5.0999999999999996"/>
    <n v="35.4"/>
    <n v="61344.4"/>
    <n v="8885.4"/>
  </r>
  <r>
    <x v="5"/>
    <x v="7"/>
    <x v="1"/>
    <n v="207"/>
    <n v="235"/>
    <n v="5.2"/>
    <n v="5.0999999999999996"/>
    <n v="32.5"/>
    <n v="48645"/>
    <n v="6727.5"/>
  </r>
  <r>
    <x v="5"/>
    <x v="7"/>
    <x v="2"/>
    <n v="154"/>
    <n v="234.3"/>
    <n v="4.7"/>
    <n v="5.4"/>
    <n v="34.4"/>
    <n v="36082.200000000004"/>
    <n v="5297.5999999999995"/>
  </r>
  <r>
    <x v="5"/>
    <x v="7"/>
    <x v="3"/>
    <n v="106"/>
    <n v="257.5"/>
    <n v="4.5999999999999996"/>
    <n v="5.7"/>
    <n v="35.4"/>
    <n v="27295"/>
    <n v="3752.3999999999996"/>
  </r>
  <r>
    <x v="5"/>
    <x v="7"/>
    <x v="4"/>
    <n v="98"/>
    <n v="235.6"/>
    <n v="4.7"/>
    <n v="4.9000000000000004"/>
    <n v="37.9"/>
    <n v="23088.799999999999"/>
    <n v="3714.2"/>
  </r>
  <r>
    <x v="5"/>
    <x v="7"/>
    <x v="5"/>
    <n v="76"/>
    <n v="268.5"/>
    <n v="5"/>
    <n v="5.5"/>
    <n v="34.799999999999997"/>
    <n v="20406"/>
    <n v="2644.7999999999997"/>
  </r>
  <r>
    <x v="5"/>
    <x v="8"/>
    <x v="0"/>
    <n v="26"/>
    <n v="441.5"/>
    <n v="4.2"/>
    <n v="10.199999999999999"/>
    <n v="32.700000000000003"/>
    <n v="11479"/>
    <n v="850.2"/>
  </r>
  <r>
    <x v="5"/>
    <x v="8"/>
    <x v="1"/>
    <n v="40"/>
    <n v="365.1"/>
    <n v="4.9000000000000004"/>
    <n v="9.6"/>
    <n v="22.6"/>
    <n v="14604"/>
    <n v="904"/>
  </r>
  <r>
    <x v="5"/>
    <x v="8"/>
    <x v="2"/>
    <n v="29"/>
    <n v="456.2"/>
    <n v="5"/>
    <n v="10"/>
    <n v="40.6"/>
    <n v="13229.8"/>
    <n v="1177.4000000000001"/>
  </r>
  <r>
    <x v="5"/>
    <x v="8"/>
    <x v="3"/>
    <n v="16"/>
    <n v="453.4"/>
    <n v="4.3"/>
    <n v="9.6"/>
    <n v="36.9"/>
    <n v="7254.4"/>
    <n v="590.4"/>
  </r>
  <r>
    <x v="5"/>
    <x v="8"/>
    <x v="4"/>
    <n v="26"/>
    <n v="445.2"/>
    <n v="4.3"/>
    <n v="10.4"/>
    <n v="30.4"/>
    <n v="11575.199999999999"/>
    <n v="790.4"/>
  </r>
  <r>
    <x v="5"/>
    <x v="8"/>
    <x v="5"/>
    <n v="15"/>
    <n v="467.9"/>
    <n v="4.4000000000000004"/>
    <n v="9.3000000000000007"/>
    <n v="28.6"/>
    <n v="7018.5"/>
    <n v="429"/>
  </r>
  <r>
    <x v="5"/>
    <x v="9"/>
    <x v="0"/>
    <n v="5075"/>
    <n v="365.4"/>
    <n v="6.4"/>
    <n v="6.8"/>
    <n v="28.9"/>
    <n v="1854405"/>
    <n v="146667.5"/>
  </r>
  <r>
    <x v="5"/>
    <x v="9"/>
    <x v="1"/>
    <n v="5279"/>
    <n v="370.3"/>
    <n v="6.3"/>
    <n v="6.9"/>
    <n v="29"/>
    <n v="1954813.7"/>
    <n v="153091"/>
  </r>
  <r>
    <x v="5"/>
    <x v="9"/>
    <x v="2"/>
    <n v="5478"/>
    <n v="366"/>
    <n v="6"/>
    <n v="6.8"/>
    <n v="29.1"/>
    <n v="2004948"/>
    <n v="159409.80000000002"/>
  </r>
  <r>
    <x v="5"/>
    <x v="9"/>
    <x v="3"/>
    <n v="6424"/>
    <n v="361.6"/>
    <n v="5.8"/>
    <n v="6.7"/>
    <n v="29.6"/>
    <n v="2322918.4000000004"/>
    <n v="190150.40000000002"/>
  </r>
  <r>
    <x v="5"/>
    <x v="9"/>
    <x v="4"/>
    <n v="6649"/>
    <n v="360.4"/>
    <n v="5.8"/>
    <n v="6.8"/>
    <n v="30.2"/>
    <n v="2396299.5999999996"/>
    <n v="200799.8"/>
  </r>
  <r>
    <x v="5"/>
    <x v="9"/>
    <x v="5"/>
    <n v="6017"/>
    <n v="367.3"/>
    <n v="5.9"/>
    <n v="7"/>
    <n v="30.9"/>
    <n v="2210044.1"/>
    <n v="185925.3"/>
  </r>
  <r>
    <x v="6"/>
    <x v="0"/>
    <x v="0"/>
    <n v="3715"/>
    <n v="167.6"/>
    <n v="5.7"/>
    <n v="5.0999999999999996"/>
    <n v="10.6"/>
    <n v="622634"/>
    <n v="39379"/>
  </r>
  <r>
    <x v="6"/>
    <x v="0"/>
    <x v="1"/>
    <n v="2935"/>
    <n v="170.7"/>
    <n v="5.7"/>
    <n v="5.0999999999999996"/>
    <n v="9.6"/>
    <n v="501004.49999999994"/>
    <n v="28176"/>
  </r>
  <r>
    <x v="6"/>
    <x v="0"/>
    <x v="2"/>
    <n v="2645"/>
    <n v="170.1"/>
    <n v="5.5"/>
    <n v="5.0999999999999996"/>
    <n v="10.3"/>
    <n v="449914.5"/>
    <n v="27243.500000000004"/>
  </r>
  <r>
    <x v="6"/>
    <x v="0"/>
    <x v="3"/>
    <n v="2526"/>
    <n v="169.6"/>
    <n v="5.5"/>
    <n v="4.9000000000000004"/>
    <n v="11.2"/>
    <n v="428409.59999999998"/>
    <n v="28291.199999999997"/>
  </r>
  <r>
    <x v="6"/>
    <x v="0"/>
    <x v="4"/>
    <n v="2237"/>
    <n v="168.3"/>
    <n v="5.6"/>
    <n v="4.9000000000000004"/>
    <n v="11.1"/>
    <n v="376487.10000000003"/>
    <n v="24830.7"/>
  </r>
  <r>
    <x v="6"/>
    <x v="0"/>
    <x v="5"/>
    <n v="2281"/>
    <n v="172"/>
    <n v="5.5"/>
    <n v="5.0999999999999996"/>
    <n v="12.4"/>
    <n v="392332"/>
    <n v="28284.400000000001"/>
  </r>
  <r>
    <x v="6"/>
    <x v="1"/>
    <x v="0"/>
    <n v="8472"/>
    <n v="169.2"/>
    <n v="5.0999999999999996"/>
    <n v="4.5"/>
    <n v="9.5"/>
    <n v="1433462.4"/>
    <n v="80484"/>
  </r>
  <r>
    <x v="6"/>
    <x v="1"/>
    <x v="1"/>
    <n v="7393"/>
    <n v="171.7"/>
    <n v="5.0999999999999996"/>
    <n v="4.4000000000000004"/>
    <n v="9.9"/>
    <n v="1269378.0999999999"/>
    <n v="73190.7"/>
  </r>
  <r>
    <x v="6"/>
    <x v="1"/>
    <x v="2"/>
    <n v="7577"/>
    <n v="169.8"/>
    <n v="5.0999999999999996"/>
    <n v="4.4000000000000004"/>
    <n v="12"/>
    <n v="1286574.6000000001"/>
    <n v="90924"/>
  </r>
  <r>
    <x v="6"/>
    <x v="1"/>
    <x v="3"/>
    <n v="7329"/>
    <n v="169.1"/>
    <n v="5"/>
    <n v="4.4000000000000004"/>
    <n v="12.5"/>
    <n v="1239333.8999999999"/>
    <n v="91612.5"/>
  </r>
  <r>
    <x v="6"/>
    <x v="1"/>
    <x v="4"/>
    <n v="7258"/>
    <n v="168.4"/>
    <n v="5.0999999999999996"/>
    <n v="4.4000000000000004"/>
    <n v="11.5"/>
    <n v="1222247.2"/>
    <n v="83467"/>
  </r>
  <r>
    <x v="6"/>
    <x v="1"/>
    <x v="5"/>
    <n v="5700"/>
    <n v="170.5"/>
    <n v="5.0999999999999996"/>
    <n v="4.4000000000000004"/>
    <n v="13.7"/>
    <n v="971850"/>
    <n v="78090"/>
  </r>
  <r>
    <x v="6"/>
    <x v="2"/>
    <x v="0"/>
    <n v="253"/>
    <n v="152"/>
    <n v="5.9"/>
    <n v="5.6"/>
    <n v="10.6"/>
    <n v="38456"/>
    <n v="2681.7999999999997"/>
  </r>
  <r>
    <x v="6"/>
    <x v="2"/>
    <x v="1"/>
    <n v="269"/>
    <n v="155.80000000000001"/>
    <n v="6.6"/>
    <n v="5.6"/>
    <n v="10.3"/>
    <n v="41910.200000000004"/>
    <n v="2770.7000000000003"/>
  </r>
  <r>
    <x v="6"/>
    <x v="2"/>
    <x v="2"/>
    <n v="408"/>
    <n v="156"/>
    <n v="6.4"/>
    <n v="5.7"/>
    <n v="11.8"/>
    <n v="63648"/>
    <n v="4814.4000000000005"/>
  </r>
  <r>
    <x v="6"/>
    <x v="2"/>
    <x v="3"/>
    <n v="411"/>
    <n v="158.80000000000001"/>
    <n v="6.2"/>
    <n v="5.4"/>
    <n v="9.5"/>
    <n v="65266.8"/>
    <n v="3904.5"/>
  </r>
  <r>
    <x v="6"/>
    <x v="2"/>
    <x v="4"/>
    <n v="320"/>
    <n v="156.1"/>
    <n v="5.9"/>
    <n v="5.5"/>
    <n v="12.2"/>
    <n v="49952"/>
    <n v="3904"/>
  </r>
  <r>
    <x v="6"/>
    <x v="2"/>
    <x v="5"/>
    <n v="290"/>
    <n v="155.5"/>
    <n v="5.5"/>
    <n v="5.5"/>
    <n v="22.7"/>
    <n v="45095"/>
    <n v="6583"/>
  </r>
  <r>
    <x v="6"/>
    <x v="3"/>
    <x v="0"/>
    <n v="70"/>
    <n v="166.9"/>
    <n v="5"/>
    <n v="6.4"/>
    <n v="9.9"/>
    <n v="11683"/>
    <n v="693"/>
  </r>
  <r>
    <x v="6"/>
    <x v="3"/>
    <x v="1"/>
    <n v="56"/>
    <n v="170.6"/>
    <n v="5"/>
    <n v="6.3"/>
    <n v="11.3"/>
    <n v="9553.6"/>
    <n v="632.80000000000007"/>
  </r>
  <r>
    <x v="6"/>
    <x v="3"/>
    <x v="2"/>
    <n v="111"/>
    <n v="174.2"/>
    <n v="5"/>
    <n v="6.6"/>
    <n v="10.5"/>
    <n v="19336.199999999997"/>
    <n v="1165.5"/>
  </r>
  <r>
    <x v="6"/>
    <x v="3"/>
    <x v="3"/>
    <n v="109"/>
    <n v="169.1"/>
    <n v="5.8"/>
    <n v="6.3"/>
    <n v="11"/>
    <n v="18431.899999999998"/>
    <n v="1199"/>
  </r>
  <r>
    <x v="6"/>
    <x v="3"/>
    <x v="4"/>
    <n v="127"/>
    <n v="172.4"/>
    <n v="5.7"/>
    <n v="6.5"/>
    <n v="9.5"/>
    <n v="21894.799999999999"/>
    <n v="1206.5"/>
  </r>
  <r>
    <x v="6"/>
    <x v="3"/>
    <x v="5"/>
    <n v="92"/>
    <n v="184"/>
    <n v="6"/>
    <n v="6.6"/>
    <n v="16.8"/>
    <n v="16928"/>
    <n v="1545.6000000000001"/>
  </r>
  <r>
    <x v="6"/>
    <x v="4"/>
    <x v="0"/>
    <n v="234"/>
    <n v="149"/>
    <n v="6.5"/>
    <n v="6.3"/>
    <n v="8.5"/>
    <n v="34866"/>
    <n v="1989"/>
  </r>
  <r>
    <x v="6"/>
    <x v="4"/>
    <x v="1"/>
    <n v="247"/>
    <n v="157.4"/>
    <n v="6.5"/>
    <n v="6.3"/>
    <n v="10.3"/>
    <n v="38877.800000000003"/>
    <n v="2544.1000000000004"/>
  </r>
  <r>
    <x v="6"/>
    <x v="4"/>
    <x v="2"/>
    <n v="297"/>
    <n v="157.6"/>
    <n v="6.4"/>
    <n v="6.2"/>
    <n v="10.7"/>
    <n v="46807.199999999997"/>
    <n v="3177.8999999999996"/>
  </r>
  <r>
    <x v="6"/>
    <x v="4"/>
    <x v="3"/>
    <n v="281"/>
    <n v="134.9"/>
    <n v="5.5"/>
    <n v="5.7"/>
    <n v="12.7"/>
    <n v="37906.9"/>
    <n v="3568.7"/>
  </r>
  <r>
    <x v="6"/>
    <x v="4"/>
    <x v="4"/>
    <n v="260"/>
    <n v="138.1"/>
    <n v="5.6"/>
    <n v="5.3"/>
    <n v="10.199999999999999"/>
    <n v="35906"/>
    <n v="2652"/>
  </r>
  <r>
    <x v="6"/>
    <x v="4"/>
    <x v="5"/>
    <n v="271"/>
    <n v="137.1"/>
    <n v="5.2"/>
    <n v="5.6"/>
    <n v="11.6"/>
    <n v="37154.1"/>
    <n v="3143.6"/>
  </r>
  <r>
    <x v="6"/>
    <x v="5"/>
    <x v="0"/>
    <n v="81"/>
    <n v="175.1"/>
    <n v="5.5"/>
    <n v="8.4"/>
    <n v="9.4"/>
    <n v="14183.1"/>
    <n v="761.4"/>
  </r>
  <r>
    <x v="6"/>
    <x v="5"/>
    <x v="1"/>
    <n v="74"/>
    <n v="177.7"/>
    <n v="5.3"/>
    <n v="7.9"/>
    <n v="9.1"/>
    <n v="13149.8"/>
    <n v="673.4"/>
  </r>
  <r>
    <x v="6"/>
    <x v="5"/>
    <x v="2"/>
    <n v="93"/>
    <n v="176.8"/>
    <n v="5.5"/>
    <n v="7.8"/>
    <n v="9.3000000000000007"/>
    <n v="16442.400000000001"/>
    <n v="864.90000000000009"/>
  </r>
  <r>
    <x v="6"/>
    <x v="5"/>
    <x v="3"/>
    <n v="69"/>
    <n v="163"/>
    <n v="4.9000000000000004"/>
    <n v="8"/>
    <n v="11.1"/>
    <n v="11247"/>
    <n v="765.9"/>
  </r>
  <r>
    <x v="6"/>
    <x v="5"/>
    <x v="4"/>
    <n v="78"/>
    <n v="156.19999999999999"/>
    <n v="5"/>
    <n v="6.7"/>
    <n v="15.3"/>
    <n v="12183.599999999999"/>
    <n v="1193.4000000000001"/>
  </r>
  <r>
    <x v="6"/>
    <x v="5"/>
    <x v="5"/>
    <n v="102"/>
    <n v="181.1"/>
    <n v="5.3"/>
    <n v="8"/>
    <n v="15.3"/>
    <n v="18472.2"/>
    <n v="1560.6000000000001"/>
  </r>
  <r>
    <x v="6"/>
    <x v="6"/>
    <x v="0"/>
    <n v="127"/>
    <n v="174.5"/>
    <n v="5.7"/>
    <n v="6.2"/>
    <n v="11.7"/>
    <n v="22161.5"/>
    <n v="1485.8999999999999"/>
  </r>
  <r>
    <x v="6"/>
    <x v="6"/>
    <x v="1"/>
    <n v="108"/>
    <n v="169.9"/>
    <n v="5.5"/>
    <n v="6.2"/>
    <n v="14.4"/>
    <n v="18349.2"/>
    <n v="1555.2"/>
  </r>
  <r>
    <x v="6"/>
    <x v="6"/>
    <x v="2"/>
    <n v="168"/>
    <n v="163.4"/>
    <n v="5"/>
    <n v="5.9"/>
    <n v="9"/>
    <n v="27451.200000000001"/>
    <n v="1512"/>
  </r>
  <r>
    <x v="6"/>
    <x v="6"/>
    <x v="3"/>
    <n v="136"/>
    <n v="160.6"/>
    <n v="4.7"/>
    <n v="5.4"/>
    <n v="9.5"/>
    <n v="21841.599999999999"/>
    <n v="1292"/>
  </r>
  <r>
    <x v="6"/>
    <x v="6"/>
    <x v="4"/>
    <n v="105"/>
    <n v="169.8"/>
    <n v="4.9000000000000004"/>
    <n v="5.8"/>
    <n v="12.9"/>
    <n v="17829"/>
    <n v="1354.5"/>
  </r>
  <r>
    <x v="6"/>
    <x v="6"/>
    <x v="5"/>
    <n v="85"/>
    <n v="176.8"/>
    <n v="5.4"/>
    <n v="6.2"/>
    <n v="14.1"/>
    <n v="15028.000000000002"/>
    <n v="1198.5"/>
  </r>
  <r>
    <x v="6"/>
    <x v="7"/>
    <x v="0"/>
    <n v="100"/>
    <n v="95.4"/>
    <n v="4"/>
    <n v="3.7"/>
    <n v="11.3"/>
    <n v="9540"/>
    <n v="1130"/>
  </r>
  <r>
    <x v="6"/>
    <x v="7"/>
    <x v="1"/>
    <n v="78"/>
    <n v="97.7"/>
    <n v="3.5"/>
    <n v="3.6"/>
    <n v="11.6"/>
    <n v="7620.6"/>
    <n v="904.8"/>
  </r>
  <r>
    <x v="6"/>
    <x v="7"/>
    <x v="2"/>
    <n v="82"/>
    <n v="98.1"/>
    <n v="4.2"/>
    <n v="3.8"/>
    <n v="11.5"/>
    <n v="8044.2"/>
    <n v="943"/>
  </r>
  <r>
    <x v="6"/>
    <x v="7"/>
    <x v="3"/>
    <n v="76"/>
    <n v="95.3"/>
    <n v="4.4000000000000004"/>
    <n v="3.8"/>
    <n v="11"/>
    <n v="7242.8"/>
    <n v="836"/>
  </r>
  <r>
    <x v="6"/>
    <x v="7"/>
    <x v="4"/>
    <n v="51"/>
    <n v="98.8"/>
    <n v="4.4000000000000004"/>
    <n v="3.9"/>
    <n v="14"/>
    <n v="5038.8"/>
    <n v="714"/>
  </r>
  <r>
    <x v="6"/>
    <x v="7"/>
    <x v="5"/>
    <n v="43"/>
    <n v="98.2"/>
    <n v="4.5999999999999996"/>
    <n v="3.7"/>
    <n v="12.5"/>
    <n v="4222.6000000000004"/>
    <n v="537.5"/>
  </r>
  <r>
    <x v="6"/>
    <x v="8"/>
    <x v="0"/>
    <n v="36"/>
    <n v="169.4"/>
    <n v="4.4000000000000004"/>
    <n v="8.1999999999999993"/>
    <n v="7.3"/>
    <n v="6098.4000000000005"/>
    <n v="262.8"/>
  </r>
  <r>
    <x v="6"/>
    <x v="8"/>
    <x v="1"/>
    <n v="39"/>
    <n v="192"/>
    <n v="4.2"/>
    <n v="9.1999999999999993"/>
    <n v="10"/>
    <n v="7488"/>
    <n v="390"/>
  </r>
  <r>
    <x v="6"/>
    <x v="8"/>
    <x v="2"/>
    <n v="59"/>
    <n v="215.8"/>
    <n v="4.5999999999999996"/>
    <n v="9.3000000000000007"/>
    <n v="9.1999999999999993"/>
    <n v="12732.2"/>
    <n v="542.79999999999995"/>
  </r>
  <r>
    <x v="6"/>
    <x v="8"/>
    <x v="3"/>
    <n v="36"/>
    <n v="210"/>
    <n v="4.3"/>
    <n v="9.9"/>
    <n v="8"/>
    <n v="7560"/>
    <n v="288"/>
  </r>
  <r>
    <x v="6"/>
    <x v="8"/>
    <x v="4"/>
    <n v="37"/>
    <n v="212.7"/>
    <n v="4.2"/>
    <n v="9.4"/>
    <n v="9.1"/>
    <n v="7869.9"/>
    <n v="336.7"/>
  </r>
  <r>
    <x v="6"/>
    <x v="8"/>
    <x v="5"/>
    <n v="18"/>
    <n v="208.4"/>
    <n v="4.5"/>
    <n v="9.6999999999999993"/>
    <n v="15.9"/>
    <n v="3751.2000000000003"/>
    <n v="286.2"/>
  </r>
  <r>
    <x v="6"/>
    <x v="9"/>
    <x v="0"/>
    <n v="2397"/>
    <n v="159.1"/>
    <n v="5.7"/>
    <n v="5.3"/>
    <n v="10"/>
    <n v="381362.7"/>
    <n v="23970"/>
  </r>
  <r>
    <x v="6"/>
    <x v="9"/>
    <x v="1"/>
    <n v="2396"/>
    <n v="160"/>
    <n v="5.6"/>
    <n v="5.4"/>
    <n v="10.5"/>
    <n v="383360"/>
    <n v="25158"/>
  </r>
  <r>
    <x v="6"/>
    <x v="9"/>
    <x v="2"/>
    <n v="3182"/>
    <n v="156.30000000000001"/>
    <n v="5.6"/>
    <n v="5.5"/>
    <n v="10.8"/>
    <n v="497346.60000000003"/>
    <n v="34365.600000000006"/>
  </r>
  <r>
    <x v="6"/>
    <x v="9"/>
    <x v="3"/>
    <n v="2754"/>
    <n v="157.30000000000001"/>
    <n v="5.5"/>
    <n v="5.4"/>
    <n v="10.8"/>
    <n v="433204.2"/>
    <n v="29743.200000000001"/>
  </r>
  <r>
    <x v="6"/>
    <x v="9"/>
    <x v="4"/>
    <n v="2305"/>
    <n v="159.1"/>
    <n v="5.5"/>
    <n v="5.4"/>
    <n v="13.1"/>
    <n v="366725.5"/>
    <n v="30195.5"/>
  </r>
  <r>
    <x v="6"/>
    <x v="9"/>
    <x v="5"/>
    <n v="1961"/>
    <n v="164.3"/>
    <n v="5.6"/>
    <n v="5.5"/>
    <n v="14.1"/>
    <n v="322192.30000000005"/>
    <n v="2765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3:O43" firstHeaderRow="0" firstDataRow="1" firstDataCol="1" rowPageCount="1" colPageCount="1"/>
  <pivotFields count="12"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dataField="1" showAll="0"/>
    <pivotField axis="axisRow" showAll="0" defaultSubtotal="0">
      <items count="3">
        <item n="Mjölkras" x="1"/>
        <item n="Köttras" x="2"/>
        <item n="Korsning/övriga raser" x="0"/>
      </items>
    </pivotField>
    <pivotField axis="axisRow" showAll="0">
      <items count="6">
        <item n="ko, tot" x="3"/>
        <item x="0"/>
        <item x="1"/>
        <item n="tjur, tot" x="4"/>
        <item x="2"/>
        <item t="default"/>
      </items>
    </pivotField>
  </pivotFields>
  <rowFields count="4">
    <field x="10"/>
    <field x="11"/>
    <field x="0"/>
    <field x="1"/>
  </rowFields>
  <rowItems count="40">
    <i>
      <x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r="1">
      <x v="3"/>
    </i>
    <i r="2">
      <x v="4"/>
    </i>
    <i r="2">
      <x v="5"/>
    </i>
    <i r="1">
      <x v="4"/>
    </i>
    <i r="2">
      <x v="6"/>
    </i>
    <i>
      <x v="1"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r="1">
      <x v="3"/>
    </i>
    <i r="2">
      <x v="4"/>
    </i>
    <i r="2">
      <x v="5"/>
    </i>
    <i r="1">
      <x v="4"/>
    </i>
    <i r="2">
      <x v="6"/>
    </i>
    <i>
      <x v="2"/>
    </i>
    <i r="1">
      <x/>
    </i>
    <i r="2">
      <x/>
    </i>
    <i r="2">
      <x v="1"/>
    </i>
    <i r="1">
      <x v="1"/>
    </i>
    <i r="2">
      <x v="2"/>
    </i>
    <i r="1">
      <x v="2"/>
    </i>
    <i r="2">
      <x v="3"/>
    </i>
    <i r="1">
      <x v="3"/>
    </i>
    <i r="2">
      <x v="4"/>
    </i>
    <i r="2">
      <x v="5"/>
    </i>
    <i r="1">
      <x v="4"/>
    </i>
    <i r="2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Antal djur" fld="3" baseField="0" baseItem="0" numFmtId="3"/>
    <dataField name="Sum of Slaktvikt*Antal" fld="8" baseField="0" baseItem="0" numFmtId="3"/>
    <dataField name="Sum of Ålder*Antal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J12" sqref="J12"/>
    </sheetView>
  </sheetViews>
  <sheetFormatPr defaultRowHeight="15" x14ac:dyDescent="0.25"/>
  <sheetData>
    <row r="2" spans="2:2" x14ac:dyDescent="0.25">
      <c r="B2" s="109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431"/>
  <sheetViews>
    <sheetView tabSelected="1" zoomScale="80" zoomScaleNormal="80"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8" bestFit="1" customWidth="1"/>
    <col min="2" max="2" width="12.5703125" bestFit="1" customWidth="1"/>
    <col min="3" max="3" width="14.7109375" customWidth="1"/>
    <col min="4" max="4" width="8.7109375" bestFit="1" customWidth="1"/>
    <col min="5" max="5" width="8.7109375" customWidth="1"/>
    <col min="6" max="6" width="10.28515625" customWidth="1"/>
    <col min="7" max="7" width="8.7109375" customWidth="1"/>
    <col min="8" max="8" width="35.5703125" bestFit="1" customWidth="1"/>
    <col min="9" max="9" width="12" bestFit="1" customWidth="1"/>
    <col min="10" max="10" width="12.140625" bestFit="1" customWidth="1"/>
    <col min="11" max="11" width="55.7109375" customWidth="1"/>
    <col min="12" max="12" width="37.42578125" bestFit="1" customWidth="1"/>
  </cols>
  <sheetData>
    <row r="1" spans="1:15" x14ac:dyDescent="0.25">
      <c r="A1" s="6" t="s">
        <v>51</v>
      </c>
      <c r="B1" s="6" t="s">
        <v>295</v>
      </c>
      <c r="C1" s="6" t="s">
        <v>394</v>
      </c>
      <c r="D1" s="6" t="s">
        <v>52</v>
      </c>
      <c r="E1" s="6" t="s">
        <v>325</v>
      </c>
      <c r="F1" s="6" t="s">
        <v>334</v>
      </c>
      <c r="G1" s="6" t="s">
        <v>335</v>
      </c>
      <c r="H1" s="6" t="s">
        <v>47</v>
      </c>
      <c r="I1" s="6" t="s">
        <v>0</v>
      </c>
      <c r="J1" s="6" t="s">
        <v>48</v>
      </c>
      <c r="K1" s="6" t="s">
        <v>49</v>
      </c>
      <c r="L1" s="6" t="s">
        <v>50</v>
      </c>
    </row>
    <row r="2" spans="1:15" x14ac:dyDescent="0.25">
      <c r="A2" s="94" t="s">
        <v>297</v>
      </c>
      <c r="B2" s="94"/>
      <c r="C2" s="94"/>
      <c r="D2" s="95"/>
      <c r="E2" s="95"/>
      <c r="F2" s="95"/>
      <c r="G2" s="95"/>
      <c r="H2" s="95"/>
      <c r="I2" s="95"/>
      <c r="J2" s="95"/>
      <c r="K2" s="95"/>
      <c r="L2" s="95"/>
    </row>
    <row r="3" spans="1:15" x14ac:dyDescent="0.25">
      <c r="A3" s="97" t="s">
        <v>303</v>
      </c>
      <c r="B3" s="97"/>
      <c r="C3" s="97"/>
      <c r="D3" s="98"/>
      <c r="E3" s="98"/>
      <c r="F3" s="98"/>
      <c r="G3" s="98"/>
      <c r="H3" s="98"/>
      <c r="I3" s="99"/>
      <c r="J3" s="98"/>
      <c r="K3" s="98"/>
      <c r="L3" s="98"/>
    </row>
    <row r="4" spans="1:15" x14ac:dyDescent="0.25">
      <c r="A4" t="s">
        <v>2</v>
      </c>
      <c r="B4" t="s">
        <v>1</v>
      </c>
      <c r="H4" t="s">
        <v>43</v>
      </c>
      <c r="I4" s="2">
        <f>AVERAGE(9829,9903,9953,10112,10330)</f>
        <v>10025.4</v>
      </c>
      <c r="J4" t="s">
        <v>44</v>
      </c>
      <c r="K4" t="s">
        <v>393</v>
      </c>
      <c r="L4" t="s">
        <v>60</v>
      </c>
    </row>
    <row r="5" spans="1:15" x14ac:dyDescent="0.25">
      <c r="A5" t="s">
        <v>2</v>
      </c>
      <c r="B5" t="s">
        <v>1</v>
      </c>
      <c r="H5" t="s">
        <v>45</v>
      </c>
      <c r="I5" s="1">
        <f>AVERAGE(4.3,4.2,4.2,4.3,4.3)</f>
        <v>4.26</v>
      </c>
      <c r="J5" t="s">
        <v>9</v>
      </c>
      <c r="L5" t="s">
        <v>60</v>
      </c>
    </row>
    <row r="6" spans="1:15" x14ac:dyDescent="0.25">
      <c r="A6" t="s">
        <v>2</v>
      </c>
      <c r="B6" t="s">
        <v>1</v>
      </c>
      <c r="H6" t="s">
        <v>46</v>
      </c>
      <c r="I6" s="1">
        <f>AVERAGE(3.5,3.6,3.5,3.6,3.6)</f>
        <v>3.56</v>
      </c>
      <c r="J6" t="s">
        <v>9</v>
      </c>
      <c r="L6" t="s">
        <v>60</v>
      </c>
    </row>
    <row r="7" spans="1:15" x14ac:dyDescent="0.25">
      <c r="A7" t="s">
        <v>2</v>
      </c>
      <c r="B7" t="s">
        <v>5</v>
      </c>
      <c r="H7" t="s">
        <v>43</v>
      </c>
      <c r="I7" s="2">
        <f>AVERAGE(9135,9246,9280,9499,9676)</f>
        <v>9367.2000000000007</v>
      </c>
      <c r="J7" t="s">
        <v>44</v>
      </c>
      <c r="L7" t="s">
        <v>60</v>
      </c>
    </row>
    <row r="8" spans="1:15" x14ac:dyDescent="0.25">
      <c r="A8" t="s">
        <v>2</v>
      </c>
      <c r="B8" t="s">
        <v>5</v>
      </c>
      <c r="H8" t="s">
        <v>45</v>
      </c>
      <c r="I8" s="1">
        <f>AVERAGE(4.2,4.1,4.1,4.1,4.2)</f>
        <v>4.1399999999999997</v>
      </c>
      <c r="J8" t="s">
        <v>9</v>
      </c>
      <c r="L8" t="s">
        <v>60</v>
      </c>
    </row>
    <row r="9" spans="1:15" x14ac:dyDescent="0.25">
      <c r="A9" t="s">
        <v>2</v>
      </c>
      <c r="B9" t="s">
        <v>5</v>
      </c>
      <c r="H9" t="s">
        <v>46</v>
      </c>
      <c r="I9" s="1">
        <f>AVERAGE(3.4,3.4,3.4,3.5,3.5)</f>
        <v>3.44</v>
      </c>
      <c r="J9" t="s">
        <v>9</v>
      </c>
      <c r="L9" t="s">
        <v>60</v>
      </c>
    </row>
    <row r="10" spans="1:15" x14ac:dyDescent="0.25">
      <c r="A10" t="s">
        <v>2</v>
      </c>
      <c r="H10" t="s">
        <v>291</v>
      </c>
      <c r="I10" s="2">
        <v>89</v>
      </c>
      <c r="J10" t="s">
        <v>9</v>
      </c>
      <c r="K10" t="s">
        <v>333</v>
      </c>
      <c r="L10" t="s">
        <v>292</v>
      </c>
    </row>
    <row r="11" spans="1:15" x14ac:dyDescent="0.25">
      <c r="A11" s="100" t="s">
        <v>304</v>
      </c>
      <c r="B11" s="100"/>
      <c r="C11" s="100"/>
      <c r="D11" s="101"/>
      <c r="E11" s="101"/>
      <c r="F11" s="101"/>
      <c r="G11" s="101"/>
      <c r="H11" s="101"/>
      <c r="I11" s="101"/>
      <c r="J11" s="101"/>
      <c r="K11" s="101"/>
      <c r="L11" s="101"/>
    </row>
    <row r="12" spans="1:15" x14ac:dyDescent="0.25">
      <c r="A12" t="s">
        <v>38</v>
      </c>
      <c r="H12" t="s">
        <v>43</v>
      </c>
      <c r="I12" s="2">
        <f>2013/(0.25+I13/100*12.2+I14/100*7.7)</f>
        <v>1973.6068081101221</v>
      </c>
      <c r="J12" t="s">
        <v>44</v>
      </c>
      <c r="K12" s="110" t="s">
        <v>540</v>
      </c>
      <c r="L12" t="s">
        <v>538</v>
      </c>
    </row>
    <row r="13" spans="1:15" x14ac:dyDescent="0.25">
      <c r="A13" t="s">
        <v>38</v>
      </c>
      <c r="H13" t="s">
        <v>45</v>
      </c>
      <c r="I13" s="195">
        <v>4.1399999999999997</v>
      </c>
      <c r="J13" t="s">
        <v>9</v>
      </c>
      <c r="K13" t="s">
        <v>539</v>
      </c>
    </row>
    <row r="14" spans="1:15" x14ac:dyDescent="0.25">
      <c r="A14" t="s">
        <v>38</v>
      </c>
      <c r="H14" t="s">
        <v>46</v>
      </c>
      <c r="I14" s="195">
        <v>3.44</v>
      </c>
      <c r="J14" t="s">
        <v>9</v>
      </c>
      <c r="K14" t="s">
        <v>539</v>
      </c>
      <c r="O14" s="194" t="s">
        <v>537</v>
      </c>
    </row>
    <row r="15" spans="1:15" x14ac:dyDescent="0.25">
      <c r="A15" t="s">
        <v>38</v>
      </c>
      <c r="H15" t="s">
        <v>291</v>
      </c>
      <c r="I15" s="2">
        <v>0</v>
      </c>
      <c r="J15" t="s">
        <v>9</v>
      </c>
    </row>
    <row r="16" spans="1:15" x14ac:dyDescent="0.25">
      <c r="I16" s="2"/>
    </row>
    <row r="17" spans="1:12" x14ac:dyDescent="0.25">
      <c r="A17" s="94" t="s">
        <v>298</v>
      </c>
      <c r="B17" s="94"/>
      <c r="C17" s="94"/>
      <c r="D17" s="95"/>
      <c r="E17" s="95"/>
      <c r="F17" s="95"/>
      <c r="G17" s="95"/>
      <c r="H17" s="95"/>
      <c r="I17" s="96"/>
      <c r="J17" s="95"/>
      <c r="K17" s="95"/>
      <c r="L17" s="95"/>
    </row>
    <row r="18" spans="1:12" x14ac:dyDescent="0.25">
      <c r="A18" s="97" t="s">
        <v>303</v>
      </c>
      <c r="B18" s="97"/>
      <c r="C18" s="97"/>
      <c r="D18" s="98"/>
      <c r="E18" s="98"/>
      <c r="F18" s="98"/>
      <c r="G18" s="98"/>
      <c r="H18" s="98"/>
      <c r="I18" s="99"/>
      <c r="J18" s="98"/>
      <c r="K18" s="98"/>
      <c r="L18" s="98"/>
    </row>
    <row r="19" spans="1:12" x14ac:dyDescent="0.25">
      <c r="A19" t="s">
        <v>2</v>
      </c>
      <c r="B19" t="s">
        <v>1</v>
      </c>
      <c r="H19" t="s">
        <v>3</v>
      </c>
      <c r="I19">
        <v>13.2</v>
      </c>
      <c r="J19" t="s">
        <v>4</v>
      </c>
    </row>
    <row r="20" spans="1:12" x14ac:dyDescent="0.25">
      <c r="A20" t="s">
        <v>2</v>
      </c>
      <c r="B20" t="s">
        <v>5</v>
      </c>
      <c r="H20" t="s">
        <v>3</v>
      </c>
      <c r="I20">
        <v>12.9</v>
      </c>
      <c r="J20" t="s">
        <v>4</v>
      </c>
    </row>
    <row r="21" spans="1:12" x14ac:dyDescent="0.25">
      <c r="A21" t="s">
        <v>2</v>
      </c>
      <c r="B21" t="s">
        <v>1</v>
      </c>
      <c r="H21" t="s">
        <v>6</v>
      </c>
      <c r="I21">
        <v>27</v>
      </c>
      <c r="J21" t="s">
        <v>4</v>
      </c>
      <c r="K21" t="s">
        <v>7</v>
      </c>
    </row>
    <row r="22" spans="1:12" x14ac:dyDescent="0.25">
      <c r="A22" t="s">
        <v>2</v>
      </c>
      <c r="B22" t="s">
        <v>5</v>
      </c>
      <c r="H22" t="s">
        <v>6</v>
      </c>
      <c r="I22">
        <v>27</v>
      </c>
      <c r="J22" t="s">
        <v>4</v>
      </c>
      <c r="K22" t="s">
        <v>7</v>
      </c>
    </row>
    <row r="23" spans="1:12" x14ac:dyDescent="0.25">
      <c r="A23" t="s">
        <v>2</v>
      </c>
      <c r="B23" t="s">
        <v>1</v>
      </c>
      <c r="H23" t="s">
        <v>8</v>
      </c>
      <c r="I23">
        <v>37.1</v>
      </c>
      <c r="J23" t="s">
        <v>9</v>
      </c>
      <c r="K23" t="s">
        <v>10</v>
      </c>
    </row>
    <row r="24" spans="1:12" x14ac:dyDescent="0.25">
      <c r="A24" t="s">
        <v>2</v>
      </c>
      <c r="B24" t="s">
        <v>5</v>
      </c>
      <c r="H24" t="s">
        <v>8</v>
      </c>
      <c r="I24">
        <v>36.1</v>
      </c>
      <c r="J24" t="s">
        <v>9</v>
      </c>
      <c r="K24" t="s">
        <v>10</v>
      </c>
    </row>
    <row r="25" spans="1:12" x14ac:dyDescent="0.25">
      <c r="A25" t="s">
        <v>2</v>
      </c>
      <c r="H25" t="s">
        <v>11</v>
      </c>
      <c r="I25" s="13">
        <v>50.655978419999997</v>
      </c>
      <c r="J25" t="s">
        <v>9</v>
      </c>
      <c r="K25" t="s">
        <v>12</v>
      </c>
    </row>
    <row r="26" spans="1:12" x14ac:dyDescent="0.25">
      <c r="A26" t="s">
        <v>2</v>
      </c>
      <c r="H26" t="s">
        <v>13</v>
      </c>
      <c r="I26" s="13">
        <v>3.2446264029999998</v>
      </c>
      <c r="J26" t="s">
        <v>9</v>
      </c>
      <c r="K26" t="s">
        <v>14</v>
      </c>
    </row>
    <row r="27" spans="1:12" x14ac:dyDescent="0.25">
      <c r="A27" t="s">
        <v>2</v>
      </c>
      <c r="B27" t="s">
        <v>1</v>
      </c>
      <c r="H27" t="s">
        <v>15</v>
      </c>
      <c r="I27">
        <v>5</v>
      </c>
      <c r="J27" t="s">
        <v>9</v>
      </c>
      <c r="K27" t="s">
        <v>14</v>
      </c>
    </row>
    <row r="28" spans="1:12" x14ac:dyDescent="0.25">
      <c r="A28" t="s">
        <v>2</v>
      </c>
      <c r="B28" t="s">
        <v>5</v>
      </c>
      <c r="H28" t="s">
        <v>15</v>
      </c>
      <c r="I28">
        <v>4.5999999999999996</v>
      </c>
      <c r="J28" t="s">
        <v>9</v>
      </c>
      <c r="K28" t="s">
        <v>14</v>
      </c>
    </row>
    <row r="29" spans="1:12" x14ac:dyDescent="0.25">
      <c r="A29" t="s">
        <v>2</v>
      </c>
      <c r="H29" t="s">
        <v>16</v>
      </c>
      <c r="I29">
        <v>100</v>
      </c>
      <c r="J29" t="s">
        <v>17</v>
      </c>
    </row>
    <row r="30" spans="1:12" x14ac:dyDescent="0.25">
      <c r="A30" t="s">
        <v>2</v>
      </c>
      <c r="B30" t="s">
        <v>1</v>
      </c>
      <c r="H30" t="s">
        <v>403</v>
      </c>
      <c r="I30" s="93">
        <v>0</v>
      </c>
      <c r="J30" t="s">
        <v>404</v>
      </c>
    </row>
    <row r="31" spans="1:12" x14ac:dyDescent="0.25">
      <c r="A31" t="s">
        <v>2</v>
      </c>
      <c r="B31" t="s">
        <v>5</v>
      </c>
      <c r="H31" t="s">
        <v>403</v>
      </c>
      <c r="I31" s="93">
        <v>0</v>
      </c>
      <c r="J31" t="s">
        <v>404</v>
      </c>
    </row>
    <row r="33" spans="1:12" x14ac:dyDescent="0.25">
      <c r="A33" s="100" t="s">
        <v>304</v>
      </c>
      <c r="B33" s="100"/>
      <c r="C33" s="100"/>
      <c r="D33" s="101"/>
      <c r="E33" s="101"/>
      <c r="F33" s="101"/>
      <c r="G33" s="101"/>
      <c r="H33" s="101"/>
      <c r="I33" s="101"/>
      <c r="J33" s="101"/>
      <c r="K33" s="101"/>
      <c r="L33" s="101"/>
    </row>
    <row r="34" spans="1:12" x14ac:dyDescent="0.25">
      <c r="A34" t="s">
        <v>38</v>
      </c>
      <c r="H34" t="s">
        <v>3</v>
      </c>
      <c r="I34">
        <v>12.7</v>
      </c>
      <c r="J34" t="s">
        <v>4</v>
      </c>
    </row>
    <row r="35" spans="1:12" x14ac:dyDescent="0.25">
      <c r="A35" t="s">
        <v>38</v>
      </c>
      <c r="H35" t="s">
        <v>6</v>
      </c>
      <c r="I35">
        <v>28.68</v>
      </c>
      <c r="J35" t="s">
        <v>4</v>
      </c>
      <c r="K35" t="s">
        <v>7</v>
      </c>
    </row>
    <row r="36" spans="1:12" x14ac:dyDescent="0.25">
      <c r="A36" t="s">
        <v>38</v>
      </c>
      <c r="H36" t="s">
        <v>8</v>
      </c>
      <c r="I36" s="13">
        <v>25.100803450000001</v>
      </c>
      <c r="J36" t="s">
        <v>9</v>
      </c>
      <c r="K36" t="s">
        <v>10</v>
      </c>
    </row>
    <row r="37" spans="1:12" x14ac:dyDescent="0.25">
      <c r="A37" t="s">
        <v>38</v>
      </c>
      <c r="H37" t="s">
        <v>11</v>
      </c>
      <c r="I37">
        <v>51.7</v>
      </c>
      <c r="J37" t="s">
        <v>9</v>
      </c>
      <c r="K37" t="s">
        <v>12</v>
      </c>
    </row>
    <row r="38" spans="1:12" x14ac:dyDescent="0.25">
      <c r="A38" t="s">
        <v>38</v>
      </c>
      <c r="H38" t="s">
        <v>13</v>
      </c>
      <c r="I38" s="1">
        <v>4.573044941</v>
      </c>
      <c r="J38" t="s">
        <v>9</v>
      </c>
      <c r="K38" t="s">
        <v>14</v>
      </c>
    </row>
    <row r="39" spans="1:12" x14ac:dyDescent="0.25">
      <c r="A39" t="s">
        <v>38</v>
      </c>
      <c r="H39" t="s">
        <v>15</v>
      </c>
      <c r="I39" s="1">
        <v>2.2748382920000001</v>
      </c>
      <c r="J39" t="s">
        <v>9</v>
      </c>
      <c r="K39" t="s">
        <v>14</v>
      </c>
    </row>
    <row r="40" spans="1:12" x14ac:dyDescent="0.25">
      <c r="A40" t="s">
        <v>38</v>
      </c>
      <c r="H40" t="s">
        <v>16</v>
      </c>
      <c r="I40">
        <v>212.8</v>
      </c>
      <c r="J40" t="s">
        <v>17</v>
      </c>
    </row>
    <row r="41" spans="1:12" x14ac:dyDescent="0.25">
      <c r="A41" t="s">
        <v>38</v>
      </c>
      <c r="B41" t="s">
        <v>1</v>
      </c>
      <c r="H41" t="s">
        <v>403</v>
      </c>
      <c r="I41" s="93">
        <v>0</v>
      </c>
      <c r="J41" t="s">
        <v>404</v>
      </c>
    </row>
    <row r="42" spans="1:12" x14ac:dyDescent="0.25">
      <c r="A42" t="s">
        <v>38</v>
      </c>
      <c r="B42" t="s">
        <v>5</v>
      </c>
      <c r="H42" t="s">
        <v>403</v>
      </c>
      <c r="I42" s="93">
        <v>0</v>
      </c>
      <c r="J42" t="s">
        <v>404</v>
      </c>
    </row>
    <row r="44" spans="1:12" x14ac:dyDescent="0.25">
      <c r="A44" s="94" t="s">
        <v>299</v>
      </c>
      <c r="B44" s="94"/>
      <c r="C44" s="94"/>
      <c r="D44" s="95"/>
      <c r="E44" s="95"/>
      <c r="F44" s="95"/>
      <c r="G44" s="95"/>
      <c r="H44" s="95"/>
      <c r="I44" s="95"/>
      <c r="J44" s="95"/>
      <c r="K44" s="95"/>
      <c r="L44" s="95"/>
    </row>
    <row r="45" spans="1:12" x14ac:dyDescent="0.25">
      <c r="A45" s="97" t="s">
        <v>303</v>
      </c>
      <c r="B45" s="97"/>
      <c r="C45" s="97"/>
      <c r="D45" s="98"/>
      <c r="E45" s="98"/>
      <c r="F45" s="98"/>
      <c r="G45" s="98"/>
      <c r="H45" s="98"/>
      <c r="I45" s="99"/>
      <c r="J45" s="98"/>
      <c r="K45" s="98"/>
      <c r="L45" s="98"/>
    </row>
    <row r="46" spans="1:12" x14ac:dyDescent="0.25">
      <c r="A46" t="s">
        <v>2</v>
      </c>
      <c r="B46" s="4"/>
      <c r="C46" s="4"/>
      <c r="D46" s="110" t="s">
        <v>18</v>
      </c>
      <c r="E46" s="110"/>
      <c r="F46" s="110"/>
      <c r="G46" s="110"/>
      <c r="H46" s="110" t="s">
        <v>300</v>
      </c>
      <c r="I46" s="2">
        <f>I94/(47/100)</f>
        <v>651.52821361702138</v>
      </c>
      <c r="J46" t="s">
        <v>133</v>
      </c>
      <c r="K46" s="109" t="s">
        <v>332</v>
      </c>
      <c r="L46" t="s">
        <v>331</v>
      </c>
    </row>
    <row r="47" spans="1:12" x14ac:dyDescent="0.25">
      <c r="A47" t="s">
        <v>2</v>
      </c>
      <c r="D47" s="110" t="s">
        <v>20</v>
      </c>
      <c r="E47" s="110"/>
      <c r="F47" s="110"/>
      <c r="G47" s="110"/>
      <c r="H47" s="110" t="s">
        <v>342</v>
      </c>
      <c r="I47" s="93">
        <v>40</v>
      </c>
      <c r="J47" t="s">
        <v>133</v>
      </c>
      <c r="K47" s="93" t="s">
        <v>389</v>
      </c>
    </row>
    <row r="48" spans="1:12" x14ac:dyDescent="0.25">
      <c r="A48" t="s">
        <v>2</v>
      </c>
      <c r="D48" s="110" t="s">
        <v>20</v>
      </c>
      <c r="E48" s="110"/>
      <c r="F48" s="110"/>
      <c r="G48" s="110"/>
      <c r="H48" s="110" t="s">
        <v>387</v>
      </c>
      <c r="I48" s="111">
        <f>I47+(I95/0.5-I47)/(I90*30.4)*I29</f>
        <v>130.26609162869005</v>
      </c>
      <c r="J48" t="s">
        <v>133</v>
      </c>
      <c r="K48" s="93" t="s">
        <v>390</v>
      </c>
    </row>
    <row r="49" spans="1:12" x14ac:dyDescent="0.25">
      <c r="A49" t="s">
        <v>2</v>
      </c>
      <c r="D49" s="110" t="s">
        <v>20</v>
      </c>
      <c r="E49" s="110"/>
      <c r="F49" s="110"/>
      <c r="G49" s="110"/>
      <c r="H49" s="110" t="s">
        <v>328</v>
      </c>
      <c r="I49" s="111">
        <f>I$50</f>
        <v>339.02685500000001</v>
      </c>
      <c r="J49" t="s">
        <v>133</v>
      </c>
      <c r="K49" s="93" t="s">
        <v>348</v>
      </c>
    </row>
    <row r="50" spans="1:12" x14ac:dyDescent="0.25">
      <c r="A50" t="s">
        <v>2</v>
      </c>
      <c r="D50" s="110" t="s">
        <v>20</v>
      </c>
      <c r="E50" s="110"/>
      <c r="F50" s="110"/>
      <c r="G50" s="110"/>
      <c r="H50" s="110" t="s">
        <v>296</v>
      </c>
      <c r="I50" s="2">
        <f>I95/(50/100)</f>
        <v>339.02685500000001</v>
      </c>
      <c r="J50" t="s">
        <v>133</v>
      </c>
      <c r="K50" s="109" t="s">
        <v>330</v>
      </c>
      <c r="L50" t="s">
        <v>331</v>
      </c>
    </row>
    <row r="51" spans="1:12" x14ac:dyDescent="0.25">
      <c r="A51" t="s">
        <v>2</v>
      </c>
      <c r="D51" s="110" t="s">
        <v>33</v>
      </c>
      <c r="E51" s="110"/>
      <c r="F51" s="110"/>
      <c r="G51" s="110"/>
      <c r="H51" s="110" t="s">
        <v>296</v>
      </c>
      <c r="I51" s="2">
        <f>I96/(50/100)</f>
        <v>596.09653539999999</v>
      </c>
      <c r="J51" t="s">
        <v>133</v>
      </c>
      <c r="K51" s="109" t="s">
        <v>330</v>
      </c>
      <c r="L51" t="s">
        <v>331</v>
      </c>
    </row>
    <row r="52" spans="1:12" x14ac:dyDescent="0.25">
      <c r="A52" t="s">
        <v>2</v>
      </c>
      <c r="D52" s="110" t="s">
        <v>34</v>
      </c>
      <c r="E52" s="110"/>
      <c r="F52" s="110"/>
      <c r="G52" s="110"/>
      <c r="H52" s="110" t="s">
        <v>296</v>
      </c>
      <c r="I52" s="2">
        <f>I97/(50/100)</f>
        <v>651.61428720000004</v>
      </c>
      <c r="J52" t="s">
        <v>133</v>
      </c>
      <c r="K52" s="109" t="s">
        <v>330</v>
      </c>
      <c r="L52" t="s">
        <v>331</v>
      </c>
    </row>
    <row r="53" spans="1:12" x14ac:dyDescent="0.25">
      <c r="A53" t="s">
        <v>2</v>
      </c>
      <c r="D53" s="110" t="s">
        <v>35</v>
      </c>
      <c r="E53" s="110"/>
      <c r="F53" s="110"/>
      <c r="G53" s="110"/>
      <c r="H53" s="110" t="s">
        <v>296</v>
      </c>
      <c r="I53" s="2">
        <f>I98/(50/100)</f>
        <v>657.75311299999998</v>
      </c>
      <c r="J53" t="s">
        <v>133</v>
      </c>
      <c r="K53" s="109" t="s">
        <v>330</v>
      </c>
      <c r="L53" t="s">
        <v>331</v>
      </c>
    </row>
    <row r="54" spans="1:12" x14ac:dyDescent="0.25">
      <c r="A54" s="100" t="s">
        <v>304</v>
      </c>
      <c r="B54" s="100"/>
      <c r="C54" s="100"/>
      <c r="D54" s="101"/>
      <c r="E54" s="101"/>
      <c r="F54" s="101"/>
      <c r="G54" s="101"/>
      <c r="H54" s="101"/>
      <c r="I54" s="101"/>
      <c r="J54" s="101"/>
      <c r="K54" s="101"/>
      <c r="L54" s="101"/>
    </row>
    <row r="55" spans="1:12" x14ac:dyDescent="0.25">
      <c r="A55" t="s">
        <v>38</v>
      </c>
      <c r="B55" s="4"/>
      <c r="C55" s="4"/>
      <c r="D55" s="110" t="s">
        <v>18</v>
      </c>
      <c r="E55" s="110"/>
      <c r="F55" s="110"/>
      <c r="G55" s="110"/>
      <c r="H55" s="110" t="s">
        <v>300</v>
      </c>
      <c r="I55" s="2">
        <f>I110/(47/100)</f>
        <v>724.68023255319144</v>
      </c>
      <c r="J55" t="s">
        <v>133</v>
      </c>
      <c r="K55" s="109" t="s">
        <v>332</v>
      </c>
      <c r="L55" t="s">
        <v>331</v>
      </c>
    </row>
    <row r="56" spans="1:12" x14ac:dyDescent="0.25">
      <c r="A56" t="s">
        <v>38</v>
      </c>
      <c r="D56" s="110" t="s">
        <v>20</v>
      </c>
      <c r="E56" s="110"/>
      <c r="F56" s="110"/>
      <c r="G56" s="110"/>
      <c r="H56" s="110" t="s">
        <v>342</v>
      </c>
      <c r="I56" s="93">
        <v>40</v>
      </c>
      <c r="J56" t="s">
        <v>133</v>
      </c>
      <c r="K56" s="93" t="s">
        <v>389</v>
      </c>
    </row>
    <row r="57" spans="1:12" x14ac:dyDescent="0.25">
      <c r="A57" t="s">
        <v>38</v>
      </c>
      <c r="D57" s="110" t="s">
        <v>20</v>
      </c>
      <c r="E57" s="110"/>
      <c r="F57" s="110"/>
      <c r="G57" s="110"/>
      <c r="H57" s="110" t="s">
        <v>387</v>
      </c>
      <c r="I57" s="111">
        <f>I56+(I111/0.5-I56)/(I106*30.4)*I40</f>
        <v>215.80423925763492</v>
      </c>
      <c r="J57" t="s">
        <v>133</v>
      </c>
      <c r="K57" s="93" t="s">
        <v>390</v>
      </c>
    </row>
    <row r="58" spans="1:12" x14ac:dyDescent="0.25">
      <c r="A58" t="s">
        <v>38</v>
      </c>
      <c r="D58" s="110" t="s">
        <v>20</v>
      </c>
      <c r="E58" s="110"/>
      <c r="F58" s="110"/>
      <c r="G58" s="110"/>
      <c r="H58" s="110" t="s">
        <v>328</v>
      </c>
      <c r="I58" s="111">
        <f>I$59</f>
        <v>314.63230679999998</v>
      </c>
      <c r="J58" t="s">
        <v>133</v>
      </c>
      <c r="K58" s="93" t="s">
        <v>348</v>
      </c>
    </row>
    <row r="59" spans="1:12" x14ac:dyDescent="0.25">
      <c r="A59" t="s">
        <v>38</v>
      </c>
      <c r="D59" s="110" t="s">
        <v>20</v>
      </c>
      <c r="E59" s="110"/>
      <c r="F59" s="110"/>
      <c r="G59" s="110"/>
      <c r="H59" s="110" t="s">
        <v>296</v>
      </c>
      <c r="I59" s="2">
        <f>I111/(50/100)</f>
        <v>314.63230679999998</v>
      </c>
      <c r="J59" t="s">
        <v>133</v>
      </c>
      <c r="K59" s="109" t="s">
        <v>330</v>
      </c>
      <c r="L59" t="s">
        <v>331</v>
      </c>
    </row>
    <row r="60" spans="1:12" x14ac:dyDescent="0.25">
      <c r="A60" t="s">
        <v>38</v>
      </c>
      <c r="D60" s="110" t="s">
        <v>33</v>
      </c>
      <c r="E60" s="110"/>
      <c r="F60" s="110"/>
      <c r="G60" s="110"/>
      <c r="H60" s="110" t="s">
        <v>296</v>
      </c>
      <c r="I60" s="2">
        <f t="shared" ref="I60:I62" si="0">I112/(50/100)</f>
        <v>618.33216919999995</v>
      </c>
      <c r="J60" t="s">
        <v>133</v>
      </c>
      <c r="K60" s="109" t="s">
        <v>330</v>
      </c>
      <c r="L60" t="s">
        <v>331</v>
      </c>
    </row>
    <row r="61" spans="1:12" x14ac:dyDescent="0.25">
      <c r="A61" t="s">
        <v>38</v>
      </c>
      <c r="D61" s="110" t="s">
        <v>34</v>
      </c>
      <c r="E61" s="110"/>
      <c r="F61" s="110"/>
      <c r="G61" s="110"/>
      <c r="H61" s="110" t="s">
        <v>296</v>
      </c>
      <c r="I61" s="2">
        <f t="shared" si="0"/>
        <v>671.19136400000002</v>
      </c>
      <c r="J61" t="s">
        <v>133</v>
      </c>
      <c r="K61" s="109" t="s">
        <v>330</v>
      </c>
      <c r="L61" t="s">
        <v>331</v>
      </c>
    </row>
    <row r="62" spans="1:12" x14ac:dyDescent="0.25">
      <c r="A62" t="s">
        <v>38</v>
      </c>
      <c r="D62" s="110" t="s">
        <v>35</v>
      </c>
      <c r="E62" s="110"/>
      <c r="F62" s="110"/>
      <c r="G62" s="110"/>
      <c r="H62" s="110" t="s">
        <v>296</v>
      </c>
      <c r="I62" s="2">
        <f t="shared" si="0"/>
        <v>716.86797000000001</v>
      </c>
      <c r="J62" t="s">
        <v>133</v>
      </c>
      <c r="K62" s="109" t="s">
        <v>330</v>
      </c>
      <c r="L62" t="s">
        <v>331</v>
      </c>
    </row>
    <row r="63" spans="1:12" x14ac:dyDescent="0.25">
      <c r="H63" s="159" t="s">
        <v>300</v>
      </c>
      <c r="I63" s="159">
        <v>0</v>
      </c>
      <c r="J63" s="159"/>
      <c r="K63" s="160" t="s">
        <v>426</v>
      </c>
    </row>
    <row r="64" spans="1:12" x14ac:dyDescent="0.25">
      <c r="A64" s="94" t="s">
        <v>301</v>
      </c>
      <c r="B64" s="94"/>
      <c r="C64" s="94"/>
      <c r="D64" s="95"/>
      <c r="E64" s="95"/>
      <c r="F64" s="95"/>
      <c r="G64" s="95"/>
      <c r="H64" s="95"/>
      <c r="I64" s="95"/>
      <c r="J64" s="95"/>
      <c r="K64" s="95"/>
      <c r="L64" s="95"/>
    </row>
    <row r="65" spans="1:12" x14ac:dyDescent="0.25">
      <c r="A65" s="97" t="s">
        <v>303</v>
      </c>
      <c r="B65" s="97"/>
      <c r="C65" s="97"/>
      <c r="D65" s="98"/>
      <c r="E65" s="98"/>
      <c r="F65" s="98"/>
      <c r="G65" s="98"/>
      <c r="H65" s="98"/>
      <c r="I65" s="99"/>
      <c r="J65" s="98"/>
      <c r="K65" s="98"/>
      <c r="L65" s="98"/>
    </row>
    <row r="66" spans="1:12" x14ac:dyDescent="0.25">
      <c r="A66" t="s">
        <v>2</v>
      </c>
      <c r="D66" t="s">
        <v>18</v>
      </c>
      <c r="H66" t="s">
        <v>19</v>
      </c>
      <c r="I66">
        <v>6.6</v>
      </c>
      <c r="J66" t="s">
        <v>9</v>
      </c>
      <c r="K66" t="s">
        <v>10</v>
      </c>
    </row>
    <row r="67" spans="1:12" x14ac:dyDescent="0.25">
      <c r="A67" t="s">
        <v>2</v>
      </c>
      <c r="D67" t="s">
        <v>20</v>
      </c>
      <c r="H67" t="s">
        <v>21</v>
      </c>
      <c r="I67">
        <v>4.2</v>
      </c>
      <c r="J67" t="s">
        <v>9</v>
      </c>
      <c r="K67" t="s">
        <v>22</v>
      </c>
    </row>
    <row r="68" spans="1:12" x14ac:dyDescent="0.25">
      <c r="A68" t="s">
        <v>2</v>
      </c>
      <c r="D68" t="s">
        <v>20</v>
      </c>
      <c r="H68" t="s">
        <v>23</v>
      </c>
      <c r="I68">
        <v>10</v>
      </c>
      <c r="J68" t="s">
        <v>17</v>
      </c>
      <c r="K68" t="s">
        <v>24</v>
      </c>
    </row>
    <row r="69" spans="1:12" x14ac:dyDescent="0.25">
      <c r="A69" t="s">
        <v>2</v>
      </c>
      <c r="D69" t="s">
        <v>20</v>
      </c>
      <c r="H69" t="s">
        <v>25</v>
      </c>
      <c r="I69">
        <v>3.4</v>
      </c>
      <c r="J69" t="s">
        <v>9</v>
      </c>
      <c r="K69" t="s">
        <v>22</v>
      </c>
    </row>
    <row r="70" spans="1:12" x14ac:dyDescent="0.25">
      <c r="A70" t="s">
        <v>2</v>
      </c>
      <c r="D70" t="s">
        <v>20</v>
      </c>
      <c r="H70" t="s">
        <v>26</v>
      </c>
      <c r="I70">
        <v>10</v>
      </c>
      <c r="J70" t="s">
        <v>17</v>
      </c>
      <c r="K70" t="s">
        <v>24</v>
      </c>
    </row>
    <row r="71" spans="1:12" x14ac:dyDescent="0.25">
      <c r="A71" t="s">
        <v>2</v>
      </c>
      <c r="D71" t="s">
        <v>20</v>
      </c>
      <c r="H71" t="s">
        <v>27</v>
      </c>
      <c r="I71">
        <v>6.8</v>
      </c>
      <c r="J71" t="s">
        <v>9</v>
      </c>
      <c r="K71" t="s">
        <v>28</v>
      </c>
    </row>
    <row r="72" spans="1:12" x14ac:dyDescent="0.25">
      <c r="A72" t="s">
        <v>2</v>
      </c>
      <c r="D72" t="s">
        <v>20</v>
      </c>
      <c r="H72" t="s">
        <v>29</v>
      </c>
      <c r="I72">
        <v>59</v>
      </c>
      <c r="J72" t="s">
        <v>17</v>
      </c>
      <c r="K72" t="s">
        <v>24</v>
      </c>
    </row>
    <row r="73" spans="1:12" x14ac:dyDescent="0.25">
      <c r="A73" t="s">
        <v>2</v>
      </c>
      <c r="D73" t="s">
        <v>20</v>
      </c>
      <c r="H73" t="s">
        <v>30</v>
      </c>
      <c r="I73">
        <v>4</v>
      </c>
      <c r="J73" t="s">
        <v>9</v>
      </c>
      <c r="K73" t="s">
        <v>28</v>
      </c>
    </row>
    <row r="74" spans="1:12" x14ac:dyDescent="0.25">
      <c r="A74" t="s">
        <v>2</v>
      </c>
      <c r="D74" t="s">
        <v>20</v>
      </c>
      <c r="H74" t="s">
        <v>31</v>
      </c>
      <c r="I74">
        <v>59</v>
      </c>
      <c r="J74" t="s">
        <v>17</v>
      </c>
      <c r="K74" t="s">
        <v>24</v>
      </c>
    </row>
    <row r="75" spans="1:12" x14ac:dyDescent="0.25">
      <c r="A75" s="100" t="s">
        <v>304</v>
      </c>
      <c r="B75" s="100"/>
      <c r="C75" s="100"/>
      <c r="D75" s="101"/>
      <c r="E75" s="101"/>
      <c r="F75" s="101"/>
      <c r="G75" s="101"/>
      <c r="H75" s="101"/>
      <c r="I75" s="101"/>
      <c r="J75" s="101"/>
      <c r="K75" s="101"/>
      <c r="L75" s="101"/>
    </row>
    <row r="76" spans="1:12" x14ac:dyDescent="0.25">
      <c r="A76" t="s">
        <v>38</v>
      </c>
      <c r="D76" t="s">
        <v>18</v>
      </c>
      <c r="H76" t="s">
        <v>19</v>
      </c>
      <c r="I76">
        <v>2</v>
      </c>
      <c r="J76" t="s">
        <v>9</v>
      </c>
      <c r="K76" t="s">
        <v>10</v>
      </c>
    </row>
    <row r="77" spans="1:12" x14ac:dyDescent="0.25">
      <c r="A77" t="s">
        <v>38</v>
      </c>
      <c r="D77" t="s">
        <v>20</v>
      </c>
      <c r="H77" t="s">
        <v>21</v>
      </c>
      <c r="I77">
        <v>4</v>
      </c>
      <c r="J77" t="s">
        <v>9</v>
      </c>
      <c r="K77" t="s">
        <v>22</v>
      </c>
    </row>
    <row r="78" spans="1:12" x14ac:dyDescent="0.25">
      <c r="A78" t="s">
        <v>38</v>
      </c>
      <c r="D78" t="s">
        <v>20</v>
      </c>
      <c r="H78" t="s">
        <v>23</v>
      </c>
      <c r="I78">
        <v>3</v>
      </c>
      <c r="J78" t="s">
        <v>17</v>
      </c>
      <c r="K78" t="s">
        <v>39</v>
      </c>
    </row>
    <row r="79" spans="1:12" x14ac:dyDescent="0.25">
      <c r="A79" t="s">
        <v>38</v>
      </c>
      <c r="D79" t="s">
        <v>20</v>
      </c>
      <c r="H79" t="s">
        <v>25</v>
      </c>
      <c r="I79">
        <v>3.2</v>
      </c>
      <c r="J79" t="s">
        <v>9</v>
      </c>
      <c r="K79" t="s">
        <v>22</v>
      </c>
    </row>
    <row r="80" spans="1:12" x14ac:dyDescent="0.25">
      <c r="A80" t="s">
        <v>38</v>
      </c>
      <c r="D80" t="s">
        <v>20</v>
      </c>
      <c r="H80" t="s">
        <v>26</v>
      </c>
      <c r="I80">
        <v>10</v>
      </c>
      <c r="J80" t="s">
        <v>17</v>
      </c>
      <c r="K80" t="s">
        <v>39</v>
      </c>
    </row>
    <row r="81" spans="1:12" x14ac:dyDescent="0.25">
      <c r="A81" t="s">
        <v>38</v>
      </c>
      <c r="D81" t="s">
        <v>20</v>
      </c>
      <c r="H81" t="s">
        <v>27</v>
      </c>
      <c r="I81">
        <v>2.2000000000000002</v>
      </c>
      <c r="J81" t="s">
        <v>9</v>
      </c>
      <c r="K81" t="s">
        <v>28</v>
      </c>
    </row>
    <row r="82" spans="1:12" x14ac:dyDescent="0.25">
      <c r="A82" t="s">
        <v>38</v>
      </c>
      <c r="D82" t="s">
        <v>20</v>
      </c>
      <c r="H82" t="s">
        <v>29</v>
      </c>
      <c r="I82">
        <v>234</v>
      </c>
      <c r="J82" t="s">
        <v>17</v>
      </c>
      <c r="K82" t="s">
        <v>39</v>
      </c>
    </row>
    <row r="83" spans="1:12" x14ac:dyDescent="0.25">
      <c r="A83" t="s">
        <v>38</v>
      </c>
      <c r="D83" t="s">
        <v>20</v>
      </c>
      <c r="H83" t="s">
        <v>30</v>
      </c>
      <c r="I83">
        <v>1.6</v>
      </c>
      <c r="J83" t="s">
        <v>9</v>
      </c>
      <c r="K83" t="s">
        <v>28</v>
      </c>
    </row>
    <row r="84" spans="1:12" x14ac:dyDescent="0.25">
      <c r="A84" t="s">
        <v>38</v>
      </c>
      <c r="D84" t="s">
        <v>20</v>
      </c>
      <c r="H84" t="s">
        <v>31</v>
      </c>
      <c r="I84">
        <v>241</v>
      </c>
      <c r="J84" t="s">
        <v>17</v>
      </c>
      <c r="K84" t="s">
        <v>39</v>
      </c>
    </row>
    <row r="86" spans="1:12" x14ac:dyDescent="0.25">
      <c r="A86" s="94" t="s">
        <v>302</v>
      </c>
      <c r="B86" s="94"/>
      <c r="C86" s="94"/>
      <c r="D86" s="95"/>
      <c r="E86" s="95"/>
      <c r="F86" s="95"/>
      <c r="G86" s="95"/>
      <c r="H86" s="95"/>
      <c r="I86" s="95"/>
      <c r="J86" s="95"/>
      <c r="K86" s="95"/>
      <c r="L86" s="95"/>
    </row>
    <row r="87" spans="1:12" x14ac:dyDescent="0.25">
      <c r="A87" s="97" t="s">
        <v>303</v>
      </c>
      <c r="B87" s="97"/>
      <c r="C87" s="97"/>
      <c r="D87" s="98"/>
      <c r="E87" s="98"/>
      <c r="F87" s="98"/>
      <c r="G87" s="98"/>
      <c r="H87" s="98"/>
      <c r="I87" s="99"/>
      <c r="J87" s="98"/>
      <c r="K87" s="98"/>
      <c r="L87" s="98"/>
    </row>
    <row r="88" spans="1:12" x14ac:dyDescent="0.25">
      <c r="A88" t="s">
        <v>2</v>
      </c>
      <c r="B88" t="s">
        <v>1</v>
      </c>
      <c r="D88" t="s">
        <v>18</v>
      </c>
      <c r="H88" t="s">
        <v>32</v>
      </c>
      <c r="I88">
        <v>60.9</v>
      </c>
      <c r="J88" t="s">
        <v>4</v>
      </c>
    </row>
    <row r="89" spans="1:12" x14ac:dyDescent="0.25">
      <c r="A89" t="s">
        <v>2</v>
      </c>
      <c r="B89" t="s">
        <v>5</v>
      </c>
      <c r="D89" t="s">
        <v>18</v>
      </c>
      <c r="H89" t="s">
        <v>32</v>
      </c>
      <c r="I89">
        <v>61.5</v>
      </c>
      <c r="J89" t="s">
        <v>4</v>
      </c>
    </row>
    <row r="90" spans="1:12" x14ac:dyDescent="0.25">
      <c r="A90" t="s">
        <v>2</v>
      </c>
      <c r="D90" t="s">
        <v>20</v>
      </c>
      <c r="H90" t="s">
        <v>32</v>
      </c>
      <c r="I90" s="13">
        <v>10.89712596</v>
      </c>
      <c r="J90" t="s">
        <v>4</v>
      </c>
    </row>
    <row r="91" spans="1:12" x14ac:dyDescent="0.25">
      <c r="A91" t="s">
        <v>2</v>
      </c>
      <c r="D91" t="s">
        <v>33</v>
      </c>
      <c r="H91" t="s">
        <v>32</v>
      </c>
      <c r="I91" s="13">
        <v>32.261824500000003</v>
      </c>
      <c r="J91" t="s">
        <v>4</v>
      </c>
    </row>
    <row r="92" spans="1:12" x14ac:dyDescent="0.25">
      <c r="A92" t="s">
        <v>2</v>
      </c>
      <c r="D92" t="s">
        <v>34</v>
      </c>
      <c r="H92" t="s">
        <v>32</v>
      </c>
      <c r="I92" s="13">
        <v>29.693541660000001</v>
      </c>
      <c r="J92" t="s">
        <v>4</v>
      </c>
    </row>
    <row r="93" spans="1:12" x14ac:dyDescent="0.25">
      <c r="A93" t="s">
        <v>2</v>
      </c>
      <c r="D93" t="s">
        <v>35</v>
      </c>
      <c r="H93" t="s">
        <v>32</v>
      </c>
      <c r="I93" s="13">
        <v>22.57988323</v>
      </c>
      <c r="J93" t="s">
        <v>4</v>
      </c>
    </row>
    <row r="94" spans="1:12" x14ac:dyDescent="0.25">
      <c r="A94" t="s">
        <v>2</v>
      </c>
      <c r="D94" t="s">
        <v>18</v>
      </c>
      <c r="H94" t="s">
        <v>36</v>
      </c>
      <c r="I94" s="13">
        <v>306.21826040000002</v>
      </c>
      <c r="J94" t="s">
        <v>37</v>
      </c>
    </row>
    <row r="95" spans="1:12" x14ac:dyDescent="0.25">
      <c r="A95" t="s">
        <v>2</v>
      </c>
      <c r="D95" t="s">
        <v>20</v>
      </c>
      <c r="H95" t="s">
        <v>36</v>
      </c>
      <c r="I95" s="13">
        <v>169.51342750000001</v>
      </c>
      <c r="J95" t="s">
        <v>37</v>
      </c>
    </row>
    <row r="96" spans="1:12" x14ac:dyDescent="0.25">
      <c r="A96" t="s">
        <v>2</v>
      </c>
      <c r="D96" t="s">
        <v>33</v>
      </c>
      <c r="H96" t="s">
        <v>36</v>
      </c>
      <c r="I96" s="13">
        <v>298.0482677</v>
      </c>
      <c r="J96" t="s">
        <v>37</v>
      </c>
    </row>
    <row r="97" spans="1:12" x14ac:dyDescent="0.25">
      <c r="A97" t="s">
        <v>2</v>
      </c>
      <c r="D97" t="s">
        <v>34</v>
      </c>
      <c r="H97" t="s">
        <v>36</v>
      </c>
      <c r="I97" s="13">
        <v>325.80714360000002</v>
      </c>
      <c r="J97" t="s">
        <v>37</v>
      </c>
    </row>
    <row r="98" spans="1:12" x14ac:dyDescent="0.25">
      <c r="A98" t="s">
        <v>2</v>
      </c>
      <c r="D98" t="s">
        <v>35</v>
      </c>
      <c r="H98" t="s">
        <v>36</v>
      </c>
      <c r="I98" s="13">
        <v>328.87655649999999</v>
      </c>
      <c r="J98" t="s">
        <v>37</v>
      </c>
    </row>
    <row r="99" spans="1:12" x14ac:dyDescent="0.25">
      <c r="A99" t="s">
        <v>2</v>
      </c>
      <c r="D99" t="s">
        <v>427</v>
      </c>
      <c r="H99" t="s">
        <v>36</v>
      </c>
      <c r="I99" s="157">
        <v>0</v>
      </c>
      <c r="J99" s="93" t="s">
        <v>37</v>
      </c>
    </row>
    <row r="100" spans="1:12" x14ac:dyDescent="0.25">
      <c r="A100" t="s">
        <v>2</v>
      </c>
      <c r="B100" t="s">
        <v>1</v>
      </c>
      <c r="H100" t="s">
        <v>531</v>
      </c>
      <c r="I100" s="13">
        <v>7.708382338966838</v>
      </c>
      <c r="J100" t="s">
        <v>9</v>
      </c>
      <c r="K100" t="s">
        <v>535</v>
      </c>
      <c r="L100" t="s">
        <v>405</v>
      </c>
    </row>
    <row r="101" spans="1:12" x14ac:dyDescent="0.25">
      <c r="A101" t="s">
        <v>2</v>
      </c>
      <c r="B101" t="s">
        <v>1</v>
      </c>
      <c r="H101" t="s">
        <v>534</v>
      </c>
      <c r="I101" s="13">
        <v>14.798145933014354</v>
      </c>
      <c r="J101" t="s">
        <v>9</v>
      </c>
      <c r="K101" t="s">
        <v>536</v>
      </c>
      <c r="L101" t="s">
        <v>405</v>
      </c>
    </row>
    <row r="102" spans="1:12" x14ac:dyDescent="0.25">
      <c r="A102" t="s">
        <v>2</v>
      </c>
      <c r="B102" t="s">
        <v>5</v>
      </c>
      <c r="H102" t="s">
        <v>531</v>
      </c>
      <c r="I102" s="13">
        <v>7.708382338966838</v>
      </c>
      <c r="J102" t="s">
        <v>9</v>
      </c>
      <c r="K102" t="s">
        <v>535</v>
      </c>
      <c r="L102" t="s">
        <v>405</v>
      </c>
    </row>
    <row r="103" spans="1:12" x14ac:dyDescent="0.25">
      <c r="A103" t="s">
        <v>2</v>
      </c>
      <c r="B103" t="s">
        <v>5</v>
      </c>
      <c r="H103" t="s">
        <v>534</v>
      </c>
      <c r="I103" s="13">
        <v>65.534646274777856</v>
      </c>
      <c r="J103" t="s">
        <v>9</v>
      </c>
      <c r="K103" t="s">
        <v>536</v>
      </c>
      <c r="L103" t="s">
        <v>405</v>
      </c>
    </row>
    <row r="104" spans="1:12" x14ac:dyDescent="0.25">
      <c r="A104" s="100" t="s">
        <v>304</v>
      </c>
      <c r="B104" s="100"/>
      <c r="C104" s="100"/>
      <c r="D104" s="101"/>
      <c r="E104" s="101"/>
      <c r="F104" s="101"/>
      <c r="G104" s="101"/>
      <c r="H104" s="101"/>
      <c r="I104" s="101"/>
      <c r="J104" s="101"/>
      <c r="K104" s="101"/>
      <c r="L104" s="101"/>
    </row>
    <row r="105" spans="1:12" x14ac:dyDescent="0.25">
      <c r="A105" t="s">
        <v>38</v>
      </c>
      <c r="D105" t="s">
        <v>18</v>
      </c>
      <c r="H105" t="s">
        <v>32</v>
      </c>
      <c r="I105" s="13">
        <v>76.487234630000003</v>
      </c>
      <c r="J105" t="s">
        <v>4</v>
      </c>
    </row>
    <row r="106" spans="1:12" x14ac:dyDescent="0.25">
      <c r="A106" t="s">
        <v>38</v>
      </c>
      <c r="D106" t="s">
        <v>20</v>
      </c>
      <c r="H106" t="s">
        <v>32</v>
      </c>
      <c r="I106" s="13">
        <v>10.935038629999999</v>
      </c>
      <c r="J106" t="s">
        <v>4</v>
      </c>
    </row>
    <row r="107" spans="1:12" x14ac:dyDescent="0.25">
      <c r="A107" t="s">
        <v>38</v>
      </c>
      <c r="D107" t="s">
        <v>33</v>
      </c>
      <c r="H107" t="s">
        <v>32</v>
      </c>
      <c r="I107" s="13">
        <v>26.97454827</v>
      </c>
      <c r="J107" t="s">
        <v>4</v>
      </c>
    </row>
    <row r="108" spans="1:12" x14ac:dyDescent="0.25">
      <c r="A108" t="s">
        <v>38</v>
      </c>
      <c r="D108" t="s">
        <v>34</v>
      </c>
      <c r="H108" t="s">
        <v>32</v>
      </c>
      <c r="I108" s="13">
        <v>28.44764464</v>
      </c>
      <c r="J108" t="s">
        <v>4</v>
      </c>
    </row>
    <row r="109" spans="1:12" x14ac:dyDescent="0.25">
      <c r="A109" t="s">
        <v>38</v>
      </c>
      <c r="D109" t="s">
        <v>35</v>
      </c>
      <c r="H109" t="s">
        <v>32</v>
      </c>
      <c r="I109" s="13">
        <v>20.108223370000001</v>
      </c>
      <c r="J109" t="s">
        <v>4</v>
      </c>
    </row>
    <row r="110" spans="1:12" x14ac:dyDescent="0.25">
      <c r="A110" t="s">
        <v>38</v>
      </c>
      <c r="D110" t="s">
        <v>18</v>
      </c>
      <c r="H110" t="s">
        <v>36</v>
      </c>
      <c r="I110" s="13">
        <v>340.59970929999997</v>
      </c>
      <c r="J110" t="s">
        <v>37</v>
      </c>
    </row>
    <row r="111" spans="1:12" x14ac:dyDescent="0.25">
      <c r="A111" t="s">
        <v>38</v>
      </c>
      <c r="D111" t="s">
        <v>20</v>
      </c>
      <c r="H111" t="s">
        <v>36</v>
      </c>
      <c r="I111" s="13">
        <v>157.31615339999999</v>
      </c>
      <c r="J111" t="s">
        <v>37</v>
      </c>
    </row>
    <row r="112" spans="1:12" x14ac:dyDescent="0.25">
      <c r="A112" t="s">
        <v>38</v>
      </c>
      <c r="D112" t="s">
        <v>33</v>
      </c>
      <c r="H112" t="s">
        <v>36</v>
      </c>
      <c r="I112" s="13">
        <v>309.16608459999998</v>
      </c>
      <c r="J112" t="s">
        <v>37</v>
      </c>
    </row>
    <row r="113" spans="1:12" x14ac:dyDescent="0.25">
      <c r="A113" t="s">
        <v>38</v>
      </c>
      <c r="D113" t="s">
        <v>34</v>
      </c>
      <c r="H113" t="s">
        <v>36</v>
      </c>
      <c r="I113" s="13">
        <v>335.59568200000001</v>
      </c>
      <c r="J113" t="s">
        <v>37</v>
      </c>
    </row>
    <row r="114" spans="1:12" x14ac:dyDescent="0.25">
      <c r="A114" t="s">
        <v>38</v>
      </c>
      <c r="D114" t="s">
        <v>35</v>
      </c>
      <c r="H114" t="s">
        <v>36</v>
      </c>
      <c r="I114" s="13">
        <v>358.43398500000001</v>
      </c>
      <c r="J114" t="s">
        <v>37</v>
      </c>
    </row>
    <row r="115" spans="1:12" x14ac:dyDescent="0.25">
      <c r="A115" t="s">
        <v>38</v>
      </c>
      <c r="D115" t="s">
        <v>427</v>
      </c>
      <c r="H115" t="s">
        <v>36</v>
      </c>
      <c r="I115" s="157">
        <v>0</v>
      </c>
      <c r="J115" s="93" t="s">
        <v>37</v>
      </c>
    </row>
    <row r="116" spans="1:12" x14ac:dyDescent="0.25">
      <c r="A116" t="s">
        <v>38</v>
      </c>
      <c r="B116" t="s">
        <v>1</v>
      </c>
      <c r="H116" t="s">
        <v>531</v>
      </c>
      <c r="I116" s="13">
        <v>2.4579700542883822</v>
      </c>
      <c r="J116" t="s">
        <v>9</v>
      </c>
      <c r="K116" t="s">
        <v>535</v>
      </c>
      <c r="L116" t="s">
        <v>405</v>
      </c>
    </row>
    <row r="117" spans="1:12" x14ac:dyDescent="0.25">
      <c r="A117" t="s">
        <v>38</v>
      </c>
      <c r="B117" t="s">
        <v>1</v>
      </c>
      <c r="H117" t="s">
        <v>534</v>
      </c>
      <c r="I117" s="13">
        <v>9.2748685002842954</v>
      </c>
      <c r="J117" t="s">
        <v>9</v>
      </c>
      <c r="K117" t="s">
        <v>536</v>
      </c>
      <c r="L117" t="s">
        <v>405</v>
      </c>
    </row>
    <row r="118" spans="1:12" x14ac:dyDescent="0.25">
      <c r="A118" t="s">
        <v>38</v>
      </c>
      <c r="B118" t="s">
        <v>5</v>
      </c>
      <c r="H118" t="s">
        <v>531</v>
      </c>
      <c r="I118" s="13">
        <v>2.4579700542883822</v>
      </c>
      <c r="J118" t="s">
        <v>9</v>
      </c>
      <c r="K118" t="s">
        <v>535</v>
      </c>
      <c r="L118" t="s">
        <v>405</v>
      </c>
    </row>
    <row r="119" spans="1:12" x14ac:dyDescent="0.25">
      <c r="A119" t="s">
        <v>38</v>
      </c>
      <c r="B119" t="s">
        <v>5</v>
      </c>
      <c r="H119" t="s">
        <v>534</v>
      </c>
      <c r="I119" s="13">
        <v>35.940115438601644</v>
      </c>
      <c r="J119" t="s">
        <v>9</v>
      </c>
      <c r="K119" t="s">
        <v>536</v>
      </c>
      <c r="L119" t="s">
        <v>405</v>
      </c>
    </row>
    <row r="121" spans="1:12" x14ac:dyDescent="0.25">
      <c r="A121" s="94" t="s">
        <v>306</v>
      </c>
      <c r="B121" s="94"/>
      <c r="C121" s="94"/>
      <c r="D121" s="95"/>
      <c r="E121" s="95"/>
      <c r="F121" s="95"/>
      <c r="G121" s="95"/>
      <c r="H121" s="95"/>
      <c r="I121" s="95"/>
      <c r="J121" s="95"/>
      <c r="K121" s="95"/>
      <c r="L121" s="95"/>
    </row>
    <row r="122" spans="1:12" x14ac:dyDescent="0.25">
      <c r="A122" s="97" t="s">
        <v>303</v>
      </c>
      <c r="B122" s="97"/>
      <c r="C122" s="97"/>
      <c r="D122" s="98"/>
      <c r="E122" s="98"/>
      <c r="F122" s="98"/>
      <c r="G122" s="98"/>
      <c r="H122" s="98"/>
      <c r="I122" s="99"/>
      <c r="J122" s="98"/>
      <c r="K122" s="98"/>
      <c r="L122" s="98"/>
    </row>
    <row r="123" spans="1:12" x14ac:dyDescent="0.25">
      <c r="A123" t="s">
        <v>2</v>
      </c>
      <c r="F123" t="s">
        <v>5</v>
      </c>
      <c r="G123" t="s">
        <v>1</v>
      </c>
      <c r="H123" t="s">
        <v>336</v>
      </c>
      <c r="I123">
        <v>89</v>
      </c>
      <c r="J123" t="s">
        <v>9</v>
      </c>
      <c r="K123" t="s">
        <v>339</v>
      </c>
    </row>
    <row r="124" spans="1:12" x14ac:dyDescent="0.25">
      <c r="A124" t="s">
        <v>2</v>
      </c>
      <c r="F124" t="s">
        <v>5</v>
      </c>
      <c r="G124" t="s">
        <v>1</v>
      </c>
      <c r="H124" t="s">
        <v>337</v>
      </c>
      <c r="I124">
        <v>8.5</v>
      </c>
      <c r="J124" t="s">
        <v>9</v>
      </c>
      <c r="K124" t="s">
        <v>339</v>
      </c>
    </row>
    <row r="125" spans="1:12" x14ac:dyDescent="0.25">
      <c r="A125" s="100" t="s">
        <v>304</v>
      </c>
      <c r="B125" s="100"/>
      <c r="C125" s="100"/>
      <c r="D125" s="101"/>
      <c r="E125" s="101"/>
      <c r="F125" s="101"/>
      <c r="G125" s="101"/>
      <c r="H125" s="101"/>
      <c r="I125" s="101"/>
      <c r="J125" s="101"/>
      <c r="K125" s="101"/>
      <c r="L125" s="101"/>
    </row>
    <row r="126" spans="1:12" x14ac:dyDescent="0.25">
      <c r="A126" t="s">
        <v>38</v>
      </c>
      <c r="F126" t="s">
        <v>5</v>
      </c>
      <c r="G126" t="s">
        <v>1</v>
      </c>
      <c r="H126" t="s">
        <v>336</v>
      </c>
      <c r="I126">
        <v>14</v>
      </c>
      <c r="J126" t="s">
        <v>9</v>
      </c>
      <c r="K126" t="s">
        <v>339</v>
      </c>
    </row>
    <row r="127" spans="1:12" x14ac:dyDescent="0.25">
      <c r="A127" t="s">
        <v>38</v>
      </c>
      <c r="F127" t="s">
        <v>5</v>
      </c>
      <c r="G127" t="s">
        <v>1</v>
      </c>
      <c r="H127" t="s">
        <v>337</v>
      </c>
      <c r="I127">
        <v>8.5</v>
      </c>
      <c r="J127" t="s">
        <v>9</v>
      </c>
      <c r="K127" t="s">
        <v>339</v>
      </c>
    </row>
    <row r="129" spans="1:12" x14ac:dyDescent="0.25">
      <c r="A129" s="94" t="s">
        <v>407</v>
      </c>
      <c r="B129" s="94"/>
      <c r="C129" s="94"/>
      <c r="D129" s="95"/>
      <c r="E129" s="95"/>
      <c r="F129" s="95"/>
      <c r="G129" s="95"/>
      <c r="H129" s="95"/>
      <c r="I129" s="95"/>
      <c r="J129" s="95"/>
      <c r="K129" s="95"/>
      <c r="L129" s="95"/>
    </row>
    <row r="130" spans="1:12" x14ac:dyDescent="0.25">
      <c r="D130" t="s">
        <v>18</v>
      </c>
      <c r="H130" t="s">
        <v>408</v>
      </c>
      <c r="I130">
        <v>0.50700000000000001</v>
      </c>
      <c r="J130" t="s">
        <v>409</v>
      </c>
      <c r="L130" t="s">
        <v>411</v>
      </c>
    </row>
    <row r="131" spans="1:12" x14ac:dyDescent="0.25">
      <c r="H131" t="s">
        <v>408</v>
      </c>
      <c r="I131">
        <v>0.47499999999999998</v>
      </c>
      <c r="J131" t="s">
        <v>409</v>
      </c>
      <c r="L131" t="s">
        <v>412</v>
      </c>
    </row>
    <row r="132" spans="1:12" x14ac:dyDescent="0.25">
      <c r="D132" t="s">
        <v>18</v>
      </c>
      <c r="H132" t="s">
        <v>423</v>
      </c>
      <c r="I132" s="13">
        <v>5</v>
      </c>
      <c r="J132" t="s">
        <v>422</v>
      </c>
      <c r="L132" t="s">
        <v>411</v>
      </c>
    </row>
    <row r="133" spans="1:12" x14ac:dyDescent="0.25">
      <c r="A133" t="s">
        <v>2</v>
      </c>
      <c r="D133" t="s">
        <v>18</v>
      </c>
      <c r="H133" t="s">
        <v>413</v>
      </c>
      <c r="I133" s="13">
        <f>(0.013+0.021+0.038) * 30.4</f>
        <v>2.1888000000000001</v>
      </c>
      <c r="J133" t="s">
        <v>414</v>
      </c>
      <c r="K133" t="s">
        <v>415</v>
      </c>
      <c r="L133" t="s">
        <v>410</v>
      </c>
    </row>
    <row r="134" spans="1:12" x14ac:dyDescent="0.25">
      <c r="A134" t="s">
        <v>38</v>
      </c>
      <c r="D134" t="s">
        <v>18</v>
      </c>
      <c r="H134" t="s">
        <v>413</v>
      </c>
      <c r="I134" s="13">
        <f>(8 * 7 * 3.6)/100</f>
        <v>2.016</v>
      </c>
      <c r="J134" t="s">
        <v>414</v>
      </c>
      <c r="K134" t="s">
        <v>416</v>
      </c>
      <c r="L134" t="s">
        <v>417</v>
      </c>
    </row>
    <row r="135" spans="1:12" x14ac:dyDescent="0.25">
      <c r="H135" t="s">
        <v>418</v>
      </c>
      <c r="I135" s="1">
        <v>1</v>
      </c>
      <c r="J135" t="s">
        <v>424</v>
      </c>
    </row>
    <row r="136" spans="1:12" x14ac:dyDescent="0.25">
      <c r="A136" t="s">
        <v>2</v>
      </c>
      <c r="D136" t="s">
        <v>18</v>
      </c>
      <c r="H136" t="s">
        <v>418</v>
      </c>
      <c r="I136" s="1">
        <v>1.1100000000000001</v>
      </c>
      <c r="J136" t="s">
        <v>424</v>
      </c>
      <c r="L136" t="s">
        <v>410</v>
      </c>
    </row>
    <row r="137" spans="1:12" x14ac:dyDescent="0.25">
      <c r="A137" t="s">
        <v>38</v>
      </c>
      <c r="D137" t="s">
        <v>35</v>
      </c>
      <c r="H137" t="s">
        <v>418</v>
      </c>
      <c r="I137" s="1">
        <v>0.9</v>
      </c>
      <c r="J137" t="s">
        <v>424</v>
      </c>
      <c r="K137" t="s">
        <v>420</v>
      </c>
      <c r="L137" t="s">
        <v>419</v>
      </c>
    </row>
    <row r="138" spans="1:12" x14ac:dyDescent="0.25">
      <c r="D138" t="s">
        <v>33</v>
      </c>
      <c r="H138" t="s">
        <v>418</v>
      </c>
      <c r="I138" s="1">
        <v>1.05</v>
      </c>
      <c r="J138" t="s">
        <v>424</v>
      </c>
      <c r="L138" t="s">
        <v>419</v>
      </c>
    </row>
    <row r="139" spans="1:12" x14ac:dyDescent="0.25">
      <c r="A139" t="s">
        <v>2</v>
      </c>
      <c r="D139" t="s">
        <v>34</v>
      </c>
      <c r="H139" t="s">
        <v>418</v>
      </c>
      <c r="I139" s="1">
        <v>1.05</v>
      </c>
      <c r="J139" t="s">
        <v>424</v>
      </c>
      <c r="L139" t="s">
        <v>419</v>
      </c>
    </row>
    <row r="140" spans="1:12" x14ac:dyDescent="0.25">
      <c r="H140" t="s">
        <v>421</v>
      </c>
      <c r="I140" s="13">
        <v>0</v>
      </c>
      <c r="J140" t="s">
        <v>424</v>
      </c>
    </row>
    <row r="141" spans="1:12" x14ac:dyDescent="0.25">
      <c r="A141" t="s">
        <v>2</v>
      </c>
      <c r="D141" t="s">
        <v>18</v>
      </c>
      <c r="H141" t="s">
        <v>421</v>
      </c>
      <c r="I141" s="13">
        <v>-13.6</v>
      </c>
      <c r="J141" t="s">
        <v>424</v>
      </c>
      <c r="L141" t="s">
        <v>410</v>
      </c>
    </row>
    <row r="142" spans="1:12" x14ac:dyDescent="0.25">
      <c r="A142" s="97" t="s">
        <v>303</v>
      </c>
      <c r="B142" s="97"/>
      <c r="C142" s="97"/>
      <c r="D142" s="98"/>
      <c r="E142" s="98"/>
      <c r="F142" s="98"/>
      <c r="G142" s="98"/>
      <c r="H142" s="98"/>
      <c r="I142" s="99"/>
      <c r="J142" s="98"/>
      <c r="K142" s="98"/>
      <c r="L142" s="98"/>
    </row>
    <row r="143" spans="1:12" x14ac:dyDescent="0.25">
      <c r="A143" s="100" t="s">
        <v>304</v>
      </c>
      <c r="B143" s="100"/>
      <c r="C143" s="100"/>
      <c r="D143" s="101"/>
      <c r="E143" s="101"/>
      <c r="F143" s="101"/>
      <c r="G143" s="101"/>
      <c r="H143" s="101"/>
      <c r="I143" s="101"/>
      <c r="J143" s="101"/>
      <c r="K143" s="101"/>
      <c r="L143" s="101"/>
    </row>
    <row r="145" spans="1:12" x14ac:dyDescent="0.25">
      <c r="A145" s="94" t="s">
        <v>406</v>
      </c>
      <c r="B145" s="94"/>
      <c r="C145" s="94"/>
      <c r="D145" s="95"/>
      <c r="E145" s="95"/>
      <c r="F145" s="95"/>
      <c r="G145" s="95"/>
      <c r="H145" s="95"/>
      <c r="I145" s="95"/>
      <c r="J145" s="95" t="s">
        <v>327</v>
      </c>
      <c r="K145" s="95"/>
      <c r="L145" s="95"/>
    </row>
    <row r="146" spans="1:12" x14ac:dyDescent="0.25">
      <c r="H146" s="159" t="s">
        <v>326</v>
      </c>
      <c r="I146" s="159">
        <v>0</v>
      </c>
      <c r="J146" s="159"/>
      <c r="K146" s="159" t="s">
        <v>426</v>
      </c>
    </row>
    <row r="147" spans="1:12" x14ac:dyDescent="0.25">
      <c r="A147" s="97" t="s">
        <v>303</v>
      </c>
      <c r="B147" s="97"/>
      <c r="C147" s="97"/>
      <c r="D147" s="98"/>
      <c r="E147" s="98"/>
      <c r="F147" s="98"/>
      <c r="G147" s="98"/>
      <c r="H147" s="98"/>
      <c r="I147" s="99"/>
      <c r="J147" s="98"/>
      <c r="K147" s="98"/>
      <c r="L147" s="98"/>
    </row>
    <row r="148" spans="1:12" x14ac:dyDescent="0.25">
      <c r="A148" s="81" t="s">
        <v>74</v>
      </c>
      <c r="B148" s="48"/>
      <c r="C148" s="48"/>
      <c r="D148" s="49"/>
      <c r="E148" s="49"/>
      <c r="F148" s="49"/>
      <c r="G148" s="49"/>
      <c r="H148" s="49"/>
      <c r="I148" s="162"/>
      <c r="J148" s="49"/>
      <c r="K148" s="49"/>
      <c r="L148" s="49"/>
    </row>
    <row r="149" spans="1:12" x14ac:dyDescent="0.25">
      <c r="A149" s="159" t="s">
        <v>2</v>
      </c>
      <c r="B149" s="159"/>
      <c r="C149" s="159"/>
      <c r="D149" s="159" t="s">
        <v>18</v>
      </c>
      <c r="H149" s="159" t="s">
        <v>326</v>
      </c>
      <c r="I149" s="159">
        <v>0</v>
      </c>
      <c r="J149" s="159"/>
      <c r="K149" s="159" t="s">
        <v>426</v>
      </c>
    </row>
    <row r="150" spans="1:12" x14ac:dyDescent="0.25">
      <c r="A150" t="s">
        <v>2</v>
      </c>
      <c r="D150" t="s">
        <v>18</v>
      </c>
      <c r="E150" t="s">
        <v>436</v>
      </c>
      <c r="H150" t="s">
        <v>326</v>
      </c>
      <c r="I150" s="2">
        <f>INDEX(Foderstater!$U$56:$AD$83,MATCH(E150,Foderstater!$R$56:$R$83,0),MATCH(A150&amp;C150&amp;D150,Foderstater!$U$55:$AD$55,0))</f>
        <v>38.655760943285067</v>
      </c>
      <c r="J150" s="159"/>
      <c r="K150" s="159"/>
    </row>
    <row r="151" spans="1:12" x14ac:dyDescent="0.25">
      <c r="A151" t="s">
        <v>2</v>
      </c>
      <c r="D151" t="s">
        <v>18</v>
      </c>
      <c r="E151" t="s">
        <v>437</v>
      </c>
      <c r="H151" t="s">
        <v>326</v>
      </c>
      <c r="I151" s="13">
        <f>INDEX(Foderstater!$U$56:$AD$83,MATCH(E151,Foderstater!$R$56:$R$83,0),MATCH(A151&amp;C151&amp;D151,Foderstater!$U$55:$AD$55,0))</f>
        <v>9.2487848377124262</v>
      </c>
      <c r="J151" s="159"/>
      <c r="K151" s="159"/>
    </row>
    <row r="152" spans="1:12" x14ac:dyDescent="0.25">
      <c r="A152" t="s">
        <v>2</v>
      </c>
      <c r="D152" t="s">
        <v>18</v>
      </c>
      <c r="E152" t="s">
        <v>438</v>
      </c>
      <c r="H152" t="s">
        <v>326</v>
      </c>
      <c r="I152" s="13">
        <f>INDEX(Foderstater!$U$56:$AD$83,MATCH(E152,Foderstater!$R$56:$R$83,0),MATCH(A152&amp;C152&amp;D152,Foderstater!$U$55:$AD$55,0))</f>
        <v>0</v>
      </c>
      <c r="J152" s="159"/>
      <c r="K152" s="159"/>
    </row>
    <row r="153" spans="1:12" x14ac:dyDescent="0.25">
      <c r="A153" t="s">
        <v>2</v>
      </c>
      <c r="D153" t="s">
        <v>18</v>
      </c>
      <c r="E153" t="s">
        <v>433</v>
      </c>
      <c r="H153" t="s">
        <v>326</v>
      </c>
      <c r="I153" s="13">
        <f>INDEX(Foderstater!$U$56:$AD$83,MATCH(E153,Foderstater!$R$56:$R$83,0),MATCH(A153&amp;C153&amp;D153,Foderstater!$U$55:$AD$55,0))</f>
        <v>0</v>
      </c>
      <c r="J153" s="159"/>
      <c r="K153" s="159"/>
    </row>
    <row r="154" spans="1:12" x14ac:dyDescent="0.25">
      <c r="A154" t="s">
        <v>2</v>
      </c>
      <c r="D154" t="s">
        <v>18</v>
      </c>
      <c r="E154" t="s">
        <v>428</v>
      </c>
      <c r="H154" t="s">
        <v>326</v>
      </c>
      <c r="I154" s="13">
        <f>INDEX(Foderstater!$U$56:$AD$83,MATCH(E154,Foderstater!$R$56:$R$83,0),MATCH(A154&amp;C154&amp;D154,Foderstater!$U$55:$AD$55,0))</f>
        <v>2.6959915324547534</v>
      </c>
      <c r="J154" s="159"/>
      <c r="K154" s="159"/>
    </row>
    <row r="155" spans="1:12" x14ac:dyDescent="0.25">
      <c r="A155" t="s">
        <v>2</v>
      </c>
      <c r="D155" t="s">
        <v>18</v>
      </c>
      <c r="E155" t="s">
        <v>425</v>
      </c>
      <c r="H155" t="s">
        <v>326</v>
      </c>
      <c r="I155" s="2">
        <f>INDEX(Foderstater!$U$56:$AD$83,MATCH(E155,Foderstater!$R$56:$R$83,0),MATCH(A155&amp;C155&amp;D155,Foderstater!$U$55:$AD$55,0))</f>
        <v>10.178212969682118</v>
      </c>
      <c r="J155" s="159"/>
      <c r="K155" s="159"/>
    </row>
    <row r="156" spans="1:12" x14ac:dyDescent="0.25">
      <c r="A156" t="s">
        <v>2</v>
      </c>
      <c r="D156" t="s">
        <v>18</v>
      </c>
      <c r="E156" t="s">
        <v>395</v>
      </c>
      <c r="H156" t="s">
        <v>326</v>
      </c>
      <c r="I156" s="13">
        <f>INDEX(Foderstater!$U$56:$AD$83,MATCH(E156,Foderstater!$R$56:$R$83,0),MATCH(A156&amp;C156&amp;D156,Foderstater!$U$55:$AD$55,0))</f>
        <v>6.522978613065411</v>
      </c>
      <c r="J156" s="159"/>
      <c r="K156" s="159"/>
    </row>
    <row r="157" spans="1:12" x14ac:dyDescent="0.25">
      <c r="A157" t="s">
        <v>2</v>
      </c>
      <c r="D157" t="s">
        <v>18</v>
      </c>
      <c r="E157" t="s">
        <v>513</v>
      </c>
      <c r="H157" t="s">
        <v>326</v>
      </c>
      <c r="I157" s="13">
        <f>INDEX(Foderstater!$U$56:$AD$83,MATCH(E157,Foderstater!$R$56:$R$83,0),MATCH(A157&amp;C157&amp;D157,Foderstater!$U$55:$AD$55,0))</f>
        <v>4.992523211434996</v>
      </c>
      <c r="J157" s="159"/>
      <c r="K157" s="159"/>
    </row>
    <row r="158" spans="1:12" x14ac:dyDescent="0.25">
      <c r="A158" t="s">
        <v>2</v>
      </c>
      <c r="D158" t="s">
        <v>18</v>
      </c>
      <c r="E158" t="s">
        <v>429</v>
      </c>
      <c r="H158" t="s">
        <v>326</v>
      </c>
      <c r="I158" s="2">
        <f>INDEX(Foderstater!$U$56:$AD$83,MATCH(E158,Foderstater!$R$56:$R$83,0),MATCH(A158&amp;C158&amp;D158,Foderstater!$U$55:$AD$55,0))</f>
        <v>13.174510208769105</v>
      </c>
      <c r="J158" s="159"/>
      <c r="K158" s="159"/>
    </row>
    <row r="159" spans="1:12" x14ac:dyDescent="0.25">
      <c r="A159" t="s">
        <v>2</v>
      </c>
      <c r="D159" t="s">
        <v>18</v>
      </c>
      <c r="E159" t="s">
        <v>469</v>
      </c>
      <c r="H159" t="s">
        <v>326</v>
      </c>
      <c r="I159" s="13">
        <f>INDEX(Foderstater!$U$56:$AD$83,MATCH(E159,Foderstater!$R$56:$R$83,0),MATCH(A159&amp;C159&amp;D159,Foderstater!$U$55:$AD$55,0))</f>
        <v>2.7226307320294127</v>
      </c>
      <c r="J159" s="159"/>
      <c r="K159" s="159"/>
    </row>
    <row r="160" spans="1:12" x14ac:dyDescent="0.25">
      <c r="A160" t="s">
        <v>2</v>
      </c>
      <c r="D160" t="s">
        <v>18</v>
      </c>
      <c r="E160" t="s">
        <v>498</v>
      </c>
      <c r="H160" t="s">
        <v>326</v>
      </c>
      <c r="I160" s="13">
        <f>INDEX(Foderstater!$U$56:$AD$83,MATCH(E160,Foderstater!$R$56:$R$83,0),MATCH(A160&amp;C160&amp;D160,Foderstater!$U$55:$AD$55,0))</f>
        <v>0</v>
      </c>
      <c r="J160" s="159"/>
      <c r="K160" s="159"/>
    </row>
    <row r="161" spans="1:11" x14ac:dyDescent="0.25">
      <c r="A161" t="s">
        <v>2</v>
      </c>
      <c r="D161" t="s">
        <v>18</v>
      </c>
      <c r="E161" t="s">
        <v>499</v>
      </c>
      <c r="H161" t="s">
        <v>326</v>
      </c>
      <c r="I161" s="13">
        <f>INDEX(Foderstater!$U$56:$AD$83,MATCH(E161,Foderstater!$R$56:$R$83,0),MATCH(A161&amp;C161&amp;D161,Foderstater!$U$55:$AD$55,0))</f>
        <v>0.15456668608878038</v>
      </c>
      <c r="J161" s="159"/>
      <c r="K161" s="159"/>
    </row>
    <row r="162" spans="1:11" x14ac:dyDescent="0.25">
      <c r="A162" t="s">
        <v>2</v>
      </c>
      <c r="D162" t="s">
        <v>18</v>
      </c>
      <c r="E162" t="s">
        <v>468</v>
      </c>
      <c r="H162" t="s">
        <v>326</v>
      </c>
      <c r="I162" s="13">
        <f>INDEX(Foderstater!$U$56:$AD$83,MATCH(E162,Foderstater!$R$56:$R$83,0),MATCH(A162&amp;C162&amp;D162,Foderstater!$U$55:$AD$55,0))</f>
        <v>7.9125995025714754E-2</v>
      </c>
      <c r="J162" s="159"/>
      <c r="K162" s="159"/>
    </row>
    <row r="163" spans="1:11" x14ac:dyDescent="0.25">
      <c r="A163" t="s">
        <v>2</v>
      </c>
      <c r="D163" t="s">
        <v>18</v>
      </c>
      <c r="E163" t="s">
        <v>502</v>
      </c>
      <c r="H163" t="s">
        <v>326</v>
      </c>
      <c r="I163" s="13">
        <f>INDEX(Foderstater!$U$56:$AD$83,MATCH(E163,Foderstater!$R$56:$R$83,0),MATCH(A163&amp;C163&amp;D163,Foderstater!$U$55:$AD$55,0))</f>
        <v>0.22436720268746718</v>
      </c>
      <c r="J163" s="159"/>
      <c r="K163" s="159"/>
    </row>
    <row r="164" spans="1:11" x14ac:dyDescent="0.25">
      <c r="A164" t="s">
        <v>2</v>
      </c>
      <c r="D164" t="s">
        <v>18</v>
      </c>
      <c r="E164" t="s">
        <v>504</v>
      </c>
      <c r="H164" t="s">
        <v>326</v>
      </c>
      <c r="I164" s="13">
        <f>INDEX(Foderstater!$U$56:$AD$83,MATCH(E164,Foderstater!$R$56:$R$83,0),MATCH(A164&amp;C164&amp;D164,Foderstater!$U$55:$AD$55,0))</f>
        <v>2.6016725715862865</v>
      </c>
      <c r="J164" s="159"/>
      <c r="K164" s="159"/>
    </row>
    <row r="165" spans="1:11" x14ac:dyDescent="0.25">
      <c r="A165" t="s">
        <v>2</v>
      </c>
      <c r="D165" t="s">
        <v>18</v>
      </c>
      <c r="E165" t="s">
        <v>431</v>
      </c>
      <c r="H165" t="s">
        <v>326</v>
      </c>
      <c r="I165" s="13">
        <f>INDEX(Foderstater!$U$56:$AD$83,MATCH(E165,Foderstater!$R$56:$R$83,0),MATCH(A165&amp;C165&amp;D165,Foderstater!$U$55:$AD$55,0))</f>
        <v>0.73157130621435396</v>
      </c>
      <c r="J165" s="159"/>
      <c r="K165" s="159"/>
    </row>
    <row r="166" spans="1:11" x14ac:dyDescent="0.25">
      <c r="A166" t="s">
        <v>2</v>
      </c>
      <c r="D166" t="s">
        <v>18</v>
      </c>
      <c r="E166" t="s">
        <v>435</v>
      </c>
      <c r="H166" t="s">
        <v>326</v>
      </c>
      <c r="I166" s="13">
        <f>INDEX(Foderstater!$U$56:$AD$83,MATCH(E166,Foderstater!$R$56:$R$83,0),MATCH(A166&amp;C166&amp;D166,Foderstater!$U$55:$AD$55,0))</f>
        <v>1.7427721260012328</v>
      </c>
      <c r="J166" s="159"/>
      <c r="K166" s="159"/>
    </row>
    <row r="167" spans="1:11" x14ac:dyDescent="0.25">
      <c r="A167" t="s">
        <v>2</v>
      </c>
      <c r="D167" t="s">
        <v>18</v>
      </c>
      <c r="E167" t="s">
        <v>500</v>
      </c>
      <c r="H167" t="s">
        <v>326</v>
      </c>
      <c r="I167" s="13">
        <f>INDEX(Foderstater!$U$56:$AD$83,MATCH(E167,Foderstater!$R$56:$R$83,0),MATCH(A167&amp;C167&amp;D167,Foderstater!$U$55:$AD$55,0))</f>
        <v>0.59378904185636427</v>
      </c>
      <c r="J167" s="159"/>
      <c r="K167" s="159"/>
    </row>
    <row r="168" spans="1:11" x14ac:dyDescent="0.25">
      <c r="A168" t="s">
        <v>2</v>
      </c>
      <c r="D168" t="s">
        <v>18</v>
      </c>
      <c r="E168" t="s">
        <v>501</v>
      </c>
      <c r="H168" t="s">
        <v>326</v>
      </c>
      <c r="I168" s="13">
        <f>INDEX(Foderstater!$U$56:$AD$83,MATCH(E168,Foderstater!$R$56:$R$83,0),MATCH(A168&amp;C168&amp;D168,Foderstater!$U$55:$AD$55,0))</f>
        <v>0.30030511730104892</v>
      </c>
      <c r="J168" s="159"/>
      <c r="K168" s="159"/>
    </row>
    <row r="169" spans="1:11" x14ac:dyDescent="0.25">
      <c r="A169" t="s">
        <v>2</v>
      </c>
      <c r="D169" t="s">
        <v>18</v>
      </c>
      <c r="E169" t="s">
        <v>503</v>
      </c>
      <c r="H169" t="s">
        <v>326</v>
      </c>
      <c r="I169" s="13">
        <f>INDEX(Foderstater!$U$56:$AD$83,MATCH(E169,Foderstater!$R$56:$R$83,0),MATCH(A169&amp;C169&amp;D169,Foderstater!$U$55:$AD$55,0))</f>
        <v>0.76295103776401596</v>
      </c>
      <c r="J169" s="159"/>
      <c r="K169" s="159"/>
    </row>
    <row r="170" spans="1:11" x14ac:dyDescent="0.25">
      <c r="A170" t="s">
        <v>2</v>
      </c>
      <c r="D170" t="s">
        <v>18</v>
      </c>
      <c r="E170" t="s">
        <v>430</v>
      </c>
      <c r="H170" t="s">
        <v>326</v>
      </c>
      <c r="I170" s="13">
        <f>INDEX(Foderstater!$U$56:$AD$83,MATCH(E170,Foderstater!$R$56:$R$83,0),MATCH(A170&amp;C170&amp;D170,Foderstater!$U$55:$AD$55,0))</f>
        <v>2.0702334871671719</v>
      </c>
      <c r="J170" s="159"/>
      <c r="K170" s="159"/>
    </row>
    <row r="171" spans="1:11" x14ac:dyDescent="0.25">
      <c r="A171" t="s">
        <v>2</v>
      </c>
      <c r="D171" t="s">
        <v>18</v>
      </c>
      <c r="E171" t="s">
        <v>505</v>
      </c>
      <c r="H171" t="s">
        <v>326</v>
      </c>
      <c r="I171" s="13">
        <f>INDEX(Foderstater!$U$56:$AD$83,MATCH(E171,Foderstater!$R$56:$R$83,0),MATCH(A171&amp;C171&amp;D171,Foderstater!$U$55:$AD$55,0))</f>
        <v>7.4566338910747182E-2</v>
      </c>
    </row>
    <row r="172" spans="1:11" x14ac:dyDescent="0.25">
      <c r="A172" t="s">
        <v>2</v>
      </c>
      <c r="D172" t="s">
        <v>18</v>
      </c>
      <c r="E172" t="s">
        <v>506</v>
      </c>
      <c r="H172" t="s">
        <v>326</v>
      </c>
      <c r="I172" s="13">
        <f>INDEX(Foderstater!$U$56:$AD$83,MATCH(E172,Foderstater!$R$56:$R$83,0),MATCH(A172&amp;C172&amp;D172,Foderstater!$U$55:$AD$55,0))</f>
        <v>4.6238208755861092E-2</v>
      </c>
    </row>
    <row r="173" spans="1:11" x14ac:dyDescent="0.25">
      <c r="A173" t="s">
        <v>2</v>
      </c>
      <c r="D173" t="s">
        <v>18</v>
      </c>
      <c r="E173" t="s">
        <v>507</v>
      </c>
      <c r="H173" t="s">
        <v>326</v>
      </c>
      <c r="I173" s="13">
        <f>INDEX(Foderstater!$U$56:$AD$83,MATCH(E173,Foderstater!$R$56:$R$83,0),MATCH(A173&amp;C173&amp;D173,Foderstater!$U$55:$AD$55,0))</f>
        <v>5.1375787506512324E-3</v>
      </c>
    </row>
    <row r="174" spans="1:11" x14ac:dyDescent="0.25">
      <c r="A174" t="s">
        <v>2</v>
      </c>
      <c r="D174" t="s">
        <v>18</v>
      </c>
      <c r="E174" t="s">
        <v>508</v>
      </c>
      <c r="H174" t="s">
        <v>326</v>
      </c>
      <c r="I174" s="13">
        <f>INDEX(Foderstater!$U$56:$AD$83,MATCH(E174,Foderstater!$R$56:$R$83,0),MATCH(A174&amp;C174&amp;D174,Foderstater!$U$55:$AD$55,0))</f>
        <v>0.42517275618813499</v>
      </c>
    </row>
    <row r="175" spans="1:11" x14ac:dyDescent="0.25">
      <c r="A175" t="s">
        <v>2</v>
      </c>
      <c r="D175" t="s">
        <v>18</v>
      </c>
      <c r="E175" t="s">
        <v>452</v>
      </c>
      <c r="H175" t="s">
        <v>326</v>
      </c>
      <c r="I175" s="13">
        <f>INDEX(Foderstater!$U$56:$AD$83,MATCH(E175,Foderstater!$R$56:$R$83,0),MATCH(A175&amp;C175&amp;D175,Foderstater!$U$55:$AD$55,0))</f>
        <v>0.79155977596891625</v>
      </c>
    </row>
    <row r="176" spans="1:11" x14ac:dyDescent="0.25">
      <c r="A176" t="s">
        <v>2</v>
      </c>
      <c r="D176" t="s">
        <v>18</v>
      </c>
      <c r="E176" t="s">
        <v>434</v>
      </c>
      <c r="H176" t="s">
        <v>326</v>
      </c>
      <c r="I176" s="13">
        <f>INDEX(Foderstater!$U$56:$AD$83,MATCH(E176,Foderstater!$R$56:$R$83,0),MATCH(A176&amp;C176&amp;D176,Foderstater!$U$55:$AD$55,0))</f>
        <v>0.77437139226426754</v>
      </c>
    </row>
    <row r="177" spans="1:11" x14ac:dyDescent="0.25">
      <c r="A177" t="s">
        <v>2</v>
      </c>
      <c r="D177" t="s">
        <v>18</v>
      </c>
      <c r="E177" t="s">
        <v>509</v>
      </c>
      <c r="H177" t="s">
        <v>326</v>
      </c>
      <c r="I177" s="13">
        <f>INDEX(Foderstater!$U$56:$AD$83,MATCH(E177,Foderstater!$R$56:$R$83,0),MATCH(A177&amp;C177&amp;D177,Foderstater!$U$55:$AD$55,0))</f>
        <v>0.43020632903570405</v>
      </c>
    </row>
    <row r="179" spans="1:11" x14ac:dyDescent="0.25">
      <c r="A179" s="159" t="s">
        <v>2</v>
      </c>
      <c r="B179" s="159"/>
      <c r="C179" s="159" t="s">
        <v>432</v>
      </c>
      <c r="D179" s="159" t="s">
        <v>18</v>
      </c>
      <c r="H179" s="159" t="s">
        <v>326</v>
      </c>
      <c r="I179" s="159">
        <v>0</v>
      </c>
      <c r="J179" s="159"/>
      <c r="K179" s="159" t="s">
        <v>426</v>
      </c>
    </row>
    <row r="180" spans="1:11" x14ac:dyDescent="0.25">
      <c r="A180" t="s">
        <v>2</v>
      </c>
      <c r="C180" t="s">
        <v>432</v>
      </c>
      <c r="D180" t="s">
        <v>18</v>
      </c>
      <c r="E180" t="s">
        <v>436</v>
      </c>
      <c r="H180" t="s">
        <v>326</v>
      </c>
      <c r="I180" s="2">
        <f>INDEX(Foderstater!$U$56:$AD$83,MATCH(E180,Foderstater!$R$56:$R$83,0),MATCH(A180&amp;C180&amp;D180,Foderstater!$U$55:$AD$55,0))</f>
        <v>21.053926091496013</v>
      </c>
      <c r="J180" s="159"/>
      <c r="K180" s="159"/>
    </row>
    <row r="181" spans="1:11" x14ac:dyDescent="0.25">
      <c r="A181" t="s">
        <v>2</v>
      </c>
      <c r="C181" t="s">
        <v>432</v>
      </c>
      <c r="D181" t="s">
        <v>18</v>
      </c>
      <c r="E181" t="s">
        <v>437</v>
      </c>
      <c r="H181" t="s">
        <v>326</v>
      </c>
      <c r="I181" s="13">
        <f>INDEX(Foderstater!$U$56:$AD$83,MATCH(E181,Foderstater!$R$56:$R$83,0),MATCH(A181&amp;C181&amp;D181,Foderstater!$U$55:$AD$55,0))</f>
        <v>9.7648461508611888</v>
      </c>
      <c r="J181" s="159"/>
      <c r="K181" s="159"/>
    </row>
    <row r="182" spans="1:11" x14ac:dyDescent="0.25">
      <c r="A182" t="s">
        <v>2</v>
      </c>
      <c r="C182" t="s">
        <v>432</v>
      </c>
      <c r="D182" t="s">
        <v>18</v>
      </c>
      <c r="E182" t="s">
        <v>438</v>
      </c>
      <c r="H182" t="s">
        <v>326</v>
      </c>
      <c r="I182" s="13">
        <f>INDEX(Foderstater!$U$56:$AD$83,MATCH(E182,Foderstater!$R$56:$R$83,0),MATCH(A182&amp;C182&amp;D182,Foderstater!$U$55:$AD$55,0))</f>
        <v>0</v>
      </c>
      <c r="J182" s="159"/>
      <c r="K182" s="159"/>
    </row>
    <row r="183" spans="1:11" x14ac:dyDescent="0.25">
      <c r="A183" t="s">
        <v>2</v>
      </c>
      <c r="C183" t="s">
        <v>432</v>
      </c>
      <c r="D183" t="s">
        <v>18</v>
      </c>
      <c r="E183" t="s">
        <v>433</v>
      </c>
      <c r="H183" t="s">
        <v>326</v>
      </c>
      <c r="I183" s="13">
        <f>INDEX(Foderstater!$U$56:$AD$83,MATCH(E183,Foderstater!$R$56:$R$83,0),MATCH(A183&amp;C183&amp;D183,Foderstater!$U$55:$AD$55,0))</f>
        <v>16.256327113961142</v>
      </c>
      <c r="J183" s="159"/>
      <c r="K183" s="159"/>
    </row>
    <row r="184" spans="1:11" x14ac:dyDescent="0.25">
      <c r="A184" t="s">
        <v>2</v>
      </c>
      <c r="C184" t="s">
        <v>432</v>
      </c>
      <c r="D184" t="s">
        <v>18</v>
      </c>
      <c r="E184" t="s">
        <v>428</v>
      </c>
      <c r="H184" t="s">
        <v>326</v>
      </c>
      <c r="I184" s="13">
        <f>INDEX(Foderstater!$U$56:$AD$83,MATCH(E184,Foderstater!$R$56:$R$83,0),MATCH(A184&amp;C184&amp;D184,Foderstater!$U$55:$AD$55,0))</f>
        <v>2.6961713262179456</v>
      </c>
      <c r="J184" s="159"/>
      <c r="K184" s="159"/>
    </row>
    <row r="185" spans="1:11" x14ac:dyDescent="0.25">
      <c r="A185" t="s">
        <v>2</v>
      </c>
      <c r="C185" t="s">
        <v>432</v>
      </c>
      <c r="D185" t="s">
        <v>18</v>
      </c>
      <c r="E185" t="s">
        <v>425</v>
      </c>
      <c r="H185" t="s">
        <v>326</v>
      </c>
      <c r="I185" s="2">
        <f>INDEX(Foderstater!$U$56:$AD$83,MATCH(E185,Foderstater!$R$56:$R$83,0),MATCH(A185&amp;C185&amp;D185,Foderstater!$U$55:$AD$55,0))</f>
        <v>10.178891747486265</v>
      </c>
      <c r="J185" s="159"/>
      <c r="K185" s="159"/>
    </row>
    <row r="186" spans="1:11" x14ac:dyDescent="0.25">
      <c r="A186" t="s">
        <v>2</v>
      </c>
      <c r="C186" t="s">
        <v>432</v>
      </c>
      <c r="D186" t="s">
        <v>18</v>
      </c>
      <c r="E186" t="s">
        <v>395</v>
      </c>
      <c r="H186" t="s">
        <v>326</v>
      </c>
      <c r="I186" s="13">
        <f>INDEX(Foderstater!$U$56:$AD$83,MATCH(E186,Foderstater!$R$56:$R$83,0),MATCH(A186&amp;C186&amp;D186,Foderstater!$U$55:$AD$55,0))</f>
        <v>5.1917347110499525</v>
      </c>
      <c r="J186" s="159"/>
      <c r="K186" s="159"/>
    </row>
    <row r="187" spans="1:11" x14ac:dyDescent="0.25">
      <c r="A187" t="s">
        <v>2</v>
      </c>
      <c r="C187" t="s">
        <v>432</v>
      </c>
      <c r="D187" t="s">
        <v>18</v>
      </c>
      <c r="E187" t="s">
        <v>513</v>
      </c>
      <c r="H187" t="s">
        <v>326</v>
      </c>
      <c r="I187" s="13">
        <f>INDEX(Foderstater!$U$56:$AD$83,MATCH(E187,Foderstater!$R$56:$R$83,0),MATCH(A187&amp;C187&amp;D187,Foderstater!$U$55:$AD$55,0))</f>
        <v>3.8278564703417133</v>
      </c>
      <c r="J187" s="159"/>
      <c r="K187" s="159"/>
    </row>
    <row r="188" spans="1:11" x14ac:dyDescent="0.25">
      <c r="A188" t="s">
        <v>2</v>
      </c>
      <c r="C188" t="s">
        <v>432</v>
      </c>
      <c r="D188" t="s">
        <v>18</v>
      </c>
      <c r="E188" t="s">
        <v>429</v>
      </c>
      <c r="H188" t="s">
        <v>326</v>
      </c>
      <c r="I188" s="2">
        <f>INDEX(Foderstater!$U$56:$AD$83,MATCH(E188,Foderstater!$R$56:$R$83,0),MATCH(A188&amp;C188&amp;D188,Foderstater!$U$55:$AD$55,0))</f>
        <v>10.319020213721652</v>
      </c>
      <c r="J188" s="159"/>
      <c r="K188" s="159"/>
    </row>
    <row r="189" spans="1:11" x14ac:dyDescent="0.25">
      <c r="A189" t="s">
        <v>2</v>
      </c>
      <c r="C189" t="s">
        <v>432</v>
      </c>
      <c r="D189" t="s">
        <v>18</v>
      </c>
      <c r="E189" t="s">
        <v>469</v>
      </c>
      <c r="H189" t="s">
        <v>326</v>
      </c>
      <c r="I189" s="13">
        <f>INDEX(Foderstater!$U$56:$AD$83,MATCH(E189,Foderstater!$R$56:$R$83,0),MATCH(A189&amp;C189&amp;D189,Foderstater!$U$55:$AD$55,0))</f>
        <v>2.1325181060325882</v>
      </c>
      <c r="J189" s="159"/>
      <c r="K189" s="159"/>
    </row>
    <row r="190" spans="1:11" x14ac:dyDescent="0.25">
      <c r="A190" t="s">
        <v>2</v>
      </c>
      <c r="C190" t="s">
        <v>432</v>
      </c>
      <c r="D190" t="s">
        <v>18</v>
      </c>
      <c r="E190" t="s">
        <v>498</v>
      </c>
      <c r="H190" t="s">
        <v>326</v>
      </c>
      <c r="I190" s="13">
        <f>INDEX(Foderstater!$U$56:$AD$83,MATCH(E190,Foderstater!$R$56:$R$83,0),MATCH(A190&amp;C190&amp;D190,Foderstater!$U$55:$AD$55,0))</f>
        <v>0</v>
      </c>
      <c r="J190" s="159"/>
      <c r="K190" s="159"/>
    </row>
    <row r="191" spans="1:11" x14ac:dyDescent="0.25">
      <c r="A191" t="s">
        <v>2</v>
      </c>
      <c r="C191" t="s">
        <v>432</v>
      </c>
      <c r="D191" t="s">
        <v>18</v>
      </c>
      <c r="E191" t="s">
        <v>499</v>
      </c>
      <c r="H191" t="s">
        <v>326</v>
      </c>
      <c r="I191" s="13">
        <f>INDEX(Foderstater!$U$56:$AD$83,MATCH(E191,Foderstater!$R$56:$R$83,0),MATCH(A191&amp;C191&amp;D191,Foderstater!$U$55:$AD$55,0))</f>
        <v>0.24318273525305006</v>
      </c>
      <c r="J191" s="159"/>
      <c r="K191" s="159"/>
    </row>
    <row r="192" spans="1:11" x14ac:dyDescent="0.25">
      <c r="A192" t="s">
        <v>2</v>
      </c>
      <c r="C192" t="s">
        <v>432</v>
      </c>
      <c r="D192" t="s">
        <v>18</v>
      </c>
      <c r="E192" t="s">
        <v>468</v>
      </c>
      <c r="H192" t="s">
        <v>326</v>
      </c>
      <c r="I192" s="13">
        <f>INDEX(Foderstater!$U$56:$AD$83,MATCH(E192,Foderstater!$R$56:$R$83,0),MATCH(A192&amp;C192&amp;D192,Foderstater!$U$55:$AD$55,0))</f>
        <v>0.12449044737182395</v>
      </c>
      <c r="J192" s="159"/>
      <c r="K192" s="159"/>
    </row>
    <row r="193" spans="1:11" x14ac:dyDescent="0.25">
      <c r="A193" t="s">
        <v>2</v>
      </c>
      <c r="C193" t="s">
        <v>432</v>
      </c>
      <c r="D193" t="s">
        <v>18</v>
      </c>
      <c r="E193" t="s">
        <v>502</v>
      </c>
      <c r="H193" t="s">
        <v>326</v>
      </c>
      <c r="I193" s="13">
        <f>INDEX(Foderstater!$U$56:$AD$83,MATCH(E193,Foderstater!$R$56:$R$83,0),MATCH(A193&amp;C193&amp;D193,Foderstater!$U$55:$AD$55,0))</f>
        <v>0.35300122834537684</v>
      </c>
      <c r="J193" s="159"/>
      <c r="K193" s="159"/>
    </row>
    <row r="194" spans="1:11" x14ac:dyDescent="0.25">
      <c r="A194" t="s">
        <v>2</v>
      </c>
      <c r="C194" t="s">
        <v>432</v>
      </c>
      <c r="D194" t="s">
        <v>18</v>
      </c>
      <c r="E194" t="s">
        <v>504</v>
      </c>
      <c r="H194" t="s">
        <v>326</v>
      </c>
      <c r="I194" s="13">
        <f>INDEX(Foderstater!$U$56:$AD$83,MATCH(E194,Foderstater!$R$56:$R$83,0),MATCH(A194&amp;C194&amp;D194,Foderstater!$U$55:$AD$55,0))</f>
        <v>4.0932614148678095</v>
      </c>
      <c r="J194" s="159"/>
      <c r="K194" s="159"/>
    </row>
    <row r="195" spans="1:11" x14ac:dyDescent="0.25">
      <c r="A195" t="s">
        <v>2</v>
      </c>
      <c r="C195" t="s">
        <v>432</v>
      </c>
      <c r="D195" t="s">
        <v>18</v>
      </c>
      <c r="E195" t="s">
        <v>431</v>
      </c>
      <c r="H195" t="s">
        <v>326</v>
      </c>
      <c r="I195" s="13">
        <f>INDEX(Foderstater!$U$56:$AD$83,MATCH(E195,Foderstater!$R$56:$R$83,0),MATCH(A195&amp;C195&amp;D195,Foderstater!$U$55:$AD$55,0))</f>
        <v>1.1509951838888972</v>
      </c>
      <c r="J195" s="159"/>
      <c r="K195" s="159"/>
    </row>
    <row r="196" spans="1:11" x14ac:dyDescent="0.25">
      <c r="A196" t="s">
        <v>2</v>
      </c>
      <c r="C196" t="s">
        <v>432</v>
      </c>
      <c r="D196" t="s">
        <v>18</v>
      </c>
      <c r="E196" t="s">
        <v>435</v>
      </c>
      <c r="H196" t="s">
        <v>326</v>
      </c>
      <c r="I196" s="13">
        <f>INDEX(Foderstater!$U$56:$AD$83,MATCH(E196,Foderstater!$R$56:$R$83,0),MATCH(A196&amp;C196&amp;D196,Foderstater!$U$55:$AD$55,0))</f>
        <v>2.7419368509998514</v>
      </c>
      <c r="J196" s="159"/>
      <c r="K196" s="159"/>
    </row>
    <row r="197" spans="1:11" x14ac:dyDescent="0.25">
      <c r="A197" t="s">
        <v>2</v>
      </c>
      <c r="C197" t="s">
        <v>432</v>
      </c>
      <c r="D197" t="s">
        <v>18</v>
      </c>
      <c r="E197" t="s">
        <v>500</v>
      </c>
      <c r="H197" t="s">
        <v>326</v>
      </c>
      <c r="I197" s="13">
        <f>INDEX(Foderstater!$U$56:$AD$83,MATCH(E197,Foderstater!$R$56:$R$83,0),MATCH(A197&amp;C197&amp;D197,Foderstater!$U$55:$AD$55,0))</f>
        <v>0.93421970164371715</v>
      </c>
      <c r="J197" s="159"/>
      <c r="K197" s="159"/>
    </row>
    <row r="198" spans="1:11" x14ac:dyDescent="0.25">
      <c r="A198" t="s">
        <v>2</v>
      </c>
      <c r="C198" t="s">
        <v>432</v>
      </c>
      <c r="D198" t="s">
        <v>18</v>
      </c>
      <c r="E198" t="s">
        <v>501</v>
      </c>
      <c r="H198" t="s">
        <v>326</v>
      </c>
      <c r="I198" s="13">
        <f>INDEX(Foderstater!$U$56:$AD$83,MATCH(E198,Foderstater!$R$56:$R$83,0),MATCH(A198&amp;C198&amp;D198,Foderstater!$U$55:$AD$55,0))</f>
        <v>0.47247580758644553</v>
      </c>
      <c r="J198" s="159"/>
      <c r="K198" s="159"/>
    </row>
    <row r="199" spans="1:11" x14ac:dyDescent="0.25">
      <c r="A199" t="s">
        <v>2</v>
      </c>
      <c r="C199" t="s">
        <v>432</v>
      </c>
      <c r="D199" t="s">
        <v>18</v>
      </c>
      <c r="E199" t="s">
        <v>503</v>
      </c>
      <c r="H199" t="s">
        <v>326</v>
      </c>
      <c r="I199" s="13">
        <f>INDEX(Foderstater!$U$56:$AD$83,MATCH(E199,Foderstater!$R$56:$R$83,0),MATCH(A199&amp;C199&amp;D199,Foderstater!$U$55:$AD$55,0))</f>
        <v>1.2003655180977197</v>
      </c>
      <c r="J199" s="159"/>
      <c r="K199" s="159"/>
    </row>
    <row r="200" spans="1:11" x14ac:dyDescent="0.25">
      <c r="A200" t="s">
        <v>2</v>
      </c>
      <c r="C200" t="s">
        <v>432</v>
      </c>
      <c r="D200" t="s">
        <v>18</v>
      </c>
      <c r="E200" t="s">
        <v>430</v>
      </c>
      <c r="H200" t="s">
        <v>326</v>
      </c>
      <c r="I200" s="13">
        <f>INDEX(Foderstater!$U$56:$AD$83,MATCH(E200,Foderstater!$R$56:$R$83,0),MATCH(A200&amp;C200&amp;D200,Foderstater!$U$55:$AD$55,0))</f>
        <v>3.2571380985201626</v>
      </c>
      <c r="J200" s="159"/>
      <c r="K200" s="159"/>
    </row>
    <row r="201" spans="1:11" x14ac:dyDescent="0.25">
      <c r="A201" t="s">
        <v>2</v>
      </c>
      <c r="C201" t="s">
        <v>432</v>
      </c>
      <c r="D201" t="s">
        <v>18</v>
      </c>
      <c r="E201" t="s">
        <v>505</v>
      </c>
      <c r="H201" t="s">
        <v>326</v>
      </c>
      <c r="I201" s="13">
        <f>INDEX(Foderstater!$U$56:$AD$83,MATCH(E201,Foderstater!$R$56:$R$83,0),MATCH(A201&amp;C201&amp;D201,Foderstater!$U$55:$AD$55,0))</f>
        <v>0.1173166528504468</v>
      </c>
    </row>
    <row r="202" spans="1:11" x14ac:dyDescent="0.25">
      <c r="A202" t="s">
        <v>2</v>
      </c>
      <c r="C202" t="s">
        <v>432</v>
      </c>
      <c r="D202" t="s">
        <v>18</v>
      </c>
      <c r="E202" t="s">
        <v>506</v>
      </c>
      <c r="H202" t="s">
        <v>326</v>
      </c>
      <c r="I202" s="13">
        <f>INDEX(Foderstater!$U$56:$AD$83,MATCH(E202,Foderstater!$R$56:$R$83,0),MATCH(A202&amp;C202&amp;D202,Foderstater!$U$55:$AD$55,0))</f>
        <v>7.2747461713666306E-2</v>
      </c>
    </row>
    <row r="203" spans="1:11" x14ac:dyDescent="0.25">
      <c r="A203" t="s">
        <v>2</v>
      </c>
      <c r="C203" t="s">
        <v>432</v>
      </c>
      <c r="D203" t="s">
        <v>18</v>
      </c>
      <c r="E203" t="s">
        <v>507</v>
      </c>
      <c r="H203" t="s">
        <v>326</v>
      </c>
      <c r="I203" s="13">
        <f>INDEX(Foderstater!$U$56:$AD$83,MATCH(E203,Foderstater!$R$56:$R$83,0),MATCH(A203&amp;C203&amp;D203,Foderstater!$U$55:$AD$55,0))</f>
        <v>8.0830513015184777E-3</v>
      </c>
    </row>
    <row r="204" spans="1:11" x14ac:dyDescent="0.25">
      <c r="A204" t="s">
        <v>2</v>
      </c>
      <c r="C204" t="s">
        <v>432</v>
      </c>
      <c r="D204" t="s">
        <v>18</v>
      </c>
      <c r="E204" t="s">
        <v>508</v>
      </c>
      <c r="H204" t="s">
        <v>326</v>
      </c>
      <c r="I204" s="13">
        <f>INDEX(Foderstater!$U$56:$AD$83,MATCH(E204,Foderstater!$R$56:$R$83,0),MATCH(A204&amp;C204&amp;D204,Foderstater!$U$55:$AD$55,0))</f>
        <v>0.66893246158826714</v>
      </c>
    </row>
    <row r="205" spans="1:11" x14ac:dyDescent="0.25">
      <c r="A205" t="s">
        <v>2</v>
      </c>
      <c r="C205" t="s">
        <v>432</v>
      </c>
      <c r="D205" t="s">
        <v>18</v>
      </c>
      <c r="E205" t="s">
        <v>452</v>
      </c>
      <c r="H205" t="s">
        <v>326</v>
      </c>
      <c r="I205" s="13">
        <f>INDEX(Foderstater!$U$56:$AD$83,MATCH(E205,Foderstater!$R$56:$R$83,0),MATCH(A205&amp;C205&amp;D205,Foderstater!$U$55:$AD$55,0))</f>
        <v>1.2453761952678961</v>
      </c>
    </row>
    <row r="206" spans="1:11" x14ac:dyDescent="0.25">
      <c r="A206" t="s">
        <v>2</v>
      </c>
      <c r="C206" t="s">
        <v>432</v>
      </c>
      <c r="D206" t="s">
        <v>18</v>
      </c>
      <c r="E206" t="s">
        <v>434</v>
      </c>
      <c r="H206" t="s">
        <v>326</v>
      </c>
      <c r="I206" s="13">
        <f>INDEX(Foderstater!$U$56:$AD$83,MATCH(E206,Foderstater!$R$56:$R$83,0),MATCH(A206&amp;C206&amp;D206,Foderstater!$U$55:$AD$55,0))</f>
        <v>1.2183333811295727</v>
      </c>
    </row>
    <row r="207" spans="1:11" x14ac:dyDescent="0.25">
      <c r="A207" t="s">
        <v>2</v>
      </c>
      <c r="C207" t="s">
        <v>432</v>
      </c>
      <c r="D207" t="s">
        <v>18</v>
      </c>
      <c r="E207" t="s">
        <v>509</v>
      </c>
      <c r="H207" t="s">
        <v>326</v>
      </c>
      <c r="I207" s="13">
        <f>INDEX(Foderstater!$U$56:$AD$83,MATCH(E207,Foderstater!$R$56:$R$83,0),MATCH(A207&amp;C207&amp;D207,Foderstater!$U$55:$AD$55,0))</f>
        <v>0.67685187840531824</v>
      </c>
    </row>
    <row r="209" spans="1:12" x14ac:dyDescent="0.25">
      <c r="A209" s="81" t="s">
        <v>453</v>
      </c>
      <c r="B209" s="48"/>
      <c r="C209" s="48"/>
      <c r="D209" s="49"/>
      <c r="E209" s="49"/>
      <c r="F209" s="49"/>
      <c r="G209" s="49"/>
      <c r="H209" s="49"/>
      <c r="I209" s="162"/>
      <c r="J209" s="49"/>
      <c r="K209" s="49"/>
      <c r="L209" s="49"/>
    </row>
    <row r="210" spans="1:12" x14ac:dyDescent="0.25">
      <c r="A210" s="159" t="s">
        <v>2</v>
      </c>
      <c r="B210" s="159"/>
      <c r="C210" s="159"/>
      <c r="D210" s="159"/>
      <c r="H210" s="159" t="s">
        <v>326</v>
      </c>
      <c r="I210" s="159">
        <v>0</v>
      </c>
      <c r="J210" s="159"/>
      <c r="K210" s="159" t="s">
        <v>426</v>
      </c>
    </row>
    <row r="211" spans="1:12" x14ac:dyDescent="0.25">
      <c r="A211" t="s">
        <v>2</v>
      </c>
      <c r="E211" t="s">
        <v>436</v>
      </c>
      <c r="H211" t="s">
        <v>326</v>
      </c>
      <c r="I211" s="2">
        <f>INDEX(Foderstater!$U$56:$AD$83,MATCH(E211,Foderstater!$R$56:$R$83,0),MATCH(A211&amp;C211&amp;D211,Foderstater!$U$55:$AD$55,0))</f>
        <v>0</v>
      </c>
      <c r="J211" s="159"/>
      <c r="K211" s="159"/>
    </row>
    <row r="212" spans="1:12" x14ac:dyDescent="0.25">
      <c r="A212" t="s">
        <v>2</v>
      </c>
      <c r="E212" t="s">
        <v>437</v>
      </c>
      <c r="H212" t="s">
        <v>326</v>
      </c>
      <c r="I212" s="13">
        <f>INDEX(Foderstater!$U$56:$AD$83,MATCH(E212,Foderstater!$R$56:$R$83,0),MATCH(A212&amp;C212&amp;D212,Foderstater!$U$55:$AD$55,0))</f>
        <v>55.413619478612851</v>
      </c>
      <c r="J212" s="159"/>
      <c r="K212" s="159"/>
    </row>
    <row r="213" spans="1:12" x14ac:dyDescent="0.25">
      <c r="A213" t="s">
        <v>2</v>
      </c>
      <c r="E213" t="s">
        <v>438</v>
      </c>
      <c r="H213" t="s">
        <v>326</v>
      </c>
      <c r="I213" s="13">
        <f>INDEX(Foderstater!$U$56:$AD$83,MATCH(E213,Foderstater!$R$56:$R$83,0),MATCH(A213&amp;C213&amp;D213,Foderstater!$U$55:$AD$55,0))</f>
        <v>0</v>
      </c>
      <c r="J213" s="159"/>
      <c r="K213" s="159"/>
    </row>
    <row r="214" spans="1:12" x14ac:dyDescent="0.25">
      <c r="A214" t="s">
        <v>2</v>
      </c>
      <c r="E214" t="s">
        <v>433</v>
      </c>
      <c r="H214" t="s">
        <v>326</v>
      </c>
      <c r="I214" s="13">
        <f>INDEX(Foderstater!$U$56:$AD$83,MATCH(E214,Foderstater!$R$56:$R$83,0),MATCH(A214&amp;C214&amp;D214,Foderstater!$U$55:$AD$55,0))</f>
        <v>0</v>
      </c>
      <c r="J214" s="159"/>
      <c r="K214" s="159"/>
    </row>
    <row r="215" spans="1:12" x14ac:dyDescent="0.25">
      <c r="A215" t="s">
        <v>2</v>
      </c>
      <c r="E215" t="s">
        <v>428</v>
      </c>
      <c r="H215" t="s">
        <v>326</v>
      </c>
      <c r="I215" s="13">
        <f>INDEX(Foderstater!$U$56:$AD$83,MATCH(E215,Foderstater!$R$56:$R$83,0),MATCH(A215&amp;C215&amp;D215,Foderstater!$U$55:$AD$55,0))</f>
        <v>0</v>
      </c>
      <c r="J215" s="159"/>
      <c r="K215" s="159"/>
    </row>
    <row r="216" spans="1:12" x14ac:dyDescent="0.25">
      <c r="A216" t="s">
        <v>2</v>
      </c>
      <c r="E216" t="s">
        <v>425</v>
      </c>
      <c r="H216" t="s">
        <v>326</v>
      </c>
      <c r="I216" s="2">
        <f>INDEX(Foderstater!$U$56:$AD$83,MATCH(E216,Foderstater!$R$56:$R$83,0),MATCH(A216&amp;C216&amp;D216,Foderstater!$U$55:$AD$55,0))</f>
        <v>38.884638191900635</v>
      </c>
      <c r="J216" s="159"/>
      <c r="K216" s="159"/>
    </row>
    <row r="217" spans="1:12" x14ac:dyDescent="0.25">
      <c r="A217" t="s">
        <v>2</v>
      </c>
      <c r="E217" t="s">
        <v>395</v>
      </c>
      <c r="H217" t="s">
        <v>326</v>
      </c>
      <c r="I217" s="13">
        <f>INDEX(Foderstater!$U$56:$AD$83,MATCH(E217,Foderstater!$R$56:$R$83,0),MATCH(A217&amp;C217&amp;D217,Foderstater!$U$55:$AD$55,0))</f>
        <v>1.1628177607947425</v>
      </c>
      <c r="J217" s="159"/>
      <c r="K217" s="159"/>
    </row>
    <row r="218" spans="1:12" x14ac:dyDescent="0.25">
      <c r="A218" t="s">
        <v>2</v>
      </c>
      <c r="E218" t="s">
        <v>513</v>
      </c>
      <c r="H218" t="s">
        <v>326</v>
      </c>
      <c r="I218" s="13">
        <f>INDEX(Foderstater!$U$56:$AD$83,MATCH(E218,Foderstater!$R$56:$R$83,0),MATCH(A218&amp;C218&amp;D218,Foderstater!$U$55:$AD$55,0))</f>
        <v>0.80563895711258293</v>
      </c>
      <c r="J218" s="159"/>
      <c r="K218" s="159"/>
    </row>
    <row r="219" spans="1:12" x14ac:dyDescent="0.25">
      <c r="A219" t="s">
        <v>2</v>
      </c>
      <c r="E219" t="s">
        <v>429</v>
      </c>
      <c r="H219" t="s">
        <v>326</v>
      </c>
      <c r="I219" s="2">
        <f>INDEX(Foderstater!$U$56:$AD$83,MATCH(E219,Foderstater!$R$56:$R$83,0),MATCH(A219&amp;C219&amp;D219,Foderstater!$U$55:$AD$55,0))</f>
        <v>2.2520471552888917</v>
      </c>
      <c r="J219" s="159"/>
      <c r="K219" s="159"/>
    </row>
    <row r="220" spans="1:12" x14ac:dyDescent="0.25">
      <c r="A220" t="s">
        <v>2</v>
      </c>
      <c r="E220" t="s">
        <v>469</v>
      </c>
      <c r="H220" t="s">
        <v>326</v>
      </c>
      <c r="I220" s="13">
        <f>INDEX(Foderstater!$U$56:$AD$83,MATCH(E220,Foderstater!$R$56:$R$83,0),MATCH(A220&amp;C220&amp;D220,Foderstater!$U$55:$AD$55,0))</f>
        <v>0.46540574926935496</v>
      </c>
      <c r="J220" s="159"/>
      <c r="K220" s="159"/>
    </row>
    <row r="221" spans="1:12" x14ac:dyDescent="0.25">
      <c r="A221" t="s">
        <v>2</v>
      </c>
      <c r="E221" t="s">
        <v>498</v>
      </c>
      <c r="H221" t="s">
        <v>326</v>
      </c>
      <c r="I221" s="13">
        <f>INDEX(Foderstater!$U$56:$AD$83,MATCH(E221,Foderstater!$R$56:$R$83,0),MATCH(A221&amp;C221&amp;D221,Foderstater!$U$55:$AD$55,0))</f>
        <v>0</v>
      </c>
      <c r="J221" s="159"/>
      <c r="K221" s="159"/>
    </row>
    <row r="222" spans="1:12" x14ac:dyDescent="0.25">
      <c r="A222" t="s">
        <v>2</v>
      </c>
      <c r="E222" t="s">
        <v>499</v>
      </c>
      <c r="H222" t="s">
        <v>326</v>
      </c>
      <c r="I222" s="13">
        <f>INDEX(Foderstater!$U$56:$AD$83,MATCH(E222,Foderstater!$R$56:$R$83,0),MATCH(A222&amp;C222&amp;D222,Foderstater!$U$55:$AD$55,0))</f>
        <v>1.2526016891559834E-2</v>
      </c>
      <c r="J222" s="159"/>
      <c r="K222" s="159"/>
    </row>
    <row r="223" spans="1:12" x14ac:dyDescent="0.25">
      <c r="A223" t="s">
        <v>2</v>
      </c>
      <c r="E223" t="s">
        <v>468</v>
      </c>
      <c r="H223" t="s">
        <v>326</v>
      </c>
      <c r="I223" s="13">
        <f>INDEX(Foderstater!$U$56:$AD$83,MATCH(E223,Foderstater!$R$56:$R$83,0),MATCH(A223&amp;C223&amp;D223,Foderstater!$U$55:$AD$55,0))</f>
        <v>3.6613311294760156E-2</v>
      </c>
      <c r="J223" s="159"/>
      <c r="K223" s="159"/>
    </row>
    <row r="224" spans="1:12" x14ac:dyDescent="0.25">
      <c r="A224" t="s">
        <v>2</v>
      </c>
      <c r="E224" t="s">
        <v>502</v>
      </c>
      <c r="H224" t="s">
        <v>326</v>
      </c>
      <c r="I224" s="13">
        <f>INDEX(Foderstater!$U$56:$AD$83,MATCH(E224,Foderstater!$R$56:$R$83,0),MATCH(A224&amp;C224&amp;D224,Foderstater!$U$55:$AD$55,0))</f>
        <v>4.6849990217144546E-2</v>
      </c>
      <c r="J224" s="159"/>
      <c r="K224" s="159"/>
    </row>
    <row r="225" spans="1:12" x14ac:dyDescent="0.25">
      <c r="A225" t="s">
        <v>2</v>
      </c>
      <c r="E225" t="s">
        <v>504</v>
      </c>
      <c r="H225" t="s">
        <v>326</v>
      </c>
      <c r="I225" s="13">
        <f>INDEX(Foderstater!$U$56:$AD$83,MATCH(E225,Foderstater!$R$56:$R$83,0),MATCH(A225&amp;C225&amp;D225,Foderstater!$U$55:$AD$55,0))</f>
        <v>0.2108384115790605</v>
      </c>
      <c r="J225" s="159"/>
      <c r="K225" s="159"/>
    </row>
    <row r="226" spans="1:12" x14ac:dyDescent="0.25">
      <c r="A226" t="s">
        <v>2</v>
      </c>
      <c r="E226" t="s">
        <v>431</v>
      </c>
      <c r="H226" t="s">
        <v>326</v>
      </c>
      <c r="I226" s="13">
        <f>INDEX(Foderstater!$U$56:$AD$83,MATCH(E226,Foderstater!$R$56:$R$83,0),MATCH(A226&amp;C226&amp;D226,Foderstater!$U$55:$AD$55,0))</f>
        <v>5.9286219889310578E-2</v>
      </c>
      <c r="J226" s="159"/>
      <c r="K226" s="159"/>
    </row>
    <row r="227" spans="1:12" x14ac:dyDescent="0.25">
      <c r="A227" t="s">
        <v>2</v>
      </c>
      <c r="E227" t="s">
        <v>435</v>
      </c>
      <c r="H227" t="s">
        <v>326</v>
      </c>
      <c r="I227" s="13">
        <f>INDEX(Foderstater!$U$56:$AD$83,MATCH(E227,Foderstater!$R$56:$R$83,0),MATCH(A227&amp;C227&amp;D227,Foderstater!$U$55:$AD$55,0))</f>
        <v>0.14123349371605412</v>
      </c>
      <c r="J227" s="159"/>
      <c r="K227" s="159"/>
    </row>
    <row r="228" spans="1:12" x14ac:dyDescent="0.25">
      <c r="A228" t="s">
        <v>2</v>
      </c>
      <c r="E228" t="s">
        <v>500</v>
      </c>
      <c r="H228" t="s">
        <v>326</v>
      </c>
      <c r="I228" s="13">
        <f>INDEX(Foderstater!$U$56:$AD$83,MATCH(E228,Foderstater!$R$56:$R$83,0),MATCH(A228&amp;C228&amp;D228,Foderstater!$U$55:$AD$55,0))</f>
        <v>4.8120405221367048E-2</v>
      </c>
      <c r="J228" s="159"/>
      <c r="K228" s="159"/>
    </row>
    <row r="229" spans="1:12" x14ac:dyDescent="0.25">
      <c r="A229" t="s">
        <v>2</v>
      </c>
      <c r="E229" t="s">
        <v>501</v>
      </c>
      <c r="H229" t="s">
        <v>326</v>
      </c>
      <c r="I229" s="13">
        <f>INDEX(Foderstater!$U$56:$AD$83,MATCH(E229,Foderstater!$R$56:$R$83,0),MATCH(A229&amp;C229&amp;D229,Foderstater!$U$55:$AD$55,0))</f>
        <v>2.4336595854647348E-2</v>
      </c>
      <c r="J229" s="159"/>
      <c r="K229" s="159"/>
    </row>
    <row r="230" spans="1:12" x14ac:dyDescent="0.25">
      <c r="A230" t="s">
        <v>2</v>
      </c>
      <c r="E230" t="s">
        <v>503</v>
      </c>
      <c r="H230" t="s">
        <v>326</v>
      </c>
      <c r="I230" s="13">
        <f>INDEX(Foderstater!$U$56:$AD$83,MATCH(E230,Foderstater!$R$56:$R$83,0),MATCH(A230&amp;C230&amp;D230,Foderstater!$U$55:$AD$55,0))</f>
        <v>6.1829219661059011E-2</v>
      </c>
      <c r="J230" s="159"/>
      <c r="K230" s="159"/>
    </row>
    <row r="231" spans="1:12" x14ac:dyDescent="0.25">
      <c r="A231" t="s">
        <v>2</v>
      </c>
      <c r="E231" t="s">
        <v>430</v>
      </c>
      <c r="H231" t="s">
        <v>326</v>
      </c>
      <c r="I231" s="13">
        <f>INDEX(Foderstater!$U$56:$AD$83,MATCH(E231,Foderstater!$R$56:$R$83,0),MATCH(A231&amp;C231&amp;D231,Foderstater!$U$55:$AD$55,0))</f>
        <v>0.16777081974076891</v>
      </c>
      <c r="J231" s="159"/>
      <c r="K231" s="159"/>
    </row>
    <row r="232" spans="1:12" x14ac:dyDescent="0.25">
      <c r="A232" t="s">
        <v>2</v>
      </c>
      <c r="E232" t="s">
        <v>505</v>
      </c>
      <c r="H232" t="s">
        <v>326</v>
      </c>
      <c r="I232" s="13">
        <f>INDEX(Foderstater!$U$56:$AD$83,MATCH(E232,Foderstater!$R$56:$R$83,0),MATCH(A232&amp;C232&amp;D232,Foderstater!$U$55:$AD$55,0))</f>
        <v>6.0428236146649909E-3</v>
      </c>
    </row>
    <row r="233" spans="1:12" x14ac:dyDescent="0.25">
      <c r="A233" t="s">
        <v>2</v>
      </c>
      <c r="E233" t="s">
        <v>506</v>
      </c>
      <c r="H233" t="s">
        <v>326</v>
      </c>
      <c r="I233" s="13">
        <f>INDEX(Foderstater!$U$56:$AD$83,MATCH(E233,Foderstater!$R$56:$R$83,0),MATCH(A233&amp;C233&amp;D233,Foderstater!$U$55:$AD$55,0))</f>
        <v>3.7471242902802114E-3</v>
      </c>
    </row>
    <row r="234" spans="1:12" x14ac:dyDescent="0.25">
      <c r="A234" t="s">
        <v>2</v>
      </c>
      <c r="E234" t="s">
        <v>507</v>
      </c>
      <c r="H234" t="s">
        <v>326</v>
      </c>
      <c r="I234" s="13">
        <f>INDEX(Foderstater!$U$56:$AD$83,MATCH(E234,Foderstater!$R$56:$R$83,0),MATCH(A234&amp;C234&amp;D234,Foderstater!$U$55:$AD$55,0))</f>
        <v>4.1634714336446778E-4</v>
      </c>
    </row>
    <row r="235" spans="1:12" x14ac:dyDescent="0.25">
      <c r="A235" t="s">
        <v>2</v>
      </c>
      <c r="E235" t="s">
        <v>508</v>
      </c>
      <c r="H235" t="s">
        <v>326</v>
      </c>
      <c r="I235" s="13">
        <f>INDEX(Foderstater!$U$56:$AD$83,MATCH(E235,Foderstater!$R$56:$R$83,0),MATCH(A235&amp;C235&amp;D235,Foderstater!$U$55:$AD$55,0))</f>
        <v>3.4455814901696358E-2</v>
      </c>
    </row>
    <row r="236" spans="1:12" x14ac:dyDescent="0.25">
      <c r="A236" t="s">
        <v>2</v>
      </c>
      <c r="E236" t="s">
        <v>452</v>
      </c>
      <c r="H236" t="s">
        <v>326</v>
      </c>
      <c r="I236" s="13">
        <f>INDEX(Foderstater!$U$56:$AD$83,MATCH(E236,Foderstater!$R$56:$R$83,0),MATCH(A236&amp;C236&amp;D236,Foderstater!$U$55:$AD$55,0))</f>
        <v>6.4147659339548135E-2</v>
      </c>
    </row>
    <row r="237" spans="1:12" x14ac:dyDescent="0.25">
      <c r="A237" t="s">
        <v>2</v>
      </c>
      <c r="E237" t="s">
        <v>434</v>
      </c>
      <c r="H237" t="s">
        <v>326</v>
      </c>
      <c r="I237" s="13">
        <f>INDEX(Foderstater!$U$56:$AD$83,MATCH(E237,Foderstater!$R$56:$R$83,0),MATCH(A237&amp;C237&amp;D237,Foderstater!$U$55:$AD$55,0))</f>
        <v>6.2754720213588133E-2</v>
      </c>
    </row>
    <row r="238" spans="1:12" x14ac:dyDescent="0.25">
      <c r="A238" t="s">
        <v>2</v>
      </c>
      <c r="E238" t="s">
        <v>509</v>
      </c>
      <c r="H238" t="s">
        <v>326</v>
      </c>
      <c r="I238" s="13">
        <f>INDEX(Foderstater!$U$56:$AD$83,MATCH(E238,Foderstater!$R$56:$R$83,0),MATCH(A238&amp;C238&amp;D238,Foderstater!$U$55:$AD$55,0))</f>
        <v>3.4863733451993388E-2</v>
      </c>
    </row>
    <row r="240" spans="1:12" x14ac:dyDescent="0.25">
      <c r="A240" s="81" t="s">
        <v>86</v>
      </c>
      <c r="B240" s="48"/>
      <c r="C240" s="48"/>
      <c r="D240" s="49"/>
      <c r="E240" s="49"/>
      <c r="F240" s="49"/>
      <c r="G240" s="49"/>
      <c r="H240" s="49"/>
      <c r="I240" s="162"/>
      <c r="J240" s="49"/>
      <c r="K240" s="49"/>
      <c r="L240" s="49"/>
    </row>
    <row r="241" spans="1:11" x14ac:dyDescent="0.25">
      <c r="A241" s="159" t="s">
        <v>2</v>
      </c>
      <c r="B241" s="159"/>
      <c r="C241" s="159"/>
      <c r="D241" s="159" t="s">
        <v>35</v>
      </c>
      <c r="H241" s="159" t="s">
        <v>326</v>
      </c>
      <c r="I241" s="159">
        <v>0</v>
      </c>
      <c r="J241" s="159"/>
      <c r="K241" s="159" t="s">
        <v>426</v>
      </c>
    </row>
    <row r="242" spans="1:11" x14ac:dyDescent="0.25">
      <c r="A242" t="s">
        <v>2</v>
      </c>
      <c r="D242" s="110" t="s">
        <v>35</v>
      </c>
      <c r="E242" t="s">
        <v>436</v>
      </c>
      <c r="H242" t="s">
        <v>326</v>
      </c>
      <c r="I242" s="2">
        <f>INDEX(Foderstater!$U$56:$AD$83,MATCH(E242,Foderstater!$R$56:$R$83,0),MATCH(A242&amp;C242&amp;D242,Foderstater!$U$55:$AD$55,0))</f>
        <v>65.282988689132509</v>
      </c>
      <c r="J242" s="159"/>
      <c r="K242" s="159"/>
    </row>
    <row r="243" spans="1:11" x14ac:dyDescent="0.25">
      <c r="A243" t="s">
        <v>2</v>
      </c>
      <c r="D243" s="110" t="s">
        <v>35</v>
      </c>
      <c r="E243" t="s">
        <v>437</v>
      </c>
      <c r="H243" t="s">
        <v>326</v>
      </c>
      <c r="I243" s="13">
        <f>INDEX(Foderstater!$U$56:$AD$83,MATCH(E243,Foderstater!$R$56:$R$83,0),MATCH(A243&amp;C243&amp;D243,Foderstater!$U$55:$AD$55,0))</f>
        <v>0</v>
      </c>
      <c r="J243" s="159"/>
      <c r="K243" s="159"/>
    </row>
    <row r="244" spans="1:11" x14ac:dyDescent="0.25">
      <c r="A244" t="s">
        <v>2</v>
      </c>
      <c r="D244" s="110" t="s">
        <v>35</v>
      </c>
      <c r="E244" t="s">
        <v>438</v>
      </c>
      <c r="H244" t="s">
        <v>326</v>
      </c>
      <c r="I244" s="13">
        <f>INDEX(Foderstater!$U$56:$AD$83,MATCH(E244,Foderstater!$R$56:$R$83,0),MATCH(A244&amp;C244&amp;D244,Foderstater!$U$55:$AD$55,0))</f>
        <v>0</v>
      </c>
      <c r="J244" s="159"/>
      <c r="K244" s="159"/>
    </row>
    <row r="245" spans="1:11" x14ac:dyDescent="0.25">
      <c r="A245" t="s">
        <v>2</v>
      </c>
      <c r="D245" s="110" t="s">
        <v>35</v>
      </c>
      <c r="E245" t="s">
        <v>433</v>
      </c>
      <c r="H245" t="s">
        <v>326</v>
      </c>
      <c r="I245" s="13">
        <f>INDEX(Foderstater!$U$56:$AD$83,MATCH(E245,Foderstater!$R$56:$R$83,0),MATCH(A245&amp;C245&amp;D245,Foderstater!$U$55:$AD$55,0))</f>
        <v>0</v>
      </c>
      <c r="J245" s="159"/>
      <c r="K245" s="159"/>
    </row>
    <row r="246" spans="1:11" x14ac:dyDescent="0.25">
      <c r="A246" t="s">
        <v>2</v>
      </c>
      <c r="D246" s="110" t="s">
        <v>35</v>
      </c>
      <c r="E246" t="s">
        <v>428</v>
      </c>
      <c r="H246" t="s">
        <v>326</v>
      </c>
      <c r="I246" s="13">
        <f>INDEX(Foderstater!$U$56:$AD$83,MATCH(E246,Foderstater!$R$56:$R$83,0),MATCH(A246&amp;C246&amp;D246,Foderstater!$U$55:$AD$55,0))</f>
        <v>0</v>
      </c>
      <c r="J246" s="159"/>
      <c r="K246" s="159"/>
    </row>
    <row r="247" spans="1:11" x14ac:dyDescent="0.25">
      <c r="A247" t="s">
        <v>2</v>
      </c>
      <c r="D247" s="110" t="s">
        <v>35</v>
      </c>
      <c r="E247" t="s">
        <v>425</v>
      </c>
      <c r="H247" t="s">
        <v>326</v>
      </c>
      <c r="I247" s="2">
        <f>INDEX(Foderstater!$U$56:$AD$83,MATCH(E247,Foderstater!$R$56:$R$83,0),MATCH(A247&amp;C247&amp;D247,Foderstater!$U$55:$AD$55,0))</f>
        <v>0</v>
      </c>
      <c r="J247" s="159"/>
      <c r="K247" s="159"/>
    </row>
    <row r="248" spans="1:11" x14ac:dyDescent="0.25">
      <c r="A248" t="s">
        <v>2</v>
      </c>
      <c r="D248" s="110" t="s">
        <v>35</v>
      </c>
      <c r="E248" t="s">
        <v>395</v>
      </c>
      <c r="H248" t="s">
        <v>326</v>
      </c>
      <c r="I248" s="13">
        <f>INDEX(Foderstater!$U$56:$AD$83,MATCH(E248,Foderstater!$R$56:$R$83,0),MATCH(A248&amp;C248&amp;D248,Foderstater!$U$55:$AD$55,0))</f>
        <v>7.0130888477159132</v>
      </c>
      <c r="J248" s="159"/>
      <c r="K248" s="159"/>
    </row>
    <row r="249" spans="1:11" x14ac:dyDescent="0.25">
      <c r="A249" t="s">
        <v>2</v>
      </c>
      <c r="D249" s="110" t="s">
        <v>35</v>
      </c>
      <c r="E249" t="s">
        <v>513</v>
      </c>
      <c r="H249" t="s">
        <v>326</v>
      </c>
      <c r="I249" s="13">
        <f>INDEX(Foderstater!$U$56:$AD$83,MATCH(E249,Foderstater!$R$56:$R$83,0),MATCH(A249&amp;C249&amp;D249,Foderstater!$U$55:$AD$55,0))</f>
        <v>5.2164760725210764</v>
      </c>
      <c r="J249" s="159"/>
      <c r="K249" s="159"/>
    </row>
    <row r="250" spans="1:11" x14ac:dyDescent="0.25">
      <c r="A250" t="s">
        <v>2</v>
      </c>
      <c r="D250" s="110" t="s">
        <v>35</v>
      </c>
      <c r="E250" t="s">
        <v>429</v>
      </c>
      <c r="H250" t="s">
        <v>326</v>
      </c>
      <c r="I250" s="2">
        <f>INDEX(Foderstater!$U$56:$AD$83,MATCH(E250,Foderstater!$R$56:$R$83,0),MATCH(A250&amp;C250&amp;D250,Foderstater!$U$55:$AD$55,0))</f>
        <v>13.991446516700695</v>
      </c>
      <c r="J250" s="159"/>
      <c r="K250" s="159"/>
    </row>
    <row r="251" spans="1:11" x14ac:dyDescent="0.25">
      <c r="A251" t="s">
        <v>2</v>
      </c>
      <c r="D251" s="110" t="s">
        <v>35</v>
      </c>
      <c r="E251" t="s">
        <v>469</v>
      </c>
      <c r="H251" t="s">
        <v>326</v>
      </c>
      <c r="I251" s="13">
        <f>INDEX(Foderstater!$U$56:$AD$83,MATCH(E251,Foderstater!$R$56:$R$83,0),MATCH(A251&amp;C251&amp;D251,Foderstater!$U$55:$AD$55,0))</f>
        <v>2.8914579493482573</v>
      </c>
      <c r="J251" s="159"/>
      <c r="K251" s="159"/>
    </row>
    <row r="252" spans="1:11" x14ac:dyDescent="0.25">
      <c r="A252" t="s">
        <v>2</v>
      </c>
      <c r="D252" s="110" t="s">
        <v>35</v>
      </c>
      <c r="E252" t="s">
        <v>498</v>
      </c>
      <c r="H252" t="s">
        <v>326</v>
      </c>
      <c r="I252" s="13">
        <f>INDEX(Foderstater!$U$56:$AD$83,MATCH(E252,Foderstater!$R$56:$R$83,0),MATCH(A252&amp;C252&amp;D252,Foderstater!$U$55:$AD$55,0))</f>
        <v>0</v>
      </c>
      <c r="J252" s="159"/>
      <c r="K252" s="159"/>
    </row>
    <row r="253" spans="1:11" x14ac:dyDescent="0.25">
      <c r="A253" t="s">
        <v>2</v>
      </c>
      <c r="D253" s="110" t="s">
        <v>35</v>
      </c>
      <c r="E253" t="s">
        <v>499</v>
      </c>
      <c r="H253" t="s">
        <v>326</v>
      </c>
      <c r="I253" s="13">
        <f>INDEX(Foderstater!$U$56:$AD$83,MATCH(E253,Foderstater!$R$56:$R$83,0),MATCH(A253&amp;C253&amp;D253,Foderstater!$U$55:$AD$55,0))</f>
        <v>3.7516786382972102E-2</v>
      </c>
      <c r="J253" s="159"/>
      <c r="K253" s="159"/>
    </row>
    <row r="254" spans="1:11" x14ac:dyDescent="0.25">
      <c r="A254" t="s">
        <v>2</v>
      </c>
      <c r="D254" s="110" t="s">
        <v>35</v>
      </c>
      <c r="E254" t="s">
        <v>468</v>
      </c>
      <c r="H254" t="s">
        <v>326</v>
      </c>
      <c r="I254" s="13">
        <f>INDEX(Foderstater!$U$56:$AD$83,MATCH(E254,Foderstater!$R$56:$R$83,0),MATCH(A254&amp;C254&amp;D254,Foderstater!$U$55:$AD$55,0))</f>
        <v>1.4240390174797204</v>
      </c>
      <c r="J254" s="159"/>
      <c r="K254" s="159"/>
    </row>
    <row r="255" spans="1:11" x14ac:dyDescent="0.25">
      <c r="A255" t="s">
        <v>2</v>
      </c>
      <c r="D255" s="110" t="s">
        <v>35</v>
      </c>
      <c r="E255" t="s">
        <v>502</v>
      </c>
      <c r="H255" t="s">
        <v>326</v>
      </c>
      <c r="I255" s="13">
        <f>INDEX(Foderstater!$U$56:$AD$83,MATCH(E255,Foderstater!$R$56:$R$83,0),MATCH(A255&amp;C255&amp;D255,Foderstater!$U$55:$AD$55,0))</f>
        <v>1.38795487532739</v>
      </c>
      <c r="J255" s="159"/>
      <c r="K255" s="159"/>
    </row>
    <row r="256" spans="1:11" x14ac:dyDescent="0.25">
      <c r="A256" t="s">
        <v>2</v>
      </c>
      <c r="D256" s="110" t="s">
        <v>35</v>
      </c>
      <c r="E256" t="s">
        <v>504</v>
      </c>
      <c r="H256" t="s">
        <v>326</v>
      </c>
      <c r="I256" s="13">
        <f>INDEX(Foderstater!$U$56:$AD$83,MATCH(E256,Foderstater!$R$56:$R$83,0),MATCH(A256&amp;C256&amp;D256,Foderstater!$U$55:$AD$55,0))</f>
        <v>0.63148403175686241</v>
      </c>
      <c r="J256" s="159"/>
      <c r="K256" s="159"/>
    </row>
    <row r="257" spans="1:11" x14ac:dyDescent="0.25">
      <c r="A257" t="s">
        <v>2</v>
      </c>
      <c r="D257" s="110" t="s">
        <v>35</v>
      </c>
      <c r="E257" t="s">
        <v>431</v>
      </c>
      <c r="H257" t="s">
        <v>326</v>
      </c>
      <c r="I257" s="13">
        <f>INDEX(Foderstater!$U$56:$AD$83,MATCH(E257,Foderstater!$R$56:$R$83,0),MATCH(A257&amp;C257&amp;D257,Foderstater!$U$55:$AD$55,0))</f>
        <v>0.17756869292902569</v>
      </c>
      <c r="J257" s="159"/>
      <c r="K257" s="159"/>
    </row>
    <row r="258" spans="1:11" x14ac:dyDescent="0.25">
      <c r="A258" t="s">
        <v>2</v>
      </c>
      <c r="D258" s="110" t="s">
        <v>35</v>
      </c>
      <c r="E258" t="s">
        <v>435</v>
      </c>
      <c r="H258" t="s">
        <v>326</v>
      </c>
      <c r="I258" s="13">
        <f>INDEX(Foderstater!$U$56:$AD$83,MATCH(E258,Foderstater!$R$56:$R$83,0),MATCH(A258&amp;C258&amp;D258,Foderstater!$U$55:$AD$55,0))</f>
        <v>0.42300971328214537</v>
      </c>
      <c r="J258" s="159"/>
      <c r="K258" s="159"/>
    </row>
    <row r="259" spans="1:11" x14ac:dyDescent="0.25">
      <c r="A259" t="s">
        <v>2</v>
      </c>
      <c r="D259" s="110" t="s">
        <v>35</v>
      </c>
      <c r="E259" t="s">
        <v>500</v>
      </c>
      <c r="H259" t="s">
        <v>326</v>
      </c>
      <c r="I259" s="13">
        <f>INDEX(Foderstater!$U$56:$AD$83,MATCH(E259,Foderstater!$R$56:$R$83,0),MATCH(A259&amp;C259&amp;D259,Foderstater!$U$55:$AD$55,0))</f>
        <v>0.14412586051744264</v>
      </c>
      <c r="J259" s="159"/>
      <c r="K259" s="159"/>
    </row>
    <row r="260" spans="1:11" x14ac:dyDescent="0.25">
      <c r="A260" t="s">
        <v>2</v>
      </c>
      <c r="D260" s="110" t="s">
        <v>35</v>
      </c>
      <c r="E260" t="s">
        <v>501</v>
      </c>
      <c r="H260" t="s">
        <v>326</v>
      </c>
      <c r="I260" s="13">
        <f>INDEX(Foderstater!$U$56:$AD$83,MATCH(E260,Foderstater!$R$56:$R$83,0),MATCH(A260&amp;C260&amp;D260,Foderstater!$U$55:$AD$55,0))</f>
        <v>7.2890758161338512E-2</v>
      </c>
      <c r="J260" s="159"/>
      <c r="K260" s="159"/>
    </row>
    <row r="261" spans="1:11" x14ac:dyDescent="0.25">
      <c r="A261" t="s">
        <v>2</v>
      </c>
      <c r="D261" s="110" t="s">
        <v>35</v>
      </c>
      <c r="E261" t="s">
        <v>503</v>
      </c>
      <c r="H261" t="s">
        <v>326</v>
      </c>
      <c r="I261" s="13">
        <f>INDEX(Foderstater!$U$56:$AD$83,MATCH(E261,Foderstater!$R$56:$R$83,0),MATCH(A261&amp;C261&amp;D261,Foderstater!$U$55:$AD$55,0))</f>
        <v>0.18518525452514792</v>
      </c>
      <c r="J261" s="159"/>
      <c r="K261" s="159"/>
    </row>
    <row r="262" spans="1:11" x14ac:dyDescent="0.25">
      <c r="A262" t="s">
        <v>2</v>
      </c>
      <c r="D262" s="110" t="s">
        <v>35</v>
      </c>
      <c r="E262" t="s">
        <v>430</v>
      </c>
      <c r="H262" t="s">
        <v>326</v>
      </c>
      <c r="I262" s="13">
        <f>INDEX(Foderstater!$U$56:$AD$83,MATCH(E262,Foderstater!$R$56:$R$83,0),MATCH(A262&amp;C262&amp;D262,Foderstater!$U$55:$AD$55,0))</f>
        <v>0.50249189826270002</v>
      </c>
      <c r="J262" s="159"/>
      <c r="K262" s="159"/>
    </row>
    <row r="263" spans="1:11" x14ac:dyDescent="0.25">
      <c r="A263" t="s">
        <v>2</v>
      </c>
      <c r="D263" s="110" t="s">
        <v>35</v>
      </c>
      <c r="E263" t="s">
        <v>505</v>
      </c>
      <c r="H263" t="s">
        <v>326</v>
      </c>
      <c r="I263" s="13">
        <f>INDEX(Foderstater!$U$56:$AD$83,MATCH(E263,Foderstater!$R$56:$R$83,0),MATCH(A263&amp;C263&amp;D263,Foderstater!$U$55:$AD$55,0))</f>
        <v>1.8098915614118617E-2</v>
      </c>
    </row>
    <row r="264" spans="1:11" x14ac:dyDescent="0.25">
      <c r="A264" t="s">
        <v>2</v>
      </c>
      <c r="D264" s="110" t="s">
        <v>35</v>
      </c>
      <c r="E264" t="s">
        <v>506</v>
      </c>
      <c r="H264" t="s">
        <v>326</v>
      </c>
      <c r="I264" s="13">
        <f>INDEX(Foderstater!$U$56:$AD$83,MATCH(E264,Foderstater!$R$56:$R$83,0),MATCH(A264&amp;C264&amp;D264,Foderstater!$U$55:$AD$55,0))</f>
        <v>1.1223045822620041E-2</v>
      </c>
    </row>
    <row r="265" spans="1:11" x14ac:dyDescent="0.25">
      <c r="A265" t="s">
        <v>2</v>
      </c>
      <c r="D265" s="110" t="s">
        <v>35</v>
      </c>
      <c r="E265" t="s">
        <v>507</v>
      </c>
      <c r="H265" t="s">
        <v>326</v>
      </c>
      <c r="I265" s="13">
        <f>INDEX(Foderstater!$U$56:$AD$83,MATCH(E265,Foderstater!$R$56:$R$83,0),MATCH(A265&amp;C265&amp;D265,Foderstater!$U$55:$AD$55,0))</f>
        <v>1.2470050914022261E-3</v>
      </c>
    </row>
    <row r="266" spans="1:11" x14ac:dyDescent="0.25">
      <c r="A266" t="s">
        <v>2</v>
      </c>
      <c r="D266" s="110" t="s">
        <v>35</v>
      </c>
      <c r="E266" t="s">
        <v>508</v>
      </c>
      <c r="H266" t="s">
        <v>326</v>
      </c>
      <c r="I266" s="13">
        <f>INDEX(Foderstater!$U$56:$AD$83,MATCH(E266,Foderstater!$R$56:$R$83,0),MATCH(A266&amp;C266&amp;D266,Foderstater!$U$55:$AD$55,0))</f>
        <v>0.10319892257124332</v>
      </c>
    </row>
    <row r="267" spans="1:11" x14ac:dyDescent="0.25">
      <c r="A267" t="s">
        <v>2</v>
      </c>
      <c r="D267" s="110" t="s">
        <v>35</v>
      </c>
      <c r="E267" t="s">
        <v>452</v>
      </c>
      <c r="H267" t="s">
        <v>326</v>
      </c>
      <c r="I267" s="13">
        <f>INDEX(Foderstater!$U$56:$AD$83,MATCH(E267,Foderstater!$R$56:$R$83,0),MATCH(A267&amp;C267&amp;D267,Foderstater!$U$55:$AD$55,0))</f>
        <v>0.19212923415671709</v>
      </c>
    </row>
    <row r="268" spans="1:11" x14ac:dyDescent="0.25">
      <c r="A268" t="s">
        <v>2</v>
      </c>
      <c r="D268" s="110" t="s">
        <v>35</v>
      </c>
      <c r="E268" t="s">
        <v>434</v>
      </c>
      <c r="H268" t="s">
        <v>326</v>
      </c>
      <c r="I268" s="13">
        <f>INDEX(Foderstater!$U$56:$AD$83,MATCH(E268,Foderstater!$R$56:$R$83,0),MATCH(A268&amp;C268&amp;D268,Foderstater!$U$55:$AD$55,0))</f>
        <v>0.1879572295932922</v>
      </c>
    </row>
    <row r="269" spans="1:11" x14ac:dyDescent="0.25">
      <c r="A269" t="s">
        <v>2</v>
      </c>
      <c r="D269" s="110" t="s">
        <v>35</v>
      </c>
      <c r="E269" t="s">
        <v>509</v>
      </c>
      <c r="H269" t="s">
        <v>326</v>
      </c>
      <c r="I269" s="13">
        <f>INDEX(Foderstater!$U$56:$AD$83,MATCH(E269,Foderstater!$R$56:$R$83,0),MATCH(A269&amp;C269&amp;D269,Foderstater!$U$55:$AD$55,0))</f>
        <v>0.10442068310738449</v>
      </c>
    </row>
    <row r="270" spans="1:11" x14ac:dyDescent="0.25">
      <c r="A270" s="159"/>
      <c r="B270" s="159"/>
      <c r="C270" s="159"/>
      <c r="D270" s="159"/>
      <c r="H270" s="159"/>
      <c r="I270" s="159"/>
      <c r="J270" s="159"/>
      <c r="K270" s="159"/>
    </row>
    <row r="271" spans="1:11" x14ac:dyDescent="0.25">
      <c r="A271" s="159" t="s">
        <v>2</v>
      </c>
      <c r="B271" s="159"/>
      <c r="C271" s="159" t="s">
        <v>432</v>
      </c>
      <c r="D271" s="159" t="s">
        <v>35</v>
      </c>
      <c r="H271" s="159" t="s">
        <v>326</v>
      </c>
      <c r="I271" s="159">
        <v>0</v>
      </c>
      <c r="J271" s="159"/>
      <c r="K271" s="159" t="s">
        <v>426</v>
      </c>
    </row>
    <row r="272" spans="1:11" x14ac:dyDescent="0.25">
      <c r="A272" t="s">
        <v>2</v>
      </c>
      <c r="C272" t="s">
        <v>432</v>
      </c>
      <c r="D272" s="110" t="s">
        <v>35</v>
      </c>
      <c r="E272" t="s">
        <v>436</v>
      </c>
      <c r="H272" t="s">
        <v>326</v>
      </c>
      <c r="I272" s="2">
        <f>INDEX(Foderstater!$U$56:$AD$83,MATCH(E272,Foderstater!$R$56:$R$83,0),MATCH(A272&amp;C272&amp;D272,Foderstater!$U$55:$AD$55,0))</f>
        <v>56.862458601207877</v>
      </c>
      <c r="J272" s="159"/>
      <c r="K272" s="159"/>
    </row>
    <row r="273" spans="1:11" x14ac:dyDescent="0.25">
      <c r="A273" t="s">
        <v>2</v>
      </c>
      <c r="C273" t="s">
        <v>432</v>
      </c>
      <c r="D273" s="110" t="s">
        <v>35</v>
      </c>
      <c r="E273" t="s">
        <v>437</v>
      </c>
      <c r="H273" t="s">
        <v>326</v>
      </c>
      <c r="I273" s="13">
        <f>INDEX(Foderstater!$U$56:$AD$83,MATCH(E273,Foderstater!$R$56:$R$83,0),MATCH(A273&amp;C273&amp;D273,Foderstater!$U$55:$AD$55,0))</f>
        <v>0</v>
      </c>
      <c r="J273" s="159"/>
      <c r="K273" s="159"/>
    </row>
    <row r="274" spans="1:11" x14ac:dyDescent="0.25">
      <c r="A274" t="s">
        <v>2</v>
      </c>
      <c r="C274" t="s">
        <v>432</v>
      </c>
      <c r="D274" s="110" t="s">
        <v>35</v>
      </c>
      <c r="E274" t="s">
        <v>438</v>
      </c>
      <c r="H274" t="s">
        <v>326</v>
      </c>
      <c r="I274" s="13">
        <f>INDEX(Foderstater!$U$56:$AD$83,MATCH(E274,Foderstater!$R$56:$R$83,0),MATCH(A274&amp;C274&amp;D274,Foderstater!$U$55:$AD$55,0))</f>
        <v>0</v>
      </c>
      <c r="J274" s="159"/>
      <c r="K274" s="159"/>
    </row>
    <row r="275" spans="1:11" x14ac:dyDescent="0.25">
      <c r="A275" t="s">
        <v>2</v>
      </c>
      <c r="C275" t="s">
        <v>432</v>
      </c>
      <c r="D275" s="110" t="s">
        <v>35</v>
      </c>
      <c r="E275" t="s">
        <v>433</v>
      </c>
      <c r="H275" t="s">
        <v>326</v>
      </c>
      <c r="I275" s="13">
        <f>INDEX(Foderstater!$U$56:$AD$83,MATCH(E275,Foderstater!$R$56:$R$83,0),MATCH(A275&amp;C275&amp;D275,Foderstater!$U$55:$AD$55,0))</f>
        <v>13.271965712059227</v>
      </c>
      <c r="J275" s="159"/>
      <c r="K275" s="159"/>
    </row>
    <row r="276" spans="1:11" x14ac:dyDescent="0.25">
      <c r="A276" t="s">
        <v>2</v>
      </c>
      <c r="C276" t="s">
        <v>432</v>
      </c>
      <c r="D276" s="110" t="s">
        <v>35</v>
      </c>
      <c r="E276" t="s">
        <v>428</v>
      </c>
      <c r="H276" t="s">
        <v>326</v>
      </c>
      <c r="I276" s="13">
        <f>INDEX(Foderstater!$U$56:$AD$83,MATCH(E276,Foderstater!$R$56:$R$83,0),MATCH(A276&amp;C276&amp;D276,Foderstater!$U$55:$AD$55,0))</f>
        <v>0</v>
      </c>
      <c r="J276" s="159"/>
      <c r="K276" s="159"/>
    </row>
    <row r="277" spans="1:11" x14ac:dyDescent="0.25">
      <c r="A277" t="s">
        <v>2</v>
      </c>
      <c r="C277" t="s">
        <v>432</v>
      </c>
      <c r="D277" s="110" t="s">
        <v>35</v>
      </c>
      <c r="E277" t="s">
        <v>425</v>
      </c>
      <c r="H277" t="s">
        <v>326</v>
      </c>
      <c r="I277" s="2">
        <f>INDEX(Foderstater!$U$56:$AD$83,MATCH(E277,Foderstater!$R$56:$R$83,0),MATCH(A277&amp;C277&amp;D277,Foderstater!$U$55:$AD$55,0))</f>
        <v>0</v>
      </c>
      <c r="J277" s="159"/>
      <c r="K277" s="159"/>
    </row>
    <row r="278" spans="1:11" x14ac:dyDescent="0.25">
      <c r="A278" t="s">
        <v>2</v>
      </c>
      <c r="C278" t="s">
        <v>432</v>
      </c>
      <c r="D278" s="110" t="s">
        <v>35</v>
      </c>
      <c r="E278" t="s">
        <v>395</v>
      </c>
      <c r="H278" t="s">
        <v>326</v>
      </c>
      <c r="I278" s="13">
        <f>INDEX(Foderstater!$U$56:$AD$83,MATCH(E278,Foderstater!$R$56:$R$83,0),MATCH(A278&amp;C278&amp;D278,Foderstater!$U$55:$AD$55,0))</f>
        <v>6.6666574064662587</v>
      </c>
      <c r="J278" s="159"/>
      <c r="K278" s="159"/>
    </row>
    <row r="279" spans="1:11" x14ac:dyDescent="0.25">
      <c r="A279" t="s">
        <v>2</v>
      </c>
      <c r="C279" t="s">
        <v>432</v>
      </c>
      <c r="D279" s="110" t="s">
        <v>35</v>
      </c>
      <c r="E279" t="s">
        <v>513</v>
      </c>
      <c r="H279" t="s">
        <v>326</v>
      </c>
      <c r="I279" s="13">
        <f>INDEX(Foderstater!$U$56:$AD$83,MATCH(E279,Foderstater!$R$56:$R$83,0),MATCH(A279&amp;C279&amp;D279,Foderstater!$U$55:$AD$55,0))</f>
        <v>5.1991702356471148</v>
      </c>
      <c r="J279" s="159"/>
      <c r="K279" s="159"/>
    </row>
    <row r="280" spans="1:11" x14ac:dyDescent="0.25">
      <c r="A280" t="s">
        <v>2</v>
      </c>
      <c r="C280" t="s">
        <v>432</v>
      </c>
      <c r="D280" s="110" t="s">
        <v>35</v>
      </c>
      <c r="E280" t="s">
        <v>429</v>
      </c>
      <c r="H280" t="s">
        <v>326</v>
      </c>
      <c r="I280" s="2">
        <f>INDEX(Foderstater!$U$56:$AD$83,MATCH(E280,Foderstater!$R$56:$R$83,0),MATCH(A280&amp;C280&amp;D280,Foderstater!$U$55:$AD$55,0))</f>
        <v>13.575306555370148</v>
      </c>
      <c r="J280" s="159"/>
      <c r="K280" s="159"/>
    </row>
    <row r="281" spans="1:11" x14ac:dyDescent="0.25">
      <c r="A281" t="s">
        <v>2</v>
      </c>
      <c r="C281" t="s">
        <v>432</v>
      </c>
      <c r="D281" s="110" t="s">
        <v>35</v>
      </c>
      <c r="E281" t="s">
        <v>469</v>
      </c>
      <c r="H281" t="s">
        <v>326</v>
      </c>
      <c r="I281" s="13">
        <f>INDEX(Foderstater!$U$56:$AD$83,MATCH(E281,Foderstater!$R$56:$R$83,0),MATCH(A281&amp;C281&amp;D281,Foderstater!$U$55:$AD$55,0))</f>
        <v>2.8054588928679678</v>
      </c>
      <c r="J281" s="159"/>
      <c r="K281" s="159"/>
    </row>
    <row r="282" spans="1:11" x14ac:dyDescent="0.25">
      <c r="A282" t="s">
        <v>2</v>
      </c>
      <c r="C282" t="s">
        <v>432</v>
      </c>
      <c r="D282" s="110" t="s">
        <v>35</v>
      </c>
      <c r="E282" t="s">
        <v>498</v>
      </c>
      <c r="H282" t="s">
        <v>326</v>
      </c>
      <c r="I282" s="13">
        <f>INDEX(Foderstater!$U$56:$AD$83,MATCH(E282,Foderstater!$R$56:$R$83,0),MATCH(A282&amp;C282&amp;D282,Foderstater!$U$55:$AD$55,0))</f>
        <v>0</v>
      </c>
      <c r="J282" s="159"/>
      <c r="K282" s="159"/>
    </row>
    <row r="283" spans="1:11" x14ac:dyDescent="0.25">
      <c r="A283" t="s">
        <v>2</v>
      </c>
      <c r="C283" t="s">
        <v>432</v>
      </c>
      <c r="D283" s="110" t="s">
        <v>35</v>
      </c>
      <c r="E283" t="s">
        <v>499</v>
      </c>
      <c r="H283" t="s">
        <v>326</v>
      </c>
      <c r="I283" s="13">
        <f>INDEX(Foderstater!$U$56:$AD$83,MATCH(E283,Foderstater!$R$56:$R$83,0),MATCH(A283&amp;C283&amp;D283,Foderstater!$U$55:$AD$55,0))</f>
        <v>1.0098740539236407E-2</v>
      </c>
      <c r="J283" s="159"/>
      <c r="K283" s="159"/>
    </row>
    <row r="284" spans="1:11" x14ac:dyDescent="0.25">
      <c r="A284" t="s">
        <v>2</v>
      </c>
      <c r="C284" t="s">
        <v>432</v>
      </c>
      <c r="D284" s="110" t="s">
        <v>35</v>
      </c>
      <c r="E284" t="s">
        <v>468</v>
      </c>
      <c r="H284" t="s">
        <v>326</v>
      </c>
      <c r="I284" s="13">
        <f>INDEX(Foderstater!$U$56:$AD$83,MATCH(E284,Foderstater!$R$56:$R$83,0),MATCH(A284&amp;C284&amp;D284,Foderstater!$U$55:$AD$55,0))</f>
        <v>0.43993732150286113</v>
      </c>
      <c r="J284" s="159"/>
      <c r="K284" s="159"/>
    </row>
    <row r="285" spans="1:11" x14ac:dyDescent="0.25">
      <c r="A285" t="s">
        <v>2</v>
      </c>
      <c r="C285" t="s">
        <v>432</v>
      </c>
      <c r="D285" s="110" t="s">
        <v>35</v>
      </c>
      <c r="E285" t="s">
        <v>502</v>
      </c>
      <c r="H285" t="s">
        <v>326</v>
      </c>
      <c r="I285" s="13">
        <f>INDEX(Foderstater!$U$56:$AD$83,MATCH(E285,Foderstater!$R$56:$R$83,0),MATCH(A285&amp;C285&amp;D285,Foderstater!$U$55:$AD$55,0))</f>
        <v>0.42734928129407507</v>
      </c>
      <c r="J285" s="159"/>
      <c r="K285" s="159"/>
    </row>
    <row r="286" spans="1:11" x14ac:dyDescent="0.25">
      <c r="A286" t="s">
        <v>2</v>
      </c>
      <c r="C286" t="s">
        <v>432</v>
      </c>
      <c r="D286" s="110" t="s">
        <v>35</v>
      </c>
      <c r="E286" t="s">
        <v>504</v>
      </c>
      <c r="H286" t="s">
        <v>326</v>
      </c>
      <c r="I286" s="13">
        <f>INDEX(Foderstater!$U$56:$AD$83,MATCH(E286,Foderstater!$R$56:$R$83,0),MATCH(A286&amp;C286&amp;D286,Foderstater!$U$55:$AD$55,0))</f>
        <v>0.16998240004580778</v>
      </c>
      <c r="J286" s="159"/>
      <c r="K286" s="159"/>
    </row>
    <row r="287" spans="1:11" x14ac:dyDescent="0.25">
      <c r="A287" t="s">
        <v>2</v>
      </c>
      <c r="C287" t="s">
        <v>432</v>
      </c>
      <c r="D287" s="110" t="s">
        <v>35</v>
      </c>
      <c r="E287" t="s">
        <v>431</v>
      </c>
      <c r="H287" t="s">
        <v>326</v>
      </c>
      <c r="I287" s="13">
        <f>INDEX(Foderstater!$U$56:$AD$83,MATCH(E287,Foderstater!$R$56:$R$83,0),MATCH(A287&amp;C287&amp;D287,Foderstater!$U$55:$AD$55,0))</f>
        <v>4.7797808145834932E-2</v>
      </c>
      <c r="J287" s="159"/>
      <c r="K287" s="159"/>
    </row>
    <row r="288" spans="1:11" x14ac:dyDescent="0.25">
      <c r="A288" t="s">
        <v>2</v>
      </c>
      <c r="C288" t="s">
        <v>432</v>
      </c>
      <c r="D288" s="110" t="s">
        <v>35</v>
      </c>
      <c r="E288" t="s">
        <v>435</v>
      </c>
      <c r="H288" t="s">
        <v>326</v>
      </c>
      <c r="I288" s="13">
        <f>INDEX(Foderstater!$U$56:$AD$83,MATCH(E288,Foderstater!$R$56:$R$83,0),MATCH(A288&amp;C288&amp;D288,Foderstater!$U$55:$AD$55,0))</f>
        <v>0.11386543869738427</v>
      </c>
      <c r="J288" s="159"/>
      <c r="K288" s="159"/>
    </row>
    <row r="289" spans="1:12" x14ac:dyDescent="0.25">
      <c r="A289" t="s">
        <v>2</v>
      </c>
      <c r="C289" t="s">
        <v>432</v>
      </c>
      <c r="D289" s="110" t="s">
        <v>35</v>
      </c>
      <c r="E289" t="s">
        <v>500</v>
      </c>
      <c r="H289" t="s">
        <v>326</v>
      </c>
      <c r="I289" s="13">
        <f>INDEX(Foderstater!$U$56:$AD$83,MATCH(E289,Foderstater!$R$56:$R$83,0),MATCH(A289&amp;C289&amp;D289,Foderstater!$U$55:$AD$55,0))</f>
        <v>3.879569149399318E-2</v>
      </c>
      <c r="J289" s="159"/>
      <c r="K289" s="159"/>
    </row>
    <row r="290" spans="1:12" x14ac:dyDescent="0.25">
      <c r="A290" t="s">
        <v>2</v>
      </c>
      <c r="C290" t="s">
        <v>432</v>
      </c>
      <c r="D290" s="110" t="s">
        <v>35</v>
      </c>
      <c r="E290" t="s">
        <v>501</v>
      </c>
      <c r="H290" t="s">
        <v>326</v>
      </c>
      <c r="I290" s="13">
        <f>INDEX(Foderstater!$U$56:$AD$83,MATCH(E290,Foderstater!$R$56:$R$83,0),MATCH(A290&amp;C290&amp;D290,Foderstater!$U$55:$AD$55,0))</f>
        <v>1.9620679843561577E-2</v>
      </c>
      <c r="J290" s="159"/>
      <c r="K290" s="159"/>
    </row>
    <row r="291" spans="1:12" x14ac:dyDescent="0.25">
      <c r="A291" t="s">
        <v>2</v>
      </c>
      <c r="C291" t="s">
        <v>432</v>
      </c>
      <c r="D291" s="110" t="s">
        <v>35</v>
      </c>
      <c r="E291" t="s">
        <v>503</v>
      </c>
      <c r="H291" t="s">
        <v>326</v>
      </c>
      <c r="I291" s="13">
        <f>INDEX(Foderstater!$U$56:$AD$83,MATCH(E291,Foderstater!$R$56:$R$83,0),MATCH(A291&amp;C291&amp;D291,Foderstater!$U$55:$AD$55,0))</f>
        <v>4.98480285078663E-2</v>
      </c>
      <c r="J291" s="159"/>
      <c r="K291" s="159"/>
    </row>
    <row r="292" spans="1:12" x14ac:dyDescent="0.25">
      <c r="A292" t="s">
        <v>2</v>
      </c>
      <c r="C292" t="s">
        <v>432</v>
      </c>
      <c r="D292" s="110" t="s">
        <v>35</v>
      </c>
      <c r="E292" t="s">
        <v>430</v>
      </c>
      <c r="H292" t="s">
        <v>326</v>
      </c>
      <c r="I292" s="13">
        <f>INDEX(Foderstater!$U$56:$AD$83,MATCH(E292,Foderstater!$R$56:$R$83,0),MATCH(A292&amp;C292&amp;D292,Foderstater!$U$55:$AD$55,0))</f>
        <v>0.13526039388934941</v>
      </c>
      <c r="J292" s="159"/>
      <c r="K292" s="159"/>
    </row>
    <row r="293" spans="1:12" x14ac:dyDescent="0.25">
      <c r="A293" t="s">
        <v>2</v>
      </c>
      <c r="C293" t="s">
        <v>432</v>
      </c>
      <c r="D293" s="110" t="s">
        <v>35</v>
      </c>
      <c r="E293" t="s">
        <v>505</v>
      </c>
      <c r="H293" t="s">
        <v>326</v>
      </c>
      <c r="I293" s="13">
        <f>INDEX(Foderstater!$U$56:$AD$83,MATCH(E293,Foderstater!$R$56:$R$83,0),MATCH(A293&amp;C293&amp;D293,Foderstater!$U$55:$AD$55,0))</f>
        <v>4.8718525878718617E-3</v>
      </c>
    </row>
    <row r="294" spans="1:12" x14ac:dyDescent="0.25">
      <c r="A294" t="s">
        <v>2</v>
      </c>
      <c r="C294" t="s">
        <v>432</v>
      </c>
      <c r="D294" s="110" t="s">
        <v>35</v>
      </c>
      <c r="E294" t="s">
        <v>506</v>
      </c>
      <c r="H294" t="s">
        <v>326</v>
      </c>
      <c r="I294" s="13">
        <f>INDEX(Foderstater!$U$56:$AD$83,MATCH(E294,Foderstater!$R$56:$R$83,0),MATCH(A294&amp;C294&amp;D294,Foderstater!$U$55:$AD$55,0))</f>
        <v>3.0210110926249881E-3</v>
      </c>
    </row>
    <row r="295" spans="1:12" x14ac:dyDescent="0.25">
      <c r="A295" t="s">
        <v>2</v>
      </c>
      <c r="C295" t="s">
        <v>432</v>
      </c>
      <c r="D295" s="110" t="s">
        <v>35</v>
      </c>
      <c r="E295" t="s">
        <v>507</v>
      </c>
      <c r="H295" t="s">
        <v>326</v>
      </c>
      <c r="I295" s="13">
        <f>INDEX(Foderstater!$U$56:$AD$83,MATCH(E295,Foderstater!$R$56:$R$83,0),MATCH(A295&amp;C295&amp;D295,Foderstater!$U$55:$AD$55,0))</f>
        <v>3.3566789918055401E-4</v>
      </c>
    </row>
    <row r="296" spans="1:12" x14ac:dyDescent="0.25">
      <c r="A296" t="s">
        <v>2</v>
      </c>
      <c r="C296" t="s">
        <v>432</v>
      </c>
      <c r="D296" s="110" t="s">
        <v>35</v>
      </c>
      <c r="E296" t="s">
        <v>508</v>
      </c>
      <c r="H296" t="s">
        <v>326</v>
      </c>
      <c r="I296" s="13">
        <f>INDEX(Foderstater!$U$56:$AD$83,MATCH(E296,Foderstater!$R$56:$R$83,0),MATCH(A296&amp;C296&amp;D296,Foderstater!$U$55:$AD$55,0))</f>
        <v>2.7779008903831705E-2</v>
      </c>
    </row>
    <row r="297" spans="1:12" x14ac:dyDescent="0.25">
      <c r="A297" t="s">
        <v>2</v>
      </c>
      <c r="C297" t="s">
        <v>432</v>
      </c>
      <c r="D297" s="110" t="s">
        <v>35</v>
      </c>
      <c r="E297" t="s">
        <v>452</v>
      </c>
      <c r="H297" t="s">
        <v>326</v>
      </c>
      <c r="I297" s="13">
        <f>INDEX(Foderstater!$U$56:$AD$83,MATCH(E297,Foderstater!$R$56:$R$83,0),MATCH(A297&amp;C297&amp;D297,Foderstater!$U$55:$AD$55,0))</f>
        <v>5.1717203758995696E-2</v>
      </c>
    </row>
    <row r="298" spans="1:12" x14ac:dyDescent="0.25">
      <c r="A298" t="s">
        <v>2</v>
      </c>
      <c r="C298" t="s">
        <v>432</v>
      </c>
      <c r="D298" s="110" t="s">
        <v>35</v>
      </c>
      <c r="E298" t="s">
        <v>434</v>
      </c>
      <c r="H298" t="s">
        <v>326</v>
      </c>
      <c r="I298" s="13">
        <f>INDEX(Foderstater!$U$56:$AD$83,MATCH(E298,Foderstater!$R$56:$R$83,0),MATCH(A298&amp;C298&amp;D298,Foderstater!$U$55:$AD$55,0))</f>
        <v>5.059418668646571E-2</v>
      </c>
    </row>
    <row r="299" spans="1:12" x14ac:dyDescent="0.25">
      <c r="A299" t="s">
        <v>2</v>
      </c>
      <c r="C299" t="s">
        <v>432</v>
      </c>
      <c r="D299" s="110" t="s">
        <v>35</v>
      </c>
      <c r="E299" t="s">
        <v>509</v>
      </c>
      <c r="H299" t="s">
        <v>326</v>
      </c>
      <c r="I299" s="13">
        <f>INDEX(Foderstater!$U$56:$AD$83,MATCH(E299,Foderstater!$R$56:$R$83,0),MATCH(A299&amp;C299&amp;D299,Foderstater!$U$55:$AD$55,0))</f>
        <v>2.8107881492480925E-2</v>
      </c>
    </row>
    <row r="301" spans="1:12" x14ac:dyDescent="0.25">
      <c r="A301" s="100" t="s">
        <v>304</v>
      </c>
      <c r="B301" s="100"/>
      <c r="C301" s="100"/>
      <c r="D301" s="101"/>
      <c r="E301" s="101"/>
      <c r="F301" s="101"/>
      <c r="G301" s="101"/>
      <c r="H301" s="101"/>
      <c r="I301" s="101"/>
      <c r="J301" s="101"/>
      <c r="K301" s="101"/>
      <c r="L301" s="101"/>
    </row>
    <row r="302" spans="1:12" x14ac:dyDescent="0.25">
      <c r="A302" s="91" t="s">
        <v>74</v>
      </c>
      <c r="B302" s="163"/>
      <c r="C302" s="163"/>
      <c r="D302" s="90"/>
      <c r="E302" s="90"/>
      <c r="F302" s="90"/>
      <c r="G302" s="90"/>
      <c r="H302" s="90"/>
      <c r="I302" s="164"/>
      <c r="J302" s="90"/>
      <c r="K302" s="90"/>
      <c r="L302" s="90"/>
    </row>
    <row r="303" spans="1:12" x14ac:dyDescent="0.25">
      <c r="A303" s="159" t="s">
        <v>38</v>
      </c>
      <c r="B303" s="159"/>
      <c r="C303" s="159"/>
      <c r="D303" s="159" t="s">
        <v>18</v>
      </c>
      <c r="H303" s="159" t="s">
        <v>326</v>
      </c>
      <c r="I303" s="159">
        <v>0</v>
      </c>
      <c r="J303" s="159"/>
      <c r="K303" s="159" t="s">
        <v>426</v>
      </c>
    </row>
    <row r="304" spans="1:12" x14ac:dyDescent="0.25">
      <c r="A304" t="s">
        <v>38</v>
      </c>
      <c r="D304" t="s">
        <v>18</v>
      </c>
      <c r="E304" t="s">
        <v>436</v>
      </c>
      <c r="H304" t="s">
        <v>326</v>
      </c>
      <c r="I304" s="2">
        <f>INDEX(Foderstater!$U$56:$AD$83,MATCH(E304,Foderstater!$R$56:$R$83,0),MATCH(A304&amp;C304&amp;D304,Foderstater!$U$55:$AD$55,0))</f>
        <v>0</v>
      </c>
      <c r="J304" s="159"/>
      <c r="K304" s="159"/>
    </row>
    <row r="305" spans="1:11" x14ac:dyDescent="0.25">
      <c r="A305" t="s">
        <v>38</v>
      </c>
      <c r="D305" t="s">
        <v>18</v>
      </c>
      <c r="E305" t="s">
        <v>437</v>
      </c>
      <c r="H305" t="s">
        <v>326</v>
      </c>
      <c r="I305" s="13">
        <f>INDEX(Foderstater!$U$56:$AD$83,MATCH(E305,Foderstater!$R$56:$R$83,0),MATCH(A305&amp;C305&amp;D305,Foderstater!$U$55:$AD$55,0))</f>
        <v>16.595954764760993</v>
      </c>
      <c r="J305" s="159"/>
      <c r="K305" s="159"/>
    </row>
    <row r="306" spans="1:11" x14ac:dyDescent="0.25">
      <c r="A306" t="s">
        <v>38</v>
      </c>
      <c r="D306" t="s">
        <v>18</v>
      </c>
      <c r="E306" t="s">
        <v>438</v>
      </c>
      <c r="H306" t="s">
        <v>326</v>
      </c>
      <c r="I306" s="13">
        <f>INDEX(Foderstater!$U$56:$AD$83,MATCH(E306,Foderstater!$R$56:$R$83,0),MATCH(A306&amp;C306&amp;D306,Foderstater!$U$55:$AD$55,0))</f>
        <v>17.173343787959137</v>
      </c>
      <c r="J306" s="159"/>
      <c r="K306" s="159"/>
    </row>
    <row r="307" spans="1:11" x14ac:dyDescent="0.25">
      <c r="A307" t="s">
        <v>38</v>
      </c>
      <c r="D307" t="s">
        <v>18</v>
      </c>
      <c r="E307" t="s">
        <v>433</v>
      </c>
      <c r="H307" t="s">
        <v>326</v>
      </c>
      <c r="I307" s="13">
        <f>INDEX(Foderstater!$U$56:$AD$83,MATCH(E307,Foderstater!$R$56:$R$83,0),MATCH(A307&amp;C307&amp;D307,Foderstater!$U$55:$AD$55,0))</f>
        <v>0</v>
      </c>
      <c r="J307" s="159"/>
      <c r="K307" s="159"/>
    </row>
    <row r="308" spans="1:11" x14ac:dyDescent="0.25">
      <c r="A308" t="s">
        <v>38</v>
      </c>
      <c r="D308" t="s">
        <v>18</v>
      </c>
      <c r="E308" t="s">
        <v>428</v>
      </c>
      <c r="H308" t="s">
        <v>326</v>
      </c>
      <c r="I308" s="13">
        <f>INDEX(Foderstater!$U$56:$AD$83,MATCH(E308,Foderstater!$R$56:$R$83,0),MATCH(A308&amp;C308&amp;D308,Foderstater!$U$55:$AD$55,0))</f>
        <v>17.173343787959137</v>
      </c>
      <c r="J308" s="159"/>
      <c r="K308" s="159"/>
    </row>
    <row r="309" spans="1:11" x14ac:dyDescent="0.25">
      <c r="A309" t="s">
        <v>38</v>
      </c>
      <c r="D309" t="s">
        <v>18</v>
      </c>
      <c r="E309" t="s">
        <v>425</v>
      </c>
      <c r="H309" t="s">
        <v>326</v>
      </c>
      <c r="I309" s="2">
        <f>INDEX(Foderstater!$U$56:$AD$83,MATCH(E309,Foderstater!$R$56:$R$83,0),MATCH(A309&amp;C309&amp;D309,Foderstater!$U$55:$AD$55,0))</f>
        <v>49.057357659320729</v>
      </c>
      <c r="J309" s="159"/>
      <c r="K309" s="159"/>
    </row>
    <row r="310" spans="1:11" x14ac:dyDescent="0.25">
      <c r="A310" t="s">
        <v>38</v>
      </c>
      <c r="D310" t="s">
        <v>18</v>
      </c>
      <c r="E310" t="s">
        <v>395</v>
      </c>
      <c r="H310" t="s">
        <v>326</v>
      </c>
      <c r="I310" s="13">
        <f>INDEX(Foderstater!$U$56:$AD$83,MATCH(E310,Foderstater!$R$56:$R$83,0),MATCH(A310&amp;C310&amp;D310,Foderstater!$U$55:$AD$55,0))</f>
        <v>0</v>
      </c>
      <c r="J310" s="159"/>
      <c r="K310" s="159"/>
    </row>
    <row r="311" spans="1:11" x14ac:dyDescent="0.25">
      <c r="A311" t="s">
        <v>38</v>
      </c>
      <c r="D311" t="s">
        <v>18</v>
      </c>
      <c r="E311" t="s">
        <v>513</v>
      </c>
      <c r="H311" t="s">
        <v>326</v>
      </c>
      <c r="I311" s="13">
        <f>INDEX(Foderstater!$U$56:$AD$83,MATCH(E311,Foderstater!$R$56:$R$83,0),MATCH(A311&amp;C311&amp;D311,Foderstater!$U$55:$AD$55,0))</f>
        <v>0</v>
      </c>
      <c r="J311" s="159"/>
      <c r="K311" s="159"/>
    </row>
    <row r="312" spans="1:11" x14ac:dyDescent="0.25">
      <c r="A312" t="s">
        <v>38</v>
      </c>
      <c r="D312" t="s">
        <v>18</v>
      </c>
      <c r="E312" t="s">
        <v>429</v>
      </c>
      <c r="H312" t="s">
        <v>326</v>
      </c>
      <c r="I312" s="2">
        <f>INDEX(Foderstater!$U$56:$AD$83,MATCH(E312,Foderstater!$R$56:$R$83,0),MATCH(A312&amp;C312&amp;D312,Foderstater!$U$55:$AD$55,0))</f>
        <v>0</v>
      </c>
      <c r="J312" s="159"/>
      <c r="K312" s="159"/>
    </row>
    <row r="313" spans="1:11" x14ac:dyDescent="0.25">
      <c r="A313" t="s">
        <v>38</v>
      </c>
      <c r="D313" t="s">
        <v>18</v>
      </c>
      <c r="E313" t="s">
        <v>469</v>
      </c>
      <c r="H313" t="s">
        <v>326</v>
      </c>
      <c r="I313" s="13">
        <f>INDEX(Foderstater!$U$56:$AD$83,MATCH(E313,Foderstater!$R$56:$R$83,0),MATCH(A313&amp;C313&amp;D313,Foderstater!$U$55:$AD$55,0))</f>
        <v>0</v>
      </c>
      <c r="J313" s="159"/>
      <c r="K313" s="159"/>
    </row>
    <row r="314" spans="1:11" x14ac:dyDescent="0.25">
      <c r="A314" t="s">
        <v>38</v>
      </c>
      <c r="D314" t="s">
        <v>18</v>
      </c>
      <c r="E314" t="s">
        <v>498</v>
      </c>
      <c r="H314" t="s">
        <v>326</v>
      </c>
      <c r="I314" s="13">
        <f>INDEX(Foderstater!$U$56:$AD$83,MATCH(E314,Foderstater!$R$56:$R$83,0),MATCH(A314&amp;C314&amp;D314,Foderstater!$U$55:$AD$55,0))</f>
        <v>0</v>
      </c>
      <c r="J314" s="159"/>
      <c r="K314" s="159"/>
    </row>
    <row r="315" spans="1:11" x14ac:dyDescent="0.25">
      <c r="A315" t="s">
        <v>38</v>
      </c>
      <c r="D315" t="s">
        <v>18</v>
      </c>
      <c r="E315" t="s">
        <v>499</v>
      </c>
      <c r="H315" t="s">
        <v>326</v>
      </c>
      <c r="I315" s="13">
        <f>INDEX(Foderstater!$U$56:$AD$83,MATCH(E315,Foderstater!$R$56:$R$83,0),MATCH(A315&amp;C315&amp;D315,Foderstater!$U$55:$AD$55,0))</f>
        <v>0</v>
      </c>
      <c r="J315" s="159"/>
      <c r="K315" s="159"/>
    </row>
    <row r="316" spans="1:11" x14ac:dyDescent="0.25">
      <c r="A316" t="s">
        <v>38</v>
      </c>
      <c r="D316" t="s">
        <v>18</v>
      </c>
      <c r="E316" t="s">
        <v>468</v>
      </c>
      <c r="H316" t="s">
        <v>326</v>
      </c>
      <c r="I316" s="13">
        <f>INDEX(Foderstater!$U$56:$AD$83,MATCH(E316,Foderstater!$R$56:$R$83,0),MATCH(A316&amp;C316&amp;D316,Foderstater!$U$55:$AD$55,0))</f>
        <v>0</v>
      </c>
      <c r="J316" s="159"/>
      <c r="K316" s="159"/>
    </row>
    <row r="317" spans="1:11" x14ac:dyDescent="0.25">
      <c r="A317" t="s">
        <v>38</v>
      </c>
      <c r="D317" t="s">
        <v>18</v>
      </c>
      <c r="E317" t="s">
        <v>502</v>
      </c>
      <c r="H317" t="s">
        <v>326</v>
      </c>
      <c r="I317" s="13">
        <f>INDEX(Foderstater!$U$56:$AD$83,MATCH(E317,Foderstater!$R$56:$R$83,0),MATCH(A317&amp;C317&amp;D317,Foderstater!$U$55:$AD$55,0))</f>
        <v>0</v>
      </c>
      <c r="J317" s="159"/>
      <c r="K317" s="159"/>
    </row>
    <row r="318" spans="1:11" x14ac:dyDescent="0.25">
      <c r="A318" t="s">
        <v>38</v>
      </c>
      <c r="D318" t="s">
        <v>18</v>
      </c>
      <c r="E318" t="s">
        <v>504</v>
      </c>
      <c r="H318" t="s">
        <v>326</v>
      </c>
      <c r="I318" s="13">
        <f>INDEX(Foderstater!$U$56:$AD$83,MATCH(E318,Foderstater!$R$56:$R$83,0),MATCH(A318&amp;C318&amp;D318,Foderstater!$U$55:$AD$55,0))</f>
        <v>0</v>
      </c>
      <c r="J318" s="159"/>
      <c r="K318" s="159"/>
    </row>
    <row r="319" spans="1:11" x14ac:dyDescent="0.25">
      <c r="A319" t="s">
        <v>38</v>
      </c>
      <c r="D319" t="s">
        <v>18</v>
      </c>
      <c r="E319" t="s">
        <v>431</v>
      </c>
      <c r="H319" t="s">
        <v>326</v>
      </c>
      <c r="I319" s="13">
        <f>INDEX(Foderstater!$U$56:$AD$83,MATCH(E319,Foderstater!$R$56:$R$83,0),MATCH(A319&amp;C319&amp;D319,Foderstater!$U$55:$AD$55,0))</f>
        <v>0</v>
      </c>
      <c r="J319" s="159"/>
      <c r="K319" s="159"/>
    </row>
    <row r="320" spans="1:11" x14ac:dyDescent="0.25">
      <c r="A320" t="s">
        <v>38</v>
      </c>
      <c r="D320" t="s">
        <v>18</v>
      </c>
      <c r="E320" t="s">
        <v>435</v>
      </c>
      <c r="H320" t="s">
        <v>326</v>
      </c>
      <c r="I320" s="13">
        <f>INDEX(Foderstater!$U$56:$AD$83,MATCH(E320,Foderstater!$R$56:$R$83,0),MATCH(A320&amp;C320&amp;D320,Foderstater!$U$55:$AD$55,0))</f>
        <v>0</v>
      </c>
      <c r="J320" s="159"/>
      <c r="K320" s="159"/>
    </row>
    <row r="321" spans="1:12" x14ac:dyDescent="0.25">
      <c r="A321" t="s">
        <v>38</v>
      </c>
      <c r="D321" t="s">
        <v>18</v>
      </c>
      <c r="E321" t="s">
        <v>500</v>
      </c>
      <c r="H321" t="s">
        <v>326</v>
      </c>
      <c r="I321" s="13">
        <f>INDEX(Foderstater!$U$56:$AD$83,MATCH(E321,Foderstater!$R$56:$R$83,0),MATCH(A321&amp;C321&amp;D321,Foderstater!$U$55:$AD$55,0))</f>
        <v>0</v>
      </c>
      <c r="J321" s="159"/>
      <c r="K321" s="159"/>
    </row>
    <row r="322" spans="1:12" x14ac:dyDescent="0.25">
      <c r="A322" t="s">
        <v>38</v>
      </c>
      <c r="D322" t="s">
        <v>18</v>
      </c>
      <c r="E322" t="s">
        <v>501</v>
      </c>
      <c r="H322" t="s">
        <v>326</v>
      </c>
      <c r="I322" s="13">
        <f>INDEX(Foderstater!$U$56:$AD$83,MATCH(E322,Foderstater!$R$56:$R$83,0),MATCH(A322&amp;C322&amp;D322,Foderstater!$U$55:$AD$55,0))</f>
        <v>0</v>
      </c>
      <c r="J322" s="159"/>
      <c r="K322" s="159"/>
    </row>
    <row r="323" spans="1:12" x14ac:dyDescent="0.25">
      <c r="A323" t="s">
        <v>38</v>
      </c>
      <c r="D323" t="s">
        <v>18</v>
      </c>
      <c r="E323" t="s">
        <v>503</v>
      </c>
      <c r="H323" t="s">
        <v>326</v>
      </c>
      <c r="I323" s="13">
        <f>INDEX(Foderstater!$U$56:$AD$83,MATCH(E323,Foderstater!$R$56:$R$83,0),MATCH(A323&amp;C323&amp;D323,Foderstater!$U$55:$AD$55,0))</f>
        <v>0</v>
      </c>
      <c r="J323" s="159"/>
      <c r="K323" s="159"/>
    </row>
    <row r="324" spans="1:12" x14ac:dyDescent="0.25">
      <c r="A324" t="s">
        <v>38</v>
      </c>
      <c r="D324" t="s">
        <v>18</v>
      </c>
      <c r="E324" t="s">
        <v>430</v>
      </c>
      <c r="H324" t="s">
        <v>326</v>
      </c>
      <c r="I324" s="13">
        <f>INDEX(Foderstater!$U$56:$AD$83,MATCH(E324,Foderstater!$R$56:$R$83,0),MATCH(A324&amp;C324&amp;D324,Foderstater!$U$55:$AD$55,0))</f>
        <v>0</v>
      </c>
      <c r="J324" s="159"/>
      <c r="K324" s="159"/>
    </row>
    <row r="325" spans="1:12" x14ac:dyDescent="0.25">
      <c r="A325" t="s">
        <v>38</v>
      </c>
      <c r="D325" t="s">
        <v>18</v>
      </c>
      <c r="E325" t="s">
        <v>505</v>
      </c>
      <c r="H325" t="s">
        <v>326</v>
      </c>
      <c r="I325" s="13">
        <f>INDEX(Foderstater!$U$56:$AD$83,MATCH(E325,Foderstater!$R$56:$R$83,0),MATCH(A325&amp;C325&amp;D325,Foderstater!$U$55:$AD$55,0))</f>
        <v>0</v>
      </c>
    </row>
    <row r="326" spans="1:12" x14ac:dyDescent="0.25">
      <c r="A326" t="s">
        <v>38</v>
      </c>
      <c r="D326" t="s">
        <v>18</v>
      </c>
      <c r="E326" t="s">
        <v>506</v>
      </c>
      <c r="H326" t="s">
        <v>326</v>
      </c>
      <c r="I326" s="13">
        <f>INDEX(Foderstater!$U$56:$AD$83,MATCH(E326,Foderstater!$R$56:$R$83,0),MATCH(A326&amp;C326&amp;D326,Foderstater!$U$55:$AD$55,0))</f>
        <v>0</v>
      </c>
    </row>
    <row r="327" spans="1:12" x14ac:dyDescent="0.25">
      <c r="A327" t="s">
        <v>38</v>
      </c>
      <c r="D327" t="s">
        <v>18</v>
      </c>
      <c r="E327" t="s">
        <v>507</v>
      </c>
      <c r="H327" t="s">
        <v>326</v>
      </c>
      <c r="I327" s="13">
        <f>INDEX(Foderstater!$U$56:$AD$83,MATCH(E327,Foderstater!$R$56:$R$83,0),MATCH(A327&amp;C327&amp;D327,Foderstater!$U$55:$AD$55,0))</f>
        <v>0</v>
      </c>
    </row>
    <row r="328" spans="1:12" x14ac:dyDescent="0.25">
      <c r="A328" t="s">
        <v>38</v>
      </c>
      <c r="D328" t="s">
        <v>18</v>
      </c>
      <c r="E328" t="s">
        <v>508</v>
      </c>
      <c r="H328" t="s">
        <v>326</v>
      </c>
      <c r="I328" s="13">
        <f>INDEX(Foderstater!$U$56:$AD$83,MATCH(E328,Foderstater!$R$56:$R$83,0),MATCH(A328&amp;C328&amp;D328,Foderstater!$U$55:$AD$55,0))</f>
        <v>0</v>
      </c>
    </row>
    <row r="329" spans="1:12" x14ac:dyDescent="0.25">
      <c r="A329" t="s">
        <v>38</v>
      </c>
      <c r="D329" t="s">
        <v>18</v>
      </c>
      <c r="E329" t="s">
        <v>452</v>
      </c>
      <c r="H329" t="s">
        <v>326</v>
      </c>
      <c r="I329" s="13">
        <f>INDEX(Foderstater!$U$56:$AD$83,MATCH(E329,Foderstater!$R$56:$R$83,0),MATCH(A329&amp;C329&amp;D329,Foderstater!$U$55:$AD$55,0))</f>
        <v>0</v>
      </c>
    </row>
    <row r="330" spans="1:12" x14ac:dyDescent="0.25">
      <c r="A330" t="s">
        <v>38</v>
      </c>
      <c r="D330" t="s">
        <v>18</v>
      </c>
      <c r="E330" t="s">
        <v>434</v>
      </c>
      <c r="H330" t="s">
        <v>326</v>
      </c>
      <c r="I330" s="13">
        <f>INDEX(Foderstater!$U$56:$AD$83,MATCH(E330,Foderstater!$R$56:$R$83,0),MATCH(A330&amp;C330&amp;D330,Foderstater!$U$55:$AD$55,0))</f>
        <v>0</v>
      </c>
    </row>
    <row r="331" spans="1:12" x14ac:dyDescent="0.25">
      <c r="A331" t="s">
        <v>38</v>
      </c>
      <c r="D331" t="s">
        <v>18</v>
      </c>
      <c r="E331" t="s">
        <v>509</v>
      </c>
      <c r="H331" t="s">
        <v>326</v>
      </c>
      <c r="I331" s="13">
        <f>INDEX(Foderstater!$U$56:$AD$83,MATCH(E331,Foderstater!$R$56:$R$83,0),MATCH(A331&amp;C331&amp;D331,Foderstater!$U$55:$AD$55,0))</f>
        <v>0</v>
      </c>
    </row>
    <row r="333" spans="1:12" x14ac:dyDescent="0.25">
      <c r="A333" s="91" t="s">
        <v>453</v>
      </c>
      <c r="B333" s="163"/>
      <c r="C333" s="163"/>
      <c r="D333" s="90"/>
      <c r="E333" s="90"/>
      <c r="F333" s="90"/>
      <c r="G333" s="90"/>
      <c r="H333" s="90"/>
      <c r="I333" s="164"/>
      <c r="J333" s="90"/>
      <c r="K333" s="90"/>
      <c r="L333" s="90"/>
    </row>
    <row r="334" spans="1:12" x14ac:dyDescent="0.25">
      <c r="A334" s="159" t="s">
        <v>38</v>
      </c>
      <c r="B334" s="159"/>
      <c r="C334" s="159"/>
      <c r="D334" s="159"/>
      <c r="H334" s="159" t="s">
        <v>326</v>
      </c>
      <c r="I334" s="159">
        <v>0</v>
      </c>
      <c r="J334" s="159"/>
      <c r="K334" s="159" t="s">
        <v>426</v>
      </c>
    </row>
    <row r="335" spans="1:12" x14ac:dyDescent="0.25">
      <c r="A335" t="s">
        <v>38</v>
      </c>
      <c r="E335" t="s">
        <v>436</v>
      </c>
      <c r="H335" t="s">
        <v>326</v>
      </c>
      <c r="I335" s="2">
        <f>INDEX(Foderstater!$U$56:$AD$83,MATCH(E335,Foderstater!$R$56:$R$83,0),MATCH(A335&amp;C335&amp;D335,Foderstater!$U$55:$AD$55,0))</f>
        <v>0</v>
      </c>
      <c r="J335" s="159"/>
      <c r="K335" s="159"/>
    </row>
    <row r="336" spans="1:12" x14ac:dyDescent="0.25">
      <c r="A336" t="s">
        <v>38</v>
      </c>
      <c r="E336" t="s">
        <v>437</v>
      </c>
      <c r="H336" t="s">
        <v>326</v>
      </c>
      <c r="I336" s="13">
        <f>INDEX(Foderstater!$U$56:$AD$83,MATCH(E336,Foderstater!$R$56:$R$83,0),MATCH(A336&amp;C336&amp;D336,Foderstater!$U$55:$AD$55,0))</f>
        <v>69.353683256124697</v>
      </c>
      <c r="J336" s="159"/>
      <c r="K336" s="159"/>
    </row>
    <row r="337" spans="1:11" x14ac:dyDescent="0.25">
      <c r="A337" t="s">
        <v>38</v>
      </c>
      <c r="E337" t="s">
        <v>438</v>
      </c>
      <c r="H337" t="s">
        <v>326</v>
      </c>
      <c r="I337" s="13">
        <f>INDEX(Foderstater!$U$56:$AD$83,MATCH(E337,Foderstater!$R$56:$R$83,0),MATCH(A337&amp;C337&amp;D337,Foderstater!$U$55:$AD$55,0))</f>
        <v>0</v>
      </c>
      <c r="J337" s="159"/>
      <c r="K337" s="159"/>
    </row>
    <row r="338" spans="1:11" x14ac:dyDescent="0.25">
      <c r="A338" t="s">
        <v>38</v>
      </c>
      <c r="E338" t="s">
        <v>433</v>
      </c>
      <c r="H338" t="s">
        <v>326</v>
      </c>
      <c r="I338" s="13">
        <f>INDEX(Foderstater!$U$56:$AD$83,MATCH(E338,Foderstater!$R$56:$R$83,0),MATCH(A338&amp;C338&amp;D338,Foderstater!$U$55:$AD$55,0))</f>
        <v>0</v>
      </c>
      <c r="J338" s="159"/>
      <c r="K338" s="159"/>
    </row>
    <row r="339" spans="1:11" x14ac:dyDescent="0.25">
      <c r="A339" t="s">
        <v>38</v>
      </c>
      <c r="E339" t="s">
        <v>428</v>
      </c>
      <c r="H339" t="s">
        <v>326</v>
      </c>
      <c r="I339" s="13">
        <f>INDEX(Foderstater!$U$56:$AD$83,MATCH(E339,Foderstater!$R$56:$R$83,0),MATCH(A339&amp;C339&amp;D339,Foderstater!$U$55:$AD$55,0))</f>
        <v>0</v>
      </c>
      <c r="J339" s="159"/>
      <c r="K339" s="159"/>
    </row>
    <row r="340" spans="1:11" x14ac:dyDescent="0.25">
      <c r="A340" t="s">
        <v>38</v>
      </c>
      <c r="E340" t="s">
        <v>425</v>
      </c>
      <c r="H340" t="s">
        <v>326</v>
      </c>
      <c r="I340" s="2">
        <f>INDEX(Foderstater!$U$56:$AD$83,MATCH(E340,Foderstater!$R$56:$R$83,0),MATCH(A340&amp;C340&amp;D340,Foderstater!$U$55:$AD$55,0))</f>
        <v>30.646316743875307</v>
      </c>
      <c r="J340" s="159"/>
      <c r="K340" s="159"/>
    </row>
    <row r="341" spans="1:11" x14ac:dyDescent="0.25">
      <c r="A341" t="s">
        <v>38</v>
      </c>
      <c r="E341" t="s">
        <v>395</v>
      </c>
      <c r="H341" t="s">
        <v>326</v>
      </c>
      <c r="I341" s="13">
        <f>INDEX(Foderstater!$U$56:$AD$83,MATCH(E341,Foderstater!$R$56:$R$83,0),MATCH(A341&amp;C341&amp;D341,Foderstater!$U$55:$AD$55,0))</f>
        <v>0</v>
      </c>
      <c r="J341" s="159"/>
      <c r="K341" s="159"/>
    </row>
    <row r="342" spans="1:11" x14ac:dyDescent="0.25">
      <c r="A342" t="s">
        <v>38</v>
      </c>
      <c r="E342" t="s">
        <v>513</v>
      </c>
      <c r="H342" t="s">
        <v>326</v>
      </c>
      <c r="I342" s="13">
        <f>INDEX(Foderstater!$U$56:$AD$83,MATCH(E342,Foderstater!$R$56:$R$83,0),MATCH(A342&amp;C342&amp;D342,Foderstater!$U$55:$AD$55,0))</f>
        <v>0</v>
      </c>
      <c r="J342" s="159"/>
      <c r="K342" s="159"/>
    </row>
    <row r="343" spans="1:11" x14ac:dyDescent="0.25">
      <c r="A343" t="s">
        <v>38</v>
      </c>
      <c r="E343" t="s">
        <v>429</v>
      </c>
      <c r="H343" t="s">
        <v>326</v>
      </c>
      <c r="I343" s="2">
        <f>INDEX(Foderstater!$U$56:$AD$83,MATCH(E343,Foderstater!$R$56:$R$83,0),MATCH(A343&amp;C343&amp;D343,Foderstater!$U$55:$AD$55,0))</f>
        <v>0</v>
      </c>
      <c r="J343" s="159"/>
      <c r="K343" s="159"/>
    </row>
    <row r="344" spans="1:11" x14ac:dyDescent="0.25">
      <c r="A344" t="s">
        <v>38</v>
      </c>
      <c r="E344" t="s">
        <v>469</v>
      </c>
      <c r="H344" t="s">
        <v>326</v>
      </c>
      <c r="I344" s="13">
        <f>INDEX(Foderstater!$U$56:$AD$83,MATCH(E344,Foderstater!$R$56:$R$83,0),MATCH(A344&amp;C344&amp;D344,Foderstater!$U$55:$AD$55,0))</f>
        <v>0</v>
      </c>
      <c r="J344" s="159"/>
      <c r="K344" s="159"/>
    </row>
    <row r="345" spans="1:11" x14ac:dyDescent="0.25">
      <c r="A345" t="s">
        <v>38</v>
      </c>
      <c r="E345" t="s">
        <v>498</v>
      </c>
      <c r="H345" t="s">
        <v>326</v>
      </c>
      <c r="I345" s="13">
        <f>INDEX(Foderstater!$U$56:$AD$83,MATCH(E345,Foderstater!$R$56:$R$83,0),MATCH(A345&amp;C345&amp;D345,Foderstater!$U$55:$AD$55,0))</f>
        <v>0</v>
      </c>
      <c r="J345" s="159"/>
      <c r="K345" s="159"/>
    </row>
    <row r="346" spans="1:11" x14ac:dyDescent="0.25">
      <c r="A346" t="s">
        <v>38</v>
      </c>
      <c r="E346" t="s">
        <v>499</v>
      </c>
      <c r="H346" t="s">
        <v>326</v>
      </c>
      <c r="I346" s="13">
        <f>INDEX(Foderstater!$U$56:$AD$83,MATCH(E346,Foderstater!$R$56:$R$83,0),MATCH(A346&amp;C346&amp;D346,Foderstater!$U$55:$AD$55,0))</f>
        <v>0</v>
      </c>
      <c r="J346" s="159"/>
      <c r="K346" s="159"/>
    </row>
    <row r="347" spans="1:11" x14ac:dyDescent="0.25">
      <c r="A347" t="s">
        <v>38</v>
      </c>
      <c r="E347" t="s">
        <v>468</v>
      </c>
      <c r="H347" t="s">
        <v>326</v>
      </c>
      <c r="I347" s="13">
        <f>INDEX(Foderstater!$U$56:$AD$83,MATCH(E347,Foderstater!$R$56:$R$83,0),MATCH(A347&amp;C347&amp;D347,Foderstater!$U$55:$AD$55,0))</f>
        <v>0</v>
      </c>
      <c r="J347" s="159"/>
      <c r="K347" s="159"/>
    </row>
    <row r="348" spans="1:11" x14ac:dyDescent="0.25">
      <c r="A348" t="s">
        <v>38</v>
      </c>
      <c r="E348" t="s">
        <v>502</v>
      </c>
      <c r="H348" t="s">
        <v>326</v>
      </c>
      <c r="I348" s="13">
        <f>INDEX(Foderstater!$U$56:$AD$83,MATCH(E348,Foderstater!$R$56:$R$83,0),MATCH(A348&amp;C348&amp;D348,Foderstater!$U$55:$AD$55,0))</f>
        <v>0</v>
      </c>
      <c r="J348" s="159"/>
      <c r="K348" s="159"/>
    </row>
    <row r="349" spans="1:11" x14ac:dyDescent="0.25">
      <c r="A349" t="s">
        <v>38</v>
      </c>
      <c r="E349" t="s">
        <v>504</v>
      </c>
      <c r="H349" t="s">
        <v>326</v>
      </c>
      <c r="I349" s="13">
        <f>INDEX(Foderstater!$U$56:$AD$83,MATCH(E349,Foderstater!$R$56:$R$83,0),MATCH(A349&amp;C349&amp;D349,Foderstater!$U$55:$AD$55,0))</f>
        <v>0</v>
      </c>
      <c r="J349" s="159"/>
      <c r="K349" s="159"/>
    </row>
    <row r="350" spans="1:11" x14ac:dyDescent="0.25">
      <c r="A350" t="s">
        <v>38</v>
      </c>
      <c r="E350" t="s">
        <v>431</v>
      </c>
      <c r="H350" t="s">
        <v>326</v>
      </c>
      <c r="I350" s="13">
        <f>INDEX(Foderstater!$U$56:$AD$83,MATCH(E350,Foderstater!$R$56:$R$83,0),MATCH(A350&amp;C350&amp;D350,Foderstater!$U$55:$AD$55,0))</f>
        <v>0</v>
      </c>
      <c r="J350" s="159"/>
      <c r="K350" s="159"/>
    </row>
    <row r="351" spans="1:11" x14ac:dyDescent="0.25">
      <c r="A351" t="s">
        <v>38</v>
      </c>
      <c r="E351" t="s">
        <v>435</v>
      </c>
      <c r="H351" t="s">
        <v>326</v>
      </c>
      <c r="I351" s="13">
        <f>INDEX(Foderstater!$U$56:$AD$83,MATCH(E351,Foderstater!$R$56:$R$83,0),MATCH(A351&amp;C351&amp;D351,Foderstater!$U$55:$AD$55,0))</f>
        <v>0</v>
      </c>
      <c r="J351" s="159"/>
      <c r="K351" s="159"/>
    </row>
    <row r="352" spans="1:11" x14ac:dyDescent="0.25">
      <c r="A352" t="s">
        <v>38</v>
      </c>
      <c r="E352" t="s">
        <v>500</v>
      </c>
      <c r="H352" t="s">
        <v>326</v>
      </c>
      <c r="I352" s="13">
        <f>INDEX(Foderstater!$U$56:$AD$83,MATCH(E352,Foderstater!$R$56:$R$83,0),MATCH(A352&amp;C352&amp;D352,Foderstater!$U$55:$AD$55,0))</f>
        <v>0</v>
      </c>
      <c r="J352" s="159"/>
      <c r="K352" s="159"/>
    </row>
    <row r="353" spans="1:12" x14ac:dyDescent="0.25">
      <c r="A353" t="s">
        <v>38</v>
      </c>
      <c r="E353" t="s">
        <v>501</v>
      </c>
      <c r="H353" t="s">
        <v>326</v>
      </c>
      <c r="I353" s="13">
        <f>INDEX(Foderstater!$U$56:$AD$83,MATCH(E353,Foderstater!$R$56:$R$83,0),MATCH(A353&amp;C353&amp;D353,Foderstater!$U$55:$AD$55,0))</f>
        <v>0</v>
      </c>
      <c r="J353" s="159"/>
      <c r="K353" s="159"/>
    </row>
    <row r="354" spans="1:12" x14ac:dyDescent="0.25">
      <c r="A354" t="s">
        <v>38</v>
      </c>
      <c r="E354" t="s">
        <v>503</v>
      </c>
      <c r="H354" t="s">
        <v>326</v>
      </c>
      <c r="I354" s="13">
        <f>INDEX(Foderstater!$U$56:$AD$83,MATCH(E354,Foderstater!$R$56:$R$83,0),MATCH(A354&amp;C354&amp;D354,Foderstater!$U$55:$AD$55,0))</f>
        <v>0</v>
      </c>
      <c r="J354" s="159"/>
      <c r="K354" s="159"/>
    </row>
    <row r="355" spans="1:12" x14ac:dyDescent="0.25">
      <c r="A355" t="s">
        <v>38</v>
      </c>
      <c r="E355" t="s">
        <v>430</v>
      </c>
      <c r="H355" t="s">
        <v>326</v>
      </c>
      <c r="I355" s="13">
        <f>INDEX(Foderstater!$U$56:$AD$83,MATCH(E355,Foderstater!$R$56:$R$83,0),MATCH(A355&amp;C355&amp;D355,Foderstater!$U$55:$AD$55,0))</f>
        <v>0</v>
      </c>
      <c r="J355" s="159"/>
      <c r="K355" s="159"/>
    </row>
    <row r="356" spans="1:12" x14ac:dyDescent="0.25">
      <c r="A356" t="s">
        <v>38</v>
      </c>
      <c r="E356" t="s">
        <v>505</v>
      </c>
      <c r="H356" t="s">
        <v>326</v>
      </c>
      <c r="I356" s="13">
        <f>INDEX(Foderstater!$U$56:$AD$83,MATCH(E356,Foderstater!$R$56:$R$83,0),MATCH(A356&amp;C356&amp;D356,Foderstater!$U$55:$AD$55,0))</f>
        <v>0</v>
      </c>
    </row>
    <row r="357" spans="1:12" x14ac:dyDescent="0.25">
      <c r="A357" t="s">
        <v>38</v>
      </c>
      <c r="E357" t="s">
        <v>506</v>
      </c>
      <c r="H357" t="s">
        <v>326</v>
      </c>
      <c r="I357" s="13">
        <f>INDEX(Foderstater!$U$56:$AD$83,MATCH(E357,Foderstater!$R$56:$R$83,0),MATCH(A357&amp;C357&amp;D357,Foderstater!$U$55:$AD$55,0))</f>
        <v>0</v>
      </c>
    </row>
    <row r="358" spans="1:12" x14ac:dyDescent="0.25">
      <c r="A358" t="s">
        <v>38</v>
      </c>
      <c r="E358" t="s">
        <v>507</v>
      </c>
      <c r="H358" t="s">
        <v>326</v>
      </c>
      <c r="I358" s="13">
        <f>INDEX(Foderstater!$U$56:$AD$83,MATCH(E358,Foderstater!$R$56:$R$83,0),MATCH(A358&amp;C358&amp;D358,Foderstater!$U$55:$AD$55,0))</f>
        <v>0</v>
      </c>
    </row>
    <row r="359" spans="1:12" x14ac:dyDescent="0.25">
      <c r="A359" t="s">
        <v>38</v>
      </c>
      <c r="E359" t="s">
        <v>508</v>
      </c>
      <c r="H359" t="s">
        <v>326</v>
      </c>
      <c r="I359" s="13">
        <f>INDEX(Foderstater!$U$56:$AD$83,MATCH(E359,Foderstater!$R$56:$R$83,0),MATCH(A359&amp;C359&amp;D359,Foderstater!$U$55:$AD$55,0))</f>
        <v>0</v>
      </c>
    </row>
    <row r="360" spans="1:12" x14ac:dyDescent="0.25">
      <c r="A360" t="s">
        <v>38</v>
      </c>
      <c r="E360" t="s">
        <v>452</v>
      </c>
      <c r="H360" t="s">
        <v>326</v>
      </c>
      <c r="I360" s="13">
        <f>INDEX(Foderstater!$U$56:$AD$83,MATCH(E360,Foderstater!$R$56:$R$83,0),MATCH(A360&amp;C360&amp;D360,Foderstater!$U$55:$AD$55,0))</f>
        <v>0</v>
      </c>
    </row>
    <row r="361" spans="1:12" x14ac:dyDescent="0.25">
      <c r="A361" t="s">
        <v>38</v>
      </c>
      <c r="E361" t="s">
        <v>434</v>
      </c>
      <c r="H361" t="s">
        <v>326</v>
      </c>
      <c r="I361" s="13">
        <f>INDEX(Foderstater!$U$56:$AD$83,MATCH(E361,Foderstater!$R$56:$R$83,0),MATCH(A361&amp;C361&amp;D361,Foderstater!$U$55:$AD$55,0))</f>
        <v>0</v>
      </c>
    </row>
    <row r="362" spans="1:12" x14ac:dyDescent="0.25">
      <c r="A362" t="s">
        <v>38</v>
      </c>
      <c r="E362" t="s">
        <v>509</v>
      </c>
      <c r="H362" t="s">
        <v>326</v>
      </c>
      <c r="I362" s="13">
        <f>INDEX(Foderstater!$U$56:$AD$83,MATCH(E362,Foderstater!$R$56:$R$83,0),MATCH(A362&amp;C362&amp;D362,Foderstater!$U$55:$AD$55,0))</f>
        <v>0</v>
      </c>
    </row>
    <row r="364" spans="1:12" x14ac:dyDescent="0.25">
      <c r="A364" s="91" t="s">
        <v>86</v>
      </c>
      <c r="B364" s="163"/>
      <c r="C364" s="163"/>
      <c r="D364" s="90"/>
      <c r="E364" s="90"/>
      <c r="F364" s="90"/>
      <c r="G364" s="90"/>
      <c r="H364" s="90"/>
      <c r="I364" s="164"/>
      <c r="J364" s="90"/>
      <c r="K364" s="90"/>
      <c r="L364" s="90"/>
    </row>
    <row r="365" spans="1:12" x14ac:dyDescent="0.25">
      <c r="A365" s="159" t="s">
        <v>38</v>
      </c>
      <c r="B365" s="159"/>
      <c r="C365" s="159"/>
      <c r="D365" s="159" t="s">
        <v>35</v>
      </c>
      <c r="H365" s="159" t="s">
        <v>326</v>
      </c>
      <c r="I365" s="159">
        <v>0</v>
      </c>
      <c r="J365" s="159"/>
      <c r="K365" s="159" t="s">
        <v>426</v>
      </c>
    </row>
    <row r="366" spans="1:12" x14ac:dyDescent="0.25">
      <c r="A366" t="s">
        <v>38</v>
      </c>
      <c r="D366" t="s">
        <v>35</v>
      </c>
      <c r="E366" t="s">
        <v>436</v>
      </c>
      <c r="H366" t="s">
        <v>326</v>
      </c>
      <c r="I366" s="2">
        <f>INDEX(Foderstater!$U$56:$AD$83,MATCH(E366,Foderstater!$R$56:$R$83,0),MATCH(A366&amp;C366&amp;D366,Foderstater!$U$55:$AD$55,0))</f>
        <v>60.249501023299892</v>
      </c>
      <c r="J366" s="159"/>
      <c r="K366" s="159"/>
    </row>
    <row r="367" spans="1:12" x14ac:dyDescent="0.25">
      <c r="A367" t="s">
        <v>38</v>
      </c>
      <c r="D367" t="s">
        <v>35</v>
      </c>
      <c r="E367" t="s">
        <v>437</v>
      </c>
      <c r="H367" t="s">
        <v>326</v>
      </c>
      <c r="I367" s="13">
        <f>INDEX(Foderstater!$U$56:$AD$83,MATCH(E367,Foderstater!$R$56:$R$83,0),MATCH(A367&amp;C367&amp;D367,Foderstater!$U$55:$AD$55,0))</f>
        <v>0</v>
      </c>
      <c r="J367" s="159"/>
      <c r="K367" s="159"/>
    </row>
    <row r="368" spans="1:12" x14ac:dyDescent="0.25">
      <c r="A368" t="s">
        <v>38</v>
      </c>
      <c r="D368" t="s">
        <v>35</v>
      </c>
      <c r="E368" t="s">
        <v>438</v>
      </c>
      <c r="H368" t="s">
        <v>326</v>
      </c>
      <c r="I368" s="13">
        <f>INDEX(Foderstater!$U$56:$AD$83,MATCH(E368,Foderstater!$R$56:$R$83,0),MATCH(A368&amp;C368&amp;D368,Foderstater!$U$55:$AD$55,0))</f>
        <v>0</v>
      </c>
      <c r="J368" s="159"/>
      <c r="K368" s="159"/>
    </row>
    <row r="369" spans="1:11" x14ac:dyDescent="0.25">
      <c r="A369" t="s">
        <v>38</v>
      </c>
      <c r="D369" t="s">
        <v>35</v>
      </c>
      <c r="E369" t="s">
        <v>433</v>
      </c>
      <c r="H369" t="s">
        <v>326</v>
      </c>
      <c r="I369" s="13">
        <f>INDEX(Foderstater!$U$56:$AD$83,MATCH(E369,Foderstater!$R$56:$R$83,0),MATCH(A369&amp;C369&amp;D369,Foderstater!$U$55:$AD$55,0))</f>
        <v>0</v>
      </c>
      <c r="J369" s="159"/>
      <c r="K369" s="159"/>
    </row>
    <row r="370" spans="1:11" x14ac:dyDescent="0.25">
      <c r="A370" t="s">
        <v>38</v>
      </c>
      <c r="D370" t="s">
        <v>35</v>
      </c>
      <c r="E370" t="s">
        <v>428</v>
      </c>
      <c r="H370" t="s">
        <v>326</v>
      </c>
      <c r="I370" s="13">
        <f>INDEX(Foderstater!$U$56:$AD$83,MATCH(E370,Foderstater!$R$56:$R$83,0),MATCH(A370&amp;C370&amp;D370,Foderstater!$U$55:$AD$55,0))</f>
        <v>0</v>
      </c>
      <c r="J370" s="159"/>
      <c r="K370" s="159"/>
    </row>
    <row r="371" spans="1:11" x14ac:dyDescent="0.25">
      <c r="A371" t="s">
        <v>38</v>
      </c>
      <c r="D371" t="s">
        <v>35</v>
      </c>
      <c r="E371" t="s">
        <v>425</v>
      </c>
      <c r="H371" t="s">
        <v>326</v>
      </c>
      <c r="I371" s="2">
        <f>INDEX(Foderstater!$U$56:$AD$83,MATCH(E371,Foderstater!$R$56:$R$83,0),MATCH(A371&amp;C371&amp;D371,Foderstater!$U$55:$AD$55,0))</f>
        <v>0</v>
      </c>
      <c r="J371" s="159"/>
      <c r="K371" s="159"/>
    </row>
    <row r="372" spans="1:11" x14ac:dyDescent="0.25">
      <c r="A372" t="s">
        <v>38</v>
      </c>
      <c r="D372" t="s">
        <v>35</v>
      </c>
      <c r="E372" t="s">
        <v>395</v>
      </c>
      <c r="H372" t="s">
        <v>326</v>
      </c>
      <c r="I372" s="13">
        <f>INDEX(Foderstater!$U$56:$AD$83,MATCH(E372,Foderstater!$R$56:$R$83,0),MATCH(A372&amp;C372&amp;D372,Foderstater!$U$55:$AD$55,0))</f>
        <v>8.3580433504262022</v>
      </c>
      <c r="J372" s="159"/>
      <c r="K372" s="159"/>
    </row>
    <row r="373" spans="1:11" x14ac:dyDescent="0.25">
      <c r="A373" t="s">
        <v>38</v>
      </c>
      <c r="D373" t="s">
        <v>35</v>
      </c>
      <c r="E373" t="s">
        <v>513</v>
      </c>
      <c r="H373" t="s">
        <v>326</v>
      </c>
      <c r="I373" s="13">
        <f>INDEX(Foderstater!$U$56:$AD$83,MATCH(E373,Foderstater!$R$56:$R$83,0),MATCH(A373&amp;C373&amp;D373,Foderstater!$U$55:$AD$55,0))</f>
        <v>6.3565169401541155</v>
      </c>
      <c r="J373" s="159"/>
      <c r="K373" s="159"/>
    </row>
    <row r="374" spans="1:11" x14ac:dyDescent="0.25">
      <c r="A374" t="s">
        <v>38</v>
      </c>
      <c r="D374" t="s">
        <v>35</v>
      </c>
      <c r="E374" t="s">
        <v>429</v>
      </c>
      <c r="H374" t="s">
        <v>326</v>
      </c>
      <c r="I374" s="2">
        <f>INDEX(Foderstater!$U$56:$AD$83,MATCH(E374,Foderstater!$R$56:$R$83,0),MATCH(A374&amp;C374&amp;D374,Foderstater!$U$55:$AD$55,0))</f>
        <v>16.834448704037197</v>
      </c>
      <c r="J374" s="159"/>
      <c r="K374" s="159"/>
    </row>
    <row r="375" spans="1:11" x14ac:dyDescent="0.25">
      <c r="A375" t="s">
        <v>38</v>
      </c>
      <c r="D375" t="s">
        <v>35</v>
      </c>
      <c r="E375" t="s">
        <v>469</v>
      </c>
      <c r="H375" t="s">
        <v>326</v>
      </c>
      <c r="I375" s="13">
        <f>INDEX(Foderstater!$U$56:$AD$83,MATCH(E375,Foderstater!$R$56:$R$83,0),MATCH(A375&amp;C375&amp;D375,Foderstater!$U$55:$AD$55,0))</f>
        <v>3.4789898578450962</v>
      </c>
      <c r="J375" s="159"/>
      <c r="K375" s="159"/>
    </row>
    <row r="376" spans="1:11" x14ac:dyDescent="0.25">
      <c r="A376" t="s">
        <v>38</v>
      </c>
      <c r="D376" t="s">
        <v>35</v>
      </c>
      <c r="E376" t="s">
        <v>498</v>
      </c>
      <c r="H376" t="s">
        <v>326</v>
      </c>
      <c r="I376" s="13">
        <f>INDEX(Foderstater!$U$56:$AD$83,MATCH(E376,Foderstater!$R$56:$R$83,0),MATCH(A376&amp;C376&amp;D376,Foderstater!$U$55:$AD$55,0))</f>
        <v>0</v>
      </c>
      <c r="J376" s="159"/>
      <c r="K376" s="159"/>
    </row>
    <row r="377" spans="1:11" x14ac:dyDescent="0.25">
      <c r="A377" t="s">
        <v>38</v>
      </c>
      <c r="D377" t="s">
        <v>35</v>
      </c>
      <c r="E377" t="s">
        <v>499</v>
      </c>
      <c r="H377" t="s">
        <v>326</v>
      </c>
      <c r="I377" s="13">
        <f>INDEX(Foderstater!$U$56:$AD$83,MATCH(E377,Foderstater!$R$56:$R$83,0),MATCH(A377&amp;C377&amp;D377,Foderstater!$U$55:$AD$55,0))</f>
        <v>2.9860883502482297E-2</v>
      </c>
      <c r="J377" s="159"/>
      <c r="K377" s="159"/>
    </row>
    <row r="378" spans="1:11" x14ac:dyDescent="0.25">
      <c r="A378" t="s">
        <v>38</v>
      </c>
      <c r="D378" t="s">
        <v>35</v>
      </c>
      <c r="E378" t="s">
        <v>468</v>
      </c>
      <c r="H378" t="s">
        <v>326</v>
      </c>
      <c r="I378" s="13">
        <f>INDEX(Foderstater!$U$56:$AD$83,MATCH(E378,Foderstater!$R$56:$R$83,0),MATCH(A378&amp;C378&amp;D378,Foderstater!$U$55:$AD$55,0))</f>
        <v>1.2676767287415975</v>
      </c>
      <c r="J378" s="159"/>
      <c r="K378" s="159"/>
    </row>
    <row r="379" spans="1:11" x14ac:dyDescent="0.25">
      <c r="A379" t="s">
        <v>38</v>
      </c>
      <c r="D379" t="s">
        <v>35</v>
      </c>
      <c r="E379" t="s">
        <v>502</v>
      </c>
      <c r="H379" t="s">
        <v>326</v>
      </c>
      <c r="I379" s="13">
        <f>INDEX(Foderstater!$U$56:$AD$83,MATCH(E379,Foderstater!$R$56:$R$83,0),MATCH(A379&amp;C379&amp;D379,Foderstater!$U$55:$AD$55,0))</f>
        <v>1.2321396453293407</v>
      </c>
      <c r="J379" s="159"/>
      <c r="K379" s="159"/>
    </row>
    <row r="380" spans="1:11" x14ac:dyDescent="0.25">
      <c r="A380" t="s">
        <v>38</v>
      </c>
      <c r="D380" t="s">
        <v>35</v>
      </c>
      <c r="E380" t="s">
        <v>504</v>
      </c>
      <c r="H380" t="s">
        <v>326</v>
      </c>
      <c r="I380" s="13">
        <f>INDEX(Foderstater!$U$56:$AD$83,MATCH(E380,Foderstater!$R$56:$R$83,0),MATCH(A380&amp;C380&amp;D380,Foderstater!$U$55:$AD$55,0))</f>
        <v>0.50261957176929339</v>
      </c>
      <c r="J380" s="159"/>
      <c r="K380" s="159"/>
    </row>
    <row r="381" spans="1:11" x14ac:dyDescent="0.25">
      <c r="A381" t="s">
        <v>38</v>
      </c>
      <c r="D381" t="s">
        <v>35</v>
      </c>
      <c r="E381" t="s">
        <v>431</v>
      </c>
      <c r="H381" t="s">
        <v>326</v>
      </c>
      <c r="I381" s="13">
        <f>INDEX(Foderstater!$U$56:$AD$83,MATCH(E381,Foderstater!$R$56:$R$83,0),MATCH(A381&amp;C381&amp;D381,Foderstater!$U$55:$AD$55,0))</f>
        <v>0.14133294891292425</v>
      </c>
      <c r="J381" s="159"/>
      <c r="K381" s="159"/>
    </row>
    <row r="382" spans="1:11" x14ac:dyDescent="0.25">
      <c r="A382" t="s">
        <v>38</v>
      </c>
      <c r="D382" t="s">
        <v>35</v>
      </c>
      <c r="E382" t="s">
        <v>435</v>
      </c>
      <c r="H382" t="s">
        <v>326</v>
      </c>
      <c r="I382" s="13">
        <f>INDEX(Foderstater!$U$56:$AD$83,MATCH(E382,Foderstater!$R$56:$R$83,0),MATCH(A382&amp;C382&amp;D382,Foderstater!$U$55:$AD$55,0))</f>
        <v>0.33668778662955168</v>
      </c>
      <c r="J382" s="159"/>
      <c r="K382" s="159"/>
    </row>
    <row r="383" spans="1:11" x14ac:dyDescent="0.25">
      <c r="A383" t="s">
        <v>38</v>
      </c>
      <c r="D383" t="s">
        <v>35</v>
      </c>
      <c r="E383" t="s">
        <v>500</v>
      </c>
      <c r="H383" t="s">
        <v>326</v>
      </c>
      <c r="I383" s="13">
        <f>INDEX(Foderstater!$U$56:$AD$83,MATCH(E383,Foderstater!$R$56:$R$83,0),MATCH(A383&amp;C383&amp;D383,Foderstater!$U$55:$AD$55,0))</f>
        <v>0.11471466363546844</v>
      </c>
      <c r="J383" s="159"/>
      <c r="K383" s="159"/>
    </row>
    <row r="384" spans="1:11" x14ac:dyDescent="0.25">
      <c r="A384" t="s">
        <v>38</v>
      </c>
      <c r="D384" t="s">
        <v>35</v>
      </c>
      <c r="E384" t="s">
        <v>501</v>
      </c>
      <c r="H384" t="s">
        <v>326</v>
      </c>
      <c r="I384" s="13">
        <f>INDEX(Foderstater!$U$56:$AD$83,MATCH(E384,Foderstater!$R$56:$R$83,0),MATCH(A384&amp;C384&amp;D384,Foderstater!$U$55:$AD$55,0))</f>
        <v>5.8016228139711724E-2</v>
      </c>
      <c r="J384" s="159"/>
      <c r="K384" s="159"/>
    </row>
    <row r="385" spans="1:11" x14ac:dyDescent="0.25">
      <c r="A385" t="s">
        <v>38</v>
      </c>
      <c r="D385" t="s">
        <v>35</v>
      </c>
      <c r="E385" t="s">
        <v>503</v>
      </c>
      <c r="H385" t="s">
        <v>326</v>
      </c>
      <c r="I385" s="13">
        <f>INDEX(Foderstater!$U$56:$AD$83,MATCH(E385,Foderstater!$R$56:$R$83,0),MATCH(A385&amp;C385&amp;D385,Foderstater!$U$55:$AD$55,0))</f>
        <v>0.14739522877318739</v>
      </c>
      <c r="J385" s="159"/>
      <c r="K385" s="159"/>
    </row>
    <row r="386" spans="1:11" x14ac:dyDescent="0.25">
      <c r="A386" t="s">
        <v>38</v>
      </c>
      <c r="D386" t="s">
        <v>35</v>
      </c>
      <c r="E386" t="s">
        <v>430</v>
      </c>
      <c r="H386" t="s">
        <v>326</v>
      </c>
      <c r="I386" s="13">
        <f>INDEX(Foderstater!$U$56:$AD$83,MATCH(E386,Foderstater!$R$56:$R$83,0),MATCH(A386&amp;C386&amp;D386,Foderstater!$U$55:$AD$55,0))</f>
        <v>0.3999503550702303</v>
      </c>
      <c r="J386" s="159"/>
      <c r="K386" s="159"/>
    </row>
    <row r="387" spans="1:11" x14ac:dyDescent="0.25">
      <c r="A387" t="s">
        <v>38</v>
      </c>
      <c r="D387" t="s">
        <v>35</v>
      </c>
      <c r="E387" t="s">
        <v>505</v>
      </c>
      <c r="H387" t="s">
        <v>326</v>
      </c>
      <c r="I387" s="13">
        <f>INDEX(Foderstater!$U$56:$AD$83,MATCH(E387,Foderstater!$R$56:$R$83,0),MATCH(A387&amp;C387&amp;D387,Foderstater!$U$55:$AD$55,0))</f>
        <v>1.440554116649367E-2</v>
      </c>
    </row>
    <row r="388" spans="1:11" x14ac:dyDescent="0.25">
      <c r="A388" t="s">
        <v>38</v>
      </c>
      <c r="D388" t="s">
        <v>35</v>
      </c>
      <c r="E388" t="s">
        <v>506</v>
      </c>
      <c r="H388" t="s">
        <v>326</v>
      </c>
      <c r="I388" s="13">
        <f>INDEX(Foderstater!$U$56:$AD$83,MATCH(E388,Foderstater!$R$56:$R$83,0),MATCH(A388&amp;C388&amp;D388,Foderstater!$U$55:$AD$55,0))</f>
        <v>8.9328030506468023E-3</v>
      </c>
    </row>
    <row r="389" spans="1:11" x14ac:dyDescent="0.25">
      <c r="A389" t="s">
        <v>38</v>
      </c>
      <c r="D389" t="s">
        <v>35</v>
      </c>
      <c r="E389" t="s">
        <v>507</v>
      </c>
      <c r="H389" t="s">
        <v>326</v>
      </c>
      <c r="I389" s="13">
        <f>INDEX(Foderstater!$U$56:$AD$83,MATCH(E389,Foderstater!$R$56:$R$83,0),MATCH(A389&amp;C389&amp;D389,Foderstater!$U$55:$AD$55,0))</f>
        <v>9.9253367229408854E-4</v>
      </c>
    </row>
    <row r="390" spans="1:11" x14ac:dyDescent="0.25">
      <c r="A390" t="s">
        <v>38</v>
      </c>
      <c r="D390" t="s">
        <v>35</v>
      </c>
      <c r="E390" t="s">
        <v>508</v>
      </c>
      <c r="H390" t="s">
        <v>326</v>
      </c>
      <c r="I390" s="13">
        <f>INDEX(Foderstater!$U$56:$AD$83,MATCH(E390,Foderstater!$R$56:$R$83,0),MATCH(A390&amp;C390&amp;D390,Foderstater!$U$55:$AD$55,0))</f>
        <v>8.213952477230968E-2</v>
      </c>
    </row>
    <row r="391" spans="1:11" x14ac:dyDescent="0.25">
      <c r="A391" t="s">
        <v>38</v>
      </c>
      <c r="D391" t="s">
        <v>35</v>
      </c>
      <c r="E391" t="s">
        <v>452</v>
      </c>
      <c r="H391" t="s">
        <v>326</v>
      </c>
      <c r="I391" s="13">
        <f>INDEX(Foderstater!$U$56:$AD$83,MATCH(E391,Foderstater!$R$56:$R$83,0),MATCH(A391&amp;C391&amp;D391,Foderstater!$U$55:$AD$55,0))</f>
        <v>0.15292217782221385</v>
      </c>
    </row>
    <row r="392" spans="1:11" x14ac:dyDescent="0.25">
      <c r="A392" t="s">
        <v>38</v>
      </c>
      <c r="D392" t="s">
        <v>35</v>
      </c>
      <c r="E392" t="s">
        <v>434</v>
      </c>
      <c r="H392" t="s">
        <v>326</v>
      </c>
      <c r="I392" s="13">
        <f>INDEX(Foderstater!$U$56:$AD$83,MATCH(E392,Foderstater!$R$56:$R$83,0),MATCH(A392&amp;C392&amp;D392,Foderstater!$U$55:$AD$55,0))</f>
        <v>0.14960153780340887</v>
      </c>
    </row>
    <row r="393" spans="1:11" x14ac:dyDescent="0.25">
      <c r="A393" t="s">
        <v>38</v>
      </c>
      <c r="D393" t="s">
        <v>35</v>
      </c>
      <c r="E393" t="s">
        <v>509</v>
      </c>
      <c r="H393" t="s">
        <v>326</v>
      </c>
      <c r="I393" s="13">
        <f>INDEX(Foderstater!$U$56:$AD$83,MATCH(E393,Foderstater!$R$56:$R$83,0),MATCH(A393&amp;C393&amp;D393,Foderstater!$U$55:$AD$55,0))</f>
        <v>8.3111965446338212E-2</v>
      </c>
    </row>
    <row r="394" spans="1:11" x14ac:dyDescent="0.25">
      <c r="J394" s="159"/>
      <c r="K394" s="159"/>
    </row>
    <row r="395" spans="1:11" x14ac:dyDescent="0.25">
      <c r="A395" s="159" t="s">
        <v>38</v>
      </c>
      <c r="B395" s="159"/>
      <c r="C395" s="159" t="s">
        <v>432</v>
      </c>
      <c r="D395" s="159" t="s">
        <v>35</v>
      </c>
      <c r="H395" s="159" t="s">
        <v>326</v>
      </c>
      <c r="I395" s="159">
        <v>0</v>
      </c>
      <c r="J395" s="159"/>
      <c r="K395" s="159" t="s">
        <v>426</v>
      </c>
    </row>
    <row r="396" spans="1:11" x14ac:dyDescent="0.25">
      <c r="A396" t="s">
        <v>38</v>
      </c>
      <c r="C396" t="s">
        <v>432</v>
      </c>
      <c r="D396" t="s">
        <v>35</v>
      </c>
      <c r="E396" t="s">
        <v>436</v>
      </c>
      <c r="H396" t="s">
        <v>326</v>
      </c>
      <c r="I396" s="2">
        <f>INDEX(Foderstater!$U$56:$AD$83,MATCH(E396,Foderstater!$R$56:$R$83,0),MATCH(A396&amp;C396&amp;D396,Foderstater!$U$55:$AD$55,0))</f>
        <v>56.175982718049596</v>
      </c>
      <c r="J396" s="159"/>
      <c r="K396" s="159"/>
    </row>
    <row r="397" spans="1:11" x14ac:dyDescent="0.25">
      <c r="A397" t="s">
        <v>38</v>
      </c>
      <c r="C397" t="s">
        <v>432</v>
      </c>
      <c r="D397" t="s">
        <v>35</v>
      </c>
      <c r="E397" t="s">
        <v>437</v>
      </c>
      <c r="H397" t="s">
        <v>326</v>
      </c>
      <c r="I397" s="13">
        <f>INDEX(Foderstater!$U$56:$AD$83,MATCH(E397,Foderstater!$R$56:$R$83,0),MATCH(A397&amp;C397&amp;D397,Foderstater!$U$55:$AD$55,0))</f>
        <v>0</v>
      </c>
      <c r="J397" s="159"/>
      <c r="K397" s="159"/>
    </row>
    <row r="398" spans="1:11" x14ac:dyDescent="0.25">
      <c r="A398" t="s">
        <v>38</v>
      </c>
      <c r="C398" t="s">
        <v>432</v>
      </c>
      <c r="D398" t="s">
        <v>35</v>
      </c>
      <c r="E398" t="s">
        <v>438</v>
      </c>
      <c r="H398" t="s">
        <v>326</v>
      </c>
      <c r="I398" s="13">
        <f>INDEX(Foderstater!$U$56:$AD$83,MATCH(E398,Foderstater!$R$56:$R$83,0),MATCH(A398&amp;C398&amp;D398,Foderstater!$U$55:$AD$55,0))</f>
        <v>0</v>
      </c>
      <c r="J398" s="159"/>
      <c r="K398" s="159"/>
    </row>
    <row r="399" spans="1:11" x14ac:dyDescent="0.25">
      <c r="A399" t="s">
        <v>38</v>
      </c>
      <c r="C399" t="s">
        <v>432</v>
      </c>
      <c r="D399" t="s">
        <v>35</v>
      </c>
      <c r="E399" t="s">
        <v>433</v>
      </c>
      <c r="H399" t="s">
        <v>326</v>
      </c>
      <c r="I399" s="13">
        <f>INDEX(Foderstater!$U$56:$AD$83,MATCH(E399,Foderstater!$R$56:$R$83,0),MATCH(A399&amp;C399&amp;D399,Foderstater!$U$55:$AD$55,0))</f>
        <v>13.115765922154072</v>
      </c>
      <c r="J399" s="159"/>
      <c r="K399" s="159"/>
    </row>
    <row r="400" spans="1:11" x14ac:dyDescent="0.25">
      <c r="A400" t="s">
        <v>38</v>
      </c>
      <c r="C400" t="s">
        <v>432</v>
      </c>
      <c r="D400" t="s">
        <v>35</v>
      </c>
      <c r="E400" t="s">
        <v>428</v>
      </c>
      <c r="H400" t="s">
        <v>326</v>
      </c>
      <c r="I400" s="13">
        <f>INDEX(Foderstater!$U$56:$AD$83,MATCH(E400,Foderstater!$R$56:$R$83,0),MATCH(A400&amp;C400&amp;D400,Foderstater!$U$55:$AD$55,0))</f>
        <v>0</v>
      </c>
      <c r="J400" s="159"/>
      <c r="K400" s="159"/>
    </row>
    <row r="401" spans="1:11" x14ac:dyDescent="0.25">
      <c r="A401" t="s">
        <v>38</v>
      </c>
      <c r="C401" t="s">
        <v>432</v>
      </c>
      <c r="D401" t="s">
        <v>35</v>
      </c>
      <c r="E401" t="s">
        <v>425</v>
      </c>
      <c r="H401" t="s">
        <v>326</v>
      </c>
      <c r="I401" s="2">
        <f>INDEX(Foderstater!$U$56:$AD$83,MATCH(E401,Foderstater!$R$56:$R$83,0),MATCH(A401&amp;C401&amp;D401,Foderstater!$U$55:$AD$55,0))</f>
        <v>0</v>
      </c>
      <c r="J401" s="159"/>
      <c r="K401" s="159"/>
    </row>
    <row r="402" spans="1:11" x14ac:dyDescent="0.25">
      <c r="A402" t="s">
        <v>38</v>
      </c>
      <c r="C402" t="s">
        <v>432</v>
      </c>
      <c r="D402" t="s">
        <v>35</v>
      </c>
      <c r="E402" t="s">
        <v>395</v>
      </c>
      <c r="H402" t="s">
        <v>326</v>
      </c>
      <c r="I402" s="13">
        <f>INDEX(Foderstater!$U$56:$AD$83,MATCH(E402,Foderstater!$R$56:$R$83,0),MATCH(A402&amp;C402&amp;D402,Foderstater!$U$55:$AD$55,0))</f>
        <v>6.4239515794862037</v>
      </c>
      <c r="J402" s="159"/>
      <c r="K402" s="159"/>
    </row>
    <row r="403" spans="1:11" x14ac:dyDescent="0.25">
      <c r="A403" t="s">
        <v>38</v>
      </c>
      <c r="C403" t="s">
        <v>432</v>
      </c>
      <c r="D403" t="s">
        <v>35</v>
      </c>
      <c r="E403" t="s">
        <v>513</v>
      </c>
      <c r="H403" t="s">
        <v>326</v>
      </c>
      <c r="I403" s="13">
        <f>INDEX(Foderstater!$U$56:$AD$83,MATCH(E403,Foderstater!$R$56:$R$83,0),MATCH(A403&amp;C403&amp;D403,Foderstater!$U$55:$AD$55,0))</f>
        <v>5.1013876253121104</v>
      </c>
      <c r="J403" s="159"/>
      <c r="K403" s="159"/>
    </row>
    <row r="404" spans="1:11" x14ac:dyDescent="0.25">
      <c r="A404" t="s">
        <v>38</v>
      </c>
      <c r="C404" t="s">
        <v>432</v>
      </c>
      <c r="D404" t="s">
        <v>35</v>
      </c>
      <c r="E404" t="s">
        <v>429</v>
      </c>
      <c r="H404" t="s">
        <v>326</v>
      </c>
      <c r="I404" s="2">
        <f>INDEX(Foderstater!$U$56:$AD$83,MATCH(E404,Foderstater!$R$56:$R$83,0),MATCH(A404&amp;C404&amp;D404,Foderstater!$U$55:$AD$55,0))</f>
        <v>13.185764834849451</v>
      </c>
      <c r="J404" s="159"/>
      <c r="K404" s="159"/>
    </row>
    <row r="405" spans="1:11" x14ac:dyDescent="0.25">
      <c r="A405" t="s">
        <v>38</v>
      </c>
      <c r="C405" t="s">
        <v>432</v>
      </c>
      <c r="D405" t="s">
        <v>35</v>
      </c>
      <c r="E405" t="s">
        <v>469</v>
      </c>
      <c r="H405" t="s">
        <v>326</v>
      </c>
      <c r="I405" s="13">
        <f>INDEX(Foderstater!$U$56:$AD$83,MATCH(E405,Foderstater!$R$56:$R$83,0),MATCH(A405&amp;C405&amp;D405,Foderstater!$U$55:$AD$55,0))</f>
        <v>2.7249566014817326</v>
      </c>
      <c r="J405" s="159"/>
      <c r="K405" s="159"/>
    </row>
    <row r="406" spans="1:11" x14ac:dyDescent="0.25">
      <c r="A406" t="s">
        <v>38</v>
      </c>
      <c r="C406" t="s">
        <v>432</v>
      </c>
      <c r="D406" t="s">
        <v>35</v>
      </c>
      <c r="E406" t="s">
        <v>498</v>
      </c>
      <c r="H406" t="s">
        <v>326</v>
      </c>
      <c r="I406" s="13">
        <f>INDEX(Foderstater!$U$56:$AD$83,MATCH(E406,Foderstater!$R$56:$R$83,0),MATCH(A406&amp;C406&amp;D406,Foderstater!$U$55:$AD$55,0))</f>
        <v>0</v>
      </c>
      <c r="J406" s="159"/>
      <c r="K406" s="159"/>
    </row>
    <row r="407" spans="1:11" x14ac:dyDescent="0.25">
      <c r="A407" t="s">
        <v>38</v>
      </c>
      <c r="C407" t="s">
        <v>432</v>
      </c>
      <c r="D407" t="s">
        <v>35</v>
      </c>
      <c r="E407" t="s">
        <v>499</v>
      </c>
      <c r="H407" t="s">
        <v>326</v>
      </c>
      <c r="I407" s="13">
        <f>INDEX(Foderstater!$U$56:$AD$83,MATCH(E407,Foderstater!$R$56:$R$83,0),MATCH(A407&amp;C407&amp;D407,Foderstater!$U$55:$AD$55,0))</f>
        <v>0</v>
      </c>
      <c r="J407" s="159"/>
      <c r="K407" s="159"/>
    </row>
    <row r="408" spans="1:11" x14ac:dyDescent="0.25">
      <c r="A408" t="s">
        <v>38</v>
      </c>
      <c r="C408" t="s">
        <v>432</v>
      </c>
      <c r="D408" t="s">
        <v>35</v>
      </c>
      <c r="E408" t="s">
        <v>468</v>
      </c>
      <c r="H408" t="s">
        <v>326</v>
      </c>
      <c r="I408" s="13">
        <f>INDEX(Foderstater!$U$56:$AD$83,MATCH(E408,Foderstater!$R$56:$R$83,0),MATCH(A408&amp;C408&amp;D408,Foderstater!$U$55:$AD$55,0))</f>
        <v>1.6787180022812531</v>
      </c>
      <c r="J408" s="159"/>
      <c r="K408" s="159"/>
    </row>
    <row r="409" spans="1:11" x14ac:dyDescent="0.25">
      <c r="A409" t="s">
        <v>38</v>
      </c>
      <c r="C409" t="s">
        <v>432</v>
      </c>
      <c r="D409" t="s">
        <v>35</v>
      </c>
      <c r="E409" t="s">
        <v>502</v>
      </c>
      <c r="H409" t="s">
        <v>326</v>
      </c>
      <c r="I409" s="13">
        <f>INDEX(Foderstater!$U$56:$AD$83,MATCH(E409,Foderstater!$R$56:$R$83,0),MATCH(A409&amp;C409&amp;D409,Foderstater!$U$55:$AD$55,0))</f>
        <v>1.5934727163855678</v>
      </c>
      <c r="J409" s="159"/>
      <c r="K409" s="159"/>
    </row>
    <row r="410" spans="1:11" x14ac:dyDescent="0.25">
      <c r="A410" t="s">
        <v>38</v>
      </c>
      <c r="C410" t="s">
        <v>432</v>
      </c>
      <c r="D410" t="s">
        <v>35</v>
      </c>
      <c r="E410" t="s">
        <v>504</v>
      </c>
      <c r="H410" t="s">
        <v>326</v>
      </c>
      <c r="I410" s="13">
        <f>INDEX(Foderstater!$U$56:$AD$83,MATCH(E410,Foderstater!$R$56:$R$83,0),MATCH(A410&amp;C410&amp;D410,Foderstater!$U$55:$AD$55,0))</f>
        <v>0</v>
      </c>
      <c r="J410" s="159"/>
      <c r="K410" s="159"/>
    </row>
    <row r="411" spans="1:11" x14ac:dyDescent="0.25">
      <c r="A411" t="s">
        <v>38</v>
      </c>
      <c r="C411" t="s">
        <v>432</v>
      </c>
      <c r="D411" t="s">
        <v>35</v>
      </c>
      <c r="E411" t="s">
        <v>431</v>
      </c>
      <c r="H411" t="s">
        <v>326</v>
      </c>
      <c r="I411" s="13">
        <f>INDEX(Foderstater!$U$56:$AD$83,MATCH(E411,Foderstater!$R$56:$R$83,0),MATCH(A411&amp;C411&amp;D411,Foderstater!$U$55:$AD$55,0))</f>
        <v>0</v>
      </c>
      <c r="J411" s="159"/>
      <c r="K411" s="159"/>
    </row>
    <row r="412" spans="1:11" x14ac:dyDescent="0.25">
      <c r="A412" t="s">
        <v>38</v>
      </c>
      <c r="C412" t="s">
        <v>432</v>
      </c>
      <c r="D412" t="s">
        <v>35</v>
      </c>
      <c r="E412" t="s">
        <v>435</v>
      </c>
      <c r="H412" t="s">
        <v>326</v>
      </c>
      <c r="I412" s="13">
        <f>INDEX(Foderstater!$U$56:$AD$83,MATCH(E412,Foderstater!$R$56:$R$83,0),MATCH(A412&amp;C412&amp;D412,Foderstater!$U$55:$AD$55,0))</f>
        <v>0</v>
      </c>
      <c r="J412" s="159"/>
      <c r="K412" s="159"/>
    </row>
    <row r="413" spans="1:11" x14ac:dyDescent="0.25">
      <c r="A413" t="s">
        <v>38</v>
      </c>
      <c r="C413" t="s">
        <v>432</v>
      </c>
      <c r="D413" t="s">
        <v>35</v>
      </c>
      <c r="E413" t="s">
        <v>500</v>
      </c>
      <c r="H413" t="s">
        <v>326</v>
      </c>
      <c r="I413" s="13">
        <f>INDEX(Foderstater!$U$56:$AD$83,MATCH(E413,Foderstater!$R$56:$R$83,0),MATCH(A413&amp;C413&amp;D413,Foderstater!$U$55:$AD$55,0))</f>
        <v>0</v>
      </c>
      <c r="J413" s="159"/>
      <c r="K413" s="159"/>
    </row>
    <row r="414" spans="1:11" x14ac:dyDescent="0.25">
      <c r="A414" t="s">
        <v>38</v>
      </c>
      <c r="C414" t="s">
        <v>432</v>
      </c>
      <c r="D414" t="s">
        <v>35</v>
      </c>
      <c r="E414" t="s">
        <v>501</v>
      </c>
      <c r="H414" t="s">
        <v>326</v>
      </c>
      <c r="I414" s="13">
        <f>INDEX(Foderstater!$U$56:$AD$83,MATCH(E414,Foderstater!$R$56:$R$83,0),MATCH(A414&amp;C414&amp;D414,Foderstater!$U$55:$AD$55,0))</f>
        <v>0</v>
      </c>
      <c r="J414" s="159"/>
      <c r="K414" s="159"/>
    </row>
    <row r="415" spans="1:11" x14ac:dyDescent="0.25">
      <c r="A415" t="s">
        <v>38</v>
      </c>
      <c r="C415" t="s">
        <v>432</v>
      </c>
      <c r="D415" t="s">
        <v>35</v>
      </c>
      <c r="E415" t="s">
        <v>503</v>
      </c>
      <c r="H415" t="s">
        <v>326</v>
      </c>
      <c r="I415" s="13">
        <f>INDEX(Foderstater!$U$56:$AD$83,MATCH(E415,Foderstater!$R$56:$R$83,0),MATCH(A415&amp;C415&amp;D415,Foderstater!$U$55:$AD$55,0))</f>
        <v>0</v>
      </c>
      <c r="J415" s="159"/>
      <c r="K415" s="159"/>
    </row>
    <row r="416" spans="1:11" x14ac:dyDescent="0.25">
      <c r="A416" t="s">
        <v>38</v>
      </c>
      <c r="C416" t="s">
        <v>432</v>
      </c>
      <c r="D416" t="s">
        <v>35</v>
      </c>
      <c r="E416" t="s">
        <v>430</v>
      </c>
      <c r="H416" t="s">
        <v>326</v>
      </c>
      <c r="I416" s="13">
        <f>INDEX(Foderstater!$U$56:$AD$83,MATCH(E416,Foderstater!$R$56:$R$83,0),MATCH(A416&amp;C416&amp;D416,Foderstater!$U$55:$AD$55,0))</f>
        <v>0</v>
      </c>
      <c r="J416" s="159"/>
      <c r="K416" s="159"/>
    </row>
    <row r="417" spans="1:12" x14ac:dyDescent="0.25">
      <c r="A417" t="s">
        <v>38</v>
      </c>
      <c r="C417" t="s">
        <v>432</v>
      </c>
      <c r="D417" t="s">
        <v>35</v>
      </c>
      <c r="E417" t="s">
        <v>505</v>
      </c>
      <c r="H417" t="s">
        <v>326</v>
      </c>
      <c r="I417" s="13">
        <f>INDEX(Foderstater!$U$56:$AD$83,MATCH(E417,Foderstater!$R$56:$R$83,0),MATCH(A417&amp;C417&amp;D417,Foderstater!$U$55:$AD$55,0))</f>
        <v>0</v>
      </c>
    </row>
    <row r="418" spans="1:12" x14ac:dyDescent="0.25">
      <c r="A418" t="s">
        <v>38</v>
      </c>
      <c r="C418" t="s">
        <v>432</v>
      </c>
      <c r="D418" t="s">
        <v>35</v>
      </c>
      <c r="E418" t="s">
        <v>506</v>
      </c>
      <c r="H418" t="s">
        <v>326</v>
      </c>
      <c r="I418" s="13">
        <f>INDEX(Foderstater!$U$56:$AD$83,MATCH(E418,Foderstater!$R$56:$R$83,0),MATCH(A418&amp;C418&amp;D418,Foderstater!$U$55:$AD$55,0))</f>
        <v>0</v>
      </c>
    </row>
    <row r="419" spans="1:12" x14ac:dyDescent="0.25">
      <c r="A419" t="s">
        <v>38</v>
      </c>
      <c r="C419" t="s">
        <v>432</v>
      </c>
      <c r="D419" t="s">
        <v>35</v>
      </c>
      <c r="E419" t="s">
        <v>507</v>
      </c>
      <c r="H419" t="s">
        <v>326</v>
      </c>
      <c r="I419" s="13">
        <f>INDEX(Foderstater!$U$56:$AD$83,MATCH(E419,Foderstater!$R$56:$R$83,0),MATCH(A419&amp;C419&amp;D419,Foderstater!$U$55:$AD$55,0))</f>
        <v>0</v>
      </c>
    </row>
    <row r="420" spans="1:12" x14ac:dyDescent="0.25">
      <c r="A420" t="s">
        <v>38</v>
      </c>
      <c r="C420" t="s">
        <v>432</v>
      </c>
      <c r="D420" t="s">
        <v>35</v>
      </c>
      <c r="E420" t="s">
        <v>508</v>
      </c>
      <c r="H420" t="s">
        <v>326</v>
      </c>
      <c r="I420" s="13">
        <f>INDEX(Foderstater!$U$56:$AD$83,MATCH(E420,Foderstater!$R$56:$R$83,0),MATCH(A420&amp;C420&amp;D420,Foderstater!$U$55:$AD$55,0))</f>
        <v>0</v>
      </c>
    </row>
    <row r="421" spans="1:12" x14ac:dyDescent="0.25">
      <c r="A421" t="s">
        <v>38</v>
      </c>
      <c r="C421" t="s">
        <v>432</v>
      </c>
      <c r="D421" t="s">
        <v>35</v>
      </c>
      <c r="E421" t="s">
        <v>452</v>
      </c>
      <c r="H421" t="s">
        <v>326</v>
      </c>
      <c r="I421" s="13">
        <f>INDEX(Foderstater!$U$56:$AD$83,MATCH(E421,Foderstater!$R$56:$R$83,0),MATCH(A421&amp;C421&amp;D421,Foderstater!$U$55:$AD$55,0))</f>
        <v>0</v>
      </c>
    </row>
    <row r="422" spans="1:12" x14ac:dyDescent="0.25">
      <c r="A422" t="s">
        <v>38</v>
      </c>
      <c r="C422" t="s">
        <v>432</v>
      </c>
      <c r="D422" t="s">
        <v>35</v>
      </c>
      <c r="E422" t="s">
        <v>434</v>
      </c>
      <c r="H422" t="s">
        <v>326</v>
      </c>
      <c r="I422" s="13">
        <f>INDEX(Foderstater!$U$56:$AD$83,MATCH(E422,Foderstater!$R$56:$R$83,0),MATCH(A422&amp;C422&amp;D422,Foderstater!$U$55:$AD$55,0))</f>
        <v>0</v>
      </c>
    </row>
    <row r="423" spans="1:12" x14ac:dyDescent="0.25">
      <c r="A423" t="s">
        <v>38</v>
      </c>
      <c r="C423" t="s">
        <v>432</v>
      </c>
      <c r="D423" t="s">
        <v>35</v>
      </c>
      <c r="E423" t="s">
        <v>509</v>
      </c>
      <c r="H423" t="s">
        <v>326</v>
      </c>
      <c r="I423" s="13">
        <f>INDEX(Foderstater!$U$56:$AD$83,MATCH(E423,Foderstater!$R$56:$R$83,0),MATCH(A423&amp;C423&amp;D423,Foderstater!$U$55:$AD$55,0))</f>
        <v>0</v>
      </c>
    </row>
    <row r="425" spans="1:12" x14ac:dyDescent="0.25">
      <c r="A425" s="158" t="s">
        <v>305</v>
      </c>
      <c r="B425" s="158"/>
      <c r="C425" s="158"/>
      <c r="D425" s="95"/>
      <c r="E425" s="95"/>
      <c r="F425" s="95"/>
      <c r="G425" s="95"/>
      <c r="H425" s="95"/>
      <c r="I425" s="95"/>
      <c r="J425" s="95"/>
      <c r="K425" s="95"/>
      <c r="L425" s="95"/>
    </row>
    <row r="426" spans="1:12" x14ac:dyDescent="0.25">
      <c r="A426" s="93" t="s">
        <v>2</v>
      </c>
      <c r="D426" s="93" t="s">
        <v>18</v>
      </c>
      <c r="E426" s="93"/>
      <c r="F426" s="93"/>
      <c r="G426" s="93"/>
      <c r="H426" s="93" t="s">
        <v>40</v>
      </c>
      <c r="I426" s="93">
        <v>7.1</v>
      </c>
      <c r="J426" s="93" t="s">
        <v>4</v>
      </c>
      <c r="K426" s="93"/>
      <c r="L426" s="93" t="s">
        <v>41</v>
      </c>
    </row>
    <row r="427" spans="1:12" x14ac:dyDescent="0.25">
      <c r="A427" s="93" t="s">
        <v>38</v>
      </c>
      <c r="D427" s="93" t="s">
        <v>18</v>
      </c>
      <c r="E427" s="93"/>
      <c r="F427" s="93"/>
      <c r="G427" s="93"/>
      <c r="H427" s="93" t="s">
        <v>40</v>
      </c>
      <c r="I427" s="93">
        <v>5.0999999999999996</v>
      </c>
      <c r="J427" s="93" t="s">
        <v>4</v>
      </c>
      <c r="K427" s="93"/>
      <c r="L427" s="93" t="s">
        <v>41</v>
      </c>
    </row>
    <row r="428" spans="1:12" x14ac:dyDescent="0.25">
      <c r="A428" s="93"/>
      <c r="D428" s="93" t="s">
        <v>33</v>
      </c>
      <c r="E428" s="93"/>
      <c r="F428" s="93"/>
      <c r="G428" s="93"/>
      <c r="H428" s="93" t="s">
        <v>40</v>
      </c>
      <c r="I428" s="93">
        <v>5.7</v>
      </c>
      <c r="J428" s="93" t="s">
        <v>4</v>
      </c>
      <c r="K428" s="93"/>
      <c r="L428" s="93" t="s">
        <v>41</v>
      </c>
    </row>
    <row r="429" spans="1:12" x14ac:dyDescent="0.25">
      <c r="A429" s="93"/>
      <c r="D429" s="93" t="s">
        <v>20</v>
      </c>
      <c r="E429" s="93"/>
      <c r="F429" s="93"/>
      <c r="G429" s="93"/>
      <c r="H429" s="93" t="s">
        <v>40</v>
      </c>
      <c r="I429" s="93">
        <v>7.7</v>
      </c>
      <c r="J429" s="93" t="s">
        <v>4</v>
      </c>
      <c r="K429" s="93"/>
      <c r="L429" s="93" t="s">
        <v>41</v>
      </c>
    </row>
    <row r="430" spans="1:12" x14ac:dyDescent="0.25">
      <c r="A430" s="93"/>
      <c r="D430" s="93" t="s">
        <v>34</v>
      </c>
      <c r="E430" s="93"/>
      <c r="F430" s="93"/>
      <c r="G430" s="93"/>
      <c r="H430" s="93" t="s">
        <v>40</v>
      </c>
      <c r="I430" s="93">
        <v>9.1</v>
      </c>
      <c r="J430" s="93" t="s">
        <v>4</v>
      </c>
      <c r="K430" s="93" t="s">
        <v>42</v>
      </c>
      <c r="L430" s="93" t="s">
        <v>41</v>
      </c>
    </row>
    <row r="431" spans="1:12" x14ac:dyDescent="0.25">
      <c r="A431" s="93"/>
      <c r="D431" s="93" t="s">
        <v>35</v>
      </c>
      <c r="E431" s="93"/>
      <c r="F431" s="93"/>
      <c r="G431" s="93"/>
      <c r="H431" s="93" t="s">
        <v>40</v>
      </c>
      <c r="I431" s="93">
        <v>9.1</v>
      </c>
      <c r="J431" s="93" t="s">
        <v>4</v>
      </c>
      <c r="K431" s="93" t="s">
        <v>42</v>
      </c>
      <c r="L431" s="93" t="s">
        <v>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11"/>
  <sheetViews>
    <sheetView workbookViewId="0">
      <selection activeCell="G9" sqref="G9"/>
    </sheetView>
  </sheetViews>
  <sheetFormatPr defaultRowHeight="15" x14ac:dyDescent="0.25"/>
  <cols>
    <col min="1" max="1" width="12.5703125" customWidth="1"/>
    <col min="2" max="2" width="15.140625" bestFit="1" customWidth="1"/>
    <col min="3" max="3" width="15.140625" customWidth="1"/>
  </cols>
  <sheetData>
    <row r="1" spans="1:11" x14ac:dyDescent="0.25">
      <c r="A1" s="6" t="s">
        <v>51</v>
      </c>
      <c r="B1" s="6" t="s">
        <v>47</v>
      </c>
      <c r="C1" s="6" t="s">
        <v>307</v>
      </c>
      <c r="D1" s="6" t="s">
        <v>53</v>
      </c>
      <c r="E1" s="6" t="s">
        <v>56</v>
      </c>
      <c r="F1" s="6" t="s">
        <v>54</v>
      </c>
      <c r="G1" s="6" t="s">
        <v>57</v>
      </c>
      <c r="H1" s="6" t="s">
        <v>58</v>
      </c>
      <c r="I1" s="6" t="s">
        <v>59</v>
      </c>
      <c r="J1" s="6" t="s">
        <v>55</v>
      </c>
    </row>
    <row r="2" spans="1:11" x14ac:dyDescent="0.25">
      <c r="A2" t="s">
        <v>2</v>
      </c>
      <c r="B2" t="s">
        <v>43</v>
      </c>
      <c r="C2" t="s">
        <v>308</v>
      </c>
      <c r="D2">
        <v>1</v>
      </c>
      <c r="E2" s="1">
        <f>D2*1.01^5</f>
        <v>1.0510100500999999</v>
      </c>
      <c r="F2" s="1">
        <f>E2*1.0081^5</f>
        <v>1.0942711329791557</v>
      </c>
      <c r="G2" s="1">
        <f>F2*1.0061^5</f>
        <v>1.1280560721959558</v>
      </c>
      <c r="H2" s="1">
        <f>G2*1.004^5</f>
        <v>1.1507984060123795</v>
      </c>
      <c r="I2" s="1">
        <f>H2*1.002^5</f>
        <v>1.1623525141647169</v>
      </c>
      <c r="J2" s="1">
        <f>I2*1.001^5</f>
        <v>1.1681759118900195</v>
      </c>
      <c r="K2" s="2"/>
    </row>
    <row r="11" spans="1:11" x14ac:dyDescent="0.25">
      <c r="E11" s="1"/>
      <c r="F11" s="1"/>
      <c r="G11" s="1"/>
      <c r="H11" s="1"/>
      <c r="I11" s="1"/>
      <c r="J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04"/>
  <sheetViews>
    <sheetView topLeftCell="J13" zoomScale="80" zoomScaleNormal="80" workbookViewId="0">
      <selection activeCell="AN36" sqref="AN36:AN37"/>
    </sheetView>
  </sheetViews>
  <sheetFormatPr defaultRowHeight="15" x14ac:dyDescent="0.25"/>
  <cols>
    <col min="2" max="2" width="11.85546875" customWidth="1"/>
    <col min="3" max="3" width="10.140625" customWidth="1"/>
    <col min="4" max="4" width="12" customWidth="1"/>
    <col min="5" max="10" width="8.5703125" customWidth="1"/>
    <col min="12" max="14" width="8.5703125" customWidth="1"/>
    <col min="15" max="15" width="11.42578125" customWidth="1"/>
    <col min="16" max="18" width="8.5703125" customWidth="1"/>
    <col min="19" max="19" width="7.5703125" customWidth="1"/>
    <col min="20" max="21" width="8.5703125" customWidth="1"/>
    <col min="22" max="22" width="9" customWidth="1"/>
    <col min="23" max="25" width="8.5703125" customWidth="1"/>
    <col min="26" max="26" width="7.7109375" customWidth="1"/>
  </cols>
  <sheetData>
    <row r="2" spans="2:47" x14ac:dyDescent="0.25">
      <c r="B2" s="4" t="s">
        <v>61</v>
      </c>
      <c r="P2" s="5"/>
      <c r="Y2" s="4" t="s">
        <v>62</v>
      </c>
    </row>
    <row r="3" spans="2:47" x14ac:dyDescent="0.25">
      <c r="D3" s="6" t="s">
        <v>63</v>
      </c>
      <c r="F3" s="6" t="s">
        <v>64</v>
      </c>
      <c r="H3" s="6" t="s">
        <v>65</v>
      </c>
      <c r="J3" s="6" t="s">
        <v>66</v>
      </c>
      <c r="AA3" s="6" t="s">
        <v>63</v>
      </c>
      <c r="AC3" s="6" t="s">
        <v>64</v>
      </c>
      <c r="AE3" s="6" t="s">
        <v>65</v>
      </c>
      <c r="AG3" s="6" t="s">
        <v>66</v>
      </c>
    </row>
    <row r="4" spans="2:47" x14ac:dyDescent="0.25">
      <c r="B4" s="6"/>
      <c r="D4" t="s">
        <v>67</v>
      </c>
      <c r="E4" t="s">
        <v>68</v>
      </c>
      <c r="F4" t="s">
        <v>67</v>
      </c>
      <c r="G4" t="s">
        <v>68</v>
      </c>
      <c r="H4" t="s">
        <v>67</v>
      </c>
      <c r="I4" t="s">
        <v>68</v>
      </c>
      <c r="J4" t="s">
        <v>67</v>
      </c>
      <c r="K4" t="s">
        <v>68</v>
      </c>
      <c r="M4" s="7" t="s">
        <v>69</v>
      </c>
      <c r="N4" s="8"/>
      <c r="O4" s="8"/>
      <c r="P4" s="9" t="s">
        <v>70</v>
      </c>
      <c r="Q4" s="9" t="s">
        <v>71</v>
      </c>
      <c r="R4" s="9" t="s">
        <v>72</v>
      </c>
      <c r="S4" s="9"/>
      <c r="T4" s="9" t="s">
        <v>73</v>
      </c>
      <c r="U4" s="8"/>
      <c r="V4" s="8"/>
      <c r="W4" s="10"/>
      <c r="Y4" s="6"/>
      <c r="AA4" t="s">
        <v>67</v>
      </c>
      <c r="AB4" t="s">
        <v>68</v>
      </c>
      <c r="AC4" t="s">
        <v>67</v>
      </c>
      <c r="AD4" t="s">
        <v>68</v>
      </c>
      <c r="AE4" t="s">
        <v>67</v>
      </c>
      <c r="AF4" t="s">
        <v>68</v>
      </c>
      <c r="AG4" t="s">
        <v>67</v>
      </c>
      <c r="AH4" t="s">
        <v>68</v>
      </c>
      <c r="AJ4" s="7" t="s">
        <v>69</v>
      </c>
      <c r="AK4" s="8"/>
      <c r="AL4" s="8"/>
      <c r="AM4" s="9" t="s">
        <v>70</v>
      </c>
      <c r="AN4" s="9" t="s">
        <v>71</v>
      </c>
      <c r="AO4" s="9" t="s">
        <v>72</v>
      </c>
      <c r="AP4" s="9"/>
      <c r="AQ4" s="9" t="s">
        <v>73</v>
      </c>
      <c r="AR4" s="8"/>
      <c r="AS4" s="8"/>
      <c r="AT4" s="10"/>
    </row>
    <row r="5" spans="2:47" x14ac:dyDescent="0.25">
      <c r="B5" t="s">
        <v>74</v>
      </c>
      <c r="D5" s="11">
        <f>D80*(1-E58/100)</f>
        <v>261212.58800000002</v>
      </c>
      <c r="E5" s="11">
        <f>D80*(E58/100)</f>
        <v>55025.411999999997</v>
      </c>
      <c r="F5" s="12">
        <f>D5*P7/100-J5</f>
        <v>79669.83934000002</v>
      </c>
      <c r="G5" s="12">
        <f>E5*Q7/100-K5</f>
        <v>16232.49654</v>
      </c>
      <c r="H5" s="13">
        <f>F5*P30/1000000</f>
        <v>24.396359610189112</v>
      </c>
      <c r="I5" s="13">
        <f>G5*Q30/1000000</f>
        <v>4.9706868526614807</v>
      </c>
      <c r="J5" s="12">
        <f>D5*P14/100</f>
        <v>17240.030808</v>
      </c>
      <c r="K5" s="12">
        <f>E5*Q14/100</f>
        <v>3631.6771919999992</v>
      </c>
      <c r="M5" s="14" t="s">
        <v>75</v>
      </c>
      <c r="N5" s="15"/>
      <c r="O5" s="15"/>
      <c r="P5" s="16">
        <v>13.2</v>
      </c>
      <c r="Q5" s="17">
        <v>12.9</v>
      </c>
      <c r="R5" s="15" t="s">
        <v>76</v>
      </c>
      <c r="S5" s="15"/>
      <c r="T5" s="15" t="s">
        <v>77</v>
      </c>
      <c r="U5" s="15"/>
      <c r="V5" s="15"/>
      <c r="W5" s="18"/>
      <c r="Y5" t="s">
        <v>74</v>
      </c>
      <c r="AA5" s="11">
        <f>D81*(1-E59/100)</f>
        <v>133821.07199999999</v>
      </c>
      <c r="AB5" s="11">
        <f>D81*(E59/100)</f>
        <v>72692.928000000014</v>
      </c>
      <c r="AC5" s="12">
        <f>AA5*AM7/100-AG5</f>
        <v>30913.742818831008</v>
      </c>
      <c r="AD5" s="12">
        <f>AB5*AN7/100-AH5</f>
        <v>16792.650420105736</v>
      </c>
      <c r="AE5" s="13">
        <f>AC5*AM30/1000000</f>
        <v>10.529211818693717</v>
      </c>
      <c r="AF5" s="13">
        <f>AD5*AN30/1000000</f>
        <v>5.7195718521299215</v>
      </c>
      <c r="AG5" s="12">
        <f>AA5*AM14/100</f>
        <v>2676.4214399999996</v>
      </c>
      <c r="AH5" s="12">
        <f>AB5*AN14/100</f>
        <v>1453.8585600000004</v>
      </c>
      <c r="AJ5" s="14" t="s">
        <v>75</v>
      </c>
      <c r="AK5" s="15"/>
      <c r="AL5" s="15"/>
      <c r="AM5" s="19">
        <f>(12.7+12.7+12.7+12.7)/4</f>
        <v>12.7</v>
      </c>
      <c r="AN5" s="20">
        <v>12.7</v>
      </c>
      <c r="AO5" s="15" t="s">
        <v>76</v>
      </c>
      <c r="AP5" s="15"/>
      <c r="AQ5" s="15" t="s">
        <v>78</v>
      </c>
      <c r="AR5" s="15"/>
      <c r="AS5" s="15"/>
      <c r="AT5" s="18"/>
    </row>
    <row r="6" spans="2:47" x14ac:dyDescent="0.25">
      <c r="B6" t="s">
        <v>79</v>
      </c>
      <c r="D6" s="12">
        <f>D23*((P6-12)/12)+D27*((P25-12)/12)</f>
        <v>145506.87258358</v>
      </c>
      <c r="E6" s="12">
        <f>E23*((Q6-12)/12)+E27*((Q25-12)/12)</f>
        <v>27661.239556033106</v>
      </c>
      <c r="F6" s="12">
        <f t="shared" ref="F6:G8" si="0">D27</f>
        <v>14432.778195452369</v>
      </c>
      <c r="G6" s="12">
        <f t="shared" si="0"/>
        <v>1676.6638512465397</v>
      </c>
      <c r="H6" s="13">
        <f>F6*P31/1000000</f>
        <v>4.3016645387326218</v>
      </c>
      <c r="I6" s="13">
        <f>G6*Q31/1000000</f>
        <v>0.49972675631879937</v>
      </c>
      <c r="M6" s="14" t="s">
        <v>80</v>
      </c>
      <c r="N6" s="15"/>
      <c r="O6" s="15"/>
      <c r="P6" s="19">
        <v>27</v>
      </c>
      <c r="Q6" s="17">
        <v>27</v>
      </c>
      <c r="R6" s="15" t="s">
        <v>76</v>
      </c>
      <c r="S6" s="15"/>
      <c r="T6" s="15" t="s">
        <v>77</v>
      </c>
      <c r="U6" s="15"/>
      <c r="V6" s="15"/>
      <c r="W6" s="18"/>
      <c r="Y6" t="s">
        <v>79</v>
      </c>
      <c r="AA6" s="12">
        <f>AA23*((AM6-12)/12)+AA27*((AM25-12)/12)</f>
        <v>82615.683904843929</v>
      </c>
      <c r="AB6" s="12">
        <f>AB23*((AN6-12)/12)+AB27*((AN25-12)/12)</f>
        <v>39646.055683481754</v>
      </c>
      <c r="AC6" s="12">
        <f t="shared" ref="AC6:AD8" si="1">AA27</f>
        <v>28789.133357560084</v>
      </c>
      <c r="AD6" s="12">
        <f t="shared" si="1"/>
        <v>11446.148181587963</v>
      </c>
      <c r="AE6" s="13">
        <f t="shared" ref="AE6:AF6" si="2">AC6*AM31/1000000</f>
        <v>8.9006236398133556</v>
      </c>
      <c r="AF6" s="13">
        <f t="shared" si="2"/>
        <v>3.538760817303142</v>
      </c>
      <c r="AJ6" s="14" t="s">
        <v>80</v>
      </c>
      <c r="AK6" s="15"/>
      <c r="AL6" s="15"/>
      <c r="AM6" s="19">
        <f>(27.5+28.4+27.6+29.9+30)/5</f>
        <v>28.68</v>
      </c>
      <c r="AN6" s="20">
        <f t="shared" ref="AN6:AN34" si="3">AM6</f>
        <v>28.68</v>
      </c>
      <c r="AO6" s="15" t="s">
        <v>76</v>
      </c>
      <c r="AP6" s="15"/>
      <c r="AQ6" s="15" t="s">
        <v>81</v>
      </c>
      <c r="AR6" s="15"/>
      <c r="AS6" s="15"/>
      <c r="AT6" s="18"/>
    </row>
    <row r="7" spans="2:47" x14ac:dyDescent="0.25">
      <c r="B7" t="s">
        <v>82</v>
      </c>
      <c r="D7" s="12">
        <f>D28*((P27-12)/12)</f>
        <v>26197.664127869404</v>
      </c>
      <c r="E7" s="12">
        <f>E28*((Q27-12)/12)</f>
        <v>2297.4411115780304</v>
      </c>
      <c r="F7" s="12">
        <f t="shared" si="0"/>
        <v>17767.61123120362</v>
      </c>
      <c r="G7" s="12">
        <f t="shared" si="0"/>
        <v>1558.1557309026598</v>
      </c>
      <c r="H7" s="13">
        <f>F7*P33/1000000</f>
        <v>5.7888146634581634</v>
      </c>
      <c r="I7" s="13">
        <f>G7*Q33/1000000</f>
        <v>0.50765826793642999</v>
      </c>
      <c r="M7" s="14" t="s">
        <v>83</v>
      </c>
      <c r="N7" s="21"/>
      <c r="O7" s="22"/>
      <c r="P7" s="23">
        <v>37.1</v>
      </c>
      <c r="Q7" s="17">
        <v>36.1</v>
      </c>
      <c r="R7" s="15" t="s">
        <v>9</v>
      </c>
      <c r="S7" s="15"/>
      <c r="T7" s="24" t="s">
        <v>84</v>
      </c>
      <c r="U7" s="15"/>
      <c r="V7" s="15"/>
      <c r="W7" s="18"/>
      <c r="Y7" t="s">
        <v>82</v>
      </c>
      <c r="AA7" s="12">
        <f>AA28*((AM27-12)/12)</f>
        <v>8491.725109936935</v>
      </c>
      <c r="AB7" s="12">
        <f>AB28*((AN27-12)/12)</f>
        <v>14285.700468908368</v>
      </c>
      <c r="AC7" s="12">
        <f t="shared" si="1"/>
        <v>6195.458592115202</v>
      </c>
      <c r="AD7" s="12">
        <f t="shared" si="1"/>
        <v>10422.672021131853</v>
      </c>
      <c r="AE7" s="13">
        <f>AC7*AM33/1000000</f>
        <v>2.0791691514929402</v>
      </c>
      <c r="AF7" s="13">
        <f>AD7*AN33/1000000</f>
        <v>3.4978037251423806</v>
      </c>
      <c r="AJ7" s="14" t="s">
        <v>83</v>
      </c>
      <c r="AK7" s="21"/>
      <c r="AL7" s="22"/>
      <c r="AM7" s="19">
        <f>1/(AM24/12-AM6/12)*100</f>
        <v>25.100803451067115</v>
      </c>
      <c r="AN7" s="17">
        <f>1/(AN24/12-AN6/12)*100</f>
        <v>25.100803451067115</v>
      </c>
      <c r="AO7" s="24" t="s">
        <v>9</v>
      </c>
      <c r="AP7" s="15"/>
      <c r="AQ7" s="15" t="s">
        <v>85</v>
      </c>
      <c r="AR7" s="15"/>
      <c r="AS7" s="15"/>
      <c r="AT7" s="18"/>
    </row>
    <row r="8" spans="2:47" x14ac:dyDescent="0.25">
      <c r="B8" t="s">
        <v>86</v>
      </c>
      <c r="D8" s="12">
        <f>D29*((P28-12)/12)</f>
        <v>90192.497102644455</v>
      </c>
      <c r="E8" s="12">
        <f>E29*((Q28-12)/12)</f>
        <v>722.47407946092051</v>
      </c>
      <c r="F8" s="12">
        <f t="shared" si="0"/>
        <v>102298.8573090508</v>
      </c>
      <c r="G8" s="12">
        <f t="shared" si="0"/>
        <v>819.45034385896315</v>
      </c>
      <c r="H8" s="13">
        <f>F8*P34/1000000</f>
        <v>33.643695929801908</v>
      </c>
      <c r="I8" s="13">
        <f>G8*Q34/1000000</f>
        <v>0.26949800734405072</v>
      </c>
      <c r="M8" s="14" t="s">
        <v>87</v>
      </c>
      <c r="N8" s="15"/>
      <c r="O8" s="15"/>
      <c r="P8" s="19">
        <f>(48.7*77196+51.7*144627)/221823</f>
        <v>50.655978415222954</v>
      </c>
      <c r="Q8" s="20">
        <f>P8</f>
        <v>50.655978415222954</v>
      </c>
      <c r="R8" s="15" t="s">
        <v>9</v>
      </c>
      <c r="S8" s="15"/>
      <c r="T8" s="15" t="s">
        <v>88</v>
      </c>
      <c r="U8" s="15"/>
      <c r="V8" s="15"/>
      <c r="W8" s="18"/>
      <c r="Y8" t="s">
        <v>86</v>
      </c>
      <c r="AA8" s="12">
        <f>AA29*((AM28-12)/12)</f>
        <v>40948.477843501532</v>
      </c>
      <c r="AB8" s="12">
        <f>AB29*((AN28-12)/12)</f>
        <v>12552.49953932929</v>
      </c>
      <c r="AC8" s="12">
        <f t="shared" si="1"/>
        <v>60602.885685491507</v>
      </c>
      <c r="AD8" s="12">
        <f t="shared" si="1"/>
        <v>18577.43522375845</v>
      </c>
      <c r="AE8" s="13">
        <f>AC8*AM34/1000000</f>
        <v>21.722133815931169</v>
      </c>
      <c r="AF8" s="13">
        <f>AD8*AN34/1000000</f>
        <v>6.6587841374669576</v>
      </c>
      <c r="AJ8" s="14" t="s">
        <v>87</v>
      </c>
      <c r="AK8" s="15"/>
      <c r="AL8" s="15"/>
      <c r="AM8" s="23">
        <v>51.7</v>
      </c>
      <c r="AN8" s="20">
        <f t="shared" si="3"/>
        <v>51.7</v>
      </c>
      <c r="AO8" s="24" t="s">
        <v>9</v>
      </c>
      <c r="AP8" s="15"/>
      <c r="AQ8" s="24" t="s">
        <v>89</v>
      </c>
      <c r="AR8" s="15"/>
      <c r="AS8" s="15"/>
      <c r="AT8" s="18"/>
    </row>
    <row r="9" spans="2:47" x14ac:dyDescent="0.25">
      <c r="B9" t="s">
        <v>90</v>
      </c>
      <c r="D9" s="12">
        <f>((D13-D17)*P16+(D14-D18)*P18+(D17-D19)*P20+(D18-D20)*P22+(D23+D27+D28+D29)*365.25+D24*P26*30.44)/365.25</f>
        <v>243483.83597582832</v>
      </c>
      <c r="E9" s="12">
        <f>((E13-E17)*Q16+(E14-E18)*Q18+(E17-E19)*Q20+(E18-E20)*Q22+(E23+E27+E28+E29)*365.25+E24*Q26*30.44)/365.25</f>
        <v>25125.947807487923</v>
      </c>
      <c r="F9" s="12">
        <f>D24</f>
        <v>11233.648779997549</v>
      </c>
      <c r="G9" s="12">
        <f>E24</f>
        <v>338.6208139706352</v>
      </c>
      <c r="H9" s="13">
        <f>F9*P32/1000000</f>
        <v>1.9042543084184027</v>
      </c>
      <c r="I9" s="13">
        <f>G9*Q32/1000000</f>
        <v>5.7400774810752911E-2</v>
      </c>
      <c r="J9" s="12">
        <f>SUM(D21:D22)</f>
        <v>23373.094177723746</v>
      </c>
      <c r="K9" s="12">
        <f>SUM(E21:E22)</f>
        <v>3061.7383299184826</v>
      </c>
      <c r="M9" s="25" t="s">
        <v>91</v>
      </c>
      <c r="N9" s="15"/>
      <c r="O9" s="15"/>
      <c r="P9" s="19">
        <f>(79242*1.07+141785*4.46)/(79242+141785)</f>
        <v>3.2446264031091228</v>
      </c>
      <c r="Q9" s="20">
        <f>P9</f>
        <v>3.2446264031091228</v>
      </c>
      <c r="R9" s="15" t="s">
        <v>9</v>
      </c>
      <c r="S9" s="15"/>
      <c r="T9" s="15"/>
      <c r="U9" s="15"/>
      <c r="V9" s="15"/>
      <c r="W9" s="18"/>
      <c r="Y9" t="s">
        <v>90</v>
      </c>
      <c r="AA9" s="12">
        <f>((AA13-AA17)*AM16+(AA14-AA18)*AM18+(AA17-AA19)*AM20+(AA18-AA20)*AM22+(AA23+AA27+AA28+AA29)*365.25+AA24*AM26*30.44)/365.25</f>
        <v>132996.34776165453</v>
      </c>
      <c r="AB9" s="12">
        <f>((AB13-AB17)*AN16+(AB14-AB18)*AN18+(AB17-AB19)*AN20+(AB18-AB20)*AN22+(AB23+AB27+AB28+AB29)*365.25+AB24*AN26*30.44)/365.25</f>
        <v>60532.101390339754</v>
      </c>
      <c r="AC9" s="12">
        <f>AA24</f>
        <v>2408.717121460008</v>
      </c>
      <c r="AD9" s="12">
        <f>AB24</f>
        <v>1019.208690876269</v>
      </c>
      <c r="AE9" s="13">
        <f>AC9*AM32/1000000</f>
        <v>0.37893011222891815</v>
      </c>
      <c r="AF9" s="13">
        <f>AD9*AN32/1000000</f>
        <v>0.16033799078255342</v>
      </c>
      <c r="AG9" s="12">
        <f>SUM(AA21:AA22)</f>
        <v>7304.4278553639961</v>
      </c>
      <c r="AH9" s="12">
        <f>SUM(AB21:AB22)</f>
        <v>3729.9362694888405</v>
      </c>
      <c r="AJ9" s="25" t="s">
        <v>91</v>
      </c>
      <c r="AK9" s="15"/>
      <c r="AL9" s="15"/>
      <c r="AM9" s="19">
        <v>4.5730449411199228</v>
      </c>
      <c r="AN9" s="20">
        <f t="shared" si="3"/>
        <v>4.5730449411199228</v>
      </c>
      <c r="AO9" s="24" t="s">
        <v>9</v>
      </c>
      <c r="AP9" s="15"/>
      <c r="AQ9" s="15" t="s">
        <v>92</v>
      </c>
      <c r="AR9" s="15"/>
      <c r="AS9" s="15"/>
      <c r="AT9" s="18"/>
    </row>
    <row r="10" spans="2:47" x14ac:dyDescent="0.25">
      <c r="D10" s="26"/>
      <c r="E10" s="26"/>
      <c r="M10" s="14" t="s">
        <v>93</v>
      </c>
      <c r="N10" s="15"/>
      <c r="O10" s="15"/>
      <c r="P10" s="19">
        <v>5</v>
      </c>
      <c r="Q10" s="17">
        <v>4.5999999999999996</v>
      </c>
      <c r="R10" s="15" t="s">
        <v>9</v>
      </c>
      <c r="S10" s="15"/>
      <c r="T10" s="24" t="s">
        <v>84</v>
      </c>
      <c r="U10" s="15"/>
      <c r="V10" s="15"/>
      <c r="W10" s="18"/>
      <c r="AJ10" s="14" t="s">
        <v>93</v>
      </c>
      <c r="AK10" s="15"/>
      <c r="AL10" s="15"/>
      <c r="AM10" s="19">
        <f>(2.4*10433+1.6*1935)/(10433+1935)</f>
        <v>2.2748382923674</v>
      </c>
      <c r="AN10" s="20">
        <f t="shared" si="3"/>
        <v>2.2748382923674</v>
      </c>
      <c r="AO10" s="15" t="s">
        <v>9</v>
      </c>
      <c r="AP10" s="15"/>
      <c r="AQ10" s="15" t="s">
        <v>78</v>
      </c>
      <c r="AR10" s="15"/>
      <c r="AS10" s="15"/>
      <c r="AT10" s="18"/>
    </row>
    <row r="11" spans="2:47" x14ac:dyDescent="0.25">
      <c r="B11" s="27" t="s">
        <v>94</v>
      </c>
      <c r="D11" t="s">
        <v>67</v>
      </c>
      <c r="E11" t="s">
        <v>68</v>
      </c>
      <c r="G11" t="s">
        <v>95</v>
      </c>
      <c r="H11" s="26">
        <f>SUM(H5:H9)/SUM($H5:$I9,$AE5:$AF9)</f>
        <v>0.50195123093325367</v>
      </c>
      <c r="I11" s="26">
        <f>SUM(I5:I9)/SUM($H5:$I9,$AE5:$AF9)</f>
        <v>4.5188795828776357E-2</v>
      </c>
      <c r="M11" s="14" t="s">
        <v>96</v>
      </c>
      <c r="N11" s="21"/>
      <c r="O11" s="28"/>
      <c r="P11" s="29">
        <f>(12/P5*(1-P7/100)+(P7/100))*(1*(1-P9/100)+2*(P9/100))*(1-P10/100)</f>
        <v>0.92473865400482946</v>
      </c>
      <c r="Q11" s="29">
        <f>(12/Q5*(1-Q7/100)+(Q7/100))*(1*(1-Q9/100)+2*(Q9/100))*(1-Q10/100)</f>
        <v>0.94104312398582812</v>
      </c>
      <c r="R11" s="15" t="s">
        <v>97</v>
      </c>
      <c r="S11" s="15"/>
      <c r="T11" s="15" t="s">
        <v>85</v>
      </c>
      <c r="U11" s="15"/>
      <c r="V11" s="15"/>
      <c r="W11" s="18"/>
      <c r="Y11" s="27" t="s">
        <v>94</v>
      </c>
      <c r="AA11" t="s">
        <v>67</v>
      </c>
      <c r="AB11" t="s">
        <v>68</v>
      </c>
      <c r="AD11" t="s">
        <v>95</v>
      </c>
      <c r="AE11" s="26">
        <f>SUM(AE5:AE9)/SUM($H5:$I9,$AE5:$AF9)</f>
        <v>0.31256076987677339</v>
      </c>
      <c r="AF11" s="26">
        <f>SUM(AF5:AF9)/SUM($H5:$I9,$AE5:$AF9)</f>
        <v>0.14029920336119647</v>
      </c>
      <c r="AJ11" s="14" t="s">
        <v>96</v>
      </c>
      <c r="AK11" s="21"/>
      <c r="AL11" s="28"/>
      <c r="AM11" s="30">
        <f>(12/AM5*(1-AM7/100)+(AM7/100))*(1*(1-AM9/100)+2*(AM9/100))*(1-AM10/100)</f>
        <v>0.97975292831367811</v>
      </c>
      <c r="AN11" s="31">
        <f>(12/AN5*(1-AN7/100)+(AN7/100))*(1*(1-AN9/100)+2*(AN9/100))*(1-AN10/100)</f>
        <v>0.97975292831367811</v>
      </c>
      <c r="AO11" s="15" t="s">
        <v>97</v>
      </c>
      <c r="AP11" s="15"/>
      <c r="AQ11" s="15" t="s">
        <v>85</v>
      </c>
      <c r="AR11" s="15"/>
      <c r="AS11" s="15"/>
      <c r="AT11" s="18"/>
      <c r="AU11" s="32"/>
    </row>
    <row r="12" spans="2:47" x14ac:dyDescent="0.25">
      <c r="B12" t="s">
        <v>98</v>
      </c>
      <c r="D12" s="12">
        <f>D5*P11</f>
        <v>241553.37703623809</v>
      </c>
      <c r="E12" s="12">
        <f>E5*Q11</f>
        <v>51781.285607087273</v>
      </c>
      <c r="H12" s="26">
        <f>H11/SUM(H11:I11)</f>
        <v>0.91740908429565415</v>
      </c>
      <c r="I12" s="26">
        <f>I11/SUM(H11:I11)</f>
        <v>8.259091570434586E-2</v>
      </c>
      <c r="M12" s="14" t="s">
        <v>99</v>
      </c>
      <c r="N12" s="15"/>
      <c r="O12" s="15"/>
      <c r="P12" s="15">
        <v>100</v>
      </c>
      <c r="Q12" s="33">
        <f>P12</f>
        <v>100</v>
      </c>
      <c r="R12" s="15" t="s">
        <v>100</v>
      </c>
      <c r="S12" s="15"/>
      <c r="T12" s="15" t="s">
        <v>101</v>
      </c>
      <c r="U12" s="15"/>
      <c r="V12" s="15"/>
      <c r="W12" s="18"/>
      <c r="Y12" t="s">
        <v>98</v>
      </c>
      <c r="AA12" s="12">
        <f>AA5*AM11</f>
        <v>131111.58716207554</v>
      </c>
      <c r="AB12" s="12">
        <f>AB5*AN11</f>
        <v>71221.109075695378</v>
      </c>
      <c r="AE12" s="26">
        <f>AE11/SUM(AE11:AF11)</f>
        <v>0.69019296989740408</v>
      </c>
      <c r="AF12" s="26">
        <f>AF11/SUM(AE11:AF11)</f>
        <v>0.3098070301025958</v>
      </c>
      <c r="AJ12" s="14" t="s">
        <v>99</v>
      </c>
      <c r="AK12" s="15"/>
      <c r="AL12" s="15"/>
      <c r="AM12" s="34">
        <f>7*30.4</f>
        <v>212.79999999999998</v>
      </c>
      <c r="AN12" s="33">
        <f t="shared" si="3"/>
        <v>212.79999999999998</v>
      </c>
      <c r="AO12" s="24" t="s">
        <v>100</v>
      </c>
      <c r="AP12" s="15"/>
      <c r="AQ12" s="15"/>
      <c r="AR12" s="15"/>
      <c r="AS12" s="15"/>
      <c r="AT12" s="18"/>
      <c r="AU12" s="32"/>
    </row>
    <row r="13" spans="2:47" x14ac:dyDescent="0.25">
      <c r="B13" t="s">
        <v>102</v>
      </c>
      <c r="D13" s="12">
        <f>D12*P8/100</f>
        <v>122361.22653271889</v>
      </c>
      <c r="E13" s="12">
        <f>E12*Q8/100</f>
        <v>26230.316860251078</v>
      </c>
      <c r="M13" s="35" t="s">
        <v>103</v>
      </c>
      <c r="N13" s="15"/>
      <c r="O13" s="15"/>
      <c r="P13" s="36"/>
      <c r="Q13" s="37"/>
      <c r="R13" s="36"/>
      <c r="S13" s="15"/>
      <c r="T13" s="15"/>
      <c r="U13" s="15"/>
      <c r="V13" s="15"/>
      <c r="W13" s="18"/>
      <c r="Y13" t="s">
        <v>102</v>
      </c>
      <c r="AA13" s="12">
        <f>AA12*AM8/100</f>
        <v>67784.690562793054</v>
      </c>
      <c r="AB13" s="12">
        <f>AB12*AN8/100</f>
        <v>36821.313392134514</v>
      </c>
      <c r="AJ13" s="35" t="s">
        <v>103</v>
      </c>
      <c r="AK13" s="15"/>
      <c r="AL13" s="15"/>
      <c r="AM13" s="36"/>
      <c r="AN13" s="37"/>
      <c r="AO13" s="36"/>
      <c r="AP13" s="15"/>
      <c r="AQ13" s="15"/>
      <c r="AR13" s="15"/>
      <c r="AS13" s="15"/>
      <c r="AT13" s="18"/>
      <c r="AU13" s="32"/>
    </row>
    <row r="14" spans="2:47" x14ac:dyDescent="0.25">
      <c r="B14" t="s">
        <v>104</v>
      </c>
      <c r="D14" s="12">
        <f>D12-D13</f>
        <v>119192.15050351919</v>
      </c>
      <c r="E14" s="12">
        <f>E12-E13</f>
        <v>25550.968746836195</v>
      </c>
      <c r="M14" s="14" t="s">
        <v>105</v>
      </c>
      <c r="N14" s="15"/>
      <c r="O14" s="15"/>
      <c r="P14" s="15">
        <v>6.6</v>
      </c>
      <c r="Q14" s="37">
        <f t="shared" ref="Q14:Q22" si="4">P14</f>
        <v>6.6</v>
      </c>
      <c r="R14" s="24" t="s">
        <v>106</v>
      </c>
      <c r="S14" s="15"/>
      <c r="T14" s="15" t="s">
        <v>101</v>
      </c>
      <c r="U14" s="15"/>
      <c r="V14" s="15"/>
      <c r="W14" s="18"/>
      <c r="Y14" t="s">
        <v>104</v>
      </c>
      <c r="AA14" s="12">
        <f>AA12-AA13</f>
        <v>63326.896599282481</v>
      </c>
      <c r="AB14" s="12">
        <f>AB12-AB13</f>
        <v>34399.795683560864</v>
      </c>
      <c r="AJ14" s="14" t="s">
        <v>105</v>
      </c>
      <c r="AK14" s="15"/>
      <c r="AL14" s="15"/>
      <c r="AM14" s="19">
        <v>2</v>
      </c>
      <c r="AN14" s="37">
        <f t="shared" si="3"/>
        <v>2</v>
      </c>
      <c r="AO14" s="24" t="s">
        <v>106</v>
      </c>
      <c r="AP14" s="15"/>
      <c r="AQ14" s="15" t="s">
        <v>101</v>
      </c>
      <c r="AR14" s="15"/>
      <c r="AS14" s="15"/>
      <c r="AT14" s="18"/>
      <c r="AU14" s="32"/>
    </row>
    <row r="15" spans="2:47" x14ac:dyDescent="0.25">
      <c r="B15" t="s">
        <v>340</v>
      </c>
      <c r="D15" s="12">
        <f>D13*(1-P15/100)</f>
        <v>117222.05501834469</v>
      </c>
      <c r="E15" s="12">
        <f>E13*(1-Q15/100)</f>
        <v>25128.643552120531</v>
      </c>
      <c r="M15" s="14" t="s">
        <v>108</v>
      </c>
      <c r="N15" s="15"/>
      <c r="O15" s="15"/>
      <c r="P15" s="38">
        <v>4.2</v>
      </c>
      <c r="Q15" s="37">
        <f t="shared" si="4"/>
        <v>4.2</v>
      </c>
      <c r="R15" s="24" t="s">
        <v>109</v>
      </c>
      <c r="S15" s="15"/>
      <c r="T15" s="15" t="s">
        <v>101</v>
      </c>
      <c r="U15" s="15"/>
      <c r="V15" s="15"/>
      <c r="W15" s="18"/>
      <c r="AA15" s="12">
        <f>AA13*(1-AM15/100)</f>
        <v>65073.302940281326</v>
      </c>
      <c r="AB15" s="12">
        <f>AB13*(1-AN15/100)</f>
        <v>35348.460856449135</v>
      </c>
      <c r="AJ15" s="14" t="s">
        <v>108</v>
      </c>
      <c r="AK15" s="15"/>
      <c r="AL15" s="15"/>
      <c r="AM15" s="19">
        <v>4</v>
      </c>
      <c r="AN15" s="37">
        <f t="shared" si="3"/>
        <v>4</v>
      </c>
      <c r="AO15" s="24" t="s">
        <v>109</v>
      </c>
      <c r="AP15" s="15"/>
      <c r="AQ15" s="15" t="s">
        <v>101</v>
      </c>
      <c r="AR15" s="15"/>
      <c r="AS15" s="15"/>
      <c r="AT15" s="18"/>
      <c r="AU15" s="32"/>
    </row>
    <row r="16" spans="2:47" x14ac:dyDescent="0.25">
      <c r="B16" t="s">
        <v>341</v>
      </c>
      <c r="D16" s="12">
        <f>D14*(1-P17/100)</f>
        <v>115139.61738639954</v>
      </c>
      <c r="E16" s="12">
        <f>E14*(1-Q17/100)</f>
        <v>24682.235809443762</v>
      </c>
      <c r="M16" s="25" t="s">
        <v>111</v>
      </c>
      <c r="N16" s="15"/>
      <c r="O16" s="15"/>
      <c r="P16" s="15">
        <v>10</v>
      </c>
      <c r="Q16" s="37">
        <f t="shared" si="4"/>
        <v>10</v>
      </c>
      <c r="R16" s="15" t="s">
        <v>100</v>
      </c>
      <c r="S16" s="15"/>
      <c r="T16" s="15" t="s">
        <v>101</v>
      </c>
      <c r="U16" s="15"/>
      <c r="V16" s="15"/>
      <c r="W16" s="18"/>
      <c r="AA16" s="12">
        <f>AA14*(1-AM17/100)</f>
        <v>61300.435908105443</v>
      </c>
      <c r="AB16" s="12">
        <f>AB14*(1-AN17/100)</f>
        <v>33299.002221686918</v>
      </c>
      <c r="AJ16" s="25" t="s">
        <v>111</v>
      </c>
      <c r="AK16" s="15"/>
      <c r="AL16" s="15"/>
      <c r="AM16" s="15">
        <v>3</v>
      </c>
      <c r="AN16" s="37">
        <f t="shared" si="3"/>
        <v>3</v>
      </c>
      <c r="AO16" s="15" t="s">
        <v>100</v>
      </c>
      <c r="AP16" s="15"/>
      <c r="AQ16" s="15" t="s">
        <v>101</v>
      </c>
      <c r="AR16" s="15"/>
      <c r="AS16" s="15"/>
      <c r="AT16" s="18"/>
      <c r="AU16" s="32"/>
    </row>
    <row r="17" spans="2:47" x14ac:dyDescent="0.25">
      <c r="B17" t="s">
        <v>107</v>
      </c>
      <c r="D17" s="12">
        <f>D15+E15*P39/100</f>
        <v>139586.54777973198</v>
      </c>
      <c r="E17" s="12">
        <f>E15-E15*P39/100</f>
        <v>2764.1507907332598</v>
      </c>
      <c r="M17" s="14" t="s">
        <v>113</v>
      </c>
      <c r="N17" s="15"/>
      <c r="O17" s="15"/>
      <c r="P17" s="15">
        <v>3.4</v>
      </c>
      <c r="Q17" s="37">
        <f t="shared" si="4"/>
        <v>3.4</v>
      </c>
      <c r="R17" s="24" t="s">
        <v>109</v>
      </c>
      <c r="S17" s="15"/>
      <c r="T17" s="15" t="s">
        <v>101</v>
      </c>
      <c r="U17" s="15"/>
      <c r="V17" s="15"/>
      <c r="W17" s="18"/>
      <c r="Y17" t="s">
        <v>107</v>
      </c>
      <c r="AA17" s="12">
        <f>AA15+AB15*AM39/100</f>
        <v>70022.087460184208</v>
      </c>
      <c r="AB17" s="12">
        <f>AB15-AB15*AM39/100</f>
        <v>30399.676336546258</v>
      </c>
      <c r="AJ17" s="14" t="s">
        <v>113</v>
      </c>
      <c r="AK17" s="15"/>
      <c r="AL17" s="15"/>
      <c r="AM17" s="15">
        <v>3.2</v>
      </c>
      <c r="AN17" s="37">
        <f t="shared" si="3"/>
        <v>3.2</v>
      </c>
      <c r="AO17" s="24" t="s">
        <v>109</v>
      </c>
      <c r="AP17" s="15"/>
      <c r="AQ17" s="15" t="s">
        <v>101</v>
      </c>
      <c r="AR17" s="15"/>
      <c r="AS17" s="15"/>
      <c r="AT17" s="18"/>
      <c r="AU17" s="32"/>
    </row>
    <row r="18" spans="2:47" x14ac:dyDescent="0.25">
      <c r="B18" t="s">
        <v>110</v>
      </c>
      <c r="D18" s="12">
        <f>D16+E16*P40/100</f>
        <v>117237.60743020226</v>
      </c>
      <c r="E18" s="12">
        <f>E16-E16*P40/100</f>
        <v>22584.245765641041</v>
      </c>
      <c r="M18" s="25" t="s">
        <v>111</v>
      </c>
      <c r="N18" s="15"/>
      <c r="O18" s="15"/>
      <c r="P18" s="15">
        <v>10</v>
      </c>
      <c r="Q18" s="37">
        <f t="shared" si="4"/>
        <v>10</v>
      </c>
      <c r="R18" s="15" t="s">
        <v>100</v>
      </c>
      <c r="S18" s="15"/>
      <c r="T18" s="15" t="s">
        <v>101</v>
      </c>
      <c r="U18" s="15"/>
      <c r="V18" s="15"/>
      <c r="W18" s="18"/>
      <c r="Y18" t="s">
        <v>110</v>
      </c>
      <c r="AA18" s="12">
        <f>AA16+AB16*AM40/100</f>
        <v>64130.851096948827</v>
      </c>
      <c r="AB18" s="12">
        <f>AB16-AB16*AM40/100</f>
        <v>30468.58703284353</v>
      </c>
      <c r="AJ18" s="25" t="s">
        <v>111</v>
      </c>
      <c r="AK18" s="15"/>
      <c r="AL18" s="15"/>
      <c r="AM18" s="15">
        <v>10</v>
      </c>
      <c r="AN18" s="37">
        <f t="shared" si="3"/>
        <v>10</v>
      </c>
      <c r="AO18" s="15" t="s">
        <v>100</v>
      </c>
      <c r="AP18" s="15"/>
      <c r="AQ18" s="15" t="s">
        <v>101</v>
      </c>
      <c r="AR18" s="15"/>
      <c r="AS18" s="15"/>
      <c r="AT18" s="18"/>
      <c r="AU18" s="32"/>
    </row>
    <row r="19" spans="2:47" x14ac:dyDescent="0.25">
      <c r="B19" t="s">
        <v>112</v>
      </c>
      <c r="D19" s="12">
        <f>D17*(1-P19/100)</f>
        <v>130094.66253071019</v>
      </c>
      <c r="E19" s="12">
        <f>E17*(1-Q19/100)</f>
        <v>2576.1885369633978</v>
      </c>
      <c r="M19" s="14" t="s">
        <v>116</v>
      </c>
      <c r="N19" s="15"/>
      <c r="O19" s="15"/>
      <c r="P19" s="38">
        <v>6.8</v>
      </c>
      <c r="Q19" s="37">
        <f t="shared" si="4"/>
        <v>6.8</v>
      </c>
      <c r="R19" s="15" t="s">
        <v>117</v>
      </c>
      <c r="S19" s="15"/>
      <c r="T19" s="15" t="s">
        <v>101</v>
      </c>
      <c r="U19" s="15"/>
      <c r="V19" s="15"/>
      <c r="W19" s="18"/>
      <c r="Y19" t="s">
        <v>112</v>
      </c>
      <c r="AA19" s="12">
        <f>AA17*(1-AM19/100)</f>
        <v>68481.60153606016</v>
      </c>
      <c r="AB19" s="12">
        <f>AB17*(1-AN19/100)</f>
        <v>29730.883457142238</v>
      </c>
      <c r="AJ19" s="14" t="s">
        <v>116</v>
      </c>
      <c r="AK19" s="15"/>
      <c r="AL19" s="15"/>
      <c r="AM19" s="15">
        <v>2.2000000000000002</v>
      </c>
      <c r="AN19" s="37">
        <f t="shared" si="3"/>
        <v>2.2000000000000002</v>
      </c>
      <c r="AO19" s="15" t="s">
        <v>117</v>
      </c>
      <c r="AP19" s="15"/>
      <c r="AQ19" s="15" t="s">
        <v>101</v>
      </c>
      <c r="AR19" s="15"/>
      <c r="AS19" s="15"/>
      <c r="AT19" s="18"/>
      <c r="AU19" s="32"/>
    </row>
    <row r="20" spans="2:47" x14ac:dyDescent="0.25">
      <c r="B20" t="s">
        <v>114</v>
      </c>
      <c r="D20" s="12">
        <f>D18*(1-P21/100)</f>
        <v>112548.10313299416</v>
      </c>
      <c r="E20" s="12">
        <f>E18*(1-Q21/100)</f>
        <v>21680.8759350154</v>
      </c>
      <c r="H20" s="39"/>
      <c r="M20" s="25" t="s">
        <v>111</v>
      </c>
      <c r="N20" s="15"/>
      <c r="O20" s="15"/>
      <c r="P20" s="15">
        <v>59</v>
      </c>
      <c r="Q20" s="37">
        <f t="shared" si="4"/>
        <v>59</v>
      </c>
      <c r="R20" s="15" t="s">
        <v>100</v>
      </c>
      <c r="S20" s="15"/>
      <c r="T20" s="15" t="s">
        <v>101</v>
      </c>
      <c r="U20" s="15"/>
      <c r="V20" s="15"/>
      <c r="W20" s="18"/>
      <c r="Y20" t="s">
        <v>114</v>
      </c>
      <c r="AA20" s="12">
        <f>AA18*(1-AM21/100)</f>
        <v>63104.757479397646</v>
      </c>
      <c r="AB20" s="12">
        <f>AB18*(1-AN21/100)</f>
        <v>29981.089640318034</v>
      </c>
      <c r="AJ20" s="25" t="s">
        <v>111</v>
      </c>
      <c r="AK20" s="15"/>
      <c r="AL20" s="15"/>
      <c r="AM20" s="15">
        <v>234</v>
      </c>
      <c r="AN20" s="37">
        <f t="shared" si="3"/>
        <v>234</v>
      </c>
      <c r="AO20" s="15" t="s">
        <v>100</v>
      </c>
      <c r="AP20" s="15"/>
      <c r="AQ20" s="15" t="s">
        <v>101</v>
      </c>
      <c r="AR20" s="15"/>
      <c r="AS20" s="15"/>
      <c r="AT20" s="18"/>
      <c r="AU20" s="32"/>
    </row>
    <row r="21" spans="2:47" x14ac:dyDescent="0.25">
      <c r="B21" t="s">
        <v>115</v>
      </c>
      <c r="D21" s="12">
        <f>D13-D15+D17-D19</f>
        <v>14631.056763395987</v>
      </c>
      <c r="E21" s="12">
        <f>E13-E15+E17-E19</f>
        <v>1289.6355619004084</v>
      </c>
      <c r="F21" s="93"/>
      <c r="M21" s="14" t="s">
        <v>120</v>
      </c>
      <c r="N21" s="15"/>
      <c r="O21" s="15"/>
      <c r="P21" s="23">
        <v>4</v>
      </c>
      <c r="Q21" s="40">
        <f t="shared" si="4"/>
        <v>4</v>
      </c>
      <c r="R21" s="15" t="s">
        <v>117</v>
      </c>
      <c r="S21" s="15"/>
      <c r="T21" s="15" t="s">
        <v>101</v>
      </c>
      <c r="U21" s="15"/>
      <c r="V21" s="15"/>
      <c r="W21" s="18"/>
      <c r="Y21" t="s">
        <v>115</v>
      </c>
      <c r="AA21" s="12">
        <f>AA13-AA15+AA17-AA19</f>
        <v>4251.8735466357757</v>
      </c>
      <c r="AB21" s="12">
        <f>AB13-AB15+AB17-AB19</f>
        <v>2141.6454150893987</v>
      </c>
      <c r="AJ21" s="14" t="s">
        <v>120</v>
      </c>
      <c r="AK21" s="15"/>
      <c r="AL21" s="15"/>
      <c r="AM21" s="15">
        <v>1.6</v>
      </c>
      <c r="AN21" s="40">
        <f t="shared" si="3"/>
        <v>1.6</v>
      </c>
      <c r="AO21" s="15" t="s">
        <v>117</v>
      </c>
      <c r="AP21" s="15"/>
      <c r="AQ21" s="15" t="s">
        <v>101</v>
      </c>
      <c r="AR21" s="15"/>
      <c r="AS21" s="15"/>
      <c r="AT21" s="18"/>
    </row>
    <row r="22" spans="2:47" x14ac:dyDescent="0.25">
      <c r="B22" t="s">
        <v>118</v>
      </c>
      <c r="D22" s="12">
        <f>D14-D16+D18-D20</f>
        <v>8742.0374143277586</v>
      </c>
      <c r="E22" s="12">
        <f>E14-E16+E18-E20</f>
        <v>1772.1027680180741</v>
      </c>
      <c r="M22" s="25" t="s">
        <v>111</v>
      </c>
      <c r="N22" s="15"/>
      <c r="O22" s="15"/>
      <c r="P22" s="15">
        <v>59</v>
      </c>
      <c r="Q22" s="37">
        <f t="shared" si="4"/>
        <v>59</v>
      </c>
      <c r="R22" s="15" t="s">
        <v>100</v>
      </c>
      <c r="S22" s="15"/>
      <c r="T22" s="15" t="s">
        <v>101</v>
      </c>
      <c r="U22" s="15"/>
      <c r="V22" s="15"/>
      <c r="W22" s="18"/>
      <c r="Y22" t="s">
        <v>118</v>
      </c>
      <c r="AA22" s="12">
        <f>AA14-AA16+AA18-AA20</f>
        <v>3052.5543087282203</v>
      </c>
      <c r="AB22" s="12">
        <f>AB14-AB16+AB18-AB20</f>
        <v>1588.2908543994417</v>
      </c>
      <c r="AJ22" s="25" t="s">
        <v>111</v>
      </c>
      <c r="AK22" s="15"/>
      <c r="AL22" s="15"/>
      <c r="AM22" s="15">
        <v>241</v>
      </c>
      <c r="AN22" s="37">
        <f t="shared" si="3"/>
        <v>241</v>
      </c>
      <c r="AO22" s="15" t="s">
        <v>100</v>
      </c>
      <c r="AP22" s="15"/>
      <c r="AQ22" s="15" t="s">
        <v>101</v>
      </c>
      <c r="AR22" s="15"/>
      <c r="AS22" s="15"/>
      <c r="AT22" s="18"/>
    </row>
    <row r="23" spans="2:47" x14ac:dyDescent="0.25">
      <c r="B23" t="s">
        <v>119</v>
      </c>
      <c r="D23" s="12">
        <f>D5*P7/100</f>
        <v>96909.870148000016</v>
      </c>
      <c r="E23" s="12">
        <f>E5*Q7/100</f>
        <v>19864.173731999999</v>
      </c>
      <c r="M23" s="35" t="s">
        <v>123</v>
      </c>
      <c r="N23" s="15"/>
      <c r="O23" s="15"/>
      <c r="P23" s="36"/>
      <c r="Q23" s="41"/>
      <c r="R23" s="36"/>
      <c r="S23" s="36"/>
      <c r="T23" s="15"/>
      <c r="U23" s="15"/>
      <c r="V23" s="15"/>
      <c r="W23" s="18"/>
      <c r="Y23" t="s">
        <v>119</v>
      </c>
      <c r="AA23" s="12">
        <f>AA5*AM7/100</f>
        <v>33590.164258831006</v>
      </c>
      <c r="AB23" s="12">
        <f>AB5*AN7/100</f>
        <v>18246.508980105737</v>
      </c>
      <c r="AJ23" s="35" t="s">
        <v>123</v>
      </c>
      <c r="AK23" s="15"/>
      <c r="AL23" s="15"/>
      <c r="AM23" s="36"/>
      <c r="AN23" s="37"/>
      <c r="AO23" s="36"/>
      <c r="AP23" s="36"/>
      <c r="AQ23" s="15"/>
      <c r="AR23" s="15"/>
      <c r="AS23" s="15"/>
      <c r="AT23" s="18"/>
    </row>
    <row r="24" spans="2:47" x14ac:dyDescent="0.25">
      <c r="B24" t="s">
        <v>121</v>
      </c>
      <c r="D24" s="12">
        <f>(SUM(D19:D20)-D23)*P36/100</f>
        <v>11233.648779997549</v>
      </c>
      <c r="E24" s="12">
        <f>(SUM(E19:E20)-E23)*Q36/100</f>
        <v>338.6208139706352</v>
      </c>
      <c r="M24" s="14" t="s">
        <v>105</v>
      </c>
      <c r="N24" s="21"/>
      <c r="O24" s="22"/>
      <c r="P24" s="23">
        <v>60.9</v>
      </c>
      <c r="Q24" s="23">
        <v>61.5</v>
      </c>
      <c r="R24" s="15" t="s">
        <v>76</v>
      </c>
      <c r="S24" s="15"/>
      <c r="T24" s="24" t="s">
        <v>84</v>
      </c>
      <c r="U24" s="15"/>
      <c r="V24" s="15"/>
      <c r="W24" s="18"/>
      <c r="Y24" t="s">
        <v>121</v>
      </c>
      <c r="AA24" s="12">
        <f>(SUM(AA19:AA20)-AA23)*AM36/100</f>
        <v>2408.717121460008</v>
      </c>
      <c r="AB24" s="12">
        <f>(SUM(AB19:AB20)-AB23)*AN36/100</f>
        <v>1019.208690876269</v>
      </c>
      <c r="AJ24" s="14" t="s">
        <v>105</v>
      </c>
      <c r="AK24" s="21"/>
      <c r="AL24" s="22"/>
      <c r="AM24" s="19">
        <f>'G&amp;D sammanställning'!K5</f>
        <v>76.487234630530693</v>
      </c>
      <c r="AN24" s="40">
        <f t="shared" si="3"/>
        <v>76.487234630530693</v>
      </c>
      <c r="AO24" s="15" t="s">
        <v>76</v>
      </c>
      <c r="AP24" s="15"/>
      <c r="AQ24" s="15"/>
      <c r="AR24" s="15"/>
      <c r="AS24" s="15"/>
      <c r="AT24" s="18"/>
    </row>
    <row r="25" spans="2:47" x14ac:dyDescent="0.25">
      <c r="B25" t="s">
        <v>122</v>
      </c>
      <c r="D25" s="12">
        <f>D24*(D19)/(D19+D20-D23)</f>
        <v>10028.193990455773</v>
      </c>
      <c r="E25" s="12">
        <f>E24*(E19)/(E19+E20-E23)</f>
        <v>198.58246220177472</v>
      </c>
      <c r="M25" s="14" t="s">
        <v>126</v>
      </c>
      <c r="N25" s="21"/>
      <c r="O25" s="22"/>
      <c r="P25" s="19">
        <f>'G&amp;D sammanställning'!H8</f>
        <v>32.261824495792709</v>
      </c>
      <c r="Q25" s="40">
        <f>P25</f>
        <v>32.261824495792709</v>
      </c>
      <c r="R25" s="15" t="s">
        <v>76</v>
      </c>
      <c r="S25" s="15"/>
      <c r="T25" s="15"/>
      <c r="U25" s="15"/>
      <c r="V25" s="15"/>
      <c r="W25" s="18"/>
      <c r="Y25" t="s">
        <v>122</v>
      </c>
      <c r="AA25" s="12">
        <f>AA24*(AA19)/(AA19+AA20-AA23)</f>
        <v>1683.2572584534512</v>
      </c>
      <c r="AB25" s="12">
        <f>AB24*(AB19)/(AB19+AB20-AB23)</f>
        <v>730.77621225193468</v>
      </c>
      <c r="AJ25" s="14" t="s">
        <v>126</v>
      </c>
      <c r="AK25" s="21"/>
      <c r="AL25" s="22"/>
      <c r="AM25" s="19">
        <f>'G&amp;D sammanställning'!K8</f>
        <v>26.974548266754862</v>
      </c>
      <c r="AN25" s="40">
        <f t="shared" si="3"/>
        <v>26.974548266754862</v>
      </c>
      <c r="AO25" s="15" t="s">
        <v>76</v>
      </c>
      <c r="AP25" s="15"/>
      <c r="AQ25" s="15"/>
      <c r="AR25" s="15"/>
      <c r="AS25" s="15"/>
      <c r="AT25" s="18"/>
    </row>
    <row r="26" spans="2:47" x14ac:dyDescent="0.25">
      <c r="B26" t="s">
        <v>124</v>
      </c>
      <c r="D26" s="12">
        <f>D24-D25</f>
        <v>1205.4547895417763</v>
      </c>
      <c r="E26" s="12">
        <f>E24-E25</f>
        <v>140.03835176886048</v>
      </c>
      <c r="M26" s="14" t="s">
        <v>128</v>
      </c>
      <c r="N26" s="21"/>
      <c r="O26" s="22"/>
      <c r="P26" s="19">
        <f>'G&amp;D sammanställning'!H13</f>
        <v>10.897125962332254</v>
      </c>
      <c r="Q26" s="40">
        <f>P26</f>
        <v>10.897125962332254</v>
      </c>
      <c r="R26" s="15" t="s">
        <v>76</v>
      </c>
      <c r="S26" s="15"/>
      <c r="T26" s="15"/>
      <c r="U26" s="15"/>
      <c r="V26" s="15"/>
      <c r="W26" s="18"/>
      <c r="Y26" t="s">
        <v>124</v>
      </c>
      <c r="AA26" s="12">
        <f>AA24-AA25</f>
        <v>725.45986300655682</v>
      </c>
      <c r="AB26" s="12">
        <f>AB24-AB25</f>
        <v>288.43247862433429</v>
      </c>
      <c r="AJ26" s="14" t="s">
        <v>128</v>
      </c>
      <c r="AK26" s="21"/>
      <c r="AL26" s="22"/>
      <c r="AM26" s="19">
        <f>'G&amp;D sammanställning'!K13</f>
        <v>10.935038631346579</v>
      </c>
      <c r="AN26" s="40">
        <f t="shared" si="3"/>
        <v>10.935038631346579</v>
      </c>
      <c r="AO26" s="15" t="s">
        <v>76</v>
      </c>
      <c r="AP26" s="15"/>
      <c r="AQ26" s="15"/>
      <c r="AR26" s="15"/>
      <c r="AS26" s="15"/>
      <c r="AT26" s="18"/>
    </row>
    <row r="27" spans="2:47" x14ac:dyDescent="0.25">
      <c r="B27" t="s">
        <v>125</v>
      </c>
      <c r="D27" s="12">
        <f>D20-D23-D26</f>
        <v>14432.778195452369</v>
      </c>
      <c r="E27" s="12">
        <f>E20-E23-E26</f>
        <v>1676.6638512465397</v>
      </c>
      <c r="M27" s="14" t="s">
        <v>130</v>
      </c>
      <c r="N27" s="21"/>
      <c r="O27" s="22"/>
      <c r="P27" s="19">
        <f>'G&amp;D sammanställning'!H9</f>
        <v>29.693541660925714</v>
      </c>
      <c r="Q27" s="40">
        <f>P27</f>
        <v>29.693541660925714</v>
      </c>
      <c r="R27" s="15" t="s">
        <v>76</v>
      </c>
      <c r="S27" s="15"/>
      <c r="T27" s="15"/>
      <c r="U27" s="15"/>
      <c r="V27" s="15"/>
      <c r="W27" s="18"/>
      <c r="Y27" t="s">
        <v>125</v>
      </c>
      <c r="AA27" s="12">
        <f>AA20-AA23-AA26</f>
        <v>28789.133357560084</v>
      </c>
      <c r="AB27" s="12">
        <f>AB20-AB23-AB26</f>
        <v>11446.148181587963</v>
      </c>
      <c r="AJ27" s="14" t="s">
        <v>130</v>
      </c>
      <c r="AK27" s="21"/>
      <c r="AL27" s="22"/>
      <c r="AM27" s="19">
        <f>'G&amp;D sammanställning'!K9</f>
        <v>28.447644642307768</v>
      </c>
      <c r="AN27" s="40">
        <f t="shared" si="3"/>
        <v>28.447644642307768</v>
      </c>
      <c r="AO27" s="15" t="s">
        <v>76</v>
      </c>
      <c r="AP27" s="15"/>
      <c r="AQ27" s="15"/>
      <c r="AR27" s="15"/>
      <c r="AS27" s="15"/>
      <c r="AT27" s="18"/>
    </row>
    <row r="28" spans="2:47" x14ac:dyDescent="0.25">
      <c r="B28" t="s">
        <v>127</v>
      </c>
      <c r="D28" s="12">
        <f>(D19-D25)*(P37/100)</f>
        <v>17767.61123120362</v>
      </c>
      <c r="E28" s="12">
        <f>(E19-E25)*(Q37/100)</f>
        <v>1558.1557309026598</v>
      </c>
      <c r="M28" s="14" t="s">
        <v>131</v>
      </c>
      <c r="N28" s="21"/>
      <c r="O28" s="22"/>
      <c r="P28" s="19">
        <f>'G&amp;D sammanställning'!H10</f>
        <v>22.579883233319137</v>
      </c>
      <c r="Q28" s="40">
        <f>P28</f>
        <v>22.579883233319137</v>
      </c>
      <c r="R28" s="15" t="s">
        <v>76</v>
      </c>
      <c r="S28" s="15"/>
      <c r="T28" s="15"/>
      <c r="U28" s="15"/>
      <c r="V28" s="15"/>
      <c r="W28" s="18"/>
      <c r="Y28" t="s">
        <v>127</v>
      </c>
      <c r="AA28" s="12">
        <f>(AA19-AA25)*(AM37/100)</f>
        <v>6195.458592115202</v>
      </c>
      <c r="AB28" s="12">
        <f>(AB19-AB25)*(AN37/100)</f>
        <v>10422.672021131853</v>
      </c>
      <c r="AD28">
        <v>6180.1796543566261</v>
      </c>
      <c r="AE28">
        <v>10387.90219324291</v>
      </c>
      <c r="AJ28" s="14" t="s">
        <v>131</v>
      </c>
      <c r="AK28" s="21"/>
      <c r="AL28" s="22"/>
      <c r="AM28" s="19">
        <f>'G&amp;D sammanställning'!K10</f>
        <v>20.108223371938482</v>
      </c>
      <c r="AN28" s="40">
        <f t="shared" si="3"/>
        <v>20.108223371938482</v>
      </c>
      <c r="AO28" s="15" t="s">
        <v>76</v>
      </c>
      <c r="AP28" s="15"/>
      <c r="AQ28" s="15"/>
      <c r="AR28" s="15"/>
      <c r="AS28" s="15"/>
      <c r="AT28" s="18"/>
    </row>
    <row r="29" spans="2:47" x14ac:dyDescent="0.25">
      <c r="B29" t="s">
        <v>129</v>
      </c>
      <c r="D29" s="12">
        <f>D19-D25-D28</f>
        <v>102298.8573090508</v>
      </c>
      <c r="E29" s="12">
        <f>E19-E25-E28</f>
        <v>819.45034385896315</v>
      </c>
      <c r="M29" s="43" t="s">
        <v>132</v>
      </c>
      <c r="N29" s="21"/>
      <c r="O29" s="22"/>
      <c r="P29" s="19"/>
      <c r="Q29" s="37"/>
      <c r="R29" s="19"/>
      <c r="S29" s="19"/>
      <c r="T29" s="15"/>
      <c r="U29" s="15"/>
      <c r="V29" s="15"/>
      <c r="W29" s="18"/>
      <c r="Y29" t="s">
        <v>129</v>
      </c>
      <c r="AA29" s="12">
        <f>AA19-AA25-AA28</f>
        <v>60602.885685491507</v>
      </c>
      <c r="AB29" s="12">
        <f>AB19-AB25-AB28</f>
        <v>18577.43522375845</v>
      </c>
      <c r="AD29">
        <v>60706.75711053711</v>
      </c>
      <c r="AE29">
        <v>18612.205051647394</v>
      </c>
      <c r="AJ29" s="43" t="s">
        <v>132</v>
      </c>
      <c r="AK29" s="21"/>
      <c r="AL29" s="22"/>
      <c r="AM29" s="19"/>
      <c r="AN29" s="37"/>
      <c r="AO29" s="19"/>
      <c r="AP29" s="19"/>
      <c r="AQ29" s="15"/>
      <c r="AR29" s="15"/>
      <c r="AS29" s="15"/>
      <c r="AT29" s="18"/>
    </row>
    <row r="30" spans="2:47" x14ac:dyDescent="0.25">
      <c r="D30" s="12"/>
      <c r="E30" s="42"/>
      <c r="M30" s="14" t="s">
        <v>105</v>
      </c>
      <c r="N30" s="21"/>
      <c r="O30" s="22"/>
      <c r="P30" s="34">
        <f>'G&amp;D sammanställning'!B5</f>
        <v>306.21826041439471</v>
      </c>
      <c r="Q30" s="44">
        <f>P30</f>
        <v>306.21826041439471</v>
      </c>
      <c r="R30" s="19" t="s">
        <v>133</v>
      </c>
      <c r="S30" s="19"/>
      <c r="T30" s="15"/>
      <c r="U30" s="15"/>
      <c r="V30" s="15"/>
      <c r="W30" s="18"/>
      <c r="AA30" s="12"/>
      <c r="AB30" s="26"/>
      <c r="AJ30" s="14" t="s">
        <v>105</v>
      </c>
      <c r="AK30" s="21"/>
      <c r="AL30" s="22"/>
      <c r="AM30" s="19">
        <f>'G&amp;D sammanställning'!E5</f>
        <v>340.59970933962359</v>
      </c>
      <c r="AN30" s="44">
        <f t="shared" si="3"/>
        <v>340.59970933962359</v>
      </c>
      <c r="AO30" s="19" t="s">
        <v>133</v>
      </c>
      <c r="AP30" s="19"/>
      <c r="AQ30" s="15"/>
      <c r="AR30" s="15"/>
      <c r="AS30" s="15"/>
      <c r="AT30" s="18"/>
    </row>
    <row r="31" spans="2:47" x14ac:dyDescent="0.25">
      <c r="D31" s="12"/>
      <c r="E31" s="42"/>
      <c r="M31" s="14" t="s">
        <v>126</v>
      </c>
      <c r="N31" s="21"/>
      <c r="O31" s="22"/>
      <c r="P31" s="34">
        <f>'G&amp;D sammanställning'!B8</f>
        <v>298.04826766395087</v>
      </c>
      <c r="Q31" s="44">
        <f>P31</f>
        <v>298.04826766395087</v>
      </c>
      <c r="R31" s="19" t="s">
        <v>133</v>
      </c>
      <c r="S31" s="19"/>
      <c r="T31" s="15"/>
      <c r="U31" s="15"/>
      <c r="V31" s="15"/>
      <c r="W31" s="18"/>
      <c r="AA31" s="12"/>
      <c r="AB31" s="26"/>
      <c r="AJ31" s="14" t="s">
        <v>126</v>
      </c>
      <c r="AK31" s="21"/>
      <c r="AL31" s="22"/>
      <c r="AM31" s="19">
        <f>'G&amp;D sammanställning'!E8</f>
        <v>309.16608462185729</v>
      </c>
      <c r="AN31" s="44">
        <f t="shared" si="3"/>
        <v>309.16608462185729</v>
      </c>
      <c r="AO31" s="19" t="s">
        <v>133</v>
      </c>
      <c r="AP31" s="19"/>
      <c r="AQ31" s="15"/>
      <c r="AR31" s="15"/>
      <c r="AS31" s="15"/>
      <c r="AT31" s="18"/>
    </row>
    <row r="32" spans="2:47" x14ac:dyDescent="0.25">
      <c r="D32" s="12"/>
      <c r="E32" s="42"/>
      <c r="M32" s="14" t="s">
        <v>128</v>
      </c>
      <c r="N32" s="21"/>
      <c r="O32" s="22"/>
      <c r="P32" s="34">
        <f>'G&amp;D sammanställning'!B13</f>
        <v>169.51342753470152</v>
      </c>
      <c r="Q32" s="44">
        <f>P32</f>
        <v>169.51342753470152</v>
      </c>
      <c r="R32" s="19" t="s">
        <v>133</v>
      </c>
      <c r="S32" s="19"/>
      <c r="T32" s="15"/>
      <c r="U32" s="15"/>
      <c r="V32" s="15"/>
      <c r="W32" s="18"/>
      <c r="AA32" s="45"/>
      <c r="AB32" s="26"/>
      <c r="AJ32" s="14" t="s">
        <v>128</v>
      </c>
      <c r="AK32" s="21"/>
      <c r="AL32" s="22"/>
      <c r="AM32" s="19">
        <f>'G&amp;D sammanställning'!E13</f>
        <v>157.31615342163354</v>
      </c>
      <c r="AN32" s="44">
        <f t="shared" si="3"/>
        <v>157.31615342163354</v>
      </c>
      <c r="AO32" s="19" t="s">
        <v>133</v>
      </c>
      <c r="AP32" s="19"/>
      <c r="AQ32" s="15"/>
      <c r="AR32" s="15"/>
      <c r="AS32" s="15"/>
      <c r="AT32" s="18"/>
    </row>
    <row r="33" spans="2:46" x14ac:dyDescent="0.25">
      <c r="D33" s="12"/>
      <c r="E33" s="42"/>
      <c r="M33" s="14" t="s">
        <v>130</v>
      </c>
      <c r="N33" s="21"/>
      <c r="O33" s="22"/>
      <c r="P33" s="34">
        <f>'G&amp;D sammanställning'!B9</f>
        <v>325.80714357886228</v>
      </c>
      <c r="Q33" s="44">
        <f>P33</f>
        <v>325.80714357886228</v>
      </c>
      <c r="R33" s="19" t="s">
        <v>133</v>
      </c>
      <c r="S33" s="19"/>
      <c r="T33" s="15"/>
      <c r="U33" s="15"/>
      <c r="V33" s="15"/>
      <c r="W33" s="18"/>
      <c r="AA33" s="12"/>
      <c r="AB33" s="26"/>
      <c r="AJ33" s="14" t="s">
        <v>130</v>
      </c>
      <c r="AK33" s="21"/>
      <c r="AL33" s="22"/>
      <c r="AM33" s="19">
        <f>'G&amp;D sammanställning'!E9</f>
        <v>335.59568199504139</v>
      </c>
      <c r="AN33" s="44">
        <f t="shared" si="3"/>
        <v>335.59568199504139</v>
      </c>
      <c r="AO33" s="19" t="s">
        <v>133</v>
      </c>
      <c r="AP33" s="19"/>
      <c r="AQ33" s="15"/>
      <c r="AR33" s="15"/>
      <c r="AS33" s="15"/>
      <c r="AT33" s="18"/>
    </row>
    <row r="34" spans="2:46" x14ac:dyDescent="0.25">
      <c r="D34" s="12"/>
      <c r="E34" s="42"/>
      <c r="M34" s="14" t="s">
        <v>131</v>
      </c>
      <c r="N34" s="21"/>
      <c r="O34" s="22"/>
      <c r="P34" s="34">
        <f>'G&amp;D sammanställning'!B10</f>
        <v>328.87655654023922</v>
      </c>
      <c r="Q34" s="44">
        <f>P34</f>
        <v>328.87655654023922</v>
      </c>
      <c r="R34" s="19" t="s">
        <v>133</v>
      </c>
      <c r="S34" s="19"/>
      <c r="T34" s="15"/>
      <c r="U34" s="15"/>
      <c r="V34" s="15"/>
      <c r="W34" s="18"/>
      <c r="AA34" s="12"/>
      <c r="AB34" s="26"/>
      <c r="AJ34" s="14" t="s">
        <v>131</v>
      </c>
      <c r="AK34" s="21"/>
      <c r="AL34" s="22"/>
      <c r="AM34" s="19">
        <f>'G&amp;D sammanställning'!E10</f>
        <v>358.4339849534839</v>
      </c>
      <c r="AN34" s="44">
        <f t="shared" si="3"/>
        <v>358.4339849534839</v>
      </c>
      <c r="AO34" s="19" t="s">
        <v>133</v>
      </c>
      <c r="AP34" s="19"/>
      <c r="AQ34" s="15"/>
      <c r="AR34" s="15"/>
      <c r="AS34" s="15"/>
      <c r="AT34" s="18"/>
    </row>
    <row r="35" spans="2:46" x14ac:dyDescent="0.25">
      <c r="D35" s="12"/>
      <c r="E35" s="42"/>
      <c r="M35" s="35" t="s">
        <v>134</v>
      </c>
      <c r="N35" s="21"/>
      <c r="O35" s="22"/>
      <c r="P35" s="19"/>
      <c r="Q35" s="37"/>
      <c r="R35" s="19"/>
      <c r="S35" s="19" t="s">
        <v>322</v>
      </c>
      <c r="T35" s="15"/>
      <c r="U35" s="15"/>
      <c r="V35" s="15"/>
      <c r="W35" s="18"/>
      <c r="AA35" s="12"/>
      <c r="AB35" s="26"/>
      <c r="AJ35" s="35" t="s">
        <v>134</v>
      </c>
      <c r="AK35" s="21"/>
      <c r="AL35" s="22"/>
      <c r="AM35" s="19"/>
      <c r="AN35" s="37"/>
      <c r="AO35" s="19"/>
      <c r="AP35" s="19" t="s">
        <v>322</v>
      </c>
      <c r="AQ35" s="15"/>
      <c r="AR35" s="15"/>
      <c r="AS35" s="15"/>
      <c r="AT35" s="18"/>
    </row>
    <row r="36" spans="2:46" x14ac:dyDescent="0.25">
      <c r="D36" s="12"/>
      <c r="E36" s="42"/>
      <c r="M36" s="14" t="s">
        <v>532</v>
      </c>
      <c r="N36" s="21"/>
      <c r="O36" s="22"/>
      <c r="P36" s="19">
        <f>'G&amp;D sammanställning'!$T$13*S36</f>
        <v>7.708382338966838</v>
      </c>
      <c r="Q36" s="19">
        <f>'G&amp;D sammanställning'!$T$13*T36</f>
        <v>7.708382338966838</v>
      </c>
      <c r="R36" s="19" t="s">
        <v>9</v>
      </c>
      <c r="S36" s="19">
        <v>0.95</v>
      </c>
      <c r="T36" s="19">
        <v>0.95</v>
      </c>
      <c r="U36" s="15"/>
      <c r="V36" s="15"/>
      <c r="W36" s="18"/>
      <c r="AA36" s="12"/>
      <c r="AB36" s="26"/>
      <c r="AJ36" s="14" t="s">
        <v>128</v>
      </c>
      <c r="AK36" s="21"/>
      <c r="AL36" s="22"/>
      <c r="AM36" s="19">
        <f>'G&amp;D sammanställning'!$W$13*AP36</f>
        <v>2.4579700542883822</v>
      </c>
      <c r="AN36" s="19">
        <f>'G&amp;D sammanställning'!$W$13*AQ36</f>
        <v>2.4579700542883822</v>
      </c>
      <c r="AO36" s="19" t="s">
        <v>9</v>
      </c>
      <c r="AP36" s="19">
        <v>0.95</v>
      </c>
      <c r="AQ36" s="19">
        <v>0.95</v>
      </c>
      <c r="AR36" s="15"/>
      <c r="AS36" s="15"/>
      <c r="AT36" s="18"/>
    </row>
    <row r="37" spans="2:46" x14ac:dyDescent="0.25">
      <c r="D37" s="12"/>
      <c r="E37" s="42"/>
      <c r="M37" s="14" t="s">
        <v>533</v>
      </c>
      <c r="N37" s="21"/>
      <c r="O37" s="22"/>
      <c r="P37" s="19">
        <f>'G&amp;D sammanställning'!$T$9/SUM('G&amp;D sammanställning'!T9:T10)*100*S37</f>
        <v>14.798145933014354</v>
      </c>
      <c r="Q37" s="19">
        <f>'G&amp;D sammanställning'!$T$9/SUM('G&amp;D sammanställning'!T9:T10)*100*T37</f>
        <v>65.534646274777856</v>
      </c>
      <c r="R37" s="19" t="s">
        <v>9</v>
      </c>
      <c r="S37" s="19">
        <v>0.7</v>
      </c>
      <c r="T37" s="19">
        <v>3.1</v>
      </c>
      <c r="U37" s="15"/>
      <c r="V37" s="15"/>
      <c r="W37" s="18"/>
      <c r="AA37" s="12"/>
      <c r="AB37" s="26"/>
      <c r="AJ37" s="14" t="s">
        <v>130</v>
      </c>
      <c r="AK37" s="21"/>
      <c r="AL37" s="22"/>
      <c r="AM37" s="19">
        <f>'G&amp;D sammanställning'!$W$9/SUM('G&amp;D sammanställning'!W9:W10)*100*AP37</f>
        <v>9.2748685002842954</v>
      </c>
      <c r="AN37" s="19">
        <f>'G&amp;D sammanställning'!$W$9/SUM('G&amp;D sammanställning'!W9:W10)*100*AQ37</f>
        <v>35.940115438601644</v>
      </c>
      <c r="AO37" s="19" t="s">
        <v>9</v>
      </c>
      <c r="AP37" s="19">
        <v>0.8</v>
      </c>
      <c r="AQ37" s="19">
        <v>3.1</v>
      </c>
      <c r="AR37" s="15"/>
      <c r="AS37" s="15"/>
      <c r="AT37" s="18"/>
    </row>
    <row r="38" spans="2:46" x14ac:dyDescent="0.25">
      <c r="D38" s="12"/>
      <c r="E38" s="42"/>
      <c r="J38" s="15"/>
      <c r="K38" s="21"/>
      <c r="L38" s="22"/>
      <c r="M38" s="103" t="s">
        <v>317</v>
      </c>
      <c r="N38" s="15"/>
      <c r="O38" s="19"/>
      <c r="P38" s="19"/>
      <c r="Q38" s="15"/>
      <c r="R38" s="15"/>
      <c r="S38" s="15"/>
      <c r="T38" s="15"/>
      <c r="U38" s="15"/>
      <c r="V38" s="15"/>
      <c r="W38" s="106"/>
      <c r="X38" s="26"/>
      <c r="AA38" s="15"/>
      <c r="AB38" s="21"/>
      <c r="AC38" s="22"/>
      <c r="AD38" s="19"/>
      <c r="AE38" s="19"/>
      <c r="AF38" s="19"/>
      <c r="AG38" s="15"/>
      <c r="AH38" s="15"/>
      <c r="AI38" s="15"/>
      <c r="AJ38" s="103" t="s">
        <v>317</v>
      </c>
      <c r="AK38" s="15"/>
      <c r="AL38" s="19"/>
      <c r="AM38" s="19"/>
      <c r="AN38" s="15"/>
      <c r="AO38" s="15"/>
      <c r="AP38" s="15"/>
      <c r="AQ38" s="15"/>
      <c r="AR38" s="15"/>
      <c r="AS38" s="15"/>
      <c r="AT38" s="106"/>
    </row>
    <row r="39" spans="2:46" x14ac:dyDescent="0.25">
      <c r="D39" s="12"/>
      <c r="E39" s="42"/>
      <c r="J39" s="15"/>
      <c r="K39" s="21"/>
      <c r="L39" s="22"/>
      <c r="M39" s="104" t="s">
        <v>318</v>
      </c>
      <c r="N39" s="15"/>
      <c r="O39" s="19"/>
      <c r="P39" s="19">
        <v>89</v>
      </c>
      <c r="Q39" s="15"/>
      <c r="R39" s="108" t="s">
        <v>9</v>
      </c>
      <c r="S39" s="15"/>
      <c r="T39" s="15" t="s">
        <v>320</v>
      </c>
      <c r="U39" s="15"/>
      <c r="V39" s="15"/>
      <c r="W39" s="106"/>
      <c r="X39" s="26"/>
      <c r="AA39" s="15"/>
      <c r="AB39" s="21"/>
      <c r="AC39" s="22"/>
      <c r="AD39" s="19"/>
      <c r="AE39" s="19"/>
      <c r="AF39" s="19"/>
      <c r="AG39" s="15"/>
      <c r="AH39" s="15"/>
      <c r="AI39" s="15"/>
      <c r="AJ39" s="104" t="s">
        <v>318</v>
      </c>
      <c r="AK39" s="15"/>
      <c r="AL39" s="19"/>
      <c r="AM39" s="19">
        <v>14</v>
      </c>
      <c r="AN39" s="15"/>
      <c r="AO39" s="108" t="s">
        <v>9</v>
      </c>
      <c r="AP39" s="15"/>
      <c r="AQ39" s="15"/>
      <c r="AR39" s="15"/>
      <c r="AS39" s="15"/>
      <c r="AT39" s="106"/>
    </row>
    <row r="40" spans="2:46" x14ac:dyDescent="0.25">
      <c r="D40" s="12"/>
      <c r="E40" s="42"/>
      <c r="J40" s="15"/>
      <c r="K40" s="21"/>
      <c r="L40" s="22"/>
      <c r="M40" s="105" t="s">
        <v>319</v>
      </c>
      <c r="N40" s="47"/>
      <c r="O40" s="46"/>
      <c r="P40" s="46">
        <v>8.5</v>
      </c>
      <c r="Q40" s="47"/>
      <c r="R40" s="47" t="s">
        <v>9</v>
      </c>
      <c r="S40" s="47"/>
      <c r="T40" s="47" t="s">
        <v>320</v>
      </c>
      <c r="U40" s="47"/>
      <c r="V40" s="47"/>
      <c r="W40" s="107"/>
      <c r="X40" s="26"/>
      <c r="AA40" s="15"/>
      <c r="AB40" s="21"/>
      <c r="AC40" s="22"/>
      <c r="AD40" s="19"/>
      <c r="AE40" s="19"/>
      <c r="AF40" s="19"/>
      <c r="AG40" s="15"/>
      <c r="AH40" s="15"/>
      <c r="AI40" s="15"/>
      <c r="AJ40" s="105" t="s">
        <v>319</v>
      </c>
      <c r="AK40" s="47"/>
      <c r="AL40" s="46"/>
      <c r="AM40" s="46">
        <v>8.5</v>
      </c>
      <c r="AN40" s="47"/>
      <c r="AO40" s="47" t="s">
        <v>9</v>
      </c>
      <c r="AP40" s="47"/>
      <c r="AQ40" s="47"/>
      <c r="AR40" s="47"/>
      <c r="AS40" s="47"/>
      <c r="AT40" s="107"/>
    </row>
    <row r="41" spans="2:46" x14ac:dyDescent="0.25">
      <c r="D41" s="12"/>
      <c r="E41" s="42"/>
      <c r="J41" s="15"/>
      <c r="K41" s="21"/>
      <c r="L41" s="22"/>
      <c r="M41" s="19"/>
      <c r="O41" s="19"/>
      <c r="P41" s="19"/>
      <c r="Q41" s="15"/>
      <c r="R41" s="15"/>
      <c r="S41" s="15"/>
      <c r="T41" s="15"/>
      <c r="W41" s="12"/>
      <c r="X41" s="26"/>
      <c r="AA41" s="15"/>
      <c r="AB41" s="21"/>
      <c r="AC41" s="22"/>
      <c r="AD41" s="19"/>
      <c r="AE41" s="19"/>
      <c r="AF41" s="19"/>
      <c r="AG41" s="15"/>
      <c r="AH41" s="15"/>
      <c r="AI41" s="15"/>
      <c r="AJ41" s="15"/>
    </row>
    <row r="42" spans="2:46" x14ac:dyDescent="0.25">
      <c r="D42" s="6" t="s">
        <v>311</v>
      </c>
      <c r="F42" s="6" t="s">
        <v>312</v>
      </c>
      <c r="AH42" s="24"/>
      <c r="AI42" s="24"/>
    </row>
    <row r="43" spans="2:46" x14ac:dyDescent="0.25">
      <c r="B43" s="48" t="s">
        <v>135</v>
      </c>
      <c r="C43" s="48"/>
      <c r="D43" s="49" t="s">
        <v>277</v>
      </c>
      <c r="E43" s="49" t="s">
        <v>279</v>
      </c>
      <c r="F43" s="49" t="s">
        <v>137</v>
      </c>
      <c r="G43" s="49" t="s">
        <v>138</v>
      </c>
      <c r="H43" s="49" t="s">
        <v>338</v>
      </c>
      <c r="J43" s="48" t="s">
        <v>139</v>
      </c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24"/>
    </row>
    <row r="44" spans="2:46" x14ac:dyDescent="0.25">
      <c r="B44" s="81" t="s">
        <v>309</v>
      </c>
      <c r="C44" s="81"/>
      <c r="D44" s="50">
        <f>SUM(D5:E5)</f>
        <v>316238</v>
      </c>
      <c r="E44" s="102">
        <f>E5</f>
        <v>55025.411999999997</v>
      </c>
      <c r="F44" s="49"/>
      <c r="G44" s="49"/>
      <c r="H44" s="51">
        <f>(E44-D80*AD80/100)/(D80*AD80/100)</f>
        <v>1.3222904381312816E-16</v>
      </c>
      <c r="J44" s="48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24"/>
    </row>
    <row r="45" spans="2:46" x14ac:dyDescent="0.25">
      <c r="B45" s="81" t="s">
        <v>310</v>
      </c>
      <c r="C45" s="81"/>
      <c r="D45" s="50">
        <f>SUM(AA5:AB5)</f>
        <v>206514</v>
      </c>
      <c r="E45" s="102">
        <f>AB5</f>
        <v>72692.928000000014</v>
      </c>
      <c r="F45" s="49"/>
      <c r="G45" s="49"/>
      <c r="H45" s="51">
        <f>(E45-D81*AD81/100)/(D81*AD81/100)</f>
        <v>0</v>
      </c>
      <c r="J45" s="48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24"/>
    </row>
    <row r="46" spans="2:46" x14ac:dyDescent="0.25">
      <c r="B46" s="49" t="s">
        <v>140</v>
      </c>
      <c r="C46" s="49"/>
      <c r="D46" s="50">
        <f>SUM(D9:E9,AA9:AB9)</f>
        <v>462138.23293531057</v>
      </c>
      <c r="E46" s="102">
        <f>SUM(E9,AB9)</f>
        <v>85658.04919782767</v>
      </c>
      <c r="F46" s="51">
        <f>(D46-D82)/D82</f>
        <v>-1.0695352482474956E-2</v>
      </c>
      <c r="G46" s="49"/>
      <c r="H46" s="51">
        <f>(E46-D82*AD82/100)/(D82*AD82/100)</f>
        <v>-0.11841743142803166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</row>
    <row r="47" spans="2:46" x14ac:dyDescent="0.25">
      <c r="B47" s="49" t="s">
        <v>141</v>
      </c>
      <c r="C47" s="49"/>
      <c r="D47" s="50">
        <f>SUM(D6:E8,AA6:AB8)</f>
        <v>491118.33111116767</v>
      </c>
      <c r="E47" s="102">
        <f>SUM(E6:E8,AB6:AB8)</f>
        <v>97165.41043879147</v>
      </c>
      <c r="F47" s="51">
        <f>(D47-D83)/D83</f>
        <v>-4.806314064255658E-3</v>
      </c>
      <c r="G47" s="49"/>
      <c r="H47" s="51">
        <f>(E47-D83*AD83/100)/(D83*AD83/100)</f>
        <v>4.5627856314753969E-3</v>
      </c>
      <c r="J47" s="52" t="s">
        <v>142</v>
      </c>
      <c r="K47" s="49"/>
      <c r="L47" s="49" t="s">
        <v>143</v>
      </c>
      <c r="M47" s="49" t="s">
        <v>144</v>
      </c>
      <c r="N47" s="49" t="s">
        <v>145</v>
      </c>
      <c r="O47" s="49" t="s">
        <v>146</v>
      </c>
      <c r="P47" s="49" t="s">
        <v>147</v>
      </c>
      <c r="Q47" s="49" t="s">
        <v>148</v>
      </c>
      <c r="R47" s="49" t="s">
        <v>149</v>
      </c>
      <c r="S47" s="49" t="s">
        <v>150</v>
      </c>
      <c r="T47" s="49" t="s">
        <v>151</v>
      </c>
      <c r="U47" s="49" t="s">
        <v>152</v>
      </c>
      <c r="V47" s="49" t="s">
        <v>153</v>
      </c>
      <c r="W47" s="49" t="s">
        <v>154</v>
      </c>
      <c r="X47" s="49" t="s">
        <v>155</v>
      </c>
      <c r="Y47" s="49" t="s">
        <v>156</v>
      </c>
      <c r="Z47" s="49" t="s">
        <v>157</v>
      </c>
      <c r="AA47" s="49" t="s">
        <v>158</v>
      </c>
      <c r="AB47" s="49" t="s">
        <v>159</v>
      </c>
      <c r="AC47" s="49" t="s">
        <v>160</v>
      </c>
      <c r="AD47" s="49" t="s">
        <v>161</v>
      </c>
      <c r="AE47" s="49" t="s">
        <v>162</v>
      </c>
      <c r="AF47" s="49" t="s">
        <v>163</v>
      </c>
      <c r="AG47" s="49" t="s">
        <v>164</v>
      </c>
      <c r="AH47" s="49"/>
    </row>
    <row r="48" spans="2:46" x14ac:dyDescent="0.25">
      <c r="B48" s="49" t="s">
        <v>165</v>
      </c>
      <c r="C48" s="49"/>
      <c r="D48" s="50">
        <f>SUM(F5:G5,AC5:AD5)</f>
        <v>143608.72911893675</v>
      </c>
      <c r="E48" s="102">
        <f>SUM(G5,AD5)</f>
        <v>33025.146960105732</v>
      </c>
      <c r="F48" s="51">
        <f>(D48/1000-SUM(D65:D66))/SUM(D65:D66)</f>
        <v>2.4946917630514015E-2</v>
      </c>
      <c r="G48" s="51">
        <f>(D48-'G&amp;D sammanställning'!R5)/'G&amp;D sammanställning'!R5</f>
        <v>8.606569480487368E-2</v>
      </c>
      <c r="H48" s="51">
        <f>(E48/1000-D67*AD67/100)/(D67*AD67/100)</f>
        <v>0.15897857237212781</v>
      </c>
      <c r="J48" s="49" t="s">
        <v>140</v>
      </c>
      <c r="K48" s="49"/>
      <c r="L48" s="53">
        <f t="shared" ref="L48:AG48" si="5">(($D$9/$D$5*D80+$AA$9/$AA$5*D81)-D82)/D82</f>
        <v>7.0389800527254354E-2</v>
      </c>
      <c r="M48" s="51">
        <f t="shared" si="5"/>
        <v>0.1641160384502264</v>
      </c>
      <c r="N48" s="51">
        <f t="shared" si="5"/>
        <v>6.2741742368592826E-2</v>
      </c>
      <c r="O48" s="51">
        <f t="shared" si="5"/>
        <v>5.4844492096684967E-3</v>
      </c>
      <c r="P48" s="51">
        <f t="shared" si="5"/>
        <v>4.9767901652659784E-2</v>
      </c>
      <c r="Q48" s="51">
        <f t="shared" si="5"/>
        <v>8.9806434125287354E-2</v>
      </c>
      <c r="R48" s="51">
        <f t="shared" si="5"/>
        <v>4.7852648844040301E-2</v>
      </c>
      <c r="S48" s="51">
        <f t="shared" si="5"/>
        <v>8.8147173573112636E-2</v>
      </c>
      <c r="T48" s="51">
        <f t="shared" si="5"/>
        <v>-1.4896303450674605E-3</v>
      </c>
      <c r="U48" s="51">
        <f t="shared" si="5"/>
        <v>6.6312967692974331E-2</v>
      </c>
      <c r="V48" s="51">
        <f t="shared" si="5"/>
        <v>5.1064812412836835E-2</v>
      </c>
      <c r="W48" s="51">
        <f t="shared" si="5"/>
        <v>9.0539867551585287E-2</v>
      </c>
      <c r="X48" s="51">
        <f t="shared" si="5"/>
        <v>4.2149739121690788E-2</v>
      </c>
      <c r="Y48" s="51">
        <f t="shared" si="5"/>
        <v>9.6377400625822562E-2</v>
      </c>
      <c r="Z48" s="51">
        <f t="shared" si="5"/>
        <v>-2.9384599454369168E-2</v>
      </c>
      <c r="AA48" s="51">
        <f t="shared" si="5"/>
        <v>-9.4518816465115466E-2</v>
      </c>
      <c r="AB48" s="51">
        <f t="shared" si="5"/>
        <v>9.4558497350661269E-2</v>
      </c>
      <c r="AC48" s="51">
        <f t="shared" si="5"/>
        <v>0.10784065905018962</v>
      </c>
      <c r="AD48" s="54">
        <f t="shared" si="5"/>
        <v>0.34272149143484204</v>
      </c>
      <c r="AE48" s="55">
        <f t="shared" si="5"/>
        <v>0.24999367684531074</v>
      </c>
      <c r="AF48" s="55">
        <f t="shared" si="5"/>
        <v>0.23003241029778523</v>
      </c>
      <c r="AG48" s="56">
        <f t="shared" si="5"/>
        <v>0.1894678808776746</v>
      </c>
      <c r="AH48" s="49"/>
    </row>
    <row r="49" spans="2:34" x14ac:dyDescent="0.25">
      <c r="B49" s="49" t="s">
        <v>166</v>
      </c>
      <c r="C49" s="49"/>
      <c r="D49" s="50">
        <f>SUM(F6:G6,AC6:AD6)</f>
        <v>56344.72358584695</v>
      </c>
      <c r="E49" s="102">
        <f>SUM(G6,AD6)</f>
        <v>13122.812032834503</v>
      </c>
      <c r="F49" s="51">
        <f>(D49/1000-D68)/D68</f>
        <v>-5.6960507701564148E-2</v>
      </c>
      <c r="G49" s="51">
        <f>(D49-'G&amp;D sammanställning'!R8)/'G&amp;D sammanställning'!R8</f>
        <v>4.4804484279247856E-3</v>
      </c>
      <c r="H49" s="51">
        <f>(E49/1000-D68*AD68/100)/(D68*AD68/100)</f>
        <v>0.13919089783196811</v>
      </c>
      <c r="J49" s="49" t="s">
        <v>141</v>
      </c>
      <c r="K49" s="49"/>
      <c r="L49" s="57">
        <f t="shared" ref="L49:AG49" si="6">((SUM($D$6:$D$8)/$D$5*D80+SUM($AA$6:$AA$8)/$AA$5*D81)-D83)/D83</f>
        <v>5.5454750163124039E-2</v>
      </c>
      <c r="M49" s="51">
        <f t="shared" si="6"/>
        <v>1.7247094441881921E-2</v>
      </c>
      <c r="N49" s="51">
        <f t="shared" si="6"/>
        <v>9.5882342632462994E-2</v>
      </c>
      <c r="O49" s="51">
        <f t="shared" si="6"/>
        <v>2.745459497141926E-2</v>
      </c>
      <c r="P49" s="51">
        <f t="shared" si="6"/>
        <v>8.0024024136308949E-2</v>
      </c>
      <c r="Q49" s="51">
        <f t="shared" si="6"/>
        <v>5.0436365625907004E-2</v>
      </c>
      <c r="R49" s="51">
        <f t="shared" si="6"/>
        <v>1.8357177105670277E-2</v>
      </c>
      <c r="S49" s="51">
        <f t="shared" si="6"/>
        <v>1.7538515767205241E-2</v>
      </c>
      <c r="T49" s="51">
        <f t="shared" si="6"/>
        <v>-7.0615872319091361E-2</v>
      </c>
      <c r="U49" s="51">
        <f t="shared" si="6"/>
        <v>-4.6675131398641028E-3</v>
      </c>
      <c r="V49" s="51">
        <f t="shared" si="6"/>
        <v>5.5106330624242514E-2</v>
      </c>
      <c r="W49" s="51">
        <f t="shared" si="6"/>
        <v>0.19663405183021468</v>
      </c>
      <c r="X49" s="51">
        <f t="shared" si="6"/>
        <v>1.5687008165013575E-2</v>
      </c>
      <c r="Y49" s="51">
        <f t="shared" si="6"/>
        <v>-6.5852748363066163E-2</v>
      </c>
      <c r="Z49" s="51">
        <f t="shared" si="6"/>
        <v>-1.6866569884546448E-2</v>
      </c>
      <c r="AA49" s="51">
        <f t="shared" si="6"/>
        <v>0.14888733853705846</v>
      </c>
      <c r="AB49" s="51">
        <f t="shared" si="6"/>
        <v>0.17982186874222031</v>
      </c>
      <c r="AC49" s="51">
        <f t="shared" si="6"/>
        <v>8.9852021971936757E-2</v>
      </c>
      <c r="AD49" s="58">
        <f t="shared" si="6"/>
        <v>0.2859855022109537</v>
      </c>
      <c r="AE49" s="59">
        <f t="shared" si="6"/>
        <v>0.23336230545668937</v>
      </c>
      <c r="AF49" s="59">
        <f t="shared" si="6"/>
        <v>0.19072947028499815</v>
      </c>
      <c r="AG49" s="60">
        <f t="shared" si="6"/>
        <v>0.19784001171427357</v>
      </c>
      <c r="AH49" s="49"/>
    </row>
    <row r="50" spans="2:34" x14ac:dyDescent="0.25">
      <c r="B50" s="49" t="s">
        <v>167</v>
      </c>
      <c r="C50" s="49"/>
      <c r="D50" s="50">
        <f>SUM(F7:G7,AC7:AD7)</f>
        <v>35943.897575353338</v>
      </c>
      <c r="E50" s="102">
        <f>SUM(G7,AD7)</f>
        <v>11980.827752034513</v>
      </c>
      <c r="F50" s="51">
        <f>(D50/1000-D70)/D70</f>
        <v>3.138873960841717E-2</v>
      </c>
      <c r="G50" s="51">
        <f>(D50-'G&amp;D sammanställning'!R9)/'G&amp;D sammanställning'!R9</f>
        <v>9.5022591922976976E-2</v>
      </c>
      <c r="H50" s="51">
        <f>(E50/1000-D70*AD70/100)/(D70*AD70/100)</f>
        <v>0.2667012485380032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61"/>
      <c r="AC50" s="61"/>
      <c r="AD50" s="61"/>
      <c r="AE50" s="62"/>
      <c r="AF50" s="62"/>
      <c r="AG50" s="61"/>
      <c r="AH50" s="49"/>
    </row>
    <row r="51" spans="2:34" x14ac:dyDescent="0.25">
      <c r="B51" s="49" t="s">
        <v>168</v>
      </c>
      <c r="C51" s="49"/>
      <c r="D51" s="50">
        <f>SUM(F8:G8,AC8:AD8)</f>
        <v>182298.62856215972</v>
      </c>
      <c r="E51" s="102">
        <f>SUM(G8,AD8)</f>
        <v>19396.885567617413</v>
      </c>
      <c r="F51" s="51">
        <f>(D51/1000-SUM(D71:D73))/SUM(D71:D73)</f>
        <v>2.0499497465020527E-2</v>
      </c>
      <c r="G51" s="51">
        <f>(D51-'G&amp;D sammanställning'!R10)/'G&amp;D sammanställning'!R10</f>
        <v>0.10154355366883673</v>
      </c>
      <c r="H51" s="51">
        <f>(E51/1000-D74*AD74/100)/(D74*AD74/100)</f>
        <v>0.25786870685492519</v>
      </c>
      <c r="J51" s="52" t="s">
        <v>169</v>
      </c>
      <c r="K51" s="49"/>
      <c r="L51" s="49" t="s">
        <v>170</v>
      </c>
      <c r="M51" s="49" t="s">
        <v>171</v>
      </c>
      <c r="N51" s="49" t="s">
        <v>172</v>
      </c>
      <c r="O51" s="49" t="s">
        <v>173</v>
      </c>
      <c r="P51" s="49" t="s">
        <v>174</v>
      </c>
      <c r="Q51" s="49" t="s">
        <v>175</v>
      </c>
      <c r="R51" s="49" t="s">
        <v>176</v>
      </c>
      <c r="S51" s="49" t="s">
        <v>177</v>
      </c>
      <c r="T51" s="49" t="s">
        <v>178</v>
      </c>
      <c r="U51" s="49"/>
      <c r="V51" s="49"/>
      <c r="W51" s="49"/>
      <c r="X51" s="49"/>
      <c r="Y51" s="49"/>
      <c r="Z51" s="49"/>
      <c r="AA51" s="49"/>
      <c r="AB51" s="61"/>
      <c r="AC51" s="61"/>
      <c r="AD51" s="61"/>
      <c r="AE51" s="62"/>
      <c r="AF51" s="62"/>
      <c r="AG51" s="61"/>
      <c r="AH51" s="49"/>
    </row>
    <row r="52" spans="2:34" x14ac:dyDescent="0.25">
      <c r="B52" s="49" t="s">
        <v>179</v>
      </c>
      <c r="C52" s="49"/>
      <c r="D52" s="50">
        <f>SUM(F9:G9,AC9:AD9)</f>
        <v>15000.195406304461</v>
      </c>
      <c r="E52" s="50">
        <f>SUM(G9,AD9)</f>
        <v>1357.8295048469042</v>
      </c>
      <c r="F52" s="51">
        <f>(D52/1000-D69)/D69</f>
        <v>3.2834202866958574E-2</v>
      </c>
      <c r="G52" s="51">
        <f>(D52-'G&amp;D sammanställning'!R13)/'G&amp;D sammanställning'!R13</f>
        <v>6.8283462212062884E-2</v>
      </c>
      <c r="H52" s="51">
        <f>(E52/1000-D69*AD69/100)/(D69*AD69/100)</f>
        <v>0.21104877819764517</v>
      </c>
      <c r="J52" s="49" t="s">
        <v>140</v>
      </c>
      <c r="K52" s="49"/>
      <c r="L52" s="53">
        <f t="shared" ref="L52:T52" si="7">(($D$9/$D$5*D89+$AA$9/$AA$5*D90)-D87)/D87</f>
        <v>4.6800431300425369E-2</v>
      </c>
      <c r="M52" s="51">
        <f t="shared" si="7"/>
        <v>4.3226315492994175E-2</v>
      </c>
      <c r="N52" s="51">
        <f t="shared" si="7"/>
        <v>-3.014024374359657E-2</v>
      </c>
      <c r="O52" s="51">
        <f t="shared" si="7"/>
        <v>7.7088046582591177E-2</v>
      </c>
      <c r="P52" s="51">
        <f t="shared" si="7"/>
        <v>-3.1929777751921962E-2</v>
      </c>
      <c r="Q52" s="51">
        <f t="shared" si="7"/>
        <v>-1.5267079666179949E-2</v>
      </c>
      <c r="R52" s="54">
        <f t="shared" si="7"/>
        <v>0.12199133453744423</v>
      </c>
      <c r="S52" s="55">
        <f t="shared" si="7"/>
        <v>0.20942104728726063</v>
      </c>
      <c r="T52" s="56">
        <f t="shared" si="7"/>
        <v>0.22927028629810078</v>
      </c>
      <c r="U52" s="49"/>
      <c r="V52" s="49"/>
      <c r="W52" s="49"/>
      <c r="X52" s="49"/>
      <c r="Y52" s="49"/>
      <c r="Z52" s="49"/>
      <c r="AA52" s="63" t="s">
        <v>180</v>
      </c>
      <c r="AB52" s="61"/>
      <c r="AC52" s="61"/>
      <c r="AD52" s="62"/>
      <c r="AE52" s="62"/>
      <c r="AF52" s="61"/>
      <c r="AG52" s="62"/>
      <c r="AH52" s="49"/>
    </row>
    <row r="53" spans="2:34" x14ac:dyDescent="0.25">
      <c r="B53" s="49" t="s">
        <v>181</v>
      </c>
      <c r="C53" s="49"/>
      <c r="D53" s="50">
        <f>SUM(D49:D52)</f>
        <v>289587.44512966444</v>
      </c>
      <c r="E53" s="50">
        <f>SUM(G6:G9,AD6:AD9)</f>
        <v>45858.354857333339</v>
      </c>
      <c r="F53" s="51">
        <f>(D53/1000-SUM(D68:D73))/SUM(D68:D73)</f>
        <v>6.3575821685736165E-3</v>
      </c>
      <c r="G53" s="51">
        <f>(D53-SUM('G&amp;D sammanställning'!R8:R10,'G&amp;D sammanställning'!R13))/SUM('G&amp;D sammanställning'!R8:R10,'G&amp;D sammanställning'!R13)</f>
        <v>7.8725190776739701E-2</v>
      </c>
      <c r="H53" s="51">
        <f>(E53/1000-D75*AD75/100)/(D75*AD75/100)</f>
        <v>0.22225900319868072</v>
      </c>
      <c r="J53" s="49" t="s">
        <v>141</v>
      </c>
      <c r="K53" s="49"/>
      <c r="L53" s="57">
        <f t="shared" ref="L53:T53" si="8">((SUM($D$6:$D$8)/$D$5*D89+SUM($AA$6:$AA$8)/$AA$5*D90)-D91)/D91</f>
        <v>0.13315154679444771</v>
      </c>
      <c r="M53" s="51">
        <f t="shared" si="8"/>
        <v>0.30218997546792381</v>
      </c>
      <c r="N53" s="51">
        <f t="shared" si="8"/>
        <v>7.0234858065112787E-2</v>
      </c>
      <c r="O53" s="51">
        <f t="shared" si="8"/>
        <v>0.13182097129734993</v>
      </c>
      <c r="P53" s="51">
        <f t="shared" si="8"/>
        <v>9.2912818634630537E-2</v>
      </c>
      <c r="Q53" s="51">
        <f t="shared" si="8"/>
        <v>8.0644366847022336E-2</v>
      </c>
      <c r="R53" s="58">
        <f t="shared" si="8"/>
        <v>0.16802157165271209</v>
      </c>
      <c r="S53" s="59">
        <f t="shared" si="8"/>
        <v>0.24009689169063594</v>
      </c>
      <c r="T53" s="60">
        <f t="shared" si="8"/>
        <v>0.22006675191230946</v>
      </c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</row>
    <row r="54" spans="2:34" x14ac:dyDescent="0.25">
      <c r="B54" s="49" t="s">
        <v>182</v>
      </c>
      <c r="C54" s="49"/>
      <c r="D54" s="50">
        <f>SUM(D48:D52)</f>
        <v>433196.17424860119</v>
      </c>
      <c r="E54" s="50">
        <f>SUM(G5:G9,AD5:AD9)</f>
        <v>78883.501817439072</v>
      </c>
      <c r="F54" s="51">
        <f>(D54/1000-D76)/D76</f>
        <v>1.2444958333115314E-2</v>
      </c>
      <c r="G54" s="51">
        <f>(D54-SUM('G&amp;D sammanställning'!R5,'G&amp;D sammanställning'!R8:R10,'G&amp;D sammanställning'!R13))/SUM('G&amp;D sammanställning'!R5,'G&amp;D sammanställning'!R8:R10,'G&amp;D sammanställning'!R13)</f>
        <v>8.1147619504058355E-2</v>
      </c>
      <c r="H54" s="51">
        <f>(E54/1000-D76*AD76/100)/(D76*AD76/100)</f>
        <v>0.19494406794260427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</row>
    <row r="56" spans="2:34" x14ac:dyDescent="0.25">
      <c r="B56" s="6" t="s">
        <v>183</v>
      </c>
    </row>
    <row r="57" spans="2:34" x14ac:dyDescent="0.25">
      <c r="D57" s="49" t="s">
        <v>136</v>
      </c>
      <c r="E57" t="s">
        <v>143</v>
      </c>
      <c r="F57" t="s">
        <v>144</v>
      </c>
      <c r="G57" t="s">
        <v>145</v>
      </c>
      <c r="H57" t="s">
        <v>146</v>
      </c>
      <c r="I57" t="s">
        <v>147</v>
      </c>
      <c r="J57" t="s">
        <v>148</v>
      </c>
      <c r="K57" t="s">
        <v>149</v>
      </c>
      <c r="L57" t="s">
        <v>150</v>
      </c>
      <c r="M57" t="s">
        <v>151</v>
      </c>
      <c r="N57" t="s">
        <v>152</v>
      </c>
      <c r="O57" t="s">
        <v>153</v>
      </c>
      <c r="P57" t="s">
        <v>154</v>
      </c>
      <c r="Q57" t="s">
        <v>155</v>
      </c>
      <c r="R57" t="s">
        <v>156</v>
      </c>
      <c r="S57" t="s">
        <v>157</v>
      </c>
      <c r="T57" t="s">
        <v>158</v>
      </c>
      <c r="U57" t="s">
        <v>159</v>
      </c>
      <c r="V57" t="s">
        <v>160</v>
      </c>
      <c r="W57" t="s">
        <v>161</v>
      </c>
      <c r="X57" t="s">
        <v>162</v>
      </c>
      <c r="Y57" t="s">
        <v>163</v>
      </c>
      <c r="Z57" t="s">
        <v>164</v>
      </c>
    </row>
    <row r="58" spans="2:34" x14ac:dyDescent="0.25">
      <c r="B58" t="s">
        <v>184</v>
      </c>
      <c r="D58" s="49">
        <f>E5/SUM(D5:E5)*100</f>
        <v>17.399999999999999</v>
      </c>
      <c r="E58">
        <v>17.399999999999999</v>
      </c>
      <c r="F58">
        <v>23.6</v>
      </c>
      <c r="G58">
        <v>34.799999999999997</v>
      </c>
      <c r="H58">
        <v>27.4</v>
      </c>
      <c r="I58">
        <v>23.8</v>
      </c>
      <c r="J58">
        <v>18.8</v>
      </c>
      <c r="K58">
        <v>9.4</v>
      </c>
      <c r="L58">
        <v>4.5999999999999996</v>
      </c>
      <c r="M58">
        <v>6.6</v>
      </c>
      <c r="N58">
        <v>11</v>
      </c>
      <c r="O58">
        <v>12.6</v>
      </c>
      <c r="P58">
        <v>8.4</v>
      </c>
      <c r="Q58">
        <v>25</v>
      </c>
      <c r="R58">
        <v>32</v>
      </c>
      <c r="S58">
        <v>37.799999999999997</v>
      </c>
      <c r="T58">
        <v>34.6</v>
      </c>
      <c r="U58">
        <v>31.6</v>
      </c>
      <c r="V58">
        <v>24.8</v>
      </c>
      <c r="W58">
        <v>11</v>
      </c>
      <c r="X58">
        <v>18.8</v>
      </c>
      <c r="Y58">
        <v>12.2</v>
      </c>
      <c r="Z58">
        <v>9.4</v>
      </c>
      <c r="AF58" t="s">
        <v>323</v>
      </c>
    </row>
    <row r="59" spans="2:34" x14ac:dyDescent="0.25">
      <c r="B59" t="s">
        <v>185</v>
      </c>
      <c r="D59" s="64">
        <f>AB5/SUM(AA5:AB5)*100</f>
        <v>35.20000000000001</v>
      </c>
      <c r="E59">
        <v>35.200000000000003</v>
      </c>
      <c r="F59">
        <v>38.6</v>
      </c>
      <c r="G59">
        <v>35</v>
      </c>
      <c r="H59">
        <v>54</v>
      </c>
      <c r="I59">
        <v>49</v>
      </c>
      <c r="J59">
        <v>26.4</v>
      </c>
      <c r="K59">
        <v>22.2</v>
      </c>
      <c r="L59">
        <v>22.6</v>
      </c>
      <c r="M59">
        <v>32.4</v>
      </c>
      <c r="N59">
        <v>8.1999999999999993</v>
      </c>
      <c r="O59">
        <v>13.8</v>
      </c>
      <c r="P59">
        <v>20.8</v>
      </c>
      <c r="Q59">
        <v>48.8</v>
      </c>
      <c r="R59">
        <v>57</v>
      </c>
      <c r="S59">
        <v>45.8</v>
      </c>
      <c r="T59">
        <v>50.2</v>
      </c>
      <c r="U59">
        <v>50</v>
      </c>
      <c r="V59">
        <v>49.4</v>
      </c>
      <c r="W59">
        <v>50.2</v>
      </c>
      <c r="X59">
        <v>61.4</v>
      </c>
      <c r="Y59">
        <v>36</v>
      </c>
      <c r="Z59">
        <v>40.4</v>
      </c>
      <c r="AF59" t="s">
        <v>324</v>
      </c>
    </row>
    <row r="60" spans="2:34" x14ac:dyDescent="0.25">
      <c r="B60" t="s">
        <v>141</v>
      </c>
      <c r="D60" s="64">
        <f>SUM(E6:E8,AB6:AB8)/SUM(D6:E8,AA6:AB8)*100</f>
        <v>19.784521220975861</v>
      </c>
      <c r="E60">
        <v>19.600000000000001</v>
      </c>
      <c r="F60">
        <v>31.4</v>
      </c>
      <c r="G60">
        <v>30.2</v>
      </c>
      <c r="H60">
        <v>28.4</v>
      </c>
      <c r="I60">
        <v>26.4</v>
      </c>
      <c r="J60">
        <v>16.2</v>
      </c>
      <c r="K60">
        <v>11.8</v>
      </c>
      <c r="L60">
        <v>7.4</v>
      </c>
      <c r="M60">
        <v>10</v>
      </c>
      <c r="N60">
        <v>6.6</v>
      </c>
      <c r="O60">
        <v>10.6</v>
      </c>
      <c r="P60">
        <v>10.199999999999999</v>
      </c>
      <c r="Q60">
        <v>26.8</v>
      </c>
      <c r="R60">
        <v>43.6</v>
      </c>
      <c r="S60">
        <v>34</v>
      </c>
      <c r="T60">
        <v>35.799999999999997</v>
      </c>
      <c r="U60">
        <v>30.2</v>
      </c>
      <c r="V60">
        <v>30.6</v>
      </c>
      <c r="W60">
        <v>23.8</v>
      </c>
      <c r="X60">
        <v>30.6</v>
      </c>
      <c r="Y60">
        <v>13.2</v>
      </c>
      <c r="Z60">
        <v>13.2</v>
      </c>
    </row>
    <row r="61" spans="2:34" x14ac:dyDescent="0.25">
      <c r="B61" t="s">
        <v>140</v>
      </c>
      <c r="D61" s="64">
        <f>SUM(E9,AB9)/SUM(D9:E9,AA9:AB9)*100</f>
        <v>18.535157468743328</v>
      </c>
      <c r="E61">
        <v>20.8</v>
      </c>
      <c r="F61">
        <v>31.6</v>
      </c>
      <c r="G61">
        <v>27.4</v>
      </c>
      <c r="H61">
        <v>32</v>
      </c>
      <c r="I61">
        <v>28.6</v>
      </c>
      <c r="J61">
        <v>19.2</v>
      </c>
      <c r="K61">
        <v>14.2</v>
      </c>
      <c r="L61">
        <v>8.4</v>
      </c>
      <c r="M61">
        <v>11.4</v>
      </c>
      <c r="N61">
        <v>7.8</v>
      </c>
      <c r="O61">
        <v>10.8</v>
      </c>
      <c r="P61">
        <v>9.6</v>
      </c>
      <c r="Q61">
        <v>28.2</v>
      </c>
      <c r="R61">
        <v>43.4</v>
      </c>
      <c r="S61">
        <v>30.8</v>
      </c>
      <c r="T61">
        <v>29.2</v>
      </c>
      <c r="U61">
        <v>30.8</v>
      </c>
      <c r="V61">
        <v>30.8</v>
      </c>
      <c r="W61">
        <v>25.6</v>
      </c>
      <c r="X61">
        <v>35.200000000000003</v>
      </c>
      <c r="Y61">
        <v>13.4</v>
      </c>
      <c r="Z61">
        <v>12</v>
      </c>
    </row>
    <row r="63" spans="2:34" x14ac:dyDescent="0.25">
      <c r="B63" s="6" t="s">
        <v>186</v>
      </c>
    </row>
    <row r="64" spans="2:34" x14ac:dyDescent="0.25">
      <c r="D64" t="s">
        <v>143</v>
      </c>
      <c r="E64" t="s">
        <v>144</v>
      </c>
      <c r="F64" t="s">
        <v>145</v>
      </c>
      <c r="G64" t="s">
        <v>146</v>
      </c>
      <c r="H64" t="s">
        <v>147</v>
      </c>
      <c r="I64" t="s">
        <v>148</v>
      </c>
      <c r="J64" t="s">
        <v>149</v>
      </c>
      <c r="K64" t="s">
        <v>150</v>
      </c>
      <c r="L64" t="s">
        <v>151</v>
      </c>
      <c r="M64" t="s">
        <v>152</v>
      </c>
      <c r="N64" t="s">
        <v>153</v>
      </c>
      <c r="O64" t="s">
        <v>154</v>
      </c>
      <c r="P64" t="s">
        <v>155</v>
      </c>
      <c r="Q64" t="s">
        <v>156</v>
      </c>
      <c r="R64" t="s">
        <v>157</v>
      </c>
      <c r="S64" t="s">
        <v>158</v>
      </c>
      <c r="T64" t="s">
        <v>159</v>
      </c>
      <c r="U64" t="s">
        <v>160</v>
      </c>
      <c r="V64" t="s">
        <v>161</v>
      </c>
      <c r="W64" t="s">
        <v>162</v>
      </c>
      <c r="X64" t="s">
        <v>163</v>
      </c>
      <c r="Y64" t="s">
        <v>164</v>
      </c>
      <c r="Z64" t="s">
        <v>187</v>
      </c>
      <c r="AC64" s="6" t="s">
        <v>313</v>
      </c>
    </row>
    <row r="65" spans="2:31" x14ac:dyDescent="0.25">
      <c r="B65" t="s">
        <v>188</v>
      </c>
      <c r="D65" s="2">
        <v>35.743333333333332</v>
      </c>
      <c r="E65" s="2">
        <v>0.28000000000000003</v>
      </c>
      <c r="F65" s="2">
        <v>0.89666666666666661</v>
      </c>
      <c r="G65" s="2">
        <v>1.0833333333333333</v>
      </c>
      <c r="H65" s="2">
        <v>2.8699999999999997</v>
      </c>
      <c r="I65" s="2">
        <v>3.2833333333333337</v>
      </c>
      <c r="J65" s="2">
        <v>1.7300000000000002</v>
      </c>
      <c r="K65" s="2">
        <v>4.2733333333333334</v>
      </c>
      <c r="L65" s="2">
        <v>1.07</v>
      </c>
      <c r="M65" s="2">
        <v>0.54666666666666675</v>
      </c>
      <c r="N65" s="2">
        <v>5.2333333333333334</v>
      </c>
      <c r="O65" s="2">
        <v>2.6466666666666665</v>
      </c>
      <c r="P65" s="2">
        <v>6.7366666666666672</v>
      </c>
      <c r="Q65" s="2">
        <v>1.0266666666666666</v>
      </c>
      <c r="R65" s="2">
        <v>0.72333333333333327</v>
      </c>
      <c r="S65" s="2">
        <v>0.43</v>
      </c>
      <c r="T65" s="2">
        <v>0.51</v>
      </c>
      <c r="U65" s="2">
        <v>0.81666666666666676</v>
      </c>
      <c r="V65" s="2">
        <v>0.5033333333333333</v>
      </c>
      <c r="W65" s="2">
        <v>0.47333333333333333</v>
      </c>
      <c r="X65" s="2">
        <v>0.37666666666666671</v>
      </c>
      <c r="Y65" s="2">
        <v>0.10333333333333333</v>
      </c>
      <c r="Z65" s="2">
        <v>0.13999999999999999</v>
      </c>
      <c r="AC65" t="s">
        <v>188</v>
      </c>
      <c r="AD65">
        <v>18.459999999999997</v>
      </c>
      <c r="AE65" s="13">
        <f>D65*AD65/100</f>
        <v>6.5982193333333319</v>
      </c>
    </row>
    <row r="66" spans="2:31" x14ac:dyDescent="0.25">
      <c r="B66" t="s">
        <v>189</v>
      </c>
      <c r="D66" s="2">
        <v>104.37</v>
      </c>
      <c r="E66" s="2">
        <v>1.1766666666666667</v>
      </c>
      <c r="F66" s="2">
        <v>3.2466666666666666</v>
      </c>
      <c r="G66" s="2">
        <v>2.9333333333333336</v>
      </c>
      <c r="H66" s="2">
        <v>7.663333333333334</v>
      </c>
      <c r="I66" s="2">
        <v>8.9266666666666659</v>
      </c>
      <c r="J66" s="2">
        <v>4.0333333333333341</v>
      </c>
      <c r="K66" s="2">
        <v>10.626666666666667</v>
      </c>
      <c r="L66" s="2">
        <v>4.416666666666667</v>
      </c>
      <c r="M66" s="2">
        <v>1.6266666666666667</v>
      </c>
      <c r="N66" s="2">
        <v>13.51</v>
      </c>
      <c r="O66" s="2">
        <v>6.5766666666666671</v>
      </c>
      <c r="P66" s="2">
        <v>17.593333333333334</v>
      </c>
      <c r="Q66" s="2">
        <v>3.0033333333333334</v>
      </c>
      <c r="R66" s="2">
        <v>2.1933333333333334</v>
      </c>
      <c r="S66" s="2">
        <v>1.3266666666666667</v>
      </c>
      <c r="T66" s="2">
        <v>2.3966666666666665</v>
      </c>
      <c r="U66" s="2">
        <v>3.1666666666666665</v>
      </c>
      <c r="V66" s="2">
        <v>2.3166666666666664</v>
      </c>
      <c r="W66" s="2">
        <v>2.3033333333333332</v>
      </c>
      <c r="X66" s="2">
        <v>3.3966666666666669</v>
      </c>
      <c r="Y66" s="2">
        <v>1.4166666666666667</v>
      </c>
      <c r="Z66" s="2">
        <v>0.52333333333333332</v>
      </c>
      <c r="AC66" t="s">
        <v>189</v>
      </c>
      <c r="AD66">
        <v>20.98</v>
      </c>
      <c r="AE66" s="13">
        <f t="shared" ref="AE66:AE76" si="9">D66*AD66/100</f>
        <v>21.896826000000001</v>
      </c>
    </row>
    <row r="67" spans="2:31" x14ac:dyDescent="0.25">
      <c r="B67" t="s">
        <v>315</v>
      </c>
      <c r="D67" s="2">
        <f>SUM(D65:D66)</f>
        <v>140.11333333333334</v>
      </c>
      <c r="E67" s="2">
        <f t="shared" ref="E67:Z67" si="10">SUM(E65:E66)</f>
        <v>1.4566666666666668</v>
      </c>
      <c r="F67" s="2">
        <f t="shared" si="10"/>
        <v>4.1433333333333335</v>
      </c>
      <c r="G67" s="2">
        <f t="shared" si="10"/>
        <v>4.0166666666666666</v>
      </c>
      <c r="H67" s="2">
        <f t="shared" si="10"/>
        <v>10.533333333333333</v>
      </c>
      <c r="I67" s="2">
        <f t="shared" si="10"/>
        <v>12.209999999999999</v>
      </c>
      <c r="J67" s="2">
        <f t="shared" si="10"/>
        <v>5.7633333333333345</v>
      </c>
      <c r="K67" s="2">
        <f t="shared" si="10"/>
        <v>14.9</v>
      </c>
      <c r="L67" s="2">
        <f t="shared" si="10"/>
        <v>5.4866666666666672</v>
      </c>
      <c r="M67" s="2">
        <f t="shared" si="10"/>
        <v>2.1733333333333333</v>
      </c>
      <c r="N67" s="2">
        <f t="shared" si="10"/>
        <v>18.743333333333332</v>
      </c>
      <c r="O67" s="2">
        <f t="shared" si="10"/>
        <v>9.2233333333333327</v>
      </c>
      <c r="P67" s="2">
        <f t="shared" si="10"/>
        <v>24.330000000000002</v>
      </c>
      <c r="Q67" s="2">
        <f t="shared" si="10"/>
        <v>4.03</v>
      </c>
      <c r="R67" s="2">
        <f t="shared" si="10"/>
        <v>2.9166666666666665</v>
      </c>
      <c r="S67" s="2">
        <f t="shared" si="10"/>
        <v>1.7566666666666666</v>
      </c>
      <c r="T67" s="2">
        <f t="shared" si="10"/>
        <v>2.9066666666666663</v>
      </c>
      <c r="U67" s="2">
        <f t="shared" si="10"/>
        <v>3.9833333333333334</v>
      </c>
      <c r="V67" s="2">
        <f t="shared" si="10"/>
        <v>2.82</v>
      </c>
      <c r="W67" s="2">
        <f t="shared" si="10"/>
        <v>2.7766666666666664</v>
      </c>
      <c r="X67" s="2">
        <f t="shared" si="10"/>
        <v>3.7733333333333334</v>
      </c>
      <c r="Y67" s="2">
        <f t="shared" si="10"/>
        <v>1.52</v>
      </c>
      <c r="Z67" s="2">
        <f t="shared" si="10"/>
        <v>0.66333333333333333</v>
      </c>
      <c r="AC67" t="s">
        <v>315</v>
      </c>
      <c r="AD67" s="13">
        <f>SUMPRODUCT(D65:D66,AD65:AD66)/D67</f>
        <v>20.337140410144166</v>
      </c>
      <c r="AE67" s="13">
        <f t="shared" si="9"/>
        <v>28.495045333333334</v>
      </c>
    </row>
    <row r="68" spans="2:31" x14ac:dyDescent="0.25">
      <c r="B68" t="s">
        <v>190</v>
      </c>
      <c r="D68" s="2">
        <v>59.748000000000005</v>
      </c>
      <c r="E68" s="2">
        <v>0.81400000000000006</v>
      </c>
      <c r="F68" s="2">
        <v>1.514</v>
      </c>
      <c r="G68" s="2">
        <v>2.012</v>
      </c>
      <c r="H68" s="2">
        <v>3.774</v>
      </c>
      <c r="I68" s="2">
        <v>4.6639999999999997</v>
      </c>
      <c r="J68" s="2">
        <v>2.3920000000000003</v>
      </c>
      <c r="K68" s="2">
        <v>6.0519999999999996</v>
      </c>
      <c r="L68" s="2">
        <v>3.0759999999999996</v>
      </c>
      <c r="M68" s="2">
        <v>1.288</v>
      </c>
      <c r="N68" s="2">
        <v>10.8</v>
      </c>
      <c r="O68" s="2">
        <v>3.6740000000000004</v>
      </c>
      <c r="P68" s="2">
        <v>10.156000000000001</v>
      </c>
      <c r="Q68" s="2">
        <v>1.9739999999999998</v>
      </c>
      <c r="R68" s="2">
        <v>1.3880000000000001</v>
      </c>
      <c r="S68" s="2">
        <v>0.68600000000000005</v>
      </c>
      <c r="T68" s="2">
        <v>1.002</v>
      </c>
      <c r="U68" s="2">
        <v>1.22</v>
      </c>
      <c r="V68" s="2">
        <v>0.68399999999999994</v>
      </c>
      <c r="W68" s="2">
        <v>0.77</v>
      </c>
      <c r="X68" s="2">
        <v>1.024</v>
      </c>
      <c r="Y68" s="2">
        <v>0.44600000000000001</v>
      </c>
      <c r="Z68" s="2">
        <v>0.34600000000000003</v>
      </c>
      <c r="AA68" s="26"/>
      <c r="AC68" t="s">
        <v>190</v>
      </c>
      <c r="AD68">
        <v>19.279999999999998</v>
      </c>
      <c r="AE68" s="13">
        <f t="shared" si="9"/>
        <v>11.5194144</v>
      </c>
    </row>
    <row r="69" spans="2:31" x14ac:dyDescent="0.25">
      <c r="B69" t="s">
        <v>191</v>
      </c>
      <c r="D69" s="2">
        <v>14.523333333333333</v>
      </c>
      <c r="E69" s="2">
        <v>0.12666666666666668</v>
      </c>
      <c r="F69" s="2">
        <v>1.68</v>
      </c>
      <c r="G69" s="2">
        <v>0.22333333333333336</v>
      </c>
      <c r="H69" s="2">
        <v>0.20666666666666667</v>
      </c>
      <c r="I69" s="2">
        <v>0.38666666666666671</v>
      </c>
      <c r="J69" s="2">
        <v>8.3333333333333329E-2</v>
      </c>
      <c r="K69" s="2">
        <v>0.08</v>
      </c>
      <c r="L69" s="2">
        <v>0.01</v>
      </c>
      <c r="M69" s="2">
        <v>8.3333333333333329E-2</v>
      </c>
      <c r="N69" s="2">
        <v>3.22</v>
      </c>
      <c r="O69" s="2">
        <v>0.87333333333333341</v>
      </c>
      <c r="P69" s="2">
        <v>4.0333333333333323</v>
      </c>
      <c r="Q69" s="2">
        <v>8.666666666666667E-2</v>
      </c>
      <c r="R69" s="2">
        <v>0.3</v>
      </c>
      <c r="S69" s="2">
        <v>1.9999999999999998</v>
      </c>
      <c r="T69" s="2">
        <v>0.23666666666666666</v>
      </c>
      <c r="U69" s="2">
        <v>0.27333333333333337</v>
      </c>
      <c r="V69" s="2">
        <v>0.10666666666666667</v>
      </c>
      <c r="W69" s="2">
        <v>0.3</v>
      </c>
      <c r="X69" s="2">
        <v>6.3333333333333339E-2</v>
      </c>
      <c r="Y69" s="2">
        <v>7.3333333333333334E-2</v>
      </c>
      <c r="Z69" s="2">
        <v>9.0000000000000011E-2</v>
      </c>
      <c r="AA69" s="26"/>
      <c r="AC69" t="s">
        <v>191</v>
      </c>
      <c r="AD69">
        <v>7.7200000000000006</v>
      </c>
      <c r="AE69" s="13">
        <f t="shared" si="9"/>
        <v>1.1212013333333335</v>
      </c>
    </row>
    <row r="70" spans="2:31" x14ac:dyDescent="0.25">
      <c r="B70" t="s">
        <v>192</v>
      </c>
      <c r="D70" s="2">
        <v>34.85</v>
      </c>
      <c r="E70" s="2">
        <v>0.69399999999999995</v>
      </c>
      <c r="F70" s="2">
        <v>1.754</v>
      </c>
      <c r="G70" s="2">
        <v>1.006</v>
      </c>
      <c r="H70" s="2">
        <v>2.6080000000000001</v>
      </c>
      <c r="I70" s="2">
        <v>3.6</v>
      </c>
      <c r="J70" s="2">
        <v>2.0640000000000001</v>
      </c>
      <c r="K70" s="2">
        <v>4.2180000000000009</v>
      </c>
      <c r="L70" s="2">
        <v>1.024</v>
      </c>
      <c r="M70" s="2">
        <v>0.35200000000000004</v>
      </c>
      <c r="N70" s="2">
        <v>3.1059999999999999</v>
      </c>
      <c r="O70" s="2">
        <v>1.3479999999999999</v>
      </c>
      <c r="P70" s="2">
        <v>6.9460000000000006</v>
      </c>
      <c r="Q70" s="2">
        <v>1.0979999999999999</v>
      </c>
      <c r="R70" s="2">
        <v>0.76999999999999991</v>
      </c>
      <c r="S70" s="2">
        <v>0.40600000000000003</v>
      </c>
      <c r="T70" s="2">
        <v>0.42600000000000005</v>
      </c>
      <c r="U70" s="2">
        <v>1.0880000000000001</v>
      </c>
      <c r="V70" s="2">
        <v>0.29800000000000004</v>
      </c>
      <c r="W70" s="2">
        <v>0.748</v>
      </c>
      <c r="X70" s="2">
        <v>0.82599999999999996</v>
      </c>
      <c r="Y70" s="2">
        <v>0.28799999999999998</v>
      </c>
      <c r="Z70" s="2">
        <v>0.17800000000000002</v>
      </c>
      <c r="AA70" s="26"/>
      <c r="AC70" t="s">
        <v>192</v>
      </c>
      <c r="AD70">
        <v>27.140000000000004</v>
      </c>
      <c r="AE70" s="13">
        <f t="shared" si="9"/>
        <v>9.4582900000000016</v>
      </c>
    </row>
    <row r="71" spans="2:31" x14ac:dyDescent="0.25">
      <c r="B71" t="s">
        <v>193</v>
      </c>
      <c r="D71" s="2">
        <v>154.28666666666666</v>
      </c>
      <c r="E71" s="2">
        <v>1.0466666666666666</v>
      </c>
      <c r="F71" s="2">
        <v>2.91</v>
      </c>
      <c r="G71" s="2">
        <v>5.7266666666666666</v>
      </c>
      <c r="H71" s="2">
        <v>11.753333333333332</v>
      </c>
      <c r="I71" s="2">
        <v>11</v>
      </c>
      <c r="J71" s="2">
        <v>5.5966666666666667</v>
      </c>
      <c r="K71" s="2">
        <v>15.916666666666666</v>
      </c>
      <c r="L71" s="2">
        <v>9.7233333333333345</v>
      </c>
      <c r="M71" s="2">
        <v>3.6700000000000004</v>
      </c>
      <c r="N71" s="2">
        <v>25.656666666666666</v>
      </c>
      <c r="O71" s="2">
        <v>9.6866666666666656</v>
      </c>
      <c r="P71" s="2">
        <v>24.626666666666665</v>
      </c>
      <c r="Q71" s="2">
        <v>4.91</v>
      </c>
      <c r="R71" s="2">
        <v>4.4866666666666672</v>
      </c>
      <c r="S71" s="2">
        <v>2.0633333333333335</v>
      </c>
      <c r="T71" s="2">
        <v>3.9133333333333336</v>
      </c>
      <c r="U71" s="2">
        <v>4.3433333333333337</v>
      </c>
      <c r="V71" s="2">
        <v>1.6266666666666667</v>
      </c>
      <c r="W71" s="2">
        <v>1.5533333333333335</v>
      </c>
      <c r="X71" s="2">
        <v>2.3800000000000003</v>
      </c>
      <c r="Y71" s="2">
        <v>1.3333333333333333</v>
      </c>
      <c r="Z71" s="2">
        <v>0.36333333333333334</v>
      </c>
      <c r="AA71" s="26"/>
      <c r="AC71" t="s">
        <v>193</v>
      </c>
      <c r="AD71">
        <v>7.7200000000000006</v>
      </c>
      <c r="AE71" s="13">
        <f t="shared" si="9"/>
        <v>11.910930666666667</v>
      </c>
    </row>
    <row r="72" spans="2:31" x14ac:dyDescent="0.25">
      <c r="B72" t="s">
        <v>194</v>
      </c>
      <c r="D72" s="2">
        <v>21.216666666666669</v>
      </c>
      <c r="E72" s="2">
        <v>7.0000000000000007E-2</v>
      </c>
      <c r="F72" s="2">
        <v>0.13333333333333333</v>
      </c>
      <c r="G72" s="2">
        <v>0.43999999999999995</v>
      </c>
      <c r="H72" s="2">
        <v>1.0733333333333335</v>
      </c>
      <c r="I72" s="2">
        <v>1.8833333333333335</v>
      </c>
      <c r="J72" s="2">
        <v>1.04</v>
      </c>
      <c r="K72" s="2">
        <v>1.97</v>
      </c>
      <c r="L72" s="2">
        <v>1.08</v>
      </c>
      <c r="M72" s="2">
        <v>0.38666666666666671</v>
      </c>
      <c r="N72" s="2">
        <v>3.16</v>
      </c>
      <c r="O72" s="2">
        <v>0.67333333333333323</v>
      </c>
      <c r="P72" s="2">
        <v>5.05</v>
      </c>
      <c r="Q72" s="2">
        <v>1.0999999999999999</v>
      </c>
      <c r="R72" s="2">
        <v>0.52333333333333332</v>
      </c>
      <c r="S72" s="2">
        <v>0.24333333333333332</v>
      </c>
      <c r="T72" s="2">
        <v>0.34999999999999992</v>
      </c>
      <c r="U72" s="2">
        <v>0.49333333333333335</v>
      </c>
      <c r="V72" s="2">
        <v>0.33333333333333331</v>
      </c>
      <c r="W72" s="2">
        <v>0.36333333333333329</v>
      </c>
      <c r="X72" s="2">
        <v>0.63666666666666671</v>
      </c>
      <c r="Y72" s="2">
        <v>0.15666666666666668</v>
      </c>
      <c r="Z72" s="2">
        <v>7.0000000000000007E-2</v>
      </c>
      <c r="AA72" s="26"/>
      <c r="AC72" t="s">
        <v>194</v>
      </c>
      <c r="AD72">
        <v>12.48</v>
      </c>
      <c r="AE72" s="13">
        <f t="shared" si="9"/>
        <v>2.6478400000000004</v>
      </c>
    </row>
    <row r="73" spans="2:31" x14ac:dyDescent="0.25">
      <c r="B73" t="s">
        <v>195</v>
      </c>
      <c r="D73" s="2">
        <v>3.1333333333333333</v>
      </c>
      <c r="E73" s="2">
        <v>4.3333333333333335E-2</v>
      </c>
      <c r="F73" s="2">
        <v>6.6666666666666666E-2</v>
      </c>
      <c r="G73" s="2">
        <v>8.666666666666667E-2</v>
      </c>
      <c r="H73" s="2">
        <v>0.19333333333333333</v>
      </c>
      <c r="I73" s="2">
        <v>0.27666666666666667</v>
      </c>
      <c r="J73" s="2">
        <v>0.14000000000000001</v>
      </c>
      <c r="K73" s="2">
        <v>0.22666666666666668</v>
      </c>
      <c r="L73" s="2">
        <v>9.6666666666666679E-2</v>
      </c>
      <c r="M73" s="2">
        <v>7.6666666666666675E-2</v>
      </c>
      <c r="N73" s="2">
        <v>0.60333333333333339</v>
      </c>
      <c r="O73" s="2">
        <v>0.11666666666666665</v>
      </c>
      <c r="P73" s="2">
        <v>0.56666666666666676</v>
      </c>
      <c r="Q73" s="2">
        <v>0.11333333333333334</v>
      </c>
      <c r="R73" s="2">
        <v>7.0000000000000007E-2</v>
      </c>
      <c r="S73" s="2">
        <v>0.04</v>
      </c>
      <c r="T73" s="2">
        <v>0.08</v>
      </c>
      <c r="U73" s="2">
        <v>9.6666666666666679E-2</v>
      </c>
      <c r="V73" s="2">
        <v>5.6666666666666671E-2</v>
      </c>
      <c r="W73" s="2">
        <v>6.6666666666666666E-2</v>
      </c>
      <c r="X73" s="2">
        <v>7.3333333333333334E-2</v>
      </c>
      <c r="Y73" s="2">
        <v>1.6666666666666666E-2</v>
      </c>
      <c r="Z73" s="2">
        <v>0.04</v>
      </c>
      <c r="AA73" s="26"/>
      <c r="AC73" t="s">
        <v>195</v>
      </c>
      <c r="AD73">
        <v>27.5</v>
      </c>
      <c r="AE73" s="13">
        <f t="shared" si="9"/>
        <v>0.86166666666666669</v>
      </c>
    </row>
    <row r="74" spans="2:31" x14ac:dyDescent="0.25">
      <c r="B74" t="s">
        <v>314</v>
      </c>
      <c r="D74" s="2">
        <f>SUM(D71:D73)</f>
        <v>178.63666666666666</v>
      </c>
      <c r="E74" s="2">
        <f t="shared" ref="E74:Z74" si="11">SUM(E71:E73)</f>
        <v>1.1600000000000001</v>
      </c>
      <c r="F74" s="2">
        <f t="shared" si="11"/>
        <v>3.1100000000000003</v>
      </c>
      <c r="G74" s="2">
        <f t="shared" si="11"/>
        <v>6.253333333333333</v>
      </c>
      <c r="H74" s="2">
        <f t="shared" si="11"/>
        <v>13.02</v>
      </c>
      <c r="I74" s="2">
        <f t="shared" si="11"/>
        <v>13.16</v>
      </c>
      <c r="J74" s="2">
        <f t="shared" si="11"/>
        <v>6.7766666666666664</v>
      </c>
      <c r="K74" s="2">
        <f t="shared" si="11"/>
        <v>18.113333333333333</v>
      </c>
      <c r="L74" s="2">
        <f t="shared" si="11"/>
        <v>10.900000000000002</v>
      </c>
      <c r="M74" s="2">
        <f t="shared" si="11"/>
        <v>4.1333333333333337</v>
      </c>
      <c r="N74" s="2">
        <f t="shared" si="11"/>
        <v>29.419999999999998</v>
      </c>
      <c r="O74" s="2">
        <f t="shared" si="11"/>
        <v>10.476666666666667</v>
      </c>
      <c r="P74" s="2">
        <f t="shared" si="11"/>
        <v>30.243333333333332</v>
      </c>
      <c r="Q74" s="2">
        <f t="shared" si="11"/>
        <v>6.1233333333333331</v>
      </c>
      <c r="R74" s="2">
        <f t="shared" si="11"/>
        <v>5.080000000000001</v>
      </c>
      <c r="S74" s="2">
        <f t="shared" si="11"/>
        <v>2.3466666666666667</v>
      </c>
      <c r="T74" s="2">
        <f t="shared" si="11"/>
        <v>4.3433333333333337</v>
      </c>
      <c r="U74" s="2">
        <f t="shared" si="11"/>
        <v>4.9333333333333336</v>
      </c>
      <c r="V74" s="2">
        <f t="shared" si="11"/>
        <v>2.0166666666666666</v>
      </c>
      <c r="W74" s="2">
        <f t="shared" si="11"/>
        <v>1.9833333333333334</v>
      </c>
      <c r="X74" s="2">
        <f t="shared" si="11"/>
        <v>3.0900000000000003</v>
      </c>
      <c r="Y74" s="2">
        <f t="shared" si="11"/>
        <v>1.5066666666666666</v>
      </c>
      <c r="Z74" s="2">
        <f t="shared" si="11"/>
        <v>0.47333333333333333</v>
      </c>
      <c r="AA74" s="26"/>
      <c r="AC74" t="s">
        <v>314</v>
      </c>
      <c r="AD74" s="13">
        <f>SUMPRODUCT(D71:D73,AD71:AD73)/D74</f>
        <v>8.6322912429325847</v>
      </c>
      <c r="AE74" s="13">
        <f t="shared" si="9"/>
        <v>15.420437333333336</v>
      </c>
    </row>
    <row r="75" spans="2:31" x14ac:dyDescent="0.25">
      <c r="B75" t="s">
        <v>321</v>
      </c>
      <c r="D75" s="2">
        <f>SUM(D68:D73)</f>
        <v>287.75800000000004</v>
      </c>
      <c r="E75" s="2">
        <f t="shared" ref="E75:Z75" si="12">SUM(E68:E73)</f>
        <v>2.7946666666666666</v>
      </c>
      <c r="F75" s="2">
        <f t="shared" si="12"/>
        <v>8.0580000000000016</v>
      </c>
      <c r="G75" s="2">
        <f t="shared" si="12"/>
        <v>9.4946666666666655</v>
      </c>
      <c r="H75" s="2">
        <f t="shared" si="12"/>
        <v>19.608666666666664</v>
      </c>
      <c r="I75" s="2">
        <f t="shared" si="12"/>
        <v>21.810666666666666</v>
      </c>
      <c r="J75" s="2">
        <f t="shared" si="12"/>
        <v>11.315999999999999</v>
      </c>
      <c r="K75" s="2">
        <f t="shared" si="12"/>
        <v>28.463333333333331</v>
      </c>
      <c r="L75" s="2">
        <f t="shared" si="12"/>
        <v>15.010000000000002</v>
      </c>
      <c r="M75" s="2">
        <f t="shared" si="12"/>
        <v>5.8566666666666674</v>
      </c>
      <c r="N75" s="2">
        <f t="shared" si="12"/>
        <v>46.545999999999999</v>
      </c>
      <c r="O75" s="2">
        <f t="shared" si="12"/>
        <v>16.372</v>
      </c>
      <c r="P75" s="2">
        <f t="shared" si="12"/>
        <v>51.378666666666668</v>
      </c>
      <c r="Q75" s="2">
        <f t="shared" si="12"/>
        <v>9.2819999999999983</v>
      </c>
      <c r="R75" s="2">
        <f t="shared" si="12"/>
        <v>7.5380000000000011</v>
      </c>
      <c r="S75" s="2">
        <f t="shared" si="12"/>
        <v>5.4386666666666663</v>
      </c>
      <c r="T75" s="2">
        <f t="shared" si="12"/>
        <v>6.008</v>
      </c>
      <c r="U75" s="2">
        <f t="shared" si="12"/>
        <v>7.5146666666666668</v>
      </c>
      <c r="V75" s="2">
        <f t="shared" si="12"/>
        <v>3.1053333333333337</v>
      </c>
      <c r="W75" s="2">
        <f t="shared" si="12"/>
        <v>3.8013333333333335</v>
      </c>
      <c r="X75" s="2">
        <f t="shared" si="12"/>
        <v>5.003333333333333</v>
      </c>
      <c r="Y75" s="2">
        <f t="shared" si="12"/>
        <v>2.3139999999999996</v>
      </c>
      <c r="Z75" s="2">
        <f t="shared" si="12"/>
        <v>1.0873333333333335</v>
      </c>
      <c r="AA75" s="26"/>
      <c r="AC75" t="s">
        <v>321</v>
      </c>
      <c r="AD75" s="13">
        <f>SUMPRODUCT(D68:D73,AD68:AD73)/D75</f>
        <v>13.038505642472725</v>
      </c>
      <c r="AE75" s="13">
        <f t="shared" si="9"/>
        <v>37.519343066666671</v>
      </c>
    </row>
    <row r="76" spans="2:31" x14ac:dyDescent="0.25">
      <c r="B76" t="s">
        <v>316</v>
      </c>
      <c r="D76" s="2">
        <f>SUM(D65:D66,D68:D73)</f>
        <v>427.87133333333338</v>
      </c>
      <c r="E76" s="2">
        <f t="shared" ref="E76:Z76" si="13">SUM(E65:E66,E68:E73)</f>
        <v>4.2513333333333332</v>
      </c>
      <c r="F76" s="2">
        <f t="shared" si="13"/>
        <v>12.201333333333332</v>
      </c>
      <c r="G76" s="2">
        <f t="shared" si="13"/>
        <v>13.511333333333331</v>
      </c>
      <c r="H76" s="2">
        <f t="shared" si="13"/>
        <v>30.141999999999996</v>
      </c>
      <c r="I76" s="2">
        <f t="shared" si="13"/>
        <v>34.020666666666664</v>
      </c>
      <c r="J76" s="2">
        <f t="shared" si="13"/>
        <v>17.079333333333334</v>
      </c>
      <c r="K76" s="2">
        <f t="shared" si="13"/>
        <v>43.36333333333333</v>
      </c>
      <c r="L76" s="2">
        <f t="shared" si="13"/>
        <v>20.496666666666666</v>
      </c>
      <c r="M76" s="2">
        <f t="shared" si="13"/>
        <v>8.0299999999999994</v>
      </c>
      <c r="N76" s="2">
        <f t="shared" si="13"/>
        <v>65.289333333333346</v>
      </c>
      <c r="O76" s="2">
        <f t="shared" si="13"/>
        <v>25.595333333333329</v>
      </c>
      <c r="P76" s="2">
        <f t="shared" si="13"/>
        <v>75.708666666666659</v>
      </c>
      <c r="Q76" s="2">
        <f t="shared" si="13"/>
        <v>13.311999999999999</v>
      </c>
      <c r="R76" s="2">
        <f t="shared" si="13"/>
        <v>10.454666666666668</v>
      </c>
      <c r="S76" s="2">
        <f t="shared" si="13"/>
        <v>7.1953333333333331</v>
      </c>
      <c r="T76" s="2">
        <f t="shared" si="13"/>
        <v>8.9146666666666654</v>
      </c>
      <c r="U76" s="2">
        <f t="shared" si="13"/>
        <v>11.498000000000001</v>
      </c>
      <c r="V76" s="2">
        <f t="shared" si="13"/>
        <v>5.9253333333333327</v>
      </c>
      <c r="W76" s="2">
        <f t="shared" si="13"/>
        <v>6.5779999999999994</v>
      </c>
      <c r="X76" s="2">
        <f t="shared" si="13"/>
        <v>8.7766666666666673</v>
      </c>
      <c r="Y76" s="2">
        <f t="shared" si="13"/>
        <v>3.8340000000000001</v>
      </c>
      <c r="Z76" s="2">
        <f t="shared" si="13"/>
        <v>1.7506666666666668</v>
      </c>
      <c r="AA76" s="26"/>
      <c r="AC76" t="s">
        <v>316</v>
      </c>
      <c r="AD76" s="13">
        <f>(SUMPRODUCT(D65:D66,AD65:AD66)+SUMPRODUCT(D68:D73,AD68:AD73))/D76</f>
        <v>15.428560704386209</v>
      </c>
      <c r="AE76" s="13">
        <f t="shared" si="9"/>
        <v>66.014388400000001</v>
      </c>
    </row>
    <row r="78" spans="2:31" x14ac:dyDescent="0.25">
      <c r="B78" s="6" t="s">
        <v>196</v>
      </c>
    </row>
    <row r="79" spans="2:31" x14ac:dyDescent="0.25">
      <c r="D79" t="s">
        <v>143</v>
      </c>
      <c r="E79" t="s">
        <v>144</v>
      </c>
      <c r="F79" t="s">
        <v>145</v>
      </c>
      <c r="G79" t="s">
        <v>146</v>
      </c>
      <c r="H79" t="s">
        <v>147</v>
      </c>
      <c r="I79" t="s">
        <v>148</v>
      </c>
      <c r="J79" t="s">
        <v>149</v>
      </c>
      <c r="K79" t="s">
        <v>150</v>
      </c>
      <c r="L79" t="s">
        <v>151</v>
      </c>
      <c r="M79" t="s">
        <v>152</v>
      </c>
      <c r="N79" t="s">
        <v>153</v>
      </c>
      <c r="O79" t="s">
        <v>154</v>
      </c>
      <c r="P79" t="s">
        <v>155</v>
      </c>
      <c r="Q79" t="s">
        <v>156</v>
      </c>
      <c r="R79" t="s">
        <v>157</v>
      </c>
      <c r="S79" t="s">
        <v>158</v>
      </c>
      <c r="T79" t="s">
        <v>159</v>
      </c>
      <c r="U79" t="s">
        <v>160</v>
      </c>
      <c r="V79" t="s">
        <v>161</v>
      </c>
      <c r="W79" t="s">
        <v>162</v>
      </c>
      <c r="X79" t="s">
        <v>163</v>
      </c>
      <c r="Y79" t="s">
        <v>164</v>
      </c>
      <c r="AC79" s="6" t="s">
        <v>313</v>
      </c>
    </row>
    <row r="80" spans="2:31" x14ac:dyDescent="0.25">
      <c r="B80" t="s">
        <v>184</v>
      </c>
      <c r="D80" s="12">
        <v>316238</v>
      </c>
      <c r="E80" s="12">
        <v>2717.2</v>
      </c>
      <c r="F80" s="12">
        <v>9318</v>
      </c>
      <c r="G80" s="12">
        <v>8206.4</v>
      </c>
      <c r="H80" s="12">
        <v>22933.8</v>
      </c>
      <c r="I80" s="12">
        <v>27619.8</v>
      </c>
      <c r="J80" s="12">
        <v>11545.6</v>
      </c>
      <c r="K80" s="12">
        <v>37903.199999999997</v>
      </c>
      <c r="L80" s="12">
        <v>14629.4</v>
      </c>
      <c r="M80" s="12">
        <v>3597.4</v>
      </c>
      <c r="N80" s="12">
        <v>36976.800000000003</v>
      </c>
      <c r="O80" s="12">
        <v>24239.8</v>
      </c>
      <c r="P80" s="12">
        <v>55299</v>
      </c>
      <c r="Q80" s="12">
        <v>6701.8</v>
      </c>
      <c r="R80" s="12">
        <v>5795.4</v>
      </c>
      <c r="S80" s="12">
        <v>3987.8</v>
      </c>
      <c r="T80" s="12">
        <v>5756</v>
      </c>
      <c r="U80" s="12">
        <v>8167.8</v>
      </c>
      <c r="V80" s="12">
        <v>6641.6</v>
      </c>
      <c r="W80" s="12">
        <v>6628.8</v>
      </c>
      <c r="X80" s="12">
        <v>12408.8</v>
      </c>
      <c r="Y80" s="12">
        <v>5163.6000000000004</v>
      </c>
      <c r="AC80" t="s">
        <v>184</v>
      </c>
      <c r="AD80">
        <v>17.399999999999999</v>
      </c>
    </row>
    <row r="81" spans="2:30" x14ac:dyDescent="0.25">
      <c r="B81" t="s">
        <v>185</v>
      </c>
      <c r="D81" s="12">
        <v>206514</v>
      </c>
      <c r="E81" s="12">
        <v>3219.4</v>
      </c>
      <c r="F81" s="12">
        <v>5281</v>
      </c>
      <c r="G81" s="12">
        <v>6811.2</v>
      </c>
      <c r="H81" s="12">
        <v>15615.8</v>
      </c>
      <c r="I81" s="12">
        <v>17393.2</v>
      </c>
      <c r="J81" s="12">
        <v>10283.799999999999</v>
      </c>
      <c r="K81" s="12">
        <v>14520</v>
      </c>
      <c r="L81" s="12">
        <v>5263</v>
      </c>
      <c r="M81" s="12">
        <v>5621.8</v>
      </c>
      <c r="N81" s="12">
        <v>37247</v>
      </c>
      <c r="O81" s="12">
        <v>8272.4</v>
      </c>
      <c r="P81" s="12">
        <v>34587.599999999999</v>
      </c>
      <c r="Q81" s="12">
        <v>10191.799999999999</v>
      </c>
      <c r="R81" s="12">
        <v>5383.4</v>
      </c>
      <c r="S81" s="12">
        <v>2824.8</v>
      </c>
      <c r="T81" s="12">
        <v>5603.4</v>
      </c>
      <c r="U81" s="12">
        <v>6685</v>
      </c>
      <c r="V81" s="12">
        <v>4109</v>
      </c>
      <c r="W81" s="12">
        <v>4754.6000000000004</v>
      </c>
      <c r="X81" s="12">
        <v>1753.4</v>
      </c>
      <c r="Y81" s="12">
        <v>1092.4000000000001</v>
      </c>
      <c r="AC81" t="s">
        <v>185</v>
      </c>
      <c r="AD81">
        <v>35.200000000000003</v>
      </c>
    </row>
    <row r="82" spans="2:30" x14ac:dyDescent="0.25">
      <c r="B82" t="s">
        <v>140</v>
      </c>
      <c r="D82" s="12">
        <v>467134.4</v>
      </c>
      <c r="E82" s="12">
        <v>4924.2</v>
      </c>
      <c r="F82" s="12">
        <v>13111.4</v>
      </c>
      <c r="G82" s="12">
        <v>14340</v>
      </c>
      <c r="H82" s="12">
        <v>35147.599999999999</v>
      </c>
      <c r="I82" s="12">
        <v>39485.199999999997</v>
      </c>
      <c r="J82" s="12">
        <v>20024.2</v>
      </c>
      <c r="K82" s="12">
        <v>45730.2</v>
      </c>
      <c r="L82" s="12">
        <v>18895.2</v>
      </c>
      <c r="M82" s="12">
        <v>8384.4</v>
      </c>
      <c r="N82" s="12">
        <v>68011.600000000006</v>
      </c>
      <c r="O82" s="12">
        <v>28257.599999999999</v>
      </c>
      <c r="P82" s="12">
        <v>82445.2</v>
      </c>
      <c r="Q82" s="12">
        <v>14936.4</v>
      </c>
      <c r="R82" s="12">
        <v>11077.8</v>
      </c>
      <c r="S82" s="12">
        <v>7205.6</v>
      </c>
      <c r="T82" s="12">
        <v>9989.6</v>
      </c>
      <c r="U82" s="12">
        <v>12869.4</v>
      </c>
      <c r="V82" s="12">
        <v>7652</v>
      </c>
      <c r="W82" s="12">
        <v>8723.4</v>
      </c>
      <c r="X82" s="12">
        <v>10820.2</v>
      </c>
      <c r="Y82" s="12">
        <v>4959.2</v>
      </c>
      <c r="AC82" t="s">
        <v>140</v>
      </c>
      <c r="AD82">
        <v>20.8</v>
      </c>
    </row>
    <row r="83" spans="2:30" x14ac:dyDescent="0.25">
      <c r="B83" t="s">
        <v>141</v>
      </c>
      <c r="D83" s="12">
        <v>493490.2</v>
      </c>
      <c r="E83" s="12">
        <v>5801.2</v>
      </c>
      <c r="F83" s="12">
        <v>13280.4</v>
      </c>
      <c r="G83" s="12">
        <v>14549.8</v>
      </c>
      <c r="H83" s="12">
        <v>35558.199999999997</v>
      </c>
      <c r="I83" s="12">
        <v>42702.2</v>
      </c>
      <c r="J83" s="12">
        <v>21332.400000000001</v>
      </c>
      <c r="K83" s="12">
        <v>51429</v>
      </c>
      <c r="L83" s="12">
        <v>21370.400000000001</v>
      </c>
      <c r="M83" s="12">
        <v>9197.4</v>
      </c>
      <c r="N83" s="12">
        <v>69973.399999999994</v>
      </c>
      <c r="O83" s="12">
        <v>27131.599999999999</v>
      </c>
      <c r="P83" s="12">
        <v>88191.8</v>
      </c>
      <c r="Q83" s="12">
        <v>17959.400000000001</v>
      </c>
      <c r="R83" s="12">
        <v>11313.8</v>
      </c>
      <c r="S83" s="12">
        <v>5906.4</v>
      </c>
      <c r="T83" s="12">
        <v>9578.2000000000007</v>
      </c>
      <c r="U83" s="12">
        <v>13567</v>
      </c>
      <c r="V83" s="12">
        <v>8331.2000000000007</v>
      </c>
      <c r="W83" s="12">
        <v>9192.7999999999993</v>
      </c>
      <c r="X83" s="12">
        <v>11901.6</v>
      </c>
      <c r="Y83" s="12">
        <v>5222</v>
      </c>
      <c r="AC83" t="s">
        <v>141</v>
      </c>
      <c r="AD83">
        <v>19.600000000000001</v>
      </c>
    </row>
    <row r="84" spans="2:30" x14ac:dyDescent="0.25">
      <c r="D84" s="12"/>
      <c r="E84" s="65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65"/>
      <c r="T84" s="65"/>
      <c r="U84" s="65"/>
      <c r="V84" s="65"/>
      <c r="W84" s="65"/>
      <c r="X84" s="65"/>
      <c r="Y84" s="65"/>
    </row>
    <row r="85" spans="2:30" x14ac:dyDescent="0.25">
      <c r="B85" s="6" t="s">
        <v>199</v>
      </c>
      <c r="D85" s="12"/>
      <c r="E85" s="65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65"/>
      <c r="T85" s="65"/>
      <c r="U85" s="65"/>
      <c r="V85" s="65"/>
      <c r="W85" s="65"/>
      <c r="X85" s="65"/>
      <c r="Y85" s="65"/>
    </row>
    <row r="86" spans="2:30" x14ac:dyDescent="0.25">
      <c r="D86" t="s">
        <v>170</v>
      </c>
      <c r="E86" t="s">
        <v>171</v>
      </c>
      <c r="F86" t="s">
        <v>172</v>
      </c>
      <c r="G86" t="s">
        <v>173</v>
      </c>
      <c r="H86" t="s">
        <v>174</v>
      </c>
      <c r="I86" t="s">
        <v>175</v>
      </c>
      <c r="J86" t="s">
        <v>176</v>
      </c>
      <c r="K86" t="s">
        <v>177</v>
      </c>
      <c r="L86" t="s">
        <v>178</v>
      </c>
    </row>
    <row r="87" spans="2:30" x14ac:dyDescent="0.25">
      <c r="B87" s="66" t="s">
        <v>140</v>
      </c>
      <c r="D87" s="67">
        <v>465343.6</v>
      </c>
      <c r="E87" s="67">
        <v>32163.8</v>
      </c>
      <c r="F87" s="67">
        <v>87137</v>
      </c>
      <c r="G87" s="67">
        <v>160665.20000000001</v>
      </c>
      <c r="H87" s="67">
        <v>59280.4</v>
      </c>
      <c r="I87" s="67">
        <v>52508.6</v>
      </c>
      <c r="J87" s="67">
        <v>27806.6</v>
      </c>
      <c r="K87" s="67">
        <v>28476.2</v>
      </c>
      <c r="L87" s="67">
        <v>17305.8</v>
      </c>
    </row>
    <row r="88" spans="2:30" x14ac:dyDescent="0.25">
      <c r="B88" s="66" t="s">
        <v>197</v>
      </c>
      <c r="D88" s="67">
        <v>509619</v>
      </c>
      <c r="E88" s="67">
        <v>35341.199999999997</v>
      </c>
      <c r="F88" s="67">
        <v>88843.4</v>
      </c>
      <c r="G88" s="67">
        <v>180449.6</v>
      </c>
      <c r="H88" s="67">
        <v>60213.599999999999</v>
      </c>
      <c r="I88" s="67">
        <v>53861.4</v>
      </c>
      <c r="J88" s="67">
        <v>32377.4</v>
      </c>
      <c r="K88" s="67">
        <v>35998.6</v>
      </c>
      <c r="L88" s="67">
        <v>22533.8</v>
      </c>
    </row>
    <row r="89" spans="2:30" x14ac:dyDescent="0.25">
      <c r="B89" s="66" t="s">
        <v>184</v>
      </c>
      <c r="D89" s="67">
        <v>313676.79999999999</v>
      </c>
      <c r="E89" s="67">
        <v>25430.6</v>
      </c>
      <c r="F89" s="67">
        <v>61340.4</v>
      </c>
      <c r="G89" s="67">
        <v>101882</v>
      </c>
      <c r="H89" s="67">
        <v>39782.800000000003</v>
      </c>
      <c r="I89" s="67">
        <v>29534.400000000001</v>
      </c>
      <c r="J89" s="67">
        <v>15866.6</v>
      </c>
      <c r="K89" s="67">
        <v>21667</v>
      </c>
      <c r="L89" s="67">
        <v>18173</v>
      </c>
    </row>
    <row r="90" spans="2:30" x14ac:dyDescent="0.25">
      <c r="B90" s="66" t="s">
        <v>185</v>
      </c>
      <c r="D90" s="67">
        <v>195942.2</v>
      </c>
      <c r="E90" s="67">
        <v>9910.6</v>
      </c>
      <c r="F90" s="67">
        <v>27503</v>
      </c>
      <c r="G90" s="67">
        <v>78567.600000000006</v>
      </c>
      <c r="H90" s="67">
        <v>20430.8</v>
      </c>
      <c r="I90" s="67">
        <v>24327</v>
      </c>
      <c r="J90" s="67">
        <v>16510.8</v>
      </c>
      <c r="K90" s="67">
        <v>14331.6</v>
      </c>
      <c r="L90" s="67">
        <v>4360.8</v>
      </c>
    </row>
    <row r="91" spans="2:30" x14ac:dyDescent="0.25">
      <c r="B91" s="66" t="s">
        <v>141</v>
      </c>
      <c r="D91" s="67">
        <v>448180.4</v>
      </c>
      <c r="E91" s="67">
        <v>27090.6</v>
      </c>
      <c r="F91" s="67">
        <v>82824.2</v>
      </c>
      <c r="G91" s="67">
        <v>158753.20000000001</v>
      </c>
      <c r="H91" s="67">
        <v>54943.4</v>
      </c>
      <c r="I91" s="67">
        <v>49616.6</v>
      </c>
      <c r="J91" s="67">
        <v>27569</v>
      </c>
      <c r="K91" s="67">
        <v>28922.2</v>
      </c>
      <c r="L91" s="67">
        <v>18461.2</v>
      </c>
    </row>
    <row r="92" spans="2:30" x14ac:dyDescent="0.25">
      <c r="B92" s="66" t="s">
        <v>198</v>
      </c>
      <c r="D92" s="67">
        <v>1423143</v>
      </c>
      <c r="E92" s="67">
        <v>94595.6</v>
      </c>
      <c r="F92" s="67">
        <v>258804.6</v>
      </c>
      <c r="G92" s="67">
        <v>499868</v>
      </c>
      <c r="H92" s="67">
        <v>174437.4</v>
      </c>
      <c r="I92" s="67">
        <v>155986.6</v>
      </c>
      <c r="J92" s="67">
        <v>87753</v>
      </c>
      <c r="K92" s="67">
        <v>93397</v>
      </c>
      <c r="L92" s="67">
        <v>58300.800000000003</v>
      </c>
    </row>
    <row r="94" spans="2:30" x14ac:dyDescent="0.25">
      <c r="B94" t="s">
        <v>402</v>
      </c>
    </row>
    <row r="96" spans="2:30" x14ac:dyDescent="0.25">
      <c r="C96" t="s">
        <v>316</v>
      </c>
      <c r="F96" t="s">
        <v>397</v>
      </c>
      <c r="I96" t="s">
        <v>400</v>
      </c>
    </row>
    <row r="97" spans="2:11" x14ac:dyDescent="0.25">
      <c r="C97" t="s">
        <v>18</v>
      </c>
      <c r="D97" t="s">
        <v>398</v>
      </c>
      <c r="E97" t="s">
        <v>399</v>
      </c>
      <c r="F97" t="s">
        <v>18</v>
      </c>
      <c r="G97" t="s">
        <v>398</v>
      </c>
      <c r="H97" t="s">
        <v>399</v>
      </c>
      <c r="I97" t="s">
        <v>18</v>
      </c>
      <c r="J97" t="s">
        <v>398</v>
      </c>
      <c r="K97" t="s">
        <v>399</v>
      </c>
    </row>
    <row r="98" spans="2:11" x14ac:dyDescent="0.25">
      <c r="B98">
        <v>2016</v>
      </c>
      <c r="C98">
        <v>193657</v>
      </c>
      <c r="D98">
        <v>10379</v>
      </c>
      <c r="E98" s="2">
        <f>C98/D98</f>
        <v>18.658541285287601</v>
      </c>
      <c r="F98">
        <v>67398</v>
      </c>
      <c r="G98">
        <v>2191</v>
      </c>
      <c r="H98" s="2">
        <f>F98/G98</f>
        <v>30.761296211775445</v>
      </c>
      <c r="I98">
        <f>C98-F98</f>
        <v>126259</v>
      </c>
      <c r="J98">
        <f>D98-G98</f>
        <v>8188</v>
      </c>
      <c r="K98" s="2">
        <f>I98/J98</f>
        <v>15.42000488519785</v>
      </c>
    </row>
    <row r="99" spans="2:11" x14ac:dyDescent="0.25">
      <c r="B99">
        <v>2017</v>
      </c>
      <c r="C99">
        <v>207620</v>
      </c>
      <c r="D99">
        <v>10471</v>
      </c>
      <c r="E99" s="2">
        <f t="shared" ref="E99:E103" si="14">C99/D99</f>
        <v>19.828096647884635</v>
      </c>
      <c r="F99">
        <v>70054</v>
      </c>
      <c r="G99">
        <v>2210</v>
      </c>
      <c r="H99" s="2">
        <f t="shared" ref="H99:H103" si="15">F99/G99</f>
        <v>31.698642533936653</v>
      </c>
      <c r="I99">
        <f t="shared" ref="I99:I102" si="16">C99-F99</f>
        <v>137566</v>
      </c>
      <c r="J99">
        <f t="shared" ref="J99:J102" si="17">D99-G99</f>
        <v>8261</v>
      </c>
      <c r="K99" s="2">
        <f t="shared" ref="K99:K103" si="18">I99/J99</f>
        <v>16.652463382157123</v>
      </c>
    </row>
    <row r="100" spans="2:11" x14ac:dyDescent="0.25">
      <c r="B100">
        <v>2018</v>
      </c>
      <c r="C100">
        <v>214257</v>
      </c>
      <c r="D100">
        <v>10418</v>
      </c>
      <c r="E100" s="2">
        <f t="shared" si="14"/>
        <v>20.566039546937994</v>
      </c>
      <c r="F100">
        <v>75021</v>
      </c>
      <c r="G100">
        <v>2330</v>
      </c>
      <c r="H100" s="2">
        <f t="shared" si="15"/>
        <v>32.197854077253218</v>
      </c>
      <c r="I100">
        <f t="shared" si="16"/>
        <v>139236</v>
      </c>
      <c r="J100">
        <f t="shared" si="17"/>
        <v>8088</v>
      </c>
      <c r="K100" s="2">
        <f t="shared" si="18"/>
        <v>17.215133531157271</v>
      </c>
    </row>
    <row r="101" spans="2:11" x14ac:dyDescent="0.25">
      <c r="B101">
        <v>2019</v>
      </c>
      <c r="C101">
        <v>210086</v>
      </c>
      <c r="D101">
        <v>10266</v>
      </c>
      <c r="E101" s="2">
        <f t="shared" si="14"/>
        <v>20.464250925384764</v>
      </c>
      <c r="F101">
        <v>74796</v>
      </c>
      <c r="G101">
        <v>2386</v>
      </c>
      <c r="H101" s="2">
        <f t="shared" si="15"/>
        <v>31.347862531433361</v>
      </c>
      <c r="I101">
        <f t="shared" si="16"/>
        <v>135290</v>
      </c>
      <c r="J101">
        <f t="shared" si="17"/>
        <v>7880</v>
      </c>
      <c r="K101" s="2">
        <f t="shared" si="18"/>
        <v>17.168781725888326</v>
      </c>
    </row>
    <row r="102" spans="2:11" x14ac:dyDescent="0.25">
      <c r="B102">
        <v>2020</v>
      </c>
      <c r="C102">
        <v>206950</v>
      </c>
      <c r="D102">
        <v>10063</v>
      </c>
      <c r="E102" s="2">
        <f t="shared" si="14"/>
        <v>20.565437742223988</v>
      </c>
      <c r="F102">
        <v>74103</v>
      </c>
      <c r="G102">
        <v>2291</v>
      </c>
      <c r="H102" s="2">
        <f t="shared" si="15"/>
        <v>32.345264076822346</v>
      </c>
      <c r="I102">
        <f t="shared" si="16"/>
        <v>132847</v>
      </c>
      <c r="J102">
        <f t="shared" si="17"/>
        <v>7772</v>
      </c>
      <c r="K102" s="2">
        <f t="shared" si="18"/>
        <v>17.093026248069997</v>
      </c>
    </row>
    <row r="103" spans="2:11" x14ac:dyDescent="0.25">
      <c r="B103" s="155" t="s">
        <v>396</v>
      </c>
      <c r="C103" s="2">
        <f>AVERAGE(C98:C102)</f>
        <v>206514</v>
      </c>
      <c r="D103" s="2">
        <f t="shared" ref="D103" si="19">AVERAGE(D98:D102)</f>
        <v>10319.4</v>
      </c>
      <c r="E103" s="2">
        <f t="shared" si="14"/>
        <v>20.012210012210012</v>
      </c>
      <c r="F103" s="2">
        <f>AVERAGE(F98:F102)</f>
        <v>72274.399999999994</v>
      </c>
      <c r="G103" s="2">
        <f t="shared" ref="G103" si="20">AVERAGE(G98:G102)</f>
        <v>2281.6</v>
      </c>
      <c r="H103" s="2">
        <f t="shared" si="15"/>
        <v>31.677068723702664</v>
      </c>
      <c r="I103" s="2">
        <f>AVERAGE(I98:I102)</f>
        <v>134239.6</v>
      </c>
      <c r="J103" s="2">
        <f t="shared" ref="J103" si="21">AVERAGE(J98:J102)</f>
        <v>8037.8</v>
      </c>
      <c r="K103" s="2">
        <f t="shared" si="18"/>
        <v>16.70103759735251</v>
      </c>
    </row>
    <row r="104" spans="2:11" x14ac:dyDescent="0.25">
      <c r="D104" s="155" t="s">
        <v>401</v>
      </c>
      <c r="E104" s="156">
        <f>1/E103</f>
        <v>4.9969493593654671E-2</v>
      </c>
      <c r="H104" s="156">
        <f>1/H103</f>
        <v>3.1568577532293592E-2</v>
      </c>
      <c r="K104" s="156">
        <f>1/K103</f>
        <v>5.9876519298329253E-2</v>
      </c>
    </row>
  </sheetData>
  <conditionalFormatting sqref="L48:AG49 L52:T53">
    <cfRule type="colorScale" priority="1">
      <colorScale>
        <cfvo type="num" val="-0.25"/>
        <cfvo type="num" val="0"/>
        <cfvo type="num" val="0.25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2:AF94"/>
  <sheetViews>
    <sheetView topLeftCell="A56" workbookViewId="0">
      <selection activeCell="D70" sqref="D70"/>
    </sheetView>
  </sheetViews>
  <sheetFormatPr defaultRowHeight="15" x14ac:dyDescent="0.25"/>
  <cols>
    <col min="2" max="2" width="26.85546875" customWidth="1"/>
    <col min="3" max="3" width="7.5703125" customWidth="1"/>
    <col min="4" max="5" width="6.7109375" customWidth="1"/>
    <col min="6" max="9" width="7.28515625" customWidth="1"/>
    <col min="10" max="10" width="6.7109375" customWidth="1"/>
    <col min="11" max="13" width="7.140625" customWidth="1"/>
    <col min="14" max="15" width="6.7109375" customWidth="1"/>
    <col min="16" max="16" width="7.7109375" customWidth="1"/>
    <col min="17" max="19" width="6.7109375" customWidth="1"/>
    <col min="20" max="20" width="8" customWidth="1"/>
    <col min="21" max="23" width="6.7109375" customWidth="1"/>
    <col min="24" max="24" width="9.85546875" customWidth="1"/>
    <col min="29" max="29" width="7.28515625" customWidth="1"/>
  </cols>
  <sheetData>
    <row r="2" spans="2:32" x14ac:dyDescent="0.25">
      <c r="B2" s="178" t="s">
        <v>521</v>
      </c>
      <c r="C2" s="178" t="s">
        <v>451</v>
      </c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 t="s">
        <v>529</v>
      </c>
      <c r="Y2" s="178"/>
      <c r="AA2" s="190"/>
    </row>
    <row r="3" spans="2:32" x14ac:dyDescent="0.25">
      <c r="B3" s="178"/>
      <c r="C3" s="83" t="s">
        <v>450</v>
      </c>
      <c r="D3" s="171"/>
      <c r="E3" s="171"/>
      <c r="F3" s="171"/>
      <c r="G3" s="171"/>
      <c r="H3" s="171"/>
      <c r="I3" s="171"/>
      <c r="J3" s="171"/>
      <c r="K3" s="171"/>
      <c r="L3" s="83" t="s">
        <v>470</v>
      </c>
      <c r="M3" s="171"/>
      <c r="N3" s="171"/>
      <c r="O3" s="171"/>
      <c r="P3" s="171"/>
      <c r="Q3" s="171"/>
      <c r="R3" s="83" t="s">
        <v>471</v>
      </c>
      <c r="S3" s="171"/>
      <c r="T3" s="171"/>
      <c r="U3" s="171"/>
      <c r="V3" s="171"/>
      <c r="W3" s="171"/>
      <c r="X3" s="193" t="s">
        <v>530</v>
      </c>
      <c r="Y3" s="83"/>
      <c r="AA3" s="191"/>
    </row>
    <row r="4" spans="2:32" x14ac:dyDescent="0.25">
      <c r="B4" s="171"/>
      <c r="C4" s="101" t="s">
        <v>442</v>
      </c>
      <c r="D4" s="101"/>
      <c r="E4" s="101"/>
      <c r="F4" s="168" t="s">
        <v>454</v>
      </c>
      <c r="G4" s="168"/>
      <c r="H4" s="168"/>
      <c r="I4" s="101" t="s">
        <v>443</v>
      </c>
      <c r="J4" s="101"/>
      <c r="K4" s="101"/>
      <c r="L4" s="168" t="s">
        <v>464</v>
      </c>
      <c r="M4" s="168"/>
      <c r="N4" s="168"/>
      <c r="O4" s="101" t="s">
        <v>465</v>
      </c>
      <c r="P4" s="101"/>
      <c r="Q4" s="101"/>
      <c r="R4" s="168" t="s">
        <v>455</v>
      </c>
      <c r="S4" s="168"/>
      <c r="T4" s="168"/>
      <c r="U4" s="101" t="s">
        <v>456</v>
      </c>
      <c r="V4" s="101"/>
      <c r="W4" s="101"/>
      <c r="X4" s="168" t="s">
        <v>526</v>
      </c>
      <c r="Y4" s="101" t="s">
        <v>526</v>
      </c>
      <c r="AA4" s="32"/>
    </row>
    <row r="5" spans="2:32" ht="15" customHeight="1" x14ac:dyDescent="0.25">
      <c r="B5" s="171"/>
      <c r="C5" s="101" t="s">
        <v>439</v>
      </c>
      <c r="D5" s="101" t="s">
        <v>440</v>
      </c>
      <c r="E5" s="101" t="s">
        <v>441</v>
      </c>
      <c r="F5" s="168" t="s">
        <v>439</v>
      </c>
      <c r="G5" s="168" t="s">
        <v>440</v>
      </c>
      <c r="H5" s="168" t="s">
        <v>441</v>
      </c>
      <c r="I5" s="101" t="s">
        <v>439</v>
      </c>
      <c r="J5" s="101" t="s">
        <v>440</v>
      </c>
      <c r="K5" s="101" t="s">
        <v>441</v>
      </c>
      <c r="L5" s="168" t="s">
        <v>439</v>
      </c>
      <c r="M5" s="168" t="s">
        <v>440</v>
      </c>
      <c r="N5" s="168" t="s">
        <v>441</v>
      </c>
      <c r="O5" s="101" t="s">
        <v>439</v>
      </c>
      <c r="P5" s="101" t="s">
        <v>440</v>
      </c>
      <c r="Q5" s="101" t="s">
        <v>441</v>
      </c>
      <c r="R5" s="168" t="s">
        <v>439</v>
      </c>
      <c r="S5" s="168" t="s">
        <v>440</v>
      </c>
      <c r="T5" s="168" t="s">
        <v>441</v>
      </c>
      <c r="U5" s="101" t="s">
        <v>439</v>
      </c>
      <c r="V5" s="101" t="s">
        <v>440</v>
      </c>
      <c r="W5" s="101" t="s">
        <v>441</v>
      </c>
      <c r="X5" s="168" t="s">
        <v>527</v>
      </c>
      <c r="Y5" s="101" t="s">
        <v>528</v>
      </c>
      <c r="AA5" s="32"/>
      <c r="AF5" s="172" t="s">
        <v>490</v>
      </c>
    </row>
    <row r="6" spans="2:32" ht="15" customHeight="1" x14ac:dyDescent="0.25">
      <c r="B6" s="171" t="s">
        <v>457</v>
      </c>
      <c r="C6" s="168"/>
      <c r="D6" s="168"/>
      <c r="E6" s="168"/>
      <c r="F6" s="90">
        <v>1229</v>
      </c>
      <c r="G6" s="90"/>
      <c r="H6" s="90">
        <v>1329</v>
      </c>
      <c r="I6" s="168"/>
      <c r="J6" s="168"/>
      <c r="K6" s="168"/>
      <c r="L6" s="90">
        <v>2119</v>
      </c>
      <c r="M6" s="90"/>
      <c r="N6" s="90">
        <v>2130</v>
      </c>
      <c r="O6" s="168"/>
      <c r="P6" s="168"/>
      <c r="Q6" s="168"/>
      <c r="R6" s="90"/>
      <c r="S6" s="90"/>
      <c r="T6" s="90"/>
      <c r="U6" s="168"/>
      <c r="V6" s="168"/>
      <c r="W6" s="168"/>
      <c r="X6" s="188">
        <v>2973.75</v>
      </c>
      <c r="Y6" s="189">
        <v>1619.5499999999997</v>
      </c>
      <c r="AA6" s="32"/>
      <c r="AF6" s="173">
        <v>1</v>
      </c>
    </row>
    <row r="7" spans="2:32" x14ac:dyDescent="0.25">
      <c r="B7" s="171" t="s">
        <v>458</v>
      </c>
      <c r="C7" s="168"/>
      <c r="D7" s="168"/>
      <c r="E7" s="168"/>
      <c r="F7" s="90"/>
      <c r="G7" s="90"/>
      <c r="H7" s="90"/>
      <c r="I7" s="168"/>
      <c r="J7" s="168"/>
      <c r="K7" s="168"/>
      <c r="L7" s="90"/>
      <c r="M7" s="90"/>
      <c r="N7" s="90"/>
      <c r="O7" s="168">
        <v>2663</v>
      </c>
      <c r="P7" s="168">
        <v>2561</v>
      </c>
      <c r="Q7" s="168">
        <v>2690</v>
      </c>
      <c r="R7" s="90">
        <v>2568</v>
      </c>
      <c r="S7" s="90">
        <v>2502</v>
      </c>
      <c r="T7" s="90">
        <v>2401</v>
      </c>
      <c r="U7" s="168">
        <v>2506</v>
      </c>
      <c r="V7" s="168">
        <v>2459</v>
      </c>
      <c r="W7" s="168">
        <v>2431</v>
      </c>
      <c r="X7" s="188">
        <v>711.50000000000011</v>
      </c>
      <c r="Y7" s="189">
        <v>751.1500000000002</v>
      </c>
      <c r="AA7" s="32"/>
      <c r="AF7" s="173">
        <v>1</v>
      </c>
    </row>
    <row r="8" spans="2:32" x14ac:dyDescent="0.25">
      <c r="B8" s="171" t="s">
        <v>444</v>
      </c>
      <c r="C8" s="168">
        <v>659</v>
      </c>
      <c r="D8" s="168">
        <v>1254</v>
      </c>
      <c r="E8" s="168">
        <v>770</v>
      </c>
      <c r="F8" s="90"/>
      <c r="G8" s="90"/>
      <c r="H8" s="90"/>
      <c r="I8" s="168"/>
      <c r="J8" s="168">
        <v>1235</v>
      </c>
      <c r="K8" s="168"/>
      <c r="L8" s="90"/>
      <c r="M8" s="90"/>
      <c r="N8" s="90"/>
      <c r="O8" s="168"/>
      <c r="P8" s="168"/>
      <c r="Q8" s="168"/>
      <c r="R8" s="90"/>
      <c r="S8" s="90"/>
      <c r="T8" s="90"/>
      <c r="U8" s="168"/>
      <c r="V8" s="168"/>
      <c r="W8" s="168"/>
      <c r="X8" s="90"/>
      <c r="Y8" s="168"/>
      <c r="AA8" s="32"/>
      <c r="AF8" s="173">
        <v>1</v>
      </c>
    </row>
    <row r="9" spans="2:32" x14ac:dyDescent="0.25">
      <c r="B9" s="171" t="s">
        <v>459</v>
      </c>
      <c r="C9" s="168"/>
      <c r="D9" s="168"/>
      <c r="E9" s="168"/>
      <c r="F9" s="90"/>
      <c r="G9" s="90">
        <v>1165</v>
      </c>
      <c r="H9" s="90"/>
      <c r="I9" s="168"/>
      <c r="J9" s="168"/>
      <c r="K9" s="168"/>
      <c r="L9" s="90"/>
      <c r="M9" s="90">
        <v>1868</v>
      </c>
      <c r="N9" s="90"/>
      <c r="O9" s="168"/>
      <c r="P9" s="168"/>
      <c r="Q9" s="168"/>
      <c r="R9" s="90"/>
      <c r="S9" s="90"/>
      <c r="T9" s="90"/>
      <c r="U9" s="168"/>
      <c r="V9" s="168"/>
      <c r="W9" s="168"/>
      <c r="X9" s="90"/>
      <c r="Y9" s="168"/>
      <c r="AA9" s="32"/>
      <c r="AF9" s="173">
        <v>1</v>
      </c>
    </row>
    <row r="10" spans="2:32" x14ac:dyDescent="0.25">
      <c r="B10" s="171" t="s">
        <v>460</v>
      </c>
      <c r="C10" s="168"/>
      <c r="D10" s="168"/>
      <c r="E10" s="168"/>
      <c r="F10" s="90"/>
      <c r="G10" s="90">
        <v>272</v>
      </c>
      <c r="H10" s="90"/>
      <c r="I10" s="168"/>
      <c r="J10" s="168"/>
      <c r="K10" s="168"/>
      <c r="L10" s="90"/>
      <c r="M10" s="90">
        <v>436</v>
      </c>
      <c r="N10" s="90"/>
      <c r="O10" s="168"/>
      <c r="P10" s="168"/>
      <c r="Q10" s="168"/>
      <c r="R10" s="90"/>
      <c r="S10" s="90"/>
      <c r="T10" s="90"/>
      <c r="U10" s="168"/>
      <c r="V10" s="168"/>
      <c r="W10" s="168"/>
      <c r="X10" s="90"/>
      <c r="Y10" s="189">
        <v>1250.5</v>
      </c>
      <c r="AA10" s="32"/>
      <c r="AF10" s="173">
        <v>1</v>
      </c>
    </row>
    <row r="11" spans="2:32" x14ac:dyDescent="0.25">
      <c r="B11" s="171" t="s">
        <v>445</v>
      </c>
      <c r="C11" s="168">
        <v>977</v>
      </c>
      <c r="D11" s="168"/>
      <c r="E11" s="168">
        <v>970</v>
      </c>
      <c r="F11" s="90"/>
      <c r="G11" s="90"/>
      <c r="H11" s="90"/>
      <c r="I11" s="168">
        <v>1536</v>
      </c>
      <c r="J11" s="168"/>
      <c r="K11" s="168">
        <v>1614</v>
      </c>
      <c r="L11" s="90"/>
      <c r="M11" s="90"/>
      <c r="N11" s="90"/>
      <c r="O11" s="168"/>
      <c r="P11" s="168"/>
      <c r="Q11" s="168"/>
      <c r="R11" s="90"/>
      <c r="S11" s="90"/>
      <c r="T11" s="90"/>
      <c r="U11" s="168"/>
      <c r="V11" s="168"/>
      <c r="W11" s="168"/>
      <c r="X11" s="90"/>
      <c r="Y11" s="168"/>
      <c r="AA11" s="32"/>
      <c r="AF11" s="173">
        <v>1</v>
      </c>
    </row>
    <row r="12" spans="2:32" x14ac:dyDescent="0.25">
      <c r="B12" s="171" t="s">
        <v>446</v>
      </c>
      <c r="C12" s="168"/>
      <c r="D12" s="168">
        <v>299</v>
      </c>
      <c r="E12" s="168"/>
      <c r="F12" s="90"/>
      <c r="G12" s="90"/>
      <c r="H12" s="90"/>
      <c r="I12" s="168"/>
      <c r="J12" s="168">
        <v>139</v>
      </c>
      <c r="K12" s="168"/>
      <c r="L12" s="90"/>
      <c r="M12" s="90"/>
      <c r="N12" s="90"/>
      <c r="O12" s="168"/>
      <c r="P12" s="168"/>
      <c r="Q12" s="168"/>
      <c r="R12" s="90"/>
      <c r="S12" s="90"/>
      <c r="T12" s="90"/>
      <c r="U12" s="168"/>
      <c r="V12" s="168"/>
      <c r="W12" s="168"/>
      <c r="X12" s="188">
        <v>207.4</v>
      </c>
      <c r="Y12" s="189">
        <v>207.4</v>
      </c>
      <c r="AA12" s="32"/>
      <c r="AF12" s="173">
        <v>0.85</v>
      </c>
    </row>
    <row r="13" spans="2:32" x14ac:dyDescent="0.25">
      <c r="B13" s="171" t="s">
        <v>447</v>
      </c>
      <c r="C13" s="168">
        <v>1953</v>
      </c>
      <c r="D13" s="168">
        <v>2053</v>
      </c>
      <c r="E13" s="168">
        <v>1806</v>
      </c>
      <c r="F13" s="90"/>
      <c r="G13" s="90"/>
      <c r="H13" s="90"/>
      <c r="I13" s="168">
        <v>1313</v>
      </c>
      <c r="J13" s="168">
        <v>1390</v>
      </c>
      <c r="K13" s="168">
        <v>1235</v>
      </c>
      <c r="L13" s="90"/>
      <c r="M13" s="90"/>
      <c r="N13" s="90"/>
      <c r="O13" s="168">
        <v>1548</v>
      </c>
      <c r="P13" s="168">
        <v>1662</v>
      </c>
      <c r="Q13" s="168">
        <v>1548</v>
      </c>
      <c r="R13" s="90">
        <v>932</v>
      </c>
      <c r="S13" s="90">
        <v>995</v>
      </c>
      <c r="T13" s="90">
        <v>951</v>
      </c>
      <c r="U13" s="168">
        <v>926</v>
      </c>
      <c r="V13" s="168">
        <v>978</v>
      </c>
      <c r="W13" s="168">
        <v>924</v>
      </c>
      <c r="X13" s="90"/>
      <c r="Y13" s="168"/>
      <c r="AA13" s="32"/>
      <c r="AF13" s="173">
        <v>1</v>
      </c>
    </row>
    <row r="14" spans="2:32" x14ac:dyDescent="0.25">
      <c r="B14" s="171" t="s">
        <v>448</v>
      </c>
      <c r="C14" s="168">
        <v>345</v>
      </c>
      <c r="D14" s="168">
        <v>362</v>
      </c>
      <c r="E14" s="168">
        <v>319</v>
      </c>
      <c r="F14" s="90"/>
      <c r="G14" s="90"/>
      <c r="H14" s="90"/>
      <c r="I14" s="168">
        <v>232</v>
      </c>
      <c r="J14" s="168">
        <v>245</v>
      </c>
      <c r="K14" s="168">
        <v>218</v>
      </c>
      <c r="L14" s="90"/>
      <c r="M14" s="90"/>
      <c r="N14" s="90"/>
      <c r="O14" s="168">
        <v>273</v>
      </c>
      <c r="P14" s="168">
        <v>293</v>
      </c>
      <c r="Q14" s="168">
        <v>273</v>
      </c>
      <c r="R14" s="90">
        <v>165</v>
      </c>
      <c r="S14" s="90">
        <v>176</v>
      </c>
      <c r="T14" s="90">
        <v>168</v>
      </c>
      <c r="U14" s="168">
        <v>163</v>
      </c>
      <c r="V14" s="168">
        <v>173</v>
      </c>
      <c r="W14" s="168">
        <v>163</v>
      </c>
      <c r="X14" s="90">
        <v>782.99999999999989</v>
      </c>
      <c r="Y14" s="168">
        <v>782.99999999999989</v>
      </c>
      <c r="AA14" s="32"/>
      <c r="AF14" s="173">
        <v>1</v>
      </c>
    </row>
    <row r="15" spans="2:32" x14ac:dyDescent="0.25">
      <c r="B15" s="171" t="s">
        <v>461</v>
      </c>
      <c r="C15" s="168"/>
      <c r="D15" s="168"/>
      <c r="E15" s="168"/>
      <c r="F15" s="90">
        <v>861</v>
      </c>
      <c r="G15" s="90">
        <v>654</v>
      </c>
      <c r="H15" s="90"/>
      <c r="I15" s="168"/>
      <c r="J15" s="168"/>
      <c r="K15" s="168"/>
      <c r="L15" s="90">
        <v>1084</v>
      </c>
      <c r="M15" s="90">
        <v>1014</v>
      </c>
      <c r="N15" s="90"/>
      <c r="O15" s="168">
        <v>188</v>
      </c>
      <c r="P15" s="168">
        <v>184</v>
      </c>
      <c r="Q15" s="168"/>
      <c r="R15" s="90"/>
      <c r="S15" s="90"/>
      <c r="T15" s="90"/>
      <c r="U15" s="168"/>
      <c r="V15" s="168"/>
      <c r="W15" s="168"/>
      <c r="X15" s="188">
        <v>1897.2525000000001</v>
      </c>
      <c r="Y15" s="189">
        <v>1318.7895000000003</v>
      </c>
      <c r="AA15" s="32"/>
      <c r="AF15" s="173">
        <v>0.87</v>
      </c>
    </row>
    <row r="16" spans="2:32" x14ac:dyDescent="0.25">
      <c r="B16" s="171" t="s">
        <v>462</v>
      </c>
      <c r="C16" s="168"/>
      <c r="D16" s="168"/>
      <c r="E16" s="168"/>
      <c r="F16" s="90">
        <v>68</v>
      </c>
      <c r="G16" s="90">
        <v>78</v>
      </c>
      <c r="H16" s="90"/>
      <c r="I16" s="168"/>
      <c r="J16" s="168"/>
      <c r="K16" s="168"/>
      <c r="L16" s="90">
        <v>124</v>
      </c>
      <c r="M16" s="90">
        <v>32</v>
      </c>
      <c r="N16" s="90"/>
      <c r="O16" s="168">
        <v>4</v>
      </c>
      <c r="P16" s="168">
        <v>3</v>
      </c>
      <c r="Q16" s="168"/>
      <c r="R16" s="90"/>
      <c r="S16" s="90"/>
      <c r="T16" s="90"/>
      <c r="U16" s="168"/>
      <c r="V16" s="168"/>
      <c r="W16" s="168"/>
      <c r="X16" s="90"/>
      <c r="Y16" s="168"/>
      <c r="AA16" s="32"/>
      <c r="AF16" s="173">
        <v>0.87</v>
      </c>
    </row>
    <row r="17" spans="2:32" x14ac:dyDescent="0.25">
      <c r="B17" s="171" t="s">
        <v>463</v>
      </c>
      <c r="C17" s="168"/>
      <c r="D17" s="168"/>
      <c r="E17" s="168"/>
      <c r="F17" s="90"/>
      <c r="G17" s="90"/>
      <c r="H17" s="90">
        <v>991</v>
      </c>
      <c r="I17" s="168"/>
      <c r="J17" s="168"/>
      <c r="K17" s="168"/>
      <c r="L17" s="90">
        <v>80</v>
      </c>
      <c r="M17" s="90">
        <v>79</v>
      </c>
      <c r="N17" s="90">
        <v>1279</v>
      </c>
      <c r="O17" s="168">
        <v>119</v>
      </c>
      <c r="P17" s="168">
        <v>119</v>
      </c>
      <c r="Q17" s="168">
        <v>294</v>
      </c>
      <c r="R17" s="90"/>
      <c r="S17" s="90"/>
      <c r="T17" s="90"/>
      <c r="U17" s="168"/>
      <c r="V17" s="168"/>
      <c r="W17" s="168"/>
      <c r="X17" s="90">
        <v>1120</v>
      </c>
      <c r="Y17" s="168">
        <v>1762</v>
      </c>
      <c r="AA17" s="32"/>
      <c r="AF17" s="173">
        <v>0.9</v>
      </c>
    </row>
    <row r="18" spans="2:32" x14ac:dyDescent="0.25">
      <c r="B18" s="171" t="s">
        <v>449</v>
      </c>
      <c r="C18" s="168">
        <v>34</v>
      </c>
      <c r="D18" s="168">
        <v>34</v>
      </c>
      <c r="E18" s="168">
        <v>34</v>
      </c>
      <c r="F18" s="90">
        <v>12</v>
      </c>
      <c r="G18" s="90">
        <v>12</v>
      </c>
      <c r="H18" s="90">
        <v>14</v>
      </c>
      <c r="I18" s="168">
        <v>33</v>
      </c>
      <c r="J18" s="168">
        <v>33</v>
      </c>
      <c r="K18" s="168">
        <v>33</v>
      </c>
      <c r="L18" s="90">
        <v>22</v>
      </c>
      <c r="M18" s="90">
        <v>22</v>
      </c>
      <c r="N18" s="90">
        <v>21</v>
      </c>
      <c r="O18" s="168">
        <v>35</v>
      </c>
      <c r="P18" s="168">
        <v>35</v>
      </c>
      <c r="Q18" s="168">
        <v>35</v>
      </c>
      <c r="R18" s="90">
        <v>26</v>
      </c>
      <c r="S18" s="90">
        <v>26</v>
      </c>
      <c r="T18" s="90">
        <v>24</v>
      </c>
      <c r="U18" s="168">
        <v>26</v>
      </c>
      <c r="V18" s="168">
        <v>26</v>
      </c>
      <c r="W18" s="168">
        <v>26</v>
      </c>
      <c r="X18" s="90"/>
      <c r="Y18" s="168"/>
      <c r="AA18" s="32"/>
      <c r="AF18" s="173">
        <v>1</v>
      </c>
    </row>
    <row r="19" spans="2:32" x14ac:dyDescent="0.25">
      <c r="B19" s="171" t="s">
        <v>316</v>
      </c>
      <c r="C19" s="170">
        <f t="shared" ref="C19:K19" si="0">SUM(C6:C18)</f>
        <v>3968</v>
      </c>
      <c r="D19" s="170">
        <f t="shared" si="0"/>
        <v>4002</v>
      </c>
      <c r="E19" s="170">
        <f t="shared" si="0"/>
        <v>3899</v>
      </c>
      <c r="F19" s="169">
        <f t="shared" si="0"/>
        <v>2170</v>
      </c>
      <c r="G19" s="169">
        <f t="shared" si="0"/>
        <v>2181</v>
      </c>
      <c r="H19" s="169">
        <f t="shared" si="0"/>
        <v>2334</v>
      </c>
      <c r="I19" s="170">
        <f t="shared" si="0"/>
        <v>3114</v>
      </c>
      <c r="J19" s="170">
        <f t="shared" si="0"/>
        <v>3042</v>
      </c>
      <c r="K19" s="170">
        <f t="shared" si="0"/>
        <v>3100</v>
      </c>
      <c r="L19" s="169">
        <f t="shared" ref="L19:Y19" si="1">SUM(L6:L18)</f>
        <v>3429</v>
      </c>
      <c r="M19" s="169">
        <f t="shared" si="1"/>
        <v>3451</v>
      </c>
      <c r="N19" s="169">
        <f t="shared" si="1"/>
        <v>3430</v>
      </c>
      <c r="O19" s="170">
        <f t="shared" si="1"/>
        <v>4830</v>
      </c>
      <c r="P19" s="170">
        <f t="shared" si="1"/>
        <v>4857</v>
      </c>
      <c r="Q19" s="170">
        <f t="shared" si="1"/>
        <v>4840</v>
      </c>
      <c r="R19" s="169">
        <f t="shared" si="1"/>
        <v>3691</v>
      </c>
      <c r="S19" s="169">
        <f t="shared" si="1"/>
        <v>3699</v>
      </c>
      <c r="T19" s="169">
        <f t="shared" si="1"/>
        <v>3544</v>
      </c>
      <c r="U19" s="170">
        <f t="shared" si="1"/>
        <v>3621</v>
      </c>
      <c r="V19" s="170">
        <f t="shared" si="1"/>
        <v>3636</v>
      </c>
      <c r="W19" s="170">
        <f t="shared" si="1"/>
        <v>3544</v>
      </c>
      <c r="X19" s="169">
        <f t="shared" si="1"/>
        <v>7692.9025000000001</v>
      </c>
      <c r="Y19" s="170">
        <f t="shared" si="1"/>
        <v>7692.3894999999993</v>
      </c>
      <c r="AA19" s="192"/>
    </row>
    <row r="21" spans="2:32" x14ac:dyDescent="0.25">
      <c r="B21" s="171" t="s">
        <v>467</v>
      </c>
      <c r="C21" s="184">
        <v>103131</v>
      </c>
      <c r="D21" s="184">
        <v>40386</v>
      </c>
      <c r="E21" s="184">
        <v>21929</v>
      </c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</row>
    <row r="22" spans="2:32" x14ac:dyDescent="0.25">
      <c r="B22" s="171" t="s">
        <v>466</v>
      </c>
      <c r="C22" s="184">
        <v>87632</v>
      </c>
      <c r="D22" s="184">
        <v>21961</v>
      </c>
      <c r="E22" s="184">
        <v>15238</v>
      </c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4" spans="2:32" x14ac:dyDescent="0.25">
      <c r="B24" s="178" t="s">
        <v>518</v>
      </c>
      <c r="C24" s="83" t="s">
        <v>524</v>
      </c>
      <c r="D24" s="171"/>
      <c r="E24" s="171"/>
      <c r="F24" s="171"/>
      <c r="G24" s="171"/>
      <c r="H24" s="171"/>
      <c r="I24" s="171"/>
      <c r="M24" s="178" t="s">
        <v>518</v>
      </c>
      <c r="N24" s="83"/>
      <c r="O24" s="83"/>
      <c r="P24" s="83" t="s">
        <v>523</v>
      </c>
      <c r="Q24" s="171"/>
      <c r="R24" s="171"/>
      <c r="S24" s="171"/>
      <c r="T24" s="171"/>
      <c r="U24" s="171"/>
    </row>
    <row r="25" spans="2:32" x14ac:dyDescent="0.25">
      <c r="B25" s="178" t="s">
        <v>491</v>
      </c>
      <c r="C25" s="168"/>
      <c r="D25" s="168" t="s">
        <v>490</v>
      </c>
      <c r="E25" s="101"/>
      <c r="F25" s="101" t="s">
        <v>490</v>
      </c>
      <c r="G25" s="168"/>
      <c r="H25" s="168" t="s">
        <v>489</v>
      </c>
      <c r="I25" s="101" t="s">
        <v>487</v>
      </c>
      <c r="M25" s="178" t="s">
        <v>491</v>
      </c>
      <c r="N25" s="171"/>
      <c r="O25" s="171"/>
      <c r="P25" s="168" t="s">
        <v>303</v>
      </c>
      <c r="Q25" s="168" t="s">
        <v>489</v>
      </c>
      <c r="R25" s="101" t="s">
        <v>304</v>
      </c>
      <c r="S25" s="101" t="s">
        <v>489</v>
      </c>
      <c r="T25" s="168" t="s">
        <v>316</v>
      </c>
      <c r="U25" s="168" t="s">
        <v>525</v>
      </c>
    </row>
    <row r="26" spans="2:32" x14ac:dyDescent="0.25">
      <c r="B26" s="83" t="s">
        <v>472</v>
      </c>
      <c r="C26" s="168" t="s">
        <v>303</v>
      </c>
      <c r="D26" s="168" t="s">
        <v>489</v>
      </c>
      <c r="E26" s="101" t="s">
        <v>304</v>
      </c>
      <c r="F26" s="101" t="s">
        <v>489</v>
      </c>
      <c r="G26" s="168" t="s">
        <v>316</v>
      </c>
      <c r="H26" s="168" t="s">
        <v>525</v>
      </c>
      <c r="I26" s="101" t="s">
        <v>488</v>
      </c>
      <c r="K26" s="172" t="s">
        <v>490</v>
      </c>
      <c r="M26" s="171" t="s">
        <v>517</v>
      </c>
      <c r="N26" s="171"/>
      <c r="O26" s="171"/>
      <c r="P26" s="92">
        <f>T26*U26</f>
        <v>77812.622155690478</v>
      </c>
      <c r="Q26" s="174">
        <f>P26/SUM(P$26:P$29)</f>
        <v>0.23414263671133728</v>
      </c>
      <c r="R26" s="175">
        <f>T26-P26</f>
        <v>47594.13899404119</v>
      </c>
      <c r="S26" s="176">
        <f>R26/SUM(R$26:R$29)</f>
        <v>0.23414263671133731</v>
      </c>
      <c r="T26" s="92">
        <v>125406.76114973167</v>
      </c>
      <c r="U26" s="185">
        <v>0.62048187388225973</v>
      </c>
    </row>
    <row r="27" spans="2:32" x14ac:dyDescent="0.25">
      <c r="B27" s="171" t="s">
        <v>473</v>
      </c>
      <c r="C27" s="92">
        <f>G27*H27</f>
        <v>8000.2142902474725</v>
      </c>
      <c r="D27" s="174">
        <f>C27*$K27/SUMPRODUCT(C$27:C$47,$K$27:$K$47)</f>
        <v>1.0616664694902623E-2</v>
      </c>
      <c r="E27" s="175">
        <f>G27-C27</f>
        <v>631.319043085864</v>
      </c>
      <c r="F27" s="176">
        <f>E27*$K27/SUMPRODUCT(E$27:E$47,$K$27:$K$47)</f>
        <v>4.6660442363229675E-3</v>
      </c>
      <c r="G27" s="92">
        <v>8631.5333333333365</v>
      </c>
      <c r="H27" s="185">
        <v>0.92685899263716798</v>
      </c>
      <c r="I27" s="176">
        <v>0.27270318402958632</v>
      </c>
      <c r="K27" s="173">
        <v>0.87</v>
      </c>
      <c r="M27" s="171" t="s">
        <v>514</v>
      </c>
      <c r="N27" s="171"/>
      <c r="O27" s="171"/>
      <c r="P27" s="92">
        <f t="shared" ref="P27:P29" si="2">T27*U27</f>
        <v>61792.549779753324</v>
      </c>
      <c r="Q27" s="174">
        <f>P27/SUM(P$26:P$29)</f>
        <v>0.18593732139754057</v>
      </c>
      <c r="R27" s="175">
        <f t="shared" ref="R27:R29" si="3">T27-P27</f>
        <v>37795.451708713757</v>
      </c>
      <c r="S27" s="176">
        <f>R27/SUM(R$26:R$29)</f>
        <v>0.18593732139754063</v>
      </c>
      <c r="T27" s="92">
        <v>99588.001488467082</v>
      </c>
      <c r="U27" s="185">
        <v>0.62048187388225973</v>
      </c>
    </row>
    <row r="28" spans="2:32" x14ac:dyDescent="0.25">
      <c r="B28" s="171" t="s">
        <v>517</v>
      </c>
      <c r="C28" s="92">
        <f t="shared" ref="C28:C33" si="4">G28*H28</f>
        <v>38739.785795838885</v>
      </c>
      <c r="D28" s="174">
        <f t="shared" ref="D28:D33" si="5">C28*K28/SUMPRODUCT(C$27:C$47,$K$27:$K$47)</f>
        <v>5.140953744803383E-2</v>
      </c>
      <c r="E28" s="175">
        <f t="shared" ref="E28:E33" si="6">G28-C28</f>
        <v>23695.214204161115</v>
      </c>
      <c r="F28" s="176">
        <f t="shared" ref="F28:F33" si="7">E28*$K28/SUMPRODUCT(E$27:E$47,$K$27:$K$47)</f>
        <v>0.17513002162161409</v>
      </c>
      <c r="G28" s="92">
        <v>62435</v>
      </c>
      <c r="H28" s="185">
        <v>0.62048187388225973</v>
      </c>
      <c r="I28" s="176">
        <v>0</v>
      </c>
      <c r="K28" s="173">
        <v>0.87</v>
      </c>
      <c r="M28" s="171" t="s">
        <v>516</v>
      </c>
      <c r="N28" s="171"/>
      <c r="O28" s="171"/>
      <c r="P28" s="92">
        <f t="shared" si="2"/>
        <v>159717.72580047889</v>
      </c>
      <c r="Q28" s="174">
        <f>P28/SUM(P$26:P$29)</f>
        <v>0.48059978461640451</v>
      </c>
      <c r="R28" s="175">
        <f t="shared" si="3"/>
        <v>97691.446849722182</v>
      </c>
      <c r="S28" s="176">
        <f>R28/SUM(R$26:R$29)</f>
        <v>0.48059978461640457</v>
      </c>
      <c r="T28" s="92">
        <v>257409.17265020107</v>
      </c>
      <c r="U28" s="185">
        <v>0.62048187388225973</v>
      </c>
    </row>
    <row r="29" spans="2:32" x14ac:dyDescent="0.25">
      <c r="B29" s="171" t="s">
        <v>514</v>
      </c>
      <c r="C29" s="92">
        <f t="shared" si="4"/>
        <v>21059.030703189121</v>
      </c>
      <c r="D29" s="174">
        <f t="shared" si="5"/>
        <v>2.7946334893549748E-2</v>
      </c>
      <c r="E29" s="175">
        <f t="shared" si="6"/>
        <v>12880.769296810882</v>
      </c>
      <c r="F29" s="176">
        <f t="shared" si="7"/>
        <v>9.5201055623180236E-2</v>
      </c>
      <c r="G29" s="92">
        <v>33939.800000000003</v>
      </c>
      <c r="H29" s="185">
        <v>0.62048187388225973</v>
      </c>
      <c r="I29" s="176">
        <v>0</v>
      </c>
      <c r="K29" s="173">
        <v>0.87</v>
      </c>
      <c r="M29" s="171" t="s">
        <v>515</v>
      </c>
      <c r="N29" s="171"/>
      <c r="O29" s="171"/>
      <c r="P29" s="92">
        <f t="shared" si="2"/>
        <v>33007.100971752872</v>
      </c>
      <c r="Q29" s="174">
        <f>P29/SUM(P$26:P$29)</f>
        <v>9.9320257274717494E-2</v>
      </c>
      <c r="R29" s="175">
        <f t="shared" si="3"/>
        <v>20188.81394713511</v>
      </c>
      <c r="S29" s="176">
        <f>R29/SUM(R$26:R$29)</f>
        <v>9.9320257274717508E-2</v>
      </c>
      <c r="T29" s="92">
        <v>53195.914918887982</v>
      </c>
      <c r="U29" s="185">
        <v>0.62048187388225973</v>
      </c>
    </row>
    <row r="30" spans="2:32" x14ac:dyDescent="0.25">
      <c r="B30" s="171" t="s">
        <v>516</v>
      </c>
      <c r="C30" s="92">
        <f t="shared" si="4"/>
        <v>68413.87639421731</v>
      </c>
      <c r="D30" s="174">
        <f t="shared" si="5"/>
        <v>9.0788466384123717E-2</v>
      </c>
      <c r="E30" s="175">
        <f t="shared" si="6"/>
        <v>41845.390272449687</v>
      </c>
      <c r="F30" s="176">
        <f t="shared" si="7"/>
        <v>0.30927697213608885</v>
      </c>
      <c r="G30" s="92">
        <v>110259.266666667</v>
      </c>
      <c r="H30" s="185">
        <v>0.62048187388225973</v>
      </c>
      <c r="I30" s="176">
        <v>0</v>
      </c>
      <c r="K30" s="173">
        <v>0.87</v>
      </c>
    </row>
    <row r="31" spans="2:32" x14ac:dyDescent="0.25">
      <c r="B31" s="171" t="s">
        <v>515</v>
      </c>
      <c r="C31" s="92">
        <f t="shared" si="4"/>
        <v>14138.341343739448</v>
      </c>
      <c r="D31" s="174">
        <f t="shared" si="5"/>
        <v>1.8762251102641098E-2</v>
      </c>
      <c r="E31" s="175">
        <f t="shared" si="6"/>
        <v>8647.7253229272501</v>
      </c>
      <c r="F31" s="176">
        <f t="shared" si="7"/>
        <v>6.3914861023542546E-2</v>
      </c>
      <c r="G31" s="92">
        <v>22786.066666666698</v>
      </c>
      <c r="H31" s="185">
        <v>0.62048187388225973</v>
      </c>
      <c r="I31" s="176">
        <v>0</v>
      </c>
      <c r="K31" s="173">
        <v>0.87</v>
      </c>
    </row>
    <row r="32" spans="2:32" x14ac:dyDescent="0.25">
      <c r="B32" s="171" t="s">
        <v>519</v>
      </c>
      <c r="C32" s="92">
        <f t="shared" si="4"/>
        <v>4095.4809354661024</v>
      </c>
      <c r="D32" s="174">
        <f t="shared" si="5"/>
        <v>5.4348979013241839E-3</v>
      </c>
      <c r="E32" s="175">
        <f t="shared" si="6"/>
        <v>323.18573120056726</v>
      </c>
      <c r="F32" s="176">
        <f t="shared" si="7"/>
        <v>2.3886479187435693E-3</v>
      </c>
      <c r="G32" s="92">
        <v>4418.6666666666697</v>
      </c>
      <c r="H32" s="185">
        <v>0.92685899263716798</v>
      </c>
      <c r="I32" s="176">
        <v>0</v>
      </c>
      <c r="K32" s="173">
        <v>0.87</v>
      </c>
      <c r="M32" s="178" t="s">
        <v>518</v>
      </c>
      <c r="N32" s="83"/>
      <c r="O32" s="83"/>
      <c r="P32" s="83" t="s">
        <v>522</v>
      </c>
      <c r="Q32" s="171"/>
      <c r="R32" s="171"/>
      <c r="S32" s="171"/>
      <c r="T32" s="171"/>
      <c r="U32" s="171"/>
    </row>
    <row r="33" spans="2:22" x14ac:dyDescent="0.25">
      <c r="B33" s="171" t="s">
        <v>520</v>
      </c>
      <c r="C33" s="92">
        <f t="shared" si="4"/>
        <v>11613.017957647857</v>
      </c>
      <c r="D33" s="174">
        <f t="shared" si="5"/>
        <v>1.5411026914932346E-2</v>
      </c>
      <c r="E33" s="175">
        <f t="shared" si="6"/>
        <v>916.415375685443</v>
      </c>
      <c r="F33" s="176">
        <f t="shared" si="7"/>
        <v>6.7731755102676929E-3</v>
      </c>
      <c r="G33" s="92">
        <v>12529.4333333333</v>
      </c>
      <c r="H33" s="185">
        <v>0.92685899263716798</v>
      </c>
      <c r="I33" s="176">
        <v>0</v>
      </c>
      <c r="K33" s="173">
        <v>0.87</v>
      </c>
      <c r="M33" s="178" t="s">
        <v>491</v>
      </c>
      <c r="N33" s="171"/>
      <c r="O33" s="171"/>
      <c r="P33" s="168" t="s">
        <v>303</v>
      </c>
      <c r="Q33" s="168" t="s">
        <v>489</v>
      </c>
      <c r="R33" s="101" t="s">
        <v>304</v>
      </c>
      <c r="S33" s="101" t="s">
        <v>489</v>
      </c>
      <c r="T33" s="168" t="s">
        <v>316</v>
      </c>
      <c r="U33" s="168" t="s">
        <v>525</v>
      </c>
    </row>
    <row r="34" spans="2:22" x14ac:dyDescent="0.25">
      <c r="B34" s="171" t="s">
        <v>479</v>
      </c>
      <c r="C34" s="92">
        <f t="shared" ref="C34:C47" si="8">G34*H34</f>
        <v>125972.18626629541</v>
      </c>
      <c r="D34" s="174">
        <f t="shared" ref="D34:D47" si="9">C34*K34/SUMPRODUCT(C$27:C$47,$K$27:$K$47)</f>
        <v>0.1787001199119426</v>
      </c>
      <c r="E34" s="175">
        <f t="shared" ref="E34:E47" si="10">G34-C34</f>
        <v>9940.8137337045919</v>
      </c>
      <c r="F34" s="176">
        <f t="shared" ref="F34:F47" si="11">E34*$K34/SUMPRODUCT(E$27:E$47,$K$27:$K$47)</f>
        <v>7.8539041074329657E-2</v>
      </c>
      <c r="G34" s="92">
        <v>135913</v>
      </c>
      <c r="H34" s="185">
        <v>0.92685899263716798</v>
      </c>
      <c r="I34" s="176">
        <v>0.19883912083302038</v>
      </c>
      <c r="K34" s="173">
        <v>0.93</v>
      </c>
      <c r="M34" s="171" t="s">
        <v>519</v>
      </c>
      <c r="N34" s="171"/>
      <c r="O34" s="171"/>
      <c r="P34" s="92">
        <f t="shared" ref="P34:P35" si="12">T34*U34</f>
        <v>18331.527857478479</v>
      </c>
      <c r="Q34" s="174">
        <f>P34/SUM(P$34:P$35)</f>
        <v>0.51302572087399856</v>
      </c>
      <c r="R34" s="175">
        <f t="shared" ref="R34:R35" si="13">T34-P34</f>
        <v>11212.490475854818</v>
      </c>
      <c r="S34" s="176">
        <f>R34/SUM(R$34:R$35)</f>
        <v>0.51302572087399856</v>
      </c>
      <c r="T34" s="92">
        <v>29544.018333333297</v>
      </c>
      <c r="U34" s="185">
        <v>0.62048187388225973</v>
      </c>
    </row>
    <row r="35" spans="2:22" x14ac:dyDescent="0.25">
      <c r="B35" s="171" t="s">
        <v>474</v>
      </c>
      <c r="C35" s="92">
        <f t="shared" si="8"/>
        <v>36603.206384229525</v>
      </c>
      <c r="D35" s="174">
        <f t="shared" si="9"/>
        <v>5.024916723664883E-2</v>
      </c>
      <c r="E35" s="175">
        <f t="shared" si="10"/>
        <v>2888.4602824371759</v>
      </c>
      <c r="F35" s="176">
        <f t="shared" si="11"/>
        <v>2.2084604148529564E-2</v>
      </c>
      <c r="G35" s="92">
        <v>39491.666666666701</v>
      </c>
      <c r="H35" s="185">
        <v>0.92685899263716798</v>
      </c>
      <c r="I35" s="176">
        <v>0</v>
      </c>
      <c r="K35" s="173">
        <v>0.9</v>
      </c>
      <c r="M35" s="171" t="s">
        <v>520</v>
      </c>
      <c r="N35" s="171"/>
      <c r="O35" s="171"/>
      <c r="P35" s="92">
        <f t="shared" si="12"/>
        <v>17400.653028596018</v>
      </c>
      <c r="Q35" s="174">
        <f>P35/SUM(P$34:P$35)</f>
        <v>0.48697427912600155</v>
      </c>
      <c r="R35" s="175">
        <f t="shared" si="13"/>
        <v>10643.120304737324</v>
      </c>
      <c r="S35" s="176">
        <f>R35/SUM(R$34:R$35)</f>
        <v>0.48697427912600144</v>
      </c>
      <c r="T35" s="92">
        <v>28043.773333333342</v>
      </c>
      <c r="U35" s="185">
        <v>0.62048187388225973</v>
      </c>
    </row>
    <row r="36" spans="2:22" x14ac:dyDescent="0.25">
      <c r="B36" s="171" t="s">
        <v>475</v>
      </c>
      <c r="C36" s="92">
        <f t="shared" si="8"/>
        <v>90204.110729731736</v>
      </c>
      <c r="D36" s="174">
        <f t="shared" si="9"/>
        <v>0.11970514325933213</v>
      </c>
      <c r="E36" s="175">
        <f t="shared" si="10"/>
        <v>7118.2559369349037</v>
      </c>
      <c r="F36" s="176">
        <f t="shared" si="11"/>
        <v>5.2610637127081708E-2</v>
      </c>
      <c r="G36" s="92">
        <v>97322.36666666664</v>
      </c>
      <c r="H36" s="185">
        <v>0.92685899263716798</v>
      </c>
      <c r="I36" s="176">
        <v>0</v>
      </c>
      <c r="K36" s="173">
        <v>0.87</v>
      </c>
      <c r="T36" s="32"/>
      <c r="U36" s="187"/>
      <c r="V36" s="32"/>
    </row>
    <row r="37" spans="2:22" x14ac:dyDescent="0.25">
      <c r="B37" s="171" t="s">
        <v>476</v>
      </c>
      <c r="C37" s="92">
        <f t="shared" si="8"/>
        <v>29382.974831585889</v>
      </c>
      <c r="D37" s="174">
        <f t="shared" si="9"/>
        <v>4.0785367897941328E-2</v>
      </c>
      <c r="E37" s="175">
        <f t="shared" si="10"/>
        <v>2318.69183508071</v>
      </c>
      <c r="F37" s="176">
        <f t="shared" si="11"/>
        <v>1.7925246419233029E-2</v>
      </c>
      <c r="G37" s="92">
        <v>31701.666666666599</v>
      </c>
      <c r="H37" s="185">
        <v>0.92685899263716798</v>
      </c>
      <c r="I37" s="176">
        <v>1</v>
      </c>
      <c r="K37" s="173">
        <v>0.91</v>
      </c>
      <c r="T37" s="32"/>
      <c r="U37" s="187"/>
      <c r="V37" s="32"/>
    </row>
    <row r="38" spans="2:22" x14ac:dyDescent="0.25">
      <c r="B38" s="171" t="s">
        <v>477</v>
      </c>
      <c r="C38" s="92">
        <f t="shared" si="8"/>
        <v>15543.487097124786</v>
      </c>
      <c r="D38" s="174">
        <f t="shared" si="9"/>
        <v>2.0626946318286005E-2</v>
      </c>
      <c r="E38" s="175">
        <f t="shared" si="10"/>
        <v>1226.5795695418474</v>
      </c>
      <c r="F38" s="176">
        <f t="shared" si="11"/>
        <v>9.0655819645120948E-3</v>
      </c>
      <c r="G38" s="92">
        <v>16770.066666666633</v>
      </c>
      <c r="H38" s="185">
        <v>0.92685899263716798</v>
      </c>
      <c r="I38" s="176">
        <v>1</v>
      </c>
      <c r="K38" s="173">
        <v>0.87</v>
      </c>
    </row>
    <row r="39" spans="2:22" x14ac:dyDescent="0.25">
      <c r="B39" s="171" t="s">
        <v>478</v>
      </c>
      <c r="C39" s="92">
        <f t="shared" si="8"/>
        <v>39489.568868500683</v>
      </c>
      <c r="D39" s="174">
        <f t="shared" si="9"/>
        <v>5.2404535230289213E-2</v>
      </c>
      <c r="E39" s="175">
        <f t="shared" si="10"/>
        <v>3116.2311314993494</v>
      </c>
      <c r="F39" s="176">
        <f t="shared" si="11"/>
        <v>2.3031892462976329E-2</v>
      </c>
      <c r="G39" s="92">
        <v>42605.800000000032</v>
      </c>
      <c r="H39" s="185">
        <v>0.92685899263716798</v>
      </c>
      <c r="I39" s="176">
        <v>1</v>
      </c>
      <c r="K39" s="173">
        <v>0.87</v>
      </c>
    </row>
    <row r="40" spans="2:22" x14ac:dyDescent="0.25">
      <c r="B40" s="171" t="s">
        <v>480</v>
      </c>
      <c r="C40" s="92">
        <f t="shared" si="8"/>
        <v>103581.4047798645</v>
      </c>
      <c r="D40" s="174">
        <f t="shared" si="9"/>
        <v>0.14219736043760764</v>
      </c>
      <c r="E40" s="175">
        <f t="shared" si="10"/>
        <v>8173.8952201354987</v>
      </c>
      <c r="F40" s="176">
        <f t="shared" si="11"/>
        <v>6.2496009166494983E-2</v>
      </c>
      <c r="G40" s="92">
        <v>111755.3</v>
      </c>
      <c r="H40" s="185">
        <v>0.92685899263716798</v>
      </c>
      <c r="I40" s="176">
        <v>0.60570716705655525</v>
      </c>
      <c r="K40" s="173">
        <v>0.9</v>
      </c>
    </row>
    <row r="41" spans="2:22" x14ac:dyDescent="0.25">
      <c r="B41" s="171" t="s">
        <v>481</v>
      </c>
      <c r="C41" s="92">
        <f t="shared" si="8"/>
        <v>3649.7235506071347</v>
      </c>
      <c r="D41" s="174">
        <f t="shared" si="9"/>
        <v>5.1217104912708407E-3</v>
      </c>
      <c r="E41" s="175">
        <f t="shared" si="10"/>
        <v>288.0097827262025</v>
      </c>
      <c r="F41" s="176">
        <f t="shared" si="11"/>
        <v>2.2510014589971318E-3</v>
      </c>
      <c r="G41" s="92">
        <v>3937.7333333333372</v>
      </c>
      <c r="H41" s="185">
        <v>0.92685899263716798</v>
      </c>
      <c r="I41" s="176">
        <v>1</v>
      </c>
      <c r="K41" s="173">
        <v>0.92</v>
      </c>
    </row>
    <row r="42" spans="2:22" x14ac:dyDescent="0.25">
      <c r="B42" s="171" t="s">
        <v>485</v>
      </c>
      <c r="C42" s="92">
        <f t="shared" si="8"/>
        <v>2313.4678513921531</v>
      </c>
      <c r="D42" s="174">
        <f t="shared" si="9"/>
        <v>3.175946711906122E-3</v>
      </c>
      <c r="E42" s="175">
        <f t="shared" si="10"/>
        <v>182.56214860784985</v>
      </c>
      <c r="F42" s="176">
        <f t="shared" si="11"/>
        <v>1.3958345936152176E-3</v>
      </c>
      <c r="G42" s="92">
        <f>2773.36666666667*0.9</f>
        <v>2496.0300000000029</v>
      </c>
      <c r="H42" s="185">
        <v>0.92685899263716798</v>
      </c>
      <c r="I42" s="176">
        <v>0.40587012896078656</v>
      </c>
      <c r="K42" s="173">
        <v>0.9</v>
      </c>
    </row>
    <row r="43" spans="2:22" x14ac:dyDescent="0.25">
      <c r="B43" s="171" t="s">
        <v>486</v>
      </c>
      <c r="C43" s="92">
        <f t="shared" si="8"/>
        <v>257.05198348801702</v>
      </c>
      <c r="D43" s="174">
        <f t="shared" si="9"/>
        <v>3.5288296798956909E-4</v>
      </c>
      <c r="E43" s="175">
        <f t="shared" si="10"/>
        <v>20.284683178649971</v>
      </c>
      <c r="F43" s="176">
        <f t="shared" si="11"/>
        <v>1.5509273262391299E-4</v>
      </c>
      <c r="G43" s="92">
        <f>2773.36666666667*0.1</f>
        <v>277.33666666666699</v>
      </c>
      <c r="H43" s="185">
        <v>0.92685899263716798</v>
      </c>
      <c r="I43" s="176">
        <v>0.40587012896078656</v>
      </c>
      <c r="K43" s="173">
        <v>0.9</v>
      </c>
    </row>
    <row r="44" spans="2:22" x14ac:dyDescent="0.25">
      <c r="B44" s="171" t="s">
        <v>482</v>
      </c>
      <c r="C44" s="92">
        <f t="shared" si="8"/>
        <v>19145.662781409661</v>
      </c>
      <c r="D44" s="174">
        <f t="shared" si="9"/>
        <v>2.9203683562603517E-2</v>
      </c>
      <c r="E44" s="175">
        <f t="shared" si="10"/>
        <v>1510.837218590339</v>
      </c>
      <c r="F44" s="176">
        <f t="shared" si="11"/>
        <v>1.2835074223650576E-2</v>
      </c>
      <c r="G44" s="92">
        <v>20656.5</v>
      </c>
      <c r="H44" s="185">
        <v>0.92685899263716798</v>
      </c>
      <c r="I44" s="176">
        <v>0.2671631311304497</v>
      </c>
      <c r="K44" s="173">
        <v>1</v>
      </c>
    </row>
    <row r="45" spans="2:22" x14ac:dyDescent="0.25">
      <c r="B45" s="171" t="s">
        <v>483</v>
      </c>
      <c r="C45" s="92">
        <f t="shared" si="8"/>
        <v>35644.185384547847</v>
      </c>
      <c r="D45" s="174">
        <f t="shared" si="9"/>
        <v>5.4369573030809949E-2</v>
      </c>
      <c r="E45" s="175">
        <f t="shared" si="10"/>
        <v>2812.7812821188563</v>
      </c>
      <c r="F45" s="176">
        <f t="shared" si="11"/>
        <v>2.3895530297152162E-2</v>
      </c>
      <c r="G45" s="92">
        <v>38456.966666666704</v>
      </c>
      <c r="H45" s="185">
        <v>0.92685899263716798</v>
      </c>
      <c r="I45" s="176">
        <v>0.14385536511797675</v>
      </c>
      <c r="K45" s="173">
        <v>1</v>
      </c>
    </row>
    <row r="46" spans="2:22" x14ac:dyDescent="0.25">
      <c r="B46" s="171" t="s">
        <v>493</v>
      </c>
      <c r="C46" s="92">
        <f t="shared" si="8"/>
        <v>38744.652296118176</v>
      </c>
      <c r="D46" s="174">
        <f t="shared" si="9"/>
        <v>5.3188960888198779E-2</v>
      </c>
      <c r="E46" s="175">
        <f t="shared" si="10"/>
        <v>3057.4477038818441</v>
      </c>
      <c r="F46" s="176">
        <f t="shared" si="11"/>
        <v>2.3376649024956703E-2</v>
      </c>
      <c r="G46" s="92">
        <f>69670.1666666667*0.6</f>
        <v>41802.10000000002</v>
      </c>
      <c r="H46" s="185">
        <v>0.92685899263716798</v>
      </c>
      <c r="I46" s="176">
        <v>0.46986991038291381</v>
      </c>
      <c r="K46" s="173">
        <v>0.9</v>
      </c>
    </row>
    <row r="47" spans="2:22" x14ac:dyDescent="0.25">
      <c r="B47" s="171" t="s">
        <v>492</v>
      </c>
      <c r="C47" s="92">
        <f t="shared" si="8"/>
        <v>25829.768197412119</v>
      </c>
      <c r="D47" s="174">
        <f t="shared" si="9"/>
        <v>2.9549422715665987E-2</v>
      </c>
      <c r="E47" s="175">
        <f t="shared" si="10"/>
        <v>2038.2984692545615</v>
      </c>
      <c r="F47" s="176">
        <f t="shared" si="11"/>
        <v>1.2987027236087049E-2</v>
      </c>
      <c r="G47" s="92">
        <f>69670.1666666667*0.4</f>
        <v>27868.06666666668</v>
      </c>
      <c r="H47" s="185">
        <v>0.92685899263716798</v>
      </c>
      <c r="I47" s="176">
        <v>0.46986991038291381</v>
      </c>
      <c r="K47" s="173">
        <v>0.75</v>
      </c>
    </row>
    <row r="48" spans="2:22" x14ac:dyDescent="0.25">
      <c r="B48" s="179" t="s">
        <v>484</v>
      </c>
      <c r="C48" s="180">
        <v>692.67262049750991</v>
      </c>
      <c r="D48" s="181"/>
      <c r="E48" s="182">
        <v>54.660712835823112</v>
      </c>
      <c r="F48" s="183"/>
      <c r="G48" s="92"/>
      <c r="H48" s="186">
        <v>0.92685899263716798</v>
      </c>
      <c r="I48" s="183">
        <v>0.15455308043620117</v>
      </c>
      <c r="K48" s="177"/>
    </row>
    <row r="52" spans="1:30" x14ac:dyDescent="0.25">
      <c r="B52" s="6" t="s">
        <v>510</v>
      </c>
      <c r="C52" t="s">
        <v>38</v>
      </c>
      <c r="D52" t="s">
        <v>38</v>
      </c>
      <c r="E52" t="s">
        <v>38</v>
      </c>
      <c r="F52" t="s">
        <v>38</v>
      </c>
      <c r="G52" t="s">
        <v>38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</row>
    <row r="53" spans="1:30" x14ac:dyDescent="0.25">
      <c r="B53" s="6" t="s">
        <v>511</v>
      </c>
      <c r="G53" t="s">
        <v>432</v>
      </c>
      <c r="K53" t="s">
        <v>432</v>
      </c>
      <c r="L53" t="s">
        <v>432</v>
      </c>
      <c r="N53" t="s">
        <v>489</v>
      </c>
    </row>
    <row r="54" spans="1:30" x14ac:dyDescent="0.25">
      <c r="B54" s="6" t="s">
        <v>512</v>
      </c>
      <c r="C54" t="s">
        <v>18</v>
      </c>
      <c r="D54" t="s">
        <v>33</v>
      </c>
      <c r="E54" t="s">
        <v>34</v>
      </c>
      <c r="F54" t="s">
        <v>35</v>
      </c>
      <c r="G54" t="s">
        <v>35</v>
      </c>
      <c r="H54" t="s">
        <v>18</v>
      </c>
      <c r="I54" t="s">
        <v>34</v>
      </c>
      <c r="J54" t="s">
        <v>35</v>
      </c>
      <c r="K54" t="s">
        <v>18</v>
      </c>
      <c r="L54" t="s">
        <v>35</v>
      </c>
      <c r="N54" t="s">
        <v>488</v>
      </c>
    </row>
    <row r="55" spans="1:30" x14ac:dyDescent="0.25">
      <c r="B55" s="6" t="s">
        <v>494</v>
      </c>
      <c r="U55" s="110" t="str">
        <f>C52&amp;C53&amp;C54</f>
        <v>beefcows</v>
      </c>
      <c r="V55" s="110" t="str">
        <f>D52&amp;D53</f>
        <v>beef</v>
      </c>
      <c r="W55" s="110" t="str">
        <f>E52&amp;E53</f>
        <v>beef</v>
      </c>
      <c r="X55" s="110" t="str">
        <f>F52&amp;F53&amp;F54</f>
        <v>beefbulls</v>
      </c>
      <c r="Y55" s="110" t="str">
        <f>G52&amp;G53&amp;G54</f>
        <v>beefmaize basedbulls</v>
      </c>
      <c r="Z55" s="110" t="str">
        <f>H52&amp;H53&amp;H54</f>
        <v>dairycows</v>
      </c>
      <c r="AA55" s="110" t="str">
        <f>I52&amp;I53</f>
        <v>dairy</v>
      </c>
      <c r="AB55" s="110" t="str">
        <f t="shared" ref="AB55:AD55" si="14">J52&amp;J53&amp;J54</f>
        <v>dairybulls</v>
      </c>
      <c r="AC55" s="110" t="str">
        <f t="shared" si="14"/>
        <v>dairymaize basedcows</v>
      </c>
      <c r="AD55" s="110" t="str">
        <f t="shared" si="14"/>
        <v>dairymaize basedbulls</v>
      </c>
    </row>
    <row r="56" spans="1:30" x14ac:dyDescent="0.25">
      <c r="B56" t="s">
        <v>436</v>
      </c>
      <c r="C56" s="12"/>
      <c r="D56" s="12"/>
      <c r="E56" s="12"/>
      <c r="F56" s="12">
        <f>(F6*C22+H6*E22)/(C22+E22)*AF6</f>
        <v>1243.8128706133955</v>
      </c>
      <c r="G56" s="2">
        <f>G9*AF9</f>
        <v>1165</v>
      </c>
      <c r="H56" s="2">
        <f>X6</f>
        <v>2973.75</v>
      </c>
      <c r="I56" s="12"/>
      <c r="J56" s="12">
        <f>(L6*C21+N6*E21)/(C21+E21)*AF6</f>
        <v>2120.9288261634415</v>
      </c>
      <c r="K56" s="12">
        <f>Y6</f>
        <v>1619.5499999999997</v>
      </c>
      <c r="L56">
        <f>M9*AF9</f>
        <v>1868</v>
      </c>
      <c r="N56" s="2">
        <v>0</v>
      </c>
      <c r="Q56" s="2"/>
      <c r="R56" s="110" t="s">
        <v>436</v>
      </c>
      <c r="U56" s="13">
        <f t="shared" ref="U56:U61" si="15">C56/C$94*100</f>
        <v>0</v>
      </c>
      <c r="V56" s="13">
        <f t="shared" ref="V56:Z61" si="16">D56/D$94*100</f>
        <v>0</v>
      </c>
      <c r="W56" s="13">
        <f t="shared" si="16"/>
        <v>0</v>
      </c>
      <c r="X56" s="13">
        <f t="shared" si="16"/>
        <v>60.249501023299892</v>
      </c>
      <c r="Y56" s="13">
        <f t="shared" si="16"/>
        <v>56.175982718049596</v>
      </c>
      <c r="Z56" s="13">
        <f>H56/H$94*100</f>
        <v>38.655760943285067</v>
      </c>
      <c r="AA56" s="13">
        <f t="shared" ref="AA56:AD61" si="17">I56/I$94*100</f>
        <v>0</v>
      </c>
      <c r="AB56" s="13">
        <f t="shared" si="17"/>
        <v>65.282988689132509</v>
      </c>
      <c r="AC56" s="13">
        <f t="shared" si="17"/>
        <v>21.053926091496013</v>
      </c>
      <c r="AD56" s="13">
        <f t="shared" si="17"/>
        <v>56.862458601207877</v>
      </c>
    </row>
    <row r="57" spans="1:30" x14ac:dyDescent="0.25">
      <c r="B57" t="s">
        <v>437</v>
      </c>
      <c r="C57" s="12">
        <f>SUMPRODUCT(C8:E8,C22:E22)/SUM(C22:E22)*AF8</f>
        <v>777.22554493675455</v>
      </c>
      <c r="D57" s="12">
        <f>SUMPRODUCT(U7:W7,C22:E22)/SUM(C22:E22)*AF7</f>
        <v>2488.57630716729</v>
      </c>
      <c r="E57" s="12">
        <f>SUMPRODUCT(R7:T7,C22:E22)/SUM(C22:E22)*AF7</f>
        <v>2536.0033645488702</v>
      </c>
      <c r="F57" s="12"/>
      <c r="G57" s="2"/>
      <c r="H57" s="2">
        <f>X7</f>
        <v>711.50000000000011</v>
      </c>
      <c r="I57" s="12">
        <f>SUMPRODUCT(O7:Q7,C21:E21)/SUM(C21:E21)*AF7</f>
        <v>2641.6801191929694</v>
      </c>
      <c r="J57" s="12"/>
      <c r="K57" s="12">
        <f>Y7</f>
        <v>751.1500000000002</v>
      </c>
      <c r="N57" s="2">
        <v>0</v>
      </c>
      <c r="Q57" s="2"/>
      <c r="R57" s="110" t="s">
        <v>437</v>
      </c>
      <c r="U57" s="13">
        <f t="shared" si="15"/>
        <v>16.595954764760993</v>
      </c>
      <c r="V57" s="13">
        <f t="shared" si="16"/>
        <v>69.353683256124697</v>
      </c>
      <c r="W57" s="13">
        <f t="shared" si="16"/>
        <v>69.504158295923276</v>
      </c>
      <c r="X57" s="13">
        <f t="shared" si="16"/>
        <v>0</v>
      </c>
      <c r="Y57" s="13">
        <f t="shared" si="16"/>
        <v>0</v>
      </c>
      <c r="Z57" s="13">
        <f t="shared" si="16"/>
        <v>9.2487848377124262</v>
      </c>
      <c r="AA57" s="13">
        <f t="shared" si="17"/>
        <v>55.413619478612851</v>
      </c>
      <c r="AB57" s="13">
        <f t="shared" si="17"/>
        <v>0</v>
      </c>
      <c r="AC57" s="13">
        <f t="shared" si="17"/>
        <v>9.7648461508611888</v>
      </c>
      <c r="AD57" s="13">
        <f t="shared" si="17"/>
        <v>0</v>
      </c>
    </row>
    <row r="58" spans="1:30" x14ac:dyDescent="0.25">
      <c r="B58" t="s">
        <v>438</v>
      </c>
      <c r="C58" s="12">
        <f>SUMPRODUCT(C11:E11,C22:E22)/SUM(C22:E22)*AF11</f>
        <v>804.26595957734855</v>
      </c>
      <c r="D58" s="12"/>
      <c r="E58" s="12"/>
      <c r="F58" s="12"/>
      <c r="G58" s="2"/>
      <c r="I58" s="12"/>
      <c r="J58" s="12"/>
      <c r="K58" s="12"/>
      <c r="N58" s="2">
        <v>0</v>
      </c>
      <c r="Q58" s="2"/>
      <c r="R58" s="110" t="s">
        <v>438</v>
      </c>
      <c r="U58" s="13">
        <f t="shared" si="15"/>
        <v>17.173343787959137</v>
      </c>
      <c r="V58" s="13">
        <f t="shared" si="16"/>
        <v>0</v>
      </c>
      <c r="W58" s="13">
        <f t="shared" si="16"/>
        <v>0</v>
      </c>
      <c r="X58" s="13">
        <f t="shared" si="16"/>
        <v>0</v>
      </c>
      <c r="Y58" s="13">
        <f t="shared" si="16"/>
        <v>0</v>
      </c>
      <c r="Z58" s="13">
        <f t="shared" si="16"/>
        <v>0</v>
      </c>
      <c r="AA58" s="13">
        <f t="shared" si="17"/>
        <v>0</v>
      </c>
      <c r="AB58" s="13">
        <f t="shared" si="17"/>
        <v>0</v>
      </c>
      <c r="AC58" s="13">
        <f t="shared" si="17"/>
        <v>0</v>
      </c>
      <c r="AD58" s="13">
        <f t="shared" si="17"/>
        <v>0</v>
      </c>
    </row>
    <row r="59" spans="1:30" x14ac:dyDescent="0.25">
      <c r="B59" t="s">
        <v>433</v>
      </c>
      <c r="C59" s="12"/>
      <c r="D59" s="12"/>
      <c r="E59" s="12"/>
      <c r="F59" s="12"/>
      <c r="G59" s="2">
        <f>G10*AF10</f>
        <v>272</v>
      </c>
      <c r="I59" s="12"/>
      <c r="J59" s="12"/>
      <c r="K59" s="12">
        <f>Y10</f>
        <v>1250.5</v>
      </c>
      <c r="L59">
        <f>M10*AF10</f>
        <v>436</v>
      </c>
      <c r="N59" s="2">
        <v>0</v>
      </c>
      <c r="Q59" s="2"/>
      <c r="R59" s="110" t="s">
        <v>433</v>
      </c>
      <c r="U59" s="13">
        <f t="shared" si="15"/>
        <v>0</v>
      </c>
      <c r="V59" s="13">
        <f t="shared" si="16"/>
        <v>0</v>
      </c>
      <c r="W59" s="13">
        <f t="shared" si="16"/>
        <v>0</v>
      </c>
      <c r="X59" s="13">
        <f t="shared" si="16"/>
        <v>0</v>
      </c>
      <c r="Y59" s="13">
        <f t="shared" si="16"/>
        <v>13.115765922154072</v>
      </c>
      <c r="Z59" s="13">
        <f t="shared" si="16"/>
        <v>0</v>
      </c>
      <c r="AA59" s="13">
        <f t="shared" si="17"/>
        <v>0</v>
      </c>
      <c r="AB59" s="13">
        <f t="shared" si="17"/>
        <v>0</v>
      </c>
      <c r="AC59" s="13">
        <f t="shared" si="17"/>
        <v>16.256327113961142</v>
      </c>
      <c r="AD59" s="13">
        <f t="shared" si="17"/>
        <v>13.271965712059227</v>
      </c>
    </row>
    <row r="60" spans="1:30" x14ac:dyDescent="0.25">
      <c r="B60" t="s">
        <v>428</v>
      </c>
      <c r="C60" s="12">
        <f>SUMPRODUCT(C11:E11,C22:E22)/SUM(C22:E22)*AF11</f>
        <v>804.26595957734855</v>
      </c>
      <c r="D60" s="12"/>
      <c r="E60" s="12"/>
      <c r="F60" s="12"/>
      <c r="H60" s="2">
        <f>X12</f>
        <v>207.4</v>
      </c>
      <c r="I60" s="12"/>
      <c r="J60" s="12"/>
      <c r="K60" s="12">
        <f>Y12</f>
        <v>207.4</v>
      </c>
      <c r="N60" s="2">
        <v>0</v>
      </c>
      <c r="Q60" s="2"/>
      <c r="R60" s="110" t="s">
        <v>428</v>
      </c>
      <c r="U60" s="13">
        <f t="shared" si="15"/>
        <v>17.173343787959137</v>
      </c>
      <c r="V60" s="13">
        <f t="shared" si="16"/>
        <v>0</v>
      </c>
      <c r="W60" s="13">
        <f t="shared" si="16"/>
        <v>0</v>
      </c>
      <c r="X60" s="13">
        <f t="shared" si="16"/>
        <v>0</v>
      </c>
      <c r="Y60" s="13">
        <f t="shared" si="16"/>
        <v>0</v>
      </c>
      <c r="Z60" s="13">
        <f t="shared" si="16"/>
        <v>2.6959915324547534</v>
      </c>
      <c r="AA60" s="13">
        <f t="shared" si="17"/>
        <v>0</v>
      </c>
      <c r="AB60" s="13">
        <f t="shared" si="17"/>
        <v>0</v>
      </c>
      <c r="AC60" s="13">
        <f t="shared" si="17"/>
        <v>2.6961713262179456</v>
      </c>
      <c r="AD60" s="13">
        <f t="shared" si="17"/>
        <v>0</v>
      </c>
    </row>
    <row r="61" spans="1:30" x14ac:dyDescent="0.25">
      <c r="B61" t="s">
        <v>425</v>
      </c>
      <c r="C61" s="12">
        <f>SUMPRODUCT(C13:E13,C22:E22)/SUM(C22:E22)*AF13+SUMPRODUCT(C14:E14,C22:E22)/SUM(C22:E22)*AF14</f>
        <v>2297.4653811953758</v>
      </c>
      <c r="D61" s="12">
        <f>SUMPRODUCT(U13:W13,C22:E22)/SUM(C22:E22)*AF13+SUMPRODUCT(U14:W14,C22:E22)/SUM(C22:E22)*AF14</f>
        <v>1099.6632647339202</v>
      </c>
      <c r="E61" s="12">
        <f>SUMPRODUCT(R13:T13,C22:E22)/SUM(C22:E22)*AF13+SUMPRODUCT(R14:T14,C22:E22)/SUM(C22:E22)*AF14</f>
        <v>1112.7040318510626</v>
      </c>
      <c r="F61" s="12"/>
      <c r="H61">
        <f>X14</f>
        <v>782.99999999999989</v>
      </c>
      <c r="I61" s="12">
        <f>SUMPRODUCT(O13:Q13,C21:E21)/SUM(C21:E21)*AF13+SUMPRODUCT(O14:Q14,C21:E21)/SUM(C21:E21)*AF14</f>
        <v>1853.7099113910278</v>
      </c>
      <c r="J61" s="12"/>
      <c r="K61" s="12">
        <f>Y14</f>
        <v>782.99999999999989</v>
      </c>
      <c r="N61" s="2">
        <v>0</v>
      </c>
      <c r="Q61" s="2"/>
      <c r="R61" s="110" t="s">
        <v>425</v>
      </c>
      <c r="U61" s="13">
        <f t="shared" si="15"/>
        <v>49.057357659320729</v>
      </c>
      <c r="V61" s="13">
        <f t="shared" si="16"/>
        <v>30.646316743875307</v>
      </c>
      <c r="W61" s="13">
        <f t="shared" si="16"/>
        <v>30.495841704076721</v>
      </c>
      <c r="X61" s="13">
        <f t="shared" si="16"/>
        <v>0</v>
      </c>
      <c r="Y61" s="13">
        <f t="shared" si="16"/>
        <v>0</v>
      </c>
      <c r="Z61" s="13">
        <f t="shared" si="16"/>
        <v>10.178212969682118</v>
      </c>
      <c r="AA61" s="13">
        <f t="shared" si="17"/>
        <v>38.884638191900635</v>
      </c>
      <c r="AB61" s="13">
        <f t="shared" si="17"/>
        <v>0</v>
      </c>
      <c r="AC61" s="13">
        <f t="shared" si="17"/>
        <v>10.178891747486265</v>
      </c>
      <c r="AD61" s="13">
        <f t="shared" si="17"/>
        <v>0</v>
      </c>
    </row>
    <row r="62" spans="1:30" x14ac:dyDescent="0.25">
      <c r="A62" s="155"/>
      <c r="B62" s="6" t="s">
        <v>496</v>
      </c>
      <c r="C62" s="166"/>
      <c r="D62" s="166"/>
      <c r="E62" s="166"/>
      <c r="F62" s="166">
        <f>(F15*C$22+H15*E$22)/(C$22+E$22)*AF15</f>
        <v>638.11123009623793</v>
      </c>
      <c r="G62" s="72">
        <f>G15*AF15</f>
        <v>568.98</v>
      </c>
      <c r="H62" s="72">
        <f>X15</f>
        <v>1897.2525000000001</v>
      </c>
      <c r="I62" s="166">
        <f>SUMPRODUCT(O15:Q15,C$21:E$21)/SUM(C$21:E$21)*AF15</f>
        <v>141.0314981323211</v>
      </c>
      <c r="J62" s="166">
        <f>(L15*C$21+N15*E$21)/(C$21+E$21)*AF15</f>
        <v>777.71296561650411</v>
      </c>
      <c r="K62" s="166">
        <f>Y15</f>
        <v>1318.7895000000003</v>
      </c>
      <c r="L62" s="72">
        <f>M15*AF15</f>
        <v>882.18</v>
      </c>
      <c r="N62" s="72"/>
      <c r="Q62" s="72"/>
      <c r="R62" s="110" t="s">
        <v>395</v>
      </c>
      <c r="U62" s="13">
        <f>(C63+C73)/C$94*100</f>
        <v>0</v>
      </c>
      <c r="V62" s="13">
        <f t="shared" ref="V62:Z62" si="18">(D63+D73)/D$94*100</f>
        <v>0</v>
      </c>
      <c r="W62" s="13">
        <f t="shared" si="18"/>
        <v>0</v>
      </c>
      <c r="X62" s="13">
        <f t="shared" si="18"/>
        <v>8.3580433504262022</v>
      </c>
      <c r="Y62" s="13">
        <f t="shared" si="18"/>
        <v>6.4239515794862037</v>
      </c>
      <c r="Z62" s="13">
        <f t="shared" si="18"/>
        <v>6.522978613065411</v>
      </c>
      <c r="AA62" s="13">
        <f t="shared" ref="AA62:AA65" si="19">(I63+I73)/I$94*100</f>
        <v>1.1628177607947425</v>
      </c>
      <c r="AB62" s="13">
        <f t="shared" ref="AB62:AB65" si="20">(J63+J73)/J$94*100</f>
        <v>7.0130888477159132</v>
      </c>
      <c r="AC62" s="13">
        <f t="shared" ref="AC62:AC65" si="21">(K63+K73)/K$94*100</f>
        <v>5.1917347110499525</v>
      </c>
      <c r="AD62" s="13">
        <f t="shared" ref="AD62:AD65" si="22">(L63+L73)/L$94*100</f>
        <v>6.6666574064662587</v>
      </c>
    </row>
    <row r="63" spans="1:30" x14ac:dyDescent="0.25">
      <c r="B63" s="167" t="s">
        <v>395</v>
      </c>
      <c r="C63" s="12"/>
      <c r="D63" s="12"/>
      <c r="E63" s="12"/>
      <c r="F63" s="12">
        <f>F$62*$S26</f>
        <v>149.40904592984802</v>
      </c>
      <c r="G63" s="12">
        <f>G$62*$S26</f>
        <v>133.2224774360167</v>
      </c>
      <c r="H63" s="12">
        <f>H$62*$Q26</f>
        <v>444.22770285717644</v>
      </c>
      <c r="I63" s="12">
        <f t="shared" ref="I63:J66" si="23">I$62*$S26</f>
        <v>33.021486832051707</v>
      </c>
      <c r="J63" s="12">
        <f t="shared" si="23"/>
        <v>182.09576437404189</v>
      </c>
      <c r="K63" s="12">
        <f>K$62*$Q26</f>
        <v>308.78485079722623</v>
      </c>
      <c r="L63" s="12">
        <f>L$62*$S26</f>
        <v>206.55595125400754</v>
      </c>
      <c r="N63" s="2">
        <v>0</v>
      </c>
      <c r="Q63" s="2"/>
      <c r="R63" s="110" t="s">
        <v>513</v>
      </c>
      <c r="U63" s="13">
        <f>(C64+C74)/C$94*100</f>
        <v>0</v>
      </c>
      <c r="V63" s="13">
        <f t="shared" ref="V63:Z63" si="24">(D64+D74)/D$94*100</f>
        <v>0</v>
      </c>
      <c r="W63" s="13">
        <f t="shared" si="24"/>
        <v>0</v>
      </c>
      <c r="X63" s="13">
        <f t="shared" si="24"/>
        <v>6.3565169401541155</v>
      </c>
      <c r="Y63" s="13">
        <f t="shared" si="24"/>
        <v>5.1013876253121104</v>
      </c>
      <c r="Z63" s="13">
        <f t="shared" si="24"/>
        <v>4.992523211434996</v>
      </c>
      <c r="AA63" s="13">
        <f t="shared" si="19"/>
        <v>0.80563895711258293</v>
      </c>
      <c r="AB63" s="13">
        <f t="shared" si="20"/>
        <v>5.2164760725210764</v>
      </c>
      <c r="AC63" s="13">
        <f t="shared" si="21"/>
        <v>3.8278564703417133</v>
      </c>
      <c r="AD63" s="13">
        <f t="shared" si="22"/>
        <v>5.1991702356471148</v>
      </c>
    </row>
    <row r="64" spans="1:30" x14ac:dyDescent="0.25">
      <c r="B64" s="167" t="s">
        <v>513</v>
      </c>
      <c r="C64" s="12"/>
      <c r="D64" s="12"/>
      <c r="E64" s="12"/>
      <c r="F64" s="12">
        <f t="shared" ref="F64:G66" si="25">F$62*$S27</f>
        <v>118.64869287778419</v>
      </c>
      <c r="G64" s="12">
        <f t="shared" si="25"/>
        <v>105.79461712877267</v>
      </c>
      <c r="H64" s="12">
        <f t="shared" ref="H64:H66" si="26">H$62*$Q27</f>
        <v>352.77004786478733</v>
      </c>
      <c r="I64" s="12">
        <f t="shared" si="23"/>
        <v>26.22301899540604</v>
      </c>
      <c r="J64" s="12">
        <f t="shared" si="23"/>
        <v>144.60586564287038</v>
      </c>
      <c r="K64" s="12">
        <f>K$62*$Q27</f>
        <v>245.21218711720189</v>
      </c>
      <c r="L64" s="12">
        <f>L$62*$S27</f>
        <v>164.03018619048237</v>
      </c>
      <c r="N64" s="2">
        <v>0</v>
      </c>
      <c r="Q64" s="2"/>
      <c r="R64" s="110" t="s">
        <v>429</v>
      </c>
      <c r="U64" s="13">
        <f>(C65+C75)/C$94*100</f>
        <v>0</v>
      </c>
      <c r="V64" s="13">
        <f t="shared" ref="V64:Z64" si="27">(D65+D75)/D$94*100</f>
        <v>0</v>
      </c>
      <c r="W64" s="13">
        <f t="shared" si="27"/>
        <v>0</v>
      </c>
      <c r="X64" s="13">
        <f t="shared" si="27"/>
        <v>16.834448704037197</v>
      </c>
      <c r="Y64" s="13">
        <f t="shared" si="27"/>
        <v>13.185764834849451</v>
      </c>
      <c r="Z64" s="13">
        <f t="shared" si="27"/>
        <v>13.174510208769105</v>
      </c>
      <c r="AA64" s="13">
        <f t="shared" si="19"/>
        <v>2.2520471552888917</v>
      </c>
      <c r="AB64" s="13">
        <f t="shared" si="20"/>
        <v>13.991446516700695</v>
      </c>
      <c r="AC64" s="13">
        <f t="shared" si="21"/>
        <v>10.319020213721652</v>
      </c>
      <c r="AD64" s="13">
        <f t="shared" si="22"/>
        <v>13.575306555370148</v>
      </c>
    </row>
    <row r="65" spans="1:30" x14ac:dyDescent="0.25">
      <c r="B65" s="167" t="s">
        <v>429</v>
      </c>
      <c r="C65" s="12"/>
      <c r="D65" s="12"/>
      <c r="E65" s="12"/>
      <c r="F65" s="12">
        <f t="shared" si="25"/>
        <v>306.67611974556092</v>
      </c>
      <c r="G65" s="12">
        <f t="shared" si="25"/>
        <v>273.45166545104189</v>
      </c>
      <c r="H65" s="12">
        <f t="shared" si="26"/>
        <v>911.819142862935</v>
      </c>
      <c r="I65" s="12">
        <f t="shared" si="23"/>
        <v>67.779707626522381</v>
      </c>
      <c r="J65" s="12">
        <f t="shared" si="23"/>
        <v>373.76868376867714</v>
      </c>
      <c r="K65" s="12">
        <f>K$62*$Q28</f>
        <v>633.80994965437594</v>
      </c>
      <c r="L65" s="12">
        <f>L$62*$S28</f>
        <v>423.97551799289977</v>
      </c>
      <c r="N65" s="2">
        <v>0</v>
      </c>
      <c r="Q65" s="2"/>
      <c r="R65" s="110" t="s">
        <v>469</v>
      </c>
      <c r="U65" s="13">
        <f>(C66+C76)/C$94*100</f>
        <v>0</v>
      </c>
      <c r="V65" s="13">
        <f t="shared" ref="V65:Z65" si="28">(D66+D76)/D$94*100</f>
        <v>0</v>
      </c>
      <c r="W65" s="13">
        <f t="shared" si="28"/>
        <v>0</v>
      </c>
      <c r="X65" s="13">
        <f t="shared" si="28"/>
        <v>3.4789898578450962</v>
      </c>
      <c r="Y65" s="13">
        <f t="shared" si="28"/>
        <v>2.7249566014817326</v>
      </c>
      <c r="Z65" s="13">
        <f t="shared" si="28"/>
        <v>2.7226307320294127</v>
      </c>
      <c r="AA65" s="13">
        <f t="shared" si="19"/>
        <v>0.46540574926935496</v>
      </c>
      <c r="AB65" s="13">
        <f t="shared" si="20"/>
        <v>2.8914579493482573</v>
      </c>
      <c r="AC65" s="13">
        <f t="shared" si="21"/>
        <v>2.1325181060325882</v>
      </c>
      <c r="AD65" s="13">
        <f t="shared" si="22"/>
        <v>2.8054588928679678</v>
      </c>
    </row>
    <row r="66" spans="1:30" x14ac:dyDescent="0.25">
      <c r="B66" s="167" t="s">
        <v>469</v>
      </c>
      <c r="C66" s="12"/>
      <c r="D66" s="12"/>
      <c r="E66" s="12"/>
      <c r="F66" s="12">
        <f t="shared" si="25"/>
        <v>63.377371543044816</v>
      </c>
      <c r="G66" s="12">
        <f t="shared" si="25"/>
        <v>56.511239984168768</v>
      </c>
      <c r="H66" s="12">
        <f t="shared" si="26"/>
        <v>188.43560641510095</v>
      </c>
      <c r="I66" s="12">
        <f t="shared" si="23"/>
        <v>14.007284678340973</v>
      </c>
      <c r="J66" s="12">
        <f t="shared" si="23"/>
        <v>77.242651830914724</v>
      </c>
      <c r="K66" s="12">
        <f>K$62*$Q29</f>
        <v>130.98251243119608</v>
      </c>
      <c r="L66" s="12">
        <f>L$62*$S29</f>
        <v>87.618344562610289</v>
      </c>
      <c r="N66" s="2">
        <v>0</v>
      </c>
      <c r="Q66" s="2"/>
      <c r="R66" s="110" t="s">
        <v>498</v>
      </c>
      <c r="U66" s="13">
        <f>C67/C$94*100</f>
        <v>0</v>
      </c>
      <c r="V66" s="13">
        <f t="shared" ref="V66:Z66" si="29">D67/D$94*100</f>
        <v>0</v>
      </c>
      <c r="W66" s="13">
        <f t="shared" si="29"/>
        <v>0</v>
      </c>
      <c r="X66" s="13">
        <f t="shared" si="29"/>
        <v>0</v>
      </c>
      <c r="Y66" s="13">
        <f t="shared" si="29"/>
        <v>0</v>
      </c>
      <c r="Z66" s="13">
        <f t="shared" si="29"/>
        <v>0</v>
      </c>
      <c r="AA66" s="13">
        <f t="shared" ref="AA66" si="30">I67/I$94*100</f>
        <v>0</v>
      </c>
      <c r="AB66" s="13">
        <f t="shared" ref="AB66" si="31">J67/J$94*100</f>
        <v>0</v>
      </c>
      <c r="AC66" s="13">
        <f t="shared" ref="AC66" si="32">K67/K$94*100</f>
        <v>0</v>
      </c>
      <c r="AD66" s="13">
        <f t="shared" ref="AD66" si="33">L67/L$94*100</f>
        <v>0</v>
      </c>
    </row>
    <row r="67" spans="1:30" x14ac:dyDescent="0.25">
      <c r="B67" s="110" t="s">
        <v>498</v>
      </c>
      <c r="C67" s="12"/>
      <c r="D67" s="12"/>
      <c r="E67" s="12"/>
      <c r="F67" s="12"/>
      <c r="G67" s="12"/>
      <c r="I67" s="12"/>
      <c r="J67" s="12"/>
      <c r="K67" s="12"/>
      <c r="L67" s="12"/>
      <c r="N67" s="2">
        <v>0</v>
      </c>
      <c r="Q67" s="2"/>
      <c r="R67" s="110" t="s">
        <v>499</v>
      </c>
      <c r="U67" s="13">
        <f>C72/C$94*100</f>
        <v>0</v>
      </c>
      <c r="V67" s="13">
        <f t="shared" ref="V67:Z67" si="34">D72/D$94*100</f>
        <v>0</v>
      </c>
      <c r="W67" s="13">
        <f t="shared" si="34"/>
        <v>0</v>
      </c>
      <c r="X67" s="13">
        <f t="shared" si="34"/>
        <v>2.9860883502482297E-2</v>
      </c>
      <c r="Y67" s="13">
        <f t="shared" si="34"/>
        <v>0</v>
      </c>
      <c r="Z67" s="13">
        <f t="shared" si="34"/>
        <v>0.15456668608878038</v>
      </c>
      <c r="AA67" s="13">
        <f t="shared" ref="AA67" si="35">I72/I$94*100</f>
        <v>1.2526016891559834E-2</v>
      </c>
      <c r="AB67" s="13">
        <f t="shared" ref="AB67" si="36">J72/J$94*100</f>
        <v>3.7516786382972102E-2</v>
      </c>
      <c r="AC67" s="13">
        <f t="shared" ref="AC67" si="37">K72/K$94*100</f>
        <v>0.24318273525305006</v>
      </c>
      <c r="AD67" s="13">
        <f t="shared" ref="AD67" si="38">L72/L$94*100</f>
        <v>1.0098740539236407E-2</v>
      </c>
    </row>
    <row r="68" spans="1:30" x14ac:dyDescent="0.25">
      <c r="A68" s="155"/>
      <c r="B68" s="6" t="s">
        <v>497</v>
      </c>
      <c r="C68" s="166"/>
      <c r="D68" s="166"/>
      <c r="E68" s="166"/>
      <c r="F68" s="166">
        <f>(F16*C$22+H16*E$22)/(C$22+E$22)*AF16</f>
        <v>50.396705745115192</v>
      </c>
      <c r="G68" s="72">
        <f>G16*AF16</f>
        <v>67.86</v>
      </c>
      <c r="I68" s="166">
        <f>SUMPRODUCT(O16:Q16,C$21:E$21)/SUM(C$21:E$21)*AF16</f>
        <v>2.8063739226091897</v>
      </c>
      <c r="J68" s="166">
        <f>(L16*C$21+N16*E$21)/(C$21+E$21)*AF16</f>
        <v>88.963475771629618</v>
      </c>
      <c r="K68" s="166"/>
      <c r="L68" s="72">
        <f>M16*AF16</f>
        <v>27.84</v>
      </c>
      <c r="N68" s="72"/>
      <c r="Q68" s="72"/>
      <c r="R68" s="110" t="s">
        <v>468</v>
      </c>
      <c r="U68" s="13">
        <f>(C69+C77)/C$94*100</f>
        <v>0</v>
      </c>
      <c r="V68" s="13">
        <f t="shared" ref="V68:Z68" si="39">(D69+D77)/D$94*100</f>
        <v>0</v>
      </c>
      <c r="W68" s="13">
        <f t="shared" si="39"/>
        <v>0</v>
      </c>
      <c r="X68" s="13">
        <f t="shared" si="39"/>
        <v>1.2676767287415975</v>
      </c>
      <c r="Y68" s="13">
        <f t="shared" si="39"/>
        <v>1.6787180022812531</v>
      </c>
      <c r="Z68" s="13">
        <f t="shared" si="39"/>
        <v>7.9125995025714754E-2</v>
      </c>
      <c r="AA68" s="13">
        <f t="shared" ref="AA68:AA69" si="40">(I69+I77)/I$94*100</f>
        <v>3.6613311294760156E-2</v>
      </c>
      <c r="AB68" s="13">
        <f t="shared" ref="AB68:AB69" si="41">(J69+J77)/J$94*100</f>
        <v>1.4240390174797204</v>
      </c>
      <c r="AC68" s="13">
        <f t="shared" ref="AC68:AC69" si="42">(K69+K77)/K$94*100</f>
        <v>0.12449044737182395</v>
      </c>
      <c r="AD68" s="13">
        <f t="shared" ref="AD68:AD69" si="43">(L69+L77)/L$94*100</f>
        <v>0.43993732150286113</v>
      </c>
    </row>
    <row r="69" spans="1:30" x14ac:dyDescent="0.25">
      <c r="B69" s="167" t="s">
        <v>468</v>
      </c>
      <c r="C69" s="12"/>
      <c r="D69" s="12"/>
      <c r="E69" s="12"/>
      <c r="F69" s="12">
        <f>F$68*$Q34</f>
        <v>25.854806294562504</v>
      </c>
      <c r="G69" s="12">
        <f>G$68*$Q34</f>
        <v>34.813925418509541</v>
      </c>
      <c r="I69" s="12">
        <f>I$68*$Q34</f>
        <v>1.4397420046885705</v>
      </c>
      <c r="J69" s="12">
        <f>J$68*$Q34</f>
        <v>45.640551289196793</v>
      </c>
      <c r="K69" s="12"/>
      <c r="L69" s="12">
        <f>L$68*$Q34</f>
        <v>14.282636069132121</v>
      </c>
      <c r="N69" s="2">
        <v>0</v>
      </c>
      <c r="Q69" s="2"/>
      <c r="R69" s="110" t="s">
        <v>502</v>
      </c>
      <c r="U69" s="13">
        <f>(C70+C78)/C$94*100</f>
        <v>0</v>
      </c>
      <c r="V69" s="13">
        <f t="shared" ref="V69:Z69" si="44">(D70+D78)/D$94*100</f>
        <v>0</v>
      </c>
      <c r="W69" s="13">
        <f t="shared" si="44"/>
        <v>0</v>
      </c>
      <c r="X69" s="13">
        <f t="shared" si="44"/>
        <v>1.2321396453293407</v>
      </c>
      <c r="Y69" s="13">
        <f t="shared" si="44"/>
        <v>1.5934727163855678</v>
      </c>
      <c r="Z69" s="13">
        <f t="shared" si="44"/>
        <v>0.22436720268746718</v>
      </c>
      <c r="AA69" s="13">
        <f t="shared" si="40"/>
        <v>4.6849990217144546E-2</v>
      </c>
      <c r="AB69" s="13">
        <f t="shared" si="41"/>
        <v>1.38795487532739</v>
      </c>
      <c r="AC69" s="13">
        <f t="shared" si="42"/>
        <v>0.35300122834537684</v>
      </c>
      <c r="AD69" s="13">
        <f t="shared" si="43"/>
        <v>0.42734928129407507</v>
      </c>
    </row>
    <row r="70" spans="1:30" x14ac:dyDescent="0.25">
      <c r="B70" s="167" t="s">
        <v>502</v>
      </c>
      <c r="C70" s="12"/>
      <c r="D70" s="12"/>
      <c r="E70" s="12"/>
      <c r="F70" s="12">
        <f>F$68*$Q35</f>
        <v>24.541899450552691</v>
      </c>
      <c r="G70" s="12">
        <f>G$68*$Q35</f>
        <v>33.046074581490466</v>
      </c>
      <c r="I70" s="12">
        <f>I$68*$Q35</f>
        <v>1.3666319179206194</v>
      </c>
      <c r="J70" s="12">
        <f>J$68*$Q35</f>
        <v>43.322924482432839</v>
      </c>
      <c r="K70" s="12"/>
      <c r="L70" s="12">
        <f>L$68*$Q35</f>
        <v>13.557363930867883</v>
      </c>
      <c r="N70" s="2">
        <v>0</v>
      </c>
      <c r="Q70" s="2"/>
      <c r="R70" s="110" t="s">
        <v>504</v>
      </c>
      <c r="U70" s="13">
        <f t="shared" ref="U70:U83" si="45">C79/C$94*100</f>
        <v>0</v>
      </c>
      <c r="V70" s="13">
        <f t="shared" ref="V70:Z70" si="46">D79/D$94*100</f>
        <v>0</v>
      </c>
      <c r="W70" s="13">
        <f t="shared" si="46"/>
        <v>0</v>
      </c>
      <c r="X70" s="13">
        <f t="shared" si="46"/>
        <v>0.50261957176929339</v>
      </c>
      <c r="Y70" s="13">
        <f t="shared" si="46"/>
        <v>0</v>
      </c>
      <c r="Z70" s="13">
        <f t="shared" si="46"/>
        <v>2.6016725715862865</v>
      </c>
      <c r="AA70" s="13">
        <f t="shared" ref="AA70:AA83" si="47">I79/I$94*100</f>
        <v>0.2108384115790605</v>
      </c>
      <c r="AB70" s="13">
        <f t="shared" ref="AB70:AB83" si="48">J79/J$94*100</f>
        <v>0.63148403175686241</v>
      </c>
      <c r="AC70" s="13">
        <f t="shared" ref="AC70:AC83" si="49">K79/K$94*100</f>
        <v>4.0932614148678095</v>
      </c>
      <c r="AD70" s="13">
        <f t="shared" ref="AD70:AD83" si="50">L79/L$94*100</f>
        <v>0.16998240004580778</v>
      </c>
    </row>
    <row r="71" spans="1:30" x14ac:dyDescent="0.25">
      <c r="B71" s="6" t="s">
        <v>495</v>
      </c>
      <c r="C71" s="166"/>
      <c r="D71" s="166"/>
      <c r="E71" s="166"/>
      <c r="F71" s="166">
        <f>(F17*C$22+H17*E$22)/(C$22+E$22)*AF17</f>
        <v>132.11599300087491</v>
      </c>
      <c r="G71" s="72"/>
      <c r="H71" s="6">
        <f>X17</f>
        <v>1120</v>
      </c>
      <c r="I71" s="166">
        <f>SUMPRODUCT(O17:Q17,C$21:E$21)/SUM(C$21:E$21)*AF17</f>
        <v>127.97579935447216</v>
      </c>
      <c r="J71" s="166">
        <f>(L17*C$21+N17*E$21)/(C$21+E$21)*AF17</f>
        <v>261.21784663361586</v>
      </c>
      <c r="K71" s="166">
        <f>Y17</f>
        <v>1762</v>
      </c>
      <c r="L71" s="72">
        <f>M17*AF17</f>
        <v>71.100000000000009</v>
      </c>
      <c r="N71" s="72"/>
      <c r="Q71" s="72"/>
      <c r="R71" s="110" t="s">
        <v>431</v>
      </c>
      <c r="U71" s="13">
        <f t="shared" si="45"/>
        <v>0</v>
      </c>
      <c r="V71" s="13">
        <f t="shared" ref="V71:Z71" si="51">D80/D$94*100</f>
        <v>0</v>
      </c>
      <c r="W71" s="13">
        <f t="shared" si="51"/>
        <v>0</v>
      </c>
      <c r="X71" s="13">
        <f t="shared" si="51"/>
        <v>0.14133294891292425</v>
      </c>
      <c r="Y71" s="13">
        <f t="shared" si="51"/>
        <v>0</v>
      </c>
      <c r="Z71" s="13">
        <f t="shared" si="51"/>
        <v>0.73157130621435396</v>
      </c>
      <c r="AA71" s="13">
        <f t="shared" si="47"/>
        <v>5.9286219889310578E-2</v>
      </c>
      <c r="AB71" s="13">
        <f t="shared" si="48"/>
        <v>0.17756869292902569</v>
      </c>
      <c r="AC71" s="13">
        <f t="shared" si="49"/>
        <v>1.1509951838888972</v>
      </c>
      <c r="AD71" s="13">
        <f t="shared" si="50"/>
        <v>4.7797808145834932E-2</v>
      </c>
    </row>
    <row r="72" spans="1:30" x14ac:dyDescent="0.25">
      <c r="B72" t="s">
        <v>499</v>
      </c>
      <c r="F72" s="13">
        <f t="shared" ref="F72:F92" si="52">F$71*$F27</f>
        <v>0.61645906766781788</v>
      </c>
      <c r="G72" s="13"/>
      <c r="H72" s="13">
        <f>H$71*$D27</f>
        <v>11.890664458290937</v>
      </c>
      <c r="I72" s="13">
        <f t="shared" ref="I72:J92" si="53">I$71*$F27</f>
        <v>0.5971407409667594</v>
      </c>
      <c r="J72" s="13">
        <f t="shared" si="53"/>
        <v>1.2188540277094801</v>
      </c>
      <c r="K72" s="13">
        <f>K$71*$D27</f>
        <v>18.706563192418422</v>
      </c>
      <c r="L72" s="13">
        <f t="shared" ref="L72:L92" si="54">L$71*$F27</f>
        <v>0.33175574520256301</v>
      </c>
      <c r="N72" s="2">
        <f>I27*100</f>
        <v>27.270318402958633</v>
      </c>
      <c r="R72" s="110" t="s">
        <v>435</v>
      </c>
      <c r="U72" s="13">
        <f t="shared" si="45"/>
        <v>0</v>
      </c>
      <c r="V72" s="13">
        <f t="shared" ref="V72:Z72" si="55">D81/D$94*100</f>
        <v>0</v>
      </c>
      <c r="W72" s="13">
        <f t="shared" si="55"/>
        <v>0</v>
      </c>
      <c r="X72" s="13">
        <f t="shared" si="55"/>
        <v>0.33668778662955168</v>
      </c>
      <c r="Y72" s="13">
        <f t="shared" si="55"/>
        <v>0</v>
      </c>
      <c r="Z72" s="13">
        <f t="shared" si="55"/>
        <v>1.7427721260012328</v>
      </c>
      <c r="AA72" s="13">
        <f t="shared" si="47"/>
        <v>0.14123349371605412</v>
      </c>
      <c r="AB72" s="13">
        <f t="shared" si="48"/>
        <v>0.42300971328214537</v>
      </c>
      <c r="AC72" s="13">
        <f t="shared" si="49"/>
        <v>2.7419368509998514</v>
      </c>
      <c r="AD72" s="13">
        <f t="shared" si="50"/>
        <v>0.11386543869738427</v>
      </c>
    </row>
    <row r="73" spans="1:30" x14ac:dyDescent="0.25">
      <c r="B73" s="167" t="s">
        <v>395</v>
      </c>
      <c r="F73" s="13">
        <f t="shared" si="52"/>
        <v>23.13747671080424</v>
      </c>
      <c r="H73" s="13">
        <f t="shared" ref="H73:H92" si="56">H$71*$D28</f>
        <v>57.578681941797889</v>
      </c>
      <c r="I73" s="13">
        <f t="shared" si="53"/>
        <v>22.412404507992054</v>
      </c>
      <c r="J73" s="13">
        <f t="shared" si="53"/>
        <v>45.747087128896617</v>
      </c>
      <c r="K73" s="13">
        <f t="shared" ref="K73:K92" si="57">K$71*$D28</f>
        <v>90.583604983435606</v>
      </c>
      <c r="L73" s="13">
        <f t="shared" si="54"/>
        <v>12.451744537296763</v>
      </c>
      <c r="N73" s="2">
        <f t="shared" ref="N73:N78" si="58">I28*100</f>
        <v>0</v>
      </c>
      <c r="R73" s="110" t="s">
        <v>500</v>
      </c>
      <c r="U73" s="13">
        <f t="shared" si="45"/>
        <v>0</v>
      </c>
      <c r="V73" s="13">
        <f t="shared" ref="V73:Z73" si="59">D82/D$94*100</f>
        <v>0</v>
      </c>
      <c r="W73" s="13">
        <f t="shared" si="59"/>
        <v>0</v>
      </c>
      <c r="X73" s="13">
        <f t="shared" si="59"/>
        <v>0.11471466363546844</v>
      </c>
      <c r="Y73" s="13">
        <f t="shared" si="59"/>
        <v>0</v>
      </c>
      <c r="Z73" s="13">
        <f t="shared" si="59"/>
        <v>0.59378904185636427</v>
      </c>
      <c r="AA73" s="13">
        <f t="shared" si="47"/>
        <v>4.8120405221367048E-2</v>
      </c>
      <c r="AB73" s="13">
        <f t="shared" si="48"/>
        <v>0.14412586051744264</v>
      </c>
      <c r="AC73" s="13">
        <f t="shared" si="49"/>
        <v>0.93421970164371715</v>
      </c>
      <c r="AD73" s="13">
        <f t="shared" si="50"/>
        <v>3.879569149399318E-2</v>
      </c>
    </row>
    <row r="74" spans="1:30" x14ac:dyDescent="0.25">
      <c r="B74" s="167" t="s">
        <v>513</v>
      </c>
      <c r="F74" s="13">
        <f t="shared" si="52"/>
        <v>12.577581998387982</v>
      </c>
      <c r="H74" s="13">
        <f t="shared" si="56"/>
        <v>31.299895080775716</v>
      </c>
      <c r="I74" s="13">
        <f t="shared" si="53"/>
        <v>12.183431192766058</v>
      </c>
      <c r="J74" s="13">
        <f t="shared" si="53"/>
        <v>24.868214747134228</v>
      </c>
      <c r="K74" s="13">
        <f t="shared" si="57"/>
        <v>49.241442082434652</v>
      </c>
      <c r="L74" s="13">
        <f t="shared" si="54"/>
        <v>6.7687950548081153</v>
      </c>
      <c r="N74" s="2">
        <f t="shared" si="58"/>
        <v>0</v>
      </c>
      <c r="R74" s="110" t="s">
        <v>501</v>
      </c>
      <c r="U74" s="13">
        <f t="shared" si="45"/>
        <v>0</v>
      </c>
      <c r="V74" s="13">
        <f t="shared" ref="V74:Z74" si="60">D83/D$94*100</f>
        <v>0</v>
      </c>
      <c r="W74" s="13">
        <f t="shared" si="60"/>
        <v>0</v>
      </c>
      <c r="X74" s="13">
        <f t="shared" si="60"/>
        <v>5.8016228139711724E-2</v>
      </c>
      <c r="Y74" s="13">
        <f t="shared" si="60"/>
        <v>0</v>
      </c>
      <c r="Z74" s="13">
        <f t="shared" si="60"/>
        <v>0.30030511730104892</v>
      </c>
      <c r="AA74" s="13">
        <f t="shared" si="47"/>
        <v>2.4336595854647348E-2</v>
      </c>
      <c r="AB74" s="13">
        <f t="shared" si="48"/>
        <v>7.2890758161338512E-2</v>
      </c>
      <c r="AC74" s="13">
        <f t="shared" si="49"/>
        <v>0.47247580758644553</v>
      </c>
      <c r="AD74" s="13">
        <f t="shared" si="50"/>
        <v>1.9620679843561577E-2</v>
      </c>
    </row>
    <row r="75" spans="1:30" x14ac:dyDescent="0.25">
      <c r="B75" s="167" t="s">
        <v>429</v>
      </c>
      <c r="F75" s="13">
        <f t="shared" si="52"/>
        <v>40.860434286063295</v>
      </c>
      <c r="H75" s="13">
        <f t="shared" si="56"/>
        <v>101.68308235021857</v>
      </c>
      <c r="I75" s="13">
        <f t="shared" si="53"/>
        <v>39.579967731046786</v>
      </c>
      <c r="J75" s="13">
        <f t="shared" si="53"/>
        <v>80.788664674753946</v>
      </c>
      <c r="K75" s="13">
        <f t="shared" si="57"/>
        <v>159.969277768826</v>
      </c>
      <c r="L75" s="13">
        <f t="shared" si="54"/>
        <v>21.989592718875919</v>
      </c>
      <c r="N75" s="2">
        <f t="shared" si="58"/>
        <v>0</v>
      </c>
      <c r="R75" s="110" t="s">
        <v>503</v>
      </c>
      <c r="U75" s="13">
        <f t="shared" si="45"/>
        <v>0</v>
      </c>
      <c r="V75" s="13">
        <f t="shared" ref="V75:Z75" si="61">D84/D$94*100</f>
        <v>0</v>
      </c>
      <c r="W75" s="13">
        <f t="shared" si="61"/>
        <v>0</v>
      </c>
      <c r="X75" s="13">
        <f t="shared" si="61"/>
        <v>0.14739522877318739</v>
      </c>
      <c r="Y75" s="13">
        <f t="shared" si="61"/>
        <v>0</v>
      </c>
      <c r="Z75" s="13">
        <f t="shared" si="61"/>
        <v>0.76295103776401596</v>
      </c>
      <c r="AA75" s="13">
        <f t="shared" si="47"/>
        <v>6.1829219661059011E-2</v>
      </c>
      <c r="AB75" s="13">
        <f t="shared" si="48"/>
        <v>0.18518525452514792</v>
      </c>
      <c r="AC75" s="13">
        <f t="shared" si="49"/>
        <v>1.2003655180977197</v>
      </c>
      <c r="AD75" s="13">
        <f t="shared" si="50"/>
        <v>4.98480285078663E-2</v>
      </c>
    </row>
    <row r="76" spans="1:30" x14ac:dyDescent="0.25">
      <c r="B76" s="167" t="s">
        <v>469</v>
      </c>
      <c r="F76" s="13">
        <f t="shared" si="52"/>
        <v>8.44417533163824</v>
      </c>
      <c r="H76" s="13">
        <f t="shared" si="56"/>
        <v>21.01372123495803</v>
      </c>
      <c r="I76" s="13">
        <f t="shared" si="53"/>
        <v>8.1795554301178548</v>
      </c>
      <c r="J76" s="13">
        <f t="shared" si="53"/>
        <v>16.695702364456608</v>
      </c>
      <c r="K76" s="13">
        <f t="shared" si="57"/>
        <v>33.059086442853612</v>
      </c>
      <c r="L76" s="13">
        <f t="shared" si="54"/>
        <v>4.5443466187738757</v>
      </c>
      <c r="N76" s="2">
        <f t="shared" si="58"/>
        <v>0</v>
      </c>
      <c r="R76" s="110" t="s">
        <v>430</v>
      </c>
      <c r="U76" s="13">
        <f t="shared" si="45"/>
        <v>0</v>
      </c>
      <c r="V76" s="13">
        <f t="shared" ref="V76:Z76" si="62">D85/D$94*100</f>
        <v>0</v>
      </c>
      <c r="W76" s="13">
        <f t="shared" si="62"/>
        <v>0</v>
      </c>
      <c r="X76" s="13">
        <f t="shared" si="62"/>
        <v>0.3999503550702303</v>
      </c>
      <c r="Y76" s="13">
        <f t="shared" si="62"/>
        <v>0</v>
      </c>
      <c r="Z76" s="13">
        <f t="shared" si="62"/>
        <v>2.0702334871671719</v>
      </c>
      <c r="AA76" s="13">
        <f t="shared" si="47"/>
        <v>0.16777081974076891</v>
      </c>
      <c r="AB76" s="13">
        <f t="shared" si="48"/>
        <v>0.50249189826270002</v>
      </c>
      <c r="AC76" s="13">
        <f t="shared" si="49"/>
        <v>3.2571380985201626</v>
      </c>
      <c r="AD76" s="13">
        <f t="shared" si="50"/>
        <v>0.13526039388934941</v>
      </c>
    </row>
    <row r="77" spans="1:30" x14ac:dyDescent="0.25">
      <c r="B77" s="167" t="s">
        <v>468</v>
      </c>
      <c r="F77" s="13">
        <f t="shared" si="52"/>
        <v>0.31557859171427982</v>
      </c>
      <c r="H77" s="13">
        <f t="shared" si="56"/>
        <v>6.0870856494830861</v>
      </c>
      <c r="I77" s="13">
        <f t="shared" si="53"/>
        <v>0.30568912677760457</v>
      </c>
      <c r="J77" s="13">
        <f t="shared" si="53"/>
        <v>0.62395746570006339</v>
      </c>
      <c r="K77" s="13">
        <f t="shared" si="57"/>
        <v>9.5762901021332123</v>
      </c>
      <c r="L77" s="13">
        <f t="shared" si="54"/>
        <v>0.16983286702266781</v>
      </c>
      <c r="N77" s="2">
        <f t="shared" si="58"/>
        <v>0</v>
      </c>
      <c r="R77" s="110" t="s">
        <v>505</v>
      </c>
      <c r="U77" s="13">
        <f t="shared" si="45"/>
        <v>0</v>
      </c>
      <c r="V77" s="13">
        <f t="shared" ref="V77:Z77" si="63">D86/D$94*100</f>
        <v>0</v>
      </c>
      <c r="W77" s="13">
        <f t="shared" si="63"/>
        <v>0</v>
      </c>
      <c r="X77" s="13">
        <f t="shared" si="63"/>
        <v>1.440554116649367E-2</v>
      </c>
      <c r="Y77" s="13">
        <f t="shared" si="63"/>
        <v>0</v>
      </c>
      <c r="Z77" s="13">
        <f t="shared" si="63"/>
        <v>7.4566338910747182E-2</v>
      </c>
      <c r="AA77" s="13">
        <f t="shared" si="47"/>
        <v>6.0428236146649909E-3</v>
      </c>
      <c r="AB77" s="13">
        <f t="shared" si="48"/>
        <v>1.8098915614118617E-2</v>
      </c>
      <c r="AC77" s="13">
        <f t="shared" si="49"/>
        <v>0.1173166528504468</v>
      </c>
      <c r="AD77" s="13">
        <f t="shared" si="50"/>
        <v>4.8718525878718617E-3</v>
      </c>
    </row>
    <row r="78" spans="1:30" x14ac:dyDescent="0.25">
      <c r="B78" s="167" t="s">
        <v>502</v>
      </c>
      <c r="F78" s="13">
        <f t="shared" si="52"/>
        <v>0.89484480830822388</v>
      </c>
      <c r="H78" s="13">
        <f t="shared" si="56"/>
        <v>17.260350144724228</v>
      </c>
      <c r="I78" s="13">
        <f t="shared" si="53"/>
        <v>0.8668025500946428</v>
      </c>
      <c r="J78" s="13">
        <f t="shared" si="53"/>
        <v>1.769274321663669</v>
      </c>
      <c r="K78" s="13">
        <f t="shared" si="57"/>
        <v>27.154229424110795</v>
      </c>
      <c r="L78" s="13">
        <f t="shared" si="54"/>
        <v>0.48157277878003302</v>
      </c>
      <c r="N78" s="2">
        <f t="shared" si="58"/>
        <v>0</v>
      </c>
      <c r="R78" s="110" t="s">
        <v>506</v>
      </c>
      <c r="U78" s="13">
        <f t="shared" si="45"/>
        <v>0</v>
      </c>
      <c r="V78" s="13">
        <f t="shared" ref="V78:Z78" si="64">D87/D$94*100</f>
        <v>0</v>
      </c>
      <c r="W78" s="13">
        <f t="shared" si="64"/>
        <v>0</v>
      </c>
      <c r="X78" s="13">
        <f t="shared" si="64"/>
        <v>8.9328030506468023E-3</v>
      </c>
      <c r="Y78" s="13">
        <f t="shared" si="64"/>
        <v>0</v>
      </c>
      <c r="Z78" s="13">
        <f t="shared" si="64"/>
        <v>4.6238208755861092E-2</v>
      </c>
      <c r="AA78" s="13">
        <f t="shared" si="47"/>
        <v>3.7471242902802114E-3</v>
      </c>
      <c r="AB78" s="13">
        <f t="shared" si="48"/>
        <v>1.1223045822620041E-2</v>
      </c>
      <c r="AC78" s="13">
        <f t="shared" si="49"/>
        <v>7.2747461713666306E-2</v>
      </c>
      <c r="AD78" s="13">
        <f t="shared" si="50"/>
        <v>3.0210110926249881E-3</v>
      </c>
    </row>
    <row r="79" spans="1:30" x14ac:dyDescent="0.25">
      <c r="B79" t="s">
        <v>504</v>
      </c>
      <c r="F79" s="13">
        <f t="shared" si="52"/>
        <v>10.376263400871563</v>
      </c>
      <c r="G79" s="13"/>
      <c r="H79" s="13">
        <f t="shared" si="56"/>
        <v>200.14413430137571</v>
      </c>
      <c r="I79" s="13">
        <f t="shared" si="53"/>
        <v>10.05109656202106</v>
      </c>
      <c r="J79" s="13">
        <f t="shared" si="53"/>
        <v>20.5157991861055</v>
      </c>
      <c r="K79" s="13">
        <f t="shared" si="57"/>
        <v>314.86961128484285</v>
      </c>
      <c r="L79" s="13">
        <f t="shared" si="54"/>
        <v>5.5841258203848394</v>
      </c>
      <c r="N79" s="2">
        <f>I34*100</f>
        <v>19.88391208330204</v>
      </c>
      <c r="R79" s="110" t="s">
        <v>507</v>
      </c>
      <c r="U79" s="13">
        <f t="shared" si="45"/>
        <v>0</v>
      </c>
      <c r="V79" s="13">
        <f t="shared" ref="V79:Z79" si="65">D88/D$94*100</f>
        <v>0</v>
      </c>
      <c r="W79" s="13">
        <f t="shared" si="65"/>
        <v>0</v>
      </c>
      <c r="X79" s="13">
        <f t="shared" si="65"/>
        <v>9.9253367229408854E-4</v>
      </c>
      <c r="Y79" s="13">
        <f t="shared" si="65"/>
        <v>0</v>
      </c>
      <c r="Z79" s="13">
        <f t="shared" si="65"/>
        <v>5.1375787506512324E-3</v>
      </c>
      <c r="AA79" s="13">
        <f t="shared" si="47"/>
        <v>4.1634714336446778E-4</v>
      </c>
      <c r="AB79" s="13">
        <f t="shared" si="48"/>
        <v>1.2470050914022261E-3</v>
      </c>
      <c r="AC79" s="13">
        <f t="shared" si="49"/>
        <v>8.0830513015184777E-3</v>
      </c>
      <c r="AD79" s="13">
        <f t="shared" si="50"/>
        <v>3.3566789918055401E-4</v>
      </c>
    </row>
    <row r="80" spans="1:30" x14ac:dyDescent="0.25">
      <c r="B80" t="s">
        <v>431</v>
      </c>
      <c r="F80" s="13">
        <f t="shared" si="52"/>
        <v>2.917729407114225</v>
      </c>
      <c r="G80" s="13"/>
      <c r="H80" s="13">
        <f t="shared" si="56"/>
        <v>56.279067305046688</v>
      </c>
      <c r="I80" s="13">
        <f t="shared" si="53"/>
        <v>2.8262948693351628</v>
      </c>
      <c r="J80" s="13">
        <f t="shared" si="53"/>
        <v>5.7688927394347127</v>
      </c>
      <c r="K80" s="13">
        <f t="shared" si="57"/>
        <v>88.539032670975232</v>
      </c>
      <c r="L80" s="13">
        <f t="shared" si="54"/>
        <v>1.5702153549604523</v>
      </c>
      <c r="N80" s="2">
        <f>I35*100</f>
        <v>0</v>
      </c>
      <c r="R80" s="110" t="s">
        <v>508</v>
      </c>
      <c r="U80" s="13">
        <f t="shared" si="45"/>
        <v>0</v>
      </c>
      <c r="V80" s="13">
        <f t="shared" ref="V80:Z80" si="66">D89/D$94*100</f>
        <v>0</v>
      </c>
      <c r="W80" s="13">
        <f t="shared" si="66"/>
        <v>0</v>
      </c>
      <c r="X80" s="13">
        <f t="shared" si="66"/>
        <v>8.213952477230968E-2</v>
      </c>
      <c r="Y80" s="13">
        <f t="shared" si="66"/>
        <v>0</v>
      </c>
      <c r="Z80" s="13">
        <f t="shared" si="66"/>
        <v>0.42517275618813499</v>
      </c>
      <c r="AA80" s="13">
        <f t="shared" si="47"/>
        <v>3.4455814901696358E-2</v>
      </c>
      <c r="AB80" s="13">
        <f t="shared" si="48"/>
        <v>0.10319892257124332</v>
      </c>
      <c r="AC80" s="13">
        <f t="shared" si="49"/>
        <v>0.66893246158826714</v>
      </c>
      <c r="AD80" s="13">
        <f t="shared" si="50"/>
        <v>2.7779008903831705E-2</v>
      </c>
    </row>
    <row r="81" spans="2:30" x14ac:dyDescent="0.25">
      <c r="B81" s="93" t="s">
        <v>435</v>
      </c>
      <c r="F81" s="13">
        <f t="shared" si="52"/>
        <v>6.9507065664530963</v>
      </c>
      <c r="G81" s="13"/>
      <c r="H81" s="13">
        <f t="shared" si="56"/>
        <v>134.06976045045198</v>
      </c>
      <c r="I81" s="13">
        <f t="shared" si="53"/>
        <v>6.732888340886352</v>
      </c>
      <c r="J81" s="13">
        <f t="shared" si="53"/>
        <v>13.742837340358847</v>
      </c>
      <c r="K81" s="13">
        <f t="shared" si="57"/>
        <v>210.92046242294322</v>
      </c>
      <c r="L81" s="13">
        <f t="shared" si="54"/>
        <v>3.7406162997355099</v>
      </c>
      <c r="N81" s="2">
        <f t="shared" ref="N81" si="67">I36*100</f>
        <v>0</v>
      </c>
      <c r="R81" s="110" t="s">
        <v>452</v>
      </c>
      <c r="U81" s="13">
        <f t="shared" si="45"/>
        <v>0</v>
      </c>
      <c r="V81" s="13">
        <f t="shared" ref="V81:Z81" si="68">D90/D$94*100</f>
        <v>0</v>
      </c>
      <c r="W81" s="13">
        <f t="shared" si="68"/>
        <v>0</v>
      </c>
      <c r="X81" s="13">
        <f t="shared" si="68"/>
        <v>0.15292217782221385</v>
      </c>
      <c r="Y81" s="13">
        <f t="shared" si="68"/>
        <v>0</v>
      </c>
      <c r="Z81" s="13">
        <f t="shared" si="68"/>
        <v>0.79155977596891625</v>
      </c>
      <c r="AA81" s="13">
        <f t="shared" si="47"/>
        <v>6.4147659339548135E-2</v>
      </c>
      <c r="AB81" s="13">
        <f t="shared" si="48"/>
        <v>0.19212923415671709</v>
      </c>
      <c r="AC81" s="13">
        <f t="shared" si="49"/>
        <v>1.2453761952678961</v>
      </c>
      <c r="AD81" s="13">
        <f t="shared" si="50"/>
        <v>5.1717203758995696E-2</v>
      </c>
    </row>
    <row r="82" spans="2:30" x14ac:dyDescent="0.25">
      <c r="B82" t="s">
        <v>500</v>
      </c>
      <c r="F82" s="13">
        <f t="shared" si="52"/>
        <v>2.3682117304623489</v>
      </c>
      <c r="G82" s="13"/>
      <c r="H82" s="13">
        <f t="shared" si="56"/>
        <v>45.679612045694284</v>
      </c>
      <c r="I82" s="13">
        <f t="shared" si="53"/>
        <v>2.2939977391272368</v>
      </c>
      <c r="J82" s="13">
        <f t="shared" si="53"/>
        <v>4.6823942700089853</v>
      </c>
      <c r="K82" s="13">
        <f t="shared" si="57"/>
        <v>71.863818236172619</v>
      </c>
      <c r="L82" s="13">
        <f t="shared" si="54"/>
        <v>1.2744850204074685</v>
      </c>
      <c r="N82" s="2">
        <f>I37*100</f>
        <v>100</v>
      </c>
      <c r="R82" s="110" t="s">
        <v>434</v>
      </c>
      <c r="U82" s="13">
        <f t="shared" si="45"/>
        <v>0</v>
      </c>
      <c r="V82" s="13">
        <f t="shared" ref="V82:Z82" si="69">D91/D$94*100</f>
        <v>0</v>
      </c>
      <c r="W82" s="13">
        <f t="shared" si="69"/>
        <v>0</v>
      </c>
      <c r="X82" s="13">
        <f t="shared" si="69"/>
        <v>0.14960153780340887</v>
      </c>
      <c r="Y82" s="13">
        <f t="shared" si="69"/>
        <v>0</v>
      </c>
      <c r="Z82" s="13">
        <f t="shared" si="69"/>
        <v>0.77437139226426754</v>
      </c>
      <c r="AA82" s="13">
        <f t="shared" si="47"/>
        <v>6.2754720213588133E-2</v>
      </c>
      <c r="AB82" s="13">
        <f t="shared" si="48"/>
        <v>0.1879572295932922</v>
      </c>
      <c r="AC82" s="13">
        <f t="shared" si="49"/>
        <v>1.2183333811295727</v>
      </c>
      <c r="AD82" s="13">
        <f t="shared" si="50"/>
        <v>5.059418668646571E-2</v>
      </c>
    </row>
    <row r="83" spans="2:30" x14ac:dyDescent="0.25">
      <c r="B83" s="110" t="s">
        <v>501</v>
      </c>
      <c r="F83" s="13">
        <f t="shared" si="52"/>
        <v>1.1977083633723378</v>
      </c>
      <c r="G83" s="13"/>
      <c r="H83" s="13">
        <f t="shared" si="56"/>
        <v>23.102179876480324</v>
      </c>
      <c r="I83" s="13">
        <f t="shared" si="53"/>
        <v>1.1601750985219215</v>
      </c>
      <c r="J83" s="13">
        <f t="shared" si="53"/>
        <v>2.3680917992503945</v>
      </c>
      <c r="K83" s="13">
        <f t="shared" si="57"/>
        <v>36.344679412819943</v>
      </c>
      <c r="L83" s="13">
        <f t="shared" si="54"/>
        <v>0.64456287767680998</v>
      </c>
      <c r="N83" s="2">
        <f t="shared" ref="N83:N84" si="70">I38*100</f>
        <v>100</v>
      </c>
      <c r="R83" s="110" t="s">
        <v>509</v>
      </c>
      <c r="U83" s="13">
        <f t="shared" si="45"/>
        <v>0</v>
      </c>
      <c r="V83" s="13">
        <f t="shared" ref="V83:Z83" si="71">D92/D$94*100</f>
        <v>0</v>
      </c>
      <c r="W83" s="13">
        <f t="shared" si="71"/>
        <v>0</v>
      </c>
      <c r="X83" s="13">
        <f t="shared" si="71"/>
        <v>8.3111965446338212E-2</v>
      </c>
      <c r="Y83" s="13">
        <f t="shared" si="71"/>
        <v>0</v>
      </c>
      <c r="Z83" s="13">
        <f t="shared" si="71"/>
        <v>0.43020632903570405</v>
      </c>
      <c r="AA83" s="13">
        <f t="shared" si="47"/>
        <v>3.4863733451993388E-2</v>
      </c>
      <c r="AB83" s="13">
        <f t="shared" si="48"/>
        <v>0.10442068310738449</v>
      </c>
      <c r="AC83" s="13">
        <f t="shared" si="49"/>
        <v>0.67685187840531824</v>
      </c>
      <c r="AD83" s="13">
        <f t="shared" si="50"/>
        <v>2.8107881492480925E-2</v>
      </c>
    </row>
    <row r="84" spans="2:30" x14ac:dyDescent="0.25">
      <c r="B84" t="s">
        <v>503</v>
      </c>
      <c r="F84" s="13">
        <f t="shared" si="52"/>
        <v>3.0428813434354844</v>
      </c>
      <c r="G84" s="13"/>
      <c r="H84" s="13">
        <f t="shared" si="56"/>
        <v>58.693079457923922</v>
      </c>
      <c r="I84" s="13">
        <f t="shared" si="53"/>
        <v>2.9475248485956382</v>
      </c>
      <c r="J84" s="13">
        <f t="shared" si="53"/>
        <v>6.016341353075684</v>
      </c>
      <c r="K84" s="13">
        <f t="shared" si="57"/>
        <v>92.336791075769597</v>
      </c>
      <c r="L84" s="13">
        <f t="shared" si="54"/>
        <v>1.6375675541176171</v>
      </c>
      <c r="N84" s="2">
        <f t="shared" si="70"/>
        <v>100</v>
      </c>
    </row>
    <row r="85" spans="2:30" x14ac:dyDescent="0.25">
      <c r="B85" t="s">
        <v>430</v>
      </c>
      <c r="F85" s="13">
        <f t="shared" si="52"/>
        <v>8.2567223096232656</v>
      </c>
      <c r="G85" s="13"/>
      <c r="H85" s="13">
        <f t="shared" si="56"/>
        <v>159.26104369012054</v>
      </c>
      <c r="I85" s="13">
        <f t="shared" si="53"/>
        <v>7.9979767295466146</v>
      </c>
      <c r="J85" s="13">
        <f t="shared" si="53"/>
        <v>16.325072937666537</v>
      </c>
      <c r="K85" s="13">
        <f t="shared" si="57"/>
        <v>250.55174909106466</v>
      </c>
      <c r="L85" s="13">
        <f t="shared" si="54"/>
        <v>4.4434662517377941</v>
      </c>
      <c r="N85" s="2">
        <f>I40*100</f>
        <v>60.570716705655528</v>
      </c>
      <c r="U85" s="2">
        <f>SUM(U56:U83)</f>
        <v>100</v>
      </c>
      <c r="V85" s="2">
        <f t="shared" ref="V85:AD85" si="72">SUM(V56:V83)</f>
        <v>100</v>
      </c>
      <c r="W85" s="2">
        <f t="shared" si="72"/>
        <v>100</v>
      </c>
      <c r="X85" s="2">
        <f t="shared" si="72"/>
        <v>99.999999999999986</v>
      </c>
      <c r="Y85" s="2">
        <f t="shared" si="72"/>
        <v>99.999999999999986</v>
      </c>
      <c r="Z85" s="2">
        <f t="shared" si="72"/>
        <v>100.00000000000001</v>
      </c>
      <c r="AA85" s="2">
        <f t="shared" si="72"/>
        <v>99.999999999999943</v>
      </c>
      <c r="AB85" s="2">
        <f t="shared" si="72"/>
        <v>99.999999999999957</v>
      </c>
      <c r="AC85" s="2">
        <f t="shared" si="72"/>
        <v>99.999999999999986</v>
      </c>
      <c r="AD85" s="2">
        <f t="shared" si="72"/>
        <v>100</v>
      </c>
    </row>
    <row r="86" spans="2:30" x14ac:dyDescent="0.25">
      <c r="B86" t="s">
        <v>505</v>
      </c>
      <c r="F86" s="13">
        <f t="shared" si="52"/>
        <v>0.29739329300182427</v>
      </c>
      <c r="G86" s="13"/>
      <c r="H86" s="13">
        <f t="shared" si="56"/>
        <v>5.7363157502233415</v>
      </c>
      <c r="I86" s="13">
        <f t="shared" si="53"/>
        <v>0.28807371106324103</v>
      </c>
      <c r="J86" s="13">
        <f t="shared" si="53"/>
        <v>0.58800175388835829</v>
      </c>
      <c r="K86" s="13">
        <f t="shared" si="57"/>
        <v>9.0244538856192218</v>
      </c>
      <c r="L86" s="13">
        <f t="shared" si="54"/>
        <v>0.16004620373469608</v>
      </c>
      <c r="N86" s="2">
        <f t="shared" ref="N86" si="73">I41*100</f>
        <v>100</v>
      </c>
    </row>
    <row r="87" spans="2:30" x14ac:dyDescent="0.25">
      <c r="B87" s="110" t="s">
        <v>506</v>
      </c>
      <c r="F87" s="13">
        <f t="shared" si="52"/>
        <v>0.18441207340044716</v>
      </c>
      <c r="G87" s="13"/>
      <c r="H87" s="13">
        <f t="shared" si="56"/>
        <v>3.5570603173348565</v>
      </c>
      <c r="I87" s="13">
        <f t="shared" si="53"/>
        <v>0.17863304788453227</v>
      </c>
      <c r="J87" s="13">
        <f t="shared" si="53"/>
        <v>0.36461690680087544</v>
      </c>
      <c r="K87" s="13">
        <f t="shared" si="57"/>
        <v>5.5960181063785868</v>
      </c>
      <c r="L87" s="13">
        <f t="shared" si="54"/>
        <v>9.9243839606041981E-2</v>
      </c>
      <c r="N87" s="2">
        <f>I42*100</f>
        <v>40.587012896078654</v>
      </c>
      <c r="Q87" s="6"/>
      <c r="R87" s="6"/>
      <c r="S87" s="6"/>
      <c r="T87" s="6"/>
      <c r="U87" s="6"/>
    </row>
    <row r="88" spans="2:30" x14ac:dyDescent="0.25">
      <c r="B88" t="s">
        <v>507</v>
      </c>
      <c r="F88" s="13">
        <f t="shared" si="52"/>
        <v>2.0490230377827452E-2</v>
      </c>
      <c r="G88" s="13"/>
      <c r="H88" s="13">
        <f t="shared" si="56"/>
        <v>0.3952289241483174</v>
      </c>
      <c r="I88" s="13">
        <f t="shared" si="53"/>
        <v>1.9848116431614687E-2</v>
      </c>
      <c r="J88" s="13">
        <f t="shared" si="53"/>
        <v>4.0512989644541697E-2</v>
      </c>
      <c r="K88" s="13">
        <f t="shared" si="57"/>
        <v>0.6217797895976207</v>
      </c>
      <c r="L88" s="13">
        <f t="shared" si="54"/>
        <v>1.1027093289560214E-2</v>
      </c>
      <c r="N88" s="2">
        <f t="shared" ref="N88:N89" si="74">I43*100</f>
        <v>40.587012896078654</v>
      </c>
    </row>
    <row r="89" spans="2:30" x14ac:dyDescent="0.25">
      <c r="B89" s="93" t="s">
        <v>508</v>
      </c>
      <c r="F89" s="13">
        <f t="shared" si="52"/>
        <v>1.6957185762975293</v>
      </c>
      <c r="G89" s="13"/>
      <c r="H89" s="13">
        <f t="shared" si="56"/>
        <v>32.708125590115941</v>
      </c>
      <c r="I89" s="13">
        <f t="shared" si="53"/>
        <v>1.6425788835456636</v>
      </c>
      <c r="J89" s="13">
        <f t="shared" si="53"/>
        <v>3.3527504500846321</v>
      </c>
      <c r="K89" s="13">
        <f t="shared" si="57"/>
        <v>51.456890437307393</v>
      </c>
      <c r="L89" s="13">
        <f t="shared" si="54"/>
        <v>0.91257377730155609</v>
      </c>
      <c r="N89" s="2">
        <f t="shared" si="74"/>
        <v>26.716313113044972</v>
      </c>
    </row>
    <row r="90" spans="2:30" x14ac:dyDescent="0.25">
      <c r="B90" s="161" t="s">
        <v>452</v>
      </c>
      <c r="F90" s="13">
        <f t="shared" si="52"/>
        <v>3.1569817134907492</v>
      </c>
      <c r="G90" s="13"/>
      <c r="H90" s="13">
        <f t="shared" si="56"/>
        <v>60.893921794507143</v>
      </c>
      <c r="I90" s="13">
        <f t="shared" si="53"/>
        <v>3.0580495907770557</v>
      </c>
      <c r="J90" s="13">
        <f t="shared" si="53"/>
        <v>6.2419389683904152</v>
      </c>
      <c r="K90" s="13">
        <f t="shared" si="57"/>
        <v>95.799187680287133</v>
      </c>
      <c r="L90" s="13">
        <f t="shared" si="54"/>
        <v>1.698972204127519</v>
      </c>
      <c r="N90" s="2">
        <f>I45*100</f>
        <v>14.385536511797675</v>
      </c>
    </row>
    <row r="91" spans="2:30" x14ac:dyDescent="0.25">
      <c r="B91" t="s">
        <v>434</v>
      </c>
      <c r="F91" s="13">
        <f t="shared" si="52"/>
        <v>3.0884291989650889</v>
      </c>
      <c r="G91" s="13"/>
      <c r="H91" s="13">
        <f t="shared" si="56"/>
        <v>59.571636194782634</v>
      </c>
      <c r="I91" s="13">
        <f t="shared" si="53"/>
        <v>2.9916453451977763</v>
      </c>
      <c r="J91" s="13">
        <f t="shared" si="53"/>
        <v>6.1063979198090061</v>
      </c>
      <c r="K91" s="13">
        <f t="shared" si="57"/>
        <v>93.718949085006244</v>
      </c>
      <c r="L91" s="13">
        <f t="shared" si="54"/>
        <v>1.6620797456744218</v>
      </c>
      <c r="N91" s="2">
        <f t="shared" ref="N91:N92" si="75">I46*100</f>
        <v>46.986991038291379</v>
      </c>
    </row>
    <row r="92" spans="2:30" x14ac:dyDescent="0.25">
      <c r="B92" t="s">
        <v>509</v>
      </c>
      <c r="F92" s="13">
        <f t="shared" si="52"/>
        <v>1.7157939994250484</v>
      </c>
      <c r="G92" s="13"/>
      <c r="H92" s="13">
        <f t="shared" si="56"/>
        <v>33.095353441545903</v>
      </c>
      <c r="I92" s="13">
        <f t="shared" si="53"/>
        <v>1.6620251917765414</v>
      </c>
      <c r="J92" s="13">
        <f t="shared" si="53"/>
        <v>3.3924432887827791</v>
      </c>
      <c r="K92" s="13">
        <f t="shared" si="57"/>
        <v>52.06608282500347</v>
      </c>
      <c r="L92" s="13">
        <f t="shared" si="54"/>
        <v>0.9233776364857893</v>
      </c>
      <c r="N92" s="2">
        <f t="shared" si="75"/>
        <v>46.986991038291379</v>
      </c>
    </row>
    <row r="93" spans="2:30" x14ac:dyDescent="0.25">
      <c r="C93" s="166"/>
      <c r="D93" s="166"/>
      <c r="E93" s="166"/>
      <c r="F93" s="166"/>
      <c r="I93" s="166"/>
      <c r="J93" s="166"/>
      <c r="K93" s="166"/>
      <c r="N93" s="6"/>
    </row>
    <row r="94" spans="2:30" x14ac:dyDescent="0.25">
      <c r="B94" s="6" t="s">
        <v>316</v>
      </c>
      <c r="C94" s="12">
        <f t="shared" ref="C94:L94" si="76">SUM(C56:C61,C63:C67,C69:C70,C72:C92)</f>
        <v>4683.2228452868276</v>
      </c>
      <c r="D94" s="12">
        <f t="shared" si="76"/>
        <v>3588.2395719012102</v>
      </c>
      <c r="E94" s="12">
        <f t="shared" si="76"/>
        <v>3648.7073963999328</v>
      </c>
      <c r="F94" s="12">
        <f t="shared" si="76"/>
        <v>2064.4367994556237</v>
      </c>
      <c r="G94" s="12">
        <f t="shared" si="76"/>
        <v>2073.84</v>
      </c>
      <c r="H94" s="12">
        <f t="shared" si="76"/>
        <v>7692.9024999999992</v>
      </c>
      <c r="I94" s="12">
        <f t="shared" si="76"/>
        <v>4767.2037019934032</v>
      </c>
      <c r="J94" s="12">
        <f t="shared" si="76"/>
        <v>3248.8231141851916</v>
      </c>
      <c r="K94" s="12">
        <f t="shared" si="76"/>
        <v>7692.3895000000002</v>
      </c>
      <c r="L94" s="12">
        <f t="shared" si="76"/>
        <v>3285.1199999999994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1"/>
  <sheetViews>
    <sheetView topLeftCell="A109" zoomScaleNormal="100" workbookViewId="0">
      <selection activeCell="D8" sqref="D8"/>
    </sheetView>
  </sheetViews>
  <sheetFormatPr defaultRowHeight="15" x14ac:dyDescent="0.25"/>
  <cols>
    <col min="1" max="1" width="10.7109375" bestFit="1" customWidth="1"/>
    <col min="2" max="2" width="16.7109375" customWidth="1"/>
    <col min="3" max="3" width="14.140625" customWidth="1"/>
    <col min="4" max="4" width="10.5703125" bestFit="1" customWidth="1"/>
    <col min="5" max="5" width="12.42578125" bestFit="1" customWidth="1"/>
    <col min="6" max="6" width="9.7109375" bestFit="1" customWidth="1"/>
    <col min="7" max="7" width="9.85546875" bestFit="1" customWidth="1"/>
    <col min="8" max="8" width="15.7109375" bestFit="1" customWidth="1"/>
    <col min="10" max="10" width="24.5703125" customWidth="1"/>
    <col min="11" max="11" width="22.5703125" bestFit="1" customWidth="1"/>
    <col min="12" max="12" width="22" customWidth="1"/>
    <col min="13" max="13" width="17.85546875" customWidth="1"/>
    <col min="14" max="14" width="21.140625" customWidth="1"/>
    <col min="15" max="15" width="18.42578125" customWidth="1"/>
    <col min="16" max="16" width="16.42578125" customWidth="1"/>
    <col min="17" max="17" width="22.5703125" bestFit="1" customWidth="1"/>
    <col min="18" max="18" width="16.42578125" customWidth="1"/>
    <col min="19" max="19" width="22.5703125" bestFit="1" customWidth="1"/>
    <col min="20" max="20" width="16.42578125" customWidth="1"/>
    <col min="21" max="21" width="22.5703125" bestFit="1" customWidth="1"/>
    <col min="22" max="22" width="16.42578125" customWidth="1"/>
    <col min="23" max="23" width="22.5703125" customWidth="1"/>
    <col min="24" max="24" width="16.42578125" customWidth="1"/>
    <col min="25" max="25" width="27.5703125" bestFit="1" customWidth="1"/>
    <col min="26" max="26" width="21.5703125" bestFit="1" customWidth="1"/>
  </cols>
  <sheetData>
    <row r="1" spans="1:15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L1" t="s">
        <v>202</v>
      </c>
      <c r="M1" t="s">
        <v>210</v>
      </c>
    </row>
    <row r="2" spans="1:15" x14ac:dyDescent="0.25">
      <c r="A2" t="s">
        <v>211</v>
      </c>
      <c r="B2" t="s">
        <v>212</v>
      </c>
      <c r="C2">
        <v>2016</v>
      </c>
      <c r="D2">
        <v>30638</v>
      </c>
      <c r="E2">
        <v>302.7</v>
      </c>
      <c r="F2">
        <v>7.7</v>
      </c>
      <c r="G2">
        <v>4</v>
      </c>
      <c r="H2">
        <v>68.599999999999994</v>
      </c>
      <c r="I2">
        <f>D2*E2</f>
        <v>9274122.5999999996</v>
      </c>
      <c r="J2">
        <f>D2*H2</f>
        <v>2101766.7999999998</v>
      </c>
    </row>
    <row r="3" spans="1:15" x14ac:dyDescent="0.25">
      <c r="A3" t="s">
        <v>211</v>
      </c>
      <c r="B3" t="s">
        <v>212</v>
      </c>
      <c r="C3">
        <v>2017</v>
      </c>
      <c r="D3">
        <v>26251</v>
      </c>
      <c r="E3">
        <v>308.5</v>
      </c>
      <c r="F3">
        <v>7.8</v>
      </c>
      <c r="G3">
        <v>4.0999999999999996</v>
      </c>
      <c r="H3">
        <v>68.900000000000006</v>
      </c>
      <c r="I3">
        <f t="shared" ref="I3:I66" si="0">D3*E3</f>
        <v>8098433.5</v>
      </c>
      <c r="J3">
        <f t="shared" ref="J3:J66" si="1">D3*H3</f>
        <v>1808693.9000000001</v>
      </c>
      <c r="L3" t="s">
        <v>213</v>
      </c>
      <c r="M3" t="s">
        <v>214</v>
      </c>
      <c r="N3" t="s">
        <v>215</v>
      </c>
      <c r="O3" t="s">
        <v>216</v>
      </c>
    </row>
    <row r="4" spans="1:15" x14ac:dyDescent="0.25">
      <c r="A4" t="s">
        <v>211</v>
      </c>
      <c r="B4" t="s">
        <v>212</v>
      </c>
      <c r="C4">
        <v>2018</v>
      </c>
      <c r="D4">
        <v>26489</v>
      </c>
      <c r="E4">
        <v>306.2</v>
      </c>
      <c r="F4">
        <v>7.5</v>
      </c>
      <c r="G4">
        <v>4</v>
      </c>
      <c r="H4">
        <v>69.3</v>
      </c>
      <c r="I4">
        <f t="shared" si="0"/>
        <v>8110931.7999999998</v>
      </c>
      <c r="J4">
        <f t="shared" si="1"/>
        <v>1835687.7</v>
      </c>
      <c r="L4" s="66" t="s">
        <v>217</v>
      </c>
      <c r="M4" s="12"/>
      <c r="N4" s="12"/>
      <c r="O4" s="12"/>
    </row>
    <row r="5" spans="1:15" x14ac:dyDescent="0.25">
      <c r="A5" t="s">
        <v>211</v>
      </c>
      <c r="B5" t="s">
        <v>212</v>
      </c>
      <c r="C5">
        <v>2019</v>
      </c>
      <c r="D5">
        <v>25859</v>
      </c>
      <c r="E5">
        <v>310.39999999999998</v>
      </c>
      <c r="F5">
        <v>7.6</v>
      </c>
      <c r="G5">
        <v>4.0999999999999996</v>
      </c>
      <c r="H5">
        <v>70.099999999999994</v>
      </c>
      <c r="I5">
        <f t="shared" si="0"/>
        <v>8026633.5999999996</v>
      </c>
      <c r="J5">
        <f t="shared" si="1"/>
        <v>1812715.9</v>
      </c>
      <c r="L5" s="68" t="s">
        <v>218</v>
      </c>
      <c r="M5" s="12">
        <v>458500</v>
      </c>
      <c r="N5" s="12">
        <v>140401072.39999998</v>
      </c>
      <c r="O5" s="12">
        <v>28527102.000000004</v>
      </c>
    </row>
    <row r="6" spans="1:15" x14ac:dyDescent="0.25">
      <c r="A6" t="s">
        <v>211</v>
      </c>
      <c r="B6" t="s">
        <v>212</v>
      </c>
      <c r="C6">
        <v>2020</v>
      </c>
      <c r="D6">
        <v>23718</v>
      </c>
      <c r="E6">
        <v>311.7</v>
      </c>
      <c r="F6">
        <v>7.4</v>
      </c>
      <c r="G6">
        <v>4</v>
      </c>
      <c r="H6">
        <v>71.599999999999994</v>
      </c>
      <c r="I6">
        <f t="shared" si="0"/>
        <v>7392900.5999999996</v>
      </c>
      <c r="J6">
        <f t="shared" si="1"/>
        <v>1698208.7999999998</v>
      </c>
      <c r="L6" s="69" t="s">
        <v>211</v>
      </c>
      <c r="M6" s="12">
        <v>334565</v>
      </c>
      <c r="N6" s="12">
        <v>104954342.89999999</v>
      </c>
      <c r="O6" s="12">
        <v>23342513.500000004</v>
      </c>
    </row>
    <row r="7" spans="1:15" x14ac:dyDescent="0.25">
      <c r="A7" t="s">
        <v>211</v>
      </c>
      <c r="B7" t="s">
        <v>212</v>
      </c>
      <c r="C7">
        <v>2021</v>
      </c>
      <c r="D7">
        <v>21589</v>
      </c>
      <c r="E7">
        <v>313.39999999999998</v>
      </c>
      <c r="F7">
        <v>7.3</v>
      </c>
      <c r="G7">
        <v>4</v>
      </c>
      <c r="H7">
        <v>72.900000000000006</v>
      </c>
      <c r="I7">
        <f t="shared" si="0"/>
        <v>6765992.5999999996</v>
      </c>
      <c r="J7">
        <f t="shared" si="1"/>
        <v>1573838.1</v>
      </c>
      <c r="L7" s="69" t="s">
        <v>219</v>
      </c>
      <c r="M7" s="12">
        <v>123935</v>
      </c>
      <c r="N7" s="12">
        <v>35446729.5</v>
      </c>
      <c r="O7" s="12">
        <v>5184588.5</v>
      </c>
    </row>
    <row r="8" spans="1:15" x14ac:dyDescent="0.25">
      <c r="A8" t="s">
        <v>211</v>
      </c>
      <c r="B8" t="s">
        <v>220</v>
      </c>
      <c r="C8">
        <v>2016</v>
      </c>
      <c r="D8">
        <v>41922</v>
      </c>
      <c r="E8">
        <v>310.8</v>
      </c>
      <c r="F8">
        <v>7</v>
      </c>
      <c r="G8">
        <v>3.4</v>
      </c>
      <c r="H8">
        <v>69.2</v>
      </c>
      <c r="I8">
        <f t="shared" si="0"/>
        <v>13029357.6</v>
      </c>
      <c r="J8">
        <f t="shared" si="1"/>
        <v>2901002.4</v>
      </c>
      <c r="L8" s="68" t="s">
        <v>221</v>
      </c>
      <c r="M8" s="12">
        <v>74870</v>
      </c>
      <c r="N8" s="12">
        <v>22314873.800000001</v>
      </c>
      <c r="O8" s="12">
        <v>2415442.8000000003</v>
      </c>
    </row>
    <row r="9" spans="1:15" x14ac:dyDescent="0.25">
      <c r="A9" t="s">
        <v>211</v>
      </c>
      <c r="B9" t="s">
        <v>220</v>
      </c>
      <c r="C9">
        <v>2017</v>
      </c>
      <c r="D9">
        <v>38032</v>
      </c>
      <c r="E9">
        <v>316.89999999999998</v>
      </c>
      <c r="F9">
        <v>7.2</v>
      </c>
      <c r="G9">
        <v>3.5</v>
      </c>
      <c r="H9">
        <v>68.900000000000006</v>
      </c>
      <c r="I9">
        <f t="shared" si="0"/>
        <v>12052340.799999999</v>
      </c>
      <c r="J9">
        <f t="shared" si="1"/>
        <v>2620404.8000000003</v>
      </c>
      <c r="L9" s="69" t="s">
        <v>221</v>
      </c>
      <c r="M9" s="12">
        <v>74870</v>
      </c>
      <c r="N9" s="12">
        <v>22314873.800000001</v>
      </c>
      <c r="O9" s="12">
        <v>2415442.8000000003</v>
      </c>
    </row>
    <row r="10" spans="1:15" x14ac:dyDescent="0.25">
      <c r="A10" t="s">
        <v>211</v>
      </c>
      <c r="B10" t="s">
        <v>220</v>
      </c>
      <c r="C10">
        <v>2018</v>
      </c>
      <c r="D10">
        <v>40654</v>
      </c>
      <c r="E10">
        <v>317</v>
      </c>
      <c r="F10">
        <v>7</v>
      </c>
      <c r="G10">
        <v>3.4</v>
      </c>
      <c r="H10">
        <v>69.400000000000006</v>
      </c>
      <c r="I10">
        <f t="shared" si="0"/>
        <v>12887318</v>
      </c>
      <c r="J10">
        <f t="shared" si="1"/>
        <v>2821387.6</v>
      </c>
      <c r="L10" s="68" t="s">
        <v>222</v>
      </c>
      <c r="M10" s="12">
        <v>108867</v>
      </c>
      <c r="N10" s="12">
        <v>35469646.299999997</v>
      </c>
      <c r="O10" s="12">
        <v>3232646.8</v>
      </c>
    </row>
    <row r="11" spans="1:15" x14ac:dyDescent="0.25">
      <c r="A11" t="s">
        <v>211</v>
      </c>
      <c r="B11" t="s">
        <v>220</v>
      </c>
      <c r="C11">
        <v>2019</v>
      </c>
      <c r="D11">
        <v>40784</v>
      </c>
      <c r="E11">
        <v>321.39999999999998</v>
      </c>
      <c r="F11">
        <v>7.1</v>
      </c>
      <c r="G11">
        <v>3.5</v>
      </c>
      <c r="H11">
        <v>70.2</v>
      </c>
      <c r="I11">
        <f t="shared" si="0"/>
        <v>13107977.6</v>
      </c>
      <c r="J11">
        <f t="shared" si="1"/>
        <v>2863036.8000000003</v>
      </c>
      <c r="L11" s="69" t="s">
        <v>222</v>
      </c>
      <c r="M11" s="12">
        <v>108867</v>
      </c>
      <c r="N11" s="12">
        <v>35469646.299999997</v>
      </c>
      <c r="O11" s="12">
        <v>3232646.8</v>
      </c>
    </row>
    <row r="12" spans="1:15" x14ac:dyDescent="0.25">
      <c r="A12" t="s">
        <v>211</v>
      </c>
      <c r="B12" t="s">
        <v>220</v>
      </c>
      <c r="C12">
        <v>2020</v>
      </c>
      <c r="D12">
        <v>40218</v>
      </c>
      <c r="E12">
        <v>322.60000000000002</v>
      </c>
      <c r="F12">
        <v>7</v>
      </c>
      <c r="G12">
        <v>3.4</v>
      </c>
      <c r="H12">
        <v>71.599999999999994</v>
      </c>
      <c r="I12">
        <f t="shared" si="0"/>
        <v>12974326.800000001</v>
      </c>
      <c r="J12">
        <f t="shared" si="1"/>
        <v>2879608.8</v>
      </c>
      <c r="L12" s="68" t="s">
        <v>223</v>
      </c>
      <c r="M12" s="12">
        <v>406109</v>
      </c>
      <c r="N12" s="12">
        <v>133559729.5</v>
      </c>
      <c r="O12" s="12">
        <v>9169893.8000000007</v>
      </c>
    </row>
    <row r="13" spans="1:15" x14ac:dyDescent="0.25">
      <c r="A13" t="s">
        <v>211</v>
      </c>
      <c r="B13" t="s">
        <v>220</v>
      </c>
      <c r="C13">
        <v>2021</v>
      </c>
      <c r="D13">
        <v>38776</v>
      </c>
      <c r="E13">
        <v>324.89999999999998</v>
      </c>
      <c r="F13">
        <v>6.9</v>
      </c>
      <c r="G13">
        <v>3.4</v>
      </c>
      <c r="H13">
        <v>73.2</v>
      </c>
      <c r="I13">
        <f t="shared" si="0"/>
        <v>12598322.399999999</v>
      </c>
      <c r="J13">
        <f t="shared" si="1"/>
        <v>2838403.2</v>
      </c>
      <c r="L13" s="69" t="s">
        <v>224</v>
      </c>
      <c r="M13" s="12">
        <v>351490</v>
      </c>
      <c r="N13" s="12">
        <v>114331622.59999999</v>
      </c>
      <c r="O13" s="12">
        <v>7579081.5</v>
      </c>
    </row>
    <row r="14" spans="1:15" x14ac:dyDescent="0.25">
      <c r="A14" t="s">
        <v>211</v>
      </c>
      <c r="B14" t="s">
        <v>225</v>
      </c>
      <c r="C14">
        <v>2016</v>
      </c>
      <c r="D14">
        <v>2843</v>
      </c>
      <c r="E14">
        <v>368.4</v>
      </c>
      <c r="F14">
        <v>11.3</v>
      </c>
      <c r="G14">
        <v>6.2</v>
      </c>
      <c r="H14">
        <v>92.6</v>
      </c>
      <c r="I14">
        <f t="shared" si="0"/>
        <v>1047361.2</v>
      </c>
      <c r="J14">
        <f t="shared" si="1"/>
        <v>263261.8</v>
      </c>
      <c r="L14" s="69" t="s">
        <v>226</v>
      </c>
      <c r="M14" s="12">
        <v>54619</v>
      </c>
      <c r="N14" s="12">
        <v>19228106.899999999</v>
      </c>
      <c r="O14" s="12">
        <v>1590812.3</v>
      </c>
    </row>
    <row r="15" spans="1:15" x14ac:dyDescent="0.25">
      <c r="A15" t="s">
        <v>211</v>
      </c>
      <c r="B15" t="s">
        <v>225</v>
      </c>
      <c r="C15">
        <v>2017</v>
      </c>
      <c r="D15">
        <v>3147</v>
      </c>
      <c r="E15">
        <v>365</v>
      </c>
      <c r="F15">
        <v>11.1</v>
      </c>
      <c r="G15">
        <v>6.1</v>
      </c>
      <c r="H15">
        <v>94</v>
      </c>
      <c r="I15">
        <f t="shared" si="0"/>
        <v>1148655</v>
      </c>
      <c r="J15">
        <f t="shared" si="1"/>
        <v>295818</v>
      </c>
      <c r="L15" s="68" t="s">
        <v>128</v>
      </c>
      <c r="M15" s="12">
        <v>52087</v>
      </c>
      <c r="N15" s="12">
        <v>8829445.8999999985</v>
      </c>
      <c r="O15" s="12">
        <v>567598.60000000009</v>
      </c>
    </row>
    <row r="16" spans="1:15" x14ac:dyDescent="0.25">
      <c r="A16" t="s">
        <v>211</v>
      </c>
      <c r="B16" t="s">
        <v>225</v>
      </c>
      <c r="C16">
        <v>2018</v>
      </c>
      <c r="D16">
        <v>4193</v>
      </c>
      <c r="E16">
        <v>352.3</v>
      </c>
      <c r="F16">
        <v>10.199999999999999</v>
      </c>
      <c r="G16">
        <v>5.9</v>
      </c>
      <c r="H16">
        <v>91.3</v>
      </c>
      <c r="I16">
        <f t="shared" si="0"/>
        <v>1477193.9000000001</v>
      </c>
      <c r="J16">
        <f t="shared" si="1"/>
        <v>382820.89999999997</v>
      </c>
      <c r="L16" s="69" t="s">
        <v>128</v>
      </c>
      <c r="M16" s="12">
        <v>52087</v>
      </c>
      <c r="N16" s="12">
        <v>8829445.8999999985</v>
      </c>
      <c r="O16" s="12">
        <v>567598.60000000009</v>
      </c>
    </row>
    <row r="17" spans="1:24" x14ac:dyDescent="0.25">
      <c r="A17" t="s">
        <v>211</v>
      </c>
      <c r="B17" t="s">
        <v>225</v>
      </c>
      <c r="C17">
        <v>2019</v>
      </c>
      <c r="D17">
        <v>4427</v>
      </c>
      <c r="E17">
        <v>348.6</v>
      </c>
      <c r="F17">
        <v>9.9</v>
      </c>
      <c r="G17">
        <v>5.8</v>
      </c>
      <c r="H17">
        <v>91.1</v>
      </c>
      <c r="I17">
        <f t="shared" si="0"/>
        <v>1543252.2000000002</v>
      </c>
      <c r="J17">
        <f t="shared" si="1"/>
        <v>403299.69999999995</v>
      </c>
      <c r="L17" s="66" t="s">
        <v>227</v>
      </c>
      <c r="M17" s="12"/>
      <c r="N17" s="12"/>
      <c r="O17" s="12"/>
    </row>
    <row r="18" spans="1:24" x14ac:dyDescent="0.25">
      <c r="A18" t="s">
        <v>211</v>
      </c>
      <c r="B18" t="s">
        <v>225</v>
      </c>
      <c r="C18">
        <v>2020</v>
      </c>
      <c r="D18">
        <v>4642</v>
      </c>
      <c r="E18">
        <v>355.5</v>
      </c>
      <c r="F18">
        <v>10.1</v>
      </c>
      <c r="G18">
        <v>5.9</v>
      </c>
      <c r="H18">
        <v>89.2</v>
      </c>
      <c r="I18">
        <f t="shared" si="0"/>
        <v>1650231</v>
      </c>
      <c r="J18">
        <f t="shared" si="1"/>
        <v>414066.4</v>
      </c>
      <c r="L18" s="68" t="s">
        <v>218</v>
      </c>
      <c r="M18" s="12">
        <v>73015</v>
      </c>
      <c r="N18" s="12">
        <v>25944410.100000001</v>
      </c>
      <c r="O18" s="12">
        <v>5910236.4000000004</v>
      </c>
    </row>
    <row r="19" spans="1:24" x14ac:dyDescent="0.25">
      <c r="A19" t="s">
        <v>211</v>
      </c>
      <c r="B19" t="s">
        <v>225</v>
      </c>
      <c r="C19">
        <v>2021</v>
      </c>
      <c r="D19">
        <v>4235</v>
      </c>
      <c r="E19">
        <v>364.2</v>
      </c>
      <c r="F19">
        <v>10.1</v>
      </c>
      <c r="G19">
        <v>6.2</v>
      </c>
      <c r="H19">
        <v>89.6</v>
      </c>
      <c r="I19">
        <f t="shared" si="0"/>
        <v>1542387</v>
      </c>
      <c r="J19">
        <f t="shared" si="1"/>
        <v>379456</v>
      </c>
      <c r="K19" s="67"/>
      <c r="L19" s="69" t="s">
        <v>211</v>
      </c>
      <c r="M19" s="12">
        <v>57301</v>
      </c>
      <c r="N19" s="12">
        <v>20949587.5</v>
      </c>
      <c r="O19" s="12">
        <v>5314264.8000000007</v>
      </c>
      <c r="P19" s="67"/>
      <c r="Q19" s="67"/>
      <c r="R19" s="67"/>
      <c r="S19" s="67"/>
      <c r="T19" s="67"/>
      <c r="U19" s="67"/>
      <c r="V19" s="67"/>
      <c r="W19" s="67"/>
      <c r="X19" s="67"/>
    </row>
    <row r="20" spans="1:24" x14ac:dyDescent="0.25">
      <c r="A20" t="s">
        <v>211</v>
      </c>
      <c r="B20" t="s">
        <v>228</v>
      </c>
      <c r="C20">
        <v>2016</v>
      </c>
      <c r="D20">
        <v>2485</v>
      </c>
      <c r="E20">
        <v>408.3</v>
      </c>
      <c r="F20">
        <v>9.3000000000000007</v>
      </c>
      <c r="G20">
        <v>7.4</v>
      </c>
      <c r="H20">
        <v>98.5</v>
      </c>
      <c r="I20">
        <f t="shared" si="0"/>
        <v>1014625.5</v>
      </c>
      <c r="J20">
        <f t="shared" si="1"/>
        <v>244772.5</v>
      </c>
      <c r="K20" s="67"/>
      <c r="L20" s="69" t="s">
        <v>219</v>
      </c>
      <c r="M20" s="12">
        <v>15714</v>
      </c>
      <c r="N20" s="12">
        <v>4994822.6000000015</v>
      </c>
      <c r="O20" s="12">
        <v>595971.59999999974</v>
      </c>
      <c r="P20" s="67"/>
      <c r="Q20" s="67"/>
      <c r="R20" s="67"/>
      <c r="S20" s="67"/>
      <c r="T20" s="67"/>
      <c r="U20" s="67"/>
      <c r="V20" s="67"/>
      <c r="W20" s="67"/>
      <c r="X20" s="67"/>
    </row>
    <row r="21" spans="1:24" x14ac:dyDescent="0.25">
      <c r="A21" t="s">
        <v>211</v>
      </c>
      <c r="B21" t="s">
        <v>228</v>
      </c>
      <c r="C21">
        <v>2017</v>
      </c>
      <c r="D21">
        <v>2981</v>
      </c>
      <c r="E21">
        <v>405.9</v>
      </c>
      <c r="F21">
        <v>9.1</v>
      </c>
      <c r="G21">
        <v>7.4</v>
      </c>
      <c r="H21">
        <v>99.1</v>
      </c>
      <c r="I21">
        <f t="shared" si="0"/>
        <v>1209987.8999999999</v>
      </c>
      <c r="J21">
        <f t="shared" si="1"/>
        <v>295417.09999999998</v>
      </c>
      <c r="K21" s="67"/>
      <c r="L21" s="68" t="s">
        <v>221</v>
      </c>
      <c r="M21" s="12">
        <v>69883</v>
      </c>
      <c r="N21" s="12">
        <v>21504075.900000002</v>
      </c>
      <c r="O21" s="12">
        <v>1879535.8</v>
      </c>
      <c r="P21" s="67"/>
      <c r="Q21" s="67"/>
      <c r="R21" s="67"/>
      <c r="S21" s="67"/>
      <c r="T21" s="67"/>
      <c r="U21" s="67"/>
      <c r="V21" s="67"/>
      <c r="W21" s="67"/>
      <c r="X21" s="67"/>
    </row>
    <row r="22" spans="1:24" x14ac:dyDescent="0.25">
      <c r="A22" t="s">
        <v>211</v>
      </c>
      <c r="B22" t="s">
        <v>228</v>
      </c>
      <c r="C22">
        <v>2018</v>
      </c>
      <c r="D22">
        <v>3573</v>
      </c>
      <c r="E22">
        <v>393</v>
      </c>
      <c r="F22">
        <v>8.3000000000000007</v>
      </c>
      <c r="G22">
        <v>7.1</v>
      </c>
      <c r="H22">
        <v>94.2</v>
      </c>
      <c r="I22">
        <f t="shared" si="0"/>
        <v>1404189</v>
      </c>
      <c r="J22">
        <f t="shared" si="1"/>
        <v>336576.60000000003</v>
      </c>
      <c r="K22" s="67"/>
      <c r="L22" s="69" t="s">
        <v>221</v>
      </c>
      <c r="M22" s="12">
        <v>69883</v>
      </c>
      <c r="N22" s="12">
        <v>21504075.900000002</v>
      </c>
      <c r="O22" s="12">
        <v>1879535.8</v>
      </c>
      <c r="P22" s="67"/>
      <c r="Q22" s="67"/>
      <c r="R22" s="67"/>
      <c r="S22" s="67"/>
      <c r="T22" s="67"/>
      <c r="U22" s="67"/>
      <c r="V22" s="67"/>
      <c r="W22" s="67"/>
      <c r="X22" s="67"/>
    </row>
    <row r="23" spans="1:24" x14ac:dyDescent="0.25">
      <c r="A23" t="s">
        <v>211</v>
      </c>
      <c r="B23" t="s">
        <v>228</v>
      </c>
      <c r="C23">
        <v>2019</v>
      </c>
      <c r="D23">
        <v>3426</v>
      </c>
      <c r="E23">
        <v>387.3</v>
      </c>
      <c r="F23">
        <v>8.1</v>
      </c>
      <c r="G23">
        <v>6.9</v>
      </c>
      <c r="H23">
        <v>94.6</v>
      </c>
      <c r="I23">
        <f t="shared" si="0"/>
        <v>1326889.8</v>
      </c>
      <c r="J23">
        <f t="shared" si="1"/>
        <v>324099.59999999998</v>
      </c>
      <c r="K23" s="67"/>
      <c r="L23" s="68" t="s">
        <v>222</v>
      </c>
      <c r="M23" s="12">
        <v>15451</v>
      </c>
      <c r="N23" s="12">
        <v>5150008.2</v>
      </c>
      <c r="O23" s="12">
        <v>437018.7</v>
      </c>
      <c r="P23" s="67"/>
      <c r="Q23" s="67"/>
      <c r="R23" s="67"/>
      <c r="S23" s="67"/>
      <c r="T23" s="67"/>
      <c r="U23" s="67"/>
      <c r="V23" s="67"/>
      <c r="W23" s="67"/>
      <c r="X23" s="67"/>
    </row>
    <row r="24" spans="1:24" x14ac:dyDescent="0.25">
      <c r="A24" t="s">
        <v>211</v>
      </c>
      <c r="B24" t="s">
        <v>228</v>
      </c>
      <c r="C24">
        <v>2020</v>
      </c>
      <c r="D24">
        <v>3258</v>
      </c>
      <c r="E24">
        <v>396.6</v>
      </c>
      <c r="F24">
        <v>8.1999999999999993</v>
      </c>
      <c r="G24">
        <v>7.1</v>
      </c>
      <c r="H24">
        <v>96.2</v>
      </c>
      <c r="I24">
        <f t="shared" si="0"/>
        <v>1292122.8</v>
      </c>
      <c r="J24">
        <f t="shared" si="1"/>
        <v>313419.60000000003</v>
      </c>
      <c r="K24" s="67"/>
      <c r="L24" s="69" t="s">
        <v>222</v>
      </c>
      <c r="M24" s="12">
        <v>15451</v>
      </c>
      <c r="N24" s="12">
        <v>5150008.2</v>
      </c>
      <c r="O24" s="12">
        <v>437018.7</v>
      </c>
      <c r="P24" s="67"/>
      <c r="Q24" s="67"/>
      <c r="R24" s="67"/>
      <c r="S24" s="67"/>
      <c r="T24" s="67"/>
      <c r="U24" s="67"/>
      <c r="V24" s="67"/>
      <c r="W24" s="67"/>
      <c r="X24" s="67"/>
    </row>
    <row r="25" spans="1:24" x14ac:dyDescent="0.25">
      <c r="A25" t="s">
        <v>211</v>
      </c>
      <c r="B25" t="s">
        <v>228</v>
      </c>
      <c r="C25">
        <v>2021</v>
      </c>
      <c r="D25">
        <v>2898</v>
      </c>
      <c r="E25">
        <v>409.9</v>
      </c>
      <c r="F25">
        <v>8.3000000000000007</v>
      </c>
      <c r="G25">
        <v>7.5</v>
      </c>
      <c r="H25">
        <v>96.2</v>
      </c>
      <c r="I25">
        <f t="shared" si="0"/>
        <v>1187890.2</v>
      </c>
      <c r="J25">
        <f t="shared" si="1"/>
        <v>278787.60000000003</v>
      </c>
      <c r="K25" s="67"/>
      <c r="L25" s="68" t="s">
        <v>223</v>
      </c>
      <c r="M25" s="12">
        <v>146789</v>
      </c>
      <c r="N25" s="12">
        <v>52855907.899999999</v>
      </c>
      <c r="O25" s="12">
        <v>2981903.4</v>
      </c>
      <c r="P25" s="67"/>
      <c r="Q25" s="67"/>
      <c r="R25" s="67"/>
      <c r="S25" s="67"/>
      <c r="T25" s="67"/>
      <c r="U25" s="67"/>
      <c r="V25" s="67"/>
      <c r="W25" s="67"/>
      <c r="X25" s="67"/>
    </row>
    <row r="26" spans="1:24" x14ac:dyDescent="0.25">
      <c r="A26" t="s">
        <v>211</v>
      </c>
      <c r="B26" t="s">
        <v>229</v>
      </c>
      <c r="C26">
        <v>2016</v>
      </c>
      <c r="D26">
        <v>820</v>
      </c>
      <c r="E26">
        <v>363.4</v>
      </c>
      <c r="F26">
        <v>11.1</v>
      </c>
      <c r="G26">
        <v>6.4</v>
      </c>
      <c r="H26">
        <v>88.1</v>
      </c>
      <c r="I26">
        <f t="shared" si="0"/>
        <v>297988</v>
      </c>
      <c r="J26">
        <f t="shared" si="1"/>
        <v>72242</v>
      </c>
      <c r="K26" s="67"/>
      <c r="L26" s="69" t="s">
        <v>224</v>
      </c>
      <c r="M26" s="12">
        <v>130247</v>
      </c>
      <c r="N26" s="12">
        <v>46602706.199999996</v>
      </c>
      <c r="O26" s="12">
        <v>2474850.4</v>
      </c>
      <c r="P26" s="67"/>
      <c r="Q26" s="67"/>
      <c r="R26" s="67"/>
      <c r="S26" s="67"/>
      <c r="T26" s="67"/>
      <c r="U26" s="67"/>
      <c r="V26" s="67"/>
      <c r="W26" s="67"/>
      <c r="X26" s="67"/>
    </row>
    <row r="27" spans="1:24" x14ac:dyDescent="0.25">
      <c r="A27" t="s">
        <v>211</v>
      </c>
      <c r="B27" t="s">
        <v>229</v>
      </c>
      <c r="C27">
        <v>2017</v>
      </c>
      <c r="D27">
        <v>800</v>
      </c>
      <c r="E27">
        <v>359.4</v>
      </c>
      <c r="F27">
        <v>10.8</v>
      </c>
      <c r="G27">
        <v>6.3</v>
      </c>
      <c r="H27">
        <v>89</v>
      </c>
      <c r="I27">
        <f t="shared" si="0"/>
        <v>287520</v>
      </c>
      <c r="J27">
        <f t="shared" si="1"/>
        <v>71200</v>
      </c>
      <c r="K27" s="67"/>
      <c r="L27" s="69" t="s">
        <v>226</v>
      </c>
      <c r="M27" s="12">
        <v>16542</v>
      </c>
      <c r="N27" s="12">
        <v>6253201.700000002</v>
      </c>
      <c r="O27" s="12">
        <v>507053.00000000012</v>
      </c>
      <c r="P27" s="67"/>
      <c r="Q27" s="67"/>
      <c r="R27" s="67"/>
      <c r="S27" s="67"/>
      <c r="T27" s="67"/>
      <c r="U27" s="67"/>
      <c r="V27" s="67"/>
      <c r="W27" s="67"/>
      <c r="X27" s="67"/>
    </row>
    <row r="28" spans="1:24" x14ac:dyDescent="0.25">
      <c r="A28" t="s">
        <v>211</v>
      </c>
      <c r="B28" t="s">
        <v>229</v>
      </c>
      <c r="C28">
        <v>2018</v>
      </c>
      <c r="D28">
        <v>1144</v>
      </c>
      <c r="E28">
        <v>353.4</v>
      </c>
      <c r="F28">
        <v>10.199999999999999</v>
      </c>
      <c r="G28">
        <v>6.3</v>
      </c>
      <c r="H28">
        <v>85</v>
      </c>
      <c r="I28">
        <f t="shared" si="0"/>
        <v>404289.6</v>
      </c>
      <c r="J28">
        <f t="shared" si="1"/>
        <v>97240</v>
      </c>
      <c r="K28" s="67"/>
      <c r="L28" s="68" t="s">
        <v>128</v>
      </c>
      <c r="M28" s="12">
        <v>5086</v>
      </c>
      <c r="N28" s="12">
        <v>788569.70000000007</v>
      </c>
      <c r="O28" s="12">
        <v>54710.600000000006</v>
      </c>
      <c r="P28" s="67"/>
      <c r="Q28" s="67"/>
      <c r="R28" s="67"/>
      <c r="S28" s="67"/>
      <c r="T28" s="67"/>
      <c r="U28" s="67"/>
      <c r="V28" s="67"/>
      <c r="W28" s="67"/>
      <c r="X28" s="67"/>
    </row>
    <row r="29" spans="1:24" x14ac:dyDescent="0.25">
      <c r="A29" t="s">
        <v>211</v>
      </c>
      <c r="B29" t="s">
        <v>229</v>
      </c>
      <c r="C29">
        <v>2019</v>
      </c>
      <c r="D29">
        <v>1352</v>
      </c>
      <c r="E29">
        <v>348.2</v>
      </c>
      <c r="F29">
        <v>10.1</v>
      </c>
      <c r="G29">
        <v>6.1</v>
      </c>
      <c r="H29">
        <v>87.3</v>
      </c>
      <c r="I29">
        <f t="shared" si="0"/>
        <v>470766.39999999997</v>
      </c>
      <c r="J29">
        <f t="shared" si="1"/>
        <v>118029.59999999999</v>
      </c>
      <c r="K29" s="67"/>
      <c r="L29" s="69" t="s">
        <v>128</v>
      </c>
      <c r="M29" s="12">
        <v>5086</v>
      </c>
      <c r="N29" s="12">
        <v>788569.70000000007</v>
      </c>
      <c r="O29" s="12">
        <v>54710.600000000006</v>
      </c>
      <c r="P29" s="67"/>
      <c r="Q29" s="67"/>
      <c r="R29" s="67"/>
      <c r="S29" s="67"/>
      <c r="T29" s="67"/>
      <c r="U29" s="67"/>
      <c r="V29" s="67"/>
      <c r="W29" s="67"/>
      <c r="X29" s="67"/>
    </row>
    <row r="30" spans="1:24" x14ac:dyDescent="0.25">
      <c r="A30" t="s">
        <v>211</v>
      </c>
      <c r="B30" t="s">
        <v>229</v>
      </c>
      <c r="C30">
        <v>2020</v>
      </c>
      <c r="D30">
        <v>1390</v>
      </c>
      <c r="E30">
        <v>351.6</v>
      </c>
      <c r="F30">
        <v>9.9</v>
      </c>
      <c r="G30">
        <v>6.1</v>
      </c>
      <c r="H30">
        <v>84.5</v>
      </c>
      <c r="I30">
        <f t="shared" si="0"/>
        <v>488724.00000000006</v>
      </c>
      <c r="J30">
        <f t="shared" si="1"/>
        <v>117455</v>
      </c>
      <c r="K30" s="67"/>
      <c r="L30" s="66" t="s">
        <v>230</v>
      </c>
      <c r="M30" s="12"/>
      <c r="N30" s="12"/>
      <c r="O30" s="12"/>
      <c r="P30" s="67"/>
      <c r="Q30" s="67"/>
      <c r="R30" s="67"/>
      <c r="S30" s="67"/>
      <c r="T30" s="67"/>
      <c r="U30" s="67"/>
      <c r="V30" s="67"/>
      <c r="W30" s="67"/>
      <c r="X30" s="67"/>
    </row>
    <row r="31" spans="1:24" x14ac:dyDescent="0.25">
      <c r="A31" t="s">
        <v>211</v>
      </c>
      <c r="B31" t="s">
        <v>229</v>
      </c>
      <c r="C31">
        <v>2021</v>
      </c>
      <c r="D31">
        <v>1184</v>
      </c>
      <c r="E31">
        <v>357.6</v>
      </c>
      <c r="F31">
        <v>9.9</v>
      </c>
      <c r="G31">
        <v>6.3</v>
      </c>
      <c r="H31">
        <v>82.1</v>
      </c>
      <c r="I31">
        <f t="shared" si="0"/>
        <v>423398.40000000002</v>
      </c>
      <c r="J31">
        <f t="shared" si="1"/>
        <v>97206.399999999994</v>
      </c>
      <c r="K31" s="67"/>
      <c r="L31" s="68" t="s">
        <v>218</v>
      </c>
      <c r="M31" s="12">
        <v>129627</v>
      </c>
      <c r="N31" s="12">
        <v>43075396.200000003</v>
      </c>
      <c r="O31" s="12">
        <v>9589289.8000000007</v>
      </c>
      <c r="P31" s="67"/>
      <c r="Q31" s="67"/>
      <c r="R31" s="67"/>
      <c r="S31" s="67"/>
      <c r="T31" s="67"/>
      <c r="U31" s="67"/>
      <c r="V31" s="67"/>
      <c r="W31" s="67"/>
      <c r="X31" s="67"/>
    </row>
    <row r="32" spans="1:24" x14ac:dyDescent="0.25">
      <c r="A32" t="s">
        <v>211</v>
      </c>
      <c r="B32" t="s">
        <v>231</v>
      </c>
      <c r="C32">
        <v>2016</v>
      </c>
      <c r="D32">
        <v>376</v>
      </c>
      <c r="E32">
        <v>387.2</v>
      </c>
      <c r="F32">
        <v>9.3000000000000007</v>
      </c>
      <c r="G32">
        <v>8.3000000000000007</v>
      </c>
      <c r="H32">
        <v>96.2</v>
      </c>
      <c r="I32">
        <f t="shared" si="0"/>
        <v>145587.19999999998</v>
      </c>
      <c r="J32">
        <f t="shared" si="1"/>
        <v>36171.200000000004</v>
      </c>
      <c r="K32" s="67"/>
      <c r="L32" s="69" t="s">
        <v>211</v>
      </c>
      <c r="M32" s="12">
        <v>95834</v>
      </c>
      <c r="N32" s="12">
        <v>32796064.800000001</v>
      </c>
      <c r="O32" s="12">
        <v>8301026.9000000004</v>
      </c>
      <c r="P32" s="67"/>
      <c r="Q32" s="67"/>
      <c r="R32" s="67"/>
      <c r="S32" s="67"/>
      <c r="T32" s="67"/>
      <c r="U32" s="67"/>
      <c r="V32" s="67"/>
      <c r="W32" s="67"/>
      <c r="X32" s="67"/>
    </row>
    <row r="33" spans="1:24" x14ac:dyDescent="0.25">
      <c r="A33" t="s">
        <v>211</v>
      </c>
      <c r="B33" t="s">
        <v>231</v>
      </c>
      <c r="C33">
        <v>2017</v>
      </c>
      <c r="D33">
        <v>438</v>
      </c>
      <c r="E33">
        <v>381.2</v>
      </c>
      <c r="F33">
        <v>9</v>
      </c>
      <c r="G33">
        <v>8.3000000000000007</v>
      </c>
      <c r="H33">
        <v>93</v>
      </c>
      <c r="I33">
        <f t="shared" si="0"/>
        <v>166965.6</v>
      </c>
      <c r="J33">
        <f t="shared" si="1"/>
        <v>40734</v>
      </c>
      <c r="K33" s="67"/>
      <c r="L33" s="69" t="s">
        <v>219</v>
      </c>
      <c r="M33" s="12">
        <v>33793</v>
      </c>
      <c r="N33" s="12">
        <v>10279331.4</v>
      </c>
      <c r="O33" s="12">
        <v>1288262.8999999999</v>
      </c>
      <c r="P33" s="67"/>
      <c r="Q33" s="67"/>
      <c r="R33" s="67"/>
      <c r="S33" s="67"/>
      <c r="T33" s="67"/>
      <c r="U33" s="67"/>
      <c r="V33" s="67"/>
      <c r="W33" s="67"/>
      <c r="X33" s="67"/>
    </row>
    <row r="34" spans="1:24" x14ac:dyDescent="0.25">
      <c r="A34" t="s">
        <v>211</v>
      </c>
      <c r="B34" t="s">
        <v>231</v>
      </c>
      <c r="C34">
        <v>2018</v>
      </c>
      <c r="D34">
        <v>621</v>
      </c>
      <c r="E34">
        <v>372.9</v>
      </c>
      <c r="F34">
        <v>8.3000000000000007</v>
      </c>
      <c r="G34">
        <v>8.1</v>
      </c>
      <c r="H34">
        <v>89.5</v>
      </c>
      <c r="I34">
        <f t="shared" si="0"/>
        <v>231570.9</v>
      </c>
      <c r="J34">
        <f t="shared" si="1"/>
        <v>55579.5</v>
      </c>
      <c r="K34" s="67"/>
      <c r="L34" s="68" t="s">
        <v>221</v>
      </c>
      <c r="M34" s="12">
        <v>135714</v>
      </c>
      <c r="N34" s="12">
        <v>42059543.600000001</v>
      </c>
      <c r="O34" s="12">
        <v>3666350.4</v>
      </c>
      <c r="P34" s="67"/>
      <c r="Q34" s="67"/>
      <c r="R34" s="67"/>
      <c r="S34" s="67"/>
      <c r="T34" s="67"/>
      <c r="U34" s="67"/>
      <c r="V34" s="67"/>
      <c r="W34" s="67"/>
      <c r="X34" s="67"/>
    </row>
    <row r="35" spans="1:24" x14ac:dyDescent="0.25">
      <c r="A35" t="s">
        <v>211</v>
      </c>
      <c r="B35" t="s">
        <v>231</v>
      </c>
      <c r="C35">
        <v>2019</v>
      </c>
      <c r="D35">
        <v>507</v>
      </c>
      <c r="E35">
        <v>365.3</v>
      </c>
      <c r="F35">
        <v>7.9</v>
      </c>
      <c r="G35">
        <v>7.7</v>
      </c>
      <c r="H35">
        <v>92.1</v>
      </c>
      <c r="I35">
        <f t="shared" si="0"/>
        <v>185207.1</v>
      </c>
      <c r="J35">
        <f t="shared" si="1"/>
        <v>46694.7</v>
      </c>
      <c r="K35" s="67"/>
      <c r="L35" s="69" t="s">
        <v>221</v>
      </c>
      <c r="M35" s="12">
        <v>135714</v>
      </c>
      <c r="N35" s="12">
        <v>42059543.600000001</v>
      </c>
      <c r="O35" s="12">
        <v>3666350.4</v>
      </c>
      <c r="P35" s="67"/>
      <c r="Q35" s="67"/>
      <c r="R35" s="67"/>
      <c r="S35" s="67"/>
      <c r="T35" s="67"/>
      <c r="U35" s="67"/>
      <c r="V35" s="67"/>
      <c r="W35" s="67"/>
      <c r="X35" s="67"/>
    </row>
    <row r="36" spans="1:24" x14ac:dyDescent="0.25">
      <c r="A36" t="s">
        <v>211</v>
      </c>
      <c r="B36" t="s">
        <v>231</v>
      </c>
      <c r="C36">
        <v>2020</v>
      </c>
      <c r="D36">
        <v>692</v>
      </c>
      <c r="E36">
        <v>372</v>
      </c>
      <c r="F36">
        <v>7.7</v>
      </c>
      <c r="G36">
        <v>7.8</v>
      </c>
      <c r="H36">
        <v>100.2</v>
      </c>
      <c r="I36">
        <f t="shared" si="0"/>
        <v>257424</v>
      </c>
      <c r="J36">
        <f t="shared" si="1"/>
        <v>69338.400000000009</v>
      </c>
      <c r="K36" s="67"/>
      <c r="L36" s="68" t="s">
        <v>222</v>
      </c>
      <c r="M36" s="12">
        <v>39806</v>
      </c>
      <c r="N36" s="12">
        <v>13394002.4</v>
      </c>
      <c r="O36" s="12">
        <v>1134912.8</v>
      </c>
      <c r="P36" s="67"/>
      <c r="Q36" s="67"/>
      <c r="R36" s="67"/>
      <c r="S36" s="67"/>
      <c r="T36" s="67"/>
      <c r="U36" s="67"/>
      <c r="V36" s="67"/>
      <c r="W36" s="67"/>
      <c r="X36" s="67"/>
    </row>
    <row r="37" spans="1:24" x14ac:dyDescent="0.25">
      <c r="A37" t="s">
        <v>211</v>
      </c>
      <c r="B37" t="s">
        <v>231</v>
      </c>
      <c r="C37">
        <v>2021</v>
      </c>
      <c r="D37">
        <v>549</v>
      </c>
      <c r="E37">
        <v>381.3</v>
      </c>
      <c r="F37">
        <v>8.3000000000000007</v>
      </c>
      <c r="G37">
        <v>8</v>
      </c>
      <c r="H37">
        <v>89</v>
      </c>
      <c r="I37">
        <f t="shared" si="0"/>
        <v>209333.7</v>
      </c>
      <c r="J37">
        <f t="shared" si="1"/>
        <v>48861</v>
      </c>
      <c r="K37" s="67"/>
      <c r="L37" s="69" t="s">
        <v>222</v>
      </c>
      <c r="M37" s="12">
        <v>39806</v>
      </c>
      <c r="N37" s="12">
        <v>13394002.4</v>
      </c>
      <c r="O37" s="12">
        <v>1134912.8</v>
      </c>
      <c r="P37" s="67"/>
      <c r="Q37" s="67"/>
      <c r="R37" s="67"/>
      <c r="S37" s="67"/>
      <c r="T37" s="67"/>
      <c r="U37" s="67"/>
      <c r="V37" s="67"/>
      <c r="W37" s="67"/>
      <c r="X37" s="67"/>
    </row>
    <row r="38" spans="1:24" x14ac:dyDescent="0.25">
      <c r="A38" t="s">
        <v>211</v>
      </c>
      <c r="B38" t="s">
        <v>232</v>
      </c>
      <c r="C38">
        <v>2016</v>
      </c>
      <c r="D38">
        <v>1709</v>
      </c>
      <c r="E38">
        <v>374.6</v>
      </c>
      <c r="F38">
        <v>8.8000000000000007</v>
      </c>
      <c r="G38">
        <v>6.6</v>
      </c>
      <c r="H38">
        <v>91.2</v>
      </c>
      <c r="I38">
        <f t="shared" si="0"/>
        <v>640191.4</v>
      </c>
      <c r="J38">
        <f t="shared" si="1"/>
        <v>155860.80000000002</v>
      </c>
      <c r="K38" s="67"/>
      <c r="L38" s="68" t="s">
        <v>223</v>
      </c>
      <c r="M38" s="12">
        <v>274571</v>
      </c>
      <c r="N38" s="12">
        <v>98173835.999999985</v>
      </c>
      <c r="O38" s="12">
        <v>5490897.5999999996</v>
      </c>
      <c r="P38" s="67"/>
      <c r="Q38" s="67"/>
      <c r="R38" s="67"/>
      <c r="S38" s="67"/>
      <c r="T38" s="67"/>
      <c r="U38" s="67"/>
      <c r="V38" s="67"/>
      <c r="W38" s="67"/>
      <c r="X38" s="67"/>
    </row>
    <row r="39" spans="1:24" x14ac:dyDescent="0.25">
      <c r="A39" t="s">
        <v>211</v>
      </c>
      <c r="B39" t="s">
        <v>232</v>
      </c>
      <c r="C39">
        <v>2017</v>
      </c>
      <c r="D39">
        <v>1951</v>
      </c>
      <c r="E39">
        <v>379.3</v>
      </c>
      <c r="F39">
        <v>8.6999999999999993</v>
      </c>
      <c r="G39">
        <v>6.7</v>
      </c>
      <c r="H39">
        <v>92.5</v>
      </c>
      <c r="I39">
        <f t="shared" si="0"/>
        <v>740014.3</v>
      </c>
      <c r="J39">
        <f t="shared" si="1"/>
        <v>180467.5</v>
      </c>
      <c r="K39" s="67"/>
      <c r="L39" s="69" t="s">
        <v>224</v>
      </c>
      <c r="M39" s="12">
        <v>245666</v>
      </c>
      <c r="N39" s="12">
        <v>87640451.299999982</v>
      </c>
      <c r="O39" s="12">
        <v>4640779.0999999996</v>
      </c>
      <c r="P39" s="67"/>
      <c r="Q39" s="67"/>
      <c r="R39" s="67"/>
      <c r="S39" s="67"/>
      <c r="T39" s="67"/>
      <c r="U39" s="67"/>
      <c r="V39" s="67"/>
      <c r="W39" s="67"/>
      <c r="X39" s="67"/>
    </row>
    <row r="40" spans="1:24" x14ac:dyDescent="0.25">
      <c r="A40" t="s">
        <v>211</v>
      </c>
      <c r="B40" t="s">
        <v>232</v>
      </c>
      <c r="C40">
        <v>2018</v>
      </c>
      <c r="D40">
        <v>2598</v>
      </c>
      <c r="E40">
        <v>358.3</v>
      </c>
      <c r="F40">
        <v>7.6</v>
      </c>
      <c r="G40">
        <v>6.2</v>
      </c>
      <c r="H40">
        <v>89.8</v>
      </c>
      <c r="I40">
        <f t="shared" si="0"/>
        <v>930863.4</v>
      </c>
      <c r="J40">
        <f t="shared" si="1"/>
        <v>233300.4</v>
      </c>
      <c r="K40" s="67"/>
      <c r="L40" s="69" t="s">
        <v>226</v>
      </c>
      <c r="M40" s="12">
        <v>28905</v>
      </c>
      <c r="N40" s="12">
        <v>10533384.699999999</v>
      </c>
      <c r="O40" s="12">
        <v>850118.5</v>
      </c>
      <c r="P40" s="67"/>
      <c r="Q40" s="67"/>
      <c r="R40" s="67"/>
      <c r="S40" s="67"/>
      <c r="T40" s="67"/>
      <c r="U40" s="67"/>
      <c r="V40" s="67"/>
      <c r="W40" s="67"/>
      <c r="X40" s="67"/>
    </row>
    <row r="41" spans="1:24" x14ac:dyDescent="0.25">
      <c r="A41" t="s">
        <v>211</v>
      </c>
      <c r="B41" t="s">
        <v>232</v>
      </c>
      <c r="C41">
        <v>2019</v>
      </c>
      <c r="D41">
        <v>2584</v>
      </c>
      <c r="E41">
        <v>359.2</v>
      </c>
      <c r="F41">
        <v>7.5</v>
      </c>
      <c r="G41">
        <v>6.3</v>
      </c>
      <c r="H41">
        <v>87.9</v>
      </c>
      <c r="I41">
        <f t="shared" si="0"/>
        <v>928172.79999999993</v>
      </c>
      <c r="J41">
        <f t="shared" si="1"/>
        <v>227133.6</v>
      </c>
      <c r="K41" s="67"/>
      <c r="L41" s="68" t="s">
        <v>128</v>
      </c>
      <c r="M41" s="12">
        <v>13034</v>
      </c>
      <c r="N41" s="12">
        <v>2061999</v>
      </c>
      <c r="O41" s="12">
        <v>143432.29999999999</v>
      </c>
      <c r="P41" s="67"/>
      <c r="Q41" s="67"/>
      <c r="R41" s="67"/>
      <c r="S41" s="67"/>
      <c r="T41" s="67"/>
      <c r="U41" s="67"/>
      <c r="V41" s="67"/>
      <c r="W41" s="67"/>
      <c r="X41" s="67"/>
    </row>
    <row r="42" spans="1:24" x14ac:dyDescent="0.25">
      <c r="A42" t="s">
        <v>211</v>
      </c>
      <c r="B42" t="s">
        <v>232</v>
      </c>
      <c r="C42">
        <v>2020</v>
      </c>
      <c r="D42">
        <v>2416</v>
      </c>
      <c r="E42">
        <v>363.9</v>
      </c>
      <c r="F42">
        <v>7.6</v>
      </c>
      <c r="G42">
        <v>6.3</v>
      </c>
      <c r="H42">
        <v>88.8</v>
      </c>
      <c r="I42">
        <f t="shared" si="0"/>
        <v>879182.39999999991</v>
      </c>
      <c r="J42">
        <f t="shared" si="1"/>
        <v>214540.79999999999</v>
      </c>
      <c r="K42" s="67"/>
      <c r="L42" s="69" t="s">
        <v>128</v>
      </c>
      <c r="M42" s="12">
        <v>13034</v>
      </c>
      <c r="N42" s="12">
        <v>2061999</v>
      </c>
      <c r="O42" s="12">
        <v>143432.29999999999</v>
      </c>
      <c r="P42" s="67"/>
      <c r="Q42" s="67"/>
      <c r="R42" s="67"/>
      <c r="S42" s="67"/>
      <c r="T42" s="67"/>
      <c r="U42" s="67"/>
      <c r="V42" s="67"/>
      <c r="W42" s="67"/>
      <c r="X42" s="67"/>
    </row>
    <row r="43" spans="1:24" x14ac:dyDescent="0.25">
      <c r="A43" t="s">
        <v>211</v>
      </c>
      <c r="B43" t="s">
        <v>232</v>
      </c>
      <c r="C43">
        <v>2021</v>
      </c>
      <c r="D43">
        <v>2357</v>
      </c>
      <c r="E43">
        <v>374</v>
      </c>
      <c r="F43">
        <v>7.9</v>
      </c>
      <c r="G43">
        <v>6.6</v>
      </c>
      <c r="H43">
        <v>87.8</v>
      </c>
      <c r="I43">
        <f t="shared" si="0"/>
        <v>881518</v>
      </c>
      <c r="J43">
        <f t="shared" si="1"/>
        <v>206944.6</v>
      </c>
      <c r="K43" s="67"/>
      <c r="L43" s="66" t="s">
        <v>233</v>
      </c>
      <c r="M43" s="12">
        <v>2003409</v>
      </c>
      <c r="N43" s="12">
        <v>645582516.89999998</v>
      </c>
      <c r="O43" s="12">
        <v>75200971.799999982</v>
      </c>
      <c r="P43" s="67"/>
      <c r="Q43" s="67"/>
      <c r="R43" s="67"/>
      <c r="S43" s="67"/>
      <c r="T43" s="67"/>
      <c r="U43" s="67"/>
      <c r="V43" s="67"/>
      <c r="W43" s="67"/>
      <c r="X43" s="67"/>
    </row>
    <row r="44" spans="1:24" x14ac:dyDescent="0.25">
      <c r="A44" t="s">
        <v>211</v>
      </c>
      <c r="B44" t="s">
        <v>234</v>
      </c>
      <c r="C44">
        <v>2016</v>
      </c>
      <c r="D44">
        <v>483</v>
      </c>
      <c r="E44">
        <v>230.7</v>
      </c>
      <c r="F44">
        <v>8.1999999999999993</v>
      </c>
      <c r="G44">
        <v>4.5999999999999996</v>
      </c>
      <c r="H44">
        <v>108.5</v>
      </c>
      <c r="I44">
        <f t="shared" si="0"/>
        <v>111428.09999999999</v>
      </c>
      <c r="J44">
        <f t="shared" si="1"/>
        <v>52405.5</v>
      </c>
      <c r="K44" s="67"/>
      <c r="P44" s="67"/>
      <c r="Q44" s="67"/>
      <c r="R44" s="67"/>
      <c r="S44" s="67"/>
      <c r="T44" s="67"/>
      <c r="U44" s="67"/>
      <c r="V44" s="67"/>
      <c r="W44" s="67"/>
      <c r="X44" s="67"/>
    </row>
    <row r="45" spans="1:24" x14ac:dyDescent="0.25">
      <c r="A45" t="s">
        <v>211</v>
      </c>
      <c r="B45" t="s">
        <v>234</v>
      </c>
      <c r="C45">
        <v>2017</v>
      </c>
      <c r="D45">
        <v>427</v>
      </c>
      <c r="E45">
        <v>231.8</v>
      </c>
      <c r="F45">
        <v>8.1</v>
      </c>
      <c r="G45">
        <v>4.7</v>
      </c>
      <c r="H45">
        <v>98</v>
      </c>
      <c r="I45">
        <f t="shared" si="0"/>
        <v>98978.6</v>
      </c>
      <c r="J45">
        <f t="shared" si="1"/>
        <v>41846</v>
      </c>
      <c r="K45" s="67"/>
      <c r="P45" s="67"/>
      <c r="Q45" s="67"/>
      <c r="R45" s="67"/>
      <c r="S45" s="67"/>
      <c r="T45" s="67"/>
      <c r="U45" s="67"/>
      <c r="V45" s="67"/>
      <c r="W45" s="67"/>
      <c r="X45" s="67"/>
    </row>
    <row r="46" spans="1:24" x14ac:dyDescent="0.25">
      <c r="A46" t="s">
        <v>211</v>
      </c>
      <c r="B46" t="s">
        <v>234</v>
      </c>
      <c r="C46">
        <v>2018</v>
      </c>
      <c r="D46">
        <v>546</v>
      </c>
      <c r="E46">
        <v>224.4</v>
      </c>
      <c r="F46">
        <v>7.6</v>
      </c>
      <c r="G46">
        <v>4.4000000000000004</v>
      </c>
      <c r="H46">
        <v>100.9</v>
      </c>
      <c r="I46">
        <f t="shared" si="0"/>
        <v>122522.40000000001</v>
      </c>
      <c r="J46">
        <f t="shared" si="1"/>
        <v>55091.4</v>
      </c>
      <c r="K46" s="67"/>
      <c r="P46" s="67"/>
      <c r="Q46" s="67"/>
      <c r="R46" s="67"/>
      <c r="S46" s="67"/>
      <c r="T46" s="67"/>
      <c r="U46" s="67"/>
      <c r="V46" s="67"/>
      <c r="W46" s="67"/>
      <c r="X46" s="67"/>
    </row>
    <row r="47" spans="1:24" x14ac:dyDescent="0.25">
      <c r="A47" t="s">
        <v>211</v>
      </c>
      <c r="B47" t="s">
        <v>234</v>
      </c>
      <c r="C47">
        <v>2019</v>
      </c>
      <c r="D47">
        <v>408</v>
      </c>
      <c r="E47">
        <v>224.2</v>
      </c>
      <c r="F47">
        <v>7.3</v>
      </c>
      <c r="G47">
        <v>4.3</v>
      </c>
      <c r="H47">
        <v>105.8</v>
      </c>
      <c r="I47">
        <f t="shared" si="0"/>
        <v>91473.599999999991</v>
      </c>
      <c r="J47">
        <f t="shared" si="1"/>
        <v>43166.400000000001</v>
      </c>
      <c r="K47" s="67"/>
      <c r="P47" s="67"/>
      <c r="Q47" s="67"/>
      <c r="R47" s="67"/>
      <c r="S47" s="67"/>
      <c r="T47" s="67"/>
      <c r="U47" s="67"/>
      <c r="V47" s="67"/>
      <c r="W47" s="67"/>
      <c r="X47" s="67"/>
    </row>
    <row r="48" spans="1:24" x14ac:dyDescent="0.25">
      <c r="A48" t="s">
        <v>211</v>
      </c>
      <c r="B48" t="s">
        <v>234</v>
      </c>
      <c r="C48">
        <v>2020</v>
      </c>
      <c r="D48">
        <v>428</v>
      </c>
      <c r="E48">
        <v>232.7</v>
      </c>
      <c r="F48">
        <v>7.8</v>
      </c>
      <c r="G48">
        <v>4.5999999999999996</v>
      </c>
      <c r="H48">
        <v>106.7</v>
      </c>
      <c r="I48">
        <f t="shared" si="0"/>
        <v>99595.599999999991</v>
      </c>
      <c r="J48">
        <f t="shared" si="1"/>
        <v>45667.6</v>
      </c>
      <c r="K48" s="67"/>
      <c r="P48" s="67"/>
      <c r="Q48" s="67"/>
      <c r="R48" s="67"/>
      <c r="S48" s="67"/>
      <c r="T48" s="67"/>
      <c r="U48" s="67"/>
      <c r="V48" s="67"/>
      <c r="W48" s="67"/>
      <c r="X48" s="67"/>
    </row>
    <row r="49" spans="1:24" x14ac:dyDescent="0.25">
      <c r="A49" t="s">
        <v>211</v>
      </c>
      <c r="B49" t="s">
        <v>234</v>
      </c>
      <c r="C49">
        <v>2021</v>
      </c>
      <c r="D49">
        <v>305</v>
      </c>
      <c r="E49">
        <v>227.8</v>
      </c>
      <c r="F49">
        <v>7.56</v>
      </c>
      <c r="G49">
        <v>4.5</v>
      </c>
      <c r="H49">
        <v>108.4</v>
      </c>
      <c r="I49">
        <f t="shared" si="0"/>
        <v>69479</v>
      </c>
      <c r="J49">
        <f t="shared" si="1"/>
        <v>33062</v>
      </c>
      <c r="K49" s="67"/>
      <c r="P49" s="67"/>
      <c r="Q49" s="67"/>
      <c r="R49" s="67"/>
      <c r="S49" s="67"/>
      <c r="T49" s="67"/>
      <c r="U49" s="67"/>
      <c r="V49" s="67"/>
      <c r="W49" s="67"/>
      <c r="X49" s="67"/>
    </row>
    <row r="50" spans="1:24" x14ac:dyDescent="0.25">
      <c r="A50" t="s">
        <v>211</v>
      </c>
      <c r="B50" t="s">
        <v>235</v>
      </c>
      <c r="C50">
        <v>2016</v>
      </c>
      <c r="D50">
        <v>110</v>
      </c>
      <c r="E50">
        <v>389.5</v>
      </c>
      <c r="F50">
        <v>7.1</v>
      </c>
      <c r="G50">
        <v>7.8</v>
      </c>
      <c r="H50">
        <v>109.9</v>
      </c>
      <c r="I50">
        <f t="shared" si="0"/>
        <v>42845</v>
      </c>
      <c r="J50">
        <f t="shared" si="1"/>
        <v>12089</v>
      </c>
      <c r="K50" s="67"/>
      <c r="P50" s="67"/>
      <c r="Q50" s="67"/>
      <c r="R50" s="67"/>
      <c r="S50" s="67"/>
      <c r="T50" s="67"/>
      <c r="U50" s="67"/>
      <c r="V50" s="67"/>
      <c r="W50" s="67"/>
      <c r="X50" s="67"/>
    </row>
    <row r="51" spans="1:24" x14ac:dyDescent="0.25">
      <c r="A51" t="s">
        <v>211</v>
      </c>
      <c r="B51" t="s">
        <v>235</v>
      </c>
      <c r="C51">
        <v>2017</v>
      </c>
      <c r="D51">
        <v>98</v>
      </c>
      <c r="E51">
        <v>427.9</v>
      </c>
      <c r="F51">
        <v>8</v>
      </c>
      <c r="G51">
        <v>8.4</v>
      </c>
      <c r="H51">
        <v>103.3</v>
      </c>
      <c r="I51">
        <f t="shared" si="0"/>
        <v>41934.199999999997</v>
      </c>
      <c r="J51">
        <f t="shared" si="1"/>
        <v>10123.4</v>
      </c>
      <c r="K51" s="67"/>
      <c r="P51" s="67"/>
      <c r="Q51" s="67"/>
      <c r="R51" s="67"/>
      <c r="S51" s="67"/>
      <c r="T51" s="67"/>
      <c r="U51" s="67"/>
      <c r="V51" s="67"/>
      <c r="W51" s="67"/>
      <c r="X51" s="67"/>
    </row>
    <row r="52" spans="1:24" x14ac:dyDescent="0.25">
      <c r="A52" t="s">
        <v>211</v>
      </c>
      <c r="B52" t="s">
        <v>235</v>
      </c>
      <c r="C52">
        <v>2018</v>
      </c>
      <c r="D52">
        <v>139</v>
      </c>
      <c r="E52">
        <v>394.5</v>
      </c>
      <c r="F52">
        <v>6.7</v>
      </c>
      <c r="G52">
        <v>8.1</v>
      </c>
      <c r="H52">
        <v>101</v>
      </c>
      <c r="I52">
        <f t="shared" si="0"/>
        <v>54835.5</v>
      </c>
      <c r="J52">
        <f t="shared" si="1"/>
        <v>14039</v>
      </c>
      <c r="K52" s="67"/>
      <c r="P52" s="67"/>
      <c r="Q52" s="67"/>
      <c r="R52" s="67"/>
      <c r="S52" s="67"/>
      <c r="T52" s="67"/>
      <c r="U52" s="67"/>
      <c r="V52" s="67"/>
      <c r="W52" s="67"/>
      <c r="X52" s="67"/>
    </row>
    <row r="53" spans="1:24" x14ac:dyDescent="0.25">
      <c r="A53" t="s">
        <v>211</v>
      </c>
      <c r="B53" t="s">
        <v>235</v>
      </c>
      <c r="C53">
        <v>2019</v>
      </c>
      <c r="D53">
        <v>162</v>
      </c>
      <c r="E53">
        <v>402.6</v>
      </c>
      <c r="F53">
        <v>7.1</v>
      </c>
      <c r="G53">
        <v>7.7</v>
      </c>
      <c r="H53">
        <v>105.8</v>
      </c>
      <c r="I53">
        <f t="shared" si="0"/>
        <v>65221.200000000004</v>
      </c>
      <c r="J53">
        <f t="shared" si="1"/>
        <v>17139.599999999999</v>
      </c>
      <c r="K53" s="67"/>
      <c r="P53" s="67"/>
      <c r="Q53" s="67"/>
      <c r="R53" s="67"/>
      <c r="S53" s="67"/>
      <c r="T53" s="67"/>
      <c r="U53" s="67"/>
      <c r="V53" s="67"/>
      <c r="W53" s="67"/>
      <c r="X53" s="67"/>
    </row>
    <row r="54" spans="1:24" x14ac:dyDescent="0.25">
      <c r="A54" t="s">
        <v>211</v>
      </c>
      <c r="B54" t="s">
        <v>235</v>
      </c>
      <c r="C54">
        <v>2020</v>
      </c>
      <c r="D54">
        <v>127</v>
      </c>
      <c r="E54">
        <v>407.7</v>
      </c>
      <c r="F54">
        <v>6.7</v>
      </c>
      <c r="G54">
        <v>7.9</v>
      </c>
      <c r="H54">
        <v>103.6</v>
      </c>
      <c r="I54">
        <f t="shared" si="0"/>
        <v>51777.9</v>
      </c>
      <c r="J54">
        <f t="shared" si="1"/>
        <v>13157.199999999999</v>
      </c>
      <c r="K54" s="67"/>
      <c r="P54" s="67"/>
      <c r="Q54" s="67"/>
      <c r="R54" s="67"/>
      <c r="S54" s="67"/>
      <c r="T54" s="67"/>
      <c r="U54" s="67"/>
      <c r="V54" s="67"/>
      <c r="W54" s="67"/>
      <c r="X54" s="67"/>
    </row>
    <row r="55" spans="1:24" x14ac:dyDescent="0.25">
      <c r="A55" t="s">
        <v>211</v>
      </c>
      <c r="B55" t="s">
        <v>235</v>
      </c>
      <c r="C55">
        <v>2021</v>
      </c>
      <c r="D55">
        <v>135</v>
      </c>
      <c r="E55">
        <v>427.1</v>
      </c>
      <c r="F55">
        <v>6.7</v>
      </c>
      <c r="G55">
        <v>8.1</v>
      </c>
      <c r="H55">
        <v>93.9</v>
      </c>
      <c r="I55">
        <f t="shared" si="0"/>
        <v>57658.5</v>
      </c>
      <c r="J55">
        <f t="shared" si="1"/>
        <v>12676.5</v>
      </c>
      <c r="K55" s="67"/>
      <c r="P55" s="67"/>
      <c r="Q55" s="67"/>
      <c r="R55" s="67"/>
      <c r="S55" s="67"/>
      <c r="T55" s="67"/>
      <c r="U55" s="67"/>
      <c r="V55" s="67"/>
      <c r="W55" s="67"/>
      <c r="X55" s="67"/>
    </row>
    <row r="56" spans="1:24" x14ac:dyDescent="0.25">
      <c r="A56" t="s">
        <v>211</v>
      </c>
      <c r="B56" t="s">
        <v>236</v>
      </c>
      <c r="C56">
        <v>2016</v>
      </c>
      <c r="D56">
        <v>15724</v>
      </c>
      <c r="E56">
        <v>345</v>
      </c>
      <c r="F56">
        <v>9</v>
      </c>
      <c r="G56">
        <v>5.6</v>
      </c>
      <c r="H56">
        <v>87.3</v>
      </c>
      <c r="I56">
        <f t="shared" si="0"/>
        <v>5424780</v>
      </c>
      <c r="J56">
        <f t="shared" si="1"/>
        <v>1372705.2</v>
      </c>
      <c r="K56" s="67"/>
      <c r="P56" s="67"/>
      <c r="Q56" s="67"/>
      <c r="R56" s="67"/>
      <c r="S56" s="67"/>
      <c r="T56" s="67"/>
      <c r="U56" s="67"/>
      <c r="V56" s="67"/>
      <c r="W56" s="67"/>
      <c r="X56" s="67"/>
    </row>
    <row r="57" spans="1:24" x14ac:dyDescent="0.25">
      <c r="A57" t="s">
        <v>211</v>
      </c>
      <c r="B57" t="s">
        <v>236</v>
      </c>
      <c r="C57">
        <v>2017</v>
      </c>
      <c r="D57">
        <v>15992</v>
      </c>
      <c r="E57">
        <v>345.7</v>
      </c>
      <c r="F57">
        <v>8.8000000000000007</v>
      </c>
      <c r="G57">
        <v>5.7</v>
      </c>
      <c r="H57">
        <v>87.1</v>
      </c>
      <c r="I57">
        <f t="shared" si="0"/>
        <v>5528434.3999999994</v>
      </c>
      <c r="J57">
        <f t="shared" si="1"/>
        <v>1392903.2</v>
      </c>
      <c r="K57" s="67"/>
      <c r="P57" s="67"/>
      <c r="Q57" s="67"/>
      <c r="R57" s="67"/>
      <c r="S57" s="67"/>
      <c r="T57" s="67"/>
      <c r="U57" s="67"/>
      <c r="V57" s="67"/>
      <c r="W57" s="67"/>
      <c r="X57" s="67"/>
    </row>
    <row r="58" spans="1:24" x14ac:dyDescent="0.25">
      <c r="A58" t="s">
        <v>211</v>
      </c>
      <c r="B58" t="s">
        <v>236</v>
      </c>
      <c r="C58">
        <v>2018</v>
      </c>
      <c r="D58">
        <v>20874</v>
      </c>
      <c r="E58">
        <v>339.3</v>
      </c>
      <c r="F58">
        <v>8.3000000000000007</v>
      </c>
      <c r="G58">
        <v>5.6</v>
      </c>
      <c r="H58">
        <v>86.5</v>
      </c>
      <c r="I58">
        <f t="shared" si="0"/>
        <v>7082548.2000000002</v>
      </c>
      <c r="J58">
        <f t="shared" si="1"/>
        <v>1805601</v>
      </c>
      <c r="K58" s="67"/>
      <c r="P58" s="67"/>
      <c r="Q58" s="67"/>
      <c r="R58" s="67"/>
      <c r="S58" s="67"/>
      <c r="T58" s="67"/>
      <c r="U58" s="67"/>
      <c r="V58" s="67"/>
      <c r="W58" s="67"/>
      <c r="X58" s="67"/>
    </row>
    <row r="59" spans="1:24" x14ac:dyDescent="0.25">
      <c r="A59" t="s">
        <v>211</v>
      </c>
      <c r="B59" t="s">
        <v>236</v>
      </c>
      <c r="C59">
        <v>2019</v>
      </c>
      <c r="D59">
        <v>21397</v>
      </c>
      <c r="E59">
        <v>338.8</v>
      </c>
      <c r="F59">
        <v>8.1999999999999993</v>
      </c>
      <c r="G59">
        <v>5.5</v>
      </c>
      <c r="H59">
        <v>86.2</v>
      </c>
      <c r="I59">
        <f t="shared" si="0"/>
        <v>7249303.6000000006</v>
      </c>
      <c r="J59">
        <f t="shared" si="1"/>
        <v>1844421.4000000001</v>
      </c>
      <c r="K59" s="67"/>
      <c r="P59" s="67"/>
      <c r="Q59" s="67"/>
      <c r="R59" s="67"/>
      <c r="S59" s="67"/>
      <c r="T59" s="67"/>
      <c r="U59" s="67"/>
      <c r="V59" s="67"/>
      <c r="W59" s="67"/>
      <c r="X59" s="67"/>
    </row>
    <row r="60" spans="1:24" x14ac:dyDescent="0.25">
      <c r="A60" t="s">
        <v>211</v>
      </c>
      <c r="B60" t="s">
        <v>236</v>
      </c>
      <c r="C60">
        <v>2020</v>
      </c>
      <c r="D60">
        <v>21847</v>
      </c>
      <c r="E60">
        <v>343.8</v>
      </c>
      <c r="F60">
        <v>8.1999999999999993</v>
      </c>
      <c r="G60">
        <v>5.6</v>
      </c>
      <c r="H60">
        <v>86.3</v>
      </c>
      <c r="I60">
        <f t="shared" si="0"/>
        <v>7510998.6000000006</v>
      </c>
      <c r="J60">
        <f t="shared" si="1"/>
        <v>1885396.0999999999</v>
      </c>
      <c r="K60" s="67"/>
      <c r="P60" s="67"/>
      <c r="Q60" s="67"/>
      <c r="R60" s="67"/>
      <c r="S60" s="67"/>
      <c r="T60" s="67"/>
      <c r="U60" s="67"/>
      <c r="V60" s="67"/>
      <c r="W60" s="67"/>
      <c r="X60" s="67"/>
    </row>
    <row r="61" spans="1:24" x14ac:dyDescent="0.25">
      <c r="A61" t="s">
        <v>211</v>
      </c>
      <c r="B61" t="s">
        <v>236</v>
      </c>
      <c r="C61">
        <v>2021</v>
      </c>
      <c r="D61">
        <v>19983</v>
      </c>
      <c r="E61">
        <v>350.4</v>
      </c>
      <c r="F61">
        <v>8.3000000000000007</v>
      </c>
      <c r="G61">
        <v>5.8</v>
      </c>
      <c r="H61">
        <v>84.9</v>
      </c>
      <c r="I61">
        <f t="shared" si="0"/>
        <v>7002043.1999999993</v>
      </c>
      <c r="J61">
        <f t="shared" si="1"/>
        <v>1696556.7000000002</v>
      </c>
      <c r="K61" s="67"/>
      <c r="P61" s="67"/>
      <c r="Q61" s="67"/>
      <c r="R61" s="67"/>
      <c r="S61" s="67"/>
      <c r="T61" s="67"/>
      <c r="U61" s="67"/>
      <c r="V61" s="67"/>
      <c r="W61" s="67"/>
      <c r="X61" s="67"/>
    </row>
    <row r="62" spans="1:24" x14ac:dyDescent="0.25">
      <c r="A62" t="s">
        <v>219</v>
      </c>
      <c r="B62" t="s">
        <v>212</v>
      </c>
      <c r="C62">
        <v>2016</v>
      </c>
      <c r="D62">
        <v>10952</v>
      </c>
      <c r="E62">
        <v>274.39999999999998</v>
      </c>
      <c r="F62">
        <v>7.2</v>
      </c>
      <c r="G62">
        <v>3.9</v>
      </c>
      <c r="H62">
        <v>39.799999999999997</v>
      </c>
      <c r="I62">
        <f t="shared" si="0"/>
        <v>3005228.8</v>
      </c>
      <c r="J62">
        <f t="shared" si="1"/>
        <v>435889.6</v>
      </c>
      <c r="K62" s="67"/>
      <c r="P62" s="67"/>
      <c r="Q62" s="67"/>
      <c r="R62" s="67"/>
      <c r="S62" s="67"/>
      <c r="T62" s="67"/>
      <c r="U62" s="67"/>
      <c r="V62" s="67"/>
      <c r="W62" s="67"/>
      <c r="X62" s="67"/>
    </row>
    <row r="63" spans="1:24" x14ac:dyDescent="0.25">
      <c r="A63" t="s">
        <v>219</v>
      </c>
      <c r="B63" t="s">
        <v>212</v>
      </c>
      <c r="C63">
        <v>2017</v>
      </c>
      <c r="D63">
        <v>9142</v>
      </c>
      <c r="E63">
        <v>282</v>
      </c>
      <c r="F63">
        <v>7.5</v>
      </c>
      <c r="G63">
        <v>4</v>
      </c>
      <c r="H63">
        <v>39.9</v>
      </c>
      <c r="I63">
        <f t="shared" si="0"/>
        <v>2578044</v>
      </c>
      <c r="J63">
        <f t="shared" si="1"/>
        <v>364765.8</v>
      </c>
      <c r="K63" s="67"/>
      <c r="P63" s="67"/>
      <c r="Q63" s="67"/>
      <c r="R63" s="67"/>
      <c r="S63" s="67"/>
      <c r="T63" s="67"/>
      <c r="U63" s="67"/>
      <c r="V63" s="67"/>
      <c r="W63" s="67"/>
      <c r="X63" s="67"/>
    </row>
    <row r="64" spans="1:24" x14ac:dyDescent="0.25">
      <c r="A64" t="s">
        <v>219</v>
      </c>
      <c r="B64" t="s">
        <v>212</v>
      </c>
      <c r="C64">
        <v>2018</v>
      </c>
      <c r="D64">
        <v>8988</v>
      </c>
      <c r="E64">
        <v>277.8</v>
      </c>
      <c r="F64">
        <v>7.2</v>
      </c>
      <c r="G64">
        <v>3.9</v>
      </c>
      <c r="H64">
        <v>40.5</v>
      </c>
      <c r="I64">
        <f t="shared" si="0"/>
        <v>2496866.4</v>
      </c>
      <c r="J64">
        <f t="shared" si="1"/>
        <v>364014</v>
      </c>
      <c r="K64" s="67"/>
      <c r="P64" s="67"/>
      <c r="Q64" s="67"/>
      <c r="R64" s="67"/>
      <c r="S64" s="67"/>
      <c r="T64" s="67"/>
      <c r="U64" s="67"/>
      <c r="V64" s="67"/>
      <c r="W64" s="67"/>
      <c r="X64" s="67"/>
    </row>
    <row r="65" spans="1:24" x14ac:dyDescent="0.25">
      <c r="A65" t="s">
        <v>219</v>
      </c>
      <c r="B65" t="s">
        <v>212</v>
      </c>
      <c r="C65">
        <v>2019</v>
      </c>
      <c r="D65">
        <v>8439</v>
      </c>
      <c r="E65">
        <v>280.39999999999998</v>
      </c>
      <c r="F65">
        <v>7.2</v>
      </c>
      <c r="G65">
        <v>4</v>
      </c>
      <c r="H65">
        <v>42</v>
      </c>
      <c r="I65">
        <f t="shared" si="0"/>
        <v>2366295.5999999996</v>
      </c>
      <c r="J65">
        <f t="shared" si="1"/>
        <v>354438</v>
      </c>
      <c r="K65" s="67"/>
      <c r="P65" s="67"/>
      <c r="Q65" s="67"/>
      <c r="R65" s="67"/>
      <c r="S65" s="67"/>
      <c r="T65" s="67"/>
      <c r="U65" s="67"/>
      <c r="V65" s="67"/>
      <c r="W65" s="67"/>
      <c r="X65" s="67"/>
    </row>
    <row r="66" spans="1:24" x14ac:dyDescent="0.25">
      <c r="A66" t="s">
        <v>219</v>
      </c>
      <c r="B66" t="s">
        <v>212</v>
      </c>
      <c r="C66">
        <v>2020</v>
      </c>
      <c r="D66">
        <v>7515</v>
      </c>
      <c r="E66">
        <v>280.8</v>
      </c>
      <c r="F66">
        <v>7.1</v>
      </c>
      <c r="G66">
        <v>3.9</v>
      </c>
      <c r="H66">
        <v>44.9</v>
      </c>
      <c r="I66">
        <f t="shared" si="0"/>
        <v>2110212</v>
      </c>
      <c r="J66">
        <f t="shared" si="1"/>
        <v>337423.5</v>
      </c>
      <c r="K66" s="67"/>
      <c r="P66" s="67"/>
      <c r="Q66" s="67"/>
      <c r="R66" s="67"/>
      <c r="S66" s="67"/>
      <c r="T66" s="67"/>
      <c r="U66" s="67"/>
      <c r="V66" s="67"/>
      <c r="W66" s="67"/>
      <c r="X66" s="67"/>
    </row>
    <row r="67" spans="1:24" x14ac:dyDescent="0.25">
      <c r="A67" t="s">
        <v>219</v>
      </c>
      <c r="B67" t="s">
        <v>212</v>
      </c>
      <c r="C67">
        <v>2021</v>
      </c>
      <c r="D67">
        <v>6789</v>
      </c>
      <c r="E67">
        <v>283</v>
      </c>
      <c r="F67">
        <v>7</v>
      </c>
      <c r="G67">
        <v>4</v>
      </c>
      <c r="H67">
        <v>47.5</v>
      </c>
      <c r="I67">
        <f t="shared" ref="I67:I130" si="2">D67*E67</f>
        <v>1921287</v>
      </c>
      <c r="J67">
        <f t="shared" ref="J67:J130" si="3">D67*H67</f>
        <v>322477.5</v>
      </c>
      <c r="K67" s="67"/>
      <c r="P67" s="67"/>
      <c r="Q67" s="67"/>
      <c r="R67" s="67"/>
      <c r="S67" s="67"/>
      <c r="T67" s="67"/>
      <c r="U67" s="67"/>
      <c r="V67" s="67"/>
      <c r="W67" s="67"/>
      <c r="X67" s="67"/>
    </row>
    <row r="68" spans="1:24" x14ac:dyDescent="0.25">
      <c r="A68" t="s">
        <v>219</v>
      </c>
      <c r="B68" t="s">
        <v>220</v>
      </c>
      <c r="C68">
        <v>2016</v>
      </c>
      <c r="D68">
        <v>18177</v>
      </c>
      <c r="E68">
        <v>284.2</v>
      </c>
      <c r="F68">
        <v>6.7</v>
      </c>
      <c r="G68">
        <v>3.3</v>
      </c>
      <c r="H68">
        <v>40.200000000000003</v>
      </c>
      <c r="I68">
        <f t="shared" si="2"/>
        <v>5165903.3999999994</v>
      </c>
      <c r="J68">
        <f t="shared" si="3"/>
        <v>730715.4</v>
      </c>
      <c r="K68" s="67"/>
      <c r="P68" s="67"/>
      <c r="Q68" s="67"/>
      <c r="R68" s="67"/>
      <c r="S68" s="67"/>
      <c r="T68" s="67"/>
      <c r="U68" s="67"/>
      <c r="V68" s="67"/>
      <c r="W68" s="67"/>
      <c r="X68" s="67"/>
    </row>
    <row r="69" spans="1:24" x14ac:dyDescent="0.25">
      <c r="A69" t="s">
        <v>219</v>
      </c>
      <c r="B69" t="s">
        <v>220</v>
      </c>
      <c r="C69">
        <v>2017</v>
      </c>
      <c r="D69">
        <v>15414</v>
      </c>
      <c r="E69">
        <v>291.8</v>
      </c>
      <c r="F69">
        <v>7</v>
      </c>
      <c r="G69">
        <v>3.5</v>
      </c>
      <c r="H69">
        <v>40.6</v>
      </c>
      <c r="I69">
        <f t="shared" si="2"/>
        <v>4497805.2</v>
      </c>
      <c r="J69">
        <f t="shared" si="3"/>
        <v>625808.4</v>
      </c>
      <c r="K69" s="67"/>
      <c r="P69" s="67"/>
      <c r="Q69" s="67"/>
      <c r="R69" s="67"/>
      <c r="S69" s="67"/>
      <c r="T69" s="67"/>
      <c r="U69" s="67"/>
      <c r="V69" s="67"/>
      <c r="W69" s="67"/>
      <c r="X69" s="67"/>
    </row>
    <row r="70" spans="1:24" x14ac:dyDescent="0.25">
      <c r="A70" t="s">
        <v>219</v>
      </c>
      <c r="B70" t="s">
        <v>220</v>
      </c>
      <c r="C70">
        <v>2018</v>
      </c>
      <c r="D70">
        <v>15987</v>
      </c>
      <c r="E70">
        <v>289.89999999999998</v>
      </c>
      <c r="F70">
        <v>6.8</v>
      </c>
      <c r="G70">
        <v>3.4</v>
      </c>
      <c r="H70">
        <v>41.6</v>
      </c>
      <c r="I70">
        <f t="shared" si="2"/>
        <v>4634631.3</v>
      </c>
      <c r="J70">
        <f t="shared" si="3"/>
        <v>665059.20000000007</v>
      </c>
      <c r="K70" s="67"/>
      <c r="P70" s="67"/>
      <c r="Q70" s="67"/>
      <c r="R70" s="67"/>
      <c r="S70" s="67"/>
      <c r="T70" s="67"/>
      <c r="U70" s="67"/>
      <c r="V70" s="67"/>
      <c r="W70" s="67"/>
      <c r="X70" s="67"/>
    </row>
    <row r="71" spans="1:24" x14ac:dyDescent="0.25">
      <c r="A71" t="s">
        <v>219</v>
      </c>
      <c r="B71" t="s">
        <v>220</v>
      </c>
      <c r="C71">
        <v>2019</v>
      </c>
      <c r="D71">
        <v>15178</v>
      </c>
      <c r="E71">
        <v>292.3</v>
      </c>
      <c r="F71">
        <v>6.8</v>
      </c>
      <c r="G71">
        <v>3.4</v>
      </c>
      <c r="H71">
        <v>43.4</v>
      </c>
      <c r="I71">
        <f t="shared" si="2"/>
        <v>4436529.4000000004</v>
      </c>
      <c r="J71">
        <f t="shared" si="3"/>
        <v>658725.19999999995</v>
      </c>
      <c r="K71" s="67"/>
      <c r="P71" s="67"/>
      <c r="Q71" s="67"/>
      <c r="R71" s="67"/>
      <c r="S71" s="67"/>
      <c r="T71" s="67"/>
      <c r="U71" s="67"/>
      <c r="V71" s="67"/>
      <c r="W71" s="67"/>
      <c r="X71" s="67"/>
    </row>
    <row r="72" spans="1:24" x14ac:dyDescent="0.25">
      <c r="A72" t="s">
        <v>219</v>
      </c>
      <c r="B72" t="s">
        <v>220</v>
      </c>
      <c r="C72">
        <v>2020</v>
      </c>
      <c r="D72">
        <v>14143</v>
      </c>
      <c r="E72">
        <v>293.8</v>
      </c>
      <c r="F72">
        <v>6.8</v>
      </c>
      <c r="G72">
        <v>3.4</v>
      </c>
      <c r="H72">
        <v>45.8</v>
      </c>
      <c r="I72">
        <f t="shared" si="2"/>
        <v>4155213.4000000004</v>
      </c>
      <c r="J72">
        <f t="shared" si="3"/>
        <v>647749.39999999991</v>
      </c>
      <c r="K72" s="67"/>
      <c r="P72" s="67"/>
      <c r="Q72" s="67"/>
      <c r="R72" s="67"/>
      <c r="S72" s="67"/>
      <c r="T72" s="67"/>
      <c r="U72" s="67"/>
      <c r="V72" s="67"/>
      <c r="W72" s="67"/>
      <c r="X72" s="67"/>
    </row>
    <row r="73" spans="1:24" x14ac:dyDescent="0.25">
      <c r="A73" t="s">
        <v>219</v>
      </c>
      <c r="B73" t="s">
        <v>220</v>
      </c>
      <c r="C73">
        <v>2021</v>
      </c>
      <c r="D73">
        <v>13017</v>
      </c>
      <c r="E73">
        <v>296</v>
      </c>
      <c r="F73">
        <v>6.7</v>
      </c>
      <c r="G73">
        <v>3.4</v>
      </c>
      <c r="H73">
        <v>50.2</v>
      </c>
      <c r="I73">
        <f t="shared" si="2"/>
        <v>3853032</v>
      </c>
      <c r="J73">
        <f t="shared" si="3"/>
        <v>653453.4</v>
      </c>
      <c r="K73" s="67"/>
      <c r="P73" s="67"/>
      <c r="Q73" s="67"/>
      <c r="R73" s="67"/>
      <c r="S73" s="67"/>
      <c r="T73" s="67"/>
      <c r="U73" s="67"/>
      <c r="V73" s="67"/>
      <c r="W73" s="67"/>
      <c r="X73" s="67"/>
    </row>
    <row r="74" spans="1:24" x14ac:dyDescent="0.25">
      <c r="A74" t="s">
        <v>219</v>
      </c>
      <c r="B74" t="s">
        <v>225</v>
      </c>
      <c r="C74">
        <v>2016</v>
      </c>
      <c r="D74">
        <v>897</v>
      </c>
      <c r="E74">
        <v>319.2</v>
      </c>
      <c r="F74">
        <v>10.1</v>
      </c>
      <c r="G74">
        <v>6</v>
      </c>
      <c r="H74">
        <v>38.5</v>
      </c>
      <c r="I74">
        <f t="shared" si="2"/>
        <v>286322.39999999997</v>
      </c>
      <c r="J74">
        <f t="shared" si="3"/>
        <v>34534.5</v>
      </c>
      <c r="K74" s="67"/>
      <c r="P74" s="67"/>
      <c r="Q74" s="67"/>
      <c r="R74" s="67"/>
      <c r="S74" s="67"/>
      <c r="T74" s="67"/>
      <c r="U74" s="67"/>
      <c r="V74" s="67"/>
      <c r="W74" s="67"/>
      <c r="X74" s="67"/>
    </row>
    <row r="75" spans="1:24" x14ac:dyDescent="0.25">
      <c r="A75" t="s">
        <v>219</v>
      </c>
      <c r="B75" t="s">
        <v>225</v>
      </c>
      <c r="C75">
        <v>2017</v>
      </c>
      <c r="D75">
        <v>936</v>
      </c>
      <c r="E75">
        <v>317</v>
      </c>
      <c r="F75">
        <v>9.8000000000000007</v>
      </c>
      <c r="G75">
        <v>6</v>
      </c>
      <c r="H75">
        <v>38.5</v>
      </c>
      <c r="I75">
        <f t="shared" si="2"/>
        <v>296712</v>
      </c>
      <c r="J75">
        <f t="shared" si="3"/>
        <v>36036</v>
      </c>
      <c r="K75" s="67"/>
      <c r="P75" s="67"/>
      <c r="Q75" s="67"/>
      <c r="R75" s="67"/>
      <c r="S75" s="67"/>
      <c r="T75" s="67"/>
      <c r="U75" s="67"/>
      <c r="V75" s="67"/>
      <c r="W75" s="67"/>
      <c r="X75" s="67"/>
    </row>
    <row r="76" spans="1:24" x14ac:dyDescent="0.25">
      <c r="A76" t="s">
        <v>219</v>
      </c>
      <c r="B76" t="s">
        <v>225</v>
      </c>
      <c r="C76">
        <v>2018</v>
      </c>
      <c r="D76">
        <v>1167</v>
      </c>
      <c r="E76">
        <v>307.7</v>
      </c>
      <c r="F76">
        <v>9.1</v>
      </c>
      <c r="G76">
        <v>5.8</v>
      </c>
      <c r="H76">
        <v>38.1</v>
      </c>
      <c r="I76">
        <f t="shared" si="2"/>
        <v>359085.89999999997</v>
      </c>
      <c r="J76">
        <f t="shared" si="3"/>
        <v>44462.700000000004</v>
      </c>
      <c r="K76" s="67"/>
      <c r="P76" s="67"/>
      <c r="Q76" s="67"/>
      <c r="R76" s="67"/>
      <c r="S76" s="67"/>
      <c r="T76" s="67"/>
      <c r="U76" s="67"/>
      <c r="V76" s="67"/>
      <c r="W76" s="67"/>
      <c r="X76" s="67"/>
    </row>
    <row r="77" spans="1:24" x14ac:dyDescent="0.25">
      <c r="A77" t="s">
        <v>219</v>
      </c>
      <c r="B77" t="s">
        <v>225</v>
      </c>
      <c r="C77">
        <v>2019</v>
      </c>
      <c r="D77">
        <v>1454</v>
      </c>
      <c r="E77">
        <v>310.5</v>
      </c>
      <c r="F77">
        <v>9.1999999999999993</v>
      </c>
      <c r="G77">
        <v>5.9</v>
      </c>
      <c r="H77">
        <v>37.700000000000003</v>
      </c>
      <c r="I77">
        <f t="shared" si="2"/>
        <v>451467</v>
      </c>
      <c r="J77">
        <f t="shared" si="3"/>
        <v>54815.8</v>
      </c>
      <c r="K77" s="67"/>
      <c r="P77" s="67"/>
      <c r="Q77" s="67"/>
      <c r="R77" s="67"/>
      <c r="S77" s="67"/>
      <c r="T77" s="67"/>
      <c r="U77" s="67"/>
      <c r="V77" s="67"/>
      <c r="W77" s="67"/>
      <c r="X77" s="67"/>
    </row>
    <row r="78" spans="1:24" x14ac:dyDescent="0.25">
      <c r="A78" t="s">
        <v>219</v>
      </c>
      <c r="B78" t="s">
        <v>225</v>
      </c>
      <c r="C78">
        <v>2020</v>
      </c>
      <c r="D78">
        <v>1537</v>
      </c>
      <c r="E78">
        <v>310.7</v>
      </c>
      <c r="F78">
        <v>9</v>
      </c>
      <c r="G78">
        <v>5.9</v>
      </c>
      <c r="H78">
        <v>38.1</v>
      </c>
      <c r="I78">
        <f t="shared" si="2"/>
        <v>477545.89999999997</v>
      </c>
      <c r="J78">
        <f t="shared" si="3"/>
        <v>58559.700000000004</v>
      </c>
      <c r="K78" s="67"/>
      <c r="P78" s="67"/>
      <c r="Q78" s="67"/>
      <c r="R78" s="67"/>
      <c r="S78" s="67"/>
      <c r="T78" s="67"/>
      <c r="U78" s="67"/>
      <c r="V78" s="67"/>
      <c r="W78" s="67"/>
      <c r="X78" s="67"/>
    </row>
    <row r="79" spans="1:24" x14ac:dyDescent="0.25">
      <c r="A79" t="s">
        <v>219</v>
      </c>
      <c r="B79" t="s">
        <v>225</v>
      </c>
      <c r="C79">
        <v>2021</v>
      </c>
      <c r="D79">
        <v>1543</v>
      </c>
      <c r="E79">
        <v>322</v>
      </c>
      <c r="F79">
        <v>9.1</v>
      </c>
      <c r="G79">
        <v>6.1</v>
      </c>
      <c r="H79">
        <v>39.6</v>
      </c>
      <c r="I79">
        <f t="shared" si="2"/>
        <v>496846</v>
      </c>
      <c r="J79">
        <f t="shared" si="3"/>
        <v>61102.8</v>
      </c>
      <c r="K79" s="67"/>
      <c r="P79" s="67"/>
      <c r="Q79" s="67"/>
      <c r="R79" s="67"/>
      <c r="S79" s="67"/>
      <c r="T79" s="67"/>
      <c r="U79" s="67"/>
      <c r="V79" s="67"/>
      <c r="W79" s="67"/>
      <c r="X79" s="67"/>
    </row>
    <row r="80" spans="1:24" x14ac:dyDescent="0.25">
      <c r="A80" t="s">
        <v>219</v>
      </c>
      <c r="B80" t="s">
        <v>228</v>
      </c>
      <c r="C80">
        <v>2016</v>
      </c>
      <c r="D80">
        <v>506</v>
      </c>
      <c r="E80">
        <v>346</v>
      </c>
      <c r="F80">
        <v>8.1999999999999993</v>
      </c>
      <c r="G80">
        <v>7</v>
      </c>
      <c r="H80">
        <v>38.200000000000003</v>
      </c>
      <c r="I80">
        <f t="shared" si="2"/>
        <v>175076</v>
      </c>
      <c r="J80">
        <f t="shared" si="3"/>
        <v>19329.2</v>
      </c>
      <c r="K80" s="67"/>
      <c r="P80" s="67"/>
      <c r="Q80" s="67"/>
      <c r="R80" s="67"/>
      <c r="S80" s="67"/>
      <c r="T80" s="67"/>
      <c r="U80" s="67"/>
      <c r="V80" s="67"/>
      <c r="W80" s="67"/>
      <c r="X80" s="67"/>
    </row>
    <row r="81" spans="1:24" x14ac:dyDescent="0.25">
      <c r="A81" t="s">
        <v>219</v>
      </c>
      <c r="B81" t="s">
        <v>228</v>
      </c>
      <c r="C81">
        <v>2017</v>
      </c>
      <c r="D81">
        <v>585</v>
      </c>
      <c r="E81">
        <v>345.8</v>
      </c>
      <c r="F81">
        <v>8</v>
      </c>
      <c r="G81">
        <v>6.9</v>
      </c>
      <c r="H81">
        <v>37.9</v>
      </c>
      <c r="I81">
        <f t="shared" si="2"/>
        <v>202293</v>
      </c>
      <c r="J81">
        <f t="shared" si="3"/>
        <v>22171.5</v>
      </c>
      <c r="K81" s="67"/>
      <c r="P81" s="67"/>
      <c r="Q81" s="67"/>
      <c r="R81" s="67"/>
      <c r="S81" s="67"/>
      <c r="T81" s="67"/>
      <c r="U81" s="67"/>
      <c r="V81" s="67"/>
      <c r="W81" s="67"/>
      <c r="X81" s="67"/>
    </row>
    <row r="82" spans="1:24" x14ac:dyDescent="0.25">
      <c r="A82" t="s">
        <v>219</v>
      </c>
      <c r="B82" t="s">
        <v>228</v>
      </c>
      <c r="C82">
        <v>2018</v>
      </c>
      <c r="D82">
        <v>657</v>
      </c>
      <c r="E82">
        <v>334.7</v>
      </c>
      <c r="F82">
        <v>7.2</v>
      </c>
      <c r="G82">
        <v>6.6</v>
      </c>
      <c r="H82">
        <v>38</v>
      </c>
      <c r="I82">
        <f t="shared" si="2"/>
        <v>219897.9</v>
      </c>
      <c r="J82">
        <f t="shared" si="3"/>
        <v>24966</v>
      </c>
      <c r="K82" s="67"/>
      <c r="P82" s="67"/>
      <c r="Q82" s="67"/>
      <c r="R82" s="67"/>
      <c r="S82" s="67"/>
      <c r="T82" s="67"/>
      <c r="U82" s="67"/>
      <c r="V82" s="67"/>
      <c r="W82" s="67"/>
      <c r="X82" s="67"/>
    </row>
    <row r="83" spans="1:24" x14ac:dyDescent="0.25">
      <c r="A83" t="s">
        <v>219</v>
      </c>
      <c r="B83" t="s">
        <v>228</v>
      </c>
      <c r="C83">
        <v>2019</v>
      </c>
      <c r="D83">
        <v>758</v>
      </c>
      <c r="E83">
        <v>326.2</v>
      </c>
      <c r="F83">
        <v>7</v>
      </c>
      <c r="G83">
        <v>6.5</v>
      </c>
      <c r="H83">
        <v>36.700000000000003</v>
      </c>
      <c r="I83">
        <f t="shared" si="2"/>
        <v>247259.6</v>
      </c>
      <c r="J83">
        <f t="shared" si="3"/>
        <v>27818.600000000002</v>
      </c>
      <c r="K83" s="67"/>
      <c r="P83" s="67"/>
      <c r="Q83" s="67"/>
      <c r="R83" s="67"/>
      <c r="S83" s="67"/>
      <c r="T83" s="67"/>
      <c r="U83" s="67"/>
      <c r="V83" s="67"/>
      <c r="W83" s="67"/>
      <c r="X83" s="67"/>
    </row>
    <row r="84" spans="1:24" x14ac:dyDescent="0.25">
      <c r="A84" t="s">
        <v>219</v>
      </c>
      <c r="B84" t="s">
        <v>228</v>
      </c>
      <c r="C84">
        <v>2020</v>
      </c>
      <c r="D84">
        <v>744</v>
      </c>
      <c r="E84">
        <v>335.2</v>
      </c>
      <c r="F84">
        <v>7.3</v>
      </c>
      <c r="G84">
        <v>6.8</v>
      </c>
      <c r="H84">
        <v>37.9</v>
      </c>
      <c r="I84">
        <f t="shared" si="2"/>
        <v>249388.79999999999</v>
      </c>
      <c r="J84">
        <f t="shared" si="3"/>
        <v>28197.599999999999</v>
      </c>
      <c r="K84" s="67"/>
      <c r="P84" s="67"/>
      <c r="Q84" s="67"/>
      <c r="R84" s="67"/>
      <c r="S84" s="67"/>
      <c r="T84" s="67"/>
      <c r="U84" s="67"/>
      <c r="V84" s="67"/>
      <c r="W84" s="67"/>
      <c r="X84" s="67"/>
    </row>
    <row r="85" spans="1:24" x14ac:dyDescent="0.25">
      <c r="A85" t="s">
        <v>219</v>
      </c>
      <c r="B85" t="s">
        <v>228</v>
      </c>
      <c r="C85">
        <v>2021</v>
      </c>
      <c r="D85">
        <v>653</v>
      </c>
      <c r="E85">
        <v>346</v>
      </c>
      <c r="F85">
        <v>7.5</v>
      </c>
      <c r="G85">
        <v>7.1</v>
      </c>
      <c r="H85">
        <v>41.6</v>
      </c>
      <c r="I85">
        <f t="shared" si="2"/>
        <v>225938</v>
      </c>
      <c r="J85">
        <f t="shared" si="3"/>
        <v>27164.799999999999</v>
      </c>
      <c r="K85" s="67"/>
      <c r="P85" s="67"/>
      <c r="Q85" s="67"/>
      <c r="R85" s="67"/>
      <c r="S85" s="67"/>
      <c r="T85" s="67"/>
      <c r="U85" s="67"/>
      <c r="V85" s="67"/>
      <c r="W85" s="67"/>
      <c r="X85" s="67"/>
    </row>
    <row r="86" spans="1:24" x14ac:dyDescent="0.25">
      <c r="A86" t="s">
        <v>219</v>
      </c>
      <c r="B86" t="s">
        <v>229</v>
      </c>
      <c r="C86">
        <v>2016</v>
      </c>
      <c r="D86">
        <v>258</v>
      </c>
      <c r="E86">
        <v>311.2</v>
      </c>
      <c r="F86">
        <v>9.5</v>
      </c>
      <c r="G86">
        <v>6</v>
      </c>
      <c r="H86">
        <v>38</v>
      </c>
      <c r="I86">
        <f t="shared" si="2"/>
        <v>80289.599999999991</v>
      </c>
      <c r="J86">
        <f t="shared" si="3"/>
        <v>9804</v>
      </c>
      <c r="K86" s="67"/>
      <c r="P86" s="67"/>
      <c r="Q86" s="67"/>
      <c r="R86" s="67"/>
      <c r="S86" s="67"/>
      <c r="T86" s="67"/>
      <c r="U86" s="67"/>
      <c r="V86" s="67"/>
      <c r="W86" s="67"/>
      <c r="X86" s="67"/>
    </row>
    <row r="87" spans="1:24" x14ac:dyDescent="0.25">
      <c r="A87" t="s">
        <v>219</v>
      </c>
      <c r="B87" t="s">
        <v>229</v>
      </c>
      <c r="C87">
        <v>2017</v>
      </c>
      <c r="D87">
        <v>216</v>
      </c>
      <c r="E87">
        <v>318.5</v>
      </c>
      <c r="F87">
        <v>9.8000000000000007</v>
      </c>
      <c r="G87">
        <v>6</v>
      </c>
      <c r="H87">
        <v>37.9</v>
      </c>
      <c r="I87">
        <f t="shared" si="2"/>
        <v>68796</v>
      </c>
      <c r="J87">
        <f t="shared" si="3"/>
        <v>8186.4</v>
      </c>
      <c r="K87" s="67"/>
      <c r="P87" s="67"/>
      <c r="Q87" s="67"/>
      <c r="R87" s="67"/>
      <c r="S87" s="67"/>
      <c r="T87" s="67"/>
      <c r="U87" s="67"/>
      <c r="V87" s="67"/>
      <c r="W87" s="67"/>
      <c r="X87" s="67"/>
    </row>
    <row r="88" spans="1:24" x14ac:dyDescent="0.25">
      <c r="A88" t="s">
        <v>219</v>
      </c>
      <c r="B88" t="s">
        <v>229</v>
      </c>
      <c r="C88">
        <v>2018</v>
      </c>
      <c r="D88">
        <v>318</v>
      </c>
      <c r="E88">
        <v>303.3</v>
      </c>
      <c r="F88">
        <v>9.1</v>
      </c>
      <c r="G88">
        <v>5.9</v>
      </c>
      <c r="H88">
        <v>36.799999999999997</v>
      </c>
      <c r="I88">
        <f t="shared" si="2"/>
        <v>96449.400000000009</v>
      </c>
      <c r="J88">
        <f t="shared" si="3"/>
        <v>11702.4</v>
      </c>
      <c r="K88" s="67"/>
      <c r="P88" s="67"/>
      <c r="Q88" s="67"/>
      <c r="R88" s="67"/>
      <c r="S88" s="67"/>
      <c r="T88" s="67"/>
      <c r="U88" s="67"/>
      <c r="V88" s="67"/>
      <c r="W88" s="67"/>
      <c r="X88" s="67"/>
    </row>
    <row r="89" spans="1:24" x14ac:dyDescent="0.25">
      <c r="A89" t="s">
        <v>219</v>
      </c>
      <c r="B89" t="s">
        <v>229</v>
      </c>
      <c r="C89">
        <v>2019</v>
      </c>
      <c r="D89">
        <v>403</v>
      </c>
      <c r="E89">
        <v>304.7</v>
      </c>
      <c r="F89">
        <v>9</v>
      </c>
      <c r="G89">
        <v>5.8</v>
      </c>
      <c r="H89">
        <v>38</v>
      </c>
      <c r="I89">
        <f t="shared" si="2"/>
        <v>122794.09999999999</v>
      </c>
      <c r="J89">
        <f t="shared" si="3"/>
        <v>15314</v>
      </c>
      <c r="K89" s="67"/>
      <c r="P89" s="67"/>
      <c r="Q89" s="67"/>
      <c r="R89" s="67"/>
      <c r="S89" s="67"/>
      <c r="T89" s="67"/>
      <c r="U89" s="67"/>
      <c r="V89" s="67"/>
      <c r="W89" s="67"/>
      <c r="X89" s="67"/>
    </row>
    <row r="90" spans="1:24" x14ac:dyDescent="0.25">
      <c r="A90" t="s">
        <v>219</v>
      </c>
      <c r="B90" t="s">
        <v>229</v>
      </c>
      <c r="C90">
        <v>2020</v>
      </c>
      <c r="D90">
        <v>524</v>
      </c>
      <c r="E90">
        <v>319.8</v>
      </c>
      <c r="F90">
        <v>9.1999999999999993</v>
      </c>
      <c r="G90">
        <v>6.2</v>
      </c>
      <c r="H90">
        <v>36</v>
      </c>
      <c r="I90">
        <f t="shared" si="2"/>
        <v>167575.20000000001</v>
      </c>
      <c r="J90">
        <f t="shared" si="3"/>
        <v>18864</v>
      </c>
    </row>
    <row r="91" spans="1:24" x14ac:dyDescent="0.25">
      <c r="A91" t="s">
        <v>219</v>
      </c>
      <c r="B91" t="s">
        <v>229</v>
      </c>
      <c r="C91">
        <v>2021</v>
      </c>
      <c r="D91">
        <v>469</v>
      </c>
      <c r="E91">
        <v>316</v>
      </c>
      <c r="F91">
        <v>8.8000000000000007</v>
      </c>
      <c r="G91">
        <v>6.1</v>
      </c>
      <c r="H91">
        <v>36.200000000000003</v>
      </c>
      <c r="I91">
        <f t="shared" si="2"/>
        <v>148204</v>
      </c>
      <c r="J91">
        <f t="shared" si="3"/>
        <v>16977.800000000003</v>
      </c>
    </row>
    <row r="92" spans="1:24" x14ac:dyDescent="0.25">
      <c r="A92" t="s">
        <v>219</v>
      </c>
      <c r="B92" t="s">
        <v>231</v>
      </c>
      <c r="C92">
        <v>2016</v>
      </c>
      <c r="D92">
        <v>133</v>
      </c>
      <c r="E92">
        <v>350</v>
      </c>
      <c r="F92">
        <v>8.5</v>
      </c>
      <c r="G92">
        <v>8</v>
      </c>
      <c r="H92">
        <v>37.200000000000003</v>
      </c>
      <c r="I92">
        <f t="shared" si="2"/>
        <v>46550</v>
      </c>
      <c r="J92">
        <f t="shared" si="3"/>
        <v>4947.6000000000004</v>
      </c>
    </row>
    <row r="93" spans="1:24" x14ac:dyDescent="0.25">
      <c r="A93" t="s">
        <v>219</v>
      </c>
      <c r="B93" t="s">
        <v>231</v>
      </c>
      <c r="C93">
        <v>2017</v>
      </c>
      <c r="D93">
        <v>115</v>
      </c>
      <c r="E93">
        <v>332.6</v>
      </c>
      <c r="F93">
        <v>8.1</v>
      </c>
      <c r="G93">
        <v>7.3</v>
      </c>
      <c r="H93">
        <v>36.200000000000003</v>
      </c>
      <c r="I93">
        <f t="shared" si="2"/>
        <v>38249</v>
      </c>
      <c r="J93">
        <f t="shared" si="3"/>
        <v>4163</v>
      </c>
    </row>
    <row r="94" spans="1:24" x14ac:dyDescent="0.25">
      <c r="A94" t="s">
        <v>219</v>
      </c>
      <c r="B94" t="s">
        <v>231</v>
      </c>
      <c r="C94">
        <v>2018</v>
      </c>
      <c r="D94">
        <v>131</v>
      </c>
      <c r="E94">
        <v>326.5</v>
      </c>
      <c r="F94">
        <v>7.1</v>
      </c>
      <c r="G94">
        <v>7</v>
      </c>
      <c r="H94">
        <v>36.799999999999997</v>
      </c>
      <c r="I94">
        <f t="shared" si="2"/>
        <v>42771.5</v>
      </c>
      <c r="J94">
        <f t="shared" si="3"/>
        <v>4820.7999999999993</v>
      </c>
    </row>
    <row r="95" spans="1:24" x14ac:dyDescent="0.25">
      <c r="A95" t="s">
        <v>219</v>
      </c>
      <c r="B95" t="s">
        <v>231</v>
      </c>
      <c r="C95">
        <v>2019</v>
      </c>
      <c r="D95">
        <v>176</v>
      </c>
      <c r="E95">
        <v>313.89999999999998</v>
      </c>
      <c r="F95">
        <v>7.3</v>
      </c>
      <c r="G95">
        <v>7.1</v>
      </c>
      <c r="H95">
        <v>37.6</v>
      </c>
      <c r="I95">
        <f t="shared" si="2"/>
        <v>55246.399999999994</v>
      </c>
      <c r="J95">
        <f t="shared" si="3"/>
        <v>6617.6</v>
      </c>
    </row>
    <row r="96" spans="1:24" x14ac:dyDescent="0.25">
      <c r="A96" t="s">
        <v>219</v>
      </c>
      <c r="B96" t="s">
        <v>231</v>
      </c>
      <c r="C96">
        <v>2020</v>
      </c>
      <c r="D96">
        <v>216</v>
      </c>
      <c r="E96">
        <v>316.3</v>
      </c>
      <c r="F96">
        <v>7.2</v>
      </c>
      <c r="G96">
        <v>6.9</v>
      </c>
      <c r="H96">
        <v>38.4</v>
      </c>
      <c r="I96">
        <f t="shared" si="2"/>
        <v>68320.800000000003</v>
      </c>
      <c r="J96">
        <f t="shared" si="3"/>
        <v>8294.4</v>
      </c>
    </row>
    <row r="97" spans="1:10" x14ac:dyDescent="0.25">
      <c r="A97" t="s">
        <v>219</v>
      </c>
      <c r="B97" t="s">
        <v>231</v>
      </c>
      <c r="C97">
        <v>2021</v>
      </c>
      <c r="D97">
        <v>193</v>
      </c>
      <c r="E97">
        <v>333</v>
      </c>
      <c r="F97">
        <v>7.7</v>
      </c>
      <c r="G97">
        <v>7.6</v>
      </c>
      <c r="H97">
        <v>39.200000000000003</v>
      </c>
      <c r="I97">
        <f t="shared" si="2"/>
        <v>64269</v>
      </c>
      <c r="J97">
        <f t="shared" si="3"/>
        <v>7565.6</v>
      </c>
    </row>
    <row r="98" spans="1:10" x14ac:dyDescent="0.25">
      <c r="A98" t="s">
        <v>219</v>
      </c>
      <c r="B98" t="s">
        <v>232</v>
      </c>
      <c r="C98">
        <v>2016</v>
      </c>
      <c r="D98">
        <v>524</v>
      </c>
      <c r="E98">
        <v>333.5</v>
      </c>
      <c r="F98">
        <v>8.1</v>
      </c>
      <c r="G98">
        <v>6.2</v>
      </c>
      <c r="H98">
        <v>37.4</v>
      </c>
      <c r="I98">
        <f t="shared" si="2"/>
        <v>174754</v>
      </c>
      <c r="J98">
        <f t="shared" si="3"/>
        <v>19597.599999999999</v>
      </c>
    </row>
    <row r="99" spans="1:10" x14ac:dyDescent="0.25">
      <c r="A99" t="s">
        <v>219</v>
      </c>
      <c r="B99" t="s">
        <v>232</v>
      </c>
      <c r="C99">
        <v>2017</v>
      </c>
      <c r="D99">
        <v>578</v>
      </c>
      <c r="E99">
        <v>327.5</v>
      </c>
      <c r="F99">
        <v>8</v>
      </c>
      <c r="G99">
        <v>6.2</v>
      </c>
      <c r="H99">
        <v>36.700000000000003</v>
      </c>
      <c r="I99">
        <f t="shared" si="2"/>
        <v>189295</v>
      </c>
      <c r="J99">
        <f t="shared" si="3"/>
        <v>21212.600000000002</v>
      </c>
    </row>
    <row r="100" spans="1:10" x14ac:dyDescent="0.25">
      <c r="A100" t="s">
        <v>219</v>
      </c>
      <c r="B100" t="s">
        <v>232</v>
      </c>
      <c r="C100">
        <v>2018</v>
      </c>
      <c r="D100">
        <v>781</v>
      </c>
      <c r="E100">
        <v>317.5</v>
      </c>
      <c r="F100">
        <v>7</v>
      </c>
      <c r="G100">
        <v>5.9</v>
      </c>
      <c r="H100">
        <v>37.299999999999997</v>
      </c>
      <c r="I100">
        <f t="shared" si="2"/>
        <v>247967.5</v>
      </c>
      <c r="J100">
        <f t="shared" si="3"/>
        <v>29131.3</v>
      </c>
    </row>
    <row r="101" spans="1:10" x14ac:dyDescent="0.25">
      <c r="A101" t="s">
        <v>219</v>
      </c>
      <c r="B101" t="s">
        <v>232</v>
      </c>
      <c r="C101">
        <v>2019</v>
      </c>
      <c r="D101">
        <v>861</v>
      </c>
      <c r="E101">
        <v>314</v>
      </c>
      <c r="F101">
        <v>7</v>
      </c>
      <c r="G101">
        <v>5.9</v>
      </c>
      <c r="H101">
        <v>38.5</v>
      </c>
      <c r="I101">
        <f t="shared" si="2"/>
        <v>270354</v>
      </c>
      <c r="J101">
        <f t="shared" si="3"/>
        <v>33148.5</v>
      </c>
    </row>
    <row r="102" spans="1:10" x14ac:dyDescent="0.25">
      <c r="A102" t="s">
        <v>219</v>
      </c>
      <c r="B102" t="s">
        <v>232</v>
      </c>
      <c r="C102">
        <v>2020</v>
      </c>
      <c r="D102">
        <v>822</v>
      </c>
      <c r="E102">
        <v>316.60000000000002</v>
      </c>
      <c r="F102">
        <v>7.1</v>
      </c>
      <c r="G102">
        <v>6</v>
      </c>
      <c r="H102">
        <v>37.6</v>
      </c>
      <c r="I102">
        <f t="shared" si="2"/>
        <v>260245.2</v>
      </c>
      <c r="J102">
        <f t="shared" si="3"/>
        <v>30907.200000000001</v>
      </c>
    </row>
    <row r="103" spans="1:10" x14ac:dyDescent="0.25">
      <c r="A103" t="s">
        <v>219</v>
      </c>
      <c r="B103" t="s">
        <v>232</v>
      </c>
      <c r="C103">
        <v>2021</v>
      </c>
      <c r="D103">
        <v>772</v>
      </c>
      <c r="E103">
        <v>322</v>
      </c>
      <c r="F103">
        <v>7.1</v>
      </c>
      <c r="G103">
        <v>6.2</v>
      </c>
      <c r="H103">
        <v>37.299999999999997</v>
      </c>
      <c r="I103">
        <f t="shared" si="2"/>
        <v>248584</v>
      </c>
      <c r="J103">
        <f t="shared" si="3"/>
        <v>28795.599999999999</v>
      </c>
    </row>
    <row r="104" spans="1:10" x14ac:dyDescent="0.25">
      <c r="A104" t="s">
        <v>219</v>
      </c>
      <c r="B104" t="s">
        <v>234</v>
      </c>
      <c r="C104">
        <v>2016</v>
      </c>
      <c r="D104">
        <v>94</v>
      </c>
      <c r="E104">
        <v>197.6</v>
      </c>
      <c r="F104">
        <v>7.7</v>
      </c>
      <c r="G104">
        <v>4.7</v>
      </c>
      <c r="H104">
        <v>44.8</v>
      </c>
      <c r="I104">
        <f t="shared" si="2"/>
        <v>18574.399999999998</v>
      </c>
      <c r="J104">
        <f t="shared" si="3"/>
        <v>4211.2</v>
      </c>
    </row>
    <row r="105" spans="1:10" x14ac:dyDescent="0.25">
      <c r="A105" t="s">
        <v>219</v>
      </c>
      <c r="B105" t="s">
        <v>234</v>
      </c>
      <c r="C105">
        <v>2017</v>
      </c>
      <c r="D105">
        <v>68</v>
      </c>
      <c r="E105">
        <v>191.3</v>
      </c>
      <c r="F105">
        <v>6.7</v>
      </c>
      <c r="G105">
        <v>3.7</v>
      </c>
      <c r="H105">
        <v>44.3</v>
      </c>
      <c r="I105">
        <f t="shared" si="2"/>
        <v>13008.400000000001</v>
      </c>
      <c r="J105">
        <f t="shared" si="3"/>
        <v>3012.3999999999996</v>
      </c>
    </row>
    <row r="106" spans="1:10" x14ac:dyDescent="0.25">
      <c r="A106" t="s">
        <v>219</v>
      </c>
      <c r="B106" t="s">
        <v>234</v>
      </c>
      <c r="C106">
        <v>2018</v>
      </c>
      <c r="D106">
        <v>51</v>
      </c>
      <c r="E106">
        <v>174.7</v>
      </c>
      <c r="F106">
        <v>5.9</v>
      </c>
      <c r="G106">
        <v>3.9</v>
      </c>
      <c r="H106">
        <v>56.1</v>
      </c>
      <c r="I106">
        <f t="shared" si="2"/>
        <v>8909.6999999999989</v>
      </c>
      <c r="J106">
        <f t="shared" si="3"/>
        <v>2861.1</v>
      </c>
    </row>
    <row r="107" spans="1:10" x14ac:dyDescent="0.25">
      <c r="A107" t="s">
        <v>219</v>
      </c>
      <c r="B107" t="s">
        <v>234</v>
      </c>
      <c r="C107">
        <v>2019</v>
      </c>
      <c r="D107">
        <v>41</v>
      </c>
      <c r="E107">
        <v>195.2</v>
      </c>
      <c r="F107">
        <v>6</v>
      </c>
      <c r="G107">
        <v>3.8</v>
      </c>
      <c r="H107">
        <v>42.1</v>
      </c>
      <c r="I107">
        <f t="shared" si="2"/>
        <v>8003.2</v>
      </c>
      <c r="J107">
        <f t="shared" si="3"/>
        <v>1726.1000000000001</v>
      </c>
    </row>
    <row r="108" spans="1:10" x14ac:dyDescent="0.25">
      <c r="A108" t="s">
        <v>219</v>
      </c>
      <c r="B108" t="s">
        <v>234</v>
      </c>
      <c r="C108">
        <v>2020</v>
      </c>
      <c r="D108">
        <v>33</v>
      </c>
      <c r="E108">
        <v>203.5</v>
      </c>
      <c r="F108">
        <v>6</v>
      </c>
      <c r="G108">
        <v>4.0999999999999996</v>
      </c>
      <c r="H108">
        <v>47.2</v>
      </c>
      <c r="I108">
        <f t="shared" si="2"/>
        <v>6715.5</v>
      </c>
      <c r="J108">
        <f t="shared" si="3"/>
        <v>1557.6000000000001</v>
      </c>
    </row>
    <row r="109" spans="1:10" x14ac:dyDescent="0.25">
      <c r="A109" t="s">
        <v>219</v>
      </c>
      <c r="B109" t="s">
        <v>234</v>
      </c>
      <c r="C109">
        <v>2021</v>
      </c>
      <c r="D109">
        <v>31</v>
      </c>
      <c r="E109">
        <v>193</v>
      </c>
      <c r="F109">
        <v>6.3</v>
      </c>
      <c r="G109">
        <v>4</v>
      </c>
      <c r="H109">
        <v>43.3</v>
      </c>
      <c r="I109">
        <f t="shared" si="2"/>
        <v>5983</v>
      </c>
      <c r="J109">
        <f t="shared" si="3"/>
        <v>1342.3</v>
      </c>
    </row>
    <row r="110" spans="1:10" x14ac:dyDescent="0.25">
      <c r="A110" t="s">
        <v>219</v>
      </c>
      <c r="B110" t="s">
        <v>235</v>
      </c>
      <c r="C110">
        <v>2016</v>
      </c>
      <c r="D110">
        <v>30</v>
      </c>
      <c r="E110">
        <v>353</v>
      </c>
      <c r="F110">
        <v>7.1</v>
      </c>
      <c r="G110">
        <v>8.1</v>
      </c>
      <c r="H110">
        <v>40.6</v>
      </c>
      <c r="I110">
        <f t="shared" si="2"/>
        <v>10590</v>
      </c>
      <c r="J110">
        <f t="shared" si="3"/>
        <v>1218</v>
      </c>
    </row>
    <row r="111" spans="1:10" x14ac:dyDescent="0.25">
      <c r="A111" t="s">
        <v>219</v>
      </c>
      <c r="B111" t="s">
        <v>235</v>
      </c>
      <c r="C111">
        <v>2017</v>
      </c>
      <c r="D111">
        <v>37</v>
      </c>
      <c r="E111">
        <v>348.1</v>
      </c>
      <c r="F111">
        <v>8</v>
      </c>
      <c r="G111">
        <v>7.3</v>
      </c>
      <c r="H111">
        <v>36</v>
      </c>
      <c r="I111">
        <f t="shared" si="2"/>
        <v>12879.7</v>
      </c>
      <c r="J111">
        <f t="shared" si="3"/>
        <v>1332</v>
      </c>
    </row>
    <row r="112" spans="1:10" x14ac:dyDescent="0.25">
      <c r="A112" t="s">
        <v>219</v>
      </c>
      <c r="B112" t="s">
        <v>235</v>
      </c>
      <c r="C112">
        <v>2018</v>
      </c>
      <c r="D112">
        <v>17</v>
      </c>
      <c r="E112">
        <v>334.9</v>
      </c>
      <c r="F112">
        <v>5.8</v>
      </c>
      <c r="G112">
        <v>6.7</v>
      </c>
      <c r="H112">
        <v>39.200000000000003</v>
      </c>
      <c r="I112">
        <f t="shared" si="2"/>
        <v>5693.2999999999993</v>
      </c>
      <c r="J112">
        <f t="shared" si="3"/>
        <v>666.40000000000009</v>
      </c>
    </row>
    <row r="113" spans="1:10" x14ac:dyDescent="0.25">
      <c r="A113" t="s">
        <v>219</v>
      </c>
      <c r="B113" t="s">
        <v>235</v>
      </c>
      <c r="C113">
        <v>2019</v>
      </c>
      <c r="D113">
        <v>12</v>
      </c>
      <c r="E113">
        <v>291</v>
      </c>
      <c r="F113">
        <v>5</v>
      </c>
      <c r="G113">
        <v>5.9</v>
      </c>
      <c r="H113">
        <v>35.6</v>
      </c>
      <c r="I113">
        <f t="shared" si="2"/>
        <v>3492</v>
      </c>
      <c r="J113">
        <f t="shared" si="3"/>
        <v>427.20000000000005</v>
      </c>
    </row>
    <row r="114" spans="1:10" x14ac:dyDescent="0.25">
      <c r="A114" t="s">
        <v>219</v>
      </c>
      <c r="B114" t="s">
        <v>235</v>
      </c>
      <c r="C114">
        <v>2020</v>
      </c>
      <c r="D114">
        <v>34</v>
      </c>
      <c r="E114">
        <v>360.3</v>
      </c>
      <c r="F114">
        <v>5.6</v>
      </c>
      <c r="G114">
        <v>7.8</v>
      </c>
      <c r="H114">
        <v>39.9</v>
      </c>
      <c r="I114">
        <f t="shared" si="2"/>
        <v>12250.2</v>
      </c>
      <c r="J114">
        <f t="shared" si="3"/>
        <v>1356.6</v>
      </c>
    </row>
    <row r="115" spans="1:10" x14ac:dyDescent="0.25">
      <c r="A115" t="s">
        <v>219</v>
      </c>
      <c r="B115" t="s">
        <v>235</v>
      </c>
      <c r="C115">
        <v>2021</v>
      </c>
      <c r="D115">
        <v>46</v>
      </c>
      <c r="E115">
        <v>373</v>
      </c>
      <c r="F115">
        <v>5.7</v>
      </c>
      <c r="G115">
        <v>7.7</v>
      </c>
      <c r="H115">
        <v>36</v>
      </c>
      <c r="I115">
        <f t="shared" si="2"/>
        <v>17158</v>
      </c>
      <c r="J115">
        <f t="shared" si="3"/>
        <v>1656</v>
      </c>
    </row>
    <row r="116" spans="1:10" x14ac:dyDescent="0.25">
      <c r="A116" t="s">
        <v>219</v>
      </c>
      <c r="B116" t="s">
        <v>236</v>
      </c>
      <c r="C116">
        <v>2016</v>
      </c>
      <c r="D116">
        <v>5470</v>
      </c>
      <c r="E116">
        <v>306.89999999999998</v>
      </c>
      <c r="F116">
        <v>8.1999999999999993</v>
      </c>
      <c r="G116">
        <v>5.4</v>
      </c>
      <c r="H116">
        <v>38.700000000000003</v>
      </c>
      <c r="I116">
        <f t="shared" si="2"/>
        <v>1678742.9999999998</v>
      </c>
      <c r="J116">
        <f t="shared" si="3"/>
        <v>211689.00000000003</v>
      </c>
    </row>
    <row r="117" spans="1:10" x14ac:dyDescent="0.25">
      <c r="A117" t="s">
        <v>219</v>
      </c>
      <c r="B117" t="s">
        <v>236</v>
      </c>
      <c r="C117">
        <v>2017</v>
      </c>
      <c r="D117">
        <v>5847</v>
      </c>
      <c r="E117">
        <v>306.39999999999998</v>
      </c>
      <c r="F117">
        <v>8.1</v>
      </c>
      <c r="G117">
        <v>5.4</v>
      </c>
      <c r="H117">
        <v>37.6</v>
      </c>
      <c r="I117">
        <f t="shared" si="2"/>
        <v>1791520.7999999998</v>
      </c>
      <c r="J117">
        <f t="shared" si="3"/>
        <v>219847.2</v>
      </c>
    </row>
    <row r="118" spans="1:10" x14ac:dyDescent="0.25">
      <c r="A118" t="s">
        <v>219</v>
      </c>
      <c r="B118" t="s">
        <v>236</v>
      </c>
      <c r="C118">
        <v>2018</v>
      </c>
      <c r="D118">
        <v>7027</v>
      </c>
      <c r="E118">
        <v>298.8</v>
      </c>
      <c r="F118">
        <v>7.5</v>
      </c>
      <c r="G118">
        <v>5.2</v>
      </c>
      <c r="H118">
        <v>38.799999999999997</v>
      </c>
      <c r="I118">
        <f t="shared" si="2"/>
        <v>2099667.6</v>
      </c>
      <c r="J118">
        <f t="shared" si="3"/>
        <v>272647.59999999998</v>
      </c>
    </row>
    <row r="119" spans="1:10" x14ac:dyDescent="0.25">
      <c r="A119" t="s">
        <v>219</v>
      </c>
      <c r="B119" t="s">
        <v>236</v>
      </c>
      <c r="C119">
        <v>2019</v>
      </c>
      <c r="D119">
        <v>7190</v>
      </c>
      <c r="E119">
        <v>301.2</v>
      </c>
      <c r="F119">
        <v>7.6</v>
      </c>
      <c r="G119">
        <v>5.4</v>
      </c>
      <c r="H119">
        <v>37.700000000000003</v>
      </c>
      <c r="I119">
        <f t="shared" si="2"/>
        <v>2165628</v>
      </c>
      <c r="J119">
        <f t="shared" si="3"/>
        <v>271063</v>
      </c>
    </row>
    <row r="120" spans="1:10" x14ac:dyDescent="0.25">
      <c r="A120" t="s">
        <v>219</v>
      </c>
      <c r="B120" t="s">
        <v>236</v>
      </c>
      <c r="C120">
        <v>2020</v>
      </c>
      <c r="D120">
        <v>8259</v>
      </c>
      <c r="E120">
        <v>308</v>
      </c>
      <c r="F120">
        <v>7.8</v>
      </c>
      <c r="G120">
        <v>5.6</v>
      </c>
      <c r="H120">
        <v>37.9</v>
      </c>
      <c r="I120">
        <f t="shared" si="2"/>
        <v>2543772</v>
      </c>
      <c r="J120">
        <f t="shared" si="3"/>
        <v>313016.09999999998</v>
      </c>
    </row>
    <row r="121" spans="1:10" x14ac:dyDescent="0.25">
      <c r="A121" t="s">
        <v>219</v>
      </c>
      <c r="B121" t="s">
        <v>236</v>
      </c>
      <c r="C121">
        <v>2021</v>
      </c>
      <c r="D121">
        <v>7350</v>
      </c>
      <c r="E121">
        <v>314</v>
      </c>
      <c r="F121">
        <v>7.9</v>
      </c>
      <c r="G121">
        <v>5.8</v>
      </c>
      <c r="H121">
        <v>39.200000000000003</v>
      </c>
      <c r="I121">
        <f t="shared" si="2"/>
        <v>2307900</v>
      </c>
      <c r="J121">
        <f t="shared" si="3"/>
        <v>288120</v>
      </c>
    </row>
    <row r="122" spans="1:10" x14ac:dyDescent="0.25">
      <c r="A122" t="s">
        <v>221</v>
      </c>
      <c r="B122" t="s">
        <v>212</v>
      </c>
      <c r="C122">
        <v>2016</v>
      </c>
      <c r="D122">
        <v>7408</v>
      </c>
      <c r="E122">
        <v>295.2</v>
      </c>
      <c r="F122">
        <v>8.6999999999999993</v>
      </c>
      <c r="G122">
        <v>5</v>
      </c>
      <c r="H122">
        <v>29.3</v>
      </c>
      <c r="I122">
        <f t="shared" si="2"/>
        <v>2186841.6</v>
      </c>
      <c r="J122">
        <f t="shared" si="3"/>
        <v>217054.4</v>
      </c>
    </row>
    <row r="123" spans="1:10" x14ac:dyDescent="0.25">
      <c r="A123" t="s">
        <v>221</v>
      </c>
      <c r="B123" t="s">
        <v>212</v>
      </c>
      <c r="C123">
        <v>2017</v>
      </c>
      <c r="D123">
        <v>6518</v>
      </c>
      <c r="E123">
        <v>299.8</v>
      </c>
      <c r="F123">
        <v>8.8000000000000007</v>
      </c>
      <c r="G123">
        <v>5.0999999999999996</v>
      </c>
      <c r="H123">
        <v>30</v>
      </c>
      <c r="I123">
        <f t="shared" si="2"/>
        <v>1954096.4000000001</v>
      </c>
      <c r="J123">
        <f t="shared" si="3"/>
        <v>195540</v>
      </c>
    </row>
    <row r="124" spans="1:10" x14ac:dyDescent="0.25">
      <c r="A124" t="s">
        <v>221</v>
      </c>
      <c r="B124" t="s">
        <v>212</v>
      </c>
      <c r="C124">
        <v>2018</v>
      </c>
      <c r="D124">
        <v>5892</v>
      </c>
      <c r="E124">
        <v>293.3</v>
      </c>
      <c r="F124">
        <v>8.4</v>
      </c>
      <c r="G124">
        <v>5</v>
      </c>
      <c r="H124">
        <v>31.3</v>
      </c>
      <c r="I124">
        <f t="shared" si="2"/>
        <v>1728123.6</v>
      </c>
      <c r="J124">
        <f t="shared" si="3"/>
        <v>184419.6</v>
      </c>
    </row>
    <row r="125" spans="1:10" x14ac:dyDescent="0.25">
      <c r="A125" t="s">
        <v>221</v>
      </c>
      <c r="B125" t="s">
        <v>212</v>
      </c>
      <c r="C125">
        <v>2019</v>
      </c>
      <c r="D125">
        <v>5421</v>
      </c>
      <c r="E125">
        <v>297.5</v>
      </c>
      <c r="F125">
        <v>8.3000000000000007</v>
      </c>
      <c r="G125">
        <v>5.0999999999999996</v>
      </c>
      <c r="H125">
        <v>33.799999999999997</v>
      </c>
      <c r="I125">
        <f t="shared" si="2"/>
        <v>1612747.5</v>
      </c>
      <c r="J125">
        <f t="shared" si="3"/>
        <v>183229.8</v>
      </c>
    </row>
    <row r="126" spans="1:10" x14ac:dyDescent="0.25">
      <c r="A126" t="s">
        <v>221</v>
      </c>
      <c r="B126" t="s">
        <v>212</v>
      </c>
      <c r="C126">
        <v>2020</v>
      </c>
      <c r="D126">
        <v>5504</v>
      </c>
      <c r="E126">
        <v>294.7</v>
      </c>
      <c r="F126">
        <v>8.1999999999999993</v>
      </c>
      <c r="G126">
        <v>5.0999999999999996</v>
      </c>
      <c r="H126">
        <v>36.5</v>
      </c>
      <c r="I126">
        <f t="shared" si="2"/>
        <v>1622028.8</v>
      </c>
      <c r="J126">
        <f t="shared" si="3"/>
        <v>200896</v>
      </c>
    </row>
    <row r="127" spans="1:10" x14ac:dyDescent="0.25">
      <c r="A127" t="s">
        <v>221</v>
      </c>
      <c r="B127" t="s">
        <v>212</v>
      </c>
      <c r="C127">
        <v>2021</v>
      </c>
      <c r="D127">
        <v>5122</v>
      </c>
      <c r="E127">
        <v>302.5</v>
      </c>
      <c r="F127">
        <v>8.3000000000000007</v>
      </c>
      <c r="G127">
        <v>5.3</v>
      </c>
      <c r="H127">
        <v>37.6</v>
      </c>
      <c r="I127">
        <f t="shared" si="2"/>
        <v>1549405</v>
      </c>
      <c r="J127">
        <f t="shared" si="3"/>
        <v>192587.2</v>
      </c>
    </row>
    <row r="128" spans="1:10" x14ac:dyDescent="0.25">
      <c r="A128" t="s">
        <v>221</v>
      </c>
      <c r="B128" t="s">
        <v>220</v>
      </c>
      <c r="C128">
        <v>2016</v>
      </c>
      <c r="D128">
        <v>9600</v>
      </c>
      <c r="E128">
        <v>296.10000000000002</v>
      </c>
      <c r="F128">
        <v>8.4</v>
      </c>
      <c r="G128">
        <v>4.3</v>
      </c>
      <c r="H128">
        <v>29.7</v>
      </c>
      <c r="I128">
        <f t="shared" si="2"/>
        <v>2842560</v>
      </c>
      <c r="J128">
        <f t="shared" si="3"/>
        <v>285120</v>
      </c>
    </row>
    <row r="129" spans="1:10" x14ac:dyDescent="0.25">
      <c r="A129" t="s">
        <v>221</v>
      </c>
      <c r="B129" t="s">
        <v>220</v>
      </c>
      <c r="C129">
        <v>2017</v>
      </c>
      <c r="D129">
        <v>9297</v>
      </c>
      <c r="E129">
        <v>301.5</v>
      </c>
      <c r="F129">
        <v>8.5</v>
      </c>
      <c r="G129">
        <v>4.4000000000000004</v>
      </c>
      <c r="H129">
        <v>30.4</v>
      </c>
      <c r="I129">
        <f t="shared" si="2"/>
        <v>2803045.5</v>
      </c>
      <c r="J129">
        <f t="shared" si="3"/>
        <v>282628.8</v>
      </c>
    </row>
    <row r="130" spans="1:10" x14ac:dyDescent="0.25">
      <c r="A130" t="s">
        <v>221</v>
      </c>
      <c r="B130" t="s">
        <v>220</v>
      </c>
      <c r="C130">
        <v>2018</v>
      </c>
      <c r="D130">
        <v>8696</v>
      </c>
      <c r="E130">
        <v>299.39999999999998</v>
      </c>
      <c r="F130">
        <v>8.1999999999999993</v>
      </c>
      <c r="G130">
        <v>4.4000000000000004</v>
      </c>
      <c r="H130">
        <v>31.3</v>
      </c>
      <c r="I130">
        <f t="shared" si="2"/>
        <v>2603582.4</v>
      </c>
      <c r="J130">
        <f t="shared" si="3"/>
        <v>272184.8</v>
      </c>
    </row>
    <row r="131" spans="1:10" x14ac:dyDescent="0.25">
      <c r="A131" t="s">
        <v>221</v>
      </c>
      <c r="B131" t="s">
        <v>220</v>
      </c>
      <c r="C131">
        <v>2019</v>
      </c>
      <c r="D131">
        <v>8276</v>
      </c>
      <c r="E131">
        <v>299.8</v>
      </c>
      <c r="F131">
        <v>8.1</v>
      </c>
      <c r="G131">
        <v>4.4000000000000004</v>
      </c>
      <c r="H131">
        <v>34.4</v>
      </c>
      <c r="I131">
        <f t="shared" ref="I131:I194" si="4">D131*E131</f>
        <v>2481144.8000000003</v>
      </c>
      <c r="J131">
        <f t="shared" ref="J131:J194" si="5">D131*H131</f>
        <v>284694.39999999997</v>
      </c>
    </row>
    <row r="132" spans="1:10" x14ac:dyDescent="0.25">
      <c r="A132" t="s">
        <v>221</v>
      </c>
      <c r="B132" t="s">
        <v>220</v>
      </c>
      <c r="C132">
        <v>2020</v>
      </c>
      <c r="D132">
        <v>8258</v>
      </c>
      <c r="E132">
        <v>300.39999999999998</v>
      </c>
      <c r="F132">
        <v>8</v>
      </c>
      <c r="G132">
        <v>4.4000000000000004</v>
      </c>
      <c r="H132">
        <v>37.5</v>
      </c>
      <c r="I132">
        <f t="shared" si="4"/>
        <v>2480703.1999999997</v>
      </c>
      <c r="J132">
        <f t="shared" si="5"/>
        <v>309675</v>
      </c>
    </row>
    <row r="133" spans="1:10" x14ac:dyDescent="0.25">
      <c r="A133" t="s">
        <v>221</v>
      </c>
      <c r="B133" t="s">
        <v>220</v>
      </c>
      <c r="C133">
        <v>2021</v>
      </c>
      <c r="D133">
        <v>8360</v>
      </c>
      <c r="E133">
        <v>304</v>
      </c>
      <c r="F133">
        <v>8</v>
      </c>
      <c r="G133">
        <v>4.5</v>
      </c>
      <c r="H133">
        <v>40.9</v>
      </c>
      <c r="I133">
        <f t="shared" si="4"/>
        <v>2541440</v>
      </c>
      <c r="J133">
        <f t="shared" si="5"/>
        <v>341924</v>
      </c>
    </row>
    <row r="134" spans="1:10" x14ac:dyDescent="0.25">
      <c r="A134" t="s">
        <v>221</v>
      </c>
      <c r="B134" t="s">
        <v>225</v>
      </c>
      <c r="C134">
        <v>2016</v>
      </c>
      <c r="D134">
        <v>3740</v>
      </c>
      <c r="E134">
        <v>303</v>
      </c>
      <c r="F134">
        <v>10.4</v>
      </c>
      <c r="G134">
        <v>6.6</v>
      </c>
      <c r="H134">
        <v>26.5</v>
      </c>
      <c r="I134">
        <f t="shared" si="4"/>
        <v>1133220</v>
      </c>
      <c r="J134">
        <f t="shared" si="5"/>
        <v>99110</v>
      </c>
    </row>
    <row r="135" spans="1:10" x14ac:dyDescent="0.25">
      <c r="A135" t="s">
        <v>221</v>
      </c>
      <c r="B135" t="s">
        <v>225</v>
      </c>
      <c r="C135">
        <v>2017</v>
      </c>
      <c r="D135">
        <v>3729</v>
      </c>
      <c r="E135">
        <v>303</v>
      </c>
      <c r="F135">
        <v>10.3</v>
      </c>
      <c r="G135">
        <v>6.6</v>
      </c>
      <c r="H135">
        <v>26.4</v>
      </c>
      <c r="I135">
        <f t="shared" si="4"/>
        <v>1129887</v>
      </c>
      <c r="J135">
        <f t="shared" si="5"/>
        <v>98445.599999999991</v>
      </c>
    </row>
    <row r="136" spans="1:10" x14ac:dyDescent="0.25">
      <c r="A136" t="s">
        <v>221</v>
      </c>
      <c r="B136" t="s">
        <v>225</v>
      </c>
      <c r="C136">
        <v>2018</v>
      </c>
      <c r="D136">
        <v>4243</v>
      </c>
      <c r="E136">
        <v>295</v>
      </c>
      <c r="F136">
        <v>9.6</v>
      </c>
      <c r="G136">
        <v>6.4</v>
      </c>
      <c r="H136">
        <v>27.5</v>
      </c>
      <c r="I136">
        <f t="shared" si="4"/>
        <v>1251685</v>
      </c>
      <c r="J136">
        <f t="shared" si="5"/>
        <v>116682.5</v>
      </c>
    </row>
    <row r="137" spans="1:10" x14ac:dyDescent="0.25">
      <c r="A137" t="s">
        <v>221</v>
      </c>
      <c r="B137" t="s">
        <v>225</v>
      </c>
      <c r="C137">
        <v>2019</v>
      </c>
      <c r="D137">
        <v>5097</v>
      </c>
      <c r="E137">
        <v>296.8</v>
      </c>
      <c r="F137">
        <v>9.5</v>
      </c>
      <c r="G137">
        <v>6.4</v>
      </c>
      <c r="H137">
        <v>28.2</v>
      </c>
      <c r="I137">
        <f t="shared" si="4"/>
        <v>1512789.6</v>
      </c>
      <c r="J137">
        <f t="shared" si="5"/>
        <v>143735.4</v>
      </c>
    </row>
    <row r="138" spans="1:10" x14ac:dyDescent="0.25">
      <c r="A138" t="s">
        <v>221</v>
      </c>
      <c r="B138" t="s">
        <v>225</v>
      </c>
      <c r="C138">
        <v>2020</v>
      </c>
      <c r="D138">
        <v>5929</v>
      </c>
      <c r="E138">
        <v>297.10000000000002</v>
      </c>
      <c r="F138">
        <v>9.4</v>
      </c>
      <c r="G138">
        <v>6.5</v>
      </c>
      <c r="H138">
        <v>27.8</v>
      </c>
      <c r="I138">
        <f t="shared" si="4"/>
        <v>1761505.9000000001</v>
      </c>
      <c r="J138">
        <f t="shared" si="5"/>
        <v>164826.20000000001</v>
      </c>
    </row>
    <row r="139" spans="1:10" x14ac:dyDescent="0.25">
      <c r="A139" t="s">
        <v>221</v>
      </c>
      <c r="B139" t="s">
        <v>225</v>
      </c>
      <c r="C139">
        <v>2021</v>
      </c>
      <c r="D139">
        <v>5881</v>
      </c>
      <c r="E139">
        <v>303.39999999999998</v>
      </c>
      <c r="F139">
        <v>9.5</v>
      </c>
      <c r="G139">
        <v>6.6</v>
      </c>
      <c r="H139">
        <v>28.4</v>
      </c>
      <c r="I139">
        <f t="shared" si="4"/>
        <v>1784295.4</v>
      </c>
      <c r="J139">
        <f t="shared" si="5"/>
        <v>167020.4</v>
      </c>
    </row>
    <row r="140" spans="1:10" x14ac:dyDescent="0.25">
      <c r="A140" t="s">
        <v>221</v>
      </c>
      <c r="B140" t="s">
        <v>228</v>
      </c>
      <c r="C140">
        <v>2016</v>
      </c>
      <c r="D140">
        <v>3143</v>
      </c>
      <c r="E140">
        <v>323</v>
      </c>
      <c r="F140">
        <v>8.6999999999999993</v>
      </c>
      <c r="G140">
        <v>7.6</v>
      </c>
      <c r="H140">
        <v>25.4</v>
      </c>
      <c r="I140">
        <f t="shared" si="4"/>
        <v>1015189</v>
      </c>
      <c r="J140">
        <f t="shared" si="5"/>
        <v>79832.2</v>
      </c>
    </row>
    <row r="141" spans="1:10" x14ac:dyDescent="0.25">
      <c r="A141" t="s">
        <v>221</v>
      </c>
      <c r="B141" t="s">
        <v>228</v>
      </c>
      <c r="C141">
        <v>2017</v>
      </c>
      <c r="D141">
        <v>3122</v>
      </c>
      <c r="E141">
        <v>323.8</v>
      </c>
      <c r="F141">
        <v>8.5</v>
      </c>
      <c r="G141">
        <v>7.6</v>
      </c>
      <c r="H141">
        <v>25.8</v>
      </c>
      <c r="I141">
        <f t="shared" si="4"/>
        <v>1010903.6000000001</v>
      </c>
      <c r="J141">
        <f t="shared" si="5"/>
        <v>80547.600000000006</v>
      </c>
    </row>
    <row r="142" spans="1:10" x14ac:dyDescent="0.25">
      <c r="A142" t="s">
        <v>221</v>
      </c>
      <c r="B142" t="s">
        <v>228</v>
      </c>
      <c r="C142">
        <v>2018</v>
      </c>
      <c r="D142">
        <v>3455</v>
      </c>
      <c r="E142">
        <v>319.3</v>
      </c>
      <c r="F142">
        <v>8.1999999999999993</v>
      </c>
      <c r="G142">
        <v>7.5</v>
      </c>
      <c r="H142">
        <v>26.2</v>
      </c>
      <c r="I142">
        <f t="shared" si="4"/>
        <v>1103181.5</v>
      </c>
      <c r="J142">
        <f t="shared" si="5"/>
        <v>90521</v>
      </c>
    </row>
    <row r="143" spans="1:10" x14ac:dyDescent="0.25">
      <c r="A143" t="s">
        <v>221</v>
      </c>
      <c r="B143" t="s">
        <v>228</v>
      </c>
      <c r="C143">
        <v>2019</v>
      </c>
      <c r="D143">
        <v>4053</v>
      </c>
      <c r="E143">
        <v>321.10000000000002</v>
      </c>
      <c r="F143">
        <v>8.1</v>
      </c>
      <c r="G143">
        <v>7.5</v>
      </c>
      <c r="H143">
        <v>27.4</v>
      </c>
      <c r="I143">
        <f t="shared" si="4"/>
        <v>1301418.3</v>
      </c>
      <c r="J143">
        <f t="shared" si="5"/>
        <v>111052.2</v>
      </c>
    </row>
    <row r="144" spans="1:10" x14ac:dyDescent="0.25">
      <c r="A144" t="s">
        <v>221</v>
      </c>
      <c r="B144" t="s">
        <v>228</v>
      </c>
      <c r="C144">
        <v>2020</v>
      </c>
      <c r="D144">
        <v>3983</v>
      </c>
      <c r="E144">
        <v>324.2</v>
      </c>
      <c r="F144">
        <v>8</v>
      </c>
      <c r="G144">
        <v>7.6</v>
      </c>
      <c r="H144">
        <v>31.5</v>
      </c>
      <c r="I144">
        <f t="shared" si="4"/>
        <v>1291288.5999999999</v>
      </c>
      <c r="J144">
        <f t="shared" si="5"/>
        <v>125464.5</v>
      </c>
    </row>
    <row r="145" spans="1:10" x14ac:dyDescent="0.25">
      <c r="A145" t="s">
        <v>221</v>
      </c>
      <c r="B145" t="s">
        <v>228</v>
      </c>
      <c r="C145">
        <v>2021</v>
      </c>
      <c r="D145">
        <v>3778</v>
      </c>
      <c r="E145">
        <v>332.1</v>
      </c>
      <c r="F145">
        <v>8.1</v>
      </c>
      <c r="G145">
        <v>7.8</v>
      </c>
      <c r="H145">
        <v>31.5</v>
      </c>
      <c r="I145">
        <f t="shared" si="4"/>
        <v>1254673.8</v>
      </c>
      <c r="J145">
        <f t="shared" si="5"/>
        <v>119007</v>
      </c>
    </row>
    <row r="146" spans="1:10" x14ac:dyDescent="0.25">
      <c r="A146" t="s">
        <v>221</v>
      </c>
      <c r="B146" t="s">
        <v>229</v>
      </c>
      <c r="C146">
        <v>2016</v>
      </c>
      <c r="D146">
        <v>1103</v>
      </c>
      <c r="E146">
        <v>304.3</v>
      </c>
      <c r="F146">
        <v>10.3</v>
      </c>
      <c r="G146">
        <v>6.9</v>
      </c>
      <c r="H146">
        <v>25.6</v>
      </c>
      <c r="I146">
        <f t="shared" si="4"/>
        <v>335642.9</v>
      </c>
      <c r="J146">
        <f t="shared" si="5"/>
        <v>28236.800000000003</v>
      </c>
    </row>
    <row r="147" spans="1:10" x14ac:dyDescent="0.25">
      <c r="A147" t="s">
        <v>221</v>
      </c>
      <c r="B147" t="s">
        <v>229</v>
      </c>
      <c r="C147">
        <v>2017</v>
      </c>
      <c r="D147">
        <v>1215</v>
      </c>
      <c r="E147">
        <v>306.7</v>
      </c>
      <c r="F147">
        <v>10.4</v>
      </c>
      <c r="G147">
        <v>7</v>
      </c>
      <c r="H147">
        <v>25.7</v>
      </c>
      <c r="I147">
        <f t="shared" si="4"/>
        <v>372640.5</v>
      </c>
      <c r="J147">
        <f t="shared" si="5"/>
        <v>31225.5</v>
      </c>
    </row>
    <row r="148" spans="1:10" x14ac:dyDescent="0.25">
      <c r="A148" t="s">
        <v>221</v>
      </c>
      <c r="B148" t="s">
        <v>229</v>
      </c>
      <c r="C148">
        <v>2018</v>
      </c>
      <c r="D148">
        <v>1464</v>
      </c>
      <c r="E148">
        <v>297</v>
      </c>
      <c r="F148">
        <v>9.6999999999999993</v>
      </c>
      <c r="G148">
        <v>6.7</v>
      </c>
      <c r="H148">
        <v>26.1</v>
      </c>
      <c r="I148">
        <f t="shared" si="4"/>
        <v>434808</v>
      </c>
      <c r="J148">
        <f t="shared" si="5"/>
        <v>38210.400000000001</v>
      </c>
    </row>
    <row r="149" spans="1:10" x14ac:dyDescent="0.25">
      <c r="A149" t="s">
        <v>221</v>
      </c>
      <c r="B149" t="s">
        <v>229</v>
      </c>
      <c r="C149">
        <v>2019</v>
      </c>
      <c r="D149">
        <v>1764</v>
      </c>
      <c r="E149">
        <v>300.39999999999998</v>
      </c>
      <c r="F149">
        <v>9.5</v>
      </c>
      <c r="G149">
        <v>6.6</v>
      </c>
      <c r="H149">
        <v>26.9</v>
      </c>
      <c r="I149">
        <f t="shared" si="4"/>
        <v>529905.6</v>
      </c>
      <c r="J149">
        <f t="shared" si="5"/>
        <v>47451.6</v>
      </c>
    </row>
    <row r="150" spans="1:10" x14ac:dyDescent="0.25">
      <c r="A150" t="s">
        <v>221</v>
      </c>
      <c r="B150" t="s">
        <v>229</v>
      </c>
      <c r="C150">
        <v>2020</v>
      </c>
      <c r="D150">
        <v>2183</v>
      </c>
      <c r="E150">
        <v>305</v>
      </c>
      <c r="F150">
        <v>9.4</v>
      </c>
      <c r="G150">
        <v>6.8</v>
      </c>
      <c r="H150">
        <v>27.9</v>
      </c>
      <c r="I150">
        <f t="shared" si="4"/>
        <v>665815</v>
      </c>
      <c r="J150">
        <f t="shared" si="5"/>
        <v>60905.7</v>
      </c>
    </row>
    <row r="151" spans="1:10" x14ac:dyDescent="0.25">
      <c r="A151" t="s">
        <v>221</v>
      </c>
      <c r="B151" t="s">
        <v>229</v>
      </c>
      <c r="C151">
        <v>2021</v>
      </c>
      <c r="D151">
        <v>2144</v>
      </c>
      <c r="E151">
        <v>308</v>
      </c>
      <c r="F151">
        <v>9.5</v>
      </c>
      <c r="G151">
        <v>6.8</v>
      </c>
      <c r="H151">
        <v>28.2</v>
      </c>
      <c r="I151">
        <f t="shared" si="4"/>
        <v>660352</v>
      </c>
      <c r="J151">
        <f t="shared" si="5"/>
        <v>60460.799999999996</v>
      </c>
    </row>
    <row r="152" spans="1:10" x14ac:dyDescent="0.25">
      <c r="A152" t="s">
        <v>221</v>
      </c>
      <c r="B152" t="s">
        <v>231</v>
      </c>
      <c r="C152">
        <v>2016</v>
      </c>
      <c r="D152">
        <v>870</v>
      </c>
      <c r="E152">
        <v>319.3</v>
      </c>
      <c r="F152">
        <v>8.8000000000000007</v>
      </c>
      <c r="G152">
        <v>8.6999999999999993</v>
      </c>
      <c r="H152">
        <v>24.3</v>
      </c>
      <c r="I152">
        <f t="shared" si="4"/>
        <v>277791</v>
      </c>
      <c r="J152">
        <f t="shared" si="5"/>
        <v>21141</v>
      </c>
    </row>
    <row r="153" spans="1:10" x14ac:dyDescent="0.25">
      <c r="A153" t="s">
        <v>221</v>
      </c>
      <c r="B153" t="s">
        <v>231</v>
      </c>
      <c r="C153">
        <v>2017</v>
      </c>
      <c r="D153">
        <v>865</v>
      </c>
      <c r="E153">
        <v>321.10000000000002</v>
      </c>
      <c r="F153">
        <v>8.8000000000000007</v>
      </c>
      <c r="G153">
        <v>8.6999999999999993</v>
      </c>
      <c r="H153">
        <v>24.6</v>
      </c>
      <c r="I153">
        <f t="shared" si="4"/>
        <v>277751.5</v>
      </c>
      <c r="J153">
        <f t="shared" si="5"/>
        <v>21279</v>
      </c>
    </row>
    <row r="154" spans="1:10" x14ac:dyDescent="0.25">
      <c r="A154" t="s">
        <v>221</v>
      </c>
      <c r="B154" t="s">
        <v>231</v>
      </c>
      <c r="C154">
        <v>2018</v>
      </c>
      <c r="D154">
        <v>1016</v>
      </c>
      <c r="E154">
        <v>315.60000000000002</v>
      </c>
      <c r="F154">
        <v>8.4</v>
      </c>
      <c r="G154">
        <v>8.3000000000000007</v>
      </c>
      <c r="H154">
        <v>24.6</v>
      </c>
      <c r="I154">
        <f t="shared" si="4"/>
        <v>320649.60000000003</v>
      </c>
      <c r="J154">
        <f t="shared" si="5"/>
        <v>24993.600000000002</v>
      </c>
    </row>
    <row r="155" spans="1:10" x14ac:dyDescent="0.25">
      <c r="A155" t="s">
        <v>221</v>
      </c>
      <c r="B155" t="s">
        <v>231</v>
      </c>
      <c r="C155">
        <v>2019</v>
      </c>
      <c r="D155">
        <v>1106</v>
      </c>
      <c r="E155">
        <v>317</v>
      </c>
      <c r="F155">
        <v>8.3000000000000007</v>
      </c>
      <c r="G155">
        <v>8.1</v>
      </c>
      <c r="H155">
        <v>29.1</v>
      </c>
      <c r="I155">
        <f t="shared" si="4"/>
        <v>350602</v>
      </c>
      <c r="J155">
        <f t="shared" si="5"/>
        <v>32184.600000000002</v>
      </c>
    </row>
    <row r="156" spans="1:10" x14ac:dyDescent="0.25">
      <c r="A156" t="s">
        <v>221</v>
      </c>
      <c r="B156" t="s">
        <v>231</v>
      </c>
      <c r="C156">
        <v>2020</v>
      </c>
      <c r="D156">
        <v>1249</v>
      </c>
      <c r="E156">
        <v>314.3</v>
      </c>
      <c r="F156">
        <v>8.1</v>
      </c>
      <c r="G156">
        <v>8.3000000000000007</v>
      </c>
      <c r="H156">
        <v>28.2</v>
      </c>
      <c r="I156">
        <f t="shared" si="4"/>
        <v>392560.7</v>
      </c>
      <c r="J156">
        <f t="shared" si="5"/>
        <v>35221.799999999996</v>
      </c>
    </row>
    <row r="157" spans="1:10" x14ac:dyDescent="0.25">
      <c r="A157" t="s">
        <v>221</v>
      </c>
      <c r="B157" t="s">
        <v>231</v>
      </c>
      <c r="C157">
        <v>2021</v>
      </c>
      <c r="D157">
        <v>1265</v>
      </c>
      <c r="E157">
        <v>313.3</v>
      </c>
      <c r="F157">
        <v>8</v>
      </c>
      <c r="G157">
        <v>8.1</v>
      </c>
      <c r="H157">
        <v>28.1</v>
      </c>
      <c r="I157">
        <f t="shared" si="4"/>
        <v>396324.5</v>
      </c>
      <c r="J157">
        <f t="shared" si="5"/>
        <v>35546.5</v>
      </c>
    </row>
    <row r="158" spans="1:10" x14ac:dyDescent="0.25">
      <c r="A158" t="s">
        <v>221</v>
      </c>
      <c r="B158" t="s">
        <v>232</v>
      </c>
      <c r="C158">
        <v>2016</v>
      </c>
      <c r="D158">
        <v>2468</v>
      </c>
      <c r="E158">
        <v>315.8</v>
      </c>
      <c r="F158">
        <v>8.8000000000000007</v>
      </c>
      <c r="G158">
        <v>7.1</v>
      </c>
      <c r="H158">
        <v>24.4</v>
      </c>
      <c r="I158">
        <f t="shared" si="4"/>
        <v>779394.4</v>
      </c>
      <c r="J158">
        <f t="shared" si="5"/>
        <v>60219.199999999997</v>
      </c>
    </row>
    <row r="159" spans="1:10" x14ac:dyDescent="0.25">
      <c r="A159" t="s">
        <v>221</v>
      </c>
      <c r="B159" t="s">
        <v>232</v>
      </c>
      <c r="C159">
        <v>2017</v>
      </c>
      <c r="D159">
        <v>2484</v>
      </c>
      <c r="E159">
        <v>317.2</v>
      </c>
      <c r="F159">
        <v>8.6999999999999993</v>
      </c>
      <c r="G159">
        <v>7.1</v>
      </c>
      <c r="H159">
        <v>24.4</v>
      </c>
      <c r="I159">
        <f t="shared" si="4"/>
        <v>787924.79999999993</v>
      </c>
      <c r="J159">
        <f t="shared" si="5"/>
        <v>60609.599999999999</v>
      </c>
    </row>
    <row r="160" spans="1:10" x14ac:dyDescent="0.25">
      <c r="A160" t="s">
        <v>221</v>
      </c>
      <c r="B160" t="s">
        <v>232</v>
      </c>
      <c r="C160">
        <v>2018</v>
      </c>
      <c r="D160">
        <v>2820</v>
      </c>
      <c r="E160">
        <v>311.2</v>
      </c>
      <c r="F160">
        <v>8.1999999999999993</v>
      </c>
      <c r="G160">
        <v>7</v>
      </c>
      <c r="H160">
        <v>25.3</v>
      </c>
      <c r="I160">
        <f t="shared" si="4"/>
        <v>877584</v>
      </c>
      <c r="J160">
        <f t="shared" si="5"/>
        <v>71346</v>
      </c>
    </row>
    <row r="161" spans="1:10" x14ac:dyDescent="0.25">
      <c r="A161" t="s">
        <v>221</v>
      </c>
      <c r="B161" t="s">
        <v>232</v>
      </c>
      <c r="C161">
        <v>2019</v>
      </c>
      <c r="D161">
        <v>3088</v>
      </c>
      <c r="E161">
        <v>309.8</v>
      </c>
      <c r="F161">
        <v>8.1</v>
      </c>
      <c r="G161">
        <v>7</v>
      </c>
      <c r="H161">
        <v>25.2</v>
      </c>
      <c r="I161">
        <f t="shared" si="4"/>
        <v>956662.4</v>
      </c>
      <c r="J161">
        <f t="shared" si="5"/>
        <v>77817.599999999991</v>
      </c>
    </row>
    <row r="162" spans="1:10" x14ac:dyDescent="0.25">
      <c r="A162" t="s">
        <v>221</v>
      </c>
      <c r="B162" t="s">
        <v>232</v>
      </c>
      <c r="C162">
        <v>2020</v>
      </c>
      <c r="D162">
        <v>3594</v>
      </c>
      <c r="E162">
        <v>312.7</v>
      </c>
      <c r="F162">
        <v>8</v>
      </c>
      <c r="G162">
        <v>7</v>
      </c>
      <c r="H162">
        <v>27.1</v>
      </c>
      <c r="I162">
        <f t="shared" si="4"/>
        <v>1123843.8</v>
      </c>
      <c r="J162">
        <f t="shared" si="5"/>
        <v>97397.400000000009</v>
      </c>
    </row>
    <row r="163" spans="1:10" x14ac:dyDescent="0.25">
      <c r="A163" t="s">
        <v>221</v>
      </c>
      <c r="B163" t="s">
        <v>232</v>
      </c>
      <c r="C163">
        <v>2021</v>
      </c>
      <c r="D163">
        <v>3319</v>
      </c>
      <c r="E163">
        <v>322.10000000000002</v>
      </c>
      <c r="F163">
        <v>8.1999999999999993</v>
      </c>
      <c r="G163">
        <v>7.3</v>
      </c>
      <c r="H163">
        <v>26.9</v>
      </c>
      <c r="I163">
        <f t="shared" si="4"/>
        <v>1069049.9000000001</v>
      </c>
      <c r="J163">
        <f t="shared" si="5"/>
        <v>89281.099999999991</v>
      </c>
    </row>
    <row r="164" spans="1:10" x14ac:dyDescent="0.25">
      <c r="A164" t="s">
        <v>221</v>
      </c>
      <c r="B164" t="s">
        <v>234</v>
      </c>
      <c r="C164">
        <v>2016</v>
      </c>
      <c r="D164">
        <v>284</v>
      </c>
      <c r="E164">
        <v>177</v>
      </c>
      <c r="F164">
        <v>7.1</v>
      </c>
      <c r="G164">
        <v>4.5</v>
      </c>
      <c r="H164">
        <v>31</v>
      </c>
      <c r="I164">
        <f t="shared" si="4"/>
        <v>50268</v>
      </c>
      <c r="J164">
        <f t="shared" si="5"/>
        <v>8804</v>
      </c>
    </row>
    <row r="165" spans="1:10" x14ac:dyDescent="0.25">
      <c r="A165" t="s">
        <v>221</v>
      </c>
      <c r="B165" t="s">
        <v>234</v>
      </c>
      <c r="C165">
        <v>2017</v>
      </c>
      <c r="D165">
        <v>237</v>
      </c>
      <c r="E165">
        <v>191.4</v>
      </c>
      <c r="F165">
        <v>7.3</v>
      </c>
      <c r="G165">
        <v>4.7</v>
      </c>
      <c r="H165">
        <v>34.200000000000003</v>
      </c>
      <c r="I165">
        <f t="shared" si="4"/>
        <v>45361.8</v>
      </c>
      <c r="J165">
        <f t="shared" si="5"/>
        <v>8105.4000000000005</v>
      </c>
    </row>
    <row r="166" spans="1:10" x14ac:dyDescent="0.25">
      <c r="A166" t="s">
        <v>221</v>
      </c>
      <c r="B166" t="s">
        <v>234</v>
      </c>
      <c r="C166">
        <v>2018</v>
      </c>
      <c r="D166">
        <v>273</v>
      </c>
      <c r="E166">
        <v>168.9</v>
      </c>
      <c r="F166">
        <v>6.1</v>
      </c>
      <c r="G166">
        <v>4.3</v>
      </c>
      <c r="H166">
        <v>33.700000000000003</v>
      </c>
      <c r="I166">
        <f t="shared" si="4"/>
        <v>46109.700000000004</v>
      </c>
      <c r="J166">
        <f t="shared" si="5"/>
        <v>9200.1</v>
      </c>
    </row>
    <row r="167" spans="1:10" x14ac:dyDescent="0.25">
      <c r="A167" t="s">
        <v>221</v>
      </c>
      <c r="B167" t="s">
        <v>234</v>
      </c>
      <c r="C167">
        <v>2019</v>
      </c>
      <c r="D167">
        <v>221</v>
      </c>
      <c r="E167">
        <v>175.3</v>
      </c>
      <c r="F167">
        <v>6.3</v>
      </c>
      <c r="G167">
        <v>4.3</v>
      </c>
      <c r="H167">
        <v>37.5</v>
      </c>
      <c r="I167">
        <f t="shared" si="4"/>
        <v>38741.300000000003</v>
      </c>
      <c r="J167">
        <f t="shared" si="5"/>
        <v>8287.5</v>
      </c>
    </row>
    <row r="168" spans="1:10" x14ac:dyDescent="0.25">
      <c r="A168" t="s">
        <v>221</v>
      </c>
      <c r="B168" t="s">
        <v>234</v>
      </c>
      <c r="C168">
        <v>2020</v>
      </c>
      <c r="D168">
        <v>163</v>
      </c>
      <c r="E168">
        <v>192.3</v>
      </c>
      <c r="F168">
        <v>7.3</v>
      </c>
      <c r="G168">
        <v>4.5999999999999996</v>
      </c>
      <c r="H168">
        <v>38.700000000000003</v>
      </c>
      <c r="I168">
        <f t="shared" si="4"/>
        <v>31344.9</v>
      </c>
      <c r="J168">
        <f t="shared" si="5"/>
        <v>6308.1</v>
      </c>
    </row>
    <row r="169" spans="1:10" x14ac:dyDescent="0.25">
      <c r="A169" t="s">
        <v>221</v>
      </c>
      <c r="B169" t="s">
        <v>234</v>
      </c>
      <c r="C169">
        <v>2021</v>
      </c>
      <c r="D169">
        <v>179</v>
      </c>
      <c r="E169">
        <v>193.2</v>
      </c>
      <c r="F169">
        <v>6.5</v>
      </c>
      <c r="G169">
        <v>4.5999999999999996</v>
      </c>
      <c r="H169">
        <v>43.4</v>
      </c>
      <c r="I169">
        <f t="shared" si="4"/>
        <v>34582.799999999996</v>
      </c>
      <c r="J169">
        <f t="shared" si="5"/>
        <v>7768.5999999999995</v>
      </c>
    </row>
    <row r="170" spans="1:10" x14ac:dyDescent="0.25">
      <c r="A170" t="s">
        <v>221</v>
      </c>
      <c r="B170" t="s">
        <v>235</v>
      </c>
      <c r="C170">
        <v>2016</v>
      </c>
      <c r="D170">
        <v>176</v>
      </c>
      <c r="E170">
        <v>330.6</v>
      </c>
      <c r="F170">
        <v>7.5</v>
      </c>
      <c r="G170">
        <v>9.3000000000000007</v>
      </c>
      <c r="H170">
        <v>21.9</v>
      </c>
      <c r="I170">
        <f t="shared" si="4"/>
        <v>58185.600000000006</v>
      </c>
      <c r="J170">
        <f t="shared" si="5"/>
        <v>3854.3999999999996</v>
      </c>
    </row>
    <row r="171" spans="1:10" x14ac:dyDescent="0.25">
      <c r="A171" t="s">
        <v>221</v>
      </c>
      <c r="B171" t="s">
        <v>235</v>
      </c>
      <c r="C171">
        <v>2017</v>
      </c>
      <c r="D171">
        <v>159</v>
      </c>
      <c r="E171">
        <v>315.8</v>
      </c>
      <c r="F171">
        <v>7.2</v>
      </c>
      <c r="G171">
        <v>9.1</v>
      </c>
      <c r="H171">
        <v>21.6</v>
      </c>
      <c r="I171">
        <f t="shared" si="4"/>
        <v>50212.200000000004</v>
      </c>
      <c r="J171">
        <f t="shared" si="5"/>
        <v>3434.4</v>
      </c>
    </row>
    <row r="172" spans="1:10" x14ac:dyDescent="0.25">
      <c r="A172" t="s">
        <v>221</v>
      </c>
      <c r="B172" t="s">
        <v>235</v>
      </c>
      <c r="C172">
        <v>2018</v>
      </c>
      <c r="D172">
        <v>174</v>
      </c>
      <c r="E172">
        <v>318.89999999999998</v>
      </c>
      <c r="F172">
        <v>6.7</v>
      </c>
      <c r="G172">
        <v>8.9</v>
      </c>
      <c r="H172">
        <v>22.7</v>
      </c>
      <c r="I172">
        <f t="shared" si="4"/>
        <v>55488.6</v>
      </c>
      <c r="J172">
        <f t="shared" si="5"/>
        <v>3949.7999999999997</v>
      </c>
    </row>
    <row r="173" spans="1:10" x14ac:dyDescent="0.25">
      <c r="A173" t="s">
        <v>221</v>
      </c>
      <c r="B173" t="s">
        <v>235</v>
      </c>
      <c r="C173">
        <v>2019</v>
      </c>
      <c r="D173">
        <v>213</v>
      </c>
      <c r="E173">
        <v>330.7</v>
      </c>
      <c r="F173">
        <v>6.6</v>
      </c>
      <c r="G173">
        <v>9.3000000000000007</v>
      </c>
      <c r="H173">
        <v>22.7</v>
      </c>
      <c r="I173">
        <f t="shared" si="4"/>
        <v>70439.099999999991</v>
      </c>
      <c r="J173">
        <f t="shared" si="5"/>
        <v>4835.0999999999995</v>
      </c>
    </row>
    <row r="174" spans="1:10" x14ac:dyDescent="0.25">
      <c r="A174" t="s">
        <v>221</v>
      </c>
      <c r="B174" t="s">
        <v>235</v>
      </c>
      <c r="C174">
        <v>2020</v>
      </c>
      <c r="D174">
        <v>200</v>
      </c>
      <c r="E174">
        <v>316.39999999999998</v>
      </c>
      <c r="F174">
        <v>6.8</v>
      </c>
      <c r="G174">
        <v>8.6</v>
      </c>
      <c r="H174">
        <v>21.5</v>
      </c>
      <c r="I174">
        <f t="shared" si="4"/>
        <v>63279.999999999993</v>
      </c>
      <c r="J174">
        <f t="shared" si="5"/>
        <v>4300</v>
      </c>
    </row>
    <row r="175" spans="1:10" x14ac:dyDescent="0.25">
      <c r="A175" t="s">
        <v>221</v>
      </c>
      <c r="B175" t="s">
        <v>235</v>
      </c>
      <c r="C175">
        <v>2021</v>
      </c>
      <c r="D175">
        <v>257</v>
      </c>
      <c r="E175">
        <v>323.60000000000002</v>
      </c>
      <c r="F175">
        <v>6.7</v>
      </c>
      <c r="G175">
        <v>8.6999999999999993</v>
      </c>
      <c r="H175">
        <v>23</v>
      </c>
      <c r="I175">
        <f t="shared" si="4"/>
        <v>83165.200000000012</v>
      </c>
      <c r="J175">
        <f t="shared" si="5"/>
        <v>5911</v>
      </c>
    </row>
    <row r="176" spans="1:10" x14ac:dyDescent="0.25">
      <c r="A176" t="s">
        <v>221</v>
      </c>
      <c r="B176" t="s">
        <v>236</v>
      </c>
      <c r="C176">
        <v>2016</v>
      </c>
      <c r="D176">
        <v>23158</v>
      </c>
      <c r="E176">
        <v>311.8</v>
      </c>
      <c r="F176">
        <v>9.4</v>
      </c>
      <c r="G176">
        <v>7</v>
      </c>
      <c r="H176">
        <v>26.3</v>
      </c>
      <c r="I176">
        <f t="shared" si="4"/>
        <v>7220664.4000000004</v>
      </c>
      <c r="J176">
        <f t="shared" si="5"/>
        <v>609055.4</v>
      </c>
    </row>
    <row r="177" spans="1:10" x14ac:dyDescent="0.25">
      <c r="A177" t="s">
        <v>221</v>
      </c>
      <c r="B177" t="s">
        <v>236</v>
      </c>
      <c r="C177">
        <v>2017</v>
      </c>
      <c r="D177">
        <v>22888</v>
      </c>
      <c r="E177">
        <v>313.8</v>
      </c>
      <c r="F177">
        <v>9.3000000000000007</v>
      </c>
      <c r="G177">
        <v>7</v>
      </c>
      <c r="H177">
        <v>26.5</v>
      </c>
      <c r="I177">
        <f t="shared" si="4"/>
        <v>7182254.4000000004</v>
      </c>
      <c r="J177">
        <f t="shared" si="5"/>
        <v>606532</v>
      </c>
    </row>
    <row r="178" spans="1:10" x14ac:dyDescent="0.25">
      <c r="A178" t="s">
        <v>221</v>
      </c>
      <c r="B178" t="s">
        <v>236</v>
      </c>
      <c r="C178">
        <v>2018</v>
      </c>
      <c r="D178">
        <v>27050</v>
      </c>
      <c r="E178">
        <v>307.89999999999998</v>
      </c>
      <c r="F178">
        <v>8.9</v>
      </c>
      <c r="G178">
        <v>6.9</v>
      </c>
      <c r="H178">
        <v>27.5</v>
      </c>
      <c r="I178">
        <f t="shared" si="4"/>
        <v>8328694.9999999991</v>
      </c>
      <c r="J178">
        <f t="shared" si="5"/>
        <v>743875</v>
      </c>
    </row>
    <row r="179" spans="1:10" x14ac:dyDescent="0.25">
      <c r="A179" t="s">
        <v>221</v>
      </c>
      <c r="B179" t="s">
        <v>236</v>
      </c>
      <c r="C179">
        <v>2019</v>
      </c>
      <c r="D179">
        <v>29484</v>
      </c>
      <c r="E179">
        <v>307.5</v>
      </c>
      <c r="F179">
        <v>8.8000000000000007</v>
      </c>
      <c r="G179">
        <v>6.8</v>
      </c>
      <c r="H179">
        <v>27.1</v>
      </c>
      <c r="I179">
        <f t="shared" si="4"/>
        <v>9066330</v>
      </c>
      <c r="J179">
        <f t="shared" si="5"/>
        <v>799016.4</v>
      </c>
    </row>
    <row r="180" spans="1:10" x14ac:dyDescent="0.25">
      <c r="A180" t="s">
        <v>221</v>
      </c>
      <c r="B180" t="s">
        <v>236</v>
      </c>
      <c r="C180">
        <v>2020</v>
      </c>
      <c r="D180">
        <v>33134</v>
      </c>
      <c r="E180">
        <v>309.7</v>
      </c>
      <c r="F180">
        <v>8.6999999999999993</v>
      </c>
      <c r="G180">
        <v>6.9</v>
      </c>
      <c r="H180">
        <v>27.4</v>
      </c>
      <c r="I180">
        <f t="shared" si="4"/>
        <v>10261599.799999999</v>
      </c>
      <c r="J180">
        <f t="shared" si="5"/>
        <v>907871.6</v>
      </c>
    </row>
    <row r="181" spans="1:10" x14ac:dyDescent="0.25">
      <c r="A181" t="s">
        <v>221</v>
      </c>
      <c r="B181" t="s">
        <v>236</v>
      </c>
      <c r="C181">
        <v>2021</v>
      </c>
      <c r="D181">
        <v>31140</v>
      </c>
      <c r="E181">
        <v>316.2</v>
      </c>
      <c r="F181">
        <v>8.8000000000000007</v>
      </c>
      <c r="G181">
        <v>7.1</v>
      </c>
      <c r="H181">
        <v>28.2</v>
      </c>
      <c r="I181">
        <f t="shared" si="4"/>
        <v>9846468</v>
      </c>
      <c r="J181">
        <f t="shared" si="5"/>
        <v>878148</v>
      </c>
    </row>
    <row r="182" spans="1:10" x14ac:dyDescent="0.25">
      <c r="A182" t="s">
        <v>222</v>
      </c>
      <c r="B182" t="s">
        <v>212</v>
      </c>
      <c r="C182">
        <v>2016</v>
      </c>
      <c r="D182">
        <v>11185</v>
      </c>
      <c r="E182">
        <v>326.5</v>
      </c>
      <c r="F182">
        <v>7.9</v>
      </c>
      <c r="G182">
        <v>4.8</v>
      </c>
      <c r="H182">
        <v>28</v>
      </c>
      <c r="I182">
        <f t="shared" si="4"/>
        <v>3651902.5</v>
      </c>
      <c r="J182">
        <f t="shared" si="5"/>
        <v>313180</v>
      </c>
    </row>
    <row r="183" spans="1:10" x14ac:dyDescent="0.25">
      <c r="A183" t="s">
        <v>222</v>
      </c>
      <c r="B183" t="s">
        <v>212</v>
      </c>
      <c r="C183">
        <v>2017</v>
      </c>
      <c r="D183">
        <v>10763</v>
      </c>
      <c r="E183">
        <v>327.39999999999998</v>
      </c>
      <c r="F183">
        <v>7.9</v>
      </c>
      <c r="G183">
        <v>4.8</v>
      </c>
      <c r="H183">
        <v>28.7</v>
      </c>
      <c r="I183">
        <f t="shared" si="4"/>
        <v>3523806.1999999997</v>
      </c>
      <c r="J183">
        <f t="shared" si="5"/>
        <v>308898.09999999998</v>
      </c>
    </row>
    <row r="184" spans="1:10" x14ac:dyDescent="0.25">
      <c r="A184" t="s">
        <v>222</v>
      </c>
      <c r="B184" t="s">
        <v>212</v>
      </c>
      <c r="C184">
        <v>2018</v>
      </c>
      <c r="D184">
        <v>10031</v>
      </c>
      <c r="E184">
        <v>324.7</v>
      </c>
      <c r="F184">
        <v>7.5</v>
      </c>
      <c r="G184">
        <v>4.7</v>
      </c>
      <c r="H184">
        <v>29.8</v>
      </c>
      <c r="I184">
        <f t="shared" si="4"/>
        <v>3257065.6999999997</v>
      </c>
      <c r="J184">
        <f t="shared" si="5"/>
        <v>298923.8</v>
      </c>
    </row>
    <row r="185" spans="1:10" x14ac:dyDescent="0.25">
      <c r="A185" t="s">
        <v>222</v>
      </c>
      <c r="B185" t="s">
        <v>212</v>
      </c>
      <c r="C185">
        <v>2019</v>
      </c>
      <c r="D185">
        <v>8586</v>
      </c>
      <c r="E185">
        <v>324.89999999999998</v>
      </c>
      <c r="F185">
        <v>7.3</v>
      </c>
      <c r="G185">
        <v>4.5999999999999996</v>
      </c>
      <c r="H185">
        <v>30.9</v>
      </c>
      <c r="I185">
        <f t="shared" si="4"/>
        <v>2789591.4</v>
      </c>
      <c r="J185">
        <f t="shared" si="5"/>
        <v>265307.39999999997</v>
      </c>
    </row>
    <row r="186" spans="1:10" x14ac:dyDescent="0.25">
      <c r="A186" t="s">
        <v>222</v>
      </c>
      <c r="B186" t="s">
        <v>212</v>
      </c>
      <c r="C186">
        <v>2020</v>
      </c>
      <c r="D186">
        <v>8434</v>
      </c>
      <c r="E186">
        <v>326.7</v>
      </c>
      <c r="F186">
        <v>7.3</v>
      </c>
      <c r="G186">
        <v>4.5999999999999996</v>
      </c>
      <c r="H186">
        <v>31.9</v>
      </c>
      <c r="I186">
        <f t="shared" si="4"/>
        <v>2755387.8</v>
      </c>
      <c r="J186">
        <f t="shared" si="5"/>
        <v>269044.59999999998</v>
      </c>
    </row>
    <row r="187" spans="1:10" x14ac:dyDescent="0.25">
      <c r="A187" t="s">
        <v>222</v>
      </c>
      <c r="B187" t="s">
        <v>212</v>
      </c>
      <c r="C187">
        <v>2021</v>
      </c>
      <c r="D187">
        <v>7586</v>
      </c>
      <c r="E187">
        <v>332.4</v>
      </c>
      <c r="F187">
        <v>7.4</v>
      </c>
      <c r="G187">
        <v>4.8</v>
      </c>
      <c r="H187">
        <v>33.4</v>
      </c>
      <c r="I187">
        <f t="shared" si="4"/>
        <v>2521586.4</v>
      </c>
      <c r="J187">
        <f t="shared" si="5"/>
        <v>253372.4</v>
      </c>
    </row>
    <row r="188" spans="1:10" x14ac:dyDescent="0.25">
      <c r="A188" t="s">
        <v>222</v>
      </c>
      <c r="B188" t="s">
        <v>220</v>
      </c>
      <c r="C188">
        <v>2016</v>
      </c>
      <c r="D188">
        <v>12148</v>
      </c>
      <c r="E188">
        <v>325.7</v>
      </c>
      <c r="F188">
        <v>7.7</v>
      </c>
      <c r="G188">
        <v>4.2</v>
      </c>
      <c r="H188">
        <v>27.8</v>
      </c>
      <c r="I188">
        <f t="shared" si="4"/>
        <v>3956603.6</v>
      </c>
      <c r="J188">
        <f t="shared" si="5"/>
        <v>337714.4</v>
      </c>
    </row>
    <row r="189" spans="1:10" x14ac:dyDescent="0.25">
      <c r="A189" t="s">
        <v>222</v>
      </c>
      <c r="B189" t="s">
        <v>220</v>
      </c>
      <c r="C189">
        <v>2017</v>
      </c>
      <c r="D189">
        <v>12969</v>
      </c>
      <c r="E189">
        <v>326.89999999999998</v>
      </c>
      <c r="F189">
        <v>7.6</v>
      </c>
      <c r="G189">
        <v>4.0999999999999996</v>
      </c>
      <c r="H189">
        <v>28.4</v>
      </c>
      <c r="I189">
        <f t="shared" si="4"/>
        <v>4239566.0999999996</v>
      </c>
      <c r="J189">
        <f t="shared" si="5"/>
        <v>368319.6</v>
      </c>
    </row>
    <row r="190" spans="1:10" x14ac:dyDescent="0.25">
      <c r="A190" t="s">
        <v>222</v>
      </c>
      <c r="B190" t="s">
        <v>220</v>
      </c>
      <c r="C190">
        <v>2018</v>
      </c>
      <c r="D190">
        <v>12251</v>
      </c>
      <c r="E190">
        <v>322.2</v>
      </c>
      <c r="F190">
        <v>7.2</v>
      </c>
      <c r="G190">
        <v>4</v>
      </c>
      <c r="H190">
        <v>29.5</v>
      </c>
      <c r="I190">
        <f t="shared" si="4"/>
        <v>3947272.1999999997</v>
      </c>
      <c r="J190">
        <f t="shared" si="5"/>
        <v>361404.5</v>
      </c>
    </row>
    <row r="191" spans="1:10" x14ac:dyDescent="0.25">
      <c r="A191" t="s">
        <v>222</v>
      </c>
      <c r="B191" t="s">
        <v>220</v>
      </c>
      <c r="C191">
        <v>2019</v>
      </c>
      <c r="D191">
        <v>11456</v>
      </c>
      <c r="E191">
        <v>323.8</v>
      </c>
      <c r="F191">
        <v>7.1</v>
      </c>
      <c r="G191">
        <v>4</v>
      </c>
      <c r="H191">
        <v>31.5</v>
      </c>
      <c r="I191">
        <f t="shared" si="4"/>
        <v>3709452.8000000003</v>
      </c>
      <c r="J191">
        <f t="shared" si="5"/>
        <v>360864</v>
      </c>
    </row>
    <row r="192" spans="1:10" x14ac:dyDescent="0.25">
      <c r="A192" t="s">
        <v>222</v>
      </c>
      <c r="B192" t="s">
        <v>220</v>
      </c>
      <c r="C192">
        <v>2020</v>
      </c>
      <c r="D192">
        <v>11044</v>
      </c>
      <c r="E192">
        <v>329.5</v>
      </c>
      <c r="F192">
        <v>7.2</v>
      </c>
      <c r="G192">
        <v>4.0999999999999996</v>
      </c>
      <c r="H192">
        <v>31.6</v>
      </c>
      <c r="I192">
        <f t="shared" si="4"/>
        <v>3638998</v>
      </c>
      <c r="J192">
        <f t="shared" si="5"/>
        <v>348990.4</v>
      </c>
    </row>
    <row r="193" spans="1:10" x14ac:dyDescent="0.25">
      <c r="A193" t="s">
        <v>222</v>
      </c>
      <c r="B193" t="s">
        <v>220</v>
      </c>
      <c r="C193">
        <v>2021</v>
      </c>
      <c r="D193">
        <v>10036</v>
      </c>
      <c r="E193">
        <v>332.4</v>
      </c>
      <c r="F193">
        <v>7.2</v>
      </c>
      <c r="G193">
        <v>4.0999999999999996</v>
      </c>
      <c r="H193">
        <v>32.4</v>
      </c>
      <c r="I193">
        <f t="shared" si="4"/>
        <v>3335966.4</v>
      </c>
      <c r="J193">
        <f t="shared" si="5"/>
        <v>325166.39999999997</v>
      </c>
    </row>
    <row r="194" spans="1:10" x14ac:dyDescent="0.25">
      <c r="A194" t="s">
        <v>222</v>
      </c>
      <c r="B194" t="s">
        <v>225</v>
      </c>
      <c r="C194">
        <v>2016</v>
      </c>
      <c r="D194">
        <v>1478</v>
      </c>
      <c r="E194">
        <v>334.4</v>
      </c>
      <c r="F194">
        <v>9.1</v>
      </c>
      <c r="G194">
        <v>6.5</v>
      </c>
      <c r="H194">
        <v>26.4</v>
      </c>
      <c r="I194">
        <f t="shared" si="4"/>
        <v>494243.19999999995</v>
      </c>
      <c r="J194">
        <f t="shared" si="5"/>
        <v>39019.199999999997</v>
      </c>
    </row>
    <row r="195" spans="1:10" x14ac:dyDescent="0.25">
      <c r="A195" t="s">
        <v>222</v>
      </c>
      <c r="B195" t="s">
        <v>225</v>
      </c>
      <c r="C195">
        <v>2017</v>
      </c>
      <c r="D195">
        <v>1420</v>
      </c>
      <c r="E195">
        <v>343.6</v>
      </c>
      <c r="F195">
        <v>9.1999999999999993</v>
      </c>
      <c r="G195">
        <v>6.6</v>
      </c>
      <c r="H195">
        <v>27.8</v>
      </c>
      <c r="I195">
        <f t="shared" ref="I195:I258" si="6">D195*E195</f>
        <v>487912.00000000006</v>
      </c>
      <c r="J195">
        <f t="shared" ref="J195:J258" si="7">D195*H195</f>
        <v>39476</v>
      </c>
    </row>
    <row r="196" spans="1:10" x14ac:dyDescent="0.25">
      <c r="A196" t="s">
        <v>222</v>
      </c>
      <c r="B196" t="s">
        <v>225</v>
      </c>
      <c r="C196">
        <v>2018</v>
      </c>
      <c r="D196">
        <v>1536</v>
      </c>
      <c r="E196">
        <v>330.1</v>
      </c>
      <c r="F196">
        <v>8.4</v>
      </c>
      <c r="G196">
        <v>6.4</v>
      </c>
      <c r="H196">
        <v>27.9</v>
      </c>
      <c r="I196">
        <f t="shared" si="6"/>
        <v>507033.60000000003</v>
      </c>
      <c r="J196">
        <f t="shared" si="7"/>
        <v>42854.399999999994</v>
      </c>
    </row>
    <row r="197" spans="1:10" x14ac:dyDescent="0.25">
      <c r="A197" t="s">
        <v>222</v>
      </c>
      <c r="B197" t="s">
        <v>225</v>
      </c>
      <c r="C197">
        <v>2019</v>
      </c>
      <c r="D197">
        <v>1608</v>
      </c>
      <c r="E197">
        <v>330.2</v>
      </c>
      <c r="F197">
        <v>8.3000000000000007</v>
      </c>
      <c r="G197">
        <v>6.2</v>
      </c>
      <c r="H197">
        <v>28.8</v>
      </c>
      <c r="I197">
        <f t="shared" si="6"/>
        <v>530961.6</v>
      </c>
      <c r="J197">
        <f t="shared" si="7"/>
        <v>46310.400000000001</v>
      </c>
    </row>
    <row r="198" spans="1:10" x14ac:dyDescent="0.25">
      <c r="A198" t="s">
        <v>222</v>
      </c>
      <c r="B198" t="s">
        <v>225</v>
      </c>
      <c r="C198">
        <v>2020</v>
      </c>
      <c r="D198">
        <v>1848</v>
      </c>
      <c r="E198">
        <v>328</v>
      </c>
      <c r="F198">
        <v>8.1999999999999993</v>
      </c>
      <c r="G198">
        <v>6.2</v>
      </c>
      <c r="H198">
        <v>28.6</v>
      </c>
      <c r="I198">
        <f t="shared" si="6"/>
        <v>606144</v>
      </c>
      <c r="J198">
        <f t="shared" si="7"/>
        <v>52852.800000000003</v>
      </c>
    </row>
    <row r="199" spans="1:10" x14ac:dyDescent="0.25">
      <c r="A199" t="s">
        <v>222</v>
      </c>
      <c r="B199" t="s">
        <v>225</v>
      </c>
      <c r="C199">
        <v>2021</v>
      </c>
      <c r="D199">
        <v>1857</v>
      </c>
      <c r="E199">
        <v>335.7</v>
      </c>
      <c r="F199">
        <v>8.4</v>
      </c>
      <c r="G199">
        <v>6.4</v>
      </c>
      <c r="H199">
        <v>28.7</v>
      </c>
      <c r="I199">
        <f t="shared" si="6"/>
        <v>623394.9</v>
      </c>
      <c r="J199">
        <f t="shared" si="7"/>
        <v>53295.9</v>
      </c>
    </row>
    <row r="200" spans="1:10" x14ac:dyDescent="0.25">
      <c r="A200" t="s">
        <v>222</v>
      </c>
      <c r="B200" t="s">
        <v>228</v>
      </c>
      <c r="C200">
        <v>2016</v>
      </c>
      <c r="D200">
        <v>293</v>
      </c>
      <c r="E200">
        <v>359.8</v>
      </c>
      <c r="F200">
        <v>7.6</v>
      </c>
      <c r="G200">
        <v>7.5</v>
      </c>
      <c r="H200">
        <v>23.9</v>
      </c>
      <c r="I200">
        <f t="shared" si="6"/>
        <v>105421.40000000001</v>
      </c>
      <c r="J200">
        <f t="shared" si="7"/>
        <v>7002.7</v>
      </c>
    </row>
    <row r="201" spans="1:10" x14ac:dyDescent="0.25">
      <c r="A201" t="s">
        <v>222</v>
      </c>
      <c r="B201" t="s">
        <v>228</v>
      </c>
      <c r="C201">
        <v>2017</v>
      </c>
      <c r="D201">
        <v>280</v>
      </c>
      <c r="E201">
        <v>360</v>
      </c>
      <c r="F201">
        <v>7.5</v>
      </c>
      <c r="G201">
        <v>7.4</v>
      </c>
      <c r="H201">
        <v>29.4</v>
      </c>
      <c r="I201">
        <f t="shared" si="6"/>
        <v>100800</v>
      </c>
      <c r="J201">
        <f t="shared" si="7"/>
        <v>8232</v>
      </c>
    </row>
    <row r="202" spans="1:10" x14ac:dyDescent="0.25">
      <c r="A202" t="s">
        <v>222</v>
      </c>
      <c r="B202" t="s">
        <v>228</v>
      </c>
      <c r="C202">
        <v>2018</v>
      </c>
      <c r="D202">
        <v>211</v>
      </c>
      <c r="E202">
        <v>372.1</v>
      </c>
      <c r="F202">
        <v>7.3</v>
      </c>
      <c r="G202">
        <v>7.3</v>
      </c>
      <c r="H202">
        <v>25.3</v>
      </c>
      <c r="I202">
        <f t="shared" si="6"/>
        <v>78513.100000000006</v>
      </c>
      <c r="J202">
        <f t="shared" si="7"/>
        <v>5338.3</v>
      </c>
    </row>
    <row r="203" spans="1:10" x14ac:dyDescent="0.25">
      <c r="A203" t="s">
        <v>222</v>
      </c>
      <c r="B203" t="s">
        <v>228</v>
      </c>
      <c r="C203">
        <v>2019</v>
      </c>
      <c r="D203">
        <v>223</v>
      </c>
      <c r="E203">
        <v>357.2</v>
      </c>
      <c r="F203">
        <v>7.3</v>
      </c>
      <c r="G203">
        <v>6.9</v>
      </c>
      <c r="H203">
        <v>26.5</v>
      </c>
      <c r="I203">
        <f t="shared" si="6"/>
        <v>79655.599999999991</v>
      </c>
      <c r="J203">
        <f t="shared" si="7"/>
        <v>5909.5</v>
      </c>
    </row>
    <row r="204" spans="1:10" x14ac:dyDescent="0.25">
      <c r="A204" t="s">
        <v>222</v>
      </c>
      <c r="B204" t="s">
        <v>228</v>
      </c>
      <c r="C204">
        <v>2020</v>
      </c>
      <c r="D204">
        <v>224</v>
      </c>
      <c r="E204">
        <v>358.9</v>
      </c>
      <c r="F204">
        <v>6.8</v>
      </c>
      <c r="G204">
        <v>7</v>
      </c>
      <c r="H204">
        <v>26.5</v>
      </c>
      <c r="I204">
        <f t="shared" si="6"/>
        <v>80393.599999999991</v>
      </c>
      <c r="J204">
        <f t="shared" si="7"/>
        <v>5936</v>
      </c>
    </row>
    <row r="205" spans="1:10" x14ac:dyDescent="0.25">
      <c r="A205" t="s">
        <v>222</v>
      </c>
      <c r="B205" t="s">
        <v>228</v>
      </c>
      <c r="C205">
        <v>2021</v>
      </c>
      <c r="D205">
        <v>213</v>
      </c>
      <c r="E205">
        <v>353.4</v>
      </c>
      <c r="F205">
        <v>6.9</v>
      </c>
      <c r="G205">
        <v>6.9</v>
      </c>
      <c r="H205">
        <v>25.2</v>
      </c>
      <c r="I205">
        <f t="shared" si="6"/>
        <v>75274.2</v>
      </c>
      <c r="J205">
        <f t="shared" si="7"/>
        <v>5367.5999999999995</v>
      </c>
    </row>
    <row r="206" spans="1:10" x14ac:dyDescent="0.25">
      <c r="A206" t="s">
        <v>222</v>
      </c>
      <c r="B206" t="s">
        <v>229</v>
      </c>
      <c r="C206">
        <v>2016</v>
      </c>
      <c r="D206">
        <v>436</v>
      </c>
      <c r="E206">
        <v>334.1</v>
      </c>
      <c r="F206">
        <v>9.4</v>
      </c>
      <c r="G206">
        <v>6.6</v>
      </c>
      <c r="H206">
        <v>26</v>
      </c>
      <c r="I206">
        <f t="shared" si="6"/>
        <v>145667.6</v>
      </c>
      <c r="J206">
        <f t="shared" si="7"/>
        <v>11336</v>
      </c>
    </row>
    <row r="207" spans="1:10" x14ac:dyDescent="0.25">
      <c r="A207" t="s">
        <v>222</v>
      </c>
      <c r="B207" t="s">
        <v>229</v>
      </c>
      <c r="C207">
        <v>2017</v>
      </c>
      <c r="D207">
        <v>518</v>
      </c>
      <c r="E207">
        <v>344.4</v>
      </c>
      <c r="F207">
        <v>9.3000000000000007</v>
      </c>
      <c r="G207">
        <v>6.7</v>
      </c>
      <c r="H207">
        <v>27.2</v>
      </c>
      <c r="I207">
        <f t="shared" si="6"/>
        <v>178399.19999999998</v>
      </c>
      <c r="J207">
        <f t="shared" si="7"/>
        <v>14089.6</v>
      </c>
    </row>
    <row r="208" spans="1:10" x14ac:dyDescent="0.25">
      <c r="A208" t="s">
        <v>222</v>
      </c>
      <c r="B208" t="s">
        <v>229</v>
      </c>
      <c r="C208">
        <v>2018</v>
      </c>
      <c r="D208">
        <v>651</v>
      </c>
      <c r="E208">
        <v>334.2</v>
      </c>
      <c r="F208">
        <v>8.9</v>
      </c>
      <c r="G208">
        <v>6.5</v>
      </c>
      <c r="H208">
        <v>27.4</v>
      </c>
      <c r="I208">
        <f t="shared" si="6"/>
        <v>217564.19999999998</v>
      </c>
      <c r="J208">
        <f t="shared" si="7"/>
        <v>17837.399999999998</v>
      </c>
    </row>
    <row r="209" spans="1:10" x14ac:dyDescent="0.25">
      <c r="A209" t="s">
        <v>222</v>
      </c>
      <c r="B209" t="s">
        <v>229</v>
      </c>
      <c r="C209">
        <v>2019</v>
      </c>
      <c r="D209">
        <v>659</v>
      </c>
      <c r="E209">
        <v>333.2</v>
      </c>
      <c r="F209">
        <v>8.6</v>
      </c>
      <c r="G209">
        <v>6.4</v>
      </c>
      <c r="H209">
        <v>28.1</v>
      </c>
      <c r="I209">
        <f t="shared" si="6"/>
        <v>219578.8</v>
      </c>
      <c r="J209">
        <f t="shared" si="7"/>
        <v>18517.900000000001</v>
      </c>
    </row>
    <row r="210" spans="1:10" x14ac:dyDescent="0.25">
      <c r="A210" t="s">
        <v>222</v>
      </c>
      <c r="B210" t="s">
        <v>229</v>
      </c>
      <c r="C210">
        <v>2020</v>
      </c>
      <c r="D210">
        <v>786</v>
      </c>
      <c r="E210">
        <v>334.4</v>
      </c>
      <c r="F210">
        <v>8.4</v>
      </c>
      <c r="G210">
        <v>6.5</v>
      </c>
      <c r="H210">
        <v>33.4</v>
      </c>
      <c r="I210">
        <f t="shared" si="6"/>
        <v>262838.39999999997</v>
      </c>
      <c r="J210">
        <f t="shared" si="7"/>
        <v>26252.399999999998</v>
      </c>
    </row>
    <row r="211" spans="1:10" x14ac:dyDescent="0.25">
      <c r="A211" t="s">
        <v>222</v>
      </c>
      <c r="B211" t="s">
        <v>229</v>
      </c>
      <c r="C211">
        <v>2021</v>
      </c>
      <c r="D211">
        <v>820</v>
      </c>
      <c r="E211">
        <v>340.2</v>
      </c>
      <c r="F211">
        <v>8.6</v>
      </c>
      <c r="G211">
        <v>6.7</v>
      </c>
      <c r="H211">
        <v>32.6</v>
      </c>
      <c r="I211">
        <f t="shared" si="6"/>
        <v>278964</v>
      </c>
      <c r="J211">
        <f t="shared" si="7"/>
        <v>26732</v>
      </c>
    </row>
    <row r="212" spans="1:10" x14ac:dyDescent="0.25">
      <c r="A212" t="s">
        <v>222</v>
      </c>
      <c r="B212" t="s">
        <v>231</v>
      </c>
      <c r="C212">
        <v>2016</v>
      </c>
      <c r="D212">
        <v>79</v>
      </c>
      <c r="E212">
        <v>332.2</v>
      </c>
      <c r="F212">
        <v>7.6</v>
      </c>
      <c r="G212">
        <v>7.7</v>
      </c>
      <c r="H212">
        <v>22.8</v>
      </c>
      <c r="I212">
        <f t="shared" si="6"/>
        <v>26243.8</v>
      </c>
      <c r="J212">
        <f t="shared" si="7"/>
        <v>1801.2</v>
      </c>
    </row>
    <row r="213" spans="1:10" x14ac:dyDescent="0.25">
      <c r="A213" t="s">
        <v>222</v>
      </c>
      <c r="B213" t="s">
        <v>231</v>
      </c>
      <c r="C213">
        <v>2017</v>
      </c>
      <c r="D213">
        <v>116</v>
      </c>
      <c r="E213">
        <v>355.4</v>
      </c>
      <c r="F213">
        <v>8</v>
      </c>
      <c r="G213">
        <v>8</v>
      </c>
      <c r="H213">
        <v>23.5</v>
      </c>
      <c r="I213">
        <f t="shared" si="6"/>
        <v>41226.399999999994</v>
      </c>
      <c r="J213">
        <f t="shared" si="7"/>
        <v>2726</v>
      </c>
    </row>
    <row r="214" spans="1:10" x14ac:dyDescent="0.25">
      <c r="A214" t="s">
        <v>222</v>
      </c>
      <c r="B214" t="s">
        <v>231</v>
      </c>
      <c r="C214">
        <v>2018</v>
      </c>
      <c r="D214">
        <v>93</v>
      </c>
      <c r="E214">
        <v>338.5</v>
      </c>
      <c r="F214">
        <v>7.8</v>
      </c>
      <c r="G214">
        <v>7</v>
      </c>
      <c r="H214">
        <v>24.6</v>
      </c>
      <c r="I214">
        <f t="shared" si="6"/>
        <v>31480.5</v>
      </c>
      <c r="J214">
        <f t="shared" si="7"/>
        <v>2287.8000000000002</v>
      </c>
    </row>
    <row r="215" spans="1:10" x14ac:dyDescent="0.25">
      <c r="A215" t="s">
        <v>222</v>
      </c>
      <c r="B215" t="s">
        <v>231</v>
      </c>
      <c r="C215">
        <v>2019</v>
      </c>
      <c r="D215">
        <v>136</v>
      </c>
      <c r="E215">
        <v>351.3</v>
      </c>
      <c r="F215">
        <v>8.1</v>
      </c>
      <c r="G215">
        <v>6.7</v>
      </c>
      <c r="H215">
        <v>25.9</v>
      </c>
      <c r="I215">
        <f t="shared" si="6"/>
        <v>47776.800000000003</v>
      </c>
      <c r="J215">
        <f t="shared" si="7"/>
        <v>3522.3999999999996</v>
      </c>
    </row>
    <row r="216" spans="1:10" x14ac:dyDescent="0.25">
      <c r="A216" t="s">
        <v>222</v>
      </c>
      <c r="B216" t="s">
        <v>231</v>
      </c>
      <c r="C216">
        <v>2020</v>
      </c>
      <c r="D216">
        <v>183</v>
      </c>
      <c r="E216">
        <v>345.4</v>
      </c>
      <c r="F216">
        <v>7.8</v>
      </c>
      <c r="G216">
        <v>6.8</v>
      </c>
      <c r="H216">
        <v>25.7</v>
      </c>
      <c r="I216">
        <f t="shared" si="6"/>
        <v>63208.2</v>
      </c>
      <c r="J216">
        <f t="shared" si="7"/>
        <v>4703.0999999999995</v>
      </c>
    </row>
    <row r="217" spans="1:10" x14ac:dyDescent="0.25">
      <c r="A217" t="s">
        <v>222</v>
      </c>
      <c r="B217" t="s">
        <v>231</v>
      </c>
      <c r="C217">
        <v>2021</v>
      </c>
      <c r="D217">
        <v>185</v>
      </c>
      <c r="E217">
        <v>352</v>
      </c>
      <c r="F217">
        <v>7.6</v>
      </c>
      <c r="G217">
        <v>7.2</v>
      </c>
      <c r="H217">
        <v>26.3</v>
      </c>
      <c r="I217">
        <f t="shared" si="6"/>
        <v>65120</v>
      </c>
      <c r="J217">
        <f t="shared" si="7"/>
        <v>4865.5</v>
      </c>
    </row>
    <row r="218" spans="1:10" x14ac:dyDescent="0.25">
      <c r="A218" t="s">
        <v>222</v>
      </c>
      <c r="B218" t="s">
        <v>232</v>
      </c>
      <c r="C218">
        <v>2016</v>
      </c>
      <c r="D218">
        <v>318</v>
      </c>
      <c r="E218">
        <v>345.7</v>
      </c>
      <c r="F218">
        <v>7.8</v>
      </c>
      <c r="G218">
        <v>6.8</v>
      </c>
      <c r="H218">
        <v>25.1</v>
      </c>
      <c r="I218">
        <f t="shared" si="6"/>
        <v>109932.59999999999</v>
      </c>
      <c r="J218">
        <f t="shared" si="7"/>
        <v>7981.8</v>
      </c>
    </row>
    <row r="219" spans="1:10" x14ac:dyDescent="0.25">
      <c r="A219" t="s">
        <v>222</v>
      </c>
      <c r="B219" t="s">
        <v>232</v>
      </c>
      <c r="C219">
        <v>2017</v>
      </c>
      <c r="D219">
        <v>408</v>
      </c>
      <c r="E219">
        <v>353.3</v>
      </c>
      <c r="F219">
        <v>7.7</v>
      </c>
      <c r="G219">
        <v>6.9</v>
      </c>
      <c r="H219">
        <v>25.1</v>
      </c>
      <c r="I219">
        <f t="shared" si="6"/>
        <v>144146.4</v>
      </c>
      <c r="J219">
        <f t="shared" si="7"/>
        <v>10240.800000000001</v>
      </c>
    </row>
    <row r="220" spans="1:10" x14ac:dyDescent="0.25">
      <c r="A220" t="s">
        <v>222</v>
      </c>
      <c r="B220" t="s">
        <v>232</v>
      </c>
      <c r="C220">
        <v>2018</v>
      </c>
      <c r="D220">
        <v>353</v>
      </c>
      <c r="E220">
        <v>340.4</v>
      </c>
      <c r="F220">
        <v>7.1</v>
      </c>
      <c r="G220">
        <v>6.5</v>
      </c>
      <c r="H220">
        <v>25</v>
      </c>
      <c r="I220">
        <f t="shared" si="6"/>
        <v>120161.2</v>
      </c>
      <c r="J220">
        <f t="shared" si="7"/>
        <v>8825</v>
      </c>
    </row>
    <row r="221" spans="1:10" x14ac:dyDescent="0.25">
      <c r="A221" t="s">
        <v>222</v>
      </c>
      <c r="B221" t="s">
        <v>232</v>
      </c>
      <c r="C221">
        <v>2019</v>
      </c>
      <c r="D221">
        <v>387</v>
      </c>
      <c r="E221">
        <v>337.6</v>
      </c>
      <c r="F221">
        <v>7.1</v>
      </c>
      <c r="G221">
        <v>6.3</v>
      </c>
      <c r="H221">
        <v>25.3</v>
      </c>
      <c r="I221">
        <f t="shared" si="6"/>
        <v>130651.20000000001</v>
      </c>
      <c r="J221">
        <f t="shared" si="7"/>
        <v>9791.1</v>
      </c>
    </row>
    <row r="222" spans="1:10" x14ac:dyDescent="0.25">
      <c r="A222" t="s">
        <v>222</v>
      </c>
      <c r="B222" t="s">
        <v>232</v>
      </c>
      <c r="C222">
        <v>2020</v>
      </c>
      <c r="D222">
        <v>410</v>
      </c>
      <c r="E222">
        <v>343.7</v>
      </c>
      <c r="F222">
        <v>7.2</v>
      </c>
      <c r="G222">
        <v>6.4</v>
      </c>
      <c r="H222">
        <v>27</v>
      </c>
      <c r="I222">
        <f t="shared" si="6"/>
        <v>140917</v>
      </c>
      <c r="J222">
        <f t="shared" si="7"/>
        <v>11070</v>
      </c>
    </row>
    <row r="223" spans="1:10" x14ac:dyDescent="0.25">
      <c r="A223" t="s">
        <v>222</v>
      </c>
      <c r="B223" t="s">
        <v>232</v>
      </c>
      <c r="C223">
        <v>2021</v>
      </c>
      <c r="D223">
        <v>405</v>
      </c>
      <c r="E223">
        <v>356.7</v>
      </c>
      <c r="F223">
        <v>7.3</v>
      </c>
      <c r="G223">
        <v>6.7</v>
      </c>
      <c r="H223">
        <v>26.8</v>
      </c>
      <c r="I223">
        <f t="shared" si="6"/>
        <v>144463.5</v>
      </c>
      <c r="J223">
        <f t="shared" si="7"/>
        <v>10854</v>
      </c>
    </row>
    <row r="224" spans="1:10" x14ac:dyDescent="0.25">
      <c r="A224" t="s">
        <v>222</v>
      </c>
      <c r="B224" t="s">
        <v>234</v>
      </c>
      <c r="C224">
        <v>2016</v>
      </c>
      <c r="D224">
        <v>179</v>
      </c>
      <c r="E224">
        <v>256.10000000000002</v>
      </c>
      <c r="F224">
        <v>7.9</v>
      </c>
      <c r="G224">
        <v>5.2</v>
      </c>
      <c r="H224">
        <v>40.1</v>
      </c>
      <c r="I224">
        <f t="shared" si="6"/>
        <v>45841.9</v>
      </c>
      <c r="J224">
        <f t="shared" si="7"/>
        <v>7177.9000000000005</v>
      </c>
    </row>
    <row r="225" spans="1:10" x14ac:dyDescent="0.25">
      <c r="A225" t="s">
        <v>222</v>
      </c>
      <c r="B225" t="s">
        <v>234</v>
      </c>
      <c r="C225">
        <v>2017</v>
      </c>
      <c r="D225">
        <v>148</v>
      </c>
      <c r="E225">
        <v>229.3</v>
      </c>
      <c r="F225">
        <v>6.8</v>
      </c>
      <c r="G225">
        <v>4.5</v>
      </c>
      <c r="H225">
        <v>49</v>
      </c>
      <c r="I225">
        <f t="shared" si="6"/>
        <v>33936.400000000001</v>
      </c>
      <c r="J225">
        <f t="shared" si="7"/>
        <v>7252</v>
      </c>
    </row>
    <row r="226" spans="1:10" x14ac:dyDescent="0.25">
      <c r="A226" t="s">
        <v>222</v>
      </c>
      <c r="B226" t="s">
        <v>234</v>
      </c>
      <c r="C226">
        <v>2018</v>
      </c>
      <c r="D226">
        <v>164</v>
      </c>
      <c r="E226">
        <v>230.8</v>
      </c>
      <c r="F226">
        <v>6.8</v>
      </c>
      <c r="G226">
        <v>4.5</v>
      </c>
      <c r="H226">
        <v>40.299999999999997</v>
      </c>
      <c r="I226">
        <f t="shared" si="6"/>
        <v>37851.200000000004</v>
      </c>
      <c r="J226">
        <f t="shared" si="7"/>
        <v>6609.2</v>
      </c>
    </row>
    <row r="227" spans="1:10" x14ac:dyDescent="0.25">
      <c r="A227" t="s">
        <v>222</v>
      </c>
      <c r="B227" t="s">
        <v>234</v>
      </c>
      <c r="C227">
        <v>2019</v>
      </c>
      <c r="D227">
        <v>143</v>
      </c>
      <c r="E227">
        <v>245.2</v>
      </c>
      <c r="F227">
        <v>6.7</v>
      </c>
      <c r="G227">
        <v>4.5</v>
      </c>
      <c r="H227">
        <v>47</v>
      </c>
      <c r="I227">
        <f t="shared" si="6"/>
        <v>35063.599999999999</v>
      </c>
      <c r="J227">
        <f t="shared" si="7"/>
        <v>6721</v>
      </c>
    </row>
    <row r="228" spans="1:10" x14ac:dyDescent="0.25">
      <c r="A228" t="s">
        <v>222</v>
      </c>
      <c r="B228" t="s">
        <v>234</v>
      </c>
      <c r="C228">
        <v>2020</v>
      </c>
      <c r="D228">
        <v>92</v>
      </c>
      <c r="E228">
        <v>246.3</v>
      </c>
      <c r="F228">
        <v>6.9</v>
      </c>
      <c r="G228">
        <v>5.0999999999999996</v>
      </c>
      <c r="H228">
        <v>36.4</v>
      </c>
      <c r="I228">
        <f t="shared" si="6"/>
        <v>22659.600000000002</v>
      </c>
      <c r="J228">
        <f t="shared" si="7"/>
        <v>3348.7999999999997</v>
      </c>
    </row>
    <row r="229" spans="1:10" x14ac:dyDescent="0.25">
      <c r="A229" t="s">
        <v>222</v>
      </c>
      <c r="B229" t="s">
        <v>234</v>
      </c>
      <c r="C229">
        <v>2021</v>
      </c>
      <c r="D229">
        <v>97</v>
      </c>
      <c r="E229">
        <v>238.7</v>
      </c>
      <c r="F229">
        <v>6.6</v>
      </c>
      <c r="G229">
        <v>4.9000000000000004</v>
      </c>
      <c r="H229">
        <v>35.799999999999997</v>
      </c>
      <c r="I229">
        <f t="shared" si="6"/>
        <v>23153.899999999998</v>
      </c>
      <c r="J229">
        <f t="shared" si="7"/>
        <v>3472.6</v>
      </c>
    </row>
    <row r="230" spans="1:10" x14ac:dyDescent="0.25">
      <c r="A230" t="s">
        <v>222</v>
      </c>
      <c r="B230" t="s">
        <v>235</v>
      </c>
      <c r="C230">
        <v>2016</v>
      </c>
      <c r="D230">
        <v>6</v>
      </c>
      <c r="E230">
        <v>323.2</v>
      </c>
      <c r="F230">
        <v>7</v>
      </c>
      <c r="G230">
        <v>6</v>
      </c>
      <c r="H230">
        <v>25</v>
      </c>
      <c r="I230">
        <f t="shared" si="6"/>
        <v>1939.1999999999998</v>
      </c>
      <c r="J230">
        <f t="shared" si="7"/>
        <v>150</v>
      </c>
    </row>
    <row r="231" spans="1:10" x14ac:dyDescent="0.25">
      <c r="A231" t="s">
        <v>222</v>
      </c>
      <c r="B231" t="s">
        <v>235</v>
      </c>
      <c r="C231">
        <v>2017</v>
      </c>
      <c r="D231">
        <v>18</v>
      </c>
      <c r="E231">
        <v>341</v>
      </c>
      <c r="F231">
        <v>8.1999999999999993</v>
      </c>
      <c r="G231">
        <v>5.7</v>
      </c>
      <c r="H231">
        <v>32.5</v>
      </c>
      <c r="I231">
        <f t="shared" si="6"/>
        <v>6138</v>
      </c>
      <c r="J231">
        <f t="shared" si="7"/>
        <v>585</v>
      </c>
    </row>
    <row r="232" spans="1:10" x14ac:dyDescent="0.25">
      <c r="A232" t="s">
        <v>222</v>
      </c>
      <c r="B232" t="s">
        <v>235</v>
      </c>
      <c r="C232">
        <v>2018</v>
      </c>
      <c r="D232">
        <v>12</v>
      </c>
      <c r="E232">
        <v>351.8</v>
      </c>
      <c r="F232">
        <v>7.8</v>
      </c>
      <c r="G232">
        <v>6.8</v>
      </c>
      <c r="H232">
        <v>32.4</v>
      </c>
      <c r="I232">
        <f t="shared" si="6"/>
        <v>4221.6000000000004</v>
      </c>
      <c r="J232">
        <f t="shared" si="7"/>
        <v>388.79999999999995</v>
      </c>
    </row>
    <row r="233" spans="1:10" x14ac:dyDescent="0.25">
      <c r="A233" t="s">
        <v>222</v>
      </c>
      <c r="B233" t="s">
        <v>235</v>
      </c>
      <c r="C233">
        <v>2019</v>
      </c>
      <c r="D233">
        <v>14</v>
      </c>
      <c r="E233">
        <v>319.89999999999998</v>
      </c>
      <c r="F233">
        <v>7.1</v>
      </c>
      <c r="G233">
        <v>6.4</v>
      </c>
      <c r="H233">
        <v>22.7</v>
      </c>
      <c r="I233">
        <f t="shared" si="6"/>
        <v>4478.5999999999995</v>
      </c>
      <c r="J233">
        <f t="shared" si="7"/>
        <v>317.8</v>
      </c>
    </row>
    <row r="234" spans="1:10" x14ac:dyDescent="0.25">
      <c r="A234" t="s">
        <v>222</v>
      </c>
      <c r="B234" t="s">
        <v>235</v>
      </c>
      <c r="C234">
        <v>2020</v>
      </c>
      <c r="D234">
        <v>21</v>
      </c>
      <c r="E234">
        <v>333.7</v>
      </c>
      <c r="F234">
        <v>7</v>
      </c>
      <c r="G234">
        <v>5.9</v>
      </c>
      <c r="H234">
        <v>26.4</v>
      </c>
      <c r="I234">
        <f t="shared" si="6"/>
        <v>7007.7</v>
      </c>
      <c r="J234">
        <f t="shared" si="7"/>
        <v>554.4</v>
      </c>
    </row>
    <row r="235" spans="1:10" x14ac:dyDescent="0.25">
      <c r="A235" t="s">
        <v>222</v>
      </c>
      <c r="B235" t="s">
        <v>235</v>
      </c>
      <c r="C235">
        <v>2021</v>
      </c>
      <c r="D235">
        <v>31</v>
      </c>
      <c r="E235">
        <v>342.8</v>
      </c>
      <c r="F235">
        <v>7.6</v>
      </c>
      <c r="G235">
        <v>6.6</v>
      </c>
      <c r="H235">
        <v>30.9</v>
      </c>
      <c r="I235">
        <f t="shared" si="6"/>
        <v>10626.800000000001</v>
      </c>
      <c r="J235">
        <f t="shared" si="7"/>
        <v>957.9</v>
      </c>
    </row>
    <row r="236" spans="1:10" x14ac:dyDescent="0.25">
      <c r="A236" t="s">
        <v>222</v>
      </c>
      <c r="B236" t="s">
        <v>236</v>
      </c>
      <c r="C236">
        <v>2016</v>
      </c>
      <c r="D236">
        <v>6598</v>
      </c>
      <c r="E236">
        <v>338.6</v>
      </c>
      <c r="F236">
        <v>8.3000000000000007</v>
      </c>
      <c r="G236">
        <v>6.2</v>
      </c>
      <c r="H236">
        <v>26.8</v>
      </c>
      <c r="I236">
        <f t="shared" si="6"/>
        <v>2234082.8000000003</v>
      </c>
      <c r="J236">
        <f t="shared" si="7"/>
        <v>176826.4</v>
      </c>
    </row>
    <row r="237" spans="1:10" x14ac:dyDescent="0.25">
      <c r="A237" t="s">
        <v>222</v>
      </c>
      <c r="B237" t="s">
        <v>236</v>
      </c>
      <c r="C237">
        <v>2017</v>
      </c>
      <c r="D237">
        <v>7805</v>
      </c>
      <c r="E237">
        <v>341.7</v>
      </c>
      <c r="F237">
        <v>8.3000000000000007</v>
      </c>
      <c r="G237">
        <v>6.2</v>
      </c>
      <c r="H237">
        <v>27.7</v>
      </c>
      <c r="I237">
        <f t="shared" si="6"/>
        <v>2666968.5</v>
      </c>
      <c r="J237">
        <f t="shared" si="7"/>
        <v>216198.5</v>
      </c>
    </row>
    <row r="238" spans="1:10" x14ac:dyDescent="0.25">
      <c r="A238" t="s">
        <v>222</v>
      </c>
      <c r="B238" t="s">
        <v>236</v>
      </c>
      <c r="C238">
        <v>2018</v>
      </c>
      <c r="D238">
        <v>8365</v>
      </c>
      <c r="E238">
        <v>333.1</v>
      </c>
      <c r="F238">
        <v>7.9</v>
      </c>
      <c r="G238">
        <v>6</v>
      </c>
      <c r="H238">
        <v>28.9</v>
      </c>
      <c r="I238">
        <f t="shared" si="6"/>
        <v>2786381.5</v>
      </c>
      <c r="J238">
        <f t="shared" si="7"/>
        <v>241748.5</v>
      </c>
    </row>
    <row r="239" spans="1:10" x14ac:dyDescent="0.25">
      <c r="A239" t="s">
        <v>222</v>
      </c>
      <c r="B239" t="s">
        <v>236</v>
      </c>
      <c r="C239">
        <v>2019</v>
      </c>
      <c r="D239">
        <v>8272</v>
      </c>
      <c r="E239">
        <v>333.8</v>
      </c>
      <c r="F239">
        <v>7.7</v>
      </c>
      <c r="G239">
        <v>5.9</v>
      </c>
      <c r="H239">
        <v>29.2</v>
      </c>
      <c r="I239">
        <f t="shared" si="6"/>
        <v>2761193.6</v>
      </c>
      <c r="J239">
        <f t="shared" si="7"/>
        <v>241542.39999999999</v>
      </c>
    </row>
    <row r="240" spans="1:10" x14ac:dyDescent="0.25">
      <c r="A240" t="s">
        <v>222</v>
      </c>
      <c r="B240" t="s">
        <v>236</v>
      </c>
      <c r="C240">
        <v>2020</v>
      </c>
      <c r="D240">
        <v>8766</v>
      </c>
      <c r="E240">
        <v>336</v>
      </c>
      <c r="F240">
        <v>7.7</v>
      </c>
      <c r="G240">
        <v>6</v>
      </c>
      <c r="H240">
        <v>29.5</v>
      </c>
      <c r="I240">
        <f t="shared" si="6"/>
        <v>2945376</v>
      </c>
      <c r="J240">
        <f t="shared" si="7"/>
        <v>258597</v>
      </c>
    </row>
    <row r="241" spans="1:10" x14ac:dyDescent="0.25">
      <c r="A241" t="s">
        <v>222</v>
      </c>
      <c r="B241" t="s">
        <v>236</v>
      </c>
      <c r="C241">
        <v>2021</v>
      </c>
      <c r="D241">
        <v>8674</v>
      </c>
      <c r="E241">
        <v>342.1</v>
      </c>
      <c r="F241">
        <v>7.8</v>
      </c>
      <c r="G241">
        <v>6.3</v>
      </c>
      <c r="H241">
        <v>29.6</v>
      </c>
      <c r="I241">
        <f t="shared" si="6"/>
        <v>2967375.4000000004</v>
      </c>
      <c r="J241">
        <f t="shared" si="7"/>
        <v>256750.40000000002</v>
      </c>
    </row>
    <row r="242" spans="1:10" x14ac:dyDescent="0.25">
      <c r="A242" t="s">
        <v>224</v>
      </c>
      <c r="B242" t="s">
        <v>212</v>
      </c>
      <c r="C242">
        <v>2016</v>
      </c>
      <c r="D242">
        <v>24950</v>
      </c>
      <c r="E242">
        <v>326.39999999999998</v>
      </c>
      <c r="F242">
        <v>7.1</v>
      </c>
      <c r="G242">
        <v>5.4</v>
      </c>
      <c r="H242">
        <v>19.7</v>
      </c>
      <c r="I242">
        <f t="shared" si="6"/>
        <v>8143679.9999999991</v>
      </c>
      <c r="J242">
        <f t="shared" si="7"/>
        <v>491515</v>
      </c>
    </row>
    <row r="243" spans="1:10" x14ac:dyDescent="0.25">
      <c r="A243" t="s">
        <v>224</v>
      </c>
      <c r="B243" t="s">
        <v>212</v>
      </c>
      <c r="C243">
        <v>2017</v>
      </c>
      <c r="D243">
        <v>24916</v>
      </c>
      <c r="E243">
        <v>330.2</v>
      </c>
      <c r="F243">
        <v>7.1</v>
      </c>
      <c r="G243">
        <v>5.3</v>
      </c>
      <c r="H243">
        <v>20.3</v>
      </c>
      <c r="I243">
        <f t="shared" si="6"/>
        <v>8227263.1999999993</v>
      </c>
      <c r="J243">
        <f t="shared" si="7"/>
        <v>505794.80000000005</v>
      </c>
    </row>
    <row r="244" spans="1:10" x14ac:dyDescent="0.25">
      <c r="A244" t="s">
        <v>224</v>
      </c>
      <c r="B244" t="s">
        <v>212</v>
      </c>
      <c r="C244">
        <v>2018</v>
      </c>
      <c r="D244">
        <v>22985</v>
      </c>
      <c r="E244">
        <v>327.60000000000002</v>
      </c>
      <c r="F244">
        <v>7</v>
      </c>
      <c r="G244">
        <v>5.3</v>
      </c>
      <c r="H244">
        <v>20.6</v>
      </c>
      <c r="I244">
        <f t="shared" si="6"/>
        <v>7529886.0000000009</v>
      </c>
      <c r="J244">
        <f t="shared" si="7"/>
        <v>473491.00000000006</v>
      </c>
    </row>
    <row r="245" spans="1:10" x14ac:dyDescent="0.25">
      <c r="A245" t="s">
        <v>224</v>
      </c>
      <c r="B245" t="s">
        <v>212</v>
      </c>
      <c r="C245">
        <v>2019</v>
      </c>
      <c r="D245">
        <v>20980</v>
      </c>
      <c r="E245">
        <v>325.8</v>
      </c>
      <c r="F245">
        <v>6.8</v>
      </c>
      <c r="G245">
        <v>5.2</v>
      </c>
      <c r="H245">
        <v>22.2</v>
      </c>
      <c r="I245">
        <f t="shared" si="6"/>
        <v>6835284</v>
      </c>
      <c r="J245">
        <f t="shared" si="7"/>
        <v>465756</v>
      </c>
    </row>
    <row r="246" spans="1:10" x14ac:dyDescent="0.25">
      <c r="A246" t="s">
        <v>224</v>
      </c>
      <c r="B246" t="s">
        <v>212</v>
      </c>
      <c r="C246">
        <v>2020</v>
      </c>
      <c r="D246">
        <v>20762</v>
      </c>
      <c r="E246">
        <v>325.89999999999998</v>
      </c>
      <c r="F246">
        <v>6.8</v>
      </c>
      <c r="G246">
        <v>5.2</v>
      </c>
      <c r="H246">
        <v>22.3</v>
      </c>
      <c r="I246">
        <f t="shared" si="6"/>
        <v>6766335.7999999998</v>
      </c>
      <c r="J246">
        <f t="shared" si="7"/>
        <v>462992.60000000003</v>
      </c>
    </row>
    <row r="247" spans="1:10" x14ac:dyDescent="0.25">
      <c r="A247" t="s">
        <v>224</v>
      </c>
      <c r="B247" t="s">
        <v>212</v>
      </c>
      <c r="C247">
        <v>2021</v>
      </c>
      <c r="D247">
        <v>19790</v>
      </c>
      <c r="E247">
        <v>327.3</v>
      </c>
      <c r="F247">
        <v>6.5</v>
      </c>
      <c r="G247">
        <v>5.2</v>
      </c>
      <c r="H247">
        <v>23.3</v>
      </c>
      <c r="I247">
        <f t="shared" si="6"/>
        <v>6477267</v>
      </c>
      <c r="J247">
        <f t="shared" si="7"/>
        <v>461107</v>
      </c>
    </row>
    <row r="248" spans="1:10" x14ac:dyDescent="0.25">
      <c r="A248" t="s">
        <v>224</v>
      </c>
      <c r="B248" t="s">
        <v>220</v>
      </c>
      <c r="C248">
        <v>2016</v>
      </c>
      <c r="D248">
        <v>47500</v>
      </c>
      <c r="E248">
        <v>323.2</v>
      </c>
      <c r="F248">
        <v>6.7</v>
      </c>
      <c r="G248">
        <v>4.5999999999999996</v>
      </c>
      <c r="H248">
        <v>19.899999999999999</v>
      </c>
      <c r="I248">
        <f t="shared" si="6"/>
        <v>15352000</v>
      </c>
      <c r="J248">
        <f t="shared" si="7"/>
        <v>945249.99999999988</v>
      </c>
    </row>
    <row r="249" spans="1:10" x14ac:dyDescent="0.25">
      <c r="A249" t="s">
        <v>224</v>
      </c>
      <c r="B249" t="s">
        <v>220</v>
      </c>
      <c r="C249">
        <v>2017</v>
      </c>
      <c r="D249">
        <v>48665</v>
      </c>
      <c r="E249">
        <v>326.5</v>
      </c>
      <c r="F249">
        <v>6.6</v>
      </c>
      <c r="G249">
        <v>4.5</v>
      </c>
      <c r="H249">
        <v>20.6</v>
      </c>
      <c r="I249">
        <f t="shared" si="6"/>
        <v>15889122.5</v>
      </c>
      <c r="J249">
        <f t="shared" si="7"/>
        <v>1002499.0000000001</v>
      </c>
    </row>
    <row r="250" spans="1:10" x14ac:dyDescent="0.25">
      <c r="A250" t="s">
        <v>224</v>
      </c>
      <c r="B250" t="s">
        <v>220</v>
      </c>
      <c r="C250">
        <v>2018</v>
      </c>
      <c r="D250">
        <v>47030</v>
      </c>
      <c r="E250">
        <v>325.5</v>
      </c>
      <c r="F250">
        <v>6.6</v>
      </c>
      <c r="G250">
        <v>4.5</v>
      </c>
      <c r="H250">
        <v>21.2</v>
      </c>
      <c r="I250">
        <f t="shared" si="6"/>
        <v>15308265</v>
      </c>
      <c r="J250">
        <f t="shared" si="7"/>
        <v>997036</v>
      </c>
    </row>
    <row r="251" spans="1:10" x14ac:dyDescent="0.25">
      <c r="A251" t="s">
        <v>224</v>
      </c>
      <c r="B251" t="s">
        <v>220</v>
      </c>
      <c r="C251">
        <v>2019</v>
      </c>
      <c r="D251">
        <v>46699</v>
      </c>
      <c r="E251">
        <v>323.2</v>
      </c>
      <c r="F251">
        <v>6.4</v>
      </c>
      <c r="G251">
        <v>4.4000000000000004</v>
      </c>
      <c r="H251">
        <v>24</v>
      </c>
      <c r="I251">
        <f t="shared" si="6"/>
        <v>15093116.799999999</v>
      </c>
      <c r="J251">
        <f t="shared" si="7"/>
        <v>1120776</v>
      </c>
    </row>
    <row r="252" spans="1:10" x14ac:dyDescent="0.25">
      <c r="A252" t="s">
        <v>224</v>
      </c>
      <c r="B252" t="s">
        <v>220</v>
      </c>
      <c r="C252">
        <v>2020</v>
      </c>
      <c r="D252">
        <v>47003</v>
      </c>
      <c r="E252">
        <v>323.10000000000002</v>
      </c>
      <c r="F252">
        <v>6.3</v>
      </c>
      <c r="G252">
        <v>4.4000000000000004</v>
      </c>
      <c r="H252">
        <v>23.7</v>
      </c>
      <c r="I252">
        <f t="shared" si="6"/>
        <v>15186669.300000001</v>
      </c>
      <c r="J252">
        <f t="shared" si="7"/>
        <v>1113971.0999999999</v>
      </c>
    </row>
    <row r="253" spans="1:10" x14ac:dyDescent="0.25">
      <c r="A253" t="s">
        <v>224</v>
      </c>
      <c r="B253" t="s">
        <v>220</v>
      </c>
      <c r="C253">
        <v>2021</v>
      </c>
      <c r="D253">
        <v>47112</v>
      </c>
      <c r="E253">
        <v>325</v>
      </c>
      <c r="F253">
        <v>6.2</v>
      </c>
      <c r="G253">
        <v>4.5</v>
      </c>
      <c r="H253">
        <v>25.9</v>
      </c>
      <c r="I253">
        <f t="shared" si="6"/>
        <v>15311400</v>
      </c>
      <c r="J253">
        <f t="shared" si="7"/>
        <v>1220200.8</v>
      </c>
    </row>
    <row r="254" spans="1:10" x14ac:dyDescent="0.25">
      <c r="A254" t="s">
        <v>224</v>
      </c>
      <c r="B254" t="s">
        <v>225</v>
      </c>
      <c r="C254">
        <v>2016</v>
      </c>
      <c r="D254">
        <v>6973</v>
      </c>
      <c r="E254">
        <v>340.5</v>
      </c>
      <c r="F254">
        <v>8.1999999999999993</v>
      </c>
      <c r="G254">
        <v>7.4</v>
      </c>
      <c r="H254">
        <v>18.7</v>
      </c>
      <c r="I254">
        <f t="shared" si="6"/>
        <v>2374306.5</v>
      </c>
      <c r="J254">
        <f t="shared" si="7"/>
        <v>130395.09999999999</v>
      </c>
    </row>
    <row r="255" spans="1:10" x14ac:dyDescent="0.25">
      <c r="A255" t="s">
        <v>224</v>
      </c>
      <c r="B255" t="s">
        <v>225</v>
      </c>
      <c r="C255">
        <v>2017</v>
      </c>
      <c r="D255">
        <v>7820</v>
      </c>
      <c r="E255">
        <v>347.2</v>
      </c>
      <c r="F255">
        <v>8.1</v>
      </c>
      <c r="G255">
        <v>7.5</v>
      </c>
      <c r="H255">
        <v>19.100000000000001</v>
      </c>
      <c r="I255">
        <f t="shared" si="6"/>
        <v>2715104</v>
      </c>
      <c r="J255">
        <f t="shared" si="7"/>
        <v>149362</v>
      </c>
    </row>
    <row r="256" spans="1:10" x14ac:dyDescent="0.25">
      <c r="A256" t="s">
        <v>224</v>
      </c>
      <c r="B256" t="s">
        <v>225</v>
      </c>
      <c r="C256">
        <v>2018</v>
      </c>
      <c r="D256">
        <v>8849</v>
      </c>
      <c r="E256">
        <v>340.3</v>
      </c>
      <c r="F256">
        <v>7.8</v>
      </c>
      <c r="G256">
        <v>7.3</v>
      </c>
      <c r="H256">
        <v>19.5</v>
      </c>
      <c r="I256">
        <f t="shared" si="6"/>
        <v>3011314.7</v>
      </c>
      <c r="J256">
        <f t="shared" si="7"/>
        <v>172555.5</v>
      </c>
    </row>
    <row r="257" spans="1:10" x14ac:dyDescent="0.25">
      <c r="A257" t="s">
        <v>224</v>
      </c>
      <c r="B257" t="s">
        <v>225</v>
      </c>
      <c r="C257">
        <v>2019</v>
      </c>
      <c r="D257">
        <v>9669</v>
      </c>
      <c r="E257">
        <v>340.1</v>
      </c>
      <c r="F257">
        <v>7.7</v>
      </c>
      <c r="G257">
        <v>7.3</v>
      </c>
      <c r="H257">
        <v>21.8</v>
      </c>
      <c r="I257">
        <f t="shared" si="6"/>
        <v>3288426.9000000004</v>
      </c>
      <c r="J257">
        <f t="shared" si="7"/>
        <v>210784.2</v>
      </c>
    </row>
    <row r="258" spans="1:10" x14ac:dyDescent="0.25">
      <c r="A258" t="s">
        <v>224</v>
      </c>
      <c r="B258" t="s">
        <v>225</v>
      </c>
      <c r="C258">
        <v>2020</v>
      </c>
      <c r="D258">
        <v>9814</v>
      </c>
      <c r="E258">
        <v>342.8</v>
      </c>
      <c r="F258">
        <v>7.7</v>
      </c>
      <c r="G258">
        <v>7.3</v>
      </c>
      <c r="H258">
        <v>22.1</v>
      </c>
      <c r="I258">
        <f t="shared" si="6"/>
        <v>3364239.2</v>
      </c>
      <c r="J258">
        <f t="shared" si="7"/>
        <v>216889.40000000002</v>
      </c>
    </row>
    <row r="259" spans="1:10" x14ac:dyDescent="0.25">
      <c r="A259" t="s">
        <v>224</v>
      </c>
      <c r="B259" t="s">
        <v>225</v>
      </c>
      <c r="C259">
        <v>2021</v>
      </c>
      <c r="D259">
        <v>9953</v>
      </c>
      <c r="E259">
        <v>349.4</v>
      </c>
      <c r="F259">
        <v>7.8</v>
      </c>
      <c r="G259">
        <v>7.4</v>
      </c>
      <c r="H259">
        <v>22.1</v>
      </c>
      <c r="I259">
        <f t="shared" ref="I259:I322" si="8">D259*E259</f>
        <v>3477578.1999999997</v>
      </c>
      <c r="J259">
        <f t="shared" ref="J259:J322" si="9">D259*H259</f>
        <v>219961.30000000002</v>
      </c>
    </row>
    <row r="260" spans="1:10" x14ac:dyDescent="0.25">
      <c r="A260" t="s">
        <v>224</v>
      </c>
      <c r="B260" t="s">
        <v>228</v>
      </c>
      <c r="C260">
        <v>2016</v>
      </c>
      <c r="D260">
        <v>6430</v>
      </c>
      <c r="E260">
        <v>374</v>
      </c>
      <c r="F260">
        <v>6.9</v>
      </c>
      <c r="G260">
        <v>9</v>
      </c>
      <c r="H260">
        <v>17.3</v>
      </c>
      <c r="I260">
        <f t="shared" si="8"/>
        <v>2404820</v>
      </c>
      <c r="J260">
        <f t="shared" si="9"/>
        <v>111239</v>
      </c>
    </row>
    <row r="261" spans="1:10" x14ac:dyDescent="0.25">
      <c r="A261" t="s">
        <v>224</v>
      </c>
      <c r="B261" t="s">
        <v>228</v>
      </c>
      <c r="C261">
        <v>2017</v>
      </c>
      <c r="D261">
        <v>6453</v>
      </c>
      <c r="E261">
        <v>379.2</v>
      </c>
      <c r="F261">
        <v>6.7</v>
      </c>
      <c r="G261">
        <v>9.1</v>
      </c>
      <c r="H261">
        <v>18.2</v>
      </c>
      <c r="I261">
        <f t="shared" si="8"/>
        <v>2446977.6</v>
      </c>
      <c r="J261">
        <f t="shared" si="9"/>
        <v>117444.59999999999</v>
      </c>
    </row>
    <row r="262" spans="1:10" x14ac:dyDescent="0.25">
      <c r="A262" t="s">
        <v>224</v>
      </c>
      <c r="B262" t="s">
        <v>228</v>
      </c>
      <c r="C262">
        <v>2018</v>
      </c>
      <c r="D262">
        <v>6897</v>
      </c>
      <c r="E262">
        <v>370.2</v>
      </c>
      <c r="F262">
        <v>6.6</v>
      </c>
      <c r="G262">
        <v>8.8000000000000007</v>
      </c>
      <c r="H262">
        <v>18.3</v>
      </c>
      <c r="I262">
        <f t="shared" si="8"/>
        <v>2553269.4</v>
      </c>
      <c r="J262">
        <f t="shared" si="9"/>
        <v>126215.1</v>
      </c>
    </row>
    <row r="263" spans="1:10" x14ac:dyDescent="0.25">
      <c r="A263" t="s">
        <v>224</v>
      </c>
      <c r="B263" t="s">
        <v>228</v>
      </c>
      <c r="C263">
        <v>2019</v>
      </c>
      <c r="D263">
        <v>6858</v>
      </c>
      <c r="E263">
        <v>373</v>
      </c>
      <c r="F263">
        <v>6.4</v>
      </c>
      <c r="G263">
        <v>8.8000000000000007</v>
      </c>
      <c r="H263">
        <v>18.5</v>
      </c>
      <c r="I263">
        <f t="shared" si="8"/>
        <v>2558034</v>
      </c>
      <c r="J263">
        <f t="shared" si="9"/>
        <v>126873</v>
      </c>
    </row>
    <row r="264" spans="1:10" x14ac:dyDescent="0.25">
      <c r="A264" t="s">
        <v>224</v>
      </c>
      <c r="B264" t="s">
        <v>228</v>
      </c>
      <c r="C264">
        <v>2020</v>
      </c>
      <c r="D264">
        <v>6610</v>
      </c>
      <c r="E264">
        <v>370.5</v>
      </c>
      <c r="F264">
        <v>6.3</v>
      </c>
      <c r="G264">
        <v>8.8000000000000007</v>
      </c>
      <c r="H264">
        <v>18.600000000000001</v>
      </c>
      <c r="I264">
        <f t="shared" si="8"/>
        <v>2449005</v>
      </c>
      <c r="J264">
        <f t="shared" si="9"/>
        <v>122946.00000000001</v>
      </c>
    </row>
    <row r="265" spans="1:10" x14ac:dyDescent="0.25">
      <c r="A265" t="s">
        <v>224</v>
      </c>
      <c r="B265" t="s">
        <v>228</v>
      </c>
      <c r="C265">
        <v>2021</v>
      </c>
      <c r="D265">
        <v>6329</v>
      </c>
      <c r="E265">
        <v>381.4</v>
      </c>
      <c r="F265">
        <v>6.4</v>
      </c>
      <c r="G265">
        <v>8.9</v>
      </c>
      <c r="H265">
        <v>19</v>
      </c>
      <c r="I265">
        <f t="shared" si="8"/>
        <v>2413880.5999999996</v>
      </c>
      <c r="J265">
        <f t="shared" si="9"/>
        <v>120251</v>
      </c>
    </row>
    <row r="266" spans="1:10" x14ac:dyDescent="0.25">
      <c r="A266" t="s">
        <v>224</v>
      </c>
      <c r="B266" t="s">
        <v>229</v>
      </c>
      <c r="C266">
        <v>2016</v>
      </c>
      <c r="D266">
        <v>1988</v>
      </c>
      <c r="E266">
        <v>347</v>
      </c>
      <c r="F266">
        <v>8.1999999999999993</v>
      </c>
      <c r="G266">
        <v>7.8</v>
      </c>
      <c r="H266">
        <v>18.399999999999999</v>
      </c>
      <c r="I266">
        <f t="shared" si="8"/>
        <v>689836</v>
      </c>
      <c r="J266">
        <f t="shared" si="9"/>
        <v>36579.199999999997</v>
      </c>
    </row>
    <row r="267" spans="1:10" x14ac:dyDescent="0.25">
      <c r="A267" t="s">
        <v>224</v>
      </c>
      <c r="B267" t="s">
        <v>229</v>
      </c>
      <c r="C267">
        <v>2017</v>
      </c>
      <c r="D267">
        <v>2383</v>
      </c>
      <c r="E267">
        <v>354.8</v>
      </c>
      <c r="F267">
        <v>8.3000000000000007</v>
      </c>
      <c r="G267">
        <v>7.9</v>
      </c>
      <c r="H267">
        <v>18.2</v>
      </c>
      <c r="I267">
        <f t="shared" si="8"/>
        <v>845488.4</v>
      </c>
      <c r="J267">
        <f t="shared" si="9"/>
        <v>43370.6</v>
      </c>
    </row>
    <row r="268" spans="1:10" x14ac:dyDescent="0.25">
      <c r="A268" t="s">
        <v>224</v>
      </c>
      <c r="B268" t="s">
        <v>229</v>
      </c>
      <c r="C268">
        <v>2018</v>
      </c>
      <c r="D268">
        <v>2750</v>
      </c>
      <c r="E268">
        <v>349.2</v>
      </c>
      <c r="F268">
        <v>7.9</v>
      </c>
      <c r="G268">
        <v>7.7</v>
      </c>
      <c r="H268">
        <v>19.600000000000001</v>
      </c>
      <c r="I268">
        <f t="shared" si="8"/>
        <v>960300</v>
      </c>
      <c r="J268">
        <f t="shared" si="9"/>
        <v>53900.000000000007</v>
      </c>
    </row>
    <row r="269" spans="1:10" x14ac:dyDescent="0.25">
      <c r="A269" t="s">
        <v>224</v>
      </c>
      <c r="B269" t="s">
        <v>229</v>
      </c>
      <c r="C269">
        <v>2019</v>
      </c>
      <c r="D269">
        <v>3256</v>
      </c>
      <c r="E269">
        <v>345.4</v>
      </c>
      <c r="F269">
        <v>7.8</v>
      </c>
      <c r="G269">
        <v>7.6</v>
      </c>
      <c r="H269">
        <v>19.899999999999999</v>
      </c>
      <c r="I269">
        <f t="shared" si="8"/>
        <v>1124622.3999999999</v>
      </c>
      <c r="J269">
        <f t="shared" si="9"/>
        <v>64794.399999999994</v>
      </c>
    </row>
    <row r="270" spans="1:10" x14ac:dyDescent="0.25">
      <c r="A270" t="s">
        <v>224</v>
      </c>
      <c r="B270" t="s">
        <v>229</v>
      </c>
      <c r="C270">
        <v>2020</v>
      </c>
      <c r="D270">
        <v>3414</v>
      </c>
      <c r="E270">
        <v>347.5</v>
      </c>
      <c r="F270">
        <v>7.8</v>
      </c>
      <c r="G270">
        <v>7.7</v>
      </c>
      <c r="H270">
        <v>19.5</v>
      </c>
      <c r="I270">
        <f t="shared" si="8"/>
        <v>1186365</v>
      </c>
      <c r="J270">
        <f t="shared" si="9"/>
        <v>66573</v>
      </c>
    </row>
    <row r="271" spans="1:10" x14ac:dyDescent="0.25">
      <c r="A271" t="s">
        <v>224</v>
      </c>
      <c r="B271" t="s">
        <v>229</v>
      </c>
      <c r="C271">
        <v>2021</v>
      </c>
      <c r="D271">
        <v>3337</v>
      </c>
      <c r="E271">
        <v>355.5</v>
      </c>
      <c r="F271">
        <v>7.7</v>
      </c>
      <c r="G271">
        <v>7.8</v>
      </c>
      <c r="H271">
        <v>21</v>
      </c>
      <c r="I271">
        <f t="shared" si="8"/>
        <v>1186303.5</v>
      </c>
      <c r="J271">
        <f t="shared" si="9"/>
        <v>70077</v>
      </c>
    </row>
    <row r="272" spans="1:10" x14ac:dyDescent="0.25">
      <c r="A272" t="s">
        <v>224</v>
      </c>
      <c r="B272" t="s">
        <v>231</v>
      </c>
      <c r="C272">
        <v>2016</v>
      </c>
      <c r="D272">
        <v>1404</v>
      </c>
      <c r="E272">
        <v>368.3</v>
      </c>
      <c r="F272">
        <v>6.7</v>
      </c>
      <c r="G272">
        <v>10.3</v>
      </c>
      <c r="H272">
        <v>17.2</v>
      </c>
      <c r="I272">
        <f t="shared" si="8"/>
        <v>517093.2</v>
      </c>
      <c r="J272">
        <f t="shared" si="9"/>
        <v>24148.799999999999</v>
      </c>
    </row>
    <row r="273" spans="1:10" x14ac:dyDescent="0.25">
      <c r="A273" t="s">
        <v>224</v>
      </c>
      <c r="B273" t="s">
        <v>231</v>
      </c>
      <c r="C273">
        <v>2017</v>
      </c>
      <c r="D273">
        <v>1302</v>
      </c>
      <c r="E273">
        <v>372.9</v>
      </c>
      <c r="F273">
        <v>6.6</v>
      </c>
      <c r="G273">
        <v>10.199999999999999</v>
      </c>
      <c r="H273">
        <v>17.399999999999999</v>
      </c>
      <c r="I273">
        <f t="shared" si="8"/>
        <v>485515.8</v>
      </c>
      <c r="J273">
        <f t="shared" si="9"/>
        <v>22654.799999999999</v>
      </c>
    </row>
    <row r="274" spans="1:10" x14ac:dyDescent="0.25">
      <c r="A274" t="s">
        <v>224</v>
      </c>
      <c r="B274" t="s">
        <v>231</v>
      </c>
      <c r="C274">
        <v>2018</v>
      </c>
      <c r="D274">
        <v>1588</v>
      </c>
      <c r="E274">
        <v>370.9</v>
      </c>
      <c r="F274">
        <v>6.6</v>
      </c>
      <c r="G274">
        <v>9.8000000000000007</v>
      </c>
      <c r="H274">
        <v>18.2</v>
      </c>
      <c r="I274">
        <f t="shared" si="8"/>
        <v>588989.19999999995</v>
      </c>
      <c r="J274">
        <f t="shared" si="9"/>
        <v>28901.599999999999</v>
      </c>
    </row>
    <row r="275" spans="1:10" x14ac:dyDescent="0.25">
      <c r="A275" t="s">
        <v>224</v>
      </c>
      <c r="B275" t="s">
        <v>231</v>
      </c>
      <c r="C275">
        <v>2019</v>
      </c>
      <c r="D275">
        <v>1658</v>
      </c>
      <c r="E275">
        <v>367.7</v>
      </c>
      <c r="F275">
        <v>6.4</v>
      </c>
      <c r="G275">
        <v>9.5</v>
      </c>
      <c r="H275">
        <v>18.600000000000001</v>
      </c>
      <c r="I275">
        <f t="shared" si="8"/>
        <v>609646.6</v>
      </c>
      <c r="J275">
        <f t="shared" si="9"/>
        <v>30838.800000000003</v>
      </c>
    </row>
    <row r="276" spans="1:10" x14ac:dyDescent="0.25">
      <c r="A276" t="s">
        <v>224</v>
      </c>
      <c r="B276" t="s">
        <v>231</v>
      </c>
      <c r="C276">
        <v>2020</v>
      </c>
      <c r="D276">
        <v>1787</v>
      </c>
      <c r="E276">
        <v>365.3</v>
      </c>
      <c r="F276">
        <v>6.3</v>
      </c>
      <c r="G276">
        <v>9.6</v>
      </c>
      <c r="H276">
        <v>18</v>
      </c>
      <c r="I276">
        <f t="shared" si="8"/>
        <v>652791.1</v>
      </c>
      <c r="J276">
        <f t="shared" si="9"/>
        <v>32166</v>
      </c>
    </row>
    <row r="277" spans="1:10" x14ac:dyDescent="0.25">
      <c r="A277" t="s">
        <v>224</v>
      </c>
      <c r="B277" t="s">
        <v>231</v>
      </c>
      <c r="C277">
        <v>2021</v>
      </c>
      <c r="D277">
        <v>1890</v>
      </c>
      <c r="E277">
        <v>370</v>
      </c>
      <c r="F277">
        <v>6.4</v>
      </c>
      <c r="G277">
        <v>9.5</v>
      </c>
      <c r="H277">
        <v>18.8</v>
      </c>
      <c r="I277">
        <f t="shared" si="8"/>
        <v>699300</v>
      </c>
      <c r="J277">
        <f t="shared" si="9"/>
        <v>35532</v>
      </c>
    </row>
    <row r="278" spans="1:10" x14ac:dyDescent="0.25">
      <c r="A278" t="s">
        <v>224</v>
      </c>
      <c r="B278" t="s">
        <v>232</v>
      </c>
      <c r="C278">
        <v>2016</v>
      </c>
      <c r="D278">
        <v>5253</v>
      </c>
      <c r="E278">
        <v>370.1</v>
      </c>
      <c r="F278">
        <v>7.1</v>
      </c>
      <c r="G278">
        <v>8.5</v>
      </c>
      <c r="H278">
        <v>17.7</v>
      </c>
      <c r="I278">
        <f t="shared" si="8"/>
        <v>1944135.3</v>
      </c>
      <c r="J278">
        <f t="shared" si="9"/>
        <v>92978.099999999991</v>
      </c>
    </row>
    <row r="279" spans="1:10" x14ac:dyDescent="0.25">
      <c r="A279" t="s">
        <v>224</v>
      </c>
      <c r="B279" t="s">
        <v>232</v>
      </c>
      <c r="C279">
        <v>2017</v>
      </c>
      <c r="D279">
        <v>5678</v>
      </c>
      <c r="E279">
        <v>376.8</v>
      </c>
      <c r="F279">
        <v>7</v>
      </c>
      <c r="G279">
        <v>8.6</v>
      </c>
      <c r="H279">
        <v>17.5</v>
      </c>
      <c r="I279">
        <f t="shared" si="8"/>
        <v>2139470.4</v>
      </c>
      <c r="J279">
        <f t="shared" si="9"/>
        <v>99365</v>
      </c>
    </row>
    <row r="280" spans="1:10" x14ac:dyDescent="0.25">
      <c r="A280" t="s">
        <v>224</v>
      </c>
      <c r="B280" t="s">
        <v>232</v>
      </c>
      <c r="C280">
        <v>2018</v>
      </c>
      <c r="D280">
        <v>5954</v>
      </c>
      <c r="E280">
        <v>370.1</v>
      </c>
      <c r="F280">
        <v>6.8</v>
      </c>
      <c r="G280">
        <v>8.3000000000000007</v>
      </c>
      <c r="H280">
        <v>17.8</v>
      </c>
      <c r="I280">
        <f t="shared" si="8"/>
        <v>2203575.4</v>
      </c>
      <c r="J280">
        <f t="shared" si="9"/>
        <v>105981.2</v>
      </c>
    </row>
    <row r="281" spans="1:10" x14ac:dyDescent="0.25">
      <c r="A281" t="s">
        <v>224</v>
      </c>
      <c r="B281" t="s">
        <v>232</v>
      </c>
      <c r="C281">
        <v>2019</v>
      </c>
      <c r="D281">
        <v>6320</v>
      </c>
      <c r="E281">
        <v>363.8</v>
      </c>
      <c r="F281">
        <v>6.5</v>
      </c>
      <c r="G281">
        <v>8.3000000000000007</v>
      </c>
      <c r="H281">
        <v>18.399999999999999</v>
      </c>
      <c r="I281">
        <f t="shared" si="8"/>
        <v>2299216</v>
      </c>
      <c r="J281">
        <f t="shared" si="9"/>
        <v>116287.99999999999</v>
      </c>
    </row>
    <row r="282" spans="1:10" x14ac:dyDescent="0.25">
      <c r="A282" t="s">
        <v>224</v>
      </c>
      <c r="B282" t="s">
        <v>232</v>
      </c>
      <c r="C282">
        <v>2020</v>
      </c>
      <c r="D282">
        <v>6471</v>
      </c>
      <c r="E282">
        <v>365.6</v>
      </c>
      <c r="F282">
        <v>6.5</v>
      </c>
      <c r="G282">
        <v>8.3000000000000007</v>
      </c>
      <c r="H282">
        <v>18.3</v>
      </c>
      <c r="I282">
        <f t="shared" si="8"/>
        <v>2365797.6</v>
      </c>
      <c r="J282">
        <f t="shared" si="9"/>
        <v>118419.3</v>
      </c>
    </row>
    <row r="283" spans="1:10" x14ac:dyDescent="0.25">
      <c r="A283" t="s">
        <v>224</v>
      </c>
      <c r="B283" t="s">
        <v>232</v>
      </c>
      <c r="C283">
        <v>2021</v>
      </c>
      <c r="D283">
        <v>6677</v>
      </c>
      <c r="E283">
        <v>374.3</v>
      </c>
      <c r="F283">
        <v>6.5</v>
      </c>
      <c r="G283">
        <v>8.4</v>
      </c>
      <c r="H283">
        <v>18.2</v>
      </c>
      <c r="I283">
        <f t="shared" si="8"/>
        <v>2499201.1</v>
      </c>
      <c r="J283">
        <f t="shared" si="9"/>
        <v>121521.4</v>
      </c>
    </row>
    <row r="284" spans="1:10" x14ac:dyDescent="0.25">
      <c r="A284" t="s">
        <v>224</v>
      </c>
      <c r="B284" t="s">
        <v>234</v>
      </c>
      <c r="C284">
        <v>2016</v>
      </c>
      <c r="D284">
        <v>254</v>
      </c>
      <c r="E284">
        <v>192.8</v>
      </c>
      <c r="F284">
        <v>4.9000000000000004</v>
      </c>
      <c r="G284">
        <v>4.5999999999999996</v>
      </c>
      <c r="H284">
        <v>23.6</v>
      </c>
      <c r="I284">
        <f t="shared" si="8"/>
        <v>48971.200000000004</v>
      </c>
      <c r="J284">
        <f t="shared" si="9"/>
        <v>5994.4000000000005</v>
      </c>
    </row>
    <row r="285" spans="1:10" x14ac:dyDescent="0.25">
      <c r="A285" t="s">
        <v>224</v>
      </c>
      <c r="B285" t="s">
        <v>234</v>
      </c>
      <c r="C285">
        <v>2017</v>
      </c>
      <c r="D285">
        <v>201</v>
      </c>
      <c r="E285">
        <v>209.6</v>
      </c>
      <c r="F285">
        <v>4.8</v>
      </c>
      <c r="G285">
        <v>5.0999999999999996</v>
      </c>
      <c r="H285">
        <v>22.9</v>
      </c>
      <c r="I285">
        <f t="shared" si="8"/>
        <v>42129.599999999999</v>
      </c>
      <c r="J285">
        <f t="shared" si="9"/>
        <v>4602.8999999999996</v>
      </c>
    </row>
    <row r="286" spans="1:10" x14ac:dyDescent="0.25">
      <c r="A286" t="s">
        <v>224</v>
      </c>
      <c r="B286" t="s">
        <v>234</v>
      </c>
      <c r="C286">
        <v>2018</v>
      </c>
      <c r="D286">
        <v>229</v>
      </c>
      <c r="E286">
        <v>190.4</v>
      </c>
      <c r="F286">
        <v>4.5</v>
      </c>
      <c r="G286">
        <v>4.5</v>
      </c>
      <c r="H286">
        <v>23.6</v>
      </c>
      <c r="I286">
        <f t="shared" si="8"/>
        <v>43601.599999999999</v>
      </c>
      <c r="J286">
        <f t="shared" si="9"/>
        <v>5404.4000000000005</v>
      </c>
    </row>
    <row r="287" spans="1:10" x14ac:dyDescent="0.25">
      <c r="A287" t="s">
        <v>224</v>
      </c>
      <c r="B287" t="s">
        <v>234</v>
      </c>
      <c r="C287">
        <v>2019</v>
      </c>
      <c r="D287">
        <v>198</v>
      </c>
      <c r="E287">
        <v>202.6</v>
      </c>
      <c r="F287">
        <v>4.5999999999999996</v>
      </c>
      <c r="G287">
        <v>4.8</v>
      </c>
      <c r="H287">
        <v>27.6</v>
      </c>
      <c r="I287">
        <f t="shared" si="8"/>
        <v>40114.799999999996</v>
      </c>
      <c r="J287">
        <f t="shared" si="9"/>
        <v>5464.8</v>
      </c>
    </row>
    <row r="288" spans="1:10" x14ac:dyDescent="0.25">
      <c r="A288" t="s">
        <v>224</v>
      </c>
      <c r="B288" t="s">
        <v>234</v>
      </c>
      <c r="C288">
        <v>2020</v>
      </c>
      <c r="D288">
        <v>173</v>
      </c>
      <c r="E288">
        <v>212.6</v>
      </c>
      <c r="F288">
        <v>4.7</v>
      </c>
      <c r="G288">
        <v>5</v>
      </c>
      <c r="H288">
        <v>29.4</v>
      </c>
      <c r="I288">
        <f t="shared" si="8"/>
        <v>36779.799999999996</v>
      </c>
      <c r="J288">
        <f t="shared" si="9"/>
        <v>5086.2</v>
      </c>
    </row>
    <row r="289" spans="1:10" x14ac:dyDescent="0.25">
      <c r="A289" t="s">
        <v>224</v>
      </c>
      <c r="B289" t="s">
        <v>234</v>
      </c>
      <c r="C289">
        <v>2021</v>
      </c>
      <c r="D289">
        <v>110</v>
      </c>
      <c r="E289">
        <v>225.5</v>
      </c>
      <c r="F289">
        <v>4.5999999999999996</v>
      </c>
      <c r="G289">
        <v>5.2</v>
      </c>
      <c r="H289">
        <v>24.8</v>
      </c>
      <c r="I289">
        <f t="shared" si="8"/>
        <v>24805</v>
      </c>
      <c r="J289">
        <f t="shared" si="9"/>
        <v>2728</v>
      </c>
    </row>
    <row r="290" spans="1:10" x14ac:dyDescent="0.25">
      <c r="A290" t="s">
        <v>224</v>
      </c>
      <c r="B290" t="s">
        <v>235</v>
      </c>
      <c r="C290">
        <v>2016</v>
      </c>
      <c r="D290">
        <v>306</v>
      </c>
      <c r="E290">
        <v>391.6</v>
      </c>
      <c r="F290">
        <v>5.4</v>
      </c>
      <c r="G290">
        <v>10.8</v>
      </c>
      <c r="H290">
        <v>17</v>
      </c>
      <c r="I290">
        <f t="shared" si="8"/>
        <v>119829.6</v>
      </c>
      <c r="J290">
        <f t="shared" si="9"/>
        <v>5202</v>
      </c>
    </row>
    <row r="291" spans="1:10" x14ac:dyDescent="0.25">
      <c r="A291" t="s">
        <v>224</v>
      </c>
      <c r="B291" t="s">
        <v>235</v>
      </c>
      <c r="C291">
        <v>2017</v>
      </c>
      <c r="D291">
        <v>285</v>
      </c>
      <c r="E291">
        <v>386</v>
      </c>
      <c r="F291">
        <v>5.2</v>
      </c>
      <c r="G291">
        <v>11</v>
      </c>
      <c r="H291">
        <v>17.100000000000001</v>
      </c>
      <c r="I291">
        <f t="shared" si="8"/>
        <v>110010</v>
      </c>
      <c r="J291">
        <f t="shared" si="9"/>
        <v>4873.5</v>
      </c>
    </row>
    <row r="292" spans="1:10" x14ac:dyDescent="0.25">
      <c r="A292" t="s">
        <v>224</v>
      </c>
      <c r="B292" t="s">
        <v>235</v>
      </c>
      <c r="C292">
        <v>2018</v>
      </c>
      <c r="D292">
        <v>288</v>
      </c>
      <c r="E292">
        <v>379.6</v>
      </c>
      <c r="F292">
        <v>5.3</v>
      </c>
      <c r="G292">
        <v>10.6</v>
      </c>
      <c r="H292">
        <v>17.2</v>
      </c>
      <c r="I292">
        <f t="shared" si="8"/>
        <v>109324.8</v>
      </c>
      <c r="J292">
        <f t="shared" si="9"/>
        <v>4953.5999999999995</v>
      </c>
    </row>
    <row r="293" spans="1:10" x14ac:dyDescent="0.25">
      <c r="A293" t="s">
        <v>224</v>
      </c>
      <c r="B293" t="s">
        <v>235</v>
      </c>
      <c r="C293">
        <v>2019</v>
      </c>
      <c r="D293">
        <v>311</v>
      </c>
      <c r="E293">
        <v>381</v>
      </c>
      <c r="F293">
        <v>4.7</v>
      </c>
      <c r="G293">
        <v>10.8</v>
      </c>
      <c r="H293">
        <v>16.100000000000001</v>
      </c>
      <c r="I293">
        <f t="shared" si="8"/>
        <v>118491</v>
      </c>
      <c r="J293">
        <f t="shared" si="9"/>
        <v>5007.1000000000004</v>
      </c>
    </row>
    <row r="294" spans="1:10" x14ac:dyDescent="0.25">
      <c r="A294" t="s">
        <v>224</v>
      </c>
      <c r="B294" t="s">
        <v>235</v>
      </c>
      <c r="C294">
        <v>2020</v>
      </c>
      <c r="D294">
        <v>423</v>
      </c>
      <c r="E294">
        <v>366.7</v>
      </c>
      <c r="F294">
        <v>5</v>
      </c>
      <c r="G294">
        <v>10.1</v>
      </c>
      <c r="H294">
        <v>15.6</v>
      </c>
      <c r="I294">
        <f t="shared" si="8"/>
        <v>155114.1</v>
      </c>
      <c r="J294">
        <f t="shared" si="9"/>
        <v>6598.8</v>
      </c>
    </row>
    <row r="295" spans="1:10" x14ac:dyDescent="0.25">
      <c r="A295" t="s">
        <v>224</v>
      </c>
      <c r="B295" t="s">
        <v>235</v>
      </c>
      <c r="C295">
        <v>2021</v>
      </c>
      <c r="D295">
        <v>424</v>
      </c>
      <c r="E295">
        <v>374</v>
      </c>
      <c r="F295">
        <v>5.0999999999999996</v>
      </c>
      <c r="G295">
        <v>10</v>
      </c>
      <c r="H295">
        <v>15.2</v>
      </c>
      <c r="I295">
        <f t="shared" si="8"/>
        <v>158576</v>
      </c>
      <c r="J295">
        <f t="shared" si="9"/>
        <v>6444.7999999999993</v>
      </c>
    </row>
    <row r="296" spans="1:10" x14ac:dyDescent="0.25">
      <c r="A296" t="s">
        <v>224</v>
      </c>
      <c r="B296" t="s">
        <v>236</v>
      </c>
      <c r="C296">
        <v>2016</v>
      </c>
      <c r="D296">
        <v>43969</v>
      </c>
      <c r="E296">
        <v>356.9</v>
      </c>
      <c r="F296">
        <v>7.4</v>
      </c>
      <c r="G296">
        <v>7.8</v>
      </c>
      <c r="H296">
        <v>18.7</v>
      </c>
      <c r="I296">
        <f t="shared" si="8"/>
        <v>15692536.1</v>
      </c>
      <c r="J296">
        <f t="shared" si="9"/>
        <v>822220.29999999993</v>
      </c>
    </row>
    <row r="297" spans="1:10" x14ac:dyDescent="0.25">
      <c r="A297" t="s">
        <v>224</v>
      </c>
      <c r="B297" t="s">
        <v>236</v>
      </c>
      <c r="C297">
        <v>2017</v>
      </c>
      <c r="D297">
        <v>46967</v>
      </c>
      <c r="E297">
        <v>360.4</v>
      </c>
      <c r="F297">
        <v>7.3</v>
      </c>
      <c r="G297">
        <v>7.8</v>
      </c>
      <c r="H297">
        <v>18.8</v>
      </c>
      <c r="I297">
        <f t="shared" si="8"/>
        <v>16926906.800000001</v>
      </c>
      <c r="J297">
        <f t="shared" si="9"/>
        <v>882979.6</v>
      </c>
    </row>
    <row r="298" spans="1:10" x14ac:dyDescent="0.25">
      <c r="A298" t="s">
        <v>224</v>
      </c>
      <c r="B298" t="s">
        <v>236</v>
      </c>
      <c r="C298">
        <v>2018</v>
      </c>
      <c r="D298">
        <v>49412</v>
      </c>
      <c r="E298">
        <v>355.9</v>
      </c>
      <c r="F298">
        <v>7.1</v>
      </c>
      <c r="G298">
        <v>7.7</v>
      </c>
      <c r="H298">
        <v>18.7</v>
      </c>
      <c r="I298">
        <f t="shared" si="8"/>
        <v>17585730.799999997</v>
      </c>
      <c r="J298">
        <f t="shared" si="9"/>
        <v>924004.39999999991</v>
      </c>
    </row>
    <row r="299" spans="1:10" x14ac:dyDescent="0.25">
      <c r="A299" t="s">
        <v>224</v>
      </c>
      <c r="B299" t="s">
        <v>236</v>
      </c>
      <c r="C299">
        <v>2019</v>
      </c>
      <c r="D299">
        <v>52654</v>
      </c>
      <c r="E299">
        <v>356</v>
      </c>
      <c r="F299">
        <v>7</v>
      </c>
      <c r="G299">
        <v>7.8</v>
      </c>
      <c r="H299">
        <v>19</v>
      </c>
      <c r="I299">
        <f t="shared" si="8"/>
        <v>18744824</v>
      </c>
      <c r="J299">
        <f t="shared" si="9"/>
        <v>1000426</v>
      </c>
    </row>
    <row r="300" spans="1:10" x14ac:dyDescent="0.25">
      <c r="A300" t="s">
        <v>224</v>
      </c>
      <c r="B300" t="s">
        <v>236</v>
      </c>
      <c r="C300">
        <v>2020</v>
      </c>
      <c r="D300">
        <v>52664</v>
      </c>
      <c r="E300">
        <v>354.9</v>
      </c>
      <c r="F300">
        <v>6.9</v>
      </c>
      <c r="G300">
        <v>7.8</v>
      </c>
      <c r="H300">
        <v>19.2</v>
      </c>
      <c r="I300">
        <f t="shared" si="8"/>
        <v>18690453.599999998</v>
      </c>
      <c r="J300">
        <f t="shared" si="9"/>
        <v>1011148.7999999999</v>
      </c>
    </row>
    <row r="301" spans="1:10" x14ac:dyDescent="0.25">
      <c r="A301" t="s">
        <v>224</v>
      </c>
      <c r="B301" t="s">
        <v>236</v>
      </c>
      <c r="C301">
        <v>2021</v>
      </c>
      <c r="D301">
        <v>50606</v>
      </c>
      <c r="E301">
        <v>362.1</v>
      </c>
      <c r="F301">
        <v>6.9</v>
      </c>
      <c r="G301">
        <v>7.8</v>
      </c>
      <c r="H301">
        <v>20.6</v>
      </c>
      <c r="I301">
        <f t="shared" si="8"/>
        <v>18324432.600000001</v>
      </c>
      <c r="J301">
        <f t="shared" si="9"/>
        <v>1042483.6000000001</v>
      </c>
    </row>
    <row r="302" spans="1:10" x14ac:dyDescent="0.25">
      <c r="A302" t="s">
        <v>226</v>
      </c>
      <c r="B302" t="s">
        <v>212</v>
      </c>
      <c r="C302">
        <v>2016</v>
      </c>
      <c r="D302">
        <v>4295</v>
      </c>
      <c r="E302">
        <v>344.1</v>
      </c>
      <c r="F302">
        <v>6.4</v>
      </c>
      <c r="G302">
        <v>5.0999999999999996</v>
      </c>
      <c r="H302">
        <v>28.9</v>
      </c>
      <c r="I302">
        <f t="shared" si="8"/>
        <v>1477909.5</v>
      </c>
      <c r="J302">
        <f t="shared" si="9"/>
        <v>124125.5</v>
      </c>
    </row>
    <row r="303" spans="1:10" x14ac:dyDescent="0.25">
      <c r="A303" t="s">
        <v>226</v>
      </c>
      <c r="B303" t="s">
        <v>212</v>
      </c>
      <c r="C303">
        <v>2017</v>
      </c>
      <c r="D303">
        <v>4428</v>
      </c>
      <c r="E303">
        <v>349.4</v>
      </c>
      <c r="F303">
        <v>6.5</v>
      </c>
      <c r="G303">
        <v>5.0999999999999996</v>
      </c>
      <c r="H303">
        <v>28.8</v>
      </c>
      <c r="I303">
        <f t="shared" si="8"/>
        <v>1547143.2</v>
      </c>
      <c r="J303">
        <f t="shared" si="9"/>
        <v>127526.40000000001</v>
      </c>
    </row>
    <row r="304" spans="1:10" x14ac:dyDescent="0.25">
      <c r="A304" t="s">
        <v>226</v>
      </c>
      <c r="B304" t="s">
        <v>212</v>
      </c>
      <c r="C304">
        <v>2018</v>
      </c>
      <c r="D304">
        <v>4079</v>
      </c>
      <c r="E304">
        <v>352.5</v>
      </c>
      <c r="F304">
        <v>6.4</v>
      </c>
      <c r="G304">
        <v>5.0999999999999996</v>
      </c>
      <c r="H304">
        <v>28.6</v>
      </c>
      <c r="I304">
        <f t="shared" si="8"/>
        <v>1437847.5</v>
      </c>
      <c r="J304">
        <f t="shared" si="9"/>
        <v>116659.40000000001</v>
      </c>
    </row>
    <row r="305" spans="1:10" x14ac:dyDescent="0.25">
      <c r="A305" t="s">
        <v>226</v>
      </c>
      <c r="B305" t="s">
        <v>212</v>
      </c>
      <c r="C305">
        <v>2019</v>
      </c>
      <c r="D305">
        <v>3985</v>
      </c>
      <c r="E305">
        <v>345.8</v>
      </c>
      <c r="F305">
        <v>6</v>
      </c>
      <c r="G305">
        <v>5</v>
      </c>
      <c r="H305">
        <v>29.3</v>
      </c>
      <c r="I305">
        <f t="shared" si="8"/>
        <v>1378013</v>
      </c>
      <c r="J305">
        <f t="shared" si="9"/>
        <v>116760.5</v>
      </c>
    </row>
    <row r="306" spans="1:10" x14ac:dyDescent="0.25">
      <c r="A306" t="s">
        <v>226</v>
      </c>
      <c r="B306" t="s">
        <v>212</v>
      </c>
      <c r="C306">
        <v>2020</v>
      </c>
      <c r="D306">
        <v>3856</v>
      </c>
      <c r="E306">
        <v>347</v>
      </c>
      <c r="F306">
        <v>6.1</v>
      </c>
      <c r="G306">
        <v>5</v>
      </c>
      <c r="H306">
        <v>29.2</v>
      </c>
      <c r="I306">
        <f t="shared" si="8"/>
        <v>1338032</v>
      </c>
      <c r="J306">
        <f t="shared" si="9"/>
        <v>112595.2</v>
      </c>
    </row>
    <row r="307" spans="1:10" x14ac:dyDescent="0.25">
      <c r="A307" t="s">
        <v>226</v>
      </c>
      <c r="B307" t="s">
        <v>212</v>
      </c>
      <c r="C307">
        <v>2021</v>
      </c>
      <c r="D307">
        <v>2996</v>
      </c>
      <c r="E307">
        <v>356.7</v>
      </c>
      <c r="F307">
        <v>6.1</v>
      </c>
      <c r="G307">
        <v>5.0999999999999996</v>
      </c>
      <c r="H307">
        <v>29.7</v>
      </c>
      <c r="I307">
        <f t="shared" si="8"/>
        <v>1068673.2</v>
      </c>
      <c r="J307">
        <f t="shared" si="9"/>
        <v>88981.2</v>
      </c>
    </row>
    <row r="308" spans="1:10" x14ac:dyDescent="0.25">
      <c r="A308" t="s">
        <v>226</v>
      </c>
      <c r="B308" t="s">
        <v>220</v>
      </c>
      <c r="C308">
        <v>2016</v>
      </c>
      <c r="D308">
        <v>6740</v>
      </c>
      <c r="E308">
        <v>352.8</v>
      </c>
      <c r="F308">
        <v>6</v>
      </c>
      <c r="G308">
        <v>4.4000000000000004</v>
      </c>
      <c r="H308">
        <v>28.5</v>
      </c>
      <c r="I308">
        <f t="shared" si="8"/>
        <v>2377872</v>
      </c>
      <c r="J308">
        <f t="shared" si="9"/>
        <v>192090</v>
      </c>
    </row>
    <row r="309" spans="1:10" x14ac:dyDescent="0.25">
      <c r="A309" t="s">
        <v>226</v>
      </c>
      <c r="B309" t="s">
        <v>220</v>
      </c>
      <c r="C309">
        <v>2017</v>
      </c>
      <c r="D309">
        <v>7005</v>
      </c>
      <c r="E309">
        <v>358.6</v>
      </c>
      <c r="F309">
        <v>6.1</v>
      </c>
      <c r="G309">
        <v>4.4000000000000004</v>
      </c>
      <c r="H309">
        <v>28.5</v>
      </c>
      <c r="I309">
        <f t="shared" si="8"/>
        <v>2511993</v>
      </c>
      <c r="J309">
        <f t="shared" si="9"/>
        <v>199642.5</v>
      </c>
    </row>
    <row r="310" spans="1:10" x14ac:dyDescent="0.25">
      <c r="A310" t="s">
        <v>226</v>
      </c>
      <c r="B310" t="s">
        <v>220</v>
      </c>
      <c r="C310">
        <v>2018</v>
      </c>
      <c r="D310">
        <v>6873</v>
      </c>
      <c r="E310">
        <v>356.7</v>
      </c>
      <c r="F310">
        <v>5.9</v>
      </c>
      <c r="G310">
        <v>4.4000000000000004</v>
      </c>
      <c r="H310">
        <v>29.2</v>
      </c>
      <c r="I310">
        <f t="shared" si="8"/>
        <v>2451599.1</v>
      </c>
      <c r="J310">
        <f t="shared" si="9"/>
        <v>200691.6</v>
      </c>
    </row>
    <row r="311" spans="1:10" x14ac:dyDescent="0.25">
      <c r="A311" t="s">
        <v>226</v>
      </c>
      <c r="B311" t="s">
        <v>220</v>
      </c>
      <c r="C311">
        <v>2019</v>
      </c>
      <c r="D311">
        <v>6585</v>
      </c>
      <c r="E311">
        <v>350.6</v>
      </c>
      <c r="F311">
        <v>5.5</v>
      </c>
      <c r="G311">
        <v>4.3</v>
      </c>
      <c r="H311">
        <v>30.1</v>
      </c>
      <c r="I311">
        <f t="shared" si="8"/>
        <v>2308701</v>
      </c>
      <c r="J311">
        <f t="shared" si="9"/>
        <v>198208.5</v>
      </c>
    </row>
    <row r="312" spans="1:10" x14ac:dyDescent="0.25">
      <c r="A312" t="s">
        <v>226</v>
      </c>
      <c r="B312" t="s">
        <v>220</v>
      </c>
      <c r="C312">
        <v>2020</v>
      </c>
      <c r="D312">
        <v>6773</v>
      </c>
      <c r="E312">
        <v>354.2</v>
      </c>
      <c r="F312">
        <v>5.7</v>
      </c>
      <c r="G312">
        <v>4.3</v>
      </c>
      <c r="H312">
        <v>29.9</v>
      </c>
      <c r="I312">
        <f t="shared" si="8"/>
        <v>2398996.6</v>
      </c>
      <c r="J312">
        <f t="shared" si="9"/>
        <v>202512.69999999998</v>
      </c>
    </row>
    <row r="313" spans="1:10" x14ac:dyDescent="0.25">
      <c r="A313" t="s">
        <v>226</v>
      </c>
      <c r="B313" t="s">
        <v>220</v>
      </c>
      <c r="C313">
        <v>2021</v>
      </c>
      <c r="D313">
        <v>5484</v>
      </c>
      <c r="E313">
        <v>363.7</v>
      </c>
      <c r="F313">
        <v>5.7</v>
      </c>
      <c r="G313">
        <v>4.4000000000000004</v>
      </c>
      <c r="H313">
        <v>31.8</v>
      </c>
      <c r="I313">
        <f t="shared" si="8"/>
        <v>1994530.8</v>
      </c>
      <c r="J313">
        <f t="shared" si="9"/>
        <v>174391.2</v>
      </c>
    </row>
    <row r="314" spans="1:10" x14ac:dyDescent="0.25">
      <c r="A314" t="s">
        <v>226</v>
      </c>
      <c r="B314" t="s">
        <v>225</v>
      </c>
      <c r="C314">
        <v>2016</v>
      </c>
      <c r="D314">
        <v>1540</v>
      </c>
      <c r="E314">
        <v>373.4</v>
      </c>
      <c r="F314">
        <v>7.1</v>
      </c>
      <c r="G314">
        <v>7</v>
      </c>
      <c r="H314">
        <v>30.3</v>
      </c>
      <c r="I314">
        <f t="shared" si="8"/>
        <v>575036</v>
      </c>
      <c r="J314">
        <f t="shared" si="9"/>
        <v>46662</v>
      </c>
    </row>
    <row r="315" spans="1:10" x14ac:dyDescent="0.25">
      <c r="A315" t="s">
        <v>226</v>
      </c>
      <c r="B315" t="s">
        <v>225</v>
      </c>
      <c r="C315">
        <v>2017</v>
      </c>
      <c r="D315">
        <v>1587</v>
      </c>
      <c r="E315">
        <v>374.6</v>
      </c>
      <c r="F315">
        <v>7.2</v>
      </c>
      <c r="G315">
        <v>7</v>
      </c>
      <c r="H315">
        <v>30</v>
      </c>
      <c r="I315">
        <f t="shared" si="8"/>
        <v>594490.20000000007</v>
      </c>
      <c r="J315">
        <f t="shared" si="9"/>
        <v>47610</v>
      </c>
    </row>
    <row r="316" spans="1:10" x14ac:dyDescent="0.25">
      <c r="A316" t="s">
        <v>226</v>
      </c>
      <c r="B316" t="s">
        <v>225</v>
      </c>
      <c r="C316">
        <v>2018</v>
      </c>
      <c r="D316">
        <v>1633</v>
      </c>
      <c r="E316">
        <v>370.7</v>
      </c>
      <c r="F316">
        <v>6.8</v>
      </c>
      <c r="G316">
        <v>6.9</v>
      </c>
      <c r="H316">
        <v>29.5</v>
      </c>
      <c r="I316">
        <f t="shared" si="8"/>
        <v>605353.1</v>
      </c>
      <c r="J316">
        <f t="shared" si="9"/>
        <v>48173.5</v>
      </c>
    </row>
    <row r="317" spans="1:10" x14ac:dyDescent="0.25">
      <c r="A317" t="s">
        <v>226</v>
      </c>
      <c r="B317" t="s">
        <v>225</v>
      </c>
      <c r="C317">
        <v>2019</v>
      </c>
      <c r="D317">
        <v>1806</v>
      </c>
      <c r="E317">
        <v>368.8</v>
      </c>
      <c r="F317">
        <v>6.7</v>
      </c>
      <c r="G317">
        <v>6.7</v>
      </c>
      <c r="H317">
        <v>30.4</v>
      </c>
      <c r="I317">
        <f t="shared" si="8"/>
        <v>666052.80000000005</v>
      </c>
      <c r="J317">
        <f t="shared" si="9"/>
        <v>54902.399999999994</v>
      </c>
    </row>
    <row r="318" spans="1:10" x14ac:dyDescent="0.25">
      <c r="A318" t="s">
        <v>226</v>
      </c>
      <c r="B318" t="s">
        <v>225</v>
      </c>
      <c r="C318">
        <v>2020</v>
      </c>
      <c r="D318">
        <v>1771</v>
      </c>
      <c r="E318">
        <v>368.3</v>
      </c>
      <c r="F318">
        <v>6.7</v>
      </c>
      <c r="G318">
        <v>6.9</v>
      </c>
      <c r="H318">
        <v>30.6</v>
      </c>
      <c r="I318">
        <f t="shared" si="8"/>
        <v>652259.30000000005</v>
      </c>
      <c r="J318">
        <f t="shared" si="9"/>
        <v>54192.600000000006</v>
      </c>
    </row>
    <row r="319" spans="1:10" x14ac:dyDescent="0.25">
      <c r="A319" t="s">
        <v>226</v>
      </c>
      <c r="B319" t="s">
        <v>225</v>
      </c>
      <c r="C319">
        <v>2021</v>
      </c>
      <c r="D319">
        <v>1686</v>
      </c>
      <c r="E319">
        <v>374.7</v>
      </c>
      <c r="F319">
        <v>6.6</v>
      </c>
      <c r="G319">
        <v>7</v>
      </c>
      <c r="H319">
        <v>31.1</v>
      </c>
      <c r="I319">
        <f t="shared" si="8"/>
        <v>631744.19999999995</v>
      </c>
      <c r="J319">
        <f t="shared" si="9"/>
        <v>52434.600000000006</v>
      </c>
    </row>
    <row r="320" spans="1:10" x14ac:dyDescent="0.25">
      <c r="A320" t="s">
        <v>226</v>
      </c>
      <c r="B320" t="s">
        <v>228</v>
      </c>
      <c r="C320">
        <v>2016</v>
      </c>
      <c r="D320">
        <v>463</v>
      </c>
      <c r="E320">
        <v>414</v>
      </c>
      <c r="F320">
        <v>6</v>
      </c>
      <c r="G320">
        <v>8.1999999999999993</v>
      </c>
      <c r="H320">
        <v>29.9</v>
      </c>
      <c r="I320">
        <f t="shared" si="8"/>
        <v>191682</v>
      </c>
      <c r="J320">
        <f t="shared" si="9"/>
        <v>13843.699999999999</v>
      </c>
    </row>
    <row r="321" spans="1:10" x14ac:dyDescent="0.25">
      <c r="A321" t="s">
        <v>226</v>
      </c>
      <c r="B321" t="s">
        <v>228</v>
      </c>
      <c r="C321">
        <v>2017</v>
      </c>
      <c r="D321">
        <v>406</v>
      </c>
      <c r="E321">
        <v>410.4</v>
      </c>
      <c r="F321">
        <v>5.8</v>
      </c>
      <c r="G321">
        <v>8.1</v>
      </c>
      <c r="H321">
        <v>31.4</v>
      </c>
      <c r="I321">
        <f t="shared" si="8"/>
        <v>166622.39999999999</v>
      </c>
      <c r="J321">
        <f t="shared" si="9"/>
        <v>12748.4</v>
      </c>
    </row>
    <row r="322" spans="1:10" x14ac:dyDescent="0.25">
      <c r="A322" t="s">
        <v>226</v>
      </c>
      <c r="B322" t="s">
        <v>228</v>
      </c>
      <c r="C322">
        <v>2018</v>
      </c>
      <c r="D322">
        <v>429</v>
      </c>
      <c r="E322">
        <v>417.1</v>
      </c>
      <c r="F322">
        <v>5.3</v>
      </c>
      <c r="G322">
        <v>8.1</v>
      </c>
      <c r="H322">
        <v>29.7</v>
      </c>
      <c r="I322">
        <f t="shared" si="8"/>
        <v>178935.90000000002</v>
      </c>
      <c r="J322">
        <f t="shared" si="9"/>
        <v>12741.3</v>
      </c>
    </row>
    <row r="323" spans="1:10" x14ac:dyDescent="0.25">
      <c r="A323" t="s">
        <v>226</v>
      </c>
      <c r="B323" t="s">
        <v>228</v>
      </c>
      <c r="C323">
        <v>2019</v>
      </c>
      <c r="D323">
        <v>507</v>
      </c>
      <c r="E323">
        <v>416.6</v>
      </c>
      <c r="F323">
        <v>5.4</v>
      </c>
      <c r="G323">
        <v>8.3000000000000007</v>
      </c>
      <c r="H323">
        <v>30</v>
      </c>
      <c r="I323">
        <f t="shared" ref="I323:I386" si="10">D323*E323</f>
        <v>211216.2</v>
      </c>
      <c r="J323">
        <f t="shared" ref="J323:J386" si="11">D323*H323</f>
        <v>15210</v>
      </c>
    </row>
    <row r="324" spans="1:10" x14ac:dyDescent="0.25">
      <c r="A324" t="s">
        <v>226</v>
      </c>
      <c r="B324" t="s">
        <v>228</v>
      </c>
      <c r="C324">
        <v>2020</v>
      </c>
      <c r="D324">
        <v>452</v>
      </c>
      <c r="E324">
        <v>396.3</v>
      </c>
      <c r="F324">
        <v>5.2</v>
      </c>
      <c r="G324">
        <v>8</v>
      </c>
      <c r="H324">
        <v>31.7</v>
      </c>
      <c r="I324">
        <f t="shared" si="10"/>
        <v>179127.6</v>
      </c>
      <c r="J324">
        <f t="shared" si="11"/>
        <v>14328.4</v>
      </c>
    </row>
    <row r="325" spans="1:10" x14ac:dyDescent="0.25">
      <c r="A325" t="s">
        <v>226</v>
      </c>
      <c r="B325" t="s">
        <v>228</v>
      </c>
      <c r="C325">
        <v>2021</v>
      </c>
      <c r="D325">
        <v>402</v>
      </c>
      <c r="E325">
        <v>405.1</v>
      </c>
      <c r="F325">
        <v>5.4</v>
      </c>
      <c r="G325">
        <v>8.3000000000000007</v>
      </c>
      <c r="H325">
        <v>30.5</v>
      </c>
      <c r="I325">
        <f t="shared" si="10"/>
        <v>162850.20000000001</v>
      </c>
      <c r="J325">
        <f t="shared" si="11"/>
        <v>12261</v>
      </c>
    </row>
    <row r="326" spans="1:10" x14ac:dyDescent="0.25">
      <c r="A326" t="s">
        <v>226</v>
      </c>
      <c r="B326" t="s">
        <v>229</v>
      </c>
      <c r="C326">
        <v>2016</v>
      </c>
      <c r="D326">
        <v>284</v>
      </c>
      <c r="E326">
        <v>386.3</v>
      </c>
      <c r="F326">
        <v>7.2</v>
      </c>
      <c r="G326">
        <v>7.2</v>
      </c>
      <c r="H326">
        <v>30.4</v>
      </c>
      <c r="I326">
        <f t="shared" si="10"/>
        <v>109709.2</v>
      </c>
      <c r="J326">
        <f t="shared" si="11"/>
        <v>8633.6</v>
      </c>
    </row>
    <row r="327" spans="1:10" x14ac:dyDescent="0.25">
      <c r="A327" t="s">
        <v>226</v>
      </c>
      <c r="B327" t="s">
        <v>229</v>
      </c>
      <c r="C327">
        <v>2017</v>
      </c>
      <c r="D327">
        <v>273</v>
      </c>
      <c r="E327">
        <v>391.2</v>
      </c>
      <c r="F327">
        <v>7.4</v>
      </c>
      <c r="G327">
        <v>7.5</v>
      </c>
      <c r="H327">
        <v>29.2</v>
      </c>
      <c r="I327">
        <f t="shared" si="10"/>
        <v>106797.59999999999</v>
      </c>
      <c r="J327">
        <f t="shared" si="11"/>
        <v>7971.5999999999995</v>
      </c>
    </row>
    <row r="328" spans="1:10" x14ac:dyDescent="0.25">
      <c r="A328" t="s">
        <v>226</v>
      </c>
      <c r="B328" t="s">
        <v>229</v>
      </c>
      <c r="C328">
        <v>2018</v>
      </c>
      <c r="D328">
        <v>299</v>
      </c>
      <c r="E328">
        <v>391.2</v>
      </c>
      <c r="F328">
        <v>7.1</v>
      </c>
      <c r="G328">
        <v>7.3</v>
      </c>
      <c r="H328">
        <v>29</v>
      </c>
      <c r="I328">
        <f t="shared" si="10"/>
        <v>116968.8</v>
      </c>
      <c r="J328">
        <f t="shared" si="11"/>
        <v>8671</v>
      </c>
    </row>
    <row r="329" spans="1:10" x14ac:dyDescent="0.25">
      <c r="A329" t="s">
        <v>226</v>
      </c>
      <c r="B329" t="s">
        <v>229</v>
      </c>
      <c r="C329">
        <v>2019</v>
      </c>
      <c r="D329">
        <v>446</v>
      </c>
      <c r="E329">
        <v>383.4</v>
      </c>
      <c r="F329">
        <v>6.9</v>
      </c>
      <c r="G329">
        <v>7</v>
      </c>
      <c r="H329">
        <v>30</v>
      </c>
      <c r="I329">
        <f t="shared" si="10"/>
        <v>170996.4</v>
      </c>
      <c r="J329">
        <f t="shared" si="11"/>
        <v>13380</v>
      </c>
    </row>
    <row r="330" spans="1:10" x14ac:dyDescent="0.25">
      <c r="A330" t="s">
        <v>226</v>
      </c>
      <c r="B330" t="s">
        <v>229</v>
      </c>
      <c r="C330">
        <v>2020</v>
      </c>
      <c r="D330">
        <v>434</v>
      </c>
      <c r="E330">
        <v>376.9</v>
      </c>
      <c r="F330">
        <v>6.6</v>
      </c>
      <c r="G330">
        <v>7.1</v>
      </c>
      <c r="H330">
        <v>33</v>
      </c>
      <c r="I330">
        <f t="shared" si="10"/>
        <v>163574.59999999998</v>
      </c>
      <c r="J330">
        <f t="shared" si="11"/>
        <v>14322</v>
      </c>
    </row>
    <row r="331" spans="1:10" x14ac:dyDescent="0.25">
      <c r="A331" t="s">
        <v>226</v>
      </c>
      <c r="B331" t="s">
        <v>229</v>
      </c>
      <c r="C331">
        <v>2021</v>
      </c>
      <c r="D331">
        <v>372</v>
      </c>
      <c r="E331">
        <v>380</v>
      </c>
      <c r="F331">
        <v>6.7</v>
      </c>
      <c r="G331">
        <v>7.2</v>
      </c>
      <c r="H331">
        <v>33.1</v>
      </c>
      <c r="I331">
        <f t="shared" si="10"/>
        <v>141360</v>
      </c>
      <c r="J331">
        <f t="shared" si="11"/>
        <v>12313.2</v>
      </c>
    </row>
    <row r="332" spans="1:10" x14ac:dyDescent="0.25">
      <c r="A332" t="s">
        <v>226</v>
      </c>
      <c r="B332" t="s">
        <v>231</v>
      </c>
      <c r="C332">
        <v>2016</v>
      </c>
      <c r="D332">
        <v>100</v>
      </c>
      <c r="E332">
        <v>407.8</v>
      </c>
      <c r="F332">
        <v>6</v>
      </c>
      <c r="G332">
        <v>9.3000000000000007</v>
      </c>
      <c r="H332">
        <v>30.1</v>
      </c>
      <c r="I332">
        <f t="shared" si="10"/>
        <v>40780</v>
      </c>
      <c r="J332">
        <f t="shared" si="11"/>
        <v>3010</v>
      </c>
    </row>
    <row r="333" spans="1:10" x14ac:dyDescent="0.25">
      <c r="A333" t="s">
        <v>226</v>
      </c>
      <c r="B333" t="s">
        <v>231</v>
      </c>
      <c r="C333">
        <v>2017</v>
      </c>
      <c r="D333">
        <v>104</v>
      </c>
      <c r="E333">
        <v>409.1</v>
      </c>
      <c r="F333">
        <v>5.5</v>
      </c>
      <c r="G333">
        <v>9.4</v>
      </c>
      <c r="H333">
        <v>29.1</v>
      </c>
      <c r="I333">
        <f t="shared" si="10"/>
        <v>42546.400000000001</v>
      </c>
      <c r="J333">
        <f t="shared" si="11"/>
        <v>3026.4</v>
      </c>
    </row>
    <row r="334" spans="1:10" x14ac:dyDescent="0.25">
      <c r="A334" t="s">
        <v>226</v>
      </c>
      <c r="B334" t="s">
        <v>231</v>
      </c>
      <c r="C334">
        <v>2018</v>
      </c>
      <c r="D334">
        <v>161</v>
      </c>
      <c r="E334">
        <v>415.9</v>
      </c>
      <c r="F334">
        <v>5.0999999999999996</v>
      </c>
      <c r="G334">
        <v>9.1999999999999993</v>
      </c>
      <c r="H334">
        <v>30.9</v>
      </c>
      <c r="I334">
        <f t="shared" si="10"/>
        <v>66959.899999999994</v>
      </c>
      <c r="J334">
        <f t="shared" si="11"/>
        <v>4974.8999999999996</v>
      </c>
    </row>
    <row r="335" spans="1:10" x14ac:dyDescent="0.25">
      <c r="A335" t="s">
        <v>226</v>
      </c>
      <c r="B335" t="s">
        <v>231</v>
      </c>
      <c r="C335">
        <v>2019</v>
      </c>
      <c r="D335">
        <v>193</v>
      </c>
      <c r="E335">
        <v>407.1</v>
      </c>
      <c r="F335">
        <v>5.4</v>
      </c>
      <c r="G335">
        <v>8.8000000000000007</v>
      </c>
      <c r="H335">
        <v>31.5</v>
      </c>
      <c r="I335">
        <f t="shared" si="10"/>
        <v>78570.3</v>
      </c>
      <c r="J335">
        <f t="shared" si="11"/>
        <v>6079.5</v>
      </c>
    </row>
    <row r="336" spans="1:10" x14ac:dyDescent="0.25">
      <c r="A336" t="s">
        <v>226</v>
      </c>
      <c r="B336" t="s">
        <v>231</v>
      </c>
      <c r="C336">
        <v>2020</v>
      </c>
      <c r="D336">
        <v>151</v>
      </c>
      <c r="E336">
        <v>401.7</v>
      </c>
      <c r="F336">
        <v>5.0999999999999996</v>
      </c>
      <c r="G336">
        <v>9</v>
      </c>
      <c r="H336">
        <v>36.799999999999997</v>
      </c>
      <c r="I336">
        <f t="shared" si="10"/>
        <v>60656.7</v>
      </c>
      <c r="J336">
        <f t="shared" si="11"/>
        <v>5556.7999999999993</v>
      </c>
    </row>
    <row r="337" spans="1:10" x14ac:dyDescent="0.25">
      <c r="A337" t="s">
        <v>226</v>
      </c>
      <c r="B337" t="s">
        <v>231</v>
      </c>
      <c r="C337">
        <v>2021</v>
      </c>
      <c r="D337">
        <v>154</v>
      </c>
      <c r="E337">
        <v>405.2</v>
      </c>
      <c r="F337">
        <v>5.2</v>
      </c>
      <c r="G337">
        <v>9.1999999999999993</v>
      </c>
      <c r="H337">
        <v>30.6</v>
      </c>
      <c r="I337">
        <f t="shared" si="10"/>
        <v>62400.799999999996</v>
      </c>
      <c r="J337">
        <f t="shared" si="11"/>
        <v>4712.4000000000005</v>
      </c>
    </row>
    <row r="338" spans="1:10" x14ac:dyDescent="0.25">
      <c r="A338" t="s">
        <v>226</v>
      </c>
      <c r="B338" t="s">
        <v>232</v>
      </c>
      <c r="C338">
        <v>2016</v>
      </c>
      <c r="D338">
        <v>414</v>
      </c>
      <c r="E338">
        <v>417</v>
      </c>
      <c r="F338">
        <v>5.8</v>
      </c>
      <c r="G338">
        <v>7.9</v>
      </c>
      <c r="H338">
        <v>30</v>
      </c>
      <c r="I338">
        <f t="shared" si="10"/>
        <v>172638</v>
      </c>
      <c r="J338">
        <f t="shared" si="11"/>
        <v>12420</v>
      </c>
    </row>
    <row r="339" spans="1:10" x14ac:dyDescent="0.25">
      <c r="A339" t="s">
        <v>226</v>
      </c>
      <c r="B339" t="s">
        <v>232</v>
      </c>
      <c r="C339">
        <v>2017</v>
      </c>
      <c r="D339">
        <v>424</v>
      </c>
      <c r="E339">
        <v>411.4</v>
      </c>
      <c r="F339">
        <v>5.8</v>
      </c>
      <c r="G339">
        <v>7.9</v>
      </c>
      <c r="H339">
        <v>29.9</v>
      </c>
      <c r="I339">
        <f t="shared" si="10"/>
        <v>174433.59999999998</v>
      </c>
      <c r="J339">
        <f t="shared" si="11"/>
        <v>12677.599999999999</v>
      </c>
    </row>
    <row r="340" spans="1:10" x14ac:dyDescent="0.25">
      <c r="A340" t="s">
        <v>226</v>
      </c>
      <c r="B340" t="s">
        <v>232</v>
      </c>
      <c r="C340">
        <v>2018</v>
      </c>
      <c r="D340">
        <v>489</v>
      </c>
      <c r="E340">
        <v>404.6</v>
      </c>
      <c r="F340">
        <v>5.3</v>
      </c>
      <c r="G340">
        <v>7.6</v>
      </c>
      <c r="H340">
        <v>30.1</v>
      </c>
      <c r="I340">
        <f t="shared" si="10"/>
        <v>197849.40000000002</v>
      </c>
      <c r="J340">
        <f t="shared" si="11"/>
        <v>14718.900000000001</v>
      </c>
    </row>
    <row r="341" spans="1:10" x14ac:dyDescent="0.25">
      <c r="A341" t="s">
        <v>226</v>
      </c>
      <c r="B341" t="s">
        <v>232</v>
      </c>
      <c r="C341">
        <v>2019</v>
      </c>
      <c r="D341">
        <v>631</v>
      </c>
      <c r="E341">
        <v>390.9</v>
      </c>
      <c r="F341">
        <v>5.0999999999999996</v>
      </c>
      <c r="G341">
        <v>7.5</v>
      </c>
      <c r="H341">
        <v>31.1</v>
      </c>
      <c r="I341">
        <f t="shared" si="10"/>
        <v>246657.9</v>
      </c>
      <c r="J341">
        <f t="shared" si="11"/>
        <v>19624.100000000002</v>
      </c>
    </row>
    <row r="342" spans="1:10" x14ac:dyDescent="0.25">
      <c r="A342" t="s">
        <v>226</v>
      </c>
      <c r="B342" t="s">
        <v>232</v>
      </c>
      <c r="C342">
        <v>2020</v>
      </c>
      <c r="D342">
        <v>592</v>
      </c>
      <c r="E342">
        <v>386.3</v>
      </c>
      <c r="F342">
        <v>5.3</v>
      </c>
      <c r="G342">
        <v>7.7</v>
      </c>
      <c r="H342">
        <v>31.9</v>
      </c>
      <c r="I342">
        <f t="shared" si="10"/>
        <v>228689.6</v>
      </c>
      <c r="J342">
        <f t="shared" si="11"/>
        <v>18884.8</v>
      </c>
    </row>
    <row r="343" spans="1:10" x14ac:dyDescent="0.25">
      <c r="A343" t="s">
        <v>226</v>
      </c>
      <c r="B343" t="s">
        <v>232</v>
      </c>
      <c r="C343">
        <v>2021</v>
      </c>
      <c r="D343">
        <v>511</v>
      </c>
      <c r="E343">
        <v>408.2</v>
      </c>
      <c r="F343">
        <v>5.4</v>
      </c>
      <c r="G343">
        <v>7.9</v>
      </c>
      <c r="H343">
        <v>31.5</v>
      </c>
      <c r="I343">
        <f t="shared" si="10"/>
        <v>208590.19999999998</v>
      </c>
      <c r="J343">
        <f t="shared" si="11"/>
        <v>16096.5</v>
      </c>
    </row>
    <row r="344" spans="1:10" x14ac:dyDescent="0.25">
      <c r="A344" t="s">
        <v>226</v>
      </c>
      <c r="B344" t="s">
        <v>234</v>
      </c>
      <c r="C344">
        <v>2016</v>
      </c>
      <c r="D344">
        <v>251</v>
      </c>
      <c r="E344">
        <v>244.4</v>
      </c>
      <c r="F344">
        <v>5.4</v>
      </c>
      <c r="G344">
        <v>5.0999999999999996</v>
      </c>
      <c r="H344">
        <v>35.4</v>
      </c>
      <c r="I344">
        <f t="shared" si="10"/>
        <v>61344.4</v>
      </c>
      <c r="J344">
        <f t="shared" si="11"/>
        <v>8885.4</v>
      </c>
    </row>
    <row r="345" spans="1:10" x14ac:dyDescent="0.25">
      <c r="A345" t="s">
        <v>226</v>
      </c>
      <c r="B345" t="s">
        <v>234</v>
      </c>
      <c r="C345">
        <v>2017</v>
      </c>
      <c r="D345">
        <v>207</v>
      </c>
      <c r="E345">
        <v>235</v>
      </c>
      <c r="F345">
        <v>5.2</v>
      </c>
      <c r="G345">
        <v>5.0999999999999996</v>
      </c>
      <c r="H345">
        <v>32.5</v>
      </c>
      <c r="I345">
        <f t="shared" si="10"/>
        <v>48645</v>
      </c>
      <c r="J345">
        <f t="shared" si="11"/>
        <v>6727.5</v>
      </c>
    </row>
    <row r="346" spans="1:10" x14ac:dyDescent="0.25">
      <c r="A346" t="s">
        <v>226</v>
      </c>
      <c r="B346" t="s">
        <v>234</v>
      </c>
      <c r="C346">
        <v>2018</v>
      </c>
      <c r="D346">
        <v>154</v>
      </c>
      <c r="E346">
        <v>234.3</v>
      </c>
      <c r="F346">
        <v>4.7</v>
      </c>
      <c r="G346">
        <v>5.4</v>
      </c>
      <c r="H346">
        <v>34.4</v>
      </c>
      <c r="I346">
        <f t="shared" si="10"/>
        <v>36082.200000000004</v>
      </c>
      <c r="J346">
        <f t="shared" si="11"/>
        <v>5297.5999999999995</v>
      </c>
    </row>
    <row r="347" spans="1:10" x14ac:dyDescent="0.25">
      <c r="A347" t="s">
        <v>226</v>
      </c>
      <c r="B347" t="s">
        <v>234</v>
      </c>
      <c r="C347">
        <v>2019</v>
      </c>
      <c r="D347">
        <v>106</v>
      </c>
      <c r="E347">
        <v>257.5</v>
      </c>
      <c r="F347">
        <v>4.5999999999999996</v>
      </c>
      <c r="G347">
        <v>5.7</v>
      </c>
      <c r="H347">
        <v>35.4</v>
      </c>
      <c r="I347">
        <f t="shared" si="10"/>
        <v>27295</v>
      </c>
      <c r="J347">
        <f t="shared" si="11"/>
        <v>3752.3999999999996</v>
      </c>
    </row>
    <row r="348" spans="1:10" x14ac:dyDescent="0.25">
      <c r="A348" t="s">
        <v>226</v>
      </c>
      <c r="B348" t="s">
        <v>234</v>
      </c>
      <c r="C348">
        <v>2020</v>
      </c>
      <c r="D348">
        <v>98</v>
      </c>
      <c r="E348">
        <v>235.6</v>
      </c>
      <c r="F348">
        <v>4.7</v>
      </c>
      <c r="G348">
        <v>4.9000000000000004</v>
      </c>
      <c r="H348">
        <v>37.9</v>
      </c>
      <c r="I348">
        <f t="shared" si="10"/>
        <v>23088.799999999999</v>
      </c>
      <c r="J348">
        <f t="shared" si="11"/>
        <v>3714.2</v>
      </c>
    </row>
    <row r="349" spans="1:10" x14ac:dyDescent="0.25">
      <c r="A349" t="s">
        <v>226</v>
      </c>
      <c r="B349" t="s">
        <v>234</v>
      </c>
      <c r="C349">
        <v>2021</v>
      </c>
      <c r="D349">
        <v>76</v>
      </c>
      <c r="E349">
        <v>268.5</v>
      </c>
      <c r="F349">
        <v>5</v>
      </c>
      <c r="G349">
        <v>5.5</v>
      </c>
      <c r="H349">
        <v>34.799999999999997</v>
      </c>
      <c r="I349">
        <f t="shared" si="10"/>
        <v>20406</v>
      </c>
      <c r="J349">
        <f t="shared" si="11"/>
        <v>2644.7999999999997</v>
      </c>
    </row>
    <row r="350" spans="1:10" x14ac:dyDescent="0.25">
      <c r="A350" t="s">
        <v>226</v>
      </c>
      <c r="B350" t="s">
        <v>235</v>
      </c>
      <c r="C350">
        <v>2016</v>
      </c>
      <c r="D350">
        <v>26</v>
      </c>
      <c r="E350">
        <v>441.5</v>
      </c>
      <c r="F350">
        <v>4.2</v>
      </c>
      <c r="G350">
        <v>10.199999999999999</v>
      </c>
      <c r="H350">
        <v>32.700000000000003</v>
      </c>
      <c r="I350">
        <f t="shared" si="10"/>
        <v>11479</v>
      </c>
      <c r="J350">
        <f t="shared" si="11"/>
        <v>850.2</v>
      </c>
    </row>
    <row r="351" spans="1:10" x14ac:dyDescent="0.25">
      <c r="A351" t="s">
        <v>226</v>
      </c>
      <c r="B351" t="s">
        <v>235</v>
      </c>
      <c r="C351">
        <v>2017</v>
      </c>
      <c r="D351">
        <v>40</v>
      </c>
      <c r="E351">
        <v>365.1</v>
      </c>
      <c r="F351">
        <v>4.9000000000000004</v>
      </c>
      <c r="G351">
        <v>9.6</v>
      </c>
      <c r="H351">
        <v>22.6</v>
      </c>
      <c r="I351">
        <f t="shared" si="10"/>
        <v>14604</v>
      </c>
      <c r="J351">
        <f t="shared" si="11"/>
        <v>904</v>
      </c>
    </row>
    <row r="352" spans="1:10" x14ac:dyDescent="0.25">
      <c r="A352" t="s">
        <v>226</v>
      </c>
      <c r="B352" t="s">
        <v>235</v>
      </c>
      <c r="C352">
        <v>2018</v>
      </c>
      <c r="D352">
        <v>29</v>
      </c>
      <c r="E352">
        <v>456.2</v>
      </c>
      <c r="F352">
        <v>5</v>
      </c>
      <c r="G352">
        <v>10</v>
      </c>
      <c r="H352">
        <v>40.6</v>
      </c>
      <c r="I352">
        <f t="shared" si="10"/>
        <v>13229.8</v>
      </c>
      <c r="J352">
        <f t="shared" si="11"/>
        <v>1177.4000000000001</v>
      </c>
    </row>
    <row r="353" spans="1:10" x14ac:dyDescent="0.25">
      <c r="A353" t="s">
        <v>226</v>
      </c>
      <c r="B353" t="s">
        <v>235</v>
      </c>
      <c r="C353">
        <v>2019</v>
      </c>
      <c r="D353">
        <v>16</v>
      </c>
      <c r="E353">
        <v>453.4</v>
      </c>
      <c r="F353">
        <v>4.3</v>
      </c>
      <c r="G353">
        <v>9.6</v>
      </c>
      <c r="H353">
        <v>36.9</v>
      </c>
      <c r="I353">
        <f t="shared" si="10"/>
        <v>7254.4</v>
      </c>
      <c r="J353">
        <f t="shared" si="11"/>
        <v>590.4</v>
      </c>
    </row>
    <row r="354" spans="1:10" x14ac:dyDescent="0.25">
      <c r="A354" t="s">
        <v>226</v>
      </c>
      <c r="B354" t="s">
        <v>235</v>
      </c>
      <c r="C354">
        <v>2020</v>
      </c>
      <c r="D354">
        <v>26</v>
      </c>
      <c r="E354">
        <v>445.2</v>
      </c>
      <c r="F354">
        <v>4.3</v>
      </c>
      <c r="G354">
        <v>10.4</v>
      </c>
      <c r="H354">
        <v>30.4</v>
      </c>
      <c r="I354">
        <f t="shared" si="10"/>
        <v>11575.199999999999</v>
      </c>
      <c r="J354">
        <f t="shared" si="11"/>
        <v>790.4</v>
      </c>
    </row>
    <row r="355" spans="1:10" x14ac:dyDescent="0.25">
      <c r="A355" t="s">
        <v>226</v>
      </c>
      <c r="B355" t="s">
        <v>235</v>
      </c>
      <c r="C355">
        <v>2021</v>
      </c>
      <c r="D355">
        <v>15</v>
      </c>
      <c r="E355">
        <v>467.9</v>
      </c>
      <c r="F355">
        <v>4.4000000000000004</v>
      </c>
      <c r="G355">
        <v>9.3000000000000007</v>
      </c>
      <c r="H355">
        <v>28.6</v>
      </c>
      <c r="I355">
        <f t="shared" si="10"/>
        <v>7018.5</v>
      </c>
      <c r="J355">
        <f t="shared" si="11"/>
        <v>429</v>
      </c>
    </row>
    <row r="356" spans="1:10" x14ac:dyDescent="0.25">
      <c r="A356" t="s">
        <v>226</v>
      </c>
      <c r="B356" t="s">
        <v>236</v>
      </c>
      <c r="C356">
        <v>2016</v>
      </c>
      <c r="D356">
        <v>5075</v>
      </c>
      <c r="E356">
        <v>365.4</v>
      </c>
      <c r="F356">
        <v>6.4</v>
      </c>
      <c r="G356">
        <v>6.8</v>
      </c>
      <c r="H356">
        <v>28.9</v>
      </c>
      <c r="I356">
        <f t="shared" si="10"/>
        <v>1854405</v>
      </c>
      <c r="J356">
        <f t="shared" si="11"/>
        <v>146667.5</v>
      </c>
    </row>
    <row r="357" spans="1:10" x14ac:dyDescent="0.25">
      <c r="A357" t="s">
        <v>226</v>
      </c>
      <c r="B357" t="s">
        <v>236</v>
      </c>
      <c r="C357">
        <v>2017</v>
      </c>
      <c r="D357">
        <v>5279</v>
      </c>
      <c r="E357">
        <v>370.3</v>
      </c>
      <c r="F357">
        <v>6.3</v>
      </c>
      <c r="G357">
        <v>6.9</v>
      </c>
      <c r="H357">
        <v>29</v>
      </c>
      <c r="I357">
        <f t="shared" si="10"/>
        <v>1954813.7</v>
      </c>
      <c r="J357">
        <f t="shared" si="11"/>
        <v>153091</v>
      </c>
    </row>
    <row r="358" spans="1:10" x14ac:dyDescent="0.25">
      <c r="A358" t="s">
        <v>226</v>
      </c>
      <c r="B358" t="s">
        <v>236</v>
      </c>
      <c r="C358">
        <v>2018</v>
      </c>
      <c r="D358">
        <v>5478</v>
      </c>
      <c r="E358">
        <v>366</v>
      </c>
      <c r="F358">
        <v>6</v>
      </c>
      <c r="G358">
        <v>6.8</v>
      </c>
      <c r="H358">
        <v>29.1</v>
      </c>
      <c r="I358">
        <f t="shared" si="10"/>
        <v>2004948</v>
      </c>
      <c r="J358">
        <f t="shared" si="11"/>
        <v>159409.80000000002</v>
      </c>
    </row>
    <row r="359" spans="1:10" x14ac:dyDescent="0.25">
      <c r="A359" t="s">
        <v>226</v>
      </c>
      <c r="B359" t="s">
        <v>236</v>
      </c>
      <c r="C359">
        <v>2019</v>
      </c>
      <c r="D359">
        <v>6424</v>
      </c>
      <c r="E359">
        <v>361.6</v>
      </c>
      <c r="F359">
        <v>5.8</v>
      </c>
      <c r="G359">
        <v>6.7</v>
      </c>
      <c r="H359">
        <v>29.6</v>
      </c>
      <c r="I359">
        <f t="shared" si="10"/>
        <v>2322918.4000000004</v>
      </c>
      <c r="J359">
        <f t="shared" si="11"/>
        <v>190150.40000000002</v>
      </c>
    </row>
    <row r="360" spans="1:10" x14ac:dyDescent="0.25">
      <c r="A360" t="s">
        <v>226</v>
      </c>
      <c r="B360" t="s">
        <v>236</v>
      </c>
      <c r="C360">
        <v>2020</v>
      </c>
      <c r="D360">
        <v>6649</v>
      </c>
      <c r="E360">
        <v>360.4</v>
      </c>
      <c r="F360">
        <v>5.8</v>
      </c>
      <c r="G360">
        <v>6.8</v>
      </c>
      <c r="H360">
        <v>30.2</v>
      </c>
      <c r="I360">
        <f t="shared" si="10"/>
        <v>2396299.5999999996</v>
      </c>
      <c r="J360">
        <f t="shared" si="11"/>
        <v>200799.8</v>
      </c>
    </row>
    <row r="361" spans="1:10" x14ac:dyDescent="0.25">
      <c r="A361" t="s">
        <v>226</v>
      </c>
      <c r="B361" t="s">
        <v>236</v>
      </c>
      <c r="C361">
        <v>2021</v>
      </c>
      <c r="D361">
        <v>6017</v>
      </c>
      <c r="E361">
        <v>367.3</v>
      </c>
      <c r="F361">
        <v>5.9</v>
      </c>
      <c r="G361">
        <v>7</v>
      </c>
      <c r="H361">
        <v>30.9</v>
      </c>
      <c r="I361">
        <f t="shared" si="10"/>
        <v>2210044.1</v>
      </c>
      <c r="J361">
        <f t="shared" si="11"/>
        <v>185925.3</v>
      </c>
    </row>
    <row r="362" spans="1:10" x14ac:dyDescent="0.25">
      <c r="A362" t="s">
        <v>128</v>
      </c>
      <c r="B362" t="s">
        <v>212</v>
      </c>
      <c r="C362">
        <v>2016</v>
      </c>
      <c r="D362">
        <v>3715</v>
      </c>
      <c r="E362">
        <v>167.6</v>
      </c>
      <c r="F362">
        <v>5.7</v>
      </c>
      <c r="G362">
        <v>5.0999999999999996</v>
      </c>
      <c r="H362">
        <v>10.6</v>
      </c>
      <c r="I362">
        <f t="shared" si="10"/>
        <v>622634</v>
      </c>
      <c r="J362">
        <f t="shared" si="11"/>
        <v>39379</v>
      </c>
    </row>
    <row r="363" spans="1:10" x14ac:dyDescent="0.25">
      <c r="A363" t="s">
        <v>128</v>
      </c>
      <c r="B363" t="s">
        <v>212</v>
      </c>
      <c r="C363">
        <v>2017</v>
      </c>
      <c r="D363">
        <v>2935</v>
      </c>
      <c r="E363">
        <v>170.7</v>
      </c>
      <c r="F363">
        <v>5.7</v>
      </c>
      <c r="G363">
        <v>5.0999999999999996</v>
      </c>
      <c r="H363">
        <v>9.6</v>
      </c>
      <c r="I363">
        <f t="shared" si="10"/>
        <v>501004.49999999994</v>
      </c>
      <c r="J363">
        <f t="shared" si="11"/>
        <v>28176</v>
      </c>
    </row>
    <row r="364" spans="1:10" x14ac:dyDescent="0.25">
      <c r="A364" t="s">
        <v>128</v>
      </c>
      <c r="B364" t="s">
        <v>212</v>
      </c>
      <c r="C364">
        <v>2018</v>
      </c>
      <c r="D364">
        <v>2645</v>
      </c>
      <c r="E364">
        <v>170.1</v>
      </c>
      <c r="F364">
        <v>5.5</v>
      </c>
      <c r="G364">
        <v>5.0999999999999996</v>
      </c>
      <c r="H364">
        <v>10.3</v>
      </c>
      <c r="I364">
        <f t="shared" si="10"/>
        <v>449914.5</v>
      </c>
      <c r="J364">
        <f t="shared" si="11"/>
        <v>27243.500000000004</v>
      </c>
    </row>
    <row r="365" spans="1:10" x14ac:dyDescent="0.25">
      <c r="A365" t="s">
        <v>128</v>
      </c>
      <c r="B365" t="s">
        <v>212</v>
      </c>
      <c r="C365">
        <v>2019</v>
      </c>
      <c r="D365">
        <v>2526</v>
      </c>
      <c r="E365">
        <v>169.6</v>
      </c>
      <c r="F365">
        <v>5.5</v>
      </c>
      <c r="G365">
        <v>4.9000000000000004</v>
      </c>
      <c r="H365">
        <v>11.2</v>
      </c>
      <c r="I365">
        <f t="shared" si="10"/>
        <v>428409.59999999998</v>
      </c>
      <c r="J365">
        <f t="shared" si="11"/>
        <v>28291.199999999997</v>
      </c>
    </row>
    <row r="366" spans="1:10" x14ac:dyDescent="0.25">
      <c r="A366" t="s">
        <v>128</v>
      </c>
      <c r="B366" t="s">
        <v>212</v>
      </c>
      <c r="C366">
        <v>2020</v>
      </c>
      <c r="D366">
        <v>2237</v>
      </c>
      <c r="E366">
        <v>168.3</v>
      </c>
      <c r="F366">
        <v>5.6</v>
      </c>
      <c r="G366">
        <v>4.9000000000000004</v>
      </c>
      <c r="H366">
        <v>11.1</v>
      </c>
      <c r="I366">
        <f t="shared" si="10"/>
        <v>376487.10000000003</v>
      </c>
      <c r="J366">
        <f t="shared" si="11"/>
        <v>24830.7</v>
      </c>
    </row>
    <row r="367" spans="1:10" x14ac:dyDescent="0.25">
      <c r="A367" t="s">
        <v>128</v>
      </c>
      <c r="B367" t="s">
        <v>212</v>
      </c>
      <c r="C367">
        <v>2021</v>
      </c>
      <c r="D367">
        <v>2281</v>
      </c>
      <c r="E367">
        <v>172</v>
      </c>
      <c r="F367">
        <v>5.5</v>
      </c>
      <c r="G367">
        <v>5.0999999999999996</v>
      </c>
      <c r="H367">
        <v>12.4</v>
      </c>
      <c r="I367">
        <f t="shared" si="10"/>
        <v>392332</v>
      </c>
      <c r="J367">
        <f t="shared" si="11"/>
        <v>28284.400000000001</v>
      </c>
    </row>
    <row r="368" spans="1:10" x14ac:dyDescent="0.25">
      <c r="A368" t="s">
        <v>128</v>
      </c>
      <c r="B368" t="s">
        <v>220</v>
      </c>
      <c r="C368">
        <v>2016</v>
      </c>
      <c r="D368">
        <v>8472</v>
      </c>
      <c r="E368">
        <v>169.2</v>
      </c>
      <c r="F368">
        <v>5.0999999999999996</v>
      </c>
      <c r="G368">
        <v>4.5</v>
      </c>
      <c r="H368">
        <v>9.5</v>
      </c>
      <c r="I368">
        <f t="shared" si="10"/>
        <v>1433462.4</v>
      </c>
      <c r="J368">
        <f t="shared" si="11"/>
        <v>80484</v>
      </c>
    </row>
    <row r="369" spans="1:10" x14ac:dyDescent="0.25">
      <c r="A369" t="s">
        <v>128</v>
      </c>
      <c r="B369" t="s">
        <v>220</v>
      </c>
      <c r="C369">
        <v>2017</v>
      </c>
      <c r="D369">
        <v>7393</v>
      </c>
      <c r="E369">
        <v>171.7</v>
      </c>
      <c r="F369">
        <v>5.0999999999999996</v>
      </c>
      <c r="G369">
        <v>4.4000000000000004</v>
      </c>
      <c r="H369">
        <v>9.9</v>
      </c>
      <c r="I369">
        <f t="shared" si="10"/>
        <v>1269378.0999999999</v>
      </c>
      <c r="J369">
        <f t="shared" si="11"/>
        <v>73190.7</v>
      </c>
    </row>
    <row r="370" spans="1:10" x14ac:dyDescent="0.25">
      <c r="A370" t="s">
        <v>128</v>
      </c>
      <c r="B370" t="s">
        <v>220</v>
      </c>
      <c r="C370">
        <v>2018</v>
      </c>
      <c r="D370">
        <v>7577</v>
      </c>
      <c r="E370">
        <v>169.8</v>
      </c>
      <c r="F370">
        <v>5.0999999999999996</v>
      </c>
      <c r="G370">
        <v>4.4000000000000004</v>
      </c>
      <c r="H370">
        <v>12</v>
      </c>
      <c r="I370">
        <f t="shared" si="10"/>
        <v>1286574.6000000001</v>
      </c>
      <c r="J370">
        <f t="shared" si="11"/>
        <v>90924</v>
      </c>
    </row>
    <row r="371" spans="1:10" x14ac:dyDescent="0.25">
      <c r="A371" t="s">
        <v>128</v>
      </c>
      <c r="B371" t="s">
        <v>220</v>
      </c>
      <c r="C371">
        <v>2019</v>
      </c>
      <c r="D371">
        <v>7329</v>
      </c>
      <c r="E371">
        <v>169.1</v>
      </c>
      <c r="F371">
        <v>5</v>
      </c>
      <c r="G371">
        <v>4.4000000000000004</v>
      </c>
      <c r="H371">
        <v>12.5</v>
      </c>
      <c r="I371">
        <f t="shared" si="10"/>
        <v>1239333.8999999999</v>
      </c>
      <c r="J371">
        <f t="shared" si="11"/>
        <v>91612.5</v>
      </c>
    </row>
    <row r="372" spans="1:10" x14ac:dyDescent="0.25">
      <c r="A372" t="s">
        <v>128</v>
      </c>
      <c r="B372" t="s">
        <v>220</v>
      </c>
      <c r="C372">
        <v>2020</v>
      </c>
      <c r="D372">
        <v>7258</v>
      </c>
      <c r="E372">
        <v>168.4</v>
      </c>
      <c r="F372">
        <v>5.0999999999999996</v>
      </c>
      <c r="G372">
        <v>4.4000000000000004</v>
      </c>
      <c r="H372">
        <v>11.5</v>
      </c>
      <c r="I372">
        <f t="shared" si="10"/>
        <v>1222247.2</v>
      </c>
      <c r="J372">
        <f t="shared" si="11"/>
        <v>83467</v>
      </c>
    </row>
    <row r="373" spans="1:10" x14ac:dyDescent="0.25">
      <c r="A373" t="s">
        <v>128</v>
      </c>
      <c r="B373" t="s">
        <v>220</v>
      </c>
      <c r="C373">
        <v>2021</v>
      </c>
      <c r="D373">
        <v>5700</v>
      </c>
      <c r="E373">
        <v>170.5</v>
      </c>
      <c r="F373">
        <v>5.0999999999999996</v>
      </c>
      <c r="G373">
        <v>4.4000000000000004</v>
      </c>
      <c r="H373">
        <v>13.7</v>
      </c>
      <c r="I373">
        <f t="shared" si="10"/>
        <v>971850</v>
      </c>
      <c r="J373">
        <f t="shared" si="11"/>
        <v>78090</v>
      </c>
    </row>
    <row r="374" spans="1:10" x14ac:dyDescent="0.25">
      <c r="A374" t="s">
        <v>128</v>
      </c>
      <c r="B374" t="s">
        <v>225</v>
      </c>
      <c r="C374">
        <v>2016</v>
      </c>
      <c r="D374">
        <v>253</v>
      </c>
      <c r="E374">
        <v>152</v>
      </c>
      <c r="F374">
        <v>5.9</v>
      </c>
      <c r="G374">
        <v>5.6</v>
      </c>
      <c r="H374">
        <v>10.6</v>
      </c>
      <c r="I374">
        <f t="shared" si="10"/>
        <v>38456</v>
      </c>
      <c r="J374">
        <f t="shared" si="11"/>
        <v>2681.7999999999997</v>
      </c>
    </row>
    <row r="375" spans="1:10" x14ac:dyDescent="0.25">
      <c r="A375" t="s">
        <v>128</v>
      </c>
      <c r="B375" t="s">
        <v>225</v>
      </c>
      <c r="C375">
        <v>2017</v>
      </c>
      <c r="D375">
        <v>269</v>
      </c>
      <c r="E375">
        <v>155.80000000000001</v>
      </c>
      <c r="F375">
        <v>6.6</v>
      </c>
      <c r="G375">
        <v>5.6</v>
      </c>
      <c r="H375">
        <v>10.3</v>
      </c>
      <c r="I375">
        <f t="shared" si="10"/>
        <v>41910.200000000004</v>
      </c>
      <c r="J375">
        <f t="shared" si="11"/>
        <v>2770.7000000000003</v>
      </c>
    </row>
    <row r="376" spans="1:10" x14ac:dyDescent="0.25">
      <c r="A376" t="s">
        <v>128</v>
      </c>
      <c r="B376" t="s">
        <v>225</v>
      </c>
      <c r="C376">
        <v>2018</v>
      </c>
      <c r="D376">
        <v>408</v>
      </c>
      <c r="E376">
        <v>156</v>
      </c>
      <c r="F376">
        <v>6.4</v>
      </c>
      <c r="G376">
        <v>5.7</v>
      </c>
      <c r="H376">
        <v>11.8</v>
      </c>
      <c r="I376">
        <f t="shared" si="10"/>
        <v>63648</v>
      </c>
      <c r="J376">
        <f t="shared" si="11"/>
        <v>4814.4000000000005</v>
      </c>
    </row>
    <row r="377" spans="1:10" x14ac:dyDescent="0.25">
      <c r="A377" t="s">
        <v>128</v>
      </c>
      <c r="B377" t="s">
        <v>225</v>
      </c>
      <c r="C377">
        <v>2019</v>
      </c>
      <c r="D377">
        <v>411</v>
      </c>
      <c r="E377">
        <v>158.80000000000001</v>
      </c>
      <c r="F377">
        <v>6.2</v>
      </c>
      <c r="G377">
        <v>5.4</v>
      </c>
      <c r="H377">
        <v>9.5</v>
      </c>
      <c r="I377">
        <f t="shared" si="10"/>
        <v>65266.8</v>
      </c>
      <c r="J377">
        <f t="shared" si="11"/>
        <v>3904.5</v>
      </c>
    </row>
    <row r="378" spans="1:10" x14ac:dyDescent="0.25">
      <c r="A378" t="s">
        <v>128</v>
      </c>
      <c r="B378" t="s">
        <v>225</v>
      </c>
      <c r="C378">
        <v>2020</v>
      </c>
      <c r="D378">
        <v>320</v>
      </c>
      <c r="E378">
        <v>156.1</v>
      </c>
      <c r="F378">
        <v>5.9</v>
      </c>
      <c r="G378">
        <v>5.5</v>
      </c>
      <c r="H378">
        <v>12.2</v>
      </c>
      <c r="I378">
        <f t="shared" si="10"/>
        <v>49952</v>
      </c>
      <c r="J378">
        <f t="shared" si="11"/>
        <v>3904</v>
      </c>
    </row>
    <row r="379" spans="1:10" x14ac:dyDescent="0.25">
      <c r="A379" t="s">
        <v>128</v>
      </c>
      <c r="B379" t="s">
        <v>225</v>
      </c>
      <c r="C379">
        <v>2021</v>
      </c>
      <c r="D379">
        <v>290</v>
      </c>
      <c r="E379">
        <v>155.5</v>
      </c>
      <c r="F379">
        <v>5.5</v>
      </c>
      <c r="G379">
        <v>5.5</v>
      </c>
      <c r="H379">
        <v>22.7</v>
      </c>
      <c r="I379">
        <f t="shared" si="10"/>
        <v>45095</v>
      </c>
      <c r="J379">
        <f t="shared" si="11"/>
        <v>6583</v>
      </c>
    </row>
    <row r="380" spans="1:10" x14ac:dyDescent="0.25">
      <c r="A380" t="s">
        <v>128</v>
      </c>
      <c r="B380" t="s">
        <v>228</v>
      </c>
      <c r="C380">
        <v>2016</v>
      </c>
      <c r="D380">
        <v>70</v>
      </c>
      <c r="E380">
        <v>166.9</v>
      </c>
      <c r="F380">
        <v>5</v>
      </c>
      <c r="G380">
        <v>6.4</v>
      </c>
      <c r="H380">
        <v>9.9</v>
      </c>
      <c r="I380">
        <f t="shared" si="10"/>
        <v>11683</v>
      </c>
      <c r="J380">
        <f t="shared" si="11"/>
        <v>693</v>
      </c>
    </row>
    <row r="381" spans="1:10" x14ac:dyDescent="0.25">
      <c r="A381" t="s">
        <v>128</v>
      </c>
      <c r="B381" t="s">
        <v>228</v>
      </c>
      <c r="C381">
        <v>2017</v>
      </c>
      <c r="D381">
        <v>56</v>
      </c>
      <c r="E381">
        <v>170.6</v>
      </c>
      <c r="F381">
        <v>5</v>
      </c>
      <c r="G381">
        <v>6.3</v>
      </c>
      <c r="H381">
        <v>11.3</v>
      </c>
      <c r="I381">
        <f t="shared" si="10"/>
        <v>9553.6</v>
      </c>
      <c r="J381">
        <f t="shared" si="11"/>
        <v>632.80000000000007</v>
      </c>
    </row>
    <row r="382" spans="1:10" x14ac:dyDescent="0.25">
      <c r="A382" t="s">
        <v>128</v>
      </c>
      <c r="B382" t="s">
        <v>228</v>
      </c>
      <c r="C382">
        <v>2018</v>
      </c>
      <c r="D382">
        <v>111</v>
      </c>
      <c r="E382">
        <v>174.2</v>
      </c>
      <c r="F382">
        <v>5</v>
      </c>
      <c r="G382">
        <v>6.6</v>
      </c>
      <c r="H382">
        <v>10.5</v>
      </c>
      <c r="I382">
        <f t="shared" si="10"/>
        <v>19336.199999999997</v>
      </c>
      <c r="J382">
        <f t="shared" si="11"/>
        <v>1165.5</v>
      </c>
    </row>
    <row r="383" spans="1:10" x14ac:dyDescent="0.25">
      <c r="A383" t="s">
        <v>128</v>
      </c>
      <c r="B383" t="s">
        <v>228</v>
      </c>
      <c r="C383">
        <v>2019</v>
      </c>
      <c r="D383">
        <v>109</v>
      </c>
      <c r="E383">
        <v>169.1</v>
      </c>
      <c r="F383">
        <v>5.8</v>
      </c>
      <c r="G383">
        <v>6.3</v>
      </c>
      <c r="H383">
        <v>11</v>
      </c>
      <c r="I383">
        <f t="shared" si="10"/>
        <v>18431.899999999998</v>
      </c>
      <c r="J383">
        <f t="shared" si="11"/>
        <v>1199</v>
      </c>
    </row>
    <row r="384" spans="1:10" x14ac:dyDescent="0.25">
      <c r="A384" t="s">
        <v>128</v>
      </c>
      <c r="B384" t="s">
        <v>228</v>
      </c>
      <c r="C384">
        <v>2020</v>
      </c>
      <c r="D384">
        <v>127</v>
      </c>
      <c r="E384">
        <v>172.4</v>
      </c>
      <c r="F384">
        <v>5.7</v>
      </c>
      <c r="G384">
        <v>6.5</v>
      </c>
      <c r="H384">
        <v>9.5</v>
      </c>
      <c r="I384">
        <f t="shared" si="10"/>
        <v>21894.799999999999</v>
      </c>
      <c r="J384">
        <f t="shared" si="11"/>
        <v>1206.5</v>
      </c>
    </row>
    <row r="385" spans="1:10" x14ac:dyDescent="0.25">
      <c r="A385" t="s">
        <v>128</v>
      </c>
      <c r="B385" t="s">
        <v>228</v>
      </c>
      <c r="C385">
        <v>2021</v>
      </c>
      <c r="D385">
        <v>92</v>
      </c>
      <c r="E385">
        <v>184</v>
      </c>
      <c r="F385">
        <v>6</v>
      </c>
      <c r="G385">
        <v>6.6</v>
      </c>
      <c r="H385">
        <v>16.8</v>
      </c>
      <c r="I385">
        <f t="shared" si="10"/>
        <v>16928</v>
      </c>
      <c r="J385">
        <f t="shared" si="11"/>
        <v>1545.6000000000001</v>
      </c>
    </row>
    <row r="386" spans="1:10" x14ac:dyDescent="0.25">
      <c r="A386" t="s">
        <v>128</v>
      </c>
      <c r="B386" t="s">
        <v>229</v>
      </c>
      <c r="C386">
        <v>2016</v>
      </c>
      <c r="D386">
        <v>234</v>
      </c>
      <c r="E386">
        <v>149</v>
      </c>
      <c r="F386">
        <v>6.5</v>
      </c>
      <c r="G386">
        <v>6.3</v>
      </c>
      <c r="H386">
        <v>8.5</v>
      </c>
      <c r="I386">
        <f t="shared" si="10"/>
        <v>34866</v>
      </c>
      <c r="J386">
        <f t="shared" si="11"/>
        <v>1989</v>
      </c>
    </row>
    <row r="387" spans="1:10" x14ac:dyDescent="0.25">
      <c r="A387" t="s">
        <v>128</v>
      </c>
      <c r="B387" t="s">
        <v>229</v>
      </c>
      <c r="C387">
        <v>2017</v>
      </c>
      <c r="D387">
        <v>247</v>
      </c>
      <c r="E387">
        <v>157.4</v>
      </c>
      <c r="F387">
        <v>6.5</v>
      </c>
      <c r="G387">
        <v>6.3</v>
      </c>
      <c r="H387">
        <v>10.3</v>
      </c>
      <c r="I387">
        <f t="shared" ref="I387:I421" si="12">D387*E387</f>
        <v>38877.800000000003</v>
      </c>
      <c r="J387">
        <f t="shared" ref="J387:J421" si="13">D387*H387</f>
        <v>2544.1000000000004</v>
      </c>
    </row>
    <row r="388" spans="1:10" x14ac:dyDescent="0.25">
      <c r="A388" t="s">
        <v>128</v>
      </c>
      <c r="B388" t="s">
        <v>229</v>
      </c>
      <c r="C388">
        <v>2018</v>
      </c>
      <c r="D388">
        <v>297</v>
      </c>
      <c r="E388">
        <v>157.6</v>
      </c>
      <c r="F388">
        <v>6.4</v>
      </c>
      <c r="G388">
        <v>6.2</v>
      </c>
      <c r="H388">
        <v>10.7</v>
      </c>
      <c r="I388">
        <f t="shared" si="12"/>
        <v>46807.199999999997</v>
      </c>
      <c r="J388">
        <f t="shared" si="13"/>
        <v>3177.8999999999996</v>
      </c>
    </row>
    <row r="389" spans="1:10" x14ac:dyDescent="0.25">
      <c r="A389" t="s">
        <v>128</v>
      </c>
      <c r="B389" t="s">
        <v>229</v>
      </c>
      <c r="C389">
        <v>2019</v>
      </c>
      <c r="D389">
        <v>281</v>
      </c>
      <c r="E389">
        <v>134.9</v>
      </c>
      <c r="F389">
        <v>5.5</v>
      </c>
      <c r="G389">
        <v>5.7</v>
      </c>
      <c r="H389">
        <v>12.7</v>
      </c>
      <c r="I389">
        <f t="shared" si="12"/>
        <v>37906.9</v>
      </c>
      <c r="J389">
        <f t="shared" si="13"/>
        <v>3568.7</v>
      </c>
    </row>
    <row r="390" spans="1:10" x14ac:dyDescent="0.25">
      <c r="A390" t="s">
        <v>128</v>
      </c>
      <c r="B390" t="s">
        <v>229</v>
      </c>
      <c r="C390">
        <v>2020</v>
      </c>
      <c r="D390">
        <v>260</v>
      </c>
      <c r="E390">
        <v>138.1</v>
      </c>
      <c r="F390">
        <v>5.6</v>
      </c>
      <c r="G390">
        <v>5.3</v>
      </c>
      <c r="H390">
        <v>10.199999999999999</v>
      </c>
      <c r="I390">
        <f t="shared" si="12"/>
        <v>35906</v>
      </c>
      <c r="J390">
        <f t="shared" si="13"/>
        <v>2652</v>
      </c>
    </row>
    <row r="391" spans="1:10" x14ac:dyDescent="0.25">
      <c r="A391" t="s">
        <v>128</v>
      </c>
      <c r="B391" t="s">
        <v>229</v>
      </c>
      <c r="C391">
        <v>2021</v>
      </c>
      <c r="D391">
        <v>271</v>
      </c>
      <c r="E391">
        <v>137.1</v>
      </c>
      <c r="F391">
        <v>5.2</v>
      </c>
      <c r="G391">
        <v>5.6</v>
      </c>
      <c r="H391">
        <v>11.6</v>
      </c>
      <c r="I391">
        <f t="shared" si="12"/>
        <v>37154.1</v>
      </c>
      <c r="J391">
        <f t="shared" si="13"/>
        <v>3143.6</v>
      </c>
    </row>
    <row r="392" spans="1:10" x14ac:dyDescent="0.25">
      <c r="A392" t="s">
        <v>128</v>
      </c>
      <c r="B392" t="s">
        <v>231</v>
      </c>
      <c r="C392">
        <v>2016</v>
      </c>
      <c r="D392">
        <v>81</v>
      </c>
      <c r="E392">
        <v>175.1</v>
      </c>
      <c r="F392">
        <v>5.5</v>
      </c>
      <c r="G392">
        <v>8.4</v>
      </c>
      <c r="H392">
        <v>9.4</v>
      </c>
      <c r="I392">
        <f t="shared" si="12"/>
        <v>14183.1</v>
      </c>
      <c r="J392">
        <f t="shared" si="13"/>
        <v>761.4</v>
      </c>
    </row>
    <row r="393" spans="1:10" x14ac:dyDescent="0.25">
      <c r="A393" t="s">
        <v>128</v>
      </c>
      <c r="B393" t="s">
        <v>231</v>
      </c>
      <c r="C393">
        <v>2017</v>
      </c>
      <c r="D393">
        <v>74</v>
      </c>
      <c r="E393">
        <v>177.7</v>
      </c>
      <c r="F393">
        <v>5.3</v>
      </c>
      <c r="G393">
        <v>7.9</v>
      </c>
      <c r="H393">
        <v>9.1</v>
      </c>
      <c r="I393">
        <f t="shared" si="12"/>
        <v>13149.8</v>
      </c>
      <c r="J393">
        <f t="shared" si="13"/>
        <v>673.4</v>
      </c>
    </row>
    <row r="394" spans="1:10" x14ac:dyDescent="0.25">
      <c r="A394" t="s">
        <v>128</v>
      </c>
      <c r="B394" t="s">
        <v>231</v>
      </c>
      <c r="C394">
        <v>2018</v>
      </c>
      <c r="D394">
        <v>93</v>
      </c>
      <c r="E394">
        <v>176.8</v>
      </c>
      <c r="F394">
        <v>5.5</v>
      </c>
      <c r="G394">
        <v>7.8</v>
      </c>
      <c r="H394">
        <v>9.3000000000000007</v>
      </c>
      <c r="I394">
        <f t="shared" si="12"/>
        <v>16442.400000000001</v>
      </c>
      <c r="J394">
        <f t="shared" si="13"/>
        <v>864.90000000000009</v>
      </c>
    </row>
    <row r="395" spans="1:10" x14ac:dyDescent="0.25">
      <c r="A395" t="s">
        <v>128</v>
      </c>
      <c r="B395" t="s">
        <v>231</v>
      </c>
      <c r="C395">
        <v>2019</v>
      </c>
      <c r="D395">
        <v>69</v>
      </c>
      <c r="E395">
        <v>163</v>
      </c>
      <c r="F395">
        <v>4.9000000000000004</v>
      </c>
      <c r="G395">
        <v>8</v>
      </c>
      <c r="H395">
        <v>11.1</v>
      </c>
      <c r="I395">
        <f t="shared" si="12"/>
        <v>11247</v>
      </c>
      <c r="J395">
        <f t="shared" si="13"/>
        <v>765.9</v>
      </c>
    </row>
    <row r="396" spans="1:10" x14ac:dyDescent="0.25">
      <c r="A396" t="s">
        <v>128</v>
      </c>
      <c r="B396" t="s">
        <v>231</v>
      </c>
      <c r="C396">
        <v>2020</v>
      </c>
      <c r="D396">
        <v>78</v>
      </c>
      <c r="E396">
        <v>156.19999999999999</v>
      </c>
      <c r="F396">
        <v>5</v>
      </c>
      <c r="G396">
        <v>6.7</v>
      </c>
      <c r="H396">
        <v>15.3</v>
      </c>
      <c r="I396">
        <f t="shared" si="12"/>
        <v>12183.599999999999</v>
      </c>
      <c r="J396">
        <f t="shared" si="13"/>
        <v>1193.4000000000001</v>
      </c>
    </row>
    <row r="397" spans="1:10" x14ac:dyDescent="0.25">
      <c r="A397" t="s">
        <v>128</v>
      </c>
      <c r="B397" t="s">
        <v>231</v>
      </c>
      <c r="C397">
        <v>2021</v>
      </c>
      <c r="D397">
        <v>102</v>
      </c>
      <c r="E397">
        <v>181.1</v>
      </c>
      <c r="F397">
        <v>5.3</v>
      </c>
      <c r="G397">
        <v>8</v>
      </c>
      <c r="H397">
        <v>15.3</v>
      </c>
      <c r="I397">
        <f t="shared" si="12"/>
        <v>18472.2</v>
      </c>
      <c r="J397">
        <f t="shared" si="13"/>
        <v>1560.6000000000001</v>
      </c>
    </row>
    <row r="398" spans="1:10" x14ac:dyDescent="0.25">
      <c r="A398" t="s">
        <v>128</v>
      </c>
      <c r="B398" t="s">
        <v>232</v>
      </c>
      <c r="C398">
        <v>2016</v>
      </c>
      <c r="D398">
        <v>127</v>
      </c>
      <c r="E398">
        <v>174.5</v>
      </c>
      <c r="F398">
        <v>5.7</v>
      </c>
      <c r="G398">
        <v>6.2</v>
      </c>
      <c r="H398">
        <v>11.7</v>
      </c>
      <c r="I398">
        <f t="shared" si="12"/>
        <v>22161.5</v>
      </c>
      <c r="J398">
        <f t="shared" si="13"/>
        <v>1485.8999999999999</v>
      </c>
    </row>
    <row r="399" spans="1:10" x14ac:dyDescent="0.25">
      <c r="A399" t="s">
        <v>128</v>
      </c>
      <c r="B399" t="s">
        <v>232</v>
      </c>
      <c r="C399">
        <v>2017</v>
      </c>
      <c r="D399">
        <v>108</v>
      </c>
      <c r="E399">
        <v>169.9</v>
      </c>
      <c r="F399">
        <v>5.5</v>
      </c>
      <c r="G399">
        <v>6.2</v>
      </c>
      <c r="H399">
        <v>14.4</v>
      </c>
      <c r="I399">
        <f t="shared" si="12"/>
        <v>18349.2</v>
      </c>
      <c r="J399">
        <f t="shared" si="13"/>
        <v>1555.2</v>
      </c>
    </row>
    <row r="400" spans="1:10" x14ac:dyDescent="0.25">
      <c r="A400" t="s">
        <v>128</v>
      </c>
      <c r="B400" t="s">
        <v>232</v>
      </c>
      <c r="C400">
        <v>2018</v>
      </c>
      <c r="D400">
        <v>168</v>
      </c>
      <c r="E400">
        <v>163.4</v>
      </c>
      <c r="F400">
        <v>5</v>
      </c>
      <c r="G400">
        <v>5.9</v>
      </c>
      <c r="H400">
        <v>9</v>
      </c>
      <c r="I400">
        <f t="shared" si="12"/>
        <v>27451.200000000001</v>
      </c>
      <c r="J400">
        <f t="shared" si="13"/>
        <v>1512</v>
      </c>
    </row>
    <row r="401" spans="1:10" x14ac:dyDescent="0.25">
      <c r="A401" t="s">
        <v>128</v>
      </c>
      <c r="B401" t="s">
        <v>232</v>
      </c>
      <c r="C401">
        <v>2019</v>
      </c>
      <c r="D401">
        <v>136</v>
      </c>
      <c r="E401">
        <v>160.6</v>
      </c>
      <c r="F401">
        <v>4.7</v>
      </c>
      <c r="G401">
        <v>5.4</v>
      </c>
      <c r="H401">
        <v>9.5</v>
      </c>
      <c r="I401">
        <f t="shared" si="12"/>
        <v>21841.599999999999</v>
      </c>
      <c r="J401">
        <f t="shared" si="13"/>
        <v>1292</v>
      </c>
    </row>
    <row r="402" spans="1:10" x14ac:dyDescent="0.25">
      <c r="A402" t="s">
        <v>128</v>
      </c>
      <c r="B402" t="s">
        <v>232</v>
      </c>
      <c r="C402">
        <v>2020</v>
      </c>
      <c r="D402">
        <v>105</v>
      </c>
      <c r="E402">
        <v>169.8</v>
      </c>
      <c r="F402">
        <v>4.9000000000000004</v>
      </c>
      <c r="G402">
        <v>5.8</v>
      </c>
      <c r="H402">
        <v>12.9</v>
      </c>
      <c r="I402">
        <f t="shared" si="12"/>
        <v>17829</v>
      </c>
      <c r="J402">
        <f t="shared" si="13"/>
        <v>1354.5</v>
      </c>
    </row>
    <row r="403" spans="1:10" x14ac:dyDescent="0.25">
      <c r="A403" t="s">
        <v>128</v>
      </c>
      <c r="B403" t="s">
        <v>232</v>
      </c>
      <c r="C403">
        <v>2021</v>
      </c>
      <c r="D403">
        <v>85</v>
      </c>
      <c r="E403">
        <v>176.8</v>
      </c>
      <c r="F403">
        <v>5.4</v>
      </c>
      <c r="G403">
        <v>6.2</v>
      </c>
      <c r="H403">
        <v>14.1</v>
      </c>
      <c r="I403">
        <f t="shared" si="12"/>
        <v>15028.000000000002</v>
      </c>
      <c r="J403">
        <f t="shared" si="13"/>
        <v>1198.5</v>
      </c>
    </row>
    <row r="404" spans="1:10" x14ac:dyDescent="0.25">
      <c r="A404" t="s">
        <v>128</v>
      </c>
      <c r="B404" t="s">
        <v>234</v>
      </c>
      <c r="C404">
        <v>2016</v>
      </c>
      <c r="D404">
        <v>100</v>
      </c>
      <c r="E404">
        <v>95.4</v>
      </c>
      <c r="F404">
        <v>4</v>
      </c>
      <c r="G404">
        <v>3.7</v>
      </c>
      <c r="H404">
        <v>11.3</v>
      </c>
      <c r="I404">
        <f t="shared" si="12"/>
        <v>9540</v>
      </c>
      <c r="J404">
        <f t="shared" si="13"/>
        <v>1130</v>
      </c>
    </row>
    <row r="405" spans="1:10" x14ac:dyDescent="0.25">
      <c r="A405" t="s">
        <v>128</v>
      </c>
      <c r="B405" t="s">
        <v>234</v>
      </c>
      <c r="C405">
        <v>2017</v>
      </c>
      <c r="D405">
        <v>78</v>
      </c>
      <c r="E405">
        <v>97.7</v>
      </c>
      <c r="F405">
        <v>3.5</v>
      </c>
      <c r="G405">
        <v>3.6</v>
      </c>
      <c r="H405">
        <v>11.6</v>
      </c>
      <c r="I405">
        <f t="shared" si="12"/>
        <v>7620.6</v>
      </c>
      <c r="J405">
        <f t="shared" si="13"/>
        <v>904.8</v>
      </c>
    </row>
    <row r="406" spans="1:10" x14ac:dyDescent="0.25">
      <c r="A406" t="s">
        <v>128</v>
      </c>
      <c r="B406" t="s">
        <v>234</v>
      </c>
      <c r="C406">
        <v>2018</v>
      </c>
      <c r="D406">
        <v>82</v>
      </c>
      <c r="E406">
        <v>98.1</v>
      </c>
      <c r="F406">
        <v>4.2</v>
      </c>
      <c r="G406">
        <v>3.8</v>
      </c>
      <c r="H406">
        <v>11.5</v>
      </c>
      <c r="I406">
        <f t="shared" si="12"/>
        <v>8044.2</v>
      </c>
      <c r="J406">
        <f t="shared" si="13"/>
        <v>943</v>
      </c>
    </row>
    <row r="407" spans="1:10" x14ac:dyDescent="0.25">
      <c r="A407" t="s">
        <v>128</v>
      </c>
      <c r="B407" t="s">
        <v>234</v>
      </c>
      <c r="C407">
        <v>2019</v>
      </c>
      <c r="D407">
        <v>76</v>
      </c>
      <c r="E407">
        <v>95.3</v>
      </c>
      <c r="F407">
        <v>4.4000000000000004</v>
      </c>
      <c r="G407">
        <v>3.8</v>
      </c>
      <c r="H407">
        <v>11</v>
      </c>
      <c r="I407">
        <f t="shared" si="12"/>
        <v>7242.8</v>
      </c>
      <c r="J407">
        <f t="shared" si="13"/>
        <v>836</v>
      </c>
    </row>
    <row r="408" spans="1:10" x14ac:dyDescent="0.25">
      <c r="A408" t="s">
        <v>128</v>
      </c>
      <c r="B408" t="s">
        <v>234</v>
      </c>
      <c r="C408">
        <v>2020</v>
      </c>
      <c r="D408">
        <v>51</v>
      </c>
      <c r="E408">
        <v>98.8</v>
      </c>
      <c r="F408">
        <v>4.4000000000000004</v>
      </c>
      <c r="G408">
        <v>3.9</v>
      </c>
      <c r="H408">
        <v>14</v>
      </c>
      <c r="I408">
        <f t="shared" si="12"/>
        <v>5038.8</v>
      </c>
      <c r="J408">
        <f t="shared" si="13"/>
        <v>714</v>
      </c>
    </row>
    <row r="409" spans="1:10" x14ac:dyDescent="0.25">
      <c r="A409" t="s">
        <v>128</v>
      </c>
      <c r="B409" t="s">
        <v>234</v>
      </c>
      <c r="C409">
        <v>2021</v>
      </c>
      <c r="D409">
        <v>43</v>
      </c>
      <c r="E409">
        <v>98.2</v>
      </c>
      <c r="F409">
        <v>4.5999999999999996</v>
      </c>
      <c r="G409">
        <v>3.7</v>
      </c>
      <c r="H409">
        <v>12.5</v>
      </c>
      <c r="I409">
        <f t="shared" si="12"/>
        <v>4222.6000000000004</v>
      </c>
      <c r="J409">
        <f t="shared" si="13"/>
        <v>537.5</v>
      </c>
    </row>
    <row r="410" spans="1:10" x14ac:dyDescent="0.25">
      <c r="A410" t="s">
        <v>128</v>
      </c>
      <c r="B410" t="s">
        <v>235</v>
      </c>
      <c r="C410">
        <v>2016</v>
      </c>
      <c r="D410">
        <v>36</v>
      </c>
      <c r="E410">
        <v>169.4</v>
      </c>
      <c r="F410">
        <v>4.4000000000000004</v>
      </c>
      <c r="G410">
        <v>8.1999999999999993</v>
      </c>
      <c r="H410">
        <v>7.3</v>
      </c>
      <c r="I410">
        <f t="shared" si="12"/>
        <v>6098.4000000000005</v>
      </c>
      <c r="J410">
        <f t="shared" si="13"/>
        <v>262.8</v>
      </c>
    </row>
    <row r="411" spans="1:10" x14ac:dyDescent="0.25">
      <c r="A411" t="s">
        <v>128</v>
      </c>
      <c r="B411" t="s">
        <v>235</v>
      </c>
      <c r="C411">
        <v>2017</v>
      </c>
      <c r="D411">
        <v>39</v>
      </c>
      <c r="E411">
        <v>192</v>
      </c>
      <c r="F411">
        <v>4.2</v>
      </c>
      <c r="G411">
        <v>9.1999999999999993</v>
      </c>
      <c r="H411">
        <v>10</v>
      </c>
      <c r="I411">
        <f t="shared" si="12"/>
        <v>7488</v>
      </c>
      <c r="J411">
        <f t="shared" si="13"/>
        <v>390</v>
      </c>
    </row>
    <row r="412" spans="1:10" x14ac:dyDescent="0.25">
      <c r="A412" t="s">
        <v>128</v>
      </c>
      <c r="B412" t="s">
        <v>235</v>
      </c>
      <c r="C412">
        <v>2018</v>
      </c>
      <c r="D412">
        <v>59</v>
      </c>
      <c r="E412">
        <v>215.8</v>
      </c>
      <c r="F412">
        <v>4.5999999999999996</v>
      </c>
      <c r="G412">
        <v>9.3000000000000007</v>
      </c>
      <c r="H412">
        <v>9.1999999999999993</v>
      </c>
      <c r="I412">
        <f t="shared" si="12"/>
        <v>12732.2</v>
      </c>
      <c r="J412">
        <f t="shared" si="13"/>
        <v>542.79999999999995</v>
      </c>
    </row>
    <row r="413" spans="1:10" x14ac:dyDescent="0.25">
      <c r="A413" t="s">
        <v>128</v>
      </c>
      <c r="B413" t="s">
        <v>235</v>
      </c>
      <c r="C413">
        <v>2019</v>
      </c>
      <c r="D413">
        <v>36</v>
      </c>
      <c r="E413">
        <v>210</v>
      </c>
      <c r="F413">
        <v>4.3</v>
      </c>
      <c r="G413">
        <v>9.9</v>
      </c>
      <c r="H413">
        <v>8</v>
      </c>
      <c r="I413">
        <f t="shared" si="12"/>
        <v>7560</v>
      </c>
      <c r="J413">
        <f t="shared" si="13"/>
        <v>288</v>
      </c>
    </row>
    <row r="414" spans="1:10" x14ac:dyDescent="0.25">
      <c r="A414" t="s">
        <v>128</v>
      </c>
      <c r="B414" t="s">
        <v>235</v>
      </c>
      <c r="C414">
        <v>2020</v>
      </c>
      <c r="D414">
        <v>37</v>
      </c>
      <c r="E414">
        <v>212.7</v>
      </c>
      <c r="F414">
        <v>4.2</v>
      </c>
      <c r="G414">
        <v>9.4</v>
      </c>
      <c r="H414">
        <v>9.1</v>
      </c>
      <c r="I414">
        <f t="shared" si="12"/>
        <v>7869.9</v>
      </c>
      <c r="J414">
        <f t="shared" si="13"/>
        <v>336.7</v>
      </c>
    </row>
    <row r="415" spans="1:10" x14ac:dyDescent="0.25">
      <c r="A415" t="s">
        <v>128</v>
      </c>
      <c r="B415" t="s">
        <v>235</v>
      </c>
      <c r="C415">
        <v>2021</v>
      </c>
      <c r="D415">
        <v>18</v>
      </c>
      <c r="E415">
        <v>208.4</v>
      </c>
      <c r="F415">
        <v>4.5</v>
      </c>
      <c r="G415">
        <v>9.6999999999999993</v>
      </c>
      <c r="H415">
        <v>15.9</v>
      </c>
      <c r="I415">
        <f t="shared" si="12"/>
        <v>3751.2000000000003</v>
      </c>
      <c r="J415">
        <f t="shared" si="13"/>
        <v>286.2</v>
      </c>
    </row>
    <row r="416" spans="1:10" x14ac:dyDescent="0.25">
      <c r="A416" t="s">
        <v>128</v>
      </c>
      <c r="B416" t="s">
        <v>236</v>
      </c>
      <c r="C416">
        <v>2016</v>
      </c>
      <c r="D416">
        <v>2397</v>
      </c>
      <c r="E416">
        <v>159.1</v>
      </c>
      <c r="F416">
        <v>5.7</v>
      </c>
      <c r="G416">
        <v>5.3</v>
      </c>
      <c r="H416">
        <v>10</v>
      </c>
      <c r="I416">
        <f t="shared" si="12"/>
        <v>381362.7</v>
      </c>
      <c r="J416">
        <f t="shared" si="13"/>
        <v>23970</v>
      </c>
    </row>
    <row r="417" spans="1:10" x14ac:dyDescent="0.25">
      <c r="A417" t="s">
        <v>128</v>
      </c>
      <c r="B417" t="s">
        <v>236</v>
      </c>
      <c r="C417">
        <v>2017</v>
      </c>
      <c r="D417">
        <v>2396</v>
      </c>
      <c r="E417">
        <v>160</v>
      </c>
      <c r="F417">
        <v>5.6</v>
      </c>
      <c r="G417">
        <v>5.4</v>
      </c>
      <c r="H417">
        <v>10.5</v>
      </c>
      <c r="I417">
        <f t="shared" si="12"/>
        <v>383360</v>
      </c>
      <c r="J417">
        <f t="shared" si="13"/>
        <v>25158</v>
      </c>
    </row>
    <row r="418" spans="1:10" x14ac:dyDescent="0.25">
      <c r="A418" t="s">
        <v>128</v>
      </c>
      <c r="B418" t="s">
        <v>236</v>
      </c>
      <c r="C418">
        <v>2018</v>
      </c>
      <c r="D418">
        <v>3182</v>
      </c>
      <c r="E418">
        <v>156.30000000000001</v>
      </c>
      <c r="F418">
        <v>5.6</v>
      </c>
      <c r="G418">
        <v>5.5</v>
      </c>
      <c r="H418">
        <v>10.8</v>
      </c>
      <c r="I418">
        <f t="shared" si="12"/>
        <v>497346.60000000003</v>
      </c>
      <c r="J418">
        <f t="shared" si="13"/>
        <v>34365.600000000006</v>
      </c>
    </row>
    <row r="419" spans="1:10" x14ac:dyDescent="0.25">
      <c r="A419" t="s">
        <v>128</v>
      </c>
      <c r="B419" t="s">
        <v>236</v>
      </c>
      <c r="C419">
        <v>2019</v>
      </c>
      <c r="D419">
        <v>2754</v>
      </c>
      <c r="E419">
        <v>157.30000000000001</v>
      </c>
      <c r="F419">
        <v>5.5</v>
      </c>
      <c r="G419">
        <v>5.4</v>
      </c>
      <c r="H419">
        <v>10.8</v>
      </c>
      <c r="I419">
        <f t="shared" si="12"/>
        <v>433204.2</v>
      </c>
      <c r="J419">
        <f t="shared" si="13"/>
        <v>29743.200000000001</v>
      </c>
    </row>
    <row r="420" spans="1:10" x14ac:dyDescent="0.25">
      <c r="A420" t="s">
        <v>128</v>
      </c>
      <c r="B420" t="s">
        <v>236</v>
      </c>
      <c r="C420">
        <v>2020</v>
      </c>
      <c r="D420">
        <v>2305</v>
      </c>
      <c r="E420">
        <v>159.1</v>
      </c>
      <c r="F420">
        <v>5.5</v>
      </c>
      <c r="G420">
        <v>5.4</v>
      </c>
      <c r="H420">
        <v>13.1</v>
      </c>
      <c r="I420">
        <f t="shared" si="12"/>
        <v>366725.5</v>
      </c>
      <c r="J420">
        <f t="shared" si="13"/>
        <v>30195.5</v>
      </c>
    </row>
    <row r="421" spans="1:10" x14ac:dyDescent="0.25">
      <c r="A421" t="s">
        <v>128</v>
      </c>
      <c r="B421" t="s">
        <v>236</v>
      </c>
      <c r="C421">
        <v>2021</v>
      </c>
      <c r="D421">
        <v>1961</v>
      </c>
      <c r="E421">
        <v>164.3</v>
      </c>
      <c r="F421">
        <v>5.6</v>
      </c>
      <c r="G421">
        <v>5.5</v>
      </c>
      <c r="H421">
        <v>14.1</v>
      </c>
      <c r="I421">
        <f t="shared" si="12"/>
        <v>322192.30000000005</v>
      </c>
      <c r="J421">
        <f t="shared" si="13"/>
        <v>27650.1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5"/>
  <sheetViews>
    <sheetView workbookViewId="0">
      <selection activeCell="T10" sqref="T10"/>
    </sheetView>
  </sheetViews>
  <sheetFormatPr defaultRowHeight="15" x14ac:dyDescent="0.25"/>
  <cols>
    <col min="1" max="1" width="13.28515625" customWidth="1"/>
    <col min="2" max="24" width="8.85546875" customWidth="1"/>
  </cols>
  <sheetData>
    <row r="2" spans="1:24" x14ac:dyDescent="0.25">
      <c r="A2" s="27" t="s">
        <v>237</v>
      </c>
    </row>
    <row r="3" spans="1:24" x14ac:dyDescent="0.25">
      <c r="B3" s="6" t="s">
        <v>204</v>
      </c>
      <c r="H3" s="6" t="s">
        <v>238</v>
      </c>
      <c r="N3" s="6" t="s">
        <v>239</v>
      </c>
      <c r="T3" s="6" t="s">
        <v>240</v>
      </c>
    </row>
    <row r="4" spans="1:24" ht="30" customHeight="1" x14ac:dyDescent="0.25">
      <c r="B4" s="70" t="s">
        <v>217</v>
      </c>
      <c r="C4" s="70" t="s">
        <v>227</v>
      </c>
      <c r="D4" s="70" t="s">
        <v>230</v>
      </c>
      <c r="E4" s="70" t="s">
        <v>241</v>
      </c>
      <c r="F4" s="70" t="s">
        <v>242</v>
      </c>
      <c r="G4" s="70"/>
      <c r="H4" s="70" t="s">
        <v>217</v>
      </c>
      <c r="I4" s="70" t="s">
        <v>227</v>
      </c>
      <c r="J4" s="70" t="s">
        <v>230</v>
      </c>
      <c r="K4" s="70" t="s">
        <v>241</v>
      </c>
      <c r="L4" s="70" t="s">
        <v>242</v>
      </c>
      <c r="M4" s="71"/>
      <c r="N4" s="70" t="s">
        <v>217</v>
      </c>
      <c r="O4" s="70" t="s">
        <v>227</v>
      </c>
      <c r="P4" s="70" t="s">
        <v>230</v>
      </c>
      <c r="Q4" s="70" t="s">
        <v>241</v>
      </c>
      <c r="R4" s="70" t="s">
        <v>242</v>
      </c>
      <c r="S4" s="70"/>
      <c r="T4" s="70" t="s">
        <v>217</v>
      </c>
      <c r="U4" s="70" t="s">
        <v>227</v>
      </c>
      <c r="V4" s="70" t="s">
        <v>230</v>
      </c>
      <c r="W4" s="70" t="s">
        <v>241</v>
      </c>
      <c r="X4" s="70" t="s">
        <v>242</v>
      </c>
    </row>
    <row r="5" spans="1:24" x14ac:dyDescent="0.25">
      <c r="A5" s="6" t="s">
        <v>243</v>
      </c>
      <c r="B5" s="72">
        <f>GETPIVOTDATA("Sum of Slaktvikt*Antal",'G&amp;D slakt'!$L$3,"Djur2",$A5,"Ras2",B$4)/GETPIVOTDATA("Sum of Antal djur",'G&amp;D slakt'!$L$3,"Djur2",$A5,"Ras2",B$4)</f>
        <v>306.21826041439471</v>
      </c>
      <c r="C5" s="72">
        <f>GETPIVOTDATA("Sum of Slaktvikt*Antal",'G&amp;D slakt'!$L$3,"Djur2",$A5,"Ras2",C$4)/GETPIVOTDATA("Sum of Antal djur",'G&amp;D slakt'!$L$3,"Djur2",$A5,"Ras2",C$4)</f>
        <v>355.32986509621315</v>
      </c>
      <c r="D5" s="72">
        <f>GETPIVOTDATA("Sum of Slaktvikt*Antal",'G&amp;D slakt'!$L$3,"Djur2",$A5,"Ras2",D$4)/GETPIVOTDATA("Sum of Antal djur",'G&amp;D slakt'!$L$3,"Djur2",$A5,"Ras2",D$4)</f>
        <v>332.30265453956355</v>
      </c>
      <c r="E5" s="72">
        <f t="shared" ref="E5:E13" si="0">(C5*$O5+D5*$P5)/SUM($O5,$P5)</f>
        <v>340.59970933962359</v>
      </c>
      <c r="F5" s="72">
        <f>(B5*$N5+C5*$O5+D5*$P5)/SUM($N5:$P5)</f>
        <v>316.75627732015209</v>
      </c>
      <c r="G5" s="72"/>
      <c r="H5" s="73">
        <f>GETPIVOTDATA("Sum of Ålder*Antal",'G&amp;D slakt'!$L$3,"Djur2",$A5,"Ras2",H$4)/GETPIVOTDATA("Sum of Antal djur",'G&amp;D slakt'!$L$3,"Djur2",$A5,"Ras2",H$4)</f>
        <v>62.218324972737193</v>
      </c>
      <c r="I5" s="72">
        <f>GETPIVOTDATA("Sum of Ålder*Antal",'G&amp;D slakt'!$L$3,"Djur2",$A5,"Ras2",I$4)/GETPIVOTDATA("Sum of Antal djur",'G&amp;D slakt'!$L$3,"Djur2",$A5,"Ras2",I$4)</f>
        <v>80.945509826747937</v>
      </c>
      <c r="J5" s="72">
        <f>GETPIVOTDATA("Sum of Ålder*Antal",'G&amp;D slakt'!$L$3,"Djur2",$A5,"Ras2",J$4)/GETPIVOTDATA("Sum of Antal djur",'G&amp;D slakt'!$L$3,"Djur2",$A5,"Ras2",J$4)</f>
        <v>73.976021970731409</v>
      </c>
      <c r="K5" s="73">
        <f t="shared" ref="K5:K13" si="1">(I5*$O5+J5*$P5)/SUM($O5,$P5)</f>
        <v>76.487234630530693</v>
      </c>
      <c r="L5" s="72">
        <f>(H5*$N5+I5*$O5+J5*$P5)/SUM($N5:$P5)</f>
        <v>66.591788450892551</v>
      </c>
      <c r="M5" s="72"/>
      <c r="N5" s="72">
        <f>GETPIVOTDATA("Sum of Antal djur",'G&amp;D slakt'!$L$3,"Djur2",$A5,"Ras2",N$4)/5</f>
        <v>91700</v>
      </c>
      <c r="O5" s="72">
        <f>GETPIVOTDATA("Sum of Antal djur",'G&amp;D slakt'!$L$3,"Djur2",$A5,"Ras2",O$4)/5</f>
        <v>14603</v>
      </c>
      <c r="P5" s="72">
        <f>GETPIVOTDATA("Sum of Antal djur",'G&amp;D slakt'!$L$3,"Djur2",$A5,"Ras2",P$4)/5</f>
        <v>25925.4</v>
      </c>
      <c r="Q5" s="72">
        <f t="shared" ref="Q5:Q13" si="2">SUM(O5,P5)</f>
        <v>40528.400000000001</v>
      </c>
      <c r="R5" s="72">
        <f t="shared" ref="R5:R13" si="3">SUM(N5,O5,P5)</f>
        <v>132228.4</v>
      </c>
      <c r="S5" s="72"/>
    </row>
    <row r="6" spans="1:24" x14ac:dyDescent="0.25">
      <c r="A6" t="s">
        <v>211</v>
      </c>
      <c r="B6" s="2">
        <f>GETPIVOTDATA("Sum of Slaktvikt*Antal",'G&amp;D slakt'!$L$3,"Djur",$A6,"Ras2",B$4)/GETPIVOTDATA("Sum of Antal djur",'G&amp;D slakt'!$L$3,"Djur",$A6,"Ras2",B$4)</f>
        <v>313.70389281604469</v>
      </c>
      <c r="C6" s="2">
        <f>GETPIVOTDATA("Sum of Slaktvikt*Antal",'G&amp;D slakt'!$L$3,"Djur",$A6,"Ras2",C$4)/GETPIVOTDATA("Sum of Antal djur",'G&amp;D slakt'!$L$3,"Djur",$A6,"Ras2",C$4)</f>
        <v>365.60596673705521</v>
      </c>
      <c r="D6" s="2">
        <f>GETPIVOTDATA("Sum of Slaktvikt*Antal",'G&amp;D slakt'!$L$3,"Djur",$A6,"Ras2",D$4)/GETPIVOTDATA("Sum of Antal djur",'G&amp;D slakt'!$L$3,"Djur",$A6,"Ras2",D$4)</f>
        <v>342.21742596573245</v>
      </c>
      <c r="E6" s="74">
        <f t="shared" si="0"/>
        <v>350.96909458974113</v>
      </c>
      <c r="F6" s="74">
        <f t="shared" ref="F6:F13" si="4">(B6*$N6+C6*$O6+D6*$P6)/SUM($N6:$P6)</f>
        <v>325.40495222472833</v>
      </c>
      <c r="G6" s="2"/>
      <c r="H6" s="2">
        <f>GETPIVOTDATA("Sum of Ålder*Antal",'G&amp;D slakt'!$L$3,"Djur",$A6,"Ras2",H$4)/GETPIVOTDATA("Sum of Antal djur",'G&amp;D slakt'!$L$3,"Djur",$A6,"Ras2",H$4)</f>
        <v>69.769741305874803</v>
      </c>
      <c r="I6" s="2">
        <f>GETPIVOTDATA("Sum of Ålder*Antal",'G&amp;D slakt'!$L$3,"Djur",$A6,"Ras2",I$4)/GETPIVOTDATA("Sum of Antal djur",'G&amp;D slakt'!$L$3,"Djur",$A6,"Ras2",I$4)</f>
        <v>92.742967836512463</v>
      </c>
      <c r="J6" s="2">
        <f>GETPIVOTDATA("Sum of Ålder*Antal",'G&amp;D slakt'!$L$3,"Djur",$A6,"Ras2",J$4)/GETPIVOTDATA("Sum of Antal djur",'G&amp;D slakt'!$L$3,"Djur",$A6,"Ras2",J$4)</f>
        <v>86.618808564809981</v>
      </c>
      <c r="K6" s="74">
        <f t="shared" si="1"/>
        <v>88.910384301433368</v>
      </c>
      <c r="L6" s="74">
        <f t="shared" ref="L6:L13" si="5">(H6*$N6+I6*$O6+J6*$P6)/SUM($N6:$P6)</f>
        <v>75.779793315562856</v>
      </c>
      <c r="M6" s="2"/>
      <c r="N6" s="2">
        <f>GETPIVOTDATA("Sum of Antal djur",'G&amp;D slakt'!$L$3,"Djur",$A6,"Ras2",N$4)/5</f>
        <v>66913</v>
      </c>
      <c r="O6" s="2">
        <f>GETPIVOTDATA("Sum of Antal djur",'G&amp;D slakt'!$L$3,"Djur",$A6,"Ras2",O$4)/5</f>
        <v>11460.2</v>
      </c>
      <c r="P6" s="2">
        <f>GETPIVOTDATA("Sum of Antal djur",'G&amp;D slakt'!$L$3,"Djur",$A6,"Ras2",P$4)/5</f>
        <v>19166.8</v>
      </c>
      <c r="Q6" s="2">
        <f t="shared" si="2"/>
        <v>30627</v>
      </c>
      <c r="R6" s="2">
        <f t="shared" si="3"/>
        <v>97540</v>
      </c>
      <c r="S6" s="2"/>
    </row>
    <row r="7" spans="1:24" x14ac:dyDescent="0.25">
      <c r="A7" t="s">
        <v>219</v>
      </c>
      <c r="B7" s="2">
        <f>GETPIVOTDATA("Sum of Slaktvikt*Antal",'G&amp;D slakt'!$L$3,"Djur",$A7,"Ras2",B$4)/GETPIVOTDATA("Sum of Antal djur",'G&amp;D slakt'!$L$3,"Djur",$A7,"Ras2",B$4)</f>
        <v>286.01064670996891</v>
      </c>
      <c r="C7" s="2">
        <f>GETPIVOTDATA("Sum of Slaktvikt*Antal",'G&amp;D slakt'!$L$3,"Djur",$A7,"Ras2",C$4)/GETPIVOTDATA("Sum of Antal djur",'G&amp;D slakt'!$L$3,"Djur",$A7,"Ras2",C$4)</f>
        <v>317.85812651139122</v>
      </c>
      <c r="D7" s="2">
        <f>GETPIVOTDATA("Sum of Slaktvikt*Antal",'G&amp;D slakt'!$L$3,"Djur",$A7,"Ras2",D$4)/GETPIVOTDATA("Sum of Antal djur",'G&amp;D slakt'!$L$3,"Djur",$A7,"Ras2",D$4)</f>
        <v>304.18522770988073</v>
      </c>
      <c r="E7" s="74">
        <f t="shared" si="0"/>
        <v>308.52513785929261</v>
      </c>
      <c r="F7" s="74">
        <f t="shared" si="4"/>
        <v>292.43714613530744</v>
      </c>
      <c r="G7" s="2"/>
      <c r="H7" s="2">
        <f>GETPIVOTDATA("Sum of Ålder*Antal",'G&amp;D slakt'!$L$3,"Djur",$A7,"Ras2",H$4)/GETPIVOTDATA("Sum of Antal djur",'G&amp;D slakt'!$L$3,"Djur",$A7,"Ras2",H$4)</f>
        <v>41.833126235526684</v>
      </c>
      <c r="I7" s="2">
        <f>GETPIVOTDATA("Sum of Ålder*Antal",'G&amp;D slakt'!$L$3,"Djur",$A7,"Ras2",I$4)/GETPIVOTDATA("Sum of Antal djur",'G&amp;D slakt'!$L$3,"Djur",$A7,"Ras2",I$4)</f>
        <v>37.926155021000369</v>
      </c>
      <c r="J7" s="2">
        <f>GETPIVOTDATA("Sum of Ålder*Antal",'G&amp;D slakt'!$L$3,"Djur",$A7,"Ras2",J$4)/GETPIVOTDATA("Sum of Antal djur",'G&amp;D slakt'!$L$3,"Djur",$A7,"Ras2",J$4)</f>
        <v>38.122182108720736</v>
      </c>
      <c r="K7" s="74">
        <f t="shared" si="1"/>
        <v>38.059961217605583</v>
      </c>
      <c r="L7" s="74">
        <f t="shared" si="5"/>
        <v>40.756120201565942</v>
      </c>
      <c r="M7" s="2"/>
      <c r="N7" s="2">
        <f>GETPIVOTDATA("Sum of Antal djur",'G&amp;D slakt'!$L$3,"Djur",$A7,"Ras2",N$4)/5</f>
        <v>24787</v>
      </c>
      <c r="O7" s="2">
        <f>GETPIVOTDATA("Sum of Antal djur",'G&amp;D slakt'!$L$3,"Djur",$A7,"Ras2",O$4)/5</f>
        <v>3142.8</v>
      </c>
      <c r="P7" s="2">
        <f>GETPIVOTDATA("Sum of Antal djur",'G&amp;D slakt'!$L$3,"Djur",$A7,"Ras2",P$4)/5</f>
        <v>6758.6</v>
      </c>
      <c r="Q7" s="2">
        <f t="shared" si="2"/>
        <v>9901.4000000000015</v>
      </c>
      <c r="R7" s="2">
        <f t="shared" si="3"/>
        <v>34688.400000000001</v>
      </c>
      <c r="S7" s="2"/>
    </row>
    <row r="8" spans="1:24" x14ac:dyDescent="0.25">
      <c r="A8" t="s">
        <v>221</v>
      </c>
      <c r="B8" s="2">
        <f>GETPIVOTDATA("Sum of Slaktvikt*Antal",'G&amp;D slakt'!$L$3,"Djur",$A8,"Ras2",B$4)/GETPIVOTDATA("Sum of Antal djur",'G&amp;D slakt'!$L$3,"Djur",$A8,"Ras2",B$4)</f>
        <v>298.04826766395087</v>
      </c>
      <c r="C8" s="2">
        <f>GETPIVOTDATA("Sum of Slaktvikt*Antal",'G&amp;D slakt'!$L$3,"Djur",$A8,"Ras2",C$4)/GETPIVOTDATA("Sum of Antal djur",'G&amp;D slakt'!$L$3,"Djur",$A8,"Ras2",C$4)</f>
        <v>307.71540861153647</v>
      </c>
      <c r="D8" s="2">
        <f>GETPIVOTDATA("Sum of Slaktvikt*Antal",'G&amp;D slakt'!$L$3,"Djur",$A8,"Ras2",D$4)/GETPIVOTDATA("Sum of Antal djur",'G&amp;D slakt'!$L$3,"Djur",$A8,"Ras2",D$4)</f>
        <v>309.9130789749031</v>
      </c>
      <c r="E8" s="74">
        <f t="shared" si="0"/>
        <v>309.16608462185729</v>
      </c>
      <c r="F8" s="74">
        <f t="shared" si="4"/>
        <v>306.19820977155962</v>
      </c>
      <c r="G8" s="2"/>
      <c r="H8" s="75">
        <f>GETPIVOTDATA("Sum of Ålder*Antal",'G&amp;D slakt'!$L$3,"Djur",$A8,"Ras2",H$4)/GETPIVOTDATA("Sum of Antal djur",'G&amp;D slakt'!$L$3,"Djur",$A8,"Ras2",H$4)</f>
        <v>32.261824495792709</v>
      </c>
      <c r="I8" s="2">
        <f>GETPIVOTDATA("Sum of Ålder*Antal",'G&amp;D slakt'!$L$3,"Djur",$A8,"Ras2",I$4)/GETPIVOTDATA("Sum of Antal djur",'G&amp;D slakt'!$L$3,"Djur",$A8,"Ras2",I$4)</f>
        <v>26.895465277678404</v>
      </c>
      <c r="J8" s="2">
        <f>GETPIVOTDATA("Sum of Ålder*Antal",'G&amp;D slakt'!$L$3,"Djur",$A8,"Ras2",J$4)/GETPIVOTDATA("Sum of Antal djur",'G&amp;D slakt'!$L$3,"Djur",$A8,"Ras2",J$4)</f>
        <v>27.015270347937573</v>
      </c>
      <c r="K8" s="76">
        <f t="shared" si="1"/>
        <v>26.974548266754862</v>
      </c>
      <c r="L8" s="74">
        <f t="shared" si="5"/>
        <v>28.385974107470755</v>
      </c>
      <c r="M8" s="2"/>
      <c r="N8" s="2">
        <f>GETPIVOTDATA("Sum of Antal djur",'G&amp;D slakt'!$L$3,"Djur",$A8,"Ras2",N$4)/5</f>
        <v>14974</v>
      </c>
      <c r="O8" s="2">
        <f>GETPIVOTDATA("Sum of Antal djur",'G&amp;D slakt'!$L$3,"Djur",$A8,"Ras2",O$4)/5</f>
        <v>13976.6</v>
      </c>
      <c r="P8" s="2">
        <f>GETPIVOTDATA("Sum of Antal djur",'G&amp;D slakt'!$L$3,"Djur",$A8,"Ras2",P$4)/5</f>
        <v>27142.799999999999</v>
      </c>
      <c r="Q8" s="2">
        <f t="shared" si="2"/>
        <v>41119.4</v>
      </c>
      <c r="R8" s="2">
        <f t="shared" si="3"/>
        <v>56093.399999999994</v>
      </c>
      <c r="S8" s="2"/>
      <c r="T8" s="75">
        <f t="shared" ref="T8:X13" si="6">N8/SUM(N$8:N$10,N$13)*100</f>
        <v>11.663210958152954</v>
      </c>
      <c r="U8" s="2">
        <f t="shared" si="6"/>
        <v>29.460517939875807</v>
      </c>
      <c r="V8" s="2">
        <f t="shared" si="6"/>
        <v>29.303967611336031</v>
      </c>
      <c r="W8" s="75">
        <f t="shared" si="6"/>
        <v>29.35699252071155</v>
      </c>
      <c r="X8" s="2">
        <f t="shared" si="6"/>
        <v>20.895023121331295</v>
      </c>
    </row>
    <row r="9" spans="1:24" x14ac:dyDescent="0.25">
      <c r="A9" t="s">
        <v>222</v>
      </c>
      <c r="B9" s="2">
        <f>GETPIVOTDATA("Sum of Slaktvikt*Antal",'G&amp;D slakt'!$L$3,"Djur",$A9,"Ras2",B$4)/GETPIVOTDATA("Sum of Antal djur",'G&amp;D slakt'!$L$3,"Djur",$A9,"Ras2",B$4)</f>
        <v>325.80714357886228</v>
      </c>
      <c r="C9" s="2">
        <f>GETPIVOTDATA("Sum of Slaktvikt*Antal",'G&amp;D slakt'!$L$3,"Djur",$A9,"Ras2",C$4)/GETPIVOTDATA("Sum of Antal djur",'G&amp;D slakt'!$L$3,"Djur",$A9,"Ras2",C$4)</f>
        <v>333.31229046663645</v>
      </c>
      <c r="D9" s="2">
        <f>GETPIVOTDATA("Sum of Slaktvikt*Antal",'G&amp;D slakt'!$L$3,"Djur",$A9,"Ras2",D$4)/GETPIVOTDATA("Sum of Antal djur",'G&amp;D slakt'!$L$3,"Djur",$A9,"Ras2",D$4)</f>
        <v>336.48199768879067</v>
      </c>
      <c r="E9" s="74">
        <f t="shared" si="0"/>
        <v>335.59568199504139</v>
      </c>
      <c r="F9" s="74">
        <f t="shared" si="4"/>
        <v>329.10273268991739</v>
      </c>
      <c r="G9" s="2"/>
      <c r="H9" s="75">
        <f>GETPIVOTDATA("Sum of Ålder*Antal",'G&amp;D slakt'!$L$3,"Djur",$A9,"Ras2",H$4)/GETPIVOTDATA("Sum of Antal djur",'G&amp;D slakt'!$L$3,"Djur",$A9,"Ras2",H$4)</f>
        <v>29.693541660925714</v>
      </c>
      <c r="I9" s="2">
        <f>GETPIVOTDATA("Sum of Ålder*Antal",'G&amp;D slakt'!$L$3,"Djur",$A9,"Ras2",I$4)/GETPIVOTDATA("Sum of Antal djur",'G&amp;D slakt'!$L$3,"Djur",$A9,"Ras2",I$4)</f>
        <v>28.28416930942981</v>
      </c>
      <c r="J9" s="2">
        <f>GETPIVOTDATA("Sum of Ålder*Antal",'G&amp;D slakt'!$L$3,"Djur",$A9,"Ras2",J$4)/GETPIVOTDATA("Sum of Antal djur",'G&amp;D slakt'!$L$3,"Djur",$A9,"Ras2",J$4)</f>
        <v>28.511098829322215</v>
      </c>
      <c r="K9" s="76">
        <f t="shared" si="1"/>
        <v>28.447644642307768</v>
      </c>
      <c r="L9" s="74">
        <f t="shared" si="5"/>
        <v>29.274075089566423</v>
      </c>
      <c r="M9" s="2"/>
      <c r="N9" s="2">
        <f>GETPIVOTDATA("Sum of Antal djur",'G&amp;D slakt'!$L$3,"Djur",$A9,"Ras2",N$4)/5</f>
        <v>21773.4</v>
      </c>
      <c r="O9" s="2">
        <f>GETPIVOTDATA("Sum of Antal djur",'G&amp;D slakt'!$L$3,"Djur",$A9,"Ras2",O$4)/5</f>
        <v>3090.2</v>
      </c>
      <c r="P9" s="2">
        <f>GETPIVOTDATA("Sum of Antal djur",'G&amp;D slakt'!$L$3,"Djur",$A9,"Ras2",P$4)/5</f>
        <v>7961.2</v>
      </c>
      <c r="Q9" s="2">
        <f t="shared" si="2"/>
        <v>11051.4</v>
      </c>
      <c r="R9" s="2">
        <f t="shared" si="3"/>
        <v>32824.800000000003</v>
      </c>
      <c r="S9" s="2"/>
      <c r="T9" s="75">
        <f t="shared" si="6"/>
        <v>16.959246525727764</v>
      </c>
      <c r="U9" s="2">
        <f t="shared" si="6"/>
        <v>6.5136651644752099</v>
      </c>
      <c r="V9" s="2">
        <f t="shared" si="6"/>
        <v>8.5950877192982453</v>
      </c>
      <c r="W9" s="75">
        <f t="shared" si="6"/>
        <v>7.8900924416064333</v>
      </c>
      <c r="X9" s="2">
        <f t="shared" si="6"/>
        <v>12.227373540435696</v>
      </c>
    </row>
    <row r="10" spans="1:24" x14ac:dyDescent="0.25">
      <c r="A10" s="6" t="s">
        <v>223</v>
      </c>
      <c r="B10" s="72">
        <f>GETPIVOTDATA("Sum of Slaktvikt*Antal",'G&amp;D slakt'!$L$3,"Djur2",$A10,"Ras2",B$4)/GETPIVOTDATA("Sum of Antal djur",'G&amp;D slakt'!$L$3,"Djur2",$A10,"Ras2",B$4)</f>
        <v>328.87655654023922</v>
      </c>
      <c r="C10" s="72">
        <f>GETPIVOTDATA("Sum of Slaktvikt*Antal",'G&amp;D slakt'!$L$3,"Djur2",$A10,"Ras2",C$4)/GETPIVOTDATA("Sum of Antal djur",'G&amp;D slakt'!$L$3,"Djur2",$A10,"Ras2",C$4)</f>
        <v>360.08085006369686</v>
      </c>
      <c r="D10" s="72">
        <f>GETPIVOTDATA("Sum of Slaktvikt*Antal",'G&amp;D slakt'!$L$3,"Djur2",$A10,"Ras2",D$4)/GETPIVOTDATA("Sum of Antal djur",'G&amp;D slakt'!$L$3,"Djur2",$A10,"Ras2",D$4)</f>
        <v>357.55355081199394</v>
      </c>
      <c r="E10" s="72">
        <f t="shared" si="0"/>
        <v>358.4339849534839</v>
      </c>
      <c r="F10" s="72">
        <f t="shared" si="4"/>
        <v>343.92765577924973</v>
      </c>
      <c r="G10" s="72"/>
      <c r="H10" s="73">
        <f>GETPIVOTDATA("Sum of Ålder*Antal",'G&amp;D slakt'!$L$3,"Djur2",$A10,"Ras2",H$4)/GETPIVOTDATA("Sum of Antal djur",'G&amp;D slakt'!$L$3,"Djur2",$A10,"Ras2",H$4)</f>
        <v>22.579883233319137</v>
      </c>
      <c r="I10" s="72">
        <f>GETPIVOTDATA("Sum of Ålder*Antal",'G&amp;D slakt'!$L$3,"Djur2",$A10,"Ras2",I$4)/GETPIVOTDATA("Sum of Antal djur",'G&amp;D slakt'!$L$3,"Djur2",$A10,"Ras2",I$4)</f>
        <v>20.314215642861523</v>
      </c>
      <c r="J10" s="72">
        <f>GETPIVOTDATA("Sum of Ålder*Antal",'G&amp;D slakt'!$L$3,"Djur2",$A10,"Ras2",J$4)/GETPIVOTDATA("Sum of Antal djur",'G&amp;D slakt'!$L$3,"Djur2",$A10,"Ras2",J$4)</f>
        <v>19.998097395573456</v>
      </c>
      <c r="K10" s="73">
        <f t="shared" si="1"/>
        <v>20.108223371938482</v>
      </c>
      <c r="L10" s="72">
        <f t="shared" si="5"/>
        <v>21.321275842357842</v>
      </c>
      <c r="M10" s="72"/>
      <c r="N10" s="72">
        <f>GETPIVOTDATA("Sum of Antal djur",'G&amp;D slakt'!$L$3,"Djur2",$A10,"Ras2",N$4)/5</f>
        <v>81221.8</v>
      </c>
      <c r="O10" s="72">
        <f>GETPIVOTDATA("Sum of Antal djur",'G&amp;D slakt'!$L$3,"Djur2",$A10,"Ras2",O$4)/5</f>
        <v>29357.8</v>
      </c>
      <c r="P10" s="72">
        <f>GETPIVOTDATA("Sum of Antal djur",'G&amp;D slakt'!$L$3,"Djur2",$A10,"Ras2",P$4)/5</f>
        <v>54914.2</v>
      </c>
      <c r="Q10" s="72">
        <f t="shared" si="2"/>
        <v>84272</v>
      </c>
      <c r="R10" s="72">
        <f t="shared" si="3"/>
        <v>165493.79999999999</v>
      </c>
      <c r="S10" s="72"/>
      <c r="T10" s="73">
        <f t="shared" si="6"/>
        <v>63.263455843522607</v>
      </c>
      <c r="U10" s="72">
        <f t="shared" si="6"/>
        <v>61.881716123755851</v>
      </c>
      <c r="V10" s="72">
        <f t="shared" si="6"/>
        <v>59.286585695006742</v>
      </c>
      <c r="W10" s="73">
        <f t="shared" si="6"/>
        <v>60.165578138431094</v>
      </c>
      <c r="X10" s="72">
        <f t="shared" si="6"/>
        <v>61.647123858367955</v>
      </c>
    </row>
    <row r="11" spans="1:24" x14ac:dyDescent="0.25">
      <c r="A11" t="s">
        <v>224</v>
      </c>
      <c r="B11" s="2">
        <f>GETPIVOTDATA("Sum of Slaktvikt*Antal",'G&amp;D slakt'!$L$3,"Djur",$A11,"Ras2",B$4)/GETPIVOTDATA("Sum of Antal djur",'G&amp;D slakt'!$L$3,"Djur",$A11,"Ras2",B$4)</f>
        <v>325.27702808045746</v>
      </c>
      <c r="C11" s="2">
        <f>GETPIVOTDATA("Sum of Slaktvikt*Antal",'G&amp;D slakt'!$L$3,"Djur",$A11,"Ras2",C$4)/GETPIVOTDATA("Sum of Antal djur",'G&amp;D slakt'!$L$3,"Djur",$A11,"Ras2",C$4)</f>
        <v>357.80253057651998</v>
      </c>
      <c r="D11" s="2">
        <f>GETPIVOTDATA("Sum of Slaktvikt*Antal",'G&amp;D slakt'!$L$3,"Djur",$A11,"Ras2",D$4)/GETPIVOTDATA("Sum of Antal djur",'G&amp;D slakt'!$L$3,"Djur",$A11,"Ras2",D$4)</f>
        <v>356.74636009867049</v>
      </c>
      <c r="E11" s="74">
        <f t="shared" si="0"/>
        <v>357.1123039107452</v>
      </c>
      <c r="F11" s="74">
        <f t="shared" si="4"/>
        <v>341.72911041059774</v>
      </c>
      <c r="G11" s="2"/>
      <c r="H11" s="2">
        <f>GETPIVOTDATA("Sum of Ålder*Antal",'G&amp;D slakt'!$L$3,"Djur",$A11,"Ras2",H$4)/GETPIVOTDATA("Sum of Antal djur",'G&amp;D slakt'!$L$3,"Djur",$A11,"Ras2",H$4)</f>
        <v>21.562722979316625</v>
      </c>
      <c r="I11" s="2">
        <f>GETPIVOTDATA("Sum of Ålder*Antal",'G&amp;D slakt'!$L$3,"Djur",$A11,"Ras2",I$4)/GETPIVOTDATA("Sum of Antal djur",'G&amp;D slakt'!$L$3,"Djur",$A11,"Ras2",I$4)</f>
        <v>19.001208473131818</v>
      </c>
      <c r="J11" s="2">
        <f>GETPIVOTDATA("Sum of Ålder*Antal",'G&amp;D slakt'!$L$3,"Djur",$A11,"Ras2",J$4)/GETPIVOTDATA("Sum of Antal djur",'G&amp;D slakt'!$L$3,"Djur",$A11,"Ras2",J$4)</f>
        <v>18.890603909372889</v>
      </c>
      <c r="K11" s="74">
        <f t="shared" si="1"/>
        <v>18.928926373921623</v>
      </c>
      <c r="L11" s="74">
        <f t="shared" si="5"/>
        <v>20.20160901178577</v>
      </c>
      <c r="M11" s="2"/>
      <c r="N11" s="2">
        <f>GETPIVOTDATA("Sum of Antal djur",'G&amp;D slakt'!$L$3,"Djur",$A11,"Ras2",N$4)/5</f>
        <v>70298</v>
      </c>
      <c r="O11" s="2">
        <f>GETPIVOTDATA("Sum of Antal djur",'G&amp;D slakt'!$L$3,"Djur",$A11,"Ras2",O$4)/5</f>
        <v>26049.4</v>
      </c>
      <c r="P11" s="2">
        <f>GETPIVOTDATA("Sum of Antal djur",'G&amp;D slakt'!$L$3,"Djur",$A11,"Ras2",P$4)/5</f>
        <v>49133.2</v>
      </c>
      <c r="Q11" s="2">
        <f t="shared" si="2"/>
        <v>75182.600000000006</v>
      </c>
      <c r="R11" s="2">
        <f t="shared" si="3"/>
        <v>145480.59999999998</v>
      </c>
      <c r="S11" s="2"/>
      <c r="T11" s="2">
        <f t="shared" si="6"/>
        <v>54.754935483921216</v>
      </c>
      <c r="U11" s="2">
        <f t="shared" si="6"/>
        <v>54.908119000543834</v>
      </c>
      <c r="V11" s="2">
        <f t="shared" si="6"/>
        <v>53.045290148448046</v>
      </c>
      <c r="W11" s="2">
        <f t="shared" si="6"/>
        <v>53.676245905525086</v>
      </c>
      <c r="X11" s="2">
        <f t="shared" si="6"/>
        <v>54.192124219696957</v>
      </c>
    </row>
    <row r="12" spans="1:24" x14ac:dyDescent="0.25">
      <c r="A12" t="s">
        <v>226</v>
      </c>
      <c r="B12" s="2">
        <f>GETPIVOTDATA("Sum of Slaktvikt*Antal",'G&amp;D slakt'!$L$3,"Djur",$A12,"Ras2",B$4)/GETPIVOTDATA("Sum of Antal djur",'G&amp;D slakt'!$L$3,"Djur",$A12,"Ras2",B$4)</f>
        <v>352.04062505721447</v>
      </c>
      <c r="C12" s="2">
        <f>GETPIVOTDATA("Sum of Slaktvikt*Antal",'G&amp;D slakt'!$L$3,"Djur",$A12,"Ras2",C$4)/GETPIVOTDATA("Sum of Antal djur",'G&amp;D slakt'!$L$3,"Djur",$A12,"Ras2",C$4)</f>
        <v>378.01968927578298</v>
      </c>
      <c r="D12" s="2">
        <f>GETPIVOTDATA("Sum of Slaktvikt*Antal",'G&amp;D slakt'!$L$3,"Djur",$A12,"Ras2",D$4)/GETPIVOTDATA("Sum of Antal djur",'G&amp;D slakt'!$L$3,"Djur",$A12,"Ras2",D$4)</f>
        <v>364.41393184570143</v>
      </c>
      <c r="E12" s="74">
        <f t="shared" si="0"/>
        <v>369.36621559178826</v>
      </c>
      <c r="F12" s="74">
        <f t="shared" si="4"/>
        <v>359.90939280075156</v>
      </c>
      <c r="G12" s="2"/>
      <c r="H12" s="2">
        <f>GETPIVOTDATA("Sum of Ålder*Antal",'G&amp;D slakt'!$L$3,"Djur",$A12,"Ras2",H$4)/GETPIVOTDATA("Sum of Antal djur",'G&amp;D slakt'!$L$3,"Djur",$A12,"Ras2",H$4)</f>
        <v>29.125621120855381</v>
      </c>
      <c r="I12" s="2">
        <f>GETPIVOTDATA("Sum of Ålder*Antal",'G&amp;D slakt'!$L$3,"Djur",$A12,"Ras2",I$4)/GETPIVOTDATA("Sum of Antal djur",'G&amp;D slakt'!$L$3,"Djur",$A12,"Ras2",I$4)</f>
        <v>30.652460403820584</v>
      </c>
      <c r="J12" s="2">
        <f>GETPIVOTDATA("Sum of Ålder*Antal",'G&amp;D slakt'!$L$3,"Djur",$A12,"Ras2",J$4)/GETPIVOTDATA("Sum of Antal djur",'G&amp;D slakt'!$L$3,"Djur",$A12,"Ras2",J$4)</f>
        <v>29.410776682234907</v>
      </c>
      <c r="K12" s="74">
        <f t="shared" si="1"/>
        <v>29.8627302132154</v>
      </c>
      <c r="L12" s="74">
        <f t="shared" si="5"/>
        <v>29.460394139867692</v>
      </c>
      <c r="M12" s="2"/>
      <c r="N12" s="2">
        <f>GETPIVOTDATA("Sum of Antal djur",'G&amp;D slakt'!$L$3,"Djur",$A12,"Ras2",N$4)/5</f>
        <v>10923.8</v>
      </c>
      <c r="O12" s="2">
        <f>GETPIVOTDATA("Sum of Antal djur",'G&amp;D slakt'!$L$3,"Djur",$A12,"Ras2",O$4)/5</f>
        <v>3308.4</v>
      </c>
      <c r="P12" s="2">
        <f>GETPIVOTDATA("Sum of Antal djur",'G&amp;D slakt'!$L$3,"Djur",$A12,"Ras2",P$4)/5</f>
        <v>5781</v>
      </c>
      <c r="Q12" s="2">
        <f t="shared" si="2"/>
        <v>9089.4</v>
      </c>
      <c r="R12" s="2">
        <f t="shared" si="3"/>
        <v>20013.199999999997</v>
      </c>
      <c r="S12" s="2"/>
      <c r="T12" s="2">
        <f t="shared" si="6"/>
        <v>8.5085203596013912</v>
      </c>
      <c r="U12" s="2">
        <f t="shared" si="6"/>
        <v>6.9735971232120209</v>
      </c>
      <c r="V12" s="2">
        <f t="shared" si="6"/>
        <v>6.241295546558705</v>
      </c>
      <c r="W12" s="2">
        <f t="shared" si="6"/>
        <v>6.4893322329060146</v>
      </c>
      <c r="X12" s="2">
        <f t="shared" si="6"/>
        <v>7.4549996386709934</v>
      </c>
    </row>
    <row r="13" spans="1:24" x14ac:dyDescent="0.25">
      <c r="A13" t="s">
        <v>128</v>
      </c>
      <c r="B13" s="2">
        <f>GETPIVOTDATA("Sum of Slaktvikt*Antal",'G&amp;D slakt'!$L$3,"Djur",$A13,"Ras2",B$4)/GETPIVOTDATA("Sum of Antal djur",'G&amp;D slakt'!$L$3,"Djur",$A13,"Ras2",B$4)</f>
        <v>169.51342753470152</v>
      </c>
      <c r="C13" s="2">
        <f>GETPIVOTDATA("Sum of Slaktvikt*Antal",'G&amp;D slakt'!$L$3,"Djur",$A13,"Ras2",C$4)/GETPIVOTDATA("Sum of Antal djur",'G&amp;D slakt'!$L$3,"Djur",$A13,"Ras2",C$4)</f>
        <v>155.04712937475423</v>
      </c>
      <c r="D13" s="2">
        <f>GETPIVOTDATA("Sum of Slaktvikt*Antal",'G&amp;D slakt'!$L$3,"Djur",$A13,"Ras2",D$4)/GETPIVOTDATA("Sum of Antal djur",'G&amp;D slakt'!$L$3,"Djur",$A13,"Ras2",D$4)</f>
        <v>158.20154979284948</v>
      </c>
      <c r="E13" s="74">
        <f t="shared" si="0"/>
        <v>157.31615342163354</v>
      </c>
      <c r="F13" s="74">
        <f t="shared" si="4"/>
        <v>166.36538521799815</v>
      </c>
      <c r="G13" s="2"/>
      <c r="H13" s="75">
        <f>GETPIVOTDATA("Sum of Ålder*Antal",'G&amp;D slakt'!$L$3,"Djur",$A13,"Ras2",H$4)/GETPIVOTDATA("Sum of Antal djur",'G&amp;D slakt'!$L$3,"Djur",$A13,"Ras2",H$4)</f>
        <v>10.897125962332254</v>
      </c>
      <c r="I13" s="2">
        <f>GETPIVOTDATA("Sum of Ålder*Antal",'G&amp;D slakt'!$L$3,"Djur",$A13,"Ras2",I$4)/GETPIVOTDATA("Sum of Antal djur",'G&amp;D slakt'!$L$3,"Djur",$A13,"Ras2",I$4)</f>
        <v>10.757097915847426</v>
      </c>
      <c r="J13" s="2">
        <f>GETPIVOTDATA("Sum of Ålder*Antal",'G&amp;D slakt'!$L$3,"Djur",$A13,"Ras2",J$4)/GETPIVOTDATA("Sum of Antal djur",'G&amp;D slakt'!$L$3,"Djur",$A13,"Ras2",J$4)</f>
        <v>11.004472916986343</v>
      </c>
      <c r="K13" s="76">
        <f t="shared" si="1"/>
        <v>10.935038631346579</v>
      </c>
      <c r="L13" s="74">
        <f t="shared" si="5"/>
        <v>10.906910991781446</v>
      </c>
      <c r="M13" s="2"/>
      <c r="N13" s="2">
        <f>GETPIVOTDATA("Sum of Antal djur",'G&amp;D slakt'!$L$3,"Djur",$A13,"Ras2",N$4)/5</f>
        <v>10417.4</v>
      </c>
      <c r="O13" s="2">
        <f>GETPIVOTDATA("Sum of Antal djur",'G&amp;D slakt'!$L$3,"Djur",$A13,"Ras2",O$4)/5</f>
        <v>1017.2</v>
      </c>
      <c r="P13" s="2">
        <f>GETPIVOTDATA("Sum of Antal djur",'G&amp;D slakt'!$L$3,"Djur",$A13,"Ras2",P$4)/5</f>
        <v>2606.8000000000002</v>
      </c>
      <c r="Q13" s="2">
        <f t="shared" si="2"/>
        <v>3624</v>
      </c>
      <c r="R13" s="2">
        <f t="shared" si="3"/>
        <v>14041.400000000001</v>
      </c>
      <c r="S13" s="2"/>
      <c r="T13" s="75">
        <f t="shared" si="6"/>
        <v>8.114086672596672</v>
      </c>
      <c r="U13" s="2">
        <f t="shared" si="6"/>
        <v>2.1441007718931409</v>
      </c>
      <c r="V13" s="2">
        <f t="shared" si="6"/>
        <v>2.8143589743589748</v>
      </c>
      <c r="W13" s="75">
        <f t="shared" si="6"/>
        <v>2.5873368992509289</v>
      </c>
      <c r="X13" s="2">
        <f t="shared" si="6"/>
        <v>5.2304794798650338</v>
      </c>
    </row>
    <row r="15" spans="1:24" x14ac:dyDescent="0.25">
      <c r="H15">
        <f>H10/H11</f>
        <v>1.047172161650372</v>
      </c>
      <c r="I15">
        <f t="shared" ref="I15:L15" si="7">I10/I11</f>
        <v>1.0691012454069082</v>
      </c>
      <c r="J15">
        <f t="shared" si="7"/>
        <v>1.058626685071252</v>
      </c>
      <c r="K15">
        <f t="shared" si="7"/>
        <v>1.0623013146504483</v>
      </c>
      <c r="L15">
        <f t="shared" si="7"/>
        <v>1.055424636221741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0"/>
  <sheetViews>
    <sheetView workbookViewId="0">
      <selection activeCell="O20" sqref="O20"/>
    </sheetView>
  </sheetViews>
  <sheetFormatPr defaultRowHeight="15" x14ac:dyDescent="0.25"/>
  <cols>
    <col min="1" max="1" width="24.28515625" bestFit="1" customWidth="1"/>
    <col min="2" max="2" width="10.85546875" bestFit="1" customWidth="1"/>
    <col min="3" max="3" width="9.7109375" bestFit="1" customWidth="1"/>
    <col min="4" max="4" width="15.28515625" customWidth="1"/>
    <col min="5" max="5" width="12.7109375" bestFit="1" customWidth="1"/>
    <col min="6" max="7" width="9.5703125" bestFit="1" customWidth="1"/>
    <col min="8" max="8" width="11.85546875" bestFit="1" customWidth="1"/>
    <col min="9" max="9" width="11.7109375" bestFit="1" customWidth="1"/>
    <col min="11" max="11" width="11.7109375" customWidth="1"/>
  </cols>
  <sheetData>
    <row r="1" spans="1:19" x14ac:dyDescent="0.25">
      <c r="A1" s="27" t="s">
        <v>244</v>
      </c>
    </row>
    <row r="2" spans="1:19" x14ac:dyDescent="0.25">
      <c r="A2" s="27"/>
      <c r="B2" s="27"/>
    </row>
    <row r="4" spans="1:19" x14ac:dyDescent="0.25">
      <c r="C4" s="6" t="s">
        <v>203</v>
      </c>
      <c r="D4" s="6" t="s">
        <v>245</v>
      </c>
      <c r="E4" s="6" t="s">
        <v>204</v>
      </c>
      <c r="F4" s="6" t="s">
        <v>246</v>
      </c>
      <c r="G4" s="6" t="s">
        <v>247</v>
      </c>
      <c r="H4" s="6" t="s">
        <v>238</v>
      </c>
      <c r="I4" s="6" t="s">
        <v>248</v>
      </c>
      <c r="N4" t="s">
        <v>203</v>
      </c>
      <c r="P4" t="s">
        <v>204</v>
      </c>
      <c r="R4" t="s">
        <v>238</v>
      </c>
    </row>
    <row r="5" spans="1:19" x14ac:dyDescent="0.25">
      <c r="A5" s="77" t="s">
        <v>249</v>
      </c>
      <c r="B5" s="78" t="s">
        <v>250</v>
      </c>
      <c r="C5" s="79">
        <f>C11+C17+C23+C29+C35</f>
        <v>254237</v>
      </c>
      <c r="D5" s="78"/>
      <c r="E5" s="80">
        <f>($C11*E11+$C17*E17+$C23*E23+$C29*E29+$C35*E35)/$C5</f>
        <v>311.62467776130143</v>
      </c>
      <c r="F5" s="80">
        <f t="shared" ref="F5:H5" si="0">($C11*F11+$C17*F17+$C23*F23+$C29*F29+$C35*F35)/$C5</f>
        <v>4.0213434708559337</v>
      </c>
      <c r="G5" s="80">
        <f t="shared" si="0"/>
        <v>7.3071405814259922</v>
      </c>
      <c r="H5" s="80">
        <f t="shared" si="0"/>
        <v>69.22407517395186</v>
      </c>
      <c r="I5" s="80"/>
      <c r="K5" t="s">
        <v>251</v>
      </c>
      <c r="L5" s="13">
        <f>SUMPRODUCT(C5:C6,H5:H6)/SUM(C5:C6)/12</f>
        <v>5.0579254131664273</v>
      </c>
      <c r="M5" t="s">
        <v>252</v>
      </c>
      <c r="N5" s="12">
        <f>C11+C17+C23+C29</f>
        <v>212411</v>
      </c>
      <c r="O5" s="26">
        <f>N5/C5</f>
        <v>0.83548421354877533</v>
      </c>
      <c r="P5">
        <f>($C11*E11+$C17*E17+$C23*E23+$C29*E29)/$N5</f>
        <v>312.02335848896712</v>
      </c>
      <c r="Q5" s="26">
        <f>P5/E5</f>
        <v>1.0012793618609725</v>
      </c>
      <c r="R5">
        <f t="shared" ref="R5:R10" si="1">($C11*H11+$C17*H17+$C23*H23+$C29*H29)/$N5</f>
        <v>69.760474740008746</v>
      </c>
      <c r="S5" s="26">
        <f>R5/H5</f>
        <v>1.00774874297286</v>
      </c>
    </row>
    <row r="6" spans="1:19" x14ac:dyDescent="0.25">
      <c r="A6" s="77"/>
      <c r="B6" s="78" t="s">
        <v>188</v>
      </c>
      <c r="C6" s="79">
        <f t="shared" ref="C6:C10" si="2">C12+C18+C24+C30+C36</f>
        <v>101572</v>
      </c>
      <c r="D6" s="78"/>
      <c r="E6" s="80">
        <f t="shared" ref="E6:I10" si="3">($C12*E12+$C18*E18+$C24*E24+$C30*E30+$C36*E36)/$C6</f>
        <v>284.07221970621828</v>
      </c>
      <c r="F6" s="80">
        <f t="shared" si="3"/>
        <v>3.8006232032449891</v>
      </c>
      <c r="G6" s="80">
        <f t="shared" si="3"/>
        <v>6.9220759658173519</v>
      </c>
      <c r="H6" s="80">
        <f t="shared" si="3"/>
        <v>39.346900720671051</v>
      </c>
      <c r="I6" s="80"/>
      <c r="K6" t="s">
        <v>83</v>
      </c>
      <c r="L6" s="26"/>
      <c r="N6" s="12">
        <f t="shared" ref="N6:N10" si="4">C12+C18+C24+C30</f>
        <v>83208</v>
      </c>
      <c r="O6" s="26">
        <f t="shared" ref="O6:O10" si="5">N6/C6</f>
        <v>0.8192021423226874</v>
      </c>
      <c r="P6">
        <f t="shared" ref="P6:P10" si="6">($C12*E12+$C18*E18+$C24*E24+$C30*E30)/$N6</f>
        <v>284.7061184020767</v>
      </c>
      <c r="Q6" s="26">
        <f t="shared" ref="Q6:Q10" si="7">P6/E6</f>
        <v>1.0022314702103359</v>
      </c>
      <c r="R6">
        <f t="shared" si="1"/>
        <v>39.511741659455822</v>
      </c>
      <c r="S6" s="26">
        <f t="shared" ref="S6:S10" si="8">R6/H6</f>
        <v>1.0041894262512567</v>
      </c>
    </row>
    <row r="7" spans="1:19" x14ac:dyDescent="0.25">
      <c r="A7" s="77"/>
      <c r="B7" s="78" t="s">
        <v>253</v>
      </c>
      <c r="C7" s="79">
        <f t="shared" si="2"/>
        <v>42815</v>
      </c>
      <c r="D7" s="78"/>
      <c r="E7" s="80">
        <f t="shared" si="3"/>
        <v>294.00667289501342</v>
      </c>
      <c r="F7" s="80">
        <f t="shared" si="3"/>
        <v>4.5251850986803683</v>
      </c>
      <c r="G7" s="80">
        <f t="shared" si="3"/>
        <v>8.3261310288450296</v>
      </c>
      <c r="H7" s="80">
        <f t="shared" si="3"/>
        <v>28.461235548289153</v>
      </c>
      <c r="I7" s="80">
        <f t="shared" si="3"/>
        <v>316.44785705944179</v>
      </c>
      <c r="K7" t="s">
        <v>254</v>
      </c>
      <c r="L7" s="26">
        <f>(C9*(I9/12))/(C9*(I9/12)+C10*(I10/12))</f>
        <v>0.22305303246475736</v>
      </c>
      <c r="N7" s="12">
        <f t="shared" si="4"/>
        <v>34206</v>
      </c>
      <c r="O7" s="26">
        <f t="shared" si="5"/>
        <v>0.79892561018334696</v>
      </c>
      <c r="P7">
        <f t="shared" si="6"/>
        <v>294.46137812079752</v>
      </c>
      <c r="Q7" s="26">
        <f t="shared" si="7"/>
        <v>1.0015465813115965</v>
      </c>
      <c r="R7">
        <f t="shared" si="1"/>
        <v>28.526983570133893</v>
      </c>
      <c r="S7" s="26">
        <f t="shared" si="8"/>
        <v>1.0023100902184372</v>
      </c>
    </row>
    <row r="8" spans="1:19" x14ac:dyDescent="0.25">
      <c r="A8" s="77"/>
      <c r="B8" s="78" t="s">
        <v>191</v>
      </c>
      <c r="C8" s="79">
        <f t="shared" si="2"/>
        <v>8283</v>
      </c>
      <c r="D8" s="78"/>
      <c r="E8" s="80">
        <f t="shared" si="3"/>
        <v>167.41452372328865</v>
      </c>
      <c r="F8" s="80">
        <f t="shared" si="3"/>
        <v>4.6737413980441866</v>
      </c>
      <c r="G8" s="80">
        <f t="shared" si="3"/>
        <v>5.3224194132560667</v>
      </c>
      <c r="H8" s="80">
        <f t="shared" si="3"/>
        <v>9.2787154412652413</v>
      </c>
      <c r="I8" s="80">
        <f t="shared" si="3"/>
        <v>523.08378606784981</v>
      </c>
      <c r="N8" s="12">
        <f t="shared" si="4"/>
        <v>6929</v>
      </c>
      <c r="O8" s="26">
        <f t="shared" si="5"/>
        <v>0.83653265724978876</v>
      </c>
      <c r="P8">
        <f t="shared" si="6"/>
        <v>168.04267571078077</v>
      </c>
      <c r="Q8" s="26">
        <f t="shared" si="7"/>
        <v>1.0037520758266492</v>
      </c>
      <c r="R8">
        <f t="shared" si="1"/>
        <v>9.3136383316495888</v>
      </c>
      <c r="S8" s="26">
        <f t="shared" si="8"/>
        <v>1.0037637634870269</v>
      </c>
    </row>
    <row r="9" spans="1:19" x14ac:dyDescent="0.25">
      <c r="A9" s="77"/>
      <c r="B9" s="78" t="s">
        <v>192</v>
      </c>
      <c r="C9" s="79">
        <f t="shared" si="2"/>
        <v>39167</v>
      </c>
      <c r="D9" s="78"/>
      <c r="E9" s="80">
        <f t="shared" si="3"/>
        <v>323.46097224704465</v>
      </c>
      <c r="F9" s="80">
        <f t="shared" si="3"/>
        <v>4.3642786018842399</v>
      </c>
      <c r="G9" s="80">
        <f t="shared" si="3"/>
        <v>7.5542293257078663</v>
      </c>
      <c r="H9" s="80">
        <f t="shared" si="3"/>
        <v>27.685237572446191</v>
      </c>
      <c r="I9" s="80">
        <f t="shared" si="3"/>
        <v>360.49804682513343</v>
      </c>
      <c r="N9" s="12">
        <f t="shared" si="4"/>
        <v>30466</v>
      </c>
      <c r="O9" s="26">
        <f t="shared" si="5"/>
        <v>0.7778486991600071</v>
      </c>
      <c r="P9">
        <f t="shared" si="6"/>
        <v>323.73542309459719</v>
      </c>
      <c r="Q9" s="26">
        <f t="shared" si="7"/>
        <v>1.0008484821078907</v>
      </c>
      <c r="R9">
        <f t="shared" si="1"/>
        <v>27.681021466552878</v>
      </c>
      <c r="S9" s="26">
        <f t="shared" si="8"/>
        <v>0.9998477128512161</v>
      </c>
    </row>
    <row r="10" spans="1:19" x14ac:dyDescent="0.25">
      <c r="A10" s="77"/>
      <c r="B10" s="78" t="s">
        <v>193</v>
      </c>
      <c r="C10" s="79">
        <f t="shared" si="2"/>
        <v>97422</v>
      </c>
      <c r="D10" s="78"/>
      <c r="E10" s="80">
        <f t="shared" si="3"/>
        <v>328.44804253659339</v>
      </c>
      <c r="F10" s="80">
        <f t="shared" si="3"/>
        <v>4.7509351070600072</v>
      </c>
      <c r="G10" s="80">
        <f t="shared" si="3"/>
        <v>6.6520775594834838</v>
      </c>
      <c r="H10" s="80">
        <f t="shared" si="3"/>
        <v>20.048902711913119</v>
      </c>
      <c r="I10" s="80">
        <f t="shared" si="3"/>
        <v>504.83496540822404</v>
      </c>
      <c r="N10" s="12">
        <f t="shared" si="4"/>
        <v>77052</v>
      </c>
      <c r="O10" s="26">
        <f t="shared" si="5"/>
        <v>0.79090965079756115</v>
      </c>
      <c r="P10">
        <f t="shared" si="6"/>
        <v>328.59292685459172</v>
      </c>
      <c r="Q10" s="26">
        <f t="shared" si="7"/>
        <v>1.0004411179219683</v>
      </c>
      <c r="R10">
        <f t="shared" si="1"/>
        <v>20.088267663396145</v>
      </c>
      <c r="S10" s="26">
        <f t="shared" si="8"/>
        <v>1.0019634466807821</v>
      </c>
    </row>
    <row r="11" spans="1:19" x14ac:dyDescent="0.25">
      <c r="A11" s="49" t="s">
        <v>255</v>
      </c>
      <c r="B11" s="81" t="s">
        <v>250</v>
      </c>
      <c r="C11" s="50">
        <v>1433</v>
      </c>
      <c r="D11" s="64">
        <v>40</v>
      </c>
      <c r="E11" s="64">
        <v>202.3</v>
      </c>
      <c r="F11" s="64">
        <v>3.5</v>
      </c>
      <c r="G11" s="64">
        <v>6.6</v>
      </c>
      <c r="H11" s="64">
        <v>69.599999999999994</v>
      </c>
      <c r="I11" s="82"/>
      <c r="S11" s="26"/>
    </row>
    <row r="12" spans="1:19" x14ac:dyDescent="0.25">
      <c r="A12" s="49"/>
      <c r="B12" s="49" t="s">
        <v>188</v>
      </c>
      <c r="C12" s="50">
        <v>438</v>
      </c>
      <c r="D12" s="64">
        <v>40</v>
      </c>
      <c r="E12" s="64">
        <v>184.8</v>
      </c>
      <c r="F12" s="64">
        <v>2.9</v>
      </c>
      <c r="G12" s="64">
        <v>6.4</v>
      </c>
      <c r="H12" s="64">
        <v>36.4</v>
      </c>
      <c r="I12" s="82"/>
    </row>
    <row r="13" spans="1:19" x14ac:dyDescent="0.25">
      <c r="A13" s="49"/>
      <c r="B13" s="49" t="s">
        <v>253</v>
      </c>
      <c r="C13" s="50">
        <v>205</v>
      </c>
      <c r="D13" s="64">
        <v>40</v>
      </c>
      <c r="E13" s="64">
        <v>205.2</v>
      </c>
      <c r="F13" s="64">
        <v>3.7</v>
      </c>
      <c r="G13" s="64">
        <v>8</v>
      </c>
      <c r="H13" s="64">
        <v>30.3</v>
      </c>
      <c r="I13" s="82">
        <v>201</v>
      </c>
    </row>
    <row r="14" spans="1:19" x14ac:dyDescent="0.25">
      <c r="A14" s="49"/>
      <c r="B14" s="49" t="s">
        <v>191</v>
      </c>
      <c r="C14" s="50">
        <v>85</v>
      </c>
      <c r="D14" s="64">
        <v>40</v>
      </c>
      <c r="E14" s="64">
        <v>129.69999999999999</v>
      </c>
      <c r="F14" s="64">
        <v>4</v>
      </c>
      <c r="G14" s="64">
        <v>5</v>
      </c>
      <c r="H14" s="64">
        <v>10.6</v>
      </c>
      <c r="I14" s="82">
        <v>341</v>
      </c>
    </row>
    <row r="15" spans="1:19" x14ac:dyDescent="0.25">
      <c r="A15" s="49"/>
      <c r="B15" s="49" t="s">
        <v>192</v>
      </c>
      <c r="C15" s="50">
        <v>235</v>
      </c>
      <c r="D15" s="64">
        <v>39.9</v>
      </c>
      <c r="E15" s="64">
        <v>255.3</v>
      </c>
      <c r="F15" s="64">
        <v>3.7</v>
      </c>
      <c r="G15" s="64">
        <v>7.7</v>
      </c>
      <c r="H15" s="64">
        <v>32</v>
      </c>
      <c r="I15" s="82">
        <v>242</v>
      </c>
    </row>
    <row r="16" spans="1:19" x14ac:dyDescent="0.25">
      <c r="A16" s="49"/>
      <c r="B16" s="49" t="s">
        <v>193</v>
      </c>
      <c r="C16" s="50">
        <v>168</v>
      </c>
      <c r="D16" s="64">
        <v>40</v>
      </c>
      <c r="E16" s="64">
        <v>258.89999999999998</v>
      </c>
      <c r="F16" s="64">
        <v>4.3</v>
      </c>
      <c r="G16" s="64">
        <v>6.6</v>
      </c>
      <c r="H16" s="64">
        <v>21.6</v>
      </c>
      <c r="I16" s="82">
        <v>364</v>
      </c>
    </row>
    <row r="17" spans="1:9" x14ac:dyDescent="0.25">
      <c r="A17" s="49" t="s">
        <v>256</v>
      </c>
      <c r="B17" s="81" t="s">
        <v>250</v>
      </c>
      <c r="C17" s="50">
        <v>681</v>
      </c>
      <c r="D17" s="64"/>
      <c r="E17" s="64">
        <v>247.2</v>
      </c>
      <c r="F17" s="64">
        <v>4</v>
      </c>
      <c r="G17" s="64">
        <v>9.9</v>
      </c>
      <c r="H17" s="64">
        <v>95.3</v>
      </c>
      <c r="I17" s="82"/>
    </row>
    <row r="18" spans="1:9" x14ac:dyDescent="0.25">
      <c r="A18" s="49"/>
      <c r="B18" s="49" t="s">
        <v>188</v>
      </c>
      <c r="C18" s="50">
        <v>93</v>
      </c>
      <c r="D18" s="64"/>
      <c r="E18" s="64">
        <v>207.6</v>
      </c>
      <c r="F18" s="64">
        <v>3.5</v>
      </c>
      <c r="G18" s="64">
        <v>8.4</v>
      </c>
      <c r="H18" s="64">
        <v>35.9</v>
      </c>
      <c r="I18" s="82"/>
    </row>
    <row r="19" spans="1:9" x14ac:dyDescent="0.25">
      <c r="A19" s="49"/>
      <c r="B19" s="49" t="s">
        <v>253</v>
      </c>
      <c r="C19" s="50">
        <v>106</v>
      </c>
      <c r="D19" s="64"/>
      <c r="E19" s="64">
        <v>212.2</v>
      </c>
      <c r="F19" s="64">
        <v>4.2</v>
      </c>
      <c r="G19" s="64">
        <v>8.9</v>
      </c>
      <c r="H19" s="64">
        <v>28.9</v>
      </c>
      <c r="I19" s="82">
        <v>219</v>
      </c>
    </row>
    <row r="20" spans="1:9" x14ac:dyDescent="0.25">
      <c r="A20" s="49"/>
      <c r="B20" s="49" t="s">
        <v>191</v>
      </c>
      <c r="C20" s="50">
        <v>164</v>
      </c>
      <c r="D20" s="64"/>
      <c r="E20" s="64">
        <v>123.8</v>
      </c>
      <c r="F20" s="64">
        <v>4.0999999999999996</v>
      </c>
      <c r="G20" s="64">
        <v>5.3</v>
      </c>
      <c r="H20" s="64">
        <v>9.3000000000000007</v>
      </c>
      <c r="I20" s="82">
        <v>366</v>
      </c>
    </row>
    <row r="21" spans="1:9" x14ac:dyDescent="0.25">
      <c r="A21" s="49"/>
      <c r="B21" s="49" t="s">
        <v>192</v>
      </c>
      <c r="C21" s="50">
        <v>224</v>
      </c>
      <c r="D21" s="64"/>
      <c r="E21" s="64">
        <v>242</v>
      </c>
      <c r="F21" s="64">
        <v>4</v>
      </c>
      <c r="G21" s="64">
        <v>7.8</v>
      </c>
      <c r="H21" s="64">
        <v>28.4</v>
      </c>
      <c r="I21" s="82">
        <v>257</v>
      </c>
    </row>
    <row r="22" spans="1:9" x14ac:dyDescent="0.25">
      <c r="A22" s="49"/>
      <c r="B22" s="49" t="s">
        <v>193</v>
      </c>
      <c r="C22" s="50">
        <v>301</v>
      </c>
      <c r="D22" s="64"/>
      <c r="E22" s="64">
        <v>260.5</v>
      </c>
      <c r="F22" s="64">
        <v>4.5999999999999996</v>
      </c>
      <c r="G22" s="64">
        <v>6</v>
      </c>
      <c r="H22" s="64">
        <v>23.1</v>
      </c>
      <c r="I22" s="82">
        <v>343</v>
      </c>
    </row>
    <row r="23" spans="1:9" x14ac:dyDescent="0.25">
      <c r="A23" s="49" t="s">
        <v>257</v>
      </c>
      <c r="B23" s="81" t="s">
        <v>250</v>
      </c>
      <c r="C23" s="50">
        <v>130623</v>
      </c>
      <c r="D23" s="64"/>
      <c r="E23" s="64">
        <v>317.3</v>
      </c>
      <c r="F23" s="64">
        <v>3.8</v>
      </c>
      <c r="G23" s="64">
        <v>7</v>
      </c>
      <c r="H23" s="64">
        <v>69.3</v>
      </c>
      <c r="I23" s="82"/>
    </row>
    <row r="24" spans="1:9" x14ac:dyDescent="0.25">
      <c r="A24" s="49"/>
      <c r="B24" s="49" t="s">
        <v>188</v>
      </c>
      <c r="C24" s="50">
        <v>55981</v>
      </c>
      <c r="D24" s="64"/>
      <c r="E24" s="64">
        <v>289.10000000000002</v>
      </c>
      <c r="F24" s="64">
        <v>3.6</v>
      </c>
      <c r="G24" s="64">
        <v>6.7</v>
      </c>
      <c r="H24" s="64">
        <v>39.5</v>
      </c>
      <c r="I24" s="82"/>
    </row>
    <row r="25" spans="1:9" x14ac:dyDescent="0.25">
      <c r="A25" s="49"/>
      <c r="B25" s="49" t="s">
        <v>253</v>
      </c>
      <c r="C25" s="50">
        <v>21744</v>
      </c>
      <c r="D25" s="64"/>
      <c r="E25" s="64">
        <v>296.8</v>
      </c>
      <c r="F25" s="64">
        <v>4.2</v>
      </c>
      <c r="G25" s="64">
        <v>8.1999999999999993</v>
      </c>
      <c r="H25" s="64">
        <v>28.3</v>
      </c>
      <c r="I25" s="82">
        <v>321</v>
      </c>
    </row>
    <row r="26" spans="1:9" x14ac:dyDescent="0.25">
      <c r="A26" s="49"/>
      <c r="B26" s="49" t="s">
        <v>191</v>
      </c>
      <c r="C26" s="50">
        <v>5050</v>
      </c>
      <c r="D26" s="64"/>
      <c r="E26" s="64">
        <v>170.3</v>
      </c>
      <c r="F26" s="64">
        <v>4.5</v>
      </c>
      <c r="G26" s="64">
        <v>5.0999999999999996</v>
      </c>
      <c r="H26" s="64">
        <v>9.1999999999999993</v>
      </c>
      <c r="I26" s="82">
        <v>537</v>
      </c>
    </row>
    <row r="27" spans="1:9" x14ac:dyDescent="0.25">
      <c r="A27" s="49"/>
      <c r="B27" s="49" t="s">
        <v>192</v>
      </c>
      <c r="C27" s="50">
        <v>18610</v>
      </c>
      <c r="D27" s="64"/>
      <c r="E27" s="64">
        <v>326.33999999999997</v>
      </c>
      <c r="F27" s="64">
        <v>4</v>
      </c>
      <c r="G27" s="64">
        <v>7.5</v>
      </c>
      <c r="H27" s="64">
        <v>27.3</v>
      </c>
      <c r="I27" s="82">
        <v>369</v>
      </c>
    </row>
    <row r="28" spans="1:9" x14ac:dyDescent="0.25">
      <c r="A28" s="49"/>
      <c r="B28" s="49" t="s">
        <v>193</v>
      </c>
      <c r="C28" s="50">
        <v>54487</v>
      </c>
      <c r="D28" s="64"/>
      <c r="E28" s="64">
        <v>329.1</v>
      </c>
      <c r="F28" s="64">
        <v>4.4000000000000004</v>
      </c>
      <c r="G28" s="64">
        <v>6.5</v>
      </c>
      <c r="H28" s="64">
        <v>19.899999999999999</v>
      </c>
      <c r="I28" s="82">
        <v>509</v>
      </c>
    </row>
    <row r="29" spans="1:9" x14ac:dyDescent="0.25">
      <c r="A29" s="49" t="s">
        <v>258</v>
      </c>
      <c r="B29" s="81" t="s">
        <v>250</v>
      </c>
      <c r="C29" s="50">
        <v>79674</v>
      </c>
      <c r="D29" s="64"/>
      <c r="E29" s="64">
        <v>305.89999999999998</v>
      </c>
      <c r="F29" s="64">
        <v>4.3</v>
      </c>
      <c r="G29" s="64">
        <v>7.7</v>
      </c>
      <c r="H29" s="64">
        <v>70.3</v>
      </c>
      <c r="I29" s="82"/>
    </row>
    <row r="30" spans="1:9" x14ac:dyDescent="0.25">
      <c r="A30" s="49"/>
      <c r="B30" s="49" t="s">
        <v>188</v>
      </c>
      <c r="C30" s="50">
        <v>26696</v>
      </c>
      <c r="D30" s="64"/>
      <c r="E30" s="64">
        <v>277.39999999999998</v>
      </c>
      <c r="F30" s="64">
        <v>4.0999999999999996</v>
      </c>
      <c r="G30" s="64">
        <v>7.2</v>
      </c>
      <c r="H30" s="64">
        <v>39.6</v>
      </c>
      <c r="I30" s="82"/>
    </row>
    <row r="31" spans="1:9" x14ac:dyDescent="0.25">
      <c r="A31" s="49"/>
      <c r="B31" s="49" t="s">
        <v>253</v>
      </c>
      <c r="C31" s="50">
        <v>12151</v>
      </c>
      <c r="D31" s="64"/>
      <c r="E31" s="64">
        <v>292.5</v>
      </c>
      <c r="F31" s="64">
        <v>5</v>
      </c>
      <c r="G31" s="64">
        <v>8.5</v>
      </c>
      <c r="H31" s="64">
        <v>28.9</v>
      </c>
      <c r="I31" s="82">
        <v>310</v>
      </c>
    </row>
    <row r="32" spans="1:9" x14ac:dyDescent="0.25">
      <c r="A32" s="49"/>
      <c r="B32" s="49" t="s">
        <v>191</v>
      </c>
      <c r="C32" s="50">
        <v>1630</v>
      </c>
      <c r="D32" s="64"/>
      <c r="E32" s="64">
        <v>167.5</v>
      </c>
      <c r="F32" s="64">
        <v>5.2</v>
      </c>
      <c r="G32" s="64">
        <v>5.8</v>
      </c>
      <c r="H32" s="64">
        <v>9.6</v>
      </c>
      <c r="I32" s="82">
        <v>507</v>
      </c>
    </row>
    <row r="33" spans="1:19" x14ac:dyDescent="0.25">
      <c r="A33" s="49"/>
      <c r="B33" s="49" t="s">
        <v>192</v>
      </c>
      <c r="C33" s="50">
        <v>11397</v>
      </c>
      <c r="D33" s="64"/>
      <c r="E33" s="64">
        <v>322.5</v>
      </c>
      <c r="F33" s="64">
        <v>4.8</v>
      </c>
      <c r="G33" s="64">
        <v>7.6</v>
      </c>
      <c r="H33" s="64">
        <v>28.2</v>
      </c>
      <c r="I33" s="82">
        <v>353</v>
      </c>
    </row>
    <row r="34" spans="1:19" x14ac:dyDescent="0.25">
      <c r="A34" s="49"/>
      <c r="B34" s="49" t="s">
        <v>193</v>
      </c>
      <c r="C34" s="50">
        <v>22096</v>
      </c>
      <c r="D34" s="64"/>
      <c r="E34" s="64">
        <v>328.8</v>
      </c>
      <c r="F34" s="64">
        <v>5.3</v>
      </c>
      <c r="G34" s="64">
        <v>6.9</v>
      </c>
      <c r="H34" s="64">
        <v>20.5</v>
      </c>
      <c r="I34" s="82">
        <v>494</v>
      </c>
    </row>
    <row r="35" spans="1:19" x14ac:dyDescent="0.25">
      <c r="A35" s="49" t="s">
        <v>259</v>
      </c>
      <c r="B35" s="81" t="s">
        <v>250</v>
      </c>
      <c r="C35" s="50">
        <v>41826</v>
      </c>
      <c r="D35" s="64"/>
      <c r="E35" s="64">
        <v>309.60000000000002</v>
      </c>
      <c r="F35" s="64">
        <v>4.2</v>
      </c>
      <c r="G35" s="64">
        <v>7.5</v>
      </c>
      <c r="H35" s="64">
        <v>66.5</v>
      </c>
      <c r="I35" s="82"/>
      <c r="J35" s="26">
        <f>C35/C5</f>
        <v>0.16451578645122464</v>
      </c>
    </row>
    <row r="36" spans="1:19" x14ac:dyDescent="0.25">
      <c r="A36" s="49"/>
      <c r="B36" s="49" t="s">
        <v>188</v>
      </c>
      <c r="C36" s="50">
        <v>18364</v>
      </c>
      <c r="D36" s="64"/>
      <c r="E36" s="64">
        <v>281.2</v>
      </c>
      <c r="F36" s="64">
        <v>4</v>
      </c>
      <c r="G36" s="64">
        <v>7.2</v>
      </c>
      <c r="H36" s="64">
        <v>38.6</v>
      </c>
      <c r="I36" s="82"/>
      <c r="J36" s="26">
        <f t="shared" ref="J36:J40" si="9">C36/C6</f>
        <v>0.18079785767731266</v>
      </c>
    </row>
    <row r="37" spans="1:19" x14ac:dyDescent="0.25">
      <c r="A37" s="49"/>
      <c r="B37" s="49" t="s">
        <v>253</v>
      </c>
      <c r="C37" s="50">
        <v>8609</v>
      </c>
      <c r="D37" s="64"/>
      <c r="E37" s="64">
        <v>292.2</v>
      </c>
      <c r="F37" s="64">
        <v>4.7</v>
      </c>
      <c r="G37" s="64">
        <v>8.4</v>
      </c>
      <c r="H37" s="64">
        <v>28.2</v>
      </c>
      <c r="I37" s="82">
        <v>318</v>
      </c>
      <c r="J37" s="26">
        <f t="shared" si="9"/>
        <v>0.20107438981665304</v>
      </c>
    </row>
    <row r="38" spans="1:19" x14ac:dyDescent="0.25">
      <c r="A38" s="49"/>
      <c r="B38" s="49" t="s">
        <v>191</v>
      </c>
      <c r="C38" s="50">
        <v>1354</v>
      </c>
      <c r="D38" s="64"/>
      <c r="E38" s="64">
        <v>164.2</v>
      </c>
      <c r="F38" s="64">
        <v>4.8</v>
      </c>
      <c r="G38" s="64">
        <v>5.6</v>
      </c>
      <c r="H38" s="64">
        <v>9.1</v>
      </c>
      <c r="I38" s="82">
        <v>521</v>
      </c>
      <c r="J38" s="26">
        <f t="shared" si="9"/>
        <v>0.16346734275021127</v>
      </c>
    </row>
    <row r="39" spans="1:19" x14ac:dyDescent="0.25">
      <c r="A39" s="49"/>
      <c r="B39" s="49" t="s">
        <v>192</v>
      </c>
      <c r="C39" s="50">
        <v>8701</v>
      </c>
      <c r="D39" s="64"/>
      <c r="E39" s="64">
        <v>322.5</v>
      </c>
      <c r="F39" s="64">
        <v>4.5999999999999996</v>
      </c>
      <c r="G39" s="64">
        <v>7.6</v>
      </c>
      <c r="H39" s="64">
        <v>27.7</v>
      </c>
      <c r="I39" s="82">
        <v>358</v>
      </c>
      <c r="J39" s="26">
        <f t="shared" si="9"/>
        <v>0.22215130083999285</v>
      </c>
    </row>
    <row r="40" spans="1:19" x14ac:dyDescent="0.25">
      <c r="A40" s="49"/>
      <c r="B40" s="49" t="s">
        <v>193</v>
      </c>
      <c r="C40" s="50">
        <v>20370</v>
      </c>
      <c r="D40" s="64"/>
      <c r="E40" s="64">
        <v>327.9</v>
      </c>
      <c r="F40" s="64">
        <v>5.0999999999999996</v>
      </c>
      <c r="G40" s="64">
        <v>6.8</v>
      </c>
      <c r="H40" s="64">
        <v>19.899999999999999</v>
      </c>
      <c r="I40" s="82">
        <v>509</v>
      </c>
      <c r="J40" s="26">
        <f t="shared" si="9"/>
        <v>0.20909034920243888</v>
      </c>
      <c r="N40" t="s">
        <v>203</v>
      </c>
      <c r="P40" t="s">
        <v>204</v>
      </c>
      <c r="R40" t="s">
        <v>238</v>
      </c>
    </row>
    <row r="41" spans="1:19" x14ac:dyDescent="0.25">
      <c r="A41" s="83" t="s">
        <v>260</v>
      </c>
      <c r="B41" s="84" t="s">
        <v>250</v>
      </c>
      <c r="C41" s="85">
        <f>SUM(C47,C83)</f>
        <v>16927</v>
      </c>
      <c r="D41" s="86">
        <f>($C47*D47+$C83*D83)/$C41</f>
        <v>41.57488759531968</v>
      </c>
      <c r="E41" s="86">
        <f>($C47*E47+$C83*E83)/$C41</f>
        <v>379.16193064335084</v>
      </c>
      <c r="F41" s="86">
        <f t="shared" ref="F41:H41" si="10">($C47*F47+$C83*F83)/$C41</f>
        <v>6.7577597920482075</v>
      </c>
      <c r="G41" s="86">
        <f t="shared" si="10"/>
        <v>9.0394458557334438</v>
      </c>
      <c r="H41" s="86">
        <f t="shared" si="10"/>
        <v>91.658143793938692</v>
      </c>
      <c r="I41" s="86"/>
      <c r="K41" t="s">
        <v>251</v>
      </c>
      <c r="L41" s="13">
        <f>SUMPRODUCT(C41:C42,H41:H42)/SUM(C41:C42)/12</f>
        <v>6.4128831355158482</v>
      </c>
      <c r="M41" t="s">
        <v>252</v>
      </c>
      <c r="N41">
        <f>SUM(N47,N83)</f>
        <v>10586</v>
      </c>
      <c r="O41" s="26">
        <f t="shared" ref="O41:O46" si="11">N41/C41</f>
        <v>0.62539138654221071</v>
      </c>
      <c r="P41">
        <f>($N47*P47+$N83*P83)/$N41</f>
        <v>389.65669752503305</v>
      </c>
      <c r="Q41" s="26">
        <f t="shared" ref="Q41:Q46" si="12">P41/E41</f>
        <v>1.0276788517873485</v>
      </c>
      <c r="R41">
        <f>($N47*R47+$N83*R83)/$N41</f>
        <v>94.044558851313056</v>
      </c>
      <c r="S41" s="26">
        <f t="shared" ref="S41:S46" si="13">R41/H41</f>
        <v>1.0260360395551908</v>
      </c>
    </row>
    <row r="42" spans="1:19" x14ac:dyDescent="0.25">
      <c r="A42" s="83"/>
      <c r="B42" s="84" t="s">
        <v>188</v>
      </c>
      <c r="C42" s="85">
        <f t="shared" ref="C42:C46" si="14">SUM(C48,C84)</f>
        <v>6074</v>
      </c>
      <c r="D42" s="86">
        <f t="shared" ref="D42:I46" si="15">($C48*D48+$C84*D84)/$C42</f>
        <v>40.890930304487334</v>
      </c>
      <c r="E42" s="86">
        <f t="shared" si="15"/>
        <v>324.01010865986171</v>
      </c>
      <c r="F42" s="86">
        <f t="shared" si="15"/>
        <v>6.0869937438261434</v>
      </c>
      <c r="G42" s="86">
        <f t="shared" si="15"/>
        <v>8.2787290088903518</v>
      </c>
      <c r="H42" s="86">
        <f t="shared" si="15"/>
        <v>35.978811326967403</v>
      </c>
      <c r="I42" s="86"/>
      <c r="K42" t="s">
        <v>83</v>
      </c>
      <c r="L42" s="26" t="e">
        <f>1/(L41-'Antal djur'!#REF!/12)</f>
        <v>#REF!</v>
      </c>
      <c r="N42">
        <f t="shared" ref="N42:N46" si="16">SUM(N48,N84)</f>
        <v>2473</v>
      </c>
      <c r="O42" s="26">
        <f t="shared" si="11"/>
        <v>0.40714520908791568</v>
      </c>
      <c r="P42">
        <f t="shared" ref="P42:P46" si="17">($N48*P48+$N84*P84)/$N42</f>
        <v>331.88790942175496</v>
      </c>
      <c r="Q42" s="26">
        <f t="shared" si="12"/>
        <v>1.0243134413135337</v>
      </c>
      <c r="R42">
        <f t="shared" ref="R42:R46" si="18">($N48*R48+$N84*R84)/$N42</f>
        <v>38.378568540234532</v>
      </c>
      <c r="S42" s="26">
        <f t="shared" si="13"/>
        <v>1.0666991800106644</v>
      </c>
    </row>
    <row r="43" spans="1:19" x14ac:dyDescent="0.25">
      <c r="A43" s="83"/>
      <c r="B43" s="84" t="s">
        <v>253</v>
      </c>
      <c r="C43" s="85">
        <f t="shared" si="14"/>
        <v>22242</v>
      </c>
      <c r="D43" s="86">
        <f t="shared" si="15"/>
        <v>40.351524143512272</v>
      </c>
      <c r="E43" s="86">
        <f t="shared" si="15"/>
        <v>314.82855408686271</v>
      </c>
      <c r="F43" s="86">
        <f t="shared" si="15"/>
        <v>6.9360983724485212</v>
      </c>
      <c r="G43" s="86">
        <f t="shared" si="15"/>
        <v>9.0933639061235496</v>
      </c>
      <c r="H43" s="86">
        <f t="shared" si="15"/>
        <v>24.804527470551211</v>
      </c>
      <c r="I43" s="86">
        <f t="shared" si="15"/>
        <v>390.96951712975454</v>
      </c>
      <c r="K43" t="s">
        <v>254</v>
      </c>
      <c r="L43" s="26">
        <f>(C45*(I45/12))/(C45*(I45/12)+C46*(I46/12))</f>
        <v>0.11158582333331575</v>
      </c>
      <c r="N43">
        <f t="shared" si="16"/>
        <v>8319</v>
      </c>
      <c r="O43" s="26">
        <f t="shared" si="11"/>
        <v>0.37402212031292148</v>
      </c>
      <c r="P43">
        <f t="shared" si="17"/>
        <v>315.25748287053733</v>
      </c>
      <c r="Q43" s="26">
        <f t="shared" si="12"/>
        <v>1.0013624202065112</v>
      </c>
      <c r="R43">
        <f t="shared" si="18"/>
        <v>24.422310373843011</v>
      </c>
      <c r="S43" s="26">
        <f t="shared" si="13"/>
        <v>0.98459083338064068</v>
      </c>
    </row>
    <row r="44" spans="1:19" x14ac:dyDescent="0.25">
      <c r="A44" s="83"/>
      <c r="B44" s="84" t="s">
        <v>191</v>
      </c>
      <c r="C44" s="85">
        <f t="shared" si="14"/>
        <v>830</v>
      </c>
      <c r="D44" s="86">
        <f t="shared" si="15"/>
        <v>40.474096385542168</v>
      </c>
      <c r="E44" s="86">
        <f t="shared" si="15"/>
        <v>176.07710843373494</v>
      </c>
      <c r="F44" s="86">
        <f t="shared" si="15"/>
        <v>6.5266265060240967</v>
      </c>
      <c r="G44" s="86">
        <f t="shared" si="15"/>
        <v>6.411927710843373</v>
      </c>
      <c r="H44" s="86">
        <f t="shared" si="15"/>
        <v>9.2815662650602402</v>
      </c>
      <c r="I44" s="86">
        <f t="shared" si="15"/>
        <v>549.44216867469879</v>
      </c>
      <c r="N44">
        <f t="shared" si="16"/>
        <v>162</v>
      </c>
      <c r="O44" s="26">
        <f t="shared" si="11"/>
        <v>0.19518072289156627</v>
      </c>
      <c r="P44">
        <f t="shared" si="17"/>
        <v>194.71481481481482</v>
      </c>
      <c r="Q44" s="26">
        <f t="shared" si="12"/>
        <v>1.1058496845323538</v>
      </c>
      <c r="R44">
        <f t="shared" si="18"/>
        <v>9.8611111111111107</v>
      </c>
      <c r="S44" s="26">
        <f t="shared" si="13"/>
        <v>1.0624404146348148</v>
      </c>
    </row>
    <row r="45" spans="1:19" x14ac:dyDescent="0.25">
      <c r="A45" s="83"/>
      <c r="B45" s="84" t="s">
        <v>192</v>
      </c>
      <c r="C45" s="85">
        <f t="shared" si="14"/>
        <v>5996</v>
      </c>
      <c r="D45" s="86">
        <f t="shared" si="15"/>
        <v>40.175300200133421</v>
      </c>
      <c r="E45" s="86">
        <f t="shared" si="15"/>
        <v>339.48610740493666</v>
      </c>
      <c r="F45" s="86">
        <f t="shared" si="15"/>
        <v>6.0807038025350222</v>
      </c>
      <c r="G45" s="86">
        <f t="shared" si="15"/>
        <v>8.0606404269513003</v>
      </c>
      <c r="H45" s="86">
        <f t="shared" si="15"/>
        <v>26.432438292194792</v>
      </c>
      <c r="I45" s="86">
        <f t="shared" si="15"/>
        <v>398.93195463642428</v>
      </c>
      <c r="N45">
        <f t="shared" si="16"/>
        <v>707</v>
      </c>
      <c r="O45" s="26">
        <f t="shared" si="11"/>
        <v>0.11791194129419613</v>
      </c>
      <c r="P45">
        <f t="shared" si="17"/>
        <v>329.69533239038185</v>
      </c>
      <c r="Q45" s="26">
        <f t="shared" si="12"/>
        <v>0.97116001273396313</v>
      </c>
      <c r="R45">
        <f t="shared" si="18"/>
        <v>27.532390381895336</v>
      </c>
      <c r="S45" s="26">
        <f t="shared" si="13"/>
        <v>1.041613720139672</v>
      </c>
    </row>
    <row r="46" spans="1:19" x14ac:dyDescent="0.25">
      <c r="A46" s="83"/>
      <c r="B46" s="84" t="s">
        <v>193</v>
      </c>
      <c r="C46" s="85">
        <f t="shared" si="14"/>
        <v>29580</v>
      </c>
      <c r="D46" s="86">
        <f t="shared" si="15"/>
        <v>42.463299526707232</v>
      </c>
      <c r="E46" s="86">
        <f t="shared" si="15"/>
        <v>363.96025354969578</v>
      </c>
      <c r="F46" s="86">
        <f t="shared" si="15"/>
        <v>9.830202839756593</v>
      </c>
      <c r="G46" s="86">
        <f t="shared" si="15"/>
        <v>7.2128634212305611</v>
      </c>
      <c r="H46" s="86">
        <f t="shared" si="15"/>
        <v>17.659303583502368</v>
      </c>
      <c r="I46" s="86">
        <f t="shared" si="15"/>
        <v>643.82633536173091</v>
      </c>
      <c r="N46">
        <f t="shared" si="16"/>
        <v>15148</v>
      </c>
      <c r="O46" s="26">
        <f t="shared" si="11"/>
        <v>0.5121027721433401</v>
      </c>
      <c r="P46">
        <f t="shared" si="17"/>
        <v>367.85721547398998</v>
      </c>
      <c r="Q46" s="26">
        <f t="shared" si="12"/>
        <v>1.0107071084995882</v>
      </c>
      <c r="R46">
        <f t="shared" si="18"/>
        <v>17.0853578030103</v>
      </c>
      <c r="S46" s="26">
        <f t="shared" si="13"/>
        <v>0.96749895726192414</v>
      </c>
    </row>
    <row r="47" spans="1:19" x14ac:dyDescent="0.25">
      <c r="A47" s="87" t="s">
        <v>261</v>
      </c>
      <c r="B47" s="87" t="s">
        <v>250</v>
      </c>
      <c r="C47" s="88">
        <f>C53+C59+C65+C71+C77</f>
        <v>6087</v>
      </c>
      <c r="D47" s="89">
        <f>($C53*D53+$C59*D59+$C65*D65+$C71*D71+$C77*D77)/($C47-C77)</f>
        <v>39.758488964346355</v>
      </c>
      <c r="E47" s="89">
        <f>($C53*E53+$C59*E59+$C65*E65+$C71*E71+$C77*E77)/$C47</f>
        <v>358.55812387054374</v>
      </c>
      <c r="F47" s="89">
        <f t="shared" ref="F47:H47" si="19">($C53*F53+$C59*F59+$C65*F65+$C71*F71+$C77*F77)/$C47</f>
        <v>6.1595202891407919</v>
      </c>
      <c r="G47" s="89">
        <f t="shared" si="19"/>
        <v>10.32260555281748</v>
      </c>
      <c r="H47" s="89">
        <f t="shared" si="19"/>
        <v>92.899441432561204</v>
      </c>
      <c r="I47" s="89"/>
      <c r="K47" t="s">
        <v>251</v>
      </c>
      <c r="L47" s="13">
        <f>SUMPRODUCT(C47:C48,H47:H48)/SUM(C47:C48)/12</f>
        <v>6.4392738490745138</v>
      </c>
      <c r="M47" t="s">
        <v>252</v>
      </c>
      <c r="N47" s="12">
        <f>C53+C59+C65+C71</f>
        <v>3534</v>
      </c>
      <c r="O47" s="26">
        <f>N47/C47</f>
        <v>0.58058156727451948</v>
      </c>
      <c r="P47">
        <f>($C53*E53+$C59*E59+$C65*E65+$C71*E71)/$N47</f>
        <v>359.39476513865304</v>
      </c>
      <c r="Q47" s="26">
        <f>P47/E47</f>
        <v>1.0023333490790223</v>
      </c>
      <c r="R47">
        <f t="shared" ref="R47:R52" si="20">($C53*H53+$C59*H59+$C65*H65+$C71*H71)/$N47</f>
        <v>94.343859649122805</v>
      </c>
      <c r="S47" s="26">
        <f>R47/H47</f>
        <v>1.0155481905411687</v>
      </c>
    </row>
    <row r="48" spans="1:19" x14ac:dyDescent="0.25">
      <c r="A48" s="87"/>
      <c r="B48" s="87" t="s">
        <v>188</v>
      </c>
      <c r="C48" s="88">
        <f t="shared" ref="C48:C52" si="21">C54+C60+C66+C72+C78</f>
        <v>2341</v>
      </c>
      <c r="D48" s="89">
        <f>($C54*D54+$C60*D60+$C66*D66+$C72*D72+$C78*D78)/($C48-C78)</f>
        <v>40.016108786610872</v>
      </c>
      <c r="E48" s="89">
        <f t="shared" ref="E48:I52" si="22">($C54*E54+$C60*E60+$C66*E66+$C72*E72+$C78*E78)/$C48</f>
        <v>314.80914139256726</v>
      </c>
      <c r="F48" s="89">
        <f t="shared" si="22"/>
        <v>5.7646304997864162</v>
      </c>
      <c r="G48" s="89">
        <f t="shared" si="22"/>
        <v>9.3019222554463923</v>
      </c>
      <c r="H48" s="89">
        <f t="shared" si="22"/>
        <v>36.635412217001281</v>
      </c>
      <c r="I48" s="89"/>
      <c r="K48" t="s">
        <v>83</v>
      </c>
      <c r="L48" s="26" t="e">
        <f>1/(L47-'Antal djur'!#REF!/12)</f>
        <v>#REF!</v>
      </c>
      <c r="N48" s="12">
        <f t="shared" ref="N48:N52" si="23">C54+C60+C66+C72</f>
        <v>956</v>
      </c>
      <c r="O48" s="26">
        <f t="shared" ref="O48:O52" si="24">N48/C48</f>
        <v>0.40837249038872275</v>
      </c>
      <c r="P48">
        <f t="shared" ref="P48:P52" si="25">($C54*E54+$C60*E60+$C66*E66+$C72*E72)/$N48</f>
        <v>311.63514644351466</v>
      </c>
      <c r="Q48" s="26">
        <f t="shared" ref="Q48:Q52" si="26">P48/E48</f>
        <v>0.98991771669967288</v>
      </c>
      <c r="R48">
        <f t="shared" si="20"/>
        <v>39.439330543933053</v>
      </c>
      <c r="S48" s="26">
        <f t="shared" ref="S48:S52" si="27">R48/H48</f>
        <v>1.0765357384358996</v>
      </c>
    </row>
    <row r="49" spans="1:19" x14ac:dyDescent="0.25">
      <c r="A49" s="87"/>
      <c r="B49" s="87" t="s">
        <v>253</v>
      </c>
      <c r="C49" s="88">
        <f t="shared" si="21"/>
        <v>7952</v>
      </c>
      <c r="D49" s="89">
        <f>($C55*D55+$C61*D61+$C67*D67+$C73*D73+$C79*D79)/$C49</f>
        <v>39.908689637826967</v>
      </c>
      <c r="E49" s="89">
        <f t="shared" si="22"/>
        <v>304.57195674044266</v>
      </c>
      <c r="F49" s="89">
        <f t="shared" si="22"/>
        <v>6.4919139839034203</v>
      </c>
      <c r="G49" s="89">
        <f t="shared" si="22"/>
        <v>9.9578596579476848</v>
      </c>
      <c r="H49" s="89">
        <f t="shared" si="22"/>
        <v>25.802716297786723</v>
      </c>
      <c r="I49" s="89">
        <f t="shared" si="22"/>
        <v>362.36443661971833</v>
      </c>
      <c r="K49" t="s">
        <v>254</v>
      </c>
      <c r="L49" s="26">
        <f>(C51*(I51/12))/(C51*(I51/12)+C52*(I52/12))</f>
        <v>0.16285725467323639</v>
      </c>
      <c r="N49" s="12">
        <f t="shared" si="23"/>
        <v>2802</v>
      </c>
      <c r="O49" s="26">
        <f t="shared" si="24"/>
        <v>0.35236418511066397</v>
      </c>
      <c r="P49">
        <f>($C55*E55+$C61*E61+$C67*E67+$C73*E73)/$N49</f>
        <v>299.74168451106351</v>
      </c>
      <c r="Q49" s="26">
        <f t="shared" si="26"/>
        <v>0.98414078472268696</v>
      </c>
      <c r="R49">
        <f t="shared" si="20"/>
        <v>26.17530335474661</v>
      </c>
      <c r="S49" s="26">
        <f t="shared" si="27"/>
        <v>1.0144398385293973</v>
      </c>
    </row>
    <row r="50" spans="1:19" x14ac:dyDescent="0.25">
      <c r="A50" s="87"/>
      <c r="B50" s="87" t="s">
        <v>191</v>
      </c>
      <c r="C50" s="88">
        <f t="shared" si="21"/>
        <v>388</v>
      </c>
      <c r="D50" s="89">
        <f>($C56*D56+$C62*D62+$C68*D68+$C74*D74+$C80*D80)/$C50</f>
        <v>39.900515463917522</v>
      </c>
      <c r="E50" s="89">
        <f t="shared" si="22"/>
        <v>157.11907216494845</v>
      </c>
      <c r="F50" s="89">
        <f t="shared" si="22"/>
        <v>5.64639175257732</v>
      </c>
      <c r="G50" s="89">
        <f t="shared" si="22"/>
        <v>6.7556701030927826</v>
      </c>
      <c r="H50" s="89">
        <f t="shared" si="22"/>
        <v>9.2572164948453608</v>
      </c>
      <c r="I50" s="89">
        <f t="shared" si="22"/>
        <v>492.71649484536084</v>
      </c>
      <c r="N50" s="12">
        <f t="shared" si="23"/>
        <v>66</v>
      </c>
      <c r="O50" s="26">
        <f t="shared" si="24"/>
        <v>0.17010309278350516</v>
      </c>
      <c r="P50">
        <f t="shared" si="25"/>
        <v>129.89090909090908</v>
      </c>
      <c r="Q50" s="26">
        <f t="shared" si="26"/>
        <v>0.82670364139208763</v>
      </c>
      <c r="R50">
        <f t="shared" si="20"/>
        <v>8.5606060606060606</v>
      </c>
      <c r="S50" s="26">
        <f t="shared" si="27"/>
        <v>0.92474947143915354</v>
      </c>
    </row>
    <row r="51" spans="1:19" x14ac:dyDescent="0.25">
      <c r="A51" s="87"/>
      <c r="B51" s="87" t="s">
        <v>192</v>
      </c>
      <c r="C51" s="88">
        <f t="shared" si="21"/>
        <v>3017</v>
      </c>
      <c r="D51" s="89">
        <f>($C57*D57+$C63*D63+$C69*D69+$C75*D75+$C81*D81)/$C51</f>
        <v>40.082399734835931</v>
      </c>
      <c r="E51" s="89">
        <f t="shared" si="22"/>
        <v>335.68001325820353</v>
      </c>
      <c r="F51" s="89">
        <f t="shared" si="22"/>
        <v>5.9614849187935031</v>
      </c>
      <c r="G51" s="89">
        <f t="shared" si="22"/>
        <v>8.6885316539608883</v>
      </c>
      <c r="H51" s="89">
        <f t="shared" si="22"/>
        <v>27.12230692741133</v>
      </c>
      <c r="I51" s="89">
        <f t="shared" si="22"/>
        <v>384.82532316871067</v>
      </c>
      <c r="N51" s="12">
        <f t="shared" si="23"/>
        <v>469</v>
      </c>
      <c r="O51" s="26">
        <f t="shared" si="24"/>
        <v>0.1554524361948956</v>
      </c>
      <c r="P51">
        <f t="shared" si="25"/>
        <v>322.53262260127929</v>
      </c>
      <c r="Q51" s="26">
        <f t="shared" si="26"/>
        <v>0.96083356131539677</v>
      </c>
      <c r="R51">
        <f t="shared" si="20"/>
        <v>29.416631130063966</v>
      </c>
      <c r="S51" s="26">
        <f t="shared" si="27"/>
        <v>1.0845917793347388</v>
      </c>
    </row>
    <row r="52" spans="1:19" x14ac:dyDescent="0.25">
      <c r="A52" s="87"/>
      <c r="B52" s="87" t="s">
        <v>193</v>
      </c>
      <c r="C52" s="88">
        <f t="shared" si="21"/>
        <v>10463</v>
      </c>
      <c r="D52" s="89">
        <f>($C58*D58+$C64*D64+$C70*D70+$C76*D76+$C82*D82)/$C52</f>
        <v>40.779661664914457</v>
      </c>
      <c r="E52" s="89">
        <f t="shared" si="22"/>
        <v>346.56856542100741</v>
      </c>
      <c r="F52" s="89">
        <f t="shared" si="22"/>
        <v>12.033843066042245</v>
      </c>
      <c r="G52" s="89">
        <f t="shared" si="22"/>
        <v>7.9628691579852813</v>
      </c>
      <c r="H52" s="89">
        <f t="shared" si="22"/>
        <v>18.879174233011565</v>
      </c>
      <c r="I52" s="89">
        <f t="shared" si="22"/>
        <v>570.39424639204822</v>
      </c>
      <c r="N52" s="12">
        <f t="shared" si="23"/>
        <v>5067</v>
      </c>
      <c r="O52" s="26">
        <f t="shared" si="24"/>
        <v>0.4842779317595336</v>
      </c>
      <c r="P52">
        <f t="shared" si="25"/>
        <v>344.40522991908432</v>
      </c>
      <c r="Q52" s="26">
        <f t="shared" si="26"/>
        <v>0.99375784269616285</v>
      </c>
      <c r="R52">
        <f t="shared" si="20"/>
        <v>19.069982238010653</v>
      </c>
      <c r="S52" s="26">
        <f t="shared" si="27"/>
        <v>1.0101067982446736</v>
      </c>
    </row>
    <row r="53" spans="1:19" x14ac:dyDescent="0.25">
      <c r="A53" s="90" t="s">
        <v>262</v>
      </c>
      <c r="B53" s="91" t="s">
        <v>250</v>
      </c>
      <c r="C53" s="92">
        <v>842</v>
      </c>
      <c r="D53" s="3">
        <v>37.700000000000003</v>
      </c>
      <c r="E53" s="3">
        <v>360.5</v>
      </c>
      <c r="F53" s="3">
        <v>6.6</v>
      </c>
      <c r="G53" s="3">
        <v>10.4</v>
      </c>
      <c r="H53" s="3">
        <v>92.6</v>
      </c>
      <c r="I53" s="3"/>
    </row>
    <row r="54" spans="1:19" x14ac:dyDescent="0.25">
      <c r="A54" s="90"/>
      <c r="B54" s="90" t="s">
        <v>188</v>
      </c>
      <c r="C54" s="92">
        <v>190</v>
      </c>
      <c r="D54" s="3">
        <v>37.9</v>
      </c>
      <c r="E54" s="3">
        <v>307.10000000000002</v>
      </c>
      <c r="F54" s="3">
        <v>6</v>
      </c>
      <c r="G54" s="3">
        <v>9.1</v>
      </c>
      <c r="H54" s="3">
        <v>38.4</v>
      </c>
      <c r="I54" s="3"/>
    </row>
    <row r="55" spans="1:19" x14ac:dyDescent="0.25">
      <c r="A55" s="90"/>
      <c r="B55" s="90" t="s">
        <v>253</v>
      </c>
      <c r="C55" s="92">
        <v>552</v>
      </c>
      <c r="D55" s="3">
        <v>38.700000000000003</v>
      </c>
      <c r="E55" s="3">
        <v>307.3</v>
      </c>
      <c r="F55" s="3">
        <v>7.2</v>
      </c>
      <c r="G55" s="3">
        <v>10.1</v>
      </c>
      <c r="H55" s="3">
        <v>27</v>
      </c>
      <c r="I55" s="3">
        <v>350</v>
      </c>
    </row>
    <row r="56" spans="1:19" x14ac:dyDescent="0.25">
      <c r="A56" s="90"/>
      <c r="B56" s="90" t="s">
        <v>191</v>
      </c>
      <c r="C56" s="92">
        <v>32</v>
      </c>
      <c r="D56" s="3">
        <v>40</v>
      </c>
      <c r="E56" s="3">
        <v>132.9</v>
      </c>
      <c r="F56" s="3">
        <v>6.1</v>
      </c>
      <c r="G56" s="3">
        <v>4.8</v>
      </c>
      <c r="H56" s="3">
        <v>6.8</v>
      </c>
      <c r="I56" s="3">
        <v>544</v>
      </c>
    </row>
    <row r="57" spans="1:19" x14ac:dyDescent="0.25">
      <c r="A57" s="90"/>
      <c r="B57" s="90" t="s">
        <v>192</v>
      </c>
      <c r="C57" s="92">
        <v>129</v>
      </c>
      <c r="D57" s="3">
        <v>39.4</v>
      </c>
      <c r="E57" s="3">
        <v>344.6</v>
      </c>
      <c r="F57" s="3">
        <v>6.6</v>
      </c>
      <c r="G57" s="3">
        <v>8.3000000000000007</v>
      </c>
      <c r="H57" s="3">
        <v>31.2</v>
      </c>
      <c r="I57" s="3">
        <v>342</v>
      </c>
    </row>
    <row r="58" spans="1:19" x14ac:dyDescent="0.25">
      <c r="A58" s="90"/>
      <c r="B58" s="90" t="s">
        <v>193</v>
      </c>
      <c r="C58" s="92">
        <v>1144</v>
      </c>
      <c r="D58" s="3">
        <v>40.1</v>
      </c>
      <c r="E58" s="3">
        <v>352.1</v>
      </c>
      <c r="F58" s="3">
        <v>7.9</v>
      </c>
      <c r="G58" s="3">
        <v>7.9</v>
      </c>
      <c r="H58" s="3">
        <v>18.899999999999999</v>
      </c>
      <c r="I58" s="3">
        <v>588</v>
      </c>
    </row>
    <row r="59" spans="1:19" x14ac:dyDescent="0.25">
      <c r="A59" s="90" t="s">
        <v>263</v>
      </c>
      <c r="B59" s="91" t="s">
        <v>250</v>
      </c>
      <c r="C59" s="92">
        <v>2527</v>
      </c>
      <c r="D59" s="3">
        <v>40.700000000000003</v>
      </c>
      <c r="E59" s="3">
        <v>365.7</v>
      </c>
      <c r="F59" s="3">
        <v>6.2</v>
      </c>
      <c r="G59" s="3">
        <v>10.6</v>
      </c>
      <c r="H59" s="3">
        <v>93.4</v>
      </c>
      <c r="I59" s="3"/>
    </row>
    <row r="60" spans="1:19" x14ac:dyDescent="0.25">
      <c r="A60" s="90"/>
      <c r="B60" s="90" t="s">
        <v>188</v>
      </c>
      <c r="C60" s="92">
        <v>734</v>
      </c>
      <c r="D60" s="3">
        <v>40.799999999999997</v>
      </c>
      <c r="E60" s="3">
        <v>318.5</v>
      </c>
      <c r="F60" s="3">
        <v>6.1</v>
      </c>
      <c r="G60" s="3">
        <v>9.3000000000000007</v>
      </c>
      <c r="H60" s="3">
        <v>39.200000000000003</v>
      </c>
      <c r="I60" s="3"/>
    </row>
    <row r="61" spans="1:19" x14ac:dyDescent="0.25">
      <c r="A61" s="90"/>
      <c r="B61" s="90" t="s">
        <v>253</v>
      </c>
      <c r="C61" s="92">
        <v>2183</v>
      </c>
      <c r="D61" s="3">
        <v>40.1</v>
      </c>
      <c r="E61" s="3">
        <v>300.39999999999998</v>
      </c>
      <c r="F61" s="3">
        <v>6.8</v>
      </c>
      <c r="G61" s="3">
        <v>10.1</v>
      </c>
      <c r="H61" s="3">
        <v>25.8</v>
      </c>
      <c r="I61" s="3">
        <v>357</v>
      </c>
    </row>
    <row r="62" spans="1:19" x14ac:dyDescent="0.25">
      <c r="A62" s="90"/>
      <c r="B62" s="90" t="s">
        <v>191</v>
      </c>
      <c r="C62" s="92">
        <v>28</v>
      </c>
      <c r="D62" s="3">
        <v>39.299999999999997</v>
      </c>
      <c r="E62" s="3">
        <v>128.5</v>
      </c>
      <c r="F62" s="3">
        <v>4.9000000000000004</v>
      </c>
      <c r="G62" s="3">
        <v>5.3</v>
      </c>
      <c r="H62" s="3">
        <v>9.1</v>
      </c>
      <c r="I62" s="3">
        <v>395</v>
      </c>
    </row>
    <row r="63" spans="1:19" x14ac:dyDescent="0.25">
      <c r="A63" s="90"/>
      <c r="B63" s="90" t="s">
        <v>192</v>
      </c>
      <c r="C63" s="92">
        <v>238</v>
      </c>
      <c r="D63" s="3">
        <v>40.6</v>
      </c>
      <c r="E63" s="3">
        <v>333</v>
      </c>
      <c r="F63" s="3">
        <v>6.3</v>
      </c>
      <c r="G63" s="3">
        <v>8.9</v>
      </c>
      <c r="H63" s="3">
        <v>24.9</v>
      </c>
      <c r="I63" s="3">
        <v>413</v>
      </c>
    </row>
    <row r="64" spans="1:19" x14ac:dyDescent="0.25">
      <c r="A64" s="90"/>
      <c r="B64" s="90" t="s">
        <v>193</v>
      </c>
      <c r="C64" s="92">
        <v>3824</v>
      </c>
      <c r="D64" s="3">
        <v>41.8</v>
      </c>
      <c r="E64" s="3">
        <v>344.2</v>
      </c>
      <c r="F64" s="3">
        <v>7.5</v>
      </c>
      <c r="G64" s="3">
        <v>8</v>
      </c>
      <c r="H64" s="3">
        <v>18.899999999999999</v>
      </c>
      <c r="I64" s="3">
        <v>563</v>
      </c>
    </row>
    <row r="65" spans="1:10" x14ac:dyDescent="0.25">
      <c r="A65" s="90" t="s">
        <v>264</v>
      </c>
      <c r="B65" s="91" t="s">
        <v>250</v>
      </c>
      <c r="C65" s="92">
        <v>156</v>
      </c>
      <c r="D65" s="3">
        <v>36.1</v>
      </c>
      <c r="E65" s="3">
        <v>253.9</v>
      </c>
      <c r="F65" s="3">
        <v>5.7</v>
      </c>
      <c r="G65" s="3">
        <v>8.9</v>
      </c>
      <c r="H65" s="3">
        <v>119.4</v>
      </c>
      <c r="I65" s="3"/>
    </row>
    <row r="66" spans="1:10" x14ac:dyDescent="0.25">
      <c r="A66" s="90"/>
      <c r="B66" s="90" t="s">
        <v>188</v>
      </c>
      <c r="C66" s="92">
        <v>32</v>
      </c>
      <c r="D66" s="3">
        <v>34.6</v>
      </c>
      <c r="E66" s="3">
        <v>181.1</v>
      </c>
      <c r="F66" s="3">
        <v>3.8</v>
      </c>
      <c r="G66" s="3">
        <v>6.3</v>
      </c>
      <c r="H66" s="3">
        <v>51.1</v>
      </c>
      <c r="I66" s="3"/>
    </row>
    <row r="67" spans="1:10" x14ac:dyDescent="0.25">
      <c r="A67" s="90"/>
      <c r="B67" s="90" t="s">
        <v>253</v>
      </c>
      <c r="C67" s="92">
        <v>59</v>
      </c>
      <c r="D67" s="3">
        <v>36.4</v>
      </c>
      <c r="E67" s="3">
        <v>209</v>
      </c>
      <c r="F67" s="3">
        <v>5.3</v>
      </c>
      <c r="G67" s="3">
        <v>8.4</v>
      </c>
      <c r="H67" s="3">
        <v>31.8</v>
      </c>
      <c r="I67" s="3">
        <v>197</v>
      </c>
    </row>
    <row r="68" spans="1:10" x14ac:dyDescent="0.25">
      <c r="A68" s="90"/>
      <c r="B68" s="90" t="s">
        <v>191</v>
      </c>
      <c r="C68" s="92">
        <v>4</v>
      </c>
      <c r="D68" s="3">
        <v>40</v>
      </c>
      <c r="E68" s="3">
        <v>106.8</v>
      </c>
      <c r="F68" s="3">
        <v>3</v>
      </c>
      <c r="G68" s="3">
        <v>5.5</v>
      </c>
      <c r="H68" s="3">
        <v>17.100000000000001</v>
      </c>
      <c r="I68" s="3">
        <v>167</v>
      </c>
    </row>
    <row r="69" spans="1:10" x14ac:dyDescent="0.25">
      <c r="A69" s="90"/>
      <c r="B69" s="90" t="s">
        <v>192</v>
      </c>
      <c r="C69" s="92">
        <v>102</v>
      </c>
      <c r="D69" s="3">
        <v>36.799999999999997</v>
      </c>
      <c r="E69" s="3">
        <v>270.2</v>
      </c>
      <c r="F69" s="3">
        <v>5.9</v>
      </c>
      <c r="G69" s="3">
        <v>8.4</v>
      </c>
      <c r="H69" s="3">
        <v>37.700000000000003</v>
      </c>
      <c r="I69" s="3">
        <v>219</v>
      </c>
    </row>
    <row r="70" spans="1:10" x14ac:dyDescent="0.25">
      <c r="A70" s="90"/>
      <c r="B70" s="90" t="s">
        <v>193</v>
      </c>
      <c r="C70" s="92">
        <v>94</v>
      </c>
      <c r="D70" s="3">
        <v>35.299999999999997</v>
      </c>
      <c r="E70" s="3">
        <v>257.89999999999998</v>
      </c>
      <c r="F70" s="3">
        <v>536</v>
      </c>
      <c r="G70" s="3">
        <v>5.0999999999999996</v>
      </c>
      <c r="H70" s="3">
        <v>27.6</v>
      </c>
      <c r="I70" s="3">
        <v>286</v>
      </c>
    </row>
    <row r="71" spans="1:10" x14ac:dyDescent="0.25">
      <c r="A71" s="90" t="s">
        <v>265</v>
      </c>
      <c r="B71" s="91" t="s">
        <v>250</v>
      </c>
      <c r="C71" s="92">
        <v>9</v>
      </c>
      <c r="D71" s="3">
        <v>31.4</v>
      </c>
      <c r="E71" s="3">
        <v>314.2</v>
      </c>
      <c r="F71" s="3">
        <v>6.8</v>
      </c>
      <c r="G71" s="3">
        <v>13</v>
      </c>
      <c r="H71" s="3">
        <v>88.2</v>
      </c>
      <c r="I71" s="3"/>
    </row>
    <row r="72" spans="1:10" x14ac:dyDescent="0.25">
      <c r="A72" s="90"/>
      <c r="B72" s="90" t="s">
        <v>188</v>
      </c>
      <c r="C72" s="92"/>
      <c r="D72" s="3"/>
      <c r="E72" s="3"/>
      <c r="F72" s="3"/>
      <c r="G72" s="3"/>
      <c r="H72" s="3"/>
      <c r="I72" s="3"/>
    </row>
    <row r="73" spans="1:10" x14ac:dyDescent="0.25">
      <c r="A73" s="90"/>
      <c r="B73" s="90" t="s">
        <v>253</v>
      </c>
      <c r="C73" s="92">
        <v>8</v>
      </c>
      <c r="D73" s="3">
        <v>38.200000000000003</v>
      </c>
      <c r="E73" s="3">
        <v>267.8</v>
      </c>
      <c r="F73" s="3">
        <v>5.9</v>
      </c>
      <c r="G73" s="3">
        <v>10.1</v>
      </c>
      <c r="H73" s="3">
        <v>30.2</v>
      </c>
      <c r="I73" s="3">
        <v>271</v>
      </c>
    </row>
    <row r="74" spans="1:10" x14ac:dyDescent="0.25">
      <c r="A74" s="90"/>
      <c r="B74" s="90" t="s">
        <v>191</v>
      </c>
      <c r="C74" s="92">
        <v>2</v>
      </c>
      <c r="D74" s="3">
        <v>30.5</v>
      </c>
      <c r="E74" s="3">
        <v>147.4</v>
      </c>
      <c r="F74" s="3">
        <v>5.5</v>
      </c>
      <c r="G74" s="3">
        <v>5.5</v>
      </c>
      <c r="H74" s="3">
        <v>12.1</v>
      </c>
      <c r="I74" s="3">
        <v>358</v>
      </c>
    </row>
    <row r="75" spans="1:10" x14ac:dyDescent="0.25">
      <c r="A75" s="90"/>
      <c r="B75" s="90" t="s">
        <v>192</v>
      </c>
      <c r="C75" s="92"/>
      <c r="D75" s="3"/>
      <c r="E75" s="3"/>
      <c r="F75" s="3"/>
      <c r="G75" s="3"/>
      <c r="H75" s="3"/>
      <c r="I75" s="3"/>
    </row>
    <row r="76" spans="1:10" x14ac:dyDescent="0.25">
      <c r="A76" s="90"/>
      <c r="B76" s="90" t="s">
        <v>193</v>
      </c>
      <c r="C76" s="92">
        <v>5</v>
      </c>
      <c r="D76" s="3">
        <v>36.6</v>
      </c>
      <c r="E76" s="3">
        <v>367.1</v>
      </c>
      <c r="F76" s="3">
        <v>7.3</v>
      </c>
      <c r="G76" s="3">
        <v>7.7</v>
      </c>
      <c r="H76" s="3">
        <v>27.6</v>
      </c>
      <c r="I76" s="3">
        <v>415</v>
      </c>
    </row>
    <row r="77" spans="1:10" x14ac:dyDescent="0.25">
      <c r="A77" s="90" t="s">
        <v>259</v>
      </c>
      <c r="B77" s="91" t="s">
        <v>250</v>
      </c>
      <c r="C77" s="92">
        <v>2553</v>
      </c>
      <c r="D77" s="3"/>
      <c r="E77" s="3">
        <v>357.4</v>
      </c>
      <c r="F77" s="3">
        <v>6</v>
      </c>
      <c r="G77" s="3">
        <v>10.1</v>
      </c>
      <c r="H77" s="3">
        <v>90.9</v>
      </c>
      <c r="I77" s="3"/>
      <c r="J77" s="26">
        <f>C77/C41</f>
        <v>0.15082412713416435</v>
      </c>
    </row>
    <row r="78" spans="1:10" x14ac:dyDescent="0.25">
      <c r="A78" s="90"/>
      <c r="B78" s="90" t="s">
        <v>188</v>
      </c>
      <c r="C78" s="92">
        <v>1385</v>
      </c>
      <c r="D78" s="3"/>
      <c r="E78" s="3">
        <v>317</v>
      </c>
      <c r="F78" s="3">
        <v>5.6</v>
      </c>
      <c r="G78" s="3">
        <v>9.4</v>
      </c>
      <c r="H78" s="3">
        <v>34.700000000000003</v>
      </c>
      <c r="I78" s="3"/>
      <c r="J78" s="26">
        <f t="shared" ref="J78:J82" si="28">C78/C42</f>
        <v>0.22802107342772474</v>
      </c>
    </row>
    <row r="79" spans="1:10" x14ac:dyDescent="0.25">
      <c r="A79" s="90"/>
      <c r="B79" s="90" t="s">
        <v>253</v>
      </c>
      <c r="C79" s="92">
        <v>5150</v>
      </c>
      <c r="D79" s="3">
        <v>40</v>
      </c>
      <c r="E79" s="3">
        <v>307.2</v>
      </c>
      <c r="F79" s="3">
        <v>6.3</v>
      </c>
      <c r="G79" s="3">
        <v>9.9</v>
      </c>
      <c r="H79" s="3">
        <v>25.6</v>
      </c>
      <c r="I79" s="3">
        <v>368</v>
      </c>
      <c r="J79" s="26">
        <f t="shared" si="28"/>
        <v>0.23154392590594372</v>
      </c>
    </row>
    <row r="80" spans="1:10" x14ac:dyDescent="0.25">
      <c r="A80" s="90"/>
      <c r="B80" s="90" t="s">
        <v>191</v>
      </c>
      <c r="C80" s="92">
        <v>322</v>
      </c>
      <c r="D80" s="3">
        <v>40</v>
      </c>
      <c r="E80" s="3">
        <v>162.69999999999999</v>
      </c>
      <c r="F80" s="3">
        <v>5.7</v>
      </c>
      <c r="G80" s="3">
        <v>7.1</v>
      </c>
      <c r="H80" s="3">
        <v>9.4</v>
      </c>
      <c r="I80" s="3">
        <v>501</v>
      </c>
      <c r="J80" s="26">
        <f t="shared" si="28"/>
        <v>0.38795180722891565</v>
      </c>
    </row>
    <row r="81" spans="1:19" x14ac:dyDescent="0.25">
      <c r="A81" s="90"/>
      <c r="B81" s="90" t="s">
        <v>192</v>
      </c>
      <c r="C81" s="92">
        <v>2548</v>
      </c>
      <c r="D81" s="3">
        <v>40.200000000000003</v>
      </c>
      <c r="E81" s="3">
        <v>338.1</v>
      </c>
      <c r="F81" s="3">
        <v>5.9</v>
      </c>
      <c r="G81" s="3">
        <v>8.6999999999999993</v>
      </c>
      <c r="H81" s="3">
        <v>26.7</v>
      </c>
      <c r="I81" s="3">
        <v>391</v>
      </c>
      <c r="J81" s="26">
        <f t="shared" si="28"/>
        <v>0.42494996664442963</v>
      </c>
    </row>
    <row r="82" spans="1:19" x14ac:dyDescent="0.25">
      <c r="A82" s="90"/>
      <c r="B82" s="90" t="s">
        <v>193</v>
      </c>
      <c r="C82" s="92">
        <v>5396</v>
      </c>
      <c r="D82" s="3">
        <v>40.299999999999997</v>
      </c>
      <c r="E82" s="3">
        <v>348.6</v>
      </c>
      <c r="F82" s="3">
        <v>7</v>
      </c>
      <c r="G82" s="3">
        <v>8</v>
      </c>
      <c r="H82" s="3">
        <v>18.7</v>
      </c>
      <c r="I82" s="3">
        <v>577</v>
      </c>
      <c r="J82" s="26">
        <f t="shared" si="28"/>
        <v>0.18242055442866803</v>
      </c>
      <c r="N82" t="s">
        <v>203</v>
      </c>
      <c r="P82" t="s">
        <v>204</v>
      </c>
      <c r="R82" t="s">
        <v>238</v>
      </c>
    </row>
    <row r="83" spans="1:19" x14ac:dyDescent="0.25">
      <c r="A83" s="87" t="s">
        <v>266</v>
      </c>
      <c r="B83" s="87" t="s">
        <v>250</v>
      </c>
      <c r="C83" s="88">
        <f>C89+C95+C101+C107+C113+C119+C125</f>
        <v>10840</v>
      </c>
      <c r="D83" s="89">
        <f>($C89*D89+$C95*D95+$C101*D101+$C107*D107+$C113*D113+$C119*D119+$C125*D125)/$C83</f>
        <v>42.594852398523983</v>
      </c>
      <c r="E83" s="89">
        <f>($C89*E89+$C95*E95+$C101*E101+$C107*E107+$C113*E113+$C119*E119+$C125*E125)/$C83</f>
        <v>390.73161439114392</v>
      </c>
      <c r="F83" s="89">
        <f t="shared" ref="F83:G83" si="29">($C89*F89+$C95*F95+$C101*F101+$C107*F107+$C113*F113+$C119*F119+$C125*F125)/$C83</f>
        <v>7.0936900369003695</v>
      </c>
      <c r="G83" s="89">
        <f t="shared" si="29"/>
        <v>8.318911439114391</v>
      </c>
      <c r="H83" s="89">
        <f>($C89*H89+$C95*H95+$C101*H101+$C107*H107+$C113*H113+$C119*H119+$C125*H125)/$C83</f>
        <v>90.961116236162368</v>
      </c>
      <c r="I83" s="89"/>
      <c r="K83" t="s">
        <v>251</v>
      </c>
      <c r="L83" s="13">
        <f>SUMPRODUCT(C83:C84,H83:H84)/SUM(C83:C84)/12</f>
        <v>6.3976205997392439</v>
      </c>
      <c r="M83" t="s">
        <v>252</v>
      </c>
      <c r="N83" s="12">
        <f>C89+C95+C101+C107+C113+C119</f>
        <v>7052</v>
      </c>
      <c r="O83" s="26">
        <f>N83/C83</f>
        <v>0.65055350553505531</v>
      </c>
      <c r="P83">
        <f>($C89*E89+$C95*E95+$C101*E101+$C107*E107+$C113*E113+$C119*E119)/$N83</f>
        <v>404.82199376063528</v>
      </c>
      <c r="Q83" s="26">
        <f>P83/E83</f>
        <v>1.0360615288103769</v>
      </c>
      <c r="R83">
        <f>($C89*H89+$C95*H95+$C101*H101+$C107*H107+$C113*H113+$C119*H119)/$N83</f>
        <v>93.894568916619406</v>
      </c>
      <c r="S83" s="26">
        <f>R83/H83</f>
        <v>1.0322495237727836</v>
      </c>
    </row>
    <row r="84" spans="1:19" x14ac:dyDescent="0.25">
      <c r="A84" s="87"/>
      <c r="B84" s="87" t="s">
        <v>188</v>
      </c>
      <c r="C84" s="88">
        <f t="shared" ref="C84:C88" si="30">C90+C96+C102+C108+C114+C120+C126</f>
        <v>3733</v>
      </c>
      <c r="D84" s="89">
        <f>($C90*D90+$C96*D96+$C102*D102+$C108*D108+$C114*D114+$C120*D120+$C126*D126)/$C84</f>
        <v>41.439539244575414</v>
      </c>
      <c r="E84" s="89">
        <f t="shared" ref="E84:I88" si="31">($C90*E90+$C96*E96+$C102*E102+$C108*E108+$C114*E114+$C120*E120+$C126*E126)/$C84</f>
        <v>329.78012322528804</v>
      </c>
      <c r="F84" s="89">
        <f t="shared" si="31"/>
        <v>6.2891508170372346</v>
      </c>
      <c r="G84" s="89">
        <f t="shared" si="31"/>
        <v>7.6370747388159659</v>
      </c>
      <c r="H84" s="89">
        <f t="shared" si="31"/>
        <v>35.567050629520487</v>
      </c>
      <c r="I84" s="89"/>
      <c r="K84" t="s">
        <v>83</v>
      </c>
      <c r="L84" s="26" t="e">
        <f>1/(L83-'Antal djur'!#REF!/12)</f>
        <v>#REF!</v>
      </c>
      <c r="N84" s="12">
        <f t="shared" ref="N84:N88" si="32">C90+C96+C102+C108+C114+C120</f>
        <v>1517</v>
      </c>
      <c r="O84" s="26">
        <f t="shared" ref="O84:O88" si="33">N84/C84</f>
        <v>0.40637556924725421</v>
      </c>
      <c r="P84">
        <f t="shared" ref="P84:P88" si="34">($C90*E90+$C96*E96+$C102*E102+$C108*E108+$C114*E114+$C120*E120)/$N84</f>
        <v>344.65102175346078</v>
      </c>
      <c r="Q84" s="26">
        <f t="shared" ref="Q84:Q88" si="35">P84/E84</f>
        <v>1.0450933742844584</v>
      </c>
      <c r="R84">
        <f t="shared" ref="R84:R88" si="36">($C90*H90+$C96*H96+$C102*H102+$C108*H108+$C114*H114+$C120*H120)/$N84</f>
        <v>37.710085695451546</v>
      </c>
      <c r="S84" s="26">
        <f t="shared" ref="S84:S88" si="37">R84/H84</f>
        <v>1.0602533813740618</v>
      </c>
    </row>
    <row r="85" spans="1:19" x14ac:dyDescent="0.25">
      <c r="A85" s="87"/>
      <c r="B85" s="87" t="s">
        <v>253</v>
      </c>
      <c r="C85" s="88">
        <f t="shared" si="30"/>
        <v>14290</v>
      </c>
      <c r="D85" s="89">
        <f>($C91*D91+$C97*D97+$C103*D103+$C109*D109+$C115*D115+$C121*D121+$C127*D127)/$C85</f>
        <v>40.597949615115461</v>
      </c>
      <c r="E85" s="89">
        <f t="shared" si="31"/>
        <v>320.53607417774668</v>
      </c>
      <c r="F85" s="89">
        <f t="shared" si="31"/>
        <v>7.1832750174947515</v>
      </c>
      <c r="G85" s="89">
        <f t="shared" si="31"/>
        <v>8.6122953114065783</v>
      </c>
      <c r="H85" s="89">
        <f t="shared" si="31"/>
        <v>24.249062281315602</v>
      </c>
      <c r="I85" s="89">
        <f t="shared" si="31"/>
        <v>406.88747375787261</v>
      </c>
      <c r="K85" t="s">
        <v>254</v>
      </c>
      <c r="L85" s="26">
        <f>(C87*(I87/12))/(C87*(I87/12)+C88*(I88/12))</f>
        <v>8.603829953969036E-2</v>
      </c>
      <c r="N85" s="12">
        <f t="shared" si="32"/>
        <v>5517</v>
      </c>
      <c r="O85" s="26">
        <f t="shared" si="33"/>
        <v>0.38607417774667602</v>
      </c>
      <c r="P85">
        <f t="shared" si="34"/>
        <v>323.13771977524016</v>
      </c>
      <c r="Q85" s="26">
        <f t="shared" si="35"/>
        <v>1.0081165453971672</v>
      </c>
      <c r="R85">
        <f t="shared" si="36"/>
        <v>23.531992024651078</v>
      </c>
      <c r="S85" s="26">
        <f t="shared" si="37"/>
        <v>0.97042894903127697</v>
      </c>
    </row>
    <row r="86" spans="1:19" x14ac:dyDescent="0.25">
      <c r="A86" s="87"/>
      <c r="B86" s="87" t="s">
        <v>191</v>
      </c>
      <c r="C86" s="88">
        <f t="shared" si="30"/>
        <v>442</v>
      </c>
      <c r="D86" s="89">
        <f>($C92*D92+$C98*D98+$C104*D104+$C110*D110+$C116*D116+$C122*D122+$C128*D128)/$C86</f>
        <v>40.977601809954749</v>
      </c>
      <c r="E86" s="89">
        <f t="shared" si="31"/>
        <v>192.71900452488688</v>
      </c>
      <c r="F86" s="89">
        <f t="shared" si="31"/>
        <v>7.2993212669683265</v>
      </c>
      <c r="G86" s="89">
        <f t="shared" si="31"/>
        <v>6.1101809954751127</v>
      </c>
      <c r="H86" s="89">
        <f t="shared" si="31"/>
        <v>9.302941176470588</v>
      </c>
      <c r="I86" s="89">
        <f t="shared" si="31"/>
        <v>599.23755656108597</v>
      </c>
      <c r="N86" s="12">
        <f t="shared" si="32"/>
        <v>96</v>
      </c>
      <c r="O86" s="26">
        <f t="shared" si="33"/>
        <v>0.21719457013574661</v>
      </c>
      <c r="P86">
        <f>($C92*E92+$C98*E98+$C104*E104+$C110*E110+$C116*E116+$C122*E122)/$N86</f>
        <v>239.28125</v>
      </c>
      <c r="Q86" s="26">
        <f t="shared" si="35"/>
        <v>1.2416069219011572</v>
      </c>
      <c r="R86">
        <f t="shared" si="36"/>
        <v>10.755208333333334</v>
      </c>
      <c r="S86" s="26">
        <f t="shared" si="37"/>
        <v>1.1561083886605543</v>
      </c>
    </row>
    <row r="87" spans="1:19" x14ac:dyDescent="0.25">
      <c r="A87" s="87"/>
      <c r="B87" s="87" t="s">
        <v>192</v>
      </c>
      <c r="C87" s="88">
        <f t="shared" si="30"/>
        <v>2979</v>
      </c>
      <c r="D87" s="89">
        <f>($C93*D93+$C99*D99+$C105*D105+$C111*D111+$C117*D117+$C123*D123+$C129*D129)/$C87</f>
        <v>40.269385699899296</v>
      </c>
      <c r="E87" s="89">
        <f t="shared" si="31"/>
        <v>343.34075193017793</v>
      </c>
      <c r="F87" s="89">
        <f t="shared" si="31"/>
        <v>6.2014434373950982</v>
      </c>
      <c r="G87" s="89">
        <f t="shared" si="31"/>
        <v>7.4247398455857665</v>
      </c>
      <c r="H87" s="89">
        <f t="shared" si="31"/>
        <v>25.733769721383013</v>
      </c>
      <c r="I87" s="89">
        <f t="shared" si="31"/>
        <v>413.21852970795567</v>
      </c>
      <c r="N87" s="12">
        <f t="shared" si="32"/>
        <v>238</v>
      </c>
      <c r="O87" s="26">
        <f t="shared" si="33"/>
        <v>7.9892581403155416E-2</v>
      </c>
      <c r="P87">
        <f t="shared" si="34"/>
        <v>343.81008403361346</v>
      </c>
      <c r="Q87" s="26">
        <f t="shared" si="35"/>
        <v>1.0013669571724215</v>
      </c>
      <c r="R87">
        <f t="shared" si="36"/>
        <v>23.819327731092436</v>
      </c>
      <c r="S87" s="26">
        <f t="shared" si="37"/>
        <v>0.92560584745188712</v>
      </c>
    </row>
    <row r="88" spans="1:19" x14ac:dyDescent="0.25">
      <c r="A88" s="87"/>
      <c r="B88" s="87" t="s">
        <v>193</v>
      </c>
      <c r="C88" s="88">
        <f t="shared" si="30"/>
        <v>19117</v>
      </c>
      <c r="D88" s="89">
        <f>($C94*D94+$C100*D100+$C106*D106+$C112*D112+$C118*D118+$C124*D124+$C130*D130)/$C88</f>
        <v>43.384777946330487</v>
      </c>
      <c r="E88" s="89">
        <f t="shared" si="31"/>
        <v>373.47896636501542</v>
      </c>
      <c r="F88" s="89">
        <f t="shared" si="31"/>
        <v>8.6241198932886949</v>
      </c>
      <c r="G88" s="89">
        <f t="shared" si="31"/>
        <v>6.8023748496102945</v>
      </c>
      <c r="H88" s="89">
        <f t="shared" si="31"/>
        <v>16.991651409740022</v>
      </c>
      <c r="I88" s="89">
        <f t="shared" si="31"/>
        <v>684.01673902809023</v>
      </c>
      <c r="N88" s="12">
        <f t="shared" si="32"/>
        <v>10081</v>
      </c>
      <c r="O88" s="26">
        <f t="shared" si="33"/>
        <v>0.52733169430349947</v>
      </c>
      <c r="P88">
        <f t="shared" si="34"/>
        <v>379.64485666104554</v>
      </c>
      <c r="Q88" s="26">
        <f t="shared" si="35"/>
        <v>1.0165093374763279</v>
      </c>
      <c r="R88">
        <f t="shared" si="36"/>
        <v>16.087828588433691</v>
      </c>
      <c r="S88" s="26">
        <f t="shared" si="37"/>
        <v>0.94680782935623087</v>
      </c>
    </row>
    <row r="89" spans="1:19" x14ac:dyDescent="0.25">
      <c r="A89" s="90" t="s">
        <v>267</v>
      </c>
      <c r="B89" s="91" t="s">
        <v>250</v>
      </c>
      <c r="C89" s="92">
        <v>123</v>
      </c>
      <c r="D89" s="3">
        <v>43.5</v>
      </c>
      <c r="E89" s="3">
        <v>417.1</v>
      </c>
      <c r="F89" s="3">
        <v>9.1</v>
      </c>
      <c r="G89" s="3">
        <v>7</v>
      </c>
      <c r="H89" s="3">
        <v>112.8</v>
      </c>
      <c r="I89" s="3"/>
    </row>
    <row r="90" spans="1:19" x14ac:dyDescent="0.25">
      <c r="A90" s="90"/>
      <c r="B90" s="90" t="s">
        <v>188</v>
      </c>
      <c r="C90" s="92">
        <v>20</v>
      </c>
      <c r="D90" s="3">
        <v>43.4</v>
      </c>
      <c r="E90" s="3">
        <v>343.2</v>
      </c>
      <c r="F90" s="3">
        <v>8.3000000000000007</v>
      </c>
      <c r="G90" s="3">
        <v>5.4</v>
      </c>
      <c r="H90" s="3">
        <v>36.200000000000003</v>
      </c>
      <c r="I90" s="3"/>
    </row>
    <row r="91" spans="1:19" x14ac:dyDescent="0.25">
      <c r="A91" s="90"/>
      <c r="B91" s="90" t="s">
        <v>253</v>
      </c>
      <c r="C91" s="92">
        <v>79</v>
      </c>
      <c r="D91" s="3">
        <v>8</v>
      </c>
      <c r="E91" s="3">
        <v>344.7</v>
      </c>
      <c r="F91" s="3">
        <v>9.5</v>
      </c>
      <c r="G91" s="3">
        <v>7.1</v>
      </c>
      <c r="H91" s="3">
        <v>23.9</v>
      </c>
      <c r="I91" s="3">
        <v>443</v>
      </c>
    </row>
    <row r="92" spans="1:19" x14ac:dyDescent="0.25">
      <c r="A92" s="90"/>
      <c r="B92" s="90" t="s">
        <v>191</v>
      </c>
      <c r="C92" s="92">
        <v>5</v>
      </c>
      <c r="D92" s="3">
        <v>44.4</v>
      </c>
      <c r="E92" s="3">
        <v>177.3</v>
      </c>
      <c r="F92" s="3">
        <v>10.199999999999999</v>
      </c>
      <c r="G92" s="3">
        <v>4.5999999999999996</v>
      </c>
      <c r="H92" s="3">
        <v>8.5</v>
      </c>
      <c r="I92" s="3">
        <v>597</v>
      </c>
    </row>
    <row r="93" spans="1:19" x14ac:dyDescent="0.25">
      <c r="A93" s="90"/>
      <c r="B93" s="90" t="s">
        <v>192</v>
      </c>
      <c r="C93" s="92"/>
      <c r="D93" s="3"/>
      <c r="E93" s="3"/>
      <c r="F93" s="3"/>
      <c r="G93" s="3"/>
      <c r="H93" s="3"/>
      <c r="I93" s="3"/>
    </row>
    <row r="94" spans="1:19" x14ac:dyDescent="0.25">
      <c r="A94" s="90"/>
      <c r="B94" s="90" t="s">
        <v>193</v>
      </c>
      <c r="C94" s="92">
        <v>129</v>
      </c>
      <c r="D94" s="3">
        <v>47.9</v>
      </c>
      <c r="E94" s="3">
        <v>394.5</v>
      </c>
      <c r="F94" s="3">
        <v>11.8</v>
      </c>
      <c r="G94" s="3">
        <v>4.5</v>
      </c>
      <c r="H94" s="3">
        <v>15.7</v>
      </c>
      <c r="I94" s="3">
        <v>774</v>
      </c>
    </row>
    <row r="95" spans="1:19" x14ac:dyDescent="0.25">
      <c r="A95" s="90" t="s">
        <v>268</v>
      </c>
      <c r="B95" s="91" t="s">
        <v>250</v>
      </c>
      <c r="C95" s="92">
        <v>3815</v>
      </c>
      <c r="D95" s="3">
        <v>44.3</v>
      </c>
      <c r="E95" s="3">
        <v>419.1</v>
      </c>
      <c r="F95" s="3">
        <v>7.7</v>
      </c>
      <c r="G95" s="3">
        <v>8.6</v>
      </c>
      <c r="H95" s="3">
        <v>94.8</v>
      </c>
      <c r="I95" s="3"/>
    </row>
    <row r="96" spans="1:19" x14ac:dyDescent="0.25">
      <c r="A96" s="90"/>
      <c r="B96" s="90" t="s">
        <v>188</v>
      </c>
      <c r="C96" s="92">
        <v>782</v>
      </c>
      <c r="D96" s="3">
        <v>44.2</v>
      </c>
      <c r="E96" s="3">
        <v>352.4</v>
      </c>
      <c r="F96" s="3">
        <v>7.1</v>
      </c>
      <c r="G96" s="3">
        <v>7.4</v>
      </c>
      <c r="H96" s="3">
        <v>37.299999999999997</v>
      </c>
      <c r="I96" s="3"/>
    </row>
    <row r="97" spans="1:9" x14ac:dyDescent="0.25">
      <c r="A97" s="90"/>
      <c r="B97" s="90" t="s">
        <v>253</v>
      </c>
      <c r="C97" s="92">
        <v>3366</v>
      </c>
      <c r="D97" s="3">
        <v>42.1</v>
      </c>
      <c r="E97" s="3">
        <v>325.89999999999998</v>
      </c>
      <c r="F97" s="3">
        <v>7.8</v>
      </c>
      <c r="G97" s="3">
        <v>8.4</v>
      </c>
      <c r="H97" s="3">
        <v>22.9</v>
      </c>
      <c r="I97" s="3">
        <v>437</v>
      </c>
    </row>
    <row r="98" spans="1:9" x14ac:dyDescent="0.25">
      <c r="A98" s="90"/>
      <c r="B98" s="90" t="s">
        <v>191</v>
      </c>
      <c r="C98" s="92">
        <v>10</v>
      </c>
      <c r="D98" s="3">
        <v>41.3</v>
      </c>
      <c r="E98" s="3">
        <v>167.5</v>
      </c>
      <c r="F98" s="3">
        <v>6.8</v>
      </c>
      <c r="G98" s="3">
        <v>5.2</v>
      </c>
      <c r="H98" s="3">
        <v>10.199999999999999</v>
      </c>
      <c r="I98" s="3">
        <v>471</v>
      </c>
    </row>
    <row r="99" spans="1:9" x14ac:dyDescent="0.25">
      <c r="A99" s="90"/>
      <c r="B99" s="90" t="s">
        <v>192</v>
      </c>
      <c r="C99" s="92">
        <v>74</v>
      </c>
      <c r="D99" s="3">
        <v>42.2</v>
      </c>
      <c r="E99" s="3">
        <v>366.8</v>
      </c>
      <c r="F99" s="3">
        <v>8.1</v>
      </c>
      <c r="G99" s="3">
        <v>6.7</v>
      </c>
      <c r="H99" s="3">
        <v>20.8</v>
      </c>
      <c r="I99" s="3">
        <v>546</v>
      </c>
    </row>
    <row r="100" spans="1:9" x14ac:dyDescent="0.25">
      <c r="A100" s="90"/>
      <c r="B100" s="90" t="s">
        <v>193</v>
      </c>
      <c r="C100" s="92">
        <v>5889</v>
      </c>
      <c r="D100" s="3">
        <v>46.2</v>
      </c>
      <c r="E100" s="3">
        <v>382.6</v>
      </c>
      <c r="F100" s="3">
        <v>9.5</v>
      </c>
      <c r="G100" s="3">
        <v>6.8</v>
      </c>
      <c r="H100" s="3">
        <v>15.7</v>
      </c>
      <c r="I100" s="3">
        <v>751</v>
      </c>
    </row>
    <row r="101" spans="1:9" x14ac:dyDescent="0.25">
      <c r="A101" s="90" t="s">
        <v>269</v>
      </c>
      <c r="B101" s="91" t="s">
        <v>250</v>
      </c>
      <c r="C101" s="92">
        <v>11</v>
      </c>
      <c r="D101" s="3">
        <v>49.5</v>
      </c>
      <c r="E101" s="3">
        <v>467.2</v>
      </c>
      <c r="F101" s="3">
        <v>6.7</v>
      </c>
      <c r="G101" s="3">
        <v>9.5</v>
      </c>
      <c r="H101" s="3">
        <v>88.4</v>
      </c>
      <c r="I101" s="3"/>
    </row>
    <row r="102" spans="1:9" x14ac:dyDescent="0.25">
      <c r="A102" s="90"/>
      <c r="B102" s="90" t="s">
        <v>188</v>
      </c>
      <c r="C102" s="92">
        <v>3</v>
      </c>
      <c r="D102" s="3">
        <v>49.7</v>
      </c>
      <c r="E102" s="3">
        <v>370.3</v>
      </c>
      <c r="F102" s="3">
        <v>8</v>
      </c>
      <c r="G102" s="3">
        <v>7</v>
      </c>
      <c r="H102" s="3">
        <v>33.1</v>
      </c>
      <c r="I102" s="3"/>
    </row>
    <row r="103" spans="1:9" x14ac:dyDescent="0.25">
      <c r="A103" s="90"/>
      <c r="B103" s="90" t="s">
        <v>253</v>
      </c>
      <c r="C103" s="92">
        <v>5</v>
      </c>
      <c r="D103" s="3">
        <v>43.6</v>
      </c>
      <c r="E103" s="3">
        <v>376.9</v>
      </c>
      <c r="F103" s="3">
        <v>8</v>
      </c>
      <c r="G103" s="3">
        <v>7.4</v>
      </c>
      <c r="H103" s="3">
        <v>27.6</v>
      </c>
      <c r="I103" s="3">
        <v>422</v>
      </c>
    </row>
    <row r="104" spans="1:9" x14ac:dyDescent="0.25">
      <c r="A104" s="90"/>
      <c r="B104" s="90" t="s">
        <v>191</v>
      </c>
      <c r="C104" s="92">
        <v>30</v>
      </c>
      <c r="D104" s="3">
        <v>53.8</v>
      </c>
      <c r="E104" s="3">
        <v>403.7</v>
      </c>
      <c r="F104" s="3">
        <v>9.9</v>
      </c>
      <c r="G104" s="3">
        <v>6.4</v>
      </c>
      <c r="H104" s="3">
        <v>14.6</v>
      </c>
      <c r="I104" s="3">
        <v>847</v>
      </c>
    </row>
    <row r="105" spans="1:9" x14ac:dyDescent="0.25">
      <c r="A105" s="90"/>
      <c r="B105" s="90" t="s">
        <v>192</v>
      </c>
      <c r="C105" s="92"/>
      <c r="D105" s="3"/>
      <c r="E105" s="3"/>
      <c r="F105" s="3"/>
      <c r="G105" s="3"/>
      <c r="H105" s="3"/>
      <c r="I105" s="3"/>
    </row>
    <row r="106" spans="1:9" x14ac:dyDescent="0.25">
      <c r="A106" s="90"/>
      <c r="B106" s="90" t="s">
        <v>193</v>
      </c>
      <c r="C106" s="92">
        <v>8</v>
      </c>
      <c r="D106" s="3">
        <v>53.5</v>
      </c>
      <c r="E106" s="3">
        <v>381.1</v>
      </c>
      <c r="F106" s="3">
        <v>7.6</v>
      </c>
      <c r="G106" s="3">
        <v>6.1</v>
      </c>
      <c r="H106" s="3">
        <v>17.3</v>
      </c>
      <c r="I106" s="3">
        <v>671</v>
      </c>
    </row>
    <row r="107" spans="1:9" x14ac:dyDescent="0.25">
      <c r="A107" s="90" t="s">
        <v>270</v>
      </c>
      <c r="B107" s="91" t="s">
        <v>250</v>
      </c>
      <c r="C107" s="92">
        <v>3</v>
      </c>
      <c r="D107" s="3">
        <v>40</v>
      </c>
      <c r="E107" s="3">
        <v>176.9</v>
      </c>
      <c r="F107" s="3">
        <v>5</v>
      </c>
      <c r="G107" s="3">
        <v>11.3</v>
      </c>
      <c r="H107" s="3">
        <v>212.4</v>
      </c>
      <c r="I107" s="3"/>
    </row>
    <row r="108" spans="1:9" x14ac:dyDescent="0.25">
      <c r="A108" s="90"/>
      <c r="B108" s="90" t="s">
        <v>188</v>
      </c>
      <c r="C108" s="92"/>
      <c r="D108" s="3"/>
      <c r="E108" s="3"/>
      <c r="F108" s="3"/>
      <c r="G108" s="3"/>
      <c r="H108" s="3"/>
      <c r="I108" s="3"/>
    </row>
    <row r="109" spans="1:9" x14ac:dyDescent="0.25">
      <c r="A109" s="90"/>
      <c r="B109" s="90" t="s">
        <v>253</v>
      </c>
      <c r="C109" s="92"/>
      <c r="D109" s="3"/>
      <c r="E109" s="3"/>
      <c r="F109" s="3"/>
      <c r="G109" s="3"/>
      <c r="H109" s="3"/>
      <c r="I109" s="3"/>
    </row>
    <row r="110" spans="1:9" x14ac:dyDescent="0.25">
      <c r="A110" s="90"/>
      <c r="B110" s="90" t="s">
        <v>191</v>
      </c>
      <c r="C110" s="92">
        <v>1</v>
      </c>
      <c r="D110" s="3">
        <v>22</v>
      </c>
      <c r="E110" s="3">
        <v>91.5</v>
      </c>
      <c r="F110" s="3">
        <v>4</v>
      </c>
      <c r="G110" s="3">
        <v>2</v>
      </c>
      <c r="H110" s="3">
        <v>11.9</v>
      </c>
      <c r="I110" s="3">
        <v>222</v>
      </c>
    </row>
    <row r="111" spans="1:9" x14ac:dyDescent="0.25">
      <c r="A111" s="90"/>
      <c r="B111" s="90" t="s">
        <v>192</v>
      </c>
      <c r="C111" s="92"/>
      <c r="D111" s="3"/>
      <c r="E111" s="3"/>
      <c r="F111" s="3"/>
      <c r="G111" s="3"/>
      <c r="H111" s="3"/>
      <c r="I111" s="3"/>
    </row>
    <row r="112" spans="1:9" x14ac:dyDescent="0.25">
      <c r="A112" s="90"/>
      <c r="B112" s="90" t="s">
        <v>193</v>
      </c>
      <c r="C112" s="92">
        <v>2</v>
      </c>
      <c r="D112" s="3">
        <v>31.5</v>
      </c>
      <c r="E112" s="3">
        <v>148.5</v>
      </c>
      <c r="F112" s="3">
        <v>6</v>
      </c>
      <c r="G112" s="3">
        <v>3.5</v>
      </c>
      <c r="H112" s="3">
        <v>21.8</v>
      </c>
      <c r="I112" s="3">
        <v>200</v>
      </c>
    </row>
    <row r="113" spans="1:10" x14ac:dyDescent="0.25">
      <c r="A113" s="90" t="s">
        <v>271</v>
      </c>
      <c r="B113" s="91" t="s">
        <v>250</v>
      </c>
      <c r="C113" s="92">
        <v>845</v>
      </c>
      <c r="D113" s="3">
        <v>40.4</v>
      </c>
      <c r="E113" s="3">
        <v>390.4</v>
      </c>
      <c r="F113" s="3">
        <v>8.6</v>
      </c>
      <c r="G113" s="3">
        <v>8.6</v>
      </c>
      <c r="H113" s="3">
        <v>98.7</v>
      </c>
      <c r="I113" s="3"/>
    </row>
    <row r="114" spans="1:10" x14ac:dyDescent="0.25">
      <c r="A114" s="90"/>
      <c r="B114" s="90" t="s">
        <v>188</v>
      </c>
      <c r="C114" s="92">
        <v>159</v>
      </c>
      <c r="D114" s="3">
        <v>40.700000000000003</v>
      </c>
      <c r="E114" s="3">
        <v>340.5</v>
      </c>
      <c r="F114" s="3">
        <v>8.1</v>
      </c>
      <c r="G114" s="3">
        <v>7.3</v>
      </c>
      <c r="H114" s="3">
        <v>38.299999999999997</v>
      </c>
      <c r="I114" s="3"/>
    </row>
    <row r="115" spans="1:10" x14ac:dyDescent="0.25">
      <c r="A115" s="90"/>
      <c r="B115" s="90" t="s">
        <v>253</v>
      </c>
      <c r="C115" s="92">
        <v>613</v>
      </c>
      <c r="D115" s="3">
        <v>39.6</v>
      </c>
      <c r="E115" s="3">
        <v>308.39999999999998</v>
      </c>
      <c r="F115" s="3">
        <v>8.6999999999999993</v>
      </c>
      <c r="G115" s="3">
        <v>7.8</v>
      </c>
      <c r="H115" s="3">
        <v>25.1</v>
      </c>
      <c r="I115" s="3">
        <v>378</v>
      </c>
    </row>
    <row r="116" spans="1:10" x14ac:dyDescent="0.25">
      <c r="A116" s="90"/>
      <c r="B116" s="90" t="s">
        <v>191</v>
      </c>
      <c r="C116" s="92">
        <v>41</v>
      </c>
      <c r="D116" s="3">
        <v>39.5</v>
      </c>
      <c r="E116" s="3">
        <v>166.3</v>
      </c>
      <c r="F116" s="3">
        <v>10.5</v>
      </c>
      <c r="G116" s="3">
        <v>4.4000000000000004</v>
      </c>
      <c r="H116" s="3">
        <v>8.6</v>
      </c>
      <c r="I116" s="3">
        <v>567</v>
      </c>
    </row>
    <row r="117" spans="1:10" x14ac:dyDescent="0.25">
      <c r="A117" s="90"/>
      <c r="B117" s="90" t="s">
        <v>192</v>
      </c>
      <c r="C117" s="92">
        <v>10</v>
      </c>
      <c r="D117" s="3">
        <v>39.6</v>
      </c>
      <c r="E117" s="3">
        <v>341.7</v>
      </c>
      <c r="F117" s="3">
        <v>9.1999999999999993</v>
      </c>
      <c r="G117" s="3">
        <v>6.4</v>
      </c>
      <c r="H117" s="3">
        <v>24.9</v>
      </c>
      <c r="I117" s="3">
        <v>424</v>
      </c>
    </row>
    <row r="118" spans="1:10" x14ac:dyDescent="0.25">
      <c r="A118" s="90"/>
      <c r="B118" s="90" t="s">
        <v>193</v>
      </c>
      <c r="C118" s="92">
        <v>1185</v>
      </c>
      <c r="D118" s="3">
        <v>42.5</v>
      </c>
      <c r="E118" s="3">
        <v>376.9</v>
      </c>
      <c r="F118" s="3">
        <v>10.8</v>
      </c>
      <c r="G118" s="3">
        <v>6.3</v>
      </c>
      <c r="H118" s="3">
        <v>16.8</v>
      </c>
      <c r="I118" s="3">
        <v>695</v>
      </c>
    </row>
    <row r="119" spans="1:10" x14ac:dyDescent="0.25">
      <c r="A119" s="90" t="s">
        <v>272</v>
      </c>
      <c r="B119" s="91" t="s">
        <v>250</v>
      </c>
      <c r="C119" s="92">
        <v>2255</v>
      </c>
      <c r="D119" s="3">
        <v>43.3</v>
      </c>
      <c r="E119" s="3">
        <v>385.4</v>
      </c>
      <c r="F119" s="3">
        <v>6.9</v>
      </c>
      <c r="G119" s="3">
        <v>8</v>
      </c>
      <c r="H119" s="3">
        <v>89.4</v>
      </c>
      <c r="I119" s="3"/>
    </row>
    <row r="120" spans="1:10" x14ac:dyDescent="0.25">
      <c r="A120" s="90"/>
      <c r="B120" s="90" t="s">
        <v>188</v>
      </c>
      <c r="C120" s="92">
        <v>553</v>
      </c>
      <c r="D120" s="3">
        <v>42.6</v>
      </c>
      <c r="E120" s="3">
        <v>334.8</v>
      </c>
      <c r="F120" s="3">
        <v>6.5</v>
      </c>
      <c r="G120" s="3">
        <v>7.1</v>
      </c>
      <c r="H120" s="3">
        <v>38.200000000000003</v>
      </c>
      <c r="I120" s="3"/>
    </row>
    <row r="121" spans="1:10" x14ac:dyDescent="0.25">
      <c r="A121" s="90"/>
      <c r="B121" s="90" t="s">
        <v>253</v>
      </c>
      <c r="C121" s="92">
        <v>1454</v>
      </c>
      <c r="D121" s="3">
        <v>41.1</v>
      </c>
      <c r="E121" s="3">
        <v>321.60000000000002</v>
      </c>
      <c r="F121" s="3">
        <v>7.3</v>
      </c>
      <c r="G121" s="3">
        <v>8.4</v>
      </c>
      <c r="H121" s="3">
        <v>24.3</v>
      </c>
      <c r="I121" s="3">
        <v>407</v>
      </c>
    </row>
    <row r="122" spans="1:10" x14ac:dyDescent="0.25">
      <c r="A122" s="90"/>
      <c r="B122" s="90" t="s">
        <v>191</v>
      </c>
      <c r="C122" s="92">
        <v>9</v>
      </c>
      <c r="D122" s="3">
        <v>42.4</v>
      </c>
      <c r="E122" s="3">
        <v>154.30000000000001</v>
      </c>
      <c r="F122" s="3">
        <v>6.4</v>
      </c>
      <c r="G122" s="3">
        <v>4.0999999999999996</v>
      </c>
      <c r="H122" s="3">
        <v>9.5</v>
      </c>
      <c r="I122" s="3">
        <v>461</v>
      </c>
    </row>
    <row r="123" spans="1:10" x14ac:dyDescent="0.25">
      <c r="A123" s="90"/>
      <c r="B123" s="90" t="s">
        <v>192</v>
      </c>
      <c r="C123" s="92">
        <v>154</v>
      </c>
      <c r="D123" s="3">
        <v>42.4</v>
      </c>
      <c r="E123" s="3">
        <v>332.9</v>
      </c>
      <c r="F123" s="3">
        <v>6.9</v>
      </c>
      <c r="G123" s="3">
        <v>6.5</v>
      </c>
      <c r="H123" s="3">
        <v>25.2</v>
      </c>
      <c r="I123" s="3">
        <v>406</v>
      </c>
    </row>
    <row r="124" spans="1:10" x14ac:dyDescent="0.25">
      <c r="A124" s="90"/>
      <c r="B124" s="90" t="s">
        <v>193</v>
      </c>
      <c r="C124" s="92">
        <v>2868</v>
      </c>
      <c r="D124" s="3">
        <v>44</v>
      </c>
      <c r="E124" s="3">
        <v>374.2</v>
      </c>
      <c r="F124" s="3">
        <v>8.6999999999999993</v>
      </c>
      <c r="G124" s="3">
        <v>6.5</v>
      </c>
      <c r="H124" s="3">
        <v>16.600000000000001</v>
      </c>
      <c r="I124" s="3">
        <v>699</v>
      </c>
    </row>
    <row r="125" spans="1:10" x14ac:dyDescent="0.25">
      <c r="A125" s="90" t="s">
        <v>259</v>
      </c>
      <c r="B125" s="91" t="s">
        <v>250</v>
      </c>
      <c r="C125" s="92">
        <v>3788</v>
      </c>
      <c r="D125" s="3">
        <v>40.9</v>
      </c>
      <c r="E125" s="3">
        <v>364.5</v>
      </c>
      <c r="F125" s="3">
        <v>6.2</v>
      </c>
      <c r="G125" s="3">
        <v>8.1999999999999993</v>
      </c>
      <c r="H125" s="3">
        <v>85.5</v>
      </c>
      <c r="I125" s="3"/>
      <c r="J125" s="26">
        <f>C125/C41</f>
        <v>0.22378448632362496</v>
      </c>
    </row>
    <row r="126" spans="1:10" x14ac:dyDescent="0.25">
      <c r="A126" s="90"/>
      <c r="B126" s="90" t="s">
        <v>188</v>
      </c>
      <c r="C126" s="92">
        <v>2216</v>
      </c>
      <c r="D126" s="3">
        <v>40.200000000000003</v>
      </c>
      <c r="E126" s="3">
        <v>319.60000000000002</v>
      </c>
      <c r="F126" s="3">
        <v>5.8</v>
      </c>
      <c r="G126" s="3">
        <v>7.9</v>
      </c>
      <c r="H126" s="3">
        <v>34.1</v>
      </c>
      <c r="I126" s="3"/>
      <c r="J126" s="26">
        <f t="shared" ref="J126:J130" si="38">C126/C42</f>
        <v>0.36483371748435955</v>
      </c>
    </row>
    <row r="127" spans="1:10" x14ac:dyDescent="0.25">
      <c r="A127" s="90"/>
      <c r="B127" s="90" t="s">
        <v>253</v>
      </c>
      <c r="C127" s="92">
        <v>8773</v>
      </c>
      <c r="D127" s="3">
        <v>40.299999999999997</v>
      </c>
      <c r="E127" s="3">
        <v>318.89999999999998</v>
      </c>
      <c r="F127" s="3">
        <v>6.8</v>
      </c>
      <c r="G127" s="3">
        <v>8.8000000000000007</v>
      </c>
      <c r="H127" s="3">
        <v>24.7</v>
      </c>
      <c r="I127" s="3">
        <v>397</v>
      </c>
      <c r="J127" s="26">
        <f t="shared" si="38"/>
        <v>0.39443395378113477</v>
      </c>
    </row>
    <row r="128" spans="1:10" x14ac:dyDescent="0.25">
      <c r="A128" s="90"/>
      <c r="B128" s="90" t="s">
        <v>191</v>
      </c>
      <c r="C128" s="92">
        <v>346</v>
      </c>
      <c r="D128" s="3">
        <v>40</v>
      </c>
      <c r="E128" s="3">
        <v>179.8</v>
      </c>
      <c r="F128" s="3">
        <v>6.7</v>
      </c>
      <c r="G128" s="3">
        <v>6.4</v>
      </c>
      <c r="H128" s="3">
        <v>8.9</v>
      </c>
      <c r="I128" s="3">
        <v>590</v>
      </c>
      <c r="J128" s="26">
        <f t="shared" si="38"/>
        <v>0.41686746987951806</v>
      </c>
    </row>
    <row r="129" spans="1:10" x14ac:dyDescent="0.25">
      <c r="A129" s="90"/>
      <c r="B129" s="90" t="s">
        <v>192</v>
      </c>
      <c r="C129" s="92">
        <v>2741</v>
      </c>
      <c r="D129" s="3">
        <v>40.1</v>
      </c>
      <c r="E129" s="3">
        <v>343.3</v>
      </c>
      <c r="F129" s="3">
        <v>6.1</v>
      </c>
      <c r="G129" s="3">
        <v>7.5</v>
      </c>
      <c r="H129" s="3">
        <v>25.9</v>
      </c>
      <c r="I129" s="3">
        <v>410</v>
      </c>
      <c r="J129" s="26">
        <f t="shared" si="38"/>
        <v>0.45713809206137423</v>
      </c>
    </row>
    <row r="130" spans="1:10" x14ac:dyDescent="0.25">
      <c r="A130" s="90"/>
      <c r="B130" s="90" t="s">
        <v>193</v>
      </c>
      <c r="C130" s="92">
        <v>9036</v>
      </c>
      <c r="D130" s="3">
        <v>41.4</v>
      </c>
      <c r="E130" s="3">
        <v>366.6</v>
      </c>
      <c r="F130" s="3">
        <v>7.7</v>
      </c>
      <c r="G130" s="3">
        <v>7</v>
      </c>
      <c r="H130" s="3">
        <v>18</v>
      </c>
      <c r="I130" s="3">
        <v>633</v>
      </c>
      <c r="J130" s="26">
        <f t="shared" si="38"/>
        <v>0.3054766734279919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1"/>
  <sheetViews>
    <sheetView workbookViewId="0">
      <selection activeCell="F14" sqref="F14"/>
    </sheetView>
  </sheetViews>
  <sheetFormatPr defaultRowHeight="15" x14ac:dyDescent="0.25"/>
  <sheetData>
    <row r="1" spans="2:15" x14ac:dyDescent="0.25">
      <c r="C1" t="s">
        <v>273</v>
      </c>
      <c r="G1" t="s">
        <v>274</v>
      </c>
    </row>
    <row r="2" spans="2:15" x14ac:dyDescent="0.25">
      <c r="C2" t="s">
        <v>275</v>
      </c>
      <c r="D2" t="s">
        <v>293</v>
      </c>
      <c r="E2" t="s">
        <v>276</v>
      </c>
      <c r="G2" t="s">
        <v>277</v>
      </c>
      <c r="H2" t="s">
        <v>278</v>
      </c>
      <c r="I2" t="s">
        <v>279</v>
      </c>
      <c r="J2" t="s">
        <v>280</v>
      </c>
      <c r="K2" t="s">
        <v>277</v>
      </c>
      <c r="L2" t="s">
        <v>278</v>
      </c>
      <c r="M2" t="s">
        <v>279</v>
      </c>
      <c r="O2" t="s">
        <v>281</v>
      </c>
    </row>
    <row r="3" spans="2:15" x14ac:dyDescent="0.25">
      <c r="B3">
        <v>2016</v>
      </c>
      <c r="C3" s="12">
        <v>330833</v>
      </c>
      <c r="D3" s="12">
        <v>2862.23</v>
      </c>
      <c r="E3" s="12">
        <f>D3*1000000/C3</f>
        <v>8651.5855431592372</v>
      </c>
      <c r="F3" s="12"/>
      <c r="G3" s="12">
        <v>9759</v>
      </c>
      <c r="H3" s="12">
        <v>9829</v>
      </c>
      <c r="I3" s="12">
        <v>9135</v>
      </c>
      <c r="J3" s="26">
        <v>0.92700000000000005</v>
      </c>
      <c r="K3" s="12">
        <f t="shared" ref="K3:M7" si="0">G3*$J3</f>
        <v>9046.5930000000008</v>
      </c>
      <c r="L3" s="12">
        <f t="shared" si="0"/>
        <v>9111.4830000000002</v>
      </c>
      <c r="M3" s="12">
        <f t="shared" si="0"/>
        <v>8468.1450000000004</v>
      </c>
      <c r="O3">
        <f>E3/G3</f>
        <v>0.88652377735006016</v>
      </c>
    </row>
    <row r="4" spans="2:15" x14ac:dyDescent="0.25">
      <c r="B4">
        <v>2017</v>
      </c>
      <c r="C4" s="12">
        <v>322010</v>
      </c>
      <c r="D4" s="12">
        <v>2816.66</v>
      </c>
      <c r="E4" s="12">
        <f t="shared" ref="E4:E7" si="1">D4*1000000/C4</f>
        <v>8747.1196546691099</v>
      </c>
      <c r="F4" s="12"/>
      <c r="G4" s="12">
        <v>9801</v>
      </c>
      <c r="H4" s="12">
        <v>9903</v>
      </c>
      <c r="I4" s="12">
        <v>9246</v>
      </c>
      <c r="J4" s="26">
        <v>0.92500000000000004</v>
      </c>
      <c r="K4" s="12">
        <f t="shared" si="0"/>
        <v>9065.9250000000011</v>
      </c>
      <c r="L4" s="12">
        <f t="shared" si="0"/>
        <v>9160.2749999999996</v>
      </c>
      <c r="M4" s="12">
        <f t="shared" si="0"/>
        <v>8552.5500000000011</v>
      </c>
      <c r="O4">
        <f t="shared" ref="O4:O7" si="2">E4/G4</f>
        <v>0.89247216148037034</v>
      </c>
    </row>
    <row r="5" spans="2:15" x14ac:dyDescent="0.25">
      <c r="B5">
        <v>2018</v>
      </c>
      <c r="C5" s="12">
        <v>319387</v>
      </c>
      <c r="D5" s="12">
        <v>2760.23</v>
      </c>
      <c r="E5" s="12">
        <f t="shared" si="1"/>
        <v>8642.2741063349476</v>
      </c>
      <c r="F5" s="12"/>
      <c r="G5" s="12">
        <v>9827</v>
      </c>
      <c r="H5" s="12">
        <v>9953</v>
      </c>
      <c r="I5" s="12">
        <v>9280</v>
      </c>
      <c r="J5" s="26">
        <v>0.92300000000000004</v>
      </c>
      <c r="K5" s="12">
        <f t="shared" si="0"/>
        <v>9070.3209999999999</v>
      </c>
      <c r="L5" s="12">
        <f t="shared" si="0"/>
        <v>9186.6190000000006</v>
      </c>
      <c r="M5" s="12">
        <f t="shared" si="0"/>
        <v>8565.44</v>
      </c>
      <c r="O5">
        <f t="shared" si="2"/>
        <v>0.87944175295969751</v>
      </c>
    </row>
    <row r="6" spans="2:15" x14ac:dyDescent="0.25">
      <c r="B6">
        <v>2019</v>
      </c>
      <c r="C6" s="12">
        <v>305570</v>
      </c>
      <c r="D6" s="12">
        <v>2704.39</v>
      </c>
      <c r="E6" s="12">
        <f t="shared" si="1"/>
        <v>8850.3125306803686</v>
      </c>
      <c r="F6" s="12"/>
      <c r="G6" s="12">
        <v>9996</v>
      </c>
      <c r="H6" s="12">
        <v>10112</v>
      </c>
      <c r="I6" s="12">
        <v>9499</v>
      </c>
      <c r="J6" s="26">
        <v>0.92100000000000004</v>
      </c>
      <c r="K6" s="12">
        <f t="shared" si="0"/>
        <v>9206.3160000000007</v>
      </c>
      <c r="L6" s="12">
        <f t="shared" si="0"/>
        <v>9313.152</v>
      </c>
      <c r="M6" s="12">
        <f t="shared" si="0"/>
        <v>8748.5789999999997</v>
      </c>
      <c r="O6">
        <f t="shared" si="2"/>
        <v>0.88538540723092918</v>
      </c>
    </row>
    <row r="7" spans="2:15" x14ac:dyDescent="0.25">
      <c r="B7">
        <v>2020</v>
      </c>
      <c r="C7" s="12">
        <v>303390</v>
      </c>
      <c r="D7" s="12">
        <v>2772.74</v>
      </c>
      <c r="E7" s="12">
        <f t="shared" si="1"/>
        <v>9139.1937769867163</v>
      </c>
      <c r="F7" s="12"/>
      <c r="G7" s="12">
        <v>10232</v>
      </c>
      <c r="H7" s="12">
        <v>10330</v>
      </c>
      <c r="I7" s="12">
        <v>9676</v>
      </c>
      <c r="J7" s="26">
        <v>0.92</v>
      </c>
      <c r="K7" s="12">
        <f t="shared" si="0"/>
        <v>9413.44</v>
      </c>
      <c r="L7" s="12">
        <f t="shared" si="0"/>
        <v>9503.6</v>
      </c>
      <c r="M7" s="12">
        <f t="shared" si="0"/>
        <v>8901.92</v>
      </c>
      <c r="O7">
        <f t="shared" si="2"/>
        <v>0.89319720259838897</v>
      </c>
    </row>
    <row r="8" spans="2:15" x14ac:dyDescent="0.25">
      <c r="G8" s="6" t="s">
        <v>290</v>
      </c>
    </row>
    <row r="9" spans="2:15" x14ac:dyDescent="0.25">
      <c r="E9" s="12">
        <f>AVERAGE(E3:E7)</f>
        <v>8806.0971223660763</v>
      </c>
      <c r="G9" s="12">
        <f>SUMPRODUCT(G3:G7,$O3:$O7)/5</f>
        <v>8806.0971223660763</v>
      </c>
      <c r="H9" s="12">
        <f t="shared" ref="H9:I9" si="3">SUMPRODUCT(H3:H7,$O3:$O7)/5</f>
        <v>8896.9244261364474</v>
      </c>
      <c r="I9" s="12">
        <f t="shared" si="3"/>
        <v>8312.8527788469837</v>
      </c>
      <c r="O9" s="26">
        <f>AVERAGE(O3:O7)</f>
        <v>0.8874040603238893</v>
      </c>
    </row>
    <row r="11" spans="2:15" x14ac:dyDescent="0.25">
      <c r="K11" s="6" t="s">
        <v>288</v>
      </c>
    </row>
    <row r="12" spans="2:15" x14ac:dyDescent="0.25">
      <c r="B12" s="6" t="s">
        <v>287</v>
      </c>
      <c r="L12" t="s">
        <v>289</v>
      </c>
      <c r="N12" t="s">
        <v>286</v>
      </c>
    </row>
    <row r="13" spans="2:15" x14ac:dyDescent="0.25">
      <c r="B13" t="s">
        <v>202</v>
      </c>
      <c r="C13" t="s">
        <v>282</v>
      </c>
      <c r="D13" t="s">
        <v>283</v>
      </c>
      <c r="E13" t="s">
        <v>284</v>
      </c>
      <c r="F13" t="s">
        <v>294</v>
      </c>
      <c r="G13" t="s">
        <v>184</v>
      </c>
      <c r="H13" t="s">
        <v>285</v>
      </c>
      <c r="I13" t="s">
        <v>286</v>
      </c>
      <c r="K13" t="s">
        <v>202</v>
      </c>
      <c r="L13" t="s">
        <v>70</v>
      </c>
      <c r="M13" t="s">
        <v>71</v>
      </c>
      <c r="N13" t="s">
        <v>70</v>
      </c>
      <c r="O13" t="s">
        <v>71</v>
      </c>
    </row>
    <row r="14" spans="2:15" x14ac:dyDescent="0.25">
      <c r="B14">
        <v>1995</v>
      </c>
      <c r="C14">
        <v>3243</v>
      </c>
      <c r="D14">
        <v>4.33</v>
      </c>
      <c r="E14">
        <v>3.34</v>
      </c>
      <c r="F14" s="2">
        <f>C14*(0.25+D14/100*12.2+E14/100*7.7)</f>
        <v>3357.9319199999995</v>
      </c>
      <c r="G14" s="12">
        <v>482118</v>
      </c>
      <c r="H14" s="12">
        <f t="shared" ref="H14:H40" si="4">C14*1000000/G14</f>
        <v>6726.5690142247331</v>
      </c>
      <c r="K14">
        <v>2015</v>
      </c>
      <c r="L14" s="12">
        <v>9716</v>
      </c>
      <c r="M14" s="12">
        <v>8916</v>
      </c>
    </row>
    <row r="15" spans="2:15" x14ac:dyDescent="0.25">
      <c r="B15">
        <v>1996</v>
      </c>
      <c r="C15">
        <v>3258</v>
      </c>
      <c r="D15">
        <v>4.29</v>
      </c>
      <c r="E15">
        <v>3.33</v>
      </c>
      <c r="F15" s="2">
        <f t="shared" ref="F15:F40" si="5">C15*(0.25+D15/100*12.2+E15/100*7.7)</f>
        <v>3355.05582</v>
      </c>
      <c r="G15" s="12">
        <v>466265</v>
      </c>
      <c r="H15" s="12">
        <f t="shared" si="4"/>
        <v>6987.4427632354991</v>
      </c>
      <c r="K15">
        <v>2016</v>
      </c>
      <c r="L15" s="12">
        <v>9829</v>
      </c>
      <c r="M15" s="12">
        <v>9135</v>
      </c>
    </row>
    <row r="16" spans="2:15" x14ac:dyDescent="0.25">
      <c r="B16">
        <v>1997</v>
      </c>
      <c r="C16">
        <v>3276</v>
      </c>
      <c r="D16">
        <v>4.28</v>
      </c>
      <c r="E16">
        <v>3.32</v>
      </c>
      <c r="F16" s="2">
        <f t="shared" si="5"/>
        <v>3367.0728000000004</v>
      </c>
      <c r="G16" s="12">
        <v>467981</v>
      </c>
      <c r="H16" s="12">
        <f t="shared" si="4"/>
        <v>7000.2841995722047</v>
      </c>
      <c r="K16">
        <v>2017</v>
      </c>
      <c r="L16" s="12">
        <v>9903</v>
      </c>
      <c r="M16" s="12">
        <v>9246</v>
      </c>
    </row>
    <row r="17" spans="2:15" x14ac:dyDescent="0.25">
      <c r="B17">
        <v>1998</v>
      </c>
      <c r="C17">
        <v>3277</v>
      </c>
      <c r="D17">
        <v>4.26</v>
      </c>
      <c r="E17">
        <v>3.31</v>
      </c>
      <c r="F17" s="2">
        <f t="shared" si="5"/>
        <v>3357.5814299999997</v>
      </c>
      <c r="G17" s="12">
        <v>449130</v>
      </c>
      <c r="H17" s="12">
        <f t="shared" si="4"/>
        <v>7296.3284572395523</v>
      </c>
      <c r="K17">
        <v>2018</v>
      </c>
      <c r="L17" s="12">
        <v>9953</v>
      </c>
      <c r="M17" s="12">
        <v>9280</v>
      </c>
    </row>
    <row r="18" spans="2:15" x14ac:dyDescent="0.25">
      <c r="B18">
        <v>1999</v>
      </c>
      <c r="C18">
        <v>3299</v>
      </c>
      <c r="D18">
        <v>4.1900000000000004</v>
      </c>
      <c r="E18">
        <v>3.3</v>
      </c>
      <c r="F18" s="2">
        <f t="shared" si="5"/>
        <v>3349.4087200000008</v>
      </c>
      <c r="G18" s="12">
        <v>448520</v>
      </c>
      <c r="H18" s="12">
        <f t="shared" si="4"/>
        <v>7355.3018817444035</v>
      </c>
      <c r="K18">
        <v>2019</v>
      </c>
      <c r="L18" s="12">
        <v>10112</v>
      </c>
      <c r="M18" s="12">
        <v>9499</v>
      </c>
    </row>
    <row r="19" spans="2:15" x14ac:dyDescent="0.25">
      <c r="B19">
        <v>2000</v>
      </c>
      <c r="C19">
        <v>3297</v>
      </c>
      <c r="D19">
        <v>4.18</v>
      </c>
      <c r="E19">
        <v>3.28</v>
      </c>
      <c r="F19" s="2">
        <f t="shared" si="5"/>
        <v>3338.2784399999996</v>
      </c>
      <c r="G19" s="12">
        <v>427621</v>
      </c>
      <c r="H19" s="12">
        <f t="shared" si="4"/>
        <v>7710.0984282811178</v>
      </c>
      <c r="I19" s="1">
        <f t="shared" ref="I19:I40" si="6">H19/H14</f>
        <v>1.1462156133351946</v>
      </c>
      <c r="K19">
        <v>2020</v>
      </c>
      <c r="L19" s="12">
        <v>10330</v>
      </c>
      <c r="M19" s="12">
        <v>9676</v>
      </c>
      <c r="N19" s="1">
        <f>L19/L14</f>
        <v>1.0631947303417044</v>
      </c>
      <c r="O19" s="1">
        <f>M19/M14</f>
        <v>1.085240017945267</v>
      </c>
    </row>
    <row r="20" spans="2:15" x14ac:dyDescent="0.25">
      <c r="B20">
        <v>2001</v>
      </c>
      <c r="C20">
        <v>3290</v>
      </c>
      <c r="D20">
        <v>4.2</v>
      </c>
      <c r="E20">
        <v>3.28</v>
      </c>
      <c r="F20" s="2">
        <f t="shared" si="5"/>
        <v>3339.2183999999997</v>
      </c>
      <c r="G20" s="12">
        <v>418471</v>
      </c>
      <c r="H20" s="12">
        <f t="shared" si="4"/>
        <v>7861.9545918355152</v>
      </c>
      <c r="I20" s="1">
        <f t="shared" si="6"/>
        <v>1.1251547752492899</v>
      </c>
    </row>
    <row r="21" spans="2:15" x14ac:dyDescent="0.25">
      <c r="B21">
        <v>2002</v>
      </c>
      <c r="C21">
        <v>3226</v>
      </c>
      <c r="D21">
        <v>4.17</v>
      </c>
      <c r="E21">
        <v>3.32</v>
      </c>
      <c r="F21" s="2">
        <f t="shared" si="5"/>
        <v>3272.3898800000002</v>
      </c>
      <c r="G21" s="12">
        <v>417082</v>
      </c>
      <c r="H21" s="12">
        <f t="shared" si="4"/>
        <v>7734.6900609472477</v>
      </c>
      <c r="I21" s="1">
        <f t="shared" si="6"/>
        <v>1.1049108636789238</v>
      </c>
    </row>
    <row r="22" spans="2:15" x14ac:dyDescent="0.25">
      <c r="B22">
        <v>2003</v>
      </c>
      <c r="C22">
        <v>3206</v>
      </c>
      <c r="D22">
        <v>4.22</v>
      </c>
      <c r="E22">
        <v>3.35</v>
      </c>
      <c r="F22" s="2">
        <f t="shared" si="5"/>
        <v>3279.0647399999993</v>
      </c>
      <c r="G22" s="12">
        <v>402520</v>
      </c>
      <c r="H22" s="12">
        <f t="shared" si="4"/>
        <v>7964.8216237702472</v>
      </c>
      <c r="I22" s="1">
        <f t="shared" si="6"/>
        <v>1.0916204869954016</v>
      </c>
    </row>
    <row r="23" spans="2:15" x14ac:dyDescent="0.25">
      <c r="B23">
        <v>2004</v>
      </c>
      <c r="C23">
        <v>3229</v>
      </c>
      <c r="D23">
        <v>4.25</v>
      </c>
      <c r="E23">
        <v>3.38</v>
      </c>
      <c r="F23" s="2">
        <f t="shared" si="5"/>
        <v>3321.8660399999999</v>
      </c>
      <c r="G23" s="12">
        <v>403702</v>
      </c>
      <c r="H23" s="12">
        <f t="shared" si="4"/>
        <v>7998.4741220008818</v>
      </c>
      <c r="I23" s="1">
        <f t="shared" si="6"/>
        <v>1.0874433504697896</v>
      </c>
    </row>
    <row r="24" spans="2:15" x14ac:dyDescent="0.25">
      <c r="B24">
        <v>2005</v>
      </c>
      <c r="C24">
        <v>3163</v>
      </c>
      <c r="D24">
        <v>4.25</v>
      </c>
      <c r="E24">
        <v>3.38</v>
      </c>
      <c r="F24" s="2">
        <f t="shared" si="5"/>
        <v>3253.9678799999997</v>
      </c>
      <c r="G24" s="12">
        <v>393263</v>
      </c>
      <c r="H24" s="12">
        <f t="shared" si="4"/>
        <v>8042.9636146802522</v>
      </c>
      <c r="I24" s="1">
        <f t="shared" si="6"/>
        <v>1.0431726247719697</v>
      </c>
    </row>
    <row r="25" spans="2:15" x14ac:dyDescent="0.25">
      <c r="B25">
        <v>2006</v>
      </c>
      <c r="C25">
        <v>3130</v>
      </c>
      <c r="D25">
        <v>4.22</v>
      </c>
      <c r="E25">
        <v>3.38</v>
      </c>
      <c r="F25" s="2">
        <f t="shared" si="5"/>
        <v>3208.5629999999996</v>
      </c>
      <c r="G25" s="12">
        <v>387530</v>
      </c>
      <c r="H25" s="12">
        <f t="shared" si="4"/>
        <v>8076.794054653833</v>
      </c>
      <c r="I25" s="1">
        <f t="shared" si="6"/>
        <v>1.0273264695577642</v>
      </c>
    </row>
    <row r="26" spans="2:15" x14ac:dyDescent="0.25">
      <c r="B26">
        <v>2007</v>
      </c>
      <c r="C26">
        <v>2986</v>
      </c>
      <c r="D26">
        <v>4.2300000000000004</v>
      </c>
      <c r="E26">
        <v>3.4</v>
      </c>
      <c r="F26" s="2">
        <f t="shared" si="5"/>
        <v>3069.1899600000002</v>
      </c>
      <c r="G26" s="12">
        <v>369646</v>
      </c>
      <c r="H26" s="12">
        <f t="shared" si="4"/>
        <v>8077.9989503470888</v>
      </c>
      <c r="I26" s="1">
        <f t="shared" si="6"/>
        <v>1.0443856039084516</v>
      </c>
    </row>
    <row r="27" spans="2:15" x14ac:dyDescent="0.25">
      <c r="B27">
        <v>2008</v>
      </c>
      <c r="C27">
        <v>2987</v>
      </c>
      <c r="D27">
        <v>4.21</v>
      </c>
      <c r="E27">
        <v>3.38</v>
      </c>
      <c r="F27" s="2">
        <f t="shared" si="5"/>
        <v>3058.3295599999997</v>
      </c>
      <c r="G27" s="12">
        <v>357194</v>
      </c>
      <c r="H27" s="12">
        <f t="shared" si="4"/>
        <v>8362.4025039614335</v>
      </c>
      <c r="I27" s="1">
        <f t="shared" si="6"/>
        <v>1.0499171103850768</v>
      </c>
    </row>
    <row r="28" spans="2:15" x14ac:dyDescent="0.25">
      <c r="B28">
        <v>2009</v>
      </c>
      <c r="C28">
        <v>2933</v>
      </c>
      <c r="D28">
        <v>4.24</v>
      </c>
      <c r="E28">
        <v>3.4</v>
      </c>
      <c r="F28" s="2">
        <f t="shared" si="5"/>
        <v>3018.2916399999999</v>
      </c>
      <c r="G28" s="12">
        <v>356776</v>
      </c>
      <c r="H28" s="12">
        <f t="shared" si="4"/>
        <v>8220.8444514204984</v>
      </c>
      <c r="I28" s="1">
        <f t="shared" si="6"/>
        <v>1.0278015939075125</v>
      </c>
    </row>
    <row r="29" spans="2:15" x14ac:dyDescent="0.25">
      <c r="B29">
        <v>2010</v>
      </c>
      <c r="C29">
        <v>2862</v>
      </c>
      <c r="D29">
        <v>4.2300000000000004</v>
      </c>
      <c r="E29">
        <v>3.41</v>
      </c>
      <c r="F29" s="2">
        <f t="shared" si="5"/>
        <v>2943.9390600000006</v>
      </c>
      <c r="G29" s="12">
        <v>348095</v>
      </c>
      <c r="H29" s="12">
        <f t="shared" si="4"/>
        <v>8221.8934486275302</v>
      </c>
      <c r="I29" s="1">
        <f t="shared" si="6"/>
        <v>1.0222467541219122</v>
      </c>
    </row>
    <row r="30" spans="2:15" x14ac:dyDescent="0.25">
      <c r="B30">
        <v>2011</v>
      </c>
      <c r="C30">
        <v>2850</v>
      </c>
      <c r="D30">
        <v>4.2</v>
      </c>
      <c r="E30">
        <v>3.41</v>
      </c>
      <c r="F30" s="2">
        <f t="shared" si="5"/>
        <v>2921.1644999999999</v>
      </c>
      <c r="G30" s="12">
        <v>346495</v>
      </c>
      <c r="H30" s="12">
        <f t="shared" si="4"/>
        <v>8225.2269152513018</v>
      </c>
      <c r="I30" s="1">
        <f t="shared" si="6"/>
        <v>1.0183776953569768</v>
      </c>
    </row>
    <row r="31" spans="2:15" x14ac:dyDescent="0.25">
      <c r="B31">
        <v>2012</v>
      </c>
      <c r="C31">
        <v>2861</v>
      </c>
      <c r="D31">
        <v>4.22</v>
      </c>
      <c r="E31">
        <v>3.42</v>
      </c>
      <c r="F31" s="2">
        <f t="shared" si="5"/>
        <v>2941.6229799999996</v>
      </c>
      <c r="G31" s="12">
        <v>347969</v>
      </c>
      <c r="H31" s="12">
        <f t="shared" si="4"/>
        <v>8221.996787070113</v>
      </c>
      <c r="I31" s="1">
        <f t="shared" si="6"/>
        <v>1.0178259291203346</v>
      </c>
    </row>
    <row r="32" spans="2:15" x14ac:dyDescent="0.25">
      <c r="B32">
        <v>2013</v>
      </c>
      <c r="C32">
        <v>2868</v>
      </c>
      <c r="D32">
        <v>4.26</v>
      </c>
      <c r="E32">
        <v>3.42</v>
      </c>
      <c r="F32" s="2">
        <f t="shared" si="5"/>
        <v>2962.8160799999996</v>
      </c>
      <c r="G32" s="12">
        <v>344021</v>
      </c>
      <c r="H32" s="12">
        <f t="shared" si="4"/>
        <v>8336.7003758491483</v>
      </c>
      <c r="I32" s="1">
        <f t="shared" si="6"/>
        <v>0.99692646603651169</v>
      </c>
    </row>
    <row r="33" spans="2:9" x14ac:dyDescent="0.25">
      <c r="B33">
        <v>2014</v>
      </c>
      <c r="C33">
        <v>2931.25</v>
      </c>
      <c r="D33">
        <v>4.25</v>
      </c>
      <c r="E33">
        <v>3.42</v>
      </c>
      <c r="F33" s="2">
        <f t="shared" si="5"/>
        <v>3024.5809999999997</v>
      </c>
      <c r="G33" s="12">
        <v>344339</v>
      </c>
      <c r="H33" s="12">
        <f t="shared" si="4"/>
        <v>8512.6866256799258</v>
      </c>
      <c r="I33" s="1">
        <f t="shared" si="6"/>
        <v>1.0355002671543068</v>
      </c>
    </row>
    <row r="34" spans="2:9" x14ac:dyDescent="0.25">
      <c r="B34">
        <v>2015</v>
      </c>
      <c r="C34">
        <v>2933.16</v>
      </c>
      <c r="D34">
        <v>4.25</v>
      </c>
      <c r="E34">
        <v>3.42</v>
      </c>
      <c r="F34" s="2">
        <f t="shared" si="5"/>
        <v>3026.5518143999993</v>
      </c>
      <c r="G34" s="12">
        <v>339823</v>
      </c>
      <c r="H34" s="12">
        <f t="shared" si="4"/>
        <v>8631.4345997769433</v>
      </c>
      <c r="I34" s="1">
        <f t="shared" si="6"/>
        <v>1.0498110506671401</v>
      </c>
    </row>
    <row r="35" spans="2:9" x14ac:dyDescent="0.25">
      <c r="B35">
        <v>2016</v>
      </c>
      <c r="C35">
        <v>2862.23</v>
      </c>
      <c r="D35">
        <v>4.24</v>
      </c>
      <c r="E35">
        <v>3.45</v>
      </c>
      <c r="F35" s="2">
        <f t="shared" si="5"/>
        <v>2956.4832339</v>
      </c>
      <c r="G35" s="12">
        <v>330833</v>
      </c>
      <c r="H35" s="12">
        <f t="shared" si="4"/>
        <v>8651.5855431592372</v>
      </c>
      <c r="I35" s="1">
        <f t="shared" si="6"/>
        <v>1.0518354851848983</v>
      </c>
    </row>
    <row r="36" spans="2:9" x14ac:dyDescent="0.25">
      <c r="B36">
        <v>2017</v>
      </c>
      <c r="C36">
        <v>2816.66</v>
      </c>
      <c r="D36">
        <v>4.21</v>
      </c>
      <c r="E36">
        <v>3.47</v>
      </c>
      <c r="F36" s="2">
        <f t="shared" si="5"/>
        <v>2903.4412945999998</v>
      </c>
      <c r="G36" s="12">
        <v>322010</v>
      </c>
      <c r="H36" s="12">
        <f t="shared" si="4"/>
        <v>8747.1196546691099</v>
      </c>
      <c r="I36" s="1">
        <f t="shared" si="6"/>
        <v>1.0638680458285759</v>
      </c>
    </row>
    <row r="37" spans="2:9" x14ac:dyDescent="0.25">
      <c r="B37">
        <v>2018</v>
      </c>
      <c r="C37">
        <v>2760.23</v>
      </c>
      <c r="D37">
        <v>4.2</v>
      </c>
      <c r="E37">
        <v>3.46</v>
      </c>
      <c r="F37" s="2">
        <f t="shared" si="5"/>
        <v>2839.7798286000002</v>
      </c>
      <c r="G37" s="12">
        <v>319387</v>
      </c>
      <c r="H37" s="12">
        <f t="shared" si="4"/>
        <v>8642.2741063349476</v>
      </c>
      <c r="I37" s="1">
        <f t="shared" si="6"/>
        <v>1.0366540377738687</v>
      </c>
    </row>
    <row r="38" spans="2:9" x14ac:dyDescent="0.25">
      <c r="B38">
        <v>2019</v>
      </c>
      <c r="C38">
        <v>2704.39</v>
      </c>
      <c r="D38">
        <v>4.24</v>
      </c>
      <c r="E38">
        <v>3.5</v>
      </c>
      <c r="F38" s="2">
        <f t="shared" si="5"/>
        <v>2803.8574641999999</v>
      </c>
      <c r="G38" s="12">
        <v>305570</v>
      </c>
      <c r="H38" s="12">
        <f t="shared" si="4"/>
        <v>8850.3125306803686</v>
      </c>
      <c r="I38" s="1">
        <f t="shared" si="6"/>
        <v>1.0396614981669756</v>
      </c>
    </row>
    <row r="39" spans="2:9" x14ac:dyDescent="0.25">
      <c r="B39">
        <v>2020</v>
      </c>
      <c r="C39">
        <v>2772.74</v>
      </c>
      <c r="D39">
        <v>4.2300000000000004</v>
      </c>
      <c r="E39">
        <v>3.51</v>
      </c>
      <c r="F39" s="2">
        <f t="shared" si="5"/>
        <v>2873.4736441999999</v>
      </c>
      <c r="G39" s="12">
        <v>303390</v>
      </c>
      <c r="H39" s="12">
        <f t="shared" si="4"/>
        <v>9139.1937769867163</v>
      </c>
      <c r="I39" s="1">
        <f t="shared" si="6"/>
        <v>1.0588267421064506</v>
      </c>
    </row>
    <row r="40" spans="2:9" x14ac:dyDescent="0.25">
      <c r="B40">
        <v>2021</v>
      </c>
      <c r="C40">
        <v>2782.22</v>
      </c>
      <c r="D40">
        <v>4.26</v>
      </c>
      <c r="E40">
        <v>3.51</v>
      </c>
      <c r="F40" s="2">
        <f t="shared" si="5"/>
        <v>2893.4809777999999</v>
      </c>
      <c r="G40" s="12">
        <v>301850</v>
      </c>
      <c r="H40" s="12">
        <f t="shared" si="4"/>
        <v>9217.2270995527579</v>
      </c>
      <c r="I40" s="1">
        <f t="shared" si="6"/>
        <v>1.0653801032853187</v>
      </c>
    </row>
    <row r="41" spans="2:9" x14ac:dyDescent="0.25">
      <c r="I41" s="1">
        <f>AVERAGE(I30:I40)</f>
        <v>1.0395152109710324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AE32"/>
  <sheetViews>
    <sheetView topLeftCell="M1" workbookViewId="0">
      <selection activeCell="P9" sqref="P9"/>
    </sheetView>
  </sheetViews>
  <sheetFormatPr defaultRowHeight="15" x14ac:dyDescent="0.25"/>
  <cols>
    <col min="18" max="18" width="15.42578125" customWidth="1"/>
  </cols>
  <sheetData>
    <row r="1" spans="6:31" x14ac:dyDescent="0.25">
      <c r="F1" s="4" t="s">
        <v>349</v>
      </c>
      <c r="R1" s="4" t="s">
        <v>350</v>
      </c>
    </row>
    <row r="2" spans="6:31" x14ac:dyDescent="0.25">
      <c r="G2" t="s">
        <v>346</v>
      </c>
    </row>
    <row r="3" spans="6:31" x14ac:dyDescent="0.25">
      <c r="F3" t="s">
        <v>347</v>
      </c>
      <c r="G3" t="s">
        <v>343</v>
      </c>
      <c r="H3" t="s">
        <v>344</v>
      </c>
      <c r="I3" t="s">
        <v>345</v>
      </c>
    </row>
    <row r="4" spans="6:31" ht="15.75" customHeight="1" x14ac:dyDescent="0.25">
      <c r="F4">
        <v>400</v>
      </c>
      <c r="G4">
        <v>5</v>
      </c>
      <c r="H4">
        <v>8</v>
      </c>
      <c r="I4">
        <v>15</v>
      </c>
      <c r="J4" s="2">
        <f>F4*0.013</f>
        <v>5.2</v>
      </c>
      <c r="K4" s="2">
        <f>F4*0.021</f>
        <v>8.4</v>
      </c>
      <c r="L4" s="2">
        <f>F4*0.038</f>
        <v>15.2</v>
      </c>
      <c r="M4" s="2">
        <f>F4*(0.013+0.021+0.038)</f>
        <v>28.800000000000004</v>
      </c>
      <c r="N4">
        <f>SUM(G4:I4)</f>
        <v>28</v>
      </c>
      <c r="R4" s="140" t="s">
        <v>351</v>
      </c>
      <c r="S4" s="118"/>
      <c r="T4" s="118"/>
      <c r="U4" s="118"/>
      <c r="V4" s="118"/>
      <c r="W4" s="118"/>
      <c r="X4" s="112"/>
      <c r="Y4" s="112"/>
      <c r="AB4" t="s">
        <v>347</v>
      </c>
      <c r="AC4" t="s">
        <v>384</v>
      </c>
      <c r="AD4" t="s">
        <v>354</v>
      </c>
      <c r="AE4" t="s">
        <v>355</v>
      </c>
    </row>
    <row r="5" spans="6:31" ht="15.75" customHeight="1" x14ac:dyDescent="0.25">
      <c r="F5">
        <v>500</v>
      </c>
      <c r="G5">
        <v>7</v>
      </c>
      <c r="H5">
        <v>11</v>
      </c>
      <c r="I5">
        <v>19</v>
      </c>
      <c r="J5" s="2">
        <f>F5*0.013</f>
        <v>6.5</v>
      </c>
      <c r="K5" s="2">
        <f>F5*0.021</f>
        <v>10.5</v>
      </c>
      <c r="L5" s="2">
        <f>F5*0.038</f>
        <v>19</v>
      </c>
      <c r="M5" s="2">
        <f>F5*(0.013+0.021+0.038)</f>
        <v>36.000000000000007</v>
      </c>
      <c r="N5">
        <f t="shared" ref="N5:N7" si="0">SUM(G5:I5)</f>
        <v>37</v>
      </c>
      <c r="R5" s="119" t="s">
        <v>353</v>
      </c>
      <c r="S5" s="119" t="s">
        <v>352</v>
      </c>
      <c r="T5" s="118"/>
      <c r="U5" s="118"/>
      <c r="V5" s="118"/>
      <c r="W5" s="118"/>
      <c r="X5" s="118"/>
      <c r="Y5" s="118"/>
      <c r="AB5" s="133">
        <v>30</v>
      </c>
      <c r="AC5" s="133">
        <f t="shared" ref="AC5:AC28" si="1">AB5^0.75</f>
        <v>12.818610191887021</v>
      </c>
      <c r="AD5" s="133">
        <v>0</v>
      </c>
      <c r="AE5" s="125">
        <v>6</v>
      </c>
    </row>
    <row r="6" spans="6:31" x14ac:dyDescent="0.25">
      <c r="F6">
        <v>600</v>
      </c>
      <c r="G6">
        <v>8</v>
      </c>
      <c r="H6">
        <v>13</v>
      </c>
      <c r="I6">
        <v>23</v>
      </c>
      <c r="J6" s="2">
        <f>F6*0.013</f>
        <v>7.8</v>
      </c>
      <c r="K6" s="2">
        <f>F6*0.021</f>
        <v>12.600000000000001</v>
      </c>
      <c r="L6" s="2">
        <f>F6*0.038</f>
        <v>22.8</v>
      </c>
      <c r="M6" s="2">
        <f>F6*(0.013+0.021+0.038)</f>
        <v>43.2</v>
      </c>
      <c r="N6">
        <f t="shared" si="0"/>
        <v>44</v>
      </c>
      <c r="R6" s="120" t="s">
        <v>133</v>
      </c>
      <c r="S6" s="121">
        <v>0</v>
      </c>
      <c r="T6" s="122">
        <v>250</v>
      </c>
      <c r="U6" s="122">
        <v>500</v>
      </c>
      <c r="V6" s="123">
        <v>1000</v>
      </c>
      <c r="W6" s="115"/>
      <c r="X6" s="115"/>
      <c r="Y6" s="115"/>
      <c r="AB6" s="134">
        <v>40</v>
      </c>
      <c r="AC6" s="134">
        <f t="shared" si="1"/>
        <v>15.905414575341014</v>
      </c>
      <c r="AD6" s="134">
        <v>0</v>
      </c>
      <c r="AE6" s="128">
        <v>7</v>
      </c>
    </row>
    <row r="7" spans="6:31" x14ac:dyDescent="0.25">
      <c r="F7">
        <v>700</v>
      </c>
      <c r="G7">
        <v>9</v>
      </c>
      <c r="H7">
        <v>15</v>
      </c>
      <c r="I7">
        <v>27</v>
      </c>
      <c r="J7" s="2">
        <f>F7*0.013</f>
        <v>9.1</v>
      </c>
      <c r="K7" s="2">
        <f>F7*0.021</f>
        <v>14.700000000000001</v>
      </c>
      <c r="L7" s="2">
        <f>F7*0.038</f>
        <v>26.599999999999998</v>
      </c>
      <c r="M7" s="2">
        <f>F7*(0.013+0.021+0.038)</f>
        <v>50.400000000000006</v>
      </c>
      <c r="N7">
        <f t="shared" si="0"/>
        <v>51</v>
      </c>
      <c r="R7" s="114">
        <v>30</v>
      </c>
      <c r="S7" s="124">
        <v>6</v>
      </c>
      <c r="T7" s="125">
        <v>8</v>
      </c>
      <c r="U7" s="125">
        <v>11</v>
      </c>
      <c r="V7" s="126">
        <v>17.5</v>
      </c>
      <c r="W7" s="113"/>
      <c r="X7" s="154" t="s">
        <v>388</v>
      </c>
      <c r="Y7" s="113"/>
      <c r="AB7" s="134">
        <v>50</v>
      </c>
      <c r="AC7" s="134">
        <f t="shared" si="1"/>
        <v>18.803015465431965</v>
      </c>
      <c r="AD7" s="134">
        <v>0</v>
      </c>
      <c r="AE7" s="128">
        <v>8.5</v>
      </c>
    </row>
    <row r="8" spans="6:31" x14ac:dyDescent="0.25">
      <c r="R8" s="116">
        <v>40</v>
      </c>
      <c r="S8" s="127">
        <v>7</v>
      </c>
      <c r="T8" s="128">
        <v>9.5</v>
      </c>
      <c r="U8" s="128">
        <v>12.5</v>
      </c>
      <c r="V8" s="129">
        <v>19</v>
      </c>
      <c r="W8" s="113"/>
      <c r="X8" t="s">
        <v>385</v>
      </c>
      <c r="Y8">
        <v>0</v>
      </c>
      <c r="AB8" s="134">
        <v>60</v>
      </c>
      <c r="AC8" s="134">
        <f t="shared" si="1"/>
        <v>21.558246717785043</v>
      </c>
      <c r="AD8" s="134">
        <v>0</v>
      </c>
      <c r="AE8" s="128">
        <v>10</v>
      </c>
    </row>
    <row r="9" spans="6:31" x14ac:dyDescent="0.25">
      <c r="R9" s="116">
        <v>50</v>
      </c>
      <c r="S9" s="127">
        <v>8.5</v>
      </c>
      <c r="T9" s="128">
        <v>11</v>
      </c>
      <c r="U9" s="128">
        <v>14</v>
      </c>
      <c r="V9" s="129">
        <v>21</v>
      </c>
      <c r="W9" s="113"/>
      <c r="X9" t="s">
        <v>347</v>
      </c>
      <c r="Y9" s="136">
        <v>0.16</v>
      </c>
      <c r="AB9" s="134">
        <v>70</v>
      </c>
      <c r="AC9" s="134">
        <f t="shared" si="1"/>
        <v>24.200454924935883</v>
      </c>
      <c r="AD9" s="134">
        <v>0</v>
      </c>
      <c r="AE9" s="128">
        <v>11.5</v>
      </c>
    </row>
    <row r="10" spans="6:31" x14ac:dyDescent="0.25">
      <c r="R10" s="116">
        <v>60</v>
      </c>
      <c r="S10" s="127">
        <v>10</v>
      </c>
      <c r="T10" s="128">
        <v>12.5</v>
      </c>
      <c r="U10" s="128">
        <v>15.5</v>
      </c>
      <c r="V10" s="129">
        <v>23</v>
      </c>
      <c r="W10" s="113"/>
      <c r="X10" t="s">
        <v>354</v>
      </c>
      <c r="Y10">
        <v>12.5</v>
      </c>
      <c r="AB10" s="135">
        <v>80</v>
      </c>
      <c r="AC10" s="135">
        <f t="shared" si="1"/>
        <v>26.749612199056873</v>
      </c>
      <c r="AD10" s="135">
        <v>0</v>
      </c>
      <c r="AE10" s="131">
        <v>13</v>
      </c>
    </row>
    <row r="11" spans="6:31" x14ac:dyDescent="0.25">
      <c r="R11" s="116">
        <v>70</v>
      </c>
      <c r="S11" s="127">
        <v>11.5</v>
      </c>
      <c r="T11" s="128">
        <v>14</v>
      </c>
      <c r="U11" s="128">
        <v>17.5</v>
      </c>
      <c r="V11" s="129">
        <v>25</v>
      </c>
      <c r="W11" s="115"/>
      <c r="X11" s="115"/>
      <c r="Y11" s="115"/>
      <c r="AB11" s="133">
        <v>30</v>
      </c>
      <c r="AC11" s="133">
        <f t="shared" si="1"/>
        <v>12.818610191887021</v>
      </c>
      <c r="AD11" s="133">
        <v>250</v>
      </c>
      <c r="AE11" s="125">
        <v>8</v>
      </c>
    </row>
    <row r="12" spans="6:31" x14ac:dyDescent="0.25">
      <c r="R12" s="117">
        <v>80</v>
      </c>
      <c r="S12" s="130">
        <v>13</v>
      </c>
      <c r="T12" s="131">
        <v>16</v>
      </c>
      <c r="U12" s="131">
        <v>19.5</v>
      </c>
      <c r="V12" s="132">
        <v>28</v>
      </c>
      <c r="AB12" s="134">
        <v>40</v>
      </c>
      <c r="AC12" s="134">
        <f t="shared" si="1"/>
        <v>15.905414575341014</v>
      </c>
      <c r="AD12" s="134">
        <v>250</v>
      </c>
      <c r="AE12" s="128">
        <v>9.5</v>
      </c>
    </row>
    <row r="13" spans="6:31" x14ac:dyDescent="0.25">
      <c r="AB13" s="134">
        <v>50</v>
      </c>
      <c r="AC13" s="134">
        <f t="shared" si="1"/>
        <v>18.803015465431965</v>
      </c>
      <c r="AD13" s="134">
        <v>250</v>
      </c>
      <c r="AE13" s="128">
        <v>11</v>
      </c>
    </row>
    <row r="14" spans="6:31" ht="15.75" x14ac:dyDescent="0.25">
      <c r="R14" s="140" t="s">
        <v>392</v>
      </c>
      <c r="S14" s="118"/>
      <c r="T14" s="118"/>
      <c r="U14" s="118"/>
      <c r="V14" s="118"/>
      <c r="AB14" s="134">
        <v>60</v>
      </c>
      <c r="AC14" s="134">
        <f t="shared" si="1"/>
        <v>21.558246717785043</v>
      </c>
      <c r="AD14" s="134">
        <v>250</v>
      </c>
      <c r="AE14" s="128">
        <v>12.5</v>
      </c>
    </row>
    <row r="15" spans="6:31" ht="15.75" x14ac:dyDescent="0.25">
      <c r="R15" s="119" t="s">
        <v>353</v>
      </c>
      <c r="S15" s="119" t="s">
        <v>386</v>
      </c>
      <c r="T15" s="118"/>
      <c r="U15" s="118"/>
      <c r="V15" s="118"/>
      <c r="AB15" s="134">
        <v>70</v>
      </c>
      <c r="AC15" s="134">
        <f t="shared" si="1"/>
        <v>24.200454924935883</v>
      </c>
      <c r="AD15" s="134">
        <v>250</v>
      </c>
      <c r="AE15" s="128">
        <v>14</v>
      </c>
    </row>
    <row r="16" spans="6:31" x14ac:dyDescent="0.25">
      <c r="R16" s="120" t="s">
        <v>133</v>
      </c>
      <c r="S16" s="151">
        <v>0</v>
      </c>
      <c r="T16" s="152">
        <v>0.25</v>
      </c>
      <c r="U16" s="152">
        <v>0.5</v>
      </c>
      <c r="V16" s="153">
        <v>1</v>
      </c>
      <c r="AB16" s="135">
        <v>80</v>
      </c>
      <c r="AC16" s="135">
        <f t="shared" si="1"/>
        <v>26.749612199056873</v>
      </c>
      <c r="AD16" s="135">
        <v>250</v>
      </c>
      <c r="AE16" s="131">
        <v>16</v>
      </c>
    </row>
    <row r="17" spans="18:31" x14ac:dyDescent="0.25">
      <c r="R17" s="114">
        <v>30</v>
      </c>
      <c r="S17" s="142">
        <f t="shared" ref="S17:V22" si="2">($Y$8+$R17*$Y$9+S$16*$Y$10)/S7</f>
        <v>0.79999999999999993</v>
      </c>
      <c r="T17" s="143">
        <f t="shared" si="2"/>
        <v>0.99062499999999998</v>
      </c>
      <c r="U17" s="143">
        <f t="shared" si="2"/>
        <v>1.0045454545454546</v>
      </c>
      <c r="V17" s="144">
        <f t="shared" si="2"/>
        <v>0.98857142857142866</v>
      </c>
      <c r="AB17" s="133">
        <v>30</v>
      </c>
      <c r="AC17" s="133">
        <f t="shared" si="1"/>
        <v>12.818610191887021</v>
      </c>
      <c r="AD17" s="133">
        <v>500</v>
      </c>
      <c r="AE17" s="125">
        <v>11</v>
      </c>
    </row>
    <row r="18" spans="18:31" x14ac:dyDescent="0.25">
      <c r="R18" s="116">
        <v>40</v>
      </c>
      <c r="S18" s="145">
        <f t="shared" si="2"/>
        <v>0.91428571428571437</v>
      </c>
      <c r="T18" s="146">
        <f>($Y$8+$R18*$Y$9+T$16*$Y$10)/T8</f>
        <v>1.0026315789473685</v>
      </c>
      <c r="U18" s="146">
        <f t="shared" si="2"/>
        <v>1.012</v>
      </c>
      <c r="V18" s="147">
        <f t="shared" si="2"/>
        <v>0.99473684210526303</v>
      </c>
      <c r="AB18" s="134">
        <v>40</v>
      </c>
      <c r="AC18" s="134">
        <f t="shared" si="1"/>
        <v>15.905414575341014</v>
      </c>
      <c r="AD18" s="134">
        <v>500</v>
      </c>
      <c r="AE18" s="128">
        <v>12.5</v>
      </c>
    </row>
    <row r="19" spans="18:31" x14ac:dyDescent="0.25">
      <c r="R19" s="116">
        <v>50</v>
      </c>
      <c r="S19" s="145">
        <f t="shared" si="2"/>
        <v>0.94117647058823528</v>
      </c>
      <c r="T19" s="146">
        <f t="shared" si="2"/>
        <v>1.0113636363636365</v>
      </c>
      <c r="U19" s="146">
        <f t="shared" si="2"/>
        <v>1.0178571428571428</v>
      </c>
      <c r="V19" s="147">
        <f t="shared" si="2"/>
        <v>0.97619047619047616</v>
      </c>
      <c r="AB19" s="134">
        <v>50</v>
      </c>
      <c r="AC19" s="134">
        <f t="shared" si="1"/>
        <v>18.803015465431965</v>
      </c>
      <c r="AD19" s="134">
        <v>500</v>
      </c>
      <c r="AE19" s="128">
        <v>14</v>
      </c>
    </row>
    <row r="20" spans="18:31" x14ac:dyDescent="0.25">
      <c r="R20" s="116">
        <v>60</v>
      </c>
      <c r="S20" s="145">
        <f t="shared" si="2"/>
        <v>0.96</v>
      </c>
      <c r="T20" s="146">
        <f t="shared" si="2"/>
        <v>1.018</v>
      </c>
      <c r="U20" s="146">
        <f t="shared" si="2"/>
        <v>1.0225806451612902</v>
      </c>
      <c r="V20" s="147">
        <f t="shared" si="2"/>
        <v>0.96086956521739142</v>
      </c>
      <c r="AB20" s="134">
        <v>60</v>
      </c>
      <c r="AC20" s="134">
        <f t="shared" si="1"/>
        <v>21.558246717785043</v>
      </c>
      <c r="AD20" s="134">
        <v>500</v>
      </c>
      <c r="AE20" s="128">
        <v>15.5</v>
      </c>
    </row>
    <row r="21" spans="18:31" x14ac:dyDescent="0.25">
      <c r="R21" s="116">
        <v>70</v>
      </c>
      <c r="S21" s="145">
        <f t="shared" si="2"/>
        <v>0.97391304347826091</v>
      </c>
      <c r="T21" s="146">
        <f t="shared" si="2"/>
        <v>1.0232142857142859</v>
      </c>
      <c r="U21" s="146">
        <f t="shared" si="2"/>
        <v>0.99714285714285733</v>
      </c>
      <c r="V21" s="147">
        <f t="shared" si="2"/>
        <v>0.94800000000000006</v>
      </c>
      <c r="AB21" s="134">
        <v>70</v>
      </c>
      <c r="AC21" s="134">
        <f t="shared" si="1"/>
        <v>24.200454924935883</v>
      </c>
      <c r="AD21" s="134">
        <v>500</v>
      </c>
      <c r="AE21" s="128">
        <v>17.5</v>
      </c>
    </row>
    <row r="22" spans="18:31" x14ac:dyDescent="0.25">
      <c r="R22" s="117">
        <v>80</v>
      </c>
      <c r="S22" s="148">
        <f t="shared" si="2"/>
        <v>0.98461538461538467</v>
      </c>
      <c r="T22" s="149">
        <f t="shared" si="2"/>
        <v>0.99531250000000004</v>
      </c>
      <c r="U22" s="149">
        <f t="shared" si="2"/>
        <v>0.97692307692307701</v>
      </c>
      <c r="V22" s="150">
        <f t="shared" si="2"/>
        <v>0.90357142857142858</v>
      </c>
      <c r="AB22" s="135">
        <v>80</v>
      </c>
      <c r="AC22" s="135">
        <f t="shared" si="1"/>
        <v>26.749612199056873</v>
      </c>
      <c r="AD22" s="135">
        <v>500</v>
      </c>
      <c r="AE22" s="131">
        <v>19.5</v>
      </c>
    </row>
    <row r="23" spans="18:31" x14ac:dyDescent="0.25">
      <c r="AB23" s="133">
        <v>30</v>
      </c>
      <c r="AC23" s="133">
        <f t="shared" si="1"/>
        <v>12.818610191887021</v>
      </c>
      <c r="AD23" s="133">
        <v>1000</v>
      </c>
      <c r="AE23" s="125">
        <v>17.5</v>
      </c>
    </row>
    <row r="24" spans="18:31" ht="15.75" x14ac:dyDescent="0.25">
      <c r="R24" s="140" t="s">
        <v>391</v>
      </c>
      <c r="S24" s="118"/>
      <c r="T24" s="118"/>
      <c r="U24" s="118"/>
      <c r="V24" s="118"/>
      <c r="AB24" s="134">
        <v>40</v>
      </c>
      <c r="AC24" s="134">
        <f t="shared" si="1"/>
        <v>15.905414575341014</v>
      </c>
      <c r="AD24" s="134">
        <v>1000</v>
      </c>
      <c r="AE24" s="128">
        <v>19</v>
      </c>
    </row>
    <row r="25" spans="18:31" ht="15.75" x14ac:dyDescent="0.25">
      <c r="R25" s="119" t="s">
        <v>353</v>
      </c>
      <c r="S25" s="119" t="s">
        <v>386</v>
      </c>
      <c r="T25" s="118"/>
      <c r="U25" s="118"/>
      <c r="V25" s="118"/>
      <c r="AB25" s="134">
        <v>50</v>
      </c>
      <c r="AC25" s="134">
        <f t="shared" si="1"/>
        <v>18.803015465431965</v>
      </c>
      <c r="AD25" s="134">
        <v>1000</v>
      </c>
      <c r="AE25" s="128">
        <v>21</v>
      </c>
    </row>
    <row r="26" spans="18:31" x14ac:dyDescent="0.25">
      <c r="R26" s="120" t="s">
        <v>133</v>
      </c>
      <c r="S26" s="151">
        <v>0</v>
      </c>
      <c r="T26" s="152">
        <v>0.25</v>
      </c>
      <c r="U26" s="152">
        <v>0.5</v>
      </c>
      <c r="V26" s="153">
        <v>1</v>
      </c>
      <c r="AB26" s="134">
        <v>60</v>
      </c>
      <c r="AC26" s="134">
        <f t="shared" si="1"/>
        <v>21.558246717785043</v>
      </c>
      <c r="AD26" s="134">
        <v>1000</v>
      </c>
      <c r="AE26" s="128">
        <v>23</v>
      </c>
    </row>
    <row r="27" spans="18:31" x14ac:dyDescent="0.25">
      <c r="R27" s="114">
        <v>30</v>
      </c>
      <c r="S27" s="142">
        <f>(0.475*$R27^0.75 + S$26*$X$27)/S7</f>
        <v>1.0148066401910558</v>
      </c>
      <c r="T27" s="143">
        <f t="shared" ref="T27:V27" si="3">(0.475*$R27^0.75 + T$26*$X$27)/T7</f>
        <v>1.1361049801432919</v>
      </c>
      <c r="U27" s="143">
        <f t="shared" si="3"/>
        <v>1.0989854401042123</v>
      </c>
      <c r="V27" s="144">
        <f t="shared" si="3"/>
        <v>1.0336479909226477</v>
      </c>
      <c r="X27">
        <v>12</v>
      </c>
      <c r="AB27" s="134">
        <v>70</v>
      </c>
      <c r="AC27" s="134">
        <f t="shared" si="1"/>
        <v>24.200454924935883</v>
      </c>
      <c r="AD27" s="134">
        <v>1000</v>
      </c>
      <c r="AE27" s="128">
        <v>25</v>
      </c>
    </row>
    <row r="28" spans="18:31" x14ac:dyDescent="0.25">
      <c r="R28" s="116">
        <v>40</v>
      </c>
      <c r="S28" s="145">
        <f t="shared" ref="S28:V28" si="4">(0.475*$R28^0.75 + S$26*$X$27)/S8</f>
        <v>1.0792959890409974</v>
      </c>
      <c r="T28" s="146">
        <f t="shared" si="4"/>
        <v>1.1110602024512612</v>
      </c>
      <c r="U28" s="146">
        <f t="shared" si="4"/>
        <v>1.0844057538629586</v>
      </c>
      <c r="V28" s="147">
        <f t="shared" si="4"/>
        <v>1.0292143117519463</v>
      </c>
      <c r="X28">
        <v>0.2</v>
      </c>
      <c r="AB28" s="135">
        <v>80</v>
      </c>
      <c r="AC28" s="135">
        <f t="shared" si="1"/>
        <v>26.749612199056873</v>
      </c>
      <c r="AD28" s="135">
        <v>1000</v>
      </c>
      <c r="AE28" s="131">
        <v>28</v>
      </c>
    </row>
    <row r="29" spans="18:31" x14ac:dyDescent="0.25">
      <c r="R29" s="116">
        <v>50</v>
      </c>
      <c r="S29" s="145">
        <f t="shared" ref="S29:V29" si="5">(0.475*$R29^0.75 + S$26*$X$27)/S9</f>
        <v>1.0507567465976686</v>
      </c>
      <c r="T29" s="146">
        <f t="shared" si="5"/>
        <v>1.0846756678254712</v>
      </c>
      <c r="U29" s="146">
        <f t="shared" si="5"/>
        <v>1.0665308818628703</v>
      </c>
      <c r="V29" s="147">
        <f t="shared" si="5"/>
        <v>0.99673487362286584</v>
      </c>
    </row>
    <row r="30" spans="18:31" x14ac:dyDescent="0.25">
      <c r="R30" s="116">
        <v>60</v>
      </c>
      <c r="S30" s="145">
        <f t="shared" ref="S30:V30" si="6">(0.475*$R30^0.75 + S$26*$X$27)/S10</f>
        <v>1.0240167190947895</v>
      </c>
      <c r="T30" s="146">
        <f t="shared" si="6"/>
        <v>1.0592133752758317</v>
      </c>
      <c r="U30" s="146">
        <f t="shared" si="6"/>
        <v>1.0477527219966383</v>
      </c>
      <c r="V30" s="147">
        <f t="shared" si="6"/>
        <v>0.966963790910778</v>
      </c>
    </row>
    <row r="31" spans="18:31" x14ac:dyDescent="0.25">
      <c r="R31" s="116">
        <v>70</v>
      </c>
      <c r="S31" s="145">
        <f t="shared" ref="S31:V31" si="7">(0.475*$R31^0.75 + S$26*$X$27)/S11</f>
        <v>0.99958400776909073</v>
      </c>
      <c r="T31" s="146">
        <f t="shared" si="7"/>
        <v>1.0353725778103244</v>
      </c>
      <c r="U31" s="146">
        <f t="shared" si="7"/>
        <v>0.99972663367683112</v>
      </c>
      <c r="V31" s="147">
        <f t="shared" si="7"/>
        <v>0.9398086435737818</v>
      </c>
    </row>
    <row r="32" spans="18:31" x14ac:dyDescent="0.25">
      <c r="R32" s="117">
        <v>80</v>
      </c>
      <c r="S32" s="148">
        <f t="shared" ref="S32:V32" si="8">(0.475*$R32^0.75 + S$26*$X$27)/S12</f>
        <v>0.9773896765040011</v>
      </c>
      <c r="T32" s="149">
        <f t="shared" si="8"/>
        <v>0.98162911215950088</v>
      </c>
      <c r="U32" s="149">
        <f t="shared" si="8"/>
        <v>0.95928542536164174</v>
      </c>
      <c r="V32" s="150">
        <f t="shared" si="8"/>
        <v>0.88235949266257196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activeCell="B17" sqref="B17:B19"/>
    </sheetView>
  </sheetViews>
  <sheetFormatPr defaultRowHeight="15" x14ac:dyDescent="0.25"/>
  <sheetData>
    <row r="1" spans="1:9" x14ac:dyDescent="0.25">
      <c r="A1" t="s">
        <v>356</v>
      </c>
    </row>
    <row r="2" spans="1:9" ht="15.75" thickBot="1" x14ac:dyDescent="0.3"/>
    <row r="3" spans="1:9" x14ac:dyDescent="0.25">
      <c r="A3" s="139" t="s">
        <v>357</v>
      </c>
      <c r="B3" s="139"/>
    </row>
    <row r="4" spans="1:9" x14ac:dyDescent="0.25">
      <c r="A4" s="136" t="s">
        <v>358</v>
      </c>
      <c r="B4" s="136">
        <v>0.99434308508956182</v>
      </c>
    </row>
    <row r="5" spans="1:9" x14ac:dyDescent="0.25">
      <c r="A5" s="136" t="s">
        <v>359</v>
      </c>
      <c r="B5" s="136">
        <v>0.98871817086542757</v>
      </c>
    </row>
    <row r="6" spans="1:9" x14ac:dyDescent="0.25">
      <c r="A6" s="136" t="s">
        <v>360</v>
      </c>
      <c r="B6" s="141">
        <v>0.9876437109478492</v>
      </c>
    </row>
    <row r="7" spans="1:9" x14ac:dyDescent="0.25">
      <c r="A7" s="136" t="s">
        <v>361</v>
      </c>
      <c r="B7" s="136">
        <v>0.64295634155271764</v>
      </c>
    </row>
    <row r="8" spans="1:9" ht="15.75" thickBot="1" x14ac:dyDescent="0.3">
      <c r="A8" s="137" t="s">
        <v>362</v>
      </c>
      <c r="B8" s="137">
        <v>24</v>
      </c>
    </row>
    <row r="10" spans="1:9" ht="15.75" thickBot="1" x14ac:dyDescent="0.3">
      <c r="A10" t="s">
        <v>363</v>
      </c>
    </row>
    <row r="11" spans="1:9" x14ac:dyDescent="0.25">
      <c r="A11" s="138"/>
      <c r="B11" s="138" t="s">
        <v>367</v>
      </c>
      <c r="C11" s="138" t="s">
        <v>368</v>
      </c>
      <c r="D11" s="138" t="s">
        <v>369</v>
      </c>
      <c r="E11" s="138" t="s">
        <v>370</v>
      </c>
      <c r="F11" s="138" t="s">
        <v>371</v>
      </c>
    </row>
    <row r="12" spans="1:9" x14ac:dyDescent="0.25">
      <c r="A12" s="136" t="s">
        <v>364</v>
      </c>
      <c r="B12" s="136">
        <v>2</v>
      </c>
      <c r="C12" s="136">
        <v>760.80833333333317</v>
      </c>
      <c r="D12" s="136">
        <v>380.40416666666658</v>
      </c>
      <c r="E12" s="136">
        <v>920.20014398848559</v>
      </c>
      <c r="F12" s="136">
        <v>3.5480108451103033E-21</v>
      </c>
    </row>
    <row r="13" spans="1:9" x14ac:dyDescent="0.25">
      <c r="A13" s="136" t="s">
        <v>365</v>
      </c>
      <c r="B13" s="136">
        <v>21</v>
      </c>
      <c r="C13" s="136">
        <v>8.6812499999999542</v>
      </c>
      <c r="D13" s="136">
        <v>0.41339285714285495</v>
      </c>
      <c r="E13" s="136"/>
      <c r="F13" s="136"/>
    </row>
    <row r="14" spans="1:9" ht="15.75" thickBot="1" x14ac:dyDescent="0.3">
      <c r="A14" s="137" t="s">
        <v>316</v>
      </c>
      <c r="B14" s="137">
        <v>23</v>
      </c>
      <c r="C14" s="137">
        <v>769.48958333333314</v>
      </c>
      <c r="D14" s="137"/>
      <c r="E14" s="137"/>
      <c r="F14" s="137"/>
    </row>
    <row r="15" spans="1:9" ht="15.75" thickBot="1" x14ac:dyDescent="0.3"/>
    <row r="16" spans="1:9" x14ac:dyDescent="0.25">
      <c r="A16" s="138"/>
      <c r="B16" s="138" t="s">
        <v>372</v>
      </c>
      <c r="C16" s="138" t="s">
        <v>361</v>
      </c>
      <c r="D16" s="138" t="s">
        <v>373</v>
      </c>
      <c r="E16" s="138" t="s">
        <v>374</v>
      </c>
      <c r="F16" s="138" t="s">
        <v>375</v>
      </c>
      <c r="G16" s="138" t="s">
        <v>376</v>
      </c>
      <c r="H16" s="138" t="s">
        <v>377</v>
      </c>
      <c r="I16" s="138" t="s">
        <v>378</v>
      </c>
    </row>
    <row r="17" spans="1:9" x14ac:dyDescent="0.25">
      <c r="A17" s="136" t="s">
        <v>366</v>
      </c>
      <c r="B17" s="136">
        <v>-0.40773809523810023</v>
      </c>
      <c r="C17" s="136">
        <v>0.46902457944381531</v>
      </c>
      <c r="D17" s="136">
        <v>-0.86933204166316702</v>
      </c>
      <c r="E17" s="136">
        <v>0.3944933503705087</v>
      </c>
      <c r="F17" s="136">
        <v>-1.383128104167036</v>
      </c>
      <c r="G17" s="136">
        <v>0.56765191369083567</v>
      </c>
      <c r="H17" s="136">
        <v>-1.383128104167036</v>
      </c>
      <c r="I17" s="136">
        <v>0.56765191369083567</v>
      </c>
    </row>
    <row r="18" spans="1:9" x14ac:dyDescent="0.25">
      <c r="A18" s="136" t="s">
        <v>347</v>
      </c>
      <c r="B18" s="136">
        <v>0.16892857142857148</v>
      </c>
      <c r="C18" s="136">
        <v>7.6847981397678419E-3</v>
      </c>
      <c r="D18" s="136">
        <v>21.982174203690253</v>
      </c>
      <c r="E18" s="136">
        <v>5.622260089430527E-16</v>
      </c>
      <c r="F18" s="136">
        <v>0.15294715882317275</v>
      </c>
      <c r="G18" s="136">
        <v>0.18490998403397021</v>
      </c>
      <c r="H18" s="136">
        <v>0.15294715882317275</v>
      </c>
      <c r="I18" s="136">
        <v>0.18490998403397021</v>
      </c>
    </row>
    <row r="19" spans="1:9" ht="15.75" thickBot="1" x14ac:dyDescent="0.3">
      <c r="A19" s="137" t="s">
        <v>354</v>
      </c>
      <c r="B19" s="137">
        <v>1.3076190476190479E-2</v>
      </c>
      <c r="C19" s="137">
        <v>3.549456219730319E-4</v>
      </c>
      <c r="D19" s="137">
        <v>36.839982427460349</v>
      </c>
      <c r="E19" s="137">
        <v>1.4430475578158989E-20</v>
      </c>
      <c r="F19" s="137">
        <v>1.2338040646609885E-2</v>
      </c>
      <c r="G19" s="137">
        <v>1.3814340305771073E-2</v>
      </c>
      <c r="H19" s="137">
        <v>1.2338040646609885E-2</v>
      </c>
      <c r="I19" s="137">
        <v>1.3814340305771073E-2</v>
      </c>
    </row>
    <row r="23" spans="1:9" x14ac:dyDescent="0.25">
      <c r="A23" t="s">
        <v>379</v>
      </c>
    </row>
    <row r="24" spans="1:9" ht="15.75" thickBot="1" x14ac:dyDescent="0.3"/>
    <row r="25" spans="1:9" x14ac:dyDescent="0.25">
      <c r="A25" s="138" t="s">
        <v>380</v>
      </c>
      <c r="B25" s="138" t="s">
        <v>381</v>
      </c>
      <c r="C25" s="138" t="s">
        <v>382</v>
      </c>
      <c r="D25" s="138" t="s">
        <v>383</v>
      </c>
    </row>
    <row r="26" spans="1:9" x14ac:dyDescent="0.25">
      <c r="A26" s="136">
        <v>1</v>
      </c>
      <c r="B26" s="136">
        <v>4.6601190476190446</v>
      </c>
      <c r="C26" s="136">
        <v>1.3398809523809554</v>
      </c>
      <c r="D26" s="136">
        <v>2.1809163068088218</v>
      </c>
    </row>
    <row r="27" spans="1:9" x14ac:dyDescent="0.25">
      <c r="A27" s="136">
        <v>2</v>
      </c>
      <c r="B27" s="136">
        <v>6.3494047619047596</v>
      </c>
      <c r="C27" s="136">
        <v>0.65059523809524045</v>
      </c>
      <c r="D27" s="136">
        <v>1.0589700236970436</v>
      </c>
    </row>
    <row r="28" spans="1:9" x14ac:dyDescent="0.25">
      <c r="A28" s="136">
        <v>3</v>
      </c>
      <c r="B28" s="136">
        <v>8.0386904761904745</v>
      </c>
      <c r="C28" s="136">
        <v>0.4613095238095255</v>
      </c>
      <c r="D28" s="136">
        <v>0.75087078532955975</v>
      </c>
    </row>
    <row r="29" spans="1:9" x14ac:dyDescent="0.25">
      <c r="A29" s="136">
        <v>4</v>
      </c>
      <c r="B29" s="136">
        <v>9.7279761904761894</v>
      </c>
      <c r="C29" s="136">
        <v>0.27202380952381056</v>
      </c>
      <c r="D29" s="136">
        <v>0.44277154696207599</v>
      </c>
    </row>
    <row r="30" spans="1:9" x14ac:dyDescent="0.25">
      <c r="A30" s="136">
        <v>5</v>
      </c>
      <c r="B30" s="136">
        <v>11.417261904761904</v>
      </c>
      <c r="C30" s="136">
        <v>8.273809523809561E-2</v>
      </c>
      <c r="D30" s="136">
        <v>0.13467230859459212</v>
      </c>
    </row>
    <row r="31" spans="1:9" x14ac:dyDescent="0.25">
      <c r="A31" s="136">
        <v>6</v>
      </c>
      <c r="B31" s="136">
        <v>13.106547619047619</v>
      </c>
      <c r="C31" s="136">
        <v>-0.10654761904761934</v>
      </c>
      <c r="D31" s="136">
        <v>-0.1734269297728917</v>
      </c>
    </row>
    <row r="32" spans="1:9" x14ac:dyDescent="0.25">
      <c r="A32" s="136">
        <v>7</v>
      </c>
      <c r="B32" s="136">
        <v>7.9291666666666645</v>
      </c>
      <c r="C32" s="136">
        <v>7.0833333333335524E-2</v>
      </c>
      <c r="D32" s="136">
        <v>0.11529499800544522</v>
      </c>
    </row>
    <row r="33" spans="1:4" x14ac:dyDescent="0.25">
      <c r="A33" s="136">
        <v>8</v>
      </c>
      <c r="B33" s="136">
        <v>9.6184523809523803</v>
      </c>
      <c r="C33" s="136">
        <v>-0.11845238095238031</v>
      </c>
      <c r="D33" s="136">
        <v>-0.19280424036204005</v>
      </c>
    </row>
    <row r="34" spans="1:4" x14ac:dyDescent="0.25">
      <c r="A34" s="136">
        <v>9</v>
      </c>
      <c r="B34" s="136">
        <v>11.307738095238093</v>
      </c>
      <c r="C34" s="136">
        <v>-0.30773809523809348</v>
      </c>
      <c r="D34" s="136">
        <v>-0.50090347872952101</v>
      </c>
    </row>
    <row r="35" spans="1:4" x14ac:dyDescent="0.25">
      <c r="A35" s="136">
        <v>10</v>
      </c>
      <c r="B35" s="136">
        <v>12.99702380952381</v>
      </c>
      <c r="C35" s="136">
        <v>-0.4970238095238102</v>
      </c>
      <c r="D35" s="136">
        <v>-0.80900271709700777</v>
      </c>
    </row>
    <row r="36" spans="1:4" x14ac:dyDescent="0.25">
      <c r="A36" s="136">
        <v>11</v>
      </c>
      <c r="B36" s="136">
        <v>14.686309523809523</v>
      </c>
      <c r="C36" s="136">
        <v>-0.68630952380952337</v>
      </c>
      <c r="D36" s="136">
        <v>-1.1171019554644888</v>
      </c>
    </row>
    <row r="37" spans="1:4" x14ac:dyDescent="0.25">
      <c r="A37" s="136">
        <v>12</v>
      </c>
      <c r="B37" s="136">
        <v>16.37559523809524</v>
      </c>
      <c r="C37" s="136">
        <v>-0.37559523809524009</v>
      </c>
      <c r="D37" s="136">
        <v>-0.61135414908768126</v>
      </c>
    </row>
    <row r="38" spans="1:4" x14ac:dyDescent="0.25">
      <c r="A38" s="136">
        <v>13</v>
      </c>
      <c r="B38" s="136">
        <v>11.198214285714284</v>
      </c>
      <c r="C38" s="136">
        <v>-0.19821428571428434</v>
      </c>
      <c r="D38" s="136">
        <v>-0.32263222130934294</v>
      </c>
    </row>
    <row r="39" spans="1:4" x14ac:dyDescent="0.25">
      <c r="A39" s="136">
        <v>14</v>
      </c>
      <c r="B39" s="136">
        <v>12.887499999999999</v>
      </c>
      <c r="C39" s="136">
        <v>-0.38749999999999929</v>
      </c>
      <c r="D39" s="136">
        <v>-0.63073145967682676</v>
      </c>
    </row>
    <row r="40" spans="1:4" x14ac:dyDescent="0.25">
      <c r="A40" s="136">
        <v>15</v>
      </c>
      <c r="B40" s="136">
        <v>14.576785714285714</v>
      </c>
      <c r="C40" s="136">
        <v>-0.57678571428571423</v>
      </c>
      <c r="D40" s="136">
        <v>-0.93883069804431063</v>
      </c>
    </row>
    <row r="41" spans="1:4" x14ac:dyDescent="0.25">
      <c r="A41" s="136">
        <v>16</v>
      </c>
      <c r="B41" s="136">
        <v>16.266071428571429</v>
      </c>
      <c r="C41" s="136">
        <v>-0.76607142857142918</v>
      </c>
      <c r="D41" s="136">
        <v>-1.2469299364117945</v>
      </c>
    </row>
    <row r="42" spans="1:4" x14ac:dyDescent="0.25">
      <c r="A42" s="136">
        <v>17</v>
      </c>
      <c r="B42" s="136">
        <v>17.955357142857146</v>
      </c>
      <c r="C42" s="136">
        <v>-0.4553571428571459</v>
      </c>
      <c r="D42" s="136">
        <v>-0.74118213003498712</v>
      </c>
    </row>
    <row r="43" spans="1:4" x14ac:dyDescent="0.25">
      <c r="A43" s="136">
        <v>18</v>
      </c>
      <c r="B43" s="136">
        <v>19.644642857142859</v>
      </c>
      <c r="C43" s="136">
        <v>-0.14464285714285907</v>
      </c>
      <c r="D43" s="136">
        <v>-0.23543432365817393</v>
      </c>
    </row>
    <row r="44" spans="1:4" x14ac:dyDescent="0.25">
      <c r="A44" s="136">
        <v>19</v>
      </c>
      <c r="B44" s="136">
        <v>17.736309523809524</v>
      </c>
      <c r="C44" s="136">
        <v>-0.23630952380952408</v>
      </c>
      <c r="D44" s="136">
        <v>-0.38463961519462514</v>
      </c>
    </row>
    <row r="45" spans="1:4" x14ac:dyDescent="0.25">
      <c r="A45" s="136">
        <v>20</v>
      </c>
      <c r="B45" s="136">
        <v>19.425595238095241</v>
      </c>
      <c r="C45" s="136">
        <v>-0.4255952380952408</v>
      </c>
      <c r="D45" s="136">
        <v>-0.69273885356211184</v>
      </c>
    </row>
    <row r="46" spans="1:4" x14ac:dyDescent="0.25">
      <c r="A46" s="136">
        <v>21</v>
      </c>
      <c r="B46" s="136">
        <v>21.114880952380954</v>
      </c>
      <c r="C46" s="136">
        <v>-0.11488095238095397</v>
      </c>
      <c r="D46" s="136">
        <v>-0.18699104718529874</v>
      </c>
    </row>
    <row r="47" spans="1:4" x14ac:dyDescent="0.25">
      <c r="A47" s="136">
        <v>22</v>
      </c>
      <c r="B47" s="136">
        <v>22.804166666666667</v>
      </c>
      <c r="C47" s="136">
        <v>0.19583333333333286</v>
      </c>
      <c r="D47" s="136">
        <v>0.31875675919151442</v>
      </c>
    </row>
    <row r="48" spans="1:4" x14ac:dyDescent="0.25">
      <c r="A48" s="136">
        <v>23</v>
      </c>
      <c r="B48" s="136">
        <v>24.493452380952384</v>
      </c>
      <c r="C48" s="136">
        <v>0.50654761904761614</v>
      </c>
      <c r="D48" s="136">
        <v>0.82450456556832175</v>
      </c>
    </row>
    <row r="49" spans="1:4" ht="15.75" thickBot="1" x14ac:dyDescent="0.3">
      <c r="A49" s="137">
        <v>24</v>
      </c>
      <c r="B49" s="137">
        <v>26.182738095238101</v>
      </c>
      <c r="C49" s="137">
        <v>1.8172619047618994</v>
      </c>
      <c r="D49" s="137">
        <v>2.9579464614337172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activeCell="B17" sqref="B17:B19"/>
    </sheetView>
  </sheetViews>
  <sheetFormatPr defaultRowHeight="15" x14ac:dyDescent="0.25"/>
  <sheetData>
    <row r="1" spans="1:9" x14ac:dyDescent="0.25">
      <c r="A1" t="s">
        <v>356</v>
      </c>
    </row>
    <row r="2" spans="1:9" ht="15.75" thickBot="1" x14ac:dyDescent="0.3"/>
    <row r="3" spans="1:9" x14ac:dyDescent="0.25">
      <c r="A3" s="139" t="s">
        <v>357</v>
      </c>
      <c r="B3" s="139"/>
    </row>
    <row r="4" spans="1:9" x14ac:dyDescent="0.25">
      <c r="A4" s="136" t="s">
        <v>358</v>
      </c>
      <c r="B4" s="136">
        <v>0.99923601209082613</v>
      </c>
    </row>
    <row r="5" spans="1:9" x14ac:dyDescent="0.25">
      <c r="A5" s="136" t="s">
        <v>359</v>
      </c>
      <c r="B5" s="136">
        <v>0.99847260785917769</v>
      </c>
    </row>
    <row r="6" spans="1:9" x14ac:dyDescent="0.25">
      <c r="A6" s="136" t="s">
        <v>360</v>
      </c>
      <c r="B6" s="141">
        <v>0.95294863548914033</v>
      </c>
    </row>
    <row r="7" spans="1:9" x14ac:dyDescent="0.25">
      <c r="A7" s="136" t="s">
        <v>361</v>
      </c>
      <c r="B7" s="136">
        <v>0.63937706804773409</v>
      </c>
    </row>
    <row r="8" spans="1:9" ht="15.75" thickBot="1" x14ac:dyDescent="0.3">
      <c r="A8" s="137" t="s">
        <v>362</v>
      </c>
      <c r="B8" s="137">
        <v>24</v>
      </c>
    </row>
    <row r="10" spans="1:9" ht="15.75" thickBot="1" x14ac:dyDescent="0.3">
      <c r="A10" t="s">
        <v>363</v>
      </c>
    </row>
    <row r="11" spans="1:9" x14ac:dyDescent="0.25">
      <c r="A11" s="138"/>
      <c r="B11" s="138" t="s">
        <v>367</v>
      </c>
      <c r="C11" s="138" t="s">
        <v>368</v>
      </c>
      <c r="D11" s="138" t="s">
        <v>369</v>
      </c>
      <c r="E11" s="138" t="s">
        <v>370</v>
      </c>
      <c r="F11" s="138" t="s">
        <v>371</v>
      </c>
    </row>
    <row r="12" spans="1:9" x14ac:dyDescent="0.25">
      <c r="A12" s="136" t="s">
        <v>364</v>
      </c>
      <c r="B12" s="136">
        <v>2</v>
      </c>
      <c r="C12" s="136">
        <v>5879.2563332268028</v>
      </c>
      <c r="D12" s="136">
        <v>2939.6281666134014</v>
      </c>
      <c r="E12" s="136">
        <v>7190.8178606561842</v>
      </c>
      <c r="F12" s="136">
        <v>1.658295194250544E-30</v>
      </c>
    </row>
    <row r="13" spans="1:9" x14ac:dyDescent="0.25">
      <c r="A13" s="136" t="s">
        <v>365</v>
      </c>
      <c r="B13" s="136">
        <v>22</v>
      </c>
      <c r="C13" s="136">
        <v>8.9936667731969688</v>
      </c>
      <c r="D13" s="136">
        <v>0.40880303514531674</v>
      </c>
      <c r="E13" s="136"/>
      <c r="F13" s="136"/>
    </row>
    <row r="14" spans="1:9" ht="15.75" thickBot="1" x14ac:dyDescent="0.3">
      <c r="A14" s="137" t="s">
        <v>316</v>
      </c>
      <c r="B14" s="137">
        <v>24</v>
      </c>
      <c r="C14" s="137">
        <v>5888.25</v>
      </c>
      <c r="D14" s="137"/>
      <c r="E14" s="137"/>
      <c r="F14" s="137"/>
    </row>
    <row r="15" spans="1:9" ht="15.75" thickBot="1" x14ac:dyDescent="0.3"/>
    <row r="16" spans="1:9" x14ac:dyDescent="0.25">
      <c r="A16" s="138"/>
      <c r="B16" s="138" t="s">
        <v>372</v>
      </c>
      <c r="C16" s="138" t="s">
        <v>361</v>
      </c>
      <c r="D16" s="138" t="s">
        <v>373</v>
      </c>
      <c r="E16" s="138" t="s">
        <v>374</v>
      </c>
      <c r="F16" s="138" t="s">
        <v>375</v>
      </c>
      <c r="G16" s="138" t="s">
        <v>376</v>
      </c>
      <c r="H16" s="138" t="s">
        <v>377</v>
      </c>
      <c r="I16" s="138" t="s">
        <v>378</v>
      </c>
    </row>
    <row r="17" spans="1:9" x14ac:dyDescent="0.25">
      <c r="A17" s="136" t="s">
        <v>366</v>
      </c>
      <c r="B17" s="136">
        <v>0</v>
      </c>
      <c r="C17" s="136" t="e">
        <v>#N/A</v>
      </c>
      <c r="D17" s="136" t="e">
        <v>#N/A</v>
      </c>
      <c r="E17" s="136" t="e">
        <v>#N/A</v>
      </c>
      <c r="F17" s="136" t="e">
        <v>#N/A</v>
      </c>
      <c r="G17" s="136" t="e">
        <v>#N/A</v>
      </c>
      <c r="H17" s="136" t="e">
        <v>#N/A</v>
      </c>
      <c r="I17" s="136" t="e">
        <v>#N/A</v>
      </c>
    </row>
    <row r="18" spans="1:9" x14ac:dyDescent="0.25">
      <c r="A18" s="136" t="s">
        <v>347</v>
      </c>
      <c r="B18" s="136">
        <v>0.1629082774049217</v>
      </c>
      <c r="C18" s="136">
        <v>3.3127900815938349E-3</v>
      </c>
      <c r="D18" s="136">
        <v>49.175550938181992</v>
      </c>
      <c r="E18" s="136">
        <v>5.4013091173267767E-24</v>
      </c>
      <c r="F18" s="136">
        <v>0.15603797127508467</v>
      </c>
      <c r="G18" s="136">
        <v>0.16977858353475872</v>
      </c>
      <c r="H18" s="136">
        <v>0.15603797127508467</v>
      </c>
      <c r="I18" s="136">
        <v>0.16977858353475872</v>
      </c>
    </row>
    <row r="19" spans="1:9" ht="15.75" thickBot="1" x14ac:dyDescent="0.3">
      <c r="A19" s="137" t="s">
        <v>354</v>
      </c>
      <c r="B19" s="137">
        <v>1.2974027910940667E-2</v>
      </c>
      <c r="C19" s="137">
        <v>3.330620646154739E-4</v>
      </c>
      <c r="D19" s="137">
        <v>38.953784562404053</v>
      </c>
      <c r="E19" s="137">
        <v>8.5990489859870578E-22</v>
      </c>
      <c r="F19" s="137">
        <v>1.2283299465194126E-2</v>
      </c>
      <c r="G19" s="137">
        <v>1.3664756356687209E-2</v>
      </c>
      <c r="H19" s="137">
        <v>1.2283299465194126E-2</v>
      </c>
      <c r="I19" s="137">
        <v>1.3664756356687209E-2</v>
      </c>
    </row>
    <row r="23" spans="1:9" x14ac:dyDescent="0.25">
      <c r="A23" t="s">
        <v>379</v>
      </c>
    </row>
    <row r="24" spans="1:9" ht="15.75" thickBot="1" x14ac:dyDescent="0.3"/>
    <row r="25" spans="1:9" x14ac:dyDescent="0.25">
      <c r="A25" s="138" t="s">
        <v>380</v>
      </c>
      <c r="B25" s="138" t="s">
        <v>381</v>
      </c>
      <c r="C25" s="138" t="s">
        <v>382</v>
      </c>
      <c r="D25" s="138" t="s">
        <v>383</v>
      </c>
    </row>
    <row r="26" spans="1:9" x14ac:dyDescent="0.25">
      <c r="A26" s="136">
        <v>1</v>
      </c>
      <c r="B26" s="136">
        <v>4.8872483221476513</v>
      </c>
      <c r="C26" s="136">
        <v>1.1127516778523487</v>
      </c>
      <c r="D26" s="136">
        <v>1.8177555632337312</v>
      </c>
    </row>
    <row r="27" spans="1:9" x14ac:dyDescent="0.25">
      <c r="A27" s="136">
        <v>2</v>
      </c>
      <c r="B27" s="136">
        <v>6.5163310961968683</v>
      </c>
      <c r="C27" s="136">
        <v>0.48366890380313166</v>
      </c>
      <c r="D27" s="136">
        <v>0.79010605703886705</v>
      </c>
    </row>
    <row r="28" spans="1:9" x14ac:dyDescent="0.25">
      <c r="A28" s="136">
        <v>3</v>
      </c>
      <c r="B28" s="136">
        <v>8.1454138702460845</v>
      </c>
      <c r="C28" s="136">
        <v>0.35458612975391546</v>
      </c>
      <c r="D28" s="136">
        <v>0.57924056448039174</v>
      </c>
    </row>
    <row r="29" spans="1:9" x14ac:dyDescent="0.25">
      <c r="A29" s="136">
        <v>4</v>
      </c>
      <c r="B29" s="136">
        <v>9.7744966442953025</v>
      </c>
      <c r="C29" s="136">
        <v>0.22550335570469748</v>
      </c>
      <c r="D29" s="136">
        <v>0.36837507192191343</v>
      </c>
    </row>
    <row r="30" spans="1:9" x14ac:dyDescent="0.25">
      <c r="A30" s="136">
        <v>5</v>
      </c>
      <c r="B30" s="136">
        <v>11.403579418344519</v>
      </c>
      <c r="C30" s="136">
        <v>9.6420581655481286E-2</v>
      </c>
      <c r="D30" s="136">
        <v>0.15750957936343804</v>
      </c>
    </row>
    <row r="31" spans="1:9" x14ac:dyDescent="0.25">
      <c r="A31" s="136">
        <v>6</v>
      </c>
      <c r="B31" s="136">
        <v>13.032662192393737</v>
      </c>
      <c r="C31" s="136">
        <v>-3.2662192393736689E-2</v>
      </c>
      <c r="D31" s="136">
        <v>-5.335591319504026E-2</v>
      </c>
    </row>
    <row r="32" spans="1:9" x14ac:dyDescent="0.25">
      <c r="A32" s="136">
        <v>7</v>
      </c>
      <c r="B32" s="136">
        <v>8.1307552998828179</v>
      </c>
      <c r="C32" s="136">
        <v>-0.13075529988281787</v>
      </c>
      <c r="D32" s="136">
        <v>-0.21359767728503481</v>
      </c>
    </row>
    <row r="33" spans="1:4" x14ac:dyDescent="0.25">
      <c r="A33" s="136">
        <v>8</v>
      </c>
      <c r="B33" s="136">
        <v>9.7598380739320358</v>
      </c>
      <c r="C33" s="136">
        <v>-0.25983807393203584</v>
      </c>
      <c r="D33" s="136">
        <v>-0.42446316984351312</v>
      </c>
    </row>
    <row r="34" spans="1:4" x14ac:dyDescent="0.25">
      <c r="A34" s="136">
        <v>9</v>
      </c>
      <c r="B34" s="136">
        <v>11.388920847981252</v>
      </c>
      <c r="C34" s="136">
        <v>-0.38892084798125204</v>
      </c>
      <c r="D34" s="136">
        <v>-0.63532866240198849</v>
      </c>
    </row>
    <row r="35" spans="1:4" x14ac:dyDescent="0.25">
      <c r="A35" s="136">
        <v>10</v>
      </c>
      <c r="B35" s="136">
        <v>13.01800362203047</v>
      </c>
      <c r="C35" s="136">
        <v>-0.51800362203047001</v>
      </c>
      <c r="D35" s="136">
        <v>-0.84619415496046679</v>
      </c>
    </row>
    <row r="36" spans="1:4" x14ac:dyDescent="0.25">
      <c r="A36" s="136">
        <v>11</v>
      </c>
      <c r="B36" s="136">
        <v>14.647086396079686</v>
      </c>
      <c r="C36" s="136">
        <v>-0.64708639607968621</v>
      </c>
      <c r="D36" s="136">
        <v>-1.0570596475189422</v>
      </c>
    </row>
    <row r="37" spans="1:4" x14ac:dyDescent="0.25">
      <c r="A37" s="136">
        <v>12</v>
      </c>
      <c r="B37" s="136">
        <v>16.276169170128902</v>
      </c>
      <c r="C37" s="136">
        <v>-0.27616917012890241</v>
      </c>
      <c r="D37" s="136">
        <v>-0.45114112644103033</v>
      </c>
    </row>
    <row r="38" spans="1:4" x14ac:dyDescent="0.25">
      <c r="A38" s="136">
        <v>13</v>
      </c>
      <c r="B38" s="136">
        <v>11.374262277617985</v>
      </c>
      <c r="C38" s="136">
        <v>-0.37426227761798536</v>
      </c>
      <c r="D38" s="136">
        <v>-0.61138289053102779</v>
      </c>
    </row>
    <row r="39" spans="1:4" x14ac:dyDescent="0.25">
      <c r="A39" s="136">
        <v>14</v>
      </c>
      <c r="B39" s="136">
        <v>13.003345051667203</v>
      </c>
      <c r="C39" s="136">
        <v>-0.50334505166720334</v>
      </c>
      <c r="D39" s="136">
        <v>-0.8222483830895061</v>
      </c>
    </row>
    <row r="40" spans="1:4" x14ac:dyDescent="0.25">
      <c r="A40" s="136">
        <v>15</v>
      </c>
      <c r="B40" s="136">
        <v>14.63242782571642</v>
      </c>
      <c r="C40" s="136">
        <v>-0.63242782571641953</v>
      </c>
      <c r="D40" s="136">
        <v>-1.0331138756479814</v>
      </c>
    </row>
    <row r="41" spans="1:4" x14ac:dyDescent="0.25">
      <c r="A41" s="136">
        <v>16</v>
      </c>
      <c r="B41" s="136">
        <v>16.261510599765636</v>
      </c>
      <c r="C41" s="136">
        <v>-0.76151059976563573</v>
      </c>
      <c r="D41" s="136">
        <v>-1.2439793682064568</v>
      </c>
    </row>
    <row r="42" spans="1:4" x14ac:dyDescent="0.25">
      <c r="A42" s="136">
        <v>17</v>
      </c>
      <c r="B42" s="136">
        <v>17.890593373814852</v>
      </c>
      <c r="C42" s="136">
        <v>-0.39059337381485193</v>
      </c>
      <c r="D42" s="136">
        <v>-0.63806084712854505</v>
      </c>
    </row>
    <row r="43" spans="1:4" x14ac:dyDescent="0.25">
      <c r="A43" s="136">
        <v>18</v>
      </c>
      <c r="B43" s="136">
        <v>19.519676147864072</v>
      </c>
      <c r="C43" s="136">
        <v>-1.967614786407168E-2</v>
      </c>
      <c r="D43" s="136">
        <v>-3.2142326050638992E-2</v>
      </c>
    </row>
    <row r="44" spans="1:4" x14ac:dyDescent="0.25">
      <c r="A44" s="136">
        <v>19</v>
      </c>
      <c r="B44" s="136">
        <v>17.861276233088319</v>
      </c>
      <c r="C44" s="136">
        <v>-0.36127623308831858</v>
      </c>
      <c r="D44" s="136">
        <v>-0.59016930338662366</v>
      </c>
    </row>
    <row r="45" spans="1:4" x14ac:dyDescent="0.25">
      <c r="A45" s="136">
        <v>20</v>
      </c>
      <c r="B45" s="136">
        <v>19.490359007137535</v>
      </c>
      <c r="C45" s="136">
        <v>-0.49035900713753477</v>
      </c>
      <c r="D45" s="136">
        <v>-0.80103479594509897</v>
      </c>
    </row>
    <row r="46" spans="1:4" x14ac:dyDescent="0.25">
      <c r="A46" s="136">
        <v>21</v>
      </c>
      <c r="B46" s="136">
        <v>21.119441781186751</v>
      </c>
      <c r="C46" s="136">
        <v>-0.11944178118675097</v>
      </c>
      <c r="D46" s="136">
        <v>-0.19511627486718716</v>
      </c>
    </row>
    <row r="47" spans="1:4" x14ac:dyDescent="0.25">
      <c r="A47" s="136">
        <v>22</v>
      </c>
      <c r="B47" s="136">
        <v>22.748524555235971</v>
      </c>
      <c r="C47" s="136">
        <v>0.25147544476402928</v>
      </c>
      <c r="D47" s="136">
        <v>0.41080224621071887</v>
      </c>
    </row>
    <row r="48" spans="1:4" x14ac:dyDescent="0.25">
      <c r="A48" s="136">
        <v>23</v>
      </c>
      <c r="B48" s="136">
        <v>24.377607329285187</v>
      </c>
      <c r="C48" s="136">
        <v>0.62239267071481308</v>
      </c>
      <c r="D48" s="136">
        <v>1.0167207672886307</v>
      </c>
    </row>
    <row r="49" spans="1:4" ht="15.75" thickBot="1" x14ac:dyDescent="0.3">
      <c r="A49" s="137">
        <v>24</v>
      </c>
      <c r="B49" s="137">
        <v>26.006690103334407</v>
      </c>
      <c r="C49" s="137">
        <v>1.9933098966655933</v>
      </c>
      <c r="D49" s="137">
        <v>3.2562073156393114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references</vt:lpstr>
      <vt:lpstr>default</vt:lpstr>
      <vt:lpstr>scn_baseline</vt:lpstr>
      <vt:lpstr>Antal djur</vt:lpstr>
      <vt:lpstr>Foderstater</vt:lpstr>
      <vt:lpstr>G&amp;D slakt</vt:lpstr>
      <vt:lpstr>G&amp;D sammanställning</vt:lpstr>
      <vt:lpstr>Växa slakt</vt:lpstr>
      <vt:lpstr>Invägd mjölk</vt:lpstr>
      <vt:lpstr>Energy req.</vt:lpstr>
      <vt:lpstr>LW</vt:lpstr>
      <vt:lpstr>LW int=0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2023-01-11T08:28:08Z</dcterms:created>
  <dcterms:modified xsi:type="dcterms:W3CDTF">2023-06-21T11:40:38Z</dcterms:modified>
</cp:coreProperties>
</file>