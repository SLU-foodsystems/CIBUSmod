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ferences" sheetId="1" state="visible" r:id="rId3"/>
    <sheet name="defaul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<sst xmlns="http://schemas.openxmlformats.org/spreadsheetml/2006/main" count="341" uniqueCount="91">
  <si>
    <t xml:space="preserve">Statistics Netherlands (2012) Standardised calculation methods for animal manure and nutrients. Standard data 1990–2008</t>
  </si>
  <si>
    <t xml:space="preserve">Cederberg, C. &amp; Henriksson, M. (2020). Gräsmarkernas användning i jordbruket</t>
  </si>
  <si>
    <t xml:space="preserve">Hessle, A. &amp; Danielsson, R. (2023) Number of cattle required to obtain good ecological status in Swedish grasslands and livestock’s methane emissions. Swedish University of Agricultural Sciences. Department of Animal Environment and Health. Section of Production systems</t>
  </si>
  <si>
    <t xml:space="preserve">Ahlgren, S., Behaderovic, D., Wirsenius, S., Carlsson, A., Hessle, A. Toräng, P., Seeman, A., den Braver, T. &amp;  et al. Kvarnbäck, O. (2022) Miljöpåverkan av svensk nöt- och lammköttsproduktion. RISE</t>
  </si>
  <si>
    <t xml:space="preserve">f_species</t>
  </si>
  <si>
    <t xml:space="preserve">f_breed</t>
  </si>
  <si>
    <t xml:space="preserve">f_prod_system</t>
  </si>
  <si>
    <t xml:space="preserve">f_sub_system</t>
  </si>
  <si>
    <t xml:space="preserve">f_animal</t>
  </si>
  <si>
    <t xml:space="preserve">f_feed</t>
  </si>
  <si>
    <t xml:space="preserve">f_feed_group:feed</t>
  </si>
  <si>
    <t xml:space="preserve">f_crop_group</t>
  </si>
  <si>
    <t xml:space="preserve">f_crop_prod</t>
  </si>
  <si>
    <t xml:space="preserve">f_by_prod</t>
  </si>
  <si>
    <t xml:space="preserve">f_crop_resid</t>
  </si>
  <si>
    <t xml:space="preserve">f_region</t>
  </si>
  <si>
    <t xml:space="preserve">f_feed_par</t>
  </si>
  <si>
    <t xml:space="preserve">parameter</t>
  </si>
  <si>
    <t xml:space="preserve">value</t>
  </si>
  <si>
    <t xml:space="preserve">unit</t>
  </si>
  <si>
    <t xml:space="preserve">description</t>
  </si>
  <si>
    <t xml:space="preserve">source</t>
  </si>
  <si>
    <t xml:space="preserve">Conversion factors: Feeds --&gt; crop products, by-products or crop residues</t>
  </si>
  <si>
    <t xml:space="preserve">kg product/kg DM feed</t>
  </si>
  <si>
    <t xml:space="preserve">need to align with DM in products and by-products</t>
  </si>
  <si>
    <t xml:space="preserve">feed_to_prod</t>
  </si>
  <si>
    <t xml:space="preserve">fallback</t>
  </si>
  <si>
    <t xml:space="preserve">Crop products</t>
  </si>
  <si>
    <t xml:space="preserve">ley silage, 1st cut</t>
  </si>
  <si>
    <t xml:space="preserve">fodder</t>
  </si>
  <si>
    <t xml:space="preserve">ley silage, regrowth</t>
  </si>
  <si>
    <t xml:space="preserve">grazing</t>
  </si>
  <si>
    <t xml:space="preserve">wheat</t>
  </si>
  <si>
    <t xml:space="preserve">By-products</t>
  </si>
  <si>
    <t xml:space="preserve">soybean meal</t>
  </si>
  <si>
    <t xml:space="preserve">rapeseed meal</t>
  </si>
  <si>
    <t xml:space="preserve">wheat bran</t>
  </si>
  <si>
    <t xml:space="preserve">milling by-products from wheat, barley or rye</t>
  </si>
  <si>
    <t xml:space="preserve">Crop residues</t>
  </si>
  <si>
    <t xml:space="preserve">Parameters to constrain regional feed supply</t>
  </si>
  <si>
    <r>
      <rPr>
        <sz val="11"/>
        <color theme="4"/>
        <rFont val="Calibri"/>
        <family val="2"/>
        <charset val="1"/>
      </rPr>
      <t xml:space="preserve">The parameter</t>
    </r>
    <r>
      <rPr>
        <b val="true"/>
        <sz val="11"/>
        <color theme="4"/>
        <rFont val="Calibri"/>
        <family val="2"/>
        <charset val="1"/>
      </rPr>
      <t xml:space="preserve"> share_regional</t>
    </r>
    <r>
      <rPr>
        <sz val="11"/>
        <color theme="4"/>
        <rFont val="Calibri"/>
        <family val="2"/>
        <charset val="1"/>
      </rPr>
      <t xml:space="preserve"> constrains crop production in a region to supply at least X% of feed demand in that region. Can differ per species/breed/animal etc.</t>
    </r>
  </si>
  <si>
    <t xml:space="preserve">share_regional</t>
  </si>
  <si>
    <t xml:space="preserve">%</t>
  </si>
  <si>
    <r>
      <rPr>
        <sz val="11"/>
        <color theme="4"/>
        <rFont val="Calibri"/>
        <family val="2"/>
        <charset val="1"/>
      </rPr>
      <t xml:space="preserve">The paramter </t>
    </r>
    <r>
      <rPr>
        <b val="true"/>
        <sz val="11"/>
        <color theme="4"/>
        <rFont val="Calibri"/>
        <family val="2"/>
        <charset val="1"/>
      </rPr>
      <t xml:space="preserve">max_overproduction</t>
    </r>
    <r>
      <rPr>
        <sz val="11"/>
        <color theme="4"/>
        <rFont val="Calibri"/>
        <family val="2"/>
        <charset val="1"/>
      </rPr>
      <t xml:space="preserve"> constrains crop production to not exceed feed demand plus X% in any region. Only specify this for crop products exclusively used for feed</t>
    </r>
  </si>
  <si>
    <t xml:space="preserve">max_overproduction</t>
  </si>
  <si>
    <t xml:space="preserve">Share of crop and by-products that are imported</t>
  </si>
  <si>
    <t xml:space="preserve">share_imported</t>
  </si>
  <si>
    <r>
      <rPr>
        <b val="true"/>
        <u val="single"/>
        <sz val="11"/>
        <color theme="1"/>
        <rFont val="Calibri"/>
        <family val="2"/>
        <charset val="1"/>
      </rPr>
      <t xml:space="preserve">Maximum contribution of crop to crop product demand for feed</t>
    </r>
    <r>
      <rPr>
        <sz val="11"/>
        <color theme="1"/>
        <rFont val="Calibri"/>
        <family val="2"/>
        <charset val="1"/>
      </rPr>
      <t xml:space="preserve"> (Primarily used to limit semi-natural pastures in grazing)</t>
    </r>
  </si>
  <si>
    <t xml:space="preserve">cattle</t>
  </si>
  <si>
    <t xml:space="preserve">Semi-natural pastures</t>
  </si>
  <si>
    <t xml:space="preserve">max_crop_in_crop_prod</t>
  </si>
  <si>
    <t xml:space="preserve">dairy</t>
  </si>
  <si>
    <t xml:space="preserve">cows</t>
  </si>
  <si>
    <t xml:space="preserve">Storage and feeding losses</t>
  </si>
  <si>
    <t xml:space="preserve">storage_losses</t>
  </si>
  <si>
    <t xml:space="preserve">feeding_losses</t>
  </si>
  <si>
    <t xml:space="preserve">ley silage</t>
  </si>
  <si>
    <t xml:space="preserve">80% in silo</t>
  </si>
  <si>
    <t xml:space="preserve">Cederberg &amp; Henriksson (2020)</t>
  </si>
  <si>
    <t xml:space="preserve">60% in silo</t>
  </si>
  <si>
    <t xml:space="preserve">No feeding on pasture</t>
  </si>
  <si>
    <t xml:space="preserve">bulls</t>
  </si>
  <si>
    <t xml:space="preserve">10% feeding on pasture</t>
  </si>
  <si>
    <t xml:space="preserve">dry concentrates</t>
  </si>
  <si>
    <t xml:space="preserve">??</t>
  </si>
  <si>
    <t xml:space="preserve">for cattle</t>
  </si>
  <si>
    <t xml:space="preserve">Statistics Netherlands (2012)</t>
  </si>
  <si>
    <t xml:space="preserve">Enteric fermentation</t>
  </si>
  <si>
    <t xml:space="preserve">For cattle Ym is calculated from feed ration</t>
  </si>
  <si>
    <t xml:space="preserve">enteric_adj</t>
  </si>
  <si>
    <t xml:space="preserve">-</t>
  </si>
  <si>
    <t xml:space="preserve">Adjustment factor for enteric methane emissions</t>
  </si>
  <si>
    <t xml:space="preserve">Feed nutritional parameters</t>
  </si>
  <si>
    <t xml:space="preserve">see feed pars sheet</t>
  </si>
  <si>
    <t xml:space="preserve">General</t>
  </si>
  <si>
    <t xml:space="preserve">GE</t>
  </si>
  <si>
    <t xml:space="preserve">feed_composition</t>
  </si>
  <si>
    <t xml:space="preserve">MJ GE/kg DM</t>
  </si>
  <si>
    <t xml:space="preserve">ASH</t>
  </si>
  <si>
    <t xml:space="preserve">N</t>
  </si>
  <si>
    <t xml:space="preserve">P</t>
  </si>
  <si>
    <t xml:space="preserve">K</t>
  </si>
  <si>
    <t xml:space="preserve">Cattle</t>
  </si>
  <si>
    <t xml:space="preserve">E</t>
  </si>
  <si>
    <t xml:space="preserve">MJ ME/kg DM</t>
  </si>
  <si>
    <t xml:space="preserve">Energy in feed used for feed req. calc.: ME for cattle,sheep and horses and NE for pigs</t>
  </si>
  <si>
    <t xml:space="preserve">DE</t>
  </si>
  <si>
    <t xml:space="preserve">MJ DE/kg DM</t>
  </si>
  <si>
    <t xml:space="preserve">fat</t>
  </si>
  <si>
    <t xml:space="preserve">g/kg DM</t>
  </si>
  <si>
    <t xml:space="preserve">Total fat</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</si>
</sst>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1"/>
      <color theme="1"/>
      <name val="Calibri"/>
      <family val="2"/>
      <charset val="1"/>
    </font>
    <font>
      <b val="true"/>
      <u val="single"/>
      <sz val="11"/>
      <color theme="1"/>
      <name val="Calibri"/>
      <family val="2"/>
      <charset val="1"/>
    </font>
    <font>
      <sz val="11"/>
      <color rgb="FFFF0000"/>
      <name val="Calibri"/>
      <family val="2"/>
      <charset val="1"/>
    </font>
    <font>
      <sz val="11"/>
      <color rgb="FF7030A0"/>
      <name val="Calibri"/>
      <family val="2"/>
      <charset val="1"/>
    </font>
    <font>
      <sz val="11"/>
      <name val="Calibri"/>
      <family val="2"/>
      <charset val="1"/>
    </font>
    <font>
      <sz val="11"/>
      <color theme="4"/>
      <name val="Calibri"/>
      <family val="2"/>
      <charset val="1"/>
    </font>
    <font>
      <b val="true"/>
      <sz val="11"/>
      <color theme="4"/>
      <name val="Calibri"/>
      <family val="2"/>
      <charset val="1"/>
    </font>
  </fonts>
  <fills count="3">
    <fill>
      <patternFill patternType="none"/>
    </fill>
    <fill>
      <patternFill patternType="gray125"/>
    </fill>
    <fill>
      <patternFill patternType="solid">
        <fgColor theme="2"/>
        <bgColor rgb="FFFFFFCC"/>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7" fontId="0" fillId="0" borderId="0" xfId="0" applyFont="false" applyBorder="false" applyAlignment="true" applyProtection="true">
      <alignment horizontal="general" vertical="bottom" textRotation="0" wrapText="false" indent="0" shrinkToFit="false"/>
      <protection locked="true" hidden="false"/>
    </xf>
    <xf numFmtId="166"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7E6E6"/>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5B9BD5"/>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94" zoomScaleNormal="94" zoomScalePageLayoutView="100" workbookViewId="0">
      <selection pane="topLeft" activeCell="B9" activeCellId="0" sqref="B9"/>
    </sheetView>
  </sheetViews>
  <sheetFormatPr defaultColWidth="8.59765625" defaultRowHeight="15" zeroHeight="false" outlineLevelRow="0" outlineLevelCol="0"/>
  <sheetData>
    <row r="1" customFormat="false" ht="15" hidden="false" customHeight="false" outlineLevel="0" collapsed="false">
      <c r="A1" s="1" t="s">
        <v>0</v>
      </c>
    </row>
    <row r="2" customFormat="false" ht="15" hidden="false" customHeight="false" outlineLevel="0" collapsed="false">
      <c r="A2" s="1" t="s">
        <v>1</v>
      </c>
    </row>
    <row r="3" customFormat="false" ht="15" hidden="false" customHeight="false" outlineLevel="0" collapsed="false">
      <c r="A3" s="1" t="s">
        <v>2</v>
      </c>
    </row>
    <row r="4" customFormat="false" ht="15" hidden="false" customHeight="false" outlineLevel="0" collapsed="false">
      <c r="A4" s="1" t="s">
        <v>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48576"/>
  <sheetViews>
    <sheetView showFormulas="false" showGridLines="true" showRowColHeaders="true" showZeros="true" rightToLeft="false" tabSelected="true" showOutlineSymbols="true" defaultGridColor="true" view="normal" topLeftCell="A1" colorId="64" zoomScale="94" zoomScaleNormal="94" zoomScalePageLayoutView="100" workbookViewId="0">
      <pane xSplit="0" ySplit="1" topLeftCell="A48" activePane="bottomLeft" state="frozen"/>
      <selection pane="topLeft" activeCell="A1" activeCellId="0" sqref="A1"/>
      <selection pane="bottomLeft" activeCell="H71" activeCellId="0" sqref="H71"/>
    </sheetView>
  </sheetViews>
  <sheetFormatPr defaultColWidth="8.59765625" defaultRowHeight="15" zeroHeight="false" outlineLevelRow="0" outlineLevelCol="0"/>
  <cols>
    <col collapsed="false" customWidth="true" hidden="false" outlineLevel="0" max="7" min="6" style="1" width="20.29"/>
    <col collapsed="false" customWidth="true" hidden="false" outlineLevel="0" max="8" min="8" style="1" width="23.57"/>
    <col collapsed="false" customWidth="true" hidden="false" outlineLevel="0" max="9" min="9" style="1" width="19.57"/>
    <col collapsed="false" customWidth="true" hidden="false" outlineLevel="0" max="11" min="10" style="1" width="20.14"/>
    <col collapsed="false" customWidth="true" hidden="false" outlineLevel="0" max="12" min="12" style="1" width="9.71"/>
    <col collapsed="false" customWidth="true" hidden="false" outlineLevel="0" max="14" min="13" style="1" width="16.43"/>
    <col collapsed="false" customWidth="true" hidden="false" outlineLevel="0" max="15" min="15" style="1" width="10.82"/>
    <col collapsed="false" customWidth="true" hidden="false" outlineLevel="0" max="16" min="16" style="1" width="12.72"/>
    <col collapsed="false" customWidth="true" hidden="false" outlineLevel="0" max="17" min="17" style="1" width="38.14"/>
    <col collapsed="false" customWidth="true" hidden="false" outlineLevel="0" max="18" min="18" style="1" width="58"/>
  </cols>
  <sheetData>
    <row r="1" customFormat="false" ht="15" hidden="false" customHeight="false" outlineLevel="0" collapsed="false">
      <c r="A1" s="2" t="s">
        <v>4</v>
      </c>
      <c r="B1" s="2" t="s">
        <v>5</v>
      </c>
      <c r="C1" s="2" t="s">
        <v>6</v>
      </c>
      <c r="D1" s="2" t="s">
        <v>7</v>
      </c>
      <c r="E1" s="2" t="s">
        <v>8</v>
      </c>
      <c r="F1" s="2" t="s">
        <v>9</v>
      </c>
      <c r="G1" s="2" t="s">
        <v>10</v>
      </c>
      <c r="H1" s="2" t="s">
        <v>11</v>
      </c>
      <c r="I1" s="2" t="s">
        <v>12</v>
      </c>
      <c r="J1" s="2" t="s">
        <v>13</v>
      </c>
      <c r="K1" s="2" t="s">
        <v>14</v>
      </c>
      <c r="L1" s="2" t="s">
        <v>15</v>
      </c>
      <c r="M1" s="2" t="s">
        <v>16</v>
      </c>
      <c r="N1" s="2" t="s">
        <v>17</v>
      </c>
      <c r="O1" s="2" t="s">
        <v>18</v>
      </c>
      <c r="P1" s="2" t="s">
        <v>19</v>
      </c>
      <c r="Q1" s="2" t="s">
        <v>20</v>
      </c>
      <c r="R1" s="2" t="s">
        <v>21</v>
      </c>
    </row>
    <row r="2" customFormat="false" ht="15" hidden="false" customHeight="false" outlineLevel="0" collapsed="false">
      <c r="A2" s="3" t="s">
        <v>22</v>
      </c>
      <c r="B2" s="3"/>
      <c r="C2" s="3"/>
      <c r="D2" s="3"/>
      <c r="E2" s="3"/>
      <c r="F2" s="3"/>
      <c r="G2" s="3"/>
      <c r="H2" s="3"/>
      <c r="I2" s="3"/>
      <c r="J2" s="3"/>
      <c r="K2" s="3"/>
      <c r="L2" s="3"/>
      <c r="M2" s="3"/>
      <c r="N2" s="4"/>
      <c r="O2" s="4"/>
      <c r="P2" s="4" t="s">
        <v>23</v>
      </c>
      <c r="Q2" s="5" t="s">
        <v>24</v>
      </c>
      <c r="R2" s="4"/>
      <c r="S2" s="1"/>
    </row>
    <row r="3" customFormat="false" ht="15" hidden="false" customHeight="false" outlineLevel="0" collapsed="false">
      <c r="N3" s="6" t="s">
        <v>25</v>
      </c>
      <c r="O3" s="7" t="n">
        <v>0</v>
      </c>
      <c r="P3" s="6"/>
      <c r="Q3" s="6" t="s">
        <v>26</v>
      </c>
    </row>
    <row r="4" customFormat="false" ht="15" hidden="false" customHeight="false" outlineLevel="0" collapsed="false">
      <c r="A4" s="8" t="s">
        <v>27</v>
      </c>
      <c r="N4" s="6"/>
      <c r="O4" s="7"/>
      <c r="P4" s="6"/>
      <c r="Q4" s="6"/>
    </row>
    <row r="5" customFormat="false" ht="15" hidden="false" customHeight="false" outlineLevel="0" collapsed="false">
      <c r="F5" s="1" t="s">
        <v>28</v>
      </c>
      <c r="I5" s="1" t="s">
        <v>29</v>
      </c>
      <c r="N5" s="1" t="s">
        <v>25</v>
      </c>
      <c r="O5" s="9" t="n">
        <v>1</v>
      </c>
    </row>
    <row r="6" customFormat="false" ht="15" hidden="false" customHeight="false" outlineLevel="0" collapsed="false">
      <c r="F6" s="1" t="s">
        <v>30</v>
      </c>
      <c r="I6" s="1" t="s">
        <v>29</v>
      </c>
      <c r="N6" s="1" t="s">
        <v>25</v>
      </c>
      <c r="O6" s="9" t="n">
        <v>1</v>
      </c>
    </row>
    <row r="7" customFormat="false" ht="15" hidden="false" customHeight="false" outlineLevel="0" collapsed="false">
      <c r="F7" s="1" t="s">
        <v>31</v>
      </c>
      <c r="I7" s="1" t="s">
        <v>31</v>
      </c>
      <c r="N7" s="1" t="s">
        <v>25</v>
      </c>
      <c r="O7" s="9" t="n">
        <v>1</v>
      </c>
    </row>
    <row r="8" customFormat="false" ht="15" hidden="false" customHeight="false" outlineLevel="0" collapsed="false">
      <c r="F8" s="1" t="s">
        <v>32</v>
      </c>
      <c r="I8" s="1" t="s">
        <v>32</v>
      </c>
      <c r="N8" s="1" t="s">
        <v>25</v>
      </c>
      <c r="O8" s="9" t="n">
        <v>1</v>
      </c>
    </row>
    <row r="9" customFormat="false" ht="15" hidden="false" customHeight="false" outlineLevel="0" collapsed="false">
      <c r="A9" s="8" t="s">
        <v>33</v>
      </c>
      <c r="F9" s="10"/>
      <c r="G9" s="10"/>
      <c r="H9" s="10"/>
      <c r="I9" s="10"/>
      <c r="J9" s="10"/>
      <c r="K9" s="10"/>
      <c r="L9" s="10"/>
      <c r="M9" s="10"/>
      <c r="N9" s="10"/>
      <c r="O9" s="9"/>
      <c r="P9" s="10"/>
      <c r="Q9" s="11"/>
    </row>
    <row r="10" customFormat="false" ht="15" hidden="false" customHeight="false" outlineLevel="0" collapsed="false">
      <c r="F10" s="1" t="s">
        <v>34</v>
      </c>
      <c r="J10" s="1" t="s">
        <v>34</v>
      </c>
      <c r="N10" s="1" t="s">
        <v>25</v>
      </c>
      <c r="O10" s="9" t="n">
        <v>1</v>
      </c>
    </row>
    <row r="11" customFormat="false" ht="15" hidden="false" customHeight="false" outlineLevel="0" collapsed="false">
      <c r="F11" s="1" t="s">
        <v>35</v>
      </c>
      <c r="J11" s="1" t="s">
        <v>35</v>
      </c>
      <c r="N11" s="1" t="s">
        <v>25</v>
      </c>
      <c r="O11" s="9" t="n">
        <v>1</v>
      </c>
    </row>
    <row r="12" customFormat="false" ht="15" hidden="false" customHeight="false" outlineLevel="0" collapsed="false">
      <c r="F12" s="1" t="s">
        <v>36</v>
      </c>
      <c r="J12" s="1" t="s">
        <v>37</v>
      </c>
      <c r="N12" s="1" t="s">
        <v>25</v>
      </c>
      <c r="O12" s="9" t="n">
        <v>1</v>
      </c>
    </row>
    <row r="13" customFormat="false" ht="15" hidden="false" customHeight="false" outlineLevel="0" collapsed="false">
      <c r="O13" s="9"/>
    </row>
    <row r="14" customFormat="false" ht="15" hidden="false" customHeight="false" outlineLevel="0" collapsed="false">
      <c r="A14" s="8" t="s">
        <v>38</v>
      </c>
      <c r="O14" s="9"/>
    </row>
    <row r="15" customFormat="false" ht="15" hidden="false" customHeight="false" outlineLevel="0" collapsed="false">
      <c r="O15" s="9"/>
    </row>
    <row r="16" customFormat="false" ht="15" hidden="false" customHeight="false" outlineLevel="0" collapsed="false">
      <c r="A16" s="3" t="s">
        <v>39</v>
      </c>
      <c r="B16" s="3"/>
      <c r="C16" s="3"/>
      <c r="D16" s="3"/>
      <c r="E16" s="4"/>
      <c r="F16" s="4"/>
      <c r="G16" s="4"/>
      <c r="H16" s="4"/>
      <c r="I16" s="4"/>
      <c r="J16" s="4"/>
      <c r="K16" s="4"/>
      <c r="L16" s="4"/>
      <c r="M16" s="4"/>
      <c r="N16" s="4"/>
      <c r="O16" s="4"/>
      <c r="P16" s="4"/>
      <c r="Q16" s="4"/>
      <c r="R16" s="4"/>
    </row>
    <row r="17" s="1" customFormat="true" ht="16.4" hidden="false" customHeight="false" outlineLevel="0" collapsed="false">
      <c r="A17" s="12" t="s">
        <v>40</v>
      </c>
      <c r="B17" s="8"/>
      <c r="C17" s="8"/>
      <c r="D17" s="8"/>
    </row>
    <row r="18" customFormat="false" ht="15" hidden="false" customHeight="false" outlineLevel="0" collapsed="false">
      <c r="N18" s="6" t="s">
        <v>41</v>
      </c>
      <c r="O18" s="6" t="n">
        <v>0</v>
      </c>
      <c r="P18" s="6" t="s">
        <v>42</v>
      </c>
      <c r="Q18" s="6" t="s">
        <v>26</v>
      </c>
    </row>
    <row r="19" customFormat="false" ht="15" hidden="false" customHeight="false" outlineLevel="0" collapsed="false">
      <c r="I19" s="1" t="s">
        <v>29</v>
      </c>
      <c r="N19" s="1" t="s">
        <v>41</v>
      </c>
      <c r="O19" s="11" t="n">
        <v>95</v>
      </c>
      <c r="P19" s="1" t="s">
        <v>42</v>
      </c>
    </row>
    <row r="20" customFormat="false" ht="15" hidden="false" customHeight="false" outlineLevel="0" collapsed="false">
      <c r="I20" s="1" t="s">
        <v>31</v>
      </c>
      <c r="N20" s="1" t="s">
        <v>41</v>
      </c>
      <c r="O20" s="11" t="n">
        <v>95</v>
      </c>
      <c r="P20" s="1" t="s">
        <v>42</v>
      </c>
    </row>
    <row r="21" customFormat="false" ht="15" hidden="false" customHeight="false" outlineLevel="0" collapsed="false">
      <c r="O21" s="11"/>
      <c r="Q21" s="11"/>
    </row>
    <row r="22" customFormat="false" ht="16.4" hidden="false" customHeight="false" outlineLevel="0" collapsed="false">
      <c r="A22" s="12" t="s">
        <v>43</v>
      </c>
      <c r="O22" s="11"/>
      <c r="Q22" s="11"/>
    </row>
    <row r="23" customFormat="false" ht="15" hidden="false" customHeight="false" outlineLevel="0" collapsed="false">
      <c r="I23" s="1" t="s">
        <v>29</v>
      </c>
      <c r="N23" s="1" t="s">
        <v>44</v>
      </c>
      <c r="O23" s="11" t="n">
        <v>5</v>
      </c>
      <c r="P23" s="1" t="s">
        <v>42</v>
      </c>
      <c r="Q23" s="11"/>
    </row>
    <row r="24" customFormat="false" ht="15" hidden="false" customHeight="false" outlineLevel="0" collapsed="false">
      <c r="I24" s="1" t="s">
        <v>31</v>
      </c>
      <c r="N24" s="1" t="s">
        <v>44</v>
      </c>
      <c r="O24" s="11" t="n">
        <v>5</v>
      </c>
      <c r="P24" s="1" t="s">
        <v>42</v>
      </c>
      <c r="Q24" s="11"/>
    </row>
    <row r="25" customFormat="false" ht="15" hidden="false" customHeight="false" outlineLevel="0" collapsed="false">
      <c r="O25" s="11"/>
      <c r="Q25" s="11"/>
    </row>
    <row r="26" customFormat="false" ht="15" hidden="false" customHeight="false" outlineLevel="0" collapsed="false">
      <c r="A26" s="3" t="s">
        <v>45</v>
      </c>
      <c r="B26" s="3"/>
      <c r="C26" s="3"/>
      <c r="D26" s="3"/>
      <c r="E26" s="4"/>
      <c r="F26" s="4"/>
      <c r="G26" s="4"/>
      <c r="H26" s="4"/>
      <c r="I26" s="4"/>
      <c r="J26" s="4"/>
      <c r="K26" s="4"/>
      <c r="L26" s="4"/>
      <c r="M26" s="4"/>
      <c r="N26" s="4"/>
      <c r="O26" s="4"/>
      <c r="P26" s="4"/>
      <c r="Q26" s="4"/>
      <c r="R26" s="4"/>
    </row>
    <row r="27" customFormat="false" ht="15" hidden="false" customHeight="false" outlineLevel="0" collapsed="false">
      <c r="N27" s="6" t="s">
        <v>46</v>
      </c>
      <c r="O27" s="6" t="n">
        <v>0</v>
      </c>
      <c r="P27" s="6" t="s">
        <v>42</v>
      </c>
      <c r="Q27" s="6" t="s">
        <v>26</v>
      </c>
    </row>
    <row r="28" customFormat="false" ht="16.4" hidden="false" customHeight="false" outlineLevel="0" collapsed="false">
      <c r="A28" s="3" t="s">
        <v>47</v>
      </c>
      <c r="B28" s="3"/>
      <c r="C28" s="3"/>
      <c r="D28" s="3"/>
      <c r="E28" s="4"/>
      <c r="F28" s="4"/>
      <c r="G28" s="4"/>
      <c r="H28" s="4"/>
      <c r="I28" s="4"/>
      <c r="J28" s="4"/>
      <c r="K28" s="4"/>
      <c r="L28" s="4"/>
      <c r="M28" s="4"/>
      <c r="N28" s="4"/>
      <c r="O28" s="4"/>
      <c r="P28" s="4"/>
      <c r="Q28" s="4"/>
      <c r="R28" s="4"/>
    </row>
    <row r="30" customFormat="false" ht="15" hidden="false" customHeight="false" outlineLevel="0" collapsed="false">
      <c r="A30" s="1" t="s">
        <v>48</v>
      </c>
      <c r="H30" s="1" t="s">
        <v>49</v>
      </c>
      <c r="I30" s="1" t="s">
        <v>31</v>
      </c>
      <c r="N30" s="1" t="s">
        <v>50</v>
      </c>
      <c r="O30" s="10" t="n">
        <v>30</v>
      </c>
      <c r="P30" s="1" t="s">
        <v>42</v>
      </c>
      <c r="Q30" s="10"/>
    </row>
    <row r="31" customFormat="false" ht="15" hidden="false" customHeight="false" outlineLevel="0" collapsed="false">
      <c r="A31" s="1" t="s">
        <v>48</v>
      </c>
      <c r="B31" s="1" t="s">
        <v>51</v>
      </c>
      <c r="E31" s="1" t="s">
        <v>52</v>
      </c>
      <c r="H31" s="1" t="s">
        <v>49</v>
      </c>
      <c r="I31" s="1" t="s">
        <v>31</v>
      </c>
      <c r="N31" s="1" t="s">
        <v>50</v>
      </c>
      <c r="O31" s="10" t="n">
        <v>10</v>
      </c>
      <c r="P31" s="1" t="s">
        <v>42</v>
      </c>
      <c r="Q31" s="10"/>
    </row>
    <row r="32" customFormat="false" ht="15" hidden="false" customHeight="false" outlineLevel="0" collapsed="false">
      <c r="O32" s="11"/>
      <c r="Q32" s="11"/>
    </row>
    <row r="33" customFormat="false" ht="15" hidden="false" customHeight="false" outlineLevel="0" collapsed="false">
      <c r="A33" s="3" t="s">
        <v>53</v>
      </c>
      <c r="B33" s="3"/>
      <c r="C33" s="3"/>
      <c r="D33" s="3"/>
      <c r="E33" s="4"/>
      <c r="F33" s="4"/>
      <c r="G33" s="4"/>
      <c r="H33" s="4"/>
      <c r="I33" s="4"/>
      <c r="J33" s="4"/>
      <c r="K33" s="4"/>
      <c r="L33" s="4"/>
      <c r="M33" s="4"/>
      <c r="N33" s="4"/>
      <c r="O33" s="4"/>
      <c r="P33" s="4"/>
      <c r="Q33" s="4"/>
      <c r="R33" s="4"/>
    </row>
    <row r="34" customFormat="false" ht="15" hidden="false" customHeight="false" outlineLevel="0" collapsed="false">
      <c r="N34" s="6" t="s">
        <v>54</v>
      </c>
      <c r="O34" s="6" t="n">
        <v>0</v>
      </c>
      <c r="P34" s="6" t="s">
        <v>42</v>
      </c>
      <c r="Q34" s="6" t="s">
        <v>26</v>
      </c>
    </row>
    <row r="35" customFormat="false" ht="15" hidden="false" customHeight="false" outlineLevel="0" collapsed="false">
      <c r="N35" s="6" t="s">
        <v>55</v>
      </c>
      <c r="O35" s="6" t="n">
        <v>0</v>
      </c>
      <c r="P35" s="6" t="s">
        <v>42</v>
      </c>
      <c r="Q35" s="6" t="s">
        <v>26</v>
      </c>
    </row>
    <row r="36" customFormat="false" ht="15" hidden="false" customHeight="false" outlineLevel="0" collapsed="false">
      <c r="A36" s="1" t="s">
        <v>48</v>
      </c>
      <c r="B36" s="1" t="s">
        <v>51</v>
      </c>
      <c r="E36" s="1" t="s">
        <v>52</v>
      </c>
      <c r="G36" s="1" t="s">
        <v>56</v>
      </c>
      <c r="N36" s="10" t="s">
        <v>54</v>
      </c>
      <c r="O36" s="10" t="n">
        <f aca="false">(0.8*20+0.2*2)</f>
        <v>16.4</v>
      </c>
      <c r="P36" s="10" t="s">
        <v>42</v>
      </c>
      <c r="Q36" s="10" t="s">
        <v>57</v>
      </c>
      <c r="R36" s="1" t="s">
        <v>58</v>
      </c>
    </row>
    <row r="37" customFormat="false" ht="15" hidden="false" customHeight="false" outlineLevel="0" collapsed="false">
      <c r="A37" s="1" t="s">
        <v>48</v>
      </c>
      <c r="G37" s="1" t="s">
        <v>56</v>
      </c>
      <c r="N37" s="10" t="s">
        <v>54</v>
      </c>
      <c r="O37" s="10" t="n">
        <f aca="false">(0.6*20+0.4*2)</f>
        <v>12.8</v>
      </c>
      <c r="P37" s="10" t="s">
        <v>42</v>
      </c>
      <c r="Q37" s="10" t="s">
        <v>59</v>
      </c>
      <c r="R37" s="1" t="s">
        <v>58</v>
      </c>
    </row>
    <row r="38" customFormat="false" ht="15" hidden="false" customHeight="false" outlineLevel="0" collapsed="false">
      <c r="N38" s="10"/>
      <c r="O38" s="10"/>
      <c r="P38" s="10"/>
      <c r="Q38" s="10"/>
    </row>
    <row r="39" customFormat="false" ht="15" hidden="false" customHeight="false" outlineLevel="0" collapsed="false">
      <c r="A39" s="1" t="s">
        <v>48</v>
      </c>
      <c r="B39" s="1" t="s">
        <v>51</v>
      </c>
      <c r="E39" s="1" t="s">
        <v>52</v>
      </c>
      <c r="G39" s="1" t="s">
        <v>56</v>
      </c>
      <c r="N39" s="10" t="s">
        <v>55</v>
      </c>
      <c r="O39" s="10" t="n">
        <v>5</v>
      </c>
      <c r="P39" s="10" t="s">
        <v>42</v>
      </c>
      <c r="Q39" s="10" t="s">
        <v>60</v>
      </c>
      <c r="R39" s="1" t="s">
        <v>58</v>
      </c>
    </row>
    <row r="40" customFormat="false" ht="15" hidden="false" customHeight="false" outlineLevel="0" collapsed="false">
      <c r="A40" s="1" t="s">
        <v>48</v>
      </c>
      <c r="E40" s="1" t="s">
        <v>61</v>
      </c>
      <c r="G40" s="1" t="s">
        <v>56</v>
      </c>
      <c r="N40" s="10" t="s">
        <v>55</v>
      </c>
      <c r="O40" s="10" t="n">
        <v>5</v>
      </c>
      <c r="P40" s="10" t="s">
        <v>42</v>
      </c>
      <c r="Q40" s="10" t="s">
        <v>60</v>
      </c>
      <c r="R40" s="1" t="s">
        <v>58</v>
      </c>
    </row>
    <row r="41" customFormat="false" ht="15" hidden="false" customHeight="false" outlineLevel="0" collapsed="false">
      <c r="A41" s="1" t="s">
        <v>48</v>
      </c>
      <c r="G41" s="1" t="s">
        <v>56</v>
      </c>
      <c r="N41" s="10" t="s">
        <v>55</v>
      </c>
      <c r="O41" s="10" t="n">
        <f aca="false">0.9*5+0.1*15</f>
        <v>6</v>
      </c>
      <c r="P41" s="10" t="s">
        <v>42</v>
      </c>
      <c r="Q41" s="10" t="s">
        <v>62</v>
      </c>
      <c r="R41" s="1" t="s">
        <v>58</v>
      </c>
    </row>
    <row r="42" customFormat="false" ht="15" hidden="false" customHeight="false" outlineLevel="0" collapsed="false">
      <c r="N42" s="10"/>
      <c r="O42" s="10"/>
      <c r="P42" s="10"/>
      <c r="Q42" s="10"/>
    </row>
    <row r="43" customFormat="false" ht="15" hidden="false" customHeight="false" outlineLevel="0" collapsed="false">
      <c r="A43" s="11"/>
      <c r="G43" s="1" t="s">
        <v>63</v>
      </c>
      <c r="N43" s="10" t="s">
        <v>54</v>
      </c>
      <c r="O43" s="10"/>
      <c r="Q43" s="11" t="s">
        <v>64</v>
      </c>
    </row>
    <row r="44" customFormat="false" ht="15" hidden="false" customHeight="false" outlineLevel="0" collapsed="false">
      <c r="A44" s="11"/>
      <c r="G44" s="1" t="s">
        <v>63</v>
      </c>
      <c r="N44" s="10" t="s">
        <v>55</v>
      </c>
      <c r="O44" s="10" t="n">
        <v>2</v>
      </c>
      <c r="P44" s="10" t="s">
        <v>42</v>
      </c>
      <c r="Q44" s="11" t="s">
        <v>65</v>
      </c>
      <c r="R44" s="1" t="s">
        <v>66</v>
      </c>
    </row>
    <row r="45" customFormat="false" ht="15" hidden="false" customHeight="false" outlineLevel="0" collapsed="false">
      <c r="A45" s="11"/>
      <c r="N45" s="10"/>
      <c r="O45" s="10"/>
      <c r="P45" s="10"/>
      <c r="Q45" s="11"/>
    </row>
    <row r="46" customFormat="false" ht="15" hidden="false" customHeight="false" outlineLevel="0" collapsed="false">
      <c r="A46" s="3" t="s">
        <v>67</v>
      </c>
      <c r="B46" s="3"/>
      <c r="C46" s="3"/>
      <c r="D46" s="3"/>
      <c r="E46" s="4"/>
      <c r="F46" s="4"/>
      <c r="G46" s="4"/>
      <c r="H46" s="4"/>
      <c r="I46" s="4"/>
      <c r="J46" s="4"/>
      <c r="K46" s="4"/>
      <c r="L46" s="4"/>
      <c r="M46" s="4"/>
      <c r="N46" s="4"/>
      <c r="O46" s="4"/>
      <c r="P46" s="4"/>
      <c r="Q46" s="4"/>
      <c r="R46" s="4"/>
    </row>
    <row r="47" customFormat="false" ht="15" hidden="false" customHeight="false" outlineLevel="0" collapsed="false">
      <c r="A47" s="1" t="s">
        <v>48</v>
      </c>
      <c r="O47" s="10"/>
      <c r="Q47" s="10" t="s">
        <v>68</v>
      </c>
    </row>
    <row r="48" customFormat="false" ht="15" hidden="false" customHeight="false" outlineLevel="0" collapsed="false">
      <c r="O48" s="10"/>
      <c r="Q48" s="11"/>
    </row>
    <row r="49" customFormat="false" ht="15" hidden="false" customHeight="false" outlineLevel="0" collapsed="false">
      <c r="N49" s="1" t="s">
        <v>69</v>
      </c>
      <c r="O49" s="10" t="n">
        <v>1</v>
      </c>
      <c r="P49" s="10" t="s">
        <v>70</v>
      </c>
      <c r="Q49" s="10" t="s">
        <v>71</v>
      </c>
      <c r="R49" s="10"/>
    </row>
    <row r="50" customFormat="false" ht="15" hidden="false" customHeight="false" outlineLevel="0" collapsed="false">
      <c r="O50" s="11"/>
      <c r="Q50" s="11"/>
    </row>
    <row r="51" customFormat="false" ht="15" hidden="false" customHeight="false" outlineLevel="0" collapsed="false">
      <c r="A51" s="3" t="s">
        <v>72</v>
      </c>
      <c r="B51" s="3"/>
      <c r="C51" s="3"/>
      <c r="D51" s="3"/>
      <c r="E51" s="4"/>
      <c r="F51" s="4"/>
      <c r="G51" s="4"/>
      <c r="H51" s="4"/>
      <c r="I51" s="4"/>
      <c r="J51" s="4"/>
      <c r="K51" s="4"/>
      <c r="L51" s="4"/>
      <c r="M51" s="4"/>
      <c r="N51" s="4"/>
      <c r="O51" s="4"/>
      <c r="P51" s="4"/>
      <c r="Q51" s="4" t="s">
        <v>73</v>
      </c>
      <c r="R51" s="4"/>
    </row>
    <row r="52" customFormat="false" ht="15" hidden="false" customHeight="false" outlineLevel="0" collapsed="false">
      <c r="A52" s="8" t="s">
        <v>74</v>
      </c>
    </row>
    <row r="53" customFormat="false" ht="15" hidden="false" customHeight="false" outlineLevel="0" collapsed="false">
      <c r="F53" s="1" t="s">
        <v>28</v>
      </c>
      <c r="M53" s="1" t="s">
        <v>75</v>
      </c>
      <c r="N53" s="1" t="s">
        <v>76</v>
      </c>
      <c r="O53" s="13" t="n">
        <v>17.3169484</v>
      </c>
      <c r="P53" s="1" t="s">
        <v>77</v>
      </c>
    </row>
    <row r="54" customFormat="false" ht="15" hidden="false" customHeight="false" outlineLevel="0" collapsed="false">
      <c r="F54" s="1" t="s">
        <v>30</v>
      </c>
      <c r="M54" s="1" t="s">
        <v>75</v>
      </c>
      <c r="N54" s="1" t="s">
        <v>76</v>
      </c>
      <c r="O54" s="13" t="n">
        <v>17.150216</v>
      </c>
    </row>
    <row r="55" customFormat="false" ht="15" hidden="false" customHeight="false" outlineLevel="0" collapsed="false">
      <c r="F55" s="1" t="s">
        <v>31</v>
      </c>
      <c r="M55" s="1" t="s">
        <v>75</v>
      </c>
      <c r="N55" s="1" t="s">
        <v>76</v>
      </c>
      <c r="O55" s="13" t="n">
        <v>17.41143707</v>
      </c>
    </row>
    <row r="56" customFormat="false" ht="15" hidden="false" customHeight="false" outlineLevel="0" collapsed="false">
      <c r="F56" s="1" t="s">
        <v>32</v>
      </c>
      <c r="M56" s="1" t="s">
        <v>75</v>
      </c>
      <c r="N56" s="1" t="s">
        <v>76</v>
      </c>
      <c r="O56" s="13" t="n">
        <v>18.2100232</v>
      </c>
    </row>
    <row r="57" customFormat="false" ht="15" hidden="false" customHeight="false" outlineLevel="0" collapsed="false">
      <c r="F57" s="1" t="s">
        <v>34</v>
      </c>
      <c r="M57" s="1" t="s">
        <v>75</v>
      </c>
      <c r="N57" s="1" t="s">
        <v>76</v>
      </c>
      <c r="O57" s="13" t="n">
        <v>19.589488</v>
      </c>
    </row>
    <row r="58" customFormat="false" ht="15" hidden="false" customHeight="false" outlineLevel="0" collapsed="false">
      <c r="F58" s="1" t="s">
        <v>35</v>
      </c>
      <c r="M58" s="1" t="s">
        <v>75</v>
      </c>
      <c r="N58" s="1" t="s">
        <v>76</v>
      </c>
      <c r="O58" s="13" t="n">
        <v>19.4920008</v>
      </c>
    </row>
    <row r="59" customFormat="false" ht="15" hidden="false" customHeight="false" outlineLevel="0" collapsed="false">
      <c r="F59" s="1" t="s">
        <v>36</v>
      </c>
      <c r="M59" s="1" t="s">
        <v>75</v>
      </c>
      <c r="N59" s="1" t="s">
        <v>76</v>
      </c>
      <c r="O59" s="13" t="n">
        <v>18.194124</v>
      </c>
    </row>
    <row r="60" customFormat="false" ht="15" hidden="false" customHeight="false" outlineLevel="0" collapsed="false">
      <c r="O60" s="13"/>
    </row>
    <row r="61" customFormat="false" ht="15" hidden="false" customHeight="false" outlineLevel="0" collapsed="false">
      <c r="F61" s="1" t="s">
        <v>28</v>
      </c>
      <c r="M61" s="14" t="s">
        <v>78</v>
      </c>
      <c r="N61" s="1" t="s">
        <v>76</v>
      </c>
      <c r="O61" s="15" t="n">
        <v>7.55</v>
      </c>
    </row>
    <row r="62" customFormat="false" ht="15" hidden="false" customHeight="false" outlineLevel="0" collapsed="false">
      <c r="F62" s="1" t="s">
        <v>30</v>
      </c>
      <c r="M62" s="14" t="s">
        <v>78</v>
      </c>
      <c r="N62" s="1" t="s">
        <v>76</v>
      </c>
      <c r="O62" s="15" t="n">
        <v>7.8</v>
      </c>
    </row>
    <row r="63" customFormat="false" ht="15" hidden="false" customHeight="false" outlineLevel="0" collapsed="false">
      <c r="F63" s="1" t="s">
        <v>31</v>
      </c>
      <c r="M63" s="14" t="s">
        <v>78</v>
      </c>
      <c r="N63" s="1" t="s">
        <v>76</v>
      </c>
      <c r="O63" s="15" t="n">
        <v>6.566666667</v>
      </c>
    </row>
    <row r="64" customFormat="false" ht="15" hidden="false" customHeight="false" outlineLevel="0" collapsed="false">
      <c r="F64" s="1" t="s">
        <v>32</v>
      </c>
      <c r="M64" s="14" t="s">
        <v>78</v>
      </c>
      <c r="N64" s="1" t="s">
        <v>76</v>
      </c>
      <c r="O64" s="15" t="n">
        <v>1.8</v>
      </c>
    </row>
    <row r="65" customFormat="false" ht="15" hidden="false" customHeight="false" outlineLevel="0" collapsed="false">
      <c r="F65" s="1" t="s">
        <v>34</v>
      </c>
      <c r="M65" s="14" t="s">
        <v>78</v>
      </c>
      <c r="N65" s="1" t="s">
        <v>76</v>
      </c>
      <c r="O65" s="15" t="n">
        <v>7.15</v>
      </c>
    </row>
    <row r="66" customFormat="false" ht="15" hidden="false" customHeight="false" outlineLevel="0" collapsed="false">
      <c r="F66" s="1" t="s">
        <v>35</v>
      </c>
      <c r="M66" s="14" t="s">
        <v>78</v>
      </c>
      <c r="N66" s="1" t="s">
        <v>76</v>
      </c>
      <c r="O66" s="15" t="n">
        <v>7.7</v>
      </c>
    </row>
    <row r="67" customFormat="false" ht="15" hidden="false" customHeight="false" outlineLevel="0" collapsed="false">
      <c r="F67" s="1" t="s">
        <v>36</v>
      </c>
      <c r="M67" s="14" t="s">
        <v>78</v>
      </c>
      <c r="N67" s="1" t="s">
        <v>76</v>
      </c>
      <c r="O67" s="15" t="n">
        <v>5.9</v>
      </c>
    </row>
    <row r="68" customFormat="false" ht="15" hidden="false" customHeight="false" outlineLevel="0" collapsed="false">
      <c r="O68" s="15"/>
    </row>
    <row r="69" customFormat="false" ht="15" hidden="false" customHeight="false" outlineLevel="0" collapsed="false">
      <c r="F69" s="1" t="s">
        <v>28</v>
      </c>
      <c r="M69" s="14" t="s">
        <v>79</v>
      </c>
      <c r="N69" s="1" t="s">
        <v>76</v>
      </c>
      <c r="O69" s="15" t="n">
        <v>2.424</v>
      </c>
    </row>
    <row r="70" customFormat="false" ht="15" hidden="false" customHeight="false" outlineLevel="0" collapsed="false">
      <c r="F70" s="1" t="s">
        <v>30</v>
      </c>
      <c r="M70" s="14" t="s">
        <v>79</v>
      </c>
      <c r="N70" s="1" t="s">
        <v>76</v>
      </c>
      <c r="O70" s="15" t="n">
        <v>2.128</v>
      </c>
    </row>
    <row r="71" customFormat="false" ht="15" hidden="false" customHeight="false" outlineLevel="0" collapsed="false">
      <c r="F71" s="1" t="s">
        <v>31</v>
      </c>
      <c r="M71" s="14" t="s">
        <v>79</v>
      </c>
      <c r="N71" s="1" t="s">
        <v>76</v>
      </c>
      <c r="O71" s="15" t="n">
        <v>2.246666667</v>
      </c>
    </row>
    <row r="72" customFormat="false" ht="15" hidden="false" customHeight="false" outlineLevel="0" collapsed="false">
      <c r="F72" s="1" t="s">
        <v>32</v>
      </c>
      <c r="M72" s="14" t="s">
        <v>79</v>
      </c>
      <c r="N72" s="1" t="s">
        <v>76</v>
      </c>
      <c r="O72" s="15" t="n">
        <v>1.936</v>
      </c>
    </row>
    <row r="73" customFormat="false" ht="15" hidden="false" customHeight="false" outlineLevel="0" collapsed="false">
      <c r="F73" s="1" t="s">
        <v>34</v>
      </c>
      <c r="M73" s="14" t="s">
        <v>79</v>
      </c>
      <c r="N73" s="1" t="s">
        <v>76</v>
      </c>
      <c r="O73" s="15" t="n">
        <v>8.208</v>
      </c>
    </row>
    <row r="74" customFormat="false" ht="15" hidden="false" customHeight="false" outlineLevel="0" collapsed="false">
      <c r="F74" s="1" t="s">
        <v>35</v>
      </c>
      <c r="M74" s="14" t="s">
        <v>79</v>
      </c>
      <c r="N74" s="1" t="s">
        <v>76</v>
      </c>
      <c r="O74" s="15" t="n">
        <v>6.152</v>
      </c>
    </row>
    <row r="75" customFormat="false" ht="15" hidden="false" customHeight="false" outlineLevel="0" collapsed="false">
      <c r="F75" s="1" t="s">
        <v>36</v>
      </c>
      <c r="M75" s="14" t="s">
        <v>79</v>
      </c>
      <c r="N75" s="1" t="s">
        <v>76</v>
      </c>
      <c r="O75" s="15" t="n">
        <v>2.64</v>
      </c>
    </row>
    <row r="76" customFormat="false" ht="15" hidden="false" customHeight="false" outlineLevel="0" collapsed="false">
      <c r="O76" s="15"/>
    </row>
    <row r="77" customFormat="false" ht="15" hidden="false" customHeight="false" outlineLevel="0" collapsed="false">
      <c r="F77" s="1" t="s">
        <v>28</v>
      </c>
      <c r="M77" s="14" t="s">
        <v>80</v>
      </c>
      <c r="N77" s="1" t="s">
        <v>76</v>
      </c>
      <c r="O77" s="15" t="n">
        <v>0.28</v>
      </c>
    </row>
    <row r="78" customFormat="false" ht="15" hidden="false" customHeight="false" outlineLevel="0" collapsed="false">
      <c r="F78" s="1" t="s">
        <v>30</v>
      </c>
      <c r="M78" s="14" t="s">
        <v>80</v>
      </c>
      <c r="N78" s="1" t="s">
        <v>76</v>
      </c>
      <c r="O78" s="15" t="n">
        <v>0.27</v>
      </c>
    </row>
    <row r="79" customFormat="false" ht="15" hidden="false" customHeight="false" outlineLevel="0" collapsed="false">
      <c r="F79" s="1" t="s">
        <v>31</v>
      </c>
      <c r="M79" s="14" t="s">
        <v>80</v>
      </c>
      <c r="N79" s="1" t="s">
        <v>76</v>
      </c>
      <c r="O79" s="15" t="n">
        <v>0.27</v>
      </c>
    </row>
    <row r="80" customFormat="false" ht="15" hidden="false" customHeight="false" outlineLevel="0" collapsed="false">
      <c r="F80" s="1" t="s">
        <v>32</v>
      </c>
      <c r="M80" s="14" t="s">
        <v>80</v>
      </c>
      <c r="N80" s="1" t="s">
        <v>76</v>
      </c>
      <c r="O80" s="15" t="n">
        <v>0.345</v>
      </c>
    </row>
    <row r="81" customFormat="false" ht="15" hidden="false" customHeight="false" outlineLevel="0" collapsed="false">
      <c r="F81" s="1" t="s">
        <v>34</v>
      </c>
      <c r="M81" s="14" t="s">
        <v>80</v>
      </c>
      <c r="N81" s="1" t="s">
        <v>76</v>
      </c>
      <c r="O81" s="15" t="n">
        <v>0.715</v>
      </c>
    </row>
    <row r="82" customFormat="false" ht="15" hidden="false" customHeight="false" outlineLevel="0" collapsed="false">
      <c r="F82" s="1" t="s">
        <v>35</v>
      </c>
      <c r="M82" s="14" t="s">
        <v>80</v>
      </c>
      <c r="N82" s="1" t="s">
        <v>76</v>
      </c>
      <c r="O82" s="15" t="n">
        <v>1.245</v>
      </c>
    </row>
    <row r="83" customFormat="false" ht="15" hidden="false" customHeight="false" outlineLevel="0" collapsed="false">
      <c r="F83" s="1" t="s">
        <v>36</v>
      </c>
      <c r="M83" s="14" t="s">
        <v>80</v>
      </c>
      <c r="N83" s="1" t="s">
        <v>76</v>
      </c>
      <c r="O83" s="15" t="n">
        <v>1.195</v>
      </c>
    </row>
    <row r="84" customFormat="false" ht="15" hidden="false" customHeight="false" outlineLevel="0" collapsed="false">
      <c r="O84" s="15"/>
    </row>
    <row r="85" customFormat="false" ht="15" hidden="false" customHeight="false" outlineLevel="0" collapsed="false">
      <c r="F85" s="1" t="s">
        <v>28</v>
      </c>
      <c r="M85" s="14" t="s">
        <v>81</v>
      </c>
      <c r="N85" s="1" t="s">
        <v>76</v>
      </c>
      <c r="O85" s="15" t="n">
        <v>2.425</v>
      </c>
    </row>
    <row r="86" customFormat="false" ht="15" hidden="false" customHeight="false" outlineLevel="0" collapsed="false">
      <c r="F86" s="1" t="s">
        <v>30</v>
      </c>
      <c r="M86" s="14" t="s">
        <v>81</v>
      </c>
      <c r="N86" s="1" t="s">
        <v>76</v>
      </c>
      <c r="O86" s="15" t="n">
        <v>2.34</v>
      </c>
    </row>
    <row r="87" customFormat="false" ht="15" hidden="false" customHeight="false" outlineLevel="0" collapsed="false">
      <c r="F87" s="1" t="s">
        <v>31</v>
      </c>
      <c r="M87" s="14" t="s">
        <v>81</v>
      </c>
      <c r="N87" s="1" t="s">
        <v>76</v>
      </c>
      <c r="O87" s="15" t="n">
        <v>2.34</v>
      </c>
    </row>
    <row r="88" customFormat="false" ht="15" hidden="false" customHeight="false" outlineLevel="0" collapsed="false">
      <c r="F88" s="1" t="s">
        <v>32</v>
      </c>
      <c r="M88" s="14" t="s">
        <v>81</v>
      </c>
      <c r="N88" s="1" t="s">
        <v>76</v>
      </c>
      <c r="O88" s="15" t="n">
        <v>0.525</v>
      </c>
    </row>
    <row r="89" customFormat="false" ht="15" hidden="false" customHeight="false" outlineLevel="0" collapsed="false">
      <c r="F89" s="1" t="s">
        <v>34</v>
      </c>
      <c r="M89" s="14" t="s">
        <v>81</v>
      </c>
      <c r="N89" s="1" t="s">
        <v>76</v>
      </c>
      <c r="O89" s="15" t="n">
        <v>2.35</v>
      </c>
    </row>
    <row r="90" customFormat="false" ht="15" hidden="false" customHeight="false" outlineLevel="0" collapsed="false">
      <c r="F90" s="1" t="s">
        <v>35</v>
      </c>
      <c r="M90" s="14" t="s">
        <v>81</v>
      </c>
      <c r="N90" s="1" t="s">
        <v>76</v>
      </c>
      <c r="O90" s="15" t="n">
        <v>1.55</v>
      </c>
    </row>
    <row r="91" customFormat="false" ht="15" hidden="false" customHeight="false" outlineLevel="0" collapsed="false">
      <c r="F91" s="1" t="s">
        <v>36</v>
      </c>
      <c r="M91" s="14" t="s">
        <v>81</v>
      </c>
      <c r="N91" s="1" t="s">
        <v>76</v>
      </c>
      <c r="O91" s="15" t="n">
        <v>1.35</v>
      </c>
    </row>
    <row r="92" customFormat="false" ht="15" hidden="false" customHeight="false" outlineLevel="0" collapsed="false">
      <c r="O92" s="13"/>
    </row>
    <row r="93" customFormat="false" ht="15" hidden="false" customHeight="false" outlineLevel="0" collapsed="false">
      <c r="A93" s="8" t="s">
        <v>82</v>
      </c>
      <c r="O93" s="13"/>
    </row>
    <row r="94" customFormat="false" ht="15" hidden="false" customHeight="false" outlineLevel="0" collapsed="false">
      <c r="A94" s="1" t="s">
        <v>48</v>
      </c>
      <c r="F94" s="1" t="s">
        <v>28</v>
      </c>
      <c r="M94" s="1" t="s">
        <v>83</v>
      </c>
      <c r="N94" s="1" t="s">
        <v>76</v>
      </c>
      <c r="O94" s="13" t="n">
        <v>11.3</v>
      </c>
      <c r="P94" s="1" t="s">
        <v>84</v>
      </c>
      <c r="Q94" s="10" t="s">
        <v>85</v>
      </c>
    </row>
    <row r="95" customFormat="false" ht="15" hidden="false" customHeight="false" outlineLevel="0" collapsed="false">
      <c r="A95" s="1" t="s">
        <v>48</v>
      </c>
      <c r="F95" s="1" t="s">
        <v>30</v>
      </c>
      <c r="M95" s="1" t="s">
        <v>83</v>
      </c>
      <c r="N95" s="1" t="s">
        <v>76</v>
      </c>
      <c r="O95" s="13" t="n">
        <v>10.1</v>
      </c>
      <c r="Q95" s="10"/>
    </row>
    <row r="96" customFormat="false" ht="15" hidden="false" customHeight="false" outlineLevel="0" collapsed="false">
      <c r="A96" s="1" t="s">
        <v>48</v>
      </c>
      <c r="F96" s="1" t="s">
        <v>31</v>
      </c>
      <c r="M96" s="1" t="s">
        <v>83</v>
      </c>
      <c r="N96" s="1" t="s">
        <v>76</v>
      </c>
      <c r="O96" s="13" t="n">
        <v>9.941666667</v>
      </c>
      <c r="Q96" s="10"/>
    </row>
    <row r="97" customFormat="false" ht="15" hidden="false" customHeight="false" outlineLevel="0" collapsed="false">
      <c r="A97" s="1" t="s">
        <v>48</v>
      </c>
      <c r="F97" s="1" t="s">
        <v>32</v>
      </c>
      <c r="M97" s="1" t="s">
        <v>83</v>
      </c>
      <c r="N97" s="1" t="s">
        <v>76</v>
      </c>
      <c r="O97" s="13" t="n">
        <v>14.1</v>
      </c>
      <c r="Q97" s="10"/>
    </row>
    <row r="98" customFormat="false" ht="15" hidden="false" customHeight="false" outlineLevel="0" collapsed="false">
      <c r="A98" s="1" t="s">
        <v>48</v>
      </c>
      <c r="F98" s="1" t="s">
        <v>34</v>
      </c>
      <c r="M98" s="1" t="s">
        <v>83</v>
      </c>
      <c r="N98" s="1" t="s">
        <v>76</v>
      </c>
      <c r="O98" s="13" t="n">
        <v>14.6</v>
      </c>
      <c r="Q98" s="10"/>
    </row>
    <row r="99" customFormat="false" ht="15" hidden="false" customHeight="false" outlineLevel="0" collapsed="false">
      <c r="A99" s="1" t="s">
        <v>48</v>
      </c>
      <c r="F99" s="1" t="s">
        <v>35</v>
      </c>
      <c r="M99" s="1" t="s">
        <v>83</v>
      </c>
      <c r="N99" s="1" t="s">
        <v>76</v>
      </c>
      <c r="O99" s="13" t="n">
        <v>12.2</v>
      </c>
      <c r="Q99" s="10"/>
    </row>
    <row r="100" customFormat="false" ht="15" hidden="false" customHeight="false" outlineLevel="0" collapsed="false">
      <c r="A100" s="1" t="s">
        <v>48</v>
      </c>
      <c r="F100" s="1" t="s">
        <v>36</v>
      </c>
      <c r="M100" s="1" t="s">
        <v>83</v>
      </c>
      <c r="N100" s="1" t="s">
        <v>76</v>
      </c>
      <c r="O100" s="13" t="n">
        <v>11</v>
      </c>
      <c r="Q100" s="10"/>
    </row>
    <row r="101" customFormat="false" ht="15" hidden="false" customHeight="false" outlineLevel="0" collapsed="false">
      <c r="O101" s="16"/>
      <c r="Q101" s="10"/>
    </row>
    <row r="102" customFormat="false" ht="15" hidden="false" customHeight="false" outlineLevel="0" collapsed="false">
      <c r="A102" s="1" t="s">
        <v>48</v>
      </c>
      <c r="F102" s="1" t="s">
        <v>28</v>
      </c>
      <c r="M102" s="1" t="s">
        <v>86</v>
      </c>
      <c r="N102" s="1" t="s">
        <v>76</v>
      </c>
      <c r="O102" s="13" t="n">
        <v>13.35</v>
      </c>
      <c r="P102" s="1" t="s">
        <v>87</v>
      </c>
      <c r="Q102" s="11"/>
    </row>
    <row r="103" customFormat="false" ht="15" hidden="false" customHeight="false" outlineLevel="0" collapsed="false">
      <c r="A103" s="1" t="s">
        <v>48</v>
      </c>
      <c r="F103" s="1" t="s">
        <v>30</v>
      </c>
      <c r="M103" s="1" t="s">
        <v>86</v>
      </c>
      <c r="N103" s="1" t="s">
        <v>76</v>
      </c>
      <c r="O103" s="13" t="n">
        <v>11.9</v>
      </c>
      <c r="Q103" s="11"/>
    </row>
    <row r="104" customFormat="false" ht="15" hidden="false" customHeight="false" outlineLevel="0" collapsed="false">
      <c r="A104" s="1" t="s">
        <v>48</v>
      </c>
      <c r="F104" s="1" t="s">
        <v>31</v>
      </c>
      <c r="M104" s="1" t="s">
        <v>86</v>
      </c>
      <c r="N104" s="1" t="s">
        <v>76</v>
      </c>
      <c r="O104" s="13" t="n">
        <v>12.4</v>
      </c>
      <c r="Q104" s="11"/>
    </row>
    <row r="105" customFormat="false" ht="15" hidden="false" customHeight="false" outlineLevel="0" collapsed="false">
      <c r="A105" s="1" t="s">
        <v>48</v>
      </c>
      <c r="F105" s="1" t="s">
        <v>32</v>
      </c>
      <c r="M105" s="1" t="s">
        <v>86</v>
      </c>
      <c r="N105" s="1" t="s">
        <v>76</v>
      </c>
      <c r="O105" s="13" t="n">
        <v>16</v>
      </c>
      <c r="Q105" s="11"/>
    </row>
    <row r="106" customFormat="false" ht="15" hidden="false" customHeight="false" outlineLevel="0" collapsed="false">
      <c r="A106" s="1" t="s">
        <v>48</v>
      </c>
      <c r="F106" s="1" t="s">
        <v>34</v>
      </c>
      <c r="M106" s="1" t="s">
        <v>86</v>
      </c>
      <c r="N106" s="1" t="s">
        <v>76</v>
      </c>
      <c r="O106" s="13" t="n">
        <v>17.8</v>
      </c>
      <c r="Q106" s="11"/>
    </row>
    <row r="107" customFormat="false" ht="15" hidden="false" customHeight="false" outlineLevel="0" collapsed="false">
      <c r="A107" s="1" t="s">
        <v>48</v>
      </c>
      <c r="F107" s="1" t="s">
        <v>35</v>
      </c>
      <c r="M107" s="1" t="s">
        <v>86</v>
      </c>
      <c r="N107" s="1" t="s">
        <v>76</v>
      </c>
      <c r="O107" s="13" t="n">
        <v>14.6</v>
      </c>
      <c r="Q107" s="11"/>
    </row>
    <row r="108" customFormat="false" ht="15" hidden="false" customHeight="false" outlineLevel="0" collapsed="false">
      <c r="A108" s="1" t="s">
        <v>48</v>
      </c>
      <c r="F108" s="1" t="s">
        <v>36</v>
      </c>
      <c r="M108" s="1" t="s">
        <v>86</v>
      </c>
      <c r="N108" s="1" t="s">
        <v>76</v>
      </c>
      <c r="O108" s="13" t="n">
        <v>12.7</v>
      </c>
      <c r="Q108" s="11"/>
    </row>
    <row r="109" customFormat="false" ht="15" hidden="false" customHeight="false" outlineLevel="0" collapsed="false">
      <c r="O109" s="16"/>
      <c r="Q109" s="11"/>
    </row>
    <row r="110" customFormat="false" ht="15" hidden="false" customHeight="false" outlineLevel="0" collapsed="false">
      <c r="A110" s="1" t="s">
        <v>48</v>
      </c>
      <c r="F110" s="1" t="s">
        <v>28</v>
      </c>
      <c r="M110" s="1" t="s">
        <v>88</v>
      </c>
      <c r="N110" s="1" t="s">
        <v>76</v>
      </c>
      <c r="O110" s="13" t="n">
        <v>20</v>
      </c>
      <c r="P110" s="1" t="s">
        <v>89</v>
      </c>
      <c r="Q110" s="10" t="s">
        <v>90</v>
      </c>
    </row>
    <row r="111" customFormat="false" ht="15" hidden="false" customHeight="false" outlineLevel="0" collapsed="false">
      <c r="A111" s="1" t="s">
        <v>48</v>
      </c>
      <c r="F111" s="1" t="s">
        <v>30</v>
      </c>
      <c r="M111" s="1" t="s">
        <v>88</v>
      </c>
      <c r="N111" s="1" t="s">
        <v>76</v>
      </c>
      <c r="O111" s="13" t="n">
        <v>20</v>
      </c>
      <c r="Q111" s="10"/>
    </row>
    <row r="112" customFormat="false" ht="15" hidden="false" customHeight="false" outlineLevel="0" collapsed="false">
      <c r="A112" s="1" t="s">
        <v>48</v>
      </c>
      <c r="F112" s="1" t="s">
        <v>31</v>
      </c>
      <c r="M112" s="1" t="s">
        <v>88</v>
      </c>
      <c r="N112" s="1" t="s">
        <v>76</v>
      </c>
      <c r="O112" s="13" t="n">
        <v>20</v>
      </c>
      <c r="Q112" s="11"/>
    </row>
    <row r="113" customFormat="false" ht="15" hidden="false" customHeight="false" outlineLevel="0" collapsed="false">
      <c r="A113" s="1" t="s">
        <v>48</v>
      </c>
      <c r="F113" s="1" t="s">
        <v>32</v>
      </c>
      <c r="M113" s="1" t="s">
        <v>88</v>
      </c>
      <c r="N113" s="1" t="s">
        <v>76</v>
      </c>
      <c r="O113" s="13" t="n">
        <v>25</v>
      </c>
    </row>
    <row r="114" customFormat="false" ht="15" hidden="false" customHeight="false" outlineLevel="0" collapsed="false">
      <c r="A114" s="1" t="s">
        <v>48</v>
      </c>
      <c r="F114" s="1" t="s">
        <v>34</v>
      </c>
      <c r="M114" s="1" t="s">
        <v>88</v>
      </c>
      <c r="N114" s="1" t="s">
        <v>76</v>
      </c>
      <c r="O114" s="13" t="n">
        <v>10</v>
      </c>
      <c r="Q114" s="10"/>
    </row>
    <row r="115" customFormat="false" ht="15" hidden="false" customHeight="false" outlineLevel="0" collapsed="false">
      <c r="A115" s="1" t="s">
        <v>48</v>
      </c>
      <c r="F115" s="1" t="s">
        <v>35</v>
      </c>
      <c r="M115" s="1" t="s">
        <v>88</v>
      </c>
      <c r="N115" s="1" t="s">
        <v>76</v>
      </c>
      <c r="O115" s="13" t="n">
        <v>46</v>
      </c>
      <c r="Q115" s="11"/>
    </row>
    <row r="116" customFormat="false" ht="15" hidden="false" customHeight="false" outlineLevel="0" collapsed="false">
      <c r="A116" s="1" t="s">
        <v>48</v>
      </c>
      <c r="F116" s="1" t="s">
        <v>36</v>
      </c>
      <c r="M116" s="1" t="s">
        <v>88</v>
      </c>
      <c r="N116" s="1" t="s">
        <v>76</v>
      </c>
      <c r="O116" s="13" t="n">
        <v>45</v>
      </c>
    </row>
    <row r="117" customFormat="false" ht="15" hidden="false" customHeight="false" outlineLevel="0" collapsed="false">
      <c r="O117" s="10"/>
      <c r="Q117" s="10"/>
    </row>
    <row r="118" customFormat="false" ht="15" hidden="false" customHeight="false" outlineLevel="0" collapsed="false">
      <c r="O118" s="10"/>
      <c r="Q118" s="11"/>
    </row>
    <row r="119" customFormat="false" ht="15" hidden="false" customHeight="false" outlineLevel="0" collapsed="false">
      <c r="L119" s="8"/>
      <c r="M119" s="8"/>
    </row>
    <row r="120" customFormat="false" ht="15" hidden="false" customHeight="false" outlineLevel="0" collapsed="false">
      <c r="O120" s="10"/>
      <c r="Q120" s="10"/>
    </row>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74</TotalTime>
  <Application>LibreOffice/24.8.1.2$Linux_X86_64 LibreOffice_project/480$Build-2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
  <dc:description/>
  <dc:language>en-GB</dc:language>
  <cp:lastModifiedBy>WW</cp:lastModifiedBy>
  <dcterms:modified xsi:type="dcterms:W3CDTF">2024-11-05T13:14:01Z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