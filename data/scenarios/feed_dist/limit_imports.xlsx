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nka0003\Git repos\CIBUSmod\data\scenarios\feed_dist\"/>
    </mc:Choice>
  </mc:AlternateContent>
  <xr:revisionPtr revIDLastSave="0" documentId="13_ncr:1_{0A2CC16C-95F3-4719-9396-19B0527F23B1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FeedMgm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21" i="1"/>
  <c r="F29" i="1" l="1"/>
  <c r="F28" i="1"/>
  <c r="F27" i="1"/>
  <c r="F26" i="1"/>
  <c r="F25" i="1"/>
  <c r="F24" i="1"/>
  <c r="F23" i="1"/>
  <c r="F22" i="1"/>
  <c r="F20" i="1"/>
  <c r="F19" i="1"/>
  <c r="F18" i="1"/>
  <c r="F17" i="1"/>
  <c r="F16" i="1"/>
  <c r="F15" i="1"/>
  <c r="F14" i="1"/>
  <c r="F13" i="1"/>
  <c r="F12" i="1"/>
  <c r="F11" i="1"/>
  <c r="F10" i="1"/>
  <c r="F9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<sst xmlns="http://schemas.openxmlformats.org/spreadsheetml/2006/main" count="121" uniqueCount="30">
  <si>
    <t>f_prod_system</t>
  </si>
  <si>
    <t>f_crop_prod</t>
  </si>
  <si>
    <t>f_by_prod</t>
  </si>
  <si>
    <t>parameter</t>
  </si>
  <si>
    <t>val_is</t>
  </si>
  <si>
    <t>y_0</t>
  </si>
  <si>
    <t>conventional</t>
  </si>
  <si>
    <t>linseed</t>
  </si>
  <si>
    <t>max_total_imported</t>
  </si>
  <si>
    <t>new</t>
  </si>
  <si>
    <t>maize</t>
  </si>
  <si>
    <t>soybeans</t>
  </si>
  <si>
    <t>organic</t>
  </si>
  <si>
    <t>fish meal</t>
  </si>
  <si>
    <t>luzern meal</t>
  </si>
  <si>
    <t>maize gluten meal</t>
  </si>
  <si>
    <t>milling by-products from wheat, barley or rye</t>
  </si>
  <si>
    <t>palm kernel expeller</t>
  </si>
  <si>
    <t>rapeseed meal</t>
  </si>
  <si>
    <t>soybean meal</t>
  </si>
  <si>
    <t>soybean protein concentrate</t>
  </si>
  <si>
    <t>sunflower seed meal</t>
  </si>
  <si>
    <t>potatoe protein</t>
  </si>
  <si>
    <t>rapeseed cake</t>
  </si>
  <si>
    <t>sugar beet molasses</t>
  </si>
  <si>
    <t>sugar beet pulp</t>
  </si>
  <si>
    <t>slack</t>
  </si>
  <si>
    <t>Max imports derived from GeoDistributor solution</t>
  </si>
  <si>
    <t>Some slack required to solve with fixed feed rations</t>
  </si>
  <si>
    <t>wheat distillers 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</si>
</sst>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theme="4"/>
      <name val="Calibri"/>
      <family val="2"/>
      <charset val="1"/>
    </font>
    <font>
      <b/>
      <sz val="11"/>
      <color theme="7" tint="-0.249977111117893"/>
      <name val="Calibri"/>
      <family val="2"/>
    </font>
    <font>
      <sz val="11"/>
      <color theme="7" tint="-0.249977111117893"/>
      <name val="Calibri"/>
      <family val="2"/>
    </font>
    <font>
      <i/>
      <sz val="11"/>
      <color theme="4"/>
      <name val="Calibri"/>
      <family val="2"/>
    </font>
    <font>
      <sz val="11"/>
      <color theme="5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3" fontId="2" fillId="0" borderId="0" xfId="0" applyNumberFormat="1" applyFont="1"/>
    <xf numFmtId="0" fontId="5" fillId="0" borderId="0" xfId="0" applyFont="1"/>
    <xf numFmtId="0" fontId="2" fillId="0" borderId="0" xfId="0" applyFont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M11" sqref="M11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42.140625" bestFit="1" customWidth="1"/>
    <col min="4" max="4" width="19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25">
      <c r="A2" t="s">
        <v>6</v>
      </c>
      <c r="B2" t="s">
        <v>7</v>
      </c>
      <c r="D2" t="s">
        <v>8</v>
      </c>
      <c r="E2" t="s">
        <v>9</v>
      </c>
      <c r="F2" s="2">
        <f>H2*$L$2</f>
        <v>221.76701078302699</v>
      </c>
      <c r="H2" s="3">
        <v>221.76701078302699</v>
      </c>
      <c r="I2" s="8">
        <v>277.74151881784002</v>
      </c>
      <c r="K2" s="6" t="s">
        <v>26</v>
      </c>
      <c r="L2" s="7">
        <v>1</v>
      </c>
    </row>
    <row r="3" spans="1:12" x14ac:dyDescent="0.25">
      <c r="A3" t="s">
        <v>6</v>
      </c>
      <c r="B3" t="s">
        <v>10</v>
      </c>
      <c r="D3" t="s">
        <v>8</v>
      </c>
      <c r="E3" t="s">
        <v>9</v>
      </c>
      <c r="F3" s="2">
        <f>H3*$L$2</f>
        <v>10632.753913061701</v>
      </c>
      <c r="H3" s="3">
        <v>10632.753913061701</v>
      </c>
      <c r="I3" s="8">
        <v>15355.0004665626</v>
      </c>
      <c r="K3" s="4" t="s">
        <v>27</v>
      </c>
    </row>
    <row r="4" spans="1:12" x14ac:dyDescent="0.25">
      <c r="A4" t="s">
        <v>6</v>
      </c>
      <c r="B4" t="s">
        <v>11</v>
      </c>
      <c r="D4" t="s">
        <v>8</v>
      </c>
      <c r="E4" t="s">
        <v>9</v>
      </c>
      <c r="F4" s="2">
        <f>H4*$L$2</f>
        <v>5.6530214424543597E-2</v>
      </c>
      <c r="H4" s="3">
        <v>5.6530214424543597E-2</v>
      </c>
      <c r="I4" s="8">
        <v>1477.17105547918</v>
      </c>
      <c r="K4" s="4" t="s">
        <v>28</v>
      </c>
    </row>
    <row r="5" spans="1:12" x14ac:dyDescent="0.25">
      <c r="A5" t="s">
        <v>12</v>
      </c>
      <c r="B5" t="s">
        <v>7</v>
      </c>
      <c r="D5" t="s">
        <v>8</v>
      </c>
      <c r="E5" t="s">
        <v>9</v>
      </c>
      <c r="F5" s="2">
        <f>H5*$L$2</f>
        <v>0.44167698630594598</v>
      </c>
      <c r="H5" s="3">
        <v>0.44167698630594598</v>
      </c>
      <c r="I5" s="8">
        <v>0.49337892917456799</v>
      </c>
    </row>
    <row r="6" spans="1:12" x14ac:dyDescent="0.25">
      <c r="A6" t="s">
        <v>12</v>
      </c>
      <c r="B6" t="s">
        <v>10</v>
      </c>
      <c r="D6" t="s">
        <v>8</v>
      </c>
      <c r="E6" t="s">
        <v>9</v>
      </c>
      <c r="F6" s="2">
        <f>H6*$L$2</f>
        <v>212.23190159495999</v>
      </c>
      <c r="H6" s="3">
        <v>212.23190159495999</v>
      </c>
      <c r="I6" s="8">
        <v>216.59369645596601</v>
      </c>
    </row>
    <row r="7" spans="1:12" x14ac:dyDescent="0.25">
      <c r="A7" t="s">
        <v>12</v>
      </c>
      <c r="B7" t="s">
        <v>11</v>
      </c>
      <c r="D7" t="s">
        <v>8</v>
      </c>
      <c r="E7" t="s">
        <v>9</v>
      </c>
      <c r="F7" s="2">
        <f>H7*$L$2</f>
        <v>1255.0327074596801</v>
      </c>
      <c r="H7" s="3">
        <v>1255.0327074596801</v>
      </c>
      <c r="I7" s="8">
        <v>1256.3970730158601</v>
      </c>
    </row>
    <row r="8" spans="1:12" x14ac:dyDescent="0.25">
      <c r="F8" s="2"/>
      <c r="H8" s="5"/>
    </row>
    <row r="9" spans="1:12" x14ac:dyDescent="0.25">
      <c r="A9" t="s">
        <v>6</v>
      </c>
      <c r="C9" t="s">
        <v>13</v>
      </c>
      <c r="D9" t="s">
        <v>8</v>
      </c>
      <c r="E9" t="s">
        <v>9</v>
      </c>
      <c r="F9" s="2">
        <f>H9*$L$2</f>
        <v>3368.0419796968599</v>
      </c>
      <c r="H9" s="3">
        <v>3368.0419796968599</v>
      </c>
      <c r="I9" s="8">
        <v>3368.0419796968599</v>
      </c>
    </row>
    <row r="10" spans="1:12" x14ac:dyDescent="0.25">
      <c r="A10" t="s">
        <v>6</v>
      </c>
      <c r="C10" t="s">
        <v>14</v>
      </c>
      <c r="D10" t="s">
        <v>8</v>
      </c>
      <c r="E10" t="s">
        <v>9</v>
      </c>
      <c r="F10" s="2">
        <f>H10*$L$2</f>
        <v>4562.3495916391103</v>
      </c>
      <c r="H10" s="3">
        <v>4562.3495916391103</v>
      </c>
      <c r="I10" s="8">
        <v>7313.0401321795798</v>
      </c>
    </row>
    <row r="11" spans="1:12" x14ac:dyDescent="0.25">
      <c r="A11" t="s">
        <v>6</v>
      </c>
      <c r="C11" t="s">
        <v>15</v>
      </c>
      <c r="D11" t="s">
        <v>8</v>
      </c>
      <c r="E11" t="s">
        <v>9</v>
      </c>
      <c r="F11" s="2">
        <f>H11*$L$2</f>
        <v>12463.9045818143</v>
      </c>
      <c r="H11" s="3">
        <v>12463.9045818143</v>
      </c>
      <c r="I11" s="8">
        <v>13440.928579851099</v>
      </c>
    </row>
    <row r="12" spans="1:12" x14ac:dyDescent="0.25">
      <c r="A12" t="s">
        <v>6</v>
      </c>
      <c r="C12" t="s">
        <v>16</v>
      </c>
      <c r="D12" t="s">
        <v>8</v>
      </c>
      <c r="E12" t="s">
        <v>9</v>
      </c>
      <c r="F12" s="2">
        <f>H12*$L$2</f>
        <v>17264.640600857601</v>
      </c>
      <c r="H12" s="3">
        <v>17264.640600857601</v>
      </c>
      <c r="I12" s="8">
        <v>23739.411004242898</v>
      </c>
    </row>
    <row r="13" spans="1:12" x14ac:dyDescent="0.25">
      <c r="A13" t="s">
        <v>6</v>
      </c>
      <c r="C13" t="s">
        <v>17</v>
      </c>
      <c r="D13" t="s">
        <v>8</v>
      </c>
      <c r="E13" t="s">
        <v>9</v>
      </c>
      <c r="F13" s="2">
        <f>H13*$L$2</f>
        <v>229.115938658218</v>
      </c>
      <c r="H13" s="3">
        <v>229.115938658218</v>
      </c>
      <c r="I13" s="8">
        <v>9172.4472142937193</v>
      </c>
    </row>
    <row r="14" spans="1:12" x14ac:dyDescent="0.25">
      <c r="A14" t="s">
        <v>6</v>
      </c>
      <c r="C14" t="s">
        <v>18</v>
      </c>
      <c r="D14" t="s">
        <v>8</v>
      </c>
      <c r="E14" t="s">
        <v>9</v>
      </c>
      <c r="F14" s="2">
        <f>H14*$L$2</f>
        <v>26789.094459022301</v>
      </c>
      <c r="H14" s="3">
        <v>26789.094459022301</v>
      </c>
      <c r="I14" s="8">
        <v>85544.916257249206</v>
      </c>
    </row>
    <row r="15" spans="1:12" x14ac:dyDescent="0.25">
      <c r="A15" t="s">
        <v>6</v>
      </c>
      <c r="C15" t="s">
        <v>19</v>
      </c>
      <c r="D15" t="s">
        <v>8</v>
      </c>
      <c r="E15" t="s">
        <v>9</v>
      </c>
      <c r="F15" s="2">
        <f>H15*$L$2</f>
        <v>186040.00038967701</v>
      </c>
      <c r="H15" s="3">
        <v>186040.00038967701</v>
      </c>
      <c r="I15" s="8">
        <v>199455.791267783</v>
      </c>
    </row>
    <row r="16" spans="1:12" x14ac:dyDescent="0.25">
      <c r="A16" t="s">
        <v>6</v>
      </c>
      <c r="C16" t="s">
        <v>20</v>
      </c>
      <c r="D16" t="s">
        <v>8</v>
      </c>
      <c r="E16" t="s">
        <v>9</v>
      </c>
      <c r="F16" s="2">
        <f>H16*$L$2</f>
        <v>2287.2046233297801</v>
      </c>
      <c r="H16" s="3">
        <v>2287.2046233297801</v>
      </c>
      <c r="I16" s="8">
        <v>2287.2046233297801</v>
      </c>
    </row>
    <row r="17" spans="1:9" x14ac:dyDescent="0.25">
      <c r="A17" t="s">
        <v>6</v>
      </c>
      <c r="C17" t="s">
        <v>21</v>
      </c>
      <c r="D17" t="s">
        <v>8</v>
      </c>
      <c r="E17" t="s">
        <v>9</v>
      </c>
      <c r="F17" s="2">
        <f>H17*$L$2</f>
        <v>4643.8855584189996</v>
      </c>
      <c r="H17" s="3">
        <v>4643.8855584189996</v>
      </c>
      <c r="I17" s="8">
        <v>6020.2232845055596</v>
      </c>
    </row>
    <row r="18" spans="1:9" x14ac:dyDescent="0.25">
      <c r="A18" t="s">
        <v>12</v>
      </c>
      <c r="C18" t="s">
        <v>13</v>
      </c>
      <c r="D18" t="s">
        <v>8</v>
      </c>
      <c r="E18" t="s">
        <v>9</v>
      </c>
      <c r="F18" s="2">
        <f>H18*$L$2</f>
        <v>115.478986635086</v>
      </c>
      <c r="H18" s="3">
        <v>115.478986635086</v>
      </c>
      <c r="I18" s="8">
        <v>115.478986635086</v>
      </c>
    </row>
    <row r="19" spans="1:9" x14ac:dyDescent="0.25">
      <c r="A19" t="s">
        <v>12</v>
      </c>
      <c r="C19" t="s">
        <v>14</v>
      </c>
      <c r="D19" t="s">
        <v>8</v>
      </c>
      <c r="E19" t="s">
        <v>9</v>
      </c>
      <c r="F19" s="2">
        <f>H19*$L$2</f>
        <v>19.831925878161702</v>
      </c>
      <c r="H19" s="3">
        <v>19.831925878161702</v>
      </c>
      <c r="I19" s="8">
        <v>22.372654687641699</v>
      </c>
    </row>
    <row r="20" spans="1:9" x14ac:dyDescent="0.25">
      <c r="A20" t="s">
        <v>12</v>
      </c>
      <c r="C20" t="s">
        <v>15</v>
      </c>
      <c r="D20" t="s">
        <v>8</v>
      </c>
      <c r="E20" t="s">
        <v>9</v>
      </c>
      <c r="F20" s="2">
        <f>H20*$L$2</f>
        <v>479.03642805588498</v>
      </c>
      <c r="H20" s="3">
        <v>479.03642805588498</v>
      </c>
      <c r="I20" s="8">
        <v>479.93887527151298</v>
      </c>
    </row>
    <row r="21" spans="1:9" x14ac:dyDescent="0.25">
      <c r="A21" t="s">
        <v>12</v>
      </c>
      <c r="C21" t="s">
        <v>16</v>
      </c>
      <c r="D21" t="s">
        <v>8</v>
      </c>
      <c r="E21" t="s">
        <v>9</v>
      </c>
      <c r="F21" s="2">
        <f>H21*$L$2</f>
        <v>22.128789029251902</v>
      </c>
      <c r="H21" s="3">
        <v>22.128789029251902</v>
      </c>
      <c r="I21" s="8">
        <v>26.6141997260011</v>
      </c>
    </row>
    <row r="22" spans="1:9" x14ac:dyDescent="0.25">
      <c r="A22" t="s">
        <v>12</v>
      </c>
      <c r="C22" t="s">
        <v>17</v>
      </c>
      <c r="D22" t="s">
        <v>8</v>
      </c>
      <c r="E22" t="s">
        <v>9</v>
      </c>
      <c r="F22" s="2">
        <f>H22*$L$2</f>
        <v>2.5449007306199798</v>
      </c>
      <c r="H22" s="3">
        <v>2.5449007306199798</v>
      </c>
      <c r="I22" s="8">
        <v>10.805582581173001</v>
      </c>
    </row>
    <row r="23" spans="1:9" x14ac:dyDescent="0.25">
      <c r="A23" t="s">
        <v>12</v>
      </c>
      <c r="C23" t="s">
        <v>22</v>
      </c>
      <c r="D23" t="s">
        <v>8</v>
      </c>
      <c r="E23" t="s">
        <v>9</v>
      </c>
      <c r="F23" s="2">
        <f>H23*$L$2</f>
        <v>3650.8302595843102</v>
      </c>
      <c r="H23" s="3">
        <v>3650.8302595843102</v>
      </c>
      <c r="I23" s="8">
        <v>3650.9173723816698</v>
      </c>
    </row>
    <row r="24" spans="1:9" x14ac:dyDescent="0.25">
      <c r="A24" t="s">
        <v>12</v>
      </c>
      <c r="C24" t="s">
        <v>23</v>
      </c>
      <c r="D24" t="s">
        <v>8</v>
      </c>
      <c r="E24" t="s">
        <v>9</v>
      </c>
      <c r="F24" s="2">
        <f>H24*$L$2</f>
        <v>2570.6415719882698</v>
      </c>
      <c r="H24" s="3">
        <v>2570.6415719882698</v>
      </c>
      <c r="I24" s="8">
        <v>14044.5428640952</v>
      </c>
    </row>
    <row r="25" spans="1:9" x14ac:dyDescent="0.25">
      <c r="A25" t="s">
        <v>12</v>
      </c>
      <c r="C25" t="s">
        <v>19</v>
      </c>
      <c r="D25" t="s">
        <v>8</v>
      </c>
      <c r="E25" t="s">
        <v>9</v>
      </c>
      <c r="F25" s="2">
        <f>H25*$L$2</f>
        <v>2749.82350179178</v>
      </c>
      <c r="H25" s="3">
        <v>2749.82350179178</v>
      </c>
      <c r="I25" s="8">
        <v>2762.2152579284998</v>
      </c>
    </row>
    <row r="26" spans="1:9" x14ac:dyDescent="0.25">
      <c r="A26" t="s">
        <v>12</v>
      </c>
      <c r="C26" t="s">
        <v>20</v>
      </c>
      <c r="D26" t="s">
        <v>8</v>
      </c>
      <c r="E26" t="s">
        <v>9</v>
      </c>
      <c r="F26" s="2">
        <f>H26*$L$2</f>
        <v>1.44775753125088E-2</v>
      </c>
      <c r="H26" s="3">
        <v>1.44775753125088E-2</v>
      </c>
      <c r="I26" s="8">
        <v>1.44775753125088E-2</v>
      </c>
    </row>
    <row r="27" spans="1:9" x14ac:dyDescent="0.25">
      <c r="A27" t="s">
        <v>12</v>
      </c>
      <c r="C27" t="s">
        <v>24</v>
      </c>
      <c r="D27" t="s">
        <v>8</v>
      </c>
      <c r="E27" t="s">
        <v>9</v>
      </c>
      <c r="F27" s="2">
        <f>H27*$L$2</f>
        <v>17.6212891853509</v>
      </c>
      <c r="H27" s="3">
        <v>17.6212891853509</v>
      </c>
      <c r="I27" s="8">
        <v>29.629215679966801</v>
      </c>
    </row>
    <row r="28" spans="1:9" x14ac:dyDescent="0.25">
      <c r="A28" t="s">
        <v>12</v>
      </c>
      <c r="C28" t="s">
        <v>25</v>
      </c>
      <c r="D28" t="s">
        <v>8</v>
      </c>
      <c r="E28" t="s">
        <v>9</v>
      </c>
      <c r="F28" s="2">
        <f>H28*$L$2</f>
        <v>45.181469283322002</v>
      </c>
      <c r="H28" s="3">
        <v>45.181469283322002</v>
      </c>
      <c r="I28" s="8">
        <v>64.527870096764701</v>
      </c>
    </row>
    <row r="29" spans="1:9" x14ac:dyDescent="0.25">
      <c r="A29" t="s">
        <v>12</v>
      </c>
      <c r="C29" t="s">
        <v>21</v>
      </c>
      <c r="D29" t="s">
        <v>8</v>
      </c>
      <c r="E29" t="s">
        <v>9</v>
      </c>
      <c r="F29" s="2">
        <f>H29*$L$2</f>
        <v>28.468727720316899</v>
      </c>
      <c r="H29" s="3">
        <v>28.468727720316899</v>
      </c>
      <c r="I29" s="8">
        <v>29.7400088261716</v>
      </c>
    </row>
    <row r="30" spans="1:9" x14ac:dyDescent="0.25">
      <c r="A30" t="s">
        <v>12</v>
      </c>
      <c r="C30" t="s">
        <v>29</v>
      </c>
      <c r="D30" t="s">
        <v>8</v>
      </c>
      <c r="E30" t="s">
        <v>9</v>
      </c>
      <c r="F30" s="2">
        <f>H30*$L$2</f>
        <v>10.2799105164395</v>
      </c>
      <c r="H30" s="3">
        <v>10.2799105164395</v>
      </c>
      <c r="I30" s="8">
        <v>37.059473988472597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FeedMgmt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2015-06-05T18:17:20Z</dcterms:created>
  <dcterms:modified xsi:type="dcterms:W3CDTF">2025-05-13T11:31:53Z</dcterms:modified>
</cp:coreProperties>
</file>