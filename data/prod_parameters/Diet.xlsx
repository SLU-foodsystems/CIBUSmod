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0" i="1" l="1"/>
  <c r="K49" i="1"/>
  <c r="K48" i="1"/>
  <c r="K145" i="1" l="1"/>
  <c r="K146" i="1" l="1"/>
  <c r="K137" i="1" l="1"/>
  <c r="K136" i="1"/>
  <c r="K135" i="1"/>
  <c r="K176" i="1"/>
  <c r="K175" i="1"/>
  <c r="K177" i="1" l="1"/>
  <c r="K182" i="1"/>
  <c r="K70" i="1"/>
  <c r="K32" i="1"/>
  <c r="K33" i="1"/>
  <c r="K127" i="1" l="1"/>
  <c r="K126" i="1"/>
  <c r="K114" i="1"/>
  <c r="K174" i="1"/>
  <c r="K31" i="1"/>
  <c r="K125" i="1" l="1"/>
  <c r="K124" i="1"/>
  <c r="K123" i="1"/>
  <c r="K122" i="1"/>
  <c r="K120" i="1" l="1"/>
  <c r="K121" i="1" s="1"/>
  <c r="K118" i="1"/>
  <c r="K117" i="1" s="1"/>
  <c r="K116" i="1"/>
  <c r="K115" i="1" s="1"/>
  <c r="K113" i="1"/>
  <c r="K119" i="1" l="1"/>
  <c r="K132" i="1"/>
  <c r="K131" i="1"/>
  <c r="K130" i="1"/>
  <c r="K3" i="1" l="1"/>
</calcChain>
</file>

<file path=xl/sharedStrings.xml><?xml version="1.0" encoding="utf-8"?>
<sst xmlns="http://schemas.openxmlformats.org/spreadsheetml/2006/main" count="842" uniqueCount="174">
  <si>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</si>
  <si>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</si>
  <si>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</si>
  <si>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</si>
  <si>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</si>
  <si>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</si>
  <si>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</si>
  <si>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</si>
  <si>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</si>
  <si>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</si>
  <si>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</si>
  <si>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</si>
  <si>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</si>
  <si>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</si>
  <si>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</si>
  <si>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</si>
  <si>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</si>
  <si>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</si>
  <si>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</si>
  <si>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</si>
  <si>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</si>
  <si>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</si>
  <si>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</si>
  <si>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</si>
  <si>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</si>
  <si>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</si>
  <si>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</si>
  <si>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</si>
  <si>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</si>
  <si>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</si>
  <si>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</si>
  <si>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</si>
  <si>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</si>
  <si>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</si>
  <si>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</si>
  <si>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</si>
  <si>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</si>
  <si>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</si>
  <si>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</si>
  <si>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</si>
  <si>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</si>
  <si>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</si>
  <si>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</si>
  <si>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</si>
  <si>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</si>
  <si>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</si>
  <si>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</si>
  <si>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</si>
  <si>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</si>
  <si>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</si>
  <si>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</si>
  <si>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</si>
  <si>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</si>
  <si>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</si>
  <si>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</si>
  <si>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</si>
  <si>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</si>
  <si>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</si>
  <si>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</si>
  <si>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</si>
  <si>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</si>
  <si>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</si>
  <si>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</si>
  <si>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</si>
  <si>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</si>
  <si>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</si>
  <si>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</si>
  <si>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</si>
  <si>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</si>
  <si>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</si>
  <si>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</si>
  <si>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</si>
  <si>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</si>
  <si>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</si>
  <si>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</si>
  <si>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</si>
  <si>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</si>
  <si>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</si>
  <si>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</si>
  <si>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</si>
  <si>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</si>
  <si>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</si>
  <si>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</si>
  <si>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</si>
  <si>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</si>
  <si>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</si>
  <si>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</si>
  <si>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</si>
  <si>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</si>
  <si>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</si>
  <si>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</si>
  <si>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</si>
  <si>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</si>
  <si>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</si>
  <si>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</si>
  <si>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</si>
  <si>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</si>
  <si>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</si>
  <si>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</si>
  <si>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</si>
  <si>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</si>
  <si>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</si>
  <si>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</si>
  <si>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Share organic raw milk to dairies. Using product level shares difficult</t>
  </si>
  <si>
    <t>Bovine meat and products</t>
  </si>
  <si>
    <t>(1/0.76)=carcass weight--&gt;live weight</t>
  </si>
  <si>
    <t>(1/0.52)=carcass weight--&gt;live weight</t>
  </si>
  <si>
    <t>flour of mixed grain. split whole grain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</si>
  <si>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</si>
  <si>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</si>
  <si>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</si>
  <si>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</si>
  <si>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</si>
  <si>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</si>
  <si>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</si>
  <si>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</si>
  <si>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what is the remaining 81% ?</t>
  </si>
  <si>
    <t>Is this from starch potatoes what is the remaining 80% 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</si>
  <si>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</si>
  <si>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</si>
  <si>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</si>
  <si>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</si>
  <si>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</si>
  <si>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</si>
  <si>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</si>
  <si>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</si>
  <si>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</si>
  <si>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</si>
  <si>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</si>
  <si>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</si>
  <si>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</si>
  <si>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</si>
  <si>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</si>
  <si>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</si>
  <si>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</si>
  <si>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</si>
  <si>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</si>
  <si>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</si>
  <si>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</si>
  <si>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</si>
  <si>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</si>
  <si>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</si>
  <si>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</si>
  <si>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</si>
  <si>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</si>
  <si>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</si>
  <si>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</si>
  <si>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</si>
  <si>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</si>
  <si>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</si>
  <si>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</si>
  <si>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</si>
  <si>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38% in Hannas sheet. what is remaining 2% ???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</si>
  <si>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 </t>
    </r>
    <r>
      <rPr>
        <sz val="11"/>
        <color rgb="FFFF0000"/>
        <rFont val="Calibri"/>
        <family val="2"/>
        <scheme val="minor"/>
      </rPr>
      <t>0% organic fails FIX!!!!</t>
    </r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</si>
  <si>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</si>
  <si>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</si>
  <si>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</si>
  <si>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</si>
  <si>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</si>
  <si>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</si>
  <si>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</si>
  <si>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</si>
  <si>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</si>
  <si>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</si>
  <si>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</si>
  <si>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</si>
  <si>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</si>
  <si>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</si>
  <si>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</si>
  <si>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</si>
  <si>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</si>
  <si>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</si>
  <si>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54% in Hanna's sheet</t>
  </si>
  <si>
    <t>100% in Hanna's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</si>
</sst>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6"/>
  <sheetViews>
    <sheetView tabSelected="1" zoomScale="80" zoomScaleNormal="80" zoomScaleSheetLayoutView="80" workbookViewId="0">
      <pane ySplit="1" topLeftCell="A138" activePane="bottomLeft" state="frozen"/>
      <selection pane="bottomLeft" activeCell="F166" sqref="F166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92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50</v>
      </c>
      <c r="B9" t="s">
        <v>26</v>
      </c>
      <c r="J9" t="s">
        <v>18</v>
      </c>
      <c r="K9">
        <v>3.5</v>
      </c>
      <c r="L9" t="s">
        <v>19</v>
      </c>
      <c r="M9" s="7" t="s">
        <v>92</v>
      </c>
    </row>
    <row r="10" spans="1:14" x14ac:dyDescent="0.25">
      <c r="A10" t="s">
        <v>96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95</v>
      </c>
      <c r="B11" t="s">
        <v>26</v>
      </c>
      <c r="J11" t="s">
        <v>18</v>
      </c>
      <c r="K11">
        <v>12.8</v>
      </c>
      <c r="L11" t="s">
        <v>19</v>
      </c>
      <c r="M11" s="7" t="s">
        <v>92</v>
      </c>
    </row>
    <row r="12" spans="1:14" x14ac:dyDescent="0.25">
      <c r="A12" t="s">
        <v>94</v>
      </c>
      <c r="B12" t="s">
        <v>26</v>
      </c>
      <c r="J12" t="s">
        <v>18</v>
      </c>
      <c r="K12">
        <v>5.2</v>
      </c>
      <c r="L12" t="s">
        <v>19</v>
      </c>
      <c r="M12" s="7" t="s">
        <v>92</v>
      </c>
    </row>
    <row r="13" spans="1:14" x14ac:dyDescent="0.25">
      <c r="A13" t="s">
        <v>93</v>
      </c>
      <c r="B13" t="s">
        <v>26</v>
      </c>
      <c r="J13" t="s">
        <v>18</v>
      </c>
      <c r="K13" s="7">
        <v>0.5</v>
      </c>
      <c r="L13" t="s">
        <v>19</v>
      </c>
      <c r="M13" s="7" t="s">
        <v>107</v>
      </c>
    </row>
    <row r="14" spans="1:14" x14ac:dyDescent="0.25">
      <c r="A14" s="5" t="s">
        <v>11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s="7" t="s">
        <v>109</v>
      </c>
      <c r="B15" t="s">
        <v>114</v>
      </c>
      <c r="J15" t="s">
        <v>18</v>
      </c>
      <c r="K15">
        <v>108.1</v>
      </c>
      <c r="L15" t="s">
        <v>19</v>
      </c>
    </row>
    <row r="16" spans="1:14" x14ac:dyDescent="0.25">
      <c r="A16" s="7" t="s">
        <v>110</v>
      </c>
      <c r="B16" t="s">
        <v>114</v>
      </c>
      <c r="J16" t="s">
        <v>18</v>
      </c>
      <c r="K16">
        <v>24.1</v>
      </c>
      <c r="L16" t="s">
        <v>19</v>
      </c>
    </row>
    <row r="17" spans="1:14" x14ac:dyDescent="0.25">
      <c r="A17" s="7" t="s">
        <v>112</v>
      </c>
      <c r="B17" t="s">
        <v>114</v>
      </c>
      <c r="J17" t="s">
        <v>18</v>
      </c>
      <c r="K17">
        <v>0.9</v>
      </c>
      <c r="L17" t="s">
        <v>19</v>
      </c>
      <c r="M17" t="s">
        <v>113</v>
      </c>
    </row>
    <row r="18" spans="1:14" x14ac:dyDescent="0.25">
      <c r="A18" s="7" t="s">
        <v>111</v>
      </c>
      <c r="B18" t="s">
        <v>114</v>
      </c>
      <c r="J18" t="s">
        <v>18</v>
      </c>
      <c r="K18">
        <v>0.3</v>
      </c>
      <c r="L18" t="s">
        <v>19</v>
      </c>
    </row>
    <row r="19" spans="1:14" x14ac:dyDescent="0.25">
      <c r="A19" s="5" t="s">
        <v>12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157</v>
      </c>
      <c r="B20" t="s">
        <v>121</v>
      </c>
      <c r="J20" t="s">
        <v>18</v>
      </c>
      <c r="K20">
        <v>25</v>
      </c>
      <c r="L20" t="s">
        <v>19</v>
      </c>
    </row>
    <row r="21" spans="1:14" x14ac:dyDescent="0.25">
      <c r="A21" s="18" t="s">
        <v>163</v>
      </c>
      <c r="B21" t="s">
        <v>121</v>
      </c>
      <c r="J21" t="s">
        <v>18</v>
      </c>
      <c r="K21">
        <v>19.3</v>
      </c>
      <c r="L21" t="s">
        <v>19</v>
      </c>
    </row>
    <row r="22" spans="1:14" x14ac:dyDescent="0.25">
      <c r="A22" s="18" t="s">
        <v>159</v>
      </c>
      <c r="B22" t="s">
        <v>121</v>
      </c>
      <c r="J22" t="s">
        <v>18</v>
      </c>
      <c r="K22">
        <v>14.6</v>
      </c>
      <c r="L22" t="s">
        <v>19</v>
      </c>
    </row>
    <row r="23" spans="1:14" x14ac:dyDescent="0.25">
      <c r="A23" s="18" t="s">
        <v>160</v>
      </c>
      <c r="B23" t="s">
        <v>121</v>
      </c>
      <c r="J23" t="s">
        <v>18</v>
      </c>
      <c r="K23">
        <v>11.3</v>
      </c>
      <c r="L23" t="s">
        <v>19</v>
      </c>
    </row>
    <row r="24" spans="1:14" x14ac:dyDescent="0.25">
      <c r="A24" s="18" t="s">
        <v>161</v>
      </c>
      <c r="B24" t="s">
        <v>121</v>
      </c>
      <c r="J24" t="s">
        <v>18</v>
      </c>
      <c r="K24">
        <v>3.8</v>
      </c>
      <c r="L24" t="s">
        <v>19</v>
      </c>
    </row>
    <row r="25" spans="1:14" x14ac:dyDescent="0.25">
      <c r="A25" s="18" t="s">
        <v>162</v>
      </c>
      <c r="B25" t="s">
        <v>121</v>
      </c>
      <c r="J25" t="s">
        <v>18</v>
      </c>
      <c r="K25">
        <v>3.5</v>
      </c>
      <c r="L25" t="s">
        <v>19</v>
      </c>
    </row>
    <row r="26" spans="1:14" x14ac:dyDescent="0.25">
      <c r="A26" s="18" t="s">
        <v>120</v>
      </c>
      <c r="B26" t="s">
        <v>121</v>
      </c>
      <c r="J26" t="s">
        <v>18</v>
      </c>
      <c r="K26">
        <v>37</v>
      </c>
      <c r="L26" t="s">
        <v>19</v>
      </c>
    </row>
    <row r="27" spans="1:14" x14ac:dyDescent="0.25">
      <c r="A27" s="7" t="s">
        <v>123</v>
      </c>
      <c r="B27" t="s">
        <v>121</v>
      </c>
      <c r="J27" t="s">
        <v>18</v>
      </c>
      <c r="K27">
        <v>14.3</v>
      </c>
      <c r="L27" t="s">
        <v>19</v>
      </c>
    </row>
    <row r="28" spans="1:14" x14ac:dyDescent="0.25">
      <c r="A28" s="18" t="s">
        <v>170</v>
      </c>
      <c r="B28" t="s">
        <v>121</v>
      </c>
      <c r="J28" t="s">
        <v>18</v>
      </c>
      <c r="K28" s="7">
        <v>0</v>
      </c>
      <c r="L28" t="s">
        <v>19</v>
      </c>
    </row>
    <row r="29" spans="1:14" x14ac:dyDescent="0.25">
      <c r="A29" s="5" t="s">
        <v>13</v>
      </c>
      <c r="B29" s="5"/>
      <c r="C29" s="5"/>
      <c r="D29" s="5"/>
      <c r="E29" s="5"/>
      <c r="F29" s="5"/>
      <c r="G29" s="5"/>
      <c r="H29" s="5"/>
      <c r="I29" s="5"/>
      <c r="J29" s="6"/>
      <c r="K29" s="6"/>
      <c r="L29" s="6"/>
      <c r="M29" s="6"/>
      <c r="N29" s="6"/>
    </row>
    <row r="30" spans="1:14" x14ac:dyDescent="0.25">
      <c r="A30" s="5" t="s">
        <v>14</v>
      </c>
      <c r="B30" s="5"/>
      <c r="C30" s="5"/>
      <c r="D30" s="5"/>
      <c r="E30" s="5"/>
      <c r="F30" s="5"/>
      <c r="G30" s="5"/>
      <c r="H30" s="5"/>
      <c r="I30" s="5"/>
      <c r="J30" s="6"/>
      <c r="K30" s="6"/>
      <c r="L30" s="6"/>
      <c r="M30" s="6"/>
      <c r="N30" s="6"/>
    </row>
    <row r="31" spans="1:14" x14ac:dyDescent="0.25">
      <c r="A31" s="7" t="s">
        <v>65</v>
      </c>
      <c r="B31" t="s">
        <v>84</v>
      </c>
      <c r="J31" t="s">
        <v>18</v>
      </c>
      <c r="K31" s="7">
        <f>29.5+8.5</f>
        <v>38</v>
      </c>
      <c r="L31" t="s">
        <v>19</v>
      </c>
      <c r="M31" s="7" t="s">
        <v>87</v>
      </c>
    </row>
    <row r="32" spans="1:14" x14ac:dyDescent="0.25">
      <c r="A32" s="7" t="s">
        <v>64</v>
      </c>
      <c r="B32" t="s">
        <v>84</v>
      </c>
      <c r="J32" t="s">
        <v>18</v>
      </c>
      <c r="K32" s="7">
        <f>80.7+14.4+0.3*5</f>
        <v>96.600000000000009</v>
      </c>
      <c r="L32" t="s">
        <v>19</v>
      </c>
      <c r="M32" s="7" t="s">
        <v>87</v>
      </c>
    </row>
    <row r="33" spans="1:14" x14ac:dyDescent="0.25">
      <c r="A33" s="7" t="s">
        <v>66</v>
      </c>
      <c r="B33" t="s">
        <v>84</v>
      </c>
      <c r="J33" t="s">
        <v>18</v>
      </c>
      <c r="K33" s="7">
        <f>45.6+44.1+1.3*5+1.8*10</f>
        <v>114.2</v>
      </c>
      <c r="L33" t="s">
        <v>19</v>
      </c>
      <c r="M33" s="7" t="s">
        <v>87</v>
      </c>
    </row>
    <row r="34" spans="1:14" x14ac:dyDescent="0.25">
      <c r="A34" s="7" t="s">
        <v>67</v>
      </c>
      <c r="B34" t="s">
        <v>84</v>
      </c>
      <c r="J34" t="s">
        <v>18</v>
      </c>
      <c r="K34">
        <v>46.8</v>
      </c>
      <c r="L34" t="s">
        <v>19</v>
      </c>
    </row>
    <row r="35" spans="1:14" x14ac:dyDescent="0.25">
      <c r="A35" s="7" t="s">
        <v>71</v>
      </c>
      <c r="B35" t="s">
        <v>84</v>
      </c>
      <c r="J35" t="s">
        <v>18</v>
      </c>
      <c r="K35">
        <v>8.1</v>
      </c>
      <c r="L35" t="s">
        <v>19</v>
      </c>
    </row>
    <row r="36" spans="1:14" x14ac:dyDescent="0.25">
      <c r="A36" s="7" t="s">
        <v>72</v>
      </c>
      <c r="B36" t="s">
        <v>84</v>
      </c>
      <c r="J36" t="s">
        <v>18</v>
      </c>
      <c r="K36">
        <v>1</v>
      </c>
      <c r="L36" t="s">
        <v>19</v>
      </c>
    </row>
    <row r="37" spans="1:14" x14ac:dyDescent="0.25">
      <c r="A37" s="7" t="s">
        <v>69</v>
      </c>
      <c r="B37" t="s">
        <v>84</v>
      </c>
      <c r="J37" t="s">
        <v>18</v>
      </c>
      <c r="K37">
        <v>6.6</v>
      </c>
      <c r="L37" t="s">
        <v>19</v>
      </c>
    </row>
    <row r="38" spans="1:14" x14ac:dyDescent="0.25">
      <c r="A38" s="7" t="s">
        <v>70</v>
      </c>
      <c r="B38" t="s">
        <v>84</v>
      </c>
      <c r="J38" t="s">
        <v>18</v>
      </c>
      <c r="K38">
        <v>8.3000000000000007</v>
      </c>
      <c r="L38" t="s">
        <v>19</v>
      </c>
    </row>
    <row r="39" spans="1:14" x14ac:dyDescent="0.25">
      <c r="A39" s="7" t="s">
        <v>68</v>
      </c>
      <c r="B39" t="s">
        <v>84</v>
      </c>
      <c r="J39" t="s">
        <v>18</v>
      </c>
      <c r="K39">
        <v>15.3</v>
      </c>
      <c r="L39" t="s">
        <v>19</v>
      </c>
    </row>
    <row r="40" spans="1:14" x14ac:dyDescent="0.25">
      <c r="A40" s="5" t="s">
        <v>23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t="s">
        <v>57</v>
      </c>
      <c r="B41" t="s">
        <v>58</v>
      </c>
      <c r="J41" t="s">
        <v>18</v>
      </c>
      <c r="K41">
        <v>60.6</v>
      </c>
      <c r="L41" t="s">
        <v>19</v>
      </c>
    </row>
    <row r="42" spans="1:14" x14ac:dyDescent="0.25">
      <c r="A42" t="s">
        <v>104</v>
      </c>
      <c r="B42" t="s">
        <v>58</v>
      </c>
      <c r="J42" t="s">
        <v>18</v>
      </c>
      <c r="K42">
        <v>39.9</v>
      </c>
      <c r="L42" t="s">
        <v>19</v>
      </c>
    </row>
    <row r="43" spans="1:14" x14ac:dyDescent="0.25">
      <c r="A43" s="5" t="s">
        <v>15</v>
      </c>
      <c r="B43" s="5"/>
      <c r="C43" s="5"/>
      <c r="D43" s="5"/>
      <c r="E43" s="5"/>
      <c r="F43" s="5"/>
      <c r="G43" s="5"/>
      <c r="H43" s="5"/>
      <c r="I43" s="5"/>
      <c r="J43" s="6"/>
      <c r="K43" s="6"/>
      <c r="L43" s="6"/>
      <c r="M43" s="6"/>
      <c r="N43" s="6"/>
    </row>
    <row r="44" spans="1:14" x14ac:dyDescent="0.25">
      <c r="A44" s="5" t="s">
        <v>16</v>
      </c>
      <c r="B44" s="5"/>
      <c r="C44" s="5"/>
      <c r="D44" s="5"/>
      <c r="E44" s="5"/>
      <c r="F44" s="5"/>
      <c r="G44" s="5"/>
      <c r="H44" s="5"/>
      <c r="I44" s="5"/>
      <c r="J44" s="6"/>
      <c r="K44" s="6"/>
      <c r="L44" s="6"/>
      <c r="M44" s="6"/>
      <c r="N44" s="6"/>
    </row>
    <row r="45" spans="1:14" x14ac:dyDescent="0.25">
      <c r="A45" s="5" t="s">
        <v>20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5" t="s">
        <v>21</v>
      </c>
      <c r="B46" s="5"/>
      <c r="C46" s="5"/>
      <c r="D46" s="5"/>
      <c r="E46" s="5"/>
      <c r="F46" s="5"/>
      <c r="G46" s="5"/>
      <c r="H46" s="5"/>
      <c r="I46" s="5"/>
      <c r="J46" s="6"/>
      <c r="K46" s="6"/>
      <c r="L46" s="6"/>
      <c r="M46" s="6"/>
      <c r="N46" s="6"/>
    </row>
    <row r="47" spans="1:14" x14ac:dyDescent="0.25">
      <c r="A47" s="5" t="s">
        <v>22</v>
      </c>
      <c r="B47" s="5"/>
      <c r="C47" s="5"/>
      <c r="D47" s="5"/>
      <c r="E47" s="5"/>
      <c r="F47" s="5"/>
      <c r="G47" s="5"/>
      <c r="H47" s="5"/>
      <c r="I47" s="5"/>
      <c r="J47" s="6"/>
      <c r="K47" s="6"/>
      <c r="L47" s="6"/>
      <c r="M47" s="6"/>
      <c r="N47" s="6"/>
    </row>
    <row r="48" spans="1:14" x14ac:dyDescent="0.25">
      <c r="A48" t="s">
        <v>146</v>
      </c>
      <c r="B48" t="s">
        <v>147</v>
      </c>
      <c r="J48" t="s">
        <v>18</v>
      </c>
      <c r="K48" s="23">
        <f>6+4.4/3</f>
        <v>7.4666666666666668</v>
      </c>
      <c r="L48" t="s">
        <v>19</v>
      </c>
      <c r="M48" t="s">
        <v>154</v>
      </c>
    </row>
    <row r="49" spans="1:14" x14ac:dyDescent="0.25">
      <c r="A49" t="s">
        <v>155</v>
      </c>
      <c r="B49" t="s">
        <v>147</v>
      </c>
      <c r="J49" t="s">
        <v>18</v>
      </c>
      <c r="K49" s="23">
        <f>8.2+4.4/3</f>
        <v>9.6666666666666661</v>
      </c>
      <c r="L49" t="s">
        <v>19</v>
      </c>
      <c r="M49" t="s">
        <v>154</v>
      </c>
    </row>
    <row r="50" spans="1:14" x14ac:dyDescent="0.25">
      <c r="A50" t="s">
        <v>156</v>
      </c>
      <c r="B50" t="s">
        <v>147</v>
      </c>
      <c r="J50" t="s">
        <v>18</v>
      </c>
      <c r="K50" s="23">
        <f>2.8+4.4/3</f>
        <v>4.2666666666666666</v>
      </c>
      <c r="L50" t="s">
        <v>19</v>
      </c>
      <c r="M50" t="s">
        <v>154</v>
      </c>
    </row>
    <row r="51" spans="1:14" x14ac:dyDescent="0.25">
      <c r="A51" s="5" t="s">
        <v>24</v>
      </c>
      <c r="B51" s="5"/>
      <c r="C51" s="5"/>
      <c r="D51" s="5"/>
      <c r="E51" s="5"/>
      <c r="F51" s="5"/>
      <c r="G51" s="5"/>
      <c r="H51" s="5"/>
      <c r="I51" s="5"/>
      <c r="J51" s="6"/>
      <c r="K51" s="6"/>
      <c r="L51" s="6"/>
      <c r="M51" s="6"/>
      <c r="N51" s="6"/>
    </row>
    <row r="52" spans="1:14" x14ac:dyDescent="0.25">
      <c r="A52" s="5" t="s">
        <v>29</v>
      </c>
      <c r="B52" s="5"/>
      <c r="C52" s="5"/>
      <c r="D52" s="5"/>
      <c r="E52" s="5"/>
      <c r="F52" s="5"/>
      <c r="G52" s="5"/>
      <c r="H52" s="5"/>
      <c r="I52" s="5"/>
      <c r="J52" s="6"/>
      <c r="K52" s="6"/>
      <c r="L52" s="6"/>
      <c r="M52" s="6"/>
      <c r="N52" s="6"/>
    </row>
    <row r="53" spans="1:14" x14ac:dyDescent="0.25">
      <c r="A53" t="s">
        <v>125</v>
      </c>
      <c r="B53" t="s">
        <v>126</v>
      </c>
      <c r="J53" t="s">
        <v>18</v>
      </c>
      <c r="K53">
        <v>125.5</v>
      </c>
      <c r="L53" t="s">
        <v>19</v>
      </c>
    </row>
    <row r="54" spans="1:14" x14ac:dyDescent="0.25">
      <c r="A54" s="5" t="s">
        <v>30</v>
      </c>
      <c r="B54" s="5"/>
      <c r="C54" s="5"/>
      <c r="D54" s="5"/>
      <c r="E54" s="5"/>
      <c r="F54" s="5"/>
      <c r="G54" s="5"/>
      <c r="H54" s="5"/>
      <c r="I54" s="5"/>
      <c r="J54" s="6"/>
      <c r="K54" s="6"/>
      <c r="L54" s="6"/>
      <c r="M54" s="6"/>
      <c r="N54" s="6"/>
    </row>
    <row r="55" spans="1:14" x14ac:dyDescent="0.25">
      <c r="A55" s="5" t="s">
        <v>31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s="5" t="s">
        <v>32</v>
      </c>
      <c r="B56" s="5"/>
      <c r="C56" s="5"/>
      <c r="D56" s="5"/>
      <c r="E56" s="5"/>
      <c r="F56" s="5"/>
      <c r="G56" s="5"/>
      <c r="H56" s="5"/>
      <c r="I56" s="5"/>
      <c r="J56" s="6"/>
      <c r="K56" s="6"/>
      <c r="L56" s="6"/>
      <c r="M56" s="6"/>
      <c r="N56" s="6"/>
    </row>
    <row r="57" spans="1:14" x14ac:dyDescent="0.25">
      <c r="A57" s="5" t="s">
        <v>33</v>
      </c>
      <c r="B57" s="5"/>
      <c r="C57" s="5"/>
      <c r="D57" s="5"/>
      <c r="E57" s="5"/>
      <c r="F57" s="5"/>
      <c r="G57" s="5"/>
      <c r="H57" s="5"/>
      <c r="I57" s="5"/>
      <c r="J57" s="6"/>
      <c r="K57" s="6"/>
      <c r="L57" s="6"/>
      <c r="M57" s="6"/>
      <c r="N57" s="6"/>
    </row>
    <row r="59" spans="1:14" x14ac:dyDescent="0.25">
      <c r="A59" s="3" t="s">
        <v>34</v>
      </c>
      <c r="B59" s="3"/>
      <c r="C59" s="3"/>
      <c r="D59" s="3"/>
      <c r="E59" s="3"/>
      <c r="F59" s="3"/>
      <c r="G59" s="3"/>
      <c r="H59" s="3"/>
      <c r="I59" s="3"/>
      <c r="J59" s="4"/>
      <c r="K59" s="4"/>
      <c r="L59" s="4"/>
      <c r="M59" s="4"/>
      <c r="N59" s="4"/>
    </row>
    <row r="60" spans="1:14" x14ac:dyDescent="0.25">
      <c r="B60" t="s">
        <v>26</v>
      </c>
      <c r="I60" t="s">
        <v>53</v>
      </c>
      <c r="J60" t="s">
        <v>56</v>
      </c>
      <c r="K60">
        <v>25</v>
      </c>
      <c r="L60" t="s">
        <v>39</v>
      </c>
    </row>
    <row r="61" spans="1:14" x14ac:dyDescent="0.25">
      <c r="B61" t="s">
        <v>26</v>
      </c>
      <c r="I61" t="s">
        <v>54</v>
      </c>
      <c r="J61" t="s">
        <v>56</v>
      </c>
      <c r="K61">
        <v>2</v>
      </c>
      <c r="L61" t="s">
        <v>39</v>
      </c>
    </row>
    <row r="62" spans="1:14" x14ac:dyDescent="0.25">
      <c r="B62" t="s">
        <v>26</v>
      </c>
      <c r="I62" t="s">
        <v>55</v>
      </c>
      <c r="J62" t="s">
        <v>56</v>
      </c>
      <c r="K62" s="7">
        <v>10.5</v>
      </c>
      <c r="L62" t="s">
        <v>39</v>
      </c>
      <c r="M62" s="7" t="s">
        <v>97</v>
      </c>
    </row>
    <row r="63" spans="1:14" x14ac:dyDescent="0.25">
      <c r="B63" t="s">
        <v>114</v>
      </c>
      <c r="I63" t="s">
        <v>53</v>
      </c>
      <c r="J63" t="s">
        <v>56</v>
      </c>
      <c r="K63">
        <v>17</v>
      </c>
      <c r="L63" t="s">
        <v>39</v>
      </c>
    </row>
    <row r="64" spans="1:14" x14ac:dyDescent="0.25">
      <c r="B64" t="s">
        <v>114</v>
      </c>
      <c r="I64" t="s">
        <v>54</v>
      </c>
      <c r="J64" t="s">
        <v>56</v>
      </c>
      <c r="K64">
        <v>7</v>
      </c>
      <c r="L64" t="s">
        <v>39</v>
      </c>
    </row>
    <row r="65" spans="2:13" x14ac:dyDescent="0.25">
      <c r="B65" t="s">
        <v>114</v>
      </c>
      <c r="I65" t="s">
        <v>55</v>
      </c>
      <c r="J65" t="s">
        <v>56</v>
      </c>
      <c r="K65" s="7">
        <v>15</v>
      </c>
      <c r="L65" t="s">
        <v>39</v>
      </c>
      <c r="M65" s="7" t="s">
        <v>97</v>
      </c>
    </row>
    <row r="66" spans="2:13" x14ac:dyDescent="0.25">
      <c r="B66" t="s">
        <v>121</v>
      </c>
      <c r="I66" t="s">
        <v>53</v>
      </c>
      <c r="J66" t="s">
        <v>56</v>
      </c>
      <c r="K66">
        <v>19</v>
      </c>
      <c r="L66" t="s">
        <v>39</v>
      </c>
    </row>
    <row r="67" spans="2:13" x14ac:dyDescent="0.25">
      <c r="B67" t="s">
        <v>121</v>
      </c>
      <c r="I67" t="s">
        <v>54</v>
      </c>
      <c r="J67" t="s">
        <v>56</v>
      </c>
      <c r="K67">
        <v>10</v>
      </c>
      <c r="L67" t="s">
        <v>39</v>
      </c>
    </row>
    <row r="68" spans="2:13" x14ac:dyDescent="0.25">
      <c r="B68" t="s">
        <v>121</v>
      </c>
      <c r="I68" t="s">
        <v>55</v>
      </c>
      <c r="J68" t="s">
        <v>56</v>
      </c>
      <c r="K68" s="7">
        <v>2</v>
      </c>
      <c r="L68" t="s">
        <v>39</v>
      </c>
      <c r="M68" s="7" t="s">
        <v>97</v>
      </c>
    </row>
    <row r="69" spans="2:13" x14ac:dyDescent="0.25">
      <c r="B69" t="s">
        <v>84</v>
      </c>
      <c r="I69" t="s">
        <v>53</v>
      </c>
      <c r="J69" t="s">
        <v>56</v>
      </c>
      <c r="K69">
        <v>11</v>
      </c>
      <c r="L69" t="s">
        <v>39</v>
      </c>
    </row>
    <row r="70" spans="2:13" x14ac:dyDescent="0.25">
      <c r="B70" t="s">
        <v>84</v>
      </c>
      <c r="I70" t="s">
        <v>54</v>
      </c>
      <c r="J70" t="s">
        <v>56</v>
      </c>
      <c r="K70">
        <f>0.5</f>
        <v>0.5</v>
      </c>
      <c r="L70" t="s">
        <v>39</v>
      </c>
    </row>
    <row r="71" spans="2:13" x14ac:dyDescent="0.25">
      <c r="B71" t="s">
        <v>84</v>
      </c>
      <c r="I71" t="s">
        <v>55</v>
      </c>
      <c r="J71" t="s">
        <v>56</v>
      </c>
      <c r="K71" s="7">
        <v>1</v>
      </c>
      <c r="L71" t="s">
        <v>39</v>
      </c>
      <c r="M71" s="7" t="s">
        <v>97</v>
      </c>
    </row>
    <row r="72" spans="2:13" x14ac:dyDescent="0.25">
      <c r="B72" t="s">
        <v>58</v>
      </c>
      <c r="I72" t="s">
        <v>53</v>
      </c>
      <c r="J72" t="s">
        <v>56</v>
      </c>
      <c r="K72">
        <v>11</v>
      </c>
      <c r="L72" t="s">
        <v>39</v>
      </c>
    </row>
    <row r="73" spans="2:13" x14ac:dyDescent="0.25">
      <c r="B73" t="s">
        <v>58</v>
      </c>
      <c r="I73" t="s">
        <v>54</v>
      </c>
      <c r="J73" t="s">
        <v>56</v>
      </c>
      <c r="K73">
        <v>4</v>
      </c>
      <c r="L73" t="s">
        <v>39</v>
      </c>
    </row>
    <row r="74" spans="2:13" x14ac:dyDescent="0.25">
      <c r="B74" t="s">
        <v>58</v>
      </c>
      <c r="I74" t="s">
        <v>55</v>
      </c>
      <c r="J74" t="s">
        <v>56</v>
      </c>
      <c r="K74" s="7">
        <v>5</v>
      </c>
      <c r="L74" t="s">
        <v>39</v>
      </c>
      <c r="M74" s="7" t="s">
        <v>97</v>
      </c>
    </row>
    <row r="75" spans="2:13" x14ac:dyDescent="0.25">
      <c r="B75" t="s">
        <v>147</v>
      </c>
      <c r="I75" t="s">
        <v>53</v>
      </c>
      <c r="J75" t="s">
        <v>56</v>
      </c>
      <c r="K75">
        <v>4</v>
      </c>
      <c r="L75" t="s">
        <v>39</v>
      </c>
    </row>
    <row r="76" spans="2:13" x14ac:dyDescent="0.25">
      <c r="B76" t="s">
        <v>147</v>
      </c>
      <c r="I76" t="s">
        <v>54</v>
      </c>
      <c r="J76" t="s">
        <v>56</v>
      </c>
      <c r="K76">
        <v>1</v>
      </c>
      <c r="L76" t="s">
        <v>39</v>
      </c>
    </row>
    <row r="77" spans="2:13" x14ac:dyDescent="0.25">
      <c r="B77" t="s">
        <v>147</v>
      </c>
      <c r="I77" t="s">
        <v>55</v>
      </c>
      <c r="J77" t="s">
        <v>56</v>
      </c>
      <c r="K77" s="7">
        <v>5</v>
      </c>
      <c r="L77" t="s">
        <v>39</v>
      </c>
      <c r="M77" s="7" t="s">
        <v>97</v>
      </c>
    </row>
    <row r="78" spans="2:13" x14ac:dyDescent="0.25">
      <c r="B78" t="s">
        <v>126</v>
      </c>
      <c r="I78" t="s">
        <v>53</v>
      </c>
      <c r="J78" t="s">
        <v>56</v>
      </c>
      <c r="K78">
        <v>0</v>
      </c>
      <c r="L78" t="s">
        <v>39</v>
      </c>
    </row>
    <row r="79" spans="2:13" x14ac:dyDescent="0.25">
      <c r="B79" t="s">
        <v>126</v>
      </c>
      <c r="I79" t="s">
        <v>54</v>
      </c>
      <c r="J79" t="s">
        <v>56</v>
      </c>
      <c r="K79">
        <v>5</v>
      </c>
      <c r="L79" t="s">
        <v>39</v>
      </c>
    </row>
    <row r="80" spans="2:13" x14ac:dyDescent="0.25">
      <c r="B80" t="s">
        <v>126</v>
      </c>
      <c r="I80" t="s">
        <v>55</v>
      </c>
      <c r="J80" t="s">
        <v>56</v>
      </c>
      <c r="K80" s="7">
        <v>5</v>
      </c>
      <c r="L80" t="s">
        <v>39</v>
      </c>
      <c r="M80" s="7" t="s">
        <v>97</v>
      </c>
    </row>
    <row r="82" spans="1:14" x14ac:dyDescent="0.25">
      <c r="A82" s="3" t="s">
        <v>61</v>
      </c>
      <c r="B82" s="3"/>
      <c r="C82" s="3"/>
      <c r="D82" s="3"/>
      <c r="E82" s="3"/>
      <c r="F82" s="3"/>
      <c r="G82" s="3"/>
      <c r="H82" s="3"/>
      <c r="I82" s="3"/>
      <c r="J82" s="4"/>
      <c r="K82" s="4"/>
      <c r="L82" s="4"/>
      <c r="M82" s="4"/>
      <c r="N82" s="4"/>
    </row>
    <row r="83" spans="1:14" x14ac:dyDescent="0.25">
      <c r="J83" s="8" t="s">
        <v>88</v>
      </c>
      <c r="K83" s="8">
        <v>0</v>
      </c>
      <c r="L83" s="8" t="s">
        <v>39</v>
      </c>
      <c r="M83" s="8" t="s">
        <v>46</v>
      </c>
    </row>
    <row r="84" spans="1:14" x14ac:dyDescent="0.25">
      <c r="J84" s="8" t="s">
        <v>89</v>
      </c>
      <c r="K84" s="8">
        <v>0</v>
      </c>
      <c r="L84" s="8" t="s">
        <v>39</v>
      </c>
      <c r="M84" s="8" t="s">
        <v>46</v>
      </c>
    </row>
    <row r="85" spans="1:14" x14ac:dyDescent="0.25">
      <c r="A85" s="5" t="s">
        <v>10</v>
      </c>
      <c r="B85" s="5"/>
      <c r="C85" s="5"/>
      <c r="D85" s="5"/>
      <c r="E85" s="5"/>
      <c r="F85" s="5"/>
      <c r="G85" s="5"/>
      <c r="H85" s="5"/>
      <c r="I85" s="5"/>
      <c r="J85" s="6"/>
      <c r="K85" s="6"/>
      <c r="L85" s="6"/>
      <c r="M85" s="6"/>
      <c r="N85" s="6"/>
    </row>
    <row r="86" spans="1:14" x14ac:dyDescent="0.25">
      <c r="A86" t="s">
        <v>35</v>
      </c>
      <c r="C86" t="s">
        <v>38</v>
      </c>
      <c r="J86" t="s">
        <v>88</v>
      </c>
      <c r="K86">
        <v>79</v>
      </c>
      <c r="L86" t="s">
        <v>39</v>
      </c>
      <c r="N86" t="s">
        <v>100</v>
      </c>
    </row>
    <row r="87" spans="1:14" x14ac:dyDescent="0.25">
      <c r="A87" t="s">
        <v>35</v>
      </c>
      <c r="C87" t="s">
        <v>38</v>
      </c>
      <c r="F87" t="s">
        <v>130</v>
      </c>
      <c r="J87" t="s">
        <v>89</v>
      </c>
      <c r="K87">
        <v>19</v>
      </c>
      <c r="L87" t="s">
        <v>39</v>
      </c>
      <c r="N87" t="s">
        <v>100</v>
      </c>
    </row>
    <row r="88" spans="1:14" x14ac:dyDescent="0.25">
      <c r="A88" t="s">
        <v>35</v>
      </c>
      <c r="C88" t="s">
        <v>38</v>
      </c>
      <c r="F88" t="s">
        <v>131</v>
      </c>
      <c r="J88" t="s">
        <v>89</v>
      </c>
      <c r="K88">
        <v>2</v>
      </c>
      <c r="L88" t="s">
        <v>39</v>
      </c>
      <c r="N88" t="s">
        <v>100</v>
      </c>
    </row>
    <row r="89" spans="1:14" x14ac:dyDescent="0.25">
      <c r="A89" s="9" t="s">
        <v>50</v>
      </c>
      <c r="B89" s="9"/>
      <c r="C89" s="9" t="s">
        <v>51</v>
      </c>
      <c r="D89" s="9"/>
      <c r="E89" s="9"/>
      <c r="F89" s="9"/>
      <c r="G89" s="9"/>
      <c r="H89" s="9"/>
      <c r="I89" s="9"/>
      <c r="J89" t="s">
        <v>88</v>
      </c>
      <c r="K89" s="9">
        <v>91</v>
      </c>
      <c r="L89" s="9" t="s">
        <v>39</v>
      </c>
      <c r="M89" s="9"/>
      <c r="N89" t="s">
        <v>100</v>
      </c>
    </row>
    <row r="90" spans="1:14" x14ac:dyDescent="0.25">
      <c r="A90" s="9" t="s">
        <v>50</v>
      </c>
      <c r="B90" s="9"/>
      <c r="C90" s="9" t="s">
        <v>51</v>
      </c>
      <c r="D90" s="9"/>
      <c r="E90" s="9"/>
      <c r="F90" s="9" t="s">
        <v>132</v>
      </c>
      <c r="G90" s="9"/>
      <c r="H90" s="9"/>
      <c r="I90" s="9"/>
      <c r="J90" t="s">
        <v>89</v>
      </c>
      <c r="K90" s="9">
        <v>0</v>
      </c>
      <c r="L90" s="9" t="s">
        <v>39</v>
      </c>
      <c r="M90" s="9"/>
      <c r="N90" t="s">
        <v>100</v>
      </c>
    </row>
    <row r="91" spans="1:14" x14ac:dyDescent="0.25">
      <c r="A91" s="9" t="s">
        <v>50</v>
      </c>
      <c r="B91" s="9"/>
      <c r="C91" s="9" t="s">
        <v>51</v>
      </c>
      <c r="D91" s="9"/>
      <c r="E91" s="9"/>
      <c r="F91" s="9" t="s">
        <v>133</v>
      </c>
      <c r="G91" s="9"/>
      <c r="H91" s="9"/>
      <c r="I91" s="9"/>
      <c r="J91" t="s">
        <v>89</v>
      </c>
      <c r="K91" s="9">
        <v>9</v>
      </c>
      <c r="L91" s="9" t="s">
        <v>39</v>
      </c>
      <c r="M91" s="9"/>
      <c r="N91" t="s">
        <v>100</v>
      </c>
    </row>
    <row r="92" spans="1:14" x14ac:dyDescent="0.25">
      <c r="A92" t="s">
        <v>95</v>
      </c>
      <c r="B92" s="9"/>
      <c r="C92" s="10" t="s">
        <v>98</v>
      </c>
      <c r="D92" s="9"/>
      <c r="E92" s="9"/>
      <c r="F92" s="9"/>
      <c r="G92" s="9"/>
      <c r="H92" s="9"/>
      <c r="I92" s="9"/>
      <c r="J92" t="s">
        <v>88</v>
      </c>
      <c r="K92" s="10">
        <v>80</v>
      </c>
      <c r="L92" s="10" t="s">
        <v>39</v>
      </c>
      <c r="M92" s="9"/>
      <c r="N92" t="s">
        <v>100</v>
      </c>
    </row>
    <row r="93" spans="1:14" x14ac:dyDescent="0.25">
      <c r="A93" t="s">
        <v>95</v>
      </c>
      <c r="B93" s="9"/>
      <c r="C93" s="10" t="s">
        <v>98</v>
      </c>
      <c r="D93" s="9"/>
      <c r="E93" s="9"/>
      <c r="F93" s="10" t="s">
        <v>134</v>
      </c>
      <c r="G93" s="9"/>
      <c r="H93" s="9"/>
      <c r="I93" s="9"/>
      <c r="J93" t="s">
        <v>89</v>
      </c>
      <c r="K93" s="10">
        <v>20</v>
      </c>
      <c r="L93" s="10" t="s">
        <v>39</v>
      </c>
      <c r="M93" s="9"/>
      <c r="N93" t="s">
        <v>100</v>
      </c>
    </row>
    <row r="94" spans="1:14" x14ac:dyDescent="0.25">
      <c r="A94" t="s">
        <v>94</v>
      </c>
      <c r="B94" s="9"/>
      <c r="C94" s="10" t="s">
        <v>99</v>
      </c>
      <c r="D94" s="9"/>
      <c r="E94" s="9"/>
      <c r="F94" s="9"/>
      <c r="G94" s="9"/>
      <c r="H94" s="9"/>
      <c r="I94" s="9"/>
      <c r="J94" t="s">
        <v>88</v>
      </c>
      <c r="K94" s="10">
        <v>53</v>
      </c>
      <c r="L94" s="10" t="s">
        <v>39</v>
      </c>
      <c r="M94" s="9"/>
      <c r="N94" t="s">
        <v>100</v>
      </c>
    </row>
    <row r="95" spans="1:14" x14ac:dyDescent="0.25">
      <c r="A95" t="s">
        <v>94</v>
      </c>
      <c r="B95" s="9"/>
      <c r="C95" s="10" t="s">
        <v>99</v>
      </c>
      <c r="D95" s="9"/>
      <c r="E95" s="9"/>
      <c r="F95" s="10" t="s">
        <v>135</v>
      </c>
      <c r="G95" s="9"/>
      <c r="H95" s="9"/>
      <c r="I95" s="9"/>
      <c r="J95" t="s">
        <v>89</v>
      </c>
      <c r="K95" s="10">
        <v>47</v>
      </c>
      <c r="L95" s="10" t="s">
        <v>39</v>
      </c>
      <c r="M95" s="9"/>
      <c r="N95" t="s">
        <v>100</v>
      </c>
    </row>
    <row r="96" spans="1:14" x14ac:dyDescent="0.25">
      <c r="A96" s="5" t="s">
        <v>11</v>
      </c>
      <c r="B96" s="5"/>
      <c r="C96" s="5"/>
      <c r="D96" s="5"/>
      <c r="E96" s="5"/>
      <c r="F96" s="5"/>
      <c r="G96" s="5"/>
      <c r="H96" s="5"/>
      <c r="I96" s="5"/>
      <c r="J96" s="6"/>
      <c r="K96" s="6"/>
      <c r="L96" s="6"/>
      <c r="M96" s="6"/>
      <c r="N96" s="6"/>
    </row>
    <row r="97" spans="1:14" x14ac:dyDescent="0.25">
      <c r="A97" s="7" t="s">
        <v>109</v>
      </c>
      <c r="B97" s="9"/>
      <c r="C97" s="10" t="s">
        <v>118</v>
      </c>
      <c r="D97" s="9"/>
      <c r="E97" s="9"/>
      <c r="F97" s="10"/>
      <c r="G97" s="9"/>
      <c r="H97" s="9"/>
      <c r="I97" s="9"/>
      <c r="J97" t="s">
        <v>88</v>
      </c>
      <c r="K97" s="12">
        <v>100</v>
      </c>
      <c r="L97" s="10" t="s">
        <v>39</v>
      </c>
      <c r="M97" s="11" t="s">
        <v>115</v>
      </c>
    </row>
    <row r="98" spans="1:14" x14ac:dyDescent="0.25">
      <c r="A98" s="7" t="s">
        <v>110</v>
      </c>
      <c r="B98" s="9"/>
      <c r="C98" s="10" t="s">
        <v>118</v>
      </c>
      <c r="D98" s="9"/>
      <c r="E98" s="9"/>
      <c r="F98" s="10"/>
      <c r="G98" s="9"/>
      <c r="H98" s="9"/>
      <c r="I98" s="9"/>
      <c r="J98" t="s">
        <v>88</v>
      </c>
      <c r="K98" s="10">
        <v>50</v>
      </c>
      <c r="L98" s="10" t="s">
        <v>39</v>
      </c>
      <c r="M98" s="9"/>
    </row>
    <row r="99" spans="1:14" x14ac:dyDescent="0.25">
      <c r="A99" s="7" t="s">
        <v>110</v>
      </c>
      <c r="B99" s="9"/>
      <c r="C99" s="10" t="s">
        <v>118</v>
      </c>
      <c r="D99" s="9"/>
      <c r="E99" s="9"/>
      <c r="F99" s="10" t="s">
        <v>136</v>
      </c>
      <c r="G99" s="9"/>
      <c r="H99" s="9"/>
      <c r="I99" s="9"/>
      <c r="J99" t="s">
        <v>89</v>
      </c>
      <c r="K99" s="10">
        <v>50</v>
      </c>
      <c r="L99" s="10" t="s">
        <v>39</v>
      </c>
      <c r="M99" s="9"/>
    </row>
    <row r="100" spans="1:14" x14ac:dyDescent="0.25">
      <c r="A100" s="7" t="s">
        <v>112</v>
      </c>
      <c r="B100" s="9"/>
      <c r="C100" s="12" t="s">
        <v>119</v>
      </c>
      <c r="D100" s="9"/>
      <c r="E100" s="9"/>
      <c r="F100" s="10"/>
      <c r="G100" s="9"/>
      <c r="H100" s="9"/>
      <c r="I100" s="9"/>
      <c r="J100" t="s">
        <v>88</v>
      </c>
      <c r="K100" s="12">
        <v>20</v>
      </c>
      <c r="L100" s="10" t="s">
        <v>39</v>
      </c>
      <c r="M100" s="11" t="s">
        <v>117</v>
      </c>
    </row>
    <row r="101" spans="1:14" x14ac:dyDescent="0.25">
      <c r="A101" s="7" t="s">
        <v>111</v>
      </c>
      <c r="B101" s="9"/>
      <c r="C101" s="10" t="s">
        <v>119</v>
      </c>
      <c r="D101" s="9"/>
      <c r="E101" s="9"/>
      <c r="F101" s="10"/>
      <c r="G101" s="9"/>
      <c r="H101" s="9"/>
      <c r="I101" s="9"/>
      <c r="J101" t="s">
        <v>88</v>
      </c>
      <c r="K101" s="12">
        <v>19</v>
      </c>
      <c r="L101" s="10" t="s">
        <v>39</v>
      </c>
      <c r="M101" s="11" t="s">
        <v>116</v>
      </c>
    </row>
    <row r="102" spans="1:14" x14ac:dyDescent="0.25">
      <c r="A102" s="5" t="s">
        <v>12</v>
      </c>
      <c r="B102" s="5"/>
      <c r="C102" s="5"/>
      <c r="D102" s="5"/>
      <c r="E102" s="5"/>
      <c r="F102" s="5"/>
      <c r="G102" s="5"/>
      <c r="H102" s="5"/>
      <c r="I102" s="5"/>
      <c r="J102" s="6"/>
      <c r="K102" s="6"/>
      <c r="L102" s="6"/>
      <c r="M102" s="6"/>
      <c r="N102" s="6"/>
    </row>
    <row r="103" spans="1:14" x14ac:dyDescent="0.25">
      <c r="A103" s="18" t="s">
        <v>157</v>
      </c>
      <c r="C103" s="10" t="s">
        <v>158</v>
      </c>
      <c r="J103" t="s">
        <v>88</v>
      </c>
      <c r="K103" s="19">
        <v>100</v>
      </c>
      <c r="L103" s="18" t="s">
        <v>39</v>
      </c>
    </row>
    <row r="104" spans="1:14" x14ac:dyDescent="0.25">
      <c r="A104" s="18" t="s">
        <v>163</v>
      </c>
      <c r="C104" s="10" t="s">
        <v>169</v>
      </c>
      <c r="J104" t="s">
        <v>88</v>
      </c>
      <c r="K104" s="19">
        <v>100</v>
      </c>
      <c r="L104" s="18" t="s">
        <v>39</v>
      </c>
    </row>
    <row r="105" spans="1:14" x14ac:dyDescent="0.25">
      <c r="A105" s="18" t="s">
        <v>159</v>
      </c>
      <c r="C105" s="10" t="s">
        <v>165</v>
      </c>
      <c r="J105" t="s">
        <v>88</v>
      </c>
      <c r="K105" s="19">
        <v>100</v>
      </c>
      <c r="L105" s="18" t="s">
        <v>39</v>
      </c>
    </row>
    <row r="106" spans="1:14" x14ac:dyDescent="0.25">
      <c r="A106" s="18" t="s">
        <v>160</v>
      </c>
      <c r="C106" s="10" t="s">
        <v>166</v>
      </c>
      <c r="J106" t="s">
        <v>88</v>
      </c>
      <c r="K106" s="19">
        <v>100</v>
      </c>
      <c r="L106" s="18" t="s">
        <v>39</v>
      </c>
    </row>
    <row r="107" spans="1:14" x14ac:dyDescent="0.25">
      <c r="A107" s="18" t="s">
        <v>161</v>
      </c>
      <c r="C107" s="10" t="s">
        <v>167</v>
      </c>
      <c r="J107" t="s">
        <v>88</v>
      </c>
      <c r="K107" s="19">
        <v>100</v>
      </c>
      <c r="L107" s="18" t="s">
        <v>39</v>
      </c>
    </row>
    <row r="108" spans="1:14" x14ac:dyDescent="0.25">
      <c r="A108" s="18" t="s">
        <v>162</v>
      </c>
      <c r="C108" s="10" t="s">
        <v>164</v>
      </c>
      <c r="J108" t="s">
        <v>88</v>
      </c>
      <c r="K108" s="19">
        <v>100</v>
      </c>
      <c r="L108" s="18" t="s">
        <v>39</v>
      </c>
    </row>
    <row r="109" spans="1:14" x14ac:dyDescent="0.25">
      <c r="A109" s="18" t="s">
        <v>120</v>
      </c>
      <c r="B109" s="9"/>
      <c r="C109" s="10" t="s">
        <v>122</v>
      </c>
      <c r="D109" s="9"/>
      <c r="E109" s="9"/>
      <c r="F109" s="10"/>
      <c r="G109" s="9"/>
      <c r="H109" s="9"/>
      <c r="I109" s="9"/>
      <c r="J109" t="s">
        <v>88</v>
      </c>
      <c r="K109" s="19">
        <v>100</v>
      </c>
      <c r="L109" s="18" t="s">
        <v>39</v>
      </c>
      <c r="M109" s="11"/>
    </row>
    <row r="110" spans="1:14" x14ac:dyDescent="0.25">
      <c r="A110" s="7" t="s">
        <v>123</v>
      </c>
      <c r="B110" s="9"/>
      <c r="C110" s="10" t="s">
        <v>124</v>
      </c>
      <c r="D110" s="9"/>
      <c r="E110" s="9"/>
      <c r="F110" s="10"/>
      <c r="G110" s="9"/>
      <c r="H110" s="9"/>
      <c r="I110" s="9"/>
      <c r="J110" t="s">
        <v>88</v>
      </c>
      <c r="K110" s="19">
        <v>100</v>
      </c>
      <c r="L110" s="18" t="s">
        <v>39</v>
      </c>
      <c r="M110" s="11"/>
    </row>
    <row r="111" spans="1:14" x14ac:dyDescent="0.25">
      <c r="A111" s="18" t="s">
        <v>170</v>
      </c>
      <c r="B111" s="9"/>
      <c r="C111" s="10" t="s">
        <v>168</v>
      </c>
      <c r="D111" s="9"/>
      <c r="E111" s="9"/>
      <c r="F111" s="10"/>
      <c r="G111" s="9"/>
      <c r="H111" s="9"/>
      <c r="I111" s="9"/>
      <c r="J111" t="s">
        <v>88</v>
      </c>
      <c r="K111" s="19">
        <v>100</v>
      </c>
      <c r="L111" s="18" t="s">
        <v>39</v>
      </c>
      <c r="M111" s="11"/>
    </row>
    <row r="112" spans="1:14" x14ac:dyDescent="0.25">
      <c r="A112" s="5" t="s">
        <v>14</v>
      </c>
      <c r="B112" s="5"/>
      <c r="C112" s="5"/>
      <c r="D112" s="5"/>
      <c r="E112" s="5"/>
      <c r="F112" s="5"/>
      <c r="G112" s="5"/>
      <c r="H112" s="5"/>
      <c r="I112" s="5"/>
      <c r="J112" s="6"/>
      <c r="K112" s="6"/>
      <c r="L112" s="6"/>
      <c r="M112" s="6"/>
      <c r="N112" s="6"/>
    </row>
    <row r="113" spans="1:14" x14ac:dyDescent="0.25">
      <c r="A113" s="11" t="s">
        <v>65</v>
      </c>
      <c r="B113" s="11"/>
      <c r="C113" s="11"/>
      <c r="D113" s="11" t="s">
        <v>82</v>
      </c>
      <c r="E113" s="11" t="s">
        <v>62</v>
      </c>
      <c r="F113" s="11"/>
      <c r="G113" s="11"/>
      <c r="H113" s="11"/>
      <c r="I113" s="11"/>
      <c r="J113" t="s">
        <v>88</v>
      </c>
      <c r="K113" s="13">
        <f>100-K114</f>
        <v>90.75</v>
      </c>
      <c r="L113" s="11" t="s">
        <v>39</v>
      </c>
      <c r="M113" t="s">
        <v>74</v>
      </c>
      <c r="N113" s="9" t="s">
        <v>101</v>
      </c>
    </row>
    <row r="114" spans="1:14" x14ac:dyDescent="0.25">
      <c r="A114" s="11" t="s">
        <v>65</v>
      </c>
      <c r="B114" s="11"/>
      <c r="C114" s="11"/>
      <c r="D114" s="11" t="s">
        <v>82</v>
      </c>
      <c r="E114" s="11" t="s">
        <v>62</v>
      </c>
      <c r="F114" s="11" t="s">
        <v>63</v>
      </c>
      <c r="G114" s="11"/>
      <c r="H114" s="11"/>
      <c r="I114" s="11"/>
      <c r="J114" t="s">
        <v>89</v>
      </c>
      <c r="K114" s="13">
        <f>(0.042-0.005)/0.4*100</f>
        <v>9.2500000000000018</v>
      </c>
      <c r="L114" s="11" t="s">
        <v>39</v>
      </c>
      <c r="N114" s="9" t="s">
        <v>101</v>
      </c>
    </row>
    <row r="115" spans="1:14" x14ac:dyDescent="0.25">
      <c r="A115" s="11" t="s">
        <v>64</v>
      </c>
      <c r="B115" s="11"/>
      <c r="C115" s="11"/>
      <c r="D115" s="11" t="s">
        <v>82</v>
      </c>
      <c r="E115" s="11" t="s">
        <v>62</v>
      </c>
      <c r="F115" s="11"/>
      <c r="G115" s="11"/>
      <c r="H115" s="11"/>
      <c r="I115" s="11"/>
      <c r="J115" t="s">
        <v>88</v>
      </c>
      <c r="K115" s="13">
        <f>100-K116</f>
        <v>93.25</v>
      </c>
      <c r="L115" s="11" t="s">
        <v>39</v>
      </c>
      <c r="M115" t="s">
        <v>75</v>
      </c>
      <c r="N115" s="9" t="s">
        <v>101</v>
      </c>
    </row>
    <row r="116" spans="1:14" x14ac:dyDescent="0.25">
      <c r="A116" s="11" t="s">
        <v>64</v>
      </c>
      <c r="B116" s="11"/>
      <c r="C116" s="11"/>
      <c r="D116" s="11" t="s">
        <v>82</v>
      </c>
      <c r="E116" s="11" t="s">
        <v>62</v>
      </c>
      <c r="F116" s="11" t="s">
        <v>63</v>
      </c>
      <c r="G116" s="11"/>
      <c r="H116" s="11"/>
      <c r="I116" s="11"/>
      <c r="J116" t="s">
        <v>89</v>
      </c>
      <c r="K116" s="13">
        <f>(0.042-0.015)/0.4*100</f>
        <v>6.75</v>
      </c>
      <c r="L116" s="11" t="s">
        <v>39</v>
      </c>
      <c r="N116" s="9" t="s">
        <v>101</v>
      </c>
    </row>
    <row r="117" spans="1:14" x14ac:dyDescent="0.25">
      <c r="A117" s="11" t="s">
        <v>66</v>
      </c>
      <c r="B117" s="11"/>
      <c r="C117" s="11"/>
      <c r="D117" s="11" t="s">
        <v>82</v>
      </c>
      <c r="E117" s="11" t="s">
        <v>62</v>
      </c>
      <c r="F117" s="11"/>
      <c r="G117" s="11"/>
      <c r="H117" s="11"/>
      <c r="I117" s="11"/>
      <c r="J117" t="s">
        <v>88</v>
      </c>
      <c r="K117" s="13">
        <f>100-K118</f>
        <v>93.25</v>
      </c>
      <c r="L117" s="11" t="s">
        <v>39</v>
      </c>
      <c r="M117" t="s">
        <v>76</v>
      </c>
      <c r="N117" s="9" t="s">
        <v>101</v>
      </c>
    </row>
    <row r="118" spans="1:14" x14ac:dyDescent="0.25">
      <c r="A118" s="11" t="s">
        <v>66</v>
      </c>
      <c r="B118" s="11"/>
      <c r="C118" s="11"/>
      <c r="D118" s="11" t="s">
        <v>82</v>
      </c>
      <c r="E118" s="11" t="s">
        <v>62</v>
      </c>
      <c r="F118" s="11" t="s">
        <v>63</v>
      </c>
      <c r="G118" s="11"/>
      <c r="H118" s="11"/>
      <c r="I118" s="11"/>
      <c r="J118" t="s">
        <v>89</v>
      </c>
      <c r="K118" s="13">
        <f>(0.042-0.015)/0.4*100</f>
        <v>6.75</v>
      </c>
      <c r="L118" s="11" t="s">
        <v>39</v>
      </c>
      <c r="N118" s="9" t="s">
        <v>101</v>
      </c>
    </row>
    <row r="119" spans="1:14" x14ac:dyDescent="0.25">
      <c r="A119" s="11" t="s">
        <v>67</v>
      </c>
      <c r="B119" s="11"/>
      <c r="C119" s="11"/>
      <c r="D119" s="11" t="s">
        <v>82</v>
      </c>
      <c r="E119" s="11" t="s">
        <v>62</v>
      </c>
      <c r="F119" s="11"/>
      <c r="G119" s="11"/>
      <c r="H119" s="11"/>
      <c r="I119" s="11"/>
      <c r="J119" t="s">
        <v>88</v>
      </c>
      <c r="K119" s="13">
        <f>(100-K120)*0.1</f>
        <v>9.3250000000000011</v>
      </c>
      <c r="L119" s="11" t="s">
        <v>39</v>
      </c>
      <c r="M119" t="s">
        <v>83</v>
      </c>
      <c r="N119" s="9" t="s">
        <v>101</v>
      </c>
    </row>
    <row r="120" spans="1:14" x14ac:dyDescent="0.25">
      <c r="A120" s="11" t="s">
        <v>67</v>
      </c>
      <c r="B120" s="11"/>
      <c r="C120" s="11"/>
      <c r="D120" s="11" t="s">
        <v>82</v>
      </c>
      <c r="E120" s="11" t="s">
        <v>62</v>
      </c>
      <c r="F120" s="11" t="s">
        <v>63</v>
      </c>
      <c r="G120" s="11"/>
      <c r="H120" s="11"/>
      <c r="I120" s="11"/>
      <c r="J120" t="s">
        <v>89</v>
      </c>
      <c r="K120" s="13">
        <f>(0.042-0.015)/0.4*100</f>
        <v>6.75</v>
      </c>
      <c r="L120" s="11" t="s">
        <v>39</v>
      </c>
      <c r="N120" s="9" t="s">
        <v>101</v>
      </c>
    </row>
    <row r="121" spans="1:14" x14ac:dyDescent="0.25">
      <c r="A121" s="11" t="s">
        <v>67</v>
      </c>
      <c r="B121" s="11"/>
      <c r="C121" s="11"/>
      <c r="D121" s="11" t="s">
        <v>82</v>
      </c>
      <c r="E121" s="11" t="s">
        <v>62</v>
      </c>
      <c r="F121" s="11" t="s">
        <v>73</v>
      </c>
      <c r="G121" s="11"/>
      <c r="H121" s="11"/>
      <c r="I121" s="11"/>
      <c r="J121" t="s">
        <v>89</v>
      </c>
      <c r="K121" s="13">
        <f>(100-K120)*0.9</f>
        <v>83.924999999999997</v>
      </c>
      <c r="L121" s="11" t="s">
        <v>39</v>
      </c>
      <c r="N121" s="9" t="s">
        <v>101</v>
      </c>
    </row>
    <row r="122" spans="1:14" x14ac:dyDescent="0.25">
      <c r="A122" s="11" t="s">
        <v>71</v>
      </c>
      <c r="B122" s="11"/>
      <c r="C122" s="11"/>
      <c r="D122" s="11" t="s">
        <v>82</v>
      </c>
      <c r="E122" s="11" t="s">
        <v>63</v>
      </c>
      <c r="F122" s="11"/>
      <c r="G122" s="11"/>
      <c r="H122" s="11"/>
      <c r="I122" s="11"/>
      <c r="J122" t="s">
        <v>88</v>
      </c>
      <c r="K122" s="11">
        <f>1/(0.1/0.4)*100</f>
        <v>400</v>
      </c>
      <c r="L122" s="11" t="s">
        <v>39</v>
      </c>
      <c r="M122" t="s">
        <v>81</v>
      </c>
      <c r="N122" s="9" t="s">
        <v>101</v>
      </c>
    </row>
    <row r="123" spans="1:14" x14ac:dyDescent="0.25">
      <c r="A123" s="12" t="s">
        <v>72</v>
      </c>
      <c r="B123" s="11"/>
      <c r="C123" s="11"/>
      <c r="D123" s="11" t="s">
        <v>82</v>
      </c>
      <c r="E123" s="11" t="s">
        <v>63</v>
      </c>
      <c r="F123" s="11"/>
      <c r="G123" s="11"/>
      <c r="H123" s="11"/>
      <c r="I123" s="11"/>
      <c r="J123" t="s">
        <v>88</v>
      </c>
      <c r="K123" s="13">
        <f>1/(0.12/0.4)*100</f>
        <v>333.33333333333337</v>
      </c>
      <c r="L123" s="11" t="s">
        <v>39</v>
      </c>
      <c r="M123" t="s">
        <v>77</v>
      </c>
      <c r="N123" s="9" t="s">
        <v>101</v>
      </c>
    </row>
    <row r="124" spans="1:14" x14ac:dyDescent="0.25">
      <c r="A124" s="11" t="s">
        <v>69</v>
      </c>
      <c r="B124" s="11"/>
      <c r="C124" s="11"/>
      <c r="D124" s="11" t="s">
        <v>82</v>
      </c>
      <c r="E124" s="11" t="s">
        <v>63</v>
      </c>
      <c r="F124" s="11"/>
      <c r="G124" s="11"/>
      <c r="H124" s="11"/>
      <c r="I124" s="11"/>
      <c r="J124" t="s">
        <v>88</v>
      </c>
      <c r="K124" s="13">
        <f>1/(0.13/0.4)*100</f>
        <v>307.69230769230768</v>
      </c>
      <c r="L124" s="11" t="s">
        <v>39</v>
      </c>
      <c r="M124" t="s">
        <v>78</v>
      </c>
      <c r="N124" s="9" t="s">
        <v>101</v>
      </c>
    </row>
    <row r="125" spans="1:14" x14ac:dyDescent="0.25">
      <c r="A125" s="11" t="s">
        <v>70</v>
      </c>
      <c r="B125" s="11"/>
      <c r="C125" s="11"/>
      <c r="D125" s="11" t="s">
        <v>82</v>
      </c>
      <c r="E125" s="11" t="s">
        <v>63</v>
      </c>
      <c r="F125" s="11"/>
      <c r="G125" s="11"/>
      <c r="H125" s="11"/>
      <c r="I125" s="11"/>
      <c r="J125" t="s">
        <v>88</v>
      </c>
      <c r="K125" s="11">
        <f>1/(0.4/0.4)*100</f>
        <v>100</v>
      </c>
      <c r="L125" s="11" t="s">
        <v>39</v>
      </c>
      <c r="M125" t="s">
        <v>79</v>
      </c>
      <c r="N125" s="9" t="s">
        <v>101</v>
      </c>
    </row>
    <row r="126" spans="1:14" x14ac:dyDescent="0.25">
      <c r="A126" s="11" t="s">
        <v>68</v>
      </c>
      <c r="B126" s="11"/>
      <c r="C126" s="11"/>
      <c r="D126" s="11" t="s">
        <v>82</v>
      </c>
      <c r="E126" s="11" t="s">
        <v>63</v>
      </c>
      <c r="F126" s="11"/>
      <c r="G126" s="11"/>
      <c r="H126" s="11"/>
      <c r="I126" s="11"/>
      <c r="J126" t="s">
        <v>88</v>
      </c>
      <c r="K126" s="13">
        <f>1/((0.4-0.8)/(0.01-0.4)+1)*100</f>
        <v>49.367088607594937</v>
      </c>
      <c r="L126" s="11" t="s">
        <v>39</v>
      </c>
      <c r="M126" t="s">
        <v>80</v>
      </c>
      <c r="N126" s="9" t="s">
        <v>101</v>
      </c>
    </row>
    <row r="127" spans="1:14" x14ac:dyDescent="0.25">
      <c r="A127" s="11" t="s">
        <v>68</v>
      </c>
      <c r="B127" s="9"/>
      <c r="C127" s="9"/>
      <c r="D127" s="11" t="s">
        <v>82</v>
      </c>
      <c r="E127" s="11" t="s">
        <v>63</v>
      </c>
      <c r="F127" s="11" t="s">
        <v>85</v>
      </c>
      <c r="G127" s="9"/>
      <c r="H127" s="9"/>
      <c r="I127" s="9"/>
      <c r="J127" t="s">
        <v>89</v>
      </c>
      <c r="K127" s="15">
        <f>1/((0.01-0.4)/(0.4-0.8)+1)*100</f>
        <v>50.632911392405056</v>
      </c>
      <c r="L127" s="11" t="s">
        <v>39</v>
      </c>
      <c r="M127" s="9" t="s">
        <v>86</v>
      </c>
      <c r="N127" s="9" t="s">
        <v>101</v>
      </c>
    </row>
    <row r="128" spans="1:14" x14ac:dyDescent="0.25">
      <c r="A128" s="5" t="s">
        <v>23</v>
      </c>
      <c r="B128" s="5"/>
      <c r="C128" s="5"/>
      <c r="D128" s="5"/>
      <c r="E128" s="5"/>
      <c r="F128" s="5"/>
      <c r="G128" s="5"/>
      <c r="H128" s="5"/>
      <c r="I128" s="5"/>
      <c r="J128" s="6"/>
      <c r="K128" s="6"/>
      <c r="L128" s="6"/>
      <c r="M128" s="6"/>
      <c r="N128" s="6"/>
    </row>
    <row r="129" spans="1:14" x14ac:dyDescent="0.25">
      <c r="A129" s="9" t="s">
        <v>57</v>
      </c>
      <c r="B129" s="9"/>
      <c r="C129" s="9"/>
      <c r="D129" s="9" t="s">
        <v>60</v>
      </c>
      <c r="E129" s="9" t="s">
        <v>58</v>
      </c>
      <c r="F129" s="9"/>
      <c r="G129" s="9"/>
      <c r="H129" s="9"/>
      <c r="I129" s="9"/>
      <c r="J129" t="s">
        <v>88</v>
      </c>
      <c r="K129" s="10">
        <v>73</v>
      </c>
      <c r="L129" s="9" t="s">
        <v>39</v>
      </c>
      <c r="M129" s="9"/>
      <c r="N129" s="9" t="s">
        <v>100</v>
      </c>
    </row>
    <row r="130" spans="1:14" x14ac:dyDescent="0.25">
      <c r="A130" s="9" t="s">
        <v>57</v>
      </c>
      <c r="B130" s="9"/>
      <c r="C130" s="9"/>
      <c r="D130" s="9" t="s">
        <v>60</v>
      </c>
      <c r="E130" s="9" t="s">
        <v>58</v>
      </c>
      <c r="F130" s="9" t="s">
        <v>137</v>
      </c>
      <c r="G130" s="9"/>
      <c r="H130" s="9"/>
      <c r="I130" s="9"/>
      <c r="J130" t="s">
        <v>89</v>
      </c>
      <c r="K130" s="17">
        <f>(1/0.76)*4</f>
        <v>5.2631578947368425</v>
      </c>
      <c r="L130" s="9" t="s">
        <v>39</v>
      </c>
      <c r="M130" s="10" t="s">
        <v>105</v>
      </c>
      <c r="N130" s="9" t="s">
        <v>100</v>
      </c>
    </row>
    <row r="131" spans="1:14" x14ac:dyDescent="0.25">
      <c r="A131" s="9" t="s">
        <v>57</v>
      </c>
      <c r="B131" s="9"/>
      <c r="C131" s="9"/>
      <c r="D131" s="9" t="s">
        <v>60</v>
      </c>
      <c r="E131" s="9" t="s">
        <v>58</v>
      </c>
      <c r="F131" s="9" t="s">
        <v>138</v>
      </c>
      <c r="G131" s="9"/>
      <c r="H131" s="9"/>
      <c r="I131" s="9"/>
      <c r="J131" t="s">
        <v>89</v>
      </c>
      <c r="K131" s="17">
        <f>(1/0.76)*6</f>
        <v>7.8947368421052637</v>
      </c>
      <c r="L131" s="9" t="s">
        <v>39</v>
      </c>
      <c r="M131" s="10" t="s">
        <v>105</v>
      </c>
      <c r="N131" s="9" t="s">
        <v>100</v>
      </c>
    </row>
    <row r="132" spans="1:14" x14ac:dyDescent="0.25">
      <c r="A132" s="9" t="s">
        <v>57</v>
      </c>
      <c r="B132" s="9"/>
      <c r="C132" s="9"/>
      <c r="D132" s="9" t="s">
        <v>60</v>
      </c>
      <c r="E132" s="9" t="s">
        <v>58</v>
      </c>
      <c r="F132" s="9" t="s">
        <v>139</v>
      </c>
      <c r="G132" s="9"/>
      <c r="H132" s="9"/>
      <c r="I132" s="9"/>
      <c r="J132" t="s">
        <v>89</v>
      </c>
      <c r="K132" s="17">
        <f>(1/0.76)*5</f>
        <v>6.5789473684210531</v>
      </c>
      <c r="L132" s="9" t="s">
        <v>39</v>
      </c>
      <c r="M132" s="10" t="s">
        <v>105</v>
      </c>
      <c r="N132" s="9" t="s">
        <v>100</v>
      </c>
    </row>
    <row r="133" spans="1:14" x14ac:dyDescent="0.25">
      <c r="A133" s="9" t="s">
        <v>57</v>
      </c>
      <c r="B133" s="9"/>
      <c r="C133" s="9"/>
      <c r="D133" s="9" t="s">
        <v>60</v>
      </c>
      <c r="E133" s="9" t="s">
        <v>58</v>
      </c>
      <c r="F133" s="9" t="s">
        <v>140</v>
      </c>
      <c r="G133" s="9"/>
      <c r="H133" s="9"/>
      <c r="I133" s="9"/>
      <c r="J133" t="s">
        <v>89</v>
      </c>
      <c r="K133" s="10">
        <v>18</v>
      </c>
      <c r="L133" s="9" t="s">
        <v>39</v>
      </c>
      <c r="M133" s="9"/>
      <c r="N133" s="9" t="s">
        <v>100</v>
      </c>
    </row>
    <row r="134" spans="1:14" x14ac:dyDescent="0.25">
      <c r="A134" t="s">
        <v>104</v>
      </c>
      <c r="B134" s="9"/>
      <c r="C134" s="9"/>
      <c r="D134" s="10" t="s">
        <v>82</v>
      </c>
      <c r="E134" s="10" t="s">
        <v>58</v>
      </c>
      <c r="F134" s="9"/>
      <c r="G134" s="9"/>
      <c r="H134" s="9"/>
      <c r="I134" s="9"/>
      <c r="J134" t="s">
        <v>88</v>
      </c>
      <c r="K134" s="10">
        <v>71</v>
      </c>
      <c r="L134" s="10" t="s">
        <v>39</v>
      </c>
      <c r="M134" s="9"/>
      <c r="N134" s="9" t="s">
        <v>100</v>
      </c>
    </row>
    <row r="135" spans="1:14" x14ac:dyDescent="0.25">
      <c r="A135" t="s">
        <v>104</v>
      </c>
      <c r="B135" s="9"/>
      <c r="C135" s="9"/>
      <c r="D135" s="10" t="s">
        <v>82</v>
      </c>
      <c r="E135" s="10" t="s">
        <v>58</v>
      </c>
      <c r="F135" s="10" t="s">
        <v>141</v>
      </c>
      <c r="G135" s="9"/>
      <c r="H135" s="9"/>
      <c r="I135" s="9"/>
      <c r="J135" t="s">
        <v>89</v>
      </c>
      <c r="K135" s="17">
        <f>(1/0.52)*7</f>
        <v>13.46153846153846</v>
      </c>
      <c r="L135" s="10" t="s">
        <v>39</v>
      </c>
      <c r="M135" s="10" t="s">
        <v>106</v>
      </c>
      <c r="N135" s="9"/>
    </row>
    <row r="136" spans="1:14" x14ac:dyDescent="0.25">
      <c r="A136" t="s">
        <v>104</v>
      </c>
      <c r="B136" s="9"/>
      <c r="C136" s="9"/>
      <c r="D136" s="10" t="s">
        <v>82</v>
      </c>
      <c r="E136" s="10" t="s">
        <v>58</v>
      </c>
      <c r="F136" s="9" t="s">
        <v>142</v>
      </c>
      <c r="G136" s="9"/>
      <c r="H136" s="9"/>
      <c r="I136" s="9"/>
      <c r="J136" t="s">
        <v>89</v>
      </c>
      <c r="K136" s="17">
        <f>(1/0.52)*3</f>
        <v>5.7692307692307683</v>
      </c>
      <c r="L136" s="10" t="s">
        <v>39</v>
      </c>
      <c r="M136" s="10" t="s">
        <v>106</v>
      </c>
      <c r="N136" s="9"/>
    </row>
    <row r="137" spans="1:14" x14ac:dyDescent="0.25">
      <c r="A137" t="s">
        <v>104</v>
      </c>
      <c r="B137" s="9"/>
      <c r="C137" s="9"/>
      <c r="D137" s="10" t="s">
        <v>82</v>
      </c>
      <c r="E137" s="10" t="s">
        <v>58</v>
      </c>
      <c r="F137" s="10" t="s">
        <v>143</v>
      </c>
      <c r="G137" s="9"/>
      <c r="H137" s="9"/>
      <c r="I137" s="9"/>
      <c r="J137" t="s">
        <v>89</v>
      </c>
      <c r="K137" s="17">
        <f>(1/0.52)*6</f>
        <v>11.538461538461537</v>
      </c>
      <c r="L137" s="10" t="s">
        <v>39</v>
      </c>
      <c r="M137" s="10" t="s">
        <v>106</v>
      </c>
      <c r="N137" s="9"/>
    </row>
    <row r="138" spans="1:14" x14ac:dyDescent="0.25">
      <c r="A138" t="s">
        <v>104</v>
      </c>
      <c r="B138" s="9"/>
      <c r="C138" s="9"/>
      <c r="D138" s="10" t="s">
        <v>82</v>
      </c>
      <c r="E138" s="10" t="s">
        <v>58</v>
      </c>
      <c r="F138" s="9" t="s">
        <v>144</v>
      </c>
      <c r="G138" s="9"/>
      <c r="H138" s="9"/>
      <c r="I138" s="9"/>
      <c r="J138" t="s">
        <v>89</v>
      </c>
      <c r="K138" s="10">
        <v>12</v>
      </c>
      <c r="L138" s="10" t="s">
        <v>39</v>
      </c>
      <c r="M138" s="9"/>
      <c r="N138" s="9"/>
    </row>
    <row r="139" spans="1:14" x14ac:dyDescent="0.25">
      <c r="A139" s="5" t="s">
        <v>22</v>
      </c>
      <c r="B139" s="5"/>
      <c r="C139" s="5"/>
      <c r="D139" s="5"/>
      <c r="E139" s="5"/>
      <c r="F139" s="5"/>
      <c r="G139" s="5"/>
      <c r="H139" s="5"/>
      <c r="I139" s="5"/>
      <c r="J139" s="6"/>
      <c r="K139" s="6"/>
      <c r="L139" s="6"/>
      <c r="M139" s="6"/>
      <c r="N139" s="6"/>
    </row>
    <row r="140" spans="1:14" x14ac:dyDescent="0.25">
      <c r="A140" t="s">
        <v>146</v>
      </c>
      <c r="C140" t="s">
        <v>148</v>
      </c>
      <c r="H140" t="s">
        <v>47</v>
      </c>
      <c r="J140" t="s">
        <v>88</v>
      </c>
      <c r="K140" s="22">
        <v>40</v>
      </c>
      <c r="L140" t="s">
        <v>39</v>
      </c>
      <c r="M140" s="12" t="s">
        <v>152</v>
      </c>
      <c r="N140" s="9" t="s">
        <v>100</v>
      </c>
    </row>
    <row r="141" spans="1:14" x14ac:dyDescent="0.25">
      <c r="A141" t="s">
        <v>146</v>
      </c>
      <c r="C141" t="s">
        <v>148</v>
      </c>
      <c r="F141" t="s">
        <v>149</v>
      </c>
      <c r="H141" t="s">
        <v>47</v>
      </c>
      <c r="J141" t="s">
        <v>89</v>
      </c>
      <c r="K141" s="22">
        <v>60</v>
      </c>
      <c r="L141" t="s">
        <v>39</v>
      </c>
      <c r="N141" s="9" t="s">
        <v>100</v>
      </c>
    </row>
    <row r="142" spans="1:14" x14ac:dyDescent="0.25">
      <c r="A142" t="s">
        <v>146</v>
      </c>
      <c r="C142" t="s">
        <v>148</v>
      </c>
      <c r="H142" t="s">
        <v>45</v>
      </c>
      <c r="J142" t="s">
        <v>88</v>
      </c>
      <c r="K142" s="22">
        <v>32</v>
      </c>
      <c r="L142" t="s">
        <v>39</v>
      </c>
      <c r="M142" t="s">
        <v>151</v>
      </c>
      <c r="N142" s="9"/>
    </row>
    <row r="143" spans="1:14" x14ac:dyDescent="0.25">
      <c r="A143" t="s">
        <v>146</v>
      </c>
      <c r="C143" t="s">
        <v>148</v>
      </c>
      <c r="F143" t="s">
        <v>150</v>
      </c>
      <c r="H143" t="s">
        <v>45</v>
      </c>
      <c r="J143" t="s">
        <v>89</v>
      </c>
      <c r="K143" s="22">
        <v>68</v>
      </c>
      <c r="L143" t="s">
        <v>39</v>
      </c>
      <c r="N143" s="9"/>
    </row>
    <row r="144" spans="1:14" x14ac:dyDescent="0.25">
      <c r="A144" s="5" t="s">
        <v>29</v>
      </c>
      <c r="B144" s="5"/>
      <c r="C144" s="5"/>
      <c r="D144" s="5"/>
      <c r="E144" s="5"/>
      <c r="F144" s="5"/>
      <c r="G144" s="5"/>
      <c r="H144" s="5"/>
      <c r="I144" s="5"/>
      <c r="J144" s="6"/>
      <c r="K144" s="6"/>
      <c r="L144" s="6"/>
      <c r="M144" s="6"/>
      <c r="N144" s="6"/>
    </row>
    <row r="145" spans="1:14" x14ac:dyDescent="0.25">
      <c r="A145" t="s">
        <v>125</v>
      </c>
      <c r="B145" s="11"/>
      <c r="C145" s="9" t="s">
        <v>51</v>
      </c>
      <c r="D145" s="11"/>
      <c r="E145" s="11"/>
      <c r="F145" s="11"/>
      <c r="G145" s="11"/>
      <c r="H145" s="11"/>
      <c r="I145" s="11"/>
      <c r="J145" t="s">
        <v>88</v>
      </c>
      <c r="K145" s="21">
        <f>655*0.7</f>
        <v>458.49999999999994</v>
      </c>
      <c r="L145" s="10" t="s">
        <v>39</v>
      </c>
      <c r="M145" s="9"/>
      <c r="N145" s="9" t="s">
        <v>100</v>
      </c>
    </row>
    <row r="146" spans="1:14" x14ac:dyDescent="0.25">
      <c r="A146" t="s">
        <v>125</v>
      </c>
      <c r="B146" s="11"/>
      <c r="C146" s="9" t="s">
        <v>51</v>
      </c>
      <c r="D146" s="11"/>
      <c r="E146" s="11"/>
      <c r="F146" s="20" t="s">
        <v>145</v>
      </c>
      <c r="G146" s="11"/>
      <c r="H146" s="11"/>
      <c r="I146" s="11"/>
      <c r="J146" t="s">
        <v>89</v>
      </c>
      <c r="K146" s="21">
        <f>1*(K145/100)*0.2*100</f>
        <v>91.699999999999989</v>
      </c>
      <c r="L146" s="10" t="s">
        <v>39</v>
      </c>
      <c r="M146" s="9" t="s">
        <v>129</v>
      </c>
      <c r="N146" s="9" t="s">
        <v>128</v>
      </c>
    </row>
    <row r="147" spans="1:14" x14ac:dyDescent="0.2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9"/>
      <c r="M147" s="9"/>
      <c r="N147" s="9"/>
    </row>
    <row r="148" spans="1:14" x14ac:dyDescent="0.25">
      <c r="A148" s="3" t="s">
        <v>40</v>
      </c>
      <c r="B148" s="3"/>
      <c r="C148" s="3"/>
      <c r="D148" s="3"/>
      <c r="E148" s="3"/>
      <c r="F148" s="3"/>
      <c r="G148" s="3"/>
      <c r="H148" s="3"/>
      <c r="I148" s="3"/>
      <c r="J148" s="4"/>
      <c r="K148" s="4"/>
      <c r="L148" s="4"/>
      <c r="M148" s="4"/>
      <c r="N148" s="4"/>
    </row>
    <row r="149" spans="1:14" x14ac:dyDescent="0.25">
      <c r="J149" s="8" t="s">
        <v>41</v>
      </c>
      <c r="K149" s="8">
        <v>100</v>
      </c>
      <c r="L149" s="8" t="s">
        <v>39</v>
      </c>
      <c r="M149" s="8" t="s">
        <v>46</v>
      </c>
    </row>
    <row r="150" spans="1:14" x14ac:dyDescent="0.25">
      <c r="A150" s="5" t="s">
        <v>10</v>
      </c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6"/>
      <c r="M150" s="6"/>
      <c r="N150" s="6"/>
    </row>
    <row r="151" spans="1:14" x14ac:dyDescent="0.25">
      <c r="A151" t="s">
        <v>35</v>
      </c>
      <c r="J151" t="s">
        <v>41</v>
      </c>
      <c r="K151">
        <v>22</v>
      </c>
      <c r="L151" t="s">
        <v>39</v>
      </c>
    </row>
    <row r="152" spans="1:14" x14ac:dyDescent="0.25">
      <c r="A152" t="s">
        <v>44</v>
      </c>
      <c r="J152" t="s">
        <v>41</v>
      </c>
      <c r="K152">
        <v>100</v>
      </c>
      <c r="L152" t="s">
        <v>39</v>
      </c>
    </row>
    <row r="153" spans="1:14" x14ac:dyDescent="0.25">
      <c r="A153" t="s">
        <v>50</v>
      </c>
      <c r="J153" t="s">
        <v>41</v>
      </c>
      <c r="K153">
        <v>4</v>
      </c>
      <c r="L153" t="s">
        <v>39</v>
      </c>
    </row>
    <row r="154" spans="1:14" x14ac:dyDescent="0.25">
      <c r="A154" t="s">
        <v>96</v>
      </c>
      <c r="J154" t="s">
        <v>41</v>
      </c>
      <c r="K154">
        <v>100</v>
      </c>
      <c r="L154" t="s">
        <v>39</v>
      </c>
    </row>
    <row r="155" spans="1:14" x14ac:dyDescent="0.25">
      <c r="A155" t="s">
        <v>95</v>
      </c>
      <c r="J155" t="s">
        <v>41</v>
      </c>
      <c r="K155">
        <v>8</v>
      </c>
      <c r="L155" t="s">
        <v>39</v>
      </c>
    </row>
    <row r="156" spans="1:14" x14ac:dyDescent="0.25">
      <c r="A156" t="s">
        <v>94</v>
      </c>
      <c r="J156" t="s">
        <v>41</v>
      </c>
      <c r="K156">
        <v>1</v>
      </c>
      <c r="L156" t="s">
        <v>39</v>
      </c>
    </row>
    <row r="157" spans="1:14" x14ac:dyDescent="0.25">
      <c r="A157" t="s">
        <v>93</v>
      </c>
      <c r="J157" t="s">
        <v>41</v>
      </c>
      <c r="K157" s="7">
        <v>22</v>
      </c>
      <c r="L157" s="18" t="s">
        <v>39</v>
      </c>
      <c r="M157" t="s">
        <v>171</v>
      </c>
    </row>
    <row r="158" spans="1:14" x14ac:dyDescent="0.25">
      <c r="A158" s="5" t="s">
        <v>11</v>
      </c>
      <c r="B158" s="5"/>
      <c r="C158" s="5"/>
      <c r="D158" s="5"/>
      <c r="E158" s="5"/>
      <c r="F158" s="5"/>
      <c r="G158" s="5"/>
      <c r="H158" s="5"/>
      <c r="I158" s="5"/>
      <c r="J158" s="6"/>
      <c r="K158" s="6"/>
      <c r="L158" s="6"/>
      <c r="M158" s="6"/>
      <c r="N158" s="6"/>
    </row>
    <row r="159" spans="1:14" x14ac:dyDescent="0.25">
      <c r="A159" s="7" t="s">
        <v>109</v>
      </c>
      <c r="J159" t="s">
        <v>41</v>
      </c>
      <c r="K159" s="18">
        <v>16</v>
      </c>
      <c r="L159" s="18" t="s">
        <v>39</v>
      </c>
    </row>
    <row r="160" spans="1:14" x14ac:dyDescent="0.25">
      <c r="A160" s="7" t="s">
        <v>110</v>
      </c>
      <c r="J160" t="s">
        <v>41</v>
      </c>
      <c r="K160" s="18">
        <v>16</v>
      </c>
      <c r="L160" s="18" t="s">
        <v>39</v>
      </c>
    </row>
    <row r="161" spans="1:14" x14ac:dyDescent="0.25">
      <c r="A161" s="7" t="s">
        <v>112</v>
      </c>
      <c r="J161" t="s">
        <v>41</v>
      </c>
      <c r="K161" s="18">
        <v>16</v>
      </c>
      <c r="L161" s="18" t="s">
        <v>39</v>
      </c>
    </row>
    <row r="162" spans="1:14" x14ac:dyDescent="0.25">
      <c r="A162" s="7" t="s">
        <v>111</v>
      </c>
      <c r="J162" t="s">
        <v>41</v>
      </c>
      <c r="K162" s="18">
        <v>16</v>
      </c>
      <c r="L162" s="18" t="s">
        <v>39</v>
      </c>
    </row>
    <row r="163" spans="1:14" x14ac:dyDescent="0.25">
      <c r="A163" s="5" t="s">
        <v>12</v>
      </c>
      <c r="B163" s="5"/>
      <c r="C163" s="5"/>
      <c r="D163" s="5"/>
      <c r="E163" s="5"/>
      <c r="F163" s="5"/>
      <c r="G163" s="5"/>
      <c r="H163" s="5"/>
      <c r="I163" s="5"/>
      <c r="J163" s="6"/>
      <c r="K163" s="6"/>
      <c r="L163" s="6"/>
      <c r="M163" s="6"/>
      <c r="N163" s="6"/>
    </row>
    <row r="164" spans="1:14" x14ac:dyDescent="0.25">
      <c r="A164" s="18" t="s">
        <v>157</v>
      </c>
      <c r="J164" t="s">
        <v>41</v>
      </c>
      <c r="K164">
        <v>7</v>
      </c>
      <c r="L164" s="18" t="s">
        <v>39</v>
      </c>
    </row>
    <row r="165" spans="1:14" x14ac:dyDescent="0.25">
      <c r="A165" s="18" t="s">
        <v>163</v>
      </c>
      <c r="J165" t="s">
        <v>41</v>
      </c>
      <c r="K165" s="18">
        <v>35</v>
      </c>
      <c r="L165" s="18" t="s">
        <v>39</v>
      </c>
    </row>
    <row r="166" spans="1:14" x14ac:dyDescent="0.25">
      <c r="A166" s="18" t="s">
        <v>159</v>
      </c>
      <c r="J166" t="s">
        <v>41</v>
      </c>
      <c r="K166" s="18">
        <v>63</v>
      </c>
      <c r="L166" s="18" t="s">
        <v>39</v>
      </c>
    </row>
    <row r="167" spans="1:14" x14ac:dyDescent="0.25">
      <c r="A167" s="18" t="s">
        <v>160</v>
      </c>
      <c r="J167" t="s">
        <v>41</v>
      </c>
      <c r="K167" s="7">
        <v>40</v>
      </c>
      <c r="L167" s="18" t="s">
        <v>39</v>
      </c>
      <c r="M167" s="7" t="s">
        <v>172</v>
      </c>
    </row>
    <row r="168" spans="1:14" x14ac:dyDescent="0.25">
      <c r="A168" s="18" t="s">
        <v>161</v>
      </c>
      <c r="J168" t="s">
        <v>41</v>
      </c>
      <c r="K168" s="7">
        <v>70</v>
      </c>
      <c r="L168" s="18" t="s">
        <v>39</v>
      </c>
      <c r="M168" s="7" t="s">
        <v>173</v>
      </c>
    </row>
    <row r="169" spans="1:14" x14ac:dyDescent="0.25">
      <c r="A169" s="18" t="s">
        <v>162</v>
      </c>
      <c r="J169" t="s">
        <v>41</v>
      </c>
      <c r="K169" s="18">
        <v>10</v>
      </c>
      <c r="L169" s="18" t="s">
        <v>39</v>
      </c>
    </row>
    <row r="170" spans="1:14" x14ac:dyDescent="0.25">
      <c r="A170" s="18" t="s">
        <v>120</v>
      </c>
      <c r="J170" t="s">
        <v>41</v>
      </c>
      <c r="K170" s="18">
        <v>90</v>
      </c>
      <c r="L170" s="18" t="s">
        <v>39</v>
      </c>
    </row>
    <row r="171" spans="1:14" x14ac:dyDescent="0.25">
      <c r="A171" s="18" t="s">
        <v>123</v>
      </c>
      <c r="J171" t="s">
        <v>41</v>
      </c>
      <c r="K171" s="18">
        <v>46</v>
      </c>
      <c r="L171" s="18" t="s">
        <v>39</v>
      </c>
    </row>
    <row r="172" spans="1:14" x14ac:dyDescent="0.25">
      <c r="A172" s="18" t="s">
        <v>170</v>
      </c>
      <c r="J172" t="s">
        <v>41</v>
      </c>
      <c r="K172" s="7">
        <v>0</v>
      </c>
      <c r="L172" s="18" t="s">
        <v>39</v>
      </c>
    </row>
    <row r="173" spans="1:14" x14ac:dyDescent="0.25">
      <c r="A173" s="5" t="s">
        <v>14</v>
      </c>
      <c r="B173" s="5"/>
      <c r="C173" s="5"/>
      <c r="D173" s="5"/>
      <c r="E173" s="5"/>
      <c r="F173" s="5"/>
      <c r="G173" s="5"/>
      <c r="H173" s="5"/>
      <c r="I173" s="5"/>
      <c r="J173" s="6"/>
      <c r="K173" s="6"/>
      <c r="L173" s="6"/>
      <c r="M173" s="6"/>
      <c r="N173" s="6"/>
    </row>
    <row r="174" spans="1:14" x14ac:dyDescent="0.25">
      <c r="A174" s="7" t="s">
        <v>65</v>
      </c>
      <c r="J174" t="s">
        <v>41</v>
      </c>
      <c r="K174" s="14">
        <f>8.5*20/(29.5+8.5)</f>
        <v>4.4736842105263159</v>
      </c>
      <c r="L174" t="s">
        <v>39</v>
      </c>
    </row>
    <row r="175" spans="1:14" x14ac:dyDescent="0.25">
      <c r="A175" s="7" t="s">
        <v>64</v>
      </c>
      <c r="J175" t="s">
        <v>41</v>
      </c>
      <c r="K175" s="14">
        <f>(80.7*0+14.4*20+0.3*5*0)/(80.7+14.4+0.3*5)</f>
        <v>2.981366459627329</v>
      </c>
      <c r="L175" t="s">
        <v>39</v>
      </c>
    </row>
    <row r="176" spans="1:14" x14ac:dyDescent="0.25">
      <c r="A176" s="7" t="s">
        <v>66</v>
      </c>
      <c r="J176" t="s">
        <v>41</v>
      </c>
      <c r="K176" s="14">
        <f>(45.6*0+44.1*20+1.3*5*0+1.8*10*0)/(45.6+44.1+1.3*5+1.8*10)</f>
        <v>7.723292469352014</v>
      </c>
      <c r="L176" t="s">
        <v>39</v>
      </c>
    </row>
    <row r="177" spans="1:14" x14ac:dyDescent="0.25">
      <c r="A177" s="7" t="s">
        <v>67</v>
      </c>
      <c r="J177" t="s">
        <v>41</v>
      </c>
      <c r="K177">
        <f>60</f>
        <v>60</v>
      </c>
      <c r="L177" t="s">
        <v>39</v>
      </c>
    </row>
    <row r="178" spans="1:14" x14ac:dyDescent="0.25">
      <c r="A178" s="7" t="s">
        <v>71</v>
      </c>
      <c r="J178" t="s">
        <v>41</v>
      </c>
      <c r="K178">
        <v>0</v>
      </c>
      <c r="L178" t="s">
        <v>39</v>
      </c>
    </row>
    <row r="179" spans="1:14" x14ac:dyDescent="0.25">
      <c r="A179" s="7" t="s">
        <v>72</v>
      </c>
      <c r="J179" t="s">
        <v>41</v>
      </c>
      <c r="K179">
        <v>20</v>
      </c>
      <c r="L179" t="s">
        <v>39</v>
      </c>
    </row>
    <row r="180" spans="1:14" x14ac:dyDescent="0.25">
      <c r="A180" s="7" t="s">
        <v>69</v>
      </c>
      <c r="J180" t="s">
        <v>41</v>
      </c>
      <c r="K180">
        <v>20</v>
      </c>
      <c r="L180" t="s">
        <v>39</v>
      </c>
    </row>
    <row r="181" spans="1:14" x14ac:dyDescent="0.25">
      <c r="A181" s="7" t="s">
        <v>70</v>
      </c>
      <c r="J181" t="s">
        <v>41</v>
      </c>
      <c r="K181">
        <v>20</v>
      </c>
      <c r="L181" t="s">
        <v>39</v>
      </c>
    </row>
    <row r="182" spans="1:14" x14ac:dyDescent="0.25">
      <c r="A182" s="7" t="s">
        <v>68</v>
      </c>
      <c r="J182" t="s">
        <v>41</v>
      </c>
      <c r="K182">
        <f>43</f>
        <v>43</v>
      </c>
      <c r="L182" t="s">
        <v>39</v>
      </c>
    </row>
    <row r="183" spans="1:14" x14ac:dyDescent="0.25">
      <c r="A183" s="5" t="s">
        <v>23</v>
      </c>
      <c r="B183" s="5"/>
      <c r="C183" s="5"/>
      <c r="D183" s="5"/>
      <c r="E183" s="5"/>
      <c r="F183" s="5"/>
      <c r="G183" s="5"/>
      <c r="H183" s="5"/>
      <c r="I183" s="5"/>
      <c r="J183" s="6"/>
      <c r="K183" s="6"/>
      <c r="L183" s="6"/>
      <c r="M183" s="6"/>
      <c r="N183" s="6"/>
    </row>
    <row r="184" spans="1:14" x14ac:dyDescent="0.25">
      <c r="A184" t="s">
        <v>57</v>
      </c>
      <c r="J184" t="s">
        <v>41</v>
      </c>
      <c r="K184">
        <v>36</v>
      </c>
      <c r="L184" t="s">
        <v>39</v>
      </c>
    </row>
    <row r="185" spans="1:14" x14ac:dyDescent="0.25">
      <c r="A185" t="s">
        <v>104</v>
      </c>
      <c r="J185" t="s">
        <v>41</v>
      </c>
      <c r="K185" s="18">
        <v>43</v>
      </c>
      <c r="L185" t="s">
        <v>39</v>
      </c>
    </row>
    <row r="186" spans="1:14" x14ac:dyDescent="0.25">
      <c r="A186" s="5" t="s">
        <v>22</v>
      </c>
      <c r="B186" s="5"/>
      <c r="C186" s="5"/>
      <c r="D186" s="5"/>
      <c r="E186" s="5"/>
      <c r="F186" s="5"/>
      <c r="G186" s="5"/>
      <c r="H186" s="5"/>
      <c r="I186" s="5"/>
      <c r="J186" s="6"/>
      <c r="K186" s="6"/>
      <c r="L186" s="6"/>
      <c r="M186" s="6"/>
      <c r="N186" s="6"/>
    </row>
    <row r="187" spans="1:14" x14ac:dyDescent="0.25">
      <c r="A187" t="s">
        <v>146</v>
      </c>
      <c r="J187" t="s">
        <v>41</v>
      </c>
      <c r="K187" s="16">
        <v>52</v>
      </c>
      <c r="L187" t="s">
        <v>39</v>
      </c>
      <c r="M187" s="25"/>
    </row>
    <row r="188" spans="1:14" x14ac:dyDescent="0.25">
      <c r="A188" s="5" t="s">
        <v>29</v>
      </c>
      <c r="B188" s="5"/>
      <c r="C188" s="5"/>
      <c r="D188" s="5"/>
      <c r="E188" s="5"/>
      <c r="F188" s="5"/>
      <c r="G188" s="5"/>
      <c r="H188" s="5"/>
      <c r="I188" s="5"/>
      <c r="J188" s="6"/>
      <c r="K188" s="6"/>
      <c r="L188" s="6"/>
      <c r="M188" s="6"/>
      <c r="N188" s="6"/>
    </row>
    <row r="189" spans="1:14" x14ac:dyDescent="0.25">
      <c r="A189" t="s">
        <v>125</v>
      </c>
      <c r="J189" t="s">
        <v>41</v>
      </c>
      <c r="K189">
        <v>4</v>
      </c>
      <c r="L189" t="s">
        <v>39</v>
      </c>
      <c r="M189" t="s">
        <v>127</v>
      </c>
    </row>
    <row r="191" spans="1:14" x14ac:dyDescent="0.25">
      <c r="A191" s="3" t="s">
        <v>153</v>
      </c>
      <c r="B191" s="3"/>
      <c r="C191" s="3"/>
      <c r="D191" s="3"/>
      <c r="E191" s="3"/>
      <c r="F191" s="3"/>
      <c r="G191" s="3"/>
      <c r="H191" s="3"/>
      <c r="I191" s="3"/>
      <c r="J191" s="4"/>
      <c r="K191" s="4"/>
      <c r="L191" s="4"/>
      <c r="M191" s="4"/>
      <c r="N191" s="4"/>
    </row>
    <row r="192" spans="1:14" x14ac:dyDescent="0.25">
      <c r="G192" s="8"/>
      <c r="H192" s="8" t="s">
        <v>47</v>
      </c>
      <c r="I192" s="8"/>
      <c r="J192" s="8" t="s">
        <v>42</v>
      </c>
      <c r="K192" s="8">
        <v>-100</v>
      </c>
      <c r="L192" s="8" t="s">
        <v>48</v>
      </c>
      <c r="M192" s="8" t="s">
        <v>90</v>
      </c>
    </row>
    <row r="193" spans="1:14" x14ac:dyDescent="0.25">
      <c r="G193" s="8"/>
      <c r="H193" s="8" t="s">
        <v>45</v>
      </c>
      <c r="I193" s="8"/>
      <c r="J193" s="8" t="s">
        <v>42</v>
      </c>
      <c r="K193" s="8">
        <v>0</v>
      </c>
      <c r="L193" s="8" t="s">
        <v>39</v>
      </c>
      <c r="M193" s="8" t="s">
        <v>46</v>
      </c>
    </row>
    <row r="194" spans="1:14" x14ac:dyDescent="0.25">
      <c r="A194" s="5" t="s">
        <v>10</v>
      </c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6"/>
      <c r="M194" s="6"/>
      <c r="N194" s="6"/>
    </row>
    <row r="195" spans="1:14" x14ac:dyDescent="0.25">
      <c r="A195" t="s">
        <v>35</v>
      </c>
      <c r="G195" t="s">
        <v>91</v>
      </c>
      <c r="H195" t="s">
        <v>45</v>
      </c>
      <c r="J195" t="s">
        <v>42</v>
      </c>
      <c r="K195" s="18">
        <v>5.3</v>
      </c>
      <c r="L195" t="s">
        <v>39</v>
      </c>
      <c r="N195" t="s">
        <v>108</v>
      </c>
    </row>
    <row r="196" spans="1:14" x14ac:dyDescent="0.25">
      <c r="A196" t="s">
        <v>50</v>
      </c>
      <c r="G196" t="s">
        <v>91</v>
      </c>
      <c r="H196" t="s">
        <v>45</v>
      </c>
      <c r="J196" t="s">
        <v>42</v>
      </c>
      <c r="K196" s="18">
        <v>4.9000000000000004</v>
      </c>
      <c r="L196" t="s">
        <v>39</v>
      </c>
      <c r="N196" t="s">
        <v>108</v>
      </c>
    </row>
    <row r="197" spans="1:14" x14ac:dyDescent="0.25">
      <c r="A197" t="s">
        <v>95</v>
      </c>
      <c r="G197" t="s">
        <v>91</v>
      </c>
      <c r="H197" t="s">
        <v>45</v>
      </c>
      <c r="J197" t="s">
        <v>42</v>
      </c>
      <c r="K197" s="18">
        <v>12.7</v>
      </c>
      <c r="L197" t="s">
        <v>39</v>
      </c>
      <c r="N197" t="s">
        <v>108</v>
      </c>
    </row>
    <row r="198" spans="1:14" x14ac:dyDescent="0.25">
      <c r="A198" t="s">
        <v>94</v>
      </c>
      <c r="G198" t="s">
        <v>91</v>
      </c>
      <c r="H198" t="s">
        <v>45</v>
      </c>
      <c r="J198" t="s">
        <v>42</v>
      </c>
      <c r="K198" s="18">
        <v>15.7</v>
      </c>
      <c r="L198" t="s">
        <v>39</v>
      </c>
      <c r="N198" t="s">
        <v>108</v>
      </c>
    </row>
    <row r="199" spans="1:14" x14ac:dyDescent="0.25">
      <c r="A199" t="s">
        <v>93</v>
      </c>
      <c r="G199" t="s">
        <v>91</v>
      </c>
      <c r="H199" t="s">
        <v>45</v>
      </c>
      <c r="J199" t="s">
        <v>42</v>
      </c>
      <c r="K199" s="7">
        <v>10</v>
      </c>
      <c r="L199" t="s">
        <v>39</v>
      </c>
    </row>
    <row r="200" spans="1:14" x14ac:dyDescent="0.25">
      <c r="A200" s="5" t="s">
        <v>11</v>
      </c>
      <c r="B200" s="5"/>
      <c r="C200" s="5"/>
      <c r="D200" s="5"/>
      <c r="E200" s="5"/>
      <c r="F200" s="5"/>
      <c r="G200" s="5"/>
      <c r="H200" s="5"/>
      <c r="I200" s="5"/>
      <c r="J200" s="6"/>
      <c r="K200" s="6"/>
      <c r="L200" s="6"/>
      <c r="M200" s="6"/>
      <c r="N200" s="6"/>
    </row>
    <row r="201" spans="1:14" x14ac:dyDescent="0.25">
      <c r="A201" s="7" t="s">
        <v>109</v>
      </c>
      <c r="G201" t="s">
        <v>91</v>
      </c>
      <c r="H201" t="s">
        <v>45</v>
      </c>
      <c r="J201" t="s">
        <v>42</v>
      </c>
      <c r="K201" s="7">
        <v>5</v>
      </c>
      <c r="L201" t="s">
        <v>39</v>
      </c>
    </row>
    <row r="202" spans="1:14" x14ac:dyDescent="0.25">
      <c r="A202" s="7" t="s">
        <v>110</v>
      </c>
      <c r="G202" t="s">
        <v>91</v>
      </c>
      <c r="H202" t="s">
        <v>45</v>
      </c>
      <c r="J202" t="s">
        <v>42</v>
      </c>
      <c r="K202" s="7">
        <v>5</v>
      </c>
      <c r="L202" t="s">
        <v>39</v>
      </c>
    </row>
    <row r="203" spans="1:14" x14ac:dyDescent="0.25">
      <c r="A203" s="7" t="s">
        <v>112</v>
      </c>
      <c r="G203" t="s">
        <v>91</v>
      </c>
      <c r="H203" t="s">
        <v>45</v>
      </c>
      <c r="J203" t="s">
        <v>42</v>
      </c>
      <c r="K203" s="7">
        <v>5</v>
      </c>
      <c r="L203" t="s">
        <v>39</v>
      </c>
    </row>
    <row r="204" spans="1:14" x14ac:dyDescent="0.25">
      <c r="A204" s="7" t="s">
        <v>111</v>
      </c>
      <c r="G204" t="s">
        <v>91</v>
      </c>
      <c r="H204" t="s">
        <v>45</v>
      </c>
      <c r="J204" t="s">
        <v>42</v>
      </c>
      <c r="K204" s="7">
        <v>5</v>
      </c>
      <c r="L204" t="s">
        <v>39</v>
      </c>
    </row>
    <row r="205" spans="1:14" x14ac:dyDescent="0.25">
      <c r="A205" s="5" t="s">
        <v>12</v>
      </c>
      <c r="B205" s="5"/>
      <c r="C205" s="5"/>
      <c r="D205" s="5"/>
      <c r="E205" s="5"/>
      <c r="F205" s="5"/>
      <c r="G205" s="5"/>
      <c r="H205" s="5"/>
      <c r="I205" s="5"/>
      <c r="J205" s="6"/>
      <c r="K205" s="6"/>
      <c r="L205" s="6"/>
      <c r="M205" s="6"/>
      <c r="N205" s="6"/>
    </row>
    <row r="206" spans="1:14" x14ac:dyDescent="0.25">
      <c r="A206" s="18" t="s">
        <v>120</v>
      </c>
      <c r="G206" t="s">
        <v>91</v>
      </c>
      <c r="H206" t="s">
        <v>45</v>
      </c>
      <c r="J206" t="s">
        <v>42</v>
      </c>
      <c r="K206" s="7">
        <v>1</v>
      </c>
      <c r="L206" t="s">
        <v>39</v>
      </c>
    </row>
    <row r="207" spans="1:14" x14ac:dyDescent="0.25">
      <c r="A207" s="18" t="s">
        <v>123</v>
      </c>
      <c r="G207" t="s">
        <v>91</v>
      </c>
      <c r="H207" t="s">
        <v>45</v>
      </c>
      <c r="J207" t="s">
        <v>42</v>
      </c>
      <c r="K207" s="7">
        <v>1</v>
      </c>
      <c r="L207" t="s">
        <v>39</v>
      </c>
    </row>
    <row r="208" spans="1:14" x14ac:dyDescent="0.25">
      <c r="A208" s="5" t="s">
        <v>14</v>
      </c>
      <c r="B208" s="5"/>
      <c r="C208" s="5"/>
      <c r="D208" s="5"/>
      <c r="E208" s="5"/>
      <c r="F208" s="5"/>
      <c r="G208" s="5"/>
      <c r="H208" s="5"/>
      <c r="I208" s="5"/>
      <c r="J208" s="6"/>
      <c r="K208" s="6"/>
      <c r="L208" s="6"/>
      <c r="M208" s="6"/>
      <c r="N208" s="6"/>
    </row>
    <row r="209" spans="1:14" x14ac:dyDescent="0.25">
      <c r="A209" s="7"/>
      <c r="B209" t="s">
        <v>84</v>
      </c>
      <c r="G209" t="s">
        <v>91</v>
      </c>
      <c r="H209" t="s">
        <v>45</v>
      </c>
      <c r="J209" t="s">
        <v>42</v>
      </c>
      <c r="K209" s="16">
        <v>17</v>
      </c>
      <c r="L209" t="s">
        <v>39</v>
      </c>
      <c r="M209" t="s">
        <v>103</v>
      </c>
      <c r="N209" t="s">
        <v>102</v>
      </c>
    </row>
    <row r="210" spans="1:14" x14ac:dyDescent="0.25">
      <c r="A210" s="5" t="s">
        <v>23</v>
      </c>
      <c r="B210" s="5"/>
      <c r="C210" s="5"/>
      <c r="D210" s="5"/>
      <c r="E210" s="5"/>
      <c r="F210" s="5"/>
      <c r="G210" s="5"/>
      <c r="H210" s="5"/>
      <c r="I210" s="5"/>
      <c r="J210" s="6"/>
      <c r="K210" s="6"/>
      <c r="L210" s="6"/>
      <c r="M210" s="6"/>
      <c r="N210" s="6"/>
    </row>
    <row r="211" spans="1:14" x14ac:dyDescent="0.25">
      <c r="A211" t="s">
        <v>57</v>
      </c>
      <c r="G211" t="s">
        <v>91</v>
      </c>
      <c r="H211" t="s">
        <v>45</v>
      </c>
      <c r="J211" t="s">
        <v>42</v>
      </c>
      <c r="K211" s="7">
        <v>2.4</v>
      </c>
      <c r="L211" t="s">
        <v>39</v>
      </c>
    </row>
    <row r="212" spans="1:14" x14ac:dyDescent="0.25">
      <c r="A212" t="s">
        <v>104</v>
      </c>
      <c r="G212" t="s">
        <v>91</v>
      </c>
      <c r="H212" t="s">
        <v>45</v>
      </c>
      <c r="J212" t="s">
        <v>42</v>
      </c>
      <c r="K212">
        <v>15.4</v>
      </c>
      <c r="L212" t="s">
        <v>39</v>
      </c>
    </row>
    <row r="213" spans="1:14" x14ac:dyDescent="0.25">
      <c r="A213" s="5" t="s">
        <v>22</v>
      </c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6"/>
      <c r="M213" s="6"/>
      <c r="N213" s="6"/>
    </row>
    <row r="214" spans="1:14" x14ac:dyDescent="0.25">
      <c r="A214" t="s">
        <v>146</v>
      </c>
      <c r="G214" t="s">
        <v>91</v>
      </c>
      <c r="H214" t="s">
        <v>45</v>
      </c>
      <c r="J214" t="s">
        <v>42</v>
      </c>
      <c r="K214" s="24">
        <v>1</v>
      </c>
      <c r="L214" t="s">
        <v>39</v>
      </c>
    </row>
    <row r="215" spans="1:14" x14ac:dyDescent="0.25">
      <c r="A215" s="5" t="s">
        <v>29</v>
      </c>
      <c r="B215" s="5"/>
      <c r="C215" s="5"/>
      <c r="D215" s="5"/>
      <c r="E215" s="5"/>
      <c r="F215" s="5"/>
      <c r="G215" s="5"/>
      <c r="H215" s="5"/>
      <c r="I215" s="5"/>
      <c r="J215" s="6"/>
      <c r="K215" s="6"/>
      <c r="L215" s="6"/>
      <c r="M215" s="6"/>
      <c r="N215" s="6"/>
    </row>
    <row r="216" spans="1:14" x14ac:dyDescent="0.25">
      <c r="A216" t="s">
        <v>125</v>
      </c>
      <c r="G216" t="s">
        <v>91</v>
      </c>
      <c r="H216" t="s">
        <v>45</v>
      </c>
      <c r="J216" t="s">
        <v>42</v>
      </c>
      <c r="K216" s="18">
        <v>4.9000000000000004</v>
      </c>
      <c r="L216" t="s">
        <v>39</v>
      </c>
      <c r="M216" t="s">
        <v>127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2023-05-05T05:37:12Z</dcterms:modified>
</cp:coreProperties>
</file>