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  <sheet name="poultry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0" i="1" l="1"/>
  <c r="C37" i="2"/>
  <c r="O37" i="2"/>
  <c r="N37" i="2"/>
  <c r="K71" i="1" l="1"/>
  <c r="K72" i="1"/>
  <c r="K73" i="1"/>
  <c r="K74" i="1"/>
  <c r="K75" i="1"/>
  <c r="K94" i="1"/>
  <c r="K70" i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3" i="2"/>
  <c r="O23" i="2" s="1"/>
  <c r="N26" i="2"/>
  <c r="O26" i="2" s="1"/>
  <c r="N28" i="2"/>
  <c r="O28" i="2" s="1"/>
  <c r="N32" i="2"/>
  <c r="O32" i="2" s="1"/>
  <c r="N33" i="2"/>
  <c r="O33" i="2" s="1"/>
  <c r="N42" i="2"/>
  <c r="O42" i="2" s="1"/>
  <c r="N43" i="2"/>
  <c r="O43" i="2" s="1"/>
  <c r="K13" i="2"/>
  <c r="N13" i="2"/>
  <c r="O13" i="2" s="1"/>
  <c r="J13" i="2"/>
  <c r="K125" i="1" l="1"/>
  <c r="K121" i="1"/>
  <c r="K131" i="1"/>
  <c r="K118" i="1"/>
  <c r="K29" i="1"/>
  <c r="J25" i="2"/>
  <c r="K25" i="2" s="1"/>
  <c r="C25" i="2" s="1"/>
  <c r="K17" i="2"/>
  <c r="C17" i="2" s="1"/>
  <c r="C31" i="2"/>
  <c r="J17" i="2"/>
  <c r="L17" i="2" s="1"/>
  <c r="E17" i="2"/>
  <c r="K14" i="1" l="1"/>
  <c r="K80" i="1"/>
  <c r="K23" i="1"/>
  <c r="K88" i="1"/>
  <c r="L25" i="2"/>
  <c r="K126" i="1" s="1"/>
  <c r="K189" i="1"/>
  <c r="K34" i="1"/>
  <c r="K9" i="1"/>
  <c r="K8" i="1"/>
  <c r="K5" i="1"/>
  <c r="K6" i="1"/>
  <c r="K7" i="1"/>
  <c r="K4" i="1"/>
  <c r="K109" i="1"/>
  <c r="K110" i="1"/>
  <c r="K111" i="1"/>
  <c r="K112" i="1"/>
  <c r="K108" i="1"/>
  <c r="E23" i="2"/>
  <c r="H23" i="2" s="1"/>
  <c r="K152" i="1" s="1"/>
  <c r="J36" i="2"/>
  <c r="K36" i="2" s="1"/>
  <c r="C36" i="2" s="1"/>
  <c r="K99" i="1" s="1"/>
  <c r="F23" i="2" l="1"/>
  <c r="C23" i="2" s="1"/>
  <c r="G23" i="2"/>
  <c r="K179" i="1" s="1"/>
  <c r="L36" i="2"/>
  <c r="K134" i="1" s="1"/>
  <c r="K20" i="1" l="1"/>
  <c r="K86" i="1"/>
  <c r="J40" i="2"/>
  <c r="L40" i="2" s="1"/>
  <c r="K137" i="1" s="1"/>
  <c r="J14" i="2"/>
  <c r="K14" i="2" s="1"/>
  <c r="J15" i="2"/>
  <c r="K15" i="2" s="1"/>
  <c r="J16" i="2"/>
  <c r="K16" i="2" s="1"/>
  <c r="J18" i="2"/>
  <c r="L18" i="2" s="1"/>
  <c r="K119" i="1" s="1"/>
  <c r="J19" i="2"/>
  <c r="K19" i="2" s="1"/>
  <c r="J21" i="2"/>
  <c r="K21" i="2" s="1"/>
  <c r="J22" i="2"/>
  <c r="K22" i="2" s="1"/>
  <c r="J24" i="2"/>
  <c r="L24" i="2" s="1"/>
  <c r="K124" i="1" s="1"/>
  <c r="J26" i="2"/>
  <c r="J28" i="2"/>
  <c r="K28" i="2" s="1"/>
  <c r="J29" i="2"/>
  <c r="K29" i="2" s="1"/>
  <c r="J30" i="2"/>
  <c r="L30" i="2" s="1"/>
  <c r="K130" i="1" s="1"/>
  <c r="J32" i="2"/>
  <c r="K32" i="2" s="1"/>
  <c r="J34" i="2"/>
  <c r="K34" i="2" s="1"/>
  <c r="J38" i="2"/>
  <c r="K38" i="2" s="1"/>
  <c r="J39" i="2"/>
  <c r="L39" i="2" s="1"/>
  <c r="K136" i="1" s="1"/>
  <c r="J42" i="2"/>
  <c r="K42" i="2" s="1"/>
  <c r="L13" i="2"/>
  <c r="K114" i="1" s="1"/>
  <c r="E13" i="2"/>
  <c r="K26" i="2" l="1"/>
  <c r="L26" i="2"/>
  <c r="K40" i="2"/>
  <c r="L34" i="2"/>
  <c r="K133" i="1" s="1"/>
  <c r="L28" i="2"/>
  <c r="K128" i="1" s="1"/>
  <c r="L21" i="2"/>
  <c r="K122" i="1" s="1"/>
  <c r="L15" i="2"/>
  <c r="K116" i="1" s="1"/>
  <c r="K39" i="2"/>
  <c r="K30" i="2"/>
  <c r="K24" i="2"/>
  <c r="C24" i="2" s="1"/>
  <c r="K18" i="2"/>
  <c r="L42" i="2"/>
  <c r="K138" i="1" s="1"/>
  <c r="L38" i="2"/>
  <c r="K135" i="1" s="1"/>
  <c r="L32" i="2"/>
  <c r="K132" i="1" s="1"/>
  <c r="L29" i="2"/>
  <c r="K129" i="1" s="1"/>
  <c r="K127" i="1"/>
  <c r="L22" i="2"/>
  <c r="K123" i="1" s="1"/>
  <c r="L19" i="2"/>
  <c r="K120" i="1" s="1"/>
  <c r="L16" i="2"/>
  <c r="K117" i="1" s="1"/>
  <c r="L14" i="2"/>
  <c r="K115" i="1" s="1"/>
  <c r="E43" i="2"/>
  <c r="H43" i="2" s="1"/>
  <c r="K168" i="1" s="1"/>
  <c r="E14" i="2"/>
  <c r="F14" i="2" s="1"/>
  <c r="C14" i="2" s="1"/>
  <c r="E15" i="2"/>
  <c r="G15" i="2" s="1"/>
  <c r="K172" i="1" s="1"/>
  <c r="E16" i="2"/>
  <c r="H16" i="2" s="1"/>
  <c r="K146" i="1" s="1"/>
  <c r="E18" i="2"/>
  <c r="F18" i="2" s="1"/>
  <c r="E19" i="2"/>
  <c r="F19" i="2" s="1"/>
  <c r="C19" i="2" s="1"/>
  <c r="E20" i="2"/>
  <c r="G20" i="2" s="1"/>
  <c r="K176" i="1" s="1"/>
  <c r="E21" i="2"/>
  <c r="H21" i="2" s="1"/>
  <c r="K150" i="1" s="1"/>
  <c r="E22" i="2"/>
  <c r="F22" i="2" s="1"/>
  <c r="C22" i="2" s="1"/>
  <c r="E26" i="2"/>
  <c r="F26" i="2" s="1"/>
  <c r="C26" i="2" s="1"/>
  <c r="E27" i="2"/>
  <c r="G27" i="2" s="1"/>
  <c r="K181" i="1" s="1"/>
  <c r="E28" i="2"/>
  <c r="H28" i="2" s="1"/>
  <c r="K155" i="1" s="1"/>
  <c r="E29" i="2"/>
  <c r="F29" i="2" s="1"/>
  <c r="C29" i="2" s="1"/>
  <c r="E30" i="2"/>
  <c r="F30" i="2" s="1"/>
  <c r="E32" i="2"/>
  <c r="G32" i="2" s="1"/>
  <c r="K185" i="1" s="1"/>
  <c r="E33" i="2"/>
  <c r="H33" i="2" s="1"/>
  <c r="K159" i="1" s="1"/>
  <c r="E34" i="2"/>
  <c r="F34" i="2" s="1"/>
  <c r="C34" i="2" s="1"/>
  <c r="K97" i="1" s="1"/>
  <c r="E35" i="2"/>
  <c r="F35" i="2" s="1"/>
  <c r="C35" i="2" s="1"/>
  <c r="K98" i="1" s="1"/>
  <c r="E38" i="2"/>
  <c r="G38" i="2" s="1"/>
  <c r="K190" i="1" s="1"/>
  <c r="E39" i="2"/>
  <c r="H39" i="2" s="1"/>
  <c r="K164" i="1" s="1"/>
  <c r="E40" i="2"/>
  <c r="F40" i="2" s="1"/>
  <c r="E41" i="2"/>
  <c r="F41" i="2" s="1"/>
  <c r="C41" i="2" s="1"/>
  <c r="K104" i="1" s="1"/>
  <c r="E42" i="2"/>
  <c r="G42" i="2" s="1"/>
  <c r="K194" i="1" s="1"/>
  <c r="G13" i="2"/>
  <c r="K170" i="1" s="1"/>
  <c r="K22" i="1" l="1"/>
  <c r="K87" i="1"/>
  <c r="K24" i="1"/>
  <c r="K89" i="1"/>
  <c r="K16" i="1"/>
  <c r="K82" i="1"/>
  <c r="K11" i="1"/>
  <c r="K77" i="1"/>
  <c r="K27" i="1"/>
  <c r="K92" i="1"/>
  <c r="K19" i="1"/>
  <c r="K85" i="1"/>
  <c r="K33" i="1"/>
  <c r="K32" i="1" s="1"/>
  <c r="C30" i="2"/>
  <c r="C40" i="2"/>
  <c r="K103" i="1" s="1"/>
  <c r="C18" i="2"/>
  <c r="F42" i="2"/>
  <c r="C42" i="2" s="1"/>
  <c r="F38" i="2"/>
  <c r="C38" i="2" s="1"/>
  <c r="F32" i="2"/>
  <c r="C32" i="2" s="1"/>
  <c r="F27" i="2"/>
  <c r="C27" i="2" s="1"/>
  <c r="F20" i="2"/>
  <c r="C20" i="2" s="1"/>
  <c r="F15" i="2"/>
  <c r="C15" i="2" s="1"/>
  <c r="H41" i="2"/>
  <c r="K166" i="1" s="1"/>
  <c r="H35" i="2"/>
  <c r="K161" i="1" s="1"/>
  <c r="H30" i="2"/>
  <c r="K157" i="1" s="1"/>
  <c r="H26" i="2"/>
  <c r="K153" i="1" s="1"/>
  <c r="H19" i="2"/>
  <c r="K148" i="1" s="1"/>
  <c r="H14" i="2"/>
  <c r="K144" i="1" s="1"/>
  <c r="G43" i="2"/>
  <c r="K195" i="1" s="1"/>
  <c r="H40" i="2"/>
  <c r="K165" i="1" s="1"/>
  <c r="H34" i="2"/>
  <c r="H29" i="2"/>
  <c r="K156" i="1" s="1"/>
  <c r="H22" i="2"/>
  <c r="K151" i="1" s="1"/>
  <c r="H18" i="2"/>
  <c r="K147" i="1" s="1"/>
  <c r="F43" i="2"/>
  <c r="C43" i="2" s="1"/>
  <c r="G40" i="2"/>
  <c r="K192" i="1" s="1"/>
  <c r="G34" i="2"/>
  <c r="K187" i="1" s="1"/>
  <c r="G29" i="2"/>
  <c r="K183" i="1" s="1"/>
  <c r="G22" i="2"/>
  <c r="K178" i="1" s="1"/>
  <c r="G18" i="2"/>
  <c r="K174" i="1" s="1"/>
  <c r="F13" i="2"/>
  <c r="C13" i="2" s="1"/>
  <c r="G39" i="2"/>
  <c r="K191" i="1" s="1"/>
  <c r="F39" i="2"/>
  <c r="C39" i="2" s="1"/>
  <c r="F21" i="2"/>
  <c r="G33" i="2"/>
  <c r="K186" i="1" s="1"/>
  <c r="G16" i="2"/>
  <c r="K173" i="1" s="1"/>
  <c r="H13" i="2"/>
  <c r="K143" i="1" s="1"/>
  <c r="F16" i="2"/>
  <c r="C16" i="2" s="1"/>
  <c r="H42" i="2"/>
  <c r="K167" i="1" s="1"/>
  <c r="G41" i="2"/>
  <c r="K193" i="1" s="1"/>
  <c r="H38" i="2"/>
  <c r="K163" i="1" s="1"/>
  <c r="G35" i="2"/>
  <c r="K188" i="1" s="1"/>
  <c r="H32" i="2"/>
  <c r="K158" i="1" s="1"/>
  <c r="G30" i="2"/>
  <c r="K184" i="1" s="1"/>
  <c r="H27" i="2"/>
  <c r="K154" i="1" s="1"/>
  <c r="G26" i="2"/>
  <c r="K180" i="1" s="1"/>
  <c r="H20" i="2"/>
  <c r="K149" i="1" s="1"/>
  <c r="G19" i="2"/>
  <c r="K175" i="1" s="1"/>
  <c r="H15" i="2"/>
  <c r="K145" i="1" s="1"/>
  <c r="G14" i="2"/>
  <c r="K171" i="1" s="1"/>
  <c r="G28" i="2"/>
  <c r="K182" i="1" s="1"/>
  <c r="G21" i="2"/>
  <c r="K177" i="1" s="1"/>
  <c r="F33" i="2"/>
  <c r="C33" i="2" s="1"/>
  <c r="F28" i="2"/>
  <c r="C28" i="2" s="1"/>
  <c r="K26" i="1" l="1"/>
  <c r="K91" i="1"/>
  <c r="K15" i="1"/>
  <c r="K81" i="1"/>
  <c r="K30" i="1"/>
  <c r="K95" i="1"/>
  <c r="K25" i="1"/>
  <c r="K90" i="1"/>
  <c r="K36" i="1"/>
  <c r="K102" i="1"/>
  <c r="K12" i="1"/>
  <c r="K78" i="1"/>
  <c r="K35" i="1"/>
  <c r="K101" i="1"/>
  <c r="K28" i="1"/>
  <c r="K93" i="1"/>
  <c r="K13" i="1"/>
  <c r="K79" i="1"/>
  <c r="K31" i="1"/>
  <c r="K96" i="1"/>
  <c r="K40" i="1"/>
  <c r="K106" i="1"/>
  <c r="K10" i="1"/>
  <c r="K76" i="1"/>
  <c r="K17" i="1"/>
  <c r="K83" i="1"/>
  <c r="K39" i="1"/>
  <c r="K105" i="1"/>
  <c r="K18" i="1"/>
  <c r="C21" i="2"/>
  <c r="K84" i="1" s="1"/>
  <c r="K160" i="1"/>
  <c r="H36" i="2"/>
  <c r="K162" i="1" s="1"/>
  <c r="K37" i="1"/>
  <c r="K38" i="1" s="1"/>
</calcChain>
</file>

<file path=xl/sharedStrings.xml><?xml version="1.0" encoding="utf-8"?>
<sst xmlns="http://schemas.openxmlformats.org/spreadsheetml/2006/main" count="1082" uniqueCount="395">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</sst>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abSelected="1" zoomScale="80" zoomScaleNormal="80" workbookViewId="0">
      <pane ySplit="1" topLeftCell="A32" activePane="bottomLeft" state="frozen"/>
      <selection pane="bottomLeft" activeCell="M53" sqref="M53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325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302</v>
      </c>
      <c r="M2" s="24" t="s">
        <v>309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310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311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312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317</v>
      </c>
      <c r="H14" t="s">
        <v>317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314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314</v>
      </c>
      <c r="G21" s="3"/>
      <c r="H21" s="3" t="s">
        <v>35</v>
      </c>
      <c r="I21" s="3" t="s">
        <v>36</v>
      </c>
      <c r="J21" s="3" t="s">
        <v>315</v>
      </c>
      <c r="K21" s="22"/>
      <c r="M21" s="3" t="s">
        <v>321</v>
      </c>
    </row>
    <row r="22" spans="6:13" x14ac:dyDescent="0.25">
      <c r="F22" t="s">
        <v>305</v>
      </c>
      <c r="I22" t="s">
        <v>305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318</v>
      </c>
      <c r="I23" t="s">
        <v>318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319</v>
      </c>
      <c r="I29" t="s">
        <v>319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1.1363636363636365</v>
      </c>
    </row>
    <row r="32" spans="6:13" x14ac:dyDescent="0.25">
      <c r="F32" t="s">
        <v>50</v>
      </c>
      <c r="I32" t="s">
        <v>301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301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313</v>
      </c>
      <c r="I34" t="s">
        <v>313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s="1" t="s">
        <v>30</v>
      </c>
      <c r="B46" s="1"/>
      <c r="C46" s="1"/>
      <c r="D46" s="1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J47" s="10" t="s">
        <v>31</v>
      </c>
      <c r="K47" s="10">
        <v>0</v>
      </c>
      <c r="L47" s="10"/>
      <c r="M47" s="10" t="s">
        <v>34</v>
      </c>
    </row>
    <row r="48" spans="1:14" x14ac:dyDescent="0.25">
      <c r="I48" t="s">
        <v>318</v>
      </c>
      <c r="J48" t="s">
        <v>31</v>
      </c>
      <c r="K48" s="29">
        <v>100</v>
      </c>
      <c r="L48" s="29" t="s">
        <v>28</v>
      </c>
      <c r="M48" s="10"/>
    </row>
    <row r="49" spans="1:14" x14ac:dyDescent="0.25">
      <c r="I49" t="s">
        <v>44</v>
      </c>
      <c r="J49" t="s">
        <v>31</v>
      </c>
      <c r="K49" s="29">
        <v>100</v>
      </c>
      <c r="L49" s="29" t="s">
        <v>28</v>
      </c>
      <c r="M49" s="10"/>
    </row>
    <row r="50" spans="1:14" x14ac:dyDescent="0.25">
      <c r="I50" t="s">
        <v>36</v>
      </c>
      <c r="J50" t="s">
        <v>31</v>
      </c>
      <c r="K50" s="29">
        <v>61</v>
      </c>
      <c r="L50" t="s">
        <v>28</v>
      </c>
    </row>
    <row r="51" spans="1:14" x14ac:dyDescent="0.25">
      <c r="H51" t="s">
        <v>43</v>
      </c>
      <c r="J51" t="s">
        <v>31</v>
      </c>
      <c r="K51" s="3">
        <v>100</v>
      </c>
      <c r="L51" t="s">
        <v>28</v>
      </c>
      <c r="M51" s="3" t="s">
        <v>304</v>
      </c>
    </row>
    <row r="52" spans="1:14" x14ac:dyDescent="0.25">
      <c r="H52" t="s">
        <v>40</v>
      </c>
      <c r="J52" t="s">
        <v>31</v>
      </c>
      <c r="K52" s="3">
        <v>50</v>
      </c>
      <c r="L52" t="s">
        <v>28</v>
      </c>
      <c r="M52" s="3" t="s">
        <v>394</v>
      </c>
    </row>
    <row r="53" spans="1:14" x14ac:dyDescent="0.25">
      <c r="A53" s="1" t="s">
        <v>336</v>
      </c>
      <c r="B53" s="1"/>
      <c r="C53" s="1"/>
      <c r="D53" s="1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25">
      <c r="A54" t="s">
        <v>24</v>
      </c>
      <c r="B54" t="s">
        <v>326</v>
      </c>
      <c r="E54" t="s">
        <v>327</v>
      </c>
      <c r="G54" t="s">
        <v>334</v>
      </c>
      <c r="H54" t="s">
        <v>33</v>
      </c>
      <c r="J54" t="s">
        <v>335</v>
      </c>
      <c r="K54" s="3">
        <v>5</v>
      </c>
      <c r="L54" t="s">
        <v>28</v>
      </c>
      <c r="M54" s="3"/>
    </row>
    <row r="55" spans="1:14" x14ac:dyDescent="0.25">
      <c r="A55" t="s">
        <v>24</v>
      </c>
      <c r="B55" t="s">
        <v>326</v>
      </c>
      <c r="E55" t="s">
        <v>328</v>
      </c>
      <c r="G55" t="s">
        <v>334</v>
      </c>
      <c r="H55" t="s">
        <v>33</v>
      </c>
      <c r="J55" t="s">
        <v>335</v>
      </c>
      <c r="K55" s="3">
        <v>5</v>
      </c>
      <c r="L55" t="s">
        <v>28</v>
      </c>
      <c r="M55" s="3"/>
    </row>
    <row r="56" spans="1:14" x14ac:dyDescent="0.25">
      <c r="A56" t="s">
        <v>24</v>
      </c>
      <c r="B56" t="s">
        <v>326</v>
      </c>
      <c r="E56" t="s">
        <v>329</v>
      </c>
      <c r="G56" t="s">
        <v>334</v>
      </c>
      <c r="H56" t="s">
        <v>33</v>
      </c>
      <c r="J56" t="s">
        <v>335</v>
      </c>
      <c r="K56" s="3">
        <v>0</v>
      </c>
      <c r="L56" t="s">
        <v>28</v>
      </c>
      <c r="M56" s="3"/>
    </row>
    <row r="57" spans="1:14" x14ac:dyDescent="0.25">
      <c r="A57" t="s">
        <v>24</v>
      </c>
      <c r="B57" t="s">
        <v>326</v>
      </c>
      <c r="E57" t="s">
        <v>330</v>
      </c>
      <c r="G57" t="s">
        <v>334</v>
      </c>
      <c r="H57" t="s">
        <v>33</v>
      </c>
      <c r="J57" t="s">
        <v>335</v>
      </c>
      <c r="K57" s="3">
        <v>90</v>
      </c>
      <c r="L57" t="s">
        <v>28</v>
      </c>
      <c r="M57" s="3"/>
    </row>
    <row r="58" spans="1:14" x14ac:dyDescent="0.25">
      <c r="A58" t="s">
        <v>24</v>
      </c>
      <c r="B58" t="s">
        <v>326</v>
      </c>
      <c r="E58" t="s">
        <v>331</v>
      </c>
      <c r="G58" t="s">
        <v>334</v>
      </c>
      <c r="H58" t="s">
        <v>33</v>
      </c>
      <c r="J58" t="s">
        <v>335</v>
      </c>
      <c r="K58" s="3">
        <v>90</v>
      </c>
      <c r="L58" t="s">
        <v>28</v>
      </c>
      <c r="M58" s="3"/>
    </row>
    <row r="59" spans="1:14" x14ac:dyDescent="0.25">
      <c r="A59" t="s">
        <v>24</v>
      </c>
      <c r="B59" t="s">
        <v>326</v>
      </c>
      <c r="E59" t="s">
        <v>332</v>
      </c>
      <c r="G59" t="s">
        <v>334</v>
      </c>
      <c r="H59" t="s">
        <v>33</v>
      </c>
      <c r="J59" t="s">
        <v>335</v>
      </c>
      <c r="K59" s="3">
        <v>0</v>
      </c>
      <c r="L59" t="s">
        <v>28</v>
      </c>
      <c r="M59" s="3"/>
    </row>
    <row r="60" spans="1:14" x14ac:dyDescent="0.25">
      <c r="A60" t="s">
        <v>24</v>
      </c>
      <c r="B60" t="s">
        <v>333</v>
      </c>
      <c r="E60" t="s">
        <v>327</v>
      </c>
      <c r="G60" t="s">
        <v>334</v>
      </c>
      <c r="H60" t="s">
        <v>33</v>
      </c>
      <c r="J60" t="s">
        <v>335</v>
      </c>
      <c r="K60" s="3">
        <v>90</v>
      </c>
      <c r="L60" t="s">
        <v>28</v>
      </c>
      <c r="M60" s="3"/>
    </row>
    <row r="61" spans="1:14" x14ac:dyDescent="0.25">
      <c r="A61" t="s">
        <v>24</v>
      </c>
      <c r="B61" t="s">
        <v>333</v>
      </c>
      <c r="E61" t="s">
        <v>328</v>
      </c>
      <c r="G61" t="s">
        <v>334</v>
      </c>
      <c r="H61" t="s">
        <v>33</v>
      </c>
      <c r="J61" t="s">
        <v>335</v>
      </c>
      <c r="K61" s="3">
        <v>90</v>
      </c>
      <c r="L61" t="s">
        <v>28</v>
      </c>
      <c r="M61" s="3"/>
    </row>
    <row r="62" spans="1:14" x14ac:dyDescent="0.25">
      <c r="A62" t="s">
        <v>24</v>
      </c>
      <c r="B62" t="s">
        <v>333</v>
      </c>
      <c r="E62" t="s">
        <v>329</v>
      </c>
      <c r="G62" t="s">
        <v>334</v>
      </c>
      <c r="H62" t="s">
        <v>33</v>
      </c>
      <c r="J62" t="s">
        <v>335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333</v>
      </c>
      <c r="E63" t="s">
        <v>330</v>
      </c>
      <c r="G63" t="s">
        <v>334</v>
      </c>
      <c r="H63" t="s">
        <v>33</v>
      </c>
      <c r="J63" t="s">
        <v>335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333</v>
      </c>
      <c r="E64" t="s">
        <v>331</v>
      </c>
      <c r="G64" t="s">
        <v>334</v>
      </c>
      <c r="H64" t="s">
        <v>33</v>
      </c>
      <c r="J64" t="s">
        <v>335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333</v>
      </c>
      <c r="E65" t="s">
        <v>332</v>
      </c>
      <c r="G65" t="s">
        <v>334</v>
      </c>
      <c r="H65" t="s">
        <v>33</v>
      </c>
      <c r="J65" t="s">
        <v>335</v>
      </c>
      <c r="K65" s="3">
        <v>90</v>
      </c>
      <c r="L65" t="s">
        <v>28</v>
      </c>
      <c r="M65" s="3"/>
    </row>
    <row r="66" spans="1:14" x14ac:dyDescent="0.25">
      <c r="K66" s="3"/>
      <c r="M66" s="3"/>
    </row>
    <row r="67" spans="1:14" x14ac:dyDescent="0.25">
      <c r="K67" s="3"/>
      <c r="M67" s="3"/>
    </row>
    <row r="68" spans="1:14" x14ac:dyDescent="0.25">
      <c r="K68" s="3"/>
      <c r="M68" s="3"/>
    </row>
    <row r="69" spans="1:14" x14ac:dyDescent="0.25">
      <c r="A69" s="1" t="s">
        <v>26</v>
      </c>
      <c r="B69" s="1"/>
      <c r="C69" s="1"/>
      <c r="D69" s="1"/>
      <c r="E69" s="2"/>
      <c r="F69" s="2"/>
      <c r="G69" s="2"/>
      <c r="H69" s="2"/>
      <c r="I69" s="2"/>
      <c r="J69" s="2"/>
      <c r="K69" s="2"/>
      <c r="L69" s="2"/>
      <c r="M69" s="2" t="s">
        <v>303</v>
      </c>
      <c r="N69" s="2"/>
    </row>
    <row r="70" spans="1:14" x14ac:dyDescent="0.25">
      <c r="F70" t="s">
        <v>310</v>
      </c>
      <c r="J70" t="s">
        <v>390</v>
      </c>
      <c r="K70" s="26">
        <f>INDEX('feed pars'!C$6:C$43,MATCH(F70,'feed pars'!B$6:B$43,0))</f>
        <v>100</v>
      </c>
      <c r="L70" t="s">
        <v>28</v>
      </c>
      <c r="M70" s="29" t="s">
        <v>393</v>
      </c>
    </row>
    <row r="71" spans="1:14" x14ac:dyDescent="0.25">
      <c r="F71" t="s">
        <v>311</v>
      </c>
      <c r="J71" t="s">
        <v>390</v>
      </c>
      <c r="K71" s="26">
        <f>INDEX('feed pars'!C$6:C$43,MATCH(F71,'feed pars'!B$6:B$43,0))</f>
        <v>100</v>
      </c>
      <c r="L71" t="s">
        <v>28</v>
      </c>
      <c r="M71" s="3"/>
    </row>
    <row r="72" spans="1:14" x14ac:dyDescent="0.25">
      <c r="F72" t="s">
        <v>312</v>
      </c>
      <c r="J72" t="s">
        <v>390</v>
      </c>
      <c r="K72" s="26">
        <f>INDEX('feed pars'!C$6:C$43,MATCH(F72,'feed pars'!B$6:B$43,0))</f>
        <v>100</v>
      </c>
      <c r="L72" t="s">
        <v>28</v>
      </c>
      <c r="M72" s="3"/>
    </row>
    <row r="73" spans="1:14" x14ac:dyDescent="0.25">
      <c r="F73" t="s">
        <v>2</v>
      </c>
      <c r="J73" t="s">
        <v>390</v>
      </c>
      <c r="K73" s="26">
        <f>INDEX('feed pars'!C$6:C$43,MATCH(F73,'feed pars'!B$6:B$43,0))</f>
        <v>100</v>
      </c>
      <c r="L73" t="s">
        <v>28</v>
      </c>
      <c r="M73" s="3"/>
    </row>
    <row r="74" spans="1:14" x14ac:dyDescent="0.25">
      <c r="F74" t="s">
        <v>12</v>
      </c>
      <c r="J74" t="s">
        <v>390</v>
      </c>
      <c r="K74" s="26">
        <f>INDEX('feed pars'!C$6:C$43,MATCH(F74,'feed pars'!B$6:B$43,0))</f>
        <v>100</v>
      </c>
      <c r="L74" t="s">
        <v>28</v>
      </c>
      <c r="M74" s="3"/>
    </row>
    <row r="75" spans="1:14" x14ac:dyDescent="0.25">
      <c r="F75" t="s">
        <v>33</v>
      </c>
      <c r="J75" t="s">
        <v>390</v>
      </c>
      <c r="K75" s="26">
        <f>INDEX('feed pars'!C$6:C$43,MATCH(F75,'feed pars'!B$6:B$43,0))</f>
        <v>100</v>
      </c>
      <c r="L75" t="s">
        <v>28</v>
      </c>
      <c r="M75" s="3"/>
    </row>
    <row r="76" spans="1:14" x14ac:dyDescent="0.25">
      <c r="F76" t="s">
        <v>17</v>
      </c>
      <c r="J76" t="s">
        <v>390</v>
      </c>
      <c r="K76" s="26">
        <f>INDEX('feed pars'!C$6:C$43,MATCH(F76,'feed pars'!B$6:B$43,0))</f>
        <v>87</v>
      </c>
      <c r="L76" t="s">
        <v>28</v>
      </c>
      <c r="M76" s="3"/>
    </row>
    <row r="77" spans="1:14" x14ac:dyDescent="0.25">
      <c r="F77" t="s">
        <v>37</v>
      </c>
      <c r="J77" t="s">
        <v>390</v>
      </c>
      <c r="K77" s="26">
        <f>INDEX('feed pars'!C$6:C$43,MATCH(F77,'feed pars'!B$6:B$43,0))</f>
        <v>87</v>
      </c>
      <c r="L77" t="s">
        <v>28</v>
      </c>
      <c r="M77" s="3"/>
    </row>
    <row r="78" spans="1:14" x14ac:dyDescent="0.25">
      <c r="F78" t="s">
        <v>38</v>
      </c>
      <c r="J78" t="s">
        <v>390</v>
      </c>
      <c r="K78" s="26">
        <f>INDEX('feed pars'!C$6:C$43,MATCH(F78,'feed pars'!B$6:B$43,0))</f>
        <v>86</v>
      </c>
      <c r="L78" t="s">
        <v>28</v>
      </c>
      <c r="M78" s="3"/>
    </row>
    <row r="79" spans="1:14" x14ac:dyDescent="0.25">
      <c r="F79" t="s">
        <v>39</v>
      </c>
      <c r="J79" t="s">
        <v>390</v>
      </c>
      <c r="K79" s="26">
        <f>INDEX('feed pars'!C$6:C$43,MATCH(F79,'feed pars'!B$6:B$43,0))</f>
        <v>87</v>
      </c>
      <c r="L79" t="s">
        <v>28</v>
      </c>
      <c r="M79" s="3"/>
    </row>
    <row r="80" spans="1:14" x14ac:dyDescent="0.25">
      <c r="F80" t="s">
        <v>317</v>
      </c>
      <c r="J80" t="s">
        <v>390</v>
      </c>
      <c r="K80" s="26">
        <f>INDEX('feed pars'!C$6:C$43,MATCH(F80,'feed pars'!B$6:B$43,0))</f>
        <v>87</v>
      </c>
      <c r="L80" t="s">
        <v>28</v>
      </c>
      <c r="M80" s="3"/>
    </row>
    <row r="81" spans="6:13" x14ac:dyDescent="0.25">
      <c r="F81" t="s">
        <v>40</v>
      </c>
      <c r="J81" t="s">
        <v>390</v>
      </c>
      <c r="K81" s="26">
        <f>INDEX('feed pars'!C$6:C$43,MATCH(F81,'feed pars'!B$6:B$43,0))</f>
        <v>67.5</v>
      </c>
      <c r="L81" t="s">
        <v>28</v>
      </c>
      <c r="M81" s="3"/>
    </row>
    <row r="82" spans="6:13" x14ac:dyDescent="0.25">
      <c r="F82" t="s">
        <v>41</v>
      </c>
      <c r="J82" t="s">
        <v>390</v>
      </c>
      <c r="K82" s="26">
        <f>INDEX('feed pars'!C$6:C$43,MATCH(F82,'feed pars'!B$6:B$43,0))</f>
        <v>87</v>
      </c>
      <c r="L82" t="s">
        <v>28</v>
      </c>
      <c r="M82" s="3"/>
    </row>
    <row r="83" spans="6:13" x14ac:dyDescent="0.25">
      <c r="F83" t="s">
        <v>42</v>
      </c>
      <c r="J83" t="s">
        <v>390</v>
      </c>
      <c r="K83" s="26">
        <f>INDEX('feed pars'!C$6:C$43,MATCH(F83,'feed pars'!B$6:B$43,0))</f>
        <v>86.8</v>
      </c>
      <c r="L83" t="s">
        <v>28</v>
      </c>
      <c r="M83" s="3"/>
    </row>
    <row r="84" spans="6:13" x14ac:dyDescent="0.25">
      <c r="F84" t="s">
        <v>35</v>
      </c>
      <c r="J84" t="s">
        <v>390</v>
      </c>
      <c r="K84" s="26">
        <f>INDEX('feed pars'!C$6:C$43,MATCH(F84,'feed pars'!B$6:B$43,0))</f>
        <v>92.5</v>
      </c>
      <c r="L84" t="s">
        <v>28</v>
      </c>
      <c r="M84" s="3"/>
    </row>
    <row r="85" spans="6:13" x14ac:dyDescent="0.25">
      <c r="F85" t="s">
        <v>43</v>
      </c>
      <c r="J85" t="s">
        <v>390</v>
      </c>
      <c r="K85" s="26">
        <f>INDEX('feed pars'!C$6:C$43,MATCH(F85,'feed pars'!B$6:B$43,0))</f>
        <v>92</v>
      </c>
      <c r="L85" t="s">
        <v>28</v>
      </c>
      <c r="M85" s="3"/>
    </row>
    <row r="86" spans="6:13" x14ac:dyDescent="0.25">
      <c r="F86" t="s">
        <v>314</v>
      </c>
      <c r="J86" t="s">
        <v>390</v>
      </c>
      <c r="K86" s="26">
        <f>INDEX('feed pars'!C$6:C$43,MATCH(F86,'feed pars'!B$6:B$43,0))</f>
        <v>100</v>
      </c>
      <c r="L86" t="s">
        <v>28</v>
      </c>
      <c r="M86" s="3"/>
    </row>
    <row r="87" spans="6:13" x14ac:dyDescent="0.25">
      <c r="F87" t="s">
        <v>305</v>
      </c>
      <c r="J87" t="s">
        <v>390</v>
      </c>
      <c r="K87" s="26">
        <f>INDEX('feed pars'!C$6:C$43,MATCH(F87,'feed pars'!B$6:B$43,0))</f>
        <v>85</v>
      </c>
      <c r="L87" t="s">
        <v>28</v>
      </c>
      <c r="M87" s="3"/>
    </row>
    <row r="88" spans="6:13" x14ac:dyDescent="0.25">
      <c r="F88" t="s">
        <v>318</v>
      </c>
      <c r="J88" t="s">
        <v>390</v>
      </c>
      <c r="K88" s="26">
        <f>INDEX('feed pars'!C$6:C$43,MATCH(F88,'feed pars'!B$6:B$43,0))</f>
        <v>87</v>
      </c>
      <c r="L88" t="s">
        <v>28</v>
      </c>
      <c r="M88" s="3"/>
    </row>
    <row r="89" spans="6:13" x14ac:dyDescent="0.25">
      <c r="F89" t="s">
        <v>44</v>
      </c>
      <c r="J89" t="s">
        <v>390</v>
      </c>
      <c r="K89" s="26">
        <f>INDEX('feed pars'!C$6:C$43,MATCH(F89,'feed pars'!B$6:B$43,0))</f>
        <v>87.5</v>
      </c>
      <c r="L89" t="s">
        <v>28</v>
      </c>
      <c r="M89" s="3"/>
    </row>
    <row r="90" spans="6:13" x14ac:dyDescent="0.25">
      <c r="F90" t="s">
        <v>45</v>
      </c>
      <c r="J90" t="s">
        <v>390</v>
      </c>
      <c r="K90" s="26">
        <f>INDEX('feed pars'!C$6:C$43,MATCH(F90,'feed pars'!B$6:B$43,0))</f>
        <v>87</v>
      </c>
      <c r="L90" t="s">
        <v>28</v>
      </c>
      <c r="M90" s="3"/>
    </row>
    <row r="91" spans="6:13" x14ac:dyDescent="0.25">
      <c r="F91" t="s">
        <v>36</v>
      </c>
      <c r="J91" t="s">
        <v>390</v>
      </c>
      <c r="K91" s="26">
        <f>INDEX('feed pars'!C$6:C$43,MATCH(F91,'feed pars'!B$6:B$43,0))</f>
        <v>89.5</v>
      </c>
      <c r="L91" t="s">
        <v>28</v>
      </c>
      <c r="M91" s="3"/>
    </row>
    <row r="92" spans="6:13" x14ac:dyDescent="0.25">
      <c r="F92" t="s">
        <v>46</v>
      </c>
      <c r="J92" t="s">
        <v>390</v>
      </c>
      <c r="K92" s="26">
        <f>INDEX('feed pars'!C$6:C$43,MATCH(F92,'feed pars'!B$6:B$43,0))</f>
        <v>91</v>
      </c>
      <c r="L92" t="s">
        <v>28</v>
      </c>
      <c r="M92" s="3"/>
    </row>
    <row r="93" spans="6:13" x14ac:dyDescent="0.25">
      <c r="F93" t="s">
        <v>47</v>
      </c>
      <c r="J93" t="s">
        <v>390</v>
      </c>
      <c r="K93" s="26">
        <f>INDEX('feed pars'!C$6:C$43,MATCH(F93,'feed pars'!B$6:B$43,0))</f>
        <v>91</v>
      </c>
      <c r="L93" t="s">
        <v>28</v>
      </c>
      <c r="M93" s="3"/>
    </row>
    <row r="94" spans="6:13" x14ac:dyDescent="0.25">
      <c r="F94" t="s">
        <v>319</v>
      </c>
      <c r="J94" t="s">
        <v>390</v>
      </c>
      <c r="K94" s="26">
        <f>INDEX('feed pars'!C$6:C$43,MATCH(F94,'feed pars'!B$6:B$43,0))</f>
        <v>90</v>
      </c>
      <c r="L94" t="s">
        <v>28</v>
      </c>
      <c r="M94" s="3"/>
    </row>
    <row r="95" spans="6:13" x14ac:dyDescent="0.25">
      <c r="F95" t="s">
        <v>48</v>
      </c>
      <c r="J95" t="s">
        <v>390</v>
      </c>
      <c r="K95" s="26">
        <f>INDEX('feed pars'!C$6:C$43,MATCH(F95,'feed pars'!B$6:B$43,0))</f>
        <v>87</v>
      </c>
      <c r="L95" t="s">
        <v>28</v>
      </c>
      <c r="M95" s="3"/>
    </row>
    <row r="96" spans="6:13" x14ac:dyDescent="0.25">
      <c r="F96" t="s">
        <v>49</v>
      </c>
      <c r="J96" t="s">
        <v>390</v>
      </c>
      <c r="K96" s="26">
        <f>INDEX('feed pars'!C$6:C$43,MATCH(F96,'feed pars'!B$6:B$43,0))</f>
        <v>88</v>
      </c>
      <c r="L96" t="s">
        <v>28</v>
      </c>
      <c r="M96" s="3"/>
    </row>
    <row r="97" spans="1:14" x14ac:dyDescent="0.25">
      <c r="F97" t="s">
        <v>50</v>
      </c>
      <c r="J97" t="s">
        <v>390</v>
      </c>
      <c r="K97" s="26">
        <f>INDEX('feed pars'!C$6:C$43,MATCH(F97,'feed pars'!B$6:B$43,0))</f>
        <v>90</v>
      </c>
      <c r="L97" t="s">
        <v>28</v>
      </c>
      <c r="M97" s="3"/>
    </row>
    <row r="98" spans="1:14" x14ac:dyDescent="0.25">
      <c r="F98" t="s">
        <v>51</v>
      </c>
      <c r="J98" t="s">
        <v>390</v>
      </c>
      <c r="K98" s="26">
        <f>INDEX('feed pars'!C$6:C$43,MATCH(F98,'feed pars'!B$6:B$43,0))</f>
        <v>11</v>
      </c>
      <c r="L98" t="s">
        <v>28</v>
      </c>
      <c r="M98" s="3"/>
    </row>
    <row r="99" spans="1:14" x14ac:dyDescent="0.25">
      <c r="F99" t="s">
        <v>313</v>
      </c>
      <c r="J99" t="s">
        <v>390</v>
      </c>
      <c r="K99" s="26">
        <f>INDEX('feed pars'!C$6:C$43,MATCH(F99,'feed pars'!B$6:B$43,0))</f>
        <v>90</v>
      </c>
      <c r="L99" t="s">
        <v>28</v>
      </c>
      <c r="M99" s="3"/>
    </row>
    <row r="100" spans="1:14" x14ac:dyDescent="0.25">
      <c r="F100" t="s">
        <v>388</v>
      </c>
      <c r="J100" t="s">
        <v>390</v>
      </c>
      <c r="K100" s="26">
        <f>INDEX('feed pars'!C$6:C$43,MATCH(F100,'feed pars'!B$6:B$43,0))</f>
        <v>87</v>
      </c>
      <c r="L100" t="s">
        <v>28</v>
      </c>
      <c r="M100" s="3"/>
    </row>
    <row r="101" spans="1:14" x14ac:dyDescent="0.25">
      <c r="F101" t="s">
        <v>52</v>
      </c>
      <c r="J101" t="s">
        <v>390</v>
      </c>
      <c r="K101" s="26">
        <f>INDEX('feed pars'!C$6:C$43,MATCH(F101,'feed pars'!B$6:B$43,0))</f>
        <v>75.5</v>
      </c>
      <c r="L101" t="s">
        <v>28</v>
      </c>
      <c r="M101" s="3"/>
    </row>
    <row r="102" spans="1:14" x14ac:dyDescent="0.25">
      <c r="F102" t="s">
        <v>53</v>
      </c>
      <c r="J102" t="s">
        <v>390</v>
      </c>
      <c r="K102" s="26">
        <f>INDEX('feed pars'!C$6:C$43,MATCH(F102,'feed pars'!B$6:B$43,0))</f>
        <v>89.5</v>
      </c>
      <c r="L102" t="s">
        <v>28</v>
      </c>
      <c r="M102" s="3"/>
    </row>
    <row r="103" spans="1:14" x14ac:dyDescent="0.25">
      <c r="F103" t="s">
        <v>54</v>
      </c>
      <c r="J103" t="s">
        <v>390</v>
      </c>
      <c r="K103" s="26">
        <f>INDEX('feed pars'!C$6:C$43,MATCH(F103,'feed pars'!B$6:B$43,0))</f>
        <v>6.25</v>
      </c>
      <c r="L103" t="s">
        <v>28</v>
      </c>
      <c r="M103" s="3"/>
    </row>
    <row r="104" spans="1:14" x14ac:dyDescent="0.25">
      <c r="F104" t="s">
        <v>55</v>
      </c>
      <c r="J104" t="s">
        <v>390</v>
      </c>
      <c r="K104" s="26">
        <f>INDEX('feed pars'!C$6:C$43,MATCH(F104,'feed pars'!B$6:B$43,0))</f>
        <v>97</v>
      </c>
      <c r="L104" t="s">
        <v>28</v>
      </c>
      <c r="M104" s="3"/>
    </row>
    <row r="105" spans="1:14" x14ac:dyDescent="0.25">
      <c r="F105" t="s">
        <v>56</v>
      </c>
      <c r="J105" t="s">
        <v>390</v>
      </c>
      <c r="K105" s="26">
        <f>INDEX('feed pars'!C$6:C$43,MATCH(F105,'feed pars'!B$6:B$43,0))</f>
        <v>91</v>
      </c>
      <c r="L105" t="s">
        <v>28</v>
      </c>
      <c r="M105" s="3"/>
    </row>
    <row r="106" spans="1:14" x14ac:dyDescent="0.25">
      <c r="F106" t="s">
        <v>57</v>
      </c>
      <c r="J106" t="s">
        <v>390</v>
      </c>
      <c r="K106" s="26">
        <f>INDEX('feed pars'!C$6:C$43,MATCH(F106,'feed pars'!B$6:B$43,0))</f>
        <v>92</v>
      </c>
      <c r="L106" t="s">
        <v>28</v>
      </c>
      <c r="M106" s="3"/>
    </row>
    <row r="107" spans="1:14" x14ac:dyDescent="0.25">
      <c r="A107" s="7" t="s">
        <v>20</v>
      </c>
      <c r="B107" s="7"/>
      <c r="C107" s="6"/>
      <c r="D107" s="6"/>
      <c r="E107" s="6"/>
      <c r="F107" s="6"/>
      <c r="G107" s="6"/>
      <c r="H107" s="6"/>
      <c r="I107" s="6"/>
      <c r="J107" s="6"/>
      <c r="K107" s="6"/>
      <c r="L107" s="6" t="s">
        <v>19</v>
      </c>
      <c r="M107" s="6"/>
      <c r="N107" s="6"/>
    </row>
    <row r="108" spans="1:14" x14ac:dyDescent="0.25">
      <c r="A108" t="s">
        <v>24</v>
      </c>
      <c r="F108" t="s">
        <v>310</v>
      </c>
      <c r="J108" t="s">
        <v>18</v>
      </c>
      <c r="K108" s="26">
        <f>INDEX('feed pars'!L$6:L$43,MATCH(F108,'feed pars'!B$6:B$43,0))</f>
        <v>11.5</v>
      </c>
      <c r="M108" s="3"/>
    </row>
    <row r="109" spans="1:14" x14ac:dyDescent="0.25">
      <c r="A109" t="s">
        <v>24</v>
      </c>
      <c r="F109" t="s">
        <v>311</v>
      </c>
      <c r="J109" t="s">
        <v>18</v>
      </c>
      <c r="K109" s="26">
        <f>INDEX('feed pars'!L$6:L$43,MATCH(F109,'feed pars'!B$6:B$43,0))</f>
        <v>10.4</v>
      </c>
      <c r="M109" s="3"/>
    </row>
    <row r="110" spans="1:14" x14ac:dyDescent="0.25">
      <c r="A110" t="s">
        <v>24</v>
      </c>
      <c r="F110" t="s">
        <v>312</v>
      </c>
      <c r="J110" t="s">
        <v>18</v>
      </c>
      <c r="K110" s="26">
        <f>INDEX('feed pars'!L$6:L$43,MATCH(F110,'feed pars'!B$6:B$43,0))</f>
        <v>10</v>
      </c>
      <c r="M110" s="3"/>
    </row>
    <row r="111" spans="1:14" x14ac:dyDescent="0.25">
      <c r="A111" t="s">
        <v>24</v>
      </c>
      <c r="F111" t="s">
        <v>12</v>
      </c>
      <c r="J111" t="s">
        <v>18</v>
      </c>
      <c r="K111" s="26">
        <f>INDEX('feed pars'!L$6:L$43,MATCH(F111,'feed pars'!B$6:B$43,0))</f>
        <v>11.3</v>
      </c>
    </row>
    <row r="112" spans="1:14" x14ac:dyDescent="0.25">
      <c r="A112" t="s">
        <v>24</v>
      </c>
      <c r="F112" t="s">
        <v>33</v>
      </c>
      <c r="J112" t="s">
        <v>18</v>
      </c>
      <c r="K112" s="26">
        <f>INDEX('feed pars'!L$6:L$43,MATCH(F112,'feed pars'!B$6:B$43,0))</f>
        <v>10</v>
      </c>
    </row>
    <row r="113" spans="1:11" x14ac:dyDescent="0.25">
      <c r="K113" s="3"/>
    </row>
    <row r="114" spans="1:11" x14ac:dyDescent="0.25">
      <c r="A114" t="s">
        <v>24</v>
      </c>
      <c r="F114" t="s">
        <v>17</v>
      </c>
      <c r="J114" t="s">
        <v>18</v>
      </c>
      <c r="K114" s="26">
        <f>INDEX('feed pars'!L$6:L$43,MATCH(F114,'feed pars'!B$6:B$43,0))</f>
        <v>14.1</v>
      </c>
    </row>
    <row r="115" spans="1:11" x14ac:dyDescent="0.25">
      <c r="A115" t="s">
        <v>24</v>
      </c>
      <c r="F115" t="s">
        <v>37</v>
      </c>
      <c r="J115" t="s">
        <v>18</v>
      </c>
      <c r="K115" s="26">
        <f>INDEX('feed pars'!L$6:L$43,MATCH(F115,'feed pars'!B$6:B$43,0))</f>
        <v>13.2</v>
      </c>
    </row>
    <row r="116" spans="1:11" x14ac:dyDescent="0.25">
      <c r="A116" t="s">
        <v>24</v>
      </c>
      <c r="F116" t="s">
        <v>38</v>
      </c>
      <c r="J116" t="s">
        <v>18</v>
      </c>
      <c r="K116" s="26">
        <f>INDEX('feed pars'!L$6:L$43,MATCH(F116,'feed pars'!B$6:B$43,0))</f>
        <v>11.7</v>
      </c>
    </row>
    <row r="117" spans="1:11" x14ac:dyDescent="0.25">
      <c r="A117" t="s">
        <v>24</v>
      </c>
      <c r="F117" t="s">
        <v>39</v>
      </c>
      <c r="J117" t="s">
        <v>18</v>
      </c>
      <c r="K117" s="26">
        <f>INDEX('feed pars'!L$6:L$43,MATCH(F117,'feed pars'!B$6:B$43,0))</f>
        <v>14</v>
      </c>
    </row>
    <row r="118" spans="1:11" x14ac:dyDescent="0.25">
      <c r="A118" t="s">
        <v>24</v>
      </c>
      <c r="F118" t="s">
        <v>317</v>
      </c>
      <c r="J118" t="s">
        <v>18</v>
      </c>
      <c r="K118" s="26">
        <f>INDEX('feed pars'!L$6:L$43,MATCH(F118,'feed pars'!B$6:B$43,0))</f>
        <v>13.9</v>
      </c>
    </row>
    <row r="119" spans="1:11" x14ac:dyDescent="0.25">
      <c r="A119" t="s">
        <v>24</v>
      </c>
      <c r="F119" t="s">
        <v>40</v>
      </c>
      <c r="J119" t="s">
        <v>18</v>
      </c>
      <c r="K119" s="26">
        <f>INDEX('feed pars'!L$6:L$43,MATCH(F119,'feed pars'!B$6:B$43,0))</f>
        <v>12.8</v>
      </c>
    </row>
    <row r="120" spans="1:11" x14ac:dyDescent="0.25">
      <c r="A120" t="s">
        <v>24</v>
      </c>
      <c r="F120" t="s">
        <v>41</v>
      </c>
      <c r="J120" t="s">
        <v>18</v>
      </c>
      <c r="K120" s="26">
        <f>INDEX('feed pars'!L$6:L$43,MATCH(F120,'feed pars'!B$6:B$43,0))</f>
        <v>13.8</v>
      </c>
    </row>
    <row r="121" spans="1:11" x14ac:dyDescent="0.25">
      <c r="A121" t="s">
        <v>24</v>
      </c>
      <c r="F121" t="s">
        <v>42</v>
      </c>
      <c r="J121" t="s">
        <v>18</v>
      </c>
      <c r="K121" s="26">
        <f>INDEX('feed pars'!L$6:L$43,MATCH(F121,'feed pars'!B$6:B$43,0))</f>
        <v>13.3</v>
      </c>
    </row>
    <row r="122" spans="1:11" x14ac:dyDescent="0.25">
      <c r="A122" t="s">
        <v>24</v>
      </c>
      <c r="F122" t="s">
        <v>35</v>
      </c>
      <c r="J122" t="s">
        <v>18</v>
      </c>
      <c r="K122" s="26">
        <f>INDEX('feed pars'!L$6:L$43,MATCH(F122,'feed pars'!B$6:B$43,0))</f>
        <v>22.1</v>
      </c>
    </row>
    <row r="123" spans="1:11" x14ac:dyDescent="0.25">
      <c r="A123" t="s">
        <v>24</v>
      </c>
      <c r="F123" t="s">
        <v>43</v>
      </c>
      <c r="J123" t="s">
        <v>18</v>
      </c>
      <c r="K123" s="26">
        <f>INDEX('feed pars'!L$6:L$43,MATCH(F123,'feed pars'!B$6:B$43,0))</f>
        <v>20.100000000000001</v>
      </c>
    </row>
    <row r="124" spans="1:11" x14ac:dyDescent="0.25">
      <c r="A124" t="s">
        <v>24</v>
      </c>
      <c r="F124" t="s">
        <v>305</v>
      </c>
      <c r="J124" t="s">
        <v>18</v>
      </c>
      <c r="K124" s="26">
        <f>INDEX('feed pars'!L$6:L$43,MATCH(F124,'feed pars'!B$6:B$43,0))</f>
        <v>6.6</v>
      </c>
    </row>
    <row r="125" spans="1:11" x14ac:dyDescent="0.25">
      <c r="A125" t="s">
        <v>24</v>
      </c>
      <c r="F125" t="s">
        <v>314</v>
      </c>
      <c r="J125" t="s">
        <v>18</v>
      </c>
      <c r="K125" s="26">
        <f>INDEX('feed pars'!L$6:L$43,MATCH(F125,'feed pars'!B$6:B$43,0))</f>
        <v>36.6</v>
      </c>
    </row>
    <row r="126" spans="1:11" x14ac:dyDescent="0.25">
      <c r="A126" t="s">
        <v>24</v>
      </c>
      <c r="F126" t="s">
        <v>318</v>
      </c>
      <c r="J126" t="s">
        <v>18</v>
      </c>
      <c r="K126" s="26">
        <f>INDEX('feed pars'!L$6:L$43,MATCH(F126,'feed pars'!B$6:B$43,0))</f>
        <v>16.399999999999999</v>
      </c>
    </row>
    <row r="127" spans="1:11" x14ac:dyDescent="0.25">
      <c r="A127" t="s">
        <v>24</v>
      </c>
      <c r="F127" t="s">
        <v>44</v>
      </c>
      <c r="J127" t="s">
        <v>18</v>
      </c>
      <c r="K127" s="26">
        <f>INDEX('feed pars'!L$6:L$43,MATCH(F127,'feed pars'!B$6:B$43,0))</f>
        <v>14.6</v>
      </c>
    </row>
    <row r="128" spans="1:11" x14ac:dyDescent="0.25">
      <c r="A128" t="s">
        <v>24</v>
      </c>
      <c r="F128" t="s">
        <v>36</v>
      </c>
      <c r="J128" t="s">
        <v>18</v>
      </c>
      <c r="K128" s="26">
        <f>INDEX('feed pars'!L$6:L$43,MATCH(F128,'feed pars'!B$6:B$43,0))</f>
        <v>12.2</v>
      </c>
    </row>
    <row r="129" spans="1:14" x14ac:dyDescent="0.25">
      <c r="A129" t="s">
        <v>24</v>
      </c>
      <c r="F129" t="s">
        <v>46</v>
      </c>
      <c r="J129" t="s">
        <v>18</v>
      </c>
      <c r="K129" s="26">
        <f>INDEX('feed pars'!L$6:L$43,MATCH(F129,'feed pars'!B$6:B$43,0))</f>
        <v>11.4</v>
      </c>
    </row>
    <row r="130" spans="1:14" x14ac:dyDescent="0.25">
      <c r="A130" t="s">
        <v>24</v>
      </c>
      <c r="F130" t="s">
        <v>47</v>
      </c>
      <c r="J130" t="s">
        <v>18</v>
      </c>
      <c r="K130" s="26">
        <f>INDEX('feed pars'!L$6:L$43,MATCH(F130,'feed pars'!B$6:B$43,0))</f>
        <v>13.4</v>
      </c>
    </row>
    <row r="131" spans="1:14" x14ac:dyDescent="0.25">
      <c r="A131" t="s">
        <v>24</v>
      </c>
      <c r="F131" t="s">
        <v>319</v>
      </c>
      <c r="J131" t="s">
        <v>18</v>
      </c>
      <c r="K131" s="26">
        <f>INDEX('feed pars'!L$6:L$43,MATCH(F131,'feed pars'!B$6:B$43,0))</f>
        <v>8.5</v>
      </c>
    </row>
    <row r="132" spans="1:14" x14ac:dyDescent="0.25">
      <c r="A132" t="s">
        <v>24</v>
      </c>
      <c r="F132" t="s">
        <v>48</v>
      </c>
      <c r="J132" t="s">
        <v>18</v>
      </c>
      <c r="K132" s="26">
        <f>INDEX('feed pars'!L$6:L$43,MATCH(F132,'feed pars'!B$6:B$43,0))</f>
        <v>11</v>
      </c>
    </row>
    <row r="133" spans="1:14" x14ac:dyDescent="0.25">
      <c r="A133" t="s">
        <v>24</v>
      </c>
      <c r="F133" t="s">
        <v>50</v>
      </c>
      <c r="J133" t="s">
        <v>18</v>
      </c>
      <c r="K133" s="26">
        <f>INDEX('feed pars'!L$6:L$43,MATCH(F133,'feed pars'!B$6:B$43,0))</f>
        <v>13.3</v>
      </c>
    </row>
    <row r="134" spans="1:14" x14ac:dyDescent="0.25">
      <c r="A134" t="s">
        <v>24</v>
      </c>
      <c r="F134" t="s">
        <v>313</v>
      </c>
      <c r="J134" t="s">
        <v>18</v>
      </c>
      <c r="K134" s="26">
        <f>INDEX('feed pars'!L$6:L$43,MATCH(F134,'feed pars'!B$6:B$43,0))</f>
        <v>11.6</v>
      </c>
    </row>
    <row r="135" spans="1:14" x14ac:dyDescent="0.25">
      <c r="A135" t="s">
        <v>24</v>
      </c>
      <c r="F135" t="s">
        <v>52</v>
      </c>
      <c r="J135" t="s">
        <v>18</v>
      </c>
      <c r="K135" s="26">
        <f>INDEX('feed pars'!L$6:L$43,MATCH(F135,'feed pars'!B$6:B$43,0))</f>
        <v>12.4</v>
      </c>
    </row>
    <row r="136" spans="1:14" x14ac:dyDescent="0.25">
      <c r="A136" t="s">
        <v>24</v>
      </c>
      <c r="F136" t="s">
        <v>53</v>
      </c>
      <c r="J136" t="s">
        <v>18</v>
      </c>
      <c r="K136" s="26">
        <f>INDEX('feed pars'!L$6:L$43,MATCH(F136,'feed pars'!B$6:B$43,0))</f>
        <v>12.3</v>
      </c>
    </row>
    <row r="137" spans="1:14" x14ac:dyDescent="0.25">
      <c r="A137" t="s">
        <v>24</v>
      </c>
      <c r="F137" t="s">
        <v>54</v>
      </c>
      <c r="J137" t="s">
        <v>18</v>
      </c>
      <c r="K137" s="26">
        <f>INDEX('feed pars'!L$6:L$43,MATCH(F137,'feed pars'!B$6:B$43,0))</f>
        <v>13.6</v>
      </c>
    </row>
    <row r="138" spans="1:14" x14ac:dyDescent="0.25">
      <c r="A138" t="s">
        <v>24</v>
      </c>
      <c r="F138" t="s">
        <v>56</v>
      </c>
      <c r="J138" t="s">
        <v>18</v>
      </c>
      <c r="K138" s="26">
        <f>INDEX('feed pars'!L$6:L$43,MATCH(F138,'feed pars'!B$6:B$43,0))</f>
        <v>15.5</v>
      </c>
    </row>
    <row r="139" spans="1:14" x14ac:dyDescent="0.25">
      <c r="A139" t="s">
        <v>24</v>
      </c>
      <c r="F139" t="s">
        <v>324</v>
      </c>
      <c r="J139" t="s">
        <v>18</v>
      </c>
      <c r="K139" s="3">
        <v>0</v>
      </c>
    </row>
    <row r="140" spans="1:14" x14ac:dyDescent="0.25">
      <c r="K140" s="3"/>
    </row>
    <row r="141" spans="1:14" x14ac:dyDescent="0.25">
      <c r="A141" s="8" t="s">
        <v>21</v>
      </c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</row>
    <row r="142" spans="1:14" x14ac:dyDescent="0.25">
      <c r="A142" s="30" t="s">
        <v>391</v>
      </c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 t="s">
        <v>300</v>
      </c>
      <c r="M142" s="32"/>
      <c r="N142" s="32"/>
    </row>
    <row r="143" spans="1:14" x14ac:dyDescent="0.25">
      <c r="A143" t="s">
        <v>25</v>
      </c>
      <c r="E143" t="s">
        <v>299</v>
      </c>
      <c r="F143" t="s">
        <v>17</v>
      </c>
      <c r="J143" t="s">
        <v>18</v>
      </c>
      <c r="K143" s="26">
        <f>INDEX('feed pars'!H$6:H$43,MATCH(F143,'feed pars'!B$6:B$43,0))</f>
        <v>12.3</v>
      </c>
    </row>
    <row r="144" spans="1:14" x14ac:dyDescent="0.25">
      <c r="A144" t="s">
        <v>25</v>
      </c>
      <c r="E144" t="s">
        <v>299</v>
      </c>
      <c r="F144" t="s">
        <v>37</v>
      </c>
      <c r="J144" t="s">
        <v>18</v>
      </c>
      <c r="K144" s="26">
        <f>INDEX('feed pars'!H$6:H$43,MATCH(F144,'feed pars'!B$6:B$43,0))</f>
        <v>11.2</v>
      </c>
    </row>
    <row r="145" spans="1:11" x14ac:dyDescent="0.25">
      <c r="A145" t="s">
        <v>25</v>
      </c>
      <c r="E145" t="s">
        <v>299</v>
      </c>
      <c r="F145" t="s">
        <v>38</v>
      </c>
      <c r="J145" t="s">
        <v>18</v>
      </c>
      <c r="K145" s="26">
        <f>INDEX('feed pars'!H$6:H$43,MATCH(F145,'feed pars'!B$6:B$43,0))</f>
        <v>9.4</v>
      </c>
    </row>
    <row r="146" spans="1:11" x14ac:dyDescent="0.25">
      <c r="A146" t="s">
        <v>25</v>
      </c>
      <c r="E146" t="s">
        <v>299</v>
      </c>
      <c r="F146" t="s">
        <v>39</v>
      </c>
      <c r="J146" t="s">
        <v>18</v>
      </c>
      <c r="K146" s="26">
        <f>INDEX('feed pars'!H$6:H$43,MATCH(F146,'feed pars'!B$6:B$43,0))</f>
        <v>12</v>
      </c>
    </row>
    <row r="147" spans="1:11" x14ac:dyDescent="0.25">
      <c r="A147" t="s">
        <v>25</v>
      </c>
      <c r="E147" t="s">
        <v>299</v>
      </c>
      <c r="F147" t="s">
        <v>40</v>
      </c>
      <c r="J147" t="s">
        <v>18</v>
      </c>
      <c r="K147" s="26">
        <f>INDEX('feed pars'!H$6:H$43,MATCH(F147,'feed pars'!B$6:B$43,0))</f>
        <v>13.2</v>
      </c>
    </row>
    <row r="148" spans="1:11" x14ac:dyDescent="0.25">
      <c r="A148" t="s">
        <v>25</v>
      </c>
      <c r="E148" t="s">
        <v>299</v>
      </c>
      <c r="F148" t="s">
        <v>41</v>
      </c>
      <c r="J148" t="s">
        <v>18</v>
      </c>
      <c r="K148" s="26">
        <f>INDEX('feed pars'!H$6:H$43,MATCH(F148,'feed pars'!B$6:B$43,0))</f>
        <v>11.5</v>
      </c>
    </row>
    <row r="149" spans="1:11" x14ac:dyDescent="0.25">
      <c r="A149" t="s">
        <v>25</v>
      </c>
      <c r="E149" t="s">
        <v>299</v>
      </c>
      <c r="F149" t="s">
        <v>42</v>
      </c>
      <c r="J149" t="s">
        <v>18</v>
      </c>
      <c r="K149" s="26">
        <f>INDEX('feed pars'!H$6:H$43,MATCH(F149,'feed pars'!B$6:B$43,0))</f>
        <v>10.9</v>
      </c>
    </row>
    <row r="150" spans="1:11" x14ac:dyDescent="0.25">
      <c r="A150" t="s">
        <v>25</v>
      </c>
      <c r="E150" t="s">
        <v>299</v>
      </c>
      <c r="F150" t="s">
        <v>35</v>
      </c>
      <c r="J150" t="s">
        <v>18</v>
      </c>
      <c r="K150" s="26">
        <f>INDEX('feed pars'!H$6:H$43,MATCH(F150,'feed pars'!B$6:B$43,0))</f>
        <v>18.5</v>
      </c>
    </row>
    <row r="151" spans="1:11" x14ac:dyDescent="0.25">
      <c r="A151" t="s">
        <v>25</v>
      </c>
      <c r="E151" t="s">
        <v>299</v>
      </c>
      <c r="F151" t="s">
        <v>43</v>
      </c>
      <c r="J151" t="s">
        <v>18</v>
      </c>
      <c r="K151" s="26">
        <f>INDEX('feed pars'!H$6:H$43,MATCH(F151,'feed pars'!B$6:B$43,0))</f>
        <v>17.5</v>
      </c>
    </row>
    <row r="152" spans="1:11" x14ac:dyDescent="0.25">
      <c r="A152" t="s">
        <v>25</v>
      </c>
      <c r="E152" t="s">
        <v>299</v>
      </c>
      <c r="F152" t="s">
        <v>314</v>
      </c>
      <c r="J152" t="s">
        <v>18</v>
      </c>
      <c r="K152" s="26">
        <f>INDEX('feed pars'!H$6:H$43,MATCH(F152,'feed pars'!B$6:B$43,0))</f>
        <v>29.8</v>
      </c>
    </row>
    <row r="153" spans="1:11" x14ac:dyDescent="0.25">
      <c r="A153" t="s">
        <v>25</v>
      </c>
      <c r="E153" t="s">
        <v>299</v>
      </c>
      <c r="F153" t="s">
        <v>44</v>
      </c>
      <c r="J153" t="s">
        <v>18</v>
      </c>
      <c r="K153" s="26">
        <f>INDEX('feed pars'!H$6:H$43,MATCH(F153,'feed pars'!B$6:B$43,0))</f>
        <v>9.9</v>
      </c>
    </row>
    <row r="154" spans="1:11" x14ac:dyDescent="0.25">
      <c r="A154" t="s">
        <v>25</v>
      </c>
      <c r="E154" t="s">
        <v>299</v>
      </c>
      <c r="F154" t="s">
        <v>45</v>
      </c>
      <c r="J154" t="s">
        <v>18</v>
      </c>
      <c r="K154" s="26">
        <f>INDEX('feed pars'!H$6:H$43,MATCH(F154,'feed pars'!B$6:B$43,0))</f>
        <v>10.3</v>
      </c>
    </row>
    <row r="155" spans="1:11" x14ac:dyDescent="0.25">
      <c r="A155" t="s">
        <v>25</v>
      </c>
      <c r="E155" t="s">
        <v>299</v>
      </c>
      <c r="F155" t="s">
        <v>36</v>
      </c>
      <c r="J155" t="s">
        <v>18</v>
      </c>
      <c r="K155" s="26">
        <f>INDEX('feed pars'!H$6:H$43,MATCH(F155,'feed pars'!B$6:B$43,0))</f>
        <v>7.7</v>
      </c>
    </row>
    <row r="156" spans="1:11" x14ac:dyDescent="0.25">
      <c r="A156" t="s">
        <v>25</v>
      </c>
      <c r="E156" t="s">
        <v>299</v>
      </c>
      <c r="F156" t="s">
        <v>46</v>
      </c>
      <c r="J156" t="s">
        <v>18</v>
      </c>
      <c r="K156" s="26">
        <f>INDEX('feed pars'!H$6:H$43,MATCH(F156,'feed pars'!B$6:B$43,0))</f>
        <v>6.5</v>
      </c>
    </row>
    <row r="157" spans="1:11" x14ac:dyDescent="0.25">
      <c r="A157" t="s">
        <v>25</v>
      </c>
      <c r="E157" t="s">
        <v>299</v>
      </c>
      <c r="F157" t="s">
        <v>47</v>
      </c>
      <c r="J157" t="s">
        <v>18</v>
      </c>
      <c r="K157" s="26">
        <f>INDEX('feed pars'!H$6:H$43,MATCH(F157,'feed pars'!B$6:B$43,0))</f>
        <v>6.2</v>
      </c>
    </row>
    <row r="158" spans="1:11" x14ac:dyDescent="0.25">
      <c r="A158" t="s">
        <v>25</v>
      </c>
      <c r="E158" t="s">
        <v>299</v>
      </c>
      <c r="F158" t="s">
        <v>48</v>
      </c>
      <c r="J158" t="s">
        <v>18</v>
      </c>
      <c r="K158" s="26">
        <f>INDEX('feed pars'!H$6:H$43,MATCH(F158,'feed pars'!B$6:B$43,0))</f>
        <v>7.8</v>
      </c>
    </row>
    <row r="159" spans="1:11" x14ac:dyDescent="0.25">
      <c r="A159" t="s">
        <v>25</v>
      </c>
      <c r="E159" t="s">
        <v>299</v>
      </c>
      <c r="F159" t="s">
        <v>49</v>
      </c>
      <c r="J159" t="s">
        <v>18</v>
      </c>
      <c r="K159" s="26">
        <f>INDEX('feed pars'!H$6:H$43,MATCH(F159,'feed pars'!B$6:B$43,0))</f>
        <v>9.1999999999999993</v>
      </c>
    </row>
    <row r="160" spans="1:11" x14ac:dyDescent="0.25">
      <c r="A160" t="s">
        <v>25</v>
      </c>
      <c r="E160" t="s">
        <v>299</v>
      </c>
      <c r="F160" t="s">
        <v>50</v>
      </c>
      <c r="J160" t="s">
        <v>18</v>
      </c>
      <c r="K160" s="26">
        <f>INDEX('feed pars'!H$6:H$43,MATCH(F160,'feed pars'!B$6:B$43,0))</f>
        <v>8.6999999999999993</v>
      </c>
    </row>
    <row r="161" spans="1:14" x14ac:dyDescent="0.25">
      <c r="A161" t="s">
        <v>25</v>
      </c>
      <c r="E161" t="s">
        <v>299</v>
      </c>
      <c r="F161" t="s">
        <v>51</v>
      </c>
      <c r="J161" t="s">
        <v>18</v>
      </c>
      <c r="K161" s="26">
        <f>INDEX('feed pars'!H$6:H$43,MATCH(F161,'feed pars'!B$6:B$43,0))</f>
        <v>8.9</v>
      </c>
    </row>
    <row r="162" spans="1:14" x14ac:dyDescent="0.25">
      <c r="A162" t="s">
        <v>25</v>
      </c>
      <c r="E162" t="s">
        <v>299</v>
      </c>
      <c r="F162" t="s">
        <v>313</v>
      </c>
      <c r="J162" t="s">
        <v>18</v>
      </c>
      <c r="K162" s="26">
        <f>INDEX('feed pars'!H$6:H$43,MATCH(F162,'feed pars'!B$6:B$43,0))</f>
        <v>7.0888888888888877</v>
      </c>
    </row>
    <row r="163" spans="1:14" x14ac:dyDescent="0.25">
      <c r="A163" t="s">
        <v>25</v>
      </c>
      <c r="E163" t="s">
        <v>299</v>
      </c>
      <c r="F163" t="s">
        <v>52</v>
      </c>
      <c r="J163" t="s">
        <v>18</v>
      </c>
      <c r="K163" s="26">
        <f>INDEX('feed pars'!H$6:H$43,MATCH(F163,'feed pars'!B$6:B$43,0))</f>
        <v>9</v>
      </c>
    </row>
    <row r="164" spans="1:14" x14ac:dyDescent="0.25">
      <c r="A164" t="s">
        <v>25</v>
      </c>
      <c r="E164" t="s">
        <v>299</v>
      </c>
      <c r="F164" t="s">
        <v>53</v>
      </c>
      <c r="J164" t="s">
        <v>18</v>
      </c>
      <c r="K164" s="26">
        <f>INDEX('feed pars'!H$6:H$43,MATCH(F164,'feed pars'!B$6:B$43,0))</f>
        <v>8</v>
      </c>
    </row>
    <row r="165" spans="1:14" x14ac:dyDescent="0.25">
      <c r="A165" t="s">
        <v>25</v>
      </c>
      <c r="E165" t="s">
        <v>299</v>
      </c>
      <c r="F165" t="s">
        <v>54</v>
      </c>
      <c r="J165" t="s">
        <v>18</v>
      </c>
      <c r="K165" s="26">
        <f>INDEX('feed pars'!H$6:H$43,MATCH(F165,'feed pars'!B$6:B$43,0))</f>
        <v>12.2</v>
      </c>
    </row>
    <row r="166" spans="1:14" x14ac:dyDescent="0.25">
      <c r="A166" t="s">
        <v>25</v>
      </c>
      <c r="E166" t="s">
        <v>299</v>
      </c>
      <c r="F166" t="s">
        <v>55</v>
      </c>
      <c r="J166" t="s">
        <v>18</v>
      </c>
      <c r="K166" s="26">
        <f>INDEX('feed pars'!H$6:H$43,MATCH(F166,'feed pars'!B$6:B$43,0))</f>
        <v>12.2</v>
      </c>
    </row>
    <row r="167" spans="1:14" x14ac:dyDescent="0.25">
      <c r="A167" t="s">
        <v>25</v>
      </c>
      <c r="E167" t="s">
        <v>299</v>
      </c>
      <c r="F167" t="s">
        <v>56</v>
      </c>
      <c r="J167" t="s">
        <v>18</v>
      </c>
      <c r="K167" s="26">
        <f>INDEX('feed pars'!H$6:H$43,MATCH(F167,'feed pars'!B$6:B$43,0))</f>
        <v>11.3</v>
      </c>
    </row>
    <row r="168" spans="1:14" x14ac:dyDescent="0.25">
      <c r="A168" t="s">
        <v>25</v>
      </c>
      <c r="E168" t="s">
        <v>299</v>
      </c>
      <c r="F168" t="s">
        <v>57</v>
      </c>
      <c r="J168" t="s">
        <v>18</v>
      </c>
      <c r="K168" s="26">
        <f>INDEX('feed pars'!H$6:H$43,MATCH(F168,'feed pars'!B$6:B$43,0))</f>
        <v>10.8</v>
      </c>
    </row>
    <row r="169" spans="1:14" x14ac:dyDescent="0.25">
      <c r="A169" s="30" t="s">
        <v>392</v>
      </c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 t="s">
        <v>22</v>
      </c>
      <c r="M169" s="32"/>
      <c r="N169" s="32"/>
    </row>
    <row r="170" spans="1:14" x14ac:dyDescent="0.25">
      <c r="A170" t="s">
        <v>25</v>
      </c>
      <c r="F170" t="s">
        <v>17</v>
      </c>
      <c r="J170" t="s">
        <v>18</v>
      </c>
      <c r="K170" s="26">
        <f>INDEX('feed pars'!G$6:G$43,MATCH(F170,'feed pars'!B$6:B$43,0))</f>
        <v>12.1</v>
      </c>
    </row>
    <row r="171" spans="1:14" x14ac:dyDescent="0.25">
      <c r="A171" t="s">
        <v>25</v>
      </c>
      <c r="F171" t="s">
        <v>37</v>
      </c>
      <c r="J171" t="s">
        <v>18</v>
      </c>
      <c r="K171" s="26">
        <f>INDEX('feed pars'!G$6:G$43,MATCH(F171,'feed pars'!B$6:B$43,0))</f>
        <v>11</v>
      </c>
    </row>
    <row r="172" spans="1:14" x14ac:dyDescent="0.25">
      <c r="A172" t="s">
        <v>25</v>
      </c>
      <c r="F172" t="s">
        <v>38</v>
      </c>
      <c r="J172" t="s">
        <v>18</v>
      </c>
      <c r="K172" s="26">
        <f>INDEX('feed pars'!G$6:G$43,MATCH(F172,'feed pars'!B$6:B$43,0))</f>
        <v>9</v>
      </c>
    </row>
    <row r="173" spans="1:14" x14ac:dyDescent="0.25">
      <c r="A173" t="s">
        <v>25</v>
      </c>
      <c r="F173" t="s">
        <v>39</v>
      </c>
      <c r="J173" t="s">
        <v>18</v>
      </c>
      <c r="K173" s="26">
        <f>INDEX('feed pars'!G$6:G$43,MATCH(F173,'feed pars'!B$6:B$43,0))</f>
        <v>11.9</v>
      </c>
    </row>
    <row r="174" spans="1:14" x14ac:dyDescent="0.25">
      <c r="A174" t="s">
        <v>25</v>
      </c>
      <c r="F174" t="s">
        <v>40</v>
      </c>
      <c r="J174" t="s">
        <v>18</v>
      </c>
      <c r="K174" s="26">
        <f>INDEX('feed pars'!G$6:G$43,MATCH(F174,'feed pars'!B$6:B$43,0))</f>
        <v>12.8</v>
      </c>
    </row>
    <row r="175" spans="1:14" x14ac:dyDescent="0.25">
      <c r="A175" t="s">
        <v>25</v>
      </c>
      <c r="F175" t="s">
        <v>41</v>
      </c>
      <c r="J175" t="s">
        <v>18</v>
      </c>
      <c r="K175" s="26">
        <f>INDEX('feed pars'!G$6:G$43,MATCH(F175,'feed pars'!B$6:B$43,0))</f>
        <v>11.2</v>
      </c>
    </row>
    <row r="176" spans="1:14" x14ac:dyDescent="0.25">
      <c r="A176" t="s">
        <v>25</v>
      </c>
      <c r="F176" t="s">
        <v>42</v>
      </c>
      <c r="J176" t="s">
        <v>18</v>
      </c>
      <c r="K176" s="26">
        <f>INDEX('feed pars'!G$6:G$43,MATCH(F176,'feed pars'!B$6:B$43,0))</f>
        <v>10.7</v>
      </c>
    </row>
    <row r="177" spans="1:11" x14ac:dyDescent="0.25">
      <c r="A177" t="s">
        <v>25</v>
      </c>
      <c r="F177" t="s">
        <v>35</v>
      </c>
      <c r="J177" t="s">
        <v>18</v>
      </c>
      <c r="K177" s="26">
        <f>INDEX('feed pars'!G$6:G$43,MATCH(F177,'feed pars'!B$6:B$43,0))</f>
        <v>18</v>
      </c>
    </row>
    <row r="178" spans="1:11" x14ac:dyDescent="0.25">
      <c r="A178" t="s">
        <v>25</v>
      </c>
      <c r="F178" t="s">
        <v>43</v>
      </c>
      <c r="J178" t="s">
        <v>18</v>
      </c>
      <c r="K178" s="26">
        <f>INDEX('feed pars'!G$6:G$43,MATCH(F178,'feed pars'!B$6:B$43,0))</f>
        <v>17.3</v>
      </c>
    </row>
    <row r="179" spans="1:11" x14ac:dyDescent="0.25">
      <c r="A179" t="s">
        <v>25</v>
      </c>
      <c r="F179" t="s">
        <v>314</v>
      </c>
      <c r="J179" t="s">
        <v>18</v>
      </c>
      <c r="K179" s="26">
        <f>INDEX('feed pars'!G$6:G$43,MATCH(F179,'feed pars'!B$6:B$43,0))</f>
        <v>29.8</v>
      </c>
    </row>
    <row r="180" spans="1:11" x14ac:dyDescent="0.25">
      <c r="A180" t="s">
        <v>25</v>
      </c>
      <c r="F180" t="s">
        <v>44</v>
      </c>
      <c r="J180" t="s">
        <v>18</v>
      </c>
      <c r="K180" s="26">
        <f>INDEX('feed pars'!G$6:G$43,MATCH(F180,'feed pars'!B$6:B$43,0))</f>
        <v>9.3000000000000007</v>
      </c>
    </row>
    <row r="181" spans="1:11" x14ac:dyDescent="0.25">
      <c r="A181" t="s">
        <v>25</v>
      </c>
      <c r="F181" t="s">
        <v>45</v>
      </c>
      <c r="J181" t="s">
        <v>18</v>
      </c>
      <c r="K181" s="26">
        <f>INDEX('feed pars'!G$6:G$43,MATCH(F181,'feed pars'!B$6:B$43,0))</f>
        <v>9.6999999999999993</v>
      </c>
    </row>
    <row r="182" spans="1:11" x14ac:dyDescent="0.25">
      <c r="A182" t="s">
        <v>25</v>
      </c>
      <c r="F182" t="s">
        <v>36</v>
      </c>
      <c r="J182" t="s">
        <v>18</v>
      </c>
      <c r="K182" s="26">
        <f>INDEX('feed pars'!G$6:G$43,MATCH(F182,'feed pars'!B$6:B$43,0))</f>
        <v>7.1</v>
      </c>
    </row>
    <row r="183" spans="1:11" x14ac:dyDescent="0.25">
      <c r="A183" t="s">
        <v>25</v>
      </c>
      <c r="F183" t="s">
        <v>46</v>
      </c>
      <c r="J183" t="s">
        <v>18</v>
      </c>
      <c r="K183" s="26">
        <f>INDEX('feed pars'!G$6:G$43,MATCH(F183,'feed pars'!B$6:B$43,0))</f>
        <v>5.9</v>
      </c>
    </row>
    <row r="184" spans="1:11" x14ac:dyDescent="0.25">
      <c r="A184" t="s">
        <v>25</v>
      </c>
      <c r="F184" t="s">
        <v>47</v>
      </c>
      <c r="J184" t="s">
        <v>18</v>
      </c>
      <c r="K184" s="26">
        <f>INDEX('feed pars'!G$6:G$43,MATCH(F184,'feed pars'!B$6:B$43,0))</f>
        <v>5.4</v>
      </c>
    </row>
    <row r="185" spans="1:11" x14ac:dyDescent="0.25">
      <c r="A185" t="s">
        <v>25</v>
      </c>
      <c r="F185" t="s">
        <v>48</v>
      </c>
      <c r="J185" t="s">
        <v>18</v>
      </c>
      <c r="K185" s="26">
        <f>INDEX('feed pars'!G$6:G$43,MATCH(F185,'feed pars'!B$6:B$43,0))</f>
        <v>7.2</v>
      </c>
    </row>
    <row r="186" spans="1:11" x14ac:dyDescent="0.25">
      <c r="A186" t="s">
        <v>25</v>
      </c>
      <c r="F186" t="s">
        <v>49</v>
      </c>
      <c r="J186" t="s">
        <v>18</v>
      </c>
      <c r="K186" s="26">
        <f>INDEX('feed pars'!G$6:G$43,MATCH(F186,'feed pars'!B$6:B$43,0))</f>
        <v>8.6999999999999993</v>
      </c>
    </row>
    <row r="187" spans="1:11" x14ac:dyDescent="0.25">
      <c r="A187" t="s">
        <v>25</v>
      </c>
      <c r="F187" t="s">
        <v>50</v>
      </c>
      <c r="J187" t="s">
        <v>18</v>
      </c>
      <c r="K187" s="26">
        <f>INDEX('feed pars'!G$6:G$43,MATCH(F187,'feed pars'!B$6:B$43,0))</f>
        <v>8.1</v>
      </c>
    </row>
    <row r="188" spans="1:11" x14ac:dyDescent="0.25">
      <c r="A188" t="s">
        <v>25</v>
      </c>
      <c r="F188" t="s">
        <v>51</v>
      </c>
      <c r="J188" t="s">
        <v>18</v>
      </c>
      <c r="K188" s="26">
        <f>INDEX('feed pars'!G$6:G$43,MATCH(F188,'feed pars'!B$6:B$43,0))</f>
        <v>8.1999999999999993</v>
      </c>
    </row>
    <row r="189" spans="1:11" x14ac:dyDescent="0.25">
      <c r="A189" t="s">
        <v>25</v>
      </c>
      <c r="F189" t="s">
        <v>313</v>
      </c>
      <c r="J189" t="s">
        <v>18</v>
      </c>
      <c r="K189" s="26">
        <f>INDEX('feed pars'!G$6:G$43,MATCH(F189,'feed pars'!B$6:B$43,0))</f>
        <v>6.6</v>
      </c>
    </row>
    <row r="190" spans="1:11" x14ac:dyDescent="0.25">
      <c r="A190" t="s">
        <v>25</v>
      </c>
      <c r="F190" t="s">
        <v>52</v>
      </c>
      <c r="J190" t="s">
        <v>18</v>
      </c>
      <c r="K190" s="26">
        <f>INDEX('feed pars'!G$6:G$43,MATCH(F190,'feed pars'!B$6:B$43,0))</f>
        <v>8.6999999999999993</v>
      </c>
    </row>
    <row r="191" spans="1:11" x14ac:dyDescent="0.25">
      <c r="A191" t="s">
        <v>25</v>
      </c>
      <c r="F191" t="s">
        <v>53</v>
      </c>
      <c r="J191" t="s">
        <v>18</v>
      </c>
      <c r="K191" s="26">
        <f>INDEX('feed pars'!G$6:G$43,MATCH(F191,'feed pars'!B$6:B$43,0))</f>
        <v>6.9</v>
      </c>
    </row>
    <row r="192" spans="1:11" x14ac:dyDescent="0.25">
      <c r="A192" t="s">
        <v>25</v>
      </c>
      <c r="F192" t="s">
        <v>54</v>
      </c>
      <c r="J192" t="s">
        <v>18</v>
      </c>
      <c r="K192" s="26">
        <f>INDEX('feed pars'!G$6:G$43,MATCH(F192,'feed pars'!B$6:B$43,0))</f>
        <v>12.4</v>
      </c>
    </row>
    <row r="193" spans="1:11" x14ac:dyDescent="0.25">
      <c r="A193" t="s">
        <v>25</v>
      </c>
      <c r="F193" t="s">
        <v>55</v>
      </c>
      <c r="J193" t="s">
        <v>18</v>
      </c>
      <c r="K193" s="26">
        <f>INDEX('feed pars'!G$6:G$43,MATCH(F193,'feed pars'!B$6:B$43,0))</f>
        <v>12.4</v>
      </c>
    </row>
    <row r="194" spans="1:11" x14ac:dyDescent="0.25">
      <c r="A194" t="s">
        <v>25</v>
      </c>
      <c r="F194" t="s">
        <v>56</v>
      </c>
      <c r="J194" t="s">
        <v>18</v>
      </c>
      <c r="K194" s="26">
        <f>INDEX('feed pars'!G$6:G$43,MATCH(F194,'feed pars'!B$6:B$43,0))</f>
        <v>11.1</v>
      </c>
    </row>
    <row r="195" spans="1:11" x14ac:dyDescent="0.25">
      <c r="A195" t="s">
        <v>25</v>
      </c>
      <c r="F195" t="s">
        <v>57</v>
      </c>
      <c r="J195" t="s">
        <v>18</v>
      </c>
      <c r="K195" s="26">
        <f>INDEX('feed pars'!G$6:G$43,MATCH(F195,'feed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3"/>
  <sheetViews>
    <sheetView topLeftCell="A25" workbookViewId="0">
      <selection activeCell="B37" sqref="B37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5" x14ac:dyDescent="0.25">
      <c r="B1" t="s">
        <v>119</v>
      </c>
      <c r="C1" s="11" t="s">
        <v>118</v>
      </c>
      <c r="D1" s="11"/>
      <c r="E1" s="11"/>
    </row>
    <row r="3" spans="2:15" x14ac:dyDescent="0.25">
      <c r="C3" s="4" t="s">
        <v>307</v>
      </c>
      <c r="E3" s="4" t="s">
        <v>25</v>
      </c>
      <c r="J3" s="4" t="s">
        <v>24</v>
      </c>
      <c r="N3" s="4" t="s">
        <v>389</v>
      </c>
    </row>
    <row r="4" spans="2:15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 t="s">
        <v>297</v>
      </c>
      <c r="K4" s="4">
        <v>1</v>
      </c>
      <c r="L4" s="4">
        <v>2</v>
      </c>
      <c r="M4" s="4"/>
      <c r="N4" s="4" t="s">
        <v>297</v>
      </c>
      <c r="O4" s="4">
        <v>1</v>
      </c>
    </row>
    <row r="5" spans="2:15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 t="s">
        <v>298</v>
      </c>
      <c r="K5" s="4" t="s">
        <v>59</v>
      </c>
      <c r="L5" s="4" t="s">
        <v>306</v>
      </c>
      <c r="N5" s="4" t="s">
        <v>298</v>
      </c>
      <c r="O5" s="4" t="s">
        <v>59</v>
      </c>
    </row>
    <row r="6" spans="2:15" x14ac:dyDescent="0.25">
      <c r="B6" t="s">
        <v>310</v>
      </c>
      <c r="C6">
        <v>100</v>
      </c>
      <c r="L6" s="27">
        <v>11.5</v>
      </c>
    </row>
    <row r="7" spans="2:15" x14ac:dyDescent="0.25">
      <c r="B7" t="s">
        <v>311</v>
      </c>
      <c r="C7">
        <v>100</v>
      </c>
      <c r="L7" s="27">
        <v>10.4</v>
      </c>
    </row>
    <row r="8" spans="2:15" x14ac:dyDescent="0.25">
      <c r="B8" t="s">
        <v>312</v>
      </c>
      <c r="C8">
        <v>100</v>
      </c>
      <c r="L8" s="25">
        <v>10</v>
      </c>
    </row>
    <row r="9" spans="2:15" x14ac:dyDescent="0.25">
      <c r="B9" t="s">
        <v>2</v>
      </c>
      <c r="C9">
        <v>100</v>
      </c>
      <c r="L9" s="27">
        <v>9.1</v>
      </c>
    </row>
    <row r="10" spans="2:15" x14ac:dyDescent="0.25">
      <c r="B10" t="s">
        <v>12</v>
      </c>
      <c r="C10">
        <v>100</v>
      </c>
      <c r="J10" s="4"/>
      <c r="L10" s="27">
        <v>11.3</v>
      </c>
    </row>
    <row r="11" spans="2:15" x14ac:dyDescent="0.25">
      <c r="B11" t="s">
        <v>33</v>
      </c>
      <c r="C11">
        <v>100</v>
      </c>
      <c r="L11" s="27">
        <v>10</v>
      </c>
    </row>
    <row r="12" spans="2:15" x14ac:dyDescent="0.25">
      <c r="B12" s="4"/>
      <c r="C12" s="4"/>
      <c r="E12" s="4"/>
      <c r="F12" s="4"/>
      <c r="G12" s="4"/>
      <c r="H12" s="4"/>
      <c r="I12" s="4"/>
      <c r="J12" s="4"/>
      <c r="K12" s="4"/>
      <c r="L12" s="28"/>
    </row>
    <row r="13" spans="2:15" x14ac:dyDescent="0.25">
      <c r="B13" t="s">
        <v>17</v>
      </c>
      <c r="C13" s="23">
        <f t="shared" ref="C13:C43" si="0">AVERAGE(F13,K13)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J13" s="4">
        <f>MATCH($B13,cattle!$A$3:$A$120,0)</f>
        <v>112</v>
      </c>
      <c r="K13">
        <f>INDEX(cattle!$D$3:$AH$120,$J13,K$4)</f>
        <v>87</v>
      </c>
      <c r="L13" s="27">
        <f>INDEX(cattle!$D$3:$AH$120,$J13,L$4)</f>
        <v>14.1</v>
      </c>
      <c r="N13" s="4">
        <f>MATCH($B13,poultry!$A$3:$A$41,0)</f>
        <v>35</v>
      </c>
      <c r="O13">
        <f>INDEX(poultry!$D$3:$U$41,$N13,O$4)</f>
        <v>87</v>
      </c>
    </row>
    <row r="14" spans="2:15" x14ac:dyDescent="0.25">
      <c r="B14" t="s">
        <v>37</v>
      </c>
      <c r="C14" s="23">
        <f t="shared" si="0"/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J14" s="4">
        <f>MATCH($B14,cattle!$A$3:$A$120,0)</f>
        <v>42</v>
      </c>
      <c r="K14">
        <f>INDEX(cattle!$D$3:$AH$120,$J14,K$4)</f>
        <v>87</v>
      </c>
      <c r="L14" s="27">
        <f>INDEX(cattle!$D$3:$AH$120,$J14,L$4)</f>
        <v>13.2</v>
      </c>
      <c r="N14" s="4">
        <f>MATCH($B14,poultry!$A$3:$A$41,0)</f>
        <v>16</v>
      </c>
      <c r="O14">
        <f>INDEX(poultry!$D$3:$U$41,$N14,O$4)</f>
        <v>87</v>
      </c>
    </row>
    <row r="15" spans="2:15" x14ac:dyDescent="0.25">
      <c r="B15" t="s">
        <v>38</v>
      </c>
      <c r="C15" s="23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J15" s="4">
        <f>MATCH($B15,cattle!$A$3:$A$120,0)</f>
        <v>28</v>
      </c>
      <c r="K15">
        <f>INDEX(cattle!$D$3:$AH$120,$J15,K$4)</f>
        <v>85</v>
      </c>
      <c r="L15" s="27">
        <f>INDEX(cattle!$D$3:$AH$120,$J15,L$4)</f>
        <v>11.7</v>
      </c>
      <c r="N15" s="4">
        <f>MATCH($B15,poultry!$A$3:$A$41,0)</f>
        <v>10</v>
      </c>
      <c r="O15">
        <f>INDEX(poultry!$D$3:$U$41,$N15,O$4)</f>
        <v>87</v>
      </c>
    </row>
    <row r="16" spans="2:15" x14ac:dyDescent="0.25">
      <c r="B16" t="s">
        <v>39</v>
      </c>
      <c r="C16" s="23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J16" s="4">
        <f>MATCH($B16,cattle!$A$3:$A$120,0)</f>
        <v>78</v>
      </c>
      <c r="K16">
        <f>INDEX(cattle!$D$3:$AH$120,$J16,K$4)</f>
        <v>87</v>
      </c>
      <c r="L16" s="27">
        <f>INDEX(cattle!$D$3:$AH$120,$J16,L$4)</f>
        <v>14</v>
      </c>
      <c r="N16" s="4">
        <f>MATCH($B16,poultry!$A$3:$A$41,0)</f>
        <v>31</v>
      </c>
      <c r="O16">
        <f>INDEX(poultry!$D$3:$U$41,$N16,O$4)</f>
        <v>89</v>
      </c>
    </row>
    <row r="17" spans="2:15" x14ac:dyDescent="0.25">
      <c r="B17" t="s">
        <v>317</v>
      </c>
      <c r="C17" s="23">
        <f t="shared" si="0"/>
        <v>87</v>
      </c>
      <c r="D17" s="4"/>
      <c r="E17" s="4">
        <f>MATCH($B17,pigs!$A$3:$A$60,0)</f>
        <v>38</v>
      </c>
      <c r="J17" s="4">
        <f>MATCH($B17,cattle!$A$3:$A$120,0)</f>
        <v>77</v>
      </c>
      <c r="K17">
        <f>INDEX(cattle!$D$3:$AH$120,$J17,K$4)</f>
        <v>87</v>
      </c>
      <c r="L17" s="27">
        <f>INDEX(cattle!$D$3:$AH$120,$J17,L$4)</f>
        <v>13.9</v>
      </c>
      <c r="N17" s="4">
        <f>MATCH($B17,poultry!$A$3:$A$41,0)</f>
        <v>30</v>
      </c>
      <c r="O17">
        <f>INDEX(poultry!$D$3:$U$41,$N17,O$4)</f>
        <v>87</v>
      </c>
    </row>
    <row r="18" spans="2:15" x14ac:dyDescent="0.25">
      <c r="B18" t="s">
        <v>40</v>
      </c>
      <c r="C18" s="23">
        <f t="shared" si="0"/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J18" s="4">
        <f>MATCH($B18,cattle!$A$3:$A$120,0)</f>
        <v>53</v>
      </c>
      <c r="K18">
        <f>INDEX(cattle!$D$3:$AH$120,$J18,K$4)</f>
        <v>48</v>
      </c>
      <c r="L18" s="27">
        <f>INDEX(cattle!$D$3:$AH$120,$J18,L$4)</f>
        <v>12.8</v>
      </c>
      <c r="N18" s="4">
        <f>MATCH($B18,poultry!$A$3:$A$41,0)</f>
        <v>24</v>
      </c>
      <c r="O18">
        <f>INDEX(poultry!$D$3:$U$41,$N18,O$4)</f>
        <v>87</v>
      </c>
    </row>
    <row r="19" spans="2:15" x14ac:dyDescent="0.25">
      <c r="B19" t="s">
        <v>41</v>
      </c>
      <c r="C19" s="23">
        <f t="shared" si="0"/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J19" s="4">
        <f>MATCH($B19,cattle!$A$3:$A$120,0)</f>
        <v>115</v>
      </c>
      <c r="K19">
        <f>INDEX(cattle!$D$3:$AH$120,$J19,K$4)</f>
        <v>87</v>
      </c>
      <c r="L19" s="27">
        <f>INDEX(cattle!$D$3:$AH$120,$J19,L$4)</f>
        <v>13.8</v>
      </c>
      <c r="N19" s="4">
        <f>MATCH($B19,poultry!$A$3:$A$41,0)</f>
        <v>39</v>
      </c>
      <c r="O19">
        <f>INDEX(poultry!$D$3:$U$41,$N19,O$4)</f>
        <v>87</v>
      </c>
    </row>
    <row r="20" spans="2:15" x14ac:dyDescent="0.25">
      <c r="B20" t="s">
        <v>42</v>
      </c>
      <c r="C20" s="23">
        <f t="shared" si="0"/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J20" s="4"/>
      <c r="K20">
        <v>86.6</v>
      </c>
      <c r="L20" s="27">
        <v>13.3</v>
      </c>
      <c r="M20" t="s">
        <v>322</v>
      </c>
      <c r="N20" s="4"/>
    </row>
    <row r="21" spans="2:15" x14ac:dyDescent="0.25">
      <c r="B21" t="s">
        <v>35</v>
      </c>
      <c r="C21" s="23">
        <f t="shared" si="0"/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J21" s="4">
        <f>MATCH($B21,cattle!$A$3:$A$120,0)</f>
        <v>71</v>
      </c>
      <c r="K21">
        <f>INDEX(cattle!$D$3:$AH$120,$J21,K$4)</f>
        <v>93</v>
      </c>
      <c r="L21" s="27">
        <f>INDEX(cattle!$D$3:$AH$120,$J21,L$4)</f>
        <v>22.1</v>
      </c>
      <c r="N21" s="4"/>
    </row>
    <row r="22" spans="2:15" x14ac:dyDescent="0.25">
      <c r="B22" t="s">
        <v>43</v>
      </c>
      <c r="C22" s="23">
        <f t="shared" si="0"/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J22" s="4">
        <f>MATCH($B22,cattle!$A$3:$A$120,0)</f>
        <v>45</v>
      </c>
      <c r="K22">
        <f>INDEX(cattle!$D$3:$AH$120,$J22,K$4)</f>
        <v>93</v>
      </c>
      <c r="L22" s="27">
        <f>INDEX(cattle!$D$3:$AH$120,$J22,L$4)</f>
        <v>20.100000000000001</v>
      </c>
      <c r="N22" s="4"/>
    </row>
    <row r="23" spans="2:15" x14ac:dyDescent="0.25">
      <c r="B23" t="s">
        <v>314</v>
      </c>
      <c r="C23" s="23">
        <f t="shared" si="0"/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J23" s="4"/>
      <c r="K23">
        <v>100</v>
      </c>
      <c r="L23" s="27">
        <v>36.6</v>
      </c>
      <c r="M23" t="s">
        <v>323</v>
      </c>
      <c r="N23" s="4">
        <f>MATCH($B23,poultry!$A$3:$A$41,0)</f>
        <v>1</v>
      </c>
      <c r="O23">
        <f>INDEX(poultry!$D$3:$U$41,$N23,O$4)</f>
        <v>99</v>
      </c>
    </row>
    <row r="24" spans="2:15" x14ac:dyDescent="0.25">
      <c r="B24" t="s">
        <v>305</v>
      </c>
      <c r="C24" s="23">
        <f t="shared" si="0"/>
        <v>85</v>
      </c>
      <c r="D24" s="4"/>
      <c r="E24" s="4"/>
      <c r="J24" s="4">
        <f>MATCH($B24,cattle!$A$3:$A$120,0)</f>
        <v>22</v>
      </c>
      <c r="K24">
        <f>INDEX(cattle!$D$3:$AH$120,$J24,K$4)</f>
        <v>85</v>
      </c>
      <c r="L24" s="27">
        <f>INDEX(cattle!$D$3:$AH$120,$J24,L$4)</f>
        <v>6.6</v>
      </c>
      <c r="N24" s="4"/>
    </row>
    <row r="25" spans="2:15" x14ac:dyDescent="0.25">
      <c r="B25" t="s">
        <v>318</v>
      </c>
      <c r="C25" s="23">
        <f t="shared" si="0"/>
        <v>87</v>
      </c>
      <c r="D25" s="4"/>
      <c r="E25" s="4"/>
      <c r="J25" s="4">
        <f>MATCH($B25,cattle!$A$3:$A$120,0)</f>
        <v>92</v>
      </c>
      <c r="K25">
        <f>INDEX(cattle!$D$3:$AH$120,$J25,K$4)</f>
        <v>87</v>
      </c>
      <c r="L25" s="27">
        <f>INDEX(cattle!$D$3:$AH$120,$J25,L$4)</f>
        <v>16.399999999999999</v>
      </c>
      <c r="N25" s="4"/>
    </row>
    <row r="26" spans="2:15" x14ac:dyDescent="0.25">
      <c r="B26" t="s">
        <v>44</v>
      </c>
      <c r="C26" s="23">
        <f t="shared" si="0"/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J26" s="4">
        <f>MATCH($B26,cattle!$A$3:$A$120,0)</f>
        <v>93</v>
      </c>
      <c r="K26">
        <f>INDEX(cattle!$D$3:$AH$120,$J26,K$4)</f>
        <v>87</v>
      </c>
      <c r="L26" s="27">
        <f>INDEX(cattle!$D$3:$AH$120,$J26,L$4)</f>
        <v>14.6</v>
      </c>
      <c r="N26" s="4">
        <f>MATCH($B26,poultry!$A$3:$A$41,0)</f>
        <v>33</v>
      </c>
      <c r="O26">
        <f>INDEX(poultry!$D$3:$U$41,$N26,O$4)</f>
        <v>87</v>
      </c>
    </row>
    <row r="27" spans="2:15" x14ac:dyDescent="0.25">
      <c r="B27" t="s">
        <v>45</v>
      </c>
      <c r="C27" s="23">
        <f t="shared" si="0"/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J27" s="4"/>
      <c r="L27" s="27"/>
      <c r="N27" s="4"/>
    </row>
    <row r="28" spans="2:15" x14ac:dyDescent="0.25">
      <c r="B28" t="s">
        <v>36</v>
      </c>
      <c r="C28" s="23">
        <f t="shared" si="0"/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J28" s="4">
        <f>MATCH($B28,cattle!$A$3:$A$120,0)</f>
        <v>70</v>
      </c>
      <c r="K28">
        <f>INDEX(cattle!$D$3:$AH$120,$J28,K$4)</f>
        <v>90</v>
      </c>
      <c r="L28" s="27">
        <f>INDEX(cattle!$D$3:$AH$120,$J28,L$4)</f>
        <v>12.2</v>
      </c>
      <c r="N28" s="4">
        <f>MATCH($B28,poultry!$A$3:$A$41,0)</f>
        <v>29</v>
      </c>
      <c r="O28">
        <f>INDEX(poultry!$D$3:$U$41,$N28,O$4)</f>
        <v>90</v>
      </c>
    </row>
    <row r="29" spans="2:15" x14ac:dyDescent="0.25">
      <c r="B29" t="s">
        <v>46</v>
      </c>
      <c r="C29" s="23">
        <f t="shared" si="0"/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J29" s="4">
        <f>MATCH($B29,cattle!$A$3:$A$120,0)</f>
        <v>99</v>
      </c>
      <c r="K29">
        <f>INDEX(cattle!$D$3:$AH$120,$J29,K$4)</f>
        <v>92</v>
      </c>
      <c r="L29" s="27">
        <f>INDEX(cattle!$D$3:$AH$120,$J29,L$4)</f>
        <v>11.4</v>
      </c>
      <c r="N29" s="4"/>
    </row>
    <row r="30" spans="2:15" x14ac:dyDescent="0.25">
      <c r="B30" t="s">
        <v>47</v>
      </c>
      <c r="C30" s="23">
        <f t="shared" si="0"/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J30" s="4">
        <f>MATCH($B30,cattle!$A$3:$A$120,0)</f>
        <v>60</v>
      </c>
      <c r="K30">
        <f>INDEX(cattle!$D$3:$AH$120,$J30,K$4)</f>
        <v>91</v>
      </c>
      <c r="L30" s="27">
        <f>INDEX(cattle!$D$3:$AH$120,$J30,L$4)</f>
        <v>13.4</v>
      </c>
      <c r="N30" s="4"/>
    </row>
    <row r="31" spans="2:15" x14ac:dyDescent="0.25">
      <c r="B31" t="s">
        <v>319</v>
      </c>
      <c r="C31" s="23">
        <f t="shared" si="0"/>
        <v>90</v>
      </c>
      <c r="D31" s="4"/>
      <c r="E31" s="4"/>
      <c r="J31" s="4"/>
      <c r="K31">
        <v>90</v>
      </c>
      <c r="L31" s="27">
        <v>8.5</v>
      </c>
      <c r="M31" s="11" t="s">
        <v>320</v>
      </c>
      <c r="N31" s="4"/>
    </row>
    <row r="32" spans="2:15" x14ac:dyDescent="0.25">
      <c r="B32" t="s">
        <v>48</v>
      </c>
      <c r="C32" s="23">
        <f t="shared" si="0"/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J32" s="4">
        <f>MATCH($B32,cattle!$A$3:$A$120,0)</f>
        <v>111</v>
      </c>
      <c r="K32">
        <f>INDEX(cattle!$D$3:$AH$120,$J32,K$4)</f>
        <v>87</v>
      </c>
      <c r="L32" s="27">
        <f>INDEX(cattle!$D$3:$AH$120,$J32,L$4)</f>
        <v>11</v>
      </c>
      <c r="N32" s="4">
        <f>MATCH($B32,poultry!$A$3:$A$41,0)</f>
        <v>38</v>
      </c>
      <c r="O32">
        <f>INDEX(poultry!$D$3:$U$41,$N32,O$4)</f>
        <v>87</v>
      </c>
    </row>
    <row r="33" spans="2:15" x14ac:dyDescent="0.25">
      <c r="B33" t="s">
        <v>49</v>
      </c>
      <c r="C33" s="23">
        <f t="shared" si="0"/>
        <v>88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J33" s="4"/>
      <c r="L33" s="27"/>
      <c r="N33" s="4">
        <f>MATCH($B33,poultry!$A$3:$A$41,0)</f>
        <v>36</v>
      </c>
      <c r="O33">
        <f>INDEX(poultry!$D$3:$U$41,$N33,O$4)</f>
        <v>87</v>
      </c>
    </row>
    <row r="34" spans="2:15" x14ac:dyDescent="0.25">
      <c r="B34" t="s">
        <v>50</v>
      </c>
      <c r="C34" s="23">
        <f t="shared" si="0"/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J34" s="4">
        <f>MATCH($B34,cattle!$A$3:$A$120,0)</f>
        <v>109</v>
      </c>
      <c r="K34">
        <f>INDEX(cattle!$D$3:$AH$120,$J34,K$4)</f>
        <v>90</v>
      </c>
      <c r="L34" s="27">
        <f>INDEX(cattle!$D$3:$AH$120,$J34,L$4)</f>
        <v>13.3</v>
      </c>
      <c r="N34" s="4"/>
    </row>
    <row r="35" spans="2:15" x14ac:dyDescent="0.25">
      <c r="B35" t="s">
        <v>51</v>
      </c>
      <c r="C35" s="23">
        <f t="shared" si="0"/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J35" s="4"/>
      <c r="L35" s="27"/>
      <c r="N35" s="4"/>
    </row>
    <row r="36" spans="2:15" x14ac:dyDescent="0.25">
      <c r="B36" t="s">
        <v>313</v>
      </c>
      <c r="C36" s="23">
        <f t="shared" si="0"/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J36" s="4">
        <f>MATCH($B36,cattle!$A$3:$A$120,0)</f>
        <v>38</v>
      </c>
      <c r="K36">
        <f>INDEX(cattle!$D$3:$AH$120,$J36,K$4)</f>
        <v>90</v>
      </c>
      <c r="L36" s="27">
        <f>INDEX(cattle!$D$3:$AH$120,$J36,L$4)</f>
        <v>11.6</v>
      </c>
      <c r="N36" s="4"/>
    </row>
    <row r="37" spans="2:15" x14ac:dyDescent="0.25">
      <c r="B37" t="s">
        <v>388</v>
      </c>
      <c r="C37" s="23">
        <f>AVERAGE(F37,K37,O37)</f>
        <v>87</v>
      </c>
      <c r="D37" s="4"/>
      <c r="E37" s="4"/>
      <c r="G37" s="3"/>
      <c r="H37" s="25"/>
      <c r="I37" s="11"/>
      <c r="J37" s="4"/>
      <c r="L37" s="27"/>
      <c r="N37" s="4">
        <f>MATCH($B37,poultry!$A$3:$A$41,0)</f>
        <v>25</v>
      </c>
      <c r="O37">
        <f>INDEX(poultry!$D$3:$U$41,$N37,O$4)</f>
        <v>87</v>
      </c>
    </row>
    <row r="38" spans="2:15" x14ac:dyDescent="0.25">
      <c r="B38" t="s">
        <v>52</v>
      </c>
      <c r="C38" s="23">
        <f t="shared" si="0"/>
        <v>75.5</v>
      </c>
      <c r="D38" s="4"/>
      <c r="E38" s="4">
        <f>MATCH($B38,pigs!$A$3:$A$60,0)</f>
        <v>23</v>
      </c>
      <c r="F38">
        <f>INDEX(pigs!$D$3:$AO$60,$E38,F$4)</f>
        <v>76</v>
      </c>
      <c r="G38">
        <f>INDEX(pigs!$D$3:$AO$60,$E38,G$4)</f>
        <v>8.6999999999999993</v>
      </c>
      <c r="H38">
        <f>INDEX(pigs!$D$3:$AO$60,$E38,H$4)</f>
        <v>9</v>
      </c>
      <c r="J38" s="4">
        <f>MATCH($B38,cattle!$A$3:$A$120,0)</f>
        <v>88</v>
      </c>
      <c r="K38">
        <f>INDEX(cattle!$D$3:$AH$120,$J38,K$4)</f>
        <v>75</v>
      </c>
      <c r="L38" s="27">
        <f>INDEX(cattle!$D$3:$AH$120,$J38,L$4)</f>
        <v>12.4</v>
      </c>
      <c r="N38" s="4"/>
    </row>
    <row r="39" spans="2:15" x14ac:dyDescent="0.25">
      <c r="B39" t="s">
        <v>53</v>
      </c>
      <c r="C39" s="23">
        <f t="shared" si="0"/>
        <v>89.5</v>
      </c>
      <c r="D39" s="4"/>
      <c r="E39" s="4">
        <f>MATCH($B39,pigs!$A$3:$A$60,0)</f>
        <v>4</v>
      </c>
      <c r="F39">
        <f>INDEX(pigs!$D$3:$AO$60,$E39,F$4)</f>
        <v>89</v>
      </c>
      <c r="G39">
        <f>INDEX(pigs!$D$3:$AO$60,$E39,G$4)</f>
        <v>6.9</v>
      </c>
      <c r="H39">
        <f>INDEX(pigs!$D$3:$AO$60,$E39,H$4)</f>
        <v>8</v>
      </c>
      <c r="J39" s="4">
        <f>MATCH($B39,cattle!$A$3:$A$120,0)</f>
        <v>91</v>
      </c>
      <c r="K39">
        <f>INDEX(cattle!$D$3:$AH$120,$J39,K$4)</f>
        <v>90</v>
      </c>
      <c r="L39" s="27">
        <f>INDEX(cattle!$D$3:$AH$120,$J39,L$4)</f>
        <v>12.3</v>
      </c>
      <c r="N39" s="4"/>
    </row>
    <row r="40" spans="2:15" x14ac:dyDescent="0.25">
      <c r="B40" t="s">
        <v>54</v>
      </c>
      <c r="C40" s="23">
        <f t="shared" si="0"/>
        <v>6.25</v>
      </c>
      <c r="D40" s="4"/>
      <c r="E40" s="4">
        <f>MATCH($B40,pigs!$A$3:$A$60,0)</f>
        <v>50</v>
      </c>
      <c r="F40">
        <f>INDEX(pigs!$D$3:$AO$60,$E40,F$4)</f>
        <v>5.5</v>
      </c>
      <c r="G40">
        <f>INDEX(pigs!$D$3:$AO$60,$E40,G$4)</f>
        <v>12.4</v>
      </c>
      <c r="H40">
        <f>INDEX(pigs!$D$3:$AO$60,$E40,H$4)</f>
        <v>12.2</v>
      </c>
      <c r="J40" s="4">
        <f>MATCH($B40,cattle!$A$3:$A$120,0)</f>
        <v>57</v>
      </c>
      <c r="K40">
        <f>INDEX(cattle!$D$3:$AH$120,$J40,K$4)</f>
        <v>7</v>
      </c>
      <c r="L40" s="27">
        <f>INDEX(cattle!$D$3:$AH$120,$J40,L$4)</f>
        <v>13.6</v>
      </c>
      <c r="N40" s="4"/>
    </row>
    <row r="41" spans="2:15" x14ac:dyDescent="0.25">
      <c r="B41" t="s">
        <v>55</v>
      </c>
      <c r="C41" s="23">
        <f t="shared" si="0"/>
        <v>97</v>
      </c>
      <c r="D41" s="4"/>
      <c r="E41" s="4">
        <f>MATCH($B41,pigs!$A$3:$A$60,0)</f>
        <v>52</v>
      </c>
      <c r="F41">
        <f>INDEX(pigs!$D$3:$AO$60,$E41,F$4)</f>
        <v>97</v>
      </c>
      <c r="G41">
        <f>INDEX(pigs!$D$3:$AO$60,$E41,G$4)</f>
        <v>12.4</v>
      </c>
      <c r="H41">
        <f>INDEX(pigs!$D$3:$AO$60,$E41,H$4)</f>
        <v>12.2</v>
      </c>
      <c r="J41" s="4"/>
      <c r="L41" s="27"/>
      <c r="N41" s="4"/>
    </row>
    <row r="42" spans="2:15" x14ac:dyDescent="0.25">
      <c r="B42" t="s">
        <v>56</v>
      </c>
      <c r="C42" s="23">
        <f t="shared" si="0"/>
        <v>91</v>
      </c>
      <c r="D42" s="4"/>
      <c r="E42" s="4">
        <f>MATCH($B42,pigs!$A$3:$A$60,0)</f>
        <v>31</v>
      </c>
      <c r="F42">
        <f>INDEX(pigs!$D$3:$AO$60,$E42,F$4)</f>
        <v>92</v>
      </c>
      <c r="G42">
        <f>INDEX(pigs!$D$3:$AO$60,$E42,G$4)</f>
        <v>11.1</v>
      </c>
      <c r="H42">
        <f>INDEX(pigs!$D$3:$AO$60,$E42,H$4)</f>
        <v>11.3</v>
      </c>
      <c r="J42" s="4">
        <f>MATCH($B42,cattle!$A$3:$A$120,0)</f>
        <v>65</v>
      </c>
      <c r="K42">
        <f>INDEX(cattle!$D$3:$AH$120,$J42,K$4)</f>
        <v>90</v>
      </c>
      <c r="L42" s="27">
        <f>INDEX(cattle!$D$3:$AH$120,$J42,L$4)</f>
        <v>15.5</v>
      </c>
      <c r="N42" s="4">
        <f>MATCH($B42,poultry!$A$3:$A$41,0)</f>
        <v>28</v>
      </c>
      <c r="O42">
        <f>INDEX(poultry!$D$3:$U$41,$N42,O$4)</f>
        <v>90</v>
      </c>
    </row>
    <row r="43" spans="2:15" x14ac:dyDescent="0.25">
      <c r="B43" t="s">
        <v>57</v>
      </c>
      <c r="C43" s="23">
        <f t="shared" si="0"/>
        <v>92</v>
      </c>
      <c r="D43" s="4"/>
      <c r="E43" s="4">
        <f>MATCH($B43,pigs!$A$3:$A$60,0)</f>
        <v>7</v>
      </c>
      <c r="F43">
        <f>INDEX(pigs!$D$3:$AO$60,$E43,F$4)</f>
        <v>92</v>
      </c>
      <c r="G43">
        <f>INDEX(pigs!$D$3:$AO$60,$E43,G$4)</f>
        <v>10.8</v>
      </c>
      <c r="H43">
        <f>INDEX(pigs!$D$3:$AO$60,$E43,H$4)</f>
        <v>10.8</v>
      </c>
      <c r="J43" s="4"/>
      <c r="N43" s="4">
        <f>MATCH($B43,poultry!$A$3:$A$41,0)</f>
        <v>6</v>
      </c>
      <c r="O43">
        <f>INDEX(poultry!$D$3:$U$41,$N43,O$4)</f>
        <v>92</v>
      </c>
    </row>
  </sheetData>
  <hyperlinks>
    <hyperlink ref="C1" r:id="rId1"/>
    <hyperlink ref="I36" r:id="rId2"/>
    <hyperlink ref="M31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54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103" workbookViewId="0">
      <selection activeCell="A117" sqref="A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9" workbookViewId="0">
      <selection activeCell="D33" sqref="D33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125</v>
      </c>
      <c r="C2" s="19" t="s">
        <v>128</v>
      </c>
      <c r="D2" s="19" t="s">
        <v>337</v>
      </c>
      <c r="E2" s="19" t="s">
        <v>338</v>
      </c>
      <c r="F2" s="19" t="s">
        <v>339</v>
      </c>
      <c r="G2" s="19" t="s">
        <v>340</v>
      </c>
      <c r="H2" s="19" t="s">
        <v>341</v>
      </c>
      <c r="I2" s="19" t="s">
        <v>342</v>
      </c>
      <c r="J2" s="19" t="s">
        <v>343</v>
      </c>
      <c r="K2" s="19" t="s">
        <v>344</v>
      </c>
      <c r="L2" s="19" t="s">
        <v>133</v>
      </c>
      <c r="M2" s="19" t="s">
        <v>134</v>
      </c>
      <c r="N2" s="19" t="s">
        <v>132</v>
      </c>
      <c r="O2" s="19" t="s">
        <v>151</v>
      </c>
      <c r="P2" s="19" t="s">
        <v>345</v>
      </c>
      <c r="Q2" s="19" t="s">
        <v>346</v>
      </c>
      <c r="R2" s="19" t="s">
        <v>154</v>
      </c>
      <c r="S2" s="19" t="s">
        <v>155</v>
      </c>
      <c r="T2" s="19" t="s">
        <v>347</v>
      </c>
      <c r="U2" s="19" t="s">
        <v>348</v>
      </c>
    </row>
    <row r="3" spans="1:21" x14ac:dyDescent="0.25">
      <c r="A3" t="s">
        <v>314</v>
      </c>
      <c r="B3" s="12">
        <v>1</v>
      </c>
      <c r="C3" s="14" t="s">
        <v>349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350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351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352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353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354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355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356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357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358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359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360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361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362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363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364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365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366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367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368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369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370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371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372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388</v>
      </c>
      <c r="B27" s="12">
        <v>25</v>
      </c>
      <c r="C27" s="14" t="s">
        <v>373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374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375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376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377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317</v>
      </c>
      <c r="B32" s="15">
        <v>30</v>
      </c>
      <c r="C32" s="17" t="s">
        <v>378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379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380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381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382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383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384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385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386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387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feed pars</vt:lpstr>
      <vt:lpstr>pigs</vt:lpstr>
      <vt:lpstr>cattle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2023-06-01T06:22:50Z</dcterms:modified>
</cp:coreProperties>
</file>