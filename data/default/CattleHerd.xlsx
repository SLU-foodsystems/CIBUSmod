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J193" i="1" l="1"/>
  <c r="AM11" i="8" l="1"/>
  <c r="AM12" i="8"/>
  <c r="D70" i="21"/>
  <c r="D68" i="21"/>
  <c r="D20" i="21"/>
  <c r="D71" i="21"/>
  <c r="F20" i="21"/>
  <c r="J48" i="1" l="1"/>
  <c r="T47" i="21" l="1"/>
  <c r="E401" i="1" l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6" i="1"/>
  <c r="J616" i="1" s="1"/>
  <c r="E615" i="1"/>
  <c r="J615" i="1" s="1"/>
  <c r="E614" i="1"/>
  <c r="J614" i="1" s="1"/>
  <c r="E613" i="1"/>
  <c r="J613" i="1" s="1"/>
  <c r="E612" i="1"/>
  <c r="J612" i="1" s="1"/>
  <c r="E611" i="1"/>
  <c r="J611" i="1" s="1"/>
  <c r="E610" i="1"/>
  <c r="J610" i="1" s="1"/>
  <c r="E609" i="1"/>
  <c r="J609" i="1" s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3" i="1"/>
  <c r="J533" i="1" s="1"/>
  <c r="E532" i="1"/>
  <c r="J532" i="1" s="1"/>
  <c r="E531" i="1"/>
  <c r="J531" i="1" s="1"/>
  <c r="E530" i="1"/>
  <c r="J530" i="1" s="1"/>
  <c r="E529" i="1"/>
  <c r="J529" i="1" s="1"/>
  <c r="E528" i="1"/>
  <c r="J528" i="1" s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Z75" i="21"/>
  <c r="AA75" i="21"/>
  <c r="AA102" i="21" s="1"/>
  <c r="AC75" i="21"/>
  <c r="Z76" i="21"/>
  <c r="AA76" i="21"/>
  <c r="AC76" i="21"/>
  <c r="AC102" i="21" s="1"/>
  <c r="I116" i="21"/>
  <c r="Z102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29" i="1" s="1"/>
  <c r="L116" i="21"/>
  <c r="AF75" i="21" s="1"/>
  <c r="AG70" i="21"/>
  <c r="J371" i="1" s="1"/>
  <c r="AF76" i="21"/>
  <c r="J336" i="1" s="1"/>
  <c r="AI71" i="21"/>
  <c r="J412" i="1" s="1"/>
  <c r="M116" i="21"/>
  <c r="AG69" i="21"/>
  <c r="J370" i="1" s="1"/>
  <c r="AE69" i="21"/>
  <c r="J288" i="1" s="1"/>
  <c r="K116" i="21"/>
  <c r="AE72" i="21" s="1"/>
  <c r="J291" i="1" s="1"/>
  <c r="AE76" i="21"/>
  <c r="J295" i="1" s="1"/>
  <c r="AI72" i="21"/>
  <c r="J413" i="1" s="1"/>
  <c r="AG72" i="21"/>
  <c r="J373" i="1" s="1"/>
  <c r="AI70" i="21"/>
  <c r="J411" i="1" s="1"/>
  <c r="Y69" i="21"/>
  <c r="J493" i="1" s="1"/>
  <c r="E116" i="21"/>
  <c r="Y72" i="21" s="1"/>
  <c r="J496" i="1" s="1"/>
  <c r="AG71" i="21"/>
  <c r="J372" i="1" s="1"/>
  <c r="AE71" i="21"/>
  <c r="J290" i="1" s="1"/>
  <c r="Y76" i="21"/>
  <c r="J500" i="1" s="1"/>
  <c r="AI76" i="21"/>
  <c r="J417" i="1" s="1"/>
  <c r="AB73" i="21"/>
  <c r="J579" i="1" s="1"/>
  <c r="Y73" i="21"/>
  <c r="J497" i="1" s="1"/>
  <c r="AI73" i="21"/>
  <c r="J414" i="1" s="1"/>
  <c r="AE73" i="21"/>
  <c r="J292" i="1" s="1"/>
  <c r="AE75" i="21"/>
  <c r="J294" i="1" s="1"/>
  <c r="Y75" i="21"/>
  <c r="J499" i="1" s="1"/>
  <c r="H116" i="21"/>
  <c r="AB69" i="21"/>
  <c r="J575" i="1" s="1"/>
  <c r="AB71" i="21"/>
  <c r="J577" i="1" s="1"/>
  <c r="AE70" i="21"/>
  <c r="J289" i="1" s="1"/>
  <c r="Y70" i="21"/>
  <c r="J494" i="1" s="1"/>
  <c r="AG76" i="21"/>
  <c r="AF72" i="21"/>
  <c r="J332" i="1" s="1"/>
  <c r="AN37" i="8"/>
  <c r="AM37" i="8"/>
  <c r="P37" i="8"/>
  <c r="Q37" i="8"/>
  <c r="J335" i="1" l="1"/>
  <c r="AI65" i="21"/>
  <c r="J406" i="1" s="1"/>
  <c r="AI63" i="21"/>
  <c r="AI67" i="21"/>
  <c r="J408" i="1" s="1"/>
  <c r="AI66" i="21"/>
  <c r="J407" i="1" s="1"/>
  <c r="AI64" i="21"/>
  <c r="J405" i="1" s="1"/>
  <c r="AI68" i="21"/>
  <c r="J409" i="1" s="1"/>
  <c r="AI75" i="21"/>
  <c r="J416" i="1" s="1"/>
  <c r="AI69" i="21"/>
  <c r="J410" i="1" s="1"/>
  <c r="J377" i="1"/>
  <c r="AB70" i="21"/>
  <c r="J576" i="1" s="1"/>
  <c r="AB63" i="21"/>
  <c r="J569" i="1" s="1"/>
  <c r="AB66" i="21"/>
  <c r="J572" i="1" s="1"/>
  <c r="AB64" i="21"/>
  <c r="J570" i="1" s="1"/>
  <c r="AB68" i="21"/>
  <c r="J574" i="1" s="1"/>
  <c r="AB67" i="21"/>
  <c r="J573" i="1" s="1"/>
  <c r="AB65" i="21"/>
  <c r="J571" i="1" s="1"/>
  <c r="Y71" i="21"/>
  <c r="J495" i="1" s="1"/>
  <c r="AG63" i="21"/>
  <c r="J364" i="1" s="1"/>
  <c r="AG67" i="21"/>
  <c r="J368" i="1" s="1"/>
  <c r="AG65" i="21"/>
  <c r="J366" i="1" s="1"/>
  <c r="AG64" i="21"/>
  <c r="J365" i="1" s="1"/>
  <c r="AG68" i="21"/>
  <c r="J369" i="1" s="1"/>
  <c r="AG66" i="21"/>
  <c r="J367" i="1" s="1"/>
  <c r="AF71" i="21"/>
  <c r="J331" i="1" s="1"/>
  <c r="AG75" i="21"/>
  <c r="J376" i="1" s="1"/>
  <c r="AB72" i="21"/>
  <c r="J578" i="1" s="1"/>
  <c r="Y67" i="21"/>
  <c r="J491" i="1" s="1"/>
  <c r="Y65" i="21"/>
  <c r="J489" i="1" s="1"/>
  <c r="Y64" i="21"/>
  <c r="J488" i="1" s="1"/>
  <c r="Y68" i="21"/>
  <c r="J492" i="1" s="1"/>
  <c r="Y63" i="21"/>
  <c r="Y66" i="21"/>
  <c r="J490" i="1" s="1"/>
  <c r="AE65" i="21"/>
  <c r="J284" i="1" s="1"/>
  <c r="AE68" i="21"/>
  <c r="J287" i="1" s="1"/>
  <c r="AE63" i="21"/>
  <c r="AE67" i="21"/>
  <c r="J286" i="1" s="1"/>
  <c r="AE66" i="21"/>
  <c r="J285" i="1" s="1"/>
  <c r="AE64" i="21"/>
  <c r="J283" i="1" s="1"/>
  <c r="AB75" i="21"/>
  <c r="AB76" i="21"/>
  <c r="J582" i="1" s="1"/>
  <c r="AF70" i="21"/>
  <c r="J330" i="1" s="1"/>
  <c r="AF66" i="21"/>
  <c r="J326" i="1" s="1"/>
  <c r="AF64" i="21"/>
  <c r="J324" i="1" s="1"/>
  <c r="AF68" i="21"/>
  <c r="J328" i="1" s="1"/>
  <c r="AF63" i="21"/>
  <c r="J323" i="1" s="1"/>
  <c r="AF67" i="21"/>
  <c r="J327" i="1" s="1"/>
  <c r="AF65" i="21"/>
  <c r="J325" i="1" s="1"/>
  <c r="AG73" i="21"/>
  <c r="J374" i="1" s="1"/>
  <c r="AF73" i="21"/>
  <c r="J333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4" i="1" l="1"/>
  <c r="J581" i="1"/>
  <c r="J282" i="1"/>
  <c r="J487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8" i="1" s="1"/>
  <c r="J116" i="21"/>
  <c r="AH96" i="21"/>
  <c r="J274" i="1" s="1"/>
  <c r="AH95" i="21"/>
  <c r="J273" i="1" s="1"/>
  <c r="AH79" i="21"/>
  <c r="J257" i="1" s="1"/>
  <c r="AH93" i="21"/>
  <c r="J271" i="1" s="1"/>
  <c r="AH80" i="21"/>
  <c r="J258" i="1" s="1"/>
  <c r="AH89" i="21"/>
  <c r="J267" i="1" s="1"/>
  <c r="AH81" i="21"/>
  <c r="J259" i="1" s="1"/>
  <c r="AH94" i="21"/>
  <c r="J272" i="1" s="1"/>
  <c r="AH91" i="21"/>
  <c r="J269" i="1" s="1"/>
  <c r="AH87" i="21"/>
  <c r="J265" i="1" s="1"/>
  <c r="AH86" i="21"/>
  <c r="J264" i="1" s="1"/>
  <c r="AH82" i="21"/>
  <c r="J260" i="1" s="1"/>
  <c r="AH77" i="21"/>
  <c r="J255" i="1" s="1"/>
  <c r="AH78" i="21"/>
  <c r="J256" i="1" s="1"/>
  <c r="AH88" i="21"/>
  <c r="J266" i="1" s="1"/>
  <c r="AH84" i="21"/>
  <c r="J262" i="1" s="1"/>
  <c r="AH99" i="21"/>
  <c r="J277" i="1" s="1"/>
  <c r="AH100" i="21"/>
  <c r="J278" i="1" s="1"/>
  <c r="AH92" i="21"/>
  <c r="J270" i="1" s="1"/>
  <c r="AH85" i="21"/>
  <c r="J263" i="1" s="1"/>
  <c r="AH90" i="21"/>
  <c r="J268" i="1" s="1"/>
  <c r="AH97" i="21"/>
  <c r="J275" i="1" s="1"/>
  <c r="AH98" i="21"/>
  <c r="J276" i="1" s="1"/>
  <c r="AH74" i="21"/>
  <c r="J252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48" i="1" s="1"/>
  <c r="AD72" i="21"/>
  <c r="J210" i="1" s="1"/>
  <c r="AD63" i="21"/>
  <c r="AD64" i="21"/>
  <c r="J202" i="1" s="1"/>
  <c r="AD68" i="21"/>
  <c r="J206" i="1" s="1"/>
  <c r="AD67" i="21"/>
  <c r="J205" i="1" s="1"/>
  <c r="AD66" i="21"/>
  <c r="J204" i="1" s="1"/>
  <c r="AD65" i="21"/>
  <c r="J203" i="1" s="1"/>
  <c r="AD75" i="21"/>
  <c r="J213" i="1" s="1"/>
  <c r="AD73" i="21"/>
  <c r="J211" i="1" s="1"/>
  <c r="AD76" i="21"/>
  <c r="J214" i="1" s="1"/>
  <c r="AD70" i="21"/>
  <c r="J208" i="1" s="1"/>
  <c r="AD69" i="21"/>
  <c r="J207" i="1" s="1"/>
  <c r="AD71" i="21"/>
  <c r="J209" i="1" s="1"/>
  <c r="AH72" i="21"/>
  <c r="J250" i="1" s="1"/>
  <c r="AH64" i="21"/>
  <c r="J242" i="1" s="1"/>
  <c r="AH68" i="21"/>
  <c r="J246" i="1" s="1"/>
  <c r="AH66" i="21"/>
  <c r="J244" i="1" s="1"/>
  <c r="AH65" i="21"/>
  <c r="J243" i="1" s="1"/>
  <c r="AH63" i="21"/>
  <c r="AH67" i="21"/>
  <c r="J245" i="1" s="1"/>
  <c r="AH75" i="21"/>
  <c r="J253" i="1" s="1"/>
  <c r="AH73" i="21"/>
  <c r="J251" i="1" s="1"/>
  <c r="AH76" i="21"/>
  <c r="J254" i="1" s="1"/>
  <c r="AH83" i="21"/>
  <c r="J261" i="1" s="1"/>
  <c r="AH71" i="21"/>
  <c r="J249" i="1" s="1"/>
  <c r="AH69" i="21"/>
  <c r="J247" i="1" s="1"/>
  <c r="AD83" i="21"/>
  <c r="J221" i="1" s="1"/>
  <c r="AD97" i="21"/>
  <c r="J235" i="1" s="1"/>
  <c r="AD99" i="21"/>
  <c r="J237" i="1" s="1"/>
  <c r="AD100" i="21"/>
  <c r="J238" i="1" s="1"/>
  <c r="AD95" i="21"/>
  <c r="J233" i="1" s="1"/>
  <c r="AD80" i="21"/>
  <c r="J218" i="1" s="1"/>
  <c r="AD94" i="21"/>
  <c r="J232" i="1" s="1"/>
  <c r="AD74" i="21"/>
  <c r="J212" i="1" s="1"/>
  <c r="AD78" i="21"/>
  <c r="J216" i="1" s="1"/>
  <c r="AD88" i="21"/>
  <c r="J226" i="1" s="1"/>
  <c r="AD79" i="21"/>
  <c r="J217" i="1" s="1"/>
  <c r="AD87" i="21"/>
  <c r="J225" i="1" s="1"/>
  <c r="AD81" i="21"/>
  <c r="J219" i="1" s="1"/>
  <c r="AD82" i="21"/>
  <c r="J220" i="1" s="1"/>
  <c r="AD96" i="21"/>
  <c r="J234" i="1" s="1"/>
  <c r="AD92" i="21"/>
  <c r="J230" i="1" s="1"/>
  <c r="AD77" i="21"/>
  <c r="J215" i="1" s="1"/>
  <c r="AD89" i="21"/>
  <c r="J227" i="1" s="1"/>
  <c r="AD98" i="21"/>
  <c r="J236" i="1" s="1"/>
  <c r="AD91" i="21"/>
  <c r="J229" i="1" s="1"/>
  <c r="AD86" i="21"/>
  <c r="J224" i="1" s="1"/>
  <c r="AD85" i="21"/>
  <c r="J223" i="1" s="1"/>
  <c r="AD90" i="21"/>
  <c r="J228" i="1" s="1"/>
  <c r="AD84" i="21"/>
  <c r="J222" i="1" s="1"/>
  <c r="AD93" i="21"/>
  <c r="J231" i="1" s="1"/>
  <c r="Y99" i="21"/>
  <c r="J523" i="1" s="1"/>
  <c r="Y83" i="21"/>
  <c r="J507" i="1" s="1"/>
  <c r="Y86" i="21"/>
  <c r="J510" i="1" s="1"/>
  <c r="Y93" i="21"/>
  <c r="J517" i="1" s="1"/>
  <c r="Y77" i="21"/>
  <c r="J501" i="1" s="1"/>
  <c r="Y90" i="21"/>
  <c r="J514" i="1" s="1"/>
  <c r="Y94" i="21"/>
  <c r="J518" i="1" s="1"/>
  <c r="Y87" i="21"/>
  <c r="J511" i="1" s="1"/>
  <c r="Y100" i="21"/>
  <c r="J524" i="1" s="1"/>
  <c r="Y80" i="21"/>
  <c r="J504" i="1" s="1"/>
  <c r="Y92" i="21"/>
  <c r="J516" i="1" s="1"/>
  <c r="Y91" i="21"/>
  <c r="J515" i="1" s="1"/>
  <c r="Y78" i="21"/>
  <c r="J502" i="1" s="1"/>
  <c r="Y82" i="21"/>
  <c r="J506" i="1" s="1"/>
  <c r="Y97" i="21"/>
  <c r="J521" i="1" s="1"/>
  <c r="Y79" i="21"/>
  <c r="J503" i="1" s="1"/>
  <c r="Y98" i="21"/>
  <c r="J522" i="1" s="1"/>
  <c r="Y81" i="21"/>
  <c r="J505" i="1" s="1"/>
  <c r="Y85" i="21"/>
  <c r="J509" i="1" s="1"/>
  <c r="Y95" i="21"/>
  <c r="J519" i="1" s="1"/>
  <c r="Y89" i="21"/>
  <c r="J513" i="1" s="1"/>
  <c r="Y84" i="21"/>
  <c r="J508" i="1" s="1"/>
  <c r="Y96" i="21"/>
  <c r="J520" i="1" s="1"/>
  <c r="Y74" i="21"/>
  <c r="Y88" i="21"/>
  <c r="J512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59" i="1" s="1"/>
  <c r="X70" i="21"/>
  <c r="J453" i="1" s="1"/>
  <c r="X68" i="21"/>
  <c r="J451" i="1" s="1"/>
  <c r="X64" i="21"/>
  <c r="J447" i="1" s="1"/>
  <c r="X72" i="21"/>
  <c r="J455" i="1" s="1"/>
  <c r="X100" i="21"/>
  <c r="J483" i="1" s="1"/>
  <c r="X73" i="21"/>
  <c r="J456" i="1" s="1"/>
  <c r="X75" i="21"/>
  <c r="J458" i="1" s="1"/>
  <c r="X69" i="21"/>
  <c r="J452" i="1" s="1"/>
  <c r="X67" i="21"/>
  <c r="J450" i="1" s="1"/>
  <c r="X63" i="21"/>
  <c r="X71" i="21"/>
  <c r="J454" i="1" s="1"/>
  <c r="X66" i="21"/>
  <c r="J449" i="1" s="1"/>
  <c r="X98" i="21"/>
  <c r="J481" i="1" s="1"/>
  <c r="X93" i="21"/>
  <c r="J476" i="1" s="1"/>
  <c r="X89" i="21"/>
  <c r="J472" i="1" s="1"/>
  <c r="X85" i="21"/>
  <c r="J468" i="1" s="1"/>
  <c r="X81" i="21"/>
  <c r="J464" i="1" s="1"/>
  <c r="X77" i="21"/>
  <c r="J460" i="1" s="1"/>
  <c r="X95" i="21"/>
  <c r="J478" i="1" s="1"/>
  <c r="X90" i="21"/>
  <c r="J473" i="1" s="1"/>
  <c r="X86" i="21"/>
  <c r="J469" i="1" s="1"/>
  <c r="X82" i="21"/>
  <c r="J465" i="1" s="1"/>
  <c r="X78" i="21"/>
  <c r="J461" i="1" s="1"/>
  <c r="X96" i="21"/>
  <c r="J479" i="1" s="1"/>
  <c r="X92" i="21"/>
  <c r="J475" i="1" s="1"/>
  <c r="X88" i="21"/>
  <c r="J471" i="1" s="1"/>
  <c r="X84" i="21"/>
  <c r="J467" i="1" s="1"/>
  <c r="X80" i="21"/>
  <c r="J463" i="1" s="1"/>
  <c r="X74" i="21"/>
  <c r="J457" i="1" s="1"/>
  <c r="X94" i="21"/>
  <c r="J477" i="1" s="1"/>
  <c r="X91" i="21"/>
  <c r="J474" i="1" s="1"/>
  <c r="X87" i="21"/>
  <c r="J470" i="1" s="1"/>
  <c r="X83" i="21"/>
  <c r="J466" i="1" s="1"/>
  <c r="X79" i="21"/>
  <c r="J462" i="1" s="1"/>
  <c r="X97" i="21"/>
  <c r="J480" i="1" s="1"/>
  <c r="X99" i="21"/>
  <c r="J482" i="1" s="1"/>
  <c r="J498" i="1"/>
  <c r="Y102" i="21"/>
  <c r="AH102" i="21"/>
  <c r="J241" i="1"/>
  <c r="AD102" i="21"/>
  <c r="J201" i="1"/>
  <c r="AE91" i="21"/>
  <c r="J310" i="1" s="1"/>
  <c r="AE78" i="21"/>
  <c r="J297" i="1" s="1"/>
  <c r="AE82" i="21"/>
  <c r="J301" i="1" s="1"/>
  <c r="AE96" i="21"/>
  <c r="J315" i="1" s="1"/>
  <c r="AE79" i="21"/>
  <c r="J298" i="1" s="1"/>
  <c r="AE99" i="21"/>
  <c r="J318" i="1" s="1"/>
  <c r="AE77" i="21"/>
  <c r="J296" i="1" s="1"/>
  <c r="AE87" i="21"/>
  <c r="J306" i="1" s="1"/>
  <c r="AE95" i="21"/>
  <c r="J314" i="1" s="1"/>
  <c r="AE83" i="21"/>
  <c r="J302" i="1" s="1"/>
  <c r="AE88" i="21"/>
  <c r="J307" i="1" s="1"/>
  <c r="AE89" i="21"/>
  <c r="J308" i="1" s="1"/>
  <c r="AE74" i="21"/>
  <c r="AE94" i="21"/>
  <c r="J313" i="1" s="1"/>
  <c r="AE97" i="21"/>
  <c r="J316" i="1" s="1"/>
  <c r="AE90" i="21"/>
  <c r="J309" i="1" s="1"/>
  <c r="AE86" i="21"/>
  <c r="J305" i="1" s="1"/>
  <c r="AE80" i="21"/>
  <c r="J299" i="1" s="1"/>
  <c r="AE81" i="21"/>
  <c r="J300" i="1" s="1"/>
  <c r="AE85" i="21"/>
  <c r="J304" i="1" s="1"/>
  <c r="AE84" i="21"/>
  <c r="J303" i="1" s="1"/>
  <c r="AE100" i="21"/>
  <c r="J319" i="1" s="1"/>
  <c r="AE93" i="21"/>
  <c r="J312" i="1" s="1"/>
  <c r="AE92" i="21"/>
  <c r="J311" i="1" s="1"/>
  <c r="AE98" i="21"/>
  <c r="J317" i="1" s="1"/>
  <c r="J446" i="1" l="1"/>
  <c r="X102" i="21"/>
  <c r="J293" i="1"/>
  <c r="AE102" i="21"/>
  <c r="X104" i="21"/>
  <c r="AG85" i="21"/>
  <c r="J386" i="1" s="1"/>
  <c r="AG83" i="21"/>
  <c r="J384" i="1" s="1"/>
  <c r="AG95" i="21"/>
  <c r="J396" i="1" s="1"/>
  <c r="AG93" i="21"/>
  <c r="J394" i="1" s="1"/>
  <c r="AG87" i="21"/>
  <c r="J388" i="1" s="1"/>
  <c r="AG86" i="21"/>
  <c r="J387" i="1" s="1"/>
  <c r="AG80" i="21"/>
  <c r="J381" i="1" s="1"/>
  <c r="AG88" i="21"/>
  <c r="J389" i="1" s="1"/>
  <c r="AG89" i="21"/>
  <c r="J390" i="1" s="1"/>
  <c r="AG77" i="21"/>
  <c r="J378" i="1" s="1"/>
  <c r="AG100" i="21"/>
  <c r="J401" i="1" s="1"/>
  <c r="AG78" i="21"/>
  <c r="J379" i="1" s="1"/>
  <c r="AG92" i="21"/>
  <c r="J393" i="1" s="1"/>
  <c r="AG90" i="21"/>
  <c r="J391" i="1" s="1"/>
  <c r="AG81" i="21"/>
  <c r="J382" i="1" s="1"/>
  <c r="AG84" i="21"/>
  <c r="J385" i="1" s="1"/>
  <c r="AG91" i="21"/>
  <c r="J392" i="1" s="1"/>
  <c r="AG74" i="21"/>
  <c r="AG99" i="21"/>
  <c r="J400" i="1" s="1"/>
  <c r="AG96" i="21"/>
  <c r="J397" i="1" s="1"/>
  <c r="AG97" i="21"/>
  <c r="J398" i="1" s="1"/>
  <c r="AG79" i="21"/>
  <c r="J380" i="1" s="1"/>
  <c r="AG94" i="21"/>
  <c r="J395" i="1" s="1"/>
  <c r="AG98" i="21"/>
  <c r="J399" i="1" s="1"/>
  <c r="AG82" i="21"/>
  <c r="J383" i="1" s="1"/>
  <c r="AB85" i="21"/>
  <c r="J591" i="1" s="1"/>
  <c r="AB84" i="21"/>
  <c r="J590" i="1" s="1"/>
  <c r="AB95" i="21"/>
  <c r="J601" i="1" s="1"/>
  <c r="AB98" i="21"/>
  <c r="J604" i="1" s="1"/>
  <c r="AB96" i="21"/>
  <c r="J602" i="1" s="1"/>
  <c r="AB86" i="21"/>
  <c r="J592" i="1" s="1"/>
  <c r="AB93" i="21"/>
  <c r="J599" i="1" s="1"/>
  <c r="AB74" i="21"/>
  <c r="AB92" i="21"/>
  <c r="J598" i="1" s="1"/>
  <c r="AB90" i="21"/>
  <c r="J596" i="1" s="1"/>
  <c r="AB77" i="21"/>
  <c r="J583" i="1" s="1"/>
  <c r="AB78" i="21"/>
  <c r="J584" i="1" s="1"/>
  <c r="AB89" i="21"/>
  <c r="J595" i="1" s="1"/>
  <c r="AB79" i="21"/>
  <c r="J585" i="1" s="1"/>
  <c r="AB87" i="21"/>
  <c r="J593" i="1" s="1"/>
  <c r="AB88" i="21"/>
  <c r="J594" i="1" s="1"/>
  <c r="AB94" i="21"/>
  <c r="J600" i="1" s="1"/>
  <c r="AB81" i="21"/>
  <c r="J587" i="1" s="1"/>
  <c r="AB80" i="21"/>
  <c r="J586" i="1" s="1"/>
  <c r="AB83" i="21"/>
  <c r="J589" i="1" s="1"/>
  <c r="AB97" i="21"/>
  <c r="J603" i="1" s="1"/>
  <c r="AB100" i="21"/>
  <c r="J606" i="1" s="1"/>
  <c r="AB99" i="21"/>
  <c r="J605" i="1" s="1"/>
  <c r="AB91" i="21"/>
  <c r="J597" i="1" s="1"/>
  <c r="AB82" i="21"/>
  <c r="J588" i="1" s="1"/>
  <c r="AF78" i="21"/>
  <c r="J338" i="1" s="1"/>
  <c r="AF89" i="21"/>
  <c r="J349" i="1" s="1"/>
  <c r="AF85" i="21"/>
  <c r="J345" i="1" s="1"/>
  <c r="AF93" i="21"/>
  <c r="J353" i="1" s="1"/>
  <c r="AF81" i="21"/>
  <c r="J341" i="1" s="1"/>
  <c r="AF92" i="21"/>
  <c r="J352" i="1" s="1"/>
  <c r="AF79" i="21"/>
  <c r="J339" i="1" s="1"/>
  <c r="AF87" i="21"/>
  <c r="J347" i="1" s="1"/>
  <c r="AF100" i="21"/>
  <c r="J360" i="1" s="1"/>
  <c r="AF80" i="21"/>
  <c r="J340" i="1" s="1"/>
  <c r="AF83" i="21"/>
  <c r="J343" i="1" s="1"/>
  <c r="AF84" i="21"/>
  <c r="J344" i="1" s="1"/>
  <c r="AF96" i="21"/>
  <c r="J356" i="1" s="1"/>
  <c r="AF95" i="21"/>
  <c r="J355" i="1" s="1"/>
  <c r="AF91" i="21"/>
  <c r="J351" i="1" s="1"/>
  <c r="AF82" i="21"/>
  <c r="J342" i="1" s="1"/>
  <c r="AF94" i="21"/>
  <c r="J354" i="1" s="1"/>
  <c r="AF74" i="21"/>
  <c r="AF86" i="21"/>
  <c r="J346" i="1" s="1"/>
  <c r="AF77" i="21"/>
  <c r="J337" i="1" s="1"/>
  <c r="AF90" i="21"/>
  <c r="J350" i="1" s="1"/>
  <c r="AF97" i="21"/>
  <c r="J357" i="1" s="1"/>
  <c r="AF98" i="21"/>
  <c r="J358" i="1" s="1"/>
  <c r="AF88" i="21"/>
  <c r="J348" i="1" s="1"/>
  <c r="AF99" i="21"/>
  <c r="J359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4" i="1" s="1"/>
  <c r="AI78" i="21"/>
  <c r="J419" i="1" s="1"/>
  <c r="AI74" i="21"/>
  <c r="AI98" i="21"/>
  <c r="J439" i="1" s="1"/>
  <c r="AI89" i="21"/>
  <c r="J430" i="1" s="1"/>
  <c r="AI81" i="21"/>
  <c r="J422" i="1" s="1"/>
  <c r="AI97" i="21"/>
  <c r="J438" i="1" s="1"/>
  <c r="AI91" i="21"/>
  <c r="J432" i="1" s="1"/>
  <c r="AI82" i="21"/>
  <c r="J423" i="1" s="1"/>
  <c r="AI96" i="21"/>
  <c r="J437" i="1" s="1"/>
  <c r="AI95" i="21"/>
  <c r="J436" i="1" s="1"/>
  <c r="AI77" i="21"/>
  <c r="J418" i="1" s="1"/>
  <c r="AI80" i="21"/>
  <c r="J421" i="1" s="1"/>
  <c r="AI86" i="21"/>
  <c r="J427" i="1" s="1"/>
  <c r="AI93" i="21"/>
  <c r="J434" i="1" s="1"/>
  <c r="AI85" i="21"/>
  <c r="J426" i="1" s="1"/>
  <c r="AI88" i="21"/>
  <c r="J429" i="1" s="1"/>
  <c r="AI84" i="21"/>
  <c r="J425" i="1" s="1"/>
  <c r="AI92" i="21"/>
  <c r="J433" i="1" s="1"/>
  <c r="AI87" i="21"/>
  <c r="J428" i="1" s="1"/>
  <c r="AI99" i="21"/>
  <c r="J440" i="1" s="1"/>
  <c r="AI100" i="21"/>
  <c r="J441" i="1" s="1"/>
  <c r="AI90" i="21"/>
  <c r="J431" i="1" s="1"/>
  <c r="AI79" i="21"/>
  <c r="J420" i="1" s="1"/>
  <c r="AI94" i="21"/>
  <c r="J435" i="1" s="1"/>
  <c r="AA104" i="21"/>
  <c r="Z104" i="21"/>
  <c r="J580" i="1" l="1"/>
  <c r="AB102" i="21"/>
  <c r="J334" i="1"/>
  <c r="AF102" i="21"/>
  <c r="J415" i="1"/>
  <c r="AI102" i="21"/>
  <c r="J375" i="1"/>
  <c r="AG102" i="21"/>
  <c r="AC104" i="21"/>
  <c r="J183" i="1"/>
  <c r="J182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58" i="1"/>
  <c r="J50" i="1"/>
  <c r="J60" i="1"/>
  <c r="J61" i="1"/>
  <c r="J62" i="1"/>
  <c r="J59" i="1"/>
  <c r="J56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4" i="1" l="1"/>
  <c r="J53" i="1"/>
  <c r="J52" i="1"/>
  <c r="J51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<sst xmlns="http://schemas.openxmlformats.org/spreadsheetml/2006/main" count="4219" uniqueCount="616">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</sst>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67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4" fillId="0" borderId="0" xfId="43"/>
    <xf numFmtId="1" fontId="0" fillId="0" borderId="0" xfId="0" applyNumberFormat="1" applyFill="1"/>
    <xf numFmtId="0" fontId="20" fillId="0" borderId="0" xfId="0" applyFon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3"/>
  <sheetViews>
    <sheetView workbookViewId="0">
      <selection activeCell="P14" sqref="P14"/>
    </sheetView>
  </sheetViews>
  <sheetFormatPr defaultRowHeight="15" x14ac:dyDescent="0.25"/>
  <sheetData>
    <row r="2" spans="2:2" x14ac:dyDescent="0.25">
      <c r="B2" s="109" t="s">
        <v>315</v>
      </c>
    </row>
    <row r="3" spans="2:2" x14ac:dyDescent="0.25">
      <c r="B3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46"/>
  <sheetViews>
    <sheetView tabSelected="1" zoomScale="80" zoomScaleNormal="80" workbookViewId="0">
      <pane ySplit="1" topLeftCell="A2" activePane="bottomLeft" state="frozen"/>
      <selection pane="bottomLeft" activeCell="J30" sqref="J3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378</v>
      </c>
      <c r="D1" s="6" t="s">
        <v>49</v>
      </c>
      <c r="E1" s="6" t="s">
        <v>312</v>
      </c>
      <c r="F1" s="6" t="s">
        <v>588</v>
      </c>
      <c r="G1" s="6" t="s">
        <v>319</v>
      </c>
      <c r="H1" s="6" t="s">
        <v>320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293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377</v>
      </c>
      <c r="M4" t="s">
        <v>50</v>
      </c>
    </row>
    <row r="5" spans="1:16" x14ac:dyDescent="0.25">
      <c r="A5" t="s">
        <v>2</v>
      </c>
      <c r="B5" t="s">
        <v>1</v>
      </c>
      <c r="I5" t="s">
        <v>607</v>
      </c>
      <c r="J5" s="111">
        <v>8</v>
      </c>
      <c r="K5" s="93" t="s">
        <v>9</v>
      </c>
      <c r="L5" s="93" t="s">
        <v>613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607</v>
      </c>
      <c r="J9" s="111">
        <v>8</v>
      </c>
      <c r="K9" s="93" t="s">
        <v>9</v>
      </c>
      <c r="L9" s="93" t="s">
        <v>613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294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65">
        <v>0</v>
      </c>
      <c r="K13" s="32" t="s">
        <v>41</v>
      </c>
      <c r="L13" s="266" t="s">
        <v>612</v>
      </c>
    </row>
    <row r="14" spans="1:16" s="32" customFormat="1" x14ac:dyDescent="0.25">
      <c r="A14" s="32" t="s">
        <v>38</v>
      </c>
      <c r="I14" s="32" t="s">
        <v>607</v>
      </c>
      <c r="J14" s="265">
        <v>0</v>
      </c>
      <c r="K14" s="32" t="s">
        <v>9</v>
      </c>
      <c r="L14" s="266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514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514</v>
      </c>
      <c r="P16" s="183" t="s">
        <v>512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293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387</v>
      </c>
      <c r="J32" s="93">
        <v>0</v>
      </c>
      <c r="K32" t="s">
        <v>388</v>
      </c>
    </row>
    <row r="33" spans="1:13" x14ac:dyDescent="0.25">
      <c r="A33" t="s">
        <v>2</v>
      </c>
      <c r="B33" t="s">
        <v>5</v>
      </c>
      <c r="I33" t="s">
        <v>387</v>
      </c>
      <c r="J33" s="93">
        <v>0</v>
      </c>
      <c r="K33" t="s">
        <v>388</v>
      </c>
    </row>
    <row r="35" spans="1:13" x14ac:dyDescent="0.25">
      <c r="A35" s="100" t="s">
        <v>294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516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387</v>
      </c>
      <c r="J43" s="93">
        <v>0</v>
      </c>
      <c r="K43" t="s">
        <v>388</v>
      </c>
    </row>
    <row r="44" spans="1:13" x14ac:dyDescent="0.25">
      <c r="A44" t="s">
        <v>38</v>
      </c>
      <c r="B44" t="s">
        <v>5</v>
      </c>
      <c r="I44" t="s">
        <v>387</v>
      </c>
      <c r="J44" s="93">
        <v>0</v>
      </c>
      <c r="K44" t="s">
        <v>388</v>
      </c>
    </row>
    <row r="46" spans="1:13" x14ac:dyDescent="0.25">
      <c r="A46" s="94" t="s">
        <v>289</v>
      </c>
      <c r="B46" s="94"/>
      <c r="C46" s="94"/>
      <c r="D46" s="95"/>
      <c r="E46" s="95"/>
      <c r="F46" s="95"/>
      <c r="G46" s="95"/>
      <c r="H46" s="95"/>
      <c r="I46" s="95"/>
      <c r="J46" s="95"/>
      <c r="K46" s="95"/>
      <c r="L46" s="95"/>
      <c r="M46" s="95"/>
    </row>
    <row r="47" spans="1:13" x14ac:dyDescent="0.25">
      <c r="A47" s="97" t="s">
        <v>293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290</v>
      </c>
      <c r="J48" s="2">
        <f>J94/(47/100)</f>
        <v>651.52821361702138</v>
      </c>
      <c r="K48" t="s">
        <v>123</v>
      </c>
      <c r="L48" s="109" t="s">
        <v>318</v>
      </c>
      <c r="M48" t="s">
        <v>317</v>
      </c>
    </row>
    <row r="49" spans="1:13" x14ac:dyDescent="0.25">
      <c r="A49" t="s">
        <v>2</v>
      </c>
      <c r="D49" s="110" t="s">
        <v>20</v>
      </c>
      <c r="E49" s="110"/>
      <c r="F49" s="110"/>
      <c r="G49" s="110"/>
      <c r="H49" s="110"/>
      <c r="I49" s="110" t="s">
        <v>327</v>
      </c>
      <c r="J49" s="93">
        <v>40</v>
      </c>
      <c r="K49" t="s">
        <v>123</v>
      </c>
      <c r="L49" s="93" t="s">
        <v>373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371</v>
      </c>
      <c r="J50" s="111">
        <f>J49+(J95/0.5-J49)/(J90*30.4)*J31</f>
        <v>130.26609162869005</v>
      </c>
      <c r="K50" t="s">
        <v>123</v>
      </c>
      <c r="L50" s="93" t="s">
        <v>374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286</v>
      </c>
      <c r="J51" s="2">
        <f>J95/(50/100)</f>
        <v>339.02685500000001</v>
      </c>
      <c r="K51" t="s">
        <v>123</v>
      </c>
      <c r="L51" s="109" t="s">
        <v>316</v>
      </c>
      <c r="M51" t="s">
        <v>317</v>
      </c>
    </row>
    <row r="52" spans="1:13" x14ac:dyDescent="0.25">
      <c r="A52" t="s">
        <v>2</v>
      </c>
      <c r="D52" s="110" t="s">
        <v>33</v>
      </c>
      <c r="E52" s="110"/>
      <c r="F52" s="110"/>
      <c r="G52" s="110"/>
      <c r="H52" s="110"/>
      <c r="I52" s="110" t="s">
        <v>286</v>
      </c>
      <c r="J52" s="2">
        <f>J96/(50/100)</f>
        <v>596.09653539999999</v>
      </c>
      <c r="K52" t="s">
        <v>123</v>
      </c>
      <c r="L52" s="109" t="s">
        <v>316</v>
      </c>
      <c r="M52" t="s">
        <v>317</v>
      </c>
    </row>
    <row r="53" spans="1:13" x14ac:dyDescent="0.25">
      <c r="A53" t="s">
        <v>2</v>
      </c>
      <c r="D53" s="110" t="s">
        <v>34</v>
      </c>
      <c r="E53" s="110"/>
      <c r="F53" s="110"/>
      <c r="G53" s="110"/>
      <c r="H53" s="110"/>
      <c r="I53" s="110" t="s">
        <v>286</v>
      </c>
      <c r="J53" s="2">
        <f>J97/(50/100)</f>
        <v>651.61428720000004</v>
      </c>
      <c r="K53" t="s">
        <v>123</v>
      </c>
      <c r="L53" s="109" t="s">
        <v>316</v>
      </c>
      <c r="M53" t="s">
        <v>317</v>
      </c>
    </row>
    <row r="54" spans="1:13" x14ac:dyDescent="0.25">
      <c r="A54" t="s">
        <v>2</v>
      </c>
      <c r="D54" s="110" t="s">
        <v>35</v>
      </c>
      <c r="E54" s="110"/>
      <c r="F54" s="110"/>
      <c r="G54" s="110"/>
      <c r="H54" s="110"/>
      <c r="I54" s="110" t="s">
        <v>286</v>
      </c>
      <c r="J54" s="2">
        <f>J98/(50/100)</f>
        <v>657.75311299999998</v>
      </c>
      <c r="K54" t="s">
        <v>123</v>
      </c>
      <c r="L54" s="109" t="s">
        <v>316</v>
      </c>
      <c r="M54" t="s">
        <v>317</v>
      </c>
    </row>
    <row r="55" spans="1:13" x14ac:dyDescent="0.25">
      <c r="A55" s="100" t="s">
        <v>294</v>
      </c>
      <c r="B55" s="100"/>
      <c r="C55" s="100"/>
      <c r="D55" s="101"/>
      <c r="E55" s="101"/>
      <c r="F55" s="101"/>
      <c r="G55" s="101"/>
      <c r="H55" s="101"/>
      <c r="I55" s="101"/>
      <c r="J55" s="101"/>
      <c r="K55" s="101"/>
      <c r="L55" s="101"/>
      <c r="M55" s="101"/>
    </row>
    <row r="56" spans="1:13" x14ac:dyDescent="0.25">
      <c r="A56" t="s">
        <v>38</v>
      </c>
      <c r="B56" s="4"/>
      <c r="C56" s="4"/>
      <c r="D56" s="110" t="s">
        <v>18</v>
      </c>
      <c r="E56" s="110"/>
      <c r="F56" s="110"/>
      <c r="G56" s="110"/>
      <c r="H56" s="110"/>
      <c r="I56" s="110" t="s">
        <v>290</v>
      </c>
      <c r="J56" s="2">
        <f>J110/(47/100)</f>
        <v>724.68023255319144</v>
      </c>
      <c r="K56" t="s">
        <v>123</v>
      </c>
      <c r="L56" s="109" t="s">
        <v>318</v>
      </c>
      <c r="M56" t="s">
        <v>317</v>
      </c>
    </row>
    <row r="57" spans="1:13" x14ac:dyDescent="0.25">
      <c r="A57" t="s">
        <v>38</v>
      </c>
      <c r="D57" s="110" t="s">
        <v>20</v>
      </c>
      <c r="E57" s="110"/>
      <c r="F57" s="110"/>
      <c r="G57" s="110"/>
      <c r="H57" s="110"/>
      <c r="I57" s="110" t="s">
        <v>327</v>
      </c>
      <c r="J57" s="93">
        <v>40</v>
      </c>
      <c r="K57" t="s">
        <v>123</v>
      </c>
      <c r="L57" s="93" t="s">
        <v>373</v>
      </c>
    </row>
    <row r="58" spans="1:13" x14ac:dyDescent="0.25">
      <c r="A58" t="s">
        <v>38</v>
      </c>
      <c r="D58" s="110" t="s">
        <v>20</v>
      </c>
      <c r="E58" s="110"/>
      <c r="F58" s="110"/>
      <c r="G58" s="110"/>
      <c r="H58" s="110"/>
      <c r="I58" s="110" t="s">
        <v>371</v>
      </c>
      <c r="J58" s="111">
        <f>J57+(J111/0.5-J57)/(J106*30.4)*J42</f>
        <v>215.80423925763492</v>
      </c>
      <c r="K58" t="s">
        <v>123</v>
      </c>
      <c r="L58" s="93" t="s">
        <v>374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286</v>
      </c>
      <c r="J59" s="2">
        <f>J111/(50/100)</f>
        <v>314.63230679999998</v>
      </c>
      <c r="K59" t="s">
        <v>123</v>
      </c>
      <c r="L59" s="109" t="s">
        <v>316</v>
      </c>
      <c r="M59" t="s">
        <v>317</v>
      </c>
    </row>
    <row r="60" spans="1:13" x14ac:dyDescent="0.25">
      <c r="A60" t="s">
        <v>38</v>
      </c>
      <c r="D60" s="110" t="s">
        <v>33</v>
      </c>
      <c r="E60" s="110"/>
      <c r="F60" s="110"/>
      <c r="G60" s="110"/>
      <c r="H60" s="110"/>
      <c r="I60" s="110" t="s">
        <v>286</v>
      </c>
      <c r="J60" s="2">
        <f t="shared" ref="J60:J62" si="0">J112/(50/100)</f>
        <v>618.33216919999995</v>
      </c>
      <c r="K60" t="s">
        <v>123</v>
      </c>
      <c r="L60" s="109" t="s">
        <v>316</v>
      </c>
      <c r="M60" t="s">
        <v>317</v>
      </c>
    </row>
    <row r="61" spans="1:13" x14ac:dyDescent="0.25">
      <c r="A61" t="s">
        <v>38</v>
      </c>
      <c r="D61" s="110" t="s">
        <v>34</v>
      </c>
      <c r="E61" s="110"/>
      <c r="F61" s="110"/>
      <c r="G61" s="110"/>
      <c r="H61" s="110"/>
      <c r="I61" s="110" t="s">
        <v>286</v>
      </c>
      <c r="J61" s="2">
        <f t="shared" si="0"/>
        <v>671.19136400000002</v>
      </c>
      <c r="K61" t="s">
        <v>123</v>
      </c>
      <c r="L61" s="109" t="s">
        <v>316</v>
      </c>
      <c r="M61" t="s">
        <v>317</v>
      </c>
    </row>
    <row r="62" spans="1:13" x14ac:dyDescent="0.25">
      <c r="A62" t="s">
        <v>38</v>
      </c>
      <c r="D62" s="110" t="s">
        <v>35</v>
      </c>
      <c r="E62" s="110"/>
      <c r="F62" s="110"/>
      <c r="G62" s="110"/>
      <c r="H62" s="110"/>
      <c r="I62" s="110" t="s">
        <v>286</v>
      </c>
      <c r="J62" s="2">
        <f t="shared" si="0"/>
        <v>716.86797000000001</v>
      </c>
      <c r="K62" t="s">
        <v>123</v>
      </c>
      <c r="L62" s="109" t="s">
        <v>316</v>
      </c>
      <c r="M62" t="s">
        <v>317</v>
      </c>
    </row>
    <row r="63" spans="1:13" x14ac:dyDescent="0.25">
      <c r="I63" s="159" t="s">
        <v>290</v>
      </c>
      <c r="J63" s="159">
        <v>0</v>
      </c>
      <c r="K63" s="159"/>
      <c r="L63" s="160" t="s">
        <v>410</v>
      </c>
    </row>
    <row r="64" spans="1:13" x14ac:dyDescent="0.25">
      <c r="A64" s="94" t="s">
        <v>291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  <c r="M64" s="95"/>
    </row>
    <row r="65" spans="1:13" x14ac:dyDescent="0.25">
      <c r="A65" s="97" t="s">
        <v>293</v>
      </c>
      <c r="B65" s="97"/>
      <c r="C65" s="97"/>
      <c r="D65" s="98"/>
      <c r="E65" s="98"/>
      <c r="F65" s="98"/>
      <c r="G65" s="98"/>
      <c r="H65" s="98"/>
      <c r="I65" s="98"/>
      <c r="J65" s="99"/>
      <c r="K65" s="98"/>
      <c r="L65" s="98"/>
      <c r="M65" s="98"/>
    </row>
    <row r="66" spans="1:13" x14ac:dyDescent="0.25">
      <c r="A66" t="s">
        <v>2</v>
      </c>
      <c r="D66" t="s">
        <v>18</v>
      </c>
      <c r="I66" t="s">
        <v>19</v>
      </c>
      <c r="J66">
        <v>6.6</v>
      </c>
      <c r="K66" t="s">
        <v>9</v>
      </c>
      <c r="L66" t="s">
        <v>10</v>
      </c>
      <c r="M66" t="s">
        <v>515</v>
      </c>
    </row>
    <row r="67" spans="1:13" x14ac:dyDescent="0.25">
      <c r="A67" t="s">
        <v>2</v>
      </c>
      <c r="D67" t="s">
        <v>20</v>
      </c>
      <c r="I67" t="s">
        <v>21</v>
      </c>
      <c r="J67">
        <v>4.2</v>
      </c>
      <c r="K67" t="s">
        <v>9</v>
      </c>
      <c r="L67" t="s">
        <v>22</v>
      </c>
      <c r="M67" t="s">
        <v>515</v>
      </c>
    </row>
    <row r="68" spans="1:13" x14ac:dyDescent="0.25">
      <c r="A68" t="s">
        <v>2</v>
      </c>
      <c r="D68" t="s">
        <v>20</v>
      </c>
      <c r="I68" t="s">
        <v>23</v>
      </c>
      <c r="J68">
        <v>10</v>
      </c>
      <c r="K68" t="s">
        <v>17</v>
      </c>
      <c r="L68" t="s">
        <v>24</v>
      </c>
      <c r="M68" t="s">
        <v>515</v>
      </c>
    </row>
    <row r="69" spans="1:13" x14ac:dyDescent="0.25">
      <c r="A69" t="s">
        <v>2</v>
      </c>
      <c r="D69" t="s">
        <v>20</v>
      </c>
      <c r="I69" t="s">
        <v>25</v>
      </c>
      <c r="J69">
        <v>3.4</v>
      </c>
      <c r="K69" t="s">
        <v>9</v>
      </c>
      <c r="L69" t="s">
        <v>22</v>
      </c>
      <c r="M69" t="s">
        <v>515</v>
      </c>
    </row>
    <row r="70" spans="1:13" x14ac:dyDescent="0.25">
      <c r="A70" t="s">
        <v>2</v>
      </c>
      <c r="D70" t="s">
        <v>20</v>
      </c>
      <c r="I70" t="s">
        <v>26</v>
      </c>
      <c r="J70">
        <v>10</v>
      </c>
      <c r="K70" t="s">
        <v>17</v>
      </c>
      <c r="L70" t="s">
        <v>24</v>
      </c>
      <c r="M70" t="s">
        <v>515</v>
      </c>
    </row>
    <row r="71" spans="1:13" x14ac:dyDescent="0.25">
      <c r="A71" t="s">
        <v>2</v>
      </c>
      <c r="D71" t="s">
        <v>20</v>
      </c>
      <c r="I71" t="s">
        <v>27</v>
      </c>
      <c r="J71">
        <v>6.8</v>
      </c>
      <c r="K71" t="s">
        <v>9</v>
      </c>
      <c r="L71" t="s">
        <v>28</v>
      </c>
      <c r="M71" t="s">
        <v>515</v>
      </c>
    </row>
    <row r="72" spans="1:13" x14ac:dyDescent="0.25">
      <c r="A72" t="s">
        <v>2</v>
      </c>
      <c r="D72" t="s">
        <v>20</v>
      </c>
      <c r="I72" t="s">
        <v>29</v>
      </c>
      <c r="J72">
        <v>59</v>
      </c>
      <c r="K72" t="s">
        <v>17</v>
      </c>
      <c r="L72" t="s">
        <v>24</v>
      </c>
      <c r="M72" t="s">
        <v>515</v>
      </c>
    </row>
    <row r="73" spans="1:13" x14ac:dyDescent="0.25">
      <c r="A73" t="s">
        <v>2</v>
      </c>
      <c r="D73" t="s">
        <v>20</v>
      </c>
      <c r="I73" t="s">
        <v>30</v>
      </c>
      <c r="J73">
        <v>4</v>
      </c>
      <c r="K73" t="s">
        <v>9</v>
      </c>
      <c r="L73" t="s">
        <v>28</v>
      </c>
      <c r="M73" t="s">
        <v>515</v>
      </c>
    </row>
    <row r="74" spans="1:13" x14ac:dyDescent="0.25">
      <c r="A74" t="s">
        <v>2</v>
      </c>
      <c r="D74" t="s">
        <v>20</v>
      </c>
      <c r="I74" t="s">
        <v>31</v>
      </c>
      <c r="J74">
        <v>59</v>
      </c>
      <c r="K74" t="s">
        <v>17</v>
      </c>
      <c r="L74" t="s">
        <v>24</v>
      </c>
      <c r="M74" t="s">
        <v>515</v>
      </c>
    </row>
    <row r="75" spans="1:13" x14ac:dyDescent="0.25">
      <c r="A75" s="100" t="s">
        <v>294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  <c r="M75" s="101"/>
    </row>
    <row r="76" spans="1:13" x14ac:dyDescent="0.25">
      <c r="A76" t="s">
        <v>38</v>
      </c>
      <c r="D76" t="s">
        <v>18</v>
      </c>
      <c r="I76" t="s">
        <v>19</v>
      </c>
      <c r="J76">
        <v>2</v>
      </c>
      <c r="K76" t="s">
        <v>9</v>
      </c>
      <c r="L76" t="s">
        <v>10</v>
      </c>
      <c r="M76" t="s">
        <v>515</v>
      </c>
    </row>
    <row r="77" spans="1:13" x14ac:dyDescent="0.25">
      <c r="A77" t="s">
        <v>38</v>
      </c>
      <c r="D77" t="s">
        <v>20</v>
      </c>
      <c r="I77" t="s">
        <v>21</v>
      </c>
      <c r="J77">
        <v>4</v>
      </c>
      <c r="K77" t="s">
        <v>9</v>
      </c>
      <c r="L77" t="s">
        <v>22</v>
      </c>
      <c r="M77" t="s">
        <v>515</v>
      </c>
    </row>
    <row r="78" spans="1:13" x14ac:dyDescent="0.25">
      <c r="A78" t="s">
        <v>38</v>
      </c>
      <c r="D78" t="s">
        <v>20</v>
      </c>
      <c r="I78" t="s">
        <v>23</v>
      </c>
      <c r="J78">
        <v>3</v>
      </c>
      <c r="K78" t="s">
        <v>17</v>
      </c>
      <c r="L78" t="s">
        <v>39</v>
      </c>
      <c r="M78" t="s">
        <v>515</v>
      </c>
    </row>
    <row r="79" spans="1:13" x14ac:dyDescent="0.25">
      <c r="A79" t="s">
        <v>38</v>
      </c>
      <c r="D79" t="s">
        <v>20</v>
      </c>
      <c r="I79" t="s">
        <v>25</v>
      </c>
      <c r="J79">
        <v>3.2</v>
      </c>
      <c r="K79" t="s">
        <v>9</v>
      </c>
      <c r="L79" t="s">
        <v>22</v>
      </c>
      <c r="M79" t="s">
        <v>515</v>
      </c>
    </row>
    <row r="80" spans="1:13" x14ac:dyDescent="0.25">
      <c r="A80" t="s">
        <v>38</v>
      </c>
      <c r="D80" t="s">
        <v>20</v>
      </c>
      <c r="I80" t="s">
        <v>26</v>
      </c>
      <c r="J80">
        <v>10</v>
      </c>
      <c r="K80" t="s">
        <v>17</v>
      </c>
      <c r="L80" t="s">
        <v>39</v>
      </c>
      <c r="M80" t="s">
        <v>515</v>
      </c>
    </row>
    <row r="81" spans="1:13" x14ac:dyDescent="0.25">
      <c r="A81" t="s">
        <v>38</v>
      </c>
      <c r="D81" t="s">
        <v>20</v>
      </c>
      <c r="I81" t="s">
        <v>27</v>
      </c>
      <c r="J81">
        <v>2.2000000000000002</v>
      </c>
      <c r="K81" t="s">
        <v>9</v>
      </c>
      <c r="L81" t="s">
        <v>28</v>
      </c>
      <c r="M81" t="s">
        <v>515</v>
      </c>
    </row>
    <row r="82" spans="1:13" x14ac:dyDescent="0.25">
      <c r="A82" t="s">
        <v>38</v>
      </c>
      <c r="D82" t="s">
        <v>20</v>
      </c>
      <c r="I82" t="s">
        <v>29</v>
      </c>
      <c r="J82">
        <v>234</v>
      </c>
      <c r="K82" t="s">
        <v>17</v>
      </c>
      <c r="L82" t="s">
        <v>39</v>
      </c>
      <c r="M82" t="s">
        <v>515</v>
      </c>
    </row>
    <row r="83" spans="1:13" x14ac:dyDescent="0.25">
      <c r="A83" t="s">
        <v>38</v>
      </c>
      <c r="D83" t="s">
        <v>20</v>
      </c>
      <c r="I83" t="s">
        <v>30</v>
      </c>
      <c r="J83">
        <v>1.6</v>
      </c>
      <c r="K83" t="s">
        <v>9</v>
      </c>
      <c r="L83" t="s">
        <v>28</v>
      </c>
      <c r="M83" t="s">
        <v>515</v>
      </c>
    </row>
    <row r="84" spans="1:13" x14ac:dyDescent="0.25">
      <c r="A84" t="s">
        <v>38</v>
      </c>
      <c r="D84" t="s">
        <v>20</v>
      </c>
      <c r="I84" t="s">
        <v>31</v>
      </c>
      <c r="J84">
        <v>241</v>
      </c>
      <c r="K84" t="s">
        <v>17</v>
      </c>
      <c r="L84" t="s">
        <v>39</v>
      </c>
      <c r="M84" t="s">
        <v>515</v>
      </c>
    </row>
    <row r="86" spans="1:13" x14ac:dyDescent="0.25">
      <c r="A86" s="94" t="s">
        <v>292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  <c r="M86" s="95"/>
    </row>
    <row r="87" spans="1:13" x14ac:dyDescent="0.25">
      <c r="A87" s="97" t="s">
        <v>293</v>
      </c>
      <c r="B87" s="97"/>
      <c r="C87" s="97"/>
      <c r="D87" s="98"/>
      <c r="E87" s="98"/>
      <c r="F87" s="98"/>
      <c r="G87" s="98"/>
      <c r="H87" s="98"/>
      <c r="I87" s="98"/>
      <c r="J87" s="99"/>
      <c r="K87" s="98"/>
      <c r="L87" s="98"/>
      <c r="M87" s="98"/>
    </row>
    <row r="88" spans="1:13" x14ac:dyDescent="0.25">
      <c r="A88" t="s">
        <v>2</v>
      </c>
      <c r="B88" t="s">
        <v>1</v>
      </c>
      <c r="D88" t="s">
        <v>18</v>
      </c>
      <c r="I88" t="s">
        <v>32</v>
      </c>
      <c r="J88">
        <v>60.9</v>
      </c>
      <c r="K88" t="s">
        <v>4</v>
      </c>
    </row>
    <row r="89" spans="1:13" x14ac:dyDescent="0.25">
      <c r="A89" t="s">
        <v>2</v>
      </c>
      <c r="B89" t="s">
        <v>5</v>
      </c>
      <c r="D89" t="s">
        <v>18</v>
      </c>
      <c r="I89" t="s">
        <v>32</v>
      </c>
      <c r="J89">
        <v>61.5</v>
      </c>
      <c r="K89" t="s">
        <v>4</v>
      </c>
    </row>
    <row r="90" spans="1:13" x14ac:dyDescent="0.25">
      <c r="A90" t="s">
        <v>2</v>
      </c>
      <c r="D90" t="s">
        <v>20</v>
      </c>
      <c r="I90" t="s">
        <v>32</v>
      </c>
      <c r="J90" s="13">
        <v>10.89712596</v>
      </c>
      <c r="K90" t="s">
        <v>4</v>
      </c>
    </row>
    <row r="91" spans="1:13" x14ac:dyDescent="0.25">
      <c r="A91" t="s">
        <v>2</v>
      </c>
      <c r="D91" t="s">
        <v>33</v>
      </c>
      <c r="I91" t="s">
        <v>32</v>
      </c>
      <c r="J91" s="13">
        <v>32.261824500000003</v>
      </c>
      <c r="K91" t="s">
        <v>4</v>
      </c>
    </row>
    <row r="92" spans="1:13" x14ac:dyDescent="0.25">
      <c r="A92" t="s">
        <v>2</v>
      </c>
      <c r="D92" t="s">
        <v>34</v>
      </c>
      <c r="I92" t="s">
        <v>32</v>
      </c>
      <c r="J92" s="13">
        <v>29.693541660000001</v>
      </c>
      <c r="K92" t="s">
        <v>4</v>
      </c>
    </row>
    <row r="93" spans="1:13" x14ac:dyDescent="0.25">
      <c r="A93" t="s">
        <v>2</v>
      </c>
      <c r="D93" t="s">
        <v>35</v>
      </c>
      <c r="I93" t="s">
        <v>32</v>
      </c>
      <c r="J93" s="13">
        <v>22.57988323</v>
      </c>
      <c r="K93" t="s">
        <v>4</v>
      </c>
    </row>
    <row r="94" spans="1:13" x14ac:dyDescent="0.25">
      <c r="A94" t="s">
        <v>2</v>
      </c>
      <c r="D94" t="s">
        <v>18</v>
      </c>
      <c r="I94" t="s">
        <v>36</v>
      </c>
      <c r="J94" s="13">
        <v>306.21826040000002</v>
      </c>
      <c r="K94" t="s">
        <v>37</v>
      </c>
    </row>
    <row r="95" spans="1:13" x14ac:dyDescent="0.25">
      <c r="A95" t="s">
        <v>2</v>
      </c>
      <c r="D95" t="s">
        <v>20</v>
      </c>
      <c r="I95" t="s">
        <v>36</v>
      </c>
      <c r="J95" s="13">
        <v>169.51342750000001</v>
      </c>
      <c r="K95" t="s">
        <v>37</v>
      </c>
    </row>
    <row r="96" spans="1:13" x14ac:dyDescent="0.25">
      <c r="A96" t="s">
        <v>2</v>
      </c>
      <c r="D96" t="s">
        <v>33</v>
      </c>
      <c r="I96" t="s">
        <v>36</v>
      </c>
      <c r="J96" s="13">
        <v>298.0482677</v>
      </c>
      <c r="K96" t="s">
        <v>37</v>
      </c>
    </row>
    <row r="97" spans="1:13" x14ac:dyDescent="0.25">
      <c r="A97" t="s">
        <v>2</v>
      </c>
      <c r="D97" t="s">
        <v>34</v>
      </c>
      <c r="I97" t="s">
        <v>36</v>
      </c>
      <c r="J97" s="13">
        <v>325.80714360000002</v>
      </c>
      <c r="K97" t="s">
        <v>37</v>
      </c>
    </row>
    <row r="98" spans="1:13" x14ac:dyDescent="0.25">
      <c r="A98" t="s">
        <v>2</v>
      </c>
      <c r="D98" t="s">
        <v>35</v>
      </c>
      <c r="I98" t="s">
        <v>36</v>
      </c>
      <c r="J98" s="13">
        <v>328.87655649999999</v>
      </c>
      <c r="K98" t="s">
        <v>37</v>
      </c>
    </row>
    <row r="99" spans="1:13" x14ac:dyDescent="0.25">
      <c r="A99" t="s">
        <v>2</v>
      </c>
      <c r="D99" t="s">
        <v>411</v>
      </c>
      <c r="I99" t="s">
        <v>36</v>
      </c>
      <c r="J99" s="157">
        <v>0</v>
      </c>
      <c r="K99" s="93" t="s">
        <v>37</v>
      </c>
    </row>
    <row r="100" spans="1:13" x14ac:dyDescent="0.25">
      <c r="A100" t="s">
        <v>2</v>
      </c>
      <c r="B100" t="s">
        <v>1</v>
      </c>
      <c r="I100" t="s">
        <v>506</v>
      </c>
      <c r="J100" s="13">
        <v>7.708382338966838</v>
      </c>
      <c r="K100" t="s">
        <v>9</v>
      </c>
      <c r="L100" t="s">
        <v>510</v>
      </c>
      <c r="M100" t="s">
        <v>389</v>
      </c>
    </row>
    <row r="101" spans="1:13" x14ac:dyDescent="0.25">
      <c r="A101" t="s">
        <v>2</v>
      </c>
      <c r="B101" t="s">
        <v>1</v>
      </c>
      <c r="I101" t="s">
        <v>509</v>
      </c>
      <c r="J101" s="13">
        <v>14.798145933014354</v>
      </c>
      <c r="K101" t="s">
        <v>9</v>
      </c>
      <c r="L101" t="s">
        <v>511</v>
      </c>
      <c r="M101" t="s">
        <v>389</v>
      </c>
    </row>
    <row r="102" spans="1:13" x14ac:dyDescent="0.25">
      <c r="A102" t="s">
        <v>2</v>
      </c>
      <c r="B102" t="s">
        <v>5</v>
      </c>
      <c r="I102" t="s">
        <v>506</v>
      </c>
      <c r="J102" s="13">
        <v>7.708382338966838</v>
      </c>
      <c r="K102" t="s">
        <v>9</v>
      </c>
      <c r="L102" t="s">
        <v>510</v>
      </c>
      <c r="M102" t="s">
        <v>389</v>
      </c>
    </row>
    <row r="103" spans="1:13" x14ac:dyDescent="0.25">
      <c r="A103" t="s">
        <v>2</v>
      </c>
      <c r="B103" t="s">
        <v>5</v>
      </c>
      <c r="I103" t="s">
        <v>509</v>
      </c>
      <c r="J103" s="13">
        <v>65.534646274777856</v>
      </c>
      <c r="K103" t="s">
        <v>9</v>
      </c>
      <c r="L103" t="s">
        <v>511</v>
      </c>
      <c r="M103" t="s">
        <v>389</v>
      </c>
    </row>
    <row r="104" spans="1:13" x14ac:dyDescent="0.25">
      <c r="A104" s="100" t="s">
        <v>294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</row>
    <row r="105" spans="1:13" x14ac:dyDescent="0.25">
      <c r="A105" t="s">
        <v>38</v>
      </c>
      <c r="D105" t="s">
        <v>18</v>
      </c>
      <c r="I105" t="s">
        <v>32</v>
      </c>
      <c r="J105" s="13">
        <v>76.487234630000003</v>
      </c>
      <c r="K105" t="s">
        <v>4</v>
      </c>
    </row>
    <row r="106" spans="1:13" x14ac:dyDescent="0.25">
      <c r="A106" t="s">
        <v>38</v>
      </c>
      <c r="D106" t="s">
        <v>20</v>
      </c>
      <c r="I106" t="s">
        <v>32</v>
      </c>
      <c r="J106" s="13">
        <v>10.935038629999999</v>
      </c>
      <c r="K106" t="s">
        <v>4</v>
      </c>
    </row>
    <row r="107" spans="1:13" x14ac:dyDescent="0.25">
      <c r="A107" t="s">
        <v>38</v>
      </c>
      <c r="D107" t="s">
        <v>33</v>
      </c>
      <c r="I107" t="s">
        <v>32</v>
      </c>
      <c r="J107" s="13">
        <v>26.97454827</v>
      </c>
      <c r="K107" t="s">
        <v>4</v>
      </c>
    </row>
    <row r="108" spans="1:13" x14ac:dyDescent="0.25">
      <c r="A108" t="s">
        <v>38</v>
      </c>
      <c r="D108" t="s">
        <v>34</v>
      </c>
      <c r="I108" t="s">
        <v>32</v>
      </c>
      <c r="J108" s="13">
        <v>28.44764464</v>
      </c>
      <c r="K108" t="s">
        <v>4</v>
      </c>
    </row>
    <row r="109" spans="1:13" x14ac:dyDescent="0.25">
      <c r="A109" t="s">
        <v>38</v>
      </c>
      <c r="D109" t="s">
        <v>35</v>
      </c>
      <c r="I109" t="s">
        <v>32</v>
      </c>
      <c r="J109" s="13">
        <v>20.108223370000001</v>
      </c>
      <c r="K109" t="s">
        <v>4</v>
      </c>
    </row>
    <row r="110" spans="1:13" x14ac:dyDescent="0.25">
      <c r="A110" t="s">
        <v>38</v>
      </c>
      <c r="D110" t="s">
        <v>18</v>
      </c>
      <c r="I110" t="s">
        <v>36</v>
      </c>
      <c r="J110" s="13">
        <v>340.59970929999997</v>
      </c>
      <c r="K110" t="s">
        <v>37</v>
      </c>
    </row>
    <row r="111" spans="1:13" x14ac:dyDescent="0.25">
      <c r="A111" t="s">
        <v>38</v>
      </c>
      <c r="D111" t="s">
        <v>20</v>
      </c>
      <c r="I111" t="s">
        <v>36</v>
      </c>
      <c r="J111" s="13">
        <v>157.31615339999999</v>
      </c>
      <c r="K111" t="s">
        <v>37</v>
      </c>
    </row>
    <row r="112" spans="1:13" x14ac:dyDescent="0.25">
      <c r="A112" t="s">
        <v>38</v>
      </c>
      <c r="D112" t="s">
        <v>33</v>
      </c>
      <c r="I112" t="s">
        <v>36</v>
      </c>
      <c r="J112" s="13">
        <v>309.16608459999998</v>
      </c>
      <c r="K112" t="s">
        <v>37</v>
      </c>
    </row>
    <row r="113" spans="1:13" x14ac:dyDescent="0.25">
      <c r="A113" t="s">
        <v>38</v>
      </c>
      <c r="D113" t="s">
        <v>34</v>
      </c>
      <c r="I113" t="s">
        <v>36</v>
      </c>
      <c r="J113" s="13">
        <v>335.59568200000001</v>
      </c>
      <c r="K113" t="s">
        <v>37</v>
      </c>
    </row>
    <row r="114" spans="1:13" x14ac:dyDescent="0.25">
      <c r="A114" t="s">
        <v>38</v>
      </c>
      <c r="D114" t="s">
        <v>35</v>
      </c>
      <c r="I114" t="s">
        <v>36</v>
      </c>
      <c r="J114" s="13">
        <v>358.43398500000001</v>
      </c>
      <c r="K114" t="s">
        <v>37</v>
      </c>
    </row>
    <row r="115" spans="1:13" x14ac:dyDescent="0.25">
      <c r="A115" t="s">
        <v>38</v>
      </c>
      <c r="D115" t="s">
        <v>411</v>
      </c>
      <c r="I115" t="s">
        <v>36</v>
      </c>
      <c r="J115" s="157">
        <v>0</v>
      </c>
      <c r="K115" s="93" t="s">
        <v>37</v>
      </c>
    </row>
    <row r="116" spans="1:13" x14ac:dyDescent="0.25">
      <c r="A116" t="s">
        <v>38</v>
      </c>
      <c r="B116" t="s">
        <v>1</v>
      </c>
      <c r="I116" t="s">
        <v>506</v>
      </c>
      <c r="J116" s="13">
        <v>2.4579700542883822</v>
      </c>
      <c r="K116" t="s">
        <v>9</v>
      </c>
      <c r="L116" t="s">
        <v>510</v>
      </c>
      <c r="M116" t="s">
        <v>389</v>
      </c>
    </row>
    <row r="117" spans="1:13" x14ac:dyDescent="0.25">
      <c r="A117" t="s">
        <v>38</v>
      </c>
      <c r="B117" t="s">
        <v>1</v>
      </c>
      <c r="I117" t="s">
        <v>509</v>
      </c>
      <c r="J117" s="13">
        <v>9.2748685002842954</v>
      </c>
      <c r="K117" t="s">
        <v>9</v>
      </c>
      <c r="L117" t="s">
        <v>511</v>
      </c>
      <c r="M117" t="s">
        <v>389</v>
      </c>
    </row>
    <row r="118" spans="1:13" x14ac:dyDescent="0.25">
      <c r="A118" t="s">
        <v>38</v>
      </c>
      <c r="B118" t="s">
        <v>5</v>
      </c>
      <c r="I118" t="s">
        <v>506</v>
      </c>
      <c r="J118" s="13">
        <v>2.4579700542883822</v>
      </c>
      <c r="K118" t="s">
        <v>9</v>
      </c>
      <c r="L118" t="s">
        <v>510</v>
      </c>
      <c r="M118" t="s">
        <v>389</v>
      </c>
    </row>
    <row r="119" spans="1:13" x14ac:dyDescent="0.25">
      <c r="A119" t="s">
        <v>38</v>
      </c>
      <c r="B119" t="s">
        <v>5</v>
      </c>
      <c r="I119" t="s">
        <v>509</v>
      </c>
      <c r="J119" s="13">
        <v>35.940115438601644</v>
      </c>
      <c r="K119" t="s">
        <v>9</v>
      </c>
      <c r="L119" t="s">
        <v>511</v>
      </c>
      <c r="M119" t="s">
        <v>389</v>
      </c>
    </row>
    <row r="120" spans="1:13" x14ac:dyDescent="0.25">
      <c r="J120" s="13"/>
    </row>
    <row r="121" spans="1:13" x14ac:dyDescent="0.25">
      <c r="A121" s="257" t="s">
        <v>587</v>
      </c>
      <c r="B121" s="158"/>
      <c r="C121" s="158"/>
      <c r="D121" s="95"/>
      <c r="E121" s="95"/>
      <c r="F121" s="95"/>
      <c r="G121" s="95"/>
      <c r="H121" s="95"/>
      <c r="I121" s="95"/>
      <c r="J121" s="95"/>
      <c r="K121" s="95"/>
      <c r="L121" s="95"/>
      <c r="M121" s="95"/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594</v>
      </c>
      <c r="G122" s="110"/>
      <c r="H122" s="110"/>
      <c r="I122" s="110" t="s">
        <v>586</v>
      </c>
      <c r="J122" s="110">
        <v>5</v>
      </c>
      <c r="K122" s="110" t="s">
        <v>4</v>
      </c>
      <c r="L122" s="110"/>
      <c r="M122" s="110" t="s">
        <v>602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595</v>
      </c>
      <c r="G123" s="110"/>
      <c r="H123" s="110"/>
      <c r="I123" s="110" t="s">
        <v>586</v>
      </c>
      <c r="J123" s="110">
        <v>5.4</v>
      </c>
      <c r="K123" s="110" t="s">
        <v>4</v>
      </c>
      <c r="L123" s="110"/>
      <c r="M123" s="110" t="s">
        <v>602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596</v>
      </c>
      <c r="G124" s="110"/>
      <c r="H124" s="110"/>
      <c r="I124" s="110" t="s">
        <v>586</v>
      </c>
      <c r="J124" s="110">
        <v>4.9000000000000004</v>
      </c>
      <c r="K124" s="110" t="s">
        <v>4</v>
      </c>
      <c r="L124" s="110"/>
      <c r="M124" s="110" t="s">
        <v>602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597</v>
      </c>
      <c r="G125" s="110"/>
      <c r="H125" s="110"/>
      <c r="I125" s="110" t="s">
        <v>586</v>
      </c>
      <c r="J125" s="110">
        <v>5.0999999999999996</v>
      </c>
      <c r="K125" s="110" t="s">
        <v>4</v>
      </c>
      <c r="L125" s="110"/>
      <c r="M125" s="110" t="s">
        <v>602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598</v>
      </c>
      <c r="G126" s="110"/>
      <c r="H126" s="110"/>
      <c r="I126" s="110" t="s">
        <v>586</v>
      </c>
      <c r="J126" s="110">
        <v>4.9000000000000004</v>
      </c>
      <c r="K126" s="110" t="s">
        <v>4</v>
      </c>
      <c r="L126" s="110"/>
      <c r="M126" s="110" t="s">
        <v>602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599</v>
      </c>
      <c r="G127" s="110"/>
      <c r="H127" s="110"/>
      <c r="I127" s="110" t="s">
        <v>586</v>
      </c>
      <c r="J127" s="110">
        <v>5</v>
      </c>
      <c r="K127" s="110" t="s">
        <v>4</v>
      </c>
      <c r="L127" s="110"/>
      <c r="M127" s="110" t="s">
        <v>603</v>
      </c>
    </row>
    <row r="128" spans="1:13" x14ac:dyDescent="0.25">
      <c r="A128" s="110" t="s">
        <v>2</v>
      </c>
      <c r="B128" s="110"/>
      <c r="C128" s="110"/>
      <c r="D128" s="110" t="s">
        <v>18</v>
      </c>
      <c r="E128" s="110"/>
      <c r="F128" t="s">
        <v>600</v>
      </c>
      <c r="G128" s="110"/>
      <c r="H128" s="110"/>
      <c r="I128" s="110" t="s">
        <v>586</v>
      </c>
      <c r="J128" s="110">
        <v>5</v>
      </c>
      <c r="K128" s="110" t="s">
        <v>4</v>
      </c>
      <c r="L128" s="110"/>
      <c r="M128" s="110" t="s">
        <v>602</v>
      </c>
    </row>
    <row r="129" spans="1:13" x14ac:dyDescent="0.25">
      <c r="A129" s="110" t="s">
        <v>2</v>
      </c>
      <c r="B129" s="110"/>
      <c r="C129" s="110"/>
      <c r="D129" s="110" t="s">
        <v>18</v>
      </c>
      <c r="E129" s="110"/>
      <c r="F129" t="s">
        <v>601</v>
      </c>
      <c r="G129" s="110"/>
      <c r="H129" s="110"/>
      <c r="I129" s="110" t="s">
        <v>586</v>
      </c>
      <c r="J129" s="110">
        <v>3.1</v>
      </c>
      <c r="K129" s="110" t="s">
        <v>4</v>
      </c>
      <c r="L129" s="110"/>
      <c r="M129" s="110" t="s">
        <v>602</v>
      </c>
    </row>
    <row r="130" spans="1:13" x14ac:dyDescent="0.2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</row>
    <row r="131" spans="1:13" x14ac:dyDescent="0.25">
      <c r="A131" s="110"/>
      <c r="B131" s="110"/>
      <c r="C131" s="110"/>
      <c r="D131" s="110"/>
      <c r="E131" s="110"/>
      <c r="F131" t="s">
        <v>594</v>
      </c>
      <c r="G131" s="110"/>
      <c r="H131" s="110"/>
      <c r="I131" s="110" t="s">
        <v>586</v>
      </c>
      <c r="J131" s="110">
        <v>6.5</v>
      </c>
      <c r="K131" s="110" t="s">
        <v>4</v>
      </c>
      <c r="L131" s="110" t="s">
        <v>592</v>
      </c>
      <c r="M131" s="110" t="s">
        <v>602</v>
      </c>
    </row>
    <row r="132" spans="1:13" x14ac:dyDescent="0.25">
      <c r="A132" s="110"/>
      <c r="B132" s="110"/>
      <c r="C132" s="110"/>
      <c r="D132" s="110"/>
      <c r="E132" s="110"/>
      <c r="F132" t="s">
        <v>595</v>
      </c>
      <c r="G132" s="110"/>
      <c r="H132" s="110"/>
      <c r="I132" s="110" t="s">
        <v>586</v>
      </c>
      <c r="J132" s="110">
        <v>6.8</v>
      </c>
      <c r="K132" s="110" t="s">
        <v>4</v>
      </c>
      <c r="L132" s="110"/>
      <c r="M132" s="110" t="s">
        <v>602</v>
      </c>
    </row>
    <row r="133" spans="1:13" x14ac:dyDescent="0.25">
      <c r="A133" s="110"/>
      <c r="B133" s="110"/>
      <c r="C133" s="110"/>
      <c r="D133" s="110"/>
      <c r="E133" s="110"/>
      <c r="F133" t="s">
        <v>596</v>
      </c>
      <c r="G133" s="110"/>
      <c r="H133" s="110"/>
      <c r="I133" s="110" t="s">
        <v>586</v>
      </c>
      <c r="J133" s="110">
        <v>6.2</v>
      </c>
      <c r="K133" s="110" t="s">
        <v>4</v>
      </c>
      <c r="L133" s="110"/>
      <c r="M133" s="110" t="s">
        <v>602</v>
      </c>
    </row>
    <row r="134" spans="1:13" x14ac:dyDescent="0.25">
      <c r="A134" s="110"/>
      <c r="B134" s="110"/>
      <c r="C134" s="110"/>
      <c r="D134" s="110"/>
      <c r="E134" s="110"/>
      <c r="F134" t="s">
        <v>597</v>
      </c>
      <c r="G134" s="110"/>
      <c r="H134" s="110"/>
      <c r="I134" s="110" t="s">
        <v>586</v>
      </c>
      <c r="J134" s="110">
        <v>6.3</v>
      </c>
      <c r="K134" s="110" t="s">
        <v>4</v>
      </c>
      <c r="L134" s="110"/>
      <c r="M134" s="110" t="s">
        <v>602</v>
      </c>
    </row>
    <row r="135" spans="1:13" x14ac:dyDescent="0.25">
      <c r="A135" s="110"/>
      <c r="B135" s="110"/>
      <c r="C135" s="110"/>
      <c r="D135" s="110"/>
      <c r="E135" s="110"/>
      <c r="F135" t="s">
        <v>598</v>
      </c>
      <c r="G135" s="110"/>
      <c r="H135" s="110"/>
      <c r="I135" s="110" t="s">
        <v>586</v>
      </c>
      <c r="J135" s="110">
        <v>6.5</v>
      </c>
      <c r="K135" s="110" t="s">
        <v>4</v>
      </c>
      <c r="L135" s="110"/>
      <c r="M135" s="110" t="s">
        <v>602</v>
      </c>
    </row>
    <row r="136" spans="1:13" x14ac:dyDescent="0.25">
      <c r="A136" s="110"/>
      <c r="B136" s="110"/>
      <c r="C136" s="110"/>
      <c r="D136" s="110"/>
      <c r="E136" s="110"/>
      <c r="F136" t="s">
        <v>599</v>
      </c>
      <c r="G136" s="110"/>
      <c r="H136" s="110"/>
      <c r="I136" s="110" t="s">
        <v>586</v>
      </c>
      <c r="J136" s="110">
        <v>6</v>
      </c>
      <c r="K136" s="110" t="s">
        <v>4</v>
      </c>
      <c r="L136" s="110"/>
      <c r="M136" s="110" t="s">
        <v>602</v>
      </c>
    </row>
    <row r="137" spans="1:13" x14ac:dyDescent="0.25">
      <c r="A137" s="110"/>
      <c r="B137" s="110"/>
      <c r="C137" s="110"/>
      <c r="D137" s="110"/>
      <c r="E137" s="110"/>
      <c r="F137" t="s">
        <v>600</v>
      </c>
      <c r="G137" s="110"/>
      <c r="H137" s="110"/>
      <c r="I137" s="110" t="s">
        <v>586</v>
      </c>
      <c r="J137" s="110">
        <v>5.4</v>
      </c>
      <c r="K137" s="110" t="s">
        <v>4</v>
      </c>
      <c r="L137" s="110"/>
      <c r="M137" s="110" t="s">
        <v>602</v>
      </c>
    </row>
    <row r="138" spans="1:13" x14ac:dyDescent="0.25">
      <c r="A138" s="110"/>
      <c r="B138" s="110"/>
      <c r="C138" s="110"/>
      <c r="D138" s="110"/>
      <c r="E138" s="110"/>
      <c r="F138" t="s">
        <v>601</v>
      </c>
      <c r="G138" s="110"/>
      <c r="H138" s="110"/>
      <c r="I138" s="110" t="s">
        <v>586</v>
      </c>
      <c r="J138" s="110">
        <v>4.2</v>
      </c>
      <c r="K138" s="110" t="s">
        <v>4</v>
      </c>
      <c r="L138" s="110"/>
      <c r="M138" s="110" t="s">
        <v>602</v>
      </c>
    </row>
    <row r="139" spans="1:13" x14ac:dyDescent="0.2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</row>
    <row r="140" spans="1:13" x14ac:dyDescent="0.25">
      <c r="A140" s="110"/>
      <c r="B140" s="110"/>
      <c r="C140" s="110"/>
      <c r="D140" s="110" t="s">
        <v>20</v>
      </c>
      <c r="E140" s="110"/>
      <c r="F140" t="s">
        <v>594</v>
      </c>
      <c r="G140" s="110"/>
      <c r="H140" s="110"/>
      <c r="I140" s="110" t="s">
        <v>586</v>
      </c>
      <c r="J140" s="110">
        <v>4</v>
      </c>
      <c r="K140" s="110" t="s">
        <v>4</v>
      </c>
      <c r="L140" s="110"/>
      <c r="M140" s="110" t="s">
        <v>602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595</v>
      </c>
      <c r="G141" s="110"/>
      <c r="H141" s="110"/>
      <c r="I141" s="110" t="s">
        <v>586</v>
      </c>
      <c r="J141" s="110">
        <v>4.3</v>
      </c>
      <c r="K141" s="110" t="s">
        <v>4</v>
      </c>
      <c r="L141" s="110"/>
      <c r="M141" s="110" t="s">
        <v>602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596</v>
      </c>
      <c r="G142" s="110"/>
      <c r="H142" s="110"/>
      <c r="I142" s="110" t="s">
        <v>586</v>
      </c>
      <c r="J142" s="110">
        <v>4</v>
      </c>
      <c r="K142" s="110" t="s">
        <v>4</v>
      </c>
      <c r="L142" s="110"/>
      <c r="M142" s="110" t="s">
        <v>602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597</v>
      </c>
      <c r="G143" s="110"/>
      <c r="H143" s="110"/>
      <c r="I143" s="110" t="s">
        <v>586</v>
      </c>
      <c r="J143" s="110">
        <v>4.3</v>
      </c>
      <c r="K143" s="110" t="s">
        <v>4</v>
      </c>
      <c r="L143" s="110"/>
      <c r="M143" s="110" t="s">
        <v>602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598</v>
      </c>
      <c r="G144" s="110"/>
      <c r="H144" s="110"/>
      <c r="I144" s="110" t="s">
        <v>586</v>
      </c>
      <c r="J144" s="110">
        <v>4.7</v>
      </c>
      <c r="K144" s="110" t="s">
        <v>4</v>
      </c>
      <c r="L144" s="110"/>
      <c r="M144" s="110" t="s">
        <v>602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599</v>
      </c>
      <c r="G145" s="110"/>
      <c r="H145" s="110"/>
      <c r="I145" s="110" t="s">
        <v>586</v>
      </c>
      <c r="J145" s="110">
        <v>3.8</v>
      </c>
      <c r="K145" s="110" t="s">
        <v>4</v>
      </c>
      <c r="L145" s="110"/>
      <c r="M145" s="110" t="s">
        <v>602</v>
      </c>
    </row>
    <row r="146" spans="1:13" x14ac:dyDescent="0.25">
      <c r="A146" s="110"/>
      <c r="B146" s="110"/>
      <c r="C146" s="110"/>
      <c r="D146" s="110" t="s">
        <v>20</v>
      </c>
      <c r="E146" s="110"/>
      <c r="F146" t="s">
        <v>600</v>
      </c>
      <c r="G146" s="110"/>
      <c r="H146" s="110"/>
      <c r="I146" s="110" t="s">
        <v>586</v>
      </c>
      <c r="J146" s="110">
        <v>3.9</v>
      </c>
      <c r="K146" s="110" t="s">
        <v>4</v>
      </c>
      <c r="L146" s="110"/>
      <c r="M146" s="110" t="s">
        <v>602</v>
      </c>
    </row>
    <row r="147" spans="1:13" x14ac:dyDescent="0.25">
      <c r="A147" s="110"/>
      <c r="B147" s="110"/>
      <c r="C147" s="110"/>
      <c r="D147" s="110" t="s">
        <v>20</v>
      </c>
      <c r="E147" s="110"/>
      <c r="F147" t="s">
        <v>601</v>
      </c>
      <c r="G147" s="110"/>
      <c r="H147" s="110"/>
      <c r="I147" s="110" t="s">
        <v>586</v>
      </c>
      <c r="J147" s="110">
        <v>3.2</v>
      </c>
      <c r="K147" s="110" t="s">
        <v>4</v>
      </c>
      <c r="L147" s="110"/>
      <c r="M147" s="110" t="s">
        <v>602</v>
      </c>
    </row>
    <row r="148" spans="1:13" x14ac:dyDescent="0.2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594</v>
      </c>
      <c r="G149" s="110"/>
      <c r="H149" s="110"/>
      <c r="I149" s="110" t="s">
        <v>586</v>
      </c>
      <c r="J149" s="110">
        <v>0</v>
      </c>
      <c r="K149" s="110" t="s">
        <v>4</v>
      </c>
      <c r="L149" s="110" t="s">
        <v>593</v>
      </c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595</v>
      </c>
      <c r="G150" s="110"/>
      <c r="H150" s="110"/>
      <c r="I150" s="110" t="s">
        <v>586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596</v>
      </c>
      <c r="G151" s="110"/>
      <c r="H151" s="110"/>
      <c r="I151" s="110" t="s">
        <v>586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597</v>
      </c>
      <c r="G152" s="110"/>
      <c r="H152" s="110"/>
      <c r="I152" s="110" t="s">
        <v>586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598</v>
      </c>
      <c r="G153" s="110"/>
      <c r="H153" s="110"/>
      <c r="I153" s="110" t="s">
        <v>586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599</v>
      </c>
      <c r="G154" s="110"/>
      <c r="H154" s="110"/>
      <c r="I154" s="110" t="s">
        <v>586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 t="s">
        <v>35</v>
      </c>
      <c r="E155" s="110"/>
      <c r="F155" t="s">
        <v>600</v>
      </c>
      <c r="G155" s="110"/>
      <c r="H155" s="110"/>
      <c r="I155" s="110" t="s">
        <v>586</v>
      </c>
      <c r="J155" s="110">
        <v>0</v>
      </c>
      <c r="K155" s="110" t="s">
        <v>4</v>
      </c>
      <c r="L155" s="110"/>
      <c r="M155" s="110"/>
    </row>
    <row r="156" spans="1:13" x14ac:dyDescent="0.25">
      <c r="A156" s="110"/>
      <c r="B156" s="110"/>
      <c r="C156" s="110"/>
      <c r="D156" s="110" t="s">
        <v>35</v>
      </c>
      <c r="E156" s="110"/>
      <c r="F156" t="s">
        <v>601</v>
      </c>
      <c r="G156" s="110"/>
      <c r="H156" s="110"/>
      <c r="I156" s="110" t="s">
        <v>586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</row>
    <row r="158" spans="1:13" x14ac:dyDescent="0.25">
      <c r="A158" s="110"/>
      <c r="B158" s="110"/>
      <c r="C158" s="110"/>
      <c r="D158" s="110" t="s">
        <v>411</v>
      </c>
      <c r="E158" s="110"/>
      <c r="F158" t="s">
        <v>594</v>
      </c>
      <c r="G158" s="110"/>
      <c r="H158" s="110"/>
      <c r="I158" s="110" t="s">
        <v>586</v>
      </c>
      <c r="J158" s="110">
        <v>0</v>
      </c>
      <c r="K158" s="110" t="s">
        <v>4</v>
      </c>
      <c r="L158" s="110" t="s">
        <v>593</v>
      </c>
      <c r="M158" s="110"/>
    </row>
    <row r="159" spans="1:13" x14ac:dyDescent="0.25">
      <c r="A159" s="110"/>
      <c r="B159" s="110"/>
      <c r="C159" s="110"/>
      <c r="D159" s="110" t="s">
        <v>411</v>
      </c>
      <c r="E159" s="110"/>
      <c r="F159" t="s">
        <v>595</v>
      </c>
      <c r="G159" s="110"/>
      <c r="H159" s="110"/>
      <c r="I159" s="110" t="s">
        <v>586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411</v>
      </c>
      <c r="E160" s="110"/>
      <c r="F160" t="s">
        <v>596</v>
      </c>
      <c r="G160" s="110"/>
      <c r="H160" s="110"/>
      <c r="I160" s="110" t="s">
        <v>586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411</v>
      </c>
      <c r="E161" s="110"/>
      <c r="F161" t="s">
        <v>597</v>
      </c>
      <c r="G161" s="110"/>
      <c r="H161" s="110"/>
      <c r="I161" s="110" t="s">
        <v>586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411</v>
      </c>
      <c r="E162" s="110"/>
      <c r="F162" t="s">
        <v>598</v>
      </c>
      <c r="G162" s="110"/>
      <c r="H162" s="110"/>
      <c r="I162" s="110" t="s">
        <v>586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411</v>
      </c>
      <c r="E163" s="110"/>
      <c r="F163" t="s">
        <v>599</v>
      </c>
      <c r="G163" s="110"/>
      <c r="H163" s="110"/>
      <c r="I163" s="110" t="s">
        <v>586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 t="s">
        <v>411</v>
      </c>
      <c r="E164" s="110"/>
      <c r="F164" t="s">
        <v>600</v>
      </c>
      <c r="G164" s="110"/>
      <c r="H164" s="110"/>
      <c r="I164" s="110" t="s">
        <v>586</v>
      </c>
      <c r="J164" s="110">
        <v>0</v>
      </c>
      <c r="K164" s="110" t="s">
        <v>4</v>
      </c>
      <c r="L164" s="110"/>
      <c r="M164" s="110"/>
    </row>
    <row r="165" spans="1:13" x14ac:dyDescent="0.25">
      <c r="A165" s="110"/>
      <c r="B165" s="110"/>
      <c r="C165" s="110"/>
      <c r="D165" s="110" t="s">
        <v>411</v>
      </c>
      <c r="E165" s="110"/>
      <c r="F165" t="s">
        <v>601</v>
      </c>
      <c r="G165" s="110"/>
      <c r="H165" s="110"/>
      <c r="I165" s="110" t="s">
        <v>586</v>
      </c>
      <c r="J165" s="110">
        <v>0</v>
      </c>
      <c r="K165" s="110" t="s">
        <v>4</v>
      </c>
      <c r="L165" s="110"/>
      <c r="M165" s="110"/>
    </row>
    <row r="166" spans="1:13" x14ac:dyDescent="0.2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</row>
    <row r="167" spans="1:13" x14ac:dyDescent="0.25">
      <c r="A167" s="110"/>
      <c r="B167" s="110"/>
      <c r="C167" s="110"/>
      <c r="D167" s="110"/>
      <c r="E167" s="110"/>
      <c r="F167" s="110"/>
      <c r="G167" s="110"/>
      <c r="H167" s="110"/>
      <c r="I167" s="110" t="s">
        <v>589</v>
      </c>
      <c r="J167" s="110">
        <v>0</v>
      </c>
      <c r="K167" s="110" t="s">
        <v>9</v>
      </c>
      <c r="L167" s="110" t="s">
        <v>591</v>
      </c>
      <c r="M167" s="110"/>
    </row>
    <row r="168" spans="1:13" x14ac:dyDescent="0.25">
      <c r="A168" s="110" t="s">
        <v>2</v>
      </c>
      <c r="B168" s="110"/>
      <c r="C168" s="110"/>
      <c r="D168" s="110" t="s">
        <v>18</v>
      </c>
      <c r="E168" s="110"/>
      <c r="F168" s="110"/>
      <c r="G168" s="110"/>
      <c r="H168" s="110"/>
      <c r="I168" s="110" t="s">
        <v>589</v>
      </c>
      <c r="J168" s="110">
        <v>38</v>
      </c>
      <c r="K168" s="110" t="s">
        <v>9</v>
      </c>
      <c r="L168" s="110"/>
      <c r="M168" s="110" t="s">
        <v>590</v>
      </c>
    </row>
    <row r="170" spans="1:13" x14ac:dyDescent="0.25">
      <c r="A170" s="94" t="s">
        <v>295</v>
      </c>
      <c r="B170" s="94"/>
      <c r="C170" s="94"/>
      <c r="D170" s="95"/>
      <c r="E170" s="95"/>
      <c r="F170" s="95"/>
      <c r="G170" s="95"/>
      <c r="H170" s="95"/>
      <c r="I170" s="95"/>
      <c r="J170" s="95"/>
      <c r="K170" s="95"/>
      <c r="L170" s="95"/>
      <c r="M170" s="95"/>
    </row>
    <row r="171" spans="1:13" x14ac:dyDescent="0.25">
      <c r="A171" s="97" t="s">
        <v>293</v>
      </c>
      <c r="B171" s="97"/>
      <c r="C171" s="97"/>
      <c r="D171" s="98"/>
      <c r="E171" s="98"/>
      <c r="F171" s="98"/>
      <c r="G171" s="98"/>
      <c r="H171" s="98"/>
      <c r="I171" s="98"/>
      <c r="J171" s="99"/>
      <c r="K171" s="98"/>
      <c r="L171" s="98"/>
      <c r="M171" s="98"/>
    </row>
    <row r="172" spans="1:13" x14ac:dyDescent="0.25">
      <c r="A172" t="s">
        <v>2</v>
      </c>
      <c r="G172" t="s">
        <v>5</v>
      </c>
      <c r="H172" t="s">
        <v>1</v>
      </c>
      <c r="I172" t="s">
        <v>321</v>
      </c>
      <c r="J172">
        <v>89</v>
      </c>
      <c r="K172" t="s">
        <v>9</v>
      </c>
      <c r="L172" t="s">
        <v>324</v>
      </c>
    </row>
    <row r="173" spans="1:13" x14ac:dyDescent="0.25">
      <c r="A173" t="s">
        <v>2</v>
      </c>
      <c r="G173" t="s">
        <v>5</v>
      </c>
      <c r="H173" t="s">
        <v>1</v>
      </c>
      <c r="I173" t="s">
        <v>322</v>
      </c>
      <c r="J173">
        <v>8.5</v>
      </c>
      <c r="K173" t="s">
        <v>9</v>
      </c>
      <c r="L173" t="s">
        <v>324</v>
      </c>
    </row>
    <row r="174" spans="1:13" x14ac:dyDescent="0.25">
      <c r="A174" s="100" t="s">
        <v>294</v>
      </c>
      <c r="B174" s="100"/>
      <c r="C174" s="100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</row>
    <row r="175" spans="1:13" x14ac:dyDescent="0.25">
      <c r="A175" t="s">
        <v>38</v>
      </c>
      <c r="G175" t="s">
        <v>5</v>
      </c>
      <c r="H175" t="s">
        <v>1</v>
      </c>
      <c r="I175" t="s">
        <v>321</v>
      </c>
      <c r="J175">
        <v>14</v>
      </c>
      <c r="K175" t="s">
        <v>9</v>
      </c>
      <c r="L175" t="s">
        <v>324</v>
      </c>
    </row>
    <row r="176" spans="1:13" x14ac:dyDescent="0.25">
      <c r="A176" t="s">
        <v>38</v>
      </c>
      <c r="G176" t="s">
        <v>5</v>
      </c>
      <c r="H176" t="s">
        <v>1</v>
      </c>
      <c r="I176" t="s">
        <v>322</v>
      </c>
      <c r="J176">
        <v>8.5</v>
      </c>
      <c r="K176" t="s">
        <v>9</v>
      </c>
      <c r="L176" t="s">
        <v>324</v>
      </c>
    </row>
    <row r="178" spans="1:13" x14ac:dyDescent="0.25">
      <c r="A178" s="94" t="s">
        <v>391</v>
      </c>
      <c r="B178" s="94"/>
      <c r="C178" s="94"/>
      <c r="D178" s="95"/>
      <c r="E178" s="95"/>
      <c r="F178" s="95"/>
      <c r="G178" s="95"/>
      <c r="H178" s="95"/>
      <c r="I178" s="95"/>
      <c r="J178" s="95"/>
      <c r="K178" s="95"/>
      <c r="L178" s="95"/>
      <c r="M178" s="95"/>
    </row>
    <row r="179" spans="1:13" x14ac:dyDescent="0.25">
      <c r="D179" t="s">
        <v>18</v>
      </c>
      <c r="I179" t="s">
        <v>392</v>
      </c>
      <c r="J179">
        <v>0.50700000000000001</v>
      </c>
      <c r="K179" t="s">
        <v>393</v>
      </c>
      <c r="M179" t="s">
        <v>395</v>
      </c>
    </row>
    <row r="180" spans="1:13" x14ac:dyDescent="0.25">
      <c r="I180" t="s">
        <v>392</v>
      </c>
      <c r="J180">
        <v>0.47499999999999998</v>
      </c>
      <c r="K180" t="s">
        <v>393</v>
      </c>
      <c r="M180" t="s">
        <v>396</v>
      </c>
    </row>
    <row r="181" spans="1:13" x14ac:dyDescent="0.25">
      <c r="D181" t="s">
        <v>18</v>
      </c>
      <c r="I181" t="s">
        <v>407</v>
      </c>
      <c r="J181" s="13">
        <v>5</v>
      </c>
      <c r="K181" t="s">
        <v>406</v>
      </c>
      <c r="M181" t="s">
        <v>395</v>
      </c>
    </row>
    <row r="182" spans="1:13" x14ac:dyDescent="0.25">
      <c r="A182" t="s">
        <v>2</v>
      </c>
      <c r="D182" t="s">
        <v>18</v>
      </c>
      <c r="I182" t="s">
        <v>397</v>
      </c>
      <c r="J182" s="13">
        <f>(0.013+0.021+0.038) * 30.4</f>
        <v>2.1888000000000001</v>
      </c>
      <c r="K182" t="s">
        <v>398</v>
      </c>
      <c r="L182" t="s">
        <v>399</v>
      </c>
      <c r="M182" t="s">
        <v>394</v>
      </c>
    </row>
    <row r="183" spans="1:13" x14ac:dyDescent="0.25">
      <c r="A183" t="s">
        <v>38</v>
      </c>
      <c r="D183" t="s">
        <v>18</v>
      </c>
      <c r="I183" t="s">
        <v>397</v>
      </c>
      <c r="J183" s="13">
        <f>(8 * 7 * 3.6)/100</f>
        <v>2.016</v>
      </c>
      <c r="K183" t="s">
        <v>398</v>
      </c>
      <c r="L183" t="s">
        <v>400</v>
      </c>
      <c r="M183" t="s">
        <v>401</v>
      </c>
    </row>
    <row r="184" spans="1:13" x14ac:dyDescent="0.25">
      <c r="I184" t="s">
        <v>402</v>
      </c>
      <c r="J184" s="1">
        <v>1</v>
      </c>
      <c r="K184" t="s">
        <v>408</v>
      </c>
    </row>
    <row r="185" spans="1:13" x14ac:dyDescent="0.25">
      <c r="A185" t="s">
        <v>2</v>
      </c>
      <c r="D185" t="s">
        <v>18</v>
      </c>
      <c r="I185" t="s">
        <v>402</v>
      </c>
      <c r="J185" s="1">
        <v>1.1100000000000001</v>
      </c>
      <c r="K185" t="s">
        <v>408</v>
      </c>
      <c r="M185" t="s">
        <v>394</v>
      </c>
    </row>
    <row r="186" spans="1:13" x14ac:dyDescent="0.25">
      <c r="A186" t="s">
        <v>38</v>
      </c>
      <c r="D186" t="s">
        <v>35</v>
      </c>
      <c r="I186" t="s">
        <v>402</v>
      </c>
      <c r="J186" s="1">
        <v>0.9</v>
      </c>
      <c r="K186" t="s">
        <v>408</v>
      </c>
      <c r="L186" t="s">
        <v>404</v>
      </c>
      <c r="M186" t="s">
        <v>403</v>
      </c>
    </row>
    <row r="187" spans="1:13" x14ac:dyDescent="0.25">
      <c r="D187" t="s">
        <v>33</v>
      </c>
      <c r="I187" t="s">
        <v>402</v>
      </c>
      <c r="J187" s="1">
        <v>1.05</v>
      </c>
      <c r="K187" t="s">
        <v>408</v>
      </c>
      <c r="M187" t="s">
        <v>403</v>
      </c>
    </row>
    <row r="188" spans="1:13" x14ac:dyDescent="0.25">
      <c r="A188" t="s">
        <v>2</v>
      </c>
      <c r="D188" t="s">
        <v>34</v>
      </c>
      <c r="I188" t="s">
        <v>402</v>
      </c>
      <c r="J188" s="1">
        <v>1.05</v>
      </c>
      <c r="K188" t="s">
        <v>408</v>
      </c>
      <c r="M188" t="s">
        <v>403</v>
      </c>
    </row>
    <row r="189" spans="1:13" x14ac:dyDescent="0.25">
      <c r="I189" t="s">
        <v>405</v>
      </c>
      <c r="J189" s="13">
        <v>0</v>
      </c>
      <c r="K189" t="s">
        <v>408</v>
      </c>
    </row>
    <row r="190" spans="1:13" x14ac:dyDescent="0.25">
      <c r="A190" t="s">
        <v>2</v>
      </c>
      <c r="D190" t="s">
        <v>18</v>
      </c>
      <c r="I190" t="s">
        <v>405</v>
      </c>
      <c r="J190" s="13">
        <v>-13.6</v>
      </c>
      <c r="K190" t="s">
        <v>408</v>
      </c>
      <c r="M190" t="s">
        <v>394</v>
      </c>
    </row>
    <row r="191" spans="1:13" x14ac:dyDescent="0.25">
      <c r="A191" t="s">
        <v>38</v>
      </c>
      <c r="I191" t="s">
        <v>608</v>
      </c>
      <c r="J191" s="2">
        <v>78</v>
      </c>
      <c r="K191" t="s">
        <v>606</v>
      </c>
      <c r="L191" t="s">
        <v>610</v>
      </c>
      <c r="M191" t="s">
        <v>513</v>
      </c>
    </row>
    <row r="192" spans="1:13" x14ac:dyDescent="0.25">
      <c r="A192" t="s">
        <v>2</v>
      </c>
      <c r="I192" t="s">
        <v>608</v>
      </c>
      <c r="J192" s="2">
        <v>81</v>
      </c>
      <c r="K192" t="s">
        <v>606</v>
      </c>
      <c r="L192" t="s">
        <v>615</v>
      </c>
      <c r="M192" s="264" t="s">
        <v>611</v>
      </c>
    </row>
    <row r="193" spans="1:13" x14ac:dyDescent="0.25">
      <c r="I193" t="s">
        <v>609</v>
      </c>
      <c r="J193" s="13">
        <f>18.8*0.13</f>
        <v>2.4440000000000004</v>
      </c>
      <c r="K193" t="s">
        <v>605</v>
      </c>
      <c r="L193" t="s">
        <v>614</v>
      </c>
    </row>
    <row r="194" spans="1:13" x14ac:dyDescent="0.25">
      <c r="J194" s="2"/>
    </row>
    <row r="195" spans="1:13" x14ac:dyDescent="0.25">
      <c r="J195" s="13"/>
    </row>
    <row r="196" spans="1:13" x14ac:dyDescent="0.25">
      <c r="A196" s="94" t="s">
        <v>390</v>
      </c>
      <c r="B196" s="94"/>
      <c r="C196" s="94"/>
      <c r="D196" s="95"/>
      <c r="E196" s="95"/>
      <c r="F196" s="95"/>
      <c r="G196" s="95"/>
      <c r="H196" s="95"/>
      <c r="I196" s="95"/>
      <c r="J196" s="95"/>
      <c r="K196" s="95" t="s">
        <v>314</v>
      </c>
      <c r="L196" s="95"/>
      <c r="M196" s="95"/>
    </row>
    <row r="197" spans="1:13" x14ac:dyDescent="0.25">
      <c r="I197" s="159" t="s">
        <v>313</v>
      </c>
      <c r="J197" s="159">
        <v>0</v>
      </c>
      <c r="K197" s="159"/>
      <c r="L197" s="159" t="s">
        <v>410</v>
      </c>
    </row>
    <row r="198" spans="1:13" x14ac:dyDescent="0.25">
      <c r="A198" s="97" t="s">
        <v>293</v>
      </c>
      <c r="B198" s="97"/>
      <c r="C198" s="97"/>
      <c r="D198" s="98"/>
      <c r="E198" s="98"/>
      <c r="F198" s="98"/>
      <c r="G198" s="98"/>
      <c r="H198" s="98"/>
      <c r="I198" s="98"/>
      <c r="J198" s="99"/>
      <c r="K198" s="98"/>
      <c r="L198" s="98"/>
      <c r="M198" s="98"/>
    </row>
    <row r="199" spans="1:13" x14ac:dyDescent="0.25">
      <c r="A199" s="81" t="s">
        <v>64</v>
      </c>
      <c r="B199" s="48"/>
      <c r="C199" s="48"/>
      <c r="D199" s="49"/>
      <c r="E199" s="49"/>
      <c r="F199" s="49"/>
      <c r="G199" s="49"/>
      <c r="H199" s="49"/>
      <c r="I199" s="49"/>
      <c r="J199" s="162"/>
      <c r="K199" s="49"/>
      <c r="L199" s="49"/>
      <c r="M199" s="49"/>
    </row>
    <row r="200" spans="1:13" x14ac:dyDescent="0.25">
      <c r="A200" s="159" t="s">
        <v>2</v>
      </c>
      <c r="B200" s="159"/>
      <c r="C200" s="159"/>
      <c r="D200" s="159" t="s">
        <v>18</v>
      </c>
      <c r="I200" s="159" t="s">
        <v>313</v>
      </c>
      <c r="J200" s="159">
        <v>0</v>
      </c>
      <c r="K200" s="159"/>
      <c r="L200" s="159" t="s">
        <v>410</v>
      </c>
    </row>
    <row r="201" spans="1:13" x14ac:dyDescent="0.25">
      <c r="A201" t="s">
        <v>2</v>
      </c>
      <c r="D201" t="s">
        <v>18</v>
      </c>
      <c r="E201" t="str">
        <f>Foderstater!U$63</f>
        <v>ley silage, 1st cut</v>
      </c>
      <c r="I201" t="s">
        <v>313</v>
      </c>
      <c r="J201" s="13">
        <f>INDEX(Foderstater!$X$63:$AI$100,MATCH(E201,Foderstater!$U$63:$U$100,0),MATCH(A201&amp;C201&amp;D201,Foderstater!$X$62:$AI$62,0))</f>
        <v>38.609681277854051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Foderstater!U$64</f>
        <v>ley silage, regrowth</v>
      </c>
      <c r="I202" t="s">
        <v>313</v>
      </c>
      <c r="J202" s="13">
        <f>INDEX(Foderstater!$X$63:$AI$100,MATCH(E202,Foderstater!$U$63:$U$100,0),MATCH(A202&amp;C202&amp;D202,Foderstater!$X$62:$AI$62,0))</f>
        <v>9.2377598080515053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Foderstater!U$65</f>
        <v>other silage</v>
      </c>
      <c r="I203" t="s">
        <v>313</v>
      </c>
      <c r="J203" s="13">
        <f>INDEX(Foderstater!$X$63:$AI$100,MATCH(E203,Foderstater!$U$63:$U$100,0),MATCH(A203&amp;C203&amp;D203,Foderstater!$X$62:$AI$62,0))</f>
        <v>0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Foderstater!U$66</f>
        <v>maize silage</v>
      </c>
      <c r="I204" t="s">
        <v>313</v>
      </c>
      <c r="J204" s="13">
        <f>INDEX(Foderstater!$X$63:$AI$100,MATCH(E204,Foderstater!$U$63:$U$100,0),MATCH(A204&amp;C204&amp;D204,Foderstater!$X$62:$AI$62,0))</f>
        <v>0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Foderstater!U$67</f>
        <v>straw</v>
      </c>
      <c r="I205" t="s">
        <v>313</v>
      </c>
      <c r="J205" s="13">
        <f>INDEX(Foderstater!$X$63:$AI$100,MATCH(E205,Foderstater!$U$63:$U$100,0),MATCH(A205&amp;C205&amp;D205,Foderstater!$X$62:$AI$62,0))</f>
        <v>3.1679738484393072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Foderstater!U$68</f>
        <v>grazing</v>
      </c>
      <c r="I206" t="s">
        <v>313</v>
      </c>
      <c r="J206" s="13">
        <f>INDEX(Foderstater!$X$63:$AI$100,MATCH(E206,Foderstater!$U$63:$U$100,0),MATCH(A206&amp;C206&amp;D206,Foderstater!$X$62:$AI$62,0))</f>
        <v>10.166080013639251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Foderstater!U$69</f>
        <v>wheat</v>
      </c>
      <c r="I207" t="s">
        <v>313</v>
      </c>
      <c r="J207" s="13">
        <f>INDEX(Foderstater!$X$63:$AI$100,MATCH(E207,Foderstater!$U$63:$U$100,0),MATCH(A207&amp;C207&amp;D207,Foderstater!$X$62:$AI$62,0))</f>
        <v>6.1497391870569844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Foderstater!U$70</f>
        <v>barley</v>
      </c>
      <c r="I208" t="s">
        <v>313</v>
      </c>
      <c r="J208" s="13">
        <f>INDEX(Foderstater!$X$63:$AI$100,MATCH(E208,Foderstater!$U$63:$U$100,0),MATCH(A208&amp;C208&amp;D208,Foderstater!$X$62:$AI$62,0))</f>
        <v>11.290606059990822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Foderstater!U$71</f>
        <v>oats</v>
      </c>
      <c r="I209" t="s">
        <v>313</v>
      </c>
      <c r="J209" s="13">
        <f>INDEX(Foderstater!$X$63:$AI$100,MATCH(E209,Foderstater!$U$63:$U$100,0),MATCH(A209&amp;C209&amp;D209,Foderstater!$X$62:$AI$62,0))</f>
        <v>2.5305995086863016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Foderstater!U$72</f>
        <v>triticale</v>
      </c>
      <c r="I210" t="s">
        <v>313</v>
      </c>
      <c r="J210" s="13">
        <f>INDEX(Foderstater!$X$63:$AI$100,MATCH(E210,Foderstater!$U$63:$U$100,0),MATCH(A210&amp;C210&amp;D210,Foderstater!$X$62:$AI$62,0))</f>
        <v>3.9696382637077976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Foderstater!U$73</f>
        <v>rye</v>
      </c>
      <c r="I211" t="s">
        <v>313</v>
      </c>
      <c r="J211" s="13">
        <f>INDEX(Foderstater!$X$63:$AI$100,MATCH(E211,Foderstater!$U$63:$U$100,0),MATCH(A211&amp;C211&amp;D211,Foderstater!$X$62:$AI$62,0))</f>
        <v>1.1272622080408017E-2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Foderstater!U$74</f>
        <v>maize</v>
      </c>
      <c r="I212" t="s">
        <v>313</v>
      </c>
      <c r="J212" s="13">
        <f>INDEX(Foderstater!$X$63:$AI$100,MATCH(E212,Foderstater!$U$63:$U$100,0),MATCH(A212&amp;C212&amp;D212,Foderstater!$X$62:$AI$62,0))</f>
        <v>0.39798335104430993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Foderstater!U$75</f>
        <v>peas</v>
      </c>
      <c r="I213" t="s">
        <v>313</v>
      </c>
      <c r="J213" s="13">
        <f>INDEX(Foderstater!$X$63:$AI$100,MATCH(E213,Foderstater!$U$63:$U$100,0),MATCH(A213&amp;C213&amp;D213,Foderstater!$X$62:$AI$62,0))</f>
        <v>6.2198540886316538E-2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Foderstater!U$76</f>
        <v>broad beans</v>
      </c>
      <c r="I214" t="s">
        <v>313</v>
      </c>
      <c r="J214" s="13">
        <f>INDEX(Foderstater!$X$63:$AI$100,MATCH(E214,Foderstater!$U$63:$U$100,0),MATCH(A214&amp;C214&amp;D214,Foderstater!$X$62:$AI$62,0))</f>
        <v>0.21373263842786655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Foderstater!U$77</f>
        <v>rapeseed</v>
      </c>
      <c r="I215" t="s">
        <v>313</v>
      </c>
      <c r="J215" s="13">
        <f>INDEX(Foderstater!$X$63:$AI$100,MATCH(E215,Foderstater!$U$63:$U$100,0),MATCH(A215&amp;C215&amp;D215,Foderstater!$X$62:$AI$62,0))</f>
        <v>3.3834826631664936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Foderstater!U$78</f>
        <v>linseed</v>
      </c>
      <c r="I216" t="s">
        <v>313</v>
      </c>
      <c r="J216" s="13">
        <f>INDEX(Foderstater!$X$63:$AI$100,MATCH(E216,Foderstater!$U$63:$U$100,0),MATCH(A216&amp;C216&amp;D216,Foderstater!$X$62:$AI$62,0))</f>
        <v>2.4958557242137649E-3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Foderstater!U$79</f>
        <v>vegetable oils</v>
      </c>
      <c r="I217" t="s">
        <v>313</v>
      </c>
      <c r="J217" s="13">
        <f>INDEX(Foderstater!$X$63:$AI$100,MATCH(E217,Foderstater!$U$63:$U$100,0),MATCH(A217&amp;C217&amp;D217,Foderstater!$X$62:$AI$62,0))</f>
        <v>6.4435354702415792E-2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Foderstater!U$80</f>
        <v>soybeans</v>
      </c>
      <c r="I218" t="s">
        <v>313</v>
      </c>
      <c r="J218" s="13">
        <f>INDEX(Foderstater!$X$63:$AI$100,MATCH(E218,Foderstater!$U$63:$U$100,0),MATCH(A218&amp;C218&amp;D218,Foderstater!$X$62:$AI$62,0))</f>
        <v>6.2968191575980506E-2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Foderstater!U$81</f>
        <v>soybean meal</v>
      </c>
      <c r="I219" t="s">
        <v>313</v>
      </c>
      <c r="J219" s="13">
        <f>INDEX(Foderstater!$X$63:$AI$100,MATCH(E219,Foderstater!$U$63:$U$100,0),MATCH(A219&amp;C219&amp;D219,Foderstater!$X$62:$AI$62,0))</f>
        <v>0.57519106653391427</v>
      </c>
      <c r="K219" s="159"/>
      <c r="L219" s="159"/>
    </row>
    <row r="220" spans="1:12" x14ac:dyDescent="0.25">
      <c r="A220" t="s">
        <v>2</v>
      </c>
      <c r="D220" t="s">
        <v>18</v>
      </c>
      <c r="E220" t="str">
        <f>Foderstater!U$82</f>
        <v>soybean protein concentrate</v>
      </c>
      <c r="I220" t="s">
        <v>313</v>
      </c>
      <c r="J220" s="13">
        <f>INDEX(Foderstater!$X$63:$AI$100,MATCH(E220,Foderstater!$U$63:$U$100,0),MATCH(A220&amp;C220&amp;D220,Foderstater!$X$62:$AI$62,0))</f>
        <v>0</v>
      </c>
      <c r="K220" s="159"/>
      <c r="L220" s="159"/>
    </row>
    <row r="221" spans="1:12" x14ac:dyDescent="0.25">
      <c r="A221" t="s">
        <v>2</v>
      </c>
      <c r="D221" t="s">
        <v>18</v>
      </c>
      <c r="E221" t="str">
        <f>Foderstater!U$83</f>
        <v>rapeseed meal</v>
      </c>
      <c r="I221" t="s">
        <v>313</v>
      </c>
      <c r="J221" s="13">
        <f>INDEX(Foderstater!$X$63:$AI$100,MATCH(E221,Foderstater!$U$63:$U$100,0),MATCH(A221&amp;C221&amp;D221,Foderstater!$X$62:$AI$62,0))</f>
        <v>4.4425645420347344</v>
      </c>
      <c r="K221" s="159"/>
      <c r="L221" s="159"/>
    </row>
    <row r="222" spans="1:12" x14ac:dyDescent="0.25">
      <c r="A222" t="s">
        <v>2</v>
      </c>
      <c r="D222" t="s">
        <v>18</v>
      </c>
      <c r="E222" t="str">
        <f>Foderstater!U$84</f>
        <v>sunflower seed meal</v>
      </c>
      <c r="I222" t="s">
        <v>313</v>
      </c>
      <c r="J222" s="13">
        <f>INDEX(Foderstater!$X$63:$AI$100,MATCH(E222,Foderstater!$U$63:$U$100,0),MATCH(A222&amp;C222&amp;D222,Foderstater!$X$62:$AI$62,0))</f>
        <v>6.136972904857535E-2</v>
      </c>
    </row>
    <row r="223" spans="1:12" x14ac:dyDescent="0.25">
      <c r="A223" t="s">
        <v>2</v>
      </c>
      <c r="D223" t="s">
        <v>18</v>
      </c>
      <c r="E223" t="str">
        <f>Foderstater!U$85</f>
        <v>palm kernel expeller</v>
      </c>
      <c r="I223" t="s">
        <v>313</v>
      </c>
      <c r="J223" s="13">
        <f>INDEX(Foderstater!$X$63:$AI$100,MATCH(E223,Foderstater!$U$63:$U$100,0),MATCH(A223&amp;C223&amp;D223,Foderstater!$X$62:$AI$62,0))</f>
        <v>0.39877553799094467</v>
      </c>
    </row>
    <row r="224" spans="1:12" x14ac:dyDescent="0.25">
      <c r="A224" t="s">
        <v>2</v>
      </c>
      <c r="D224" t="s">
        <v>18</v>
      </c>
      <c r="E224" t="str">
        <f>Foderstater!U$86</f>
        <v>luzern meal</v>
      </c>
      <c r="I224" t="s">
        <v>313</v>
      </c>
      <c r="J224" s="13">
        <f>INDEX(Foderstater!$X$63:$AI$100,MATCH(E224,Foderstater!$U$63:$U$100,0),MATCH(A224&amp;C224&amp;D224,Foderstater!$X$62:$AI$62,0))</f>
        <v>0.12130313990935594</v>
      </c>
    </row>
    <row r="225" spans="1:12" x14ac:dyDescent="0.25">
      <c r="A225" t="s">
        <v>2</v>
      </c>
      <c r="D225" t="s">
        <v>18</v>
      </c>
      <c r="E225" t="str">
        <f>Foderstater!U$87</f>
        <v>wheat bran</v>
      </c>
      <c r="I225" t="s">
        <v>313</v>
      </c>
      <c r="J225" s="13">
        <f>INDEX(Foderstater!$X$63:$AI$100,MATCH(E225,Foderstater!$U$63:$U$100,0),MATCH(A225&amp;C225&amp;D225,Foderstater!$X$62:$AI$62,0))</f>
        <v>1.321614002942858</v>
      </c>
    </row>
    <row r="226" spans="1:12" x14ac:dyDescent="0.25">
      <c r="A226" t="s">
        <v>2</v>
      </c>
      <c r="D226" t="s">
        <v>18</v>
      </c>
      <c r="E226" t="str">
        <f>Foderstater!U$88</f>
        <v>wheat bran, fine</v>
      </c>
      <c r="I226" t="s">
        <v>313</v>
      </c>
      <c r="J226" s="13">
        <f>INDEX(Foderstater!$X$63:$AI$100,MATCH(E226,Foderstater!$U$63:$U$100,0),MATCH(A226&amp;C226&amp;D226,Foderstater!$X$62:$AI$62,0))</f>
        <v>3.4645257386917328E-3</v>
      </c>
    </row>
    <row r="227" spans="1:12" x14ac:dyDescent="0.25">
      <c r="A227" t="s">
        <v>2</v>
      </c>
      <c r="D227" t="s">
        <v>18</v>
      </c>
      <c r="E227" t="str">
        <f>Foderstater!U$89</f>
        <v>oat hulls</v>
      </c>
      <c r="I227" t="s">
        <v>313</v>
      </c>
      <c r="J227" s="13">
        <f>INDEX(Foderstater!$X$63:$AI$100,MATCH(E227,Foderstater!$U$63:$U$100,0),MATCH(A227&amp;C227&amp;D227,Foderstater!$X$62:$AI$62,0))</f>
        <v>0.15917555594859789</v>
      </c>
    </row>
    <row r="228" spans="1:12" x14ac:dyDescent="0.25">
      <c r="A228" t="s">
        <v>2</v>
      </c>
      <c r="D228" t="s">
        <v>18</v>
      </c>
      <c r="E228" t="str">
        <f>Foderstater!U$90</f>
        <v>oat bran</v>
      </c>
      <c r="I228" t="s">
        <v>313</v>
      </c>
      <c r="J228" s="13">
        <f>INDEX(Foderstater!$X$63:$AI$100,MATCH(E228,Foderstater!$U$63:$U$100,0),MATCH(A228&amp;C228&amp;D228,Foderstater!$X$62:$AI$62,0))</f>
        <v>1.7964759181842063E-2</v>
      </c>
    </row>
    <row r="229" spans="1:12" x14ac:dyDescent="0.25">
      <c r="A229" t="s">
        <v>2</v>
      </c>
      <c r="D229" t="s">
        <v>18</v>
      </c>
      <c r="E229" t="str">
        <f>Foderstater!U$91</f>
        <v>rye bran</v>
      </c>
      <c r="I229" t="s">
        <v>313</v>
      </c>
      <c r="J229" s="13">
        <f>INDEX(Foderstater!$X$63:$AI$100,MATCH(E229,Foderstater!$U$63:$U$100,0),MATCH(A229&amp;C229&amp;D229,Foderstater!$X$62:$AI$62,0))</f>
        <v>5.5403512056737859E-2</v>
      </c>
    </row>
    <row r="230" spans="1:12" x14ac:dyDescent="0.25">
      <c r="A230" t="s">
        <v>2</v>
      </c>
      <c r="D230" t="s">
        <v>18</v>
      </c>
      <c r="E230" t="str">
        <f>Foderstater!U$92</f>
        <v>wheat distillers grain, dry</v>
      </c>
      <c r="I230" t="s">
        <v>313</v>
      </c>
      <c r="J230" s="13">
        <f>INDEX(Foderstater!$X$63:$AI$100,MATCH(E230,Foderstater!$U$63:$U$100,0),MATCH(A230&amp;C230&amp;D230,Foderstater!$X$62:$AI$62,0))</f>
        <v>1.4206094996744831</v>
      </c>
    </row>
    <row r="231" spans="1:12" x14ac:dyDescent="0.25">
      <c r="A231" t="s">
        <v>2</v>
      </c>
      <c r="D231" t="s">
        <v>18</v>
      </c>
      <c r="E231" t="str">
        <f>Foderstater!U$93</f>
        <v>barley brewers grain</v>
      </c>
      <c r="I231" t="s">
        <v>313</v>
      </c>
      <c r="J231" s="13">
        <f>INDEX(Foderstater!$X$63:$AI$100,MATCH(E231,Foderstater!$U$63:$U$100,0),MATCH(A231&amp;C231&amp;D231,Foderstater!$X$62:$AI$62,0))</f>
        <v>0</v>
      </c>
    </row>
    <row r="232" spans="1:12" x14ac:dyDescent="0.25">
      <c r="A232" t="s">
        <v>2</v>
      </c>
      <c r="D232" t="s">
        <v>18</v>
      </c>
      <c r="E232" t="str">
        <f>Foderstater!U$94</f>
        <v>maize gluten meal</v>
      </c>
      <c r="I232" t="s">
        <v>313</v>
      </c>
      <c r="J232" s="13">
        <f>INDEX(Foderstater!$X$63:$AI$100,MATCH(E232,Foderstater!$U$63:$U$100,0),MATCH(A232&amp;C232&amp;D232,Foderstater!$X$62:$AI$62,0))</f>
        <v>4.2926359235494246E-2</v>
      </c>
    </row>
    <row r="233" spans="1:12" x14ac:dyDescent="0.25">
      <c r="A233" t="s">
        <v>2</v>
      </c>
      <c r="D233" t="s">
        <v>18</v>
      </c>
      <c r="E233" t="str">
        <f>Foderstater!U$95</f>
        <v>sugar beet molasses</v>
      </c>
      <c r="I233" t="s">
        <v>313</v>
      </c>
      <c r="J233" s="13">
        <f>INDEX(Foderstater!$X$63:$AI$100,MATCH(E233,Foderstater!$U$63:$U$100,0),MATCH(A233&amp;C233&amp;D233,Foderstater!$X$62:$AI$62,0))</f>
        <v>0.47602729121024218</v>
      </c>
    </row>
    <row r="234" spans="1:12" x14ac:dyDescent="0.25">
      <c r="A234" t="s">
        <v>2</v>
      </c>
      <c r="D234" t="s">
        <v>18</v>
      </c>
      <c r="E234" t="str">
        <f>Foderstater!U$96</f>
        <v>sugar beet pulp</v>
      </c>
      <c r="I234" t="s">
        <v>313</v>
      </c>
      <c r="J234" s="13">
        <f>INDEX(Foderstater!$X$63:$AI$100,MATCH(E234,Foderstater!$U$63:$U$100,0),MATCH(A234&amp;C234&amp;D234,Foderstater!$X$62:$AI$62,0))</f>
        <v>0.91853231005300495</v>
      </c>
    </row>
    <row r="235" spans="1:12" x14ac:dyDescent="0.25">
      <c r="A235" t="s">
        <v>2</v>
      </c>
      <c r="D235" t="s">
        <v>18</v>
      </c>
      <c r="E235" t="str">
        <f>Foderstater!U$97</f>
        <v>whey powder</v>
      </c>
      <c r="I235" t="s">
        <v>313</v>
      </c>
      <c r="J235" s="13">
        <f>INDEX(Foderstater!$X$63:$AI$100,MATCH(E235,Foderstater!$U$63:$U$100,0),MATCH(A235&amp;C235&amp;D235,Foderstater!$X$62:$AI$62,0))</f>
        <v>0</v>
      </c>
    </row>
    <row r="236" spans="1:12" x14ac:dyDescent="0.25">
      <c r="A236" t="s">
        <v>2</v>
      </c>
      <c r="D236" t="s">
        <v>18</v>
      </c>
      <c r="E236" t="str">
        <f>Foderstater!U$98</f>
        <v>potatoe protein</v>
      </c>
      <c r="I236" t="s">
        <v>313</v>
      </c>
      <c r="J236" s="13">
        <f>INDEX(Foderstater!$X$63:$AI$100,MATCH(E236,Foderstater!$U$63:$U$100,0),MATCH(A236&amp;C236&amp;D236,Foderstater!$X$62:$AI$62,0))</f>
        <v>4.2052766660258274E-3</v>
      </c>
    </row>
    <row r="237" spans="1:12" x14ac:dyDescent="0.25">
      <c r="A237" t="s">
        <v>2</v>
      </c>
      <c r="D237" t="s">
        <v>18</v>
      </c>
      <c r="E237" t="str">
        <f>Foderstater!U$99</f>
        <v>fish meal</v>
      </c>
      <c r="I237" t="s">
        <v>313</v>
      </c>
      <c r="J237" s="13">
        <f>INDEX(Foderstater!$X$63:$AI$100,MATCH(E237,Foderstater!$U$63:$U$100,0),MATCH(A237&amp;C237&amp;D237,Foderstater!$X$62:$AI$62,0))</f>
        <v>0</v>
      </c>
    </row>
    <row r="238" spans="1:12" x14ac:dyDescent="0.25">
      <c r="A238" t="s">
        <v>2</v>
      </c>
      <c r="D238" t="s">
        <v>18</v>
      </c>
      <c r="E238" t="str">
        <f>Foderstater!U$100</f>
        <v>minerals</v>
      </c>
      <c r="I238" t="s">
        <v>313</v>
      </c>
      <c r="J238" s="13">
        <f>INDEX(Foderstater!$X$63:$AI$100,MATCH(E238,Foderstater!$U$63:$U$100,0),MATCH(A238&amp;C238&amp;D238,Foderstater!$X$62:$AI$62,0))</f>
        <v>0.66022570674046432</v>
      </c>
    </row>
    <row r="240" spans="1:12" x14ac:dyDescent="0.25">
      <c r="A240" s="159" t="s">
        <v>2</v>
      </c>
      <c r="B240" s="159" t="s">
        <v>1</v>
      </c>
      <c r="C240" s="159" t="s">
        <v>416</v>
      </c>
      <c r="D240" s="159" t="s">
        <v>18</v>
      </c>
      <c r="I240" s="159" t="s">
        <v>313</v>
      </c>
      <c r="J240" s="159">
        <v>0</v>
      </c>
      <c r="K240" s="159"/>
      <c r="L240" s="159" t="s">
        <v>410</v>
      </c>
    </row>
    <row r="241" spans="1:12" x14ac:dyDescent="0.25">
      <c r="A241" t="s">
        <v>2</v>
      </c>
      <c r="B241" t="s">
        <v>1</v>
      </c>
      <c r="C241" t="s">
        <v>416</v>
      </c>
      <c r="D241" t="s">
        <v>18</v>
      </c>
      <c r="E241" t="str">
        <f>Foderstater!U$63</f>
        <v>ley silage, 1st cut</v>
      </c>
      <c r="I241" t="s">
        <v>313</v>
      </c>
      <c r="J241" s="13">
        <f>INDEX(Foderstater!$X$63:$AI$100,MATCH(E241,Foderstater!$U$63:$U$100,0),MATCH(A241&amp;C241&amp;D241,Foderstater!$X$62:$AI$62,0))</f>
        <v>20.561419371957058</v>
      </c>
      <c r="K241" s="159"/>
      <c r="L241" s="159"/>
    </row>
    <row r="242" spans="1:12" x14ac:dyDescent="0.25">
      <c r="A242" t="s">
        <v>2</v>
      </c>
      <c r="B242" t="s">
        <v>1</v>
      </c>
      <c r="C242" t="s">
        <v>416</v>
      </c>
      <c r="D242" t="s">
        <v>18</v>
      </c>
      <c r="E242" t="str">
        <f>Foderstater!U$64</f>
        <v>ley silage, regrowth</v>
      </c>
      <c r="I242" t="s">
        <v>313</v>
      </c>
      <c r="J242" s="13">
        <f>INDEX(Foderstater!$X$63:$AI$100,MATCH(E242,Foderstater!$U$63:$U$100,0),MATCH(A242&amp;C242&amp;D242,Foderstater!$X$62:$AI$62,0))</f>
        <v>9.5364207102254017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416</v>
      </c>
      <c r="D243" t="s">
        <v>18</v>
      </c>
      <c r="E243" t="str">
        <f>Foderstater!U$65</f>
        <v>other silage</v>
      </c>
      <c r="I243" t="s">
        <v>313</v>
      </c>
      <c r="J243" s="13">
        <f>INDEX(Foderstater!$X$63:$AI$100,MATCH(E243,Foderstater!$U$63:$U$100,0),MATCH(A243&amp;C243&amp;D243,Foderstater!$X$62:$AI$62,0))</f>
        <v>0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416</v>
      </c>
      <c r="D244" t="s">
        <v>18</v>
      </c>
      <c r="E244" t="str">
        <f>Foderstater!U$66</f>
        <v>maize silage</v>
      </c>
      <c r="I244" t="s">
        <v>313</v>
      </c>
      <c r="J244" s="13">
        <f>INDEX(Foderstater!$X$63:$AI$100,MATCH(E244,Foderstater!$U$63:$U$100,0),MATCH(A244&amp;C244&amp;D244,Foderstater!$X$62:$AI$62,0))</f>
        <v>15.876048855936714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416</v>
      </c>
      <c r="D245" t="s">
        <v>18</v>
      </c>
      <c r="E245" t="str">
        <f>Foderstater!U$67</f>
        <v>straw</v>
      </c>
      <c r="I245" t="s">
        <v>313</v>
      </c>
      <c r="J245" s="13">
        <f>INDEX(Foderstater!$X$63:$AI$100,MATCH(E245,Foderstater!$U$63:$U$100,0),MATCH(A245&amp;C245&amp;D245,Foderstater!$X$62:$AI$62,0))</f>
        <v>3.0977656304266756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416</v>
      </c>
      <c r="D246" t="s">
        <v>18</v>
      </c>
      <c r="E246" t="str">
        <f>Foderstater!U$68</f>
        <v>grazing</v>
      </c>
      <c r="I246" t="s">
        <v>313</v>
      </c>
      <c r="J246" s="13">
        <f>INDEX(Foderstater!$X$63:$AI$100,MATCH(E246,Foderstater!$U$63:$U$100,0),MATCH(A246&amp;C246&amp;D246,Foderstater!$X$62:$AI$62,0))</f>
        <v>9.9407806910823222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416</v>
      </c>
      <c r="D247" t="s">
        <v>18</v>
      </c>
      <c r="E247" t="str">
        <f>Foderstater!U$69</f>
        <v>wheat</v>
      </c>
      <c r="I247" t="s">
        <v>313</v>
      </c>
      <c r="J247" s="13">
        <f>INDEX(Foderstater!$X$63:$AI$100,MATCH(E247,Foderstater!$U$63:$U$100,0),MATCH(A247&amp;C247&amp;D247,Foderstater!$X$62:$AI$62,0))</f>
        <v>5.0974881237730667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416</v>
      </c>
      <c r="D248" t="s">
        <v>18</v>
      </c>
      <c r="E248" t="str">
        <f>Foderstater!U$70</f>
        <v>barley</v>
      </c>
      <c r="I248" t="s">
        <v>313</v>
      </c>
      <c r="J248" s="13">
        <f>INDEX(Foderstater!$X$63:$AI$100,MATCH(E248,Foderstater!$U$63:$U$100,0),MATCH(A248&amp;C248&amp;D248,Foderstater!$X$62:$AI$62,0))</f>
        <v>8.404170018075888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416</v>
      </c>
      <c r="D249" t="s">
        <v>18</v>
      </c>
      <c r="E249" t="str">
        <f>Foderstater!U$71</f>
        <v>oats</v>
      </c>
      <c r="I249" t="s">
        <v>313</v>
      </c>
      <c r="J249" s="13">
        <f>INDEX(Foderstater!$X$63:$AI$100,MATCH(E249,Foderstater!$U$63:$U$100,0),MATCH(A249&amp;C249&amp;D249,Foderstater!$X$62:$AI$62,0))</f>
        <v>2.0416884227683041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416</v>
      </c>
      <c r="D250" t="s">
        <v>18</v>
      </c>
      <c r="E250" t="str">
        <f>Foderstater!U$72</f>
        <v>triticale</v>
      </c>
      <c r="I250" t="s">
        <v>313</v>
      </c>
      <c r="J250" s="13">
        <f>INDEX(Foderstater!$X$63:$AI$100,MATCH(E250,Foderstater!$U$63:$U$100,0),MATCH(A250&amp;C250&amp;D250,Foderstater!$X$62:$AI$62,0))</f>
        <v>2.6355687688154275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416</v>
      </c>
      <c r="D251" t="s">
        <v>18</v>
      </c>
      <c r="E251" t="str">
        <f>Foderstater!U$73</f>
        <v>rye</v>
      </c>
      <c r="I251" t="s">
        <v>313</v>
      </c>
      <c r="J251" s="13">
        <f>INDEX(Foderstater!$X$63:$AI$100,MATCH(E251,Foderstater!$U$63:$U$100,0),MATCH(A251&amp;C251&amp;D251,Foderstater!$X$62:$AI$62,0))</f>
        <v>1.7420276725880934E-2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416</v>
      </c>
      <c r="D252" t="s">
        <v>18</v>
      </c>
      <c r="E252" t="str">
        <f>Foderstater!U$74</f>
        <v>maize</v>
      </c>
      <c r="I252" t="s">
        <v>313</v>
      </c>
      <c r="J252" s="13">
        <f>INDEX(Foderstater!$X$63:$AI$100,MATCH(E252,Foderstater!$U$63:$U$100,0),MATCH(A252&amp;C252&amp;D252,Foderstater!$X$62:$AI$62,0))</f>
        <v>0.6150281680723525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416</v>
      </c>
      <c r="D253" t="s">
        <v>18</v>
      </c>
      <c r="E253" t="str">
        <f>Foderstater!U$75</f>
        <v>peas</v>
      </c>
      <c r="I253" t="s">
        <v>313</v>
      </c>
      <c r="J253" s="13">
        <f>INDEX(Foderstater!$X$63:$AI$100,MATCH(E253,Foderstater!$U$63:$U$100,0),MATCH(A253&amp;C253&amp;D253,Foderstater!$X$62:$AI$62,0))</f>
        <v>9.6119233524986178E-2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416</v>
      </c>
      <c r="D254" t="s">
        <v>18</v>
      </c>
      <c r="E254" t="str">
        <f>Foderstater!U$76</f>
        <v>broad beans</v>
      </c>
      <c r="I254" t="s">
        <v>313</v>
      </c>
      <c r="J254" s="13">
        <f>INDEX(Foderstater!$X$63:$AI$100,MATCH(E254,Foderstater!$U$63:$U$100,0),MATCH(A254&amp;C254&amp;D254,Foderstater!$X$62:$AI$62,0))</f>
        <v>0.33029420131428044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416</v>
      </c>
      <c r="D255" t="s">
        <v>18</v>
      </c>
      <c r="E255" t="str">
        <f>Foderstater!U$77</f>
        <v>rapeseed</v>
      </c>
      <c r="I255" t="s">
        <v>313</v>
      </c>
      <c r="J255" s="13">
        <f>INDEX(Foderstater!$X$63:$AI$100,MATCH(E255,Foderstater!$U$63:$U$100,0),MATCH(A255&amp;C255&amp;D255,Foderstater!$X$62:$AI$62,0))</f>
        <v>5.2287040112895822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416</v>
      </c>
      <c r="D256" t="s">
        <v>18</v>
      </c>
      <c r="E256" t="str">
        <f>Foderstater!U$78</f>
        <v>linseed</v>
      </c>
      <c r="I256" t="s">
        <v>313</v>
      </c>
      <c r="J256" s="13">
        <f>INDEX(Foderstater!$X$63:$AI$100,MATCH(E256,Foderstater!$U$63:$U$100,0),MATCH(A256&amp;C256&amp;D256,Foderstater!$X$62:$AI$62,0))</f>
        <v>3.8569994694707295E-3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416</v>
      </c>
      <c r="D257" t="s">
        <v>18</v>
      </c>
      <c r="E257" t="str">
        <f>Foderstater!U$79</f>
        <v>vegetable oils</v>
      </c>
      <c r="I257" t="s">
        <v>313</v>
      </c>
      <c r="J257" s="13">
        <f>INDEX(Foderstater!$X$63:$AI$100,MATCH(E257,Foderstater!$U$63:$U$100,0),MATCH(A257&amp;C257&amp;D257,Foderstater!$X$62:$AI$62,0))</f>
        <v>9.957591958992984E-2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416</v>
      </c>
      <c r="D258" t="s">
        <v>18</v>
      </c>
      <c r="E258" t="str">
        <f>Foderstater!U$80</f>
        <v>soybeans</v>
      </c>
      <c r="I258" t="s">
        <v>313</v>
      </c>
      <c r="J258" s="13">
        <f>INDEX(Foderstater!$X$63:$AI$100,MATCH(E258,Foderstater!$U$63:$U$100,0),MATCH(A258&amp;C258&amp;D258,Foderstater!$X$62:$AI$62,0))</f>
        <v>9.7308622107391843E-2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416</v>
      </c>
      <c r="D259" t="s">
        <v>18</v>
      </c>
      <c r="E259" t="str">
        <f>Foderstater!U$81</f>
        <v>soybean meal</v>
      </c>
      <c r="I259" t="s">
        <v>313</v>
      </c>
      <c r="J259" s="13">
        <f>INDEX(Foderstater!$X$63:$AI$100,MATCH(E259,Foderstater!$U$63:$U$100,0),MATCH(A259&amp;C259&amp;D259,Foderstater!$X$62:$AI$62,0))</f>
        <v>0.88887815787688529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416</v>
      </c>
      <c r="D260" t="s">
        <v>18</v>
      </c>
      <c r="E260" t="str">
        <f>Foderstater!U$82</f>
        <v>soybean protein concentrate</v>
      </c>
      <c r="I260" t="s">
        <v>313</v>
      </c>
      <c r="J260" s="13">
        <f>INDEX(Foderstater!$X$63:$AI$100,MATCH(E260,Foderstater!$U$63:$U$100,0),MATCH(A260&amp;C260&amp;D260,Foderstater!$X$62:$AI$62,0))</f>
        <v>0</v>
      </c>
      <c r="K260" s="159"/>
      <c r="L260" s="159"/>
    </row>
    <row r="261" spans="1:12" x14ac:dyDescent="0.25">
      <c r="A261" t="s">
        <v>2</v>
      </c>
      <c r="B261" t="s">
        <v>1</v>
      </c>
      <c r="C261" t="s">
        <v>416</v>
      </c>
      <c r="D261" t="s">
        <v>18</v>
      </c>
      <c r="E261" t="str">
        <f>Foderstater!U$83</f>
        <v>rapeseed meal</v>
      </c>
      <c r="I261" t="s">
        <v>313</v>
      </c>
      <c r="J261" s="13">
        <f>INDEX(Foderstater!$X$63:$AI$100,MATCH(E261,Foderstater!$U$63:$U$100,0),MATCH(A261&amp;C261&amp;D261,Foderstater!$X$62:$AI$62,0))</f>
        <v>6.8653684247374684</v>
      </c>
      <c r="K261" s="159"/>
      <c r="L261" s="159"/>
    </row>
    <row r="262" spans="1:12" x14ac:dyDescent="0.25">
      <c r="A262" t="s">
        <v>2</v>
      </c>
      <c r="B262" t="s">
        <v>1</v>
      </c>
      <c r="C262" t="s">
        <v>416</v>
      </c>
      <c r="D262" t="s">
        <v>18</v>
      </c>
      <c r="E262" t="str">
        <f>Foderstater!U$84</f>
        <v>sunflower seed meal</v>
      </c>
      <c r="I262" t="s">
        <v>313</v>
      </c>
      <c r="J262" s="13">
        <f>INDEX(Foderstater!$X$63:$AI$100,MATCH(E262,Foderstater!$U$63:$U$100,0),MATCH(A262&amp;C262&amp;D262,Foderstater!$X$62:$AI$62,0))</f>
        <v>9.4838419579113625E-2</v>
      </c>
    </row>
    <row r="263" spans="1:12" x14ac:dyDescent="0.25">
      <c r="A263" t="s">
        <v>2</v>
      </c>
      <c r="B263" t="s">
        <v>1</v>
      </c>
      <c r="C263" t="s">
        <v>416</v>
      </c>
      <c r="D263" t="s">
        <v>18</v>
      </c>
      <c r="E263" t="str">
        <f>Foderstater!U$85</f>
        <v>palm kernel expeller</v>
      </c>
      <c r="I263" t="s">
        <v>313</v>
      </c>
      <c r="J263" s="13">
        <f>INDEX(Foderstater!$X$63:$AI$100,MATCH(E263,Foderstater!$U$63:$U$100,0),MATCH(A263&amp;C263&amp;D263,Foderstater!$X$62:$AI$62,0))</f>
        <v>0.61625238331975196</v>
      </c>
    </row>
    <row r="264" spans="1:12" x14ac:dyDescent="0.25">
      <c r="A264" t="s">
        <v>2</v>
      </c>
      <c r="B264" t="s">
        <v>1</v>
      </c>
      <c r="C264" t="s">
        <v>416</v>
      </c>
      <c r="D264" t="s">
        <v>18</v>
      </c>
      <c r="E264" t="str">
        <f>Foderstater!U$86</f>
        <v>luzern meal</v>
      </c>
      <c r="I264" t="s">
        <v>313</v>
      </c>
      <c r="J264" s="13">
        <f>INDEX(Foderstater!$X$63:$AI$100,MATCH(E264,Foderstater!$U$63:$U$100,0),MATCH(A264&amp;C264&amp;D264,Foderstater!$X$62:$AI$62,0))</f>
        <v>0.18745720825786316</v>
      </c>
    </row>
    <row r="265" spans="1:12" x14ac:dyDescent="0.25">
      <c r="A265" t="s">
        <v>2</v>
      </c>
      <c r="B265" t="s">
        <v>1</v>
      </c>
      <c r="C265" t="s">
        <v>416</v>
      </c>
      <c r="D265" t="s">
        <v>18</v>
      </c>
      <c r="E265" t="str">
        <f>Foderstater!U$87</f>
        <v>wheat bran</v>
      </c>
      <c r="I265" t="s">
        <v>313</v>
      </c>
      <c r="J265" s="13">
        <f>INDEX(Foderstater!$X$63:$AI$100,MATCH(E265,Foderstater!$U$63:$U$100,0),MATCH(A265&amp;C265&amp;D265,Foderstater!$X$62:$AI$62,0))</f>
        <v>2.0423714635193808</v>
      </c>
    </row>
    <row r="266" spans="1:12" x14ac:dyDescent="0.25">
      <c r="A266" t="s">
        <v>2</v>
      </c>
      <c r="B266" t="s">
        <v>1</v>
      </c>
      <c r="C266" t="s">
        <v>416</v>
      </c>
      <c r="D266" t="s">
        <v>18</v>
      </c>
      <c r="E266" t="str">
        <f>Foderstater!U$88</f>
        <v>wheat bran, fine</v>
      </c>
      <c r="I266" t="s">
        <v>313</v>
      </c>
      <c r="J266" s="13">
        <f>INDEX(Foderstater!$X$63:$AI$100,MATCH(E266,Foderstater!$U$63:$U$100,0),MATCH(A266&amp;C266&amp;D266,Foderstater!$X$62:$AI$62,0))</f>
        <v>5.3539448640650723E-3</v>
      </c>
    </row>
    <row r="267" spans="1:12" x14ac:dyDescent="0.25">
      <c r="A267" t="s">
        <v>2</v>
      </c>
      <c r="B267" t="s">
        <v>1</v>
      </c>
      <c r="C267" t="s">
        <v>416</v>
      </c>
      <c r="D267" t="s">
        <v>18</v>
      </c>
      <c r="E267" t="str">
        <f>Foderstater!U$89</f>
        <v>oat hulls</v>
      </c>
      <c r="I267" t="s">
        <v>313</v>
      </c>
      <c r="J267" s="13">
        <f>INDEX(Foderstater!$X$63:$AI$100,MATCH(E267,Foderstater!$U$63:$U$100,0),MATCH(A267&amp;C267&amp;D267,Foderstater!$X$62:$AI$62,0))</f>
        <v>0.24598378379417407</v>
      </c>
    </row>
    <row r="268" spans="1:12" x14ac:dyDescent="0.25">
      <c r="A268" t="s">
        <v>2</v>
      </c>
      <c r="B268" t="s">
        <v>1</v>
      </c>
      <c r="C268" t="s">
        <v>416</v>
      </c>
      <c r="D268" t="s">
        <v>18</v>
      </c>
      <c r="E268" t="str">
        <f>Foderstater!U$90</f>
        <v>oat bran</v>
      </c>
      <c r="I268" t="s">
        <v>313</v>
      </c>
      <c r="J268" s="13">
        <f>INDEX(Foderstater!$X$63:$AI$100,MATCH(E268,Foderstater!$U$63:$U$100,0),MATCH(A268&amp;C268&amp;D268,Foderstater!$X$62:$AI$62,0))</f>
        <v>2.77620480868788E-2</v>
      </c>
    </row>
    <row r="269" spans="1:12" x14ac:dyDescent="0.25">
      <c r="A269" t="s">
        <v>2</v>
      </c>
      <c r="B269" t="s">
        <v>1</v>
      </c>
      <c r="C269" t="s">
        <v>416</v>
      </c>
      <c r="D269" t="s">
        <v>18</v>
      </c>
      <c r="E269" t="str">
        <f>Foderstater!U$91</f>
        <v>rye bran</v>
      </c>
      <c r="I269" t="s">
        <v>313</v>
      </c>
      <c r="J269" s="13">
        <f>INDEX(Foderstater!$X$63:$AI$100,MATCH(E269,Foderstater!$U$63:$U$100,0),MATCH(A269&amp;C269&amp;D269,Foderstater!$X$62:$AI$62,0))</f>
        <v>8.5618457243544915E-2</v>
      </c>
    </row>
    <row r="270" spans="1:12" x14ac:dyDescent="0.25">
      <c r="A270" t="s">
        <v>2</v>
      </c>
      <c r="B270" t="s">
        <v>1</v>
      </c>
      <c r="C270" t="s">
        <v>416</v>
      </c>
      <c r="D270" t="s">
        <v>18</v>
      </c>
      <c r="E270" t="str">
        <f>Foderstater!U$92</f>
        <v>wheat distillers grain, dry</v>
      </c>
      <c r="I270" t="s">
        <v>313</v>
      </c>
      <c r="J270" s="13">
        <f>INDEX(Foderstater!$X$63:$AI$100,MATCH(E270,Foderstater!$U$63:$U$100,0),MATCH(A270&amp;C270&amp;D270,Foderstater!$X$62:$AI$62,0))</f>
        <v>2.1953552977488813</v>
      </c>
    </row>
    <row r="271" spans="1:12" x14ac:dyDescent="0.25">
      <c r="A271" t="s">
        <v>2</v>
      </c>
      <c r="B271" t="s">
        <v>1</v>
      </c>
      <c r="C271" t="s">
        <v>416</v>
      </c>
      <c r="D271" t="s">
        <v>18</v>
      </c>
      <c r="E271" t="str">
        <f>Foderstater!U$93</f>
        <v>barley brewers grain</v>
      </c>
      <c r="I271" t="s">
        <v>313</v>
      </c>
      <c r="J271" s="13">
        <f>INDEX(Foderstater!$X$63:$AI$100,MATCH(E271,Foderstater!$U$63:$U$100,0),MATCH(A271&amp;C271&amp;D271,Foderstater!$X$62:$AI$62,0))</f>
        <v>0</v>
      </c>
    </row>
    <row r="272" spans="1:12" x14ac:dyDescent="0.25">
      <c r="A272" t="s">
        <v>2</v>
      </c>
      <c r="B272" t="s">
        <v>1</v>
      </c>
      <c r="C272" t="s">
        <v>416</v>
      </c>
      <c r="D272" t="s">
        <v>18</v>
      </c>
      <c r="E272" t="str">
        <f>Foderstater!U$94</f>
        <v>maize gluten meal</v>
      </c>
      <c r="I272" t="s">
        <v>313</v>
      </c>
      <c r="J272" s="13">
        <f>INDEX(Foderstater!$X$63:$AI$100,MATCH(E272,Foderstater!$U$63:$U$100,0),MATCH(A272&amp;C272&amp;D272,Foderstater!$X$62:$AI$62,0))</f>
        <v>6.6336745025503241E-2</v>
      </c>
    </row>
    <row r="273" spans="1:13" x14ac:dyDescent="0.25">
      <c r="A273" t="s">
        <v>2</v>
      </c>
      <c r="B273" t="s">
        <v>1</v>
      </c>
      <c r="C273" t="s">
        <v>416</v>
      </c>
      <c r="D273" t="s">
        <v>18</v>
      </c>
      <c r="E273" t="str">
        <f>Foderstater!U$95</f>
        <v>sugar beet molasses</v>
      </c>
      <c r="I273" t="s">
        <v>313</v>
      </c>
      <c r="J273" s="13">
        <f>INDEX(Foderstater!$X$63:$AI$100,MATCH(E273,Foderstater!$U$63:$U$100,0),MATCH(A273&amp;C273&amp;D273,Foderstater!$X$62:$AI$62,0))</f>
        <v>0.73563427238161927</v>
      </c>
    </row>
    <row r="274" spans="1:13" x14ac:dyDescent="0.25">
      <c r="A274" t="s">
        <v>2</v>
      </c>
      <c r="B274" t="s">
        <v>1</v>
      </c>
      <c r="C274" t="s">
        <v>416</v>
      </c>
      <c r="D274" t="s">
        <v>18</v>
      </c>
      <c r="E274" t="str">
        <f>Foderstater!U$96</f>
        <v>sugar beet pulp</v>
      </c>
      <c r="I274" t="s">
        <v>313</v>
      </c>
      <c r="J274" s="13">
        <f>INDEX(Foderstater!$X$63:$AI$100,MATCH(E274,Foderstater!$U$63:$U$100,0),MATCH(A274&amp;C274&amp;D274,Foderstater!$X$62:$AI$62,0))</f>
        <v>1.4194645139923689</v>
      </c>
    </row>
    <row r="275" spans="1:13" x14ac:dyDescent="0.25">
      <c r="A275" t="s">
        <v>2</v>
      </c>
      <c r="B275" t="s">
        <v>1</v>
      </c>
      <c r="C275" t="s">
        <v>416</v>
      </c>
      <c r="D275" t="s">
        <v>18</v>
      </c>
      <c r="E275" t="str">
        <f>Foderstater!U$97</f>
        <v>whey powder</v>
      </c>
      <c r="I275" t="s">
        <v>313</v>
      </c>
      <c r="J275" s="13">
        <f>INDEX(Foderstater!$X$63:$AI$100,MATCH(E275,Foderstater!$U$63:$U$100,0),MATCH(A275&amp;C275&amp;D275,Foderstater!$X$62:$AI$62,0))</f>
        <v>0</v>
      </c>
    </row>
    <row r="276" spans="1:13" x14ac:dyDescent="0.25">
      <c r="A276" t="s">
        <v>2</v>
      </c>
      <c r="B276" t="s">
        <v>1</v>
      </c>
      <c r="C276" t="s">
        <v>416</v>
      </c>
      <c r="D276" t="s">
        <v>18</v>
      </c>
      <c r="E276" t="str">
        <f>Foderstater!U$98</f>
        <v>potatoe protein</v>
      </c>
      <c r="I276" t="s">
        <v>313</v>
      </c>
      <c r="J276" s="13">
        <f>INDEX(Foderstater!$X$63:$AI$100,MATCH(E276,Foderstater!$U$63:$U$100,0),MATCH(A276&amp;C276&amp;D276,Foderstater!$X$62:$AI$62,0))</f>
        <v>6.4986728649744927E-3</v>
      </c>
    </row>
    <row r="277" spans="1:13" x14ac:dyDescent="0.25">
      <c r="A277" t="s">
        <v>2</v>
      </c>
      <c r="B277" t="s">
        <v>1</v>
      </c>
      <c r="C277" t="s">
        <v>416</v>
      </c>
      <c r="D277" t="s">
        <v>18</v>
      </c>
      <c r="E277" t="str">
        <f>Foderstater!U$99</f>
        <v>fish meal</v>
      </c>
      <c r="I277" t="s">
        <v>313</v>
      </c>
      <c r="J277" s="13">
        <f>INDEX(Foderstater!$X$63:$AI$100,MATCH(E277,Foderstater!$U$63:$U$100,0),MATCH(A277&amp;C277&amp;D277,Foderstater!$X$62:$AI$62,0))</f>
        <v>0</v>
      </c>
    </row>
    <row r="278" spans="1:13" x14ac:dyDescent="0.25">
      <c r="A278" t="s">
        <v>2</v>
      </c>
      <c r="B278" t="s">
        <v>1</v>
      </c>
      <c r="C278" t="s">
        <v>416</v>
      </c>
      <c r="D278" t="s">
        <v>18</v>
      </c>
      <c r="E278" t="str">
        <f>Foderstater!U$100</f>
        <v>minerals</v>
      </c>
      <c r="I278" t="s">
        <v>313</v>
      </c>
      <c r="J278" s="13">
        <f>INDEX(Foderstater!$X$63:$AI$100,MATCH(E278,Foderstater!$U$63:$U$100,0),MATCH(A278&amp;C278&amp;D278,Foderstater!$X$62:$AI$62,0))</f>
        <v>0.83716818155279793</v>
      </c>
    </row>
    <row r="280" spans="1:13" x14ac:dyDescent="0.25">
      <c r="A280" s="81" t="s">
        <v>80</v>
      </c>
      <c r="B280" s="48"/>
      <c r="C280" s="48"/>
      <c r="D280" s="49"/>
      <c r="E280" s="49"/>
      <c r="F280" s="49"/>
      <c r="G280" s="49"/>
      <c r="H280" s="49"/>
      <c r="I280" s="49"/>
      <c r="J280" s="162"/>
      <c r="K280" s="49"/>
      <c r="L280" s="49"/>
      <c r="M280" s="49"/>
    </row>
    <row r="281" spans="1:13" x14ac:dyDescent="0.25">
      <c r="A281" s="159" t="s">
        <v>2</v>
      </c>
      <c r="B281" s="159"/>
      <c r="C281" s="159"/>
      <c r="D281" s="159" t="s">
        <v>20</v>
      </c>
      <c r="I281" s="159" t="s">
        <v>313</v>
      </c>
      <c r="J281" s="159">
        <v>0</v>
      </c>
      <c r="K281" s="159"/>
      <c r="L281" s="159" t="s">
        <v>410</v>
      </c>
    </row>
    <row r="282" spans="1:13" x14ac:dyDescent="0.25">
      <c r="A282" t="s">
        <v>2</v>
      </c>
      <c r="D282" t="s">
        <v>20</v>
      </c>
      <c r="E282" t="str">
        <f>Foderstater!U$63</f>
        <v>ley silage, 1st cut</v>
      </c>
      <c r="I282" t="s">
        <v>313</v>
      </c>
      <c r="J282" s="13">
        <f>INDEX(Foderstater!$X$63:$AI$100,MATCH(E282,Foderstater!$U$63:$U$100,0),MATCH(A282&amp;C282&amp;D282,Foderstater!$X$62:$AI$62,0))</f>
        <v>69.98809662916166</v>
      </c>
      <c r="K282" s="159"/>
      <c r="L282" s="159"/>
    </row>
    <row r="283" spans="1:13" x14ac:dyDescent="0.25">
      <c r="A283" t="s">
        <v>2</v>
      </c>
      <c r="D283" t="s">
        <v>20</v>
      </c>
      <c r="E283" t="str">
        <f>Foderstater!U$64</f>
        <v>ley silage, regrowth</v>
      </c>
      <c r="I283" t="s">
        <v>313</v>
      </c>
      <c r="J283" s="13">
        <f>INDEX(Foderstater!$X$63:$AI$100,MATCH(E283,Foderstater!$U$63:$U$100,0),MATCH(A283&amp;C283&amp;D283,Foderstater!$X$62:$AI$62,0))</f>
        <v>0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Foderstater!U$65</f>
        <v>other silage</v>
      </c>
      <c r="I284" t="s">
        <v>313</v>
      </c>
      <c r="J284" s="13">
        <f>INDEX(Foderstater!$X$63:$AI$100,MATCH(E284,Foderstater!$U$63:$U$100,0),MATCH(A284&amp;C284&amp;D284,Foderstater!$X$62:$AI$62,0))</f>
        <v>0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Foderstater!U$66</f>
        <v>maize silage</v>
      </c>
      <c r="I285" t="s">
        <v>313</v>
      </c>
      <c r="J285" s="13">
        <f>INDEX(Foderstater!$X$63:$AI$100,MATCH(E285,Foderstater!$U$63:$U$100,0),MATCH(A285&amp;C285&amp;D285,Foderstater!$X$62:$AI$62,0))</f>
        <v>0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Foderstater!U$67</f>
        <v>straw</v>
      </c>
      <c r="I286" t="s">
        <v>313</v>
      </c>
      <c r="J286" s="13">
        <f>INDEX(Foderstater!$X$63:$AI$100,MATCH(E286,Foderstater!$U$63:$U$100,0),MATCH(A286&amp;C286&amp;D286,Foderstater!$X$62:$AI$62,0))</f>
        <v>0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Foderstater!U$68</f>
        <v>grazing</v>
      </c>
      <c r="I287" t="s">
        <v>313</v>
      </c>
      <c r="J287" s="13">
        <f>INDEX(Foderstater!$X$63:$AI$100,MATCH(E287,Foderstater!$U$63:$U$100,0),MATCH(A287&amp;C287&amp;D287,Foderstater!$X$62:$AI$62,0))</f>
        <v>13.62395305250616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Foderstater!U$69</f>
        <v>wheat</v>
      </c>
      <c r="I288" t="s">
        <v>313</v>
      </c>
      <c r="J288" s="13">
        <f>INDEX(Foderstater!$X$63:$AI$100,MATCH(E288,Foderstater!$U$63:$U$100,0),MATCH(A288&amp;C288&amp;D288,Foderstater!$X$62:$AI$62,0))</f>
        <v>3.3926452557375897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Foderstater!U$70</f>
        <v>barley</v>
      </c>
      <c r="I289" t="s">
        <v>313</v>
      </c>
      <c r="J289" s="13">
        <f>INDEX(Foderstater!$X$63:$AI$100,MATCH(E289,Foderstater!$U$63:$U$100,0),MATCH(A289&amp;C289&amp;D289,Foderstater!$X$62:$AI$62,0))</f>
        <v>5.969609310362638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Foderstater!U$71</f>
        <v>oats</v>
      </c>
      <c r="I290" t="s">
        <v>313</v>
      </c>
      <c r="J290" s="13">
        <f>INDEX(Foderstater!$X$63:$AI$100,MATCH(E290,Foderstater!$U$63:$U$100,0),MATCH(A290&amp;C290&amp;D290,Foderstater!$X$62:$AI$62,0))</f>
        <v>1.380886004165597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Foderstater!U$72</f>
        <v>triticale</v>
      </c>
      <c r="I291" t="s">
        <v>313</v>
      </c>
      <c r="J291" s="13">
        <f>INDEX(Foderstater!$X$63:$AI$100,MATCH(E291,Foderstater!$U$63:$U$100,0),MATCH(A291&amp;C291&amp;D291,Foderstater!$X$62:$AI$62,0))</f>
        <v>2.0121854590151322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Foderstater!U$73</f>
        <v>rye</v>
      </c>
      <c r="I292" t="s">
        <v>313</v>
      </c>
      <c r="J292" s="13">
        <f>INDEX(Foderstater!$X$63:$AI$100,MATCH(E292,Foderstater!$U$63:$U$100,0),MATCH(A292&amp;C292&amp;D292,Foderstater!$X$62:$AI$62,0))</f>
        <v>8.4111477233144716E-3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Foderstater!U$74</f>
        <v>maize</v>
      </c>
      <c r="I293" t="s">
        <v>313</v>
      </c>
      <c r="J293" s="13">
        <f>INDEX(Foderstater!$X$63:$AI$100,MATCH(E293,Foderstater!$U$63:$U$100,0),MATCH(A293&amp;C293&amp;D293,Foderstater!$X$62:$AI$62,0))</f>
        <v>3.654322610609205E-2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Foderstater!U$75</f>
        <v>peas</v>
      </c>
      <c r="I294" t="s">
        <v>313</v>
      </c>
      <c r="J294" s="13">
        <f>INDEX(Foderstater!$X$63:$AI$100,MATCH(E294,Foderstater!$U$63:$U$100,0),MATCH(A294&amp;C294&amp;D294,Foderstater!$X$62:$AI$62,0))</f>
        <v>0.83995755602664501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Foderstater!U$76</f>
        <v>broad beans</v>
      </c>
      <c r="I295" t="s">
        <v>313</v>
      </c>
      <c r="J295" s="13">
        <f>INDEX(Foderstater!$X$63:$AI$100,MATCH(E295,Foderstater!$U$63:$U$100,0),MATCH(A295&amp;C295&amp;D295,Foderstater!$X$62:$AI$62,0))</f>
        <v>0.81150854085068547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Foderstater!U$77</f>
        <v>rapeseed</v>
      </c>
      <c r="I296" t="s">
        <v>313</v>
      </c>
      <c r="J296" s="13">
        <f>INDEX(Foderstater!$X$63:$AI$100,MATCH(E296,Foderstater!$U$63:$U$100,0),MATCH(A296&amp;C296&amp;D296,Foderstater!$X$62:$AI$62,0))</f>
        <v>0.3106747346633848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Foderstater!U$78</f>
        <v>linseed</v>
      </c>
      <c r="I297" t="s">
        <v>313</v>
      </c>
      <c r="J297" s="13">
        <f>INDEX(Foderstater!$X$63:$AI$100,MATCH(E297,Foderstater!$U$63:$U$100,0),MATCH(A297&amp;C297&amp;D297,Foderstater!$X$62:$AI$62,0))</f>
        <v>2.2917194857222345E-4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Foderstater!U$79</f>
        <v>vegetable oils</v>
      </c>
      <c r="I298" t="s">
        <v>313</v>
      </c>
      <c r="J298" s="13">
        <f>INDEX(Foderstater!$X$63:$AI$100,MATCH(E298,Foderstater!$U$63:$U$100,0),MATCH(A298&amp;C298&amp;D298,Foderstater!$X$62:$AI$62,0))</f>
        <v>5.9165181908688962E-3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Foderstater!U$80</f>
        <v>soybeans</v>
      </c>
      <c r="I299" t="s">
        <v>313</v>
      </c>
      <c r="J299" s="13">
        <f>INDEX(Foderstater!$X$63:$AI$100,MATCH(E299,Foderstater!$U$63:$U$100,0),MATCH(A299&amp;C299&amp;D299,Foderstater!$X$62:$AI$62,0))</f>
        <v>5.7818018171232116E-3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Foderstater!U$81</f>
        <v>soybean meal</v>
      </c>
      <c r="I300" t="s">
        <v>313</v>
      </c>
      <c r="J300" s="13">
        <f>INDEX(Foderstater!$X$63:$AI$100,MATCH(E300,Foderstater!$U$63:$U$100,0),MATCH(A300&amp;C300&amp;D300,Foderstater!$X$62:$AI$62,0))</f>
        <v>5.2814614338509994E-2</v>
      </c>
      <c r="K300" s="159"/>
      <c r="L300" s="159"/>
    </row>
    <row r="301" spans="1:12" x14ac:dyDescent="0.25">
      <c r="A301" t="s">
        <v>2</v>
      </c>
      <c r="D301" t="s">
        <v>20</v>
      </c>
      <c r="E301" t="str">
        <f>Foderstater!U$82</f>
        <v>soybean protein concentrate</v>
      </c>
      <c r="I301" t="s">
        <v>313</v>
      </c>
      <c r="J301" s="13">
        <f>INDEX(Foderstater!$X$63:$AI$100,MATCH(E301,Foderstater!$U$63:$U$100,0),MATCH(A301&amp;C301&amp;D301,Foderstater!$X$62:$AI$62,0))</f>
        <v>0</v>
      </c>
      <c r="K301" s="159"/>
      <c r="L301" s="159"/>
    </row>
    <row r="302" spans="1:12" x14ac:dyDescent="0.25">
      <c r="A302" t="s">
        <v>2</v>
      </c>
      <c r="D302" t="s">
        <v>20</v>
      </c>
      <c r="E302" t="str">
        <f>Foderstater!U$83</f>
        <v>rapeseed meal</v>
      </c>
      <c r="I302" t="s">
        <v>313</v>
      </c>
      <c r="J302" s="13">
        <f>INDEX(Foderstater!$X$63:$AI$100,MATCH(E302,Foderstater!$U$63:$U$100,0),MATCH(A302&amp;C302&amp;D302,Foderstater!$X$62:$AI$62,0))</f>
        <v>0.40792068342679916</v>
      </c>
      <c r="K302" s="159"/>
      <c r="L302" s="159"/>
    </row>
    <row r="303" spans="1:12" x14ac:dyDescent="0.25">
      <c r="A303" t="s">
        <v>2</v>
      </c>
      <c r="D303" t="s">
        <v>20</v>
      </c>
      <c r="E303" t="str">
        <f>Foderstater!U$84</f>
        <v>sunflower seed meal</v>
      </c>
      <c r="I303" t="s">
        <v>313</v>
      </c>
      <c r="J303" s="13">
        <f>INDEX(Foderstater!$X$63:$AI$100,MATCH(E303,Foderstater!$U$63:$U$100,0),MATCH(A303&amp;C303&amp;D303,Foderstater!$X$62:$AI$62,0))</f>
        <v>5.6350294021269417E-3</v>
      </c>
    </row>
    <row r="304" spans="1:12" x14ac:dyDescent="0.25">
      <c r="A304" t="s">
        <v>2</v>
      </c>
      <c r="D304" t="s">
        <v>20</v>
      </c>
      <c r="E304" t="str">
        <f>Foderstater!U$85</f>
        <v>palm kernel expeller</v>
      </c>
      <c r="I304" t="s">
        <v>313</v>
      </c>
      <c r="J304" s="13">
        <f>INDEX(Foderstater!$X$63:$AI$100,MATCH(E304,Foderstater!$U$63:$U$100,0),MATCH(A304&amp;C304&amp;D304,Foderstater!$X$62:$AI$62,0))</f>
        <v>3.6615965497408809E-2</v>
      </c>
    </row>
    <row r="305" spans="1:10" x14ac:dyDescent="0.25">
      <c r="A305" t="s">
        <v>2</v>
      </c>
      <c r="D305" t="s">
        <v>20</v>
      </c>
      <c r="E305" t="str">
        <f>Foderstater!U$86</f>
        <v>luzern meal</v>
      </c>
      <c r="I305" t="s">
        <v>313</v>
      </c>
      <c r="J305" s="13">
        <f>INDEX(Foderstater!$X$63:$AI$100,MATCH(E305,Foderstater!$U$63:$U$100,0),MATCH(A305&amp;C305&amp;D305,Foderstater!$X$62:$AI$62,0))</f>
        <v>1.1138174643373414E-2</v>
      </c>
    </row>
    <row r="306" spans="1:10" x14ac:dyDescent="0.25">
      <c r="A306" t="s">
        <v>2</v>
      </c>
      <c r="D306" t="s">
        <v>20</v>
      </c>
      <c r="E306" t="str">
        <f>Foderstater!U$87</f>
        <v>wheat bran</v>
      </c>
      <c r="I306" t="s">
        <v>313</v>
      </c>
      <c r="J306" s="13">
        <f>INDEX(Foderstater!$X$63:$AI$100,MATCH(E306,Foderstater!$U$63:$U$100,0),MATCH(A306&amp;C306&amp;D306,Foderstater!$X$62:$AI$62,0))</f>
        <v>0.12135190883686281</v>
      </c>
    </row>
    <row r="307" spans="1:10" x14ac:dyDescent="0.25">
      <c r="A307" t="s">
        <v>2</v>
      </c>
      <c r="D307" t="s">
        <v>20</v>
      </c>
      <c r="E307" t="str">
        <f>Foderstater!U$88</f>
        <v>wheat bran, fine</v>
      </c>
      <c r="I307" t="s">
        <v>313</v>
      </c>
      <c r="J307" s="13">
        <f>INDEX(Foderstater!$X$63:$AI$100,MATCH(E307,Foderstater!$U$63:$U$100,0),MATCH(A307&amp;C307&amp;D307,Foderstater!$X$62:$AI$62,0))</f>
        <v>3.1811619025563673E-4</v>
      </c>
    </row>
    <row r="308" spans="1:10" x14ac:dyDescent="0.25">
      <c r="A308" t="s">
        <v>2</v>
      </c>
      <c r="D308" t="s">
        <v>20</v>
      </c>
      <c r="E308" t="str">
        <f>Foderstater!U$89</f>
        <v>oat hulls</v>
      </c>
      <c r="I308" t="s">
        <v>313</v>
      </c>
      <c r="J308" s="13">
        <f>INDEX(Foderstater!$X$63:$AI$100,MATCH(E308,Foderstater!$U$63:$U$100,0),MATCH(A308&amp;C308&amp;D308,Foderstater!$X$62:$AI$62,0))</f>
        <v>1.4615657454838853E-2</v>
      </c>
    </row>
    <row r="309" spans="1:10" x14ac:dyDescent="0.25">
      <c r="A309" t="s">
        <v>2</v>
      </c>
      <c r="D309" t="s">
        <v>20</v>
      </c>
      <c r="E309" t="str">
        <f>Foderstater!U$90</f>
        <v>oat bran</v>
      </c>
      <c r="I309" t="s">
        <v>313</v>
      </c>
      <c r="J309" s="13">
        <f>INDEX(Foderstater!$X$63:$AI$100,MATCH(E309,Foderstater!$U$63:$U$100,0),MATCH(A309&amp;C309&amp;D309,Foderstater!$X$62:$AI$62,0))</f>
        <v>1.6495420097371271E-3</v>
      </c>
    </row>
    <row r="310" spans="1:10" x14ac:dyDescent="0.25">
      <c r="A310" t="s">
        <v>2</v>
      </c>
      <c r="D310" t="s">
        <v>20</v>
      </c>
      <c r="E310" t="str">
        <f>Foderstater!U$91</f>
        <v>rye bran</v>
      </c>
      <c r="I310" t="s">
        <v>313</v>
      </c>
      <c r="J310" s="13">
        <f>INDEX(Foderstater!$X$63:$AI$100,MATCH(E310,Foderstater!$U$63:$U$100,0),MATCH(A310&amp;C310&amp;D310,Foderstater!$X$62:$AI$62,0))</f>
        <v>5.0872054392434975E-3</v>
      </c>
    </row>
    <row r="311" spans="1:10" x14ac:dyDescent="0.25">
      <c r="A311" t="s">
        <v>2</v>
      </c>
      <c r="D311" t="s">
        <v>20</v>
      </c>
      <c r="E311" t="str">
        <f>Foderstater!U$92</f>
        <v>wheat distillers grain, dry</v>
      </c>
      <c r="I311" t="s">
        <v>313</v>
      </c>
      <c r="J311" s="13">
        <f>INDEX(Foderstater!$X$63:$AI$100,MATCH(E311,Foderstater!$U$63:$U$100,0),MATCH(A311&amp;C311&amp;D311,Foderstater!$X$62:$AI$62,0))</f>
        <v>0.13044177355370595</v>
      </c>
    </row>
    <row r="312" spans="1:10" x14ac:dyDescent="0.25">
      <c r="A312" t="s">
        <v>2</v>
      </c>
      <c r="D312" t="s">
        <v>20</v>
      </c>
      <c r="E312" t="str">
        <f>Foderstater!U$93</f>
        <v>barley brewers grain</v>
      </c>
      <c r="I312" t="s">
        <v>313</v>
      </c>
      <c r="J312" s="13">
        <f>INDEX(Foderstater!$X$63:$AI$100,MATCH(E312,Foderstater!$U$63:$U$100,0),MATCH(A312&amp;C312&amp;D312,Foderstater!$X$62:$AI$62,0))</f>
        <v>0</v>
      </c>
    </row>
    <row r="313" spans="1:10" x14ac:dyDescent="0.25">
      <c r="A313" t="s">
        <v>2</v>
      </c>
      <c r="D313" t="s">
        <v>20</v>
      </c>
      <c r="E313" t="str">
        <f>Foderstater!U$94</f>
        <v>maize gluten meal</v>
      </c>
      <c r="I313" t="s">
        <v>313</v>
      </c>
      <c r="J313" s="13">
        <f>INDEX(Foderstater!$X$63:$AI$100,MATCH(E313,Foderstater!$U$63:$U$100,0),MATCH(A313&amp;C313&amp;D313,Foderstater!$X$62:$AI$62,0))</f>
        <v>3.9415408894312009E-3</v>
      </c>
    </row>
    <row r="314" spans="1:10" x14ac:dyDescent="0.25">
      <c r="A314" t="s">
        <v>2</v>
      </c>
      <c r="D314" t="s">
        <v>20</v>
      </c>
      <c r="E314" t="str">
        <f>Foderstater!U$95</f>
        <v>sugar beet molasses</v>
      </c>
      <c r="I314" t="s">
        <v>313</v>
      </c>
      <c r="J314" s="13">
        <f>INDEX(Foderstater!$X$63:$AI$100,MATCH(E314,Foderstater!$U$63:$U$100,0),MATCH(A314&amp;C314&amp;D314,Foderstater!$X$62:$AI$62,0))</f>
        <v>4.3709298114406915E-2</v>
      </c>
    </row>
    <row r="315" spans="1:10" x14ac:dyDescent="0.25">
      <c r="A315" t="s">
        <v>2</v>
      </c>
      <c r="D315" t="s">
        <v>20</v>
      </c>
      <c r="E315" t="str">
        <f>Foderstater!U$96</f>
        <v>sugar beet pulp</v>
      </c>
      <c r="I315" t="s">
        <v>313</v>
      </c>
      <c r="J315" s="13">
        <f>INDEX(Foderstater!$X$63:$AI$100,MATCH(E315,Foderstater!$U$63:$U$100,0),MATCH(A315&amp;C315&amp;D315,Foderstater!$X$62:$AI$62,0))</f>
        <v>8.4340547924782114E-2</v>
      </c>
    </row>
    <row r="316" spans="1:10" x14ac:dyDescent="0.25">
      <c r="A316" t="s">
        <v>2</v>
      </c>
      <c r="D316" t="s">
        <v>20</v>
      </c>
      <c r="E316" t="str">
        <f>Foderstater!U$97</f>
        <v>whey powder</v>
      </c>
      <c r="I316" t="s">
        <v>313</v>
      </c>
      <c r="J316" s="13">
        <f>INDEX(Foderstater!$X$63:$AI$100,MATCH(E316,Foderstater!$U$63:$U$100,0),MATCH(A316&amp;C316&amp;D316,Foderstater!$X$62:$AI$62,0))</f>
        <v>0</v>
      </c>
    </row>
    <row r="317" spans="1:10" x14ac:dyDescent="0.25">
      <c r="A317" t="s">
        <v>2</v>
      </c>
      <c r="D317" t="s">
        <v>20</v>
      </c>
      <c r="E317" t="str">
        <f>Foderstater!U$98</f>
        <v>potatoe protein</v>
      </c>
      <c r="I317" t="s">
        <v>313</v>
      </c>
      <c r="J317" s="13">
        <f>INDEX(Foderstater!$X$63:$AI$100,MATCH(E317,Foderstater!$U$63:$U$100,0),MATCH(A317&amp;C317&amp;D317,Foderstater!$X$62:$AI$62,0))</f>
        <v>3.8613267525390842E-4</v>
      </c>
    </row>
    <row r="318" spans="1:10" x14ac:dyDescent="0.25">
      <c r="A318" t="s">
        <v>2</v>
      </c>
      <c r="D318" t="s">
        <v>20</v>
      </c>
      <c r="E318" t="str">
        <f>Foderstater!U$99</f>
        <v>fish meal</v>
      </c>
      <c r="I318" t="s">
        <v>313</v>
      </c>
      <c r="J318" s="13">
        <f>INDEX(Foderstater!$X$63:$AI$100,MATCH(E318,Foderstater!$U$63:$U$100,0),MATCH(A318&amp;C318&amp;D318,Foderstater!$X$62:$AI$62,0))</f>
        <v>0</v>
      </c>
    </row>
    <row r="319" spans="1:10" x14ac:dyDescent="0.25">
      <c r="A319" t="s">
        <v>2</v>
      </c>
      <c r="D319" t="s">
        <v>20</v>
      </c>
      <c r="E319" t="str">
        <f>Foderstater!U$100</f>
        <v>minerals</v>
      </c>
      <c r="I319" t="s">
        <v>313</v>
      </c>
      <c r="J319" s="13">
        <f>INDEX(Foderstater!$X$63:$AI$100,MATCH(E319,Foderstater!$U$63:$U$100,0),MATCH(A319&amp;C319&amp;D319,Foderstater!$X$62:$AI$62,0))</f>
        <v>0.69363540132779178</v>
      </c>
    </row>
    <row r="321" spans="1:13" x14ac:dyDescent="0.25">
      <c r="A321" s="81" t="s">
        <v>565</v>
      </c>
      <c r="B321" s="48"/>
      <c r="C321" s="48"/>
      <c r="D321" s="49"/>
      <c r="E321" s="49"/>
      <c r="F321" s="49"/>
      <c r="G321" s="49"/>
      <c r="H321" s="49"/>
      <c r="I321" s="49"/>
      <c r="J321" s="162"/>
      <c r="K321" s="49"/>
      <c r="L321" s="49"/>
      <c r="M321" s="49"/>
    </row>
    <row r="322" spans="1:13" x14ac:dyDescent="0.25">
      <c r="A322" s="159" t="s">
        <v>2</v>
      </c>
      <c r="B322" s="159"/>
      <c r="C322" s="159"/>
      <c r="D322" s="159"/>
      <c r="I322" s="159" t="s">
        <v>313</v>
      </c>
      <c r="J322" s="256">
        <v>0</v>
      </c>
      <c r="K322" s="159"/>
      <c r="L322" s="159" t="s">
        <v>410</v>
      </c>
    </row>
    <row r="323" spans="1:13" x14ac:dyDescent="0.25">
      <c r="A323" t="s">
        <v>2</v>
      </c>
      <c r="E323" t="str">
        <f>Foderstater!U$63</f>
        <v>ley silage, 1st cut</v>
      </c>
      <c r="I323" t="s">
        <v>313</v>
      </c>
      <c r="J323" s="13">
        <f>INDEX(Foderstater!$X$63:$AI$100,MATCH(E323,Foderstater!$U$63:$U$100,0),MATCH(A323&amp;C323&amp;D323,Foderstater!$X$62:$AI$62,0))</f>
        <v>0</v>
      </c>
      <c r="K323" s="159"/>
      <c r="L323" s="159"/>
    </row>
    <row r="324" spans="1:13" x14ac:dyDescent="0.25">
      <c r="A324" t="s">
        <v>2</v>
      </c>
      <c r="E324" t="str">
        <f>Foderstater!U$64</f>
        <v>ley silage, regrowth</v>
      </c>
      <c r="I324" t="s">
        <v>313</v>
      </c>
      <c r="J324" s="13">
        <f>INDEX(Foderstater!$X$63:$AI$100,MATCH(E324,Foderstater!$U$63:$U$100,0),MATCH(A324&amp;C324&amp;D324,Foderstater!$X$62:$AI$62,0))</f>
        <v>55.029062371648976</v>
      </c>
      <c r="K324" s="159"/>
      <c r="L324" s="159"/>
    </row>
    <row r="325" spans="1:13" x14ac:dyDescent="0.25">
      <c r="A325" t="s">
        <v>2</v>
      </c>
      <c r="E325" t="str">
        <f>Foderstater!U$65</f>
        <v>other silage</v>
      </c>
      <c r="I325" t="s">
        <v>313</v>
      </c>
      <c r="J325" s="13">
        <f>INDEX(Foderstater!$X$63:$AI$100,MATCH(E325,Foderstater!$U$63:$U$100,0),MATCH(A325&amp;C325&amp;D325,Foderstater!$X$62:$AI$62,0))</f>
        <v>0</v>
      </c>
      <c r="K325" s="159"/>
      <c r="L325" s="159"/>
    </row>
    <row r="326" spans="1:13" x14ac:dyDescent="0.25">
      <c r="A326" t="s">
        <v>2</v>
      </c>
      <c r="E326" t="str">
        <f>Foderstater!U$66</f>
        <v>maize silage</v>
      </c>
      <c r="I326" t="s">
        <v>313</v>
      </c>
      <c r="J326" s="13">
        <f>INDEX(Foderstater!$X$63:$AI$100,MATCH(E326,Foderstater!$U$63:$U$100,0),MATCH(A326&amp;C326&amp;D326,Foderstater!$X$62:$AI$62,0))</f>
        <v>0</v>
      </c>
      <c r="K326" s="159"/>
      <c r="L326" s="159"/>
    </row>
    <row r="327" spans="1:13" x14ac:dyDescent="0.25">
      <c r="A327" t="s">
        <v>2</v>
      </c>
      <c r="E327" t="str">
        <f>Foderstater!U$67</f>
        <v>straw</v>
      </c>
      <c r="I327" t="s">
        <v>313</v>
      </c>
      <c r="J327" s="13">
        <f>INDEX(Foderstater!$X$63:$AI$100,MATCH(E327,Foderstater!$U$63:$U$100,0),MATCH(A327&amp;C327&amp;D327,Foderstater!$X$62:$AI$62,0))</f>
        <v>0</v>
      </c>
      <c r="K327" s="159"/>
      <c r="L327" s="159"/>
    </row>
    <row r="328" spans="1:13" x14ac:dyDescent="0.25">
      <c r="A328" t="s">
        <v>2</v>
      </c>
      <c r="E328" t="str">
        <f>Foderstater!U$68</f>
        <v>grazing</v>
      </c>
      <c r="I328" t="s">
        <v>313</v>
      </c>
      <c r="J328" s="13">
        <f>INDEX(Foderstater!$X$63:$AI$100,MATCH(E328,Foderstater!$U$63:$U$100,0),MATCH(A328&amp;C328&amp;D328,Foderstater!$X$62:$AI$62,0))</f>
        <v>38.614788214420173</v>
      </c>
      <c r="K328" s="159"/>
      <c r="L328" s="159"/>
    </row>
    <row r="329" spans="1:13" x14ac:dyDescent="0.25">
      <c r="A329" t="s">
        <v>2</v>
      </c>
      <c r="E329" t="str">
        <f>Foderstater!U$69</f>
        <v>wheat</v>
      </c>
      <c r="I329" t="s">
        <v>313</v>
      </c>
      <c r="J329" s="13">
        <f>INDEX(Foderstater!$X$63:$AI$100,MATCH(E329,Foderstater!$U$63:$U$100,0),MATCH(A329&amp;C329&amp;D329,Foderstater!$X$62:$AI$62,0))</f>
        <v>1.3702995315856561</v>
      </c>
      <c r="K329" s="159"/>
      <c r="L329" s="159"/>
    </row>
    <row r="330" spans="1:13" x14ac:dyDescent="0.25">
      <c r="A330" t="s">
        <v>2</v>
      </c>
      <c r="E330" t="str">
        <f>Foderstater!U$70</f>
        <v>barley</v>
      </c>
      <c r="I330" t="s">
        <v>313</v>
      </c>
      <c r="J330" s="13">
        <f>INDEX(Foderstater!$X$63:$AI$100,MATCH(E330,Foderstater!$U$63:$U$100,0),MATCH(A330&amp;C330&amp;D330,Foderstater!$X$62:$AI$62,0))</f>
        <v>2.1464108702309166</v>
      </c>
      <c r="K330" s="159"/>
      <c r="L330" s="159"/>
    </row>
    <row r="331" spans="1:13" x14ac:dyDescent="0.25">
      <c r="A331" t="s">
        <v>2</v>
      </c>
      <c r="E331" t="str">
        <f>Foderstater!U$71</f>
        <v>oats</v>
      </c>
      <c r="I331" t="s">
        <v>313</v>
      </c>
      <c r="J331" s="13">
        <f>INDEX(Foderstater!$X$63:$AI$100,MATCH(E331,Foderstater!$U$63:$U$100,0),MATCH(A331&amp;C331&amp;D331,Foderstater!$X$62:$AI$62,0))</f>
        <v>0.54223737074929057</v>
      </c>
      <c r="K331" s="159"/>
      <c r="L331" s="159"/>
    </row>
    <row r="332" spans="1:13" x14ac:dyDescent="0.25">
      <c r="A332" t="s">
        <v>2</v>
      </c>
      <c r="E332" t="str">
        <f>Foderstater!U$72</f>
        <v>triticale</v>
      </c>
      <c r="I332" t="s">
        <v>313</v>
      </c>
      <c r="J332" s="13">
        <f>INDEX(Foderstater!$X$63:$AI$100,MATCH(E332,Foderstater!$U$63:$U$100,0),MATCH(A332&amp;C332&amp;D332,Foderstater!$X$62:$AI$62,0))</f>
        <v>0.63111634374194048</v>
      </c>
      <c r="K332" s="159"/>
      <c r="L332" s="159"/>
    </row>
    <row r="333" spans="1:13" x14ac:dyDescent="0.25">
      <c r="A333" t="s">
        <v>2</v>
      </c>
      <c r="E333" t="str">
        <f>Foderstater!U$73</f>
        <v>rye</v>
      </c>
      <c r="I333" t="s">
        <v>313</v>
      </c>
      <c r="J333" s="13">
        <f>INDEX(Foderstater!$X$63:$AI$100,MATCH(E333,Foderstater!$U$63:$U$100,0),MATCH(A333&amp;C333&amp;D333,Foderstater!$X$62:$AI$62,0))</f>
        <v>5.6371722021104978E-3</v>
      </c>
      <c r="K333" s="159"/>
      <c r="L333" s="159"/>
    </row>
    <row r="334" spans="1:13" x14ac:dyDescent="0.25">
      <c r="A334" t="s">
        <v>2</v>
      </c>
      <c r="E334" t="str">
        <f>Foderstater!U$74</f>
        <v>maize</v>
      </c>
      <c r="I334" t="s">
        <v>313</v>
      </c>
      <c r="J334" s="13">
        <f>INDEX(Foderstater!$X$63:$AI$100,MATCH(E334,Foderstater!$U$63:$U$100,0),MATCH(A334&amp;C334&amp;D334,Foderstater!$X$62:$AI$62,0))</f>
        <v>2.4491361364359067E-2</v>
      </c>
      <c r="K334" s="159"/>
      <c r="L334" s="159"/>
    </row>
    <row r="335" spans="1:13" x14ac:dyDescent="0.25">
      <c r="A335" t="s">
        <v>2</v>
      </c>
      <c r="E335" t="str">
        <f>Foderstater!U$75</f>
        <v>peas</v>
      </c>
      <c r="I335" t="s">
        <v>313</v>
      </c>
      <c r="J335" s="13">
        <f>INDEX(Foderstater!$X$63:$AI$100,MATCH(E335,Foderstater!$U$63:$U$100,0),MATCH(A335&amp;C335&amp;D335,Foderstater!$X$62:$AI$62,0))</f>
        <v>3.3129545230803178E-2</v>
      </c>
      <c r="K335" s="159"/>
      <c r="L335" s="159"/>
    </row>
    <row r="336" spans="1:13" x14ac:dyDescent="0.25">
      <c r="A336" t="s">
        <v>2</v>
      </c>
      <c r="E336" t="str">
        <f>Foderstater!U$76</f>
        <v>broad beans</v>
      </c>
      <c r="I336" t="s">
        <v>313</v>
      </c>
      <c r="J336" s="13">
        <f>INDEX(Foderstater!$X$63:$AI$100,MATCH(E336,Foderstater!$U$63:$U$100,0),MATCH(A336&amp;C336&amp;D336,Foderstater!$X$62:$AI$62,0))</f>
        <v>4.0966798466627027E-2</v>
      </c>
      <c r="K336" s="159"/>
      <c r="L336" s="159"/>
    </row>
    <row r="337" spans="1:12" x14ac:dyDescent="0.25">
      <c r="A337" t="s">
        <v>2</v>
      </c>
      <c r="E337" t="str">
        <f>Foderstater!U$77</f>
        <v>rapeseed</v>
      </c>
      <c r="I337" t="s">
        <v>313</v>
      </c>
      <c r="J337" s="13">
        <f>INDEX(Foderstater!$X$63:$AI$100,MATCH(E337,Foderstater!$U$63:$U$100,0),MATCH(A337&amp;C337&amp;D337,Foderstater!$X$62:$AI$62,0))</f>
        <v>0.20821498275295594</v>
      </c>
      <c r="K337" s="159"/>
      <c r="L337" s="159"/>
    </row>
    <row r="338" spans="1:12" x14ac:dyDescent="0.25">
      <c r="A338" t="s">
        <v>2</v>
      </c>
      <c r="E338" t="str">
        <f>Foderstater!U$78</f>
        <v>linseed</v>
      </c>
      <c r="I338" t="s">
        <v>313</v>
      </c>
      <c r="J338" s="13">
        <f>INDEX(Foderstater!$X$63:$AI$100,MATCH(E338,Foderstater!$U$63:$U$100,0),MATCH(A338&amp;C338&amp;D338,Foderstater!$X$62:$AI$62,0))</f>
        <v>1.5359161204765519E-4</v>
      </c>
      <c r="K338" s="159"/>
      <c r="L338" s="159"/>
    </row>
    <row r="339" spans="1:12" x14ac:dyDescent="0.25">
      <c r="A339" t="s">
        <v>2</v>
      </c>
      <c r="E339" t="str">
        <f>Foderstater!U$79</f>
        <v>vegetable oils</v>
      </c>
      <c r="I339" t="s">
        <v>313</v>
      </c>
      <c r="J339" s="13">
        <f>INDEX(Foderstater!$X$63:$AI$100,MATCH(E339,Foderstater!$U$63:$U$100,0),MATCH(A339&amp;C339&amp;D339,Foderstater!$X$62:$AI$62,0))</f>
        <v>3.9652652617667341E-3</v>
      </c>
      <c r="K339" s="159"/>
      <c r="L339" s="159"/>
    </row>
    <row r="340" spans="1:12" x14ac:dyDescent="0.25">
      <c r="A340" t="s">
        <v>2</v>
      </c>
      <c r="E340" t="str">
        <f>Foderstater!U$80</f>
        <v>soybeans</v>
      </c>
      <c r="I340" t="s">
        <v>313</v>
      </c>
      <c r="J340" s="13">
        <f>INDEX(Foderstater!$X$63:$AI$100,MATCH(E340,Foderstater!$U$63:$U$100,0),MATCH(A340&amp;C340&amp;D340,Foderstater!$X$62:$AI$62,0))</f>
        <v>3.8749780117707201E-3</v>
      </c>
      <c r="K340" s="159"/>
      <c r="L340" s="159"/>
    </row>
    <row r="341" spans="1:12" x14ac:dyDescent="0.25">
      <c r="A341" t="s">
        <v>2</v>
      </c>
      <c r="E341" t="str">
        <f>Foderstater!U$81</f>
        <v>soybean meal</v>
      </c>
      <c r="I341" t="s">
        <v>313</v>
      </c>
      <c r="J341" s="13">
        <f>INDEX(Foderstater!$X$63:$AI$100,MATCH(E341,Foderstater!$U$63:$U$100,0),MATCH(A341&amp;C341&amp;D341,Foderstater!$X$62:$AI$62,0))</f>
        <v>3.5396486378307765E-2</v>
      </c>
      <c r="K341" s="159"/>
      <c r="L341" s="159"/>
    </row>
    <row r="342" spans="1:12" x14ac:dyDescent="0.25">
      <c r="A342" t="s">
        <v>2</v>
      </c>
      <c r="E342" t="str">
        <f>Foderstater!U$82</f>
        <v>soybean protein concentrate</v>
      </c>
      <c r="I342" t="s">
        <v>313</v>
      </c>
      <c r="J342" s="13">
        <f>INDEX(Foderstater!$X$63:$AI$100,MATCH(E342,Foderstater!$U$63:$U$100,0),MATCH(A342&amp;C342&amp;D342,Foderstater!$X$62:$AI$62,0))</f>
        <v>0</v>
      </c>
      <c r="K342" s="159"/>
      <c r="L342" s="159"/>
    </row>
    <row r="343" spans="1:12" x14ac:dyDescent="0.25">
      <c r="A343" t="s">
        <v>2</v>
      </c>
      <c r="E343" t="str">
        <f>Foderstater!U$83</f>
        <v>rapeseed meal</v>
      </c>
      <c r="I343" t="s">
        <v>313</v>
      </c>
      <c r="J343" s="13">
        <f>INDEX(Foderstater!$X$63:$AI$100,MATCH(E343,Foderstater!$U$63:$U$100,0),MATCH(A343&amp;C343&amp;D343,Foderstater!$X$62:$AI$62,0))</f>
        <v>0.27338946038309825</v>
      </c>
      <c r="K343" s="159"/>
      <c r="L343" s="159"/>
    </row>
    <row r="344" spans="1:12" x14ac:dyDescent="0.25">
      <c r="A344" t="s">
        <v>2</v>
      </c>
      <c r="E344" t="str">
        <f>Foderstater!U$84</f>
        <v>sunflower seed meal</v>
      </c>
      <c r="I344" t="s">
        <v>313</v>
      </c>
      <c r="J344" s="13">
        <f>INDEX(Foderstater!$X$63:$AI$100,MATCH(E344,Foderstater!$U$63:$U$100,0),MATCH(A344&amp;C344&amp;D344,Foderstater!$X$62:$AI$62,0))</f>
        <v>3.7766107728313516E-3</v>
      </c>
    </row>
    <row r="345" spans="1:12" x14ac:dyDescent="0.25">
      <c r="A345" t="s">
        <v>2</v>
      </c>
      <c r="E345" t="str">
        <f>Foderstater!U$85</f>
        <v>palm kernel expeller</v>
      </c>
      <c r="I345" t="s">
        <v>313</v>
      </c>
      <c r="J345" s="13">
        <f>INDEX(Foderstater!$X$63:$AI$100,MATCH(E345,Foderstater!$U$63:$U$100,0),MATCH(A345&amp;C345&amp;D345,Foderstater!$X$62:$AI$62,0))</f>
        <v>2.454011148600925E-2</v>
      </c>
    </row>
    <row r="346" spans="1:12" x14ac:dyDescent="0.25">
      <c r="A346" t="s">
        <v>2</v>
      </c>
      <c r="E346" t="str">
        <f>Foderstater!U$86</f>
        <v>luzern meal</v>
      </c>
      <c r="I346" t="s">
        <v>313</v>
      </c>
      <c r="J346" s="13">
        <f>INDEX(Foderstater!$X$63:$AI$100,MATCH(E346,Foderstater!$U$63:$U$100,0),MATCH(A346&amp;C346&amp;D346,Foderstater!$X$62:$AI$62,0))</f>
        <v>7.4648324517994124E-3</v>
      </c>
    </row>
    <row r="347" spans="1:12" x14ac:dyDescent="0.25">
      <c r="A347" t="s">
        <v>2</v>
      </c>
      <c r="E347" t="str">
        <f>Foderstater!U$87</f>
        <v>wheat bran</v>
      </c>
      <c r="I347" t="s">
        <v>313</v>
      </c>
      <c r="J347" s="13">
        <f>INDEX(Foderstater!$X$63:$AI$100,MATCH(E347,Foderstater!$U$63:$U$100,0),MATCH(A347&amp;C347&amp;D347,Foderstater!$X$62:$AI$62,0))</f>
        <v>8.1330352250506319E-2</v>
      </c>
    </row>
    <row r="348" spans="1:12" x14ac:dyDescent="0.25">
      <c r="A348" t="s">
        <v>2</v>
      </c>
      <c r="E348" t="str">
        <f>Foderstater!U$88</f>
        <v>wheat bran, fine</v>
      </c>
      <c r="I348" t="s">
        <v>313</v>
      </c>
      <c r="J348" s="13">
        <f>INDEX(Foderstater!$X$63:$AI$100,MATCH(E348,Foderstater!$U$63:$U$100,0),MATCH(A348&amp;C348&amp;D348,Foderstater!$X$62:$AI$62,0))</f>
        <v>2.1320226486804789E-4</v>
      </c>
    </row>
    <row r="349" spans="1:12" x14ac:dyDescent="0.25">
      <c r="A349" t="s">
        <v>2</v>
      </c>
      <c r="E349" t="str">
        <f>Foderstater!U$89</f>
        <v>oat hulls</v>
      </c>
      <c r="I349" t="s">
        <v>313</v>
      </c>
      <c r="J349" s="13">
        <f>INDEX(Foderstater!$X$63:$AI$100,MATCH(E349,Foderstater!$U$63:$U$100,0),MATCH(A349&amp;C349&amp;D349,Foderstater!$X$62:$AI$62,0))</f>
        <v>9.7954501133788105E-3</v>
      </c>
    </row>
    <row r="350" spans="1:12" x14ac:dyDescent="0.25">
      <c r="A350" t="s">
        <v>2</v>
      </c>
      <c r="E350" t="str">
        <f>Foderstater!U$90</f>
        <v>oat bran</v>
      </c>
      <c r="I350" t="s">
        <v>313</v>
      </c>
      <c r="J350" s="13">
        <f>INDEX(Foderstater!$X$63:$AI$100,MATCH(E350,Foderstater!$U$63:$U$100,0),MATCH(A350&amp;C350&amp;D350,Foderstater!$X$62:$AI$62,0))</f>
        <v>1.1055271729123049E-3</v>
      </c>
    </row>
    <row r="351" spans="1:12" x14ac:dyDescent="0.25">
      <c r="A351" t="s">
        <v>2</v>
      </c>
      <c r="E351" t="str">
        <f>Foderstater!U$91</f>
        <v>rye bran</v>
      </c>
      <c r="I351" t="s">
        <v>313</v>
      </c>
      <c r="J351" s="13">
        <f>INDEX(Foderstater!$X$63:$AI$100,MATCH(E351,Foderstater!$U$63:$U$100,0),MATCH(A351&amp;C351&amp;D351,Foderstater!$X$62:$AI$62,0))</f>
        <v>3.4094577852959427E-3</v>
      </c>
    </row>
    <row r="352" spans="1:12" x14ac:dyDescent="0.25">
      <c r="A352" t="s">
        <v>2</v>
      </c>
      <c r="E352" t="str">
        <f>Foderstater!U$92</f>
        <v>wheat distillers grain, dry</v>
      </c>
      <c r="I352" t="s">
        <v>313</v>
      </c>
      <c r="J352" s="13">
        <f>INDEX(Foderstater!$X$63:$AI$100,MATCH(E352,Foderstater!$U$63:$U$100,0),MATCH(A352&amp;C352&amp;D352,Foderstater!$X$62:$AI$62,0))</f>
        <v>8.7422402276057576E-2</v>
      </c>
    </row>
    <row r="353" spans="1:13" x14ac:dyDescent="0.25">
      <c r="A353" t="s">
        <v>2</v>
      </c>
      <c r="E353" t="str">
        <f>Foderstater!U$93</f>
        <v>barley brewers grain</v>
      </c>
      <c r="I353" t="s">
        <v>313</v>
      </c>
      <c r="J353" s="13">
        <f>INDEX(Foderstater!$X$63:$AI$100,MATCH(E353,Foderstater!$U$63:$U$100,0),MATCH(A353&amp;C353&amp;D353,Foderstater!$X$62:$AI$62,0))</f>
        <v>0</v>
      </c>
    </row>
    <row r="354" spans="1:13" x14ac:dyDescent="0.25">
      <c r="A354" t="s">
        <v>2</v>
      </c>
      <c r="E354" t="str">
        <f>Foderstater!U$94</f>
        <v>maize gluten meal</v>
      </c>
      <c r="I354" t="s">
        <v>313</v>
      </c>
      <c r="J354" s="13">
        <f>INDEX(Foderstater!$X$63:$AI$100,MATCH(E354,Foderstater!$U$63:$U$100,0),MATCH(A354&amp;C354&amp;D354,Foderstater!$X$62:$AI$62,0))</f>
        <v>2.6416305439262745E-3</v>
      </c>
    </row>
    <row r="355" spans="1:13" x14ac:dyDescent="0.25">
      <c r="A355" t="s">
        <v>2</v>
      </c>
      <c r="E355" t="str">
        <f>Foderstater!U$95</f>
        <v>sugar beet molasses</v>
      </c>
      <c r="I355" t="s">
        <v>313</v>
      </c>
      <c r="J355" s="13">
        <f>INDEX(Foderstater!$X$63:$AI$100,MATCH(E355,Foderstater!$U$63:$U$100,0),MATCH(A355&amp;C355&amp;D355,Foderstater!$X$62:$AI$62,0))</f>
        <v>2.929408071401712E-2</v>
      </c>
    </row>
    <row r="356" spans="1:13" x14ac:dyDescent="0.25">
      <c r="A356" t="s">
        <v>2</v>
      </c>
      <c r="E356" t="str">
        <f>Foderstater!U$96</f>
        <v>sugar beet pulp</v>
      </c>
      <c r="I356" t="s">
        <v>313</v>
      </c>
      <c r="J356" s="13">
        <f>INDEX(Foderstater!$X$63:$AI$100,MATCH(E356,Foderstater!$U$63:$U$100,0),MATCH(A356&amp;C356&amp;D356,Foderstater!$X$62:$AI$62,0))</f>
        <v>5.6525245770502136E-2</v>
      </c>
    </row>
    <row r="357" spans="1:13" x14ac:dyDescent="0.25">
      <c r="A357" t="s">
        <v>2</v>
      </c>
      <c r="E357" t="str">
        <f>Foderstater!U$97</f>
        <v>whey powder</v>
      </c>
      <c r="I357" t="s">
        <v>313</v>
      </c>
      <c r="J357" s="13">
        <f>INDEX(Foderstater!$X$63:$AI$100,MATCH(E357,Foderstater!$U$63:$U$100,0),MATCH(A357&amp;C357&amp;D357,Foderstater!$X$62:$AI$62,0))</f>
        <v>0</v>
      </c>
    </row>
    <row r="358" spans="1:13" x14ac:dyDescent="0.25">
      <c r="A358" t="s">
        <v>2</v>
      </c>
      <c r="E358" t="str">
        <f>Foderstater!U$98</f>
        <v>potatoe protein</v>
      </c>
      <c r="I358" t="s">
        <v>313</v>
      </c>
      <c r="J358" s="13">
        <f>INDEX(Foderstater!$X$63:$AI$100,MATCH(E358,Foderstater!$U$63:$U$100,0),MATCH(A358&amp;C358&amp;D358,Foderstater!$X$62:$AI$62,0))</f>
        <v>2.5878708291312121E-4</v>
      </c>
    </row>
    <row r="359" spans="1:13" x14ac:dyDescent="0.25">
      <c r="A359" t="s">
        <v>2</v>
      </c>
      <c r="E359" t="str">
        <f>Foderstater!U$99</f>
        <v>fish meal</v>
      </c>
      <c r="I359" t="s">
        <v>313</v>
      </c>
      <c r="J359" s="13">
        <f>INDEX(Foderstater!$X$63:$AI$100,MATCH(E359,Foderstater!$U$63:$U$100,0),MATCH(A359&amp;C359&amp;D359,Foderstater!$X$62:$AI$62,0))</f>
        <v>0</v>
      </c>
    </row>
    <row r="360" spans="1:13" x14ac:dyDescent="0.25">
      <c r="A360" t="s">
        <v>2</v>
      </c>
      <c r="E360" t="str">
        <f>Foderstater!U$100</f>
        <v>minerals</v>
      </c>
      <c r="I360" t="s">
        <v>313</v>
      </c>
      <c r="J360" s="13">
        <f>INDEX(Foderstater!$X$63:$AI$100,MATCH(E360,Foderstater!$U$63:$U$100,0),MATCH(A360&amp;C360&amp;D360,Foderstater!$X$62:$AI$62,0))</f>
        <v>0.72908796527420217</v>
      </c>
    </row>
    <row r="362" spans="1:13" x14ac:dyDescent="0.25">
      <c r="A362" s="81" t="s">
        <v>76</v>
      </c>
      <c r="B362" s="48"/>
      <c r="C362" s="48"/>
      <c r="D362" s="49"/>
      <c r="E362" s="49"/>
      <c r="F362" s="49"/>
      <c r="G362" s="49"/>
      <c r="H362" s="49"/>
      <c r="I362" s="49"/>
      <c r="J362" s="162"/>
      <c r="K362" s="49"/>
      <c r="L362" s="49"/>
      <c r="M362" s="49"/>
    </row>
    <row r="363" spans="1:13" x14ac:dyDescent="0.25">
      <c r="A363" s="159" t="s">
        <v>2</v>
      </c>
      <c r="B363" s="159"/>
      <c r="C363" s="159"/>
      <c r="D363" s="159" t="s">
        <v>35</v>
      </c>
      <c r="I363" s="159" t="s">
        <v>313</v>
      </c>
      <c r="J363" s="159">
        <v>0</v>
      </c>
      <c r="K363" s="159"/>
      <c r="L363" s="159" t="s">
        <v>410</v>
      </c>
    </row>
    <row r="364" spans="1:13" x14ac:dyDescent="0.25">
      <c r="A364" t="s">
        <v>2</v>
      </c>
      <c r="D364" s="110" t="s">
        <v>35</v>
      </c>
      <c r="E364" t="str">
        <f>Foderstater!U$63</f>
        <v>ley silage, 1st cut</v>
      </c>
      <c r="I364" t="s">
        <v>313</v>
      </c>
      <c r="J364" s="13">
        <f>INDEX(Foderstater!$X$63:$AI$100,MATCH(E364,Foderstater!$U$63:$U$100,0),MATCH(A364&amp;C364&amp;D364,Foderstater!$X$62:$AI$62,0))</f>
        <v>65.065884609325579</v>
      </c>
      <c r="K364" s="159"/>
      <c r="L364" s="159"/>
    </row>
    <row r="365" spans="1:13" x14ac:dyDescent="0.25">
      <c r="A365" t="s">
        <v>2</v>
      </c>
      <c r="D365" s="110" t="s">
        <v>35</v>
      </c>
      <c r="E365" t="str">
        <f>Foderstater!U$64</f>
        <v>ley silage, regrowth</v>
      </c>
      <c r="I365" t="s">
        <v>313</v>
      </c>
      <c r="J365" s="13">
        <f>INDEX(Foderstater!$X$63:$AI$100,MATCH(E365,Foderstater!$U$63:$U$100,0),MATCH(A365&amp;C365&amp;D365,Foderstater!$X$62:$AI$62,0))</f>
        <v>0</v>
      </c>
      <c r="K365" s="159"/>
      <c r="L365" s="159"/>
    </row>
    <row r="366" spans="1:13" x14ac:dyDescent="0.25">
      <c r="A366" t="s">
        <v>2</v>
      </c>
      <c r="D366" s="110" t="s">
        <v>35</v>
      </c>
      <c r="E366" t="str">
        <f>Foderstater!U$65</f>
        <v>other silage</v>
      </c>
      <c r="I366" t="s">
        <v>313</v>
      </c>
      <c r="J366" s="13">
        <f>INDEX(Foderstater!$X$63:$AI$100,MATCH(E366,Foderstater!$U$63:$U$100,0),MATCH(A366&amp;C366&amp;D366,Foderstater!$X$62:$AI$62,0))</f>
        <v>0</v>
      </c>
      <c r="K366" s="159"/>
      <c r="L366" s="159"/>
    </row>
    <row r="367" spans="1:13" x14ac:dyDescent="0.25">
      <c r="A367" t="s">
        <v>2</v>
      </c>
      <c r="D367" s="110" t="s">
        <v>35</v>
      </c>
      <c r="E367" t="str">
        <f>Foderstater!U$66</f>
        <v>maize silage</v>
      </c>
      <c r="I367" t="s">
        <v>313</v>
      </c>
      <c r="J367" s="13">
        <f>INDEX(Foderstater!$X$63:$AI$100,MATCH(E367,Foderstater!$U$63:$U$100,0),MATCH(A367&amp;C367&amp;D367,Foderstater!$X$62:$AI$62,0))</f>
        <v>0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Foderstater!U$67</f>
        <v>straw</v>
      </c>
      <c r="I368" t="s">
        <v>313</v>
      </c>
      <c r="J368" s="13">
        <f>INDEX(Foderstater!$X$63:$AI$100,MATCH(E368,Foderstater!$U$63:$U$100,0),MATCH(A368&amp;C368&amp;D368,Foderstater!$X$62:$AI$62,0))</f>
        <v>0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Foderstater!U$68</f>
        <v>grazing</v>
      </c>
      <c r="I369" t="s">
        <v>313</v>
      </c>
      <c r="J369" s="13">
        <f>INDEX(Foderstater!$X$63:$AI$100,MATCH(E369,Foderstater!$U$63:$U$100,0),MATCH(A369&amp;C369&amp;D369,Foderstater!$X$62:$AI$62,0))</f>
        <v>0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Foderstater!U$69</f>
        <v>wheat</v>
      </c>
      <c r="I370" t="s">
        <v>313</v>
      </c>
      <c r="J370" s="13">
        <f>INDEX(Foderstater!$X$63:$AI$100,MATCH(E370,Foderstater!$U$63:$U$100,0),MATCH(A370&amp;C370&amp;D370,Foderstater!$X$62:$AI$62,0))</f>
        <v>7.597272449205918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Foderstater!U$70</f>
        <v>barley</v>
      </c>
      <c r="I371" t="s">
        <v>313</v>
      </c>
      <c r="J371" s="13">
        <f>INDEX(Foderstater!$X$63:$AI$100,MATCH(E371,Foderstater!$U$63:$U$100,0),MATCH(A371&amp;C371&amp;D371,Foderstater!$X$62:$AI$62,0))</f>
        <v>13.591338970365666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Foderstater!U$71</f>
        <v>oats</v>
      </c>
      <c r="I372" t="s">
        <v>313</v>
      </c>
      <c r="J372" s="13">
        <f>INDEX(Foderstater!$X$63:$AI$100,MATCH(E372,Foderstater!$U$63:$U$100,0),MATCH(A372&amp;C372&amp;D372,Foderstater!$X$62:$AI$62,0))</f>
        <v>3.1053519716836115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Foderstater!U$72</f>
        <v>triticale</v>
      </c>
      <c r="I373" t="s">
        <v>313</v>
      </c>
      <c r="J373" s="13">
        <f>INDEX(Foderstater!$X$63:$AI$100,MATCH(E373,Foderstater!$U$63:$U$100,0),MATCH(A373&amp;C373&amp;D373,Foderstater!$X$62:$AI$62,0))</f>
        <v>4.6592010515149394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Foderstater!U$73</f>
        <v>rye</v>
      </c>
      <c r="I374" t="s">
        <v>313</v>
      </c>
      <c r="J374" s="13">
        <f>INDEX(Foderstater!$X$63:$AI$100,MATCH(E374,Foderstater!$U$63:$U$100,0),MATCH(A374&amp;C374&amp;D374,Foderstater!$X$62:$AI$62,0))</f>
        <v>1.6945393347994473E-2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Foderstater!U$74</f>
        <v>maize</v>
      </c>
      <c r="I375" t="s">
        <v>313</v>
      </c>
      <c r="J375" s="13">
        <f>INDEX(Foderstater!$X$63:$AI$100,MATCH(E375,Foderstater!$U$63:$U$100,0),MATCH(A375&amp;C375&amp;D375,Foderstater!$X$62:$AI$62,0))</f>
        <v>7.3621265603978081E-2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Foderstater!U$75</f>
        <v>peas</v>
      </c>
      <c r="I376" t="s">
        <v>313</v>
      </c>
      <c r="J376" s="13">
        <f>INDEX(Foderstater!$X$63:$AI$100,MATCH(E376,Foderstater!$U$63:$U$100,0),MATCH(A376&amp;C376&amp;D376,Foderstater!$X$62:$AI$62,0))</f>
        <v>1.3794797059070938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Foderstater!U$76</f>
        <v>broad beans</v>
      </c>
      <c r="I377" t="s">
        <v>313</v>
      </c>
      <c r="J377" s="13">
        <f>INDEX(Foderstater!$X$63:$AI$100,MATCH(E377,Foderstater!$U$63:$U$100,0),MATCH(A377&amp;C377&amp;D377,Foderstater!$X$62:$AI$62,0))</f>
        <v>1.338045660068792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Foderstater!U$77</f>
        <v>rapeseed</v>
      </c>
      <c r="I378" t="s">
        <v>313</v>
      </c>
      <c r="J378" s="13">
        <f>INDEX(Foderstater!$X$63:$AI$100,MATCH(E378,Foderstater!$U$63:$U$100,0),MATCH(A378&amp;C378&amp;D378,Foderstater!$X$62:$AI$62,0))</f>
        <v>0.62589622193442496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Foderstater!U$78</f>
        <v>linseed</v>
      </c>
      <c r="I379" t="s">
        <v>313</v>
      </c>
      <c r="J379" s="13">
        <f>INDEX(Foderstater!$X$63:$AI$100,MATCH(E379,Foderstater!$U$63:$U$100,0),MATCH(A379&amp;C379&amp;D379,Foderstater!$X$62:$AI$62,0))</f>
        <v>4.6169784916729557E-4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Foderstater!U$79</f>
        <v>vegetable oils</v>
      </c>
      <c r="I380" t="s">
        <v>313</v>
      </c>
      <c r="J380" s="13">
        <f>INDEX(Foderstater!$X$63:$AI$100,MATCH(E380,Foderstater!$U$63:$U$100,0),MATCH(A380&amp;C380&amp;D380,Foderstater!$X$62:$AI$62,0))</f>
        <v>1.1919625156141098E-2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Foderstater!U$80</f>
        <v>soybeans</v>
      </c>
      <c r="I381" t="s">
        <v>313</v>
      </c>
      <c r="J381" s="13">
        <f>INDEX(Foderstater!$X$63:$AI$100,MATCH(E381,Foderstater!$U$63:$U$100,0),MATCH(A381&amp;C381&amp;D381,Foderstater!$X$62:$AI$62,0))</f>
        <v>1.1648220822436621E-2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Foderstater!U$81</f>
        <v>soybean meal</v>
      </c>
      <c r="I382" t="s">
        <v>313</v>
      </c>
      <c r="J382" s="13">
        <f>INDEX(Foderstater!$X$63:$AI$100,MATCH(E382,Foderstater!$U$63:$U$100,0),MATCH(A382&amp;C382&amp;D382,Foderstater!$X$62:$AI$62,0))</f>
        <v>0.10640217529505162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Foderstater!U$82</f>
        <v>soybean protein concentrate</v>
      </c>
      <c r="I383" t="s">
        <v>313</v>
      </c>
      <c r="J383" s="13">
        <f>INDEX(Foderstater!$X$63:$AI$100,MATCH(E383,Foderstater!$U$63:$U$100,0),MATCH(A383&amp;C383&amp;D383,Foderstater!$X$62:$AI$62,0))</f>
        <v>0</v>
      </c>
      <c r="K383" s="159"/>
      <c r="L383" s="159"/>
    </row>
    <row r="384" spans="1:12" x14ac:dyDescent="0.25">
      <c r="A384" t="s">
        <v>2</v>
      </c>
      <c r="D384" s="110" t="s">
        <v>35</v>
      </c>
      <c r="E384" t="str">
        <f>Foderstater!U$83</f>
        <v>rapeseed meal</v>
      </c>
      <c r="I384" t="s">
        <v>313</v>
      </c>
      <c r="J384" s="13">
        <f>INDEX(Foderstater!$X$63:$AI$100,MATCH(E384,Foderstater!$U$63:$U$100,0),MATCH(A384&amp;C384&amp;D384,Foderstater!$X$62:$AI$62,0))</f>
        <v>0.82181132264384626</v>
      </c>
      <c r="K384" s="159"/>
      <c r="L384" s="159"/>
    </row>
    <row r="385" spans="1:10" x14ac:dyDescent="0.25">
      <c r="A385" t="s">
        <v>2</v>
      </c>
      <c r="D385" s="110" t="s">
        <v>35</v>
      </c>
      <c r="E385" t="str">
        <f>Foderstater!U$84</f>
        <v>sunflower seed meal</v>
      </c>
      <c r="I385" t="s">
        <v>313</v>
      </c>
      <c r="J385" s="13">
        <f>INDEX(Foderstater!$X$63:$AI$100,MATCH(E385,Foderstater!$U$63:$U$100,0),MATCH(A385&amp;C385&amp;D385,Foderstater!$X$62:$AI$62,0))</f>
        <v>1.1352527964985915E-2</v>
      </c>
    </row>
    <row r="386" spans="1:10" x14ac:dyDescent="0.25">
      <c r="A386" t="s">
        <v>2</v>
      </c>
      <c r="D386" s="110" t="s">
        <v>35</v>
      </c>
      <c r="E386" t="str">
        <f>Foderstater!U$85</f>
        <v>palm kernel expeller</v>
      </c>
      <c r="I386" t="s">
        <v>313</v>
      </c>
      <c r="J386" s="13">
        <f>INDEX(Foderstater!$X$63:$AI$100,MATCH(E386,Foderstater!$U$63:$U$100,0),MATCH(A386&amp;C386&amp;D386,Foderstater!$X$62:$AI$62,0))</f>
        <v>7.3767808934127849E-2</v>
      </c>
    </row>
    <row r="387" spans="1:10" x14ac:dyDescent="0.25">
      <c r="A387" t="s">
        <v>2</v>
      </c>
      <c r="D387" s="110" t="s">
        <v>35</v>
      </c>
      <c r="E387" t="str">
        <f>Foderstater!U$86</f>
        <v>luzern meal</v>
      </c>
      <c r="I387" t="s">
        <v>313</v>
      </c>
      <c r="J387" s="13">
        <f>INDEX(Foderstater!$X$63:$AI$100,MATCH(E387,Foderstater!$U$63:$U$100,0),MATCH(A387&amp;C387&amp;D387,Foderstater!$X$62:$AI$62,0))</f>
        <v>2.2439357471687103E-2</v>
      </c>
    </row>
    <row r="388" spans="1:10" x14ac:dyDescent="0.25">
      <c r="A388" t="s">
        <v>2</v>
      </c>
      <c r="D388" s="110" t="s">
        <v>35</v>
      </c>
      <c r="E388" t="str">
        <f>Foderstater!U$87</f>
        <v>wheat bran</v>
      </c>
      <c r="I388" t="s">
        <v>313</v>
      </c>
      <c r="J388" s="13">
        <f>INDEX(Foderstater!$X$63:$AI$100,MATCH(E388,Foderstater!$U$63:$U$100,0),MATCH(A388&amp;C388&amp;D388,Foderstater!$X$62:$AI$62,0))</f>
        <v>0.24447981374416825</v>
      </c>
    </row>
    <row r="389" spans="1:10" x14ac:dyDescent="0.25">
      <c r="A389" t="s">
        <v>2</v>
      </c>
      <c r="D389" s="110" t="s">
        <v>35</v>
      </c>
      <c r="E389" t="str">
        <f>Foderstater!U$88</f>
        <v>wheat bran, fine</v>
      </c>
      <c r="I389" t="s">
        <v>313</v>
      </c>
      <c r="J389" s="13">
        <f>INDEX(Foderstater!$X$63:$AI$100,MATCH(E389,Foderstater!$U$63:$U$100,0),MATCH(A389&amp;C389&amp;D389,Foderstater!$X$62:$AI$62,0))</f>
        <v>6.4088803948898038E-4</v>
      </c>
    </row>
    <row r="390" spans="1:10" x14ac:dyDescent="0.25">
      <c r="A390" t="s">
        <v>2</v>
      </c>
      <c r="D390" s="110" t="s">
        <v>35</v>
      </c>
      <c r="E390" t="str">
        <f>Foderstater!U$89</f>
        <v>oat hulls</v>
      </c>
      <c r="I390" t="s">
        <v>313</v>
      </c>
      <c r="J390" s="13">
        <f>INDEX(Foderstater!$X$63:$AI$100,MATCH(E390,Foderstater!$U$63:$U$100,0),MATCH(A390&amp;C390&amp;D390,Foderstater!$X$62:$AI$62,0))</f>
        <v>2.9445216367475335E-2</v>
      </c>
    </row>
    <row r="391" spans="1:10" x14ac:dyDescent="0.25">
      <c r="A391" t="s">
        <v>2</v>
      </c>
      <c r="D391" s="110" t="s">
        <v>35</v>
      </c>
      <c r="E391" t="str">
        <f>Foderstater!U$90</f>
        <v>oat bran</v>
      </c>
      <c r="I391" t="s">
        <v>313</v>
      </c>
      <c r="J391" s="13">
        <f>INDEX(Foderstater!$X$63:$AI$100,MATCH(E391,Foderstater!$U$63:$U$100,0),MATCH(A391&amp;C391&amp;D391,Foderstater!$X$62:$AI$62,0))</f>
        <v>3.3232252147418258E-3</v>
      </c>
    </row>
    <row r="392" spans="1:10" x14ac:dyDescent="0.25">
      <c r="A392" t="s">
        <v>2</v>
      </c>
      <c r="D392" s="110" t="s">
        <v>35</v>
      </c>
      <c r="E392" t="str">
        <f>Foderstater!U$91</f>
        <v>rye bran</v>
      </c>
      <c r="I392" t="s">
        <v>313</v>
      </c>
      <c r="J392" s="13">
        <f>INDEX(Foderstater!$X$63:$AI$100,MATCH(E392,Foderstater!$U$63:$U$100,0),MATCH(A392&amp;C392&amp;D392,Foderstater!$X$62:$AI$62,0))</f>
        <v>1.0248862586385358E-2</v>
      </c>
    </row>
    <row r="393" spans="1:10" x14ac:dyDescent="0.25">
      <c r="A393" t="s">
        <v>2</v>
      </c>
      <c r="D393" s="110" t="s">
        <v>35</v>
      </c>
      <c r="E393" t="str">
        <f>Foderstater!U$92</f>
        <v>wheat distillers grain, dry</v>
      </c>
      <c r="I393" t="s">
        <v>313</v>
      </c>
      <c r="J393" s="13">
        <f>INDEX(Foderstater!$X$63:$AI$100,MATCH(E393,Foderstater!$U$63:$U$100,0),MATCH(A393&amp;C393&amp;D393,Foderstater!$X$62:$AI$62,0))</f>
        <v>0.2627925741632976</v>
      </c>
    </row>
    <row r="394" spans="1:10" x14ac:dyDescent="0.25">
      <c r="A394" t="s">
        <v>2</v>
      </c>
      <c r="D394" s="110" t="s">
        <v>35</v>
      </c>
      <c r="E394" t="str">
        <f>Foderstater!U$93</f>
        <v>barley brewers grain</v>
      </c>
      <c r="I394" t="s">
        <v>313</v>
      </c>
      <c r="J394" s="13">
        <f>INDEX(Foderstater!$X$63:$AI$100,MATCH(E394,Foderstater!$U$63:$U$100,0),MATCH(A394&amp;C394&amp;D394,Foderstater!$X$62:$AI$62,0))</f>
        <v>0</v>
      </c>
    </row>
    <row r="395" spans="1:10" x14ac:dyDescent="0.25">
      <c r="A395" t="s">
        <v>2</v>
      </c>
      <c r="D395" s="110" t="s">
        <v>35</v>
      </c>
      <c r="E395" t="str">
        <f>Foderstater!U$94</f>
        <v>maize gluten meal</v>
      </c>
      <c r="I395" t="s">
        <v>313</v>
      </c>
      <c r="J395" s="13">
        <f>INDEX(Foderstater!$X$63:$AI$100,MATCH(E395,Foderstater!$U$63:$U$100,0),MATCH(A395&amp;C395&amp;D395,Foderstater!$X$62:$AI$62,0))</f>
        <v>7.940766583314298E-3</v>
      </c>
    </row>
    <row r="396" spans="1:10" x14ac:dyDescent="0.25">
      <c r="A396" t="s">
        <v>2</v>
      </c>
      <c r="D396" s="110" t="s">
        <v>35</v>
      </c>
      <c r="E396" t="str">
        <f>Foderstater!U$95</f>
        <v>sugar beet molasses</v>
      </c>
      <c r="I396" t="s">
        <v>313</v>
      </c>
      <c r="J396" s="13">
        <f>INDEX(Foderstater!$X$63:$AI$100,MATCH(E396,Foderstater!$U$63:$U$100,0),MATCH(A396&amp;C396&amp;D396,Foderstater!$X$62:$AI$62,0))</f>
        <v>8.8058285727207697E-2</v>
      </c>
    </row>
    <row r="397" spans="1:10" x14ac:dyDescent="0.25">
      <c r="A397" t="s">
        <v>2</v>
      </c>
      <c r="D397" s="110" t="s">
        <v>35</v>
      </c>
      <c r="E397" t="str">
        <f>Foderstater!U$96</f>
        <v>sugar beet pulp</v>
      </c>
      <c r="I397" t="s">
        <v>313</v>
      </c>
      <c r="J397" s="13">
        <f>INDEX(Foderstater!$X$63:$AI$100,MATCH(E397,Foderstater!$U$63:$U$100,0),MATCH(A397&amp;C397&amp;D397,Foderstater!$X$62:$AI$62,0))</f>
        <v>0.16991542733333806</v>
      </c>
    </row>
    <row r="398" spans="1:10" x14ac:dyDescent="0.25">
      <c r="A398" t="s">
        <v>2</v>
      </c>
      <c r="D398" s="110" t="s">
        <v>35</v>
      </c>
      <c r="E398" t="str">
        <f>Foderstater!U$97</f>
        <v>whey powder</v>
      </c>
      <c r="I398" t="s">
        <v>313</v>
      </c>
      <c r="J398" s="13">
        <f>INDEX(Foderstater!$X$63:$AI$100,MATCH(E398,Foderstater!$U$63:$U$100,0),MATCH(A398&amp;C398&amp;D398,Foderstater!$X$62:$AI$62,0))</f>
        <v>0</v>
      </c>
    </row>
    <row r="399" spans="1:10" x14ac:dyDescent="0.25">
      <c r="A399" t="s">
        <v>2</v>
      </c>
      <c r="D399" s="110" t="s">
        <v>35</v>
      </c>
      <c r="E399" t="str">
        <f>Foderstater!U$98</f>
        <v>potatoe protein</v>
      </c>
      <c r="I399" t="s">
        <v>313</v>
      </c>
      <c r="J399" s="13">
        <f>INDEX(Foderstater!$X$63:$AI$100,MATCH(E399,Foderstater!$U$63:$U$100,0),MATCH(A399&amp;C399&amp;D399,Foderstater!$X$62:$AI$62,0))</f>
        <v>7.7791643684418715E-4</v>
      </c>
    </row>
    <row r="400" spans="1:10" x14ac:dyDescent="0.25">
      <c r="A400" t="s">
        <v>2</v>
      </c>
      <c r="D400" s="110" t="s">
        <v>35</v>
      </c>
      <c r="E400" t="str">
        <f>Foderstater!U$99</f>
        <v>fish meal</v>
      </c>
      <c r="I400" t="s">
        <v>313</v>
      </c>
      <c r="J400" s="13">
        <f>INDEX(Foderstater!$X$63:$AI$100,MATCH(E400,Foderstater!$U$63:$U$100,0),MATCH(A400&amp;C400&amp;D400,Foderstater!$X$62:$AI$62,0))</f>
        <v>0</v>
      </c>
    </row>
    <row r="401" spans="1:12" x14ac:dyDescent="0.25">
      <c r="A401" t="s">
        <v>2</v>
      </c>
      <c r="D401" s="110" t="s">
        <v>35</v>
      </c>
      <c r="E401" t="str">
        <f>Foderstater!U$100</f>
        <v>minerals</v>
      </c>
      <c r="I401" t="s">
        <v>313</v>
      </c>
      <c r="J401" s="13">
        <f>INDEX(Foderstater!$X$63:$AI$100,MATCH(E401,Foderstater!$U$63:$U$100,0),MATCH(A401&amp;C401&amp;D401,Foderstater!$X$62:$AI$62,0))</f>
        <v>0.66953698870828937</v>
      </c>
    </row>
    <row r="402" spans="1:12" x14ac:dyDescent="0.25">
      <c r="A402" s="159"/>
      <c r="B402" s="159"/>
      <c r="C402" s="159"/>
      <c r="D402" s="159"/>
      <c r="I402" s="159"/>
      <c r="J402" s="159"/>
      <c r="K402" s="159"/>
      <c r="L402" s="159"/>
    </row>
    <row r="403" spans="1:12" x14ac:dyDescent="0.25">
      <c r="A403" s="159" t="s">
        <v>2</v>
      </c>
      <c r="B403" s="159" t="s">
        <v>1</v>
      </c>
      <c r="C403" s="159" t="s">
        <v>416</v>
      </c>
      <c r="D403" s="159" t="s">
        <v>35</v>
      </c>
      <c r="I403" s="159" t="s">
        <v>313</v>
      </c>
      <c r="J403" s="159">
        <v>0</v>
      </c>
      <c r="K403" s="159"/>
      <c r="L403" s="159" t="s">
        <v>410</v>
      </c>
    </row>
    <row r="404" spans="1:12" x14ac:dyDescent="0.25">
      <c r="A404" t="s">
        <v>2</v>
      </c>
      <c r="B404" t="s">
        <v>1</v>
      </c>
      <c r="C404" t="s">
        <v>416</v>
      </c>
      <c r="D404" s="110" t="s">
        <v>35</v>
      </c>
      <c r="E404" t="str">
        <f>Foderstater!U$63</f>
        <v>ley silage, 1st cut</v>
      </c>
      <c r="I404" t="s">
        <v>313</v>
      </c>
      <c r="J404" s="13">
        <f>INDEX(Foderstater!$X$63:$AI$100,MATCH(E404,Foderstater!$U$63:$U$100,0),MATCH(A404&amp;C404&amp;D404,Foderstater!$X$62:$AI$62,0))</f>
        <v>56.668911580722877</v>
      </c>
      <c r="K404" s="159"/>
      <c r="L404" s="159"/>
    </row>
    <row r="405" spans="1:12" x14ac:dyDescent="0.25">
      <c r="A405" t="s">
        <v>2</v>
      </c>
      <c r="B405" t="s">
        <v>1</v>
      </c>
      <c r="C405" t="s">
        <v>416</v>
      </c>
      <c r="D405" s="110" t="s">
        <v>35</v>
      </c>
      <c r="E405" t="str">
        <f>Foderstater!U$64</f>
        <v>ley silage, regrowth</v>
      </c>
      <c r="I405" t="s">
        <v>313</v>
      </c>
      <c r="J405" s="13">
        <f>INDEX(Foderstater!$X$63:$AI$100,MATCH(E405,Foderstater!$U$63:$U$100,0),MATCH(A405&amp;C405&amp;D405,Foderstater!$X$62:$AI$62,0))</f>
        <v>0</v>
      </c>
      <c r="K405" s="159"/>
      <c r="L405" s="159"/>
    </row>
    <row r="406" spans="1:12" x14ac:dyDescent="0.25">
      <c r="A406" t="s">
        <v>2</v>
      </c>
      <c r="B406" t="s">
        <v>1</v>
      </c>
      <c r="C406" t="s">
        <v>416</v>
      </c>
      <c r="D406" s="110" t="s">
        <v>35</v>
      </c>
      <c r="E406" t="str">
        <f>Foderstater!U$65</f>
        <v>other silage</v>
      </c>
      <c r="I406" t="s">
        <v>313</v>
      </c>
      <c r="J406" s="13">
        <f>INDEX(Foderstater!$X$63:$AI$100,MATCH(E406,Foderstater!$U$63:$U$100,0),MATCH(A406&amp;C406&amp;D406,Foderstater!$X$62:$AI$62,0))</f>
        <v>0</v>
      </c>
      <c r="K406" s="159"/>
      <c r="L406" s="159"/>
    </row>
    <row r="407" spans="1:12" x14ac:dyDescent="0.25">
      <c r="A407" t="s">
        <v>2</v>
      </c>
      <c r="B407" t="s">
        <v>1</v>
      </c>
      <c r="C407" t="s">
        <v>416</v>
      </c>
      <c r="D407" s="110" t="s">
        <v>35</v>
      </c>
      <c r="E407" t="str">
        <f>Foderstater!U$66</f>
        <v>maize silage</v>
      </c>
      <c r="I407" t="s">
        <v>313</v>
      </c>
      <c r="J407" s="13">
        <f>INDEX(Foderstater!$X$63:$AI$100,MATCH(E407,Foderstater!$U$63:$U$100,0),MATCH(A407&amp;C407&amp;D407,Foderstater!$X$62:$AI$62,0))</f>
        <v>13.226790925693349</v>
      </c>
      <c r="K407" s="159"/>
      <c r="L407" s="159"/>
    </row>
    <row r="408" spans="1:12" x14ac:dyDescent="0.25">
      <c r="A408" t="s">
        <v>2</v>
      </c>
      <c r="B408" t="s">
        <v>1</v>
      </c>
      <c r="C408" t="s">
        <v>416</v>
      </c>
      <c r="D408" s="110" t="s">
        <v>35</v>
      </c>
      <c r="E408" t="str">
        <f>Foderstater!U$67</f>
        <v>straw</v>
      </c>
      <c r="I408" t="s">
        <v>313</v>
      </c>
      <c r="J408" s="13">
        <f>INDEX(Foderstater!$X$63:$AI$100,MATCH(E408,Foderstater!$U$63:$U$100,0),MATCH(A408&amp;C408&amp;D408,Foderstater!$X$62:$AI$62,0))</f>
        <v>0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416</v>
      </c>
      <c r="D409" s="110" t="s">
        <v>35</v>
      </c>
      <c r="E409" t="str">
        <f>Foderstater!U$68</f>
        <v>grazing</v>
      </c>
      <c r="I409" t="s">
        <v>313</v>
      </c>
      <c r="J409" s="13">
        <f>INDEX(Foderstater!$X$63:$AI$100,MATCH(E409,Foderstater!$U$63:$U$100,0),MATCH(A409&amp;C409&amp;D409,Foderstater!$X$62:$AI$62,0))</f>
        <v>0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416</v>
      </c>
      <c r="D410" s="110" t="s">
        <v>35</v>
      </c>
      <c r="E410" t="str">
        <f>Foderstater!U$69</f>
        <v>wheat</v>
      </c>
      <c r="I410" t="s">
        <v>313</v>
      </c>
      <c r="J410" s="13">
        <f>INDEX(Foderstater!$X$63:$AI$100,MATCH(E410,Foderstater!$U$63:$U$100,0),MATCH(A410&amp;C410&amp;D410,Foderstater!$X$62:$AI$62,0))</f>
        <v>6.3615760162052783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416</v>
      </c>
      <c r="D411" s="110" t="s">
        <v>35</v>
      </c>
      <c r="E411" t="str">
        <f>Foderstater!U$70</f>
        <v>barley</v>
      </c>
      <c r="I411" t="s">
        <v>313</v>
      </c>
      <c r="J411" s="13">
        <f>INDEX(Foderstater!$X$63:$AI$100,MATCH(E411,Foderstater!$U$63:$U$100,0),MATCH(A411&amp;C411&amp;D411,Foderstater!$X$62:$AI$62,0))</f>
        <v>12.896189928777954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416</v>
      </c>
      <c r="D412" s="110" t="s">
        <v>35</v>
      </c>
      <c r="E412" t="str">
        <f>Foderstater!U$71</f>
        <v>oats</v>
      </c>
      <c r="I412" t="s">
        <v>313</v>
      </c>
      <c r="J412" s="13">
        <f>INDEX(Foderstater!$X$63:$AI$100,MATCH(E412,Foderstater!$U$63:$U$100,0),MATCH(A412&amp;C412&amp;D412,Foderstater!$X$62:$AI$62,0))</f>
        <v>2.68903535703005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416</v>
      </c>
      <c r="D413" s="110" t="s">
        <v>35</v>
      </c>
      <c r="E413" t="str">
        <f>Foderstater!U$72</f>
        <v>triticale</v>
      </c>
      <c r="I413" t="s">
        <v>313</v>
      </c>
      <c r="J413" s="13">
        <f>INDEX(Foderstater!$X$63:$AI$100,MATCH(E413,Foderstater!$U$63:$U$100,0),MATCH(A413&amp;C413&amp;D413,Foderstater!$X$62:$AI$62,0))</f>
        <v>4.9410321920692617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416</v>
      </c>
      <c r="D414" s="110" t="s">
        <v>35</v>
      </c>
      <c r="E414" t="str">
        <f>Foderstater!U$73</f>
        <v>rye</v>
      </c>
      <c r="I414" t="s">
        <v>313</v>
      </c>
      <c r="J414" s="13">
        <f>INDEX(Foderstater!$X$63:$AI$100,MATCH(E414,Foderstater!$U$63:$U$100,0),MATCH(A414&amp;C414&amp;D414,Foderstater!$X$62:$AI$62,0))</f>
        <v>1.3668084713412143E-3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416</v>
      </c>
      <c r="D415" s="110" t="s">
        <v>35</v>
      </c>
      <c r="E415" t="str">
        <f>Foderstater!U$74</f>
        <v>maize</v>
      </c>
      <c r="I415" t="s">
        <v>313</v>
      </c>
      <c r="J415" s="13">
        <f>INDEX(Foderstater!$X$63:$AI$100,MATCH(E415,Foderstater!$U$63:$U$100,0),MATCH(A415&amp;C415&amp;D415,Foderstater!$X$62:$AI$62,0))</f>
        <v>4.8255588786707375E-2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416</v>
      </c>
      <c r="D416" s="110" t="s">
        <v>35</v>
      </c>
      <c r="E416" t="str">
        <f>Foderstater!U$75</f>
        <v>peas</v>
      </c>
      <c r="I416" t="s">
        <v>313</v>
      </c>
      <c r="J416" s="13">
        <f>INDEX(Foderstater!$X$63:$AI$100,MATCH(E416,Foderstater!$U$63:$U$100,0),MATCH(A416&amp;C416&amp;D416,Foderstater!$X$62:$AI$62,0))</f>
        <v>0.43086866195785822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416</v>
      </c>
      <c r="D417" s="110" t="s">
        <v>35</v>
      </c>
      <c r="E417" t="str">
        <f>Foderstater!U$76</f>
        <v>broad beans</v>
      </c>
      <c r="I417" t="s">
        <v>313</v>
      </c>
      <c r="J417" s="13">
        <f>INDEX(Foderstater!$X$63:$AI$100,MATCH(E417,Foderstater!$U$63:$U$100,0),MATCH(A417&amp;C417&amp;D417,Foderstater!$X$62:$AI$62,0))</f>
        <v>0.42774566708132739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416</v>
      </c>
      <c r="D418" s="110" t="s">
        <v>35</v>
      </c>
      <c r="E418" t="str">
        <f>Foderstater!U$77</f>
        <v>rapeseed</v>
      </c>
      <c r="I418" t="s">
        <v>313</v>
      </c>
      <c r="J418" s="13">
        <f>INDEX(Foderstater!$X$63:$AI$100,MATCH(E418,Foderstater!$U$63:$U$100,0),MATCH(A418&amp;C418&amp;D418,Foderstater!$X$62:$AI$62,0))</f>
        <v>0.41024818659446338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416</v>
      </c>
      <c r="D419" s="110" t="s">
        <v>35</v>
      </c>
      <c r="E419" t="str">
        <f>Foderstater!U$78</f>
        <v>linseed</v>
      </c>
      <c r="I419" t="s">
        <v>313</v>
      </c>
      <c r="J419" s="13">
        <f>INDEX(Foderstater!$X$63:$AI$100,MATCH(E419,Foderstater!$U$63:$U$100,0),MATCH(A419&amp;C419&amp;D419,Foderstater!$X$62:$AI$62,0))</f>
        <v>3.0262318054907772E-4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416</v>
      </c>
      <c r="D420" s="110" t="s">
        <v>35</v>
      </c>
      <c r="E420" t="str">
        <f>Foderstater!U$79</f>
        <v>vegetable oils</v>
      </c>
      <c r="I420" t="s">
        <v>313</v>
      </c>
      <c r="J420" s="13">
        <f>INDEX(Foderstater!$X$63:$AI$100,MATCH(E420,Foderstater!$U$63:$U$100,0),MATCH(A420&amp;C420&amp;D420,Foderstater!$X$62:$AI$62,0))</f>
        <v>7.8128041579790201E-3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416</v>
      </c>
      <c r="D421" s="110" t="s">
        <v>35</v>
      </c>
      <c r="E421" t="str">
        <f>Foderstater!U$80</f>
        <v>soybeans</v>
      </c>
      <c r="I421" t="s">
        <v>313</v>
      </c>
      <c r="J421" s="13">
        <f>INDEX(Foderstater!$X$63:$AI$100,MATCH(E421,Foderstater!$U$63:$U$100,0),MATCH(A421&amp;C421&amp;D421,Foderstater!$X$62:$AI$62,0))</f>
        <v>7.6349102327017302E-3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416</v>
      </c>
      <c r="D422" s="110" t="s">
        <v>35</v>
      </c>
      <c r="E422" t="str">
        <f>Foderstater!U$81</f>
        <v>soybean meal</v>
      </c>
      <c r="I422" t="s">
        <v>313</v>
      </c>
      <c r="J422" s="13">
        <f>INDEX(Foderstater!$X$63:$AI$100,MATCH(E422,Foderstater!$U$63:$U$100,0),MATCH(A422&amp;C422&amp;D422,Foderstater!$X$62:$AI$62,0))</f>
        <v>6.9742072143510206E-2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416</v>
      </c>
      <c r="D423" s="110" t="s">
        <v>35</v>
      </c>
      <c r="E423" t="str">
        <f>Foderstater!U$82</f>
        <v>soybean protein concentrate</v>
      </c>
      <c r="I423" t="s">
        <v>313</v>
      </c>
      <c r="J423" s="13">
        <f>INDEX(Foderstater!$X$63:$AI$100,MATCH(E423,Foderstater!$U$63:$U$100,0),MATCH(A423&amp;C423&amp;D423,Foderstater!$X$62:$AI$62,0))</f>
        <v>0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416</v>
      </c>
      <c r="D424" s="110" t="s">
        <v>35</v>
      </c>
      <c r="E424" t="str">
        <f>Foderstater!U$83</f>
        <v>rapeseed meal</v>
      </c>
      <c r="I424" t="s">
        <v>313</v>
      </c>
      <c r="J424" s="13">
        <f>INDEX(Foderstater!$X$63:$AI$100,MATCH(E424,Foderstater!$U$63:$U$100,0),MATCH(A424&amp;C424&amp;D424,Foderstater!$X$62:$AI$62,0))</f>
        <v>0.53866215040479692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416</v>
      </c>
      <c r="D425" s="110" t="s">
        <v>35</v>
      </c>
      <c r="E425" t="str">
        <f>Foderstater!U$84</f>
        <v>sunflower seed meal</v>
      </c>
      <c r="I425" t="s">
        <v>313</v>
      </c>
      <c r="J425" s="13">
        <f>INDEX(Foderstater!$X$63:$AI$100,MATCH(E425,Foderstater!$U$63:$U$100,0),MATCH(A425&amp;C425&amp;D425,Foderstater!$X$62:$AI$62,0))</f>
        <v>7.441096219600373E-3</v>
      </c>
    </row>
    <row r="426" spans="1:12" x14ac:dyDescent="0.25">
      <c r="A426" t="s">
        <v>2</v>
      </c>
      <c r="B426" t="s">
        <v>1</v>
      </c>
      <c r="C426" t="s">
        <v>416</v>
      </c>
      <c r="D426" s="110" t="s">
        <v>35</v>
      </c>
      <c r="E426" t="str">
        <f>Foderstater!U$85</f>
        <v>palm kernel expeller</v>
      </c>
      <c r="I426" t="s">
        <v>313</v>
      </c>
      <c r="J426" s="13">
        <f>INDEX(Foderstater!$X$63:$AI$100,MATCH(E426,Foderstater!$U$63:$U$100,0),MATCH(A426&amp;C426&amp;D426,Foderstater!$X$62:$AI$62,0))</f>
        <v>4.8351641667911303E-2</v>
      </c>
    </row>
    <row r="427" spans="1:12" x14ac:dyDescent="0.25">
      <c r="A427" t="s">
        <v>2</v>
      </c>
      <c r="B427" t="s">
        <v>1</v>
      </c>
      <c r="C427" t="s">
        <v>416</v>
      </c>
      <c r="D427" s="110" t="s">
        <v>35</v>
      </c>
      <c r="E427" t="str">
        <f>Foderstater!U$86</f>
        <v>luzern meal</v>
      </c>
      <c r="I427" t="s">
        <v>313</v>
      </c>
      <c r="J427" s="13">
        <f>INDEX(Foderstater!$X$63:$AI$100,MATCH(E427,Foderstater!$U$63:$U$100,0),MATCH(A427&amp;C427&amp;D427,Foderstater!$X$62:$AI$62,0))</f>
        <v>1.4708038471063079E-2</v>
      </c>
    </row>
    <row r="428" spans="1:12" x14ac:dyDescent="0.25">
      <c r="A428" t="s">
        <v>2</v>
      </c>
      <c r="B428" t="s">
        <v>1</v>
      </c>
      <c r="C428" t="s">
        <v>416</v>
      </c>
      <c r="D428" s="110" t="s">
        <v>35</v>
      </c>
      <c r="E428" t="str">
        <f>Foderstater!U$87</f>
        <v>wheat bran</v>
      </c>
      <c r="I428" t="s">
        <v>313</v>
      </c>
      <c r="J428" s="13">
        <f>INDEX(Foderstater!$X$63:$AI$100,MATCH(E428,Foderstater!$U$63:$U$100,0),MATCH(A428&amp;C428&amp;D428,Foderstater!$X$62:$AI$62,0))</f>
        <v>0.16024605474932127</v>
      </c>
    </row>
    <row r="429" spans="1:12" x14ac:dyDescent="0.25">
      <c r="A429" t="s">
        <v>2</v>
      </c>
      <c r="B429" t="s">
        <v>1</v>
      </c>
      <c r="C429" t="s">
        <v>416</v>
      </c>
      <c r="D429" s="110" t="s">
        <v>35</v>
      </c>
      <c r="E429" t="str">
        <f>Foderstater!U$88</f>
        <v>wheat bran, fine</v>
      </c>
      <c r="I429" t="s">
        <v>313</v>
      </c>
      <c r="J429" s="13">
        <f>INDEX(Foderstater!$X$63:$AI$100,MATCH(E429,Foderstater!$U$63:$U$100,0),MATCH(A429&amp;C429&amp;D429,Foderstater!$X$62:$AI$62,0))</f>
        <v>4.2007468138700703E-4</v>
      </c>
    </row>
    <row r="430" spans="1:12" x14ac:dyDescent="0.25">
      <c r="A430" t="s">
        <v>2</v>
      </c>
      <c r="B430" t="s">
        <v>1</v>
      </c>
      <c r="C430" t="s">
        <v>416</v>
      </c>
      <c r="D430" s="110" t="s">
        <v>35</v>
      </c>
      <c r="E430" t="str">
        <f>Foderstater!U$89</f>
        <v>oat hulls</v>
      </c>
      <c r="I430" t="s">
        <v>313</v>
      </c>
      <c r="J430" s="13">
        <f>INDEX(Foderstater!$X$63:$AI$100,MATCH(E430,Foderstater!$U$63:$U$100,0),MATCH(A430&amp;C430&amp;D430,Foderstater!$X$62:$AI$62,0))</f>
        <v>1.9300079142998843E-2</v>
      </c>
    </row>
    <row r="431" spans="1:12" x14ac:dyDescent="0.25">
      <c r="A431" t="s">
        <v>2</v>
      </c>
      <c r="B431" t="s">
        <v>1</v>
      </c>
      <c r="C431" t="s">
        <v>416</v>
      </c>
      <c r="D431" s="110" t="s">
        <v>35</v>
      </c>
      <c r="E431" t="str">
        <f>Foderstater!U$90</f>
        <v>oat bran</v>
      </c>
      <c r="I431" t="s">
        <v>313</v>
      </c>
      <c r="J431" s="13">
        <f>INDEX(Foderstater!$X$63:$AI$100,MATCH(E431,Foderstater!$U$63:$U$100,0),MATCH(A431&amp;C431&amp;D431,Foderstater!$X$62:$AI$62,0))</f>
        <v>2.178231902054312E-3</v>
      </c>
    </row>
    <row r="432" spans="1:12" x14ac:dyDescent="0.25">
      <c r="A432" t="s">
        <v>2</v>
      </c>
      <c r="B432" t="s">
        <v>1</v>
      </c>
      <c r="C432" t="s">
        <v>416</v>
      </c>
      <c r="D432" s="110" t="s">
        <v>35</v>
      </c>
      <c r="E432" t="str">
        <f>Foderstater!U$91</f>
        <v>rye bran</v>
      </c>
      <c r="I432" t="s">
        <v>313</v>
      </c>
      <c r="J432" s="13">
        <f>INDEX(Foderstater!$X$63:$AI$100,MATCH(E432,Foderstater!$U$63:$U$100,0),MATCH(A432&amp;C432&amp;D432,Foderstater!$X$62:$AI$62,0))</f>
        <v>6.7176907982054394E-3</v>
      </c>
    </row>
    <row r="433" spans="1:13" x14ac:dyDescent="0.25">
      <c r="A433" t="s">
        <v>2</v>
      </c>
      <c r="B433" t="s">
        <v>1</v>
      </c>
      <c r="C433" t="s">
        <v>416</v>
      </c>
      <c r="D433" s="110" t="s">
        <v>35</v>
      </c>
      <c r="E433" t="str">
        <f>Foderstater!U$92</f>
        <v>wheat distillers grain, dry</v>
      </c>
      <c r="I433" t="s">
        <v>313</v>
      </c>
      <c r="J433" s="13">
        <f>INDEX(Foderstater!$X$63:$AI$100,MATCH(E433,Foderstater!$U$63:$U$100,0),MATCH(A433&amp;C433&amp;D433,Foderstater!$X$62:$AI$62,0))</f>
        <v>0.17224928546106344</v>
      </c>
    </row>
    <row r="434" spans="1:13" x14ac:dyDescent="0.25">
      <c r="A434" t="s">
        <v>2</v>
      </c>
      <c r="B434" t="s">
        <v>1</v>
      </c>
      <c r="C434" t="s">
        <v>416</v>
      </c>
      <c r="D434" s="110" t="s">
        <v>35</v>
      </c>
      <c r="E434" t="str">
        <f>Foderstater!U$93</f>
        <v>barley brewers grain</v>
      </c>
      <c r="I434" t="s">
        <v>313</v>
      </c>
      <c r="J434" s="13">
        <f>INDEX(Foderstater!$X$63:$AI$100,MATCH(E434,Foderstater!$U$63:$U$100,0),MATCH(A434&amp;C434&amp;D434,Foderstater!$X$62:$AI$62,0))</f>
        <v>0</v>
      </c>
    </row>
    <row r="435" spans="1:13" x14ac:dyDescent="0.25">
      <c r="A435" t="s">
        <v>2</v>
      </c>
      <c r="B435" t="s">
        <v>1</v>
      </c>
      <c r="C435" t="s">
        <v>416</v>
      </c>
      <c r="D435" s="110" t="s">
        <v>35</v>
      </c>
      <c r="E435" t="str">
        <f>Foderstater!U$94</f>
        <v>maize gluten meal</v>
      </c>
      <c r="I435" t="s">
        <v>313</v>
      </c>
      <c r="J435" s="13">
        <f>INDEX(Foderstater!$X$63:$AI$100,MATCH(E435,Foderstater!$U$63:$U$100,0),MATCH(A435&amp;C435&amp;D435,Foderstater!$X$62:$AI$62,0))</f>
        <v>5.2048326492629164E-3</v>
      </c>
    </row>
    <row r="436" spans="1:13" x14ac:dyDescent="0.25">
      <c r="A436" t="s">
        <v>2</v>
      </c>
      <c r="B436" t="s">
        <v>1</v>
      </c>
      <c r="C436" t="s">
        <v>416</v>
      </c>
      <c r="D436" s="110" t="s">
        <v>35</v>
      </c>
      <c r="E436" t="str">
        <f>Foderstater!U$95</f>
        <v>sugar beet molasses</v>
      </c>
      <c r="I436" t="s">
        <v>313</v>
      </c>
      <c r="J436" s="13">
        <f>INDEX(Foderstater!$X$63:$AI$100,MATCH(E436,Foderstater!$U$63:$U$100,0),MATCH(A436&amp;C436&amp;D436,Foderstater!$X$62:$AI$62,0))</f>
        <v>5.7718437607039867E-2</v>
      </c>
    </row>
    <row r="437" spans="1:13" x14ac:dyDescent="0.25">
      <c r="A437" t="s">
        <v>2</v>
      </c>
      <c r="B437" t="s">
        <v>1</v>
      </c>
      <c r="C437" t="s">
        <v>416</v>
      </c>
      <c r="D437" s="110" t="s">
        <v>35</v>
      </c>
      <c r="E437" t="str">
        <f>Foderstater!U$96</f>
        <v>sugar beet pulp</v>
      </c>
      <c r="I437" t="s">
        <v>313</v>
      </c>
      <c r="J437" s="13">
        <f>INDEX(Foderstater!$X$63:$AI$100,MATCH(E437,Foderstater!$U$63:$U$100,0),MATCH(A437&amp;C437&amp;D437,Foderstater!$X$62:$AI$62,0))</f>
        <v>0.11137229063707067</v>
      </c>
    </row>
    <row r="438" spans="1:13" x14ac:dyDescent="0.25">
      <c r="A438" t="s">
        <v>2</v>
      </c>
      <c r="B438" t="s">
        <v>1</v>
      </c>
      <c r="C438" t="s">
        <v>416</v>
      </c>
      <c r="D438" s="110" t="s">
        <v>35</v>
      </c>
      <c r="E438" t="str">
        <f>Foderstater!U$97</f>
        <v>whey powder</v>
      </c>
      <c r="I438" t="s">
        <v>313</v>
      </c>
      <c r="J438" s="13">
        <f>INDEX(Foderstater!$X$63:$AI$100,MATCH(E438,Foderstater!$U$63:$U$100,0),MATCH(A438&amp;C438&amp;D438,Foderstater!$X$62:$AI$62,0))</f>
        <v>0</v>
      </c>
    </row>
    <row r="439" spans="1:13" x14ac:dyDescent="0.25">
      <c r="A439" t="s">
        <v>2</v>
      </c>
      <c r="B439" t="s">
        <v>1</v>
      </c>
      <c r="C439" t="s">
        <v>416</v>
      </c>
      <c r="D439" s="110" t="s">
        <v>35</v>
      </c>
      <c r="E439" t="str">
        <f>Foderstater!U$98</f>
        <v>potatoe protein</v>
      </c>
      <c r="I439" t="s">
        <v>313</v>
      </c>
      <c r="J439" s="13">
        <f>INDEX(Foderstater!$X$63:$AI$100,MATCH(E439,Foderstater!$U$63:$U$100,0),MATCH(A439&amp;C439&amp;D439,Foderstater!$X$62:$AI$62,0))</f>
        <v>5.0989093136080688E-4</v>
      </c>
    </row>
    <row r="440" spans="1:13" x14ac:dyDescent="0.25">
      <c r="A440" t="s">
        <v>2</v>
      </c>
      <c r="B440" t="s">
        <v>1</v>
      </c>
      <c r="C440" t="s">
        <v>416</v>
      </c>
      <c r="D440" s="110" t="s">
        <v>35</v>
      </c>
      <c r="E440" t="str">
        <f>Foderstater!U$99</f>
        <v>fish meal</v>
      </c>
      <c r="I440" t="s">
        <v>313</v>
      </c>
      <c r="J440" s="13">
        <f>INDEX(Foderstater!$X$63:$AI$100,MATCH(E440,Foderstater!$U$63:$U$100,0),MATCH(A440&amp;C440&amp;D440,Foderstater!$X$62:$AI$62,0))</f>
        <v>0</v>
      </c>
    </row>
    <row r="441" spans="1:13" x14ac:dyDescent="0.25">
      <c r="A441" t="s">
        <v>2</v>
      </c>
      <c r="B441" t="s">
        <v>1</v>
      </c>
      <c r="C441" t="s">
        <v>416</v>
      </c>
      <c r="D441" s="110" t="s">
        <v>35</v>
      </c>
      <c r="E441" t="str">
        <f>Foderstater!U$100</f>
        <v>minerals</v>
      </c>
      <c r="I441" t="s">
        <v>313</v>
      </c>
      <c r="J441" s="13">
        <f>INDEX(Foderstater!$X$63:$AI$100,MATCH(E441,Foderstater!$U$63:$U$100,0),MATCH(A441&amp;C441&amp;D441,Foderstater!$X$62:$AI$62,0))</f>
        <v>0.66740688157168271</v>
      </c>
    </row>
    <row r="443" spans="1:13" x14ac:dyDescent="0.25">
      <c r="A443" s="100" t="s">
        <v>294</v>
      </c>
      <c r="B443" s="100"/>
      <c r="C443" s="100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</row>
    <row r="444" spans="1:13" x14ac:dyDescent="0.25">
      <c r="A444" s="91" t="s">
        <v>64</v>
      </c>
      <c r="B444" s="163"/>
      <c r="C444" s="163"/>
      <c r="D444" s="90"/>
      <c r="E444" s="90"/>
      <c r="F444" s="90"/>
      <c r="G444" s="90"/>
      <c r="H444" s="90"/>
      <c r="I444" s="90"/>
      <c r="J444" s="164"/>
      <c r="K444" s="90"/>
      <c r="L444" s="90"/>
      <c r="M444" s="90"/>
    </row>
    <row r="445" spans="1:13" x14ac:dyDescent="0.25">
      <c r="A445" s="159" t="s">
        <v>38</v>
      </c>
      <c r="B445" s="159"/>
      <c r="C445" s="159"/>
      <c r="D445" s="159" t="s">
        <v>18</v>
      </c>
      <c r="I445" s="159" t="s">
        <v>313</v>
      </c>
      <c r="J445" s="159">
        <v>0</v>
      </c>
      <c r="K445" s="159"/>
      <c r="L445" s="159" t="s">
        <v>410</v>
      </c>
    </row>
    <row r="446" spans="1:13" x14ac:dyDescent="0.25">
      <c r="A446" t="s">
        <v>38</v>
      </c>
      <c r="D446" t="s">
        <v>18</v>
      </c>
      <c r="E446" t="str">
        <f>Foderstater!U$63</f>
        <v>ley silage, 1st cut</v>
      </c>
      <c r="I446" t="s">
        <v>313</v>
      </c>
      <c r="J446" s="13">
        <f>INDEX(Foderstater!$X$63:$AI$100,MATCH(E446,Foderstater!$U$63:$U$100,0),MATCH(A446&amp;C446&amp;D446,Foderstater!$X$62:$AI$62,0))</f>
        <v>0</v>
      </c>
      <c r="K446" s="159"/>
      <c r="L446" s="159"/>
    </row>
    <row r="447" spans="1:13" x14ac:dyDescent="0.25">
      <c r="A447" t="s">
        <v>38</v>
      </c>
      <c r="D447" t="s">
        <v>18</v>
      </c>
      <c r="E447" t="str">
        <f>Foderstater!U$64</f>
        <v>ley silage, regrowth</v>
      </c>
      <c r="I447" t="s">
        <v>313</v>
      </c>
      <c r="J447" s="13">
        <f>INDEX(Foderstater!$X$63:$AI$100,MATCH(E447,Foderstater!$U$63:$U$100,0),MATCH(A447&amp;C447&amp;D447,Foderstater!$X$62:$AI$62,0))</f>
        <v>19.638470390756044</v>
      </c>
      <c r="K447" s="159"/>
      <c r="L447" s="159"/>
    </row>
    <row r="448" spans="1:13" x14ac:dyDescent="0.25">
      <c r="A448" t="s">
        <v>38</v>
      </c>
      <c r="D448" t="s">
        <v>18</v>
      </c>
      <c r="E448" t="str">
        <f>Foderstater!U$65</f>
        <v>other silage</v>
      </c>
      <c r="I448" t="s">
        <v>313</v>
      </c>
      <c r="J448" s="13">
        <f>INDEX(Foderstater!$X$63:$AI$100,MATCH(E448,Foderstater!$U$63:$U$100,0),MATCH(A448&amp;C448&amp;D448,Foderstater!$X$62:$AI$62,0))</f>
        <v>20.321711421281208</v>
      </c>
      <c r="K448" s="159"/>
      <c r="L448" s="159"/>
    </row>
    <row r="449" spans="1:12" x14ac:dyDescent="0.25">
      <c r="A449" t="s">
        <v>38</v>
      </c>
      <c r="D449" t="s">
        <v>18</v>
      </c>
      <c r="E449" t="str">
        <f>Foderstater!U$66</f>
        <v>maize silage</v>
      </c>
      <c r="I449" t="s">
        <v>313</v>
      </c>
      <c r="J449" s="13">
        <f>INDEX(Foderstater!$X$63:$AI$100,MATCH(E449,Foderstater!$U$63:$U$100,0),MATCH(A449&amp;C449&amp;D449,Foderstater!$X$62:$AI$62,0))</f>
        <v>0</v>
      </c>
      <c r="K449" s="159"/>
      <c r="L449" s="159"/>
    </row>
    <row r="450" spans="1:12" x14ac:dyDescent="0.25">
      <c r="A450" t="s">
        <v>38</v>
      </c>
      <c r="D450" t="s">
        <v>18</v>
      </c>
      <c r="E450" t="str">
        <f>Foderstater!U$67</f>
        <v>straw</v>
      </c>
      <c r="I450" t="s">
        <v>313</v>
      </c>
      <c r="J450" s="13">
        <f>INDEX(Foderstater!$X$63:$AI$100,MATCH(E450,Foderstater!$U$63:$U$100,0),MATCH(A450&amp;C450&amp;D450,Foderstater!$X$62:$AI$62,0))</f>
        <v>1.1297448457337229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Foderstater!U$68</f>
        <v>grazing</v>
      </c>
      <c r="I451" t="s">
        <v>313</v>
      </c>
      <c r="J451" s="13">
        <f>INDEX(Foderstater!$X$63:$AI$100,MATCH(E451,Foderstater!$U$63:$U$100,0),MATCH(A451&amp;C451&amp;D451,Foderstater!$X$62:$AI$62,0))</f>
        <v>58.050981669759572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Foderstater!U$69</f>
        <v>wheat</v>
      </c>
      <c r="I452" t="s">
        <v>313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Foderstater!U$70</f>
        <v>barley</v>
      </c>
      <c r="I453" t="s">
        <v>313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Foderstater!U$71</f>
        <v>oats</v>
      </c>
      <c r="I454" t="s">
        <v>313</v>
      </c>
      <c r="J454" s="13">
        <f>INDEX(Foderstater!$X$63:$AI$100,MATCH(E454,Foderstater!$U$63:$U$100,0),MATCH(A454&amp;C454&amp;D454,Foderstater!$X$62:$AI$62,0))</f>
        <v>0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Foderstater!U$72</f>
        <v>triticale</v>
      </c>
      <c r="I455" t="s">
        <v>313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Foderstater!U$73</f>
        <v>rye</v>
      </c>
      <c r="I456" t="s">
        <v>313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Foderstater!U$74</f>
        <v>maize</v>
      </c>
      <c r="I457" t="s">
        <v>313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Foderstater!U$75</f>
        <v>peas</v>
      </c>
      <c r="I458" t="s">
        <v>313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Foderstater!U$76</f>
        <v>broad beans</v>
      </c>
      <c r="I459" t="s">
        <v>313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Foderstater!U$77</f>
        <v>rapeseed</v>
      </c>
      <c r="I460" t="s">
        <v>313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Foderstater!U$78</f>
        <v>linseed</v>
      </c>
      <c r="I461" t="s">
        <v>313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Foderstater!U$79</f>
        <v>vegetable oils</v>
      </c>
      <c r="I462" t="s">
        <v>313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Foderstater!U$80</f>
        <v>soybeans</v>
      </c>
      <c r="I463" t="s">
        <v>313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Foderstater!U$81</f>
        <v>soybean meal</v>
      </c>
      <c r="I464" t="s">
        <v>313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Foderstater!U$82</f>
        <v>soybean protein concentrate</v>
      </c>
      <c r="I465" t="s">
        <v>313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Foderstater!U$83</f>
        <v>rapeseed meal</v>
      </c>
      <c r="I466" t="s">
        <v>313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D467" t="s">
        <v>18</v>
      </c>
      <c r="E467" t="str">
        <f>Foderstater!U$84</f>
        <v>sunflower seed meal</v>
      </c>
      <c r="I467" t="s">
        <v>313</v>
      </c>
      <c r="J467" s="13">
        <f>INDEX(Foderstater!$X$63:$AI$100,MATCH(E467,Foderstater!$U$63:$U$100,0),MATCH(A467&amp;C467&amp;D467,Foderstater!$X$62:$AI$62,0))</f>
        <v>0</v>
      </c>
    </row>
    <row r="468" spans="1:12" x14ac:dyDescent="0.25">
      <c r="A468" t="s">
        <v>38</v>
      </c>
      <c r="D468" t="s">
        <v>18</v>
      </c>
      <c r="E468" t="str">
        <f>Foderstater!U$85</f>
        <v>palm kernel expeller</v>
      </c>
      <c r="I468" t="s">
        <v>313</v>
      </c>
      <c r="J468" s="13">
        <f>INDEX(Foderstater!$X$63:$AI$100,MATCH(E468,Foderstater!$U$63:$U$100,0),MATCH(A468&amp;C468&amp;D468,Foderstater!$X$62:$AI$62,0))</f>
        <v>0</v>
      </c>
    </row>
    <row r="469" spans="1:12" x14ac:dyDescent="0.25">
      <c r="A469" t="s">
        <v>38</v>
      </c>
      <c r="D469" t="s">
        <v>18</v>
      </c>
      <c r="E469" t="str">
        <f>Foderstater!U$86</f>
        <v>luzern meal</v>
      </c>
      <c r="I469" t="s">
        <v>313</v>
      </c>
      <c r="J469" s="13">
        <f>INDEX(Foderstater!$X$63:$AI$100,MATCH(E469,Foderstater!$U$63:$U$100,0),MATCH(A469&amp;C469&amp;D469,Foderstater!$X$62:$AI$62,0))</f>
        <v>0</v>
      </c>
    </row>
    <row r="470" spans="1:12" x14ac:dyDescent="0.25">
      <c r="A470" t="s">
        <v>38</v>
      </c>
      <c r="D470" t="s">
        <v>18</v>
      </c>
      <c r="E470" t="str">
        <f>Foderstater!U$87</f>
        <v>wheat bran</v>
      </c>
      <c r="I470" t="s">
        <v>313</v>
      </c>
      <c r="J470" s="13">
        <f>INDEX(Foderstater!$X$63:$AI$100,MATCH(E470,Foderstater!$U$63:$U$100,0),MATCH(A470&amp;C470&amp;D470,Foderstater!$X$62:$AI$62,0))</f>
        <v>0</v>
      </c>
    </row>
    <row r="471" spans="1:12" x14ac:dyDescent="0.25">
      <c r="A471" t="s">
        <v>38</v>
      </c>
      <c r="D471" t="s">
        <v>18</v>
      </c>
      <c r="E471" t="str">
        <f>Foderstater!U$88</f>
        <v>wheat bran, fine</v>
      </c>
      <c r="I471" t="s">
        <v>313</v>
      </c>
      <c r="J471" s="13">
        <f>INDEX(Foderstater!$X$63:$AI$100,MATCH(E471,Foderstater!$U$63:$U$100,0),MATCH(A471&amp;C471&amp;D471,Foderstater!$X$62:$AI$62,0))</f>
        <v>0</v>
      </c>
    </row>
    <row r="472" spans="1:12" x14ac:dyDescent="0.25">
      <c r="A472" t="s">
        <v>38</v>
      </c>
      <c r="D472" t="s">
        <v>18</v>
      </c>
      <c r="E472" t="str">
        <f>Foderstater!U$89</f>
        <v>oat hulls</v>
      </c>
      <c r="I472" t="s">
        <v>313</v>
      </c>
      <c r="J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18</v>
      </c>
      <c r="E473" t="str">
        <f>Foderstater!U$90</f>
        <v>oat bran</v>
      </c>
      <c r="I473" t="s">
        <v>313</v>
      </c>
      <c r="J473" s="13">
        <f>INDEX(Foderstater!$X$63:$AI$100,MATCH(E473,Foderstater!$U$63:$U$100,0),MATCH(A473&amp;C473&amp;D473,Foderstater!$X$62:$AI$62,0))</f>
        <v>0</v>
      </c>
    </row>
    <row r="474" spans="1:12" x14ac:dyDescent="0.25">
      <c r="A474" t="s">
        <v>38</v>
      </c>
      <c r="D474" t="s">
        <v>18</v>
      </c>
      <c r="E474" t="str">
        <f>Foderstater!U$91</f>
        <v>rye bran</v>
      </c>
      <c r="I474" t="s">
        <v>313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Foderstater!U$92</f>
        <v>wheat distillers grain, dry</v>
      </c>
      <c r="I475" t="s">
        <v>313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Foderstater!U$93</f>
        <v>barley brewers grain</v>
      </c>
      <c r="I476" t="s">
        <v>313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Foderstater!U$94</f>
        <v>maize gluten meal</v>
      </c>
      <c r="I477" t="s">
        <v>313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Foderstater!U$95</f>
        <v>sugar beet molasses</v>
      </c>
      <c r="I478" t="s">
        <v>313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Foderstater!U$96</f>
        <v>sugar beet pulp</v>
      </c>
      <c r="I479" t="s">
        <v>313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Foderstater!U$97</f>
        <v>whey powder</v>
      </c>
      <c r="I480" t="s">
        <v>313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Foderstater!U$98</f>
        <v>potatoe protein</v>
      </c>
      <c r="I481" t="s">
        <v>313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Foderstater!U$99</f>
        <v>fish meal</v>
      </c>
      <c r="I482" t="s">
        <v>313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Foderstater!U$100</f>
        <v>minerals</v>
      </c>
      <c r="I483" t="s">
        <v>313</v>
      </c>
      <c r="J483" s="13">
        <f>INDEX(Foderstater!$X$63:$AI$100,MATCH(E483,Foderstater!$U$63:$U$100,0),MATCH(A483&amp;C483&amp;D483,Foderstater!$X$62:$AI$62,0))</f>
        <v>0.85909167246946194</v>
      </c>
    </row>
    <row r="485" spans="1:13" x14ac:dyDescent="0.25">
      <c r="A485" s="91" t="s">
        <v>431</v>
      </c>
      <c r="B485" s="163"/>
      <c r="C485" s="163"/>
      <c r="D485" s="90"/>
      <c r="E485" s="90"/>
      <c r="F485" s="90"/>
      <c r="G485" s="90"/>
      <c r="H485" s="90"/>
      <c r="I485" s="90"/>
      <c r="J485" s="164"/>
      <c r="K485" s="90"/>
      <c r="L485" s="90"/>
      <c r="M485" s="90"/>
    </row>
    <row r="486" spans="1:13" x14ac:dyDescent="0.25">
      <c r="A486" s="159" t="s">
        <v>38</v>
      </c>
      <c r="B486" s="159"/>
      <c r="C486" s="159"/>
      <c r="D486" s="159" t="s">
        <v>20</v>
      </c>
      <c r="I486" s="159" t="s">
        <v>313</v>
      </c>
      <c r="J486" s="159">
        <v>0</v>
      </c>
      <c r="K486" s="159"/>
      <c r="L486" s="159" t="s">
        <v>410</v>
      </c>
    </row>
    <row r="487" spans="1:13" x14ac:dyDescent="0.25">
      <c r="A487" t="s">
        <v>38</v>
      </c>
      <c r="D487" t="s">
        <v>20</v>
      </c>
      <c r="E487" t="str">
        <f>Foderstater!U$63</f>
        <v>ley silage, 1st cut</v>
      </c>
      <c r="I487" t="s">
        <v>313</v>
      </c>
      <c r="J487" s="13">
        <f>INDEX(Foderstater!$X$63:$AI$100,MATCH(E487,Foderstater!$U$63:$U$100,0),MATCH(A487&amp;C487&amp;D487,Foderstater!$X$62:$AI$62,0))</f>
        <v>55.38698659192309</v>
      </c>
      <c r="K487" s="159"/>
      <c r="L487" s="159"/>
    </row>
    <row r="488" spans="1:13" x14ac:dyDescent="0.25">
      <c r="A488" t="s">
        <v>38</v>
      </c>
      <c r="D488" t="s">
        <v>20</v>
      </c>
      <c r="E488" t="str">
        <f>Foderstater!U$64</f>
        <v>ley silage, regrowth</v>
      </c>
      <c r="I488" t="s">
        <v>313</v>
      </c>
      <c r="J488" s="13">
        <f>INDEX(Foderstater!$X$63:$AI$100,MATCH(E488,Foderstater!$U$63:$U$100,0),MATCH(A488&amp;C488&amp;D488,Foderstater!$X$62:$AI$62,0))</f>
        <v>0</v>
      </c>
      <c r="K488" s="159"/>
      <c r="L488" s="159"/>
    </row>
    <row r="489" spans="1:13" x14ac:dyDescent="0.25">
      <c r="A489" t="s">
        <v>38</v>
      </c>
      <c r="D489" t="s">
        <v>20</v>
      </c>
      <c r="E489" t="str">
        <f>Foderstater!U$65</f>
        <v>other silage</v>
      </c>
      <c r="I489" t="s">
        <v>313</v>
      </c>
      <c r="J489" s="13">
        <f>INDEX(Foderstater!$X$63:$AI$100,MATCH(E489,Foderstater!$U$63:$U$100,0),MATCH(A489&amp;C489&amp;D489,Foderstater!$X$62:$AI$62,0))</f>
        <v>0</v>
      </c>
      <c r="K489" s="159"/>
      <c r="L489" s="159"/>
    </row>
    <row r="490" spans="1:13" x14ac:dyDescent="0.25">
      <c r="A490" t="s">
        <v>38</v>
      </c>
      <c r="D490" t="s">
        <v>20</v>
      </c>
      <c r="E490" t="str">
        <f>Foderstater!U$66</f>
        <v>maize silage</v>
      </c>
      <c r="I490" t="s">
        <v>313</v>
      </c>
      <c r="J490" s="13">
        <f>INDEX(Foderstater!$X$63:$AI$100,MATCH(E490,Foderstater!$U$63:$U$100,0),MATCH(A490&amp;C490&amp;D490,Foderstater!$X$62:$AI$62,0))</f>
        <v>0</v>
      </c>
      <c r="K490" s="159"/>
      <c r="L490" s="159"/>
    </row>
    <row r="491" spans="1:13" x14ac:dyDescent="0.25">
      <c r="A491" t="s">
        <v>38</v>
      </c>
      <c r="D491" t="s">
        <v>20</v>
      </c>
      <c r="E491" t="str">
        <f>Foderstater!U$67</f>
        <v>straw</v>
      </c>
      <c r="I491" t="s">
        <v>313</v>
      </c>
      <c r="J491" s="13">
        <f>INDEX(Foderstater!$X$63:$AI$100,MATCH(E491,Foderstater!$U$63:$U$100,0),MATCH(A491&amp;C491&amp;D491,Foderstater!$X$62:$AI$62,0))</f>
        <v>0</v>
      </c>
      <c r="K491" s="159"/>
      <c r="L491" s="159"/>
    </row>
    <row r="492" spans="1:13" x14ac:dyDescent="0.25">
      <c r="A492" t="s">
        <v>38</v>
      </c>
      <c r="D492" t="s">
        <v>20</v>
      </c>
      <c r="E492" t="str">
        <f>Foderstater!U$68</f>
        <v>grazing</v>
      </c>
      <c r="I492" t="s">
        <v>313</v>
      </c>
      <c r="J492" s="13">
        <f>INDEX(Foderstater!$X$63:$AI$100,MATCH(E492,Foderstater!$U$63:$U$100,0),MATCH(A492&amp;C492&amp;D492,Foderstater!$X$62:$AI$62,0))</f>
        <v>21.161076246926353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Foderstater!U$69</f>
        <v>wheat</v>
      </c>
      <c r="I493" t="s">
        <v>313</v>
      </c>
      <c r="J493" s="13">
        <f>INDEX(Foderstater!$X$63:$AI$100,MATCH(E493,Foderstater!$U$63:$U$100,0),MATCH(A493&amp;C493&amp;D493,Foderstater!$X$62:$AI$62,0))</f>
        <v>5.3749925447045763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Foderstater!U$70</f>
        <v>barley</v>
      </c>
      <c r="I494" t="s">
        <v>313</v>
      </c>
      <c r="J494" s="13">
        <f>INDEX(Foderstater!$X$63:$AI$100,MATCH(E494,Foderstater!$U$63:$U$100,0),MATCH(A494&amp;C494&amp;D494,Foderstater!$X$62:$AI$62,0))</f>
        <v>9.8776139053089249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Foderstater!U$71</f>
        <v>oats</v>
      </c>
      <c r="I495" t="s">
        <v>313</v>
      </c>
      <c r="J495" s="13">
        <f>INDEX(Foderstater!$X$63:$AI$100,MATCH(E495,Foderstater!$U$63:$U$100,0),MATCH(A495&amp;C495&amp;D495,Foderstater!$X$62:$AI$62,0))</f>
        <v>2.2123443310104149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Foderstater!U$72</f>
        <v>triticale</v>
      </c>
      <c r="I496" t="s">
        <v>313</v>
      </c>
      <c r="J496" s="13">
        <f>INDEX(Foderstater!$X$63:$AI$100,MATCH(E496,Foderstater!$U$63:$U$100,0),MATCH(A496&amp;C496&amp;D496,Foderstater!$X$62:$AI$62,0))</f>
        <v>3.4759922520526634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Foderstater!U$73</f>
        <v>rye</v>
      </c>
      <c r="I497" t="s">
        <v>313</v>
      </c>
      <c r="J497" s="13">
        <f>INDEX(Foderstater!$X$63:$AI$100,MATCH(E497,Foderstater!$U$63:$U$100,0),MATCH(A497&amp;C497&amp;D497,Foderstater!$X$62:$AI$62,0))</f>
        <v>9.7729344009567475E-3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Foderstater!U$74</f>
        <v>maize</v>
      </c>
      <c r="I498" t="s">
        <v>313</v>
      </c>
      <c r="J498" s="13">
        <f>INDEX(Foderstater!$X$63:$AI$100,MATCH(E498,Foderstater!$U$63:$U$100,0),MATCH(A498&amp;C498&amp;D498,Foderstater!$X$62:$AI$62,0))</f>
        <v>4.2459669391401007E-2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Foderstater!U$75</f>
        <v>peas</v>
      </c>
      <c r="I499" t="s">
        <v>313</v>
      </c>
      <c r="J499" s="13">
        <f>INDEX(Foderstater!$X$63:$AI$100,MATCH(E499,Foderstater!$U$63:$U$100,0),MATCH(A499&amp;C499&amp;D499,Foderstater!$X$62:$AI$62,0))</f>
        <v>0.18818835539063533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Foderstater!U$76</f>
        <v>broad beans</v>
      </c>
      <c r="I500" t="s">
        <v>313</v>
      </c>
      <c r="J500" s="13">
        <f>INDEX(Foderstater!$X$63:$AI$100,MATCH(E500,Foderstater!$U$63:$U$100,0),MATCH(A500&amp;C500&amp;D500,Foderstater!$X$62:$AI$62,0))</f>
        <v>0.19513584282773944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Foderstater!U$77</f>
        <v>rapeseed</v>
      </c>
      <c r="I501" t="s">
        <v>313</v>
      </c>
      <c r="J501" s="13">
        <f>INDEX(Foderstater!$X$63:$AI$100,MATCH(E501,Foderstater!$U$63:$U$100,0),MATCH(A501&amp;C501&amp;D501,Foderstater!$X$62:$AI$62,0))</f>
        <v>0.36097378167357463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Foderstater!U$78</f>
        <v>linseed</v>
      </c>
      <c r="I502" t="s">
        <v>313</v>
      </c>
      <c r="J502" s="13">
        <f>INDEX(Foderstater!$X$63:$AI$100,MATCH(E502,Foderstater!$U$63:$U$100,0),MATCH(A502&amp;C502&amp;D502,Foderstater!$X$62:$AI$62,0))</f>
        <v>2.6627548268207211E-4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Foderstater!U$79</f>
        <v>vegetable oils</v>
      </c>
      <c r="I503" t="s">
        <v>313</v>
      </c>
      <c r="J503" s="13">
        <f>INDEX(Foderstater!$X$63:$AI$100,MATCH(E503,Foderstater!$U$63:$U$100,0),MATCH(A503&amp;C503&amp;D503,Foderstater!$X$62:$AI$62,0))</f>
        <v>6.874417863468929E-3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Foderstater!U$80</f>
        <v>soybeans</v>
      </c>
      <c r="I504" t="s">
        <v>313</v>
      </c>
      <c r="J504" s="13">
        <f>INDEX(Foderstater!$X$63:$AI$100,MATCH(E504,Foderstater!$U$63:$U$100,0),MATCH(A504&amp;C504&amp;D504,Foderstater!$X$62:$AI$62,0))</f>
        <v>6.7178905586753141E-3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Foderstater!U$81</f>
        <v>soybean meal</v>
      </c>
      <c r="I505" t="s">
        <v>313</v>
      </c>
      <c r="J505" s="13">
        <f>INDEX(Foderstater!$X$63:$AI$100,MATCH(E505,Foderstater!$U$63:$U$100,0),MATCH(A505&amp;C505&amp;D505,Foderstater!$X$62:$AI$62,0))</f>
        <v>6.1365437669271355E-2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Foderstater!U$82</f>
        <v>soybean protein concentrate</v>
      </c>
      <c r="I506" t="s">
        <v>313</v>
      </c>
      <c r="J506" s="13">
        <f>INDEX(Foderstater!$X$63:$AI$100,MATCH(E506,Foderstater!$U$63:$U$100,0),MATCH(A506&amp;C506&amp;D506,Foderstater!$X$62:$AI$62,0))</f>
        <v>0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Foderstater!U$83</f>
        <v>rapeseed meal</v>
      </c>
      <c r="I507" t="s">
        <v>313</v>
      </c>
      <c r="J507" s="13">
        <f>INDEX(Foderstater!$X$63:$AI$100,MATCH(E507,Foderstater!$U$63:$U$100,0),MATCH(A507&amp;C507&amp;D507,Foderstater!$X$62:$AI$62,0))</f>
        <v>0.47396410229169195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Foderstater!U$84</f>
        <v>sunflower seed meal</v>
      </c>
      <c r="I508" t="s">
        <v>313</v>
      </c>
      <c r="J508" s="13">
        <f>INDEX(Foderstater!$X$63:$AI$100,MATCH(E508,Foderstater!$U$63:$U$100,0),MATCH(A508&amp;C508&amp;D508,Foderstater!$X$62:$AI$62,0))</f>
        <v>6.5473553082180435E-3</v>
      </c>
    </row>
    <row r="509" spans="1:12" x14ac:dyDescent="0.25">
      <c r="A509" t="s">
        <v>38</v>
      </c>
      <c r="D509" t="s">
        <v>20</v>
      </c>
      <c r="E509" t="str">
        <f>Foderstater!U$85</f>
        <v>palm kernel expeller</v>
      </c>
      <c r="I509" t="s">
        <v>313</v>
      </c>
      <c r="J509" s="13">
        <f>INDEX(Foderstater!$X$63:$AI$100,MATCH(E509,Foderstater!$U$63:$U$100,0),MATCH(A509&amp;C509&amp;D509,Foderstater!$X$62:$AI$62,0))</f>
        <v>4.2544185479227364E-2</v>
      </c>
    </row>
    <row r="510" spans="1:12" x14ac:dyDescent="0.25">
      <c r="A510" t="s">
        <v>38</v>
      </c>
      <c r="D510" t="s">
        <v>20</v>
      </c>
      <c r="E510" t="str">
        <f>Foderstater!U$86</f>
        <v>luzern meal</v>
      </c>
      <c r="I510" t="s">
        <v>313</v>
      </c>
      <c r="J510" s="13">
        <f>INDEX(Foderstater!$X$63:$AI$100,MATCH(E510,Foderstater!$U$63:$U$100,0),MATCH(A510&amp;C510&amp;D510,Foderstater!$X$62:$AI$62,0))</f>
        <v>1.2941474067131715E-2</v>
      </c>
    </row>
    <row r="511" spans="1:12" x14ac:dyDescent="0.25">
      <c r="A511" t="s">
        <v>38</v>
      </c>
      <c r="D511" t="s">
        <v>20</v>
      </c>
      <c r="E511" t="str">
        <f>Foderstater!U$87</f>
        <v>wheat bran</v>
      </c>
      <c r="I511" t="s">
        <v>313</v>
      </c>
      <c r="J511" s="13">
        <f>INDEX(Foderstater!$X$63:$AI$100,MATCH(E511,Foderstater!$U$63:$U$100,0),MATCH(A511&amp;C511&amp;D511,Foderstater!$X$62:$AI$62,0))</f>
        <v>0.14099909828075238</v>
      </c>
    </row>
    <row r="512" spans="1:12" x14ac:dyDescent="0.25">
      <c r="A512" t="s">
        <v>38</v>
      </c>
      <c r="D512" t="s">
        <v>20</v>
      </c>
      <c r="E512" t="str">
        <f>Foderstater!U$88</f>
        <v>wheat bran, fine</v>
      </c>
      <c r="I512" t="s">
        <v>313</v>
      </c>
      <c r="J512" s="13">
        <f>INDEX(Foderstater!$X$63:$AI$100,MATCH(E512,Foderstater!$U$63:$U$100,0),MATCH(A512&amp;C512&amp;D512,Foderstater!$X$62:$AI$62,0))</f>
        <v>3.6962002826714343E-4</v>
      </c>
    </row>
    <row r="513" spans="1:13" x14ac:dyDescent="0.25">
      <c r="A513" t="s">
        <v>38</v>
      </c>
      <c r="D513" t="s">
        <v>20</v>
      </c>
      <c r="E513" t="str">
        <f>Foderstater!U$89</f>
        <v>oat hulls</v>
      </c>
      <c r="I513" t="s">
        <v>313</v>
      </c>
      <c r="J513" s="13">
        <f>INDEX(Foderstater!$X$63:$AI$100,MATCH(E513,Foderstater!$U$63:$U$100,0),MATCH(A513&amp;C513&amp;D513,Foderstater!$X$62:$AI$62,0))</f>
        <v>1.698197038402606E-2</v>
      </c>
    </row>
    <row r="514" spans="1:13" x14ac:dyDescent="0.25">
      <c r="A514" t="s">
        <v>38</v>
      </c>
      <c r="D514" t="s">
        <v>20</v>
      </c>
      <c r="E514" t="str">
        <f>Foderstater!U$90</f>
        <v>oat bran</v>
      </c>
      <c r="I514" t="s">
        <v>313</v>
      </c>
      <c r="J514" s="13">
        <f>INDEX(Foderstater!$X$63:$AI$100,MATCH(E514,Foderstater!$U$63:$U$100,0),MATCH(A514&amp;C514&amp;D514,Foderstater!$X$62:$AI$62,0))</f>
        <v>1.9166071484036143E-3</v>
      </c>
    </row>
    <row r="515" spans="1:13" x14ac:dyDescent="0.25">
      <c r="A515" t="s">
        <v>38</v>
      </c>
      <c r="D515" t="s">
        <v>20</v>
      </c>
      <c r="E515" t="str">
        <f>Foderstater!U$91</f>
        <v>rye bran</v>
      </c>
      <c r="I515" t="s">
        <v>313</v>
      </c>
      <c r="J515" s="13">
        <f>INDEX(Foderstater!$X$63:$AI$100,MATCH(E515,Foderstater!$U$63:$U$100,0),MATCH(A515&amp;C515&amp;D515,Foderstater!$X$62:$AI$62,0))</f>
        <v>5.9108372219059966E-3</v>
      </c>
    </row>
    <row r="516" spans="1:13" x14ac:dyDescent="0.25">
      <c r="A516" t="s">
        <v>38</v>
      </c>
      <c r="D516" t="s">
        <v>20</v>
      </c>
      <c r="E516" t="str">
        <f>Foderstater!U$92</f>
        <v>wheat distillers grain, dry</v>
      </c>
      <c r="I516" t="s">
        <v>313</v>
      </c>
      <c r="J516" s="13">
        <f>INDEX(Foderstater!$X$63:$AI$100,MATCH(E516,Foderstater!$U$63:$U$100,0),MATCH(A516&amp;C516&amp;D516,Foderstater!$X$62:$AI$62,0))</f>
        <v>0.15156063572052919</v>
      </c>
    </row>
    <row r="517" spans="1:13" x14ac:dyDescent="0.25">
      <c r="A517" t="s">
        <v>38</v>
      </c>
      <c r="D517" t="s">
        <v>20</v>
      </c>
      <c r="E517" t="str">
        <f>Foderstater!U$93</f>
        <v>barley brewers grain</v>
      </c>
      <c r="I517" t="s">
        <v>313</v>
      </c>
      <c r="J517" s="13">
        <f>INDEX(Foderstater!$X$63:$AI$100,MATCH(E517,Foderstater!$U$63:$U$100,0),MATCH(A517&amp;C517&amp;D517,Foderstater!$X$62:$AI$62,0))</f>
        <v>0</v>
      </c>
    </row>
    <row r="518" spans="1:13" x14ac:dyDescent="0.25">
      <c r="A518" t="s">
        <v>38</v>
      </c>
      <c r="D518" t="s">
        <v>20</v>
      </c>
      <c r="E518" t="str">
        <f>Foderstater!U$94</f>
        <v>maize gluten meal</v>
      </c>
      <c r="I518" t="s">
        <v>313</v>
      </c>
      <c r="J518" s="13">
        <f>INDEX(Foderstater!$X$63:$AI$100,MATCH(E518,Foderstater!$U$63:$U$100,0),MATCH(A518&amp;C518&amp;D518,Foderstater!$X$62:$AI$62,0))</f>
        <v>4.5796866038063828E-3</v>
      </c>
    </row>
    <row r="519" spans="1:13" x14ac:dyDescent="0.25">
      <c r="A519" t="s">
        <v>38</v>
      </c>
      <c r="D519" t="s">
        <v>20</v>
      </c>
      <c r="E519" t="str">
        <f>Foderstater!U$95</f>
        <v>sugar beet molasses</v>
      </c>
      <c r="I519" t="s">
        <v>313</v>
      </c>
      <c r="J519" s="13">
        <f>INDEX(Foderstater!$X$63:$AI$100,MATCH(E519,Foderstater!$U$63:$U$100,0),MATCH(A519&amp;C519&amp;D519,Foderstater!$X$62:$AI$62,0))</f>
        <v>5.078594708304953E-2</v>
      </c>
    </row>
    <row r="520" spans="1:13" x14ac:dyDescent="0.25">
      <c r="A520" t="s">
        <v>38</v>
      </c>
      <c r="D520" t="s">
        <v>20</v>
      </c>
      <c r="E520" t="str">
        <f>Foderstater!U$96</f>
        <v>sugar beet pulp</v>
      </c>
      <c r="I520" t="s">
        <v>313</v>
      </c>
      <c r="J520" s="13">
        <f>INDEX(Foderstater!$X$63:$AI$100,MATCH(E520,Foderstater!$U$63:$U$100,0),MATCH(A520&amp;C520&amp;D520,Foderstater!$X$62:$AI$62,0))</f>
        <v>9.7995501841553825E-2</v>
      </c>
    </row>
    <row r="521" spans="1:13" x14ac:dyDescent="0.25">
      <c r="A521" t="s">
        <v>38</v>
      </c>
      <c r="D521" t="s">
        <v>20</v>
      </c>
      <c r="E521" t="str">
        <f>Foderstater!U$97</f>
        <v>whey powder</v>
      </c>
      <c r="I521" t="s">
        <v>313</v>
      </c>
      <c r="J521" s="13">
        <f>INDEX(Foderstater!$X$63:$AI$100,MATCH(E521,Foderstater!$U$63:$U$100,0),MATCH(A521&amp;C521&amp;D521,Foderstater!$X$62:$AI$62,0))</f>
        <v>0</v>
      </c>
    </row>
    <row r="522" spans="1:13" x14ac:dyDescent="0.25">
      <c r="A522" t="s">
        <v>38</v>
      </c>
      <c r="D522" t="s">
        <v>20</v>
      </c>
      <c r="E522" t="str">
        <f>Foderstater!U$98</f>
        <v>potatoe protein</v>
      </c>
      <c r="I522" t="s">
        <v>313</v>
      </c>
      <c r="J522" s="13">
        <f>INDEX(Foderstater!$X$63:$AI$100,MATCH(E522,Foderstater!$U$63:$U$100,0),MATCH(A522&amp;C522&amp;D522,Foderstater!$X$62:$AI$62,0))</f>
        <v>4.4864855896685517E-4</v>
      </c>
    </row>
    <row r="523" spans="1:13" x14ac:dyDescent="0.25">
      <c r="A523" t="s">
        <v>38</v>
      </c>
      <c r="D523" t="s">
        <v>20</v>
      </c>
      <c r="E523" t="str">
        <f>Foderstater!U$99</f>
        <v>fish meal</v>
      </c>
      <c r="I523" t="s">
        <v>313</v>
      </c>
      <c r="J523" s="13">
        <f>INDEX(Foderstater!$X$63:$AI$100,MATCH(E523,Foderstater!$U$63:$U$100,0),MATCH(A523&amp;C523&amp;D523,Foderstater!$X$62:$AI$62,0))</f>
        <v>0</v>
      </c>
    </row>
    <row r="524" spans="1:13" x14ac:dyDescent="0.25">
      <c r="A524" t="s">
        <v>38</v>
      </c>
      <c r="D524" t="s">
        <v>20</v>
      </c>
      <c r="E524" t="str">
        <f>Foderstater!U$100</f>
        <v>minerals</v>
      </c>
      <c r="I524" t="s">
        <v>313</v>
      </c>
      <c r="J524" s="13">
        <f>INDEX(Foderstater!$X$63:$AI$100,MATCH(E524,Foderstater!$U$63:$U$100,0),MATCH(A524&amp;C524&amp;D524,Foderstater!$X$62:$AI$62,0))</f>
        <v>0.6316938527980368</v>
      </c>
    </row>
    <row r="526" spans="1:13" x14ac:dyDescent="0.25">
      <c r="A526" s="91" t="s">
        <v>431</v>
      </c>
      <c r="B526" s="163"/>
      <c r="C526" s="163"/>
      <c r="D526" s="90"/>
      <c r="E526" s="90"/>
      <c r="F526" s="90"/>
      <c r="G526" s="90"/>
      <c r="H526" s="90"/>
      <c r="I526" s="90"/>
      <c r="J526" s="164"/>
      <c r="K526" s="90"/>
      <c r="L526" s="90"/>
      <c r="M526" s="90"/>
    </row>
    <row r="527" spans="1:13" x14ac:dyDescent="0.25">
      <c r="A527" s="159" t="s">
        <v>38</v>
      </c>
      <c r="B527" s="159"/>
      <c r="C527" s="159"/>
      <c r="D527" s="159"/>
      <c r="I527" s="159" t="s">
        <v>313</v>
      </c>
      <c r="J527" s="159">
        <v>0</v>
      </c>
      <c r="K527" s="159"/>
      <c r="L527" s="159" t="s">
        <v>410</v>
      </c>
    </row>
    <row r="528" spans="1:13" x14ac:dyDescent="0.25">
      <c r="A528" t="s">
        <v>38</v>
      </c>
      <c r="E528" t="str">
        <f>Foderstater!U$63</f>
        <v>ley silage, 1st cut</v>
      </c>
      <c r="I528" t="s">
        <v>313</v>
      </c>
      <c r="J528" s="13">
        <f>INDEX(Foderstater!$X$63:$AI$100,MATCH(E528,Foderstater!$U$63:$U$100,0),MATCH(A528&amp;C528&amp;D528,Foderstater!$X$62:$AI$62,0))</f>
        <v>0</v>
      </c>
      <c r="K528" s="159"/>
      <c r="L528" s="159"/>
    </row>
    <row r="529" spans="1:12" x14ac:dyDescent="0.25">
      <c r="A529" t="s">
        <v>38</v>
      </c>
      <c r="E529" t="str">
        <f>Foderstater!U$64</f>
        <v>ley silage, regrowth</v>
      </c>
      <c r="I529" t="s">
        <v>313</v>
      </c>
      <c r="J529" s="13">
        <f>INDEX(Foderstater!$X$63:$AI$100,MATCH(E529,Foderstater!$U$63:$U$100,0),MATCH(A529&amp;C529&amp;D529,Foderstater!$X$62:$AI$62,0))</f>
        <v>68.854768967576106</v>
      </c>
      <c r="K529" s="159"/>
      <c r="L529" s="159"/>
    </row>
    <row r="530" spans="1:12" x14ac:dyDescent="0.25">
      <c r="A530" t="s">
        <v>38</v>
      </c>
      <c r="E530" t="str">
        <f>Foderstater!U$65</f>
        <v>other silage</v>
      </c>
      <c r="I530" t="s">
        <v>313</v>
      </c>
      <c r="J530" s="13">
        <f>INDEX(Foderstater!$X$63:$AI$100,MATCH(E530,Foderstater!$U$63:$U$100,0),MATCH(A530&amp;C530&amp;D530,Foderstater!$X$62:$AI$62,0))</f>
        <v>0</v>
      </c>
      <c r="K530" s="159"/>
      <c r="L530" s="159"/>
    </row>
    <row r="531" spans="1:12" x14ac:dyDescent="0.25">
      <c r="A531" t="s">
        <v>38</v>
      </c>
      <c r="E531" t="str">
        <f>Foderstater!U$66</f>
        <v>maize silage</v>
      </c>
      <c r="I531" t="s">
        <v>313</v>
      </c>
      <c r="J531" s="13">
        <f>INDEX(Foderstater!$X$63:$AI$100,MATCH(E531,Foderstater!$U$63:$U$100,0),MATCH(A531&amp;C531&amp;D531,Foderstater!$X$62:$AI$62,0))</f>
        <v>0</v>
      </c>
      <c r="K531" s="159"/>
      <c r="L531" s="159"/>
    </row>
    <row r="532" spans="1:12" x14ac:dyDescent="0.25">
      <c r="A532" t="s">
        <v>38</v>
      </c>
      <c r="E532" t="str">
        <f>Foderstater!U$67</f>
        <v>straw</v>
      </c>
      <c r="I532" t="s">
        <v>313</v>
      </c>
      <c r="J532" s="13">
        <f>INDEX(Foderstater!$X$63:$AI$100,MATCH(E532,Foderstater!$U$63:$U$100,0),MATCH(A532&amp;C532&amp;D532,Foderstater!$X$62:$AI$62,0))</f>
        <v>0</v>
      </c>
      <c r="K532" s="159"/>
      <c r="L532" s="159"/>
    </row>
    <row r="533" spans="1:12" x14ac:dyDescent="0.25">
      <c r="A533" t="s">
        <v>38</v>
      </c>
      <c r="E533" t="str">
        <f>Foderstater!U$68</f>
        <v>grazing</v>
      </c>
      <c r="I533" t="s">
        <v>313</v>
      </c>
      <c r="J533" s="13">
        <f>INDEX(Foderstater!$X$63:$AI$100,MATCH(E533,Foderstater!$U$63:$U$100,0),MATCH(A533&amp;C533&amp;D533,Foderstater!$X$62:$AI$62,0))</f>
        <v>30.425854259446911</v>
      </c>
      <c r="K533" s="159"/>
      <c r="L533" s="159"/>
    </row>
    <row r="534" spans="1:12" x14ac:dyDescent="0.25">
      <c r="A534" t="s">
        <v>38</v>
      </c>
      <c r="E534" t="str">
        <f>Foderstater!U$69</f>
        <v>wheat</v>
      </c>
      <c r="I534" t="s">
        <v>313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2" x14ac:dyDescent="0.25">
      <c r="A535" t="s">
        <v>38</v>
      </c>
      <c r="E535" t="str">
        <f>Foderstater!U$70</f>
        <v>barley</v>
      </c>
      <c r="I535" t="s">
        <v>313</v>
      </c>
      <c r="J535" s="13">
        <f>INDEX(Foderstater!$X$63:$AI$100,MATCH(E535,Foderstater!$U$63:$U$100,0),MATCH(A535&amp;C535&amp;D535,Foderstater!$X$62:$AI$62,0))</f>
        <v>0</v>
      </c>
      <c r="K535" s="159"/>
      <c r="L535" s="159"/>
    </row>
    <row r="536" spans="1:12" x14ac:dyDescent="0.25">
      <c r="A536" t="s">
        <v>38</v>
      </c>
      <c r="E536" t="str">
        <f>Foderstater!U$71</f>
        <v>oats</v>
      </c>
      <c r="I536" t="s">
        <v>313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2" x14ac:dyDescent="0.25">
      <c r="A537" t="s">
        <v>38</v>
      </c>
      <c r="E537" t="str">
        <f>Foderstater!U$72</f>
        <v>triticale</v>
      </c>
      <c r="I537" t="s">
        <v>313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2" x14ac:dyDescent="0.25">
      <c r="A538" t="s">
        <v>38</v>
      </c>
      <c r="E538" t="str">
        <f>Foderstater!U$73</f>
        <v>rye</v>
      </c>
      <c r="I538" t="s">
        <v>313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2" x14ac:dyDescent="0.25">
      <c r="A539" t="s">
        <v>38</v>
      </c>
      <c r="E539" t="str">
        <f>Foderstater!U$74</f>
        <v>maize</v>
      </c>
      <c r="I539" t="s">
        <v>313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2" x14ac:dyDescent="0.25">
      <c r="A540" t="s">
        <v>38</v>
      </c>
      <c r="E540" t="str">
        <f>Foderstater!U$75</f>
        <v>peas</v>
      </c>
      <c r="I540" t="s">
        <v>313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2" x14ac:dyDescent="0.25">
      <c r="A541" t="s">
        <v>38</v>
      </c>
      <c r="E541" t="str">
        <f>Foderstater!U$76</f>
        <v>broad beans</v>
      </c>
      <c r="I541" t="s">
        <v>313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2" x14ac:dyDescent="0.25">
      <c r="A542" t="s">
        <v>38</v>
      </c>
      <c r="E542" t="str">
        <f>Foderstater!U$77</f>
        <v>rapeseed</v>
      </c>
      <c r="I542" t="s">
        <v>313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2" x14ac:dyDescent="0.25">
      <c r="A543" t="s">
        <v>38</v>
      </c>
      <c r="E543" t="str">
        <f>Foderstater!U$78</f>
        <v>linseed</v>
      </c>
      <c r="I543" t="s">
        <v>313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2" x14ac:dyDescent="0.25">
      <c r="A544" t="s">
        <v>38</v>
      </c>
      <c r="E544" t="str">
        <f>Foderstater!U$79</f>
        <v>vegetable oils</v>
      </c>
      <c r="I544" t="s">
        <v>313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Foderstater!U$80</f>
        <v>soybeans</v>
      </c>
      <c r="I545" t="s">
        <v>313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Foderstater!U$81</f>
        <v>soybean meal</v>
      </c>
      <c r="I546" t="s">
        <v>313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Foderstater!U$82</f>
        <v>soybean protein concentrate</v>
      </c>
      <c r="I547" t="s">
        <v>313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Foderstater!U$83</f>
        <v>rapeseed meal</v>
      </c>
      <c r="I548" t="s">
        <v>313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Foderstater!U$84</f>
        <v>sunflower seed meal</v>
      </c>
      <c r="I549" t="s">
        <v>313</v>
      </c>
      <c r="J549" s="13">
        <f>INDEX(Foderstater!$X$63:$AI$100,MATCH(E549,Foderstater!$U$63:$U$100,0),MATCH(A549&amp;C549&amp;D549,Foderstater!$X$62:$AI$62,0))</f>
        <v>0</v>
      </c>
    </row>
    <row r="550" spans="1:12" x14ac:dyDescent="0.25">
      <c r="A550" t="s">
        <v>38</v>
      </c>
      <c r="E550" t="str">
        <f>Foderstater!U$85</f>
        <v>palm kernel expeller</v>
      </c>
      <c r="I550" t="s">
        <v>313</v>
      </c>
      <c r="J550" s="13">
        <f>INDEX(Foderstater!$X$63:$AI$100,MATCH(E550,Foderstater!$U$63:$U$100,0),MATCH(A550&amp;C550&amp;D550,Foderstater!$X$62:$AI$62,0))</f>
        <v>0</v>
      </c>
    </row>
    <row r="551" spans="1:12" x14ac:dyDescent="0.25">
      <c r="A551" t="s">
        <v>38</v>
      </c>
      <c r="E551" t="str">
        <f>Foderstater!U$86</f>
        <v>luzern meal</v>
      </c>
      <c r="I551" t="s">
        <v>313</v>
      </c>
      <c r="J551" s="13">
        <f>INDEX(Foderstater!$X$63:$AI$100,MATCH(E551,Foderstater!$U$63:$U$100,0),MATCH(A551&amp;C551&amp;D551,Foderstater!$X$62:$AI$62,0))</f>
        <v>0</v>
      </c>
    </row>
    <row r="552" spans="1:12" x14ac:dyDescent="0.25">
      <c r="A552" t="s">
        <v>38</v>
      </c>
      <c r="E552" t="str">
        <f>Foderstater!U$87</f>
        <v>wheat bran</v>
      </c>
      <c r="I552" t="s">
        <v>313</v>
      </c>
      <c r="J552" s="13">
        <f>INDEX(Foderstater!$X$63:$AI$100,MATCH(E552,Foderstater!$U$63:$U$100,0),MATCH(A552&amp;C552&amp;D552,Foderstater!$X$62:$AI$62,0))</f>
        <v>0</v>
      </c>
    </row>
    <row r="553" spans="1:12" x14ac:dyDescent="0.25">
      <c r="A553" t="s">
        <v>38</v>
      </c>
      <c r="E553" t="str">
        <f>Foderstater!U$88</f>
        <v>wheat bran, fine</v>
      </c>
      <c r="I553" t="s">
        <v>313</v>
      </c>
      <c r="J553" s="13">
        <f>INDEX(Foderstater!$X$63:$AI$100,MATCH(E553,Foderstater!$U$63:$U$100,0),MATCH(A553&amp;C553&amp;D553,Foderstater!$X$62:$AI$62,0))</f>
        <v>0</v>
      </c>
    </row>
    <row r="554" spans="1:12" x14ac:dyDescent="0.25">
      <c r="A554" t="s">
        <v>38</v>
      </c>
      <c r="E554" t="str">
        <f>Foderstater!U$89</f>
        <v>oat hulls</v>
      </c>
      <c r="I554" t="s">
        <v>313</v>
      </c>
      <c r="J554" s="13">
        <f>INDEX(Foderstater!$X$63:$AI$100,MATCH(E554,Foderstater!$U$63:$U$100,0),MATCH(A554&amp;C554&amp;D554,Foderstater!$X$62:$AI$62,0))</f>
        <v>0</v>
      </c>
    </row>
    <row r="555" spans="1:12" x14ac:dyDescent="0.25">
      <c r="A555" t="s">
        <v>38</v>
      </c>
      <c r="E555" t="str">
        <f>Foderstater!U$90</f>
        <v>oat bran</v>
      </c>
      <c r="I555" t="s">
        <v>313</v>
      </c>
      <c r="J555" s="13">
        <f>INDEX(Foderstater!$X$63:$AI$100,MATCH(E555,Foderstater!$U$63:$U$100,0),MATCH(A555&amp;C555&amp;D555,Foderstater!$X$62:$AI$62,0))</f>
        <v>0</v>
      </c>
    </row>
    <row r="556" spans="1:12" x14ac:dyDescent="0.25">
      <c r="A556" t="s">
        <v>38</v>
      </c>
      <c r="E556" t="str">
        <f>Foderstater!U$91</f>
        <v>rye bran</v>
      </c>
      <c r="I556" t="s">
        <v>313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Foderstater!U$92</f>
        <v>wheat distillers grain, dry</v>
      </c>
      <c r="I557" t="s">
        <v>313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Foderstater!U$93</f>
        <v>barley brewers grain</v>
      </c>
      <c r="I558" t="s">
        <v>313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Foderstater!U$94</f>
        <v>maize gluten meal</v>
      </c>
      <c r="I559" t="s">
        <v>313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Foderstater!U$95</f>
        <v>sugar beet molasses</v>
      </c>
      <c r="I560" t="s">
        <v>313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Foderstater!U$96</f>
        <v>sugar beet pulp</v>
      </c>
      <c r="I561" t="s">
        <v>313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Foderstater!U$97</f>
        <v>whey powder</v>
      </c>
      <c r="I562" t="s">
        <v>313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Foderstater!U$98</f>
        <v>potatoe protein</v>
      </c>
      <c r="I563" t="s">
        <v>313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Foderstater!U$99</f>
        <v>fish meal</v>
      </c>
      <c r="I564" t="s">
        <v>313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Foderstater!U$100</f>
        <v>minerals</v>
      </c>
      <c r="I565" t="s">
        <v>313</v>
      </c>
      <c r="J565" s="13">
        <f>INDEX(Foderstater!$X$63:$AI$100,MATCH(E565,Foderstater!$U$63:$U$100,0),MATCH(A565&amp;C565&amp;D565,Foderstater!$X$62:$AI$62,0))</f>
        <v>0.71937677297698155</v>
      </c>
    </row>
    <row r="567" spans="1:13" x14ac:dyDescent="0.25">
      <c r="A567" s="91" t="s">
        <v>76</v>
      </c>
      <c r="B567" s="163"/>
      <c r="C567" s="163"/>
      <c r="D567" s="90"/>
      <c r="E567" s="90"/>
      <c r="F567" s="90"/>
      <c r="G567" s="90"/>
      <c r="H567" s="90"/>
      <c r="I567" s="90"/>
      <c r="J567" s="164"/>
      <c r="K567" s="90"/>
      <c r="L567" s="90"/>
      <c r="M567" s="90"/>
    </row>
    <row r="568" spans="1:13" x14ac:dyDescent="0.25">
      <c r="A568" s="159" t="s">
        <v>38</v>
      </c>
      <c r="B568" s="159"/>
      <c r="C568" s="159"/>
      <c r="D568" s="159" t="s">
        <v>35</v>
      </c>
      <c r="I568" s="159" t="s">
        <v>313</v>
      </c>
      <c r="J568" s="159">
        <v>0</v>
      </c>
      <c r="K568" s="159"/>
      <c r="L568" s="159" t="s">
        <v>410</v>
      </c>
    </row>
    <row r="569" spans="1:13" x14ac:dyDescent="0.25">
      <c r="A569" t="s">
        <v>38</v>
      </c>
      <c r="D569" t="s">
        <v>35</v>
      </c>
      <c r="E569" t="str">
        <f>Foderstater!U$63</f>
        <v>ley silage, 1st cut</v>
      </c>
      <c r="I569" t="s">
        <v>313</v>
      </c>
      <c r="J569" s="13">
        <f>INDEX(Foderstater!$X$63:$AI$100,MATCH(E569,Foderstater!$U$63:$U$100,0),MATCH(A569&amp;C569&amp;D569,Foderstater!$X$62:$AI$62,0))</f>
        <v>60.138713626619086</v>
      </c>
      <c r="K569" s="159"/>
      <c r="L569" s="159"/>
    </row>
    <row r="570" spans="1:13" x14ac:dyDescent="0.25">
      <c r="A570" t="s">
        <v>38</v>
      </c>
      <c r="D570" t="s">
        <v>35</v>
      </c>
      <c r="E570" t="str">
        <f>Foderstater!U$64</f>
        <v>ley silage, regrowth</v>
      </c>
      <c r="I570" t="s">
        <v>313</v>
      </c>
      <c r="J570" s="13">
        <f>INDEX(Foderstater!$X$63:$AI$100,MATCH(E570,Foderstater!$U$63:$U$100,0),MATCH(A570&amp;C570&amp;D570,Foderstater!$X$62:$AI$62,0))</f>
        <v>0</v>
      </c>
      <c r="K570" s="159"/>
      <c r="L570" s="159"/>
    </row>
    <row r="571" spans="1:13" x14ac:dyDescent="0.25">
      <c r="A571" t="s">
        <v>38</v>
      </c>
      <c r="D571" t="s">
        <v>35</v>
      </c>
      <c r="E571" t="str">
        <f>Foderstater!U$65</f>
        <v>other silage</v>
      </c>
      <c r="I571" t="s">
        <v>313</v>
      </c>
      <c r="J571" s="13">
        <f>INDEX(Foderstater!$X$63:$AI$100,MATCH(E571,Foderstater!$U$63:$U$100,0),MATCH(A571&amp;C571&amp;D571,Foderstater!$X$62:$AI$62,0))</f>
        <v>0</v>
      </c>
      <c r="K571" s="159"/>
      <c r="L571" s="159"/>
    </row>
    <row r="572" spans="1:13" x14ac:dyDescent="0.25">
      <c r="A572" t="s">
        <v>38</v>
      </c>
      <c r="D572" t="s">
        <v>35</v>
      </c>
      <c r="E572" t="str">
        <f>Foderstater!U$66</f>
        <v>maize silage</v>
      </c>
      <c r="I572" t="s">
        <v>313</v>
      </c>
      <c r="J572" s="13">
        <f>INDEX(Foderstater!$X$63:$AI$100,MATCH(E572,Foderstater!$U$63:$U$100,0),MATCH(A572&amp;C572&amp;D572,Foderstater!$X$62:$AI$62,0))</f>
        <v>0</v>
      </c>
      <c r="K572" s="159"/>
      <c r="L572" s="159"/>
    </row>
    <row r="573" spans="1:13" x14ac:dyDescent="0.25">
      <c r="A573" t="s">
        <v>38</v>
      </c>
      <c r="D573" t="s">
        <v>35</v>
      </c>
      <c r="E573" t="str">
        <f>Foderstater!U$67</f>
        <v>straw</v>
      </c>
      <c r="I573" t="s">
        <v>313</v>
      </c>
      <c r="J573" s="13">
        <f>INDEX(Foderstater!$X$63:$AI$100,MATCH(E573,Foderstater!$U$63:$U$100,0),MATCH(A573&amp;C573&amp;D573,Foderstater!$X$62:$AI$62,0))</f>
        <v>0</v>
      </c>
      <c r="K573" s="159"/>
      <c r="L573" s="159"/>
    </row>
    <row r="574" spans="1:13" x14ac:dyDescent="0.25">
      <c r="A574" t="s">
        <v>38</v>
      </c>
      <c r="D574" t="s">
        <v>35</v>
      </c>
      <c r="E574" t="str">
        <f>Foderstater!U$68</f>
        <v>grazing</v>
      </c>
      <c r="I574" t="s">
        <v>313</v>
      </c>
      <c r="J574" s="13">
        <f>INDEX(Foderstater!$X$63:$AI$100,MATCH(E574,Foderstater!$U$63:$U$100,0),MATCH(A574&amp;C574&amp;D574,Foderstater!$X$62:$AI$62,0))</f>
        <v>0</v>
      </c>
      <c r="K574" s="159"/>
      <c r="L574" s="159"/>
    </row>
    <row r="575" spans="1:13" x14ac:dyDescent="0.25">
      <c r="A575" t="s">
        <v>38</v>
      </c>
      <c r="D575" t="s">
        <v>35</v>
      </c>
      <c r="E575" t="str">
        <f>Foderstater!U$69</f>
        <v>wheat</v>
      </c>
      <c r="I575" t="s">
        <v>313</v>
      </c>
      <c r="J575" s="13">
        <f>INDEX(Foderstater!$X$63:$AI$100,MATCH(E575,Foderstater!$U$63:$U$100,0),MATCH(A575&amp;C575&amp;D575,Foderstater!$X$62:$AI$62,0))</f>
        <v>8.7950802360888023</v>
      </c>
      <c r="K575" s="159"/>
      <c r="L575" s="159"/>
    </row>
    <row r="576" spans="1:13" x14ac:dyDescent="0.25">
      <c r="A576" t="s">
        <v>38</v>
      </c>
      <c r="D576" t="s">
        <v>35</v>
      </c>
      <c r="E576" t="str">
        <f>Foderstater!U$70</f>
        <v>barley</v>
      </c>
      <c r="I576" t="s">
        <v>313</v>
      </c>
      <c r="J576" s="13">
        <f>INDEX(Foderstater!$X$63:$AI$100,MATCH(E576,Foderstater!$U$63:$U$100,0),MATCH(A576&amp;C576&amp;D576,Foderstater!$X$62:$AI$62,0))</f>
        <v>16.456273052444185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Foderstater!U$71</f>
        <v>oats</v>
      </c>
      <c r="I577" t="s">
        <v>313</v>
      </c>
      <c r="J577" s="13">
        <f>INDEX(Foderstater!$X$63:$AI$100,MATCH(E577,Foderstater!$U$63:$U$100,0),MATCH(A577&amp;C577&amp;D577,Foderstater!$X$62:$AI$62,0))</f>
        <v>3.6372465594215786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Foderstater!U$72</f>
        <v>triticale</v>
      </c>
      <c r="I578" t="s">
        <v>313</v>
      </c>
      <c r="J578" s="13">
        <f>INDEX(Foderstater!$X$63:$AI$100,MATCH(E578,Foderstater!$U$63:$U$100,0),MATCH(A578&amp;C578&amp;D578,Foderstater!$X$62:$AI$62,0))</f>
        <v>5.8891480485237606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Foderstater!U$73</f>
        <v>rye</v>
      </c>
      <c r="I579" t="s">
        <v>313</v>
      </c>
      <c r="J579" s="13">
        <f>INDEX(Foderstater!$X$63:$AI$100,MATCH(E579,Foderstater!$U$63:$U$100,0),MATCH(A579&amp;C579&amp;D579,Foderstater!$X$62:$AI$62,0))</f>
        <v>1.3507533293838584E-2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Foderstater!U$74</f>
        <v>maize</v>
      </c>
      <c r="I580" t="s">
        <v>313</v>
      </c>
      <c r="J580" s="13">
        <f>INDEX(Foderstater!$X$63:$AI$100,MATCH(E580,Foderstater!$U$63:$U$100,0),MATCH(A580&amp;C580&amp;D580,Foderstater!$X$62:$AI$62,0))</f>
        <v>5.8685075988393134E-2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Foderstater!U$75</f>
        <v>peas</v>
      </c>
      <c r="I581" t="s">
        <v>313</v>
      </c>
      <c r="J581" s="13">
        <f>INDEX(Foderstater!$X$63:$AI$100,MATCH(E581,Foderstater!$U$63:$U$100,0),MATCH(A581&amp;C581&amp;D581,Foderstater!$X$62:$AI$62,0))</f>
        <v>1.230521308754674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Foderstater!U$76</f>
        <v>broad beans</v>
      </c>
      <c r="I582" t="s">
        <v>313</v>
      </c>
      <c r="J582" s="13">
        <f>INDEX(Foderstater!$X$63:$AI$100,MATCH(E582,Foderstater!$U$63:$U$100,0),MATCH(A582&amp;C582&amp;D582,Foderstater!$X$62:$AI$62,0))</f>
        <v>1.1908458068725807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Foderstater!U$77</f>
        <v>rapeseed</v>
      </c>
      <c r="I583" t="s">
        <v>313</v>
      </c>
      <c r="J583" s="13">
        <f>INDEX(Foderstater!$X$63:$AI$100,MATCH(E583,Foderstater!$U$63:$U$100,0),MATCH(A583&amp;C583&amp;D583,Foderstater!$X$62:$AI$62,0))</f>
        <v>0.49891518495011011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Foderstater!U$78</f>
        <v>linseed</v>
      </c>
      <c r="I584" t="s">
        <v>313</v>
      </c>
      <c r="J584" s="13">
        <f>INDEX(Foderstater!$X$63:$AI$100,MATCH(E584,Foderstater!$U$63:$U$100,0),MATCH(A584&amp;C584&amp;D584,Foderstater!$X$62:$AI$62,0))</f>
        <v>3.6802917118822752E-4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Foderstater!U$79</f>
        <v>vegetable oils</v>
      </c>
      <c r="I585" t="s">
        <v>313</v>
      </c>
      <c r="J585" s="13">
        <f>INDEX(Foderstater!$X$63:$AI$100,MATCH(E585,Foderstater!$U$63:$U$100,0),MATCH(A585&amp;C585&amp;D585,Foderstater!$X$62:$AI$62,0))</f>
        <v>9.5013866211436822E-3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Foderstater!U$80</f>
        <v>soybeans</v>
      </c>
      <c r="I586" t="s">
        <v>313</v>
      </c>
      <c r="J586" s="13">
        <f>INDEX(Foderstater!$X$63:$AI$100,MATCH(E586,Foderstater!$U$63:$U$100,0),MATCH(A586&amp;C586&amp;D586,Foderstater!$X$62:$AI$62,0))</f>
        <v>9.2850444567383218E-3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Foderstater!U$81</f>
        <v>soybean meal</v>
      </c>
      <c r="I587" t="s">
        <v>313</v>
      </c>
      <c r="J587" s="13">
        <f>INDEX(Foderstater!$X$63:$AI$100,MATCH(E587,Foderstater!$U$63:$U$100,0),MATCH(A587&amp;C587&amp;D587,Foderstater!$X$62:$AI$62,0))</f>
        <v>8.4815436019657742E-2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Foderstater!U$82</f>
        <v>soybean protein concentrate</v>
      </c>
      <c r="I588" t="s">
        <v>313</v>
      </c>
      <c r="J588" s="13">
        <f>INDEX(Foderstater!$X$63:$AI$100,MATCH(E588,Foderstater!$U$63:$U$100,0),MATCH(A588&amp;C588&amp;D588,Foderstater!$X$62:$AI$62,0))</f>
        <v>0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Foderstater!U$83</f>
        <v>rapeseed meal</v>
      </c>
      <c r="I589" t="s">
        <v>313</v>
      </c>
      <c r="J589" s="13">
        <f>INDEX(Foderstater!$X$63:$AI$100,MATCH(E589,Foderstater!$U$63:$U$100,0),MATCH(A589&amp;C589&amp;D589,Foderstater!$X$62:$AI$62,0))</f>
        <v>0.65508327684698231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Foderstater!U$84</f>
        <v>sunflower seed meal</v>
      </c>
      <c r="I590" t="s">
        <v>313</v>
      </c>
      <c r="J590" s="13">
        <f>INDEX(Foderstater!$X$63:$AI$100,MATCH(E590,Foderstater!$U$63:$U$100,0),MATCH(A590&amp;C590&amp;D590,Foderstater!$X$62:$AI$62,0))</f>
        <v>9.0493413936850002E-3</v>
      </c>
    </row>
    <row r="591" spans="1:12" x14ac:dyDescent="0.25">
      <c r="A591" t="s">
        <v>38</v>
      </c>
      <c r="D591" t="s">
        <v>35</v>
      </c>
      <c r="E591" t="str">
        <f>Foderstater!U$85</f>
        <v>palm kernel expeller</v>
      </c>
      <c r="I591" t="s">
        <v>313</v>
      </c>
      <c r="J591" s="13">
        <f>INDEX(Foderstater!$X$63:$AI$100,MATCH(E591,Foderstater!$U$63:$U$100,0),MATCH(A591&amp;C591&amp;D591,Foderstater!$X$62:$AI$62,0))</f>
        <v>5.880188879234155E-2</v>
      </c>
    </row>
    <row r="592" spans="1:12" x14ac:dyDescent="0.25">
      <c r="A592" t="s">
        <v>38</v>
      </c>
      <c r="D592" t="s">
        <v>35</v>
      </c>
      <c r="E592" t="str">
        <f>Foderstater!U$86</f>
        <v>luzern meal</v>
      </c>
      <c r="I592" t="s">
        <v>313</v>
      </c>
      <c r="J592" s="13">
        <f>INDEX(Foderstater!$X$63:$AI$100,MATCH(E592,Foderstater!$U$63:$U$100,0),MATCH(A592&amp;C592&amp;D592,Foderstater!$X$62:$AI$62,0))</f>
        <v>1.7886888897567656E-2</v>
      </c>
    </row>
    <row r="593" spans="1:12" x14ac:dyDescent="0.25">
      <c r="A593" t="s">
        <v>38</v>
      </c>
      <c r="D593" t="s">
        <v>35</v>
      </c>
      <c r="E593" t="str">
        <f>Foderstater!U$87</f>
        <v>wheat bran</v>
      </c>
      <c r="I593" t="s">
        <v>313</v>
      </c>
      <c r="J593" s="13">
        <f>INDEX(Foderstater!$X$63:$AI$100,MATCH(E593,Foderstater!$U$63:$U$100,0),MATCH(A593&amp;C593&amp;D593,Foderstater!$X$62:$AI$62,0))</f>
        <v>0.19488005713432707</v>
      </c>
    </row>
    <row r="594" spans="1:12" x14ac:dyDescent="0.25">
      <c r="A594" t="s">
        <v>38</v>
      </c>
      <c r="D594" t="s">
        <v>35</v>
      </c>
      <c r="E594" t="str">
        <f>Foderstater!U$88</f>
        <v>wheat bran, fine</v>
      </c>
      <c r="I594" t="s">
        <v>313</v>
      </c>
      <c r="J594" s="13">
        <f>INDEX(Foderstater!$X$63:$AI$100,MATCH(E594,Foderstater!$U$63:$U$100,0),MATCH(A594&amp;C594&amp;D594,Foderstater!$X$62:$AI$62,0))</f>
        <v>5.108654814463125E-4</v>
      </c>
    </row>
    <row r="595" spans="1:12" x14ac:dyDescent="0.25">
      <c r="A595" t="s">
        <v>38</v>
      </c>
      <c r="D595" t="s">
        <v>35</v>
      </c>
      <c r="E595" t="str">
        <f>Foderstater!U$89</f>
        <v>oat hulls</v>
      </c>
      <c r="I595" t="s">
        <v>313</v>
      </c>
      <c r="J595" s="13">
        <f>INDEX(Foderstater!$X$63:$AI$100,MATCH(E595,Foderstater!$U$63:$U$100,0),MATCH(A595&amp;C595&amp;D595,Foderstater!$X$62:$AI$62,0))</f>
        <v>2.3471407966757316E-2</v>
      </c>
    </row>
    <row r="596" spans="1:12" x14ac:dyDescent="0.25">
      <c r="A596" t="s">
        <v>38</v>
      </c>
      <c r="D596" t="s">
        <v>35</v>
      </c>
      <c r="E596" t="str">
        <f>Foderstater!U$90</f>
        <v>oat bran</v>
      </c>
      <c r="I596" t="s">
        <v>313</v>
      </c>
      <c r="J596" s="13">
        <f>INDEX(Foderstater!$X$63:$AI$100,MATCH(E596,Foderstater!$U$63:$U$100,0),MATCH(A596&amp;C596&amp;D596,Foderstater!$X$62:$AI$62,0))</f>
        <v>2.6490134698680073E-3</v>
      </c>
    </row>
    <row r="597" spans="1:12" x14ac:dyDescent="0.25">
      <c r="A597" t="s">
        <v>38</v>
      </c>
      <c r="D597" t="s">
        <v>35</v>
      </c>
      <c r="E597" t="str">
        <f>Foderstater!U$91</f>
        <v>rye bran</v>
      </c>
      <c r="I597" t="s">
        <v>313</v>
      </c>
      <c r="J597" s="13">
        <f>INDEX(Foderstater!$X$63:$AI$100,MATCH(E597,Foderstater!$U$63:$U$100,0),MATCH(A597&amp;C597&amp;D597,Foderstater!$X$62:$AI$62,0))</f>
        <v>8.1695862566661028E-3</v>
      </c>
    </row>
    <row r="598" spans="1:12" x14ac:dyDescent="0.25">
      <c r="A598" t="s">
        <v>38</v>
      </c>
      <c r="D598" t="s">
        <v>35</v>
      </c>
      <c r="E598" t="str">
        <f>Foderstater!U$92</f>
        <v>wheat distillers grain, dry</v>
      </c>
      <c r="I598" t="s">
        <v>313</v>
      </c>
      <c r="J598" s="13">
        <f>INDEX(Foderstater!$X$63:$AI$100,MATCH(E598,Foderstater!$U$63:$U$100,0),MATCH(A598&amp;C598&amp;D598,Foderstater!$X$62:$AI$62,0))</f>
        <v>0.20947754779055638</v>
      </c>
    </row>
    <row r="599" spans="1:12" x14ac:dyDescent="0.25">
      <c r="A599" t="s">
        <v>38</v>
      </c>
      <c r="D599" t="s">
        <v>35</v>
      </c>
      <c r="E599" t="str">
        <f>Foderstater!U$93</f>
        <v>barley brewers grain</v>
      </c>
      <c r="I599" t="s">
        <v>313</v>
      </c>
      <c r="J599" s="13">
        <f>INDEX(Foderstater!$X$63:$AI$100,MATCH(E599,Foderstater!$U$63:$U$100,0),MATCH(A599&amp;C599&amp;D599,Foderstater!$X$62:$AI$62,0))</f>
        <v>0</v>
      </c>
    </row>
    <row r="600" spans="1:12" x14ac:dyDescent="0.25">
      <c r="A600" t="s">
        <v>38</v>
      </c>
      <c r="D600" t="s">
        <v>35</v>
      </c>
      <c r="E600" t="str">
        <f>Foderstater!U$94</f>
        <v>maize gluten meal</v>
      </c>
      <c r="I600" t="s">
        <v>313</v>
      </c>
      <c r="J600" s="13">
        <f>INDEX(Foderstater!$X$63:$AI$100,MATCH(E600,Foderstater!$U$63:$U$100,0),MATCH(A600&amp;C600&amp;D600,Foderstater!$X$62:$AI$62,0))</f>
        <v>6.3297538628935548E-3</v>
      </c>
    </row>
    <row r="601" spans="1:12" x14ac:dyDescent="0.25">
      <c r="A601" t="s">
        <v>38</v>
      </c>
      <c r="D601" t="s">
        <v>35</v>
      </c>
      <c r="E601" t="str">
        <f>Foderstater!U$95</f>
        <v>sugar beet molasses</v>
      </c>
      <c r="I601" t="s">
        <v>313</v>
      </c>
      <c r="J601" s="13">
        <f>INDEX(Foderstater!$X$63:$AI$100,MATCH(E601,Foderstater!$U$63:$U$100,0),MATCH(A601&amp;C601&amp;D601,Foderstater!$X$62:$AI$62,0))</f>
        <v>7.0193131657187727E-2</v>
      </c>
    </row>
    <row r="602" spans="1:12" x14ac:dyDescent="0.25">
      <c r="A602" t="s">
        <v>38</v>
      </c>
      <c r="D602" t="s">
        <v>35</v>
      </c>
      <c r="E602" t="str">
        <f>Foderstater!U$96</f>
        <v>sugar beet pulp</v>
      </c>
      <c r="I602" t="s">
        <v>313</v>
      </c>
      <c r="J602" s="13">
        <f>INDEX(Foderstater!$X$63:$AI$100,MATCH(E602,Foderstater!$U$63:$U$100,0),MATCH(A602&amp;C602&amp;D602,Foderstater!$X$62:$AI$62,0))</f>
        <v>0.13544319950020575</v>
      </c>
    </row>
    <row r="603" spans="1:12" x14ac:dyDescent="0.25">
      <c r="A603" t="s">
        <v>38</v>
      </c>
      <c r="D603" t="s">
        <v>35</v>
      </c>
      <c r="E603" t="str">
        <f>Foderstater!U$97</f>
        <v>whey powder</v>
      </c>
      <c r="I603" t="s">
        <v>313</v>
      </c>
      <c r="J603" s="13">
        <f>INDEX(Foderstater!$X$63:$AI$100,MATCH(E603,Foderstater!$U$63:$U$100,0),MATCH(A603&amp;C603&amp;D603,Foderstater!$X$62:$AI$62,0))</f>
        <v>0</v>
      </c>
    </row>
    <row r="604" spans="1:12" x14ac:dyDescent="0.25">
      <c r="A604" t="s">
        <v>38</v>
      </c>
      <c r="D604" t="s">
        <v>35</v>
      </c>
      <c r="E604" t="str">
        <f>Foderstater!U$98</f>
        <v>potatoe protein</v>
      </c>
      <c r="I604" t="s">
        <v>313</v>
      </c>
      <c r="J604" s="13">
        <f>INDEX(Foderstater!$X$63:$AI$100,MATCH(E604,Foderstater!$U$63:$U$100,0),MATCH(A604&amp;C604&amp;D604,Foderstater!$X$62:$AI$62,0))</f>
        <v>6.2009373017834091E-4</v>
      </c>
    </row>
    <row r="605" spans="1:12" x14ac:dyDescent="0.25">
      <c r="A605" t="s">
        <v>38</v>
      </c>
      <c r="D605" t="s">
        <v>35</v>
      </c>
      <c r="E605" t="str">
        <f>Foderstater!U$99</f>
        <v>fish meal</v>
      </c>
      <c r="I605" t="s">
        <v>313</v>
      </c>
      <c r="J605" s="13">
        <f>INDEX(Foderstater!$X$63:$AI$100,MATCH(E605,Foderstater!$U$63:$U$100,0),MATCH(A605&amp;C605&amp;D605,Foderstater!$X$62:$AI$62,0))</f>
        <v>0</v>
      </c>
    </row>
    <row r="606" spans="1:12" x14ac:dyDescent="0.25">
      <c r="A606" t="s">
        <v>38</v>
      </c>
      <c r="D606" t="s">
        <v>35</v>
      </c>
      <c r="E606" t="str">
        <f>Foderstater!U$100</f>
        <v>minerals</v>
      </c>
      <c r="I606" t="s">
        <v>313</v>
      </c>
      <c r="J606" s="13">
        <f>INDEX(Foderstater!$X$63:$AI$100,MATCH(E606,Foderstater!$U$63:$U$100,0),MATCH(A606&amp;C606&amp;D606,Foderstater!$X$62:$AI$62,0))</f>
        <v>0.59452761799360676</v>
      </c>
    </row>
    <row r="607" spans="1:12" x14ac:dyDescent="0.25">
      <c r="K607" s="159"/>
      <c r="L607" s="159"/>
    </row>
    <row r="608" spans="1:12" x14ac:dyDescent="0.25">
      <c r="A608" s="159" t="s">
        <v>38</v>
      </c>
      <c r="B608" s="159" t="s">
        <v>1</v>
      </c>
      <c r="C608" s="159" t="s">
        <v>416</v>
      </c>
      <c r="D608" s="159" t="s">
        <v>35</v>
      </c>
      <c r="I608" s="159" t="s">
        <v>313</v>
      </c>
      <c r="J608" s="159">
        <v>0</v>
      </c>
      <c r="K608" s="159"/>
      <c r="L608" s="159" t="s">
        <v>410</v>
      </c>
    </row>
    <row r="609" spans="1:12" x14ac:dyDescent="0.25">
      <c r="A609" t="s">
        <v>38</v>
      </c>
      <c r="B609" t="s">
        <v>1</v>
      </c>
      <c r="C609" t="s">
        <v>416</v>
      </c>
      <c r="D609" t="s">
        <v>35</v>
      </c>
      <c r="E609" t="str">
        <f>Foderstater!U$63</f>
        <v>ley silage, 1st cut</v>
      </c>
      <c r="I609" t="s">
        <v>313</v>
      </c>
      <c r="J609" s="13">
        <f>INDEX(Foderstater!$X$63:$AI$100,MATCH(E609,Foderstater!$U$63:$U$100,0),MATCH(A609&amp;C609&amp;D609,Foderstater!$X$62:$AI$62,0))</f>
        <v>56.070538180908102</v>
      </c>
      <c r="K609" s="159"/>
      <c r="L609" s="159"/>
    </row>
    <row r="610" spans="1:12" x14ac:dyDescent="0.25">
      <c r="A610" t="s">
        <v>38</v>
      </c>
      <c r="B610" t="s">
        <v>1</v>
      </c>
      <c r="C610" t="s">
        <v>416</v>
      </c>
      <c r="D610" t="s">
        <v>35</v>
      </c>
      <c r="E610" t="str">
        <f>Foderstater!U$64</f>
        <v>ley silage, regrowth</v>
      </c>
      <c r="I610" t="s">
        <v>313</v>
      </c>
      <c r="J610" s="13">
        <f>INDEX(Foderstater!$X$63:$AI$100,MATCH(E610,Foderstater!$U$63:$U$100,0),MATCH(A610&amp;C610&amp;D610,Foderstater!$X$62:$AI$62,0))</f>
        <v>0</v>
      </c>
      <c r="K610" s="159"/>
      <c r="L610" s="159"/>
    </row>
    <row r="611" spans="1:12" x14ac:dyDescent="0.25">
      <c r="A611" t="s">
        <v>38</v>
      </c>
      <c r="B611" t="s">
        <v>1</v>
      </c>
      <c r="C611" t="s">
        <v>416</v>
      </c>
      <c r="D611" t="s">
        <v>35</v>
      </c>
      <c r="E611" t="str">
        <f>Foderstater!U$65</f>
        <v>other silage</v>
      </c>
      <c r="I611" t="s">
        <v>313</v>
      </c>
      <c r="J611" s="13">
        <f>INDEX(Foderstater!$X$63:$AI$100,MATCH(E611,Foderstater!$U$63:$U$100,0),MATCH(A611&amp;C611&amp;D611,Foderstater!$X$62:$AI$62,0))</f>
        <v>0</v>
      </c>
      <c r="K611" s="159"/>
      <c r="L611" s="159"/>
    </row>
    <row r="612" spans="1:12" x14ac:dyDescent="0.25">
      <c r="A612" t="s">
        <v>38</v>
      </c>
      <c r="B612" t="s">
        <v>1</v>
      </c>
      <c r="C612" t="s">
        <v>416</v>
      </c>
      <c r="D612" t="s">
        <v>35</v>
      </c>
      <c r="E612" t="str">
        <f>Foderstater!U$66</f>
        <v>maize silage</v>
      </c>
      <c r="I612" t="s">
        <v>313</v>
      </c>
      <c r="J612" s="13">
        <f>INDEX(Foderstater!$X$63:$AI$100,MATCH(E612,Foderstater!$U$63:$U$100,0),MATCH(A612&amp;C612&amp;D612,Foderstater!$X$62:$AI$62,0))</f>
        <v>13.09114711176567</v>
      </c>
      <c r="K612" s="159"/>
      <c r="L612" s="159"/>
    </row>
    <row r="613" spans="1:12" x14ac:dyDescent="0.25">
      <c r="A613" t="s">
        <v>38</v>
      </c>
      <c r="B613" t="s">
        <v>1</v>
      </c>
      <c r="C613" t="s">
        <v>416</v>
      </c>
      <c r="D613" t="s">
        <v>35</v>
      </c>
      <c r="E613" t="str">
        <f>Foderstater!U$67</f>
        <v>straw</v>
      </c>
      <c r="I613" t="s">
        <v>313</v>
      </c>
      <c r="J613" s="13">
        <f>INDEX(Foderstater!$X$63:$AI$100,MATCH(E613,Foderstater!$U$63:$U$100,0),MATCH(A613&amp;C613&amp;D613,Foderstater!$X$62:$AI$62,0))</f>
        <v>0</v>
      </c>
      <c r="K613" s="159"/>
      <c r="L613" s="159"/>
    </row>
    <row r="614" spans="1:12" x14ac:dyDescent="0.25">
      <c r="A614" t="s">
        <v>38</v>
      </c>
      <c r="B614" t="s">
        <v>1</v>
      </c>
      <c r="C614" t="s">
        <v>416</v>
      </c>
      <c r="D614" t="s">
        <v>35</v>
      </c>
      <c r="E614" t="str">
        <f>Foderstater!U$68</f>
        <v>grazing</v>
      </c>
      <c r="I614" t="s">
        <v>313</v>
      </c>
      <c r="J614" s="13">
        <f>INDEX(Foderstater!$X$63:$AI$100,MATCH(E614,Foderstater!$U$63:$U$100,0),MATCH(A614&amp;C614&amp;D614,Foderstater!$X$62:$AI$62,0))</f>
        <v>0</v>
      </c>
      <c r="K614" s="159"/>
      <c r="L614" s="159"/>
    </row>
    <row r="615" spans="1:12" x14ac:dyDescent="0.25">
      <c r="A615" t="s">
        <v>38</v>
      </c>
      <c r="B615" t="s">
        <v>1</v>
      </c>
      <c r="C615" t="s">
        <v>416</v>
      </c>
      <c r="D615" t="s">
        <v>35</v>
      </c>
      <c r="E615" t="str">
        <f>Foderstater!U$69</f>
        <v>wheat</v>
      </c>
      <c r="I615" t="s">
        <v>313</v>
      </c>
      <c r="J615" s="13">
        <f>INDEX(Foderstater!$X$63:$AI$100,MATCH(E615,Foderstater!$U$63:$U$100,0),MATCH(A615&amp;C615&amp;D615,Foderstater!$X$62:$AI$62,0))</f>
        <v>6.338193642704308</v>
      </c>
      <c r="K615" s="159"/>
      <c r="L615" s="159"/>
    </row>
    <row r="616" spans="1:12" x14ac:dyDescent="0.25">
      <c r="A616" t="s">
        <v>38</v>
      </c>
      <c r="B616" t="s">
        <v>1</v>
      </c>
      <c r="C616" t="s">
        <v>416</v>
      </c>
      <c r="D616" t="s">
        <v>35</v>
      </c>
      <c r="E616" t="str">
        <f>Foderstater!U$70</f>
        <v>barley</v>
      </c>
      <c r="I616" t="s">
        <v>313</v>
      </c>
      <c r="J616" s="13">
        <f>INDEX(Foderstater!$X$63:$AI$100,MATCH(E616,Foderstater!$U$63:$U$100,0),MATCH(A616&amp;C616&amp;D616,Foderstater!$X$62:$AI$62,0))</f>
        <v>13.009738603465815</v>
      </c>
      <c r="K616" s="159"/>
      <c r="L616" s="159"/>
    </row>
    <row r="617" spans="1:12" x14ac:dyDescent="0.25">
      <c r="A617" t="s">
        <v>38</v>
      </c>
      <c r="B617" t="s">
        <v>1</v>
      </c>
      <c r="C617" t="s">
        <v>416</v>
      </c>
      <c r="D617" t="s">
        <v>35</v>
      </c>
      <c r="E617" t="str">
        <f>Foderstater!U$71</f>
        <v>oats</v>
      </c>
      <c r="I617" t="s">
        <v>313</v>
      </c>
      <c r="J617" s="13">
        <f>INDEX(Foderstater!$X$63:$AI$100,MATCH(E617,Foderstater!$U$63:$U$100,0),MATCH(A617&amp;C617&amp;D617,Foderstater!$X$62:$AI$62,0))</f>
        <v>2.6885792015166539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416</v>
      </c>
      <c r="D618" t="s">
        <v>35</v>
      </c>
      <c r="E618" t="str">
        <f>Foderstater!U$72</f>
        <v>triticale</v>
      </c>
      <c r="I618" t="s">
        <v>313</v>
      </c>
      <c r="J618" s="13">
        <f>INDEX(Foderstater!$X$63:$AI$100,MATCH(E618,Foderstater!$U$63:$U$100,0),MATCH(A618&amp;C618&amp;D618,Foderstater!$X$62:$AI$62,0))</f>
        <v>5.0332855432745562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416</v>
      </c>
      <c r="D619" t="s">
        <v>35</v>
      </c>
      <c r="E619" t="str">
        <f>Foderstater!U$73</f>
        <v>rye</v>
      </c>
      <c r="I619" t="s">
        <v>313</v>
      </c>
      <c r="J619" s="13">
        <f>INDEX(Foderstater!$X$63:$AI$100,MATCH(E619,Foderstater!$U$63:$U$100,0),MATCH(A619&amp;C619&amp;D619,Foderstater!$X$62:$AI$62,0))</f>
        <v>0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416</v>
      </c>
      <c r="D620" t="s">
        <v>35</v>
      </c>
      <c r="E620" t="str">
        <f>Foderstater!U$74</f>
        <v>maize</v>
      </c>
      <c r="I620" t="s">
        <v>313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416</v>
      </c>
      <c r="D621" t="s">
        <v>35</v>
      </c>
      <c r="E621" t="str">
        <f>Foderstater!U$75</f>
        <v>peas</v>
      </c>
      <c r="I621" t="s">
        <v>313</v>
      </c>
      <c r="J621" s="13">
        <f>INDEX(Foderstater!$X$63:$AI$100,MATCH(E621,Foderstater!$U$63:$U$100,0),MATCH(A621&amp;C621&amp;D621,Foderstater!$X$62:$AI$62,0))</f>
        <v>1.6370482011197791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416</v>
      </c>
      <c r="D622" t="s">
        <v>35</v>
      </c>
      <c r="E622" t="str">
        <f>Foderstater!U$76</f>
        <v>broad beans</v>
      </c>
      <c r="I622" t="s">
        <v>313</v>
      </c>
      <c r="J622" s="13">
        <f>INDEX(Foderstater!$X$63:$AI$100,MATCH(E622,Foderstater!$U$63:$U$100,0),MATCH(A622&amp;C622&amp;D622,Foderstater!$X$62:$AI$62,0))</f>
        <v>1.5539189073731028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416</v>
      </c>
      <c r="D623" t="s">
        <v>35</v>
      </c>
      <c r="E623" t="str">
        <f>Foderstater!U$77</f>
        <v>rapeseed</v>
      </c>
      <c r="I623" t="s">
        <v>313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416</v>
      </c>
      <c r="D624" t="s">
        <v>35</v>
      </c>
      <c r="E624" t="str">
        <f>Foderstater!U$78</f>
        <v>linseed</v>
      </c>
      <c r="I624" t="s">
        <v>313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416</v>
      </c>
      <c r="D625" t="s">
        <v>35</v>
      </c>
      <c r="E625" t="str">
        <f>Foderstater!U$79</f>
        <v>vegetable oils</v>
      </c>
      <c r="I625" t="s">
        <v>313</v>
      </c>
      <c r="J625" s="13">
        <f>INDEX(Foderstater!$X$63:$AI$100,MATCH(E625,Foderstater!$U$63:$U$100,0),MATCH(A625&amp;C625&amp;D625,Foderstater!$X$62:$AI$62,0))</f>
        <v>0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416</v>
      </c>
      <c r="D626" t="s">
        <v>35</v>
      </c>
      <c r="E626" t="str">
        <f>Foderstater!U$80</f>
        <v>soybeans</v>
      </c>
      <c r="I626" t="s">
        <v>313</v>
      </c>
      <c r="J626" s="13">
        <f>INDEX(Foderstater!$X$63:$AI$100,MATCH(E626,Foderstater!$U$63:$U$100,0),MATCH(A626&amp;C626&amp;D626,Foderstater!$X$62:$AI$62,0))</f>
        <v>0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416</v>
      </c>
      <c r="D627" t="s">
        <v>35</v>
      </c>
      <c r="E627" t="str">
        <f>Foderstater!U$81</f>
        <v>soybean meal</v>
      </c>
      <c r="I627" t="s">
        <v>313</v>
      </c>
      <c r="J627" s="13">
        <f>INDEX(Foderstater!$X$63:$AI$100,MATCH(E627,Foderstater!$U$63:$U$100,0),MATCH(A627&amp;C627&amp;D627,Foderstater!$X$62:$AI$62,0))</f>
        <v>0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416</v>
      </c>
      <c r="D628" t="s">
        <v>35</v>
      </c>
      <c r="E628" t="str">
        <f>Foderstater!U$82</f>
        <v>soybean protein concentrate</v>
      </c>
      <c r="I628" t="s">
        <v>313</v>
      </c>
      <c r="J628" s="13">
        <f>INDEX(Foderstater!$X$63:$AI$100,MATCH(E628,Foderstater!$U$63:$U$100,0),MATCH(A628&amp;C628&amp;D628,Foderstater!$X$62:$AI$62,0))</f>
        <v>0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416</v>
      </c>
      <c r="D629" t="s">
        <v>35</v>
      </c>
      <c r="E629" t="str">
        <f>Foderstater!U$83</f>
        <v>rapeseed meal</v>
      </c>
      <c r="I629" t="s">
        <v>313</v>
      </c>
      <c r="J629" s="13">
        <f>INDEX(Foderstater!$X$63:$AI$100,MATCH(E629,Foderstater!$U$63:$U$100,0),MATCH(A629&amp;C629&amp;D629,Foderstater!$X$62:$AI$62,0))</f>
        <v>0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416</v>
      </c>
      <c r="D630" t="s">
        <v>35</v>
      </c>
      <c r="E630" t="str">
        <f>Foderstater!U$84</f>
        <v>sunflower seed meal</v>
      </c>
      <c r="I630" t="s">
        <v>313</v>
      </c>
      <c r="J630" s="13">
        <f>INDEX(Foderstater!$X$63:$AI$100,MATCH(E630,Foderstater!$U$63:$U$100,0),MATCH(A630&amp;C630&amp;D630,Foderstater!$X$62:$AI$62,0))</f>
        <v>0</v>
      </c>
    </row>
    <row r="631" spans="1:12" x14ac:dyDescent="0.25">
      <c r="A631" t="s">
        <v>38</v>
      </c>
      <c r="B631" t="s">
        <v>1</v>
      </c>
      <c r="C631" t="s">
        <v>416</v>
      </c>
      <c r="D631" t="s">
        <v>35</v>
      </c>
      <c r="E631" t="str">
        <f>Foderstater!U$85</f>
        <v>palm kernel expeller</v>
      </c>
      <c r="I631" t="s">
        <v>313</v>
      </c>
      <c r="J631" s="13">
        <f>INDEX(Foderstater!$X$63:$AI$100,MATCH(E631,Foderstater!$U$63:$U$100,0),MATCH(A631&amp;C631&amp;D631,Foderstater!$X$62:$AI$62,0))</f>
        <v>0</v>
      </c>
    </row>
    <row r="632" spans="1:12" x14ac:dyDescent="0.25">
      <c r="A632" t="s">
        <v>38</v>
      </c>
      <c r="B632" t="s">
        <v>1</v>
      </c>
      <c r="C632" t="s">
        <v>416</v>
      </c>
      <c r="D632" t="s">
        <v>35</v>
      </c>
      <c r="E632" t="str">
        <f>Foderstater!U$86</f>
        <v>luzern meal</v>
      </c>
      <c r="I632" t="s">
        <v>313</v>
      </c>
      <c r="J632" s="13">
        <f>INDEX(Foderstater!$X$63:$AI$100,MATCH(E632,Foderstater!$U$63:$U$100,0),MATCH(A632&amp;C632&amp;D632,Foderstater!$X$62:$AI$62,0))</f>
        <v>0</v>
      </c>
    </row>
    <row r="633" spans="1:12" x14ac:dyDescent="0.25">
      <c r="A633" t="s">
        <v>38</v>
      </c>
      <c r="B633" t="s">
        <v>1</v>
      </c>
      <c r="C633" t="s">
        <v>416</v>
      </c>
      <c r="D633" t="s">
        <v>35</v>
      </c>
      <c r="E633" t="str">
        <f>Foderstater!U$87</f>
        <v>wheat bran</v>
      </c>
      <c r="I633" t="s">
        <v>313</v>
      </c>
      <c r="J633" s="13">
        <f>INDEX(Foderstater!$X$63:$AI$100,MATCH(E633,Foderstater!$U$63:$U$100,0),MATCH(A633&amp;C633&amp;D633,Foderstater!$X$62:$AI$62,0))</f>
        <v>0</v>
      </c>
    </row>
    <row r="634" spans="1:12" x14ac:dyDescent="0.25">
      <c r="A634" t="s">
        <v>38</v>
      </c>
      <c r="B634" t="s">
        <v>1</v>
      </c>
      <c r="C634" t="s">
        <v>416</v>
      </c>
      <c r="D634" t="s">
        <v>35</v>
      </c>
      <c r="E634" t="str">
        <f>Foderstater!U$88</f>
        <v>wheat bran, fine</v>
      </c>
      <c r="I634" t="s">
        <v>313</v>
      </c>
      <c r="J634" s="13">
        <f>INDEX(Foderstater!$X$63:$AI$100,MATCH(E634,Foderstater!$U$63:$U$100,0),MATCH(A634&amp;C634&amp;D634,Foderstater!$X$62:$AI$62,0))</f>
        <v>0</v>
      </c>
    </row>
    <row r="635" spans="1:12" x14ac:dyDescent="0.25">
      <c r="A635" t="s">
        <v>38</v>
      </c>
      <c r="B635" t="s">
        <v>1</v>
      </c>
      <c r="C635" t="s">
        <v>416</v>
      </c>
      <c r="D635" t="s">
        <v>35</v>
      </c>
      <c r="E635" t="str">
        <f>Foderstater!U$89</f>
        <v>oat hulls</v>
      </c>
      <c r="I635" t="s">
        <v>313</v>
      </c>
      <c r="J635" s="13">
        <f>INDEX(Foderstater!$X$63:$AI$100,MATCH(E635,Foderstater!$U$63:$U$100,0),MATCH(A635&amp;C635&amp;D635,Foderstater!$X$62:$AI$62,0))</f>
        <v>0</v>
      </c>
    </row>
    <row r="636" spans="1:12" x14ac:dyDescent="0.25">
      <c r="A636" t="s">
        <v>38</v>
      </c>
      <c r="B636" t="s">
        <v>1</v>
      </c>
      <c r="C636" t="s">
        <v>416</v>
      </c>
      <c r="D636" t="s">
        <v>35</v>
      </c>
      <c r="E636" t="str">
        <f>Foderstater!U$90</f>
        <v>oat bran</v>
      </c>
      <c r="I636" t="s">
        <v>313</v>
      </c>
      <c r="J636" s="13">
        <f>INDEX(Foderstater!$X$63:$AI$100,MATCH(E636,Foderstater!$U$63:$U$100,0),MATCH(A636&amp;C636&amp;D636,Foderstater!$X$62:$AI$62,0))</f>
        <v>0</v>
      </c>
    </row>
    <row r="637" spans="1:12" x14ac:dyDescent="0.25">
      <c r="A637" t="s">
        <v>38</v>
      </c>
      <c r="B637" t="s">
        <v>1</v>
      </c>
      <c r="C637" t="s">
        <v>416</v>
      </c>
      <c r="D637" t="s">
        <v>35</v>
      </c>
      <c r="E637" t="str">
        <f>Foderstater!U$91</f>
        <v>rye bran</v>
      </c>
      <c r="I637" t="s">
        <v>313</v>
      </c>
      <c r="J637" s="13">
        <f>INDEX(Foderstater!$X$63:$AI$100,MATCH(E637,Foderstater!$U$63:$U$100,0),MATCH(A637&amp;C637&amp;D637,Foderstater!$X$62:$AI$62,0))</f>
        <v>0</v>
      </c>
    </row>
    <row r="638" spans="1:12" x14ac:dyDescent="0.25">
      <c r="A638" t="s">
        <v>38</v>
      </c>
      <c r="B638" t="s">
        <v>1</v>
      </c>
      <c r="C638" t="s">
        <v>416</v>
      </c>
      <c r="D638" t="s">
        <v>35</v>
      </c>
      <c r="E638" t="str">
        <f>Foderstater!U$92</f>
        <v>wheat distillers grain, dry</v>
      </c>
      <c r="I638" t="s">
        <v>313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416</v>
      </c>
      <c r="D639" t="s">
        <v>35</v>
      </c>
      <c r="E639" t="str">
        <f>Foderstater!U$93</f>
        <v>barley brewers grain</v>
      </c>
      <c r="I639" t="s">
        <v>313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416</v>
      </c>
      <c r="D640" t="s">
        <v>35</v>
      </c>
      <c r="E640" t="str">
        <f>Foderstater!U$94</f>
        <v>maize gluten meal</v>
      </c>
      <c r="I640" t="s">
        <v>313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416</v>
      </c>
      <c r="D641" t="s">
        <v>35</v>
      </c>
      <c r="E641" t="str">
        <f>Foderstater!U$95</f>
        <v>sugar beet molasses</v>
      </c>
      <c r="I641" t="s">
        <v>313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416</v>
      </c>
      <c r="D642" t="s">
        <v>35</v>
      </c>
      <c r="E642" t="str">
        <f>Foderstater!U$96</f>
        <v>sugar beet pulp</v>
      </c>
      <c r="I642" t="s">
        <v>313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416</v>
      </c>
      <c r="D643" t="s">
        <v>35</v>
      </c>
      <c r="E643" t="str">
        <f>Foderstater!U$97</f>
        <v>whey powder</v>
      </c>
      <c r="I643" t="s">
        <v>313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416</v>
      </c>
      <c r="D644" t="s">
        <v>35</v>
      </c>
      <c r="E644" t="str">
        <f>Foderstater!U$98</f>
        <v>potatoe protein</v>
      </c>
      <c r="I644" t="s">
        <v>313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416</v>
      </c>
      <c r="D645" t="s">
        <v>35</v>
      </c>
      <c r="E645" t="str">
        <f>Foderstater!U$99</f>
        <v>fish meal</v>
      </c>
      <c r="I645" t="s">
        <v>313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416</v>
      </c>
      <c r="D646" t="s">
        <v>35</v>
      </c>
      <c r="E646" t="str">
        <f>Foderstater!U$100</f>
        <v>minerals</v>
      </c>
      <c r="I646" t="s">
        <v>313</v>
      </c>
      <c r="J646" s="13">
        <f>INDEX(Foderstater!$X$63:$AI$100,MATCH(E646,Foderstater!$U$63:$U$100,0),MATCH(A646&amp;C646&amp;D646,Foderstater!$X$62:$AI$62,0))</f>
        <v>0.57755060787201484</v>
      </c>
    </row>
  </sheetData>
  <hyperlinks>
    <hyperlink ref="M19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325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326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309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309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507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508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304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304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305</v>
      </c>
      <c r="N39" s="15"/>
      <c r="O39" s="19"/>
      <c r="P39" s="19">
        <v>89</v>
      </c>
      <c r="Q39" s="15"/>
      <c r="R39" s="108" t="s">
        <v>9</v>
      </c>
      <c r="S39" s="15"/>
      <c r="T39" s="15" t="s">
        <v>307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305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306</v>
      </c>
      <c r="N40" s="47"/>
      <c r="O40" s="46"/>
      <c r="P40" s="46">
        <v>8.5</v>
      </c>
      <c r="Q40" s="47"/>
      <c r="R40" s="47" t="s">
        <v>9</v>
      </c>
      <c r="S40" s="47"/>
      <c r="T40" s="47" t="s">
        <v>307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306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298</v>
      </c>
      <c r="F42" s="6" t="s">
        <v>299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323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296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297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310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311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300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302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302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301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301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308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308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303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303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300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386</v>
      </c>
    </row>
    <row r="96" spans="2:30" x14ac:dyDescent="0.25">
      <c r="C96" t="s">
        <v>303</v>
      </c>
      <c r="F96" t="s">
        <v>381</v>
      </c>
      <c r="I96" t="s">
        <v>384</v>
      </c>
    </row>
    <row r="97" spans="2:11" x14ac:dyDescent="0.25">
      <c r="C97" t="s">
        <v>18</v>
      </c>
      <c r="D97" t="s">
        <v>382</v>
      </c>
      <c r="E97" t="s">
        <v>383</v>
      </c>
      <c r="F97" t="s">
        <v>18</v>
      </c>
      <c r="G97" t="s">
        <v>382</v>
      </c>
      <c r="H97" t="s">
        <v>383</v>
      </c>
      <c r="I97" t="s">
        <v>18</v>
      </c>
      <c r="J97" t="s">
        <v>382</v>
      </c>
      <c r="K97" t="s">
        <v>383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380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385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65" workbookViewId="0">
      <selection activeCell="G4" sqref="G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496</v>
      </c>
      <c r="C2" s="229"/>
      <c r="D2" s="229" t="s">
        <v>429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504</v>
      </c>
      <c r="Z2" s="219"/>
      <c r="AA2" s="197" t="s">
        <v>564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518</v>
      </c>
      <c r="C3" s="231"/>
      <c r="D3" s="232" t="s">
        <v>428</v>
      </c>
      <c r="E3" s="202"/>
      <c r="F3" s="202"/>
      <c r="G3" s="202"/>
      <c r="H3" s="202"/>
      <c r="I3" s="202"/>
      <c r="J3" s="202"/>
      <c r="K3" s="202"/>
      <c r="L3" s="202"/>
      <c r="M3" s="232" t="s">
        <v>446</v>
      </c>
      <c r="N3" s="202"/>
      <c r="O3" s="202"/>
      <c r="P3" s="202"/>
      <c r="Q3" s="202"/>
      <c r="R3" s="202"/>
      <c r="S3" s="232" t="s">
        <v>447</v>
      </c>
      <c r="T3" s="202"/>
      <c r="U3" s="202"/>
      <c r="V3" s="202"/>
      <c r="W3" s="202"/>
      <c r="X3" s="233"/>
      <c r="Y3" s="241" t="s">
        <v>505</v>
      </c>
      <c r="Z3" s="220"/>
      <c r="AA3" s="241" t="s">
        <v>567</v>
      </c>
      <c r="AB3" s="202"/>
      <c r="AC3" s="202"/>
      <c r="AD3" s="260" t="s">
        <v>525</v>
      </c>
      <c r="AE3" s="261" t="s">
        <v>527</v>
      </c>
      <c r="AF3" s="260" t="s">
        <v>529</v>
      </c>
      <c r="AG3" s="261" t="s">
        <v>531</v>
      </c>
      <c r="AH3" s="260" t="s">
        <v>532</v>
      </c>
      <c r="AI3" s="261" t="s">
        <v>534</v>
      </c>
      <c r="AJ3" s="260" t="s">
        <v>535</v>
      </c>
      <c r="AK3" s="261" t="s">
        <v>536</v>
      </c>
      <c r="AL3" s="260" t="s">
        <v>538</v>
      </c>
      <c r="AM3" s="261" t="s">
        <v>539</v>
      </c>
      <c r="AN3" s="260" t="s">
        <v>559</v>
      </c>
      <c r="AO3" s="261" t="s">
        <v>541</v>
      </c>
      <c r="AP3" s="260" t="s">
        <v>542</v>
      </c>
      <c r="AQ3" s="259" t="s">
        <v>563</v>
      </c>
      <c r="AR3" s="258" t="s">
        <v>558</v>
      </c>
    </row>
    <row r="4" spans="2:44" ht="22.5" customHeight="1" x14ac:dyDescent="0.25">
      <c r="B4" s="201"/>
      <c r="C4" s="202"/>
      <c r="D4" s="234" t="s">
        <v>585</v>
      </c>
      <c r="E4" s="234"/>
      <c r="F4" s="234"/>
      <c r="G4" s="235" t="s">
        <v>432</v>
      </c>
      <c r="H4" s="235"/>
      <c r="I4" s="235"/>
      <c r="J4" s="234" t="s">
        <v>426</v>
      </c>
      <c r="K4" s="234"/>
      <c r="L4" s="234"/>
      <c r="M4" s="235" t="s">
        <v>440</v>
      </c>
      <c r="N4" s="235"/>
      <c r="O4" s="235"/>
      <c r="P4" s="234" t="s">
        <v>441</v>
      </c>
      <c r="Q4" s="234"/>
      <c r="R4" s="234"/>
      <c r="S4" s="235" t="s">
        <v>433</v>
      </c>
      <c r="T4" s="235"/>
      <c r="U4" s="235"/>
      <c r="V4" s="234" t="s">
        <v>434</v>
      </c>
      <c r="W4" s="234"/>
      <c r="X4" s="222"/>
      <c r="Y4" s="221" t="s">
        <v>501</v>
      </c>
      <c r="Z4" s="222" t="s">
        <v>501</v>
      </c>
      <c r="AA4" s="201"/>
      <c r="AB4" s="202"/>
      <c r="AC4" s="202"/>
      <c r="AD4" s="260"/>
      <c r="AE4" s="261"/>
      <c r="AF4" s="260"/>
      <c r="AG4" s="261"/>
      <c r="AH4" s="260"/>
      <c r="AI4" s="261"/>
      <c r="AJ4" s="260"/>
      <c r="AK4" s="261"/>
      <c r="AL4" s="260"/>
      <c r="AM4" s="261"/>
      <c r="AN4" s="260"/>
      <c r="AO4" s="261"/>
      <c r="AP4" s="260"/>
      <c r="AQ4" s="259"/>
      <c r="AR4" s="258"/>
    </row>
    <row r="5" spans="2:44" ht="18.75" customHeight="1" x14ac:dyDescent="0.25">
      <c r="B5" s="209" t="s">
        <v>560</v>
      </c>
      <c r="C5" s="210" t="s">
        <v>466</v>
      </c>
      <c r="D5" s="234" t="s">
        <v>423</v>
      </c>
      <c r="E5" s="234" t="s">
        <v>424</v>
      </c>
      <c r="F5" s="234" t="s">
        <v>425</v>
      </c>
      <c r="G5" s="235" t="s">
        <v>423</v>
      </c>
      <c r="H5" s="235" t="s">
        <v>424</v>
      </c>
      <c r="I5" s="235" t="s">
        <v>425</v>
      </c>
      <c r="J5" s="234" t="s">
        <v>423</v>
      </c>
      <c r="K5" s="234" t="s">
        <v>424</v>
      </c>
      <c r="L5" s="234" t="s">
        <v>425</v>
      </c>
      <c r="M5" s="235" t="s">
        <v>423</v>
      </c>
      <c r="N5" s="235" t="s">
        <v>424</v>
      </c>
      <c r="O5" s="235" t="s">
        <v>425</v>
      </c>
      <c r="P5" s="234" t="s">
        <v>423</v>
      </c>
      <c r="Q5" s="234" t="s">
        <v>424</v>
      </c>
      <c r="R5" s="234" t="s">
        <v>425</v>
      </c>
      <c r="S5" s="235" t="s">
        <v>423</v>
      </c>
      <c r="T5" s="235" t="s">
        <v>424</v>
      </c>
      <c r="U5" s="235" t="s">
        <v>425</v>
      </c>
      <c r="V5" s="234" t="s">
        <v>423</v>
      </c>
      <c r="W5" s="234" t="s">
        <v>424</v>
      </c>
      <c r="X5" s="222" t="s">
        <v>425</v>
      </c>
      <c r="Y5" s="221" t="s">
        <v>502</v>
      </c>
      <c r="Z5" s="222" t="s">
        <v>503</v>
      </c>
      <c r="AA5" s="201"/>
      <c r="AB5" s="202"/>
      <c r="AC5" s="202"/>
      <c r="AD5" s="260"/>
      <c r="AE5" s="261"/>
      <c r="AF5" s="260"/>
      <c r="AG5" s="261"/>
      <c r="AH5" s="260"/>
      <c r="AI5" s="261"/>
      <c r="AJ5" s="260"/>
      <c r="AK5" s="261"/>
      <c r="AL5" s="260"/>
      <c r="AM5" s="261"/>
      <c r="AN5" s="260"/>
      <c r="AO5" s="261"/>
      <c r="AP5" s="260"/>
      <c r="AQ5" s="259"/>
      <c r="AR5" s="258" t="s">
        <v>557</v>
      </c>
    </row>
    <row r="6" spans="2:44" ht="15" customHeight="1" x14ac:dyDescent="0.25">
      <c r="B6" s="201" t="s">
        <v>519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555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435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544</v>
      </c>
      <c r="AB7" s="202"/>
      <c r="AC7" s="202"/>
      <c r="AD7" s="207" t="s">
        <v>526</v>
      </c>
      <c r="AE7" s="208" t="s">
        <v>528</v>
      </c>
      <c r="AF7" s="207" t="s">
        <v>530</v>
      </c>
      <c r="AG7" s="208" t="s">
        <v>526</v>
      </c>
      <c r="AH7" s="207" t="s">
        <v>533</v>
      </c>
      <c r="AI7" s="208" t="s">
        <v>528</v>
      </c>
      <c r="AJ7" s="207" t="s">
        <v>528</v>
      </c>
      <c r="AK7" s="208" t="s">
        <v>537</v>
      </c>
      <c r="AL7" s="207" t="s">
        <v>556</v>
      </c>
      <c r="AM7" s="208" t="s">
        <v>540</v>
      </c>
      <c r="AN7" s="207" t="s">
        <v>537</v>
      </c>
      <c r="AO7" s="208" t="s">
        <v>537</v>
      </c>
      <c r="AP7" s="207" t="s">
        <v>543</v>
      </c>
      <c r="AQ7" s="205"/>
      <c r="AR7" s="206"/>
    </row>
    <row r="8" spans="2:44" x14ac:dyDescent="0.25">
      <c r="B8" s="201" t="s">
        <v>520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436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560</v>
      </c>
      <c r="AB9" s="202"/>
      <c r="AC9" s="210" t="s">
        <v>466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437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545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523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546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522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547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521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551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581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550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524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548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438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549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439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553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427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459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552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303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554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561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443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584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442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63" t="s">
        <v>578</v>
      </c>
      <c r="R23" s="263" t="s">
        <v>579</v>
      </c>
      <c r="S23" s="263" t="s">
        <v>566</v>
      </c>
      <c r="T23" s="262" t="s">
        <v>293</v>
      </c>
      <c r="U23" s="262"/>
      <c r="V23" s="262" t="s">
        <v>294</v>
      </c>
      <c r="W23" s="262"/>
      <c r="X23" s="168" t="s">
        <v>465</v>
      </c>
      <c r="Y23" s="165"/>
      <c r="Z23" s="174" t="s">
        <v>564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466</v>
      </c>
      <c r="Q24" s="263"/>
      <c r="R24" s="263"/>
      <c r="S24" s="263"/>
      <c r="T24" s="244" t="s">
        <v>466</v>
      </c>
      <c r="U24" s="244" t="s">
        <v>314</v>
      </c>
      <c r="V24" s="244" t="s">
        <v>466</v>
      </c>
      <c r="W24" s="244" t="s">
        <v>314</v>
      </c>
      <c r="X24" s="168" t="s">
        <v>500</v>
      </c>
      <c r="Z24" s="174" t="s">
        <v>580</v>
      </c>
      <c r="AA24" s="169"/>
      <c r="AB24" s="169"/>
      <c r="AC24" s="168" t="s">
        <v>293</v>
      </c>
      <c r="AD24" s="168" t="s">
        <v>465</v>
      </c>
      <c r="AE24" s="101" t="s">
        <v>294</v>
      </c>
      <c r="AF24" s="101" t="s">
        <v>465</v>
      </c>
      <c r="AG24" s="168" t="s">
        <v>303</v>
      </c>
      <c r="AH24" s="168" t="s">
        <v>500</v>
      </c>
    </row>
    <row r="25" spans="2:44" x14ac:dyDescent="0.25">
      <c r="B25" s="174" t="s">
        <v>493</v>
      </c>
      <c r="C25" s="174"/>
      <c r="D25" s="83" t="s">
        <v>499</v>
      </c>
      <c r="E25" s="169"/>
      <c r="F25" s="169"/>
      <c r="G25" s="169"/>
      <c r="H25" s="169"/>
      <c r="I25" s="169"/>
      <c r="J25" s="169"/>
      <c r="L25" s="169" t="s">
        <v>379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498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562</v>
      </c>
      <c r="C26" s="174"/>
      <c r="D26" s="168"/>
      <c r="E26" s="168" t="s">
        <v>466</v>
      </c>
      <c r="F26" s="101"/>
      <c r="G26" s="101" t="s">
        <v>466</v>
      </c>
      <c r="H26" s="168"/>
      <c r="I26" s="168" t="s">
        <v>465</v>
      </c>
      <c r="J26" s="101" t="s">
        <v>463</v>
      </c>
      <c r="L26" s="169" t="s">
        <v>413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492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448</v>
      </c>
      <c r="C27" s="170" t="s">
        <v>466</v>
      </c>
      <c r="D27" s="168" t="s">
        <v>293</v>
      </c>
      <c r="E27" s="168" t="s">
        <v>465</v>
      </c>
      <c r="F27" s="101" t="s">
        <v>294</v>
      </c>
      <c r="G27" s="101" t="s">
        <v>465</v>
      </c>
      <c r="H27" s="168" t="s">
        <v>303</v>
      </c>
      <c r="I27" s="168" t="s">
        <v>500</v>
      </c>
      <c r="J27" s="101" t="s">
        <v>464</v>
      </c>
      <c r="L27" s="169" t="s">
        <v>445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489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449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488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491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492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473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490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489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474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491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444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497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490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477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494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494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479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495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495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568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455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483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450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476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451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478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452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569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453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414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454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480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456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475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457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481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461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419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462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570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458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571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459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572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468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573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467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415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460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574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575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484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418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576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482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577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430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582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583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485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486</v>
      </c>
      <c r="C63" s="6"/>
      <c r="I63" t="s">
        <v>416</v>
      </c>
      <c r="N63" t="s">
        <v>416</v>
      </c>
      <c r="O63" t="s">
        <v>416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487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19.638470390756044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469</v>
      </c>
      <c r="C65" s="6"/>
      <c r="T65" s="2"/>
      <c r="U65" s="110" t="str">
        <f t="shared" si="16"/>
        <v>other silage</v>
      </c>
      <c r="X65" s="13">
        <f t="shared" si="14"/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420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421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422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58.050981669759572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417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412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409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471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379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488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413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445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473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472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444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477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470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517</v>
      </c>
      <c r="X104" s="72">
        <f t="shared" ref="X104:AI104" si="94">SUM(X63:X68)</f>
        <v>99.140908327530553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303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333</v>
      </c>
      <c r="R1" s="4" t="s">
        <v>334</v>
      </c>
    </row>
    <row r="2" spans="6:31" x14ac:dyDescent="0.25">
      <c r="G2" t="s">
        <v>331</v>
      </c>
    </row>
    <row r="3" spans="6:31" x14ac:dyDescent="0.25">
      <c r="F3" t="s">
        <v>332</v>
      </c>
      <c r="G3" t="s">
        <v>328</v>
      </c>
      <c r="H3" t="s">
        <v>329</v>
      </c>
      <c r="I3" t="s">
        <v>330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335</v>
      </c>
      <c r="S4" s="118"/>
      <c r="T4" s="118"/>
      <c r="U4" s="118"/>
      <c r="V4" s="118"/>
      <c r="W4" s="118"/>
      <c r="X4" s="112"/>
      <c r="Y4" s="112"/>
      <c r="AB4" t="s">
        <v>332</v>
      </c>
      <c r="AC4" t="s">
        <v>368</v>
      </c>
      <c r="AD4" t="s">
        <v>338</v>
      </c>
      <c r="AE4" t="s">
        <v>339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337</v>
      </c>
      <c r="S5" s="119" t="s">
        <v>336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372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369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332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338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376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337</v>
      </c>
      <c r="S15" s="119" t="s">
        <v>370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375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337</v>
      </c>
      <c r="S25" s="119" t="s">
        <v>370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0.99434308508956182</v>
      </c>
    </row>
    <row r="5" spans="1:9" x14ac:dyDescent="0.25">
      <c r="A5" s="136" t="s">
        <v>343</v>
      </c>
      <c r="B5" s="136">
        <v>0.98871817086542757</v>
      </c>
    </row>
    <row r="6" spans="1:9" x14ac:dyDescent="0.25">
      <c r="A6" s="136" t="s">
        <v>344</v>
      </c>
      <c r="B6" s="141">
        <v>0.9876437109478492</v>
      </c>
    </row>
    <row r="7" spans="1:9" x14ac:dyDescent="0.25">
      <c r="A7" s="136" t="s">
        <v>345</v>
      </c>
      <c r="B7" s="136">
        <v>0.64295634155271764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349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303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332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338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0.99923601209082613</v>
      </c>
    </row>
    <row r="5" spans="1:9" x14ac:dyDescent="0.25">
      <c r="A5" s="136" t="s">
        <v>343</v>
      </c>
      <c r="B5" s="136">
        <v>0.99847260785917769</v>
      </c>
    </row>
    <row r="6" spans="1:9" x14ac:dyDescent="0.25">
      <c r="A6" s="136" t="s">
        <v>344</v>
      </c>
      <c r="B6" s="141">
        <v>0.95294863548914033</v>
      </c>
    </row>
    <row r="7" spans="1:9" x14ac:dyDescent="0.25">
      <c r="A7" s="136" t="s">
        <v>345</v>
      </c>
      <c r="B7" s="136">
        <v>0.63937706804773409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349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303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332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338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2023-11-28T11:24:45Z</dcterms:modified>
</cp:coreProperties>
</file>