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ka0003\Documents\#1 Projekt\MISTRA Food Futures WP5\modelX\data\prod_parameters\"/>
    </mc:Choice>
  </mc:AlternateContent>
  <bookViews>
    <workbookView xWindow="0" yWindow="0" windowWidth="28800" windowHeight="9000"/>
  </bookViews>
  <sheets>
    <sheet name="default" sheetId="1" r:id="rId1"/>
    <sheet name="Kontroll" sheetId="2" r:id="rId2"/>
    <sheet name="Slaktstat" sheetId="3" r:id="rId3"/>
    <sheet name="Sheet2" sheetId="7" r:id="rId4"/>
    <sheet name="Energi rek" sheetId="5" r:id="rId5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2" i="1" l="1"/>
  <c r="E51" i="1"/>
  <c r="S20" i="5" l="1"/>
  <c r="S21" i="5"/>
  <c r="S22" i="5"/>
  <c r="S23" i="5"/>
  <c r="S24" i="5"/>
  <c r="S25" i="5"/>
  <c r="S26" i="5"/>
  <c r="S27" i="5"/>
  <c r="S19" i="5"/>
  <c r="R20" i="5" l="1"/>
  <c r="R21" i="5"/>
  <c r="R22" i="5"/>
  <c r="R23" i="5"/>
  <c r="R24" i="5"/>
  <c r="R25" i="5"/>
  <c r="R26" i="5"/>
  <c r="R27" i="5"/>
  <c r="R19" i="5"/>
  <c r="Q6" i="5" l="1"/>
  <c r="Q7" i="5"/>
  <c r="Q8" i="5"/>
  <c r="Q9" i="5"/>
  <c r="Q5" i="5"/>
  <c r="F6" i="5" l="1"/>
  <c r="F7" i="5"/>
  <c r="F8" i="5"/>
  <c r="F9" i="5"/>
  <c r="F5" i="5"/>
  <c r="E21" i="1"/>
  <c r="E22" i="1"/>
  <c r="E20" i="1"/>
  <c r="C25" i="3" l="1"/>
  <c r="C24" i="3"/>
  <c r="C23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5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Q6" i="3"/>
  <c r="R6" i="3"/>
  <c r="S6" i="3"/>
  <c r="O7" i="3"/>
  <c r="P7" i="3"/>
  <c r="Q7" i="3"/>
  <c r="R7" i="3"/>
  <c r="S7" i="3"/>
  <c r="O8" i="3"/>
  <c r="P8" i="3"/>
  <c r="Q8" i="3"/>
  <c r="R8" i="3"/>
  <c r="S8" i="3"/>
  <c r="O9" i="3"/>
  <c r="P9" i="3"/>
  <c r="Q9" i="3"/>
  <c r="R9" i="3"/>
  <c r="S9" i="3"/>
  <c r="Q10" i="3"/>
  <c r="R10" i="3"/>
  <c r="S10" i="3"/>
  <c r="Q11" i="3"/>
  <c r="R11" i="3"/>
  <c r="S11" i="3"/>
  <c r="Q12" i="3"/>
  <c r="R12" i="3"/>
  <c r="S12" i="3"/>
  <c r="Q13" i="3"/>
  <c r="R13" i="3"/>
  <c r="S13" i="3"/>
  <c r="O14" i="3"/>
  <c r="P14" i="3"/>
  <c r="Q14" i="3"/>
  <c r="R14" i="3"/>
  <c r="S14" i="3"/>
  <c r="O15" i="3"/>
  <c r="P15" i="3"/>
  <c r="Q15" i="3"/>
  <c r="R15" i="3"/>
  <c r="S15" i="3"/>
  <c r="O16" i="3"/>
  <c r="P16" i="3"/>
  <c r="Q16" i="3"/>
  <c r="R16" i="3"/>
  <c r="S16" i="3"/>
  <c r="O17" i="3"/>
  <c r="P17" i="3"/>
  <c r="Q17" i="3"/>
  <c r="R17" i="3"/>
  <c r="S17" i="3"/>
  <c r="O18" i="3"/>
  <c r="P18" i="3"/>
  <c r="Q18" i="3"/>
  <c r="R18" i="3"/>
  <c r="S18" i="3"/>
  <c r="O21" i="3"/>
  <c r="P21" i="3"/>
  <c r="Q21" i="3"/>
  <c r="R21" i="3"/>
  <c r="S21" i="3"/>
  <c r="O19" i="3"/>
  <c r="P19" i="3"/>
  <c r="Q19" i="3"/>
  <c r="R19" i="3"/>
  <c r="S19" i="3"/>
  <c r="O20" i="3"/>
  <c r="P20" i="3"/>
  <c r="Q20" i="3"/>
  <c r="R20" i="3"/>
  <c r="S20" i="3"/>
  <c r="Q5" i="3"/>
  <c r="R5" i="3"/>
  <c r="S5" i="3"/>
  <c r="C4" i="2" l="1"/>
  <c r="C7" i="2" l="1"/>
  <c r="C6" i="2"/>
  <c r="C13" i="2"/>
  <c r="C14" i="2"/>
  <c r="E3" i="1"/>
  <c r="E4" i="1" s="1"/>
  <c r="E5" i="1"/>
  <c r="E6" i="1" s="1"/>
  <c r="G13" i="2"/>
  <c r="E36" i="1"/>
  <c r="E37" i="1" s="1"/>
  <c r="E34" i="1"/>
  <c r="E35" i="1" s="1"/>
  <c r="E7" i="1"/>
  <c r="J9" i="2"/>
  <c r="J7" i="2"/>
  <c r="E8" i="1" l="1"/>
</calcChain>
</file>

<file path=xl/sharedStrings.xml><?xml version="1.0" encoding="utf-8"?>
<sst xmlns="http://schemas.openxmlformats.org/spreadsheetml/2006/main" count="324" uniqueCount="165">
  <si>
    <t>parameter</t>
  </si>
  <si>
    <t>value</t>
  </si>
  <si>
    <t>litters_per_sow</t>
  </si>
  <si>
    <t>unit</t>
  </si>
  <si>
    <t>description</t>
  </si>
  <si>
    <t>source</t>
  </si>
  <si>
    <t>Suggor</t>
  </si>
  <si>
    <t>Galtar</t>
  </si>
  <si>
    <t>Slaktgrisar</t>
  </si>
  <si>
    <t>Smågrisar</t>
  </si>
  <si>
    <t>2016-2020</t>
  </si>
  <si>
    <t>kullar per sugga</t>
  </si>
  <si>
    <t>lev. Födda per kull</t>
  </si>
  <si>
    <t>sows</t>
  </si>
  <si>
    <t>boars</t>
  </si>
  <si>
    <t>piglets</t>
  </si>
  <si>
    <t>mortality_0towean</t>
  </si>
  <si>
    <t>calculated from nr of sows and boars in national statistics</t>
  </si>
  <si>
    <t>JO0103F01</t>
  </si>
  <si>
    <t>live_per_litter</t>
  </si>
  <si>
    <t>dead_per_litter</t>
  </si>
  <si>
    <t>f_animal</t>
  </si>
  <si>
    <t>mortality</t>
  </si>
  <si>
    <t>%</t>
  </si>
  <si>
    <t>growing pigs</t>
  </si>
  <si>
    <t>finishing pigs</t>
  </si>
  <si>
    <t>per year</t>
  </si>
  <si>
    <t>conventional</t>
  </si>
  <si>
    <t>organic</t>
  </si>
  <si>
    <t>mortality_weantodelivery</t>
  </si>
  <si>
    <t>Zira et al 2020</t>
  </si>
  <si>
    <t>Zira et al 2027</t>
  </si>
  <si>
    <t>Zira et al 2028</t>
  </si>
  <si>
    <t>Zira et al 2029</t>
  </si>
  <si>
    <t>Zira et al 2030</t>
  </si>
  <si>
    <t>nr</t>
  </si>
  <si>
    <t>gilts</t>
  </si>
  <si>
    <t>weaning_age</t>
  </si>
  <si>
    <t>post_weaning_nursing_period</t>
  </si>
  <si>
    <t>growing_period</t>
  </si>
  <si>
    <t>finishing_period</t>
  </si>
  <si>
    <t>days</t>
  </si>
  <si>
    <t>age_at_first_farrowing</t>
  </si>
  <si>
    <t>recruitment_rate</t>
  </si>
  <si>
    <t>Slakt</t>
  </si>
  <si>
    <t>Slaktgris</t>
  </si>
  <si>
    <t>Unggalt</t>
  </si>
  <si>
    <t>Unggris</t>
  </si>
  <si>
    <t>dödl. Föd-avv.</t>
  </si>
  <si>
    <t>st</t>
  </si>
  <si>
    <t>Avvanda per sugga</t>
  </si>
  <si>
    <t>WinPig 2016-2020</t>
  </si>
  <si>
    <t>boars_per_sows+gilts</t>
  </si>
  <si>
    <t>f_prod_system</t>
  </si>
  <si>
    <t>Kvantitet, 1 000 ton</t>
  </si>
  <si>
    <t>Slaktade hela kroppar, 1 000-tal</t>
  </si>
  <si>
    <t>Ko</t>
  </si>
  <si>
    <t>Ungko</t>
  </si>
  <si>
    <t>Kviga</t>
  </si>
  <si>
    <t>Stut</t>
  </si>
  <si>
    <t>Summa tjur</t>
  </si>
  <si>
    <t>Ungtjur</t>
  </si>
  <si>
    <t>Yngre tjur</t>
  </si>
  <si>
    <t>Äldre tjur</t>
  </si>
  <si>
    <t>Mellankalv</t>
  </si>
  <si>
    <t>Häst</t>
  </si>
  <si>
    <t>Tackor och baggar</t>
  </si>
  <si>
    <t>Lamm</t>
  </si>
  <si>
    <t>Djurkategori</t>
  </si>
  <si>
    <t>Slaktvikt, kg</t>
  </si>
  <si>
    <t>slaughter_weight</t>
  </si>
  <si>
    <t>kg CW</t>
  </si>
  <si>
    <t>JO0604B1</t>
  </si>
  <si>
    <t>f_feed</t>
  </si>
  <si>
    <t>wheat</t>
  </si>
  <si>
    <t>share_in_ration</t>
  </si>
  <si>
    <t>Mortality</t>
  </si>
  <si>
    <t>Fertility</t>
  </si>
  <si>
    <t>Growth stages</t>
  </si>
  <si>
    <t>Slaughter</t>
  </si>
  <si>
    <t>birth_weight</t>
  </si>
  <si>
    <t>kg</t>
  </si>
  <si>
    <t xml:space="preserve">Svensson, Ohlsson &amp; Mattsson. (2011). Kan grisar med låg födelsevikt bli lönsamma tillväxt- och slaktgrisar?. Svenska Pig Nr 49 Maj 2011
</t>
  </si>
  <si>
    <t>live_weight</t>
  </si>
  <si>
    <t>Live weights</t>
  </si>
  <si>
    <t>calculated from slughter weight assuming 75% slaughter yield</t>
  </si>
  <si>
    <t>live_weight_slaughter</t>
  </si>
  <si>
    <t>live_weight_delivery</t>
  </si>
  <si>
    <t>Tabell1. Vägledande norm för utfodring av växande grisar.</t>
  </si>
  <si>
    <t>Vikt</t>
  </si>
  <si>
    <t>MJ NEv/dag</t>
  </si>
  <si>
    <t>MJ OE/dag</t>
  </si>
  <si>
    <t>a En högre slutgiva ger högre tillväxt och något sämre klassning.</t>
  </si>
  <si>
    <t>25.9 - 28.5</t>
  </si>
  <si>
    <t>34.5 – 38a</t>
  </si>
  <si>
    <t>Tabell 2. Exempel på foderkurva för växande grisar (modifierad efter Vils 2008, 1FEsv =
8,8MJ NEv för smågrisar och 9,0 MJ NEv för slaktgrisar).</t>
  </si>
  <si>
    <t>Tillväxt, g/dag
i intervallet</t>
  </si>
  <si>
    <t>Dag från avvänjning</t>
  </si>
  <si>
    <t>Dag från insättning</t>
  </si>
  <si>
    <t>b En högre slutgiva ger högre tillväxt och något sämre klassning.</t>
  </si>
  <si>
    <t>a Avvänjningsgrisarna sätts in på en lägre giva än den som normalt anges för vikten i tabell 1.</t>
  </si>
  <si>
    <t>Vikt, kg</t>
  </si>
  <si>
    <t>Till slakt</t>
  </si>
  <si>
    <t>34.5 – 38</t>
  </si>
  <si>
    <t>live_weight_weaning</t>
  </si>
  <si>
    <t>Feed rations</t>
  </si>
  <si>
    <t>MJ NE/kg</t>
  </si>
  <si>
    <t>feed_energy_per_growth</t>
  </si>
  <si>
    <t>Feed requirements</t>
  </si>
  <si>
    <t>Göransson, L., Lindberg, J.E. (2011). Näringsrekommendationer ver. 2011.1 - Energi</t>
  </si>
  <si>
    <t>Simonsson, A. (2006). Fodermedel och näringsrekommendationer för gris. HUV Rapport 266. SLU</t>
  </si>
  <si>
    <t>Tabell 13. Energinorm for avelsgalt</t>
  </si>
  <si>
    <t>MJ ME/dag</t>
  </si>
  <si>
    <t>MJ NEs/dag</t>
  </si>
  <si>
    <t>Tabell 6. Vägledande norm för utfodring av växande korsningsgyltor.</t>
  </si>
  <si>
    <t>Eller fri tilldelning till 30 kg</t>
  </si>
  <si>
    <t>Tabell 12. Energinorm for digivande sugga, MJ ME per dag</t>
  </si>
  <si>
    <t>Kull-storlek</t>
  </si>
  <si>
    <t>Levande-vikt, kg</t>
  </si>
  <si>
    <t>est.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</si>
  <si>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</si>
  <si>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</si>
  <si>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</si>
  <si>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</si>
  <si>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</si>
  <si>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</si>
  <si>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</si>
  <si>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</si>
  <si>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</si>
  <si>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</si>
  <si>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</si>
  <si>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</si>
  <si>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</si>
  <si>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</si>
  <si>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</si>
  <si>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</si>
  <si>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</si>
  <si>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</si>
  <si>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</si>
  <si>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</si>
  <si>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</si>
  <si>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</si>
  <si>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</si>
  <si>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</si>
  <si>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</si>
  <si>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</si>
  <si>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MJ NEs/dag</t>
  </si>
  <si>
    <t>Residuals</t>
  </si>
  <si>
    <t>Standard Residuals</t>
  </si>
  <si>
    <t>PROBABILITY OUTPUT</t>
  </si>
  <si>
    <t>Percentile</t>
  </si>
  <si>
    <t xml:space="preserve">MJ NE = </t>
  </si>
  <si>
    <t>+</t>
  </si>
  <si>
    <t>LS *</t>
  </si>
  <si>
    <t>LW *</t>
  </si>
  <si>
    <t>LS = litter size, LW = live weight</t>
  </si>
  <si>
    <t>Assume same proportion dead/live as in conventional</t>
  </si>
  <si>
    <t>gestation_period</t>
  </si>
  <si>
    <t>RISE LCA</t>
  </si>
  <si>
    <t>Tabell 3: 420 MJ / (31.5kg@delivery - 10kg@weaning)</t>
  </si>
  <si>
    <t>org/conv ratio from Zira et al 2020</t>
  </si>
  <si>
    <t>branchstandard</t>
  </si>
  <si>
    <t>dif org/conv?</t>
  </si>
  <si>
    <t>% of DM</t>
  </si>
  <si>
    <t>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</si>
</sst>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%"/>
    <numFmt numFmtId="166" formatCode="#,##0.000"/>
    <numFmt numFmtId="167" formatCode="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1"/>
      <color indexed="8"/>
      <name val="Arial"/>
      <family val="2"/>
    </font>
    <font>
      <sz val="12"/>
      <color indexed="8"/>
      <name val="Times New Roman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  <charset val="204"/>
    </font>
    <font>
      <sz val="11"/>
      <color indexed="8"/>
      <name val="Calibri"/>
      <family val="1"/>
      <charset val="204"/>
    </font>
    <font>
      <b/>
      <sz val="11"/>
      <color indexed="8"/>
      <name val="Calibri"/>
      <family val="1"/>
      <charset val="204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1C1C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C1C1C1"/>
      </right>
      <top style="thin">
        <color rgb="FF000000"/>
      </top>
      <bottom/>
      <diagonal/>
    </border>
    <border>
      <left style="thin">
        <color rgb="FFC1C1C1"/>
      </left>
      <right style="thin">
        <color rgb="FFC1C1C1"/>
      </right>
      <top style="thin">
        <color rgb="FF000000"/>
      </top>
      <bottom/>
      <diagonal/>
    </border>
    <border>
      <left style="thin">
        <color rgb="FFC1C1C1"/>
      </left>
      <right style="thin">
        <color rgb="FFC1C1C1"/>
      </right>
      <top/>
      <bottom style="thin">
        <color rgb="FF000000"/>
      </bottom>
      <diagonal/>
    </border>
    <border>
      <left style="thin">
        <color rgb="FFC1C1C1"/>
      </left>
      <right/>
      <top style="thin">
        <color rgb="FF000000"/>
      </top>
      <bottom/>
      <diagonal/>
    </border>
    <border>
      <left style="thin">
        <color rgb="FFC1C1C1"/>
      </left>
      <right/>
      <top/>
      <bottom style="thin">
        <color rgb="FF000000"/>
      </bottom>
      <diagonal/>
    </border>
    <border>
      <left/>
      <right style="thin">
        <color rgb="FFC1C1C1"/>
      </right>
      <top/>
      <bottom style="thin">
        <color rgb="FF000000"/>
      </bottom>
      <diagonal/>
    </border>
    <border>
      <left/>
      <right/>
      <top/>
      <bottom style="thin">
        <color rgb="FFC1C1C1"/>
      </bottom>
      <diagonal/>
    </border>
    <border>
      <left/>
      <right/>
      <top style="thin">
        <color rgb="FFC1C1C1"/>
      </top>
      <bottom/>
      <diagonal/>
    </border>
    <border>
      <left/>
      <right/>
      <top style="thin">
        <color rgb="FFC1C1C1"/>
      </top>
      <bottom style="thin">
        <color rgb="FFC1C1C1"/>
      </bottom>
      <diagonal/>
    </border>
    <border>
      <left/>
      <right/>
      <top style="thin">
        <color rgb="FFC1C1C1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0" fontId="2" fillId="0" borderId="0" xfId="0" applyFont="1"/>
    <xf numFmtId="9" fontId="0" fillId="0" borderId="0" xfId="1" applyFont="1"/>
    <xf numFmtId="165" fontId="0" fillId="0" borderId="0" xfId="1" applyNumberFormat="1" applyFont="1"/>
    <xf numFmtId="166" fontId="0" fillId="0" borderId="0" xfId="0" applyNumberFormat="1"/>
    <xf numFmtId="0" fontId="0" fillId="2" borderId="0" xfId="0" applyFill="1"/>
    <xf numFmtId="3" fontId="0" fillId="2" borderId="0" xfId="0" applyNumberFormat="1" applyFill="1"/>
    <xf numFmtId="3" fontId="2" fillId="2" borderId="0" xfId="0" applyNumberFormat="1" applyFont="1" applyFill="1"/>
    <xf numFmtId="167" fontId="2" fillId="2" borderId="0" xfId="0" applyNumberFormat="1" applyFont="1" applyFill="1"/>
    <xf numFmtId="167" fontId="0" fillId="2" borderId="0" xfId="0" applyNumberFormat="1" applyFill="1"/>
    <xf numFmtId="1" fontId="0" fillId="0" borderId="0" xfId="0" applyNumberFormat="1"/>
    <xf numFmtId="0" fontId="3" fillId="2" borderId="0" xfId="0" applyFont="1" applyFill="1"/>
    <xf numFmtId="0" fontId="0" fillId="0" borderId="0" xfId="0" applyAlignment="1"/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wrapText="1"/>
    </xf>
    <xf numFmtId="1" fontId="5" fillId="3" borderId="2" xfId="0" applyNumberFormat="1" applyFont="1" applyFill="1" applyBorder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1" fontId="5" fillId="3" borderId="0" xfId="0" applyNumberFormat="1" applyFont="1" applyFill="1" applyAlignment="1">
      <alignment horizontal="center" vertical="top" shrinkToFit="1"/>
    </xf>
    <xf numFmtId="1" fontId="5" fillId="3" borderId="3" xfId="0" applyNumberFormat="1" applyFont="1" applyFill="1" applyBorder="1" applyAlignment="1">
      <alignment horizontal="center" vertical="top" shrinkToFi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8" fillId="3" borderId="2" xfId="0" applyNumberFormat="1" applyFont="1" applyFill="1" applyBorder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4" fontId="8" fillId="3" borderId="0" xfId="0" applyNumberFormat="1" applyFont="1" applyFill="1" applyAlignment="1">
      <alignment horizontal="center" vertical="top"/>
    </xf>
    <xf numFmtId="0" fontId="8" fillId="3" borderId="3" xfId="0" applyFont="1" applyFill="1" applyBorder="1" applyAlignment="1">
      <alignment horizontal="center" vertical="top"/>
    </xf>
    <xf numFmtId="0" fontId="8" fillId="3" borderId="3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center" wrapText="1"/>
    </xf>
    <xf numFmtId="1" fontId="5" fillId="3" borderId="10" xfId="0" applyNumberFormat="1" applyFont="1" applyFill="1" applyBorder="1" applyAlignment="1">
      <alignment horizontal="center" vertical="top" shrinkToFit="1"/>
    </xf>
    <xf numFmtId="1" fontId="5" fillId="0" borderId="11" xfId="0" applyNumberFormat="1" applyFont="1" applyBorder="1" applyAlignment="1">
      <alignment horizontal="center" vertical="top" shrinkToFit="1"/>
    </xf>
    <xf numFmtId="1" fontId="5" fillId="0" borderId="12" xfId="0" applyNumberFormat="1" applyFont="1" applyBorder="1" applyAlignment="1">
      <alignment horizontal="center" vertical="top" shrinkToFit="1"/>
    </xf>
    <xf numFmtId="0" fontId="1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left" wrapText="1"/>
    </xf>
    <xf numFmtId="0" fontId="8" fillId="0" borderId="13" xfId="0" applyFont="1" applyBorder="1" applyAlignment="1">
      <alignment horizontal="right" vertical="top" wrapText="1"/>
    </xf>
    <xf numFmtId="0" fontId="8" fillId="0" borderId="13" xfId="0" applyFont="1" applyBorder="1" applyAlignment="1">
      <alignment horizontal="center" vertical="top" wrapText="1"/>
    </xf>
    <xf numFmtId="0" fontId="9" fillId="0" borderId="0" xfId="0" applyFont="1" applyAlignment="1">
      <alignment vertical="top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/>
    <xf numFmtId="0" fontId="7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1" fontId="12" fillId="0" borderId="0" xfId="0" applyNumberFormat="1" applyFont="1" applyAlignment="1">
      <alignment horizontal="center" vertical="top" shrinkToFit="1"/>
    </xf>
    <xf numFmtId="0" fontId="12" fillId="0" borderId="0" xfId="0" applyFont="1" applyAlignment="1">
      <alignment horizontal="center" vertical="top" wrapText="1"/>
    </xf>
    <xf numFmtId="1" fontId="12" fillId="3" borderId="10" xfId="0" applyNumberFormat="1" applyFont="1" applyFill="1" applyBorder="1" applyAlignment="1">
      <alignment horizontal="center" vertical="top" shrinkToFit="1"/>
    </xf>
    <xf numFmtId="0" fontId="12" fillId="3" borderId="10" xfId="0" applyFont="1" applyFill="1" applyBorder="1" applyAlignment="1">
      <alignment horizontal="center" vertical="top" wrapText="1"/>
    </xf>
    <xf numFmtId="1" fontId="12" fillId="3" borderId="10" xfId="0" applyNumberFormat="1" applyFont="1" applyFill="1" applyBorder="1" applyAlignment="1">
      <alignment horizontal="right" vertical="top" indent="3" shrinkToFit="1"/>
    </xf>
    <xf numFmtId="0" fontId="12" fillId="0" borderId="11" xfId="0" applyFont="1" applyBorder="1" applyAlignment="1">
      <alignment horizontal="center" vertical="top" wrapText="1"/>
    </xf>
    <xf numFmtId="1" fontId="12" fillId="0" borderId="11" xfId="0" applyNumberFormat="1" applyFont="1" applyBorder="1" applyAlignment="1">
      <alignment horizontal="right" vertical="top" indent="3" shrinkToFit="1"/>
    </xf>
    <xf numFmtId="0" fontId="12" fillId="0" borderId="11" xfId="0" applyFont="1" applyBorder="1" applyAlignment="1">
      <alignment horizontal="left" vertical="top" wrapText="1" indent="3"/>
    </xf>
    <xf numFmtId="0" fontId="12" fillId="3" borderId="10" xfId="0" applyFont="1" applyFill="1" applyBorder="1" applyAlignment="1">
      <alignment horizontal="left" vertical="top" wrapText="1" indent="3"/>
    </xf>
    <xf numFmtId="1" fontId="12" fillId="0" borderId="12" xfId="0" applyNumberFormat="1" applyFont="1" applyBorder="1" applyAlignment="1">
      <alignment horizontal="center" vertical="top" shrinkToFit="1"/>
    </xf>
    <xf numFmtId="0" fontId="12" fillId="0" borderId="12" xfId="0" applyFont="1" applyBorder="1" applyAlignment="1">
      <alignment horizontal="left" vertical="top" wrapText="1" indent="3"/>
    </xf>
    <xf numFmtId="0" fontId="12" fillId="0" borderId="12" xfId="0" applyFont="1" applyBorder="1" applyAlignment="1">
      <alignment horizontal="center" vertical="top" wrapText="1"/>
    </xf>
    <xf numFmtId="1" fontId="12" fillId="0" borderId="12" xfId="0" applyNumberFormat="1" applyFont="1" applyBorder="1" applyAlignment="1">
      <alignment horizontal="right" vertical="top" indent="3" shrinkToFit="1"/>
    </xf>
    <xf numFmtId="0" fontId="13" fillId="0" borderId="0" xfId="0" applyFont="1" applyAlignment="1">
      <alignment horizontal="left" wrapText="1"/>
    </xf>
    <xf numFmtId="0" fontId="12" fillId="0" borderId="0" xfId="0" applyFont="1" applyAlignment="1">
      <alignment horizontal="left" vertical="top" wrapText="1" indent="3"/>
    </xf>
    <xf numFmtId="2" fontId="0" fillId="0" borderId="0" xfId="0" applyNumberFormat="1"/>
    <xf numFmtId="0" fontId="8" fillId="3" borderId="2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6" fillId="0" borderId="0" xfId="0" applyFont="1" applyAlignment="1"/>
    <xf numFmtId="0" fontId="8" fillId="3" borderId="0" xfId="0" applyFont="1" applyFill="1" applyAlignment="1">
      <alignment horizontal="left" vertical="top" wrapText="1" indent="2"/>
    </xf>
    <xf numFmtId="0" fontId="8" fillId="3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 wrapText="1" indent="2"/>
    </xf>
    <xf numFmtId="0" fontId="8" fillId="0" borderId="0" xfId="0" applyFont="1" applyAlignment="1">
      <alignment horizontal="left" vertical="top" wrapText="1"/>
    </xf>
    <xf numFmtId="0" fontId="7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 wrapText="1" indent="2"/>
    </xf>
    <xf numFmtId="0" fontId="8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/>
    </xf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Fill="1" applyBorder="1" applyAlignment="1"/>
    <xf numFmtId="0" fontId="0" fillId="0" borderId="16" xfId="0" applyFill="1" applyBorder="1" applyAlignment="1"/>
    <xf numFmtId="0" fontId="14" fillId="0" borderId="17" xfId="0" applyFont="1" applyFill="1" applyBorder="1" applyAlignment="1">
      <alignment horizontal="center"/>
    </xf>
    <xf numFmtId="0" fontId="14" fillId="0" borderId="17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4" fontId="4" fillId="0" borderId="0" xfId="0" applyNumberFormat="1" applyFont="1" applyAlignment="1">
      <alignment horizontal="left" wrapText="1"/>
    </xf>
    <xf numFmtId="0" fontId="15" fillId="0" borderId="0" xfId="0" applyFont="1"/>
    <xf numFmtId="0" fontId="7" fillId="3" borderId="0" xfId="0" applyFont="1" applyFill="1" applyAlignment="1">
      <alignment horizontal="left" vertical="top" wrapText="1"/>
    </xf>
    <xf numFmtId="0" fontId="8" fillId="3" borderId="5" xfId="0" applyFont="1" applyFill="1" applyBorder="1" applyAlignment="1">
      <alignment horizontal="center" vertical="top" wrapText="1"/>
    </xf>
    <xf numFmtId="0" fontId="8" fillId="3" borderId="6" xfId="0" applyFont="1" applyFill="1" applyBorder="1" applyAlignment="1">
      <alignment horizontal="center" vertical="top" wrapText="1"/>
    </xf>
    <xf numFmtId="0" fontId="10" fillId="3" borderId="7" xfId="0" applyFont="1" applyFill="1" applyBorder="1" applyAlignment="1">
      <alignment horizontal="center" vertical="top" wrapText="1"/>
    </xf>
    <xf numFmtId="0" fontId="10" fillId="3" borderId="8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wrapText="1"/>
    </xf>
    <xf numFmtId="0" fontId="8" fillId="4" borderId="2" xfId="0" applyFont="1" applyFill="1" applyBorder="1" applyAlignment="1">
      <alignment horizontal="center" vertical="top"/>
    </xf>
    <xf numFmtId="0" fontId="8" fillId="4" borderId="3" xfId="0" applyFont="1" applyFill="1" applyBorder="1" applyAlignment="1">
      <alignment horizontal="center" vertical="top"/>
    </xf>
    <xf numFmtId="0" fontId="8" fillId="4" borderId="4" xfId="0" applyFont="1" applyFill="1" applyBorder="1" applyAlignment="1">
      <alignment horizontal="center" vertical="top" wrapText="1"/>
    </xf>
    <xf numFmtId="0" fontId="8" fillId="4" borderId="9" xfId="0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Kull-storlek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'Energi rek'!$O$19:$O$27</c:f>
              <c:numCache>
                <c:formatCode>General</c:formatCode>
                <c:ptCount val="9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</c:numCache>
            </c:numRef>
          </c:xVal>
          <c:yVal>
            <c:numRef>
              <c:f>Sheet2!$C$26:$C$34</c:f>
              <c:numCache>
                <c:formatCode>General</c:formatCode>
                <c:ptCount val="9"/>
                <c:pt idx="0">
                  <c:v>-0.1730769230769269</c:v>
                </c:pt>
                <c:pt idx="1">
                  <c:v>0.1538461538461533</c:v>
                </c:pt>
                <c:pt idx="2">
                  <c:v>-0.2692307692307665</c:v>
                </c:pt>
                <c:pt idx="3">
                  <c:v>0.1153846153846132</c:v>
                </c:pt>
                <c:pt idx="4">
                  <c:v>0.4423076923076934</c:v>
                </c:pt>
                <c:pt idx="5">
                  <c:v>1.9230769230773603E-2</c:v>
                </c:pt>
                <c:pt idx="6">
                  <c:v>7.6923076923080203E-2</c:v>
                </c:pt>
                <c:pt idx="7">
                  <c:v>-0.34615384615385381</c:v>
                </c:pt>
                <c:pt idx="8">
                  <c:v>-1.9230769230773603E-2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56-43AC-B630-C0C282D2F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281840"/>
        <c:axId val="1948299728"/>
      </c:scatterChart>
      <c:valAx>
        <c:axId val="194828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Kull-storlek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99728"/>
        <c:crosses val="autoZero"/>
        <c:crossBetween val="midCat"/>
      </c:valAx>
      <c:valAx>
        <c:axId val="1948299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81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Levande-vikt, kg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'Energi rek'!$P$19:$P$27</c:f>
              <c:numCache>
                <c:formatCode>General</c:formatCode>
                <c:ptCount val="9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</c:numCache>
            </c:numRef>
          </c:xVal>
          <c:yVal>
            <c:numRef>
              <c:f>Sheet2!$C$26:$C$34</c:f>
              <c:numCache>
                <c:formatCode>General</c:formatCode>
                <c:ptCount val="9"/>
                <c:pt idx="0">
                  <c:v>-0.1730769230769269</c:v>
                </c:pt>
                <c:pt idx="1">
                  <c:v>0.1538461538461533</c:v>
                </c:pt>
                <c:pt idx="2">
                  <c:v>-0.2692307692307665</c:v>
                </c:pt>
                <c:pt idx="3">
                  <c:v>0.1153846153846132</c:v>
                </c:pt>
                <c:pt idx="4">
                  <c:v>0.4423076923076934</c:v>
                </c:pt>
                <c:pt idx="5">
                  <c:v>1.9230769230773603E-2</c:v>
                </c:pt>
                <c:pt idx="6">
                  <c:v>7.6923076923080203E-2</c:v>
                </c:pt>
                <c:pt idx="7">
                  <c:v>-0.34615384615385381</c:v>
                </c:pt>
                <c:pt idx="8">
                  <c:v>-1.9230769230773603E-2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9D-4E9B-903B-AFF4D3599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302640"/>
        <c:axId val="1948279760"/>
      </c:scatterChart>
      <c:valAx>
        <c:axId val="1948302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Levande-vikt, kg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79760"/>
        <c:crosses val="autoZero"/>
        <c:crossBetween val="midCat"/>
      </c:valAx>
      <c:valAx>
        <c:axId val="1948279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3026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Kull-storlek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MJ NEs/dag</c:v>
          </c:tx>
          <c:spPr>
            <a:ln w="19050">
              <a:noFill/>
            </a:ln>
          </c:spPr>
          <c:xVal>
            <c:numRef>
              <c:f>'Energi rek'!$O$19:$O$27</c:f>
              <c:numCache>
                <c:formatCode>General</c:formatCode>
                <c:ptCount val="9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</c:numCache>
            </c:numRef>
          </c:xVal>
          <c:yVal>
            <c:numRef>
              <c:f>'Energi rek'!$R$19:$R$27</c:f>
              <c:numCache>
                <c:formatCode>0.0</c:formatCode>
                <c:ptCount val="9"/>
                <c:pt idx="0">
                  <c:v>41.25</c:v>
                </c:pt>
                <c:pt idx="1">
                  <c:v>52.5</c:v>
                </c:pt>
                <c:pt idx="2">
                  <c:v>63</c:v>
                </c:pt>
                <c:pt idx="3">
                  <c:v>62.25</c:v>
                </c:pt>
                <c:pt idx="4">
                  <c:v>73.5</c:v>
                </c:pt>
                <c:pt idx="5">
                  <c:v>84</c:v>
                </c:pt>
                <c:pt idx="6">
                  <c:v>72</c:v>
                </c:pt>
                <c:pt idx="7">
                  <c:v>82.5</c:v>
                </c:pt>
                <c:pt idx="8">
                  <c:v>93.75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4B-4272-A4EE-91B6BFCB5103}"/>
            </c:ext>
          </c:extLst>
        </c:ser>
        <c:ser>
          <c:idx val="1"/>
          <c:order val="1"/>
          <c:tx>
            <c:v>Predicted MJ NEs/dag</c:v>
          </c:tx>
          <c:spPr>
            <a:ln w="19050">
              <a:noFill/>
            </a:ln>
          </c:spPr>
          <c:xVal>
            <c:numRef>
              <c:f>'Energi rek'!$O$19:$O$27</c:f>
              <c:numCache>
                <c:formatCode>General</c:formatCode>
                <c:ptCount val="9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</c:numCache>
            </c:numRef>
          </c:xVal>
          <c:yVal>
            <c:numRef>
              <c:f>Sheet2!$B$26:$B$34</c:f>
              <c:numCache>
                <c:formatCode>General</c:formatCode>
                <c:ptCount val="9"/>
                <c:pt idx="0">
                  <c:v>41.423076923076927</c:v>
                </c:pt>
                <c:pt idx="1">
                  <c:v>52.346153846153847</c:v>
                </c:pt>
                <c:pt idx="2">
                  <c:v>63.269230769230766</c:v>
                </c:pt>
                <c:pt idx="3">
                  <c:v>62.134615384615387</c:v>
                </c:pt>
                <c:pt idx="4">
                  <c:v>73.057692307692307</c:v>
                </c:pt>
                <c:pt idx="5">
                  <c:v>83.980769230769226</c:v>
                </c:pt>
                <c:pt idx="6">
                  <c:v>71.92307692307692</c:v>
                </c:pt>
                <c:pt idx="7">
                  <c:v>82.846153846153854</c:v>
                </c:pt>
                <c:pt idx="8">
                  <c:v>93.769230769230774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4B-4272-A4EE-91B6BFCB5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289328"/>
        <c:axId val="1948296400"/>
      </c:scatterChart>
      <c:valAx>
        <c:axId val="1948289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Kull-storlek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96400"/>
        <c:crosses val="autoZero"/>
        <c:crossBetween val="midCat"/>
      </c:valAx>
      <c:valAx>
        <c:axId val="1948296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MJ NEs/dag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948289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Levande-vikt, kg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MJ NEs/dag</c:v>
          </c:tx>
          <c:spPr>
            <a:ln w="19050">
              <a:noFill/>
            </a:ln>
          </c:spPr>
          <c:xVal>
            <c:numRef>
              <c:f>'Energi rek'!$P$19:$P$27</c:f>
              <c:numCache>
                <c:formatCode>General</c:formatCode>
                <c:ptCount val="9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</c:numCache>
            </c:numRef>
          </c:xVal>
          <c:yVal>
            <c:numRef>
              <c:f>'Energi rek'!$R$19:$R$27</c:f>
              <c:numCache>
                <c:formatCode>0.0</c:formatCode>
                <c:ptCount val="9"/>
                <c:pt idx="0">
                  <c:v>41.25</c:v>
                </c:pt>
                <c:pt idx="1">
                  <c:v>52.5</c:v>
                </c:pt>
                <c:pt idx="2">
                  <c:v>63</c:v>
                </c:pt>
                <c:pt idx="3">
                  <c:v>62.25</c:v>
                </c:pt>
                <c:pt idx="4">
                  <c:v>73.5</c:v>
                </c:pt>
                <c:pt idx="5">
                  <c:v>84</c:v>
                </c:pt>
                <c:pt idx="6">
                  <c:v>72</c:v>
                </c:pt>
                <c:pt idx="7">
                  <c:v>82.5</c:v>
                </c:pt>
                <c:pt idx="8">
                  <c:v>93.75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2C-4AF7-B642-28644BB22F11}"/>
            </c:ext>
          </c:extLst>
        </c:ser>
        <c:ser>
          <c:idx val="1"/>
          <c:order val="1"/>
          <c:tx>
            <c:v>Predicted MJ NEs/dag</c:v>
          </c:tx>
          <c:spPr>
            <a:ln w="19050">
              <a:noFill/>
            </a:ln>
          </c:spPr>
          <c:xVal>
            <c:numRef>
              <c:f>'Energi rek'!$P$19:$P$27</c:f>
              <c:numCache>
                <c:formatCode>General</c:formatCode>
                <c:ptCount val="9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</c:numCache>
            </c:numRef>
          </c:xVal>
          <c:yVal>
            <c:numRef>
              <c:f>Sheet2!$B$26:$B$34</c:f>
              <c:numCache>
                <c:formatCode>General</c:formatCode>
                <c:ptCount val="9"/>
                <c:pt idx="0">
                  <c:v>41.423076923076927</c:v>
                </c:pt>
                <c:pt idx="1">
                  <c:v>52.346153846153847</c:v>
                </c:pt>
                <c:pt idx="2">
                  <c:v>63.269230769230766</c:v>
                </c:pt>
                <c:pt idx="3">
                  <c:v>62.134615384615387</c:v>
                </c:pt>
                <c:pt idx="4">
                  <c:v>73.057692307692307</c:v>
                </c:pt>
                <c:pt idx="5">
                  <c:v>83.980769230769226</c:v>
                </c:pt>
                <c:pt idx="6">
                  <c:v>71.92307692307692</c:v>
                </c:pt>
                <c:pt idx="7">
                  <c:v>82.846153846153854</c:v>
                </c:pt>
                <c:pt idx="8">
                  <c:v>93.769230769230774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2C-4AF7-B642-28644BB22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293488"/>
        <c:axId val="1948295984"/>
      </c:scatterChart>
      <c:valAx>
        <c:axId val="1948293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Levande-vikt, kg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95984"/>
        <c:crosses val="autoZero"/>
        <c:crossBetween val="midCat"/>
      </c:valAx>
      <c:valAx>
        <c:axId val="1948295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MJ NEs/dag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948293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Sheet2!$F$26:$F$34</c:f>
              <c:numCache>
                <c:formatCode>General</c:formatCode>
                <c:ptCount val="9"/>
                <c:pt idx="0">
                  <c:v>5.5555555555555554</c:v>
                </c:pt>
                <c:pt idx="1">
                  <c:v>16.666666666666664</c:v>
                </c:pt>
                <c:pt idx="2">
                  <c:v>27.777777777777779</c:v>
                </c:pt>
                <c:pt idx="3">
                  <c:v>38.888888888888886</c:v>
                </c:pt>
                <c:pt idx="4">
                  <c:v>50</c:v>
                </c:pt>
                <c:pt idx="5">
                  <c:v>61.111111111111114</c:v>
                </c:pt>
                <c:pt idx="6">
                  <c:v>72.222222222222214</c:v>
                </c:pt>
                <c:pt idx="7">
                  <c:v>83.333333333333329</c:v>
                </c:pt>
                <c:pt idx="8">
                  <c:v>94.444444444444443</c:v>
                </c:pt>
              </c:numCache>
            </c:numRef>
          </c:xVal>
          <c:yVal>
            <c:numRef>
              <c:f>Sheet2!$G$26:$G$34</c:f>
              <c:numCache>
                <c:formatCode>General</c:formatCode>
                <c:ptCount val="9"/>
                <c:pt idx="0">
                  <c:v>41.25</c:v>
                </c:pt>
                <c:pt idx="1">
                  <c:v>52.5</c:v>
                </c:pt>
                <c:pt idx="2">
                  <c:v>62.25</c:v>
                </c:pt>
                <c:pt idx="3">
                  <c:v>63</c:v>
                </c:pt>
                <c:pt idx="4">
                  <c:v>72</c:v>
                </c:pt>
                <c:pt idx="5">
                  <c:v>73.5</c:v>
                </c:pt>
                <c:pt idx="6">
                  <c:v>82.5</c:v>
                </c:pt>
                <c:pt idx="7">
                  <c:v>84</c:v>
                </c:pt>
                <c:pt idx="8">
                  <c:v>93.75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C8-4AC5-8673-12EED112C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289328"/>
        <c:axId val="1948284752"/>
      </c:scatterChart>
      <c:valAx>
        <c:axId val="1948289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84752"/>
        <c:crosses val="autoZero"/>
        <c:crossBetween val="midCat"/>
      </c:valAx>
      <c:valAx>
        <c:axId val="1948284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MJ NEs/dag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82893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'Energi rek'!$C$4</c:f>
              <c:strCache>
                <c:ptCount val="1"/>
                <c:pt idx="0">
                  <c:v>MJ NEv/dag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857830271216098"/>
                  <c:y val="-5.06722076407115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'Energi rek'!$B$5:$B$9</c:f>
              <c:numCache>
                <c:formatCode>0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'Energi rek'!$C$5:$C$9</c:f>
              <c:numCache>
                <c:formatCode>0.0</c:formatCode>
                <c:ptCount val="5"/>
                <c:pt idx="0">
                  <c:v>6.2</c:v>
                </c:pt>
                <c:pt idx="1">
                  <c:v>8.3000000000000007</c:v>
                </c:pt>
                <c:pt idx="2">
                  <c:v>10.4</c:v>
                </c:pt>
                <c:pt idx="3">
                  <c:v>12.4</c:v>
                </c:pt>
                <c:pt idx="4">
                  <c:v>14.5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B3-49D7-9F81-4CEE91319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34287"/>
        <c:axId val="1037527215"/>
      </c:scatterChart>
      <c:valAx>
        <c:axId val="103753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7215"/>
        <c:crosses val="autoZero"/>
        <c:crossBetween val="midCat"/>
      </c:valAx>
      <c:valAx>
        <c:axId val="103752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3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MJ NEv/dag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3184601924759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'Energi rek'!$C$28:$C$33</c:f>
              <c:numCache>
                <c:formatCode>General</c:formatCode>
                <c:ptCount val="6"/>
                <c:pt idx="0" formatCode="0">
                  <c:v>11</c:v>
                </c:pt>
                <c:pt idx="1">
                  <c:v>13.3</c:v>
                </c:pt>
                <c:pt idx="2">
                  <c:v>16.7</c:v>
                </c:pt>
                <c:pt idx="3">
                  <c:v>20.6</c:v>
                </c:pt>
                <c:pt idx="4" formatCode="0">
                  <c:v>25</c:v>
                </c:pt>
                <c:pt idx="5" formatCode="0">
                  <c:v>30</c:v>
                </c:pt>
              </c:numCache>
            </c:numRef>
          </c:xVal>
          <c:yVal>
            <c:numRef>
              <c:f>'Energi rek'!$D$28:$D$33</c:f>
              <c:numCache>
                <c:formatCode>General</c:formatCode>
                <c:ptCount val="6"/>
                <c:pt idx="0">
                  <c:v>6.6</c:v>
                </c:pt>
                <c:pt idx="1">
                  <c:v>7.7</c:v>
                </c:pt>
                <c:pt idx="2">
                  <c:v>9.1999999999999993</c:v>
                </c:pt>
                <c:pt idx="3">
                  <c:v>10.7</c:v>
                </c:pt>
                <c:pt idx="4">
                  <c:v>12.4</c:v>
                </c:pt>
                <c:pt idx="5">
                  <c:v>14.5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E-4094-9A4B-5E60E4B90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30959"/>
        <c:axId val="1037521807"/>
      </c:scatterChart>
      <c:valAx>
        <c:axId val="103753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1807"/>
        <c:crosses val="autoZero"/>
        <c:crossBetween val="midCat"/>
      </c:valAx>
      <c:valAx>
        <c:axId val="103752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3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'Energi rek'!$Q$4</c:f>
              <c:strCache>
                <c:ptCount val="1"/>
                <c:pt idx="0">
                  <c:v>MJ NEs/dag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026496687914009E-2"/>
                  <c:y val="0.21390519893622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'Energi rek'!$O$5:$O$9</c:f>
              <c:numCache>
                <c:formatCode>General</c:formatCode>
                <c:ptCount val="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</c:numCache>
            </c:numRef>
          </c:xVal>
          <c:yVal>
            <c:numRef>
              <c:f>'Energi rek'!$Q$5:$Q$9</c:f>
              <c:numCache>
                <c:formatCode>General</c:formatCode>
                <c:ptCount val="5"/>
                <c:pt idx="0">
                  <c:v>19.5</c:v>
                </c:pt>
                <c:pt idx="1">
                  <c:v>21.75</c:v>
                </c:pt>
                <c:pt idx="2">
                  <c:v>23.25</c:v>
                </c:pt>
                <c:pt idx="3">
                  <c:v>24.75</c:v>
                </c:pt>
                <c:pt idx="4">
                  <c:v>26.25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5-4D15-8280-B6F0B7F0F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282256"/>
        <c:axId val="1948283504"/>
      </c:scatterChart>
      <c:valAx>
        <c:axId val="194828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83504"/>
        <c:crosses val="autoZero"/>
        <c:crossBetween val="midCat"/>
      </c:valAx>
      <c:valAx>
        <c:axId val="194828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8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'Energi rek'!$C$48</c:f>
              <c:strCache>
                <c:ptCount val="1"/>
                <c:pt idx="0">
                  <c:v>MJ NEv/dag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215179352580927"/>
                  <c:y val="-1.8070175438596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'Energi rek'!$B$55:$B$60</c:f>
              <c:numCache>
                <c:formatCode>0</c:formatCode>
                <c:ptCount val="6"/>
                <c:pt idx="0">
                  <c:v>35</c:v>
                </c:pt>
                <c:pt idx="1">
                  <c:v>40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  <c:pt idx="5" formatCode="General">
                  <c:v>60</c:v>
                </c:pt>
              </c:numCache>
            </c:numRef>
          </c:xVal>
          <c:yVal>
            <c:numRef>
              <c:f>'Energi rek'!$C$55:$C$60</c:f>
              <c:numCache>
                <c:formatCode>General</c:formatCode>
                <c:ptCount val="6"/>
                <c:pt idx="0">
                  <c:v>14.8</c:v>
                </c:pt>
                <c:pt idx="1">
                  <c:v>16.5</c:v>
                </c:pt>
                <c:pt idx="2">
                  <c:v>18.2</c:v>
                </c:pt>
                <c:pt idx="3">
                  <c:v>19.899999999999999</c:v>
                </c:pt>
                <c:pt idx="4">
                  <c:v>21.6</c:v>
                </c:pt>
                <c:pt idx="5">
                  <c:v>23.3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EB-4908-B04E-3615DE199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304304"/>
        <c:axId val="1948303056"/>
      </c:scatterChart>
      <c:valAx>
        <c:axId val="194830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03056"/>
        <c:crosses val="autoZero"/>
        <c:crossBetween val="midCat"/>
      </c:valAx>
      <c:valAx>
        <c:axId val="194830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0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238125</xdr:colOff>
      <xdr:row>8</xdr:row>
      <xdr:rowOff>180975</xdr:rowOff>
    </xdr:from>
    <xdr:to>
      <xdr:col>19</xdr:col>
      <xdr:colOff>238125</xdr:colOff>
      <xdr:row>18</xdr:row>
      <xdr:rowOff>180975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3</xdr:row>
      <xdr:rowOff>180975</xdr:rowOff>
    </xdr:from>
    <xdr:to>
      <xdr:col>10</xdr:col>
      <xdr:colOff>276225</xdr:colOff>
      <xdr:row>13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25</xdr:row>
      <xdr:rowOff>19050</xdr:rowOff>
    </xdr:from>
    <xdr:to>
      <xdr:col>11</xdr:col>
      <xdr:colOff>466725</xdr:colOff>
      <xdr:row>36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76200</xdr:colOff>
      <xdr:row>2</xdr:row>
      <xdr:rowOff>180975</xdr:rowOff>
    </xdr:from>
    <xdr:to>
      <xdr:col>21</xdr:col>
      <xdr:colOff>361950</xdr:colOff>
      <xdr:row>13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257175</xdr:colOff>
      <xdr:row>47</xdr:row>
      <xdr:rowOff>47625</xdr:rowOff>
    </xdr:from>
    <xdr:to>
      <xdr:col>9</xdr:col>
      <xdr:colOff>104775</xdr:colOff>
      <xdr:row>58</xdr:row>
      <xdr:rowOff>123825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abSelected="1" workbookViewId="0">
      <selection activeCell="K9" sqref="K9"/>
    </sheetView>
  </sheetViews>
  <sheetFormatPr defaultRowHeight="15" x14ac:dyDescent="0.25"/>
  <cols>
    <col min="1" max="1" width="14.28515625" bestFit="1" customWidth="1"/>
    <col min="2" max="2" width="12.7109375" bestFit="1" customWidth="1"/>
    <col min="4" max="4" width="24.5703125" bestFit="1" customWidth="1"/>
    <col min="7" max="7" width="28.7109375" customWidth="1"/>
    <col min="8" max="8" width="31.42578125" bestFit="1" customWidth="1"/>
  </cols>
  <sheetData>
    <row r="1" spans="1:8" x14ac:dyDescent="0.25">
      <c r="A1" t="s">
        <v>53</v>
      </c>
      <c r="B1" t="s">
        <v>21</v>
      </c>
      <c r="C1" t="s">
        <v>73</v>
      </c>
      <c r="D1" t="s">
        <v>0</v>
      </c>
      <c r="E1" t="s">
        <v>1</v>
      </c>
      <c r="F1" t="s">
        <v>3</v>
      </c>
      <c r="G1" t="s">
        <v>4</v>
      </c>
      <c r="H1" t="s">
        <v>5</v>
      </c>
    </row>
    <row r="2" spans="1:8" x14ac:dyDescent="0.25">
      <c r="A2" s="14" t="s">
        <v>77</v>
      </c>
      <c r="B2" s="8"/>
      <c r="C2" s="8"/>
      <c r="D2" s="8"/>
      <c r="E2" s="8"/>
      <c r="F2" s="8"/>
      <c r="G2" s="8"/>
      <c r="H2" s="8"/>
    </row>
    <row r="3" spans="1:8" x14ac:dyDescent="0.25">
      <c r="A3" t="s">
        <v>27</v>
      </c>
      <c r="D3" t="s">
        <v>2</v>
      </c>
      <c r="E3" s="3">
        <f>AVERAGE(2.23,2.24,2.23,2.23,2.24)</f>
        <v>2.2340000000000004</v>
      </c>
      <c r="F3" t="s">
        <v>35</v>
      </c>
      <c r="H3" t="s">
        <v>51</v>
      </c>
    </row>
    <row r="4" spans="1:8" x14ac:dyDescent="0.25">
      <c r="A4" t="s">
        <v>28</v>
      </c>
      <c r="D4" t="s">
        <v>2</v>
      </c>
      <c r="E4" s="3">
        <f>2.1/2.3*E3</f>
        <v>2.0397391304347829</v>
      </c>
      <c r="F4" t="s">
        <v>35</v>
      </c>
      <c r="H4" t="s">
        <v>160</v>
      </c>
    </row>
    <row r="5" spans="1:8" x14ac:dyDescent="0.25">
      <c r="A5" t="s">
        <v>27</v>
      </c>
      <c r="D5" t="s">
        <v>19</v>
      </c>
      <c r="E5" s="3">
        <f>AVERAGE(14,14.5,14.6,14.8,15)</f>
        <v>14.580000000000002</v>
      </c>
      <c r="F5" t="s">
        <v>35</v>
      </c>
      <c r="H5" t="s">
        <v>51</v>
      </c>
    </row>
    <row r="6" spans="1:8" x14ac:dyDescent="0.25">
      <c r="A6" t="s">
        <v>28</v>
      </c>
      <c r="D6" t="s">
        <v>19</v>
      </c>
      <c r="E6" s="3">
        <f>12.4/14.6*E5</f>
        <v>12.383013698630139</v>
      </c>
      <c r="F6" t="s">
        <v>35</v>
      </c>
      <c r="H6" t="s">
        <v>160</v>
      </c>
    </row>
    <row r="7" spans="1:8" x14ac:dyDescent="0.25">
      <c r="A7" t="s">
        <v>27</v>
      </c>
      <c r="D7" t="s">
        <v>20</v>
      </c>
      <c r="E7" s="3">
        <f>AVERAGE(1.2,1.2,1.3,1.3,1.3)</f>
        <v>1.26</v>
      </c>
      <c r="F7" t="s">
        <v>35</v>
      </c>
      <c r="H7" t="s">
        <v>51</v>
      </c>
    </row>
    <row r="8" spans="1:8" x14ac:dyDescent="0.25">
      <c r="A8" t="s">
        <v>28</v>
      </c>
      <c r="D8" t="s">
        <v>20</v>
      </c>
      <c r="E8" s="3">
        <f>E7/E5*E6</f>
        <v>1.0701369863013699</v>
      </c>
      <c r="F8" t="s">
        <v>35</v>
      </c>
      <c r="G8" t="s">
        <v>156</v>
      </c>
    </row>
    <row r="9" spans="1:8" x14ac:dyDescent="0.25">
      <c r="A9" t="s">
        <v>27</v>
      </c>
      <c r="D9" t="s">
        <v>42</v>
      </c>
      <c r="E9" s="3">
        <v>354</v>
      </c>
      <c r="F9" t="s">
        <v>41</v>
      </c>
      <c r="H9" t="s">
        <v>30</v>
      </c>
    </row>
    <row r="10" spans="1:8" x14ac:dyDescent="0.25">
      <c r="A10" t="s">
        <v>28</v>
      </c>
      <c r="D10" t="s">
        <v>42</v>
      </c>
      <c r="E10" s="3">
        <v>367</v>
      </c>
      <c r="F10" t="s">
        <v>41</v>
      </c>
      <c r="H10" t="s">
        <v>30</v>
      </c>
    </row>
    <row r="11" spans="1:8" x14ac:dyDescent="0.25">
      <c r="A11" t="s">
        <v>27</v>
      </c>
      <c r="D11" t="s">
        <v>43</v>
      </c>
      <c r="E11">
        <v>50</v>
      </c>
      <c r="F11" t="s">
        <v>23</v>
      </c>
      <c r="G11" t="s">
        <v>26</v>
      </c>
      <c r="H11" t="s">
        <v>30</v>
      </c>
    </row>
    <row r="12" spans="1:8" x14ac:dyDescent="0.25">
      <c r="A12" t="s">
        <v>28</v>
      </c>
      <c r="D12" t="s">
        <v>43</v>
      </c>
      <c r="E12">
        <v>40</v>
      </c>
      <c r="F12" t="s">
        <v>23</v>
      </c>
      <c r="G12" t="s">
        <v>26</v>
      </c>
      <c r="H12" t="s">
        <v>30</v>
      </c>
    </row>
    <row r="13" spans="1:8" x14ac:dyDescent="0.25">
      <c r="D13" t="s">
        <v>157</v>
      </c>
      <c r="E13" s="13">
        <v>115</v>
      </c>
      <c r="F13" t="s">
        <v>41</v>
      </c>
    </row>
    <row r="14" spans="1:8" x14ac:dyDescent="0.25">
      <c r="D14" t="s">
        <v>52</v>
      </c>
      <c r="E14">
        <v>1.0999999999999999E-2</v>
      </c>
      <c r="F14" t="s">
        <v>35</v>
      </c>
      <c r="G14" t="s">
        <v>17</v>
      </c>
      <c r="H14" t="s">
        <v>18</v>
      </c>
    </row>
    <row r="16" spans="1:8" x14ac:dyDescent="0.25">
      <c r="A16" s="14" t="s">
        <v>84</v>
      </c>
      <c r="B16" s="8"/>
      <c r="C16" s="8"/>
      <c r="D16" s="8"/>
      <c r="E16" s="8"/>
      <c r="F16" s="8"/>
      <c r="G16" s="8"/>
      <c r="H16" s="8"/>
    </row>
    <row r="17" spans="1:13" x14ac:dyDescent="0.25">
      <c r="D17" t="s">
        <v>80</v>
      </c>
      <c r="E17">
        <v>1.5</v>
      </c>
      <c r="F17" t="s">
        <v>81</v>
      </c>
      <c r="H17" s="15" t="s">
        <v>82</v>
      </c>
    </row>
    <row r="18" spans="1:13" x14ac:dyDescent="0.25">
      <c r="D18" t="s">
        <v>104</v>
      </c>
      <c r="E18">
        <v>10</v>
      </c>
      <c r="F18" t="s">
        <v>81</v>
      </c>
      <c r="G18" t="s">
        <v>161</v>
      </c>
      <c r="H18" s="15"/>
    </row>
    <row r="19" spans="1:13" x14ac:dyDescent="0.25">
      <c r="D19" t="s">
        <v>87</v>
      </c>
      <c r="E19">
        <v>30</v>
      </c>
      <c r="F19" t="s">
        <v>81</v>
      </c>
      <c r="G19" t="s">
        <v>161</v>
      </c>
      <c r="H19" t="s">
        <v>51</v>
      </c>
    </row>
    <row r="20" spans="1:13" x14ac:dyDescent="0.25">
      <c r="B20" t="s">
        <v>13</v>
      </c>
      <c r="D20" t="s">
        <v>83</v>
      </c>
      <c r="E20" s="13">
        <f>E45/0.75</f>
        <v>240.64979221760481</v>
      </c>
      <c r="F20" t="s">
        <v>81</v>
      </c>
      <c r="G20" t="s">
        <v>85</v>
      </c>
      <c r="H20" s="15"/>
    </row>
    <row r="21" spans="1:13" x14ac:dyDescent="0.25">
      <c r="B21" t="s">
        <v>14</v>
      </c>
      <c r="D21" t="s">
        <v>83</v>
      </c>
      <c r="E21" s="13">
        <f t="shared" ref="E21:E22" si="0">E46/0.75</f>
        <v>205.63847429519072</v>
      </c>
      <c r="F21" t="s">
        <v>81</v>
      </c>
      <c r="G21" t="s">
        <v>85</v>
      </c>
      <c r="H21" s="15"/>
    </row>
    <row r="22" spans="1:13" x14ac:dyDescent="0.25">
      <c r="D22" t="s">
        <v>86</v>
      </c>
      <c r="E22" s="13">
        <f t="shared" si="0"/>
        <v>122.41258802745277</v>
      </c>
      <c r="F22" t="s">
        <v>81</v>
      </c>
      <c r="G22" t="s">
        <v>85</v>
      </c>
      <c r="H22" s="15"/>
    </row>
    <row r="23" spans="1:13" x14ac:dyDescent="0.25">
      <c r="A23" s="14" t="s">
        <v>78</v>
      </c>
      <c r="B23" s="8"/>
      <c r="C23" s="8"/>
      <c r="D23" s="8"/>
      <c r="E23" s="8"/>
      <c r="F23" s="8"/>
      <c r="G23" s="8"/>
      <c r="H23" s="8"/>
    </row>
    <row r="24" spans="1:13" x14ac:dyDescent="0.25">
      <c r="A24" t="s">
        <v>27</v>
      </c>
      <c r="D24" t="s">
        <v>37</v>
      </c>
      <c r="E24">
        <v>33</v>
      </c>
      <c r="F24" t="s">
        <v>41</v>
      </c>
      <c r="H24" t="s">
        <v>30</v>
      </c>
    </row>
    <row r="25" spans="1:13" x14ac:dyDescent="0.25">
      <c r="A25" t="s">
        <v>28</v>
      </c>
      <c r="D25" t="s">
        <v>37</v>
      </c>
      <c r="E25">
        <v>42</v>
      </c>
      <c r="F25" t="s">
        <v>41</v>
      </c>
      <c r="H25" t="s">
        <v>30</v>
      </c>
    </row>
    <row r="26" spans="1:13" x14ac:dyDescent="0.25">
      <c r="A26" t="s">
        <v>27</v>
      </c>
      <c r="D26" t="s">
        <v>38</v>
      </c>
      <c r="E26">
        <v>42</v>
      </c>
      <c r="F26" t="s">
        <v>41</v>
      </c>
      <c r="H26" t="s">
        <v>30</v>
      </c>
    </row>
    <row r="27" spans="1:13" x14ac:dyDescent="0.25">
      <c r="A27" t="s">
        <v>28</v>
      </c>
      <c r="D27" t="s">
        <v>38</v>
      </c>
      <c r="E27">
        <v>38.5</v>
      </c>
      <c r="F27" t="s">
        <v>41</v>
      </c>
      <c r="H27" t="s">
        <v>30</v>
      </c>
    </row>
    <row r="28" spans="1:13" x14ac:dyDescent="0.25">
      <c r="A28" t="s">
        <v>27</v>
      </c>
      <c r="D28" t="s">
        <v>39</v>
      </c>
      <c r="E28">
        <v>37</v>
      </c>
      <c r="F28" t="s">
        <v>41</v>
      </c>
      <c r="H28" t="s">
        <v>30</v>
      </c>
    </row>
    <row r="29" spans="1:13" x14ac:dyDescent="0.25">
      <c r="A29" t="s">
        <v>28</v>
      </c>
      <c r="D29" t="s">
        <v>39</v>
      </c>
      <c r="E29">
        <v>38</v>
      </c>
      <c r="F29" t="s">
        <v>41</v>
      </c>
      <c r="H29" t="s">
        <v>30</v>
      </c>
    </row>
    <row r="30" spans="1:13" x14ac:dyDescent="0.25">
      <c r="A30" t="s">
        <v>27</v>
      </c>
      <c r="D30" t="s">
        <v>40</v>
      </c>
      <c r="E30">
        <v>67</v>
      </c>
      <c r="F30" t="s">
        <v>41</v>
      </c>
      <c r="H30" t="s">
        <v>30</v>
      </c>
    </row>
    <row r="31" spans="1:13" x14ac:dyDescent="0.25">
      <c r="A31" t="s">
        <v>28</v>
      </c>
      <c r="D31" t="s">
        <v>40</v>
      </c>
      <c r="E31">
        <v>68</v>
      </c>
      <c r="F31" t="s">
        <v>41</v>
      </c>
      <c r="H31" t="s">
        <v>30</v>
      </c>
      <c r="M31" s="6"/>
    </row>
    <row r="33" spans="1:14" x14ac:dyDescent="0.25">
      <c r="A33" s="14" t="s">
        <v>76</v>
      </c>
      <c r="B33" s="8"/>
      <c r="C33" s="8"/>
      <c r="D33" s="8"/>
      <c r="E33" s="8"/>
      <c r="F33" s="8"/>
      <c r="G33" s="8"/>
      <c r="H33" s="8"/>
    </row>
    <row r="34" spans="1:14" x14ac:dyDescent="0.25">
      <c r="A34" t="s">
        <v>27</v>
      </c>
      <c r="D34" t="s">
        <v>16</v>
      </c>
      <c r="E34">
        <f>AVERAGE(17.1,16.9,17.6,17.7,17.2)</f>
        <v>17.3</v>
      </c>
      <c r="F34" t="s">
        <v>23</v>
      </c>
      <c r="H34" t="s">
        <v>51</v>
      </c>
      <c r="N34" s="62"/>
    </row>
    <row r="35" spans="1:14" x14ac:dyDescent="0.25">
      <c r="A35" t="s">
        <v>28</v>
      </c>
      <c r="D35" t="s">
        <v>16</v>
      </c>
      <c r="E35" s="3">
        <f>21/18*E34</f>
        <v>20.183333333333337</v>
      </c>
      <c r="F35" t="s">
        <v>23</v>
      </c>
      <c r="H35" t="s">
        <v>160</v>
      </c>
    </row>
    <row r="36" spans="1:14" x14ac:dyDescent="0.25">
      <c r="A36" t="s">
        <v>27</v>
      </c>
      <c r="D36" t="s">
        <v>29</v>
      </c>
      <c r="E36" s="3">
        <f>AVERAGE(2.1,2,2,2,2)</f>
        <v>2.02</v>
      </c>
      <c r="F36" t="s">
        <v>23</v>
      </c>
      <c r="H36" t="s">
        <v>51</v>
      </c>
      <c r="M36" s="13"/>
    </row>
    <row r="37" spans="1:14" x14ac:dyDescent="0.25">
      <c r="A37" t="s">
        <v>28</v>
      </c>
      <c r="D37" t="s">
        <v>29</v>
      </c>
      <c r="E37" s="3">
        <f>4/2*E36</f>
        <v>4.04</v>
      </c>
      <c r="F37" t="s">
        <v>23</v>
      </c>
      <c r="H37" t="s">
        <v>160</v>
      </c>
    </row>
    <row r="38" spans="1:14" x14ac:dyDescent="0.25">
      <c r="B38" t="s">
        <v>13</v>
      </c>
      <c r="D38" t="s">
        <v>22</v>
      </c>
      <c r="E38">
        <v>7</v>
      </c>
      <c r="F38" t="s">
        <v>23</v>
      </c>
      <c r="G38" t="s">
        <v>26</v>
      </c>
      <c r="H38" t="s">
        <v>30</v>
      </c>
    </row>
    <row r="39" spans="1:14" x14ac:dyDescent="0.25">
      <c r="A39" t="s">
        <v>27</v>
      </c>
      <c r="B39" t="s">
        <v>24</v>
      </c>
      <c r="D39" t="s">
        <v>22</v>
      </c>
      <c r="E39" s="3">
        <v>1</v>
      </c>
      <c r="F39" t="s">
        <v>23</v>
      </c>
      <c r="H39" t="s">
        <v>31</v>
      </c>
    </row>
    <row r="40" spans="1:14" x14ac:dyDescent="0.25">
      <c r="A40" t="s">
        <v>28</v>
      </c>
      <c r="B40" t="s">
        <v>24</v>
      </c>
      <c r="D40" t="s">
        <v>22</v>
      </c>
      <c r="E40">
        <v>1.9</v>
      </c>
      <c r="F40" t="s">
        <v>23</v>
      </c>
      <c r="H40" t="s">
        <v>32</v>
      </c>
    </row>
    <row r="41" spans="1:14" x14ac:dyDescent="0.25">
      <c r="A41" t="s">
        <v>27</v>
      </c>
      <c r="B41" t="s">
        <v>25</v>
      </c>
      <c r="D41" t="s">
        <v>22</v>
      </c>
      <c r="E41">
        <v>1.8</v>
      </c>
      <c r="F41" t="s">
        <v>23</v>
      </c>
      <c r="H41" t="s">
        <v>33</v>
      </c>
    </row>
    <row r="42" spans="1:14" x14ac:dyDescent="0.25">
      <c r="A42" t="s">
        <v>28</v>
      </c>
      <c r="B42" t="s">
        <v>25</v>
      </c>
      <c r="D42" t="s">
        <v>22</v>
      </c>
      <c r="E42">
        <v>1.6</v>
      </c>
      <c r="F42" t="s">
        <v>23</v>
      </c>
      <c r="H42" t="s">
        <v>34</v>
      </c>
    </row>
    <row r="44" spans="1:14" x14ac:dyDescent="0.25">
      <c r="A44" s="14" t="s">
        <v>79</v>
      </c>
      <c r="B44" s="8"/>
      <c r="C44" s="8"/>
      <c r="D44" s="8"/>
      <c r="E44" s="8"/>
      <c r="F44" s="8"/>
      <c r="G44" s="8"/>
      <c r="H44" s="8"/>
    </row>
    <row r="45" spans="1:14" x14ac:dyDescent="0.25">
      <c r="B45" t="s">
        <v>13</v>
      </c>
      <c r="D45" t="s">
        <v>70</v>
      </c>
      <c r="E45" s="13">
        <v>180.4873441632036</v>
      </c>
      <c r="F45" t="s">
        <v>71</v>
      </c>
      <c r="H45" t="s">
        <v>72</v>
      </c>
    </row>
    <row r="46" spans="1:14" x14ac:dyDescent="0.25">
      <c r="B46" t="s">
        <v>14</v>
      </c>
      <c r="D46" t="s">
        <v>70</v>
      </c>
      <c r="E46" s="13">
        <v>154.22885572139305</v>
      </c>
      <c r="F46" t="s">
        <v>71</v>
      </c>
      <c r="H46" t="s">
        <v>72</v>
      </c>
    </row>
    <row r="47" spans="1:14" x14ac:dyDescent="0.25">
      <c r="B47" t="s">
        <v>25</v>
      </c>
      <c r="D47" t="s">
        <v>70</v>
      </c>
      <c r="E47" s="13">
        <v>91.809441020589574</v>
      </c>
      <c r="F47" t="s">
        <v>71</v>
      </c>
      <c r="H47" t="s">
        <v>72</v>
      </c>
    </row>
    <row r="48" spans="1:14" x14ac:dyDescent="0.25">
      <c r="E48" s="13"/>
    </row>
    <row r="49" spans="1:8" x14ac:dyDescent="0.25">
      <c r="A49" s="14" t="s">
        <v>108</v>
      </c>
      <c r="B49" s="8"/>
      <c r="C49" s="8"/>
      <c r="D49" s="8"/>
      <c r="E49" s="8"/>
      <c r="F49" s="8"/>
      <c r="G49" s="8"/>
      <c r="H49" s="8"/>
    </row>
    <row r="50" spans="1:8" x14ac:dyDescent="0.25">
      <c r="B50" t="s">
        <v>15</v>
      </c>
      <c r="D50" t="s">
        <v>107</v>
      </c>
      <c r="E50" s="3">
        <v>19.5</v>
      </c>
      <c r="F50" t="s">
        <v>106</v>
      </c>
      <c r="G50" t="s">
        <v>159</v>
      </c>
      <c r="H50" t="s">
        <v>158</v>
      </c>
    </row>
    <row r="51" spans="1:8" x14ac:dyDescent="0.25">
      <c r="B51" t="s">
        <v>24</v>
      </c>
      <c r="D51" t="s">
        <v>107</v>
      </c>
      <c r="E51" s="3">
        <f>AVERAGE(26.4,25.7,25.4,25.8,25.3)</f>
        <v>25.72</v>
      </c>
      <c r="F51" t="s">
        <v>106</v>
      </c>
      <c r="G51" s="87" t="s">
        <v>162</v>
      </c>
      <c r="H51" t="s">
        <v>51</v>
      </c>
    </row>
    <row r="52" spans="1:8" x14ac:dyDescent="0.25">
      <c r="B52" t="s">
        <v>25</v>
      </c>
      <c r="D52" t="s">
        <v>107</v>
      </c>
      <c r="E52" s="3">
        <f>AVERAGE(26.4,25.7,25.4,25.8,25.3)</f>
        <v>25.72</v>
      </c>
      <c r="F52" t="s">
        <v>106</v>
      </c>
      <c r="G52" s="87" t="s">
        <v>162</v>
      </c>
      <c r="H52" t="s">
        <v>51</v>
      </c>
    </row>
    <row r="53" spans="1:8" x14ac:dyDescent="0.25">
      <c r="E53" s="13"/>
    </row>
    <row r="54" spans="1:8" x14ac:dyDescent="0.25">
      <c r="A54" s="14" t="s">
        <v>105</v>
      </c>
      <c r="B54" s="8"/>
      <c r="C54" s="8"/>
      <c r="D54" s="8"/>
      <c r="E54" s="8"/>
      <c r="F54" s="8"/>
      <c r="G54" s="8"/>
      <c r="H54" s="8"/>
    </row>
    <row r="55" spans="1:8" x14ac:dyDescent="0.25">
      <c r="C55" t="s">
        <v>74</v>
      </c>
      <c r="D55" t="s">
        <v>75</v>
      </c>
      <c r="E55">
        <v>100</v>
      </c>
      <c r="F55" t="s">
        <v>23</v>
      </c>
    </row>
    <row r="57" spans="1:8" x14ac:dyDescent="0.25">
      <c r="D57" s="87" t="s">
        <v>75</v>
      </c>
      <c r="E57" s="87">
        <v>0</v>
      </c>
      <c r="F57" s="87" t="s">
        <v>163</v>
      </c>
      <c r="G57" s="87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9"/>
  <sheetViews>
    <sheetView workbookViewId="0">
      <selection activeCell="G17" sqref="G17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10.140625" customWidth="1"/>
  </cols>
  <sheetData>
    <row r="3" spans="1:11" x14ac:dyDescent="0.25">
      <c r="E3" t="s">
        <v>10</v>
      </c>
    </row>
    <row r="4" spans="1:11" x14ac:dyDescent="0.25">
      <c r="A4" t="s">
        <v>13</v>
      </c>
      <c r="B4" s="2">
        <v>101963.579065</v>
      </c>
      <c r="C4" s="5">
        <f>SUM(B4:B5)/E4</f>
        <v>1.0165291176973343</v>
      </c>
      <c r="D4" s="1" t="s">
        <v>6</v>
      </c>
      <c r="E4" s="2">
        <v>133382.79999999999</v>
      </c>
      <c r="H4" t="s">
        <v>11</v>
      </c>
      <c r="J4">
        <v>2.2999999999999998</v>
      </c>
      <c r="K4" t="s">
        <v>49</v>
      </c>
    </row>
    <row r="5" spans="1:11" x14ac:dyDescent="0.25">
      <c r="A5" t="s">
        <v>36</v>
      </c>
      <c r="B5" s="2">
        <v>33623.920935000002</v>
      </c>
      <c r="C5" s="2"/>
      <c r="H5" t="s">
        <v>12</v>
      </c>
      <c r="J5">
        <v>14.6</v>
      </c>
      <c r="K5" t="s">
        <v>49</v>
      </c>
    </row>
    <row r="6" spans="1:11" x14ac:dyDescent="0.25">
      <c r="A6" t="s">
        <v>14</v>
      </c>
      <c r="B6" s="2">
        <v>1491.4625000000001</v>
      </c>
      <c r="C6" s="5">
        <f>B6/E6</f>
        <v>0.99643405932656348</v>
      </c>
      <c r="D6" s="1" t="s">
        <v>7</v>
      </c>
      <c r="E6" s="2">
        <v>1496.8</v>
      </c>
      <c r="H6" t="s">
        <v>48</v>
      </c>
      <c r="J6">
        <v>18</v>
      </c>
      <c r="K6" t="s">
        <v>23</v>
      </c>
    </row>
    <row r="7" spans="1:11" x14ac:dyDescent="0.25">
      <c r="A7" t="s">
        <v>15</v>
      </c>
      <c r="B7" s="2">
        <v>525417.78027300001</v>
      </c>
      <c r="C7" s="5">
        <f>SUM(B7:B9)/SUM(E7:E8)</f>
        <v>1.0119657032679843</v>
      </c>
      <c r="D7" s="1" t="s">
        <v>9</v>
      </c>
      <c r="E7" s="2">
        <v>374972.8</v>
      </c>
      <c r="H7" t="s">
        <v>50</v>
      </c>
      <c r="J7">
        <f>J4*J5*(1-J6/100)</f>
        <v>27.535600000000002</v>
      </c>
    </row>
    <row r="8" spans="1:11" x14ac:dyDescent="0.25">
      <c r="A8" t="s">
        <v>24</v>
      </c>
      <c r="B8" s="2">
        <v>269503.54615800001</v>
      </c>
      <c r="C8" s="2"/>
      <c r="D8" s="1" t="s">
        <v>8</v>
      </c>
      <c r="E8" s="2">
        <v>876801.8</v>
      </c>
    </row>
    <row r="9" spans="1:11" x14ac:dyDescent="0.25">
      <c r="A9" t="s">
        <v>25</v>
      </c>
      <c r="B9" s="2">
        <v>471831.63699099998</v>
      </c>
      <c r="C9" s="2"/>
      <c r="J9">
        <f>J7*0.95</f>
        <v>26.158820000000002</v>
      </c>
    </row>
    <row r="11" spans="1:11" x14ac:dyDescent="0.25">
      <c r="A11" s="4" t="s">
        <v>44</v>
      </c>
    </row>
    <row r="12" spans="1:11" x14ac:dyDescent="0.25">
      <c r="D12" t="s">
        <v>7</v>
      </c>
      <c r="E12" s="3">
        <v>1.206</v>
      </c>
    </row>
    <row r="13" spans="1:11" x14ac:dyDescent="0.25">
      <c r="A13" t="s">
        <v>13</v>
      </c>
      <c r="B13" s="3">
        <v>44.057295000000003</v>
      </c>
      <c r="C13" s="5">
        <f>B13/E14</f>
        <v>1.0402648044956555</v>
      </c>
      <c r="D13" t="s">
        <v>45</v>
      </c>
      <c r="E13" s="3">
        <v>2514.0419999999999</v>
      </c>
      <c r="G13">
        <f>E12*1000/E6</f>
        <v>0.80571886691608763</v>
      </c>
      <c r="J13" s="7"/>
    </row>
    <row r="14" spans="1:11" x14ac:dyDescent="0.25">
      <c r="A14" t="s">
        <v>25</v>
      </c>
      <c r="B14" s="3">
        <v>2576.014737</v>
      </c>
      <c r="C14" s="5">
        <f>B14/SUM(E13,E15:E16)</f>
        <v>1.0141702461632223</v>
      </c>
      <c r="D14" t="s">
        <v>6</v>
      </c>
      <c r="E14" s="3">
        <v>42.352000000000004</v>
      </c>
    </row>
    <row r="15" spans="1:11" x14ac:dyDescent="0.25">
      <c r="D15" t="s">
        <v>46</v>
      </c>
      <c r="E15" s="3">
        <v>20.3</v>
      </c>
    </row>
    <row r="16" spans="1:11" x14ac:dyDescent="0.25">
      <c r="D16" t="s">
        <v>47</v>
      </c>
      <c r="E16" s="3">
        <v>5.68</v>
      </c>
    </row>
    <row r="19" spans="2:2" x14ac:dyDescent="0.25">
      <c r="B19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25"/>
  <sheetViews>
    <sheetView workbookViewId="0">
      <selection activeCell="H18" sqref="H18"/>
    </sheetView>
  </sheetViews>
  <sheetFormatPr defaultRowHeight="15" x14ac:dyDescent="0.25"/>
  <cols>
    <col min="2" max="2" width="16.7109375" bestFit="1" customWidth="1"/>
  </cols>
  <sheetData>
    <row r="3" spans="2:22" x14ac:dyDescent="0.25">
      <c r="B3" s="4" t="s">
        <v>68</v>
      </c>
      <c r="C3" s="4" t="s">
        <v>54</v>
      </c>
      <c r="D3" s="4"/>
      <c r="E3" s="4"/>
      <c r="F3" s="4"/>
      <c r="G3" s="4"/>
      <c r="H3" s="4"/>
      <c r="I3" s="4" t="s">
        <v>55</v>
      </c>
      <c r="J3" s="4"/>
      <c r="K3" s="4"/>
      <c r="L3" s="4"/>
      <c r="M3" s="4"/>
      <c r="N3" s="4"/>
      <c r="O3" s="4" t="s">
        <v>69</v>
      </c>
      <c r="P3" s="4"/>
      <c r="Q3" s="4"/>
      <c r="R3" s="4"/>
      <c r="S3" s="4"/>
    </row>
    <row r="4" spans="2:22" x14ac:dyDescent="0.25">
      <c r="B4" s="4"/>
      <c r="C4" s="4">
        <v>2016</v>
      </c>
      <c r="D4" s="4">
        <v>2017</v>
      </c>
      <c r="E4" s="4">
        <v>2018</v>
      </c>
      <c r="F4" s="4">
        <v>2019</v>
      </c>
      <c r="G4" s="4">
        <v>2020</v>
      </c>
      <c r="H4" s="4" t="s">
        <v>10</v>
      </c>
      <c r="I4" s="4">
        <v>2016</v>
      </c>
      <c r="J4" s="4">
        <v>2017</v>
      </c>
      <c r="K4" s="4">
        <v>2018</v>
      </c>
      <c r="L4" s="4">
        <v>2019</v>
      </c>
      <c r="M4" s="4">
        <v>2020</v>
      </c>
      <c r="N4" s="4" t="s">
        <v>10</v>
      </c>
      <c r="O4" s="4">
        <v>2016</v>
      </c>
      <c r="P4" s="4">
        <v>2017</v>
      </c>
      <c r="Q4" s="4">
        <v>2018</v>
      </c>
      <c r="R4" s="4">
        <v>2019</v>
      </c>
      <c r="S4" s="4">
        <v>2020</v>
      </c>
      <c r="T4" s="4" t="s">
        <v>10</v>
      </c>
      <c r="U4" s="4"/>
      <c r="V4" s="4"/>
    </row>
    <row r="5" spans="2:22" x14ac:dyDescent="0.25">
      <c r="B5" t="s">
        <v>56</v>
      </c>
      <c r="C5" s="2"/>
      <c r="D5" s="2"/>
      <c r="E5" s="2">
        <v>33.799999999999997</v>
      </c>
      <c r="F5" s="2">
        <v>34.25</v>
      </c>
      <c r="G5" s="2">
        <v>34</v>
      </c>
      <c r="H5" s="2">
        <f>AVERAGE(C5:G5)</f>
        <v>34.016666666666666</v>
      </c>
      <c r="I5" s="2"/>
      <c r="J5" s="2"/>
      <c r="K5" s="2">
        <v>104.68</v>
      </c>
      <c r="L5" s="2">
        <v>105.17</v>
      </c>
      <c r="M5" s="2">
        <v>103.26</v>
      </c>
      <c r="N5" s="2">
        <f t="shared" ref="N5:N21" si="0">AVERAGE(I5:M5)</f>
        <v>104.37</v>
      </c>
      <c r="O5" s="2"/>
      <c r="P5" s="2"/>
      <c r="Q5" s="2">
        <f>E5/K5*1000</f>
        <v>322.88880397401596</v>
      </c>
      <c r="R5" s="2">
        <f>F5/L5*1000</f>
        <v>325.66321194256915</v>
      </c>
      <c r="S5" s="2">
        <f>G5/M5*1000</f>
        <v>329.26593066046871</v>
      </c>
      <c r="T5" s="2">
        <f>SUM(C5:G5)/SUM(I5:M5)*1000</f>
        <v>325.92379674874644</v>
      </c>
    </row>
    <row r="6" spans="2:22" x14ac:dyDescent="0.25">
      <c r="B6" t="s">
        <v>57</v>
      </c>
      <c r="C6" s="2"/>
      <c r="D6" s="2"/>
      <c r="E6" s="2">
        <v>10.45</v>
      </c>
      <c r="F6" s="2">
        <v>10.65</v>
      </c>
      <c r="G6" s="2">
        <v>10.32</v>
      </c>
      <c r="H6" s="2">
        <f t="shared" ref="H6:H21" si="1">AVERAGE(C6:G6)</f>
        <v>10.473333333333334</v>
      </c>
      <c r="I6" s="2"/>
      <c r="J6" s="2"/>
      <c r="K6" s="2">
        <v>36.04</v>
      </c>
      <c r="L6" s="2">
        <v>36.380000000000003</v>
      </c>
      <c r="M6" s="2">
        <v>34.81</v>
      </c>
      <c r="N6" s="2">
        <f t="shared" si="0"/>
        <v>35.743333333333332</v>
      </c>
      <c r="O6" s="2"/>
      <c r="P6" s="2"/>
      <c r="Q6" s="2">
        <f t="shared" ref="Q6:Q20" si="2">E6/K6*1000</f>
        <v>289.9556048834628</v>
      </c>
      <c r="R6" s="2">
        <f t="shared" ref="R6:R20" si="3">F6/L6*1000</f>
        <v>292.74326553051128</v>
      </c>
      <c r="S6" s="2">
        <f t="shared" ref="S6:S20" si="4">G6/M6*1000</f>
        <v>296.46653260557309</v>
      </c>
      <c r="T6" s="2">
        <f t="shared" ref="T6:T21" si="5">SUM(C6:G6)/SUM(I6:M6)*1000</f>
        <v>293.01501445491004</v>
      </c>
    </row>
    <row r="7" spans="2:22" x14ac:dyDescent="0.25">
      <c r="B7" t="s">
        <v>58</v>
      </c>
      <c r="C7" s="2">
        <v>16.88</v>
      </c>
      <c r="D7" s="2">
        <v>16.600000000000001</v>
      </c>
      <c r="E7" s="2">
        <v>17.8</v>
      </c>
      <c r="F7" s="2">
        <v>19.059999999999999</v>
      </c>
      <c r="G7" s="2">
        <v>20.85</v>
      </c>
      <c r="H7" s="2">
        <f t="shared" si="1"/>
        <v>18.238</v>
      </c>
      <c r="I7" s="2">
        <v>55.34</v>
      </c>
      <c r="J7" s="2">
        <v>53.89</v>
      </c>
      <c r="K7" s="2">
        <v>58.76</v>
      </c>
      <c r="L7" s="2">
        <v>62.58</v>
      </c>
      <c r="M7" s="2">
        <v>68.17</v>
      </c>
      <c r="N7" s="2">
        <f t="shared" si="0"/>
        <v>59.748000000000005</v>
      </c>
      <c r="O7" s="2">
        <f t="shared" ref="O7:P9" si="6">C7/I7*1000</f>
        <v>305.0234911456451</v>
      </c>
      <c r="P7" s="2">
        <f t="shared" si="6"/>
        <v>308.03488587864172</v>
      </c>
      <c r="Q7" s="2">
        <f t="shared" si="2"/>
        <v>302.92716133424102</v>
      </c>
      <c r="R7" s="2">
        <f t="shared" si="3"/>
        <v>304.57015020773412</v>
      </c>
      <c r="S7" s="2">
        <f t="shared" si="4"/>
        <v>305.85301452251724</v>
      </c>
      <c r="T7" s="2">
        <f t="shared" si="5"/>
        <v>305.24871125393315</v>
      </c>
    </row>
    <row r="8" spans="2:22" x14ac:dyDescent="0.25">
      <c r="B8" t="s">
        <v>59</v>
      </c>
      <c r="C8" s="2">
        <v>11.26</v>
      </c>
      <c r="D8" s="2">
        <v>11.97</v>
      </c>
      <c r="E8" s="2">
        <v>11.56</v>
      </c>
      <c r="F8" s="2">
        <v>11.11</v>
      </c>
      <c r="G8" s="2">
        <v>11.19</v>
      </c>
      <c r="H8" s="2">
        <f t="shared" si="1"/>
        <v>11.417999999999999</v>
      </c>
      <c r="I8" s="2">
        <v>34.33</v>
      </c>
      <c r="J8" s="2">
        <v>36.24</v>
      </c>
      <c r="K8" s="2">
        <v>35.590000000000003</v>
      </c>
      <c r="L8" s="2">
        <v>34.06</v>
      </c>
      <c r="M8" s="2">
        <v>34.03</v>
      </c>
      <c r="N8" s="2">
        <f t="shared" si="0"/>
        <v>34.85</v>
      </c>
      <c r="O8" s="2">
        <f t="shared" si="6"/>
        <v>327.99300903000295</v>
      </c>
      <c r="P8" s="2">
        <f t="shared" si="6"/>
        <v>330.29801324503313</v>
      </c>
      <c r="Q8" s="2">
        <f t="shared" si="2"/>
        <v>324.81033998314132</v>
      </c>
      <c r="R8" s="2">
        <f t="shared" si="3"/>
        <v>326.18907809747498</v>
      </c>
      <c r="S8" s="2">
        <f t="shared" si="4"/>
        <v>328.82750514252132</v>
      </c>
      <c r="T8" s="2">
        <f t="shared" si="5"/>
        <v>327.63271162123385</v>
      </c>
    </row>
    <row r="9" spans="2:22" x14ac:dyDescent="0.25">
      <c r="B9" t="s">
        <v>60</v>
      </c>
      <c r="C9" s="2">
        <v>57.96</v>
      </c>
      <c r="D9" s="2">
        <v>60.89</v>
      </c>
      <c r="E9" s="2">
        <v>60.75</v>
      </c>
      <c r="F9" s="2">
        <v>62.26</v>
      </c>
      <c r="G9" s="2">
        <v>62.53</v>
      </c>
      <c r="H9" s="2">
        <f t="shared" si="1"/>
        <v>60.878</v>
      </c>
      <c r="I9" s="2">
        <v>167.92</v>
      </c>
      <c r="J9" s="2">
        <v>174.33</v>
      </c>
      <c r="K9" s="2">
        <v>175.18</v>
      </c>
      <c r="L9" s="2">
        <v>180.01</v>
      </c>
      <c r="M9" s="2">
        <v>180.71</v>
      </c>
      <c r="N9" s="2">
        <f t="shared" si="0"/>
        <v>175.63000000000002</v>
      </c>
      <c r="O9" s="2">
        <f t="shared" si="6"/>
        <v>345.16436398284901</v>
      </c>
      <c r="P9" s="2">
        <f t="shared" si="6"/>
        <v>349.28010095795332</v>
      </c>
      <c r="Q9" s="2">
        <f t="shared" si="2"/>
        <v>346.78616280397307</v>
      </c>
      <c r="R9" s="2">
        <f t="shared" si="3"/>
        <v>345.86967390700516</v>
      </c>
      <c r="S9" s="2">
        <f t="shared" si="4"/>
        <v>346.02401637983507</v>
      </c>
      <c r="T9" s="2">
        <f t="shared" si="5"/>
        <v>346.62643056425435</v>
      </c>
    </row>
    <row r="10" spans="2:22" x14ac:dyDescent="0.25">
      <c r="B10" t="s">
        <v>61</v>
      </c>
      <c r="C10" s="2"/>
      <c r="D10" s="2"/>
      <c r="E10" s="2">
        <v>52</v>
      </c>
      <c r="F10" s="2">
        <v>52.89</v>
      </c>
      <c r="G10" s="2">
        <v>53.15</v>
      </c>
      <c r="H10" s="2">
        <f t="shared" si="1"/>
        <v>52.68</v>
      </c>
      <c r="I10" s="2"/>
      <c r="J10" s="2"/>
      <c r="K10" s="2">
        <v>152.05000000000001</v>
      </c>
      <c r="L10" s="2">
        <v>154.99</v>
      </c>
      <c r="M10" s="2">
        <v>155.82</v>
      </c>
      <c r="N10" s="2">
        <f t="shared" si="0"/>
        <v>154.28666666666666</v>
      </c>
      <c r="O10" s="2"/>
      <c r="P10" s="2"/>
      <c r="Q10" s="2">
        <f t="shared" si="2"/>
        <v>341.99276553765208</v>
      </c>
      <c r="R10" s="2">
        <f t="shared" si="3"/>
        <v>341.24782244015739</v>
      </c>
      <c r="S10" s="2">
        <f t="shared" si="4"/>
        <v>341.09870363239634</v>
      </c>
      <c r="T10" s="2">
        <f t="shared" si="5"/>
        <v>341.44233677569889</v>
      </c>
    </row>
    <row r="11" spans="2:22" x14ac:dyDescent="0.25">
      <c r="B11" t="s">
        <v>62</v>
      </c>
      <c r="C11" s="2"/>
      <c r="D11" s="2"/>
      <c r="E11" s="2">
        <v>7.32</v>
      </c>
      <c r="F11" s="2">
        <v>7.81</v>
      </c>
      <c r="G11" s="2">
        <v>7.67</v>
      </c>
      <c r="H11" s="2">
        <f t="shared" si="1"/>
        <v>7.5999999999999988</v>
      </c>
      <c r="I11" s="2"/>
      <c r="J11" s="2"/>
      <c r="K11" s="2">
        <v>20.260000000000002</v>
      </c>
      <c r="L11" s="2">
        <v>21.89</v>
      </c>
      <c r="M11" s="2">
        <v>21.5</v>
      </c>
      <c r="N11" s="2">
        <f t="shared" si="0"/>
        <v>21.216666666666669</v>
      </c>
      <c r="O11" s="2"/>
      <c r="P11" s="2"/>
      <c r="Q11" s="2">
        <f t="shared" si="2"/>
        <v>361.30306021717666</v>
      </c>
      <c r="R11" s="2">
        <f t="shared" si="3"/>
        <v>356.78391959798995</v>
      </c>
      <c r="S11" s="2">
        <f t="shared" si="4"/>
        <v>356.74418604651163</v>
      </c>
      <c r="T11" s="2">
        <f t="shared" si="5"/>
        <v>358.20895522388054</v>
      </c>
    </row>
    <row r="12" spans="2:22" x14ac:dyDescent="0.25">
      <c r="B12" t="s">
        <v>63</v>
      </c>
      <c r="C12" s="2"/>
      <c r="D12" s="2"/>
      <c r="E12" s="2">
        <v>1.42</v>
      </c>
      <c r="F12" s="2">
        <v>1.56</v>
      </c>
      <c r="G12" s="2">
        <v>1.71</v>
      </c>
      <c r="H12" s="2">
        <f t="shared" si="1"/>
        <v>1.5633333333333332</v>
      </c>
      <c r="I12" s="2"/>
      <c r="J12" s="2"/>
      <c r="K12" s="2">
        <v>2.88</v>
      </c>
      <c r="L12" s="2">
        <v>3.13</v>
      </c>
      <c r="M12" s="2">
        <v>3.39</v>
      </c>
      <c r="N12" s="2">
        <f t="shared" si="0"/>
        <v>3.1333333333333333</v>
      </c>
      <c r="O12" s="2"/>
      <c r="P12" s="2"/>
      <c r="Q12" s="2">
        <f t="shared" si="2"/>
        <v>493.05555555555554</v>
      </c>
      <c r="R12" s="2">
        <f t="shared" si="3"/>
        <v>498.40255591054319</v>
      </c>
      <c r="S12" s="2">
        <f t="shared" si="4"/>
        <v>504.42477876106193</v>
      </c>
      <c r="T12" s="2">
        <f t="shared" si="5"/>
        <v>498.93617021276589</v>
      </c>
    </row>
    <row r="13" spans="2:22" x14ac:dyDescent="0.25">
      <c r="B13" t="s">
        <v>64</v>
      </c>
      <c r="C13" s="2"/>
      <c r="D13" s="2"/>
      <c r="E13" s="2">
        <v>2.52</v>
      </c>
      <c r="F13" s="2">
        <v>2.4300000000000002</v>
      </c>
      <c r="G13" s="2">
        <v>2.21</v>
      </c>
      <c r="H13" s="2">
        <f t="shared" si="1"/>
        <v>2.3866666666666667</v>
      </c>
      <c r="I13" s="2"/>
      <c r="J13" s="2"/>
      <c r="K13" s="2">
        <v>15.34</v>
      </c>
      <c r="L13" s="2">
        <v>14.82</v>
      </c>
      <c r="M13" s="2">
        <v>13.41</v>
      </c>
      <c r="N13" s="2">
        <f t="shared" si="0"/>
        <v>14.523333333333333</v>
      </c>
      <c r="O13" s="2"/>
      <c r="P13" s="2"/>
      <c r="Q13" s="2">
        <f t="shared" si="2"/>
        <v>164.27640156453717</v>
      </c>
      <c r="R13" s="2">
        <f t="shared" si="3"/>
        <v>163.96761133603241</v>
      </c>
      <c r="S13" s="2">
        <f t="shared" si="4"/>
        <v>164.80238627889634</v>
      </c>
      <c r="T13" s="2">
        <f t="shared" si="5"/>
        <v>164.33325682809271</v>
      </c>
    </row>
    <row r="14" spans="2:22" x14ac:dyDescent="0.25">
      <c r="B14" s="8" t="s">
        <v>6</v>
      </c>
      <c r="C14" s="12">
        <v>8.83</v>
      </c>
      <c r="D14" s="12">
        <v>8.44</v>
      </c>
      <c r="E14" s="12">
        <v>8.35</v>
      </c>
      <c r="F14" s="12">
        <v>6.72</v>
      </c>
      <c r="G14" s="12">
        <v>5.88</v>
      </c>
      <c r="H14" s="11">
        <f t="shared" si="1"/>
        <v>7.6440000000000001</v>
      </c>
      <c r="I14" s="9">
        <v>49.54</v>
      </c>
      <c r="J14" s="9">
        <v>46.63</v>
      </c>
      <c r="K14" s="9">
        <v>46.11</v>
      </c>
      <c r="L14" s="9">
        <v>37.39</v>
      </c>
      <c r="M14" s="9">
        <v>32.090000000000003</v>
      </c>
      <c r="N14" s="10">
        <f t="shared" si="0"/>
        <v>42.352000000000004</v>
      </c>
      <c r="O14" s="9">
        <f t="shared" ref="O14:P21" si="7">C14/I14*1000</f>
        <v>178.23980621719824</v>
      </c>
      <c r="P14" s="9">
        <f t="shared" si="7"/>
        <v>180.99935663735792</v>
      </c>
      <c r="Q14" s="9">
        <f t="shared" si="2"/>
        <v>181.08870093255257</v>
      </c>
      <c r="R14" s="9">
        <f t="shared" si="3"/>
        <v>179.72719978603905</v>
      </c>
      <c r="S14" s="9">
        <f t="shared" si="4"/>
        <v>183.23465253973197</v>
      </c>
      <c r="T14" s="10">
        <f t="shared" si="5"/>
        <v>180.4873441632036</v>
      </c>
    </row>
    <row r="15" spans="2:22" x14ac:dyDescent="0.25">
      <c r="B15" s="8" t="s">
        <v>7</v>
      </c>
      <c r="C15" s="12">
        <v>0.19</v>
      </c>
      <c r="D15" s="12">
        <v>0.2</v>
      </c>
      <c r="E15" s="12">
        <v>0.19</v>
      </c>
      <c r="F15" s="12">
        <v>0.18</v>
      </c>
      <c r="G15" s="12">
        <v>0.17</v>
      </c>
      <c r="H15" s="11">
        <f t="shared" si="1"/>
        <v>0.186</v>
      </c>
      <c r="I15" s="9">
        <v>1.26</v>
      </c>
      <c r="J15" s="9">
        <v>1.31</v>
      </c>
      <c r="K15" s="9">
        <v>1.18</v>
      </c>
      <c r="L15" s="9">
        <v>1.19</v>
      </c>
      <c r="M15" s="9">
        <v>1.0900000000000001</v>
      </c>
      <c r="N15" s="10">
        <f t="shared" si="0"/>
        <v>1.206</v>
      </c>
      <c r="O15" s="9">
        <f t="shared" si="7"/>
        <v>150.79365079365078</v>
      </c>
      <c r="P15" s="9">
        <f t="shared" si="7"/>
        <v>152.67175572519085</v>
      </c>
      <c r="Q15" s="9">
        <f t="shared" si="2"/>
        <v>161.0169491525424</v>
      </c>
      <c r="R15" s="9">
        <f t="shared" si="3"/>
        <v>151.26050420168067</v>
      </c>
      <c r="S15" s="9">
        <f t="shared" si="4"/>
        <v>155.9633027522936</v>
      </c>
      <c r="T15" s="10">
        <f t="shared" si="5"/>
        <v>154.22885572139305</v>
      </c>
    </row>
    <row r="16" spans="2:22" x14ac:dyDescent="0.25">
      <c r="B16" s="8" t="s">
        <v>46</v>
      </c>
      <c r="C16" s="12">
        <v>1.93</v>
      </c>
      <c r="D16" s="12">
        <v>2</v>
      </c>
      <c r="E16" s="12">
        <v>2.0099999999999998</v>
      </c>
      <c r="F16" s="12">
        <v>1.66</v>
      </c>
      <c r="G16" s="12">
        <v>1.44</v>
      </c>
      <c r="H16" s="11">
        <f t="shared" si="1"/>
        <v>1.8079999999999998</v>
      </c>
      <c r="I16" s="9">
        <v>21.9</v>
      </c>
      <c r="J16" s="9">
        <v>22.49</v>
      </c>
      <c r="K16" s="9">
        <v>22.42</v>
      </c>
      <c r="L16" s="9">
        <v>18.61</v>
      </c>
      <c r="M16" s="9">
        <v>16.079999999999998</v>
      </c>
      <c r="N16" s="10">
        <f t="shared" si="0"/>
        <v>20.3</v>
      </c>
      <c r="O16" s="9">
        <f t="shared" si="7"/>
        <v>88.12785388127854</v>
      </c>
      <c r="P16" s="9">
        <f t="shared" si="7"/>
        <v>88.928412627834604</v>
      </c>
      <c r="Q16" s="9">
        <f t="shared" si="2"/>
        <v>89.652096342551275</v>
      </c>
      <c r="R16" s="9">
        <f t="shared" si="3"/>
        <v>89.199355185384206</v>
      </c>
      <c r="S16" s="9">
        <f t="shared" si="4"/>
        <v>89.552238805970163</v>
      </c>
      <c r="T16" s="10">
        <f t="shared" si="5"/>
        <v>89.064039408866989</v>
      </c>
    </row>
    <row r="17" spans="2:20" x14ac:dyDescent="0.25">
      <c r="B17" s="8" t="s">
        <v>47</v>
      </c>
      <c r="C17" s="12">
        <v>0.24</v>
      </c>
      <c r="D17" s="12">
        <v>0.2</v>
      </c>
      <c r="E17" s="12">
        <v>0.17</v>
      </c>
      <c r="F17" s="12">
        <v>0.15</v>
      </c>
      <c r="G17" s="12">
        <v>0.11</v>
      </c>
      <c r="H17" s="11">
        <f t="shared" si="1"/>
        <v>0.17399999999999999</v>
      </c>
      <c r="I17" s="9">
        <v>7.8</v>
      </c>
      <c r="J17" s="9">
        <v>6.47</v>
      </c>
      <c r="K17" s="9">
        <v>5.5</v>
      </c>
      <c r="L17" s="9">
        <v>5.0999999999999996</v>
      </c>
      <c r="M17" s="9">
        <v>3.53</v>
      </c>
      <c r="N17" s="10">
        <f t="shared" si="0"/>
        <v>5.68</v>
      </c>
      <c r="O17" s="9">
        <f t="shared" si="7"/>
        <v>30.769230769230766</v>
      </c>
      <c r="P17" s="9">
        <f t="shared" si="7"/>
        <v>30.911901081916543</v>
      </c>
      <c r="Q17" s="9">
        <f t="shared" si="2"/>
        <v>30.90909090909091</v>
      </c>
      <c r="R17" s="9">
        <f t="shared" si="3"/>
        <v>29.411764705882351</v>
      </c>
      <c r="S17" s="9">
        <f t="shared" si="4"/>
        <v>31.161473087818699</v>
      </c>
      <c r="T17" s="10">
        <f t="shared" si="5"/>
        <v>30.633802816901408</v>
      </c>
    </row>
    <row r="18" spans="2:20" x14ac:dyDescent="0.25">
      <c r="B18" s="8" t="s">
        <v>45</v>
      </c>
      <c r="C18" s="9">
        <v>222</v>
      </c>
      <c r="D18" s="9">
        <v>229.07</v>
      </c>
      <c r="E18" s="9">
        <v>237.78</v>
      </c>
      <c r="F18" s="9">
        <v>230.3</v>
      </c>
      <c r="G18" s="9">
        <v>236.93</v>
      </c>
      <c r="H18" s="10">
        <f t="shared" si="1"/>
        <v>231.21600000000004</v>
      </c>
      <c r="I18" s="9">
        <v>2450.58</v>
      </c>
      <c r="J18" s="9">
        <v>2495.7600000000002</v>
      </c>
      <c r="K18" s="9">
        <v>2563.0500000000002</v>
      </c>
      <c r="L18" s="9">
        <v>2507.41</v>
      </c>
      <c r="M18" s="9">
        <v>2553.41</v>
      </c>
      <c r="N18" s="10">
        <f t="shared" si="0"/>
        <v>2514.0419999999999</v>
      </c>
      <c r="O18" s="9">
        <f t="shared" si="7"/>
        <v>90.590798912910415</v>
      </c>
      <c r="P18" s="9">
        <f t="shared" si="7"/>
        <v>91.783665096002807</v>
      </c>
      <c r="Q18" s="9">
        <f t="shared" si="2"/>
        <v>92.772283022180602</v>
      </c>
      <c r="R18" s="9">
        <f t="shared" si="3"/>
        <v>91.847763229786921</v>
      </c>
      <c r="S18" s="9">
        <f t="shared" si="4"/>
        <v>92.789642086464767</v>
      </c>
      <c r="T18" s="11">
        <f t="shared" si="5"/>
        <v>91.969823893156928</v>
      </c>
    </row>
    <row r="19" spans="2:20" x14ac:dyDescent="0.25">
      <c r="B19" t="s">
        <v>66</v>
      </c>
      <c r="C19" s="2">
        <v>0.95</v>
      </c>
      <c r="D19" s="2">
        <v>1.06</v>
      </c>
      <c r="E19" s="2">
        <v>1.19</v>
      </c>
      <c r="F19" s="2">
        <v>1.08</v>
      </c>
      <c r="G19" s="2">
        <v>0.95</v>
      </c>
      <c r="H19" s="2">
        <f t="shared" si="1"/>
        <v>1.0459999999999998</v>
      </c>
      <c r="I19" s="2">
        <v>33.31</v>
      </c>
      <c r="J19" s="2">
        <v>37.69</v>
      </c>
      <c r="K19" s="2">
        <v>43.17</v>
      </c>
      <c r="L19" s="2">
        <v>38.39</v>
      </c>
      <c r="M19" s="2">
        <v>33.4</v>
      </c>
      <c r="N19" s="2">
        <f t="shared" si="0"/>
        <v>37.192</v>
      </c>
      <c r="O19" s="2">
        <f t="shared" si="7"/>
        <v>28.519963974782343</v>
      </c>
      <c r="P19" s="2">
        <f t="shared" si="7"/>
        <v>28.124170867604143</v>
      </c>
      <c r="Q19" s="2">
        <f t="shared" si="2"/>
        <v>27.565438962242293</v>
      </c>
      <c r="R19" s="2">
        <f t="shared" si="3"/>
        <v>28.132326126595469</v>
      </c>
      <c r="S19" s="2">
        <f t="shared" si="4"/>
        <v>28.443113772455089</v>
      </c>
      <c r="T19" s="2">
        <f t="shared" si="5"/>
        <v>28.124327812432778</v>
      </c>
    </row>
    <row r="20" spans="2:20" x14ac:dyDescent="0.25">
      <c r="B20" t="s">
        <v>67</v>
      </c>
      <c r="C20" s="2">
        <v>4.09</v>
      </c>
      <c r="D20" s="2">
        <v>4.21</v>
      </c>
      <c r="E20" s="2">
        <v>4.43</v>
      </c>
      <c r="F20" s="2">
        <v>4.0199999999999996</v>
      </c>
      <c r="G20" s="2">
        <v>3.94</v>
      </c>
      <c r="H20" s="2">
        <f t="shared" si="1"/>
        <v>4.1379999999999999</v>
      </c>
      <c r="I20" s="2">
        <v>218.41</v>
      </c>
      <c r="J20" s="2">
        <v>224.29</v>
      </c>
      <c r="K20" s="2">
        <v>237.92</v>
      </c>
      <c r="L20" s="2">
        <v>213.94</v>
      </c>
      <c r="M20" s="2">
        <v>207.28</v>
      </c>
      <c r="N20" s="2">
        <f t="shared" si="0"/>
        <v>220.36799999999999</v>
      </c>
      <c r="O20" s="2">
        <f t="shared" si="7"/>
        <v>18.726248798131955</v>
      </c>
      <c r="P20" s="2">
        <f t="shared" si="7"/>
        <v>18.770341967987875</v>
      </c>
      <c r="Q20" s="2">
        <f t="shared" si="2"/>
        <v>18.619704102219234</v>
      </c>
      <c r="R20" s="2">
        <f t="shared" si="3"/>
        <v>18.790315041600447</v>
      </c>
      <c r="S20" s="2">
        <f t="shared" si="4"/>
        <v>19.008104978772675</v>
      </c>
      <c r="T20" s="2">
        <f t="shared" si="5"/>
        <v>18.777680970013797</v>
      </c>
    </row>
    <row r="21" spans="2:20" x14ac:dyDescent="0.25">
      <c r="B21" t="s">
        <v>65</v>
      </c>
      <c r="C21" s="2">
        <v>0.76</v>
      </c>
      <c r="D21" s="2">
        <v>0.64</v>
      </c>
      <c r="E21" s="2">
        <v>0.6</v>
      </c>
      <c r="F21" s="2">
        <v>0.53</v>
      </c>
      <c r="G21" s="2">
        <v>0.44</v>
      </c>
      <c r="H21" s="2">
        <f t="shared" si="1"/>
        <v>0.59400000000000008</v>
      </c>
      <c r="I21" s="2">
        <v>2.67</v>
      </c>
      <c r="J21" s="2">
        <v>2.27</v>
      </c>
      <c r="K21" s="2">
        <v>2.11</v>
      </c>
      <c r="L21" s="2">
        <v>1.85</v>
      </c>
      <c r="M21" s="2">
        <v>1.53</v>
      </c>
      <c r="N21" s="2">
        <f t="shared" si="0"/>
        <v>2.0859999999999994</v>
      </c>
      <c r="O21" s="2">
        <f t="shared" si="7"/>
        <v>284.64419475655433</v>
      </c>
      <c r="P21" s="2">
        <f t="shared" si="7"/>
        <v>281.93832599118946</v>
      </c>
      <c r="Q21" s="2">
        <f>E21/K21*1000</f>
        <v>284.36018957345971</v>
      </c>
      <c r="R21" s="2">
        <f>F21/L21*1000</f>
        <v>286.48648648648651</v>
      </c>
      <c r="S21" s="2">
        <f>G21/M21*1000</f>
        <v>287.58169934640523</v>
      </c>
      <c r="T21" s="2">
        <f t="shared" si="5"/>
        <v>284.75551294343251</v>
      </c>
    </row>
    <row r="23" spans="2:20" x14ac:dyDescent="0.25">
      <c r="B23" t="s">
        <v>13</v>
      </c>
      <c r="C23" s="2">
        <f>T14</f>
        <v>180.4873441632036</v>
      </c>
    </row>
    <row r="24" spans="2:20" x14ac:dyDescent="0.25">
      <c r="B24" t="s">
        <v>14</v>
      </c>
      <c r="C24" s="2">
        <f>T15</f>
        <v>154.22885572139305</v>
      </c>
    </row>
    <row r="25" spans="2:20" x14ac:dyDescent="0.25">
      <c r="B25" t="s">
        <v>25</v>
      </c>
      <c r="C25" s="3">
        <f>SUM(C16:G18)/SUM(I16:M18)*1000</f>
        <v>91.809441020589574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B19" sqref="B19"/>
    </sheetView>
  </sheetViews>
  <sheetFormatPr defaultRowHeight="15" x14ac:dyDescent="0.25"/>
  <sheetData>
    <row r="1" spans="1:9" x14ac:dyDescent="0.25">
      <c r="A1" t="s">
        <v>120</v>
      </c>
    </row>
    <row r="2" spans="1:9" ht="15.75" thickBot="1" x14ac:dyDescent="0.3"/>
    <row r="3" spans="1:9" x14ac:dyDescent="0.25">
      <c r="A3" s="83" t="s">
        <v>121</v>
      </c>
      <c r="B3" s="83"/>
    </row>
    <row r="4" spans="1:9" x14ac:dyDescent="0.25">
      <c r="A4" s="80" t="s">
        <v>122</v>
      </c>
      <c r="B4" s="80">
        <v>0.99999493252819649</v>
      </c>
    </row>
    <row r="5" spans="1:9" x14ac:dyDescent="0.25">
      <c r="A5" s="80" t="s">
        <v>123</v>
      </c>
      <c r="B5" s="80">
        <v>0.99998986508207222</v>
      </c>
    </row>
    <row r="6" spans="1:9" x14ac:dyDescent="0.25">
      <c r="A6" s="80" t="s">
        <v>124</v>
      </c>
      <c r="B6" s="80">
        <v>0.85713127437951109</v>
      </c>
    </row>
    <row r="7" spans="1:9" x14ac:dyDescent="0.25">
      <c r="A7" s="80" t="s">
        <v>125</v>
      </c>
      <c r="B7" s="80">
        <v>0.25677629550654923</v>
      </c>
    </row>
    <row r="8" spans="1:9" ht="15.75" thickBot="1" x14ac:dyDescent="0.3">
      <c r="A8" s="81" t="s">
        <v>126</v>
      </c>
      <c r="B8" s="81">
        <v>9</v>
      </c>
    </row>
    <row r="10" spans="1:9" ht="15.75" thickBot="1" x14ac:dyDescent="0.3">
      <c r="A10" t="s">
        <v>127</v>
      </c>
    </row>
    <row r="11" spans="1:9" x14ac:dyDescent="0.25">
      <c r="A11" s="82"/>
      <c r="B11" s="82" t="s">
        <v>132</v>
      </c>
      <c r="C11" s="82" t="s">
        <v>133</v>
      </c>
      <c r="D11" s="82" t="s">
        <v>134</v>
      </c>
      <c r="E11" s="82" t="s">
        <v>135</v>
      </c>
      <c r="F11" s="82" t="s">
        <v>136</v>
      </c>
    </row>
    <row r="12" spans="1:9" x14ac:dyDescent="0.25">
      <c r="A12" s="80" t="s">
        <v>128</v>
      </c>
      <c r="B12" s="80">
        <v>2</v>
      </c>
      <c r="C12" s="80">
        <v>45538.975961538461</v>
      </c>
      <c r="D12" s="80">
        <v>22769.48798076923</v>
      </c>
      <c r="E12" s="80">
        <v>345337.23437499604</v>
      </c>
      <c r="F12" s="80">
        <v>6.5557476191290817E-16</v>
      </c>
    </row>
    <row r="13" spans="1:9" x14ac:dyDescent="0.25">
      <c r="A13" s="80" t="s">
        <v>129</v>
      </c>
      <c r="B13" s="80">
        <v>7</v>
      </c>
      <c r="C13" s="80">
        <v>0.46153846153846678</v>
      </c>
      <c r="D13" s="80">
        <v>6.5934065934066685E-2</v>
      </c>
      <c r="E13" s="80"/>
      <c r="F13" s="80"/>
    </row>
    <row r="14" spans="1:9" ht="15.75" thickBot="1" x14ac:dyDescent="0.3">
      <c r="A14" s="81" t="s">
        <v>130</v>
      </c>
      <c r="B14" s="81">
        <v>9</v>
      </c>
      <c r="C14" s="81">
        <v>45539.4375</v>
      </c>
      <c r="D14" s="81"/>
      <c r="E14" s="81"/>
      <c r="F14" s="81"/>
    </row>
    <row r="15" spans="1:9" ht="15.75" thickBot="1" x14ac:dyDescent="0.3"/>
    <row r="16" spans="1:9" x14ac:dyDescent="0.25">
      <c r="A16" s="82"/>
      <c r="B16" s="82" t="s">
        <v>137</v>
      </c>
      <c r="C16" s="82" t="s">
        <v>125</v>
      </c>
      <c r="D16" s="82" t="s">
        <v>138</v>
      </c>
      <c r="E16" s="82" t="s">
        <v>139</v>
      </c>
      <c r="F16" s="82" t="s">
        <v>140</v>
      </c>
      <c r="G16" s="82" t="s">
        <v>141</v>
      </c>
      <c r="H16" s="82" t="s">
        <v>142</v>
      </c>
      <c r="I16" s="82" t="s">
        <v>143</v>
      </c>
    </row>
    <row r="17" spans="1:9" x14ac:dyDescent="0.25">
      <c r="A17" s="80" t="s">
        <v>131</v>
      </c>
      <c r="B17" s="80">
        <v>0</v>
      </c>
      <c r="C17" s="80" t="e">
        <v>#N/A</v>
      </c>
      <c r="D17" s="80" t="e">
        <v>#N/A</v>
      </c>
      <c r="E17" s="80" t="e">
        <v>#N/A</v>
      </c>
      <c r="F17" s="80" t="e">
        <v>#N/A</v>
      </c>
      <c r="G17" s="80" t="e">
        <v>#N/A</v>
      </c>
      <c r="H17" s="80" t="e">
        <v>#N/A</v>
      </c>
      <c r="I17" s="80" t="e">
        <v>#N/A</v>
      </c>
    </row>
    <row r="18" spans="1:9" x14ac:dyDescent="0.25">
      <c r="A18" s="80" t="s">
        <v>117</v>
      </c>
      <c r="B18" s="80">
        <v>5.4615384615384617</v>
      </c>
      <c r="C18" s="80">
        <v>4.1844907175076655E-2</v>
      </c>
      <c r="D18" s="80">
        <v>130.51859426256348</v>
      </c>
      <c r="E18" s="80">
        <v>4.0880236075111747E-13</v>
      </c>
      <c r="F18" s="80">
        <v>5.3625909792266269</v>
      </c>
      <c r="G18" s="80">
        <v>5.5604859438502965</v>
      </c>
      <c r="H18" s="80">
        <v>5.3625909792266269</v>
      </c>
      <c r="I18" s="80">
        <v>5.5604859438502965</v>
      </c>
    </row>
    <row r="19" spans="1:9" ht="15.75" thickBot="1" x14ac:dyDescent="0.3">
      <c r="A19" s="81" t="s">
        <v>118</v>
      </c>
      <c r="B19" s="81">
        <v>5.7692307692307696E-2</v>
      </c>
      <c r="C19" s="81">
        <v>1.9019421224538086E-3</v>
      </c>
      <c r="D19" s="81">
        <v>30.333366620996554</v>
      </c>
      <c r="E19" s="81">
        <v>1.0916662505710689E-8</v>
      </c>
      <c r="F19" s="81">
        <v>5.3194929224427562E-2</v>
      </c>
      <c r="G19" s="81">
        <v>6.2189686160187829E-2</v>
      </c>
      <c r="H19" s="81">
        <v>5.3194929224427562E-2</v>
      </c>
      <c r="I19" s="81">
        <v>6.2189686160187829E-2</v>
      </c>
    </row>
    <row r="23" spans="1:9" x14ac:dyDescent="0.25">
      <c r="A23" t="s">
        <v>144</v>
      </c>
      <c r="F23" t="s">
        <v>149</v>
      </c>
    </row>
    <row r="24" spans="1:9" ht="15.75" thickBot="1" x14ac:dyDescent="0.3"/>
    <row r="25" spans="1:9" x14ac:dyDescent="0.25">
      <c r="A25" s="82" t="s">
        <v>145</v>
      </c>
      <c r="B25" s="82" t="s">
        <v>146</v>
      </c>
      <c r="C25" s="82" t="s">
        <v>147</v>
      </c>
      <c r="D25" s="82" t="s">
        <v>148</v>
      </c>
      <c r="F25" s="82" t="s">
        <v>150</v>
      </c>
      <c r="G25" s="82" t="s">
        <v>113</v>
      </c>
    </row>
    <row r="26" spans="1:9" x14ac:dyDescent="0.25">
      <c r="A26" s="80">
        <v>1</v>
      </c>
      <c r="B26" s="80">
        <v>41.423076923076927</v>
      </c>
      <c r="C26" s="80">
        <v>-0.1730769230769269</v>
      </c>
      <c r="D26" s="80">
        <v>-0.76428699804761391</v>
      </c>
      <c r="F26" s="80">
        <v>5.5555555555555554</v>
      </c>
      <c r="G26" s="80">
        <v>41.25</v>
      </c>
    </row>
    <row r="27" spans="1:9" x14ac:dyDescent="0.25">
      <c r="A27" s="80">
        <v>2</v>
      </c>
      <c r="B27" s="80">
        <v>52.346153846153847</v>
      </c>
      <c r="C27" s="80">
        <v>0.1538461538461533</v>
      </c>
      <c r="D27" s="80">
        <v>0.67936622048675044</v>
      </c>
      <c r="F27" s="80">
        <v>16.666666666666664</v>
      </c>
      <c r="G27" s="80">
        <v>52.5</v>
      </c>
    </row>
    <row r="28" spans="1:9" x14ac:dyDescent="0.25">
      <c r="A28" s="80">
        <v>3</v>
      </c>
      <c r="B28" s="80">
        <v>63.269230769230766</v>
      </c>
      <c r="C28" s="80">
        <v>-0.2692307692307665</v>
      </c>
      <c r="D28" s="80">
        <v>-1.1888908858518055</v>
      </c>
      <c r="F28" s="80">
        <v>27.777777777777779</v>
      </c>
      <c r="G28" s="80">
        <v>62.25</v>
      </c>
    </row>
    <row r="29" spans="1:9" x14ac:dyDescent="0.25">
      <c r="A29" s="80">
        <v>4</v>
      </c>
      <c r="B29" s="80">
        <v>62.134615384615387</v>
      </c>
      <c r="C29" s="80">
        <v>0.1153846153846132</v>
      </c>
      <c r="D29" s="80">
        <v>0.50952466536505503</v>
      </c>
      <c r="F29" s="80">
        <v>38.888888888888886</v>
      </c>
      <c r="G29" s="80">
        <v>63</v>
      </c>
    </row>
    <row r="30" spans="1:9" x14ac:dyDescent="0.25">
      <c r="A30" s="80">
        <v>5</v>
      </c>
      <c r="B30" s="80">
        <v>73.057692307692307</v>
      </c>
      <c r="C30" s="80">
        <v>0.4423076923076934</v>
      </c>
      <c r="D30" s="80">
        <v>1.9531778838994194</v>
      </c>
      <c r="F30" s="80">
        <v>50</v>
      </c>
      <c r="G30" s="80">
        <v>72</v>
      </c>
    </row>
    <row r="31" spans="1:9" x14ac:dyDescent="0.25">
      <c r="A31" s="80">
        <v>6</v>
      </c>
      <c r="B31" s="80">
        <v>83.980769230769226</v>
      </c>
      <c r="C31" s="80">
        <v>1.9230769230773603E-2</v>
      </c>
      <c r="D31" s="80">
        <v>8.4920777560863414E-2</v>
      </c>
      <c r="F31" s="80">
        <v>61.111111111111114</v>
      </c>
      <c r="G31" s="80">
        <v>73.5</v>
      </c>
    </row>
    <row r="32" spans="1:9" x14ac:dyDescent="0.25">
      <c r="A32" s="80">
        <v>7</v>
      </c>
      <c r="B32" s="80">
        <v>71.92307692307692</v>
      </c>
      <c r="C32" s="80">
        <v>7.6923076923080203E-2</v>
      </c>
      <c r="D32" s="80">
        <v>0.33968311024339093</v>
      </c>
      <c r="F32" s="80">
        <v>72.222222222222214</v>
      </c>
      <c r="G32" s="80">
        <v>82.5</v>
      </c>
    </row>
    <row r="33" spans="1:7" x14ac:dyDescent="0.25">
      <c r="A33" s="80">
        <v>8</v>
      </c>
      <c r="B33" s="80">
        <v>82.846153846153854</v>
      </c>
      <c r="C33" s="80">
        <v>-0.34615384615385381</v>
      </c>
      <c r="D33" s="80">
        <v>-1.5285739960952278</v>
      </c>
      <c r="F33" s="80">
        <v>83.333333333333329</v>
      </c>
      <c r="G33" s="80">
        <v>84</v>
      </c>
    </row>
    <row r="34" spans="1:7" ht="15.75" thickBot="1" x14ac:dyDescent="0.3">
      <c r="A34" s="81">
        <v>9</v>
      </c>
      <c r="B34" s="81">
        <v>93.769230769230774</v>
      </c>
      <c r="C34" s="81">
        <v>-1.9230769230773603E-2</v>
      </c>
      <c r="D34" s="81">
        <v>-8.4920777560863414E-2</v>
      </c>
      <c r="F34" s="81">
        <v>94.444444444444443</v>
      </c>
      <c r="G34" s="81">
        <v>93.75</v>
      </c>
    </row>
  </sheetData>
  <sortState ref="G26:G34">
    <sortCondition ref="G26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0"/>
  <sheetViews>
    <sheetView topLeftCell="B1" workbookViewId="0">
      <selection activeCell="H24" sqref="H24"/>
    </sheetView>
  </sheetViews>
  <sheetFormatPr defaultRowHeight="15" x14ac:dyDescent="0.25"/>
  <cols>
    <col min="2" max="2" width="10.28515625" customWidth="1"/>
    <col min="3" max="3" width="11.85546875" customWidth="1"/>
    <col min="4" max="4" width="10.42578125" customWidth="1"/>
  </cols>
  <sheetData>
    <row r="2" spans="2:17" x14ac:dyDescent="0.25">
      <c r="B2" t="s">
        <v>109</v>
      </c>
      <c r="O2" t="s">
        <v>110</v>
      </c>
    </row>
    <row r="3" spans="2:17" ht="15.75" x14ac:dyDescent="0.25">
      <c r="B3" s="25" t="s">
        <v>88</v>
      </c>
      <c r="C3" s="25"/>
      <c r="D3" s="25"/>
      <c r="E3" s="25"/>
      <c r="O3" t="s">
        <v>111</v>
      </c>
    </row>
    <row r="4" spans="2:17" ht="30" x14ac:dyDescent="0.25">
      <c r="B4" s="16" t="s">
        <v>89</v>
      </c>
      <c r="C4" s="16" t="s">
        <v>90</v>
      </c>
      <c r="D4" s="17" t="s">
        <v>91</v>
      </c>
      <c r="E4" s="18"/>
      <c r="O4" s="77" t="s">
        <v>101</v>
      </c>
      <c r="P4" s="77" t="s">
        <v>112</v>
      </c>
      <c r="Q4" s="77" t="s">
        <v>113</v>
      </c>
    </row>
    <row r="5" spans="2:17" x14ac:dyDescent="0.25">
      <c r="B5" s="19">
        <v>10</v>
      </c>
      <c r="C5" s="26">
        <v>6.2</v>
      </c>
      <c r="D5" s="26">
        <v>8.3000000000000007</v>
      </c>
      <c r="E5" s="18"/>
      <c r="F5" s="3">
        <f>0.41*B5+2.2</f>
        <v>6.3</v>
      </c>
      <c r="O5">
        <v>100</v>
      </c>
      <c r="P5">
        <v>26</v>
      </c>
      <c r="Q5">
        <f>P5*0.75</f>
        <v>19.5</v>
      </c>
    </row>
    <row r="6" spans="2:17" x14ac:dyDescent="0.25">
      <c r="B6" s="20">
        <v>15</v>
      </c>
      <c r="C6" s="27">
        <v>8.3000000000000007</v>
      </c>
      <c r="D6" s="27">
        <v>11.2</v>
      </c>
      <c r="E6" s="18"/>
      <c r="F6" s="3">
        <f t="shared" ref="F6:F9" si="0">0.41*B6+2.2</f>
        <v>8.35</v>
      </c>
      <c r="O6">
        <v>150</v>
      </c>
      <c r="P6">
        <v>29</v>
      </c>
      <c r="Q6">
        <f t="shared" ref="Q6:Q9" si="1">P6*0.75</f>
        <v>21.75</v>
      </c>
    </row>
    <row r="7" spans="2:17" x14ac:dyDescent="0.25">
      <c r="B7" s="21">
        <v>20</v>
      </c>
      <c r="C7" s="28">
        <v>10.4</v>
      </c>
      <c r="D7" s="28">
        <v>14</v>
      </c>
      <c r="E7" s="18"/>
      <c r="F7" s="3">
        <f t="shared" si="0"/>
        <v>10.399999999999999</v>
      </c>
      <c r="O7">
        <v>200</v>
      </c>
      <c r="P7">
        <v>31</v>
      </c>
      <c r="Q7">
        <f t="shared" si="1"/>
        <v>23.25</v>
      </c>
    </row>
    <row r="8" spans="2:17" x14ac:dyDescent="0.25">
      <c r="B8" s="20">
        <v>25</v>
      </c>
      <c r="C8" s="27">
        <v>12.4</v>
      </c>
      <c r="D8" s="27">
        <v>16.5</v>
      </c>
      <c r="E8" s="18"/>
      <c r="F8" s="3">
        <f t="shared" si="0"/>
        <v>12.45</v>
      </c>
      <c r="O8" s="78">
        <v>250</v>
      </c>
      <c r="P8" s="78">
        <v>33</v>
      </c>
      <c r="Q8" s="78">
        <f t="shared" si="1"/>
        <v>24.75</v>
      </c>
    </row>
    <row r="9" spans="2:17" x14ac:dyDescent="0.25">
      <c r="B9" s="21">
        <v>30</v>
      </c>
      <c r="C9" s="28">
        <v>14.5</v>
      </c>
      <c r="D9" s="28">
        <v>19.3</v>
      </c>
      <c r="E9" s="18"/>
      <c r="F9" s="3">
        <f t="shared" si="0"/>
        <v>14.5</v>
      </c>
      <c r="O9" s="76">
        <v>300</v>
      </c>
      <c r="P9" s="76">
        <v>35</v>
      </c>
      <c r="Q9" s="76">
        <f t="shared" si="1"/>
        <v>26.25</v>
      </c>
    </row>
    <row r="10" spans="2:17" x14ac:dyDescent="0.25">
      <c r="B10" s="20">
        <v>35</v>
      </c>
      <c r="C10" s="27">
        <v>16.399999999999999</v>
      </c>
      <c r="D10" s="27">
        <v>21.9</v>
      </c>
      <c r="E10" s="18"/>
      <c r="F10" s="3"/>
    </row>
    <row r="11" spans="2:17" x14ac:dyDescent="0.25">
      <c r="B11" s="21">
        <v>40</v>
      </c>
      <c r="C11" s="28">
        <v>18.3</v>
      </c>
      <c r="D11" s="28">
        <v>24.4</v>
      </c>
      <c r="E11" s="18"/>
      <c r="F11" s="3"/>
    </row>
    <row r="12" spans="2:17" x14ac:dyDescent="0.25">
      <c r="B12" s="20">
        <v>45</v>
      </c>
      <c r="C12" s="27">
        <v>20.2</v>
      </c>
      <c r="D12" s="27">
        <v>26.9</v>
      </c>
      <c r="E12" s="18"/>
      <c r="F12" s="3"/>
    </row>
    <row r="13" spans="2:17" x14ac:dyDescent="0.25">
      <c r="B13" s="21">
        <v>50</v>
      </c>
      <c r="C13" s="28">
        <v>22.1</v>
      </c>
      <c r="D13" s="28">
        <v>29.5</v>
      </c>
      <c r="E13" s="18"/>
      <c r="F13" s="3"/>
    </row>
    <row r="14" spans="2:17" x14ac:dyDescent="0.25">
      <c r="B14" s="20">
        <v>55</v>
      </c>
      <c r="C14" s="27">
        <v>24</v>
      </c>
      <c r="D14" s="27">
        <v>32</v>
      </c>
      <c r="E14" s="18"/>
      <c r="F14" s="3"/>
    </row>
    <row r="15" spans="2:17" x14ac:dyDescent="0.25">
      <c r="B15" s="22">
        <v>60</v>
      </c>
      <c r="C15" s="29" t="s">
        <v>93</v>
      </c>
      <c r="D15" s="30" t="s">
        <v>94</v>
      </c>
      <c r="E15" s="18"/>
    </row>
    <row r="16" spans="2:17" x14ac:dyDescent="0.25">
      <c r="B16" s="24" t="s">
        <v>92</v>
      </c>
      <c r="C16" s="24"/>
      <c r="D16" s="24"/>
      <c r="E16" s="24"/>
      <c r="O16" t="s">
        <v>110</v>
      </c>
    </row>
    <row r="17" spans="2:20" ht="15.75" x14ac:dyDescent="0.25">
      <c r="B17" s="23"/>
      <c r="C17" s="23"/>
      <c r="D17" s="23"/>
      <c r="E17" s="23"/>
      <c r="O17" t="s">
        <v>116</v>
      </c>
    </row>
    <row r="18" spans="2:20" ht="30" x14ac:dyDescent="0.25">
      <c r="O18" s="79" t="s">
        <v>117</v>
      </c>
      <c r="P18" s="79" t="s">
        <v>118</v>
      </c>
      <c r="Q18" s="79" t="s">
        <v>112</v>
      </c>
      <c r="R18" s="79" t="s">
        <v>113</v>
      </c>
      <c r="S18" s="79" t="s">
        <v>119</v>
      </c>
    </row>
    <row r="19" spans="2:20" x14ac:dyDescent="0.25">
      <c r="O19">
        <v>6</v>
      </c>
      <c r="P19">
        <v>150</v>
      </c>
      <c r="Q19">
        <v>55</v>
      </c>
      <c r="R19" s="3">
        <f>Q19*0.75</f>
        <v>41.25</v>
      </c>
      <c r="S19" s="3">
        <f>O19*$Q$29+P19*$T$29</f>
        <v>41.46</v>
      </c>
    </row>
    <row r="20" spans="2:20" x14ac:dyDescent="0.25">
      <c r="O20">
        <v>8</v>
      </c>
      <c r="P20">
        <v>150</v>
      </c>
      <c r="Q20">
        <v>70</v>
      </c>
      <c r="R20" s="3">
        <f t="shared" ref="R20:R27" si="2">Q20*0.75</f>
        <v>52.5</v>
      </c>
      <c r="S20" s="3">
        <f t="shared" ref="S20:S27" si="3">O20*$Q$29+P20*$T$29</f>
        <v>52.38</v>
      </c>
    </row>
    <row r="21" spans="2:20" x14ac:dyDescent="0.25">
      <c r="B21" t="s">
        <v>109</v>
      </c>
      <c r="O21">
        <v>10</v>
      </c>
      <c r="P21">
        <v>150</v>
      </c>
      <c r="Q21">
        <v>84</v>
      </c>
      <c r="R21" s="3">
        <f t="shared" si="2"/>
        <v>63</v>
      </c>
      <c r="S21" s="3">
        <f t="shared" si="3"/>
        <v>63.300000000000004</v>
      </c>
    </row>
    <row r="22" spans="2:20" ht="15.75" x14ac:dyDescent="0.25">
      <c r="B22" s="39" t="s">
        <v>95</v>
      </c>
      <c r="C22" s="39"/>
      <c r="D22" s="39"/>
      <c r="E22" s="39"/>
      <c r="F22" s="39"/>
      <c r="G22" s="39"/>
      <c r="H22" s="39"/>
      <c r="O22">
        <v>9</v>
      </c>
      <c r="P22">
        <v>225</v>
      </c>
      <c r="Q22">
        <v>83</v>
      </c>
      <c r="R22" s="3">
        <f t="shared" si="2"/>
        <v>62.25</v>
      </c>
      <c r="S22" s="3">
        <f t="shared" si="3"/>
        <v>62.19</v>
      </c>
    </row>
    <row r="23" spans="2:20" x14ac:dyDescent="0.25">
      <c r="B23" s="40"/>
      <c r="C23" s="94" t="s">
        <v>101</v>
      </c>
      <c r="D23" s="96" t="s">
        <v>90</v>
      </c>
      <c r="E23" s="89" t="s">
        <v>91</v>
      </c>
      <c r="F23" s="91" t="s">
        <v>96</v>
      </c>
      <c r="G23" s="93"/>
      <c r="H23" s="31"/>
      <c r="O23">
        <v>11</v>
      </c>
      <c r="P23">
        <v>225</v>
      </c>
      <c r="Q23">
        <v>98</v>
      </c>
      <c r="R23" s="3">
        <f t="shared" si="2"/>
        <v>73.5</v>
      </c>
      <c r="S23" s="3">
        <f t="shared" si="3"/>
        <v>73.11</v>
      </c>
    </row>
    <row r="24" spans="2:20" x14ac:dyDescent="0.25">
      <c r="B24" s="41"/>
      <c r="C24" s="95"/>
      <c r="D24" s="97"/>
      <c r="E24" s="90"/>
      <c r="F24" s="92"/>
      <c r="G24" s="93"/>
      <c r="H24" s="18"/>
      <c r="O24">
        <v>13</v>
      </c>
      <c r="P24">
        <v>225</v>
      </c>
      <c r="Q24">
        <v>112</v>
      </c>
      <c r="R24" s="3">
        <f t="shared" si="2"/>
        <v>84</v>
      </c>
      <c r="S24" s="3">
        <f t="shared" si="3"/>
        <v>84.03</v>
      </c>
    </row>
    <row r="25" spans="2:20" ht="15" customHeight="1" x14ac:dyDescent="0.25">
      <c r="B25" s="99" t="s">
        <v>9</v>
      </c>
      <c r="C25" s="99"/>
      <c r="D25" s="99"/>
      <c r="E25" s="99"/>
      <c r="F25" s="99"/>
      <c r="G25" s="42"/>
      <c r="H25" s="18"/>
      <c r="O25">
        <v>10</v>
      </c>
      <c r="P25">
        <v>300</v>
      </c>
      <c r="Q25">
        <v>96</v>
      </c>
      <c r="R25" s="3">
        <f t="shared" si="2"/>
        <v>72</v>
      </c>
      <c r="S25" s="3">
        <f t="shared" si="3"/>
        <v>72</v>
      </c>
    </row>
    <row r="26" spans="2:20" ht="15" customHeight="1" x14ac:dyDescent="0.25">
      <c r="B26" s="88" t="s">
        <v>97</v>
      </c>
      <c r="C26" s="88"/>
      <c r="D26" s="88"/>
      <c r="E26" s="88"/>
      <c r="F26" s="88"/>
      <c r="G26" s="42"/>
      <c r="H26" s="18"/>
      <c r="O26">
        <v>12</v>
      </c>
      <c r="P26">
        <v>300</v>
      </c>
      <c r="Q26">
        <v>110</v>
      </c>
      <c r="R26" s="3">
        <f t="shared" si="2"/>
        <v>82.5</v>
      </c>
      <c r="S26" s="3">
        <f t="shared" si="3"/>
        <v>82.92</v>
      </c>
    </row>
    <row r="27" spans="2:20" x14ac:dyDescent="0.25">
      <c r="B27" s="20">
        <v>1</v>
      </c>
      <c r="C27" s="47">
        <v>10</v>
      </c>
      <c r="D27" s="48">
        <v>2.1</v>
      </c>
      <c r="E27" s="48">
        <v>2.8</v>
      </c>
      <c r="F27" s="60"/>
      <c r="G27" s="43"/>
      <c r="H27" s="86"/>
      <c r="O27">
        <v>14</v>
      </c>
      <c r="P27">
        <v>300</v>
      </c>
      <c r="Q27">
        <v>125</v>
      </c>
      <c r="R27" s="3">
        <f t="shared" si="2"/>
        <v>93.75</v>
      </c>
      <c r="S27" s="3">
        <f t="shared" si="3"/>
        <v>93.84</v>
      </c>
    </row>
    <row r="28" spans="2:20" x14ac:dyDescent="0.25">
      <c r="B28" s="32">
        <v>7</v>
      </c>
      <c r="C28" s="49">
        <v>11</v>
      </c>
      <c r="D28" s="50">
        <v>6.6</v>
      </c>
      <c r="E28" s="50">
        <v>8.8000000000000007</v>
      </c>
      <c r="F28" s="51">
        <v>143</v>
      </c>
      <c r="G28" s="43"/>
      <c r="H28" s="86"/>
    </row>
    <row r="29" spans="2:20" x14ac:dyDescent="0.25">
      <c r="B29" s="33">
        <v>14</v>
      </c>
      <c r="C29" s="52">
        <v>13.3</v>
      </c>
      <c r="D29" s="52">
        <v>7.7</v>
      </c>
      <c r="E29" s="52">
        <v>10.3</v>
      </c>
      <c r="F29" s="53">
        <v>329</v>
      </c>
      <c r="G29" s="43"/>
      <c r="H29" s="86"/>
      <c r="O29" t="s">
        <v>151</v>
      </c>
      <c r="P29" s="84" t="s">
        <v>153</v>
      </c>
      <c r="Q29" s="84">
        <v>5.46</v>
      </c>
      <c r="R29" s="85" t="s">
        <v>152</v>
      </c>
      <c r="S29" s="84" t="s">
        <v>154</v>
      </c>
      <c r="T29">
        <v>5.8000000000000003E-2</v>
      </c>
    </row>
    <row r="30" spans="2:20" x14ac:dyDescent="0.25">
      <c r="B30" s="32">
        <v>21</v>
      </c>
      <c r="C30" s="50">
        <v>16.7</v>
      </c>
      <c r="D30" s="50">
        <v>9.1999999999999993</v>
      </c>
      <c r="E30" s="50">
        <v>12.3</v>
      </c>
      <c r="F30" s="51">
        <v>486</v>
      </c>
      <c r="G30" s="43"/>
      <c r="H30" s="86"/>
      <c r="O30" t="s">
        <v>155</v>
      </c>
    </row>
    <row r="31" spans="2:20" x14ac:dyDescent="0.25">
      <c r="B31" s="33">
        <v>28</v>
      </c>
      <c r="C31" s="52">
        <v>20.6</v>
      </c>
      <c r="D31" s="54">
        <v>10.7</v>
      </c>
      <c r="E31" s="52">
        <v>14.3</v>
      </c>
      <c r="F31" s="53">
        <v>557</v>
      </c>
      <c r="G31" s="43"/>
      <c r="H31" s="86"/>
    </row>
    <row r="32" spans="2:20" x14ac:dyDescent="0.25">
      <c r="B32" s="32">
        <v>35</v>
      </c>
      <c r="C32" s="49">
        <v>25</v>
      </c>
      <c r="D32" s="55">
        <v>12.4</v>
      </c>
      <c r="E32" s="50">
        <v>16.5</v>
      </c>
      <c r="F32" s="51">
        <v>629</v>
      </c>
      <c r="G32" s="43"/>
      <c r="H32" s="86"/>
    </row>
    <row r="33" spans="2:18" x14ac:dyDescent="0.25">
      <c r="B33" s="34">
        <v>42</v>
      </c>
      <c r="C33" s="56">
        <v>30</v>
      </c>
      <c r="D33" s="57">
        <v>14.5</v>
      </c>
      <c r="E33" s="58">
        <v>19.3</v>
      </c>
      <c r="F33" s="59">
        <v>714</v>
      </c>
      <c r="G33" s="44"/>
      <c r="H33" s="86"/>
      <c r="R33" s="3"/>
    </row>
    <row r="34" spans="2:18" ht="15" customHeight="1" x14ac:dyDescent="0.25">
      <c r="B34" s="98" t="s">
        <v>8</v>
      </c>
      <c r="C34" s="98"/>
      <c r="D34" s="98"/>
      <c r="E34" s="98"/>
      <c r="F34" s="98"/>
      <c r="G34" s="42"/>
      <c r="H34" s="18"/>
      <c r="R34" s="13"/>
    </row>
    <row r="35" spans="2:18" ht="15" customHeight="1" x14ac:dyDescent="0.25">
      <c r="B35" s="88" t="s">
        <v>98</v>
      </c>
      <c r="C35" s="88"/>
      <c r="D35" s="88"/>
      <c r="E35" s="88"/>
      <c r="F35" s="88"/>
      <c r="G35" s="42"/>
      <c r="H35" s="18"/>
    </row>
    <row r="36" spans="2:18" x14ac:dyDescent="0.25">
      <c r="B36" s="20">
        <v>0</v>
      </c>
      <c r="C36" s="47">
        <v>30</v>
      </c>
      <c r="D36" s="61">
        <v>14.5</v>
      </c>
      <c r="E36" s="48">
        <v>19.3</v>
      </c>
      <c r="F36" s="60"/>
      <c r="G36" s="43"/>
      <c r="H36" s="18"/>
    </row>
    <row r="37" spans="2:18" x14ac:dyDescent="0.25">
      <c r="B37" s="32">
        <v>7</v>
      </c>
      <c r="C37" s="50">
        <v>35.5</v>
      </c>
      <c r="D37" s="55">
        <v>16.600000000000001</v>
      </c>
      <c r="E37" s="50">
        <v>22.1</v>
      </c>
      <c r="F37" s="51">
        <v>786</v>
      </c>
      <c r="G37" s="43"/>
      <c r="H37" s="18"/>
    </row>
    <row r="38" spans="2:18" x14ac:dyDescent="0.25">
      <c r="B38" s="33">
        <v>14</v>
      </c>
      <c r="C38" s="52">
        <v>41.4</v>
      </c>
      <c r="D38" s="54">
        <v>18.8</v>
      </c>
      <c r="E38" s="52">
        <v>25.1</v>
      </c>
      <c r="F38" s="53">
        <v>843</v>
      </c>
      <c r="G38" s="43"/>
      <c r="H38" s="18"/>
    </row>
    <row r="39" spans="2:18" x14ac:dyDescent="0.25">
      <c r="B39" s="32">
        <v>21</v>
      </c>
      <c r="C39" s="50">
        <v>47.7</v>
      </c>
      <c r="D39" s="55">
        <v>21.2</v>
      </c>
      <c r="E39" s="50">
        <v>28.3</v>
      </c>
      <c r="F39" s="51">
        <v>900</v>
      </c>
      <c r="G39" s="43"/>
      <c r="H39" s="18"/>
    </row>
    <row r="40" spans="2:18" x14ac:dyDescent="0.25">
      <c r="B40" s="33">
        <v>28</v>
      </c>
      <c r="C40" s="52">
        <v>54.3</v>
      </c>
      <c r="D40" s="54">
        <v>23.7</v>
      </c>
      <c r="E40" s="52">
        <v>31.6</v>
      </c>
      <c r="F40" s="53">
        <v>943</v>
      </c>
      <c r="G40" s="43"/>
      <c r="H40" s="18"/>
    </row>
    <row r="41" spans="2:18" x14ac:dyDescent="0.25">
      <c r="B41" s="32">
        <v>35</v>
      </c>
      <c r="C41" s="49">
        <v>61</v>
      </c>
      <c r="D41" s="55">
        <v>25.9</v>
      </c>
      <c r="E41" s="50">
        <v>34.5</v>
      </c>
      <c r="F41" s="51">
        <v>957</v>
      </c>
      <c r="G41" s="43"/>
      <c r="H41" s="18"/>
    </row>
    <row r="42" spans="2:18" x14ac:dyDescent="0.25">
      <c r="B42" s="35" t="s">
        <v>102</v>
      </c>
      <c r="C42" s="36"/>
      <c r="D42" s="37" t="s">
        <v>93</v>
      </c>
      <c r="E42" s="38" t="s">
        <v>103</v>
      </c>
      <c r="F42" s="36"/>
      <c r="G42" s="43"/>
      <c r="H42" s="18"/>
    </row>
    <row r="43" spans="2:18" ht="15" customHeight="1" x14ac:dyDescent="0.25">
      <c r="B43" s="46" t="s">
        <v>100</v>
      </c>
      <c r="C43" s="45"/>
      <c r="D43" s="45"/>
      <c r="E43" s="45"/>
      <c r="F43" s="45"/>
      <c r="G43" s="45"/>
      <c r="H43" s="45"/>
      <c r="I43" s="45"/>
      <c r="J43" s="45"/>
    </row>
    <row r="44" spans="2:18" x14ac:dyDescent="0.25">
      <c r="B44" t="s">
        <v>99</v>
      </c>
    </row>
    <row r="46" spans="2:18" x14ac:dyDescent="0.25">
      <c r="B46" t="s">
        <v>109</v>
      </c>
    </row>
    <row r="47" spans="2:18" ht="15" customHeight="1" x14ac:dyDescent="0.25">
      <c r="B47" s="67" t="s">
        <v>114</v>
      </c>
      <c r="C47" s="67"/>
      <c r="D47" s="67"/>
      <c r="E47" s="67"/>
    </row>
    <row r="48" spans="2:18" x14ac:dyDescent="0.25">
      <c r="B48" s="16" t="s">
        <v>89</v>
      </c>
      <c r="C48" s="16" t="s">
        <v>90</v>
      </c>
      <c r="D48" s="16" t="s">
        <v>91</v>
      </c>
      <c r="E48" s="18"/>
    </row>
    <row r="49" spans="2:5" x14ac:dyDescent="0.25">
      <c r="B49" s="19">
        <v>10</v>
      </c>
      <c r="C49" s="63">
        <v>6.2</v>
      </c>
      <c r="D49" s="63">
        <v>8.3000000000000007</v>
      </c>
      <c r="E49" s="18"/>
    </row>
    <row r="50" spans="2:5" x14ac:dyDescent="0.25">
      <c r="B50" s="20">
        <v>15</v>
      </c>
      <c r="C50" s="64">
        <v>8.3000000000000007</v>
      </c>
      <c r="D50" s="64">
        <v>11.1</v>
      </c>
      <c r="E50" s="18"/>
    </row>
    <row r="51" spans="2:5" x14ac:dyDescent="0.25">
      <c r="B51" s="21">
        <v>20</v>
      </c>
      <c r="C51" s="65">
        <v>10.4</v>
      </c>
      <c r="D51" s="65">
        <v>13.9</v>
      </c>
      <c r="E51" s="18"/>
    </row>
    <row r="52" spans="2:5" x14ac:dyDescent="0.25">
      <c r="B52" s="20">
        <v>25</v>
      </c>
      <c r="C52" s="64">
        <v>12.4</v>
      </c>
      <c r="D52" s="64">
        <v>16.5</v>
      </c>
      <c r="E52" s="18"/>
    </row>
    <row r="53" spans="2:5" x14ac:dyDescent="0.25">
      <c r="B53" s="22">
        <v>30</v>
      </c>
      <c r="C53" s="66">
        <v>14.5</v>
      </c>
      <c r="D53" s="66">
        <v>19.3</v>
      </c>
      <c r="E53" s="18"/>
    </row>
    <row r="54" spans="2:5" ht="15" customHeight="1" x14ac:dyDescent="0.25">
      <c r="B54" s="75" t="s">
        <v>115</v>
      </c>
      <c r="C54" s="75"/>
      <c r="D54" s="75"/>
    </row>
    <row r="55" spans="2:5" x14ac:dyDescent="0.25">
      <c r="B55" s="21">
        <v>35</v>
      </c>
      <c r="C55" s="68">
        <v>14.8</v>
      </c>
      <c r="D55" s="69">
        <v>19.7</v>
      </c>
    </row>
    <row r="56" spans="2:5" x14ac:dyDescent="0.25">
      <c r="B56" s="20">
        <v>40</v>
      </c>
      <c r="C56" s="70">
        <v>16.5</v>
      </c>
      <c r="D56" s="71">
        <v>22</v>
      </c>
    </row>
    <row r="57" spans="2:5" x14ac:dyDescent="0.25">
      <c r="B57" s="21">
        <v>45</v>
      </c>
      <c r="C57" s="68">
        <v>18.2</v>
      </c>
      <c r="D57" s="69">
        <v>24.2</v>
      </c>
    </row>
    <row r="58" spans="2:5" x14ac:dyDescent="0.25">
      <c r="B58" s="20">
        <v>50</v>
      </c>
      <c r="C58" s="70">
        <v>19.899999999999999</v>
      </c>
      <c r="D58" s="71">
        <v>26.5</v>
      </c>
    </row>
    <row r="59" spans="2:5" x14ac:dyDescent="0.25">
      <c r="B59" s="21">
        <v>55</v>
      </c>
      <c r="C59" s="68">
        <v>21.6</v>
      </c>
      <c r="D59" s="69">
        <v>28.8</v>
      </c>
    </row>
    <row r="60" spans="2:5" x14ac:dyDescent="0.25">
      <c r="B60" s="72">
        <v>60</v>
      </c>
      <c r="C60" s="73">
        <v>23.3</v>
      </c>
      <c r="D60" s="74">
        <v>31.1</v>
      </c>
    </row>
  </sheetData>
  <mergeCells count="9">
    <mergeCell ref="B35:F35"/>
    <mergeCell ref="E23:E24"/>
    <mergeCell ref="F23:F24"/>
    <mergeCell ref="G23:G24"/>
    <mergeCell ref="C23:C24"/>
    <mergeCell ref="D23:D24"/>
    <mergeCell ref="B34:F34"/>
    <mergeCell ref="B25:F25"/>
    <mergeCell ref="B26:F2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default</vt:lpstr>
      <vt:lpstr>Kontroll</vt:lpstr>
      <vt:lpstr>Slaktstat</vt:lpstr>
      <vt:lpstr>Sheet2</vt:lpstr>
      <vt:lpstr>Energi rek</vt:lpstr>
    </vt:vector>
  </TitlesOfParts>
  <Company>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2023-01-13T12:14:39Z</dcterms:created>
  <dcterms:modified xsi:type="dcterms:W3CDTF">2023-02-24T15:16:02Z</dcterms:modified>
</cp:coreProperties>
</file>